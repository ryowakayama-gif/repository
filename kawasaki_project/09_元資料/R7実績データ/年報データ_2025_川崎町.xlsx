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awasaki\Desktop\年報修正\"/>
    </mc:Choice>
  </mc:AlternateContent>
  <xr:revisionPtr revIDLastSave="0" documentId="13_ncr:1_{983B6977-8CA3-48FE-97C4-DCD30CCD6873}" xr6:coauthVersionLast="47" xr6:coauthVersionMax="47" xr10:uidLastSave="{00000000-0000-0000-0000-000000000000}"/>
  <bookViews>
    <workbookView xWindow="-108" yWindow="-108" windowWidth="23256" windowHeight="13896" tabRatio="818" firstSheet="36" activeTab="42" xr2:uid="{00000000-000D-0000-FFFF-FFFF00000000}"/>
  </bookViews>
  <sheets>
    <sheet name="様式１" sheetId="1" r:id="rId1"/>
    <sheet name="様式１ 所得段階別" sheetId="2" r:id="rId2"/>
    <sheet name="様式１の２" sheetId="3" r:id="rId3"/>
    <sheet name="様式１の３" sheetId="4" r:id="rId4"/>
    <sheet name="様式１の４" sheetId="5" r:id="rId5"/>
    <sheet name="様式１の５ 総数" sheetId="6" r:id="rId6"/>
    <sheet name="様式１の５ ２割負担" sheetId="7" r:id="rId7"/>
    <sheet name="様式１の５ ３割負担" sheetId="8" r:id="rId8"/>
    <sheet name="様式１の６" sheetId="9" r:id="rId9"/>
    <sheet name="様式１の７（１６）居宅介護" sheetId="10" r:id="rId10"/>
    <sheet name="様式１の７（１７）居宅介護" sheetId="11" r:id="rId11"/>
    <sheet name="様式１の７（１８）地域密着型" sheetId="12" r:id="rId12"/>
    <sheet name="様式１の７（１９）地域密着型（２０）施設介護" sheetId="13" r:id="rId13"/>
    <sheet name="様式２（件数）" sheetId="14" r:id="rId14"/>
    <sheet name="様式２（単位数）" sheetId="15" r:id="rId15"/>
    <sheet name="様式２（費用額）" sheetId="16" r:id="rId16"/>
    <sheet name="様式２（給付費）" sheetId="17" r:id="rId17"/>
    <sheet name="様式２（件数）２割負担" sheetId="18" r:id="rId18"/>
    <sheet name="様式２（単位数）２割負担" sheetId="19" r:id="rId19"/>
    <sheet name="様式２（費用額）２割負担" sheetId="20" r:id="rId20"/>
    <sheet name="様式２（給付費）２割負担" sheetId="21" r:id="rId21"/>
    <sheet name="様式２（件数）３割負担" sheetId="22" r:id="rId22"/>
    <sheet name="様式２（単位数）３割負担" sheetId="23" r:id="rId23"/>
    <sheet name="様式２（費用額）３割負担" sheetId="24" r:id="rId24"/>
    <sheet name="様式２（給付費）３割負担" sheetId="25" r:id="rId25"/>
    <sheet name="様式２の２（件数）" sheetId="26" r:id="rId26"/>
    <sheet name="様式２の２（単位数）" sheetId="27" r:id="rId27"/>
    <sheet name="様式２の２（費用額）" sheetId="28" r:id="rId28"/>
    <sheet name="様式２の２（給付費）" sheetId="29" r:id="rId29"/>
    <sheet name="様式２の３（件数）" sheetId="30" r:id="rId30"/>
    <sheet name="様式２の３（単位数）" sheetId="31" r:id="rId31"/>
    <sheet name="様式２の３（費用額）" sheetId="32" r:id="rId32"/>
    <sheet name="様式２の３（給付費）" sheetId="33" r:id="rId33"/>
    <sheet name="様式２の４（件数）" sheetId="34" r:id="rId34"/>
    <sheet name="様式２の４（単位数）" sheetId="35" r:id="rId35"/>
    <sheet name="様式２の４（費用額）" sheetId="36" r:id="rId36"/>
    <sheet name="様式２の４（給付費）" sheetId="37" r:id="rId37"/>
    <sheet name="様式２の５" sheetId="38" r:id="rId38"/>
    <sheet name="様式２の６" sheetId="39" r:id="rId39"/>
    <sheet name="様式２の７(高額介護)" sheetId="40" r:id="rId40"/>
    <sheet name="様式２の７(高額医療合算)" sheetId="41" r:id="rId41"/>
    <sheet name="様式２の８" sheetId="42" r:id="rId42"/>
    <sheet name="様式３" sheetId="43" r:id="rId43"/>
    <sheet name="様式４" sheetId="44" r:id="rId44"/>
    <sheet name="様式４の２" sheetId="45" r:id="rId45"/>
    <sheet name="様式４の３" sheetId="46" r:id="rId46"/>
    <sheet name="経理状況" sheetId="47" r:id="rId47"/>
  </sheets>
  <definedNames>
    <definedName name="styleId" localSheetId="46">"H9999"</definedName>
    <definedName name="styleId" localSheetId="0">"H1100"</definedName>
    <definedName name="styleId" localSheetId="1">"H1102"</definedName>
    <definedName name="styleId" localSheetId="2">"H1120"</definedName>
    <definedName name="styleId" localSheetId="3">"H1130"</definedName>
    <definedName name="styleId" localSheetId="4">"H1140"</definedName>
    <definedName name="styleId" localSheetId="6">"H1152"</definedName>
    <definedName name="styleId" localSheetId="7">"H1153"</definedName>
    <definedName name="styleId" localSheetId="5">"H1151"</definedName>
    <definedName name="styleId" localSheetId="8">"H1161"</definedName>
    <definedName name="styleId" localSheetId="9">"H1177"</definedName>
    <definedName name="styleId" localSheetId="10">"H1178"</definedName>
    <definedName name="styleId" localSheetId="11">"H1179"</definedName>
    <definedName name="styleId" localSheetId="12">"H1170"</definedName>
    <definedName name="styleId" localSheetId="16">"H1214"</definedName>
    <definedName name="styleId" localSheetId="20">"H1204"</definedName>
    <definedName name="styleId" localSheetId="24">"H1294"</definedName>
    <definedName name="styleId" localSheetId="13">"H1211"</definedName>
    <definedName name="styleId" localSheetId="17">"H1201"</definedName>
    <definedName name="styleId" localSheetId="21">"H1291"</definedName>
    <definedName name="styleId" localSheetId="14">"H1212"</definedName>
    <definedName name="styleId" localSheetId="18">"H1202"</definedName>
    <definedName name="styleId" localSheetId="22">"H1292"</definedName>
    <definedName name="styleId" localSheetId="15">"H1213"</definedName>
    <definedName name="styleId" localSheetId="19">"H1203"</definedName>
    <definedName name="styleId" localSheetId="23">"H1293"</definedName>
    <definedName name="styleId" localSheetId="28">"H1224"</definedName>
    <definedName name="styleId" localSheetId="25">"H1221"</definedName>
    <definedName name="styleId" localSheetId="26">"H1222"</definedName>
    <definedName name="styleId" localSheetId="27">"H1223"</definedName>
    <definedName name="styleId" localSheetId="32">"H1234"</definedName>
    <definedName name="styleId" localSheetId="29">"H1231"</definedName>
    <definedName name="styleId" localSheetId="30">"H1232"</definedName>
    <definedName name="styleId" localSheetId="31">"H1233"</definedName>
    <definedName name="styleId" localSheetId="36">"H1244"</definedName>
    <definedName name="styleId" localSheetId="33">"H1241"</definedName>
    <definedName name="styleId" localSheetId="34">"H1242"</definedName>
    <definedName name="styleId" localSheetId="35">"H1243"</definedName>
    <definedName name="styleId" localSheetId="37">"H1251"</definedName>
    <definedName name="styleId" localSheetId="38">"H1261"</definedName>
    <definedName name="styleId" localSheetId="40">"H1271"</definedName>
    <definedName name="styleId" localSheetId="39">"H1270"</definedName>
    <definedName name="styleId" localSheetId="41">"H1280"</definedName>
    <definedName name="styleId" localSheetId="42">"H1300"</definedName>
    <definedName name="styleId" localSheetId="43">"H1401"</definedName>
    <definedName name="styleId" localSheetId="44">"H1402"</definedName>
    <definedName name="styleId" localSheetId="45">"H1403"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5" i="47" l="1"/>
  <c r="F174" i="47"/>
  <c r="F168" i="47"/>
  <c r="F167" i="47"/>
  <c r="F161" i="47"/>
  <c r="F160" i="47"/>
  <c r="F154" i="47"/>
  <c r="F153" i="47"/>
  <c r="H147" i="47"/>
  <c r="H146" i="47"/>
  <c r="H145" i="47"/>
  <c r="H144" i="47"/>
  <c r="H143" i="47"/>
  <c r="F142" i="47"/>
  <c r="H141" i="47"/>
  <c r="H140" i="47"/>
  <c r="H139" i="47"/>
  <c r="H138" i="47"/>
  <c r="H137" i="47"/>
  <c r="F136" i="47"/>
  <c r="H129" i="47"/>
  <c r="H128" i="47"/>
  <c r="H127" i="47"/>
  <c r="H126" i="47"/>
  <c r="F125" i="47"/>
  <c r="H124" i="47"/>
  <c r="H123" i="47"/>
  <c r="H122" i="47"/>
  <c r="H121" i="47"/>
  <c r="F120" i="47"/>
  <c r="H113" i="47"/>
  <c r="H112" i="47"/>
  <c r="H111" i="47"/>
  <c r="H110" i="47"/>
  <c r="H109" i="47"/>
  <c r="F108" i="47"/>
  <c r="H107" i="47"/>
  <c r="H106" i="47"/>
  <c r="H105" i="47"/>
  <c r="H104" i="47"/>
  <c r="H103" i="47"/>
  <c r="F102" i="47"/>
  <c r="F94" i="47"/>
  <c r="F93" i="47"/>
  <c r="F92" i="47"/>
  <c r="F84" i="47"/>
  <c r="F83" i="47"/>
  <c r="F82" i="47"/>
  <c r="F74" i="47"/>
  <c r="F69" i="47"/>
  <c r="H64" i="47"/>
  <c r="H63" i="47"/>
  <c r="H62" i="47"/>
  <c r="H61" i="47"/>
  <c r="H60" i="47"/>
  <c r="F59" i="47"/>
  <c r="H58" i="47"/>
  <c r="H57" i="47"/>
  <c r="H56" i="47"/>
  <c r="H55" i="47"/>
  <c r="H54" i="47"/>
  <c r="F53" i="47"/>
  <c r="F49" i="47"/>
  <c r="F39" i="47"/>
  <c r="F38" i="47"/>
  <c r="H32" i="47"/>
  <c r="H31" i="47"/>
  <c r="H30" i="47"/>
  <c r="H29" i="47"/>
  <c r="H28" i="47"/>
  <c r="H27" i="47"/>
  <c r="F27" i="47"/>
  <c r="F21" i="47"/>
  <c r="F20" i="47"/>
  <c r="H41" i="46"/>
  <c r="S32" i="46"/>
  <c r="M32" i="46"/>
  <c r="S20" i="46"/>
  <c r="M20" i="46"/>
  <c r="G32" i="45"/>
  <c r="K30" i="45"/>
  <c r="G30" i="45"/>
  <c r="G47" i="44"/>
  <c r="K45" i="44"/>
  <c r="G45" i="44"/>
  <c r="J27" i="43"/>
  <c r="I27" i="43"/>
  <c r="H27" i="43"/>
  <c r="G27" i="43"/>
  <c r="F27" i="43"/>
  <c r="J26" i="43"/>
  <c r="J25" i="43"/>
  <c r="J24" i="43"/>
  <c r="J23" i="43"/>
  <c r="J22" i="43"/>
  <c r="J21" i="43"/>
  <c r="K16" i="43"/>
  <c r="I16" i="43"/>
  <c r="H16" i="43"/>
  <c r="G16" i="43"/>
  <c r="F16" i="43"/>
  <c r="K15" i="43"/>
  <c r="J15" i="43"/>
  <c r="J16" i="43" s="1"/>
  <c r="I15" i="43"/>
  <c r="H15" i="43"/>
  <c r="G15" i="43"/>
  <c r="F15" i="43"/>
  <c r="K14" i="43"/>
  <c r="H14" i="43"/>
  <c r="G14" i="43"/>
  <c r="F14" i="43"/>
  <c r="J13" i="43"/>
  <c r="K12" i="43"/>
  <c r="J12" i="43"/>
  <c r="I12" i="43"/>
  <c r="H12" i="43"/>
  <c r="G12" i="43"/>
  <c r="F12" i="43"/>
  <c r="J11" i="43"/>
  <c r="M40" i="42"/>
  <c r="L40" i="42"/>
  <c r="K40" i="42"/>
  <c r="J40" i="42"/>
  <c r="I40" i="42"/>
  <c r="H40" i="42"/>
  <c r="F40" i="42"/>
  <c r="N40" i="42" s="1"/>
  <c r="E40" i="42"/>
  <c r="D40" i="42"/>
  <c r="N39" i="42"/>
  <c r="M39" i="42"/>
  <c r="F39" i="42"/>
  <c r="N38" i="42"/>
  <c r="M38" i="42"/>
  <c r="F38" i="42"/>
  <c r="N37" i="42"/>
  <c r="M37" i="42"/>
  <c r="F37" i="42"/>
  <c r="N36" i="42"/>
  <c r="M36" i="42"/>
  <c r="F36" i="42"/>
  <c r="N35" i="42"/>
  <c r="M35" i="42"/>
  <c r="F35" i="42"/>
  <c r="N34" i="42"/>
  <c r="M34" i="42"/>
  <c r="F34" i="42"/>
  <c r="M29" i="42"/>
  <c r="L29" i="42"/>
  <c r="K29" i="42"/>
  <c r="J29" i="42"/>
  <c r="I29" i="42"/>
  <c r="H29" i="42"/>
  <c r="F29" i="42"/>
  <c r="N29" i="42" s="1"/>
  <c r="E29" i="42"/>
  <c r="D29" i="42"/>
  <c r="N28" i="42"/>
  <c r="M28" i="42"/>
  <c r="F28" i="42"/>
  <c r="N27" i="42"/>
  <c r="M27" i="42"/>
  <c r="F27" i="42"/>
  <c r="N26" i="42"/>
  <c r="M26" i="42"/>
  <c r="F26" i="42"/>
  <c r="N25" i="42"/>
  <c r="M25" i="42"/>
  <c r="F25" i="42"/>
  <c r="N24" i="42"/>
  <c r="M24" i="42"/>
  <c r="F24" i="42"/>
  <c r="N23" i="42"/>
  <c r="M23" i="42"/>
  <c r="F23" i="42"/>
  <c r="M18" i="42"/>
  <c r="N18" i="42" s="1"/>
  <c r="L18" i="42"/>
  <c r="K18" i="42"/>
  <c r="J18" i="42"/>
  <c r="I18" i="42"/>
  <c r="H18" i="42"/>
  <c r="F18" i="42"/>
  <c r="E18" i="42"/>
  <c r="D18" i="42"/>
  <c r="N17" i="42"/>
  <c r="M17" i="42"/>
  <c r="F17" i="42"/>
  <c r="N16" i="42"/>
  <c r="M16" i="42"/>
  <c r="F16" i="42"/>
  <c r="N15" i="42"/>
  <c r="M15" i="42"/>
  <c r="F15" i="42"/>
  <c r="N14" i="42"/>
  <c r="M14" i="42"/>
  <c r="F14" i="42"/>
  <c r="N13" i="42"/>
  <c r="M13" i="42"/>
  <c r="F13" i="42"/>
  <c r="N12" i="42"/>
  <c r="M12" i="42"/>
  <c r="F12" i="42"/>
  <c r="T86" i="2"/>
  <c r="H22" i="1"/>
  <c r="G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2" authorId="0" shapeId="0" xr:uid="{00000000-0006-0000-0200-000001000000}">
      <text>
        <r>
          <rPr>
            <sz val="11"/>
            <color indexed="81"/>
            <rFont val="Arial"/>
            <family val="2"/>
          </rPr>
          <t>介護老人福祉施設 申請件数[D12]は、居住費の認定件数 三段階の和[E14]+[E16]+[E18]+[E20]以上でなければなりません｡</t>
        </r>
      </text>
    </comment>
    <comment ref="L12" authorId="0" shapeId="0" xr:uid="{00000000-0006-0000-0200-000006000000}">
      <text>
        <r>
          <rPr>
            <sz val="11"/>
            <color indexed="81"/>
            <rFont val="Arial"/>
            <family val="2"/>
          </rPr>
          <t>地域密着型入居者生活介護 申請件数[L12]は、居住費の認定件数 三段階の和[M14]+[M16]+[M18]+[M20]以上でなければなりません｡</t>
        </r>
      </text>
    </comment>
    <comment ref="N12" authorId="0" shapeId="0" xr:uid="{00000000-0006-0000-0200-00000B000000}">
      <text>
        <r>
          <rPr>
            <sz val="11"/>
            <color indexed="81"/>
            <rFont val="Arial"/>
            <family val="2"/>
          </rPr>
          <t>その他 申請件数[N12]は、居住費の認定件数 三段階の和[O14]+[O16]+[O18]+[O20]以上でなければなりません｡</t>
        </r>
      </text>
    </comment>
    <comment ref="E14" authorId="0" shapeId="0" xr:uid="{00000000-0006-0000-0200-000002000000}">
      <text>
        <r>
          <rPr>
            <sz val="11"/>
            <color indexed="81"/>
            <rFont val="Arial"/>
            <family val="2"/>
          </rPr>
          <t>介護老人福祉施設 申請件数[D12]は、居住費の認定件数 三段階の和[E14]+[E16]+[E18]+[E20]以上でなければなりません｡</t>
        </r>
      </text>
    </comment>
    <comment ref="M14" authorId="0" shapeId="0" xr:uid="{00000000-0006-0000-0200-000007000000}">
      <text>
        <r>
          <rPr>
            <sz val="11"/>
            <color indexed="81"/>
            <rFont val="Arial"/>
            <family val="2"/>
          </rPr>
          <t>地域密着型入居者生活介護 申請件数[L12]は、居住費の認定件数 三段階の和[M14]+[M16]+[M18]+[M20]以上でなければなりません｡</t>
        </r>
      </text>
    </comment>
    <comment ref="O14" authorId="0" shapeId="0" xr:uid="{00000000-0006-0000-0200-00000C000000}">
      <text>
        <r>
          <rPr>
            <sz val="11"/>
            <color indexed="81"/>
            <rFont val="Arial"/>
            <family val="2"/>
          </rPr>
          <t>その他 申請件数[N12]は、居住費の認定件数 三段階の和[O14]+[O16]+[O18]+[O20]以上でなければなりません｡</t>
        </r>
      </text>
    </comment>
    <comment ref="E16" authorId="0" shapeId="0" xr:uid="{00000000-0006-0000-0200-000003000000}">
      <text>
        <r>
          <rPr>
            <sz val="11"/>
            <color indexed="81"/>
            <rFont val="Arial"/>
            <family val="2"/>
          </rPr>
          <t>介護老人福祉施設 申請件数[D12]は、居住費の認定件数 三段階の和[E14]+[E16]+[E18]+[E20]以上でなければなりません｡</t>
        </r>
      </text>
    </comment>
    <comment ref="M16" authorId="0" shapeId="0" xr:uid="{00000000-0006-0000-0200-000008000000}">
      <text>
        <r>
          <rPr>
            <sz val="11"/>
            <color indexed="81"/>
            <rFont val="Arial"/>
            <family val="2"/>
          </rPr>
          <t>地域密着型入居者生活介護 申請件数[L12]は、居住費の認定件数 三段階の和[M14]+[M16]+[M18]+[M20]以上でなければなりません｡</t>
        </r>
      </text>
    </comment>
    <comment ref="O16" authorId="0" shapeId="0" xr:uid="{00000000-0006-0000-0200-00000D000000}">
      <text>
        <r>
          <rPr>
            <sz val="11"/>
            <color indexed="81"/>
            <rFont val="Arial"/>
            <family val="2"/>
          </rPr>
          <t>その他 申請件数[N12]は、居住費の認定件数 三段階の和[O14]+[O16]+[O18]+[O20]以上でなければなりません｡</t>
        </r>
      </text>
    </comment>
    <comment ref="E18" authorId="0" shapeId="0" xr:uid="{00000000-0006-0000-0200-000004000000}">
      <text>
        <r>
          <rPr>
            <sz val="11"/>
            <color indexed="81"/>
            <rFont val="Arial"/>
            <family val="2"/>
          </rPr>
          <t>介護老人福祉施設 申請件数[D12]は、居住費の認定件数 三段階の和[E14]+[E16]+[E18]+[E20]以上でなければなりません｡</t>
        </r>
      </text>
    </comment>
    <comment ref="M18" authorId="0" shapeId="0" xr:uid="{00000000-0006-0000-0200-000009000000}">
      <text>
        <r>
          <rPr>
            <sz val="11"/>
            <color indexed="81"/>
            <rFont val="Arial"/>
            <family val="2"/>
          </rPr>
          <t>地域密着型入居者生活介護 申請件数[L12]は、居住費の認定件数 三段階の和[M14]+[M16]+[M18]+[M20]以上でなければなりません｡</t>
        </r>
      </text>
    </comment>
    <comment ref="O18" authorId="0" shapeId="0" xr:uid="{00000000-0006-0000-0200-00000E000000}">
      <text>
        <r>
          <rPr>
            <sz val="11"/>
            <color indexed="81"/>
            <rFont val="Arial"/>
            <family val="2"/>
          </rPr>
          <t>その他 申請件数[N12]は、居住費の認定件数 三段階の和[O14]+[O16]+[O18]+[O20]以上でなければなりません｡</t>
        </r>
      </text>
    </comment>
    <comment ref="F19" authorId="0" shapeId="0" xr:uid="{00000000-0006-0000-0200-000010000000}">
      <text>
        <r>
          <rPr>
            <sz val="11"/>
            <color indexed="81"/>
            <rFont val="Arial"/>
            <family val="2"/>
          </rPr>
          <t>境界層措置の運用順位により、食費　≦　居住費　となります。</t>
        </r>
      </text>
    </comment>
    <comment ref="G19" authorId="0" shapeId="0" xr:uid="{00000000-0006-0000-0200-000011000000}">
      <text>
        <r>
          <rPr>
            <sz val="11"/>
            <color indexed="81"/>
            <rFont val="Arial"/>
            <family val="2"/>
          </rPr>
          <t>境界層措置の運用順位により、食費　≦　居住費　となります。</t>
        </r>
      </text>
    </comment>
    <comment ref="L19" authorId="0" shapeId="0" xr:uid="{00000000-0006-0000-0200-000012000000}">
      <text>
        <r>
          <rPr>
            <sz val="11"/>
            <color indexed="81"/>
            <rFont val="Arial"/>
            <family val="2"/>
          </rPr>
          <t>境界層措置の運用順位により、食費　≦　居住費　となります。</t>
        </r>
      </text>
    </comment>
    <comment ref="M19" authorId="0" shapeId="0" xr:uid="{00000000-0006-0000-0200-000013000000}">
      <text>
        <r>
          <rPr>
            <sz val="11"/>
            <color indexed="81"/>
            <rFont val="Arial"/>
            <family val="2"/>
          </rPr>
          <t>境界層措置の運用順位により、食費　≦　居住費　となります。</t>
        </r>
      </text>
    </comment>
    <comment ref="E20" authorId="0" shapeId="0" xr:uid="{00000000-0006-0000-0200-000005000000}">
      <text>
        <r>
          <rPr>
            <sz val="11"/>
            <color indexed="81"/>
            <rFont val="Arial"/>
            <family val="2"/>
          </rPr>
          <t>介護老人福祉施設 申請件数[D12]は、居住費の認定件数 三段階の和[E14]+[E16]+[E18]+[E20]以上でなければなりません｡</t>
        </r>
      </text>
    </comment>
    <comment ref="M20" authorId="0" shapeId="0" xr:uid="{00000000-0006-0000-0200-00000A000000}">
      <text>
        <r>
          <rPr>
            <sz val="11"/>
            <color indexed="81"/>
            <rFont val="Arial"/>
            <family val="2"/>
          </rPr>
          <t>地域密着型入居者生活介護 申請件数[L12]は、居住費の認定件数 三段階の和[M14]+[M16]+[M18]+[M20]以上でなければなりません｡</t>
        </r>
      </text>
    </comment>
    <comment ref="O20" authorId="0" shapeId="0" xr:uid="{00000000-0006-0000-0200-00000F000000}">
      <text>
        <r>
          <rPr>
            <sz val="11"/>
            <color indexed="81"/>
            <rFont val="Arial"/>
            <family val="2"/>
          </rPr>
          <t>その他 申請件数[N12]は、居住費の認定件数 三段階の和[O14]+[O16]+[O18]+[O20]以上でなければなりません｡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P52" authorId="0" shapeId="0" xr:uid="{00000000-0006-0000-1000-000001000000}">
      <text>
        <r>
          <rPr>
            <sz val="11"/>
            <color indexed="81"/>
            <rFont val="Arial"/>
            <family val="2"/>
          </rPr>
          <t>介護給付・予防給付の合計（審査分）と介護給付・予防給付の支払済 ＋ 未払額（支払分）の数値が異なっています。完全一致させる趣旨ではありません。数値に大きな違いある等、入力数値に誤りがないか確認してください。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14" authorId="0" shapeId="0" xr:uid="{00000000-0006-0000-1100-000001000000}">
      <text>
        <r>
          <rPr>
            <sz val="11"/>
            <color indexed="81"/>
            <rFont val="Arial"/>
            <family val="2"/>
          </rPr>
          <t>居宅療養管理指導と特定施設入居者生活介護以外の計の値が「０」になっています。入力漏れがないか確認してください。</t>
        </r>
      </text>
    </comment>
    <comment ref="H20" authorId="0" shapeId="0" xr:uid="{00000000-0006-0000-1100-000002000000}">
      <text>
        <r>
          <rPr>
            <sz val="11"/>
            <color indexed="81"/>
            <rFont val="Arial"/>
            <family val="2"/>
          </rPr>
          <t>居宅療養管理指導と特定施設入居者生活介護以外の計の値が「０」になっています。入力漏れがないか確認してください。</t>
        </r>
      </text>
    </comment>
    <comment ref="O23" authorId="0" shapeId="0" xr:uid="{00000000-0006-0000-1100-000003000000}">
      <text>
        <r>
          <rPr>
            <sz val="11"/>
            <color indexed="81"/>
            <rFont val="Arial"/>
            <family val="2"/>
          </rPr>
          <t>居宅療養管理指導と特定施設入居者生活介護以外の計の値が「０」になっています。入力漏れがないか確認してください。</t>
        </r>
      </text>
    </comment>
    <comment ref="H27" authorId="0" shapeId="0" xr:uid="{00000000-0006-0000-1100-000004000000}">
      <text>
        <r>
          <rPr>
            <sz val="11"/>
            <color indexed="81"/>
            <rFont val="Arial"/>
            <family val="2"/>
          </rPr>
          <t>居宅療養管理指導と特定施設入居者生活介護以外の計の値が「０」になっています。入力漏れがないか確認してください。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14" authorId="0" shapeId="0" xr:uid="{00000000-0006-0000-1200-000001000000}">
      <text>
        <r>
          <rPr>
            <sz val="11"/>
            <color indexed="81"/>
            <rFont val="Arial"/>
            <family val="2"/>
          </rPr>
          <t>居宅療養管理指導と特定施設入居者生活介護以外の計の値が「０」になっています。入力漏れがないか確認してください。</t>
        </r>
      </text>
    </comment>
    <comment ref="H20" authorId="0" shapeId="0" xr:uid="{00000000-0006-0000-1200-000002000000}">
      <text>
        <r>
          <rPr>
            <sz val="11"/>
            <color indexed="81"/>
            <rFont val="Arial"/>
            <family val="2"/>
          </rPr>
          <t>居宅療養管理指導と特定施設入居者生活介護以外の計の値が「０」になっています。入力漏れがないか確認してください。</t>
        </r>
      </text>
    </comment>
    <comment ref="O23" authorId="0" shapeId="0" xr:uid="{00000000-0006-0000-1200-000003000000}">
      <text>
        <r>
          <rPr>
            <sz val="11"/>
            <color indexed="81"/>
            <rFont val="Arial"/>
            <family val="2"/>
          </rPr>
          <t>居宅療養管理指導と特定施設入居者生活介護以外の計の値が「０」になっています。入力漏れがないか確認してください。</t>
        </r>
      </text>
    </comment>
    <comment ref="H27" authorId="0" shapeId="0" xr:uid="{00000000-0006-0000-1200-000004000000}">
      <text>
        <r>
          <rPr>
            <sz val="11"/>
            <color indexed="81"/>
            <rFont val="Arial"/>
            <family val="2"/>
          </rPr>
          <t>居宅療養管理指導と特定施設入居者生活介護以外の計の値が「０」になっています。入力漏れがないか確認してください。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27" authorId="0" shapeId="0" xr:uid="{00000000-0006-0000-1500-000001000000}">
      <text>
        <r>
          <rPr>
            <sz val="11"/>
            <color indexed="81"/>
            <rFont val="Arial"/>
            <family val="2"/>
          </rPr>
          <t>居宅療養管理指導と特定施設入居者生活介護以外の要支援２の「単位数」÷「件数」の値が、区分支給限度基準（100以上10,531以下）から外れています。入力数値に誤りがないか確認してください。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27" authorId="0" shapeId="0" xr:uid="{00000000-0006-0000-1600-000001000000}">
      <text>
        <r>
          <rPr>
            <sz val="11"/>
            <color indexed="81"/>
            <rFont val="Arial"/>
            <family val="2"/>
          </rPr>
          <t>居宅療養管理指導と特定施設入居者生活介護以外の要支援２の「単位数」÷「件数」の値が、区分支給限度基準（100以上10,531以下）から外れています。入力数値に誤りがないか確認してください。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19" authorId="0" shapeId="0" xr:uid="{00000000-0006-0000-1900-000001000000}">
      <text>
        <r>
          <rPr>
            <sz val="11"/>
            <color indexed="81"/>
            <rFont val="Arial"/>
            <family val="2"/>
          </rPr>
          <t>居宅療養管理指導と特定施設入居者生活介護以外の計の値が「０」になっています。入力漏れがないか確認してください。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19" authorId="0" shapeId="0" xr:uid="{00000000-0006-0000-1A00-000001000000}">
      <text>
        <r>
          <rPr>
            <sz val="11"/>
            <color indexed="81"/>
            <rFont val="Arial"/>
            <family val="2"/>
          </rPr>
          <t>居宅療養管理指導と特定施設入居者生活介護以外の計の値が「０」になっています。入力漏れがないか確認してください。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1" authorId="0" shapeId="0" xr:uid="{00000000-0006-0000-2A00-000001000000}">
      <text>
        <r>
          <rPr>
            <sz val="11"/>
            <color indexed="81"/>
            <rFont val="Arial"/>
            <family val="2"/>
          </rPr>
          <t>現年度の普通徴収の還付未済額(別掲)の増減が、前年比30％以上です。入力数値に誤りがないか確認してください。</t>
        </r>
      </text>
    </comment>
    <comment ref="G21" authorId="0" shapeId="0" xr:uid="{00000000-0006-0000-2A00-000004000000}">
      <text>
        <r>
          <rPr>
            <sz val="11"/>
            <color indexed="81"/>
            <rFont val="Arial"/>
            <family val="2"/>
          </rPr>
          <t>介護給付・予防給付の合計（審査分）と介護給付・予防給付の支払済 ＋ 未払額（支払分）の数値が異なっています。完全一致させる趣旨ではありません。数値に大きな違いある等、入力数値に誤りがないか確認してください。</t>
        </r>
      </text>
    </comment>
    <comment ref="J21" authorId="0" shapeId="0" xr:uid="{00000000-0006-0000-2A00-000005000000}">
      <text>
        <r>
          <rPr>
            <sz val="11"/>
            <color indexed="81"/>
            <rFont val="Arial"/>
            <family val="2"/>
          </rPr>
          <t>介護給付・予防給付の合計（審査分）と介護給付・予防給付の支払済 ＋ 未払額（支払分）の数値が異なっています。完全一致させる趣旨ではありません。数値に大きな違いある等、入力数値に誤りがないか確認してください。</t>
        </r>
      </text>
    </comment>
    <comment ref="G22" authorId="0" shapeId="0" xr:uid="{00000000-0006-0000-2A00-000006000000}">
      <text>
        <r>
          <rPr>
            <sz val="11"/>
            <color indexed="81"/>
            <rFont val="Arial"/>
            <family val="2"/>
          </rPr>
          <t>介護給付・予防給付の合計（審査分）と介護給付・予防給付の支払済 ＋ 未払額（支払分）の数値が異なっています。完全一致させる趣旨ではありません。数値に大きな違いある等、入力数値に誤りがないか確認してください。</t>
        </r>
      </text>
    </comment>
    <comment ref="J22" authorId="0" shapeId="0" xr:uid="{00000000-0006-0000-2A00-000007000000}">
      <text>
        <r>
          <rPr>
            <sz val="11"/>
            <color indexed="81"/>
            <rFont val="Arial"/>
            <family val="2"/>
          </rPr>
          <t>介護給付・予防給付の合計（審査分）と介護給付・予防給付の支払済 ＋ 未払額（支払分）の数値が異なっています。完全一致させる趣旨ではありません。数値に大きな違いある等、入力数値に誤りがないか確認してください。</t>
        </r>
      </text>
    </comment>
    <comment ref="F24" authorId="0" shapeId="0" xr:uid="{00000000-0006-0000-2A00-000002000000}">
      <text>
        <r>
          <rPr>
            <sz val="11"/>
            <color indexed="81"/>
            <rFont val="Arial"/>
            <family val="2"/>
          </rPr>
          <t>高額医療合算介護サービス等費の支払義務額累計の増減が、前年比30％以上です。入力数値に誤りがないか確認してください。</t>
        </r>
      </text>
    </comment>
    <comment ref="G24" authorId="0" shapeId="0" xr:uid="{00000000-0006-0000-2A00-000003000000}">
      <text>
        <r>
          <rPr>
            <sz val="11"/>
            <color indexed="81"/>
            <rFont val="Arial"/>
            <family val="2"/>
          </rPr>
          <t>高額医療合算介護サービス等費の支払済額累計の増減が、前年比30％以上です。入力数値に誤りがないか確認してください。</t>
        </r>
      </text>
    </comment>
  </commentList>
</comments>
</file>

<file path=xl/sharedStrings.xml><?xml version="1.0" encoding="utf-8"?>
<sst xmlns="http://schemas.openxmlformats.org/spreadsheetml/2006/main" count="3192" uniqueCount="483">
  <si>
    <t>（様式１）</t>
  </si>
  <si>
    <t>介護保険事業状況報告</t>
  </si>
  <si>
    <t>（令和7年度）</t>
  </si>
  <si>
    <t>保険者番号：</t>
  </si>
  <si>
    <t>04324</t>
  </si>
  <si>
    <t>保険者名：</t>
  </si>
  <si>
    <t>川崎町</t>
  </si>
  <si>
    <t xml:space="preserve"> </t>
  </si>
  <si>
    <t>１．一般状況</t>
  </si>
  <si>
    <t>(1)第１号被保険者のいる世帯数</t>
  </si>
  <si>
    <t>前年度末現在</t>
  </si>
  <si>
    <t>当年度中増</t>
  </si>
  <si>
    <t>当年度中減</t>
  </si>
  <si>
    <t>当年度末現在</t>
  </si>
  <si>
    <t>計</t>
  </si>
  <si>
    <t>(2) 第１号被保険者数</t>
  </si>
  <si>
    <t>年齢区分</t>
  </si>
  <si>
    <t>65歳以上75歳未満</t>
  </si>
  <si>
    <t>75歳以上85歳未満</t>
  </si>
  <si>
    <t>85歳以上</t>
  </si>
  <si>
    <t>(再掲)外国人被保険者</t>
  </si>
  <si>
    <t>(再掲)住所地特例被保険者</t>
  </si>
  <si>
    <t>(3) 第１号被保険者増減内訳</t>
  </si>
  <si>
    <t>転入</t>
  </si>
  <si>
    <t>職権復活</t>
  </si>
  <si>
    <t>65歳到達</t>
  </si>
  <si>
    <t>適用除外_x000D_
非該当</t>
  </si>
  <si>
    <t>その他</t>
  </si>
  <si>
    <t>転出</t>
  </si>
  <si>
    <t>職権喪失</t>
  </si>
  <si>
    <t>死亡</t>
  </si>
  <si>
    <t>適用除外_x000D_
該当</t>
  </si>
  <si>
    <t>保険者番号:</t>
  </si>
  <si>
    <t>保険者名:</t>
  </si>
  <si>
    <t>１．一般状況（続き）</t>
  </si>
  <si>
    <t>(4) 所得段階別第１号被保険者数（当年度末現在）</t>
  </si>
  <si>
    <t>ア　第１段階　</t>
  </si>
  <si>
    <t>（市町村民税世帯非課税者で、公的年金等収入金額と合計所得金額の合計が80.9万円以下の者、生活保護被保護者等）</t>
  </si>
  <si>
    <t>所得段階</t>
  </si>
  <si>
    <t>標準割合_x000D_
（令38条1項各号）</t>
  </si>
  <si>
    <t>保険者の定める_x000D_
割合(千分率)</t>
  </si>
  <si>
    <t>年度末現在_x000D_
被保険者数</t>
  </si>
  <si>
    <t>第１段階</t>
  </si>
  <si>
    <t>十分の四・五五</t>
  </si>
  <si>
    <t>(0.455)</t>
  </si>
  <si>
    <t>/1000</t>
  </si>
  <si>
    <t>イ　第２段階　</t>
  </si>
  <si>
    <t>（市町村民税世帯非課税者で、公的年金等収入金額と合計所得金額の合計が80.9万円超120万円以下の者等）</t>
  </si>
  <si>
    <t>第２段階</t>
  </si>
  <si>
    <t>十分の六・八五</t>
  </si>
  <si>
    <t>(0.685)</t>
  </si>
  <si>
    <t>ウ　第３段階</t>
  </si>
  <si>
    <t>（市町村民税世帯非課税者で、公的年金等収入金額と合計所得金額の合計が120万円超の者等）</t>
  </si>
  <si>
    <t>第３段階</t>
  </si>
  <si>
    <t>十分の六・九</t>
  </si>
  <si>
    <t>(0.69）</t>
  </si>
  <si>
    <t>エ　第４段階　</t>
  </si>
  <si>
    <t>（市町村民税本人非課税者で、公的年金等収入金額と合計所得金額の合計が80.9万円以下の者等）</t>
  </si>
  <si>
    <t>第４段階</t>
  </si>
  <si>
    <t>十分の九</t>
  </si>
  <si>
    <t>(0.90)</t>
  </si>
  <si>
    <t>オ　第５段階</t>
  </si>
  <si>
    <t>（市町村民税本人非課税者で、公的年金等収入金額と合計所得金額の合計が80.9万円超の者等）</t>
  </si>
  <si>
    <t>第５段階</t>
  </si>
  <si>
    <t>十分の十</t>
  </si>
  <si>
    <t>(1.00)</t>
  </si>
  <si>
    <t>カ　第６段階</t>
  </si>
  <si>
    <t>（市町村民税課税者で、合計所得金額が120万円未満の者等）</t>
  </si>
  <si>
    <t>第６段階</t>
  </si>
  <si>
    <t>十分の十二</t>
  </si>
  <si>
    <t>（1.20）</t>
  </si>
  <si>
    <t>（多段階設定）</t>
  </si>
  <si>
    <t>キ　第７段階</t>
  </si>
  <si>
    <t>（市町村民税課税者で、合計所得金額が120万円以上210万円未満の者等）</t>
  </si>
  <si>
    <t>第７段階</t>
  </si>
  <si>
    <t>十分の十三</t>
  </si>
  <si>
    <t>（1.30）</t>
  </si>
  <si>
    <t>ク　第８段階</t>
  </si>
  <si>
    <t>（市町村民税課税者で、合計所得金額が210万円以上320万円未満の者等）</t>
  </si>
  <si>
    <t>第８段階</t>
  </si>
  <si>
    <t>十分の十五</t>
  </si>
  <si>
    <t>（1.50）</t>
  </si>
  <si>
    <t>ケ　第９段階</t>
  </si>
  <si>
    <t>（市町村民税課税者で、合計所得金額が320万円以上420万円未満の者等）</t>
  </si>
  <si>
    <t>第９段階</t>
  </si>
  <si>
    <t>十分の十七</t>
  </si>
  <si>
    <t>（1.70）</t>
  </si>
  <si>
    <t>コ　第10段階</t>
  </si>
  <si>
    <t>（市町村民税課税者で、合計所得金額が420万円以上520万円未満の者等）</t>
  </si>
  <si>
    <t>第10段階</t>
  </si>
  <si>
    <t>十分の十九</t>
  </si>
  <si>
    <t>（1.90）</t>
  </si>
  <si>
    <t>サ　第11段階</t>
  </si>
  <si>
    <t>（市町村民税課税者で、合計所得金額が520万円以上620万円未満の者等）</t>
  </si>
  <si>
    <t>第11段階</t>
  </si>
  <si>
    <t>十分の二十一</t>
  </si>
  <si>
    <t>（2.10）</t>
  </si>
  <si>
    <t>シ　第12段階</t>
  </si>
  <si>
    <t>（市町村民税課税者で、合計所得金額が620万円以上720万円未満の者等）</t>
  </si>
  <si>
    <t>第12段階</t>
  </si>
  <si>
    <t>十分の二十三</t>
  </si>
  <si>
    <t>（2.30）</t>
  </si>
  <si>
    <t>ス　第13段階</t>
  </si>
  <si>
    <t>（市町村民税課税者で、合計所得金額が720万円以上の者等）</t>
  </si>
  <si>
    <t>第13段階</t>
  </si>
  <si>
    <t>十分の二十四</t>
  </si>
  <si>
    <t>（2.40）</t>
  </si>
  <si>
    <t>セ　標準月額保険料</t>
  </si>
  <si>
    <t>円／月</t>
  </si>
  <si>
    <t>合計</t>
  </si>
  <si>
    <t>（様式１の２）</t>
  </si>
  <si>
    <t>１．一般状況(続き)</t>
  </si>
  <si>
    <t>(5) 食費・居住費に係る負担限度額認定(総数)</t>
  </si>
  <si>
    <t>介護老人福祉施設</t>
  </si>
  <si>
    <t>介護老人保健施設</t>
  </si>
  <si>
    <t>介護療養型_x000D_
医療施設</t>
  </si>
  <si>
    <t>介護医療院</t>
  </si>
  <si>
    <t>地域密着型介護老人福祉
施設入所者生活介護</t>
  </si>
  <si>
    <t>申請件数</t>
  </si>
  <si>
    <t>食費</t>
  </si>
  <si>
    <t>居住費</t>
  </si>
  <si>
    <t>(居住費)_x000D_
滞在費</t>
  </si>
  <si>
    <t>利用者負担第三段階②
　認定件数</t>
  </si>
  <si>
    <t>　認定件数(当該年度末現在)</t>
  </si>
  <si>
    <t>利用者負担第三段階①
　認定件数</t>
  </si>
  <si>
    <t>利用者負担第二段階
　認定件数</t>
  </si>
  <si>
    <t>利用者負担第一段階
　認定件数</t>
  </si>
  <si>
    <t>(6) 利用者負担減額・免除認定(総数)</t>
  </si>
  <si>
    <t>利用者負担</t>
  </si>
  <si>
    <t>減額
　認定件数</t>
  </si>
  <si>
    <t>免除
　認定件数</t>
  </si>
  <si>
    <t>(7) 介護老人福祉施設旧措置入所者に係る減額・免除認定(総数)</t>
  </si>
  <si>
    <t>特定負担限度額</t>
  </si>
  <si>
    <t>利用者負担第三段階
　認定件数</t>
  </si>
  <si>
    <t>　認定件数
(当該年度末現在)</t>
  </si>
  <si>
    <t>老福受給者等
　認定件数</t>
  </si>
  <si>
    <t>（様式１の３）</t>
  </si>
  <si>
    <t>(8) 食費・居住費に係る負担限度額認定(再掲：第２号被保険者分)</t>
  </si>
  <si>
    <t>(9) 利用者負担減額・免除認定(再掲：第２号被保険者分)</t>
  </si>
  <si>
    <t>(10) 介護老人福祉施設旧措置入所者に係る減額・免除認定(再掲：第２号被保険者分)</t>
  </si>
  <si>
    <t>（様式１の４）</t>
  </si>
  <si>
    <t>(11) 利用者負担第４段階における食費・居住費の特例減額措置</t>
  </si>
  <si>
    <t>第１号被保険者</t>
  </si>
  <si>
    <t>第２号被保険者</t>
  </si>
  <si>
    <t>食費のみ減額_x000D_
　　認定件数</t>
  </si>
  <si>
    <t>　　認定件数(当該年度末現在)</t>
  </si>
  <si>
    <t>居住費のみ減額_x000D_
　　認定件数</t>
  </si>
  <si>
    <t>食費及び居住費の減額_x000D_
　　認定件数</t>
  </si>
  <si>
    <t>（様式１の５）</t>
  </si>
  <si>
    <t>(12) 要介護(要支援)認定者数</t>
  </si>
  <si>
    <t>①総　数</t>
  </si>
  <si>
    <t>男</t>
  </si>
  <si>
    <t>要支援１</t>
  </si>
  <si>
    <t>要支援２</t>
  </si>
  <si>
    <t>経過的要介護</t>
  </si>
  <si>
    <t>要介護１</t>
  </si>
  <si>
    <t>要介護２</t>
  </si>
  <si>
    <t>要介護３</t>
  </si>
  <si>
    <t>要介護４</t>
  </si>
  <si>
    <t>要介護５</t>
  </si>
  <si>
    <t xml:space="preserve"> 第１号被保険者</t>
  </si>
  <si>
    <t>65歳以上70歳未満</t>
  </si>
  <si>
    <t>70歳以上75歳未満</t>
  </si>
  <si>
    <t>75歳以上80歳未満</t>
  </si>
  <si>
    <t>80歳以上85歳未満</t>
  </si>
  <si>
    <t>85歳以上90歳未満</t>
  </si>
  <si>
    <t>90歳以上</t>
  </si>
  <si>
    <t xml:space="preserve"> 第２号被保険者</t>
  </si>
  <si>
    <t>総　　数</t>
  </si>
  <si>
    <t>女</t>
  </si>
  <si>
    <t>②総　数（再掲：第１号被保険者の２割負担対象者分）</t>
  </si>
  <si>
    <t>③総　数（再掲：第１号被保険者の３割負担対象者分）</t>
  </si>
  <si>
    <t>（様式１の６）</t>
  </si>
  <si>
    <t>(13) 居宅(介護予防)サービス受給者数</t>
  </si>
  <si>
    <t>(14) 地域密着型(介護予防)サービス受給者数</t>
  </si>
  <si>
    <t>(15) 施設介護サービス受給者数</t>
  </si>
  <si>
    <t>介護療養型医療施設</t>
  </si>
  <si>
    <t>（様式１の７）</t>
  </si>
  <si>
    <t>(16) 居宅(介護予防)サービスのサービス別受給者数【現物給付分】</t>
  </si>
  <si>
    <t>① 総　数</t>
  </si>
  <si>
    <t>訪問介護</t>
  </si>
  <si>
    <t>訪問入浴介護</t>
  </si>
  <si>
    <t>訪問看護</t>
  </si>
  <si>
    <t>訪問リハビリテーション</t>
  </si>
  <si>
    <t>居宅療養管理指導</t>
  </si>
  <si>
    <t>通所介護</t>
  </si>
  <si>
    <t>通所リハビリテーション</t>
  </si>
  <si>
    <t>短期入所生活介護</t>
  </si>
  <si>
    <t>短期入所療養介護（介護老人保健施設）</t>
  </si>
  <si>
    <t>短期入所療養介護（病院等）</t>
  </si>
  <si>
    <t>短期入所療養介護（介護医療院）</t>
  </si>
  <si>
    <t>福祉用具貸与</t>
  </si>
  <si>
    <t>特定施設入居者生活介護（短期利用以外）</t>
  </si>
  <si>
    <t>特定施設入居者生活介護（短期利用）</t>
  </si>
  <si>
    <t>介護予防支援・居宅介護支援</t>
  </si>
  <si>
    <t>② 総　数（再掲：第１号被保険者の２割負担対象者分）</t>
  </si>
  <si>
    <t>③ 総　数（再掲：第１号被保険者の３割負担対象者分）</t>
  </si>
  <si>
    <t xml:space="preserve">特定施設入居者生活介護（短期利用以外）
</t>
  </si>
  <si>
    <t>(17) 居宅(介護予防)サービスのサービス別利用回（日）数【現物給付分】</t>
  </si>
  <si>
    <t>訪問介護（回）</t>
  </si>
  <si>
    <t>訪問入浴介護（回）</t>
  </si>
  <si>
    <t>訪問看護（回）</t>
  </si>
  <si>
    <t>訪問リハビリテーション（回）</t>
  </si>
  <si>
    <t>通所介護（回）</t>
  </si>
  <si>
    <t>通所リハビリテーション（回）</t>
  </si>
  <si>
    <t>短期入所生活介護（日）</t>
  </si>
  <si>
    <t>短期入所療養介護（介護老人保健施設）（日）</t>
  </si>
  <si>
    <t>短期入所療養介護（病院等）（日）</t>
  </si>
  <si>
    <t>短期入所療養介護（介護医療院）（日）</t>
  </si>
  <si>
    <t>特定施設入居者生活介護（短期利用）（日）</t>
  </si>
  <si>
    <t>(18) 地域密着型(介護予防)サービスのサービス別受給者数【現物給付分】</t>
  </si>
  <si>
    <t>定期巡回・随時対応型訪問介護看護</t>
  </si>
  <si>
    <t>夜間対応型訪問介護</t>
  </si>
  <si>
    <t>地域密着型通所介護</t>
  </si>
  <si>
    <t>認知症対応型通所介護</t>
  </si>
  <si>
    <t>小規模多機能型居宅介護（短期利用以外）</t>
  </si>
  <si>
    <t>小規模多機能型居宅介護（短期利用）</t>
  </si>
  <si>
    <t>認知症対応型共同生活介護（短期利用以外）</t>
  </si>
  <si>
    <t>認知症対応型共同生活介護（短期利用）</t>
  </si>
  <si>
    <t>地域密着型特定施設入居者生活介護（短期利用以外）</t>
  </si>
  <si>
    <t>地域密着型特定施設入居者生活介護（短期利用）</t>
  </si>
  <si>
    <t>地域密着型介護老人福祉施設入所者生活介護</t>
  </si>
  <si>
    <t>複合型サービス
(看護小規模多機能型居宅介護)（短期利用以外）</t>
  </si>
  <si>
    <t>複合型サービス
(看護小規模多機能型居宅介護)（短期利用）</t>
  </si>
  <si>
    <t>(19) 地域密着型(介護予防)サービスの利用回（日）数【現物給付分】</t>
  </si>
  <si>
    <t>地域密着型通所介護（回）</t>
  </si>
  <si>
    <t>認知症対応型通所介護（回）</t>
  </si>
  <si>
    <t>小規模多機能型居宅介護（短期利用）（日）</t>
  </si>
  <si>
    <t>認知症対応型共同生活介護（短期利用）（日）</t>
  </si>
  <si>
    <t>地域密着型特定施設入居者生活介護（短期利用）（日）</t>
  </si>
  <si>
    <t xml:space="preserve">複合型サービス（看護小規模多機能型居宅介護・短期利用）（日）
</t>
  </si>
  <si>
    <t>(20) 施設介護サービス受給者数【現物給付分】</t>
  </si>
  <si>
    <t>① 総　数（再掲：第１号被保険者の２割負担対象者分）</t>
  </si>
  <si>
    <t>② 総　数（再掲：第１号被保険者の３割負担対象者分）</t>
  </si>
  <si>
    <t>（様式２）</t>
  </si>
  <si>
    <t>２．保険給付決定状況</t>
  </si>
  <si>
    <t>(1) 介護給付・予防給付</t>
  </si>
  <si>
    <t>①－１ 総  数</t>
  </si>
  <si>
    <t>ア 件数</t>
  </si>
  <si>
    <t>種類</t>
  </si>
  <si>
    <t>居宅（介護予防）サービス</t>
  </si>
  <si>
    <t>訪問サービス</t>
  </si>
  <si>
    <t>通所サービス</t>
  </si>
  <si>
    <t>短期入所サービス</t>
  </si>
  <si>
    <t>福祉用具・住宅改修サービス</t>
  </si>
  <si>
    <t>特定福祉用具販売</t>
  </si>
  <si>
    <t>住宅改修</t>
  </si>
  <si>
    <t>地域密着型（介護予防）サービス</t>
  </si>
  <si>
    <t>複合型サービス(看護小規模多機能型居宅介護)（短期利用以外）</t>
  </si>
  <si>
    <t>複合型サービス(看護小規模多機能型居宅介護)（短期利用）</t>
  </si>
  <si>
    <t>施設サービス</t>
  </si>
  <si>
    <t xml:space="preserve">介護医療院 </t>
  </si>
  <si>
    <t>総計</t>
  </si>
  <si>
    <t>イ 単位数</t>
  </si>
  <si>
    <t>ウ 費用額</t>
  </si>
  <si>
    <t>エ 給付費</t>
  </si>
  <si>
    <t>①-２ 総　数（再掲：第１号被保険者の２割負担対象者分）</t>
  </si>
  <si>
    <t xml:space="preserve">複合型サービス(看護小規模多機能型居宅介護)（短期利用）
</t>
  </si>
  <si>
    <t xml:space="preserve">複合型サービス(看護小規模多機能型居宅介護)（短期利用以外）
</t>
  </si>
  <si>
    <t>①-３ 総　数（再掲：第１号被保険者の３割負担対象者分）</t>
  </si>
  <si>
    <t>（様式２の２）</t>
  </si>
  <si>
    <t>② 第２号被保険者分（再掲）</t>
  </si>
  <si>
    <t>（様式２の３）</t>
  </si>
  <si>
    <t>③ 総  数（再掲：介護給付、介護予防給付の特例分）</t>
  </si>
  <si>
    <t xml:space="preserve">認知症対応型共同生活介護（短期利用）
</t>
  </si>
  <si>
    <t>（様式２の４）</t>
  </si>
  <si>
    <t>④ 第２号被保険者分（再掲：介護給付、介護予防給付の特例分）</t>
  </si>
  <si>
    <t>（様式２の５）</t>
  </si>
  <si>
    <t>(2) 特定入所者介護（介護予防）サービス費（別掲）</t>
  </si>
  <si>
    <t>① 総数</t>
  </si>
  <si>
    <t>ア　件数</t>
  </si>
  <si>
    <t>居住費（滞在費）</t>
  </si>
  <si>
    <t>イ　給付費</t>
  </si>
  <si>
    <t>（様式２の６)</t>
  </si>
  <si>
    <t>② 第２号被保険者数（再掲）</t>
  </si>
  <si>
    <t>（様式２の７)</t>
  </si>
  <si>
    <t>２．保険給付決定状況（続き）</t>
  </si>
  <si>
    <t>(3)-1 高額介護(介護予防)サービス費</t>
  </si>
  <si>
    <t>ア 利用者負担第四段階</t>
  </si>
  <si>
    <t>世帯合算</t>
  </si>
  <si>
    <t>件　　　数</t>
  </si>
  <si>
    <t>給　付　費</t>
  </si>
  <si>
    <t>（ア）利用者負担第四段階（現役並み所得者Ⅲ）</t>
  </si>
  <si>
    <t>（イ）利用者負担第四段階（現役並み所得者Ⅱ）</t>
  </si>
  <si>
    <t>（ウ）利用者負担第四段階（現役並み所得者Ⅰ、一般）</t>
  </si>
  <si>
    <t xml:space="preserve">イ 利用者負担第三段階 </t>
  </si>
  <si>
    <t>ウ 利用者負担第二段階</t>
  </si>
  <si>
    <t>エ 利用者負担第一段階</t>
  </si>
  <si>
    <t>オ 合計</t>
  </si>
  <si>
    <t>(3)-2 高額介護(介護予防)サービス費（年間上限）</t>
  </si>
  <si>
    <t>(4) 高額医療合算介護(介護予防)サービス費</t>
  </si>
  <si>
    <t>ア 現役並み所得者（上位所得者）（総数）</t>
  </si>
  <si>
    <t>（ア）現役並み所得者（上位所得者）（再掲：現役並み所得者Ⅲ）</t>
  </si>
  <si>
    <t>（イ）現役並み所得者（上位所得者）（再掲：現役並み所得者Ⅱ）</t>
  </si>
  <si>
    <t>（ウ）現役並み所得者（上位所得者）（再掲：現役並み所得者Ⅰ）</t>
  </si>
  <si>
    <t>イ 一般</t>
  </si>
  <si>
    <t>ウ 低所得者Ⅱ</t>
  </si>
  <si>
    <t>エ 低所得者Ⅰ</t>
  </si>
  <si>
    <t>（様式２の８）</t>
  </si>
  <si>
    <t>（５）市町村特別給付</t>
  </si>
  <si>
    <t>(1) 件数</t>
  </si>
  <si>
    <t>寝具乾燥サービス</t>
  </si>
  <si>
    <t>移送サービス</t>
  </si>
  <si>
    <t>配食サービス</t>
  </si>
  <si>
    <t>おむつの支給</t>
  </si>
  <si>
    <t>理美容サービス</t>
  </si>
  <si>
    <t>(2) 費用額</t>
  </si>
  <si>
    <t>(3) 給付費</t>
  </si>
  <si>
    <t>（様式３）</t>
  </si>
  <si>
    <t>３．保険料収納状況</t>
  </si>
  <si>
    <t>（単位：円）</t>
  </si>
  <si>
    <t>区　　　分</t>
  </si>
  <si>
    <t>調定額累計</t>
  </si>
  <si>
    <t>収納額累計</t>
  </si>
  <si>
    <t>還付未済額_x000D_
（別掲）</t>
  </si>
  <si>
    <t>不納欠損額</t>
  </si>
  <si>
    <t>未収額</t>
  </si>
  <si>
    <t>減免額 _x000D_
 (別掲)</t>
  </si>
  <si>
    <t>現年度分</t>
  </si>
  <si>
    <t>特別徴収</t>
  </si>
  <si>
    <t>普通徴収</t>
  </si>
  <si>
    <t>滞納繰越分</t>
  </si>
  <si>
    <t>合　　計</t>
  </si>
  <si>
    <t>４．保険給付支払状況</t>
  </si>
  <si>
    <t>支払義務額_x000D_
累計</t>
  </si>
  <si>
    <t>支払済額_x000D_
累計</t>
  </si>
  <si>
    <t>徴収金等_x000D_
累計</t>
  </si>
  <si>
    <t>戻入未済額_x000D_
累計</t>
  </si>
  <si>
    <t>未払額</t>
  </si>
  <si>
    <t>介護サービス等諸費</t>
  </si>
  <si>
    <t>介護予防サービス等諸費</t>
  </si>
  <si>
    <t>高額介護サービス等費</t>
  </si>
  <si>
    <t>高額医療合算介護サービス等費</t>
  </si>
  <si>
    <t>特定入所者介護サービス等費</t>
  </si>
  <si>
    <t>その他の保険給付費</t>
  </si>
  <si>
    <t>（様式４）</t>
  </si>
  <si>
    <t>５．介護保険特別会計経理状況</t>
  </si>
  <si>
    <t>(1)保険事業勘定</t>
  </si>
  <si>
    <t>歳　　　　　　　　　　入</t>
  </si>
  <si>
    <t>歳　　　　　　　　　　出</t>
  </si>
  <si>
    <t>科　　　　目</t>
  </si>
  <si>
    <t>決算額</t>
  </si>
  <si>
    <t>保険料</t>
  </si>
  <si>
    <t>介護保険料</t>
  </si>
  <si>
    <t>総務費</t>
  </si>
  <si>
    <t>分担金及び負担金</t>
  </si>
  <si>
    <t>認定審査会負担金</t>
  </si>
  <si>
    <t>保険給付費</t>
  </si>
  <si>
    <t>使用料及び手数料</t>
  </si>
  <si>
    <t>使用料</t>
  </si>
  <si>
    <t>手数料</t>
  </si>
  <si>
    <t>国庫支出金</t>
  </si>
  <si>
    <t>介護給付費負担金</t>
  </si>
  <si>
    <t>調整交付金</t>
  </si>
  <si>
    <t>審査支払手数料</t>
  </si>
  <si>
    <t>地域支援事業交付金（介護予防・日常生活支援総合事業）</t>
  </si>
  <si>
    <t>市町村特別給付費</t>
  </si>
  <si>
    <t>地域支援事業交付金（介護予防・日常生活支援総合事業以外の地域支援事業）</t>
  </si>
  <si>
    <t>保険者機能強化推進交付金</t>
  </si>
  <si>
    <t>地域支援事業</t>
  </si>
  <si>
    <t>介護予防・生活支援サービス事業費</t>
  </si>
  <si>
    <t>保険者努力支援交付金</t>
  </si>
  <si>
    <t>一般介護予防事業費</t>
  </si>
  <si>
    <t>包括的支援事業・任意事業</t>
  </si>
  <si>
    <t>支払基金交付金</t>
  </si>
  <si>
    <t>介護給付費交付金</t>
  </si>
  <si>
    <t>重層的支援体制整備事業保険料操出金</t>
  </si>
  <si>
    <t>地域支援事業支援交付金</t>
  </si>
  <si>
    <t>都道府県支出金</t>
  </si>
  <si>
    <t>都道府県負担金</t>
  </si>
  <si>
    <t>財政安定化基金拠出金</t>
  </si>
  <si>
    <t>財政安定化基金支出金</t>
  </si>
  <si>
    <t>相互財政安定化事業負担金</t>
  </si>
  <si>
    <t>保健福祉事業費</t>
  </si>
  <si>
    <t>基金積立金</t>
  </si>
  <si>
    <t>公債費</t>
  </si>
  <si>
    <t>財政安定化基金償還金</t>
  </si>
  <si>
    <t>相互財政安定化事業交付金</t>
  </si>
  <si>
    <t>財産収入</t>
  </si>
  <si>
    <t>予備費</t>
  </si>
  <si>
    <t>寄附金</t>
  </si>
  <si>
    <t>諸支出金</t>
  </si>
  <si>
    <t>介護サービス事業勘定繰出金</t>
  </si>
  <si>
    <t>繰入金</t>
  </si>
  <si>
    <t>一般会計繰入金12.5%</t>
  </si>
  <si>
    <t>他会計繰出金</t>
  </si>
  <si>
    <t>総務費に係る一般会計繰入金</t>
  </si>
  <si>
    <t>介護給付費準備基金繰入金</t>
  </si>
  <si>
    <t>介護サービス事業勘定繰入金</t>
  </si>
  <si>
    <t>地域支援事業繰入金（介護予防・日常生活支援総合事業）</t>
  </si>
  <si>
    <t>地域支援事業繰入金（介護予防・日常生活支援総合事業以外の地域支援事業）</t>
  </si>
  <si>
    <t>低所得者保険料軽減繰入金</t>
  </si>
  <si>
    <t>繰越金</t>
  </si>
  <si>
    <t>市町村債</t>
  </si>
  <si>
    <t>財政安定化基金貸付金</t>
  </si>
  <si>
    <t>諸収入</t>
  </si>
  <si>
    <t>合　　　　　　　　　　計</t>
  </si>
  <si>
    <t>歳入歳出差引残額</t>
  </si>
  <si>
    <t>円</t>
  </si>
  <si>
    <t>　うち基金繰入額</t>
  </si>
  <si>
    <t>介護給付費準備基金保有額</t>
  </si>
  <si>
    <t>（様式４の２）</t>
  </si>
  <si>
    <t>(2)介護サービス事業勘定</t>
  </si>
  <si>
    <t>サービス収入</t>
  </si>
  <si>
    <t>介護給付費収入</t>
  </si>
  <si>
    <t>予防給付費収入</t>
  </si>
  <si>
    <t>事業費</t>
  </si>
  <si>
    <t>居宅サービス事業費</t>
  </si>
  <si>
    <t>介護予防事業・日常生活支援総合事業費収入</t>
  </si>
  <si>
    <t>地域密着型サービス事業費</t>
  </si>
  <si>
    <t>特定入所者介護サービス等費収入</t>
  </si>
  <si>
    <t>居宅介護支援事業費</t>
  </si>
  <si>
    <t>自己負担金収入</t>
  </si>
  <si>
    <t>介護予防・日常生活支援総合事業費</t>
  </si>
  <si>
    <t>分担金</t>
  </si>
  <si>
    <t>施設整備費</t>
  </si>
  <si>
    <t>負担金</t>
  </si>
  <si>
    <t>保険事業勘定繰出金</t>
  </si>
  <si>
    <t>諸費</t>
  </si>
  <si>
    <t>保険事業勘定繰入金</t>
  </si>
  <si>
    <t>（様式４の３）</t>
  </si>
  <si>
    <t>５．介護保険特別会計経理状況（続き）</t>
  </si>
  <si>
    <t>(3)介護給付費負担金精算額等</t>
  </si>
  <si>
    <t>ア　前年度以前</t>
  </si>
  <si>
    <t>科　　目</t>
  </si>
  <si>
    <t xml:space="preserve"> 歳入（精算交付額）</t>
  </si>
  <si>
    <t>歳出（返還額）</t>
  </si>
  <si>
    <t>地域支援事業交付金</t>
  </si>
  <si>
    <t>一般会計繰入金</t>
  </si>
  <si>
    <t>イ　今年度</t>
  </si>
  <si>
    <t>歳入（精算交付予定額）</t>
  </si>
  <si>
    <t>歳出（返還予定額）</t>
  </si>
  <si>
    <t>ウ　実質的な収支について</t>
  </si>
  <si>
    <t>歳入　合計</t>
  </si>
  <si>
    <t>歳出　合計</t>
  </si>
  <si>
    <t>精算後残額</t>
  </si>
  <si>
    <t>（経理状況）</t>
  </si>
  <si>
    <t>(１)様式１</t>
  </si>
  <si>
    <t>（１-１）「１．一般状況（続き）/(4) 所得段階別第１号被保険者数（当年度末現在）/セ　標準月額保険料」に該当する数値です。</t>
  </si>
  <si>
    <t>第９期第１号保険料　基準額(月額)</t>
  </si>
  <si>
    <t>(２)様式４</t>
  </si>
  <si>
    <t>（２-１）合計値が「５．介護保険特別会計経理状況/(1)保険事業勘定/歳入/国庫支出金/介護給付費負担金」に該当する数値です。</t>
  </si>
  <si>
    <t>※初期値として合計値としていますが、決算の整理と合わせて「合計（過年度分の返還分を相殺している場合）」に変更することは可能です。</t>
  </si>
  <si>
    <t>合計（過年度分の返還分を相殺している場合）</t>
  </si>
  <si>
    <t>国庫支出金　介護給付費負担金</t>
  </si>
  <si>
    <t>令和7年度</t>
  </si>
  <si>
    <t>令和6年度</t>
  </si>
  <si>
    <t>再確定に伴う精算交付額（追加交付額）</t>
  </si>
  <si>
    <t>令和5年度</t>
  </si>
  <si>
    <t>令和4年度</t>
  </si>
  <si>
    <t>令和3年度</t>
  </si>
  <si>
    <t>令和2年度</t>
  </si>
  <si>
    <t>令和元年度</t>
  </si>
  <si>
    <t>過年度　再確定に伴う返還額</t>
  </si>
  <si>
    <t>（２-２）合計値が「５．介護保険特別会計経理状況/(1)保険事業勘定/歳入/国庫支出金/調整交付金」に該当する数値です。</t>
  </si>
  <si>
    <t>国庫支出金　(介護給付費)調整交付金</t>
  </si>
  <si>
    <t>（２-３）「５．介護保険特別会計経理状況/(1)保険事業勘定/歳入/国庫支出金/地域支援事業交付金（介護予防・日常生活支援総合事業）」に 該当する数値と、「５．介護保険特別会計経理状況/(1)保険事業勘定/歳入/国庫支出金/地域支援事業交付金（介護予防・日常生活支援総合事業以外の地域支援事業）」に該当する数値です。</t>
  </si>
  <si>
    <t>※初期値として、当該年度の交付決定額としていますが、精算交付額や返還額がある場合は、決算の整理と合わせて、精算交付額や返還額を反映した数字に修正してください。</t>
  </si>
  <si>
    <t>国庫支出金　地域支援事業交付金</t>
  </si>
  <si>
    <t>総合事業</t>
  </si>
  <si>
    <t>包括・任意事業</t>
  </si>
  <si>
    <t>充実分事業</t>
  </si>
  <si>
    <t>過年度　再確定に伴う精算交付額（追加交付額）</t>
  </si>
  <si>
    <t>（２-４）「５．介護保険特別会計経理状況/(1)保険事業勘定/歳入/国庫支出金/保険者機能強化推進交付金」に該当する数値です。</t>
  </si>
  <si>
    <t>（２-５）「５．介護保険特別会計経理状況/(1)保険事業勘定/歳入/国庫支出金/保険者努力支援交付金」に該当する数値です。</t>
  </si>
  <si>
    <t>（２-６）合計値が「５．介護保険特別会計経理状況/(1)保険事業勘定/歳入/支払基金交付金/介護給付費交付金」に該当する数値です。</t>
  </si>
  <si>
    <t>※初期値として合計値としていますが、決算の整理と合わせて「合計（前年度分の返還分を相殺している場合）」に変更することは可能です。</t>
  </si>
  <si>
    <t>合計（前年度分の返還分を相殺している場合）</t>
  </si>
  <si>
    <t>支払基金交付金　介護給付費交付金</t>
  </si>
  <si>
    <t>（２-７）合計値が「５．介護保険特別会計経理状況/(1)保険事業勘定/歳入/支払基金交付金/地域支援事業支援交付金」に該当する数値です。</t>
  </si>
  <si>
    <t>支払基金交付金　地域支援事業支援交付金</t>
  </si>
  <si>
    <t>(３)様式４の３</t>
  </si>
  <si>
    <t>（３-１）合計値が「５．介護保険特別会計経理状況（続き）/(3)介護給付費負担金精算額等/ア前年度以前/国庫支出金/介護給付費負担金」に該当する数値です。</t>
  </si>
  <si>
    <t>歳入（精算交付額）</t>
  </si>
  <si>
    <t>過年度分　再確定に伴う精算交付額</t>
  </si>
  <si>
    <t>（３-２）合計値が「５．介護保険特別会計経理状況（続き）/(3)介護給付費負担金精算額等/ア前年度以前/国庫支出金/調整交付金」に該当する数値です。</t>
  </si>
  <si>
    <t>国庫支出金　調整交付金</t>
  </si>
  <si>
    <t>過年度　会計検査院指摘に伴う返還額</t>
  </si>
  <si>
    <t>（３-３）合計値が「５．介護保険特別会計経理状況（続き）/(3)介護給付費負担金精算額等/ア前年度以前/国庫支出金/地域支援事業交付金」に該当する数値です。</t>
  </si>
  <si>
    <t>（３-４）「５．介護保険特別会計経理状況（続き）/(3)介護給付費負担金精算額等/ア 前年度以前/支払基金交付金/介護給付費交付金」に該当する数値です。</t>
  </si>
  <si>
    <t>（３-５）「５．介護保険特別会計経理状況（続き）/(3)介護給付費負担金精算額等/ア 前年度以前/支払基金交付金/地域支援事業支援交付金」に該当する数値です。</t>
  </si>
  <si>
    <t>（３-６）「５．介護保険特別会計経理状況（続き）/(3)介護給付費負担金精算額等/イ今年度/支払基金交付金/介護給付費交付金」に該当する数値です。</t>
  </si>
  <si>
    <t>（３-７）「５．介護保険特別会計経理状況（続き）/(3)介護給付費負担金精算額等/イ今年度/支払基金交付金/地域支援事業支援交付金」に該当する数値です。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</si>
</sst>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1" formatCode="#,##0_ "/>
    <numFmt numFmtId="182" formatCode="#,##0;[Red]#,##0"/>
  </numFmts>
  <fonts count="36">
    <font>
      <sz val="11"/>
      <color rgb="FF000000"/>
      <name val="ＭＳ Ｐゴシック"/>
    </font>
    <font>
      <sz val="11"/>
      <color indexed="0"/>
      <name val="Calibri"/>
      <family val="2"/>
    </font>
    <font>
      <sz val="11"/>
      <name val="ＭＳ Ｐゴシック"/>
      <family val="3"/>
      <charset val="128"/>
    </font>
    <font>
      <sz val="10"/>
      <name val="丸ｺﾞｼｯｸ体Ca-B(GT)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name val="ＭＳ 明朝"/>
      <family val="1"/>
      <charset val="128"/>
    </font>
    <font>
      <sz val="12"/>
      <name val="ＭＳ ゴシック"/>
      <family val="3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ゴシック"/>
      <family val="3"/>
      <charset val="128"/>
    </font>
    <font>
      <b/>
      <sz val="6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Calibri"/>
      <family val="2"/>
    </font>
    <font>
      <u/>
      <sz val="11"/>
      <name val="Calibri"/>
      <family val="2"/>
    </font>
    <font>
      <b/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color rgb="FF000000"/>
      <name val="Calibri"/>
      <family val="2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MS Gothic"/>
      <family val="3"/>
      <charset val="128"/>
    </font>
    <font>
      <sz val="12"/>
      <name val="ＭＳ Ｐゴシック"/>
      <family val="3"/>
      <charset val="128"/>
    </font>
    <font>
      <sz val="11"/>
      <name val="MS Gothic"/>
      <family val="3"/>
      <charset val="128"/>
    </font>
    <font>
      <sz val="14"/>
      <name val="MS Gothic"/>
      <family val="3"/>
      <charset val="128"/>
    </font>
    <font>
      <sz val="10"/>
      <name val="MS Gothic"/>
      <family val="3"/>
      <charset val="128"/>
    </font>
    <font>
      <sz val="12"/>
      <color rgb="FF000000"/>
      <name val="MS Gothic"/>
      <family val="3"/>
      <charset val="128"/>
    </font>
    <font>
      <sz val="16"/>
      <name val="ＭＳ ゴシック"/>
      <family val="3"/>
      <charset val="128"/>
    </font>
    <font>
      <sz val="10"/>
      <color theme="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indexed="81"/>
      <name val="Arial"/>
      <family val="2"/>
    </font>
    <font>
      <sz val="6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FF"/>
      </patternFill>
    </fill>
    <fill>
      <patternFill patternType="solid">
        <fgColor rgb="FFBFBFBF"/>
      </patternFill>
    </fill>
    <fill>
      <patternFill patternType="solid">
        <fgColor rgb="FFFF9933"/>
      </patternFill>
    </fill>
    <fill>
      <patternFill patternType="solid">
        <fgColor rgb="FFFECBCA"/>
      </patternFill>
    </fill>
    <fill>
      <patternFill patternType="solid">
        <fgColor theme="0" tint="-0.14999847407452621"/>
        <bgColor indexed="64"/>
      </patternFill>
    </fill>
  </fills>
  <borders count="20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 style="double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theme="1"/>
      </bottom>
      <diagonal/>
    </border>
    <border>
      <left style="thin">
        <color rgb="FF000000"/>
      </left>
      <right/>
      <top style="thin">
        <color rgb="FF000000"/>
      </top>
      <bottom style="double">
        <color theme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theme="1"/>
      </bottom>
      <diagonal/>
    </border>
    <border>
      <left style="medium">
        <color theme="1"/>
      </left>
      <right style="thin">
        <color theme="1"/>
      </right>
      <top style="double">
        <color rgb="FF000000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double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medium">
        <color theme="1"/>
      </bottom>
      <diagonal style="thin">
        <color theme="1"/>
      </diagonal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 diagonalUp="1">
      <left style="double">
        <color theme="1"/>
      </left>
      <right style="thin">
        <color theme="1"/>
      </right>
      <top style="thin">
        <color theme="1"/>
      </top>
      <bottom/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rgb="FF000000"/>
      </top>
      <bottom style="medium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thin">
        <color rgb="FF000000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/>
      <bottom style="medium">
        <color theme="1"/>
      </bottom>
      <diagonal style="thin">
        <color theme="1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theme="1"/>
      </top>
      <bottom style="thin">
        <color rgb="FF000000"/>
      </bottom>
      <diagonal style="thin">
        <color theme="1"/>
      </diagonal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rgb="FF000000"/>
      </top>
      <bottom style="thin">
        <color rgb="FF000000"/>
      </bottom>
      <diagonal style="thin">
        <color theme="1"/>
      </diagonal>
    </border>
    <border>
      <left/>
      <right/>
      <top/>
      <bottom/>
      <diagonal/>
    </border>
    <border diagonalUp="1">
      <left style="double">
        <color theme="1"/>
      </left>
      <right style="thin">
        <color theme="1"/>
      </right>
      <top style="thin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hair">
        <color theme="1"/>
      </bottom>
      <diagonal style="thin">
        <color theme="1"/>
      </diagonal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rgb="FF000000"/>
      </top>
      <bottom style="hair">
        <color theme="1"/>
      </bottom>
      <diagonal style="thin">
        <color theme="1"/>
      </diagonal>
    </border>
    <border>
      <left style="medium">
        <color rgb="FF000000"/>
      </left>
      <right/>
      <top/>
      <bottom/>
      <diagonal/>
    </border>
    <border diagonalUp="1">
      <left style="double">
        <color theme="1"/>
      </left>
      <right style="thin">
        <color theme="1"/>
      </right>
      <top style="hair">
        <color theme="1"/>
      </top>
      <bottom style="hair">
        <color rgb="FF000000"/>
      </bottom>
      <diagonal style="thin">
        <color theme="1"/>
      </diagonal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 diagonalUp="1">
      <left style="double">
        <color theme="1"/>
      </left>
      <right style="thin">
        <color theme="1"/>
      </right>
      <top style="hair">
        <color theme="1"/>
      </top>
      <bottom/>
      <diagonal style="thin">
        <color theme="1"/>
      </diagonal>
    </border>
    <border>
      <left style="hair">
        <color rgb="FF000000"/>
      </left>
      <right/>
      <top/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/>
      <bottom style="hair">
        <color theme="1"/>
      </bottom>
      <diagonal style="thin">
        <color theme="1"/>
      </diagonal>
    </border>
    <border>
      <left style="medium">
        <color rgb="FF000000"/>
      </left>
      <right style="hair">
        <color rgb="FF000000"/>
      </right>
      <top/>
      <bottom/>
      <diagonal/>
    </border>
    <border>
      <left/>
      <right/>
      <top style="thin">
        <color theme="1"/>
      </top>
      <bottom style="thin">
        <color rgb="FF000000"/>
      </bottom>
      <diagonal/>
    </border>
    <border diagonalUp="1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medium">
        <color rgb="FF000000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thin">
        <color theme="1"/>
      </bottom>
      <diagonal style="thin">
        <color theme="1"/>
      </diagonal>
    </border>
    <border>
      <left style="medium">
        <color rgb="FF000000"/>
      </left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 diagonalUp="1">
      <left/>
      <right/>
      <top/>
      <bottom/>
      <diagonal style="thin">
        <color theme="1"/>
      </diagonal>
    </border>
    <border diagonalUp="1">
      <left style="thin">
        <color theme="1"/>
      </left>
      <right style="medium">
        <color theme="1"/>
      </right>
      <top/>
      <bottom/>
      <diagonal style="thin">
        <color theme="1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 diagonalUp="1">
      <left style="medium">
        <color rgb="FF000000"/>
      </left>
      <right style="medium">
        <color rgb="FF000000"/>
      </right>
      <top/>
      <bottom style="thin">
        <color rgb="FF000000"/>
      </bottom>
      <diagonal style="thin">
        <color rgb="FF000000"/>
      </diagonal>
    </border>
    <border diagonalUp="1"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Up="1"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 style="thin">
        <color rgb="FF000000"/>
      </diagonal>
    </border>
    <border diagonalUp="1"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</cellStyleXfs>
  <cellXfs count="904">
    <xf numFmtId="0" fontId="0" fillId="0" borderId="0" xfId="0" applyFont="1"/>
    <xf numFmtId="0" fontId="7" fillId="0" borderId="0" xfId="0" applyNumberFormat="1" applyFont="1" applyAlignment="1">
      <alignment vertical="center"/>
    </xf>
    <xf numFmtId="0" fontId="4" fillId="0" borderId="0" xfId="0" applyNumberFormat="1" applyFont="1" applyAlignment="1" applyProtection="1">
      <alignment vertical="center"/>
      <protection locked="0"/>
    </xf>
    <xf numFmtId="0" fontId="22" fillId="0" borderId="10" xfId="0" applyFont="1" applyBorder="1" applyAlignment="1">
      <alignment horizontal="right" vertical="center" shrinkToFit="1"/>
    </xf>
    <xf numFmtId="49" fontId="22" fillId="0" borderId="10" xfId="0" applyNumberFormat="1" applyFont="1" applyBorder="1" applyAlignment="1">
      <alignment horizontal="left" vertical="center" shrinkToFit="1"/>
    </xf>
    <xf numFmtId="0" fontId="22" fillId="0" borderId="11" xfId="0" applyFont="1" applyBorder="1" applyAlignment="1">
      <alignment horizontal="right" vertical="center"/>
    </xf>
    <xf numFmtId="49" fontId="22" fillId="0" borderId="11" xfId="0" applyNumberFormat="1" applyFont="1" applyBorder="1" applyAlignment="1">
      <alignment horizontal="left" vertical="center"/>
    </xf>
    <xf numFmtId="0" fontId="7" fillId="0" borderId="0" xfId="0" applyNumberFormat="1" applyFont="1" applyAlignment="1">
      <alignment vertical="center"/>
    </xf>
    <xf numFmtId="0" fontId="2" fillId="0" borderId="0" xfId="0" applyFont="1"/>
    <xf numFmtId="0" fontId="8" fillId="0" borderId="0" xfId="3" applyFont="1" applyAlignment="1">
      <alignment vertical="center"/>
    </xf>
    <xf numFmtId="0" fontId="10" fillId="0" borderId="0" xfId="0" applyFont="1" applyAlignment="1">
      <alignment vertical="center"/>
    </xf>
    <xf numFmtId="49" fontId="10" fillId="0" borderId="0" xfId="3" applyNumberFormat="1" applyFont="1" applyAlignment="1">
      <alignment vertical="center"/>
    </xf>
    <xf numFmtId="49" fontId="11" fillId="0" borderId="0" xfId="3" applyNumberFormat="1" applyFont="1" applyAlignment="1">
      <alignment vertical="center"/>
    </xf>
    <xf numFmtId="0" fontId="9" fillId="0" borderId="12" xfId="3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49" fontId="12" fillId="0" borderId="0" xfId="3" applyNumberFormat="1" applyFont="1" applyAlignment="1">
      <alignment horizontal="right" vertical="center"/>
    </xf>
    <xf numFmtId="0" fontId="9" fillId="0" borderId="14" xfId="0" applyFont="1" applyBorder="1" applyAlignment="1">
      <alignment horizontal="center" vertical="center"/>
    </xf>
    <xf numFmtId="3" fontId="10" fillId="0" borderId="18" xfId="0" applyNumberFormat="1" applyFont="1" applyBorder="1" applyAlignment="1" applyProtection="1">
      <alignment vertical="center" shrinkToFit="1"/>
      <protection locked="0"/>
    </xf>
    <xf numFmtId="3" fontId="10" fillId="3" borderId="15" xfId="0" applyNumberFormat="1" applyFont="1" applyFill="1" applyBorder="1" applyAlignment="1">
      <alignment vertical="center" shrinkToFit="1"/>
    </xf>
    <xf numFmtId="0" fontId="4" fillId="0" borderId="12" xfId="0" applyNumberFormat="1" applyFont="1" applyBorder="1" applyAlignment="1">
      <alignment horizontal="center" vertical="center"/>
    </xf>
    <xf numFmtId="0" fontId="4" fillId="0" borderId="16" xfId="0" applyNumberFormat="1" applyFont="1" applyBorder="1" applyAlignment="1">
      <alignment horizontal="center" vertical="center"/>
    </xf>
    <xf numFmtId="3" fontId="7" fillId="4" borderId="20" xfId="0" applyNumberFormat="1" applyFont="1" applyFill="1" applyBorder="1" applyAlignment="1" applyProtection="1">
      <alignment vertical="center" shrinkToFit="1"/>
      <protection locked="0"/>
    </xf>
    <xf numFmtId="181" fontId="7" fillId="2" borderId="17" xfId="0" applyNumberFormat="1" applyFont="1" applyFill="1" applyBorder="1" applyAlignment="1">
      <alignment vertical="center" shrinkToFit="1"/>
    </xf>
    <xf numFmtId="3" fontId="7" fillId="4" borderId="19" xfId="0" applyNumberFormat="1" applyFont="1" applyFill="1" applyBorder="1" applyAlignment="1" applyProtection="1">
      <alignment vertical="center" shrinkToFit="1"/>
      <protection locked="0"/>
    </xf>
    <xf numFmtId="3" fontId="7" fillId="4" borderId="28" xfId="0" applyNumberFormat="1" applyFont="1" applyFill="1" applyBorder="1" applyAlignment="1" applyProtection="1">
      <alignment vertical="center" shrinkToFit="1"/>
      <protection locked="0"/>
    </xf>
    <xf numFmtId="0" fontId="4" fillId="0" borderId="14" xfId="0" applyNumberFormat="1" applyFont="1" applyBorder="1" applyAlignment="1">
      <alignment horizontal="center" vertical="center"/>
    </xf>
    <xf numFmtId="3" fontId="22" fillId="8" borderId="18" xfId="0" applyNumberFormat="1" applyFont="1" applyFill="1" applyBorder="1" applyAlignment="1">
      <alignment vertical="center" shrinkToFit="1"/>
    </xf>
    <xf numFmtId="3" fontId="22" fillId="8" borderId="15" xfId="0" applyNumberFormat="1" applyFont="1" applyFill="1" applyBorder="1" applyAlignment="1">
      <alignment vertical="center" shrinkToFit="1"/>
    </xf>
    <xf numFmtId="0" fontId="13" fillId="0" borderId="0" xfId="0" applyNumberFormat="1" applyFont="1" applyAlignment="1">
      <alignment vertical="center"/>
    </xf>
    <xf numFmtId="0" fontId="4" fillId="0" borderId="5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 wrapText="1"/>
    </xf>
    <xf numFmtId="0" fontId="4" fillId="0" borderId="13" xfId="0" applyNumberFormat="1" applyFont="1" applyBorder="1" applyAlignment="1">
      <alignment horizontal="center" vertical="center"/>
    </xf>
    <xf numFmtId="3" fontId="10" fillId="6" borderId="19" xfId="0" applyNumberFormat="1" applyFont="1" applyFill="1" applyBorder="1" applyAlignment="1">
      <alignment vertical="center" shrinkToFit="1"/>
    </xf>
    <xf numFmtId="0" fontId="4" fillId="0" borderId="20" xfId="0" applyNumberFormat="1" applyFont="1" applyBorder="1" applyAlignment="1">
      <alignment horizontal="center" vertical="center"/>
    </xf>
    <xf numFmtId="0" fontId="4" fillId="0" borderId="20" xfId="0" applyNumberFormat="1" applyFont="1" applyBorder="1" applyAlignment="1">
      <alignment horizontal="center" vertical="center" wrapText="1"/>
    </xf>
    <xf numFmtId="0" fontId="4" fillId="0" borderId="19" xfId="0" applyNumberFormat="1" applyFont="1" applyBorder="1" applyAlignment="1">
      <alignment horizontal="center" vertical="center"/>
    </xf>
    <xf numFmtId="3" fontId="7" fillId="4" borderId="18" xfId="0" applyNumberFormat="1" applyFont="1" applyFill="1" applyBorder="1" applyAlignment="1" applyProtection="1">
      <alignment vertical="center" shrinkToFit="1"/>
      <protection locked="0"/>
    </xf>
    <xf numFmtId="3" fontId="10" fillId="6" borderId="15" xfId="0" applyNumberFormat="1" applyFont="1" applyFill="1" applyBorder="1" applyAlignment="1">
      <alignment vertical="center" shrinkToFit="1"/>
    </xf>
    <xf numFmtId="0" fontId="7" fillId="2" borderId="0" xfId="0" applyFont="1" applyFill="1" applyAlignment="1">
      <alignment vertical="center"/>
    </xf>
    <xf numFmtId="0" fontId="7" fillId="2" borderId="0" xfId="6" applyFont="1" applyFill="1" applyAlignment="1">
      <alignment vertical="center"/>
    </xf>
    <xf numFmtId="0" fontId="4" fillId="2" borderId="0" xfId="6" applyFont="1" applyFill="1" applyAlignment="1">
      <alignment vertical="center"/>
    </xf>
    <xf numFmtId="0" fontId="4" fillId="2" borderId="0" xfId="0" applyFont="1" applyFill="1" applyAlignment="1" applyProtection="1">
      <alignment vertical="center"/>
      <protection locked="0"/>
    </xf>
    <xf numFmtId="0" fontId="4" fillId="4" borderId="0" xfId="6" applyFont="1" applyFill="1" applyAlignment="1">
      <alignment vertical="center"/>
    </xf>
    <xf numFmtId="0" fontId="14" fillId="2" borderId="0" xfId="6" applyFont="1" applyFill="1" applyAlignment="1">
      <alignment vertical="center"/>
    </xf>
    <xf numFmtId="0" fontId="5" fillId="2" borderId="0" xfId="5" applyFont="1" applyFill="1" applyAlignment="1">
      <alignment vertical="center"/>
    </xf>
    <xf numFmtId="0" fontId="5" fillId="2" borderId="0" xfId="6" applyFont="1" applyFill="1" applyAlignment="1">
      <alignment vertical="center"/>
    </xf>
    <xf numFmtId="0" fontId="22" fillId="4" borderId="10" xfId="0" applyFont="1" applyFill="1" applyBorder="1" applyAlignment="1">
      <alignment horizontal="right" vertical="center"/>
    </xf>
    <xf numFmtId="49" fontId="7" fillId="4" borderId="0" xfId="0" applyNumberFormat="1" applyFont="1" applyFill="1" applyAlignment="1">
      <alignment vertical="center"/>
    </xf>
    <xf numFmtId="49" fontId="7" fillId="4" borderId="0" xfId="3" applyNumberFormat="1" applyFont="1" applyFill="1" applyAlignment="1">
      <alignment vertical="center"/>
    </xf>
    <xf numFmtId="49" fontId="3" fillId="4" borderId="0" xfId="3" applyNumberFormat="1" applyFont="1" applyFill="1"/>
    <xf numFmtId="0" fontId="7" fillId="4" borderId="0" xfId="0" applyFont="1" applyFill="1" applyAlignment="1">
      <alignment vertical="center"/>
    </xf>
    <xf numFmtId="0" fontId="4" fillId="4" borderId="0" xfId="3" applyFont="1" applyFill="1" applyAlignment="1">
      <alignment vertical="center"/>
    </xf>
    <xf numFmtId="0" fontId="9" fillId="4" borderId="0" xfId="3" applyFont="1" applyFill="1" applyAlignment="1">
      <alignment vertical="center"/>
    </xf>
    <xf numFmtId="0" fontId="5" fillId="4" borderId="0" xfId="6" applyFont="1" applyFill="1" applyAlignment="1">
      <alignment vertical="center"/>
    </xf>
    <xf numFmtId="0" fontId="7" fillId="4" borderId="0" xfId="3" applyFont="1" applyFill="1" applyAlignment="1">
      <alignment vertical="center"/>
    </xf>
    <xf numFmtId="49" fontId="4" fillId="4" borderId="0" xfId="3" applyNumberFormat="1" applyFont="1" applyFill="1" applyAlignment="1">
      <alignment vertical="center"/>
    </xf>
    <xf numFmtId="49" fontId="4" fillId="4" borderId="0" xfId="3" applyNumberFormat="1" applyFont="1" applyFill="1" applyAlignment="1">
      <alignment vertical="center" shrinkToFit="1"/>
    </xf>
    <xf numFmtId="49" fontId="9" fillId="4" borderId="0" xfId="3" applyNumberFormat="1" applyFont="1" applyFill="1" applyAlignment="1">
      <alignment vertical="center"/>
    </xf>
    <xf numFmtId="49" fontId="4" fillId="4" borderId="0" xfId="3" applyNumberFormat="1" applyFont="1" applyFill="1" applyAlignment="1">
      <alignment horizontal="center" vertical="center"/>
    </xf>
    <xf numFmtId="49" fontId="4" fillId="4" borderId="0" xfId="3" applyNumberFormat="1" applyFont="1" applyFill="1"/>
    <xf numFmtId="49" fontId="4" fillId="4" borderId="0" xfId="3" applyNumberFormat="1" applyFont="1" applyFill="1" applyAlignment="1">
      <alignment horizontal="left" vertical="center"/>
    </xf>
    <xf numFmtId="49" fontId="4" fillId="4" borderId="0" xfId="3" applyNumberFormat="1" applyFont="1" applyFill="1" applyAlignment="1">
      <alignment horizontal="center" vertical="center" shrinkToFit="1"/>
    </xf>
    <xf numFmtId="49" fontId="9" fillId="0" borderId="0" xfId="3" applyNumberFormat="1" applyFont="1" applyAlignment="1">
      <alignment vertical="center"/>
    </xf>
    <xf numFmtId="49" fontId="3" fillId="4" borderId="0" xfId="3" applyNumberFormat="1" applyFont="1" applyFill="1"/>
    <xf numFmtId="49" fontId="10" fillId="4" borderId="0" xfId="3" applyNumberFormat="1" applyFont="1" applyFill="1" applyAlignment="1">
      <alignment vertical="center"/>
    </xf>
    <xf numFmtId="0" fontId="4" fillId="4" borderId="0" xfId="3" applyFont="1" applyFill="1" applyAlignment="1">
      <alignment vertical="center" shrinkToFit="1"/>
    </xf>
    <xf numFmtId="49" fontId="4" fillId="4" borderId="23" xfId="3" applyNumberFormat="1" applyFont="1" applyFill="1" applyBorder="1" applyAlignment="1">
      <alignment vertical="center"/>
    </xf>
    <xf numFmtId="49" fontId="4" fillId="4" borderId="8" xfId="3" applyNumberFormat="1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49" fontId="9" fillId="4" borderId="0" xfId="0" applyNumberFormat="1" applyFont="1" applyFill="1" applyAlignment="1">
      <alignment vertical="center"/>
    </xf>
    <xf numFmtId="49" fontId="4" fillId="4" borderId="0" xfId="0" applyNumberFormat="1" applyFont="1" applyFill="1" applyAlignment="1">
      <alignment vertical="center"/>
    </xf>
    <xf numFmtId="49" fontId="3" fillId="4" borderId="0" xfId="0" applyNumberFormat="1" applyFont="1" applyFill="1"/>
    <xf numFmtId="49" fontId="4" fillId="4" borderId="23" xfId="0" applyNumberFormat="1" applyFont="1" applyFill="1" applyBorder="1" applyAlignment="1">
      <alignment vertical="center"/>
    </xf>
    <xf numFmtId="49" fontId="4" fillId="4" borderId="8" xfId="0" applyNumberFormat="1" applyFont="1" applyFill="1" applyBorder="1" applyAlignment="1">
      <alignment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0" xfId="0" applyNumberFormat="1" applyFont="1" applyFill="1"/>
    <xf numFmtId="49" fontId="4" fillId="4" borderId="0" xfId="0" applyNumberFormat="1" applyFont="1" applyFill="1" applyAlignment="1">
      <alignment horizontal="right" vertical="top"/>
    </xf>
    <xf numFmtId="49" fontId="4" fillId="4" borderId="0" xfId="0" applyNumberFormat="1" applyFont="1" applyFill="1" applyAlignment="1">
      <alignment vertical="top"/>
    </xf>
    <xf numFmtId="49" fontId="13" fillId="4" borderId="124" xfId="0" applyNumberFormat="1" applyFont="1" applyFill="1" applyBorder="1" applyAlignment="1">
      <alignment horizontal="center" vertical="center"/>
    </xf>
    <xf numFmtId="49" fontId="4" fillId="4" borderId="124" xfId="0" applyNumberFormat="1" applyFont="1" applyFill="1" applyBorder="1" applyAlignment="1">
      <alignment horizontal="right" vertical="center"/>
    </xf>
    <xf numFmtId="49" fontId="4" fillId="4" borderId="125" xfId="0" applyNumberFormat="1" applyFont="1" applyFill="1" applyBorder="1" applyAlignment="1">
      <alignment horizontal="right" vertical="top"/>
    </xf>
    <xf numFmtId="49" fontId="9" fillId="4" borderId="0" xfId="0" applyNumberFormat="1" applyFont="1" applyFill="1" applyAlignment="1">
      <alignment horizontal="left" vertical="center"/>
    </xf>
    <xf numFmtId="49" fontId="9" fillId="4" borderId="0" xfId="0" applyNumberFormat="1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0" xfId="5" applyFont="1" applyAlignment="1">
      <alignment vertical="center"/>
    </xf>
    <xf numFmtId="0" fontId="2" fillId="0" borderId="0" xfId="0" applyFont="1" applyProtection="1">
      <protection locked="0"/>
    </xf>
    <xf numFmtId="49" fontId="22" fillId="0" borderId="10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vertical="center"/>
    </xf>
    <xf numFmtId="0" fontId="4" fillId="0" borderId="21" xfId="0" applyNumberFormat="1" applyFont="1" applyBorder="1" applyAlignment="1">
      <alignment vertical="center" wrapText="1"/>
    </xf>
    <xf numFmtId="0" fontId="5" fillId="0" borderId="107" xfId="0" applyNumberFormat="1" applyFont="1" applyBorder="1" applyAlignment="1">
      <alignment vertical="center"/>
    </xf>
    <xf numFmtId="181" fontId="4" fillId="0" borderId="108" xfId="0" applyNumberFormat="1" applyFont="1" applyBorder="1" applyAlignment="1">
      <alignment horizontal="center" vertical="center"/>
    </xf>
    <xf numFmtId="181" fontId="4" fillId="0" borderId="109" xfId="0" applyNumberFormat="1" applyFont="1" applyBorder="1" applyAlignment="1">
      <alignment horizontal="center" vertical="center"/>
    </xf>
    <xf numFmtId="181" fontId="4" fillId="0" borderId="109" xfId="0" applyNumberFormat="1" applyFont="1" applyBorder="1" applyAlignment="1">
      <alignment horizontal="center" vertical="center" wrapText="1"/>
    </xf>
    <xf numFmtId="181" fontId="4" fillId="0" borderId="110" xfId="0" applyNumberFormat="1" applyFont="1" applyBorder="1" applyAlignment="1">
      <alignment horizontal="center" vertical="center" wrapText="1"/>
    </xf>
    <xf numFmtId="0" fontId="4" fillId="0" borderId="150" xfId="0" applyNumberFormat="1" applyFont="1" applyBorder="1" applyAlignment="1">
      <alignment vertical="center" wrapText="1"/>
    </xf>
    <xf numFmtId="181" fontId="7" fillId="2" borderId="112" xfId="0" applyNumberFormat="1" applyFont="1" applyFill="1" applyBorder="1" applyAlignment="1">
      <alignment vertical="center" shrinkToFit="1"/>
    </xf>
    <xf numFmtId="181" fontId="7" fillId="9" borderId="112" xfId="0" applyNumberFormat="1" applyFont="1" applyFill="1" applyBorder="1" applyAlignment="1">
      <alignment vertical="center" shrinkToFit="1"/>
    </xf>
    <xf numFmtId="181" fontId="7" fillId="2" borderId="113" xfId="0" applyNumberFormat="1" applyFont="1" applyFill="1" applyBorder="1" applyAlignment="1">
      <alignment vertical="center" shrinkToFit="1"/>
    </xf>
    <xf numFmtId="181" fontId="7" fillId="9" borderId="113" xfId="0" applyNumberFormat="1" applyFont="1" applyFill="1" applyBorder="1" applyAlignment="1">
      <alignment vertical="center" shrinkToFit="1"/>
    </xf>
    <xf numFmtId="181" fontId="7" fillId="8" borderId="113" xfId="0" applyNumberFormat="1" applyFont="1" applyFill="1" applyBorder="1" applyAlignment="1">
      <alignment vertical="center" shrinkToFit="1"/>
    </xf>
    <xf numFmtId="181" fontId="7" fillId="8" borderId="114" xfId="0" applyNumberFormat="1" applyFont="1" applyFill="1" applyBorder="1" applyAlignment="1">
      <alignment vertical="center" shrinkToFit="1"/>
    </xf>
    <xf numFmtId="0" fontId="4" fillId="0" borderId="151" xfId="0" applyNumberFormat="1" applyFont="1" applyBorder="1" applyAlignment="1">
      <alignment vertical="center" wrapText="1"/>
    </xf>
    <xf numFmtId="181" fontId="7" fillId="2" borderId="104" xfId="0" applyNumberFormat="1" applyFont="1" applyFill="1" applyBorder="1" applyAlignment="1">
      <alignment vertical="center" shrinkToFit="1"/>
    </xf>
    <xf numFmtId="181" fontId="7" fillId="2" borderId="115" xfId="0" applyNumberFormat="1" applyFont="1" applyFill="1" applyBorder="1" applyAlignment="1">
      <alignment vertical="center" shrinkToFit="1"/>
    </xf>
    <xf numFmtId="181" fontId="7" fillId="8" borderId="115" xfId="0" applyNumberFormat="1" applyFont="1" applyFill="1" applyBorder="1" applyAlignment="1">
      <alignment vertical="center" shrinkToFit="1"/>
    </xf>
    <xf numFmtId="181" fontId="7" fillId="8" borderId="106" xfId="0" applyNumberFormat="1" applyFont="1" applyFill="1" applyBorder="1" applyAlignment="1">
      <alignment vertical="center" shrinkToFit="1"/>
    </xf>
    <xf numFmtId="0" fontId="4" fillId="0" borderId="111" xfId="0" applyNumberFormat="1" applyFont="1" applyBorder="1" applyAlignment="1">
      <alignment vertical="center" wrapText="1"/>
    </xf>
    <xf numFmtId="0" fontId="4" fillId="0" borderId="103" xfId="0" applyNumberFormat="1" applyFont="1" applyBorder="1" applyAlignment="1">
      <alignment vertical="center" wrapText="1"/>
    </xf>
    <xf numFmtId="181" fontId="7" fillId="2" borderId="28" xfId="0" applyNumberFormat="1" applyFont="1" applyFill="1" applyBorder="1" applyAlignment="1">
      <alignment vertical="center" shrinkToFit="1"/>
    </xf>
    <xf numFmtId="181" fontId="7" fillId="9" borderId="28" xfId="0" applyNumberFormat="1" applyFont="1" applyFill="1" applyBorder="1" applyAlignment="1">
      <alignment vertical="center" shrinkToFit="1"/>
    </xf>
    <xf numFmtId="181" fontId="7" fillId="2" borderId="152" xfId="0" applyNumberFormat="1" applyFont="1" applyFill="1" applyBorder="1" applyAlignment="1">
      <alignment vertical="center" shrinkToFit="1"/>
    </xf>
    <xf numFmtId="181" fontId="7" fillId="9" borderId="152" xfId="0" applyNumberFormat="1" applyFont="1" applyFill="1" applyBorder="1" applyAlignment="1">
      <alignment vertical="center" shrinkToFit="1"/>
    </xf>
    <xf numFmtId="181" fontId="7" fillId="2" borderId="153" xfId="0" applyNumberFormat="1" applyFont="1" applyFill="1" applyBorder="1" applyAlignment="1">
      <alignment vertical="center" shrinkToFit="1"/>
    </xf>
    <xf numFmtId="181" fontId="7" fillId="9" borderId="153" xfId="0" applyNumberFormat="1" applyFont="1" applyFill="1" applyBorder="1" applyAlignment="1">
      <alignment vertical="center" shrinkToFit="1"/>
    </xf>
    <xf numFmtId="181" fontId="7" fillId="8" borderId="152" xfId="0" applyNumberFormat="1" applyFont="1" applyFill="1" applyBorder="1" applyAlignment="1">
      <alignment vertical="center" shrinkToFit="1"/>
    </xf>
    <xf numFmtId="181" fontId="7" fillId="8" borderId="154" xfId="0" applyNumberFormat="1" applyFont="1" applyFill="1" applyBorder="1" applyAlignment="1">
      <alignment vertical="center" shrinkToFit="1"/>
    </xf>
    <xf numFmtId="0" fontId="4" fillId="0" borderId="14" xfId="0" applyNumberFormat="1" applyFont="1" applyBorder="1" applyAlignment="1">
      <alignment vertical="center" wrapText="1"/>
    </xf>
    <xf numFmtId="181" fontId="7" fillId="2" borderId="18" xfId="0" applyNumberFormat="1" applyFont="1" applyFill="1" applyBorder="1" applyAlignment="1">
      <alignment vertical="center" shrinkToFit="1"/>
    </xf>
    <xf numFmtId="181" fontId="7" fillId="2" borderId="74" xfId="0" applyNumberFormat="1" applyFont="1" applyFill="1" applyBorder="1" applyAlignment="1">
      <alignment vertical="center" shrinkToFit="1"/>
    </xf>
    <xf numFmtId="181" fontId="7" fillId="8" borderId="18" xfId="0" applyNumberFormat="1" applyFont="1" applyFill="1" applyBorder="1" applyAlignment="1">
      <alignment vertical="center" shrinkToFit="1"/>
    </xf>
    <xf numFmtId="181" fontId="7" fillId="8" borderId="15" xfId="0" applyNumberFormat="1" applyFont="1" applyFill="1" applyBorder="1" applyAlignment="1">
      <alignment vertical="center" shrinkToFit="1"/>
    </xf>
    <xf numFmtId="181" fontId="7" fillId="2" borderId="116" xfId="0" applyNumberFormat="1" applyFont="1" applyFill="1" applyBorder="1" applyAlignment="1">
      <alignment vertical="center" shrinkToFit="1"/>
    </xf>
    <xf numFmtId="181" fontId="7" fillId="2" borderId="114" xfId="0" applyNumberFormat="1" applyFont="1" applyFill="1" applyBorder="1" applyAlignment="1">
      <alignment vertical="center" shrinkToFit="1"/>
    </xf>
    <xf numFmtId="181" fontId="7" fillId="2" borderId="105" xfId="0" applyNumberFormat="1" applyFont="1" applyFill="1" applyBorder="1" applyAlignment="1">
      <alignment vertical="center" shrinkToFit="1"/>
    </xf>
    <xf numFmtId="181" fontId="7" fillId="2" borderId="106" xfId="0" applyNumberFormat="1" applyFont="1" applyFill="1" applyBorder="1" applyAlignment="1">
      <alignment vertical="center" shrinkToFit="1"/>
    </xf>
    <xf numFmtId="181" fontId="7" fillId="2" borderId="15" xfId="0" applyNumberFormat="1" applyFont="1" applyFill="1" applyBorder="1" applyAlignment="1">
      <alignment vertical="center" shrinkToFit="1"/>
    </xf>
    <xf numFmtId="0" fontId="5" fillId="0" borderId="117" xfId="0" applyNumberFormat="1" applyFont="1" applyBorder="1" applyAlignment="1">
      <alignment vertical="center"/>
    </xf>
    <xf numFmtId="0" fontId="4" fillId="0" borderId="21" xfId="0" applyNumberFormat="1" applyFont="1" applyBorder="1" applyAlignment="1">
      <alignment vertical="center"/>
    </xf>
    <xf numFmtId="0" fontId="4" fillId="0" borderId="118" xfId="0" applyNumberFormat="1" applyFont="1" applyBorder="1" applyAlignment="1">
      <alignment vertical="center"/>
    </xf>
    <xf numFmtId="0" fontId="5" fillId="0" borderId="119" xfId="0" applyNumberFormat="1" applyFont="1" applyBorder="1" applyAlignment="1">
      <alignment vertical="center"/>
    </xf>
    <xf numFmtId="181" fontId="4" fillId="0" borderId="113" xfId="0" applyNumberFormat="1" applyFont="1" applyBorder="1" applyAlignment="1">
      <alignment horizontal="center" vertical="center"/>
    </xf>
    <xf numFmtId="0" fontId="4" fillId="0" borderId="114" xfId="0" applyNumberFormat="1" applyFont="1" applyBorder="1" applyAlignment="1">
      <alignment horizontal="center" vertical="center"/>
    </xf>
    <xf numFmtId="0" fontId="4" fillId="0" borderId="120" xfId="0" applyNumberFormat="1" applyFont="1" applyBorder="1" applyAlignment="1">
      <alignment vertical="center" wrapText="1"/>
    </xf>
    <xf numFmtId="181" fontId="7" fillId="2" borderId="121" xfId="0" applyNumberFormat="1" applyFont="1" applyFill="1" applyBorder="1" applyAlignment="1">
      <alignment vertical="center" shrinkToFit="1"/>
    </xf>
    <xf numFmtId="0" fontId="4" fillId="0" borderId="24" xfId="0" applyNumberFormat="1" applyFont="1" applyBorder="1" applyAlignment="1">
      <alignment vertical="center" wrapText="1"/>
    </xf>
    <xf numFmtId="181" fontId="7" fillId="2" borderId="26" xfId="0" applyNumberFormat="1" applyFont="1" applyFill="1" applyBorder="1" applyAlignment="1">
      <alignment vertical="center" shrinkToFit="1"/>
    </xf>
    <xf numFmtId="0" fontId="4" fillId="0" borderId="118" xfId="0" applyNumberFormat="1" applyFont="1" applyBorder="1" applyAlignment="1">
      <alignment vertical="center" wrapText="1"/>
    </xf>
    <xf numFmtId="0" fontId="4" fillId="0" borderId="122" xfId="0" applyNumberFormat="1" applyFont="1" applyBorder="1" applyAlignment="1">
      <alignment vertical="center" wrapText="1"/>
    </xf>
    <xf numFmtId="0" fontId="4" fillId="0" borderId="75" xfId="0" applyNumberFormat="1" applyFont="1" applyBorder="1" applyAlignment="1">
      <alignment vertical="center" wrapText="1"/>
    </xf>
    <xf numFmtId="0" fontId="4" fillId="0" borderId="35" xfId="0" applyNumberFormat="1" applyFont="1" applyBorder="1" applyAlignment="1">
      <alignment vertical="center" wrapText="1"/>
    </xf>
    <xf numFmtId="181" fontId="7" fillId="2" borderId="46" xfId="0" applyNumberFormat="1" applyFont="1" applyFill="1" applyBorder="1" applyAlignment="1">
      <alignment vertical="center" shrinkToFit="1"/>
    </xf>
    <xf numFmtId="0" fontId="4" fillId="0" borderId="155" xfId="0" applyNumberFormat="1" applyFont="1" applyBorder="1" applyAlignment="1">
      <alignment vertical="center" wrapText="1"/>
    </xf>
    <xf numFmtId="181" fontId="7" fillId="8" borderId="112" xfId="0" applyNumberFormat="1" applyFont="1" applyFill="1" applyBorder="1" applyAlignment="1">
      <alignment vertical="center" shrinkToFit="1"/>
    </xf>
    <xf numFmtId="0" fontId="4" fillId="0" borderId="156" xfId="0" applyNumberFormat="1" applyFont="1" applyBorder="1" applyAlignment="1">
      <alignment vertical="center" wrapText="1"/>
    </xf>
    <xf numFmtId="181" fontId="7" fillId="8" borderId="26" xfId="0" applyNumberFormat="1" applyFont="1" applyFill="1" applyBorder="1" applyAlignment="1">
      <alignment vertical="center" shrinkToFit="1"/>
    </xf>
    <xf numFmtId="0" fontId="4" fillId="0" borderId="0" xfId="0" applyNumberFormat="1" applyFont="1" applyAlignment="1" applyProtection="1">
      <alignment vertical="center"/>
      <protection locked="0"/>
    </xf>
    <xf numFmtId="0" fontId="6" fillId="0" borderId="0" xfId="7" applyFont="1" applyAlignment="1">
      <alignment horizontal="right" vertical="center"/>
    </xf>
    <xf numFmtId="0" fontId="6" fillId="0" borderId="0" xfId="7" applyFont="1" applyAlignment="1">
      <alignment vertical="center" wrapText="1"/>
    </xf>
    <xf numFmtId="0" fontId="5" fillId="0" borderId="12" xfId="0" applyNumberFormat="1" applyFont="1" applyBorder="1" applyAlignment="1">
      <alignment vertical="center"/>
    </xf>
    <xf numFmtId="181" fontId="7" fillId="8" borderId="105" xfId="0" applyNumberFormat="1" applyFont="1" applyFill="1" applyBorder="1" applyAlignment="1">
      <alignment vertical="center" shrinkToFit="1"/>
    </xf>
    <xf numFmtId="0" fontId="7" fillId="4" borderId="0" xfId="0" applyFont="1" applyFill="1" applyAlignment="1">
      <alignment vertical="center"/>
    </xf>
    <xf numFmtId="49" fontId="22" fillId="4" borderId="10" xfId="0" applyNumberFormat="1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181" fontId="7" fillId="8" borderId="20" xfId="0" applyNumberFormat="1" applyFont="1" applyFill="1" applyBorder="1" applyAlignment="1">
      <alignment vertical="center" shrinkToFit="1"/>
    </xf>
    <xf numFmtId="181" fontId="7" fillId="8" borderId="101" xfId="0" applyNumberFormat="1" applyFont="1" applyFill="1" applyBorder="1" applyAlignment="1">
      <alignment vertical="center" shrinkToFit="1"/>
    </xf>
    <xf numFmtId="0" fontId="1" fillId="6" borderId="157" xfId="0" applyFont="1" applyFill="1" applyBorder="1" applyAlignment="1">
      <alignment vertical="center"/>
    </xf>
    <xf numFmtId="181" fontId="7" fillId="8" borderId="42" xfId="0" applyNumberFormat="1" applyFont="1" applyFill="1" applyBorder="1" applyAlignment="1">
      <alignment vertical="center" shrinkToFit="1"/>
    </xf>
    <xf numFmtId="181" fontId="7" fillId="8" borderId="29" xfId="0" applyNumberFormat="1" applyFont="1" applyFill="1" applyBorder="1" applyAlignment="1">
      <alignment vertical="center" shrinkToFit="1"/>
    </xf>
    <xf numFmtId="49" fontId="17" fillId="2" borderId="0" xfId="7" applyNumberFormat="1" applyFont="1" applyFill="1" applyAlignment="1">
      <alignment horizontal="right" vertical="center"/>
    </xf>
    <xf numFmtId="0" fontId="5" fillId="2" borderId="0" xfId="7" applyFont="1" applyFill="1" applyAlignment="1">
      <alignment vertical="center"/>
    </xf>
    <xf numFmtId="0" fontId="4" fillId="0" borderId="20" xfId="0" applyFont="1" applyBorder="1" applyAlignment="1">
      <alignment horizontal="left" vertical="center" indent="1"/>
    </xf>
    <xf numFmtId="181" fontId="7" fillId="2" borderId="20" xfId="0" applyNumberFormat="1" applyFont="1" applyFill="1" applyBorder="1" applyAlignment="1">
      <alignment vertical="center" shrinkToFit="1"/>
    </xf>
    <xf numFmtId="0" fontId="1" fillId="4" borderId="157" xfId="0" applyFont="1" applyFill="1" applyBorder="1" applyAlignment="1">
      <alignment vertical="center"/>
    </xf>
    <xf numFmtId="0" fontId="4" fillId="0" borderId="28" xfId="0" applyFont="1" applyBorder="1" applyAlignment="1">
      <alignment horizontal="left" vertical="center" indent="1"/>
    </xf>
    <xf numFmtId="0" fontId="4" fillId="0" borderId="32" xfId="0" applyFont="1" applyBorder="1" applyAlignment="1">
      <alignment horizontal="left" vertical="center"/>
    </xf>
    <xf numFmtId="181" fontId="7" fillId="8" borderId="34" xfId="0" applyNumberFormat="1" applyFont="1" applyFill="1" applyBorder="1" applyAlignment="1">
      <alignment vertical="center" shrinkToFit="1"/>
    </xf>
    <xf numFmtId="0" fontId="4" fillId="0" borderId="100" xfId="0" applyFont="1" applyBorder="1" applyAlignment="1">
      <alignment horizontal="center" vertical="center"/>
    </xf>
    <xf numFmtId="0" fontId="1" fillId="5" borderId="157" xfId="0" applyFont="1" applyFill="1" applyBorder="1" applyAlignment="1">
      <alignment vertical="center"/>
    </xf>
    <xf numFmtId="0" fontId="1" fillId="5" borderId="158" xfId="0" applyFont="1" applyFill="1" applyBorder="1" applyAlignment="1">
      <alignment vertical="center"/>
    </xf>
    <xf numFmtId="0" fontId="5" fillId="6" borderId="157" xfId="0" applyFont="1" applyFill="1" applyBorder="1" applyAlignment="1">
      <alignment vertical="center"/>
    </xf>
    <xf numFmtId="181" fontId="7" fillId="8" borderId="102" xfId="0" applyNumberFormat="1" applyFont="1" applyFill="1" applyBorder="1" applyAlignment="1">
      <alignment vertical="center" shrinkToFit="1"/>
    </xf>
    <xf numFmtId="0" fontId="5" fillId="6" borderId="158" xfId="0" applyFont="1" applyFill="1" applyBorder="1" applyAlignment="1">
      <alignment vertical="center"/>
    </xf>
    <xf numFmtId="181" fontId="7" fillId="8" borderId="43" xfId="0" applyNumberFormat="1" applyFont="1" applyFill="1" applyBorder="1" applyAlignment="1">
      <alignment vertical="center" shrinkToFit="1"/>
    </xf>
    <xf numFmtId="0" fontId="4" fillId="2" borderId="0" xfId="6" applyFont="1" applyFill="1" applyAlignment="1">
      <alignment vertical="center"/>
    </xf>
    <xf numFmtId="0" fontId="22" fillId="4" borderId="10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5" fillId="5" borderId="157" xfId="0" applyFont="1" applyFill="1" applyBorder="1" applyAlignment="1">
      <alignment vertical="center"/>
    </xf>
    <xf numFmtId="0" fontId="5" fillId="5" borderId="158" xfId="0" applyFont="1" applyFill="1" applyBorder="1" applyAlignment="1">
      <alignment vertical="center"/>
    </xf>
    <xf numFmtId="0" fontId="22" fillId="0" borderId="10" xfId="0" applyFont="1" applyBorder="1" applyAlignment="1">
      <alignment horizontal="right" vertical="center" shrinkToFit="1"/>
    </xf>
    <xf numFmtId="0" fontId="22" fillId="0" borderId="10" xfId="0" applyFont="1" applyBorder="1" applyAlignment="1">
      <alignment horizontal="left" vertical="center" shrinkToFit="1"/>
    </xf>
    <xf numFmtId="0" fontId="22" fillId="0" borderId="11" xfId="0" applyFont="1" applyBorder="1" applyAlignment="1">
      <alignment horizontal="right" vertical="center"/>
    </xf>
    <xf numFmtId="0" fontId="22" fillId="0" borderId="11" xfId="0" applyFont="1" applyBorder="1" applyAlignment="1">
      <alignment horizontal="left" vertical="center"/>
    </xf>
    <xf numFmtId="49" fontId="17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9" fillId="4" borderId="159" xfId="0" applyFont="1" applyFill="1" applyBorder="1" applyAlignment="1">
      <alignment vertical="center"/>
    </xf>
    <xf numFmtId="0" fontId="4" fillId="4" borderId="159" xfId="0" applyFont="1" applyFill="1" applyBorder="1" applyAlignment="1">
      <alignment vertical="center"/>
    </xf>
    <xf numFmtId="0" fontId="4" fillId="4" borderId="159" xfId="0" applyFont="1" applyFill="1" applyBorder="1" applyAlignment="1">
      <alignment horizontal="center" vertical="center"/>
    </xf>
    <xf numFmtId="0" fontId="5" fillId="2" borderId="24" xfId="6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5" fillId="2" borderId="0" xfId="6" applyFont="1" applyFill="1"/>
    <xf numFmtId="0" fontId="4" fillId="2" borderId="7" xfId="0" applyFont="1" applyFill="1" applyBorder="1" applyAlignment="1">
      <alignment horizontal="center" vertical="center"/>
    </xf>
    <xf numFmtId="181" fontId="7" fillId="2" borderId="26" xfId="0" applyNumberFormat="1" applyFont="1" applyFill="1" applyBorder="1" applyAlignment="1">
      <alignment horizontal="right" vertical="center" shrinkToFit="1"/>
    </xf>
    <xf numFmtId="181" fontId="7" fillId="8" borderId="26" xfId="0" applyNumberFormat="1" applyFont="1" applyFill="1" applyBorder="1" applyAlignment="1">
      <alignment horizontal="right" vertical="center" shrinkToFit="1"/>
    </xf>
    <xf numFmtId="0" fontId="7" fillId="2" borderId="157" xfId="0" applyFont="1" applyFill="1" applyBorder="1" applyAlignment="1">
      <alignment vertical="center" shrinkToFit="1"/>
    </xf>
    <xf numFmtId="181" fontId="7" fillId="8" borderId="92" xfId="0" applyNumberFormat="1" applyFont="1" applyFill="1" applyBorder="1" applyAlignment="1">
      <alignment horizontal="right" vertical="center" shrinkToFit="1"/>
    </xf>
    <xf numFmtId="181" fontId="7" fillId="8" borderId="29" xfId="0" applyNumberFormat="1" applyFont="1" applyFill="1" applyBorder="1" applyAlignment="1">
      <alignment horizontal="right" vertical="center" shrinkToFit="1"/>
    </xf>
    <xf numFmtId="0" fontId="4" fillId="2" borderId="8" xfId="0" applyFont="1" applyFill="1" applyBorder="1" applyAlignment="1">
      <alignment horizontal="center" vertical="center"/>
    </xf>
    <xf numFmtId="181" fontId="7" fillId="8" borderId="30" xfId="0" applyNumberFormat="1" applyFont="1" applyFill="1" applyBorder="1" applyAlignment="1">
      <alignment horizontal="right" vertical="center" shrinkToFit="1"/>
    </xf>
    <xf numFmtId="181" fontId="7" fillId="8" borderId="43" xfId="0" applyNumberFormat="1" applyFont="1" applyFill="1" applyBorder="1" applyAlignment="1">
      <alignment horizontal="right" vertical="center" shrinkToFit="1"/>
    </xf>
    <xf numFmtId="0" fontId="7" fillId="6" borderId="158" xfId="0" applyFont="1" applyFill="1" applyBorder="1" applyAlignment="1">
      <alignment vertical="center" shrinkToFit="1"/>
    </xf>
    <xf numFmtId="181" fontId="7" fillId="8" borderId="74" xfId="0" applyNumberFormat="1" applyFont="1" applyFill="1" applyBorder="1" applyAlignment="1">
      <alignment horizontal="right" vertical="center" shrinkToFit="1"/>
    </xf>
    <xf numFmtId="181" fontId="7" fillId="8" borderId="34" xfId="0" applyNumberFormat="1" applyFont="1" applyFill="1" applyBorder="1" applyAlignment="1">
      <alignment horizontal="right" vertical="center" shrinkToFit="1"/>
    </xf>
    <xf numFmtId="0" fontId="9" fillId="2" borderId="0" xfId="6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21" fillId="2" borderId="0" xfId="6" applyFont="1" applyFill="1" applyAlignment="1">
      <alignment vertical="center"/>
    </xf>
    <xf numFmtId="0" fontId="4" fillId="2" borderId="42" xfId="0" applyFont="1" applyFill="1" applyBorder="1" applyAlignment="1">
      <alignment horizontal="center" vertical="center"/>
    </xf>
    <xf numFmtId="181" fontId="7" fillId="8" borderId="94" xfId="0" applyNumberFormat="1" applyFont="1" applyFill="1" applyBorder="1" applyAlignment="1">
      <alignment horizontal="right" vertical="center" shrinkToFit="1"/>
    </xf>
    <xf numFmtId="0" fontId="4" fillId="4" borderId="0" xfId="0" applyFont="1" applyFill="1" applyAlignment="1">
      <alignment vertical="center"/>
    </xf>
    <xf numFmtId="0" fontId="5" fillId="2" borderId="126" xfId="6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4" fillId="2" borderId="95" xfId="0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/>
    </xf>
    <xf numFmtId="0" fontId="4" fillId="2" borderId="143" xfId="0" applyFont="1" applyFill="1" applyBorder="1" applyAlignment="1">
      <alignment horizontal="center" vertical="center"/>
    </xf>
    <xf numFmtId="0" fontId="5" fillId="2" borderId="160" xfId="6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181" fontId="7" fillId="8" borderId="5" xfId="0" applyNumberFormat="1" applyFont="1" applyFill="1" applyBorder="1" applyAlignment="1">
      <alignment horizontal="right" vertical="center" shrinkToFit="1"/>
    </xf>
    <xf numFmtId="181" fontId="7" fillId="8" borderId="97" xfId="0" applyNumberFormat="1" applyFont="1" applyFill="1" applyBorder="1" applyAlignment="1">
      <alignment horizontal="right" vertical="center" shrinkToFit="1"/>
    </xf>
    <xf numFmtId="181" fontId="7" fillId="8" borderId="2" xfId="0" applyNumberFormat="1" applyFont="1" applyFill="1" applyBorder="1" applyAlignment="1">
      <alignment horizontal="right" vertical="center" shrinkToFit="1"/>
    </xf>
    <xf numFmtId="181" fontId="7" fillId="8" borderId="3" xfId="0" applyNumberFormat="1" applyFont="1" applyFill="1" applyBorder="1" applyAlignment="1">
      <alignment horizontal="right" vertical="center" shrinkToFit="1"/>
    </xf>
    <xf numFmtId="181" fontId="7" fillId="8" borderId="6" xfId="0" applyNumberFormat="1" applyFont="1" applyFill="1" applyBorder="1" applyAlignment="1">
      <alignment horizontal="right" vertical="center" shrinkToFit="1"/>
    </xf>
    <xf numFmtId="0" fontId="4" fillId="2" borderId="7" xfId="0" applyFont="1" applyFill="1" applyBorder="1" applyAlignment="1">
      <alignment horizontal="left" vertical="center" indent="1"/>
    </xf>
    <xf numFmtId="181" fontId="7" fillId="2" borderId="28" xfId="0" applyNumberFormat="1" applyFont="1" applyFill="1" applyBorder="1" applyAlignment="1">
      <alignment horizontal="right" vertical="center" shrinkToFit="1"/>
    </xf>
    <xf numFmtId="181" fontId="7" fillId="2" borderId="98" xfId="0" applyNumberFormat="1" applyFont="1" applyFill="1" applyBorder="1" applyAlignment="1">
      <alignment horizontal="right" vertical="center" shrinkToFit="1"/>
    </xf>
    <xf numFmtId="181" fontId="7" fillId="2" borderId="32" xfId="0" applyNumberFormat="1" applyFont="1" applyFill="1" applyBorder="1" applyAlignment="1">
      <alignment horizontal="right" vertical="center" shrinkToFit="1"/>
    </xf>
    <xf numFmtId="181" fontId="7" fillId="2" borderId="99" xfId="0" applyNumberFormat="1" applyFont="1" applyFill="1" applyBorder="1" applyAlignment="1">
      <alignment horizontal="right" vertical="center" shrinkToFit="1"/>
    </xf>
    <xf numFmtId="181" fontId="7" fillId="2" borderId="91" xfId="0" applyNumberFormat="1" applyFont="1" applyFill="1" applyBorder="1" applyAlignment="1">
      <alignment horizontal="right" vertical="center" shrinkToFit="1"/>
    </xf>
    <xf numFmtId="181" fontId="7" fillId="2" borderId="30" xfId="0" applyNumberFormat="1" applyFont="1" applyFill="1" applyBorder="1" applyAlignment="1">
      <alignment horizontal="right" vertical="center" shrinkToFit="1"/>
    </xf>
    <xf numFmtId="181" fontId="7" fillId="2" borderId="93" xfId="0" applyNumberFormat="1" applyFont="1" applyFill="1" applyBorder="1" applyAlignment="1">
      <alignment horizontal="right" vertical="center" shrinkToFit="1"/>
    </xf>
    <xf numFmtId="181" fontId="7" fillId="8" borderId="100" xfId="0" applyNumberFormat="1" applyFont="1" applyFill="1" applyBorder="1" applyAlignment="1">
      <alignment horizontal="right" vertical="center" shrinkToFit="1"/>
    </xf>
    <xf numFmtId="0" fontId="4" fillId="2" borderId="8" xfId="0" applyFont="1" applyFill="1" applyBorder="1" applyAlignment="1">
      <alignment horizontal="left" vertical="center" indent="1"/>
    </xf>
    <xf numFmtId="0" fontId="9" fillId="0" borderId="24" xfId="6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 shrinkToFit="1"/>
    </xf>
    <xf numFmtId="0" fontId="1" fillId="4" borderId="0" xfId="0" applyFont="1" applyFill="1" applyAlignment="1">
      <alignment vertical="top"/>
    </xf>
    <xf numFmtId="0" fontId="7" fillId="2" borderId="157" xfId="0" applyFont="1" applyFill="1" applyBorder="1" applyAlignment="1">
      <alignment vertical="center" shrinkToFit="1"/>
    </xf>
    <xf numFmtId="0" fontId="10" fillId="2" borderId="157" xfId="0" applyFont="1" applyFill="1" applyBorder="1" applyAlignment="1">
      <alignment vertical="center" shrinkToFit="1"/>
    </xf>
    <xf numFmtId="0" fontId="4" fillId="0" borderId="14" xfId="0" applyFont="1" applyBorder="1" applyAlignment="1">
      <alignment horizontal="left" vertical="center" shrinkToFit="1"/>
    </xf>
    <xf numFmtId="0" fontId="7" fillId="2" borderId="158" xfId="0" applyFont="1" applyFill="1" applyBorder="1" applyAlignment="1">
      <alignment vertical="center" shrinkToFit="1"/>
    </xf>
    <xf numFmtId="0" fontId="4" fillId="0" borderId="35" xfId="0" applyFont="1" applyBorder="1" applyAlignment="1">
      <alignment horizontal="left" vertical="center" shrinkToFit="1"/>
    </xf>
    <xf numFmtId="181" fontId="7" fillId="2" borderId="39" xfId="0" applyNumberFormat="1" applyFont="1" applyFill="1" applyBorder="1" applyAlignment="1">
      <alignment vertical="center" shrinkToFit="1"/>
    </xf>
    <xf numFmtId="181" fontId="7" fillId="8" borderId="96" xfId="0" applyNumberFormat="1" applyFont="1" applyFill="1" applyBorder="1" applyAlignment="1">
      <alignment vertical="center" shrinkToFit="1"/>
    </xf>
    <xf numFmtId="0" fontId="7" fillId="2" borderId="161" xfId="0" applyFont="1" applyFill="1" applyBorder="1" applyAlignment="1">
      <alignment vertical="center" shrinkToFit="1"/>
    </xf>
    <xf numFmtId="181" fontId="7" fillId="8" borderId="143" xfId="0" applyNumberFormat="1" applyFont="1" applyFill="1" applyBorder="1" applyAlignment="1">
      <alignment vertical="center" shrinkToFit="1"/>
    </xf>
    <xf numFmtId="0" fontId="7" fillId="2" borderId="162" xfId="0" applyFont="1" applyFill="1" applyBorder="1" applyAlignment="1">
      <alignment vertical="center" shrinkToFit="1"/>
    </xf>
    <xf numFmtId="0" fontId="7" fillId="2" borderId="163" xfId="0" applyFont="1" applyFill="1" applyBorder="1" applyAlignment="1">
      <alignment vertical="center" shrinkToFit="1"/>
    </xf>
    <xf numFmtId="0" fontId="4" fillId="0" borderId="126" xfId="0" applyFont="1" applyBorder="1" applyAlignment="1">
      <alignment horizontal="left" vertical="center" shrinkToFit="1"/>
    </xf>
    <xf numFmtId="181" fontId="7" fillId="2" borderId="32" xfId="0" applyNumberFormat="1" applyFont="1" applyFill="1" applyBorder="1" applyAlignment="1">
      <alignment vertical="center" shrinkToFit="1"/>
    </xf>
    <xf numFmtId="181" fontId="7" fillId="8" borderId="31" xfId="0" applyNumberFormat="1" applyFont="1" applyFill="1" applyBorder="1" applyAlignment="1">
      <alignment vertical="center" shrinkToFit="1"/>
    </xf>
    <xf numFmtId="0" fontId="7" fillId="2" borderId="164" xfId="0" applyFont="1" applyFill="1" applyBorder="1" applyAlignment="1">
      <alignment vertical="center" shrinkToFit="1"/>
    </xf>
    <xf numFmtId="181" fontId="7" fillId="8" borderId="94" xfId="0" applyNumberFormat="1" applyFont="1" applyFill="1" applyBorder="1" applyAlignment="1">
      <alignment vertical="center" shrinkToFit="1"/>
    </xf>
    <xf numFmtId="0" fontId="4" fillId="0" borderId="0" xfId="0" applyFont="1" applyAlignment="1">
      <alignment horizontal="left" vertical="center"/>
    </xf>
    <xf numFmtId="181" fontId="5" fillId="2" borderId="0" xfId="2" applyNumberFormat="1" applyFont="1" applyFill="1" applyAlignment="1">
      <alignment vertical="center"/>
    </xf>
    <xf numFmtId="181" fontId="7" fillId="2" borderId="165" xfId="0" applyNumberFormat="1" applyFont="1" applyFill="1" applyBorder="1" applyAlignment="1">
      <alignment vertical="center" shrinkToFit="1"/>
    </xf>
    <xf numFmtId="181" fontId="7" fillId="8" borderId="166" xfId="0" applyNumberFormat="1" applyFont="1" applyFill="1" applyBorder="1" applyAlignment="1">
      <alignment vertical="center" shrinkToFit="1"/>
    </xf>
    <xf numFmtId="0" fontId="7" fillId="2" borderId="167" xfId="0" applyFont="1" applyFill="1" applyBorder="1" applyAlignment="1">
      <alignment vertical="center" shrinkToFit="1"/>
    </xf>
    <xf numFmtId="181" fontId="7" fillId="8" borderId="168" xfId="0" applyNumberFormat="1" applyFont="1" applyFill="1" applyBorder="1" applyAlignment="1">
      <alignment vertical="center" shrinkToFit="1"/>
    </xf>
    <xf numFmtId="0" fontId="4" fillId="0" borderId="35" xfId="0" applyFont="1" applyBorder="1" applyAlignment="1">
      <alignment horizontal="left" vertical="center" wrapText="1"/>
    </xf>
    <xf numFmtId="0" fontId="7" fillId="2" borderId="161" xfId="0" applyFont="1" applyFill="1" applyBorder="1" applyAlignment="1">
      <alignment vertical="center" shrinkToFit="1"/>
    </xf>
    <xf numFmtId="0" fontId="4" fillId="0" borderId="16" xfId="0" applyFont="1" applyBorder="1" applyAlignment="1">
      <alignment horizontal="left" vertical="center" wrapText="1"/>
    </xf>
    <xf numFmtId="0" fontId="7" fillId="2" borderId="169" xfId="0" applyFont="1" applyFill="1" applyBorder="1" applyAlignment="1">
      <alignment vertical="center" shrinkToFit="1"/>
    </xf>
    <xf numFmtId="0" fontId="7" fillId="2" borderId="164" xfId="0" applyFont="1" applyFill="1" applyBorder="1" applyAlignment="1">
      <alignment vertical="center" shrinkToFit="1"/>
    </xf>
    <xf numFmtId="0" fontId="4" fillId="4" borderId="170" xfId="0" applyFont="1" applyFill="1" applyBorder="1" applyAlignment="1">
      <alignment vertical="center"/>
    </xf>
    <xf numFmtId="0" fontId="4" fillId="0" borderId="4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81" fontId="7" fillId="2" borderId="37" xfId="0" applyNumberFormat="1" applyFont="1" applyFill="1" applyBorder="1" applyAlignment="1">
      <alignment vertical="center" shrinkToFit="1"/>
    </xf>
    <xf numFmtId="0" fontId="4" fillId="0" borderId="14" xfId="0" applyFont="1" applyBorder="1" applyAlignment="1">
      <alignment horizontal="left" vertical="center" wrapText="1"/>
    </xf>
    <xf numFmtId="181" fontId="7" fillId="2" borderId="90" xfId="0" applyNumberFormat="1" applyFont="1" applyFill="1" applyBorder="1" applyAlignment="1">
      <alignment vertical="center" shrinkToFit="1"/>
    </xf>
    <xf numFmtId="0" fontId="5" fillId="2" borderId="33" xfId="0" applyFont="1" applyFill="1" applyBorder="1" applyAlignment="1">
      <alignment vertical="center"/>
    </xf>
    <xf numFmtId="49" fontId="17" fillId="2" borderId="33" xfId="0" applyNumberFormat="1" applyFont="1" applyFill="1" applyBorder="1" applyAlignment="1">
      <alignment horizontal="right" vertical="center"/>
    </xf>
    <xf numFmtId="0" fontId="4" fillId="0" borderId="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41" xfId="5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4" fillId="0" borderId="73" xfId="0" applyFont="1" applyBorder="1" applyAlignment="1">
      <alignment vertical="center"/>
    </xf>
    <xf numFmtId="181" fontId="7" fillId="8" borderId="72" xfId="0" applyNumberFormat="1" applyFont="1" applyFill="1" applyBorder="1" applyAlignment="1">
      <alignment vertical="center" shrinkToFit="1"/>
    </xf>
    <xf numFmtId="181" fontId="7" fillId="8" borderId="76" xfId="0" applyNumberFormat="1" applyFont="1" applyFill="1" applyBorder="1" applyAlignment="1">
      <alignment vertical="center" shrinkToFit="1"/>
    </xf>
    <xf numFmtId="181" fontId="7" fillId="8" borderId="49" xfId="0" applyNumberFormat="1" applyFont="1" applyFill="1" applyBorder="1" applyAlignment="1">
      <alignment vertical="center" shrinkToFit="1"/>
    </xf>
    <xf numFmtId="0" fontId="7" fillId="6" borderId="171" xfId="0" applyFont="1" applyFill="1" applyBorder="1" applyAlignment="1">
      <alignment vertical="center" shrinkToFit="1"/>
    </xf>
    <xf numFmtId="181" fontId="7" fillId="8" borderId="51" xfId="0" applyNumberFormat="1" applyFont="1" applyFill="1" applyBorder="1" applyAlignment="1">
      <alignment vertical="center" shrinkToFit="1"/>
    </xf>
    <xf numFmtId="0" fontId="4" fillId="0" borderId="23" xfId="0" applyFont="1" applyBorder="1" applyAlignment="1">
      <alignment vertical="center"/>
    </xf>
    <xf numFmtId="0" fontId="4" fillId="0" borderId="62" xfId="0" applyFont="1" applyBorder="1" applyAlignment="1">
      <alignment vertical="center"/>
    </xf>
    <xf numFmtId="0" fontId="4" fillId="0" borderId="0" xfId="0" applyFont="1" applyAlignment="1">
      <alignment vertical="center"/>
    </xf>
    <xf numFmtId="181" fontId="7" fillId="8" borderId="68" xfId="0" applyNumberFormat="1" applyFont="1" applyFill="1" applyBorder="1" applyAlignment="1">
      <alignment vertical="center" shrinkToFit="1"/>
    </xf>
    <xf numFmtId="181" fontId="7" fillId="8" borderId="77" xfId="0" applyNumberFormat="1" applyFont="1" applyFill="1" applyBorder="1" applyAlignment="1">
      <alignment vertical="center" shrinkToFit="1"/>
    </xf>
    <xf numFmtId="181" fontId="7" fillId="8" borderId="69" xfId="0" applyNumberFormat="1" applyFont="1" applyFill="1" applyBorder="1" applyAlignment="1">
      <alignment vertical="center" shrinkToFit="1"/>
    </xf>
    <xf numFmtId="0" fontId="7" fillId="6" borderId="172" xfId="0" applyFont="1" applyFill="1" applyBorder="1" applyAlignment="1">
      <alignment vertical="center" shrinkToFit="1"/>
    </xf>
    <xf numFmtId="181" fontId="7" fillId="8" borderId="70" xfId="0" applyNumberFormat="1" applyFont="1" applyFill="1" applyBorder="1" applyAlignment="1">
      <alignment vertical="center" shrinkToFit="1"/>
    </xf>
    <xf numFmtId="0" fontId="4" fillId="0" borderId="78" xfId="0" applyFont="1" applyBorder="1" applyAlignment="1">
      <alignment vertical="center"/>
    </xf>
    <xf numFmtId="0" fontId="4" fillId="0" borderId="53" xfId="0" applyFont="1" applyBorder="1" applyAlignment="1">
      <alignment vertical="center" shrinkToFit="1"/>
    </xf>
    <xf numFmtId="181" fontId="7" fillId="2" borderId="68" xfId="0" applyNumberFormat="1" applyFont="1" applyFill="1" applyBorder="1" applyAlignment="1">
      <alignment vertical="center" shrinkToFit="1"/>
    </xf>
    <xf numFmtId="181" fontId="7" fillId="2" borderId="77" xfId="0" applyNumberFormat="1" applyFont="1" applyFill="1" applyBorder="1" applyAlignment="1">
      <alignment vertical="center" shrinkToFit="1"/>
    </xf>
    <xf numFmtId="0" fontId="7" fillId="0" borderId="172" xfId="0" applyFont="1" applyBorder="1" applyAlignment="1">
      <alignment vertical="center" shrinkToFit="1"/>
    </xf>
    <xf numFmtId="0" fontId="4" fillId="0" borderId="55" xfId="0" applyFont="1" applyBorder="1" applyAlignment="1">
      <alignment vertical="center"/>
    </xf>
    <xf numFmtId="0" fontId="4" fillId="0" borderId="79" xfId="0" applyFont="1" applyBorder="1" applyAlignment="1">
      <alignment vertical="center" shrinkToFit="1"/>
    </xf>
    <xf numFmtId="0" fontId="4" fillId="0" borderId="79" xfId="0" applyFont="1" applyBorder="1" applyAlignment="1">
      <alignment vertical="center"/>
    </xf>
    <xf numFmtId="0" fontId="4" fillId="0" borderId="80" xfId="0" applyFont="1" applyBorder="1" applyAlignment="1">
      <alignment vertical="center" shrinkToFit="1"/>
    </xf>
    <xf numFmtId="181" fontId="7" fillId="2" borderId="68" xfId="0" applyNumberFormat="1" applyFont="1" applyFill="1" applyBorder="1" applyAlignment="1">
      <alignment vertical="center" shrinkToFit="1"/>
    </xf>
    <xf numFmtId="181" fontId="7" fillId="2" borderId="77" xfId="0" applyNumberFormat="1" applyFont="1" applyFill="1" applyBorder="1" applyAlignment="1">
      <alignment vertical="center" shrinkToFit="1"/>
    </xf>
    <xf numFmtId="0" fontId="4" fillId="0" borderId="81" xfId="0" applyFont="1" applyBorder="1" applyAlignment="1">
      <alignment vertical="center"/>
    </xf>
    <xf numFmtId="181" fontId="7" fillId="7" borderId="68" xfId="0" applyNumberFormat="1" applyFont="1" applyFill="1" applyBorder="1" applyAlignment="1">
      <alignment vertical="center" shrinkToFit="1"/>
    </xf>
    <xf numFmtId="181" fontId="7" fillId="7" borderId="77" xfId="0" applyNumberFormat="1" applyFont="1" applyFill="1" applyBorder="1" applyAlignment="1">
      <alignment vertical="center" shrinkToFit="1"/>
    </xf>
    <xf numFmtId="0" fontId="7" fillId="7" borderId="172" xfId="0" applyFont="1" applyFill="1" applyBorder="1" applyAlignment="1">
      <alignment vertical="center" shrinkToFit="1"/>
    </xf>
    <xf numFmtId="0" fontId="4" fillId="0" borderId="82" xfId="0" applyFont="1" applyBorder="1" applyAlignment="1">
      <alignment vertical="center"/>
    </xf>
    <xf numFmtId="181" fontId="7" fillId="7" borderId="68" xfId="0" applyNumberFormat="1" applyFont="1" applyFill="1" applyBorder="1" applyAlignment="1">
      <alignment vertical="center" shrinkToFit="1"/>
    </xf>
    <xf numFmtId="181" fontId="7" fillId="7" borderId="77" xfId="0" applyNumberFormat="1" applyFont="1" applyFill="1" applyBorder="1" applyAlignment="1">
      <alignment vertical="center" shrinkToFit="1"/>
    </xf>
    <xf numFmtId="0" fontId="4" fillId="0" borderId="0" xfId="0" applyFont="1" applyAlignment="1">
      <alignment vertical="center"/>
    </xf>
    <xf numFmtId="0" fontId="4" fillId="0" borderId="50" xfId="0" applyFont="1" applyBorder="1" applyAlignment="1">
      <alignment vertical="center"/>
    </xf>
    <xf numFmtId="0" fontId="7" fillId="0" borderId="172" xfId="0" applyFont="1" applyBorder="1" applyAlignment="1">
      <alignment vertical="center" shrinkToFit="1"/>
    </xf>
    <xf numFmtId="0" fontId="4" fillId="0" borderId="173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181" fontId="7" fillId="2" borderId="36" xfId="0" applyNumberFormat="1" applyFont="1" applyFill="1" applyBorder="1" applyAlignment="1">
      <alignment vertical="center" shrinkToFit="1"/>
    </xf>
    <xf numFmtId="0" fontId="7" fillId="0" borderId="174" xfId="0" applyFont="1" applyBorder="1" applyAlignment="1">
      <alignment vertical="center" shrinkToFit="1"/>
    </xf>
    <xf numFmtId="0" fontId="4" fillId="0" borderId="85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7" fillId="6" borderId="171" xfId="0" applyFont="1" applyFill="1" applyBorder="1" applyAlignment="1">
      <alignment vertical="center" shrinkToFit="1"/>
    </xf>
    <xf numFmtId="0" fontId="4" fillId="0" borderId="86" xfId="0" applyFont="1" applyBorder="1" applyAlignment="1">
      <alignment vertical="center"/>
    </xf>
    <xf numFmtId="181" fontId="7" fillId="2" borderId="48" xfId="0" applyNumberFormat="1" applyFont="1" applyFill="1" applyBorder="1" applyAlignment="1">
      <alignment vertical="center" shrinkToFit="1"/>
    </xf>
    <xf numFmtId="181" fontId="7" fillId="2" borderId="47" xfId="0" applyNumberFormat="1" applyFont="1" applyFill="1" applyBorder="1" applyAlignment="1">
      <alignment vertical="center" shrinkToFit="1"/>
    </xf>
    <xf numFmtId="181" fontId="7" fillId="8" borderId="54" xfId="0" applyNumberFormat="1" applyFont="1" applyFill="1" applyBorder="1" applyAlignment="1">
      <alignment vertical="center" shrinkToFit="1"/>
    </xf>
    <xf numFmtId="181" fontId="7" fillId="8" borderId="48" xfId="0" applyNumberFormat="1" applyFont="1" applyFill="1" applyBorder="1" applyAlignment="1">
      <alignment vertical="center" shrinkToFit="1"/>
    </xf>
    <xf numFmtId="181" fontId="7" fillId="8" borderId="56" xfId="0" applyNumberFormat="1" applyFont="1" applyFill="1" applyBorder="1" applyAlignment="1">
      <alignment vertical="center" shrinkToFit="1"/>
    </xf>
    <xf numFmtId="0" fontId="4" fillId="0" borderId="53" xfId="0" applyFont="1" applyBorder="1" applyAlignment="1">
      <alignment vertical="center"/>
    </xf>
    <xf numFmtId="0" fontId="4" fillId="0" borderId="175" xfId="0" applyFont="1" applyBorder="1" applyAlignment="1">
      <alignment vertical="center"/>
    </xf>
    <xf numFmtId="0" fontId="7" fillId="0" borderId="176" xfId="0" applyFont="1" applyBorder="1" applyAlignment="1">
      <alignment vertical="center" shrinkToFit="1"/>
    </xf>
    <xf numFmtId="0" fontId="4" fillId="0" borderId="7" xfId="0" applyFont="1" applyBorder="1" applyAlignment="1">
      <alignment vertical="center"/>
    </xf>
    <xf numFmtId="181" fontId="7" fillId="2" borderId="63" xfId="0" applyNumberFormat="1" applyFont="1" applyFill="1" applyBorder="1" applyAlignment="1">
      <alignment vertical="center" shrinkToFit="1"/>
    </xf>
    <xf numFmtId="181" fontId="7" fillId="2" borderId="84" xfId="0" applyNumberFormat="1" applyFont="1" applyFill="1" applyBorder="1" applyAlignment="1">
      <alignment vertical="center" shrinkToFit="1"/>
    </xf>
    <xf numFmtId="181" fontId="7" fillId="8" borderId="63" xfId="0" applyNumberFormat="1" applyFont="1" applyFill="1" applyBorder="1" applyAlignment="1">
      <alignment vertical="center" shrinkToFit="1"/>
    </xf>
    <xf numFmtId="181" fontId="7" fillId="8" borderId="67" xfId="0" applyNumberFormat="1" applyFont="1" applyFill="1" applyBorder="1" applyAlignment="1">
      <alignment vertical="center" shrinkToFit="1"/>
    </xf>
    <xf numFmtId="0" fontId="4" fillId="0" borderId="80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88" xfId="0" applyFont="1" applyBorder="1" applyAlignment="1">
      <alignment vertical="center"/>
    </xf>
    <xf numFmtId="181" fontId="7" fillId="8" borderId="65" xfId="0" applyNumberFormat="1" applyFont="1" applyFill="1" applyBorder="1" applyAlignment="1">
      <alignment vertical="center" shrinkToFit="1"/>
    </xf>
    <xf numFmtId="181" fontId="7" fillId="8" borderId="74" xfId="0" applyNumberFormat="1" applyFont="1" applyFill="1" applyBorder="1" applyAlignment="1">
      <alignment vertical="center" shrinkToFit="1"/>
    </xf>
    <xf numFmtId="0" fontId="7" fillId="6" borderId="158" xfId="0" applyFont="1" applyFill="1" applyBorder="1" applyAlignment="1">
      <alignment vertical="center" shrinkToFit="1"/>
    </xf>
    <xf numFmtId="181" fontId="7" fillId="0" borderId="68" xfId="0" applyNumberFormat="1" applyFont="1" applyBorder="1" applyAlignment="1">
      <alignment vertical="center" shrinkToFit="1"/>
    </xf>
    <xf numFmtId="181" fontId="7" fillId="0" borderId="77" xfId="0" applyNumberFormat="1" applyFont="1" applyBorder="1" applyAlignment="1">
      <alignment vertical="center" shrinkToFit="1"/>
    </xf>
    <xf numFmtId="0" fontId="4" fillId="0" borderId="60" xfId="0" applyFont="1" applyBorder="1" applyAlignment="1">
      <alignment vertical="center"/>
    </xf>
    <xf numFmtId="181" fontId="7" fillId="2" borderId="177" xfId="0" applyNumberFormat="1" applyFont="1" applyFill="1" applyBorder="1" applyAlignment="1">
      <alignment vertical="center" shrinkToFit="1"/>
    </xf>
    <xf numFmtId="181" fontId="7" fillId="8" borderId="59" xfId="0" applyNumberFormat="1" applyFont="1" applyFill="1" applyBorder="1" applyAlignment="1">
      <alignment vertical="center" shrinkToFit="1"/>
    </xf>
    <xf numFmtId="0" fontId="7" fillId="0" borderId="178" xfId="0" applyFont="1" applyBorder="1" applyAlignment="1">
      <alignment vertical="center" shrinkToFit="1"/>
    </xf>
    <xf numFmtId="181" fontId="7" fillId="2" borderId="58" xfId="0" applyNumberFormat="1" applyFont="1" applyFill="1" applyBorder="1" applyAlignment="1">
      <alignment vertical="center" shrinkToFit="1"/>
    </xf>
    <xf numFmtId="181" fontId="7" fillId="8" borderId="58" xfId="0" applyNumberFormat="1" applyFont="1" applyFill="1" applyBorder="1" applyAlignment="1">
      <alignment vertical="center" shrinkToFit="1"/>
    </xf>
    <xf numFmtId="181" fontId="7" fillId="8" borderId="61" xfId="0" applyNumberFormat="1" applyFont="1" applyFill="1" applyBorder="1" applyAlignment="1">
      <alignment vertical="center" shrinkToFit="1"/>
    </xf>
    <xf numFmtId="181" fontId="7" fillId="8" borderId="73" xfId="0" applyNumberFormat="1" applyFont="1" applyFill="1" applyBorder="1" applyAlignment="1">
      <alignment vertical="center" shrinkToFit="1"/>
    </xf>
    <xf numFmtId="181" fontId="7" fillId="2" borderId="50" xfId="0" applyNumberFormat="1" applyFont="1" applyFill="1" applyBorder="1" applyAlignment="1">
      <alignment vertical="center" shrinkToFit="1"/>
    </xf>
    <xf numFmtId="181" fontId="7" fillId="2" borderId="0" xfId="0" applyNumberFormat="1" applyFont="1" applyFill="1" applyAlignment="1">
      <alignment vertical="center" shrinkToFit="1"/>
    </xf>
    <xf numFmtId="181" fontId="7" fillId="2" borderId="52" xfId="0" applyNumberFormat="1" applyFont="1" applyFill="1" applyBorder="1" applyAlignment="1">
      <alignment vertical="center" shrinkToFit="1"/>
    </xf>
    <xf numFmtId="181" fontId="7" fillId="2" borderId="40" xfId="0" applyNumberFormat="1" applyFont="1" applyFill="1" applyBorder="1" applyAlignment="1">
      <alignment vertical="center" shrinkToFit="1"/>
    </xf>
    <xf numFmtId="181" fontId="7" fillId="2" borderId="55" xfId="0" applyNumberFormat="1" applyFont="1" applyFill="1" applyBorder="1" applyAlignment="1">
      <alignment vertical="center" shrinkToFit="1"/>
    </xf>
    <xf numFmtId="0" fontId="7" fillId="0" borderId="180" xfId="0" applyFont="1" applyBorder="1" applyAlignment="1">
      <alignment vertical="center" shrinkToFit="1"/>
    </xf>
    <xf numFmtId="181" fontId="7" fillId="2" borderId="10" xfId="0" applyNumberFormat="1" applyFont="1" applyFill="1" applyBorder="1" applyAlignment="1">
      <alignment vertical="center" shrinkToFit="1"/>
    </xf>
    <xf numFmtId="181" fontId="7" fillId="8" borderId="92" xfId="0" applyNumberFormat="1" applyFont="1" applyFill="1" applyBorder="1" applyAlignment="1">
      <alignment vertical="center" shrinkToFit="1"/>
    </xf>
    <xf numFmtId="181" fontId="7" fillId="8" borderId="75" xfId="0" applyNumberFormat="1" applyFont="1" applyFill="1" applyBorder="1" applyAlignment="1">
      <alignment vertical="center" shrinkToFit="1"/>
    </xf>
    <xf numFmtId="0" fontId="4" fillId="0" borderId="181" xfId="0" applyFont="1" applyBorder="1" applyAlignment="1">
      <alignment vertical="center"/>
    </xf>
    <xf numFmtId="0" fontId="4" fillId="0" borderId="83" xfId="0" applyFont="1" applyBorder="1" applyAlignment="1">
      <alignment vertical="center"/>
    </xf>
    <xf numFmtId="181" fontId="7" fillId="10" borderId="34" xfId="0" applyNumberFormat="1" applyFont="1" applyFill="1" applyBorder="1" applyAlignment="1">
      <alignment vertical="center" shrinkToFit="1"/>
    </xf>
    <xf numFmtId="181" fontId="7" fillId="10" borderId="68" xfId="0" applyNumberFormat="1" applyFont="1" applyFill="1" applyBorder="1" applyAlignment="1">
      <alignment vertical="center" shrinkToFit="1"/>
    </xf>
    <xf numFmtId="181" fontId="7" fillId="10" borderId="69" xfId="0" applyNumberFormat="1" applyFont="1" applyFill="1" applyBorder="1" applyAlignment="1">
      <alignment vertical="center" shrinkToFit="1"/>
    </xf>
    <xf numFmtId="0" fontId="4" fillId="0" borderId="182" xfId="0" applyFont="1" applyBorder="1" applyAlignment="1">
      <alignment vertical="center"/>
    </xf>
    <xf numFmtId="0" fontId="4" fillId="0" borderId="183" xfId="0" applyFont="1" applyBorder="1" applyAlignment="1">
      <alignment vertical="center"/>
    </xf>
    <xf numFmtId="0" fontId="4" fillId="6" borderId="183" xfId="0" applyFont="1" applyFill="1" applyBorder="1" applyAlignment="1">
      <alignment vertical="center"/>
    </xf>
    <xf numFmtId="0" fontId="4" fillId="0" borderId="157" xfId="0" applyFont="1" applyBorder="1" applyAlignment="1">
      <alignment vertical="center"/>
    </xf>
    <xf numFmtId="0" fontId="4" fillId="8" borderId="184" xfId="0" applyFont="1" applyFill="1" applyBorder="1" applyAlignment="1">
      <alignment vertical="center"/>
    </xf>
    <xf numFmtId="0" fontId="4" fillId="6" borderId="184" xfId="0" applyFont="1" applyFill="1" applyBorder="1" applyAlignment="1">
      <alignment vertical="center"/>
    </xf>
    <xf numFmtId="0" fontId="7" fillId="0" borderId="0" xfId="5" applyFont="1" applyAlignment="1">
      <alignment vertical="center"/>
    </xf>
    <xf numFmtId="181" fontId="7" fillId="9" borderId="77" xfId="0" applyNumberFormat="1" applyFont="1" applyFill="1" applyBorder="1" applyAlignment="1">
      <alignment vertical="center" shrinkToFit="1"/>
    </xf>
    <xf numFmtId="181" fontId="7" fillId="10" borderId="77" xfId="0" applyNumberFormat="1" applyFont="1" applyFill="1" applyBorder="1" applyAlignment="1">
      <alignment vertical="center" shrinkToFit="1"/>
    </xf>
    <xf numFmtId="0" fontId="4" fillId="0" borderId="11" xfId="0" applyFont="1" applyBorder="1" applyAlignment="1">
      <alignment vertical="center" wrapText="1"/>
    </xf>
    <xf numFmtId="0" fontId="5" fillId="0" borderId="11" xfId="5" applyFont="1" applyBorder="1" applyAlignment="1">
      <alignment vertical="center"/>
    </xf>
    <xf numFmtId="0" fontId="5" fillId="0" borderId="45" xfId="5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181" fontId="7" fillId="8" borderId="47" xfId="0" applyNumberFormat="1" applyFont="1" applyFill="1" applyBorder="1" applyAlignment="1">
      <alignment vertical="center" shrinkToFit="1"/>
    </xf>
    <xf numFmtId="181" fontId="7" fillId="8" borderId="50" xfId="0" applyNumberFormat="1" applyFont="1" applyFill="1" applyBorder="1" applyAlignment="1">
      <alignment vertical="center" shrinkToFit="1"/>
    </xf>
    <xf numFmtId="0" fontId="4" fillId="0" borderId="52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181" fontId="7" fillId="2" borderId="60" xfId="0" applyNumberFormat="1" applyFont="1" applyFill="1" applyBorder="1" applyAlignment="1">
      <alignment vertical="center" shrinkToFit="1"/>
    </xf>
    <xf numFmtId="0" fontId="4" fillId="0" borderId="62" xfId="0" applyFont="1" applyBorder="1" applyAlignment="1">
      <alignment vertical="center" shrinkToFit="1"/>
    </xf>
    <xf numFmtId="0" fontId="4" fillId="0" borderId="22" xfId="0" applyFont="1" applyBorder="1" applyAlignment="1">
      <alignment vertical="center" wrapText="1"/>
    </xf>
    <xf numFmtId="0" fontId="4" fillId="0" borderId="26" xfId="0" applyFont="1" applyBorder="1" applyAlignment="1">
      <alignment vertical="center"/>
    </xf>
    <xf numFmtId="0" fontId="4" fillId="0" borderId="64" xfId="0" applyFont="1" applyBorder="1" applyAlignment="1">
      <alignment vertical="center" shrinkToFit="1"/>
    </xf>
    <xf numFmtId="0" fontId="7" fillId="0" borderId="185" xfId="0" applyFont="1" applyBorder="1" applyAlignment="1">
      <alignment vertical="center" shrinkToFit="1"/>
    </xf>
    <xf numFmtId="181" fontId="7" fillId="2" borderId="66" xfId="0" applyNumberFormat="1" applyFont="1" applyFill="1" applyBorder="1" applyAlignment="1">
      <alignment vertical="center" shrinkToFit="1"/>
    </xf>
    <xf numFmtId="0" fontId="4" fillId="0" borderId="186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vertical="center" wrapText="1"/>
    </xf>
    <xf numFmtId="0" fontId="7" fillId="0" borderId="10" xfId="0" applyFont="1" applyBorder="1" applyAlignment="1">
      <alignment vertical="center" shrinkToFit="1"/>
    </xf>
    <xf numFmtId="0" fontId="7" fillId="0" borderId="71" xfId="0" applyFont="1" applyBorder="1" applyAlignment="1">
      <alignment vertical="center" shrinkToFit="1"/>
    </xf>
    <xf numFmtId="0" fontId="4" fillId="0" borderId="58" xfId="0" applyFont="1" applyBorder="1" applyAlignment="1">
      <alignment vertical="center"/>
    </xf>
    <xf numFmtId="0" fontId="23" fillId="4" borderId="0" xfId="0" applyFont="1" applyFill="1" applyAlignment="1">
      <alignment vertical="center"/>
    </xf>
    <xf numFmtId="0" fontId="24" fillId="4" borderId="0" xfId="0" applyFont="1" applyFill="1"/>
    <xf numFmtId="0" fontId="2" fillId="4" borderId="0" xfId="0" applyFont="1" applyFill="1"/>
    <xf numFmtId="0" fontId="2" fillId="4" borderId="0" xfId="0" applyFont="1" applyFill="1" applyProtection="1">
      <protection locked="0"/>
    </xf>
    <xf numFmtId="0" fontId="24" fillId="4" borderId="0" xfId="0" applyFont="1" applyFill="1"/>
    <xf numFmtId="0" fontId="25" fillId="4" borderId="0" xfId="0" applyFont="1" applyFill="1" applyAlignment="1">
      <alignment vertical="center"/>
    </xf>
    <xf numFmtId="0" fontId="24" fillId="4" borderId="0" xfId="0" applyFont="1" applyFill="1" applyAlignment="1">
      <alignment vertical="center"/>
    </xf>
    <xf numFmtId="0" fontId="22" fillId="4" borderId="187" xfId="0" applyFont="1" applyFill="1" applyBorder="1" applyAlignment="1">
      <alignment horizontal="right" vertical="center"/>
    </xf>
    <xf numFmtId="0" fontId="22" fillId="4" borderId="187" xfId="0" applyFont="1" applyFill="1" applyBorder="1" applyAlignment="1">
      <alignment horizontal="left" vertical="center"/>
    </xf>
    <xf numFmtId="0" fontId="24" fillId="4" borderId="0" xfId="0" applyFont="1" applyFill="1"/>
    <xf numFmtId="0" fontId="22" fillId="4" borderId="188" xfId="0" applyFont="1" applyFill="1" applyBorder="1" applyAlignment="1">
      <alignment horizontal="right" vertical="center"/>
    </xf>
    <xf numFmtId="0" fontId="22" fillId="4" borderId="188" xfId="0" applyFont="1" applyFill="1" applyBorder="1" applyAlignment="1">
      <alignment horizontal="left" vertical="center"/>
    </xf>
    <xf numFmtId="0" fontId="24" fillId="4" borderId="0" xfId="0" applyFont="1" applyFill="1" applyAlignment="1">
      <alignment horizontal="right" vertical="center"/>
    </xf>
    <xf numFmtId="0" fontId="24" fillId="4" borderId="0" xfId="0" applyFont="1" applyFill="1" applyAlignment="1">
      <alignment vertical="top"/>
    </xf>
    <xf numFmtId="0" fontId="2" fillId="4" borderId="0" xfId="0" applyFont="1" applyFill="1"/>
    <xf numFmtId="0" fontId="26" fillId="4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14" fillId="4" borderId="1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181" fontId="7" fillId="4" borderId="20" xfId="0" applyNumberFormat="1" applyFont="1" applyFill="1" applyBorder="1" applyAlignment="1">
      <alignment vertical="center" shrinkToFit="1"/>
    </xf>
    <xf numFmtId="181" fontId="7" fillId="11" borderId="19" xfId="0" applyNumberFormat="1" applyFont="1" applyFill="1" applyBorder="1" applyAlignment="1">
      <alignment vertical="center" shrinkToFit="1"/>
    </xf>
    <xf numFmtId="0" fontId="4" fillId="4" borderId="14" xfId="0" applyFont="1" applyFill="1" applyBorder="1" applyAlignment="1">
      <alignment horizontal="center" vertical="center"/>
    </xf>
    <xf numFmtId="181" fontId="7" fillId="4" borderId="18" xfId="0" applyNumberFormat="1" applyFont="1" applyFill="1" applyBorder="1" applyAlignment="1">
      <alignment vertical="center" shrinkToFit="1"/>
    </xf>
    <xf numFmtId="181" fontId="7" fillId="11" borderId="15" xfId="0" applyNumberFormat="1" applyFont="1" applyFill="1" applyBorder="1" applyAlignment="1">
      <alignment vertical="center" shrinkToFit="1"/>
    </xf>
    <xf numFmtId="0" fontId="14" fillId="4" borderId="23" xfId="0" applyFont="1" applyFill="1" applyBorder="1" applyAlignment="1">
      <alignment vertical="center"/>
    </xf>
    <xf numFmtId="181" fontId="7" fillId="4" borderId="20" xfId="0" applyNumberFormat="1" applyFont="1" applyFill="1" applyBorder="1" applyAlignment="1">
      <alignment vertical="center" shrinkToFit="1"/>
    </xf>
    <xf numFmtId="181" fontId="7" fillId="6" borderId="19" xfId="0" applyNumberFormat="1" applyFont="1" applyFill="1" applyBorder="1" applyAlignment="1">
      <alignment vertical="center" shrinkToFit="1"/>
    </xf>
    <xf numFmtId="181" fontId="7" fillId="4" borderId="18" xfId="0" applyNumberFormat="1" applyFont="1" applyFill="1" applyBorder="1" applyAlignment="1">
      <alignment vertical="center" shrinkToFit="1"/>
    </xf>
    <xf numFmtId="181" fontId="7" fillId="6" borderId="15" xfId="0" applyNumberFormat="1" applyFont="1" applyFill="1" applyBorder="1" applyAlignment="1">
      <alignment vertical="center" shrinkToFit="1"/>
    </xf>
    <xf numFmtId="0" fontId="4" fillId="4" borderId="12" xfId="0" applyFont="1" applyFill="1" applyBorder="1" applyAlignment="1">
      <alignment horizontal="center" vertical="center"/>
    </xf>
    <xf numFmtId="0" fontId="14" fillId="4" borderId="0" xfId="0" applyFont="1" applyFill="1" applyAlignment="1">
      <alignment vertical="top"/>
    </xf>
    <xf numFmtId="181" fontId="7" fillId="8" borderId="20" xfId="0" applyNumberFormat="1" applyFont="1" applyFill="1" applyBorder="1" applyAlignment="1">
      <alignment vertical="center" shrinkToFit="1"/>
    </xf>
    <xf numFmtId="181" fontId="7" fillId="8" borderId="19" xfId="0" applyNumberFormat="1" applyFont="1" applyFill="1" applyBorder="1" applyAlignment="1">
      <alignment vertical="center" shrinkToFit="1"/>
    </xf>
    <xf numFmtId="181" fontId="7" fillId="8" borderId="18" xfId="0" applyNumberFormat="1" applyFont="1" applyFill="1" applyBorder="1" applyAlignment="1">
      <alignment vertical="center" shrinkToFit="1"/>
    </xf>
    <xf numFmtId="181" fontId="7" fillId="8" borderId="15" xfId="0" applyNumberFormat="1" applyFont="1" applyFill="1" applyBorder="1" applyAlignment="1">
      <alignment vertical="center" shrinkToFit="1"/>
    </xf>
    <xf numFmtId="0" fontId="24" fillId="4" borderId="0" xfId="0" applyFont="1" applyFill="1" applyAlignment="1">
      <alignment vertical="top"/>
    </xf>
    <xf numFmtId="0" fontId="7" fillId="4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11" fillId="0" borderId="0" xfId="6" applyFont="1" applyAlignment="1">
      <alignment vertical="center"/>
    </xf>
    <xf numFmtId="0" fontId="2" fillId="0" borderId="0" xfId="4" applyFont="1"/>
    <xf numFmtId="49" fontId="22" fillId="0" borderId="10" xfId="0" applyNumberFormat="1" applyFont="1" applyBorder="1" applyAlignment="1">
      <alignment horizontal="left" vertical="center"/>
    </xf>
    <xf numFmtId="0" fontId="6" fillId="0" borderId="0" xfId="7" applyFont="1" applyAlignment="1">
      <alignment horizontal="right" vertical="center" wrapText="1"/>
    </xf>
    <xf numFmtId="0" fontId="6" fillId="0" borderId="0" xfId="7" applyFont="1"/>
    <xf numFmtId="181" fontId="7" fillId="8" borderId="13" xfId="0" applyNumberFormat="1" applyFont="1" applyFill="1" applyBorder="1" applyAlignment="1">
      <alignment horizontal="right" vertical="center" shrinkToFit="1"/>
    </xf>
    <xf numFmtId="181" fontId="7" fillId="8" borderId="44" xfId="0" applyNumberFormat="1" applyFont="1" applyFill="1" applyBorder="1" applyAlignment="1">
      <alignment horizontal="right" vertical="center" shrinkToFit="1"/>
    </xf>
    <xf numFmtId="0" fontId="26" fillId="0" borderId="0" xfId="0" applyFont="1"/>
    <xf numFmtId="0" fontId="4" fillId="0" borderId="12" xfId="0" applyFont="1" applyBorder="1" applyAlignment="1">
      <alignment horizontal="center" vertical="center"/>
    </xf>
    <xf numFmtId="181" fontId="7" fillId="4" borderId="13" xfId="0" applyNumberFormat="1" applyFont="1" applyFill="1" applyBorder="1" applyAlignment="1">
      <alignment vertical="center" shrinkToFit="1"/>
    </xf>
    <xf numFmtId="0" fontId="4" fillId="0" borderId="14" xfId="0" applyFont="1" applyBorder="1" applyAlignment="1">
      <alignment horizontal="center" vertical="center"/>
    </xf>
    <xf numFmtId="181" fontId="7" fillId="4" borderId="15" xfId="0" applyNumberFormat="1" applyFont="1" applyFill="1" applyBorder="1" applyAlignment="1">
      <alignment vertical="center" shrinkToFit="1"/>
    </xf>
    <xf numFmtId="0" fontId="27" fillId="4" borderId="10" xfId="0" applyFont="1" applyFill="1" applyBorder="1" applyAlignment="1">
      <alignment horizontal="right" vertical="center"/>
    </xf>
    <xf numFmtId="49" fontId="27" fillId="4" borderId="10" xfId="0" applyNumberFormat="1" applyFont="1" applyFill="1" applyBorder="1" applyAlignment="1">
      <alignment horizontal="left" vertical="center"/>
    </xf>
    <xf numFmtId="0" fontId="27" fillId="4" borderId="10" xfId="0" applyFont="1" applyFill="1" applyBorder="1" applyAlignment="1">
      <alignment horizontal="left" vertical="center"/>
    </xf>
    <xf numFmtId="0" fontId="7" fillId="2" borderId="0" xfId="5" applyFont="1" applyFill="1" applyAlignment="1">
      <alignment vertical="center"/>
    </xf>
    <xf numFmtId="0" fontId="19" fillId="4" borderId="0" xfId="2" applyFont="1" applyFill="1" applyAlignment="1">
      <alignment horizontal="right" vertical="center"/>
    </xf>
    <xf numFmtId="0" fontId="19" fillId="4" borderId="0" xfId="2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0" borderId="24" xfId="6" applyFont="1" applyBorder="1" applyAlignment="1">
      <alignment horizontal="center" vertical="center"/>
    </xf>
    <xf numFmtId="181" fontId="7" fillId="2" borderId="20" xfId="0" applyNumberFormat="1" applyFont="1" applyFill="1" applyBorder="1" applyAlignment="1" applyProtection="1">
      <alignment vertical="center" shrinkToFit="1"/>
      <protection locked="0"/>
    </xf>
    <xf numFmtId="181" fontId="7" fillId="3" borderId="42" xfId="0" applyNumberFormat="1" applyFont="1" applyFill="1" applyBorder="1" applyAlignment="1">
      <alignment vertical="center" shrinkToFit="1"/>
    </xf>
    <xf numFmtId="0" fontId="5" fillId="4" borderId="157" xfId="0" applyFont="1" applyFill="1" applyBorder="1" applyAlignment="1">
      <alignment vertical="center"/>
    </xf>
    <xf numFmtId="181" fontId="7" fillId="3" borderId="29" xfId="0" applyNumberFormat="1" applyFont="1" applyFill="1" applyBorder="1" applyAlignment="1">
      <alignment vertical="center" shrinkToFit="1"/>
    </xf>
    <xf numFmtId="0" fontId="4" fillId="0" borderId="16" xfId="0" applyFont="1" applyBorder="1" applyAlignment="1">
      <alignment horizontal="left" vertical="center"/>
    </xf>
    <xf numFmtId="181" fontId="7" fillId="3" borderId="18" xfId="0" applyNumberFormat="1" applyFont="1" applyFill="1" applyBorder="1" applyAlignment="1">
      <alignment vertical="center" shrinkToFit="1"/>
    </xf>
    <xf numFmtId="181" fontId="7" fillId="3" borderId="43" xfId="0" applyNumberFormat="1" applyFont="1" applyFill="1" applyBorder="1" applyAlignment="1">
      <alignment vertical="center" shrinkToFit="1"/>
    </xf>
    <xf numFmtId="0" fontId="5" fillId="3" borderId="158" xfId="0" applyFont="1" applyFill="1" applyBorder="1" applyAlignment="1">
      <alignment vertical="center"/>
    </xf>
    <xf numFmtId="181" fontId="7" fillId="3" borderId="34" xfId="0" applyNumberFormat="1" applyFont="1" applyFill="1" applyBorder="1" applyAlignment="1">
      <alignment vertical="center" shrinkToFit="1"/>
    </xf>
    <xf numFmtId="0" fontId="1" fillId="3" borderId="158" xfId="0" applyFont="1" applyFill="1" applyBorder="1" applyAlignment="1">
      <alignment vertical="center"/>
    </xf>
    <xf numFmtId="0" fontId="4" fillId="2" borderId="0" xfId="6" applyFont="1" applyFill="1" applyAlignment="1">
      <alignment horizontal="righ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5" fillId="4" borderId="183" xfId="0" applyFont="1" applyFill="1" applyBorder="1" applyAlignment="1">
      <alignment vertical="center"/>
    </xf>
    <xf numFmtId="181" fontId="7" fillId="2" borderId="19" xfId="0" applyNumberFormat="1" applyFont="1" applyFill="1" applyBorder="1" applyAlignment="1" applyProtection="1">
      <alignment vertical="center" shrinkToFit="1"/>
      <protection locked="0"/>
    </xf>
    <xf numFmtId="181" fontId="7" fillId="9" borderId="20" xfId="0" applyNumberFormat="1" applyFont="1" applyFill="1" applyBorder="1" applyAlignment="1" applyProtection="1">
      <alignment vertical="center" shrinkToFit="1"/>
      <protection locked="0"/>
    </xf>
    <xf numFmtId="181" fontId="7" fillId="3" borderId="20" xfId="0" applyNumberFormat="1" applyFont="1" applyFill="1" applyBorder="1" applyAlignment="1">
      <alignment vertical="center" shrinkToFit="1"/>
    </xf>
    <xf numFmtId="181" fontId="7" fillId="3" borderId="19" xfId="0" applyNumberFormat="1" applyFont="1" applyFill="1" applyBorder="1" applyAlignment="1">
      <alignment vertical="center" shrinkToFit="1"/>
    </xf>
    <xf numFmtId="0" fontId="4" fillId="0" borderId="30" xfId="0" applyFont="1" applyBorder="1" applyAlignment="1">
      <alignment horizontal="center" vertical="center"/>
    </xf>
    <xf numFmtId="181" fontId="7" fillId="3" borderId="15" xfId="0" applyNumberFormat="1" applyFont="1" applyFill="1" applyBorder="1" applyAlignment="1">
      <alignment vertical="center" shrinkToFit="1"/>
    </xf>
    <xf numFmtId="0" fontId="4" fillId="0" borderId="13" xfId="0" applyFont="1" applyBorder="1" applyAlignment="1">
      <alignment horizontal="center" vertical="center"/>
    </xf>
    <xf numFmtId="181" fontId="7" fillId="10" borderId="20" xfId="0" applyNumberFormat="1" applyFont="1" applyFill="1" applyBorder="1" applyAlignment="1" applyProtection="1">
      <alignment vertical="center" shrinkToFit="1"/>
      <protection locked="0"/>
    </xf>
    <xf numFmtId="181" fontId="7" fillId="10" borderId="19" xfId="0" applyNumberFormat="1" applyFont="1" applyFill="1" applyBorder="1" applyAlignment="1">
      <alignment vertical="center" shrinkToFit="1"/>
    </xf>
    <xf numFmtId="0" fontId="9" fillId="4" borderId="0" xfId="6" applyFont="1" applyFill="1" applyAlignment="1">
      <alignment vertical="center"/>
    </xf>
    <xf numFmtId="0" fontId="4" fillId="2" borderId="0" xfId="6" applyFont="1" applyFill="1" applyAlignment="1">
      <alignment vertical="center" wrapText="1"/>
    </xf>
    <xf numFmtId="0" fontId="5" fillId="2" borderId="0" xfId="6" applyFont="1" applyFill="1" applyAlignment="1">
      <alignment vertical="center" wrapText="1"/>
    </xf>
    <xf numFmtId="0" fontId="9" fillId="4" borderId="0" xfId="3" applyFont="1" applyFill="1" applyAlignment="1">
      <alignment vertical="center" wrapText="1"/>
    </xf>
    <xf numFmtId="0" fontId="4" fillId="4" borderId="0" xfId="3" applyFont="1" applyFill="1" applyAlignment="1">
      <alignment horizontal="right" vertical="center"/>
    </xf>
    <xf numFmtId="0" fontId="6" fillId="4" borderId="0" xfId="3" applyFont="1" applyFill="1" applyAlignment="1">
      <alignment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vertical="center"/>
    </xf>
    <xf numFmtId="0" fontId="4" fillId="4" borderId="36" xfId="0" applyFont="1" applyFill="1" applyBorder="1" applyAlignment="1">
      <alignment vertical="center"/>
    </xf>
    <xf numFmtId="0" fontId="4" fillId="4" borderId="11" xfId="0" applyFont="1" applyFill="1" applyBorder="1" applyAlignment="1">
      <alignment vertical="center"/>
    </xf>
    <xf numFmtId="0" fontId="4" fillId="4" borderId="37" xfId="0" applyFont="1" applyFill="1" applyBorder="1" applyAlignment="1">
      <alignment vertical="center"/>
    </xf>
    <xf numFmtId="0" fontId="4" fillId="4" borderId="35" xfId="3" applyFont="1" applyFill="1" applyBorder="1" applyAlignment="1">
      <alignment vertical="center"/>
    </xf>
    <xf numFmtId="0" fontId="4" fillId="4" borderId="39" xfId="0" applyFont="1" applyFill="1" applyBorder="1" applyAlignment="1">
      <alignment vertical="center"/>
    </xf>
    <xf numFmtId="0" fontId="4" fillId="4" borderId="24" xfId="0" applyFont="1" applyFill="1" applyBorder="1" applyAlignment="1">
      <alignment vertical="center"/>
    </xf>
    <xf numFmtId="0" fontId="4" fillId="4" borderId="40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35" xfId="0" applyFont="1" applyFill="1" applyBorder="1" applyAlignment="1">
      <alignment vertical="center"/>
    </xf>
    <xf numFmtId="0" fontId="4" fillId="4" borderId="38" xfId="0" applyFont="1" applyFill="1" applyBorder="1" applyAlignment="1">
      <alignment vertical="center"/>
    </xf>
    <xf numFmtId="182" fontId="4" fillId="2" borderId="37" xfId="0" applyNumberFormat="1" applyFont="1" applyFill="1" applyBorder="1" applyAlignment="1">
      <alignment vertical="center" shrinkToFit="1"/>
    </xf>
    <xf numFmtId="0" fontId="4" fillId="4" borderId="39" xfId="3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38" xfId="3" applyFont="1" applyFill="1" applyBorder="1" applyAlignment="1">
      <alignment vertical="center"/>
    </xf>
    <xf numFmtId="0" fontId="4" fillId="4" borderId="40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5" fillId="4" borderId="0" xfId="3" applyFont="1" applyFill="1" applyAlignment="1">
      <alignment vertical="center"/>
    </xf>
    <xf numFmtId="0" fontId="5" fillId="4" borderId="0" xfId="3" applyFont="1" applyFill="1" applyAlignment="1">
      <alignment vertical="center" wrapText="1"/>
    </xf>
    <xf numFmtId="0" fontId="5" fillId="4" borderId="0" xfId="0" applyFont="1" applyFill="1" applyAlignment="1">
      <alignment horizontal="center" vertical="center"/>
    </xf>
    <xf numFmtId="181" fontId="7" fillId="3" borderId="0" xfId="0" applyNumberFormat="1" applyFont="1" applyFill="1" applyAlignment="1">
      <alignment vertical="center" shrinkToFit="1"/>
    </xf>
    <xf numFmtId="181" fontId="7" fillId="2" borderId="0" xfId="0" applyNumberFormat="1" applyFont="1" applyFill="1" applyAlignment="1" applyProtection="1">
      <alignment vertical="center" shrinkToFit="1"/>
      <protection locked="0"/>
    </xf>
    <xf numFmtId="49" fontId="17" fillId="4" borderId="0" xfId="3" applyNumberFormat="1" applyFont="1" applyFill="1" applyAlignment="1">
      <alignment horizontal="center" vertical="center"/>
    </xf>
    <xf numFmtId="181" fontId="7" fillId="2" borderId="149" xfId="0" applyNumberFormat="1" applyFont="1" applyFill="1" applyBorder="1" applyAlignment="1" applyProtection="1">
      <alignment vertical="center" shrinkToFit="1"/>
      <protection locked="0"/>
    </xf>
    <xf numFmtId="181" fontId="7" fillId="4" borderId="20" xfId="0" applyNumberFormat="1" applyFont="1" applyFill="1" applyBorder="1" applyAlignment="1" applyProtection="1">
      <alignment vertical="center" shrinkToFit="1"/>
      <protection locked="0"/>
    </xf>
    <xf numFmtId="181" fontId="7" fillId="4" borderId="19" xfId="0" applyNumberFormat="1" applyFont="1" applyFill="1" applyBorder="1" applyAlignment="1" applyProtection="1">
      <alignment vertical="center" shrinkToFit="1"/>
      <protection locked="0"/>
    </xf>
    <xf numFmtId="0" fontId="4" fillId="4" borderId="28" xfId="0" applyFont="1" applyFill="1" applyBorder="1" applyAlignment="1">
      <alignment vertical="center"/>
    </xf>
    <xf numFmtId="0" fontId="4" fillId="4" borderId="25" xfId="0" applyFont="1" applyFill="1" applyBorder="1" applyAlignment="1">
      <alignment vertical="center"/>
    </xf>
    <xf numFmtId="0" fontId="5" fillId="4" borderId="0" xfId="3" applyFont="1" applyFill="1" applyAlignment="1">
      <alignment horizontal="center" vertical="center"/>
    </xf>
    <xf numFmtId="0" fontId="4" fillId="4" borderId="21" xfId="0" applyFont="1" applyFill="1" applyBorder="1" applyAlignment="1">
      <alignment vertical="center"/>
    </xf>
    <xf numFmtId="0" fontId="15" fillId="4" borderId="0" xfId="2" applyFont="1" applyFill="1" applyAlignment="1">
      <alignment horizontal="right"/>
    </xf>
    <xf numFmtId="0" fontId="16" fillId="4" borderId="0" xfId="2" applyFont="1" applyFill="1" applyAlignment="1">
      <alignment horizontal="right" vertical="center"/>
    </xf>
    <xf numFmtId="49" fontId="4" fillId="4" borderId="0" xfId="3" applyNumberFormat="1" applyFont="1" applyFill="1" applyAlignment="1">
      <alignment horizontal="right"/>
    </xf>
    <xf numFmtId="49" fontId="5" fillId="4" borderId="0" xfId="3" applyNumberFormat="1" applyFont="1" applyFill="1"/>
    <xf numFmtId="49" fontId="4" fillId="4" borderId="21" xfId="0" applyNumberFormat="1" applyFont="1" applyFill="1" applyBorder="1" applyAlignment="1">
      <alignment vertical="center"/>
    </xf>
    <xf numFmtId="49" fontId="4" fillId="4" borderId="22" xfId="0" applyNumberFormat="1" applyFont="1" applyFill="1" applyBorder="1"/>
    <xf numFmtId="49" fontId="4" fillId="4" borderId="23" xfId="0" applyNumberFormat="1" applyFont="1" applyFill="1" applyBorder="1" applyAlignment="1">
      <alignment vertical="center"/>
    </xf>
    <xf numFmtId="49" fontId="4" fillId="4" borderId="0" xfId="0" applyNumberFormat="1" applyFont="1" applyFill="1"/>
    <xf numFmtId="49" fontId="4" fillId="4" borderId="7" xfId="0" applyNumberFormat="1" applyFont="1" applyFill="1" applyBorder="1" applyAlignment="1">
      <alignment vertical="center"/>
    </xf>
    <xf numFmtId="49" fontId="4" fillId="4" borderId="10" xfId="0" applyNumberFormat="1" applyFont="1" applyFill="1" applyBorder="1"/>
    <xf numFmtId="49" fontId="5" fillId="0" borderId="0" xfId="3" applyNumberFormat="1" applyFont="1"/>
    <xf numFmtId="49" fontId="3" fillId="0" borderId="0" xfId="3" applyNumberFormat="1" applyFont="1"/>
    <xf numFmtId="49" fontId="9" fillId="4" borderId="0" xfId="3" applyNumberFormat="1" applyFont="1" applyFill="1" applyAlignment="1">
      <alignment horizontal="left" vertical="center"/>
    </xf>
    <xf numFmtId="49" fontId="4" fillId="2" borderId="7" xfId="0" applyNumberFormat="1" applyFont="1" applyFill="1" applyBorder="1" applyAlignment="1">
      <alignment vertical="center"/>
    </xf>
    <xf numFmtId="49" fontId="4" fillId="4" borderId="25" xfId="0" applyNumberFormat="1" applyFont="1" applyFill="1" applyBorder="1" applyAlignment="1">
      <alignment vertical="center"/>
    </xf>
    <xf numFmtId="49" fontId="4" fillId="4" borderId="11" xfId="0" applyNumberFormat="1" applyFont="1" applyFill="1" applyBorder="1"/>
    <xf numFmtId="49" fontId="9" fillId="4" borderId="0" xfId="3" applyNumberFormat="1" applyFont="1" applyFill="1" applyAlignment="1">
      <alignment horizontal="center" vertical="center"/>
    </xf>
    <xf numFmtId="49" fontId="5" fillId="4" borderId="0" xfId="3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14" fillId="0" borderId="0" xfId="0" applyFont="1" applyAlignment="1">
      <alignment vertical="top"/>
    </xf>
    <xf numFmtId="0" fontId="14" fillId="0" borderId="0" xfId="0" applyFont="1" applyAlignment="1">
      <alignment vertical="center"/>
    </xf>
    <xf numFmtId="0" fontId="14" fillId="0" borderId="0" xfId="0" applyFont="1"/>
    <xf numFmtId="0" fontId="14" fillId="0" borderId="10" xfId="0" applyFont="1" applyBorder="1" applyAlignment="1">
      <alignment horizontal="right"/>
    </xf>
    <xf numFmtId="0" fontId="14" fillId="0" borderId="10" xfId="0" applyFont="1" applyBorder="1" applyAlignment="1">
      <alignment vertical="center"/>
    </xf>
    <xf numFmtId="0" fontId="14" fillId="0" borderId="0" xfId="0" applyFont="1" applyAlignment="1">
      <alignment horizontal="left" vertical="top"/>
    </xf>
    <xf numFmtId="0" fontId="14" fillId="0" borderId="11" xfId="0" applyFont="1" applyBorder="1" applyAlignment="1">
      <alignment horizontal="right"/>
    </xf>
    <xf numFmtId="0" fontId="14" fillId="0" borderId="1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top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20" fillId="0" borderId="129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181" fontId="4" fillId="0" borderId="191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4" fillId="0" borderId="33" xfId="0" applyFont="1" applyBorder="1" applyAlignment="1">
      <alignment vertical="center"/>
    </xf>
    <xf numFmtId="0" fontId="20" fillId="0" borderId="192" xfId="0" applyFont="1" applyBorder="1" applyAlignment="1">
      <alignment vertical="center"/>
    </xf>
    <xf numFmtId="0" fontId="20" fillId="0" borderId="193" xfId="0" applyFont="1" applyBorder="1" applyAlignment="1">
      <alignment vertical="center"/>
    </xf>
    <xf numFmtId="0" fontId="20" fillId="0" borderId="194" xfId="0" applyFont="1" applyBorder="1" applyAlignment="1">
      <alignment vertical="center"/>
    </xf>
    <xf numFmtId="181" fontId="4" fillId="0" borderId="195" xfId="0" applyNumberFormat="1" applyFont="1" applyBorder="1" applyAlignment="1">
      <alignment horizontal="right" vertical="center"/>
    </xf>
    <xf numFmtId="0" fontId="20" fillId="0" borderId="23" xfId="0" applyFont="1" applyBorder="1" applyAlignment="1">
      <alignment vertical="center"/>
    </xf>
    <xf numFmtId="0" fontId="20" fillId="0" borderId="144" xfId="0" applyFont="1" applyBorder="1" applyAlignment="1">
      <alignment vertical="center"/>
    </xf>
    <xf numFmtId="0" fontId="20" fillId="0" borderId="0" xfId="0" applyFont="1" applyAlignment="1">
      <alignment vertical="center"/>
    </xf>
    <xf numFmtId="181" fontId="4" fillId="0" borderId="196" xfId="0" applyNumberFormat="1" applyFont="1" applyBorder="1" applyAlignment="1">
      <alignment horizontal="right" vertical="center"/>
    </xf>
    <xf numFmtId="0" fontId="4" fillId="0" borderId="138" xfId="0" applyFont="1" applyBorder="1" applyAlignment="1">
      <alignment vertical="center"/>
    </xf>
    <xf numFmtId="0" fontId="20" fillId="0" borderId="38" xfId="0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9" fillId="0" borderId="132" xfId="0" applyFont="1" applyBorder="1" applyAlignment="1">
      <alignment vertical="center"/>
    </xf>
    <xf numFmtId="0" fontId="20" fillId="0" borderId="36" xfId="0" applyFont="1" applyBorder="1" applyAlignment="1">
      <alignment vertical="center"/>
    </xf>
    <xf numFmtId="181" fontId="4" fillId="0" borderId="197" xfId="0" applyNumberFormat="1" applyFont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0" fillId="0" borderId="26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0" fillId="0" borderId="126" xfId="0" applyFont="1" applyBorder="1" applyAlignment="1">
      <alignment vertical="center"/>
    </xf>
    <xf numFmtId="0" fontId="20" fillId="0" borderId="33" xfId="0" applyFont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0" fillId="0" borderId="74" xfId="0" applyFont="1" applyBorder="1" applyAlignment="1">
      <alignment vertical="center"/>
    </xf>
    <xf numFmtId="181" fontId="4" fillId="0" borderId="198" xfId="0" applyNumberFormat="1" applyFont="1" applyBorder="1" applyAlignment="1">
      <alignment horizontal="right" vertical="center"/>
    </xf>
    <xf numFmtId="0" fontId="20" fillId="0" borderId="123" xfId="0" applyFont="1" applyBorder="1" applyAlignment="1">
      <alignment vertical="center"/>
    </xf>
    <xf numFmtId="0" fontId="20" fillId="0" borderId="117" xfId="0" applyFont="1" applyBorder="1" applyAlignment="1">
      <alignment vertical="center"/>
    </xf>
    <xf numFmtId="181" fontId="4" fillId="0" borderId="199" xfId="0" applyNumberFormat="1" applyFont="1" applyBorder="1" applyAlignment="1">
      <alignment horizontal="right" vertical="center"/>
    </xf>
    <xf numFmtId="0" fontId="20" fillId="0" borderId="71" xfId="0" applyFont="1" applyBorder="1" applyAlignment="1">
      <alignment vertical="center"/>
    </xf>
    <xf numFmtId="181" fontId="4" fillId="0" borderId="71" xfId="0" applyNumberFormat="1" applyFont="1" applyBorder="1" applyAlignment="1">
      <alignment horizontal="right" vertical="center"/>
    </xf>
    <xf numFmtId="0" fontId="20" fillId="0" borderId="8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75" xfId="0" applyFont="1" applyBorder="1" applyAlignment="1">
      <alignment vertical="center"/>
    </xf>
    <xf numFmtId="0" fontId="20" fillId="0" borderId="137" xfId="0" applyFont="1" applyBorder="1" applyAlignment="1">
      <alignment vertical="center"/>
    </xf>
    <xf numFmtId="181" fontId="4" fillId="0" borderId="137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20" fillId="0" borderId="39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40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0" fillId="0" borderId="45" xfId="0" applyFont="1" applyBorder="1" applyAlignment="1">
      <alignment vertical="center"/>
    </xf>
    <xf numFmtId="181" fontId="4" fillId="0" borderId="45" xfId="0" applyNumberFormat="1" applyFont="1" applyBorder="1" applyAlignment="1">
      <alignment horizontal="right" vertical="center"/>
    </xf>
    <xf numFmtId="0" fontId="20" fillId="0" borderId="1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124" xfId="0" applyFont="1" applyBorder="1" applyAlignment="1">
      <alignment vertical="center"/>
    </xf>
    <xf numFmtId="0" fontId="20" fillId="0" borderId="128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81" fontId="4" fillId="0" borderId="200" xfId="0" applyNumberFormat="1" applyFont="1" applyBorder="1" applyAlignment="1">
      <alignment horizontal="right" vertical="center"/>
    </xf>
    <xf numFmtId="0" fontId="20" fillId="0" borderId="201" xfId="0" applyFont="1" applyBorder="1" applyAlignment="1">
      <alignment horizontal="center" vertical="center"/>
    </xf>
    <xf numFmtId="181" fontId="4" fillId="0" borderId="7" xfId="0" applyNumberFormat="1" applyFont="1" applyBorder="1" applyAlignment="1">
      <alignment horizontal="right" vertical="center"/>
    </xf>
    <xf numFmtId="0" fontId="4" fillId="0" borderId="202" xfId="0" applyFont="1" applyBorder="1" applyAlignment="1">
      <alignment horizontal="center" vertical="center"/>
    </xf>
    <xf numFmtId="181" fontId="4" fillId="0" borderId="25" xfId="0" applyNumberFormat="1" applyFont="1" applyBorder="1" applyAlignment="1">
      <alignment horizontal="right" vertical="center"/>
    </xf>
    <xf numFmtId="0" fontId="4" fillId="0" borderId="203" xfId="0" applyFont="1" applyBorder="1" applyAlignment="1">
      <alignment horizontal="center" vertical="center"/>
    </xf>
    <xf numFmtId="0" fontId="4" fillId="0" borderId="204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205" xfId="0" applyFont="1" applyBorder="1" applyAlignment="1">
      <alignment horizontal="center" vertical="center"/>
    </xf>
    <xf numFmtId="0" fontId="30" fillId="0" borderId="139" xfId="0" applyFont="1" applyBorder="1" applyAlignment="1">
      <alignment vertical="center"/>
    </xf>
    <xf numFmtId="0" fontId="30" fillId="0" borderId="45" xfId="0" applyFont="1" applyBorder="1" applyAlignment="1">
      <alignment vertical="center"/>
    </xf>
    <xf numFmtId="0" fontId="31" fillId="0" borderId="202" xfId="0" applyFont="1" applyBorder="1" applyAlignment="1">
      <alignment horizontal="center" vertical="center"/>
    </xf>
    <xf numFmtId="181" fontId="31" fillId="0" borderId="196" xfId="0" applyNumberFormat="1" applyFont="1" applyBorder="1" applyAlignment="1">
      <alignment horizontal="right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top"/>
    </xf>
    <xf numFmtId="0" fontId="30" fillId="0" borderId="11" xfId="0" applyFont="1" applyBorder="1" applyAlignment="1">
      <alignment vertical="center"/>
    </xf>
    <xf numFmtId="0" fontId="31" fillId="0" borderId="203" xfId="0" applyFont="1" applyBorder="1" applyAlignment="1">
      <alignment horizontal="center" vertical="center"/>
    </xf>
    <xf numFmtId="181" fontId="31" fillId="0" borderId="197" xfId="0" applyNumberFormat="1" applyFont="1" applyBorder="1" applyAlignment="1">
      <alignment horizontal="right" vertical="center"/>
    </xf>
    <xf numFmtId="0" fontId="30" fillId="0" borderId="71" xfId="0" applyFont="1" applyBorder="1" applyAlignment="1">
      <alignment vertical="center"/>
    </xf>
    <xf numFmtId="0" fontId="30" fillId="0" borderId="140" xfId="0" applyFont="1" applyBorder="1" applyAlignment="1">
      <alignment vertical="center"/>
    </xf>
    <xf numFmtId="0" fontId="30" fillId="0" borderId="137" xfId="0" applyFont="1" applyBorder="1" applyAlignment="1">
      <alignment vertical="center"/>
    </xf>
    <xf numFmtId="0" fontId="31" fillId="0" borderId="204" xfId="0" applyFont="1" applyBorder="1" applyAlignment="1">
      <alignment horizontal="center" vertical="center"/>
    </xf>
    <xf numFmtId="181" fontId="31" fillId="0" borderId="206" xfId="0" applyNumberFormat="1" applyFont="1" applyBorder="1" applyAlignment="1">
      <alignment horizontal="right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1" fillId="0" borderId="0" xfId="0" applyFont="1" applyAlignment="1">
      <alignment horizontal="right" vertical="center"/>
    </xf>
    <xf numFmtId="0" fontId="30" fillId="0" borderId="201" xfId="0" applyFont="1" applyBorder="1" applyAlignment="1">
      <alignment horizontal="center" vertical="center"/>
    </xf>
    <xf numFmtId="0" fontId="30" fillId="0" borderId="117" xfId="0" applyFont="1" applyBorder="1" applyAlignment="1">
      <alignment vertical="center"/>
    </xf>
    <xf numFmtId="181" fontId="31" fillId="0" borderId="199" xfId="0" applyNumberFormat="1" applyFont="1" applyBorder="1" applyAlignment="1">
      <alignment horizontal="right" vertical="center"/>
    </xf>
    <xf numFmtId="0" fontId="30" fillId="0" borderId="10" xfId="0" applyFont="1" applyBorder="1" applyAlignment="1">
      <alignment vertical="center"/>
    </xf>
    <xf numFmtId="0" fontId="30" fillId="0" borderId="22" xfId="0" applyFont="1" applyBorder="1" applyAlignment="1">
      <alignment vertical="center"/>
    </xf>
    <xf numFmtId="0" fontId="30" fillId="0" borderId="36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30" fillId="0" borderId="33" xfId="0" applyFont="1" applyBorder="1" applyAlignment="1">
      <alignment vertical="center"/>
    </xf>
    <xf numFmtId="0" fontId="30" fillId="0" borderId="74" xfId="0" applyFont="1" applyBorder="1" applyAlignment="1">
      <alignment vertical="center"/>
    </xf>
    <xf numFmtId="0" fontId="30" fillId="0" borderId="191" xfId="0" applyFont="1" applyBorder="1" applyAlignment="1">
      <alignment horizontal="center" vertical="center"/>
    </xf>
    <xf numFmtId="0" fontId="20" fillId="0" borderId="9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30" fillId="0" borderId="2" xfId="0" applyFont="1" applyBorder="1" applyAlignment="1">
      <alignment vertical="center"/>
    </xf>
    <xf numFmtId="0" fontId="30" fillId="0" borderId="135" xfId="0" applyFont="1" applyBorder="1" applyAlignment="1">
      <alignment vertical="center"/>
    </xf>
    <xf numFmtId="181" fontId="31" fillId="0" borderId="135" xfId="0" applyNumberFormat="1" applyFont="1" applyBorder="1" applyAlignment="1">
      <alignment horizontal="right" vertical="center"/>
    </xf>
    <xf numFmtId="0" fontId="30" fillId="0" borderId="136" xfId="0" applyFont="1" applyBorder="1" applyAlignment="1">
      <alignment vertical="center"/>
    </xf>
    <xf numFmtId="0" fontId="31" fillId="0" borderId="0" xfId="0" applyFont="1" applyAlignment="1">
      <alignment horizontal="left" vertical="top"/>
    </xf>
    <xf numFmtId="0" fontId="4" fillId="0" borderId="35" xfId="0" applyNumberFormat="1" applyFont="1" applyBorder="1" applyAlignment="1">
      <alignment horizontal="center" vertical="center"/>
    </xf>
    <xf numFmtId="0" fontId="4" fillId="0" borderId="126" xfId="0" applyNumberFormat="1" applyFont="1" applyBorder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4" fillId="0" borderId="127" xfId="0" applyNumberFormat="1" applyFont="1" applyBorder="1" applyAlignment="1">
      <alignment horizontal="center" vertical="center"/>
    </xf>
    <xf numFmtId="0" fontId="4" fillId="0" borderId="24" xfId="0" applyNumberFormat="1" applyFont="1" applyBorder="1" applyAlignment="1">
      <alignment horizontal="center" vertical="center"/>
    </xf>
    <xf numFmtId="49" fontId="4" fillId="4" borderId="30" xfId="3" applyNumberFormat="1" applyFont="1" applyFill="1" applyBorder="1" applyAlignment="1">
      <alignment horizontal="left" vertical="center"/>
    </xf>
    <xf numFmtId="49" fontId="4" fillId="4" borderId="33" xfId="3" applyNumberFormat="1" applyFont="1" applyFill="1" applyBorder="1" applyAlignment="1">
      <alignment horizontal="left" vertical="center"/>
    </xf>
    <xf numFmtId="49" fontId="4" fillId="4" borderId="30" xfId="3" applyNumberFormat="1" applyFont="1" applyFill="1" applyBorder="1" applyAlignment="1">
      <alignment horizontal="center"/>
    </xf>
    <xf numFmtId="49" fontId="4" fillId="4" borderId="33" xfId="3" applyNumberFormat="1" applyFont="1" applyFill="1" applyBorder="1" applyAlignment="1">
      <alignment horizontal="center"/>
    </xf>
    <xf numFmtId="49" fontId="4" fillId="4" borderId="136" xfId="3" applyNumberFormat="1" applyFont="1" applyFill="1" applyBorder="1" applyAlignment="1">
      <alignment horizontal="center"/>
    </xf>
    <xf numFmtId="182" fontId="7" fillId="2" borderId="89" xfId="0" applyNumberFormat="1" applyFont="1" applyFill="1" applyBorder="1" applyAlignment="1" applyProtection="1">
      <alignment horizontal="right" vertical="center" shrinkToFit="1"/>
      <protection locked="0"/>
    </xf>
    <xf numFmtId="182" fontId="7" fillId="2" borderId="75" xfId="0" applyNumberFormat="1" applyFont="1" applyFill="1" applyBorder="1" applyAlignment="1" applyProtection="1">
      <alignment horizontal="right" vertical="center" shrinkToFit="1"/>
      <protection locked="0"/>
    </xf>
    <xf numFmtId="49" fontId="7" fillId="2" borderId="75" xfId="0" applyNumberFormat="1" applyFont="1" applyFill="1" applyBorder="1" applyAlignment="1">
      <alignment horizontal="center" vertical="center" shrinkToFit="1"/>
    </xf>
    <xf numFmtId="49" fontId="7" fillId="2" borderId="137" xfId="0" applyNumberFormat="1" applyFont="1" applyFill="1" applyBorder="1" applyAlignment="1">
      <alignment horizontal="center" vertical="center" shrinkToFit="1"/>
    </xf>
    <xf numFmtId="181" fontId="7" fillId="2" borderId="89" xfId="0" applyNumberFormat="1" applyFont="1" applyFill="1" applyBorder="1" applyAlignment="1" applyProtection="1">
      <alignment horizontal="right" vertical="center" shrinkToFit="1"/>
      <protection locked="0"/>
    </xf>
    <xf numFmtId="181" fontId="7" fillId="2" borderId="75" xfId="0" applyNumberFormat="1" applyFont="1" applyFill="1" applyBorder="1" applyAlignment="1" applyProtection="1">
      <alignment horizontal="right" vertical="center" shrinkToFit="1"/>
      <protection locked="0"/>
    </xf>
    <xf numFmtId="181" fontId="7" fillId="2" borderId="137" xfId="0" applyNumberFormat="1" applyFont="1" applyFill="1" applyBorder="1" applyAlignment="1" applyProtection="1">
      <alignment horizontal="right" vertical="center" shrinkToFit="1"/>
      <protection locked="0"/>
    </xf>
    <xf numFmtId="49" fontId="4" fillId="4" borderId="52" xfId="3" applyNumberFormat="1" applyFont="1" applyFill="1" applyBorder="1" applyAlignment="1">
      <alignment horizontal="left" vertical="center"/>
    </xf>
    <xf numFmtId="49" fontId="4" fillId="4" borderId="0" xfId="3" applyNumberFormat="1" applyFont="1" applyFill="1" applyAlignment="1">
      <alignment horizontal="left" vertical="center"/>
    </xf>
    <xf numFmtId="49" fontId="4" fillId="4" borderId="52" xfId="3" applyNumberFormat="1" applyFont="1" applyFill="1" applyBorder="1" applyAlignment="1">
      <alignment horizontal="center"/>
    </xf>
    <xf numFmtId="49" fontId="4" fillId="4" borderId="0" xfId="3" applyNumberFormat="1" applyFont="1" applyFill="1" applyAlignment="1">
      <alignment horizontal="center"/>
    </xf>
    <xf numFmtId="49" fontId="4" fillId="4" borderId="138" xfId="3" applyNumberFormat="1" applyFont="1" applyFill="1" applyBorder="1" applyAlignment="1">
      <alignment horizontal="center"/>
    </xf>
    <xf numFmtId="182" fontId="7" fillId="2" borderId="25" xfId="0" applyNumberFormat="1" applyFont="1" applyFill="1" applyBorder="1" applyAlignment="1" applyProtection="1">
      <alignment horizontal="right" vertical="center" shrinkToFit="1"/>
      <protection locked="0"/>
    </xf>
    <xf numFmtId="182" fontId="7" fillId="2" borderId="11" xfId="0" applyNumberFormat="1" applyFont="1" applyFill="1" applyBorder="1" applyAlignment="1" applyProtection="1">
      <alignment horizontal="right" vertical="center" shrinkToFit="1"/>
      <protection locked="0"/>
    </xf>
    <xf numFmtId="49" fontId="7" fillId="2" borderId="11" xfId="0" applyNumberFormat="1" applyFont="1" applyFill="1" applyBorder="1" applyAlignment="1">
      <alignment horizontal="center" vertical="center" shrinkToFit="1"/>
    </xf>
    <xf numFmtId="49" fontId="7" fillId="2" borderId="45" xfId="0" applyNumberFormat="1" applyFont="1" applyFill="1" applyBorder="1" applyAlignment="1">
      <alignment horizontal="center" vertical="center" shrinkToFit="1"/>
    </xf>
    <xf numFmtId="181" fontId="7" fillId="2" borderId="25" xfId="0" applyNumberFormat="1" applyFont="1" applyFill="1" applyBorder="1" applyAlignment="1" applyProtection="1">
      <alignment horizontal="right" vertical="center" shrinkToFit="1"/>
      <protection locked="0"/>
    </xf>
    <xf numFmtId="181" fontId="7" fillId="2" borderId="11" xfId="0" applyNumberFormat="1" applyFont="1" applyFill="1" applyBorder="1" applyAlignment="1" applyProtection="1">
      <alignment horizontal="right" vertical="center" shrinkToFit="1"/>
      <protection locked="0"/>
    </xf>
    <xf numFmtId="181" fontId="7" fillId="2" borderId="45" xfId="0" applyNumberFormat="1" applyFont="1" applyFill="1" applyBorder="1" applyAlignment="1" applyProtection="1">
      <alignment horizontal="right" vertical="center" shrinkToFit="1"/>
      <protection locked="0"/>
    </xf>
    <xf numFmtId="49" fontId="4" fillId="4" borderId="46" xfId="3" applyNumberFormat="1" applyFont="1" applyFill="1" applyBorder="1" applyAlignment="1">
      <alignment horizontal="left" vertical="center"/>
    </xf>
    <xf numFmtId="49" fontId="4" fillId="4" borderId="22" xfId="3" applyNumberFormat="1" applyFont="1" applyFill="1" applyBorder="1" applyAlignment="1">
      <alignment horizontal="left" vertical="center"/>
    </xf>
    <xf numFmtId="49" fontId="4" fillId="4" borderId="131" xfId="3" applyNumberFormat="1" applyFont="1" applyFill="1" applyBorder="1" applyAlignment="1">
      <alignment horizontal="left" vertical="center"/>
    </xf>
    <xf numFmtId="49" fontId="4" fillId="4" borderId="46" xfId="3" applyNumberFormat="1" applyFont="1" applyFill="1" applyBorder="1" applyAlignment="1">
      <alignment horizontal="center"/>
    </xf>
    <xf numFmtId="49" fontId="4" fillId="4" borderId="22" xfId="3" applyNumberFormat="1" applyFont="1" applyFill="1" applyBorder="1" applyAlignment="1">
      <alignment horizontal="center"/>
    </xf>
    <xf numFmtId="49" fontId="4" fillId="4" borderId="132" xfId="3" applyNumberFormat="1" applyFont="1" applyFill="1" applyBorder="1" applyAlignment="1">
      <alignment horizontal="center"/>
    </xf>
    <xf numFmtId="49" fontId="4" fillId="4" borderId="33" xfId="3" applyNumberFormat="1" applyFont="1" applyFill="1" applyBorder="1" applyAlignment="1">
      <alignment horizontal="left" vertical="center" shrinkToFit="1"/>
    </xf>
    <xf numFmtId="49" fontId="4" fillId="4" borderId="123" xfId="3" applyNumberFormat="1" applyFont="1" applyFill="1" applyBorder="1" applyAlignment="1">
      <alignment horizontal="left" vertical="center"/>
    </xf>
    <xf numFmtId="49" fontId="4" fillId="4" borderId="9" xfId="3" applyNumberFormat="1" applyFont="1" applyFill="1" applyBorder="1" applyAlignment="1">
      <alignment horizontal="left" vertical="center"/>
    </xf>
    <xf numFmtId="49" fontId="4" fillId="4" borderId="133" xfId="3" applyNumberFormat="1" applyFont="1" applyFill="1" applyBorder="1" applyAlignment="1">
      <alignment horizontal="center" vertical="center" shrinkToFit="1"/>
    </xf>
    <xf numFmtId="49" fontId="4" fillId="4" borderId="9" xfId="3" applyNumberFormat="1" applyFont="1" applyFill="1" applyBorder="1" applyAlignment="1">
      <alignment horizontal="center" vertical="center" shrinkToFit="1"/>
    </xf>
    <xf numFmtId="49" fontId="4" fillId="4" borderId="134" xfId="3" applyNumberFormat="1" applyFont="1" applyFill="1" applyBorder="1" applyAlignment="1">
      <alignment horizontal="center" vertical="center" shrinkToFit="1"/>
    </xf>
    <xf numFmtId="182" fontId="7" fillId="2" borderId="1" xfId="0" applyNumberFormat="1" applyFont="1" applyFill="1" applyBorder="1" applyAlignment="1" applyProtection="1">
      <alignment horizontal="right" vertical="center" shrinkToFit="1"/>
      <protection locked="0"/>
    </xf>
    <xf numFmtId="182" fontId="7" fillId="2" borderId="117" xfId="0" applyNumberFormat="1" applyFont="1" applyFill="1" applyBorder="1" applyAlignment="1" applyProtection="1">
      <alignment horizontal="right" vertical="center" shrinkToFit="1"/>
      <protection locked="0"/>
    </xf>
    <xf numFmtId="49" fontId="7" fillId="2" borderId="117" xfId="0" applyNumberFormat="1" applyFont="1" applyFill="1" applyBorder="1" applyAlignment="1">
      <alignment horizontal="center" vertical="center" shrinkToFit="1"/>
    </xf>
    <xf numFmtId="49" fontId="7" fillId="2" borderId="135" xfId="0" applyNumberFormat="1" applyFont="1" applyFill="1" applyBorder="1" applyAlignment="1">
      <alignment horizontal="center" vertical="center" shrinkToFit="1"/>
    </xf>
    <xf numFmtId="181" fontId="7" fillId="2" borderId="1" xfId="0" applyNumberFormat="1" applyFont="1" applyFill="1" applyBorder="1" applyAlignment="1" applyProtection="1">
      <alignment horizontal="right" vertical="center" shrinkToFit="1"/>
      <protection locked="0"/>
    </xf>
    <xf numFmtId="181" fontId="7" fillId="2" borderId="117" xfId="0" applyNumberFormat="1" applyFont="1" applyFill="1" applyBorder="1" applyAlignment="1" applyProtection="1">
      <alignment horizontal="right" vertical="center" shrinkToFit="1"/>
      <protection locked="0"/>
    </xf>
    <xf numFmtId="181" fontId="7" fillId="2" borderId="135" xfId="0" applyNumberFormat="1" applyFont="1" applyFill="1" applyBorder="1" applyAlignment="1" applyProtection="1">
      <alignment horizontal="right" vertical="center" shrinkToFit="1"/>
      <protection locked="0"/>
    </xf>
    <xf numFmtId="49" fontId="4" fillId="4" borderId="129" xfId="3" applyNumberFormat="1" applyFont="1" applyFill="1" applyBorder="1" applyAlignment="1">
      <alignment horizontal="left" vertical="center"/>
    </xf>
    <xf numFmtId="49" fontId="4" fillId="4" borderId="124" xfId="3" applyNumberFormat="1" applyFont="1" applyFill="1" applyBorder="1" applyAlignment="1">
      <alignment horizontal="left" vertical="center"/>
    </xf>
    <xf numFmtId="49" fontId="4" fillId="4" borderId="130" xfId="3" applyNumberFormat="1" applyFont="1" applyFill="1" applyBorder="1" applyAlignment="1">
      <alignment horizontal="left" vertical="center"/>
    </xf>
    <xf numFmtId="49" fontId="4" fillId="4" borderId="128" xfId="3" applyNumberFormat="1" applyFont="1" applyFill="1" applyBorder="1" applyAlignment="1">
      <alignment horizontal="center" vertical="center" shrinkToFit="1"/>
    </xf>
    <xf numFmtId="49" fontId="4" fillId="4" borderId="124" xfId="3" applyNumberFormat="1" applyFont="1" applyFill="1" applyBorder="1" applyAlignment="1">
      <alignment horizontal="center" vertical="center" shrinkToFit="1"/>
    </xf>
    <xf numFmtId="49" fontId="4" fillId="4" borderId="125" xfId="3" applyNumberFormat="1" applyFont="1" applyFill="1" applyBorder="1" applyAlignment="1">
      <alignment horizontal="center" vertical="center" shrinkToFit="1"/>
    </xf>
    <xf numFmtId="182" fontId="7" fillId="2" borderId="128" xfId="0" applyNumberFormat="1" applyFont="1" applyFill="1" applyBorder="1" applyAlignment="1" applyProtection="1">
      <alignment horizontal="right" vertical="center" shrinkToFit="1"/>
      <protection locked="0"/>
    </xf>
    <xf numFmtId="182" fontId="7" fillId="2" borderId="124" xfId="0" applyNumberFormat="1" applyFont="1" applyFill="1" applyBorder="1" applyAlignment="1" applyProtection="1">
      <alignment horizontal="right" vertical="center" shrinkToFit="1"/>
      <protection locked="0"/>
    </xf>
    <xf numFmtId="49" fontId="7" fillId="2" borderId="124" xfId="0" applyNumberFormat="1" applyFont="1" applyFill="1" applyBorder="1" applyAlignment="1">
      <alignment horizontal="center" vertical="center" shrinkToFit="1"/>
    </xf>
    <xf numFmtId="49" fontId="7" fillId="2" borderId="125" xfId="0" applyNumberFormat="1" applyFont="1" applyFill="1" applyBorder="1" applyAlignment="1">
      <alignment horizontal="center" vertical="center" shrinkToFit="1"/>
    </xf>
    <xf numFmtId="181" fontId="7" fillId="2" borderId="129" xfId="0" applyNumberFormat="1" applyFont="1" applyFill="1" applyBorder="1" applyAlignment="1" applyProtection="1">
      <alignment horizontal="right" vertical="center" shrinkToFit="1"/>
      <protection locked="0"/>
    </xf>
    <xf numFmtId="181" fontId="7" fillId="2" borderId="124" xfId="0" applyNumberFormat="1" applyFont="1" applyFill="1" applyBorder="1" applyAlignment="1" applyProtection="1">
      <alignment horizontal="right" vertical="center" shrinkToFit="1"/>
      <protection locked="0"/>
    </xf>
    <xf numFmtId="181" fontId="7" fillId="2" borderId="125" xfId="0" applyNumberFormat="1" applyFont="1" applyFill="1" applyBorder="1" applyAlignment="1" applyProtection="1">
      <alignment horizontal="right" vertical="center" shrinkToFit="1"/>
      <protection locked="0"/>
    </xf>
    <xf numFmtId="49" fontId="4" fillId="4" borderId="126" xfId="3" applyNumberFormat="1" applyFont="1" applyFill="1" applyBorder="1" applyAlignment="1">
      <alignment horizontal="left" vertical="center"/>
    </xf>
    <xf numFmtId="49" fontId="4" fillId="4" borderId="32" xfId="3" applyNumberFormat="1" applyFont="1" applyFill="1" applyBorder="1" applyAlignment="1">
      <alignment horizontal="left" vertical="center"/>
    </xf>
    <xf numFmtId="182" fontId="7" fillId="2" borderId="129" xfId="0" applyNumberFormat="1" applyFont="1" applyFill="1" applyBorder="1" applyAlignment="1" applyProtection="1">
      <alignment horizontal="right" vertical="center" shrinkToFit="1"/>
      <protection locked="0"/>
    </xf>
    <xf numFmtId="0" fontId="11" fillId="2" borderId="0" xfId="6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2" fillId="4" borderId="10" xfId="0" applyFont="1" applyFill="1" applyBorder="1" applyAlignment="1">
      <alignment horizontal="right" vertical="center"/>
    </xf>
    <xf numFmtId="49" fontId="22" fillId="4" borderId="10" xfId="0" applyNumberFormat="1" applyFont="1" applyFill="1" applyBorder="1" applyAlignment="1">
      <alignment horizontal="left" vertical="center"/>
    </xf>
    <xf numFmtId="0" fontId="22" fillId="4" borderId="11" xfId="0" applyFont="1" applyFill="1" applyBorder="1" applyAlignment="1">
      <alignment horizontal="right" vertical="center"/>
    </xf>
    <xf numFmtId="49" fontId="22" fillId="4" borderId="11" xfId="0" applyNumberFormat="1" applyFont="1" applyFill="1" applyBorder="1" applyAlignment="1">
      <alignment horizontal="left" vertical="center"/>
    </xf>
    <xf numFmtId="49" fontId="4" fillId="4" borderId="12" xfId="3" applyNumberFormat="1" applyFont="1" applyFill="1" applyBorder="1" applyAlignment="1">
      <alignment horizontal="center" vertical="center" wrapText="1"/>
    </xf>
    <xf numFmtId="49" fontId="4" fillId="4" borderId="5" xfId="3" applyNumberFormat="1" applyFont="1" applyFill="1" applyBorder="1" applyAlignment="1">
      <alignment horizontal="center" vertical="center" wrapText="1"/>
    </xf>
    <xf numFmtId="49" fontId="4" fillId="4" borderId="14" xfId="3" applyNumberFormat="1" applyFont="1" applyFill="1" applyBorder="1" applyAlignment="1">
      <alignment horizontal="center" vertical="center" wrapText="1"/>
    </xf>
    <xf numFmtId="49" fontId="4" fillId="4" borderId="18" xfId="3" applyNumberFormat="1" applyFont="1" applyFill="1" applyBorder="1" applyAlignment="1">
      <alignment horizontal="center" vertical="center" wrapText="1"/>
    </xf>
    <xf numFmtId="49" fontId="4" fillId="4" borderId="2" xfId="3" applyNumberFormat="1" applyFont="1" applyFill="1" applyBorder="1" applyAlignment="1">
      <alignment horizontal="center" vertical="center" wrapText="1"/>
    </xf>
    <xf numFmtId="49" fontId="4" fillId="4" borderId="74" xfId="3" applyNumberFormat="1" applyFont="1" applyFill="1" applyBorder="1" applyAlignment="1">
      <alignment horizontal="center" vertical="center" wrapText="1"/>
    </xf>
    <xf numFmtId="49" fontId="4" fillId="4" borderId="13" xfId="3" applyNumberFormat="1" applyFont="1" applyFill="1" applyBorder="1" applyAlignment="1">
      <alignment horizontal="center" vertical="center" wrapText="1"/>
    </xf>
    <xf numFmtId="49" fontId="4" fillId="4" borderId="15" xfId="3" applyNumberFormat="1" applyFont="1" applyFill="1" applyBorder="1" applyAlignment="1">
      <alignment horizontal="center" vertical="center" wrapText="1"/>
    </xf>
    <xf numFmtId="181" fontId="7" fillId="4" borderId="129" xfId="0" applyNumberFormat="1" applyFont="1" applyFill="1" applyBorder="1" applyAlignment="1" applyProtection="1">
      <alignment horizontal="right" vertical="center" shrinkToFit="1"/>
      <protection locked="0"/>
    </xf>
    <xf numFmtId="181" fontId="7" fillId="4" borderId="124" xfId="0" applyNumberFormat="1" applyFont="1" applyFill="1" applyBorder="1" applyAlignment="1" applyProtection="1">
      <alignment horizontal="right" vertical="center" shrinkToFit="1"/>
      <protection locked="0"/>
    </xf>
    <xf numFmtId="181" fontId="7" fillId="4" borderId="125" xfId="0" applyNumberFormat="1" applyFont="1" applyFill="1" applyBorder="1" applyAlignment="1" applyProtection="1">
      <alignment horizontal="right" vertical="center" shrinkToFit="1"/>
      <protection locked="0"/>
    </xf>
    <xf numFmtId="49" fontId="4" fillId="4" borderId="0" xfId="0" applyNumberFormat="1" applyFont="1" applyFill="1" applyAlignment="1">
      <alignment horizontal="center" vertical="center"/>
    </xf>
    <xf numFmtId="49" fontId="4" fillId="4" borderId="138" xfId="0" applyNumberFormat="1" applyFont="1" applyFill="1" applyBorder="1" applyAlignment="1">
      <alignment horizontal="center" vertical="center"/>
    </xf>
    <xf numFmtId="181" fontId="7" fillId="3" borderId="129" xfId="0" applyNumberFormat="1" applyFont="1" applyFill="1" applyBorder="1" applyAlignment="1">
      <alignment horizontal="right" vertical="center" shrinkToFit="1"/>
    </xf>
    <xf numFmtId="181" fontId="7" fillId="3" borderId="124" xfId="0" applyNumberFormat="1" applyFont="1" applyFill="1" applyBorder="1" applyAlignment="1">
      <alignment horizontal="right" vertical="center" shrinkToFit="1"/>
    </xf>
    <xf numFmtId="181" fontId="7" fillId="3" borderId="125" xfId="0" applyNumberFormat="1" applyFont="1" applyFill="1" applyBorder="1" applyAlignment="1">
      <alignment horizontal="right" vertical="center" shrinkToFit="1"/>
    </xf>
    <xf numFmtId="49" fontId="4" fillId="4" borderId="30" xfId="0" applyNumberFormat="1" applyFont="1" applyFill="1" applyBorder="1" applyAlignment="1">
      <alignment horizontal="left" vertical="center"/>
    </xf>
    <xf numFmtId="49" fontId="4" fillId="4" borderId="33" xfId="0" applyNumberFormat="1" applyFont="1" applyFill="1" applyBorder="1" applyAlignment="1">
      <alignment horizontal="left" vertical="center"/>
    </xf>
    <xf numFmtId="49" fontId="4" fillId="4" borderId="140" xfId="0" applyNumberFormat="1" applyFont="1" applyFill="1" applyBorder="1" applyAlignment="1">
      <alignment horizontal="left" vertical="center"/>
    </xf>
    <xf numFmtId="49" fontId="4" fillId="4" borderId="30" xfId="0" applyNumberFormat="1" applyFont="1" applyFill="1" applyBorder="1" applyAlignment="1">
      <alignment horizontal="center" vertical="center" shrinkToFit="1"/>
    </xf>
    <xf numFmtId="49" fontId="4" fillId="4" borderId="33" xfId="0" applyNumberFormat="1" applyFont="1" applyFill="1" applyBorder="1" applyAlignment="1">
      <alignment horizontal="center" vertical="center" shrinkToFit="1"/>
    </xf>
    <xf numFmtId="49" fontId="4" fillId="4" borderId="136" xfId="0" applyNumberFormat="1" applyFont="1" applyFill="1" applyBorder="1" applyAlignment="1">
      <alignment horizontal="center" vertical="center" shrinkToFit="1"/>
    </xf>
    <xf numFmtId="49" fontId="4" fillId="4" borderId="52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Alignment="1">
      <alignment horizontal="left" vertical="center"/>
    </xf>
    <xf numFmtId="49" fontId="4" fillId="4" borderId="139" xfId="0" applyNumberFormat="1" applyFont="1" applyFill="1" applyBorder="1" applyAlignment="1">
      <alignment horizontal="left" vertical="center"/>
    </xf>
    <xf numFmtId="49" fontId="4" fillId="4" borderId="52" xfId="0" applyNumberFormat="1" applyFont="1" applyFill="1" applyBorder="1" applyAlignment="1">
      <alignment horizontal="center" vertical="center" shrinkToFit="1"/>
    </xf>
    <xf numFmtId="49" fontId="4" fillId="4" borderId="0" xfId="0" applyNumberFormat="1" applyFont="1" applyFill="1" applyAlignment="1">
      <alignment horizontal="center" vertical="center" shrinkToFit="1"/>
    </xf>
    <xf numFmtId="49" fontId="4" fillId="4" borderId="138" xfId="0" applyNumberFormat="1" applyFont="1" applyFill="1" applyBorder="1" applyAlignment="1">
      <alignment horizontal="center" vertical="center" shrinkToFit="1"/>
    </xf>
    <xf numFmtId="49" fontId="4" fillId="4" borderId="30" xfId="0" applyNumberFormat="1" applyFont="1" applyFill="1" applyBorder="1" applyAlignment="1">
      <alignment horizontal="center"/>
    </xf>
    <xf numFmtId="49" fontId="4" fillId="4" borderId="33" xfId="0" applyNumberFormat="1" applyFont="1" applyFill="1" applyBorder="1" applyAlignment="1">
      <alignment horizontal="center"/>
    </xf>
    <xf numFmtId="49" fontId="4" fillId="4" borderId="136" xfId="0" applyNumberFormat="1" applyFont="1" applyFill="1" applyBorder="1" applyAlignment="1">
      <alignment horizontal="center"/>
    </xf>
    <xf numFmtId="49" fontId="4" fillId="4" borderId="52" xfId="0" applyNumberFormat="1" applyFont="1" applyFill="1" applyBorder="1" applyAlignment="1">
      <alignment horizontal="center"/>
    </xf>
    <xf numFmtId="49" fontId="4" fillId="4" borderId="0" xfId="0" applyNumberFormat="1" applyFont="1" applyFill="1" applyAlignment="1">
      <alignment horizontal="center"/>
    </xf>
    <xf numFmtId="49" fontId="4" fillId="4" borderId="138" xfId="0" applyNumberFormat="1" applyFont="1" applyFill="1" applyBorder="1" applyAlignment="1">
      <alignment horizontal="center"/>
    </xf>
    <xf numFmtId="49" fontId="4" fillId="4" borderId="46" xfId="0" applyNumberFormat="1" applyFont="1" applyFill="1" applyBorder="1" applyAlignment="1">
      <alignment horizontal="left" vertical="center"/>
    </xf>
    <xf numFmtId="49" fontId="4" fillId="4" borderId="22" xfId="0" applyNumberFormat="1" applyFont="1" applyFill="1" applyBorder="1" applyAlignment="1">
      <alignment horizontal="left" vertical="center"/>
    </xf>
    <xf numFmtId="49" fontId="4" fillId="4" borderId="131" xfId="0" applyNumberFormat="1" applyFont="1" applyFill="1" applyBorder="1" applyAlignment="1">
      <alignment horizontal="left" vertical="center"/>
    </xf>
    <xf numFmtId="49" fontId="4" fillId="4" borderId="46" xfId="0" applyNumberFormat="1" applyFont="1" applyFill="1" applyBorder="1" applyAlignment="1">
      <alignment horizontal="center"/>
    </xf>
    <xf numFmtId="49" fontId="4" fillId="4" borderId="22" xfId="0" applyNumberFormat="1" applyFont="1" applyFill="1" applyBorder="1" applyAlignment="1">
      <alignment horizontal="center"/>
    </xf>
    <xf numFmtId="49" fontId="4" fillId="4" borderId="132" xfId="0" applyNumberFormat="1" applyFont="1" applyFill="1" applyBorder="1" applyAlignment="1">
      <alignment horizontal="center"/>
    </xf>
    <xf numFmtId="49" fontId="4" fillId="4" borderId="33" xfId="0" applyNumberFormat="1" applyFont="1" applyFill="1" applyBorder="1" applyAlignment="1">
      <alignment horizontal="left" vertical="center" shrinkToFit="1"/>
    </xf>
    <xf numFmtId="49" fontId="4" fillId="4" borderId="123" xfId="0" applyNumberFormat="1" applyFont="1" applyFill="1" applyBorder="1" applyAlignment="1">
      <alignment horizontal="left" vertical="center"/>
    </xf>
    <xf numFmtId="49" fontId="4" fillId="4" borderId="9" xfId="0" applyNumberFormat="1" applyFont="1" applyFill="1" applyBorder="1" applyAlignment="1">
      <alignment horizontal="left" vertical="center"/>
    </xf>
    <xf numFmtId="49" fontId="4" fillId="4" borderId="133" xfId="0" applyNumberFormat="1" applyFont="1" applyFill="1" applyBorder="1" applyAlignment="1">
      <alignment horizontal="center" vertical="center" shrinkToFit="1"/>
    </xf>
    <xf numFmtId="49" fontId="4" fillId="4" borderId="9" xfId="0" applyNumberFormat="1" applyFont="1" applyFill="1" applyBorder="1" applyAlignment="1">
      <alignment horizontal="center" vertical="center" shrinkToFit="1"/>
    </xf>
    <xf numFmtId="49" fontId="4" fillId="4" borderId="134" xfId="0" applyNumberFormat="1" applyFont="1" applyFill="1" applyBorder="1" applyAlignment="1">
      <alignment horizontal="center" vertical="center" shrinkToFit="1"/>
    </xf>
    <xf numFmtId="0" fontId="11" fillId="0" borderId="0" xfId="5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left" vertical="center" wrapText="1"/>
    </xf>
    <xf numFmtId="0" fontId="4" fillId="0" borderId="2" xfId="0" applyNumberFormat="1" applyFont="1" applyBorder="1" applyAlignment="1">
      <alignment horizontal="left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3" xfId="0" applyNumberFormat="1" applyFont="1" applyBorder="1" applyAlignment="1">
      <alignment horizontal="left" vertical="center" wrapText="1"/>
    </xf>
    <xf numFmtId="181" fontId="7" fillId="9" borderId="115" xfId="0" applyNumberFormat="1" applyFont="1" applyFill="1" applyBorder="1" applyAlignment="1">
      <alignment horizontal="right" vertical="center" shrinkToFit="1"/>
    </xf>
    <xf numFmtId="181" fontId="7" fillId="0" borderId="141" xfId="0" applyNumberFormat="1" applyFont="1" applyBorder="1" applyAlignment="1">
      <alignment horizontal="right" vertical="center" shrinkToFit="1"/>
    </xf>
    <xf numFmtId="181" fontId="7" fillId="8" borderId="115" xfId="0" applyNumberFormat="1" applyFont="1" applyFill="1" applyBorder="1" applyAlignment="1">
      <alignment horizontal="right" vertical="center" shrinkToFit="1"/>
    </xf>
    <xf numFmtId="181" fontId="7" fillId="8" borderId="142" xfId="0" applyNumberFormat="1" applyFont="1" applyFill="1" applyBorder="1" applyAlignment="1">
      <alignment horizontal="right" vertical="center" shrinkToFit="1"/>
    </xf>
    <xf numFmtId="181" fontId="7" fillId="2" borderId="115" xfId="0" applyNumberFormat="1" applyFont="1" applyFill="1" applyBorder="1" applyAlignment="1">
      <alignment horizontal="right" vertical="center" shrinkToFit="1"/>
    </xf>
    <xf numFmtId="181" fontId="7" fillId="0" borderId="142" xfId="0" applyNumberFormat="1" applyFont="1" applyBorder="1" applyAlignment="1">
      <alignment horizontal="right" vertical="center" shrinkToFit="1"/>
    </xf>
    <xf numFmtId="0" fontId="4" fillId="0" borderId="2" xfId="0" applyNumberFormat="1" applyFont="1" applyBorder="1" applyAlignment="1">
      <alignment horizontal="center" vertical="center"/>
    </xf>
    <xf numFmtId="0" fontId="4" fillId="0" borderId="13" xfId="0" applyNumberFormat="1" applyFont="1" applyBorder="1" applyAlignment="1">
      <alignment horizontal="left" vertical="center"/>
    </xf>
    <xf numFmtId="0" fontId="4" fillId="0" borderId="12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26" xfId="0" applyFont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44" xfId="0" applyFont="1" applyBorder="1" applyAlignment="1">
      <alignment horizontal="center" vertical="center"/>
    </xf>
    <xf numFmtId="0" fontId="4" fillId="0" borderId="53" xfId="0" applyFont="1" applyBorder="1" applyAlignment="1">
      <alignment horizontal="left" vertical="center" shrinkToFit="1"/>
    </xf>
    <xf numFmtId="0" fontId="20" fillId="0" borderId="145" xfId="0" applyFont="1" applyBorder="1" applyAlignment="1">
      <alignment horizontal="left" vertical="center" shrinkToFit="1"/>
    </xf>
    <xf numFmtId="0" fontId="4" fillId="0" borderId="145" xfId="0" applyFont="1" applyBorder="1" applyAlignment="1">
      <alignment horizontal="left" vertical="center" shrinkToFit="1"/>
    </xf>
    <xf numFmtId="0" fontId="4" fillId="0" borderId="89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4" fillId="0" borderId="64" xfId="0" applyFont="1" applyBorder="1" applyAlignment="1">
      <alignment horizontal="left" vertical="center" shrinkToFit="1"/>
    </xf>
    <xf numFmtId="0" fontId="20" fillId="0" borderId="146" xfId="0" applyFont="1" applyBorder="1" applyAlignment="1">
      <alignment horizontal="left" vertical="center" shrinkToFit="1"/>
    </xf>
    <xf numFmtId="0" fontId="4" fillId="0" borderId="179" xfId="0" applyFont="1" applyBorder="1" applyAlignment="1">
      <alignment horizontal="left" vertical="center" shrinkToFit="1"/>
    </xf>
    <xf numFmtId="0" fontId="4" fillId="0" borderId="144" xfId="0" applyFont="1" applyBorder="1" applyAlignment="1">
      <alignment horizontal="left" vertical="center" shrinkToFit="1"/>
    </xf>
    <xf numFmtId="0" fontId="4" fillId="0" borderId="53" xfId="0" applyFont="1" applyBorder="1" applyAlignment="1">
      <alignment vertical="center" shrinkToFit="1"/>
    </xf>
    <xf numFmtId="0" fontId="4" fillId="0" borderId="55" xfId="0" applyFont="1" applyBorder="1" applyAlignment="1">
      <alignment vertical="center" shrinkToFit="1"/>
    </xf>
    <xf numFmtId="0" fontId="20" fillId="0" borderId="144" xfId="0" applyFont="1" applyBorder="1" applyAlignment="1">
      <alignment horizontal="left" vertical="center" shrinkToFit="1"/>
    </xf>
    <xf numFmtId="0" fontId="4" fillId="0" borderId="55" xfId="0" applyFont="1" applyBorder="1" applyAlignment="1">
      <alignment horizontal="left" vertical="center" shrinkToFit="1"/>
    </xf>
    <xf numFmtId="0" fontId="4" fillId="0" borderId="10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center" vertical="center"/>
    </xf>
    <xf numFmtId="0" fontId="4" fillId="0" borderId="147" xfId="0" applyFont="1" applyBorder="1" applyAlignment="1">
      <alignment horizontal="center" vertical="center"/>
    </xf>
    <xf numFmtId="0" fontId="11" fillId="0" borderId="0" xfId="6" applyFont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 shrinkToFit="1"/>
    </xf>
    <xf numFmtId="0" fontId="4" fillId="0" borderId="37" xfId="0" applyFont="1" applyBorder="1" applyAlignment="1">
      <alignment horizontal="left" vertical="center" shrinkToFit="1"/>
    </xf>
    <xf numFmtId="0" fontId="4" fillId="4" borderId="36" xfId="0" applyFont="1" applyFill="1" applyBorder="1" applyAlignment="1">
      <alignment horizontal="left" vertical="center" wrapText="1" shrinkToFit="1"/>
    </xf>
    <xf numFmtId="0" fontId="4" fillId="4" borderId="37" xfId="0" applyFont="1" applyFill="1" applyBorder="1" applyAlignment="1">
      <alignment horizontal="left" vertical="center" wrapText="1" shrinkToFit="1"/>
    </xf>
    <xf numFmtId="0" fontId="4" fillId="4" borderId="1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left" vertical="center" shrinkToFit="1"/>
    </xf>
    <xf numFmtId="0" fontId="4" fillId="4" borderId="37" xfId="0" applyFont="1" applyFill="1" applyBorder="1" applyAlignment="1">
      <alignment horizontal="left" vertical="center" shrinkToFit="1"/>
    </xf>
    <xf numFmtId="0" fontId="4" fillId="4" borderId="25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left" vertical="center"/>
    </xf>
    <xf numFmtId="0" fontId="4" fillId="4" borderId="37" xfId="0" applyFont="1" applyFill="1" applyBorder="1" applyAlignment="1">
      <alignment horizontal="left" vertical="center"/>
    </xf>
    <xf numFmtId="0" fontId="4" fillId="4" borderId="36" xfId="0" applyFont="1" applyFill="1" applyBorder="1" applyAlignment="1">
      <alignment vertical="center"/>
    </xf>
    <xf numFmtId="0" fontId="4" fillId="4" borderId="37" xfId="0" applyFont="1" applyFill="1" applyBorder="1" applyAlignment="1">
      <alignment vertical="center"/>
    </xf>
    <xf numFmtId="0" fontId="4" fillId="0" borderId="129" xfId="0" applyFont="1" applyBorder="1" applyAlignment="1">
      <alignment horizontal="left" vertical="center"/>
    </xf>
    <xf numFmtId="0" fontId="4" fillId="0" borderId="124" xfId="0" applyFont="1" applyBorder="1" applyAlignment="1">
      <alignment horizontal="left" vertical="center"/>
    </xf>
    <xf numFmtId="0" fontId="4" fillId="0" borderId="130" xfId="0" applyFont="1" applyBorder="1" applyAlignment="1">
      <alignment horizontal="left" vertical="center"/>
    </xf>
    <xf numFmtId="0" fontId="4" fillId="4" borderId="89" xfId="0" applyFont="1" applyFill="1" applyBorder="1" applyAlignment="1">
      <alignment horizontal="center" vertical="center"/>
    </xf>
    <xf numFmtId="0" fontId="4" fillId="4" borderId="75" xfId="0" applyFont="1" applyFill="1" applyBorder="1" applyAlignment="1">
      <alignment horizontal="center" vertical="center"/>
    </xf>
    <xf numFmtId="0" fontId="4" fillId="4" borderId="90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left" vertical="center"/>
    </xf>
    <xf numFmtId="0" fontId="4" fillId="4" borderId="74" xfId="0" applyFont="1" applyFill="1" applyBorder="1" applyAlignment="1">
      <alignment horizontal="center" vertical="center"/>
    </xf>
    <xf numFmtId="0" fontId="5" fillId="2" borderId="189" xfId="0" applyFont="1" applyFill="1" applyBorder="1" applyAlignment="1">
      <alignment horizontal="center" vertical="center"/>
    </xf>
    <xf numFmtId="0" fontId="5" fillId="2" borderId="189" xfId="0" applyFont="1" applyFill="1" applyBorder="1" applyAlignment="1">
      <alignment vertical="center"/>
    </xf>
    <xf numFmtId="0" fontId="5" fillId="2" borderId="190" xfId="0" applyFont="1" applyFill="1" applyBorder="1" applyAlignment="1">
      <alignment horizontal="center" vertical="center"/>
    </xf>
    <xf numFmtId="0" fontId="5" fillId="2" borderId="190" xfId="0" applyFont="1" applyFill="1" applyBorder="1" applyAlignment="1">
      <alignment vertical="center"/>
    </xf>
    <xf numFmtId="0" fontId="5" fillId="4" borderId="46" xfId="3" applyFont="1" applyFill="1" applyBorder="1" applyAlignment="1">
      <alignment horizontal="center" vertical="center"/>
    </xf>
    <xf numFmtId="0" fontId="5" fillId="4" borderId="22" xfId="3" applyFont="1" applyFill="1" applyBorder="1" applyAlignment="1">
      <alignment horizontal="center" vertical="center"/>
    </xf>
    <xf numFmtId="0" fontId="5" fillId="4" borderId="131" xfId="3" applyFont="1" applyFill="1" applyBorder="1" applyAlignment="1">
      <alignment horizontal="center" vertical="center"/>
    </xf>
    <xf numFmtId="0" fontId="5" fillId="4" borderId="52" xfId="3" applyFont="1" applyFill="1" applyBorder="1" applyAlignment="1">
      <alignment horizontal="center" vertical="center"/>
    </xf>
    <xf numFmtId="0" fontId="5" fillId="4" borderId="0" xfId="3" applyFont="1" applyFill="1" applyAlignment="1">
      <alignment horizontal="center" vertical="center"/>
    </xf>
    <xf numFmtId="0" fontId="5" fillId="4" borderId="139" xfId="3" applyFont="1" applyFill="1" applyBorder="1" applyAlignment="1">
      <alignment horizontal="center" vertical="center"/>
    </xf>
    <xf numFmtId="0" fontId="5" fillId="4" borderId="26" xfId="3" applyFont="1" applyFill="1" applyBorder="1" applyAlignment="1">
      <alignment horizontal="center" vertical="center"/>
    </xf>
    <xf numFmtId="0" fontId="5" fillId="4" borderId="10" xfId="3" applyFont="1" applyFill="1" applyBorder="1" applyAlignment="1">
      <alignment horizontal="center" vertical="center"/>
    </xf>
    <xf numFmtId="0" fontId="5" fillId="4" borderId="144" xfId="3" applyFont="1" applyFill="1" applyBorder="1" applyAlignment="1">
      <alignment horizontal="center" vertical="center"/>
    </xf>
    <xf numFmtId="0" fontId="5" fillId="4" borderId="132" xfId="3" applyFont="1" applyFill="1" applyBorder="1" applyAlignment="1">
      <alignment horizontal="center" vertical="center"/>
    </xf>
    <xf numFmtId="0" fontId="5" fillId="4" borderId="138" xfId="3" applyFont="1" applyFill="1" applyBorder="1" applyAlignment="1">
      <alignment horizontal="center" vertical="center"/>
    </xf>
    <xf numFmtId="0" fontId="5" fillId="4" borderId="71" xfId="3" applyFont="1" applyFill="1" applyBorder="1" applyAlignment="1">
      <alignment horizontal="center" vertical="center"/>
    </xf>
    <xf numFmtId="49" fontId="26" fillId="4" borderId="0" xfId="0" applyNumberFormat="1" applyFont="1" applyFill="1" applyAlignment="1">
      <alignment horizontal="right"/>
    </xf>
    <xf numFmtId="49" fontId="4" fillId="4" borderId="123" xfId="0" applyNumberFormat="1" applyFont="1" applyFill="1" applyBorder="1" applyAlignment="1">
      <alignment horizontal="center" vertical="center"/>
    </xf>
    <xf numFmtId="49" fontId="4" fillId="4" borderId="9" xfId="0" applyNumberFormat="1" applyFont="1" applyFill="1" applyBorder="1" applyAlignment="1">
      <alignment horizontal="center" vertical="center"/>
    </xf>
    <xf numFmtId="49" fontId="4" fillId="4" borderId="134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4" borderId="117" xfId="0" applyNumberFormat="1" applyFont="1" applyFill="1" applyBorder="1" applyAlignment="1">
      <alignment horizontal="center" vertical="center"/>
    </xf>
    <xf numFmtId="49" fontId="4" fillId="4" borderId="135" xfId="0" applyNumberFormat="1" applyFont="1" applyFill="1" applyBorder="1" applyAlignment="1">
      <alignment horizontal="center" vertical="center"/>
    </xf>
    <xf numFmtId="181" fontId="7" fillId="4" borderId="25" xfId="0" applyNumberFormat="1" applyFont="1" applyFill="1" applyBorder="1" applyAlignment="1" applyProtection="1">
      <alignment horizontal="right" vertical="center" shrinkToFit="1"/>
      <protection locked="0"/>
    </xf>
    <xf numFmtId="181" fontId="7" fillId="4" borderId="11" xfId="0" applyNumberFormat="1" applyFont="1" applyFill="1" applyBorder="1" applyAlignment="1" applyProtection="1">
      <alignment horizontal="right" vertical="center" shrinkToFit="1"/>
      <protection locked="0"/>
    </xf>
    <xf numFmtId="181" fontId="7" fillId="4" borderId="45" xfId="0" applyNumberFormat="1" applyFont="1" applyFill="1" applyBorder="1" applyAlignment="1" applyProtection="1">
      <alignment horizontal="right" vertical="center" shrinkToFit="1"/>
      <protection locked="0"/>
    </xf>
    <xf numFmtId="49" fontId="4" fillId="4" borderId="48" xfId="0" applyNumberFormat="1" applyFont="1" applyFill="1" applyBorder="1" applyAlignment="1">
      <alignment horizontal="left" vertical="center"/>
    </xf>
    <xf numFmtId="49" fontId="4" fillId="4" borderId="55" xfId="0" applyNumberFormat="1" applyFont="1" applyFill="1" applyBorder="1" applyAlignment="1">
      <alignment horizontal="left" vertical="center"/>
    </xf>
    <xf numFmtId="49" fontId="4" fillId="4" borderId="26" xfId="0" applyNumberFormat="1" applyFont="1" applyFill="1" applyBorder="1" applyAlignment="1">
      <alignment horizontal="left" vertical="center"/>
    </xf>
    <xf numFmtId="49" fontId="4" fillId="4" borderId="10" xfId="0" applyNumberFormat="1" applyFont="1" applyFill="1" applyBorder="1" applyAlignment="1">
      <alignment horizontal="left" vertical="center"/>
    </xf>
    <xf numFmtId="49" fontId="4" fillId="4" borderId="21" xfId="0" applyNumberFormat="1" applyFont="1" applyFill="1" applyBorder="1" applyAlignment="1">
      <alignment horizontal="left" vertical="center"/>
    </xf>
    <xf numFmtId="49" fontId="4" fillId="4" borderId="7" xfId="0" applyNumberFormat="1" applyFont="1" applyFill="1" applyBorder="1" applyAlignment="1">
      <alignment horizontal="left" vertical="center"/>
    </xf>
    <xf numFmtId="49" fontId="4" fillId="4" borderId="144" xfId="0" applyNumberFormat="1" applyFont="1" applyFill="1" applyBorder="1" applyAlignment="1">
      <alignment horizontal="left" vertical="center"/>
    </xf>
    <xf numFmtId="49" fontId="4" fillId="4" borderId="63" xfId="0" applyNumberFormat="1" applyFont="1" applyFill="1" applyBorder="1" applyAlignment="1">
      <alignment horizontal="left" vertical="center"/>
    </xf>
    <xf numFmtId="49" fontId="4" fillId="4" borderId="66" xfId="0" applyNumberFormat="1" applyFont="1" applyFill="1" applyBorder="1" applyAlignment="1">
      <alignment horizontal="left" vertical="center"/>
    </xf>
    <xf numFmtId="49" fontId="4" fillId="4" borderId="25" xfId="0" applyNumberFormat="1" applyFont="1" applyFill="1" applyBorder="1" applyAlignment="1">
      <alignment horizontal="left" vertical="center"/>
    </xf>
    <xf numFmtId="49" fontId="4" fillId="4" borderId="11" xfId="0" applyNumberFormat="1" applyFont="1" applyFill="1" applyBorder="1" applyAlignment="1">
      <alignment horizontal="left" vertical="center"/>
    </xf>
    <xf numFmtId="49" fontId="4" fillId="4" borderId="37" xfId="0" applyNumberFormat="1" applyFont="1" applyFill="1" applyBorder="1" applyAlignment="1">
      <alignment horizontal="left" vertical="center"/>
    </xf>
    <xf numFmtId="49" fontId="4" fillId="4" borderId="36" xfId="0" applyNumberFormat="1" applyFont="1" applyFill="1" applyBorder="1" applyAlignment="1">
      <alignment horizontal="left" vertical="center"/>
    </xf>
    <xf numFmtId="49" fontId="4" fillId="0" borderId="89" xfId="0" applyNumberFormat="1" applyFont="1" applyBorder="1" applyAlignment="1">
      <alignment horizontal="left" vertical="center"/>
    </xf>
    <xf numFmtId="49" fontId="4" fillId="0" borderId="75" xfId="0" applyNumberFormat="1" applyFont="1" applyBorder="1" applyAlignment="1">
      <alignment horizontal="left" vertical="center"/>
    </xf>
    <xf numFmtId="49" fontId="4" fillId="0" borderId="137" xfId="0" applyNumberFormat="1" applyFont="1" applyBorder="1" applyAlignment="1">
      <alignment horizontal="left" vertical="center"/>
    </xf>
    <xf numFmtId="181" fontId="7" fillId="3" borderId="89" xfId="0" applyNumberFormat="1" applyFont="1" applyFill="1" applyBorder="1" applyAlignment="1">
      <alignment horizontal="right" vertical="center" shrinkToFit="1"/>
    </xf>
    <xf numFmtId="181" fontId="7" fillId="3" borderId="75" xfId="0" applyNumberFormat="1" applyFont="1" applyFill="1" applyBorder="1" applyAlignment="1">
      <alignment horizontal="right" vertical="center" shrinkToFit="1"/>
    </xf>
    <xf numFmtId="181" fontId="7" fillId="3" borderId="137" xfId="0" applyNumberFormat="1" applyFont="1" applyFill="1" applyBorder="1" applyAlignment="1">
      <alignment horizontal="right" vertical="center" shrinkToFit="1"/>
    </xf>
    <xf numFmtId="49" fontId="4" fillId="4" borderId="1" xfId="0" applyNumberFormat="1" applyFont="1" applyFill="1" applyBorder="1" applyAlignment="1">
      <alignment horizontal="center" vertical="center" shrinkToFit="1"/>
    </xf>
    <xf numFmtId="49" fontId="4" fillId="4" borderId="117" xfId="0" applyNumberFormat="1" applyFont="1" applyFill="1" applyBorder="1" applyAlignment="1">
      <alignment horizontal="center" vertical="center" shrinkToFit="1"/>
    </xf>
    <xf numFmtId="49" fontId="4" fillId="4" borderId="135" xfId="0" applyNumberFormat="1" applyFont="1" applyFill="1" applyBorder="1" applyAlignment="1">
      <alignment horizontal="center" vertical="center" shrinkToFit="1"/>
    </xf>
    <xf numFmtId="49" fontId="4" fillId="4" borderId="132" xfId="0" applyNumberFormat="1" applyFont="1" applyFill="1" applyBorder="1" applyAlignment="1">
      <alignment horizontal="left" vertical="center"/>
    </xf>
    <xf numFmtId="49" fontId="4" fillId="4" borderId="148" xfId="0" applyNumberFormat="1" applyFont="1" applyFill="1" applyBorder="1" applyAlignment="1">
      <alignment horizontal="left" vertical="center"/>
    </xf>
    <xf numFmtId="49" fontId="4" fillId="4" borderId="71" xfId="0" applyNumberFormat="1" applyFont="1" applyFill="1" applyBorder="1" applyAlignment="1">
      <alignment horizontal="left" vertical="center"/>
    </xf>
    <xf numFmtId="49" fontId="4" fillId="4" borderId="45" xfId="0" applyNumberFormat="1" applyFont="1" applyFill="1" applyBorder="1" applyAlignment="1">
      <alignment horizontal="left" vertical="center"/>
    </xf>
    <xf numFmtId="49" fontId="4" fillId="4" borderId="129" xfId="0" applyNumberFormat="1" applyFont="1" applyFill="1" applyBorder="1" applyAlignment="1">
      <alignment horizontal="left" vertical="center"/>
    </xf>
    <xf numFmtId="49" fontId="4" fillId="4" borderId="124" xfId="0" applyNumberFormat="1" applyFont="1" applyFill="1" applyBorder="1" applyAlignment="1">
      <alignment horizontal="left" vertical="center"/>
    </xf>
    <xf numFmtId="49" fontId="4" fillId="4" borderId="130" xfId="0" applyNumberFormat="1" applyFont="1" applyFill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</cellXfs>
  <cellStyles count="8">
    <cellStyle name="常规 2" xfId="1" xr:uid="{00000000-0005-0000-0000-00002F000000}"/>
    <cellStyle name="標準" xfId="0" builtinId="0"/>
    <cellStyle name="標準 2" xfId="2" xr:uid="{00000000-0005-0000-0000-000030000000}"/>
    <cellStyle name="標準 3" xfId="3" xr:uid="{00000000-0005-0000-0000-000031000000}"/>
    <cellStyle name="標準 4" xfId="4" xr:uid="{00000000-0005-0000-0000-000032000000}"/>
    <cellStyle name="標準_06月報新様式（案）" xfId="5" xr:uid="{00000000-0005-0000-0000-000033000000}"/>
    <cellStyle name="標準_H18年４月～の全様式【月報】改訂" xfId="6" xr:uid="{00000000-0005-0000-0000-000034000000}"/>
    <cellStyle name="標準_基本設計書_17年度月報本文" xfId="7" xr:uid="{00000000-0005-0000-0000-00003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30"/>
  <sheetViews>
    <sheetView showGridLines="0" workbookViewId="0">
      <selection activeCell="A3" sqref="A3:J3"/>
    </sheetView>
  </sheetViews>
  <sheetFormatPr defaultColWidth="9" defaultRowHeight="0" customHeight="1" zeroHeight="1"/>
  <cols>
    <col min="1" max="2" width="3.77734375" customWidth="1"/>
    <col min="3" max="3" width="23.44140625" customWidth="1"/>
    <col min="4" max="9" width="14.44140625" customWidth="1"/>
    <col min="10" max="10" width="4" customWidth="1"/>
  </cols>
  <sheetData>
    <row r="1" spans="1:10" ht="18" customHeight="1">
      <c r="A1" s="1" t="s">
        <v>0</v>
      </c>
      <c r="J1" s="2"/>
    </row>
    <row r="2" spans="1:10" ht="18" customHeight="1">
      <c r="J2" s="2"/>
    </row>
    <row r="3" spans="1:10" ht="18" customHeight="1">
      <c r="A3" s="661" t="s">
        <v>1</v>
      </c>
      <c r="B3" s="661"/>
      <c r="C3" s="661"/>
      <c r="D3" s="661"/>
      <c r="E3" s="661"/>
      <c r="F3" s="661"/>
      <c r="G3" s="661"/>
      <c r="H3" s="661"/>
      <c r="I3" s="661"/>
      <c r="J3" s="661"/>
    </row>
    <row r="4" spans="1:10" ht="18" customHeight="1">
      <c r="A4" s="661" t="s">
        <v>2</v>
      </c>
      <c r="B4" s="661"/>
      <c r="C4" s="661"/>
      <c r="D4" s="661"/>
      <c r="E4" s="661"/>
      <c r="F4" s="661"/>
      <c r="G4" s="661"/>
      <c r="H4" s="661"/>
      <c r="I4" s="661"/>
      <c r="J4" s="661"/>
    </row>
    <row r="5" spans="1:10" ht="18" customHeight="1">
      <c r="H5" s="3" t="s">
        <v>3</v>
      </c>
      <c r="I5" s="4" t="s">
        <v>4</v>
      </c>
    </row>
    <row r="6" spans="1:10" ht="18" customHeight="1">
      <c r="H6" s="5" t="s">
        <v>5</v>
      </c>
      <c r="I6" s="6" t="s">
        <v>6</v>
      </c>
      <c r="J6" t="s">
        <v>7</v>
      </c>
    </row>
    <row r="7" spans="1:10" ht="18" customHeight="1">
      <c r="A7" s="7"/>
      <c r="B7" s="1" t="s">
        <v>8</v>
      </c>
      <c r="I7" s="8"/>
    </row>
    <row r="8" spans="1:10" ht="12" customHeight="1">
      <c r="A8" s="7"/>
      <c r="I8" s="8"/>
    </row>
    <row r="9" spans="1:10" ht="18" customHeight="1">
      <c r="A9" s="9"/>
      <c r="B9" s="10" t="s">
        <v>9</v>
      </c>
      <c r="C9" s="11"/>
    </row>
    <row r="10" spans="1:10" ht="12" customHeight="1">
      <c r="A10" s="9"/>
      <c r="C10" s="12"/>
    </row>
    <row r="11" spans="1:10" ht="24.75" customHeight="1">
      <c r="A11" s="9"/>
      <c r="C11" s="13"/>
      <c r="D11" s="14" t="s">
        <v>10</v>
      </c>
      <c r="E11" s="14" t="s">
        <v>11</v>
      </c>
      <c r="F11" s="14" t="s">
        <v>12</v>
      </c>
      <c r="G11" s="15" t="s">
        <v>13</v>
      </c>
    </row>
    <row r="12" spans="1:10" ht="24.75" customHeight="1">
      <c r="A12" s="9"/>
      <c r="B12" s="16"/>
      <c r="C12" s="17" t="s">
        <v>14</v>
      </c>
      <c r="D12" s="18">
        <v>2198</v>
      </c>
      <c r="E12" s="18">
        <v>96</v>
      </c>
      <c r="F12" s="18">
        <v>101</v>
      </c>
      <c r="G12" s="19">
        <f>D12+E12-F12</f>
        <v>2193</v>
      </c>
    </row>
    <row r="13" spans="1:10" ht="12" customHeight="1"/>
    <row r="14" spans="1:10" ht="18" customHeight="1">
      <c r="B14" s="1" t="s">
        <v>15</v>
      </c>
    </row>
    <row r="15" spans="1:10" ht="12" customHeight="1"/>
    <row r="16" spans="1:10" ht="24.75" customHeight="1">
      <c r="C16" s="20" t="s">
        <v>16</v>
      </c>
      <c r="D16" s="14" t="s">
        <v>10</v>
      </c>
      <c r="E16" s="14" t="s">
        <v>11</v>
      </c>
      <c r="F16" s="14" t="s">
        <v>12</v>
      </c>
      <c r="G16" s="15" t="s">
        <v>13</v>
      </c>
    </row>
    <row r="17" spans="2:9" ht="24.75" customHeight="1">
      <c r="C17" s="21" t="s">
        <v>17</v>
      </c>
      <c r="D17" s="22">
        <v>1595</v>
      </c>
      <c r="E17" s="23"/>
      <c r="F17" s="23"/>
      <c r="G17" s="24">
        <v>1498</v>
      </c>
    </row>
    <row r="18" spans="2:9" ht="24.75" customHeight="1">
      <c r="C18" s="21" t="s">
        <v>18</v>
      </c>
      <c r="D18" s="22">
        <v>1061</v>
      </c>
      <c r="E18" s="23"/>
      <c r="F18" s="23"/>
      <c r="G18" s="24">
        <v>1142</v>
      </c>
    </row>
    <row r="19" spans="2:9" ht="24.75" customHeight="1">
      <c r="C19" s="21" t="s">
        <v>19</v>
      </c>
      <c r="D19" s="25">
        <v>605</v>
      </c>
      <c r="E19" s="23"/>
      <c r="F19" s="23"/>
      <c r="G19" s="24">
        <v>600</v>
      </c>
    </row>
    <row r="20" spans="2:9" ht="24.75" customHeight="1">
      <c r="C20" s="21" t="s">
        <v>20</v>
      </c>
      <c r="D20" s="22">
        <v>8</v>
      </c>
      <c r="E20" s="23"/>
      <c r="F20" s="23"/>
      <c r="G20" s="24">
        <v>10</v>
      </c>
    </row>
    <row r="21" spans="2:9" ht="24.75" customHeight="1">
      <c r="C21" s="21" t="s">
        <v>21</v>
      </c>
      <c r="D21" s="22">
        <v>26</v>
      </c>
      <c r="E21" s="23"/>
      <c r="F21" s="23"/>
      <c r="G21" s="24">
        <v>24</v>
      </c>
    </row>
    <row r="22" spans="2:9" ht="24.75" customHeight="1">
      <c r="C22" s="26" t="s">
        <v>14</v>
      </c>
      <c r="D22" s="27">
        <v>3261</v>
      </c>
      <c r="E22" s="27">
        <v>151</v>
      </c>
      <c r="F22" s="27">
        <v>172</v>
      </c>
      <c r="G22" s="28">
        <v>3240</v>
      </c>
      <c r="H22" s="29" t="str">
        <f>IF(D22+E22-F22=G22,"","合計欄に注意")</f>
        <v/>
      </c>
    </row>
    <row r="23" spans="2:9" ht="12" customHeight="1"/>
    <row r="24" spans="2:9" ht="18" customHeight="1">
      <c r="B24" s="1" t="s">
        <v>22</v>
      </c>
    </row>
    <row r="25" spans="2:9" ht="12" customHeight="1"/>
    <row r="26" spans="2:9" ht="24.75" customHeight="1">
      <c r="C26" s="662" t="s">
        <v>11</v>
      </c>
      <c r="D26" s="30" t="s">
        <v>23</v>
      </c>
      <c r="E26" s="30" t="s">
        <v>24</v>
      </c>
      <c r="F26" s="30" t="s">
        <v>25</v>
      </c>
      <c r="G26" s="31" t="s">
        <v>26</v>
      </c>
      <c r="H26" s="30" t="s">
        <v>27</v>
      </c>
      <c r="I26" s="32" t="s">
        <v>14</v>
      </c>
    </row>
    <row r="27" spans="2:9" ht="24.75" customHeight="1">
      <c r="C27" s="663"/>
      <c r="D27" s="22">
        <v>20</v>
      </c>
      <c r="E27" s="22">
        <v>0</v>
      </c>
      <c r="F27" s="22">
        <v>119</v>
      </c>
      <c r="G27" s="22">
        <v>0</v>
      </c>
      <c r="H27" s="22">
        <v>12</v>
      </c>
      <c r="I27" s="33">
        <v>151</v>
      </c>
    </row>
    <row r="28" spans="2:9" ht="24.75" customHeight="1">
      <c r="C28" s="659" t="s">
        <v>12</v>
      </c>
      <c r="D28" s="34" t="s">
        <v>28</v>
      </c>
      <c r="E28" s="34" t="s">
        <v>29</v>
      </c>
      <c r="F28" s="34" t="s">
        <v>30</v>
      </c>
      <c r="G28" s="35" t="s">
        <v>31</v>
      </c>
      <c r="H28" s="34" t="s">
        <v>27</v>
      </c>
      <c r="I28" s="36" t="s">
        <v>14</v>
      </c>
    </row>
    <row r="29" spans="2:9" ht="24.75" customHeight="1">
      <c r="C29" s="660"/>
      <c r="D29" s="37">
        <v>32</v>
      </c>
      <c r="E29" s="37">
        <v>1</v>
      </c>
      <c r="F29" s="37">
        <v>137</v>
      </c>
      <c r="G29" s="37">
        <v>0</v>
      </c>
      <c r="H29" s="37">
        <v>2</v>
      </c>
      <c r="I29" s="38">
        <v>172</v>
      </c>
    </row>
    <row r="30" spans="2:9" ht="12" customHeight="1"/>
  </sheetData>
  <sheetProtection selectLockedCells="1" selectUnlockedCells="1"/>
  <mergeCells count="4">
    <mergeCell ref="C28:C29"/>
    <mergeCell ref="A3:J3"/>
    <mergeCell ref="A4:J4"/>
    <mergeCell ref="C26:C27"/>
  </mergeCells>
  <phoneticPr fontId="3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7"/>
  <sheetViews>
    <sheetView workbookViewId="0"/>
  </sheetViews>
  <sheetFormatPr defaultRowHeight="0" customHeight="1" zeroHeight="1"/>
  <cols>
    <col min="1" max="1" width="2.44140625" customWidth="1"/>
    <col min="2" max="3" width="3.5546875" customWidth="1"/>
    <col min="4" max="4" width="13.33203125" customWidth="1"/>
    <col min="5" max="24" width="3.5546875" customWidth="1"/>
    <col min="25" max="25" width="4" customWidth="1"/>
  </cols>
  <sheetData>
    <row r="1" spans="1:25" ht="18" customHeight="1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2"/>
    </row>
    <row r="2" spans="1:25" ht="18.75" customHeight="1">
      <c r="A2" s="43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2"/>
    </row>
    <row r="3" spans="1:25" ht="21" customHeight="1">
      <c r="A3" s="723" t="s">
        <v>1</v>
      </c>
      <c r="B3" s="723"/>
      <c r="C3" s="723"/>
      <c r="D3" s="723"/>
      <c r="E3" s="723"/>
      <c r="F3" s="723"/>
      <c r="G3" s="723"/>
      <c r="H3" s="723"/>
      <c r="I3" s="723"/>
      <c r="J3" s="723"/>
      <c r="K3" s="723"/>
      <c r="L3" s="723"/>
      <c r="M3" s="723"/>
      <c r="N3" s="723"/>
      <c r="O3" s="723"/>
      <c r="P3" s="723"/>
      <c r="Q3" s="723"/>
      <c r="R3" s="723"/>
      <c r="S3" s="723"/>
      <c r="T3" s="723"/>
      <c r="U3" s="723"/>
      <c r="V3" s="723"/>
      <c r="W3" s="723"/>
      <c r="X3" s="723"/>
      <c r="Y3" s="723"/>
    </row>
    <row r="4" spans="1:25" ht="17.25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  <c r="R4" s="724"/>
      <c r="S4" s="724"/>
      <c r="T4" s="724"/>
      <c r="U4" s="724"/>
      <c r="V4" s="724"/>
      <c r="W4" s="724"/>
      <c r="X4" s="724"/>
      <c r="Y4" s="724"/>
    </row>
    <row r="5" spans="1:25" ht="21" customHeight="1">
      <c r="A5" s="43"/>
      <c r="B5" s="44"/>
      <c r="C5" s="45"/>
      <c r="D5" s="45"/>
      <c r="E5" s="45"/>
      <c r="F5" s="45"/>
      <c r="G5" s="45"/>
      <c r="H5" s="45"/>
      <c r="I5" s="45"/>
      <c r="J5" s="45"/>
      <c r="K5" s="45"/>
      <c r="L5" s="46"/>
      <c r="M5" s="41"/>
      <c r="N5" s="41"/>
      <c r="O5" s="41"/>
      <c r="P5" s="41"/>
      <c r="Q5" s="725" t="s">
        <v>32</v>
      </c>
      <c r="R5" s="725"/>
      <c r="S5" s="725"/>
      <c r="T5" s="725"/>
      <c r="U5" s="726" t="s">
        <v>4</v>
      </c>
      <c r="V5" s="726"/>
      <c r="W5" s="726"/>
      <c r="X5" s="726"/>
      <c r="Y5" s="43"/>
    </row>
    <row r="6" spans="1:25" ht="21" customHeight="1">
      <c r="A6" s="43"/>
      <c r="B6" s="40"/>
      <c r="C6" s="45"/>
      <c r="D6" s="45"/>
      <c r="E6" s="45"/>
      <c r="F6" s="45"/>
      <c r="G6" s="45"/>
      <c r="H6" s="45"/>
      <c r="I6" s="45"/>
      <c r="J6" s="45"/>
      <c r="K6" s="45"/>
      <c r="L6" s="46"/>
      <c r="M6" s="41"/>
      <c r="N6" s="41"/>
      <c r="O6" s="41"/>
      <c r="P6" s="41"/>
      <c r="Q6" s="727" t="s">
        <v>33</v>
      </c>
      <c r="R6" s="727"/>
      <c r="S6" s="727"/>
      <c r="T6" s="727"/>
      <c r="U6" s="728" t="s">
        <v>6</v>
      </c>
      <c r="V6" s="728"/>
      <c r="W6" s="728"/>
      <c r="X6" s="728"/>
      <c r="Y6" s="43" t="s">
        <v>7</v>
      </c>
    </row>
    <row r="7" spans="1:25" ht="22.5" customHeight="1">
      <c r="A7" s="40"/>
      <c r="B7" s="39" t="s">
        <v>34</v>
      </c>
      <c r="C7" s="44"/>
      <c r="D7" s="44"/>
      <c r="E7" s="44"/>
      <c r="F7" s="44"/>
      <c r="G7" s="44"/>
      <c r="H7" s="44"/>
      <c r="I7" s="44"/>
      <c r="J7" s="44"/>
      <c r="K7" s="44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1"/>
      <c r="Y7" s="43"/>
    </row>
    <row r="8" spans="1:25" ht="15" customHeight="1">
      <c r="A8" s="43"/>
      <c r="B8" s="48"/>
      <c r="C8" s="49"/>
      <c r="D8" s="49"/>
      <c r="E8" s="49"/>
      <c r="F8" s="49"/>
      <c r="G8" s="49"/>
      <c r="H8" s="49"/>
      <c r="I8" s="49"/>
      <c r="J8" s="49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</row>
    <row r="9" spans="1:25" ht="15" customHeight="1">
      <c r="B9" s="51" t="s">
        <v>35</v>
      </c>
      <c r="C9" s="52"/>
      <c r="D9" s="52"/>
      <c r="E9" s="52"/>
      <c r="F9" s="52"/>
      <c r="G9" s="52"/>
      <c r="H9" s="52"/>
      <c r="I9" s="52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</row>
    <row r="10" spans="1:25" ht="21" customHeight="1">
      <c r="A10" s="54"/>
      <c r="B10" s="55"/>
      <c r="C10" s="56" t="s">
        <v>36</v>
      </c>
      <c r="D10" s="57"/>
      <c r="E10" s="694" t="s">
        <v>37</v>
      </c>
      <c r="F10" s="694"/>
      <c r="G10" s="694"/>
      <c r="H10" s="694"/>
      <c r="I10" s="694"/>
      <c r="J10" s="694"/>
      <c r="K10" s="694"/>
      <c r="L10" s="694"/>
      <c r="M10" s="694"/>
      <c r="N10" s="694"/>
      <c r="O10" s="694"/>
      <c r="P10" s="694"/>
      <c r="Q10" s="694"/>
      <c r="R10" s="694"/>
      <c r="S10" s="694"/>
      <c r="T10" s="694"/>
      <c r="U10" s="694"/>
      <c r="V10" s="694"/>
      <c r="W10" s="694"/>
      <c r="X10" s="694"/>
      <c r="Y10" s="53"/>
    </row>
    <row r="11" spans="1:25" ht="21" customHeight="1">
      <c r="A11" s="54"/>
      <c r="B11" s="49"/>
      <c r="C11" s="729" t="s">
        <v>38</v>
      </c>
      <c r="D11" s="730"/>
      <c r="E11" s="730"/>
      <c r="F11" s="730"/>
      <c r="G11" s="730"/>
      <c r="H11" s="730"/>
      <c r="I11" s="730"/>
      <c r="J11" s="730" t="s">
        <v>39</v>
      </c>
      <c r="K11" s="730"/>
      <c r="L11" s="730"/>
      <c r="M11" s="730"/>
      <c r="N11" s="733"/>
      <c r="O11" s="729" t="s">
        <v>40</v>
      </c>
      <c r="P11" s="730"/>
      <c r="Q11" s="730"/>
      <c r="R11" s="730"/>
      <c r="S11" s="735"/>
      <c r="T11" s="729" t="s">
        <v>41</v>
      </c>
      <c r="U11" s="730"/>
      <c r="V11" s="730"/>
      <c r="W11" s="730"/>
      <c r="X11" s="735"/>
      <c r="Y11" s="50"/>
    </row>
    <row r="12" spans="1:25" ht="15" customHeight="1">
      <c r="A12" s="54"/>
      <c r="B12" s="58"/>
      <c r="C12" s="731"/>
      <c r="D12" s="732"/>
      <c r="E12" s="732"/>
      <c r="F12" s="732"/>
      <c r="G12" s="732"/>
      <c r="H12" s="732"/>
      <c r="I12" s="732"/>
      <c r="J12" s="732"/>
      <c r="K12" s="732"/>
      <c r="L12" s="732"/>
      <c r="M12" s="732"/>
      <c r="N12" s="734"/>
      <c r="O12" s="731"/>
      <c r="P12" s="732"/>
      <c r="Q12" s="732"/>
      <c r="R12" s="732"/>
      <c r="S12" s="736"/>
      <c r="T12" s="731"/>
      <c r="U12" s="732"/>
      <c r="V12" s="732"/>
      <c r="W12" s="732"/>
      <c r="X12" s="736"/>
      <c r="Y12" s="50"/>
    </row>
    <row r="13" spans="1:25" ht="21" customHeight="1">
      <c r="A13" s="54"/>
      <c r="B13" s="58"/>
      <c r="C13" s="720" t="s">
        <v>42</v>
      </c>
      <c r="D13" s="721"/>
      <c r="E13" s="721"/>
      <c r="F13" s="721"/>
      <c r="G13" s="721"/>
      <c r="H13" s="721"/>
      <c r="I13" s="721"/>
      <c r="J13" s="710" t="s">
        <v>43</v>
      </c>
      <c r="K13" s="711"/>
      <c r="L13" s="711"/>
      <c r="M13" s="711" t="s">
        <v>44</v>
      </c>
      <c r="N13" s="711"/>
      <c r="O13" s="722">
        <v>455</v>
      </c>
      <c r="P13" s="714"/>
      <c r="Q13" s="714"/>
      <c r="R13" s="715" t="s">
        <v>45</v>
      </c>
      <c r="S13" s="716"/>
      <c r="T13" s="717">
        <v>383</v>
      </c>
      <c r="U13" s="718"/>
      <c r="V13" s="718"/>
      <c r="W13" s="718"/>
      <c r="X13" s="719"/>
      <c r="Y13" s="50"/>
    </row>
    <row r="14" spans="1:25" ht="21" customHeight="1">
      <c r="A14" s="54"/>
      <c r="B14" s="58"/>
      <c r="C14" s="56"/>
      <c r="D14" s="56"/>
      <c r="E14" s="57"/>
      <c r="F14" s="57"/>
      <c r="G14" s="57"/>
      <c r="H14" s="57"/>
      <c r="I14" s="57"/>
      <c r="J14" s="56"/>
      <c r="K14" s="59"/>
      <c r="L14" s="59"/>
      <c r="M14" s="59"/>
      <c r="N14" s="59"/>
      <c r="O14" s="56"/>
      <c r="P14" s="57"/>
      <c r="Q14" s="57"/>
      <c r="R14" s="57"/>
      <c r="S14" s="56"/>
      <c r="T14" s="56"/>
      <c r="U14" s="56"/>
      <c r="V14" s="56"/>
      <c r="W14" s="56"/>
      <c r="X14" s="60"/>
      <c r="Y14" s="50"/>
    </row>
    <row r="15" spans="1:25" ht="21" customHeight="1">
      <c r="A15" s="54"/>
      <c r="B15" s="58"/>
      <c r="C15" s="56" t="s">
        <v>46</v>
      </c>
      <c r="D15" s="57"/>
      <c r="E15" s="694" t="s">
        <v>47</v>
      </c>
      <c r="F15" s="694"/>
      <c r="G15" s="694"/>
      <c r="H15" s="694"/>
      <c r="I15" s="694"/>
      <c r="J15" s="694"/>
      <c r="K15" s="694"/>
      <c r="L15" s="694"/>
      <c r="M15" s="694"/>
      <c r="N15" s="694"/>
      <c r="O15" s="694"/>
      <c r="P15" s="694"/>
      <c r="Q15" s="694"/>
      <c r="R15" s="694"/>
      <c r="S15" s="694"/>
      <c r="T15" s="694"/>
      <c r="U15" s="694"/>
      <c r="V15" s="694"/>
      <c r="W15" s="694"/>
      <c r="X15" s="694"/>
      <c r="Y15" s="50"/>
    </row>
    <row r="16" spans="1:25" ht="21" customHeight="1">
      <c r="A16" s="54"/>
      <c r="B16" s="58"/>
      <c r="C16" s="707" t="s">
        <v>48</v>
      </c>
      <c r="D16" s="708"/>
      <c r="E16" s="708"/>
      <c r="F16" s="708"/>
      <c r="G16" s="708"/>
      <c r="H16" s="708"/>
      <c r="I16" s="709"/>
      <c r="J16" s="710" t="s">
        <v>49</v>
      </c>
      <c r="K16" s="711"/>
      <c r="L16" s="711"/>
      <c r="M16" s="711" t="s">
        <v>50</v>
      </c>
      <c r="N16" s="712"/>
      <c r="O16" s="713">
        <v>685</v>
      </c>
      <c r="P16" s="714"/>
      <c r="Q16" s="714"/>
      <c r="R16" s="715" t="s">
        <v>45</v>
      </c>
      <c r="S16" s="716"/>
      <c r="T16" s="717">
        <v>298</v>
      </c>
      <c r="U16" s="718"/>
      <c r="V16" s="718"/>
      <c r="W16" s="718"/>
      <c r="X16" s="719"/>
      <c r="Y16" s="50"/>
    </row>
    <row r="17" spans="1:25" ht="21" customHeight="1">
      <c r="A17" s="54"/>
      <c r="B17" s="58"/>
      <c r="C17" s="61"/>
      <c r="D17" s="61"/>
      <c r="E17" s="61"/>
      <c r="F17" s="61"/>
      <c r="G17" s="61"/>
      <c r="H17" s="61"/>
      <c r="I17" s="61"/>
      <c r="J17" s="62"/>
      <c r="K17" s="62"/>
      <c r="L17" s="62"/>
      <c r="M17" s="62"/>
      <c r="N17" s="62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0"/>
    </row>
    <row r="18" spans="1:25" ht="21" customHeight="1">
      <c r="A18" s="54"/>
      <c r="B18" s="58"/>
      <c r="C18" s="56" t="s">
        <v>51</v>
      </c>
      <c r="D18" s="57"/>
      <c r="E18" s="694" t="s">
        <v>52</v>
      </c>
      <c r="F18" s="694"/>
      <c r="G18" s="694"/>
      <c r="H18" s="694"/>
      <c r="I18" s="694"/>
      <c r="J18" s="694"/>
      <c r="K18" s="694"/>
      <c r="L18" s="694"/>
      <c r="M18" s="694"/>
      <c r="N18" s="694"/>
      <c r="O18" s="694"/>
      <c r="P18" s="694"/>
      <c r="Q18" s="694"/>
      <c r="R18" s="694"/>
      <c r="S18" s="694"/>
      <c r="T18" s="694"/>
      <c r="U18" s="694"/>
      <c r="V18" s="694"/>
      <c r="W18" s="694"/>
      <c r="X18" s="694"/>
      <c r="Y18" s="50"/>
    </row>
    <row r="19" spans="1:25" ht="21" customHeight="1">
      <c r="A19" s="54"/>
      <c r="B19" s="58"/>
      <c r="C19" s="707" t="s">
        <v>53</v>
      </c>
      <c r="D19" s="708"/>
      <c r="E19" s="708"/>
      <c r="F19" s="708"/>
      <c r="G19" s="708"/>
      <c r="H19" s="708"/>
      <c r="I19" s="709"/>
      <c r="J19" s="710" t="s">
        <v>54</v>
      </c>
      <c r="K19" s="711"/>
      <c r="L19" s="711"/>
      <c r="M19" s="711" t="s">
        <v>55</v>
      </c>
      <c r="N19" s="712"/>
      <c r="O19" s="713">
        <v>690</v>
      </c>
      <c r="P19" s="714"/>
      <c r="Q19" s="714"/>
      <c r="R19" s="715" t="s">
        <v>45</v>
      </c>
      <c r="S19" s="716"/>
      <c r="T19" s="717">
        <v>305</v>
      </c>
      <c r="U19" s="718"/>
      <c r="V19" s="718"/>
      <c r="W19" s="718"/>
      <c r="X19" s="719"/>
      <c r="Y19" s="50"/>
    </row>
    <row r="20" spans="1:25" ht="21" customHeight="1">
      <c r="A20" s="54"/>
      <c r="B20" s="58"/>
      <c r="C20" s="61"/>
      <c r="D20" s="61"/>
      <c r="E20" s="61"/>
      <c r="F20" s="61"/>
      <c r="G20" s="61"/>
      <c r="H20" s="61"/>
      <c r="I20" s="61"/>
      <c r="J20" s="62"/>
      <c r="K20" s="62"/>
      <c r="L20" s="62"/>
      <c r="M20" s="62"/>
      <c r="N20" s="62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0"/>
    </row>
    <row r="21" spans="1:25" ht="21" customHeight="1">
      <c r="A21" s="54"/>
      <c r="B21" s="58"/>
      <c r="C21" s="56" t="s">
        <v>56</v>
      </c>
      <c r="D21" s="57"/>
      <c r="E21" s="694" t="s">
        <v>57</v>
      </c>
      <c r="F21" s="694"/>
      <c r="G21" s="694"/>
      <c r="H21" s="694"/>
      <c r="I21" s="694"/>
      <c r="J21" s="694"/>
      <c r="K21" s="694"/>
      <c r="L21" s="694"/>
      <c r="M21" s="694"/>
      <c r="N21" s="694"/>
      <c r="O21" s="694"/>
      <c r="P21" s="694"/>
      <c r="Q21" s="694"/>
      <c r="R21" s="694"/>
      <c r="S21" s="694"/>
      <c r="T21" s="694"/>
      <c r="U21" s="694"/>
      <c r="V21" s="694"/>
      <c r="W21" s="694"/>
      <c r="X21" s="694"/>
      <c r="Y21" s="50"/>
    </row>
    <row r="22" spans="1:25" ht="21" customHeight="1">
      <c r="A22" s="54"/>
      <c r="B22" s="63"/>
      <c r="C22" s="707" t="s">
        <v>58</v>
      </c>
      <c r="D22" s="708"/>
      <c r="E22" s="708"/>
      <c r="F22" s="708"/>
      <c r="G22" s="708"/>
      <c r="H22" s="708"/>
      <c r="I22" s="709"/>
      <c r="J22" s="710" t="s">
        <v>59</v>
      </c>
      <c r="K22" s="711"/>
      <c r="L22" s="711"/>
      <c r="M22" s="711" t="s">
        <v>60</v>
      </c>
      <c r="N22" s="712"/>
      <c r="O22" s="713">
        <v>900</v>
      </c>
      <c r="P22" s="714"/>
      <c r="Q22" s="714"/>
      <c r="R22" s="715" t="s">
        <v>45</v>
      </c>
      <c r="S22" s="716"/>
      <c r="T22" s="717">
        <v>343</v>
      </c>
      <c r="U22" s="718"/>
      <c r="V22" s="718"/>
      <c r="W22" s="718"/>
      <c r="X22" s="719"/>
      <c r="Y22" s="64"/>
    </row>
    <row r="23" spans="1:25" ht="21" customHeight="1">
      <c r="A23" s="54"/>
      <c r="B23" s="58"/>
      <c r="C23" s="61"/>
      <c r="D23" s="61"/>
      <c r="E23" s="61"/>
      <c r="F23" s="61"/>
      <c r="G23" s="61"/>
      <c r="H23" s="61"/>
      <c r="I23" s="61"/>
      <c r="J23" s="62"/>
      <c r="K23" s="62"/>
      <c r="L23" s="62"/>
      <c r="M23" s="62"/>
      <c r="N23" s="62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0"/>
    </row>
    <row r="24" spans="1:25" ht="21" customHeight="1">
      <c r="A24" s="54"/>
      <c r="B24" s="65"/>
      <c r="C24" s="56" t="s">
        <v>61</v>
      </c>
      <c r="D24" s="66"/>
      <c r="E24" s="694" t="s">
        <v>62</v>
      </c>
      <c r="F24" s="694"/>
      <c r="G24" s="694"/>
      <c r="H24" s="694"/>
      <c r="I24" s="694"/>
      <c r="J24" s="694"/>
      <c r="K24" s="694"/>
      <c r="L24" s="694"/>
      <c r="M24" s="694"/>
      <c r="N24" s="694"/>
      <c r="O24" s="694"/>
      <c r="P24" s="694"/>
      <c r="Q24" s="694"/>
      <c r="R24" s="694"/>
      <c r="S24" s="694"/>
      <c r="T24" s="694"/>
      <c r="U24" s="694"/>
      <c r="V24" s="694"/>
      <c r="W24" s="694"/>
      <c r="X24" s="694"/>
      <c r="Y24" s="50"/>
    </row>
    <row r="25" spans="1:25" ht="21" customHeight="1">
      <c r="A25" s="54"/>
      <c r="B25" s="56"/>
      <c r="C25" s="707" t="s">
        <v>63</v>
      </c>
      <c r="D25" s="708"/>
      <c r="E25" s="708"/>
      <c r="F25" s="708"/>
      <c r="G25" s="708"/>
      <c r="H25" s="708"/>
      <c r="I25" s="709"/>
      <c r="J25" s="710" t="s">
        <v>64</v>
      </c>
      <c r="K25" s="711"/>
      <c r="L25" s="711"/>
      <c r="M25" s="711" t="s">
        <v>65</v>
      </c>
      <c r="N25" s="712"/>
      <c r="O25" s="713">
        <v>1000</v>
      </c>
      <c r="P25" s="714"/>
      <c r="Q25" s="714"/>
      <c r="R25" s="715" t="s">
        <v>45</v>
      </c>
      <c r="S25" s="716"/>
      <c r="T25" s="717">
        <v>679</v>
      </c>
      <c r="U25" s="718"/>
      <c r="V25" s="718"/>
      <c r="W25" s="718"/>
      <c r="X25" s="719"/>
      <c r="Y25" s="50"/>
    </row>
    <row r="26" spans="1:25" ht="21" customHeight="1">
      <c r="A26" s="54"/>
      <c r="B26" s="58"/>
      <c r="C26" s="61"/>
      <c r="D26" s="61"/>
      <c r="E26" s="61"/>
      <c r="F26" s="61"/>
      <c r="G26" s="61"/>
      <c r="H26" s="61"/>
      <c r="I26" s="61"/>
      <c r="J26" s="62"/>
      <c r="K26" s="62"/>
      <c r="L26" s="62"/>
      <c r="M26" s="62"/>
      <c r="N26" s="62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0"/>
    </row>
    <row r="27" spans="1:25" ht="21" customHeight="1">
      <c r="A27" s="54"/>
      <c r="B27" s="58"/>
      <c r="C27" s="56" t="s">
        <v>66</v>
      </c>
      <c r="D27" s="56"/>
      <c r="E27" s="694" t="s">
        <v>67</v>
      </c>
      <c r="F27" s="694"/>
      <c r="G27" s="694"/>
      <c r="H27" s="694"/>
      <c r="I27" s="694"/>
      <c r="J27" s="694"/>
      <c r="K27" s="694"/>
      <c r="L27" s="694"/>
      <c r="M27" s="694"/>
      <c r="N27" s="694"/>
      <c r="O27" s="694"/>
      <c r="P27" s="694"/>
      <c r="Q27" s="694"/>
      <c r="R27" s="694"/>
      <c r="S27" s="694"/>
      <c r="T27" s="694"/>
      <c r="U27" s="694"/>
      <c r="V27" s="694"/>
      <c r="W27" s="694"/>
      <c r="X27" s="694"/>
      <c r="Y27" s="50"/>
    </row>
    <row r="28" spans="1:25" ht="21" customHeight="1">
      <c r="A28" s="54"/>
      <c r="B28" s="58"/>
      <c r="C28" s="695" t="s">
        <v>68</v>
      </c>
      <c r="D28" s="696"/>
      <c r="E28" s="696"/>
      <c r="F28" s="696"/>
      <c r="G28" s="696"/>
      <c r="H28" s="696"/>
      <c r="I28" s="696"/>
      <c r="J28" s="697" t="s">
        <v>69</v>
      </c>
      <c r="K28" s="698"/>
      <c r="L28" s="698"/>
      <c r="M28" s="698" t="s">
        <v>70</v>
      </c>
      <c r="N28" s="699"/>
      <c r="O28" s="700">
        <v>1200</v>
      </c>
      <c r="P28" s="701"/>
      <c r="Q28" s="701"/>
      <c r="R28" s="702" t="s">
        <v>45</v>
      </c>
      <c r="S28" s="703"/>
      <c r="T28" s="704">
        <v>410</v>
      </c>
      <c r="U28" s="705"/>
      <c r="V28" s="705"/>
      <c r="W28" s="705"/>
      <c r="X28" s="706"/>
      <c r="Y28" s="50"/>
    </row>
    <row r="29" spans="1:25" ht="21" customHeight="1">
      <c r="A29" s="54"/>
      <c r="B29" s="58"/>
      <c r="C29" s="67"/>
      <c r="D29" s="688" t="s">
        <v>71</v>
      </c>
      <c r="E29" s="689"/>
      <c r="F29" s="689"/>
      <c r="G29" s="689"/>
      <c r="H29" s="689"/>
      <c r="I29" s="690"/>
      <c r="J29" s="691"/>
      <c r="K29" s="692"/>
      <c r="L29" s="692"/>
      <c r="M29" s="692"/>
      <c r="N29" s="693"/>
      <c r="O29" s="681">
        <v>0</v>
      </c>
      <c r="P29" s="682"/>
      <c r="Q29" s="682"/>
      <c r="R29" s="683" t="s">
        <v>45</v>
      </c>
      <c r="S29" s="684"/>
      <c r="T29" s="685">
        <v>0</v>
      </c>
      <c r="U29" s="686"/>
      <c r="V29" s="686"/>
      <c r="W29" s="686"/>
      <c r="X29" s="687"/>
      <c r="Y29" s="50"/>
    </row>
    <row r="30" spans="1:25" ht="21" customHeight="1">
      <c r="A30" s="54"/>
      <c r="B30" s="58"/>
      <c r="C30" s="67"/>
      <c r="D30" s="676"/>
      <c r="E30" s="677"/>
      <c r="F30" s="677"/>
      <c r="G30" s="677"/>
      <c r="H30" s="677"/>
      <c r="I30" s="677"/>
      <c r="J30" s="678"/>
      <c r="K30" s="679"/>
      <c r="L30" s="679"/>
      <c r="M30" s="679"/>
      <c r="N30" s="680"/>
      <c r="O30" s="681">
        <v>0</v>
      </c>
      <c r="P30" s="682"/>
      <c r="Q30" s="682"/>
      <c r="R30" s="683" t="s">
        <v>45</v>
      </c>
      <c r="S30" s="684"/>
      <c r="T30" s="685">
        <v>0</v>
      </c>
      <c r="U30" s="686"/>
      <c r="V30" s="686"/>
      <c r="W30" s="686"/>
      <c r="X30" s="687"/>
      <c r="Y30" s="50"/>
    </row>
    <row r="31" spans="1:25" ht="21" customHeight="1">
      <c r="A31" s="54"/>
      <c r="B31" s="58"/>
      <c r="C31" s="68"/>
      <c r="D31" s="664"/>
      <c r="E31" s="665"/>
      <c r="F31" s="665"/>
      <c r="G31" s="665"/>
      <c r="H31" s="665"/>
      <c r="I31" s="665"/>
      <c r="J31" s="666"/>
      <c r="K31" s="667"/>
      <c r="L31" s="667"/>
      <c r="M31" s="667"/>
      <c r="N31" s="668"/>
      <c r="O31" s="669">
        <v>0</v>
      </c>
      <c r="P31" s="670"/>
      <c r="Q31" s="670"/>
      <c r="R31" s="671" t="s">
        <v>45</v>
      </c>
      <c r="S31" s="672"/>
      <c r="T31" s="673">
        <v>0</v>
      </c>
      <c r="U31" s="674"/>
      <c r="V31" s="674"/>
      <c r="W31" s="674"/>
      <c r="X31" s="675"/>
      <c r="Y31" s="50"/>
    </row>
    <row r="32" spans="1:25" ht="21" customHeight="1">
      <c r="A32" s="54"/>
      <c r="B32" s="58"/>
      <c r="C32" s="61"/>
      <c r="D32" s="61"/>
      <c r="E32" s="61"/>
      <c r="F32" s="61"/>
      <c r="G32" s="61"/>
      <c r="H32" s="61"/>
      <c r="I32" s="61"/>
      <c r="J32" s="62"/>
      <c r="K32" s="62"/>
      <c r="L32" s="62"/>
      <c r="M32" s="62"/>
      <c r="N32" s="62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0"/>
    </row>
    <row r="33" spans="1:25" ht="21" customHeight="1">
      <c r="A33" s="54"/>
      <c r="B33" s="58"/>
      <c r="C33" s="56" t="s">
        <v>72</v>
      </c>
      <c r="D33" s="56"/>
      <c r="E33" s="694" t="s">
        <v>73</v>
      </c>
      <c r="F33" s="694"/>
      <c r="G33" s="694"/>
      <c r="H33" s="694"/>
      <c r="I33" s="694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694"/>
      <c r="V33" s="694"/>
      <c r="W33" s="694"/>
      <c r="X33" s="694"/>
      <c r="Y33" s="50"/>
    </row>
    <row r="34" spans="1:25" ht="21" customHeight="1">
      <c r="A34" s="54"/>
      <c r="B34" s="58"/>
      <c r="C34" s="695" t="s">
        <v>74</v>
      </c>
      <c r="D34" s="696"/>
      <c r="E34" s="696"/>
      <c r="F34" s="696"/>
      <c r="G34" s="696"/>
      <c r="H34" s="696"/>
      <c r="I34" s="696"/>
      <c r="J34" s="697" t="s">
        <v>75</v>
      </c>
      <c r="K34" s="698"/>
      <c r="L34" s="698"/>
      <c r="M34" s="698" t="s">
        <v>76</v>
      </c>
      <c r="N34" s="699"/>
      <c r="O34" s="700">
        <v>1300</v>
      </c>
      <c r="P34" s="701"/>
      <c r="Q34" s="701"/>
      <c r="R34" s="702" t="s">
        <v>45</v>
      </c>
      <c r="S34" s="703"/>
      <c r="T34" s="704">
        <v>427</v>
      </c>
      <c r="U34" s="705"/>
      <c r="V34" s="705"/>
      <c r="W34" s="705"/>
      <c r="X34" s="706"/>
      <c r="Y34" s="50"/>
    </row>
    <row r="35" spans="1:25" ht="21" customHeight="1">
      <c r="A35" s="54"/>
      <c r="B35" s="58"/>
      <c r="C35" s="67"/>
      <c r="D35" s="688" t="s">
        <v>71</v>
      </c>
      <c r="E35" s="689"/>
      <c r="F35" s="689"/>
      <c r="G35" s="689"/>
      <c r="H35" s="689"/>
      <c r="I35" s="690"/>
      <c r="J35" s="691"/>
      <c r="K35" s="692"/>
      <c r="L35" s="692"/>
      <c r="M35" s="692"/>
      <c r="N35" s="693"/>
      <c r="O35" s="681">
        <v>0</v>
      </c>
      <c r="P35" s="682"/>
      <c r="Q35" s="682"/>
      <c r="R35" s="683" t="s">
        <v>45</v>
      </c>
      <c r="S35" s="684"/>
      <c r="T35" s="685">
        <v>0</v>
      </c>
      <c r="U35" s="686"/>
      <c r="V35" s="686"/>
      <c r="W35" s="686"/>
      <c r="X35" s="687"/>
      <c r="Y35" s="50"/>
    </row>
    <row r="36" spans="1:25" ht="21" customHeight="1">
      <c r="A36" s="54"/>
      <c r="B36" s="58"/>
      <c r="C36" s="67"/>
      <c r="D36" s="676"/>
      <c r="E36" s="677"/>
      <c r="F36" s="677"/>
      <c r="G36" s="677"/>
      <c r="H36" s="677"/>
      <c r="I36" s="677"/>
      <c r="J36" s="678"/>
      <c r="K36" s="679"/>
      <c r="L36" s="679"/>
      <c r="M36" s="679"/>
      <c r="N36" s="680"/>
      <c r="O36" s="681">
        <v>0</v>
      </c>
      <c r="P36" s="682"/>
      <c r="Q36" s="682"/>
      <c r="R36" s="683" t="s">
        <v>45</v>
      </c>
      <c r="S36" s="684"/>
      <c r="T36" s="685">
        <v>0</v>
      </c>
      <c r="U36" s="686"/>
      <c r="V36" s="686"/>
      <c r="W36" s="686"/>
      <c r="X36" s="687"/>
      <c r="Y36" s="50"/>
    </row>
    <row r="37" spans="1:25" ht="21" customHeight="1">
      <c r="A37" s="54"/>
      <c r="B37" s="58"/>
      <c r="C37" s="68"/>
      <c r="D37" s="664"/>
      <c r="E37" s="665"/>
      <c r="F37" s="665"/>
      <c r="G37" s="665"/>
      <c r="H37" s="665"/>
      <c r="I37" s="665"/>
      <c r="J37" s="666"/>
      <c r="K37" s="667"/>
      <c r="L37" s="667"/>
      <c r="M37" s="667"/>
      <c r="N37" s="668"/>
      <c r="O37" s="669">
        <v>0</v>
      </c>
      <c r="P37" s="670"/>
      <c r="Q37" s="670"/>
      <c r="R37" s="671" t="s">
        <v>45</v>
      </c>
      <c r="S37" s="672"/>
      <c r="T37" s="673">
        <v>0</v>
      </c>
      <c r="U37" s="674"/>
      <c r="V37" s="674"/>
      <c r="W37" s="674"/>
      <c r="X37" s="675"/>
      <c r="Y37" s="50"/>
    </row>
    <row r="38" spans="1:25" ht="21" customHeight="1">
      <c r="A38" s="54"/>
      <c r="B38" s="58"/>
      <c r="C38" s="61"/>
      <c r="D38" s="61"/>
      <c r="E38" s="61"/>
      <c r="F38" s="61"/>
      <c r="G38" s="61"/>
      <c r="H38" s="61"/>
      <c r="I38" s="61"/>
      <c r="J38" s="62"/>
      <c r="K38" s="62"/>
      <c r="L38" s="62"/>
      <c r="M38" s="62"/>
      <c r="N38" s="62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0"/>
    </row>
    <row r="39" spans="1:25" ht="21" customHeight="1">
      <c r="A39" s="54"/>
      <c r="B39" s="58"/>
      <c r="C39" s="56" t="s">
        <v>77</v>
      </c>
      <c r="D39" s="56"/>
      <c r="E39" s="694" t="s">
        <v>78</v>
      </c>
      <c r="F39" s="694"/>
      <c r="G39" s="694"/>
      <c r="H39" s="694"/>
      <c r="I39" s="694"/>
      <c r="J39" s="694"/>
      <c r="K39" s="694"/>
      <c r="L39" s="694"/>
      <c r="M39" s="694"/>
      <c r="N39" s="694"/>
      <c r="O39" s="694"/>
      <c r="P39" s="694"/>
      <c r="Q39" s="694"/>
      <c r="R39" s="694"/>
      <c r="S39" s="694"/>
      <c r="T39" s="694"/>
      <c r="U39" s="694"/>
      <c r="V39" s="694"/>
      <c r="W39" s="694"/>
      <c r="X39" s="694"/>
      <c r="Y39" s="50"/>
    </row>
    <row r="40" spans="1:25" ht="21" customHeight="1">
      <c r="A40" s="54"/>
      <c r="B40" s="58"/>
      <c r="C40" s="695" t="s">
        <v>79</v>
      </c>
      <c r="D40" s="696"/>
      <c r="E40" s="696"/>
      <c r="F40" s="696"/>
      <c r="G40" s="696"/>
      <c r="H40" s="696"/>
      <c r="I40" s="696"/>
      <c r="J40" s="697" t="s">
        <v>80</v>
      </c>
      <c r="K40" s="698"/>
      <c r="L40" s="698"/>
      <c r="M40" s="698" t="s">
        <v>81</v>
      </c>
      <c r="N40" s="699"/>
      <c r="O40" s="700">
        <v>1500</v>
      </c>
      <c r="P40" s="701"/>
      <c r="Q40" s="701"/>
      <c r="R40" s="702" t="s">
        <v>45</v>
      </c>
      <c r="S40" s="703"/>
      <c r="T40" s="704">
        <v>232</v>
      </c>
      <c r="U40" s="705"/>
      <c r="V40" s="705"/>
      <c r="W40" s="705"/>
      <c r="X40" s="706"/>
      <c r="Y40" s="50"/>
    </row>
    <row r="41" spans="1:25" ht="21" customHeight="1">
      <c r="A41" s="54"/>
      <c r="B41" s="58"/>
      <c r="C41" s="67"/>
      <c r="D41" s="688" t="s">
        <v>71</v>
      </c>
      <c r="E41" s="689"/>
      <c r="F41" s="689"/>
      <c r="G41" s="689"/>
      <c r="H41" s="689"/>
      <c r="I41" s="690"/>
      <c r="J41" s="691"/>
      <c r="K41" s="692"/>
      <c r="L41" s="692"/>
      <c r="M41" s="692"/>
      <c r="N41" s="693"/>
      <c r="O41" s="681">
        <v>0</v>
      </c>
      <c r="P41" s="682"/>
      <c r="Q41" s="682"/>
      <c r="R41" s="683" t="s">
        <v>45</v>
      </c>
      <c r="S41" s="684"/>
      <c r="T41" s="685">
        <v>0</v>
      </c>
      <c r="U41" s="686"/>
      <c r="V41" s="686"/>
      <c r="W41" s="686"/>
      <c r="X41" s="687"/>
      <c r="Y41" s="50"/>
    </row>
    <row r="42" spans="1:25" ht="21" customHeight="1">
      <c r="A42" s="54"/>
      <c r="B42" s="58"/>
      <c r="C42" s="67"/>
      <c r="D42" s="676"/>
      <c r="E42" s="677"/>
      <c r="F42" s="677"/>
      <c r="G42" s="677"/>
      <c r="H42" s="677"/>
      <c r="I42" s="677"/>
      <c r="J42" s="678"/>
      <c r="K42" s="679"/>
      <c r="L42" s="679"/>
      <c r="M42" s="679"/>
      <c r="N42" s="680"/>
      <c r="O42" s="681">
        <v>0</v>
      </c>
      <c r="P42" s="682"/>
      <c r="Q42" s="682"/>
      <c r="R42" s="683" t="s">
        <v>45</v>
      </c>
      <c r="S42" s="684"/>
      <c r="T42" s="685">
        <v>0</v>
      </c>
      <c r="U42" s="686"/>
      <c r="V42" s="686"/>
      <c r="W42" s="686"/>
      <c r="X42" s="687"/>
      <c r="Y42" s="50"/>
    </row>
    <row r="43" spans="1:25" ht="21" customHeight="1">
      <c r="A43" s="54"/>
      <c r="B43" s="58"/>
      <c r="C43" s="68"/>
      <c r="D43" s="664"/>
      <c r="E43" s="665"/>
      <c r="F43" s="665"/>
      <c r="G43" s="665"/>
      <c r="H43" s="665"/>
      <c r="I43" s="665"/>
      <c r="J43" s="666"/>
      <c r="K43" s="667"/>
      <c r="L43" s="667"/>
      <c r="M43" s="667"/>
      <c r="N43" s="668"/>
      <c r="O43" s="669">
        <v>0</v>
      </c>
      <c r="P43" s="670"/>
      <c r="Q43" s="670"/>
      <c r="R43" s="671" t="s">
        <v>45</v>
      </c>
      <c r="S43" s="672"/>
      <c r="T43" s="673">
        <v>0</v>
      </c>
      <c r="U43" s="674"/>
      <c r="V43" s="674"/>
      <c r="W43" s="674"/>
      <c r="X43" s="675"/>
      <c r="Y43" s="50"/>
    </row>
    <row r="44" spans="1:25" ht="21" customHeight="1">
      <c r="A44" s="54"/>
      <c r="B44" s="58"/>
      <c r="C44" s="56"/>
      <c r="D44" s="56"/>
      <c r="E44" s="59"/>
      <c r="F44" s="59"/>
      <c r="G44" s="59"/>
      <c r="H44" s="59"/>
      <c r="I44" s="59"/>
      <c r="J44" s="56"/>
      <c r="K44" s="56"/>
      <c r="L44" s="56"/>
      <c r="M44" s="56"/>
      <c r="N44" s="56"/>
      <c r="O44" s="56"/>
      <c r="P44" s="60"/>
      <c r="Q44" s="60"/>
      <c r="R44" s="60"/>
      <c r="S44" s="56"/>
      <c r="T44" s="60"/>
      <c r="U44" s="60"/>
      <c r="V44" s="60"/>
      <c r="W44" s="60"/>
      <c r="X44" s="60"/>
      <c r="Y44" s="50"/>
    </row>
    <row r="45" spans="1:25" ht="21" customHeight="1">
      <c r="A45" s="69"/>
      <c r="B45" s="70"/>
      <c r="C45" s="71" t="s">
        <v>82</v>
      </c>
      <c r="D45" s="71"/>
      <c r="E45" s="769" t="s">
        <v>83</v>
      </c>
      <c r="F45" s="769"/>
      <c r="G45" s="769"/>
      <c r="H45" s="769"/>
      <c r="I45" s="769"/>
      <c r="J45" s="769"/>
      <c r="K45" s="769"/>
      <c r="L45" s="769"/>
      <c r="M45" s="769"/>
      <c r="N45" s="769"/>
      <c r="O45" s="769"/>
      <c r="P45" s="769"/>
      <c r="Q45" s="769"/>
      <c r="R45" s="769"/>
      <c r="S45" s="769"/>
      <c r="T45" s="769"/>
      <c r="U45" s="769"/>
      <c r="V45" s="769"/>
      <c r="W45" s="769"/>
      <c r="X45" s="769"/>
      <c r="Y45" s="72"/>
    </row>
    <row r="46" spans="1:25" ht="21" customHeight="1">
      <c r="A46" s="69"/>
      <c r="B46" s="70"/>
      <c r="C46" s="770" t="s">
        <v>84</v>
      </c>
      <c r="D46" s="771"/>
      <c r="E46" s="771"/>
      <c r="F46" s="771"/>
      <c r="G46" s="771"/>
      <c r="H46" s="771"/>
      <c r="I46" s="771"/>
      <c r="J46" s="772" t="s">
        <v>85</v>
      </c>
      <c r="K46" s="773"/>
      <c r="L46" s="773"/>
      <c r="M46" s="773" t="s">
        <v>86</v>
      </c>
      <c r="N46" s="774"/>
      <c r="O46" s="700">
        <v>1700</v>
      </c>
      <c r="P46" s="701"/>
      <c r="Q46" s="701"/>
      <c r="R46" s="702" t="s">
        <v>45</v>
      </c>
      <c r="S46" s="703"/>
      <c r="T46" s="704">
        <v>85</v>
      </c>
      <c r="U46" s="705"/>
      <c r="V46" s="705"/>
      <c r="W46" s="705"/>
      <c r="X46" s="706"/>
      <c r="Y46" s="72"/>
    </row>
    <row r="47" spans="1:25" ht="21" customHeight="1">
      <c r="A47" s="69"/>
      <c r="B47" s="70"/>
      <c r="C47" s="73"/>
      <c r="D47" s="763" t="s">
        <v>71</v>
      </c>
      <c r="E47" s="764"/>
      <c r="F47" s="764"/>
      <c r="G47" s="764"/>
      <c r="H47" s="764"/>
      <c r="I47" s="765"/>
      <c r="J47" s="766"/>
      <c r="K47" s="767"/>
      <c r="L47" s="767"/>
      <c r="M47" s="767"/>
      <c r="N47" s="768"/>
      <c r="O47" s="681">
        <v>0</v>
      </c>
      <c r="P47" s="682"/>
      <c r="Q47" s="682"/>
      <c r="R47" s="683" t="s">
        <v>45</v>
      </c>
      <c r="S47" s="684"/>
      <c r="T47" s="685">
        <v>0</v>
      </c>
      <c r="U47" s="686"/>
      <c r="V47" s="686"/>
      <c r="W47" s="686"/>
      <c r="X47" s="687"/>
      <c r="Y47" s="72"/>
    </row>
    <row r="48" spans="1:25" ht="21" customHeight="1">
      <c r="A48" s="69"/>
      <c r="B48" s="70"/>
      <c r="C48" s="73"/>
      <c r="D48" s="751"/>
      <c r="E48" s="752"/>
      <c r="F48" s="752"/>
      <c r="G48" s="752"/>
      <c r="H48" s="752"/>
      <c r="I48" s="752"/>
      <c r="J48" s="760"/>
      <c r="K48" s="761"/>
      <c r="L48" s="761"/>
      <c r="M48" s="761"/>
      <c r="N48" s="762"/>
      <c r="O48" s="681">
        <v>0</v>
      </c>
      <c r="P48" s="682"/>
      <c r="Q48" s="682"/>
      <c r="R48" s="683" t="s">
        <v>45</v>
      </c>
      <c r="S48" s="684"/>
      <c r="T48" s="685">
        <v>0</v>
      </c>
      <c r="U48" s="686"/>
      <c r="V48" s="686"/>
      <c r="W48" s="686"/>
      <c r="X48" s="687"/>
      <c r="Y48" s="72"/>
    </row>
    <row r="49" spans="1:25" ht="21" customHeight="1">
      <c r="A49" s="69"/>
      <c r="B49" s="70"/>
      <c r="C49" s="74"/>
      <c r="D49" s="745"/>
      <c r="E49" s="746"/>
      <c r="F49" s="746"/>
      <c r="G49" s="746"/>
      <c r="H49" s="746"/>
      <c r="I49" s="746"/>
      <c r="J49" s="757"/>
      <c r="K49" s="758"/>
      <c r="L49" s="758"/>
      <c r="M49" s="758"/>
      <c r="N49" s="759"/>
      <c r="O49" s="669">
        <v>0</v>
      </c>
      <c r="P49" s="670"/>
      <c r="Q49" s="670"/>
      <c r="R49" s="671" t="s">
        <v>45</v>
      </c>
      <c r="S49" s="672"/>
      <c r="T49" s="673">
        <v>0</v>
      </c>
      <c r="U49" s="674"/>
      <c r="V49" s="674"/>
      <c r="W49" s="674"/>
      <c r="X49" s="675"/>
      <c r="Y49" s="72"/>
    </row>
    <row r="50" spans="1:25" ht="21" customHeight="1">
      <c r="A50" s="69"/>
      <c r="B50" s="70"/>
      <c r="C50" s="71"/>
      <c r="D50" s="71"/>
      <c r="E50" s="75"/>
      <c r="F50" s="75"/>
      <c r="G50" s="75"/>
      <c r="H50" s="75"/>
      <c r="I50" s="75"/>
      <c r="J50" s="71"/>
      <c r="K50" s="71"/>
      <c r="L50" s="71"/>
      <c r="M50" s="71"/>
      <c r="N50" s="71"/>
      <c r="O50" s="71"/>
      <c r="P50" s="76"/>
      <c r="Q50" s="76"/>
      <c r="R50" s="76"/>
      <c r="S50" s="71"/>
      <c r="T50" s="76"/>
      <c r="U50" s="76"/>
      <c r="V50" s="76"/>
      <c r="W50" s="76"/>
      <c r="X50" s="76"/>
      <c r="Y50" s="72"/>
    </row>
    <row r="51" spans="1:25" ht="21" customHeight="1">
      <c r="A51" s="69"/>
      <c r="B51" s="70"/>
      <c r="C51" s="71" t="s">
        <v>87</v>
      </c>
      <c r="D51" s="71"/>
      <c r="E51" s="769" t="s">
        <v>88</v>
      </c>
      <c r="F51" s="769"/>
      <c r="G51" s="769"/>
      <c r="H51" s="769"/>
      <c r="I51" s="769"/>
      <c r="J51" s="769"/>
      <c r="K51" s="769"/>
      <c r="L51" s="769"/>
      <c r="M51" s="769"/>
      <c r="N51" s="769"/>
      <c r="O51" s="769"/>
      <c r="P51" s="769"/>
      <c r="Q51" s="769"/>
      <c r="R51" s="769"/>
      <c r="S51" s="769"/>
      <c r="T51" s="769"/>
      <c r="U51" s="769"/>
      <c r="V51" s="769"/>
      <c r="W51" s="769"/>
      <c r="X51" s="769"/>
      <c r="Y51" s="72"/>
    </row>
    <row r="52" spans="1:25" ht="21" customHeight="1">
      <c r="A52" s="69"/>
      <c r="B52" s="70"/>
      <c r="C52" s="770" t="s">
        <v>89</v>
      </c>
      <c r="D52" s="771"/>
      <c r="E52" s="771"/>
      <c r="F52" s="771"/>
      <c r="G52" s="771"/>
      <c r="H52" s="771"/>
      <c r="I52" s="771"/>
      <c r="J52" s="772" t="s">
        <v>90</v>
      </c>
      <c r="K52" s="773"/>
      <c r="L52" s="773"/>
      <c r="M52" s="773" t="s">
        <v>91</v>
      </c>
      <c r="N52" s="774"/>
      <c r="O52" s="700">
        <v>1900</v>
      </c>
      <c r="P52" s="701"/>
      <c r="Q52" s="701"/>
      <c r="R52" s="702" t="s">
        <v>45</v>
      </c>
      <c r="S52" s="703"/>
      <c r="T52" s="704">
        <v>26</v>
      </c>
      <c r="U52" s="705"/>
      <c r="V52" s="705"/>
      <c r="W52" s="705"/>
      <c r="X52" s="706"/>
      <c r="Y52" s="72"/>
    </row>
    <row r="53" spans="1:25" ht="21" customHeight="1">
      <c r="A53" s="69"/>
      <c r="B53" s="70"/>
      <c r="C53" s="73"/>
      <c r="D53" s="763" t="s">
        <v>71</v>
      </c>
      <c r="E53" s="764"/>
      <c r="F53" s="764"/>
      <c r="G53" s="764"/>
      <c r="H53" s="764"/>
      <c r="I53" s="765"/>
      <c r="J53" s="766"/>
      <c r="K53" s="767"/>
      <c r="L53" s="767"/>
      <c r="M53" s="767"/>
      <c r="N53" s="768"/>
      <c r="O53" s="681">
        <v>0</v>
      </c>
      <c r="P53" s="682"/>
      <c r="Q53" s="682"/>
      <c r="R53" s="683" t="s">
        <v>45</v>
      </c>
      <c r="S53" s="684"/>
      <c r="T53" s="685">
        <v>0</v>
      </c>
      <c r="U53" s="686"/>
      <c r="V53" s="686"/>
      <c r="W53" s="686"/>
      <c r="X53" s="687"/>
      <c r="Y53" s="72"/>
    </row>
    <row r="54" spans="1:25" ht="21" customHeight="1">
      <c r="A54" s="69"/>
      <c r="B54" s="70"/>
      <c r="C54" s="73"/>
      <c r="D54" s="751"/>
      <c r="E54" s="752"/>
      <c r="F54" s="752"/>
      <c r="G54" s="752"/>
      <c r="H54" s="752"/>
      <c r="I54" s="752"/>
      <c r="J54" s="760"/>
      <c r="K54" s="761"/>
      <c r="L54" s="761"/>
      <c r="M54" s="761"/>
      <c r="N54" s="762"/>
      <c r="O54" s="681">
        <v>0</v>
      </c>
      <c r="P54" s="682"/>
      <c r="Q54" s="682"/>
      <c r="R54" s="683" t="s">
        <v>45</v>
      </c>
      <c r="S54" s="684"/>
      <c r="T54" s="685">
        <v>0</v>
      </c>
      <c r="U54" s="686"/>
      <c r="V54" s="686"/>
      <c r="W54" s="686"/>
      <c r="X54" s="687"/>
      <c r="Y54" s="72"/>
    </row>
    <row r="55" spans="1:25" ht="21" customHeight="1">
      <c r="A55" s="69"/>
      <c r="B55" s="70"/>
      <c r="C55" s="74"/>
      <c r="D55" s="745"/>
      <c r="E55" s="746"/>
      <c r="F55" s="746"/>
      <c r="G55" s="746"/>
      <c r="H55" s="746"/>
      <c r="I55" s="746"/>
      <c r="J55" s="757"/>
      <c r="K55" s="758"/>
      <c r="L55" s="758"/>
      <c r="M55" s="758"/>
      <c r="N55" s="759"/>
      <c r="O55" s="669">
        <v>0</v>
      </c>
      <c r="P55" s="670"/>
      <c r="Q55" s="670"/>
      <c r="R55" s="671" t="s">
        <v>45</v>
      </c>
      <c r="S55" s="672"/>
      <c r="T55" s="673">
        <v>0</v>
      </c>
      <c r="U55" s="674"/>
      <c r="V55" s="674"/>
      <c r="W55" s="674"/>
      <c r="X55" s="675"/>
      <c r="Y55" s="72"/>
    </row>
    <row r="56" spans="1:25" ht="21" customHeight="1">
      <c r="A56" s="69"/>
      <c r="B56" s="70"/>
      <c r="C56" s="71"/>
      <c r="D56" s="71"/>
      <c r="E56" s="75"/>
      <c r="F56" s="75"/>
      <c r="G56" s="75"/>
      <c r="H56" s="75"/>
      <c r="I56" s="75"/>
      <c r="J56" s="71"/>
      <c r="K56" s="71"/>
      <c r="L56" s="71"/>
      <c r="M56" s="71"/>
      <c r="N56" s="71"/>
      <c r="O56" s="71"/>
      <c r="P56" s="76"/>
      <c r="Q56" s="76"/>
      <c r="R56" s="76"/>
      <c r="S56" s="71"/>
      <c r="T56" s="76"/>
      <c r="U56" s="76"/>
      <c r="V56" s="76"/>
      <c r="W56" s="76"/>
      <c r="X56" s="76"/>
      <c r="Y56" s="72"/>
    </row>
    <row r="57" spans="1:25" ht="21" customHeight="1">
      <c r="A57" s="69"/>
      <c r="B57" s="70"/>
      <c r="C57" s="71" t="s">
        <v>92</v>
      </c>
      <c r="D57" s="71"/>
      <c r="E57" s="769" t="s">
        <v>93</v>
      </c>
      <c r="F57" s="769"/>
      <c r="G57" s="769"/>
      <c r="H57" s="769"/>
      <c r="I57" s="769"/>
      <c r="J57" s="769"/>
      <c r="K57" s="769"/>
      <c r="L57" s="769"/>
      <c r="M57" s="769"/>
      <c r="N57" s="769"/>
      <c r="O57" s="769"/>
      <c r="P57" s="769"/>
      <c r="Q57" s="769"/>
      <c r="R57" s="769"/>
      <c r="S57" s="769"/>
      <c r="T57" s="769"/>
      <c r="U57" s="769"/>
      <c r="V57" s="769"/>
      <c r="W57" s="769"/>
      <c r="X57" s="769"/>
      <c r="Y57" s="72"/>
    </row>
    <row r="58" spans="1:25" ht="21" customHeight="1">
      <c r="A58" s="69"/>
      <c r="B58" s="70"/>
      <c r="C58" s="770" t="s">
        <v>94</v>
      </c>
      <c r="D58" s="771"/>
      <c r="E58" s="771"/>
      <c r="F58" s="771"/>
      <c r="G58" s="771"/>
      <c r="H58" s="771"/>
      <c r="I58" s="771"/>
      <c r="J58" s="772" t="s">
        <v>95</v>
      </c>
      <c r="K58" s="773"/>
      <c r="L58" s="773"/>
      <c r="M58" s="773" t="s">
        <v>96</v>
      </c>
      <c r="N58" s="774"/>
      <c r="O58" s="700">
        <v>2100</v>
      </c>
      <c r="P58" s="701"/>
      <c r="Q58" s="701"/>
      <c r="R58" s="702" t="s">
        <v>45</v>
      </c>
      <c r="S58" s="703"/>
      <c r="T58" s="704">
        <v>17</v>
      </c>
      <c r="U58" s="705"/>
      <c r="V58" s="705"/>
      <c r="W58" s="705"/>
      <c r="X58" s="706"/>
      <c r="Y58" s="72"/>
    </row>
    <row r="59" spans="1:25" ht="21" customHeight="1">
      <c r="A59" s="69"/>
      <c r="B59" s="70"/>
      <c r="C59" s="73"/>
      <c r="D59" s="763" t="s">
        <v>71</v>
      </c>
      <c r="E59" s="764"/>
      <c r="F59" s="764"/>
      <c r="G59" s="764"/>
      <c r="H59" s="764"/>
      <c r="I59" s="765"/>
      <c r="J59" s="766"/>
      <c r="K59" s="767"/>
      <c r="L59" s="767"/>
      <c r="M59" s="767"/>
      <c r="N59" s="768"/>
      <c r="O59" s="681">
        <v>0</v>
      </c>
      <c r="P59" s="682"/>
      <c r="Q59" s="682"/>
      <c r="R59" s="683" t="s">
        <v>45</v>
      </c>
      <c r="S59" s="684"/>
      <c r="T59" s="685">
        <v>0</v>
      </c>
      <c r="U59" s="686"/>
      <c r="V59" s="686"/>
      <c r="W59" s="686"/>
      <c r="X59" s="687"/>
      <c r="Y59" s="72"/>
    </row>
    <row r="60" spans="1:25" ht="21" customHeight="1">
      <c r="A60" s="69"/>
      <c r="B60" s="70"/>
      <c r="C60" s="73"/>
      <c r="D60" s="751"/>
      <c r="E60" s="752"/>
      <c r="F60" s="752"/>
      <c r="G60" s="752"/>
      <c r="H60" s="752"/>
      <c r="I60" s="752"/>
      <c r="J60" s="760"/>
      <c r="K60" s="761"/>
      <c r="L60" s="761"/>
      <c r="M60" s="761"/>
      <c r="N60" s="762"/>
      <c r="O60" s="681">
        <v>0</v>
      </c>
      <c r="P60" s="682"/>
      <c r="Q60" s="682"/>
      <c r="R60" s="683" t="s">
        <v>45</v>
      </c>
      <c r="S60" s="684"/>
      <c r="T60" s="685">
        <v>0</v>
      </c>
      <c r="U60" s="686"/>
      <c r="V60" s="686"/>
      <c r="W60" s="686"/>
      <c r="X60" s="687"/>
      <c r="Y60" s="72"/>
    </row>
    <row r="61" spans="1:25" ht="21" customHeight="1">
      <c r="A61" s="69"/>
      <c r="B61" s="70"/>
      <c r="C61" s="74"/>
      <c r="D61" s="745"/>
      <c r="E61" s="746"/>
      <c r="F61" s="746"/>
      <c r="G61" s="746"/>
      <c r="H61" s="746"/>
      <c r="I61" s="746"/>
      <c r="J61" s="757"/>
      <c r="K61" s="758"/>
      <c r="L61" s="758"/>
      <c r="M61" s="758"/>
      <c r="N61" s="759"/>
      <c r="O61" s="669">
        <v>0</v>
      </c>
      <c r="P61" s="670"/>
      <c r="Q61" s="670"/>
      <c r="R61" s="671" t="s">
        <v>45</v>
      </c>
      <c r="S61" s="672"/>
      <c r="T61" s="673">
        <v>0</v>
      </c>
      <c r="U61" s="674"/>
      <c r="V61" s="674"/>
      <c r="W61" s="674"/>
      <c r="X61" s="675"/>
      <c r="Y61" s="72"/>
    </row>
    <row r="62" spans="1:25" ht="21" customHeight="1">
      <c r="A62" s="69"/>
      <c r="B62" s="70"/>
      <c r="C62" s="71"/>
      <c r="D62" s="71"/>
      <c r="E62" s="75"/>
      <c r="F62" s="75"/>
      <c r="G62" s="75"/>
      <c r="H62" s="75"/>
      <c r="I62" s="75"/>
      <c r="J62" s="71"/>
      <c r="K62" s="71"/>
      <c r="L62" s="71"/>
      <c r="M62" s="71"/>
      <c r="N62" s="71"/>
      <c r="O62" s="71"/>
      <c r="P62" s="76"/>
      <c r="Q62" s="76"/>
      <c r="R62" s="76"/>
      <c r="S62" s="71"/>
      <c r="T62" s="76"/>
      <c r="U62" s="76"/>
      <c r="V62" s="76"/>
      <c r="W62" s="76"/>
      <c r="X62" s="76"/>
      <c r="Y62" s="72"/>
    </row>
    <row r="63" spans="1:25" ht="21" customHeight="1">
      <c r="A63" s="69"/>
      <c r="B63" s="70"/>
      <c r="C63" s="71" t="s">
        <v>97</v>
      </c>
      <c r="D63" s="71"/>
      <c r="E63" s="769" t="s">
        <v>98</v>
      </c>
      <c r="F63" s="769"/>
      <c r="G63" s="769"/>
      <c r="H63" s="769"/>
      <c r="I63" s="769"/>
      <c r="J63" s="769"/>
      <c r="K63" s="769"/>
      <c r="L63" s="769"/>
      <c r="M63" s="769"/>
      <c r="N63" s="769"/>
      <c r="O63" s="769"/>
      <c r="P63" s="769"/>
      <c r="Q63" s="769"/>
      <c r="R63" s="769"/>
      <c r="S63" s="769"/>
      <c r="T63" s="769"/>
      <c r="U63" s="769"/>
      <c r="V63" s="769"/>
      <c r="W63" s="769"/>
      <c r="X63" s="769"/>
      <c r="Y63" s="72"/>
    </row>
    <row r="64" spans="1:25" ht="21" customHeight="1">
      <c r="A64" s="69"/>
      <c r="B64" s="70"/>
      <c r="C64" s="770" t="s">
        <v>99</v>
      </c>
      <c r="D64" s="771"/>
      <c r="E64" s="771"/>
      <c r="F64" s="771"/>
      <c r="G64" s="771"/>
      <c r="H64" s="771"/>
      <c r="I64" s="771"/>
      <c r="J64" s="772" t="s">
        <v>100</v>
      </c>
      <c r="K64" s="773"/>
      <c r="L64" s="773"/>
      <c r="M64" s="773" t="s">
        <v>101</v>
      </c>
      <c r="N64" s="774"/>
      <c r="O64" s="700">
        <v>2300</v>
      </c>
      <c r="P64" s="701"/>
      <c r="Q64" s="701"/>
      <c r="R64" s="702" t="s">
        <v>45</v>
      </c>
      <c r="S64" s="703"/>
      <c r="T64" s="704">
        <v>7</v>
      </c>
      <c r="U64" s="705"/>
      <c r="V64" s="705"/>
      <c r="W64" s="705"/>
      <c r="X64" s="706"/>
      <c r="Y64" s="72"/>
    </row>
    <row r="65" spans="1:25" ht="21" customHeight="1">
      <c r="A65" s="69"/>
      <c r="B65" s="70"/>
      <c r="C65" s="73"/>
      <c r="D65" s="763" t="s">
        <v>71</v>
      </c>
      <c r="E65" s="764"/>
      <c r="F65" s="764"/>
      <c r="G65" s="764"/>
      <c r="H65" s="764"/>
      <c r="I65" s="765"/>
      <c r="J65" s="766"/>
      <c r="K65" s="767"/>
      <c r="L65" s="767"/>
      <c r="M65" s="767"/>
      <c r="N65" s="768"/>
      <c r="O65" s="681">
        <v>0</v>
      </c>
      <c r="P65" s="682"/>
      <c r="Q65" s="682"/>
      <c r="R65" s="683" t="s">
        <v>45</v>
      </c>
      <c r="S65" s="684"/>
      <c r="T65" s="685">
        <v>0</v>
      </c>
      <c r="U65" s="686"/>
      <c r="V65" s="686"/>
      <c r="W65" s="686"/>
      <c r="X65" s="687"/>
      <c r="Y65" s="72"/>
    </row>
    <row r="66" spans="1:25" ht="21" customHeight="1">
      <c r="A66" s="69"/>
      <c r="B66" s="70"/>
      <c r="C66" s="73"/>
      <c r="D66" s="751"/>
      <c r="E66" s="752"/>
      <c r="F66" s="752"/>
      <c r="G66" s="752"/>
      <c r="H66" s="752"/>
      <c r="I66" s="752"/>
      <c r="J66" s="760"/>
      <c r="K66" s="761"/>
      <c r="L66" s="761"/>
      <c r="M66" s="761"/>
      <c r="N66" s="762"/>
      <c r="O66" s="681">
        <v>0</v>
      </c>
      <c r="P66" s="682"/>
      <c r="Q66" s="682"/>
      <c r="R66" s="683" t="s">
        <v>45</v>
      </c>
      <c r="S66" s="684"/>
      <c r="T66" s="685">
        <v>0</v>
      </c>
      <c r="U66" s="686"/>
      <c r="V66" s="686"/>
      <c r="W66" s="686"/>
      <c r="X66" s="687"/>
      <c r="Y66" s="72"/>
    </row>
    <row r="67" spans="1:25" ht="21" customHeight="1">
      <c r="A67" s="69"/>
      <c r="B67" s="70"/>
      <c r="C67" s="74"/>
      <c r="D67" s="745"/>
      <c r="E67" s="746"/>
      <c r="F67" s="746"/>
      <c r="G67" s="746"/>
      <c r="H67" s="746"/>
      <c r="I67" s="746"/>
      <c r="J67" s="757"/>
      <c r="K67" s="758"/>
      <c r="L67" s="758"/>
      <c r="M67" s="758"/>
      <c r="N67" s="759"/>
      <c r="O67" s="669">
        <v>0</v>
      </c>
      <c r="P67" s="670"/>
      <c r="Q67" s="670"/>
      <c r="R67" s="671" t="s">
        <v>45</v>
      </c>
      <c r="S67" s="672"/>
      <c r="T67" s="673">
        <v>0</v>
      </c>
      <c r="U67" s="674"/>
      <c r="V67" s="674"/>
      <c r="W67" s="674"/>
      <c r="X67" s="675"/>
      <c r="Y67" s="72"/>
    </row>
    <row r="68" spans="1:25" ht="21" customHeight="1">
      <c r="A68" s="69"/>
      <c r="B68" s="70"/>
      <c r="C68" s="71"/>
      <c r="D68" s="71"/>
      <c r="E68" s="75"/>
      <c r="F68" s="75"/>
      <c r="G68" s="75"/>
      <c r="H68" s="75"/>
      <c r="I68" s="75"/>
      <c r="J68" s="71"/>
      <c r="K68" s="71"/>
      <c r="L68" s="71"/>
      <c r="M68" s="71"/>
      <c r="N68" s="71"/>
      <c r="O68" s="71"/>
      <c r="P68" s="76"/>
      <c r="Q68" s="76"/>
      <c r="R68" s="76"/>
      <c r="S68" s="71"/>
      <c r="T68" s="76"/>
      <c r="U68" s="76"/>
      <c r="V68" s="76"/>
      <c r="W68" s="76"/>
      <c r="X68" s="76"/>
      <c r="Y68" s="72"/>
    </row>
    <row r="69" spans="1:25" ht="21" customHeight="1">
      <c r="A69" s="69"/>
      <c r="B69" s="70"/>
      <c r="C69" s="71" t="s">
        <v>102</v>
      </c>
      <c r="D69" s="71"/>
      <c r="E69" s="769" t="s">
        <v>103</v>
      </c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69"/>
      <c r="Q69" s="769"/>
      <c r="R69" s="769"/>
      <c r="S69" s="769"/>
      <c r="T69" s="769"/>
      <c r="U69" s="769"/>
      <c r="V69" s="769"/>
      <c r="W69" s="769"/>
      <c r="X69" s="769"/>
      <c r="Y69" s="72"/>
    </row>
    <row r="70" spans="1:25" ht="21" customHeight="1">
      <c r="A70" s="69"/>
      <c r="B70" s="70"/>
      <c r="C70" s="770" t="s">
        <v>104</v>
      </c>
      <c r="D70" s="771"/>
      <c r="E70" s="771"/>
      <c r="F70" s="771"/>
      <c r="G70" s="771"/>
      <c r="H70" s="771"/>
      <c r="I70" s="771"/>
      <c r="J70" s="772" t="s">
        <v>105</v>
      </c>
      <c r="K70" s="773"/>
      <c r="L70" s="773"/>
      <c r="M70" s="773" t="s">
        <v>106</v>
      </c>
      <c r="N70" s="774"/>
      <c r="O70" s="700">
        <v>2400</v>
      </c>
      <c r="P70" s="701"/>
      <c r="Q70" s="701"/>
      <c r="R70" s="702" t="s">
        <v>45</v>
      </c>
      <c r="S70" s="703"/>
      <c r="T70" s="704">
        <v>28</v>
      </c>
      <c r="U70" s="705"/>
      <c r="V70" s="705"/>
      <c r="W70" s="705"/>
      <c r="X70" s="706"/>
      <c r="Y70" s="72"/>
    </row>
    <row r="71" spans="1:25" ht="21" customHeight="1">
      <c r="A71" s="69"/>
      <c r="B71" s="70"/>
      <c r="C71" s="73"/>
      <c r="D71" s="763" t="s">
        <v>71</v>
      </c>
      <c r="E71" s="764"/>
      <c r="F71" s="764"/>
      <c r="G71" s="764"/>
      <c r="H71" s="764"/>
      <c r="I71" s="765"/>
      <c r="J71" s="766"/>
      <c r="K71" s="767"/>
      <c r="L71" s="767"/>
      <c r="M71" s="767"/>
      <c r="N71" s="768"/>
      <c r="O71" s="681">
        <v>0</v>
      </c>
      <c r="P71" s="682"/>
      <c r="Q71" s="682"/>
      <c r="R71" s="683" t="s">
        <v>45</v>
      </c>
      <c r="S71" s="684"/>
      <c r="T71" s="685">
        <v>0</v>
      </c>
      <c r="U71" s="686"/>
      <c r="V71" s="686"/>
      <c r="W71" s="686"/>
      <c r="X71" s="687"/>
      <c r="Y71" s="72"/>
    </row>
    <row r="72" spans="1:25" ht="21" customHeight="1">
      <c r="A72" s="69"/>
      <c r="B72" s="70"/>
      <c r="C72" s="73"/>
      <c r="D72" s="751"/>
      <c r="E72" s="752"/>
      <c r="F72" s="752"/>
      <c r="G72" s="752"/>
      <c r="H72" s="752"/>
      <c r="I72" s="752"/>
      <c r="J72" s="760"/>
      <c r="K72" s="761"/>
      <c r="L72" s="761"/>
      <c r="M72" s="761"/>
      <c r="N72" s="762"/>
      <c r="O72" s="681">
        <v>0</v>
      </c>
      <c r="P72" s="682"/>
      <c r="Q72" s="682"/>
      <c r="R72" s="683" t="s">
        <v>45</v>
      </c>
      <c r="S72" s="684"/>
      <c r="T72" s="685">
        <v>0</v>
      </c>
      <c r="U72" s="686"/>
      <c r="V72" s="686"/>
      <c r="W72" s="686"/>
      <c r="X72" s="687"/>
      <c r="Y72" s="72"/>
    </row>
    <row r="73" spans="1:25" ht="21" customHeight="1">
      <c r="A73" s="69"/>
      <c r="B73" s="70"/>
      <c r="C73" s="73"/>
      <c r="D73" s="751"/>
      <c r="E73" s="752"/>
      <c r="F73" s="752"/>
      <c r="G73" s="752"/>
      <c r="H73" s="752"/>
      <c r="I73" s="752"/>
      <c r="J73" s="760"/>
      <c r="K73" s="761"/>
      <c r="L73" s="761"/>
      <c r="M73" s="761"/>
      <c r="N73" s="762"/>
      <c r="O73" s="681">
        <v>0</v>
      </c>
      <c r="P73" s="682"/>
      <c r="Q73" s="682"/>
      <c r="R73" s="683" t="s">
        <v>45</v>
      </c>
      <c r="S73" s="684"/>
      <c r="T73" s="685">
        <v>0</v>
      </c>
      <c r="U73" s="686"/>
      <c r="V73" s="686"/>
      <c r="W73" s="686"/>
      <c r="X73" s="687"/>
      <c r="Y73" s="72"/>
    </row>
    <row r="74" spans="1:25" ht="21" customHeight="1">
      <c r="A74" s="69"/>
      <c r="B74" s="70"/>
      <c r="C74" s="73"/>
      <c r="D74" s="751"/>
      <c r="E74" s="752"/>
      <c r="F74" s="752"/>
      <c r="G74" s="752"/>
      <c r="H74" s="752"/>
      <c r="I74" s="752"/>
      <c r="J74" s="760"/>
      <c r="K74" s="761"/>
      <c r="L74" s="761"/>
      <c r="M74" s="761"/>
      <c r="N74" s="762"/>
      <c r="O74" s="681">
        <v>0</v>
      </c>
      <c r="P74" s="682"/>
      <c r="Q74" s="682"/>
      <c r="R74" s="683" t="s">
        <v>45</v>
      </c>
      <c r="S74" s="684"/>
      <c r="T74" s="685">
        <v>0</v>
      </c>
      <c r="U74" s="686"/>
      <c r="V74" s="686"/>
      <c r="W74" s="686"/>
      <c r="X74" s="687"/>
      <c r="Y74" s="72"/>
    </row>
    <row r="75" spans="1:25" ht="21" customHeight="1">
      <c r="A75" s="69"/>
      <c r="B75" s="70"/>
      <c r="C75" s="73"/>
      <c r="D75" s="751"/>
      <c r="E75" s="752"/>
      <c r="F75" s="752"/>
      <c r="G75" s="752"/>
      <c r="H75" s="752"/>
      <c r="I75" s="752"/>
      <c r="J75" s="760"/>
      <c r="K75" s="761"/>
      <c r="L75" s="761"/>
      <c r="M75" s="761"/>
      <c r="N75" s="762"/>
      <c r="O75" s="681">
        <v>0</v>
      </c>
      <c r="P75" s="682"/>
      <c r="Q75" s="682"/>
      <c r="R75" s="683" t="s">
        <v>45</v>
      </c>
      <c r="S75" s="684"/>
      <c r="T75" s="685">
        <v>0</v>
      </c>
      <c r="U75" s="686"/>
      <c r="V75" s="686"/>
      <c r="W75" s="686"/>
      <c r="X75" s="687"/>
      <c r="Y75" s="72"/>
    </row>
    <row r="76" spans="1:25" ht="21" customHeight="1">
      <c r="A76" s="69"/>
      <c r="B76" s="70"/>
      <c r="C76" s="73"/>
      <c r="D76" s="751"/>
      <c r="E76" s="752"/>
      <c r="F76" s="752"/>
      <c r="G76" s="752"/>
      <c r="H76" s="752"/>
      <c r="I76" s="752"/>
      <c r="J76" s="760"/>
      <c r="K76" s="761"/>
      <c r="L76" s="761"/>
      <c r="M76" s="761"/>
      <c r="N76" s="762"/>
      <c r="O76" s="681">
        <v>0</v>
      </c>
      <c r="P76" s="682"/>
      <c r="Q76" s="682"/>
      <c r="R76" s="683" t="s">
        <v>45</v>
      </c>
      <c r="S76" s="684"/>
      <c r="T76" s="685">
        <v>0</v>
      </c>
      <c r="U76" s="686"/>
      <c r="V76" s="686"/>
      <c r="W76" s="686"/>
      <c r="X76" s="687"/>
      <c r="Y76" s="72"/>
    </row>
    <row r="77" spans="1:25" ht="21" customHeight="1">
      <c r="A77" s="69"/>
      <c r="B77" s="70"/>
      <c r="C77" s="73"/>
      <c r="D77" s="751"/>
      <c r="E77" s="752"/>
      <c r="F77" s="752"/>
      <c r="G77" s="752"/>
      <c r="H77" s="752"/>
      <c r="I77" s="752"/>
      <c r="J77" s="760"/>
      <c r="K77" s="761"/>
      <c r="L77" s="761"/>
      <c r="M77" s="761"/>
      <c r="N77" s="762"/>
      <c r="O77" s="681">
        <v>0</v>
      </c>
      <c r="P77" s="682"/>
      <c r="Q77" s="682"/>
      <c r="R77" s="683" t="s">
        <v>45</v>
      </c>
      <c r="S77" s="684"/>
      <c r="T77" s="685">
        <v>0</v>
      </c>
      <c r="U77" s="686"/>
      <c r="V77" s="686"/>
      <c r="W77" s="686"/>
      <c r="X77" s="687"/>
      <c r="Y77" s="72"/>
    </row>
    <row r="78" spans="1:25" ht="21" customHeight="1">
      <c r="A78" s="69"/>
      <c r="B78" s="70"/>
      <c r="C78" s="73"/>
      <c r="D78" s="751"/>
      <c r="E78" s="752"/>
      <c r="F78" s="752"/>
      <c r="G78" s="752"/>
      <c r="H78" s="752"/>
      <c r="I78" s="752"/>
      <c r="J78" s="760"/>
      <c r="K78" s="761"/>
      <c r="L78" s="761"/>
      <c r="M78" s="761"/>
      <c r="N78" s="762"/>
      <c r="O78" s="681">
        <v>0</v>
      </c>
      <c r="P78" s="682"/>
      <c r="Q78" s="682"/>
      <c r="R78" s="683" t="s">
        <v>45</v>
      </c>
      <c r="S78" s="684"/>
      <c r="T78" s="685">
        <v>0</v>
      </c>
      <c r="U78" s="686"/>
      <c r="V78" s="686"/>
      <c r="W78" s="686"/>
      <c r="X78" s="687"/>
      <c r="Y78" s="72"/>
    </row>
    <row r="79" spans="1:25" ht="21" customHeight="1">
      <c r="A79" s="69"/>
      <c r="B79" s="70"/>
      <c r="C79" s="73"/>
      <c r="D79" s="751"/>
      <c r="E79" s="752"/>
      <c r="F79" s="752"/>
      <c r="G79" s="752"/>
      <c r="H79" s="752"/>
      <c r="I79" s="752"/>
      <c r="J79" s="760"/>
      <c r="K79" s="761"/>
      <c r="L79" s="761"/>
      <c r="M79" s="761"/>
      <c r="N79" s="762"/>
      <c r="O79" s="681">
        <v>0</v>
      </c>
      <c r="P79" s="682"/>
      <c r="Q79" s="682"/>
      <c r="R79" s="683" t="s">
        <v>45</v>
      </c>
      <c r="S79" s="684"/>
      <c r="T79" s="685">
        <v>0</v>
      </c>
      <c r="U79" s="686"/>
      <c r="V79" s="686"/>
      <c r="W79" s="686"/>
      <c r="X79" s="687"/>
      <c r="Y79" s="72"/>
    </row>
    <row r="80" spans="1:25" ht="21" customHeight="1">
      <c r="A80" s="69"/>
      <c r="B80" s="70"/>
      <c r="C80" s="73"/>
      <c r="D80" s="751"/>
      <c r="E80" s="752"/>
      <c r="F80" s="752"/>
      <c r="G80" s="752"/>
      <c r="H80" s="752"/>
      <c r="I80" s="752"/>
      <c r="J80" s="760"/>
      <c r="K80" s="761"/>
      <c r="L80" s="761"/>
      <c r="M80" s="761"/>
      <c r="N80" s="762"/>
      <c r="O80" s="681">
        <v>0</v>
      </c>
      <c r="P80" s="682"/>
      <c r="Q80" s="682"/>
      <c r="R80" s="683" t="s">
        <v>45</v>
      </c>
      <c r="S80" s="684"/>
      <c r="T80" s="685">
        <v>0</v>
      </c>
      <c r="U80" s="686"/>
      <c r="V80" s="686"/>
      <c r="W80" s="686"/>
      <c r="X80" s="687"/>
      <c r="Y80" s="72"/>
    </row>
    <row r="81" spans="1:25" ht="21" customHeight="1">
      <c r="A81" s="69"/>
      <c r="B81" s="70"/>
      <c r="C81" s="73"/>
      <c r="D81" s="751"/>
      <c r="E81" s="752"/>
      <c r="F81" s="752"/>
      <c r="G81" s="752"/>
      <c r="H81" s="752"/>
      <c r="I81" s="752"/>
      <c r="J81" s="760"/>
      <c r="K81" s="761"/>
      <c r="L81" s="761"/>
      <c r="M81" s="761"/>
      <c r="N81" s="762"/>
      <c r="O81" s="681">
        <v>0</v>
      </c>
      <c r="P81" s="682"/>
      <c r="Q81" s="682"/>
      <c r="R81" s="683" t="s">
        <v>45</v>
      </c>
      <c r="S81" s="684"/>
      <c r="T81" s="685">
        <v>0</v>
      </c>
      <c r="U81" s="686"/>
      <c r="V81" s="686"/>
      <c r="W81" s="686"/>
      <c r="X81" s="687"/>
      <c r="Y81" s="72"/>
    </row>
    <row r="82" spans="1:25" ht="21" customHeight="1">
      <c r="A82" s="69"/>
      <c r="B82" s="70"/>
      <c r="C82" s="73"/>
      <c r="D82" s="751"/>
      <c r="E82" s="752"/>
      <c r="F82" s="752"/>
      <c r="G82" s="752"/>
      <c r="H82" s="752"/>
      <c r="I82" s="753"/>
      <c r="J82" s="754"/>
      <c r="K82" s="755"/>
      <c r="L82" s="755"/>
      <c r="M82" s="755"/>
      <c r="N82" s="756"/>
      <c r="O82" s="681">
        <v>0</v>
      </c>
      <c r="P82" s="682"/>
      <c r="Q82" s="682"/>
      <c r="R82" s="683" t="s">
        <v>45</v>
      </c>
      <c r="S82" s="684"/>
      <c r="T82" s="685">
        <v>0</v>
      </c>
      <c r="U82" s="686"/>
      <c r="V82" s="686"/>
      <c r="W82" s="686"/>
      <c r="X82" s="687"/>
      <c r="Y82" s="72"/>
    </row>
    <row r="83" spans="1:25" ht="21" customHeight="1">
      <c r="A83" s="69"/>
      <c r="B83" s="71"/>
      <c r="C83" s="74"/>
      <c r="D83" s="745"/>
      <c r="E83" s="746"/>
      <c r="F83" s="746"/>
      <c r="G83" s="746"/>
      <c r="H83" s="746"/>
      <c r="I83" s="747"/>
      <c r="J83" s="748"/>
      <c r="K83" s="749"/>
      <c r="L83" s="749"/>
      <c r="M83" s="749"/>
      <c r="N83" s="750"/>
      <c r="O83" s="669">
        <v>0</v>
      </c>
      <c r="P83" s="670"/>
      <c r="Q83" s="670"/>
      <c r="R83" s="671" t="s">
        <v>45</v>
      </c>
      <c r="S83" s="672"/>
      <c r="T83" s="673">
        <v>0</v>
      </c>
      <c r="U83" s="674"/>
      <c r="V83" s="674"/>
      <c r="W83" s="674"/>
      <c r="X83" s="675"/>
      <c r="Y83" s="72"/>
    </row>
    <row r="84" spans="1:25" ht="21" customHeight="1">
      <c r="A84" s="69"/>
      <c r="B84" s="71"/>
      <c r="C84" s="71"/>
      <c r="D84" s="77"/>
      <c r="E84" s="71"/>
      <c r="F84" s="71"/>
      <c r="G84" s="71"/>
      <c r="H84" s="71"/>
      <c r="I84" s="71"/>
      <c r="J84" s="75"/>
      <c r="K84" s="75"/>
      <c r="L84" s="75"/>
      <c r="M84" s="75"/>
      <c r="N84" s="75"/>
      <c r="O84" s="75"/>
      <c r="P84" s="71"/>
      <c r="Q84" s="71"/>
      <c r="R84" s="71"/>
      <c r="S84" s="71"/>
      <c r="T84" s="71"/>
      <c r="U84" s="71"/>
      <c r="V84" s="71"/>
      <c r="W84" s="71"/>
      <c r="X84" s="76"/>
      <c r="Y84" s="72"/>
    </row>
    <row r="85" spans="1:25" ht="21" customHeight="1">
      <c r="A85" s="69"/>
      <c r="B85" s="71"/>
      <c r="C85" s="71" t="s">
        <v>107</v>
      </c>
      <c r="D85" s="76"/>
      <c r="E85" s="76"/>
      <c r="F85" s="76"/>
      <c r="G85" s="76"/>
      <c r="H85" s="76"/>
      <c r="I85" s="76"/>
      <c r="J85" s="71"/>
      <c r="K85" s="78"/>
      <c r="L85" s="78"/>
      <c r="M85" s="76"/>
      <c r="N85" s="76"/>
      <c r="O85" s="76"/>
      <c r="P85" s="71"/>
      <c r="Q85" s="71"/>
      <c r="R85" s="71"/>
      <c r="S85" s="71"/>
      <c r="T85" s="71"/>
      <c r="U85" s="71"/>
      <c r="V85" s="71"/>
      <c r="W85" s="71"/>
      <c r="X85" s="76"/>
      <c r="Y85" s="72"/>
    </row>
    <row r="86" spans="1:25" ht="21" customHeight="1">
      <c r="A86" s="69"/>
      <c r="B86" s="71"/>
      <c r="C86" s="737">
        <v>0</v>
      </c>
      <c r="D86" s="738"/>
      <c r="E86" s="739"/>
      <c r="F86" s="79"/>
      <c r="G86" s="80" t="s">
        <v>108</v>
      </c>
      <c r="H86" s="81"/>
      <c r="I86" s="76"/>
      <c r="J86" s="76"/>
      <c r="K86" s="76"/>
      <c r="L86" s="76"/>
      <c r="M86" s="76"/>
      <c r="N86" s="76"/>
      <c r="O86" s="740" t="s">
        <v>109</v>
      </c>
      <c r="P86" s="740"/>
      <c r="Q86" s="740"/>
      <c r="R86" s="740"/>
      <c r="S86" s="741"/>
      <c r="T86" s="742">
        <f>SUM(T13,T16,T19,T22,T25,T28,T29,T30,T31,T34,T35,T36,T37,T40,T41,T42,T43,T46,T47,T48,T49,T52,T53,T54,T55,T58,T59,T60,T61,T64,T65,T66,T67,T70,T71,T72,T73,T74,T75,T76,T77,T78,T79,T80,T81,T82,T83)</f>
        <v>3240</v>
      </c>
      <c r="U86" s="743"/>
      <c r="V86" s="743"/>
      <c r="W86" s="743"/>
      <c r="X86" s="744"/>
      <c r="Y86" s="72"/>
    </row>
    <row r="87" spans="1:25" ht="12" customHeight="1">
      <c r="A87" s="69"/>
      <c r="B87" s="71"/>
      <c r="C87" s="70"/>
      <c r="D87" s="82"/>
      <c r="E87" s="82"/>
      <c r="F87" s="83"/>
      <c r="G87" s="70"/>
      <c r="H87" s="83"/>
      <c r="I87" s="70"/>
      <c r="J87" s="71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</row>
  </sheetData>
  <mergeCells count="308">
    <mergeCell ref="D81:I81"/>
    <mergeCell ref="J81:L81"/>
    <mergeCell ref="M81:N81"/>
    <mergeCell ref="O81:Q81"/>
    <mergeCell ref="R81:S81"/>
    <mergeCell ref="T81:X81"/>
    <mergeCell ref="D79:I79"/>
    <mergeCell ref="J79:L79"/>
    <mergeCell ref="M79:N79"/>
    <mergeCell ref="O79:Q79"/>
    <mergeCell ref="R79:S79"/>
    <mergeCell ref="T79:X79"/>
    <mergeCell ref="D80:I80"/>
    <mergeCell ref="J80:L80"/>
    <mergeCell ref="M80:N80"/>
    <mergeCell ref="O80:Q80"/>
    <mergeCell ref="R80:S80"/>
    <mergeCell ref="T80:X80"/>
    <mergeCell ref="D76:I76"/>
    <mergeCell ref="J76:L76"/>
    <mergeCell ref="M76:N76"/>
    <mergeCell ref="O76:Q76"/>
    <mergeCell ref="R76:S76"/>
    <mergeCell ref="T76:X76"/>
    <mergeCell ref="D78:I78"/>
    <mergeCell ref="J78:L78"/>
    <mergeCell ref="M78:N78"/>
    <mergeCell ref="O78:Q78"/>
    <mergeCell ref="R78:S78"/>
    <mergeCell ref="T78:X78"/>
    <mergeCell ref="D77:I77"/>
    <mergeCell ref="J77:L77"/>
    <mergeCell ref="M77:N77"/>
    <mergeCell ref="O77:Q77"/>
    <mergeCell ref="R77:S77"/>
    <mergeCell ref="T77:X77"/>
    <mergeCell ref="D74:I74"/>
    <mergeCell ref="J74:L74"/>
    <mergeCell ref="M74:N74"/>
    <mergeCell ref="O74:Q74"/>
    <mergeCell ref="R74:S74"/>
    <mergeCell ref="T74:X74"/>
    <mergeCell ref="D75:I75"/>
    <mergeCell ref="J75:L75"/>
    <mergeCell ref="M75:N75"/>
    <mergeCell ref="O75:Q75"/>
    <mergeCell ref="R75:S75"/>
    <mergeCell ref="T75:X75"/>
    <mergeCell ref="R71:S71"/>
    <mergeCell ref="T71:X71"/>
    <mergeCell ref="E69:X69"/>
    <mergeCell ref="C70:I70"/>
    <mergeCell ref="J70:L70"/>
    <mergeCell ref="M70:N70"/>
    <mergeCell ref="O70:Q70"/>
    <mergeCell ref="R70:S70"/>
    <mergeCell ref="T70:X70"/>
    <mergeCell ref="T65:X65"/>
    <mergeCell ref="E63:X63"/>
    <mergeCell ref="C64:I64"/>
    <mergeCell ref="J64:L64"/>
    <mergeCell ref="M64:N64"/>
    <mergeCell ref="O64:Q64"/>
    <mergeCell ref="R64:S64"/>
    <mergeCell ref="T64:X64"/>
    <mergeCell ref="D73:I73"/>
    <mergeCell ref="J73:L73"/>
    <mergeCell ref="M73:N73"/>
    <mergeCell ref="O73:Q73"/>
    <mergeCell ref="R73:S73"/>
    <mergeCell ref="T73:X73"/>
    <mergeCell ref="D72:I72"/>
    <mergeCell ref="J72:L72"/>
    <mergeCell ref="M72:N72"/>
    <mergeCell ref="O72:Q72"/>
    <mergeCell ref="R72:S72"/>
    <mergeCell ref="T72:X72"/>
    <mergeCell ref="D71:I71"/>
    <mergeCell ref="J71:L71"/>
    <mergeCell ref="M71:N71"/>
    <mergeCell ref="O71:Q71"/>
    <mergeCell ref="E57:X57"/>
    <mergeCell ref="C58:I58"/>
    <mergeCell ref="J58:L58"/>
    <mergeCell ref="M58:N58"/>
    <mergeCell ref="O58:Q58"/>
    <mergeCell ref="R58:S58"/>
    <mergeCell ref="T58:X58"/>
    <mergeCell ref="D67:I67"/>
    <mergeCell ref="J67:L67"/>
    <mergeCell ref="M67:N67"/>
    <mergeCell ref="O67:Q67"/>
    <mergeCell ref="R67:S67"/>
    <mergeCell ref="T67:X67"/>
    <mergeCell ref="D66:I66"/>
    <mergeCell ref="J66:L66"/>
    <mergeCell ref="M66:N66"/>
    <mergeCell ref="O66:Q66"/>
    <mergeCell ref="R66:S66"/>
    <mergeCell ref="T66:X66"/>
    <mergeCell ref="D65:I65"/>
    <mergeCell ref="J65:L65"/>
    <mergeCell ref="M65:N65"/>
    <mergeCell ref="O65:Q65"/>
    <mergeCell ref="R65:S65"/>
    <mergeCell ref="R61:S61"/>
    <mergeCell ref="T61:X61"/>
    <mergeCell ref="D60:I60"/>
    <mergeCell ref="J60:L60"/>
    <mergeCell ref="M60:N60"/>
    <mergeCell ref="O60:Q60"/>
    <mergeCell ref="R60:S60"/>
    <mergeCell ref="T60:X60"/>
    <mergeCell ref="D59:I59"/>
    <mergeCell ref="J59:L59"/>
    <mergeCell ref="M59:N59"/>
    <mergeCell ref="O59:Q59"/>
    <mergeCell ref="R59:S59"/>
    <mergeCell ref="T59:X59"/>
    <mergeCell ref="E45:X45"/>
    <mergeCell ref="C46:I46"/>
    <mergeCell ref="J46:L46"/>
    <mergeCell ref="M46:N46"/>
    <mergeCell ref="O46:Q46"/>
    <mergeCell ref="R46:S46"/>
    <mergeCell ref="T46:X46"/>
    <mergeCell ref="D55:I55"/>
    <mergeCell ref="J55:L55"/>
    <mergeCell ref="M55:N55"/>
    <mergeCell ref="O55:Q55"/>
    <mergeCell ref="R55:S55"/>
    <mergeCell ref="T55:X55"/>
    <mergeCell ref="D54:I54"/>
    <mergeCell ref="J54:L54"/>
    <mergeCell ref="M54:N54"/>
    <mergeCell ref="O54:Q54"/>
    <mergeCell ref="R54:S54"/>
    <mergeCell ref="T54:X54"/>
    <mergeCell ref="D53:I53"/>
    <mergeCell ref="J53:L53"/>
    <mergeCell ref="M53:N53"/>
    <mergeCell ref="O53:Q53"/>
    <mergeCell ref="R53:S53"/>
    <mergeCell ref="D48:I48"/>
    <mergeCell ref="J48:L48"/>
    <mergeCell ref="M48:N48"/>
    <mergeCell ref="O48:Q48"/>
    <mergeCell ref="R48:S48"/>
    <mergeCell ref="T48:X48"/>
    <mergeCell ref="D47:I47"/>
    <mergeCell ref="J47:L47"/>
    <mergeCell ref="M47:N47"/>
    <mergeCell ref="O47:Q47"/>
    <mergeCell ref="R47:S47"/>
    <mergeCell ref="T47:X47"/>
    <mergeCell ref="D82:I82"/>
    <mergeCell ref="J82:L82"/>
    <mergeCell ref="M82:N82"/>
    <mergeCell ref="O82:Q82"/>
    <mergeCell ref="R82:S82"/>
    <mergeCell ref="T82:X82"/>
    <mergeCell ref="D49:I49"/>
    <mergeCell ref="J49:L49"/>
    <mergeCell ref="M49:N49"/>
    <mergeCell ref="O49:Q49"/>
    <mergeCell ref="R49:S49"/>
    <mergeCell ref="T49:X49"/>
    <mergeCell ref="T53:X53"/>
    <mergeCell ref="E51:X51"/>
    <mergeCell ref="C52:I52"/>
    <mergeCell ref="J52:L52"/>
    <mergeCell ref="M52:N52"/>
    <mergeCell ref="O52:Q52"/>
    <mergeCell ref="R52:S52"/>
    <mergeCell ref="T52:X52"/>
    <mergeCell ref="D61:I61"/>
    <mergeCell ref="J61:L61"/>
    <mergeCell ref="M61:N61"/>
    <mergeCell ref="O61:Q61"/>
    <mergeCell ref="C86:E86"/>
    <mergeCell ref="O86:S86"/>
    <mergeCell ref="T86:X86"/>
    <mergeCell ref="D83:I83"/>
    <mergeCell ref="J83:L83"/>
    <mergeCell ref="M83:N83"/>
    <mergeCell ref="O83:Q83"/>
    <mergeCell ref="R83:S83"/>
    <mergeCell ref="T83:X83"/>
    <mergeCell ref="A3:Y3"/>
    <mergeCell ref="A4:Y4"/>
    <mergeCell ref="Q5:T5"/>
    <mergeCell ref="U5:X5"/>
    <mergeCell ref="Q6:T6"/>
    <mergeCell ref="U6:X6"/>
    <mergeCell ref="E10:X10"/>
    <mergeCell ref="C11:I12"/>
    <mergeCell ref="J11:N12"/>
    <mergeCell ref="O11:S12"/>
    <mergeCell ref="T11:X12"/>
    <mergeCell ref="C13:I13"/>
    <mergeCell ref="J13:L13"/>
    <mergeCell ref="M13:N13"/>
    <mergeCell ref="O13:Q13"/>
    <mergeCell ref="R13:S13"/>
    <mergeCell ref="E18:X18"/>
    <mergeCell ref="C19:I19"/>
    <mergeCell ref="J19:L19"/>
    <mergeCell ref="M19:N19"/>
    <mergeCell ref="O19:Q19"/>
    <mergeCell ref="R19:S19"/>
    <mergeCell ref="T19:X19"/>
    <mergeCell ref="T13:X13"/>
    <mergeCell ref="E15:X15"/>
    <mergeCell ref="C16:I16"/>
    <mergeCell ref="J16:L16"/>
    <mergeCell ref="M16:N16"/>
    <mergeCell ref="O16:Q16"/>
    <mergeCell ref="R16:S16"/>
    <mergeCell ref="T16:X16"/>
    <mergeCell ref="E24:X24"/>
    <mergeCell ref="C25:I25"/>
    <mergeCell ref="J25:L25"/>
    <mergeCell ref="M25:N25"/>
    <mergeCell ref="O25:Q25"/>
    <mergeCell ref="R25:S25"/>
    <mergeCell ref="T25:X25"/>
    <mergeCell ref="E21:X21"/>
    <mergeCell ref="C22:I22"/>
    <mergeCell ref="J22:L22"/>
    <mergeCell ref="M22:N22"/>
    <mergeCell ref="O22:Q22"/>
    <mergeCell ref="R22:S22"/>
    <mergeCell ref="T22:X22"/>
    <mergeCell ref="D29:I29"/>
    <mergeCell ref="J29:L29"/>
    <mergeCell ref="M29:N29"/>
    <mergeCell ref="O29:Q29"/>
    <mergeCell ref="R29:S29"/>
    <mergeCell ref="T29:X29"/>
    <mergeCell ref="E27:X27"/>
    <mergeCell ref="C28:I28"/>
    <mergeCell ref="J28:L28"/>
    <mergeCell ref="M28:N28"/>
    <mergeCell ref="O28:Q28"/>
    <mergeCell ref="R28:S28"/>
    <mergeCell ref="T28:X28"/>
    <mergeCell ref="D31:I31"/>
    <mergeCell ref="J31:L31"/>
    <mergeCell ref="M31:N31"/>
    <mergeCell ref="O31:Q31"/>
    <mergeCell ref="R31:S31"/>
    <mergeCell ref="T31:X31"/>
    <mergeCell ref="D30:I30"/>
    <mergeCell ref="J30:L30"/>
    <mergeCell ref="M30:N30"/>
    <mergeCell ref="O30:Q30"/>
    <mergeCell ref="R30:S30"/>
    <mergeCell ref="T30:X30"/>
    <mergeCell ref="D35:I35"/>
    <mergeCell ref="J35:L35"/>
    <mergeCell ref="M35:N35"/>
    <mergeCell ref="O35:Q35"/>
    <mergeCell ref="R35:S35"/>
    <mergeCell ref="T35:X35"/>
    <mergeCell ref="E33:X33"/>
    <mergeCell ref="C34:I34"/>
    <mergeCell ref="J34:L34"/>
    <mergeCell ref="M34:N34"/>
    <mergeCell ref="O34:Q34"/>
    <mergeCell ref="R34:S34"/>
    <mergeCell ref="T34:X34"/>
    <mergeCell ref="D37:I37"/>
    <mergeCell ref="J37:L37"/>
    <mergeCell ref="M37:N37"/>
    <mergeCell ref="O37:Q37"/>
    <mergeCell ref="R37:S37"/>
    <mergeCell ref="T37:X37"/>
    <mergeCell ref="D36:I36"/>
    <mergeCell ref="J36:L36"/>
    <mergeCell ref="M36:N36"/>
    <mergeCell ref="O36:Q36"/>
    <mergeCell ref="R36:S36"/>
    <mergeCell ref="T36:X36"/>
    <mergeCell ref="D41:I41"/>
    <mergeCell ref="J41:L41"/>
    <mergeCell ref="M41:N41"/>
    <mergeCell ref="O41:Q41"/>
    <mergeCell ref="R41:S41"/>
    <mergeCell ref="T41:X41"/>
    <mergeCell ref="E39:X39"/>
    <mergeCell ref="C40:I40"/>
    <mergeCell ref="J40:L40"/>
    <mergeCell ref="M40:N40"/>
    <mergeCell ref="O40:Q40"/>
    <mergeCell ref="R40:S40"/>
    <mergeCell ref="T40:X40"/>
    <mergeCell ref="D43:I43"/>
    <mergeCell ref="J43:L43"/>
    <mergeCell ref="M43:N43"/>
    <mergeCell ref="O43:Q43"/>
    <mergeCell ref="R43:S43"/>
    <mergeCell ref="T43:X43"/>
    <mergeCell ref="D42:I42"/>
    <mergeCell ref="J42:L42"/>
    <mergeCell ref="M42:N42"/>
    <mergeCell ref="O42:Q42"/>
    <mergeCell ref="R42:S42"/>
    <mergeCell ref="T42:X42"/>
  </mergeCells>
  <phoneticPr fontId="3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33"/>
    <outlinePr summaryBelow="0"/>
  </sheetPr>
  <dimension ref="A1:R43"/>
  <sheetViews>
    <sheetView showGridLines="0" workbookViewId="0"/>
  </sheetViews>
  <sheetFormatPr defaultColWidth="9" defaultRowHeight="0" customHeight="1" zeroHeight="1"/>
  <cols>
    <col min="1" max="2" width="3.77734375" customWidth="1"/>
    <col min="3" max="3" width="23.44140625" customWidth="1"/>
    <col min="4" max="17" width="14.44140625" customWidth="1"/>
    <col min="18" max="18" width="4" customWidth="1"/>
  </cols>
  <sheetData>
    <row r="1" spans="1:18" ht="18" customHeight="1">
      <c r="A1" s="84" t="s">
        <v>110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"/>
      <c r="R1" s="86"/>
    </row>
    <row r="2" spans="1:18" ht="18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"/>
      <c r="R2" s="86"/>
    </row>
    <row r="3" spans="1:18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  <c r="R3" s="775"/>
    </row>
    <row r="4" spans="1:18" ht="18" customHeight="1">
      <c r="A4" s="776" t="s">
        <v>2</v>
      </c>
      <c r="B4" s="776"/>
      <c r="C4" s="776"/>
      <c r="D4" s="776"/>
      <c r="E4" s="776"/>
      <c r="F4" s="776"/>
      <c r="G4" s="776"/>
      <c r="H4" s="776"/>
      <c r="I4" s="776"/>
      <c r="J4" s="776"/>
      <c r="K4" s="776"/>
      <c r="L4" s="776"/>
      <c r="M4" s="776"/>
      <c r="N4" s="776"/>
      <c r="O4" s="776"/>
      <c r="P4" s="776"/>
      <c r="Q4" s="776"/>
      <c r="R4" s="776"/>
    </row>
    <row r="5" spans="1:18" ht="18" customHeight="1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"/>
      <c r="O5" s="8"/>
      <c r="P5" s="3" t="s">
        <v>3</v>
      </c>
      <c r="Q5" s="87" t="s">
        <v>4</v>
      </c>
    </row>
    <row r="6" spans="1:18" ht="18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"/>
      <c r="O6" s="8"/>
      <c r="P6" s="5" t="s">
        <v>5</v>
      </c>
      <c r="Q6" s="6" t="s">
        <v>6</v>
      </c>
      <c r="R6" t="s">
        <v>7</v>
      </c>
    </row>
    <row r="7" spans="1:18" ht="18" customHeight="1">
      <c r="B7" s="1" t="s">
        <v>111</v>
      </c>
    </row>
    <row r="8" spans="1:18" ht="12" customHeight="1"/>
    <row r="9" spans="1:18" ht="18" customHeight="1">
      <c r="B9" s="1" t="s">
        <v>112</v>
      </c>
    </row>
    <row r="10" spans="1:18" ht="12" customHeight="1"/>
    <row r="11" spans="1:18" ht="24.75" customHeight="1">
      <c r="C11" s="88"/>
      <c r="D11" s="777" t="s">
        <v>113</v>
      </c>
      <c r="E11" s="778"/>
      <c r="F11" s="777" t="s">
        <v>114</v>
      </c>
      <c r="G11" s="778"/>
      <c r="H11" s="777" t="s">
        <v>115</v>
      </c>
      <c r="I11" s="778"/>
      <c r="J11" s="777" t="s">
        <v>116</v>
      </c>
      <c r="K11" s="778"/>
      <c r="L11" s="777" t="s">
        <v>117</v>
      </c>
      <c r="M11" s="779"/>
      <c r="N11" s="780" t="s">
        <v>27</v>
      </c>
      <c r="O11" s="779"/>
      <c r="P11" s="780" t="s">
        <v>109</v>
      </c>
      <c r="Q11" s="781"/>
    </row>
    <row r="12" spans="1:18" ht="24.75" customHeight="1">
      <c r="C12" s="89" t="s">
        <v>118</v>
      </c>
      <c r="D12" s="782">
        <v>49</v>
      </c>
      <c r="E12" s="783"/>
      <c r="F12" s="786">
        <v>23</v>
      </c>
      <c r="G12" s="783"/>
      <c r="H12" s="786">
        <v>0</v>
      </c>
      <c r="I12" s="783"/>
      <c r="J12" s="786">
        <v>0</v>
      </c>
      <c r="K12" s="783"/>
      <c r="L12" s="782">
        <v>19</v>
      </c>
      <c r="M12" s="783"/>
      <c r="N12" s="782">
        <v>70</v>
      </c>
      <c r="O12" s="783"/>
      <c r="P12" s="784">
        <v>161</v>
      </c>
      <c r="Q12" s="785"/>
    </row>
    <row r="13" spans="1:18" ht="24.75" customHeight="1">
      <c r="C13" s="90"/>
      <c r="D13" s="91" t="s">
        <v>119</v>
      </c>
      <c r="E13" s="91" t="s">
        <v>120</v>
      </c>
      <c r="F13" s="91" t="s">
        <v>119</v>
      </c>
      <c r="G13" s="91" t="s">
        <v>120</v>
      </c>
      <c r="H13" s="92" t="s">
        <v>119</v>
      </c>
      <c r="I13" s="92" t="s">
        <v>120</v>
      </c>
      <c r="J13" s="92" t="s">
        <v>119</v>
      </c>
      <c r="K13" s="92" t="s">
        <v>120</v>
      </c>
      <c r="L13" s="92" t="s">
        <v>119</v>
      </c>
      <c r="M13" s="92" t="s">
        <v>120</v>
      </c>
      <c r="N13" s="92" t="s">
        <v>119</v>
      </c>
      <c r="O13" s="93" t="s">
        <v>121</v>
      </c>
      <c r="P13" s="92" t="s">
        <v>119</v>
      </c>
      <c r="Q13" s="94" t="s">
        <v>121</v>
      </c>
    </row>
    <row r="14" spans="1:18" ht="24.75" customHeight="1">
      <c r="C14" s="95" t="s">
        <v>122</v>
      </c>
      <c r="D14" s="96">
        <v>8</v>
      </c>
      <c r="E14" s="97">
        <v>8</v>
      </c>
      <c r="F14" s="96">
        <v>6</v>
      </c>
      <c r="G14" s="96">
        <v>6</v>
      </c>
      <c r="H14" s="98">
        <v>0</v>
      </c>
      <c r="I14" s="98">
        <v>0</v>
      </c>
      <c r="J14" s="98">
        <v>0</v>
      </c>
      <c r="K14" s="98">
        <v>0</v>
      </c>
      <c r="L14" s="98">
        <v>4</v>
      </c>
      <c r="M14" s="99">
        <v>4</v>
      </c>
      <c r="N14" s="98">
        <v>11</v>
      </c>
      <c r="O14" s="99">
        <v>11</v>
      </c>
      <c r="P14" s="100">
        <v>29</v>
      </c>
      <c r="Q14" s="101">
        <v>29</v>
      </c>
    </row>
    <row r="15" spans="1:18" ht="24.75" customHeight="1">
      <c r="C15" s="102" t="s">
        <v>123</v>
      </c>
      <c r="D15" s="103">
        <v>8</v>
      </c>
      <c r="E15" s="103">
        <v>8</v>
      </c>
      <c r="F15" s="103">
        <v>6</v>
      </c>
      <c r="G15" s="103">
        <v>6</v>
      </c>
      <c r="H15" s="104">
        <v>0</v>
      </c>
      <c r="I15" s="104">
        <v>0</v>
      </c>
      <c r="J15" s="104">
        <v>0</v>
      </c>
      <c r="K15" s="104">
        <v>0</v>
      </c>
      <c r="L15" s="104">
        <v>4</v>
      </c>
      <c r="M15" s="104">
        <v>4</v>
      </c>
      <c r="N15" s="104">
        <v>10</v>
      </c>
      <c r="O15" s="104">
        <v>10</v>
      </c>
      <c r="P15" s="105">
        <v>28</v>
      </c>
      <c r="Q15" s="106">
        <v>28</v>
      </c>
    </row>
    <row r="16" spans="1:18" ht="24.75" customHeight="1">
      <c r="C16" s="107" t="s">
        <v>124</v>
      </c>
      <c r="D16" s="96">
        <v>17</v>
      </c>
      <c r="E16" s="97">
        <v>17</v>
      </c>
      <c r="F16" s="96">
        <v>9</v>
      </c>
      <c r="G16" s="96">
        <v>9</v>
      </c>
      <c r="H16" s="98">
        <v>0</v>
      </c>
      <c r="I16" s="98">
        <v>0</v>
      </c>
      <c r="J16" s="98">
        <v>0</v>
      </c>
      <c r="K16" s="98">
        <v>0</v>
      </c>
      <c r="L16" s="98">
        <v>9</v>
      </c>
      <c r="M16" s="99">
        <v>9</v>
      </c>
      <c r="N16" s="98">
        <v>19</v>
      </c>
      <c r="O16" s="99">
        <v>19</v>
      </c>
      <c r="P16" s="100">
        <v>54</v>
      </c>
      <c r="Q16" s="101">
        <v>54</v>
      </c>
    </row>
    <row r="17" spans="2:17" ht="24.75" customHeight="1">
      <c r="C17" s="108" t="s">
        <v>123</v>
      </c>
      <c r="D17" s="103">
        <v>12</v>
      </c>
      <c r="E17" s="103">
        <v>12</v>
      </c>
      <c r="F17" s="103">
        <v>7</v>
      </c>
      <c r="G17" s="103">
        <v>7</v>
      </c>
      <c r="H17" s="104">
        <v>0</v>
      </c>
      <c r="I17" s="104">
        <v>0</v>
      </c>
      <c r="J17" s="104">
        <v>0</v>
      </c>
      <c r="K17" s="104">
        <v>0</v>
      </c>
      <c r="L17" s="104">
        <v>9</v>
      </c>
      <c r="M17" s="104">
        <v>9</v>
      </c>
      <c r="N17" s="104">
        <v>11</v>
      </c>
      <c r="O17" s="104">
        <v>11</v>
      </c>
      <c r="P17" s="105">
        <v>39</v>
      </c>
      <c r="Q17" s="106">
        <v>39</v>
      </c>
    </row>
    <row r="18" spans="2:17" ht="24.75" customHeight="1">
      <c r="C18" s="107" t="s">
        <v>125</v>
      </c>
      <c r="D18" s="109">
        <v>22</v>
      </c>
      <c r="E18" s="110">
        <v>22</v>
      </c>
      <c r="F18" s="109">
        <v>5</v>
      </c>
      <c r="G18" s="109">
        <v>5</v>
      </c>
      <c r="H18" s="109">
        <v>0</v>
      </c>
      <c r="I18" s="109">
        <v>0</v>
      </c>
      <c r="J18" s="109">
        <v>0</v>
      </c>
      <c r="K18" s="109">
        <v>0</v>
      </c>
      <c r="L18" s="109">
        <v>9</v>
      </c>
      <c r="M18" s="110">
        <v>8</v>
      </c>
      <c r="N18" s="109">
        <v>42</v>
      </c>
      <c r="O18" s="110">
        <v>41</v>
      </c>
      <c r="P18" s="100">
        <v>78</v>
      </c>
      <c r="Q18" s="101">
        <v>76</v>
      </c>
    </row>
    <row r="19" spans="2:17" ht="24.75" customHeight="1">
      <c r="C19" s="108" t="s">
        <v>123</v>
      </c>
      <c r="D19" s="111">
        <v>20</v>
      </c>
      <c r="E19" s="111">
        <v>20</v>
      </c>
      <c r="F19" s="112">
        <v>9</v>
      </c>
      <c r="G19" s="112">
        <v>8</v>
      </c>
      <c r="H19" s="113">
        <v>0</v>
      </c>
      <c r="I19" s="113">
        <v>0</v>
      </c>
      <c r="J19" s="113">
        <v>0</v>
      </c>
      <c r="K19" s="113">
        <v>0</v>
      </c>
      <c r="L19" s="114">
        <v>7</v>
      </c>
      <c r="M19" s="114">
        <v>6</v>
      </c>
      <c r="N19" s="113">
        <v>22</v>
      </c>
      <c r="O19" s="113">
        <v>22</v>
      </c>
      <c r="P19" s="115">
        <v>58</v>
      </c>
      <c r="Q19" s="116">
        <v>56</v>
      </c>
    </row>
    <row r="20" spans="2:17" ht="24.75" customHeight="1">
      <c r="C20" s="107" t="s">
        <v>126</v>
      </c>
      <c r="D20" s="109">
        <v>6</v>
      </c>
      <c r="E20" s="110">
        <v>6</v>
      </c>
      <c r="F20" s="109">
        <v>3</v>
      </c>
      <c r="G20" s="109">
        <v>3</v>
      </c>
      <c r="H20" s="109">
        <v>0</v>
      </c>
      <c r="I20" s="109">
        <v>0</v>
      </c>
      <c r="J20" s="109">
        <v>0</v>
      </c>
      <c r="K20" s="109">
        <v>0</v>
      </c>
      <c r="L20" s="109">
        <v>1</v>
      </c>
      <c r="M20" s="110">
        <v>2</v>
      </c>
      <c r="N20" s="109">
        <v>4</v>
      </c>
      <c r="O20" s="110">
        <v>5</v>
      </c>
      <c r="P20" s="100">
        <v>14</v>
      </c>
      <c r="Q20" s="101">
        <v>16</v>
      </c>
    </row>
    <row r="21" spans="2:17" ht="24.75" customHeight="1">
      <c r="C21" s="117" t="s">
        <v>123</v>
      </c>
      <c r="D21" s="118">
        <v>5</v>
      </c>
      <c r="E21" s="118">
        <v>5</v>
      </c>
      <c r="F21" s="118">
        <v>2</v>
      </c>
      <c r="G21" s="118">
        <v>3</v>
      </c>
      <c r="H21" s="119">
        <v>0</v>
      </c>
      <c r="I21" s="119">
        <v>0</v>
      </c>
      <c r="J21" s="119">
        <v>0</v>
      </c>
      <c r="K21" s="119">
        <v>0</v>
      </c>
      <c r="L21" s="119">
        <v>0</v>
      </c>
      <c r="M21" s="119">
        <v>1</v>
      </c>
      <c r="N21" s="119">
        <v>1</v>
      </c>
      <c r="O21" s="119">
        <v>1</v>
      </c>
      <c r="P21" s="120">
        <v>8</v>
      </c>
      <c r="Q21" s="121">
        <v>10</v>
      </c>
    </row>
    <row r="22" spans="2:17" ht="12" customHeight="1"/>
    <row r="23" spans="2:17" ht="18" customHeight="1">
      <c r="B23" s="1" t="s">
        <v>127</v>
      </c>
    </row>
    <row r="24" spans="2:17" ht="12" customHeight="1"/>
    <row r="25" spans="2:17" ht="24.75" customHeight="1">
      <c r="C25" s="88"/>
      <c r="D25" s="32" t="s">
        <v>128</v>
      </c>
    </row>
    <row r="26" spans="2:17" ht="24.75" customHeight="1">
      <c r="C26" s="89" t="s">
        <v>118</v>
      </c>
      <c r="D26" s="122">
        <v>0</v>
      </c>
    </row>
    <row r="27" spans="2:17" ht="24.75" customHeight="1">
      <c r="C27" s="107" t="s">
        <v>129</v>
      </c>
      <c r="D27" s="123">
        <v>0</v>
      </c>
    </row>
    <row r="28" spans="2:17" ht="24.75" customHeight="1">
      <c r="C28" s="108" t="s">
        <v>123</v>
      </c>
      <c r="D28" s="124">
        <v>0</v>
      </c>
    </row>
    <row r="29" spans="2:17" ht="24.75" customHeight="1">
      <c r="C29" s="107" t="s">
        <v>130</v>
      </c>
      <c r="D29" s="125">
        <v>0</v>
      </c>
    </row>
    <row r="30" spans="2:17" ht="24.75" customHeight="1">
      <c r="C30" s="117" t="s">
        <v>123</v>
      </c>
      <c r="D30" s="126">
        <v>0</v>
      </c>
    </row>
    <row r="31" spans="2:17" ht="12" customHeight="1"/>
    <row r="32" spans="2:17" ht="18" customHeight="1">
      <c r="B32" s="1" t="s">
        <v>131</v>
      </c>
    </row>
    <row r="33" spans="3:7" ht="12" customHeight="1"/>
    <row r="34" spans="3:7" ht="24.75" customHeight="1">
      <c r="C34" s="88"/>
      <c r="D34" s="788" t="s">
        <v>132</v>
      </c>
      <c r="E34" s="789"/>
      <c r="F34" s="127"/>
      <c r="G34" s="32" t="s">
        <v>128</v>
      </c>
    </row>
    <row r="35" spans="3:7" ht="24.75" customHeight="1">
      <c r="C35" s="128" t="s">
        <v>118</v>
      </c>
      <c r="D35" s="786">
        <v>0</v>
      </c>
      <c r="E35" s="787"/>
      <c r="F35" s="129" t="s">
        <v>118</v>
      </c>
      <c r="G35" s="122">
        <v>0</v>
      </c>
    </row>
    <row r="36" spans="3:7" ht="24.75" customHeight="1">
      <c r="C36" s="130"/>
      <c r="D36" s="131" t="s">
        <v>119</v>
      </c>
      <c r="E36" s="132" t="s">
        <v>120</v>
      </c>
      <c r="F36" s="133" t="s">
        <v>129</v>
      </c>
      <c r="G36" s="134">
        <v>0</v>
      </c>
    </row>
    <row r="37" spans="3:7" ht="24.75" customHeight="1">
      <c r="C37" s="135" t="s">
        <v>133</v>
      </c>
      <c r="D37" s="136">
        <v>0</v>
      </c>
      <c r="E37" s="125">
        <v>0</v>
      </c>
      <c r="F37" s="137" t="s">
        <v>134</v>
      </c>
      <c r="G37" s="124">
        <v>0</v>
      </c>
    </row>
    <row r="38" spans="3:7" ht="24.75" customHeight="1">
      <c r="C38" s="108" t="s">
        <v>123</v>
      </c>
      <c r="D38" s="104">
        <v>0</v>
      </c>
      <c r="E38" s="124">
        <v>0</v>
      </c>
      <c r="F38" s="138" t="s">
        <v>130</v>
      </c>
      <c r="G38" s="125">
        <v>0</v>
      </c>
    </row>
    <row r="39" spans="3:7" ht="24.75" customHeight="1">
      <c r="C39" s="107" t="s">
        <v>125</v>
      </c>
      <c r="D39" s="136">
        <v>0</v>
      </c>
      <c r="E39" s="125">
        <v>0</v>
      </c>
      <c r="F39" s="139" t="s">
        <v>134</v>
      </c>
      <c r="G39" s="126">
        <v>0</v>
      </c>
    </row>
    <row r="40" spans="3:7" ht="24.75" customHeight="1">
      <c r="C40" s="140" t="s">
        <v>123</v>
      </c>
      <c r="D40" s="141">
        <v>0</v>
      </c>
      <c r="E40" s="124">
        <v>0</v>
      </c>
    </row>
    <row r="41" spans="3:7" ht="24.75" customHeight="1">
      <c r="C41" s="107" t="s">
        <v>135</v>
      </c>
      <c r="D41" s="98">
        <v>0</v>
      </c>
      <c r="E41" s="125">
        <v>0</v>
      </c>
    </row>
    <row r="42" spans="3:7" ht="24.75" customHeight="1">
      <c r="C42" s="117" t="s">
        <v>123</v>
      </c>
      <c r="D42" s="119">
        <v>0</v>
      </c>
      <c r="E42" s="126">
        <v>0</v>
      </c>
    </row>
    <row r="43" spans="3:7" ht="12" customHeight="1"/>
  </sheetData>
  <sheetProtection selectLockedCells="1" selectUnlockedCells="1"/>
  <mergeCells count="18">
    <mergeCell ref="N12:O12"/>
    <mergeCell ref="P12:Q12"/>
    <mergeCell ref="D11:E11"/>
    <mergeCell ref="F11:G11"/>
    <mergeCell ref="D35:E35"/>
    <mergeCell ref="D34:E34"/>
    <mergeCell ref="D12:E12"/>
    <mergeCell ref="F12:G12"/>
    <mergeCell ref="H12:I12"/>
    <mergeCell ref="J12:K12"/>
    <mergeCell ref="L12:M12"/>
    <mergeCell ref="A3:R3"/>
    <mergeCell ref="A4:R4"/>
    <mergeCell ref="H11:I11"/>
    <mergeCell ref="J11:K11"/>
    <mergeCell ref="L11:M11"/>
    <mergeCell ref="N11:O11"/>
    <mergeCell ref="P11:Q11"/>
  </mergeCells>
  <phoneticPr fontId="35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3"/>
  <sheetViews>
    <sheetView showGridLines="0" workbookViewId="0"/>
  </sheetViews>
  <sheetFormatPr defaultColWidth="9" defaultRowHeight="0" customHeight="1" zeroHeight="1"/>
  <cols>
    <col min="1" max="2" width="3.77734375" customWidth="1"/>
    <col min="3" max="3" width="23.44140625" customWidth="1"/>
    <col min="4" max="17" width="14.44140625" customWidth="1"/>
    <col min="18" max="18" width="4" customWidth="1"/>
  </cols>
  <sheetData>
    <row r="1" spans="1:18" ht="18" customHeight="1">
      <c r="A1" s="84" t="s">
        <v>136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"/>
      <c r="R1" s="86"/>
    </row>
    <row r="2" spans="1:18" ht="18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"/>
      <c r="R2" s="86"/>
    </row>
    <row r="3" spans="1:18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  <c r="R3" s="775"/>
    </row>
    <row r="4" spans="1:18" ht="18" customHeight="1">
      <c r="A4" s="776" t="s">
        <v>2</v>
      </c>
      <c r="B4" s="776"/>
      <c r="C4" s="776"/>
      <c r="D4" s="776"/>
      <c r="E4" s="776"/>
      <c r="F4" s="776"/>
      <c r="G4" s="776"/>
      <c r="H4" s="776"/>
      <c r="I4" s="776"/>
      <c r="J4" s="776"/>
      <c r="K4" s="776"/>
      <c r="L4" s="776"/>
      <c r="M4" s="776"/>
      <c r="N4" s="776"/>
      <c r="O4" s="776"/>
      <c r="P4" s="776"/>
      <c r="Q4" s="776"/>
      <c r="R4" s="776"/>
    </row>
    <row r="5" spans="1:18" ht="18" customHeight="1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"/>
      <c r="O5" s="8"/>
      <c r="P5" s="3" t="s">
        <v>3</v>
      </c>
      <c r="Q5" s="87" t="s">
        <v>4</v>
      </c>
    </row>
    <row r="6" spans="1:18" ht="18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"/>
      <c r="O6" s="8"/>
      <c r="P6" s="5" t="s">
        <v>5</v>
      </c>
      <c r="Q6" s="6" t="s">
        <v>6</v>
      </c>
      <c r="R6" t="s">
        <v>7</v>
      </c>
    </row>
    <row r="7" spans="1:18" ht="18" customHeight="1">
      <c r="B7" s="1" t="s">
        <v>111</v>
      </c>
    </row>
    <row r="8" spans="1:18" ht="12" customHeight="1"/>
    <row r="9" spans="1:18" ht="18" customHeight="1">
      <c r="B9" s="1" t="s">
        <v>137</v>
      </c>
    </row>
    <row r="10" spans="1:18" ht="12" customHeight="1"/>
    <row r="11" spans="1:18" ht="24.75" customHeight="1">
      <c r="C11" s="88"/>
      <c r="D11" s="777" t="s">
        <v>113</v>
      </c>
      <c r="E11" s="778"/>
      <c r="F11" s="777" t="s">
        <v>114</v>
      </c>
      <c r="G11" s="778"/>
      <c r="H11" s="777" t="s">
        <v>115</v>
      </c>
      <c r="I11" s="778"/>
      <c r="J11" s="777" t="s">
        <v>116</v>
      </c>
      <c r="K11" s="778"/>
      <c r="L11" s="777" t="s">
        <v>117</v>
      </c>
      <c r="M11" s="779"/>
      <c r="N11" s="780" t="s">
        <v>27</v>
      </c>
      <c r="O11" s="779"/>
      <c r="P11" s="780" t="s">
        <v>109</v>
      </c>
      <c r="Q11" s="781"/>
    </row>
    <row r="12" spans="1:18" ht="24.75" customHeight="1">
      <c r="C12" s="89" t="s">
        <v>118</v>
      </c>
      <c r="D12" s="786">
        <v>0</v>
      </c>
      <c r="E12" s="783"/>
      <c r="F12" s="786">
        <v>0</v>
      </c>
      <c r="G12" s="783"/>
      <c r="H12" s="786">
        <v>0</v>
      </c>
      <c r="I12" s="783"/>
      <c r="J12" s="786">
        <v>0</v>
      </c>
      <c r="K12" s="783"/>
      <c r="L12" s="786">
        <v>0</v>
      </c>
      <c r="M12" s="783"/>
      <c r="N12" s="786">
        <v>2</v>
      </c>
      <c r="O12" s="783"/>
      <c r="P12" s="784">
        <v>2</v>
      </c>
      <c r="Q12" s="785"/>
    </row>
    <row r="13" spans="1:18" ht="24.75" customHeight="1">
      <c r="C13" s="90"/>
      <c r="D13" s="91" t="s">
        <v>119</v>
      </c>
      <c r="E13" s="91" t="s">
        <v>120</v>
      </c>
      <c r="F13" s="91" t="s">
        <v>119</v>
      </c>
      <c r="G13" s="91" t="s">
        <v>120</v>
      </c>
      <c r="H13" s="92" t="s">
        <v>119</v>
      </c>
      <c r="I13" s="92" t="s">
        <v>120</v>
      </c>
      <c r="J13" s="92" t="s">
        <v>119</v>
      </c>
      <c r="K13" s="92" t="s">
        <v>120</v>
      </c>
      <c r="L13" s="92" t="s">
        <v>119</v>
      </c>
      <c r="M13" s="92" t="s">
        <v>120</v>
      </c>
      <c r="N13" s="92" t="s">
        <v>119</v>
      </c>
      <c r="O13" s="93" t="s">
        <v>121</v>
      </c>
      <c r="P13" s="92" t="s">
        <v>119</v>
      </c>
      <c r="Q13" s="94" t="s">
        <v>121</v>
      </c>
    </row>
    <row r="14" spans="1:18" ht="24.75" customHeight="1">
      <c r="C14" s="142" t="s">
        <v>122</v>
      </c>
      <c r="D14" s="96">
        <v>0</v>
      </c>
      <c r="E14" s="96">
        <v>0</v>
      </c>
      <c r="F14" s="96">
        <v>0</v>
      </c>
      <c r="G14" s="96">
        <v>0</v>
      </c>
      <c r="H14" s="98">
        <v>0</v>
      </c>
      <c r="I14" s="98">
        <v>0</v>
      </c>
      <c r="J14" s="98">
        <v>0</v>
      </c>
      <c r="K14" s="98">
        <v>0</v>
      </c>
      <c r="L14" s="98">
        <v>0</v>
      </c>
      <c r="M14" s="98">
        <v>0</v>
      </c>
      <c r="N14" s="98">
        <v>1</v>
      </c>
      <c r="O14" s="98">
        <v>1</v>
      </c>
      <c r="P14" s="143">
        <v>1</v>
      </c>
      <c r="Q14" s="101">
        <v>1</v>
      </c>
    </row>
    <row r="15" spans="1:18" ht="24.75" customHeight="1">
      <c r="C15" s="144" t="s">
        <v>123</v>
      </c>
      <c r="D15" s="103">
        <v>0</v>
      </c>
      <c r="E15" s="103">
        <v>0</v>
      </c>
      <c r="F15" s="103">
        <v>0</v>
      </c>
      <c r="G15" s="103">
        <v>0</v>
      </c>
      <c r="H15" s="104">
        <v>0</v>
      </c>
      <c r="I15" s="104">
        <v>0</v>
      </c>
      <c r="J15" s="104">
        <v>0</v>
      </c>
      <c r="K15" s="104">
        <v>0</v>
      </c>
      <c r="L15" s="104">
        <v>0</v>
      </c>
      <c r="M15" s="104">
        <v>0</v>
      </c>
      <c r="N15" s="104">
        <v>1</v>
      </c>
      <c r="O15" s="104">
        <v>1</v>
      </c>
      <c r="P15" s="145">
        <v>1</v>
      </c>
      <c r="Q15" s="106">
        <v>1</v>
      </c>
    </row>
    <row r="16" spans="1:18" ht="24.75" customHeight="1">
      <c r="C16" s="107" t="s">
        <v>124</v>
      </c>
      <c r="D16" s="96">
        <v>0</v>
      </c>
      <c r="E16" s="96">
        <v>0</v>
      </c>
      <c r="F16" s="96">
        <v>0</v>
      </c>
      <c r="G16" s="96">
        <v>0</v>
      </c>
      <c r="H16" s="98">
        <v>0</v>
      </c>
      <c r="I16" s="98">
        <v>0</v>
      </c>
      <c r="J16" s="98">
        <v>0</v>
      </c>
      <c r="K16" s="98">
        <v>0</v>
      </c>
      <c r="L16" s="98">
        <v>0</v>
      </c>
      <c r="M16" s="98">
        <v>0</v>
      </c>
      <c r="N16" s="98">
        <v>0</v>
      </c>
      <c r="O16" s="98">
        <v>0</v>
      </c>
      <c r="P16" s="143">
        <v>0</v>
      </c>
      <c r="Q16" s="101">
        <v>0</v>
      </c>
    </row>
    <row r="17" spans="2:17" ht="24.75" customHeight="1">
      <c r="C17" s="108" t="s">
        <v>123</v>
      </c>
      <c r="D17" s="103">
        <v>0</v>
      </c>
      <c r="E17" s="103">
        <v>0</v>
      </c>
      <c r="F17" s="103">
        <v>0</v>
      </c>
      <c r="G17" s="103">
        <v>0</v>
      </c>
      <c r="H17" s="104">
        <v>0</v>
      </c>
      <c r="I17" s="104">
        <v>0</v>
      </c>
      <c r="J17" s="104">
        <v>0</v>
      </c>
      <c r="K17" s="104">
        <v>0</v>
      </c>
      <c r="L17" s="104">
        <v>0</v>
      </c>
      <c r="M17" s="104">
        <v>0</v>
      </c>
      <c r="N17" s="104">
        <v>0</v>
      </c>
      <c r="O17" s="104">
        <v>0</v>
      </c>
      <c r="P17" s="145">
        <v>0</v>
      </c>
      <c r="Q17" s="106">
        <v>0</v>
      </c>
    </row>
    <row r="18" spans="2:17" ht="24.75" customHeight="1">
      <c r="C18" s="107" t="s">
        <v>125</v>
      </c>
      <c r="D18" s="109">
        <v>0</v>
      </c>
      <c r="E18" s="109">
        <v>0</v>
      </c>
      <c r="F18" s="109">
        <v>0</v>
      </c>
      <c r="G18" s="109">
        <v>0</v>
      </c>
      <c r="H18" s="136">
        <v>0</v>
      </c>
      <c r="I18" s="136">
        <v>0</v>
      </c>
      <c r="J18" s="136">
        <v>0</v>
      </c>
      <c r="K18" s="136">
        <v>0</v>
      </c>
      <c r="L18" s="136">
        <v>0</v>
      </c>
      <c r="M18" s="136">
        <v>0</v>
      </c>
      <c r="N18" s="136">
        <v>1</v>
      </c>
      <c r="O18" s="136">
        <v>1</v>
      </c>
      <c r="P18" s="143">
        <v>1</v>
      </c>
      <c r="Q18" s="101">
        <v>1</v>
      </c>
    </row>
    <row r="19" spans="2:17" ht="24.75" customHeight="1">
      <c r="C19" s="108" t="s">
        <v>123</v>
      </c>
      <c r="D19" s="103">
        <v>0</v>
      </c>
      <c r="E19" s="103">
        <v>0</v>
      </c>
      <c r="F19" s="103">
        <v>0</v>
      </c>
      <c r="G19" s="103">
        <v>0</v>
      </c>
      <c r="H19" s="104">
        <v>0</v>
      </c>
      <c r="I19" s="104">
        <v>0</v>
      </c>
      <c r="J19" s="104">
        <v>0</v>
      </c>
      <c r="K19" s="104">
        <v>0</v>
      </c>
      <c r="L19" s="104">
        <v>0</v>
      </c>
      <c r="M19" s="104">
        <v>0</v>
      </c>
      <c r="N19" s="104">
        <v>0</v>
      </c>
      <c r="O19" s="104">
        <v>0</v>
      </c>
      <c r="P19" s="120">
        <v>0</v>
      </c>
      <c r="Q19" s="121">
        <v>0</v>
      </c>
    </row>
    <row r="20" spans="2:17" ht="24.75" customHeight="1">
      <c r="C20" s="107" t="s">
        <v>126</v>
      </c>
      <c r="D20" s="109">
        <v>0</v>
      </c>
      <c r="E20" s="109">
        <v>0</v>
      </c>
      <c r="F20" s="109">
        <v>0</v>
      </c>
      <c r="G20" s="109">
        <v>0</v>
      </c>
      <c r="H20" s="136">
        <v>0</v>
      </c>
      <c r="I20" s="136">
        <v>0</v>
      </c>
      <c r="J20" s="136">
        <v>0</v>
      </c>
      <c r="K20" s="136">
        <v>0</v>
      </c>
      <c r="L20" s="136">
        <v>0</v>
      </c>
      <c r="M20" s="136">
        <v>0</v>
      </c>
      <c r="N20" s="136">
        <v>0</v>
      </c>
      <c r="O20" s="136">
        <v>0</v>
      </c>
      <c r="P20" s="143">
        <v>0</v>
      </c>
      <c r="Q20" s="101">
        <v>0</v>
      </c>
    </row>
    <row r="21" spans="2:17" ht="24.75" customHeight="1">
      <c r="C21" s="117" t="s">
        <v>123</v>
      </c>
      <c r="D21" s="118">
        <v>0</v>
      </c>
      <c r="E21" s="118">
        <v>0</v>
      </c>
      <c r="F21" s="118">
        <v>0</v>
      </c>
      <c r="G21" s="118">
        <v>0</v>
      </c>
      <c r="H21" s="119">
        <v>0</v>
      </c>
      <c r="I21" s="119">
        <v>0</v>
      </c>
      <c r="J21" s="119">
        <v>0</v>
      </c>
      <c r="K21" s="119">
        <v>0</v>
      </c>
      <c r="L21" s="119">
        <v>0</v>
      </c>
      <c r="M21" s="119">
        <v>0</v>
      </c>
      <c r="N21" s="119">
        <v>0</v>
      </c>
      <c r="O21" s="119">
        <v>0</v>
      </c>
      <c r="P21" s="120">
        <v>0</v>
      </c>
      <c r="Q21" s="121">
        <v>0</v>
      </c>
    </row>
    <row r="22" spans="2:17" ht="12" customHeight="1"/>
    <row r="23" spans="2:17" ht="18" customHeight="1">
      <c r="B23" s="1" t="s">
        <v>138</v>
      </c>
    </row>
    <row r="24" spans="2:17" ht="12" customHeight="1"/>
    <row r="25" spans="2:17" ht="24.75" customHeight="1">
      <c r="C25" s="88"/>
      <c r="D25" s="32" t="s">
        <v>128</v>
      </c>
    </row>
    <row r="26" spans="2:17" ht="24.75" customHeight="1">
      <c r="C26" s="89" t="s">
        <v>118</v>
      </c>
      <c r="D26" s="122">
        <v>0</v>
      </c>
    </row>
    <row r="27" spans="2:17" ht="24.75" customHeight="1">
      <c r="C27" s="107" t="s">
        <v>129</v>
      </c>
      <c r="D27" s="123">
        <v>0</v>
      </c>
    </row>
    <row r="28" spans="2:17" ht="24.75" customHeight="1">
      <c r="C28" s="108" t="s">
        <v>123</v>
      </c>
      <c r="D28" s="124">
        <v>0</v>
      </c>
    </row>
    <row r="29" spans="2:17" ht="24.75" customHeight="1">
      <c r="C29" s="107" t="s">
        <v>130</v>
      </c>
      <c r="D29" s="125">
        <v>0</v>
      </c>
    </row>
    <row r="30" spans="2:17" ht="24.75" customHeight="1">
      <c r="C30" s="117" t="s">
        <v>123</v>
      </c>
      <c r="D30" s="126">
        <v>0</v>
      </c>
    </row>
    <row r="31" spans="2:17" ht="12" customHeight="1"/>
    <row r="32" spans="2:17" ht="18" customHeight="1">
      <c r="B32" s="1" t="s">
        <v>139</v>
      </c>
    </row>
    <row r="33" spans="3:7" ht="12" customHeight="1"/>
    <row r="34" spans="3:7" ht="24.75" customHeight="1">
      <c r="C34" s="88"/>
      <c r="D34" s="788" t="s">
        <v>132</v>
      </c>
      <c r="E34" s="789"/>
      <c r="F34" s="127"/>
      <c r="G34" s="32" t="s">
        <v>128</v>
      </c>
    </row>
    <row r="35" spans="3:7" ht="24.75" customHeight="1">
      <c r="C35" s="89" t="s">
        <v>118</v>
      </c>
      <c r="D35" s="786">
        <v>0</v>
      </c>
      <c r="E35" s="787"/>
      <c r="F35" s="129" t="s">
        <v>118</v>
      </c>
      <c r="G35" s="122">
        <v>0</v>
      </c>
    </row>
    <row r="36" spans="3:7" ht="24.75" customHeight="1">
      <c r="C36" s="130"/>
      <c r="D36" s="131" t="s">
        <v>119</v>
      </c>
      <c r="E36" s="132" t="s">
        <v>120</v>
      </c>
      <c r="F36" s="133" t="s">
        <v>129</v>
      </c>
      <c r="G36" s="134">
        <v>0</v>
      </c>
    </row>
    <row r="37" spans="3:7" ht="24.75" customHeight="1">
      <c r="C37" s="135" t="s">
        <v>133</v>
      </c>
      <c r="D37" s="136">
        <v>0</v>
      </c>
      <c r="E37" s="125">
        <v>0</v>
      </c>
      <c r="F37" s="137" t="s">
        <v>134</v>
      </c>
      <c r="G37" s="124">
        <v>0</v>
      </c>
    </row>
    <row r="38" spans="3:7" ht="24.75" customHeight="1">
      <c r="C38" s="108" t="s">
        <v>123</v>
      </c>
      <c r="D38" s="104">
        <v>0</v>
      </c>
      <c r="E38" s="124">
        <v>0</v>
      </c>
      <c r="F38" s="138" t="s">
        <v>130</v>
      </c>
      <c r="G38" s="125">
        <v>0</v>
      </c>
    </row>
    <row r="39" spans="3:7" ht="24.75" customHeight="1">
      <c r="C39" s="107" t="s">
        <v>125</v>
      </c>
      <c r="D39" s="136">
        <v>0</v>
      </c>
      <c r="E39" s="125">
        <v>0</v>
      </c>
      <c r="F39" s="139" t="s">
        <v>134</v>
      </c>
      <c r="G39" s="126">
        <v>0</v>
      </c>
    </row>
    <row r="40" spans="3:7" ht="24.75" customHeight="1">
      <c r="C40" s="140" t="s">
        <v>123</v>
      </c>
      <c r="D40" s="141">
        <v>0</v>
      </c>
      <c r="E40" s="124">
        <v>0</v>
      </c>
    </row>
    <row r="41" spans="3:7" ht="24.75" customHeight="1">
      <c r="C41" s="107" t="s">
        <v>135</v>
      </c>
      <c r="D41" s="98">
        <v>0</v>
      </c>
      <c r="E41" s="125">
        <v>0</v>
      </c>
    </row>
    <row r="42" spans="3:7" ht="24.75" customHeight="1">
      <c r="C42" s="117" t="s">
        <v>123</v>
      </c>
      <c r="D42" s="119">
        <v>0</v>
      </c>
      <c r="E42" s="126">
        <v>0</v>
      </c>
    </row>
    <row r="43" spans="3:7" ht="12" customHeight="1"/>
  </sheetData>
  <sheetProtection selectLockedCells="1" selectUnlockedCells="1"/>
  <mergeCells count="18">
    <mergeCell ref="D35:E35"/>
    <mergeCell ref="D34:E34"/>
    <mergeCell ref="D12:E12"/>
    <mergeCell ref="F12:G12"/>
    <mergeCell ref="H12:I12"/>
    <mergeCell ref="A3:R3"/>
    <mergeCell ref="A4:R4"/>
    <mergeCell ref="N11:O11"/>
    <mergeCell ref="P11:Q11"/>
    <mergeCell ref="H11:I11"/>
    <mergeCell ref="J11:K11"/>
    <mergeCell ref="L11:M11"/>
    <mergeCell ref="N12:O12"/>
    <mergeCell ref="P12:Q12"/>
    <mergeCell ref="D11:E11"/>
    <mergeCell ref="F11:G11"/>
    <mergeCell ref="J12:K12"/>
    <mergeCell ref="L12:M12"/>
  </mergeCells>
  <phoneticPr fontId="3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showGridLines="0" workbookViewId="0"/>
  </sheetViews>
  <sheetFormatPr defaultColWidth="9" defaultRowHeight="0" customHeight="1" zeroHeight="1"/>
  <cols>
    <col min="1" max="2" width="3.77734375" customWidth="1"/>
    <col min="3" max="3" width="23.88671875" customWidth="1"/>
    <col min="4" max="6" width="14.44140625" customWidth="1"/>
    <col min="7" max="7" width="4" customWidth="1"/>
  </cols>
  <sheetData>
    <row r="1" spans="1:7" ht="18" customHeight="1">
      <c r="A1" s="1" t="s">
        <v>140</v>
      </c>
      <c r="G1" s="146"/>
    </row>
    <row r="2" spans="1:7" ht="18" customHeight="1">
      <c r="G2" s="146"/>
    </row>
    <row r="3" spans="1:7" ht="18" customHeight="1">
      <c r="A3" s="661" t="s">
        <v>1</v>
      </c>
      <c r="B3" s="661"/>
      <c r="C3" s="661"/>
      <c r="D3" s="661"/>
      <c r="E3" s="661"/>
      <c r="F3" s="661"/>
      <c r="G3" s="661"/>
    </row>
    <row r="4" spans="1:7" ht="18" customHeight="1">
      <c r="A4" s="661" t="s">
        <v>2</v>
      </c>
      <c r="B4" s="661"/>
      <c r="C4" s="661"/>
      <c r="D4" s="661"/>
      <c r="E4" s="661"/>
      <c r="F4" s="661"/>
      <c r="G4" s="661"/>
    </row>
    <row r="5" spans="1:7" ht="18" customHeight="1">
      <c r="E5" s="3" t="s">
        <v>3</v>
      </c>
      <c r="F5" s="4" t="s">
        <v>4</v>
      </c>
    </row>
    <row r="6" spans="1:7" ht="18" customHeight="1">
      <c r="E6" s="5" t="s">
        <v>5</v>
      </c>
      <c r="F6" s="6" t="s">
        <v>6</v>
      </c>
      <c r="G6" t="s">
        <v>7</v>
      </c>
    </row>
    <row r="7" spans="1:7" ht="18" customHeight="1">
      <c r="E7" s="147"/>
      <c r="F7" s="148"/>
    </row>
    <row r="8" spans="1:7" ht="18" customHeight="1">
      <c r="B8" s="1" t="s">
        <v>111</v>
      </c>
    </row>
    <row r="9" spans="1:7" ht="12" customHeight="1"/>
    <row r="10" spans="1:7" ht="18" customHeight="1">
      <c r="B10" s="1" t="s">
        <v>141</v>
      </c>
    </row>
    <row r="11" spans="1:7" ht="12" customHeight="1"/>
    <row r="12" spans="1:7" ht="24" customHeight="1">
      <c r="C12" s="149"/>
      <c r="D12" s="30" t="s">
        <v>142</v>
      </c>
      <c r="E12" s="30" t="s">
        <v>143</v>
      </c>
      <c r="F12" s="32" t="s">
        <v>109</v>
      </c>
    </row>
    <row r="13" spans="1:7" ht="24" customHeight="1">
      <c r="C13" s="108" t="s">
        <v>118</v>
      </c>
      <c r="D13" s="103">
        <v>0</v>
      </c>
      <c r="E13" s="103">
        <v>0</v>
      </c>
      <c r="F13" s="150">
        <v>0</v>
      </c>
    </row>
    <row r="14" spans="1:7" ht="24" customHeight="1">
      <c r="C14" s="135" t="s">
        <v>144</v>
      </c>
      <c r="D14" s="109">
        <v>0</v>
      </c>
      <c r="E14" s="109">
        <v>0</v>
      </c>
      <c r="F14" s="106">
        <v>0</v>
      </c>
    </row>
    <row r="15" spans="1:7" ht="24" customHeight="1">
      <c r="C15" s="108" t="s">
        <v>145</v>
      </c>
      <c r="D15" s="103">
        <v>0</v>
      </c>
      <c r="E15" s="103">
        <v>0</v>
      </c>
      <c r="F15" s="150">
        <v>0</v>
      </c>
    </row>
    <row r="16" spans="1:7" ht="24" customHeight="1">
      <c r="C16" s="135" t="s">
        <v>146</v>
      </c>
      <c r="D16" s="109">
        <v>0</v>
      </c>
      <c r="E16" s="109">
        <v>0</v>
      </c>
      <c r="F16" s="106">
        <v>0</v>
      </c>
    </row>
    <row r="17" spans="3:6" ht="24" customHeight="1">
      <c r="C17" s="108" t="s">
        <v>145</v>
      </c>
      <c r="D17" s="103">
        <v>0</v>
      </c>
      <c r="E17" s="103">
        <v>0</v>
      </c>
      <c r="F17" s="150">
        <v>0</v>
      </c>
    </row>
    <row r="18" spans="3:6" ht="24" customHeight="1">
      <c r="C18" s="135" t="s">
        <v>147</v>
      </c>
      <c r="D18" s="109">
        <v>0</v>
      </c>
      <c r="E18" s="109">
        <v>0</v>
      </c>
      <c r="F18" s="106">
        <v>0</v>
      </c>
    </row>
    <row r="19" spans="3:6" ht="24" customHeight="1">
      <c r="C19" s="117" t="s">
        <v>145</v>
      </c>
      <c r="D19" s="118">
        <v>0</v>
      </c>
      <c r="E19" s="118">
        <v>0</v>
      </c>
      <c r="F19" s="121">
        <v>0</v>
      </c>
    </row>
    <row r="20" spans="3:6" ht="12" customHeight="1"/>
  </sheetData>
  <sheetProtection selectLockedCells="1" selectUnlockedCells="1"/>
  <mergeCells count="2">
    <mergeCell ref="A3:G3"/>
    <mergeCell ref="A4:G4"/>
  </mergeCells>
  <phoneticPr fontId="3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1"/>
  <sheetViews>
    <sheetView workbookViewId="0"/>
  </sheetViews>
  <sheetFormatPr defaultRowHeight="12" customHeight="1"/>
  <cols>
    <col min="1" max="2" width="2.33203125" customWidth="1"/>
    <col min="3" max="3" width="2.88671875" customWidth="1"/>
    <col min="4" max="4" width="17.44140625" customWidth="1"/>
    <col min="5" max="15" width="14.44140625" customWidth="1"/>
    <col min="16" max="16" width="4" customWidth="1"/>
  </cols>
  <sheetData>
    <row r="1" spans="1:16" ht="18" customHeight="1">
      <c r="A1" s="151" t="s">
        <v>148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2"/>
    </row>
    <row r="2" spans="1:16" ht="18.75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2"/>
    </row>
    <row r="3" spans="1:16" ht="21" customHeight="1">
      <c r="A3" s="723" t="s">
        <v>1</v>
      </c>
      <c r="B3" s="723"/>
      <c r="C3" s="723"/>
      <c r="D3" s="723"/>
      <c r="E3" s="723"/>
      <c r="F3" s="723"/>
      <c r="G3" s="723"/>
      <c r="H3" s="723"/>
      <c r="I3" s="723"/>
      <c r="J3" s="723"/>
      <c r="K3" s="723"/>
      <c r="L3" s="723"/>
      <c r="M3" s="723"/>
      <c r="N3" s="723"/>
      <c r="O3" s="723"/>
      <c r="P3" s="723"/>
    </row>
    <row r="4" spans="1:16" ht="17.25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</row>
    <row r="5" spans="1:16" ht="21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7" t="s">
        <v>32</v>
      </c>
      <c r="O5" s="152" t="s">
        <v>4</v>
      </c>
      <c r="P5" s="41"/>
    </row>
    <row r="6" spans="1:16" ht="21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7" t="s">
        <v>33</v>
      </c>
      <c r="O6" s="152" t="s">
        <v>6</v>
      </c>
      <c r="P6" s="41" t="s">
        <v>7</v>
      </c>
    </row>
    <row r="7" spans="1:16" ht="21" customHeight="1">
      <c r="A7" s="39" t="s">
        <v>34</v>
      </c>
      <c r="B7" s="45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1"/>
    </row>
    <row r="8" spans="1:16" ht="21" customHeight="1">
      <c r="A8" s="46"/>
      <c r="B8" s="39" t="s">
        <v>149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1"/>
    </row>
    <row r="9" spans="1:16" ht="21" customHeight="1">
      <c r="A9" s="46"/>
      <c r="B9" s="45"/>
      <c r="C9" s="39" t="s">
        <v>150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1"/>
    </row>
    <row r="10" spans="1:16" ht="21" customHeight="1">
      <c r="A10" s="46"/>
      <c r="B10" s="46"/>
      <c r="C10" s="790" t="s">
        <v>151</v>
      </c>
      <c r="D10" s="153"/>
      <c r="E10" s="154" t="s">
        <v>152</v>
      </c>
      <c r="F10" s="154" t="s">
        <v>153</v>
      </c>
      <c r="G10" s="154" t="s">
        <v>14</v>
      </c>
      <c r="H10" s="155" t="s">
        <v>154</v>
      </c>
      <c r="I10" s="156" t="s">
        <v>155</v>
      </c>
      <c r="J10" s="154" t="s">
        <v>156</v>
      </c>
      <c r="K10" s="154" t="s">
        <v>157</v>
      </c>
      <c r="L10" s="154" t="s">
        <v>158</v>
      </c>
      <c r="M10" s="154" t="s">
        <v>159</v>
      </c>
      <c r="N10" s="154" t="s">
        <v>14</v>
      </c>
      <c r="O10" s="157" t="s">
        <v>109</v>
      </c>
      <c r="P10" s="46"/>
    </row>
    <row r="11" spans="1:16" ht="21" customHeight="1">
      <c r="A11" s="46"/>
      <c r="B11" s="46"/>
      <c r="C11" s="791"/>
      <c r="D11" s="158" t="s">
        <v>160</v>
      </c>
      <c r="E11" s="159">
        <v>15</v>
      </c>
      <c r="F11" s="159">
        <v>27</v>
      </c>
      <c r="G11" s="160">
        <v>42</v>
      </c>
      <c r="H11" s="161"/>
      <c r="I11" s="159">
        <v>22</v>
      </c>
      <c r="J11" s="159">
        <v>42</v>
      </c>
      <c r="K11" s="159">
        <v>42</v>
      </c>
      <c r="L11" s="159">
        <v>31</v>
      </c>
      <c r="M11" s="159">
        <v>14</v>
      </c>
      <c r="N11" s="162">
        <v>151</v>
      </c>
      <c r="O11" s="163">
        <v>193</v>
      </c>
      <c r="P11" s="46"/>
    </row>
    <row r="12" spans="1:16" ht="21" customHeight="1">
      <c r="A12" s="164"/>
      <c r="B12" s="165"/>
      <c r="C12" s="791"/>
      <c r="D12" s="166" t="s">
        <v>161</v>
      </c>
      <c r="E12" s="167">
        <v>2</v>
      </c>
      <c r="F12" s="167">
        <v>1</v>
      </c>
      <c r="G12" s="162">
        <v>3</v>
      </c>
      <c r="H12" s="168"/>
      <c r="I12" s="167">
        <v>0</v>
      </c>
      <c r="J12" s="167">
        <v>0</v>
      </c>
      <c r="K12" s="167">
        <v>2</v>
      </c>
      <c r="L12" s="167">
        <v>2</v>
      </c>
      <c r="M12" s="167">
        <v>0</v>
      </c>
      <c r="N12" s="162">
        <v>4</v>
      </c>
      <c r="O12" s="163">
        <v>7</v>
      </c>
      <c r="P12" s="46"/>
    </row>
    <row r="13" spans="1:16" ht="21" customHeight="1">
      <c r="A13" s="164"/>
      <c r="B13" s="165"/>
      <c r="C13" s="791"/>
      <c r="D13" s="169" t="s">
        <v>162</v>
      </c>
      <c r="E13" s="167">
        <v>2</v>
      </c>
      <c r="F13" s="167">
        <v>2</v>
      </c>
      <c r="G13" s="162">
        <v>4</v>
      </c>
      <c r="H13" s="168"/>
      <c r="I13" s="167">
        <v>2</v>
      </c>
      <c r="J13" s="167">
        <v>4</v>
      </c>
      <c r="K13" s="167">
        <v>11</v>
      </c>
      <c r="L13" s="167">
        <v>2</v>
      </c>
      <c r="M13" s="167">
        <v>1</v>
      </c>
      <c r="N13" s="162">
        <v>20</v>
      </c>
      <c r="O13" s="163">
        <v>24</v>
      </c>
      <c r="P13" s="46"/>
    </row>
    <row r="14" spans="1:16" ht="21" customHeight="1">
      <c r="A14" s="164"/>
      <c r="B14" s="165"/>
      <c r="C14" s="791"/>
      <c r="D14" s="169" t="s">
        <v>163</v>
      </c>
      <c r="E14" s="167">
        <v>5</v>
      </c>
      <c r="F14" s="167">
        <v>5</v>
      </c>
      <c r="G14" s="162">
        <v>10</v>
      </c>
      <c r="H14" s="168"/>
      <c r="I14" s="167">
        <v>4</v>
      </c>
      <c r="J14" s="167">
        <v>6</v>
      </c>
      <c r="K14" s="167">
        <v>4</v>
      </c>
      <c r="L14" s="167">
        <v>11</v>
      </c>
      <c r="M14" s="167">
        <v>3</v>
      </c>
      <c r="N14" s="162">
        <v>28</v>
      </c>
      <c r="O14" s="163">
        <v>38</v>
      </c>
      <c r="P14" s="46"/>
    </row>
    <row r="15" spans="1:16" ht="21" customHeight="1">
      <c r="A15" s="46"/>
      <c r="B15" s="46"/>
      <c r="C15" s="791"/>
      <c r="D15" s="169" t="s">
        <v>164</v>
      </c>
      <c r="E15" s="167">
        <v>0</v>
      </c>
      <c r="F15" s="167">
        <v>6</v>
      </c>
      <c r="G15" s="162">
        <v>6</v>
      </c>
      <c r="H15" s="168"/>
      <c r="I15" s="167">
        <v>7</v>
      </c>
      <c r="J15" s="167">
        <v>9</v>
      </c>
      <c r="K15" s="167">
        <v>4</v>
      </c>
      <c r="L15" s="167">
        <v>2</v>
      </c>
      <c r="M15" s="167">
        <v>3</v>
      </c>
      <c r="N15" s="162">
        <v>25</v>
      </c>
      <c r="O15" s="163">
        <v>31</v>
      </c>
      <c r="P15" s="46"/>
    </row>
    <row r="16" spans="1:16" ht="21" customHeight="1">
      <c r="A16" s="46"/>
      <c r="B16" s="46"/>
      <c r="C16" s="791"/>
      <c r="D16" s="169" t="s">
        <v>165</v>
      </c>
      <c r="E16" s="167">
        <v>4</v>
      </c>
      <c r="F16" s="167">
        <v>6</v>
      </c>
      <c r="G16" s="162">
        <v>10</v>
      </c>
      <c r="H16" s="168"/>
      <c r="I16" s="167">
        <v>4</v>
      </c>
      <c r="J16" s="167">
        <v>15</v>
      </c>
      <c r="K16" s="167">
        <v>11</v>
      </c>
      <c r="L16" s="167">
        <v>5</v>
      </c>
      <c r="M16" s="167">
        <v>3</v>
      </c>
      <c r="N16" s="162">
        <v>38</v>
      </c>
      <c r="O16" s="163">
        <v>48</v>
      </c>
      <c r="P16" s="46"/>
    </row>
    <row r="17" spans="1:16" ht="21" customHeight="1">
      <c r="A17" s="46"/>
      <c r="B17" s="46"/>
      <c r="C17" s="791"/>
      <c r="D17" s="169" t="s">
        <v>166</v>
      </c>
      <c r="E17" s="167">
        <v>2</v>
      </c>
      <c r="F17" s="167">
        <v>7</v>
      </c>
      <c r="G17" s="162">
        <v>9</v>
      </c>
      <c r="H17" s="168"/>
      <c r="I17" s="167">
        <v>5</v>
      </c>
      <c r="J17" s="167">
        <v>8</v>
      </c>
      <c r="K17" s="167">
        <v>10</v>
      </c>
      <c r="L17" s="167">
        <v>9</v>
      </c>
      <c r="M17" s="167">
        <v>4</v>
      </c>
      <c r="N17" s="162">
        <v>36</v>
      </c>
      <c r="O17" s="163">
        <v>45</v>
      </c>
      <c r="P17" s="46"/>
    </row>
    <row r="18" spans="1:16" ht="21" customHeight="1">
      <c r="A18" s="46"/>
      <c r="B18" s="46"/>
      <c r="C18" s="791"/>
      <c r="D18" s="158" t="s">
        <v>167</v>
      </c>
      <c r="E18" s="167">
        <v>0</v>
      </c>
      <c r="F18" s="167">
        <v>1</v>
      </c>
      <c r="G18" s="162">
        <v>1</v>
      </c>
      <c r="H18" s="168"/>
      <c r="I18" s="167">
        <v>0</v>
      </c>
      <c r="J18" s="167">
        <v>0</v>
      </c>
      <c r="K18" s="167">
        <v>1</v>
      </c>
      <c r="L18" s="167">
        <v>1</v>
      </c>
      <c r="M18" s="167">
        <v>1</v>
      </c>
      <c r="N18" s="162">
        <v>3</v>
      </c>
      <c r="O18" s="163">
        <v>4</v>
      </c>
      <c r="P18" s="46"/>
    </row>
    <row r="19" spans="1:16" ht="21" customHeight="1">
      <c r="A19" s="46"/>
      <c r="B19" s="46"/>
      <c r="C19" s="792"/>
      <c r="D19" s="170" t="s">
        <v>168</v>
      </c>
      <c r="E19" s="159">
        <v>15</v>
      </c>
      <c r="F19" s="159">
        <v>28</v>
      </c>
      <c r="G19" s="162">
        <v>43</v>
      </c>
      <c r="H19" s="161"/>
      <c r="I19" s="159">
        <v>22</v>
      </c>
      <c r="J19" s="159">
        <v>42</v>
      </c>
      <c r="K19" s="159">
        <v>43</v>
      </c>
      <c r="L19" s="159">
        <v>32</v>
      </c>
      <c r="M19" s="159">
        <v>15</v>
      </c>
      <c r="N19" s="162">
        <v>154</v>
      </c>
      <c r="O19" s="171">
        <v>197</v>
      </c>
      <c r="P19" s="46"/>
    </row>
    <row r="20" spans="1:16" ht="21" customHeight="1">
      <c r="A20" s="164"/>
      <c r="B20" s="165"/>
      <c r="C20" s="790" t="s">
        <v>169</v>
      </c>
      <c r="D20" s="153"/>
      <c r="E20" s="154" t="s">
        <v>152</v>
      </c>
      <c r="F20" s="154" t="s">
        <v>153</v>
      </c>
      <c r="G20" s="154" t="s">
        <v>14</v>
      </c>
      <c r="H20" s="155" t="s">
        <v>154</v>
      </c>
      <c r="I20" s="156" t="s">
        <v>155</v>
      </c>
      <c r="J20" s="154" t="s">
        <v>156</v>
      </c>
      <c r="K20" s="154" t="s">
        <v>157</v>
      </c>
      <c r="L20" s="154" t="s">
        <v>158</v>
      </c>
      <c r="M20" s="154" t="s">
        <v>159</v>
      </c>
      <c r="N20" s="154" t="s">
        <v>14</v>
      </c>
      <c r="O20" s="172" t="s">
        <v>109</v>
      </c>
      <c r="P20" s="46"/>
    </row>
    <row r="21" spans="1:16" ht="21" customHeight="1">
      <c r="A21" s="164"/>
      <c r="B21" s="165"/>
      <c r="C21" s="791"/>
      <c r="D21" s="158" t="s">
        <v>160</v>
      </c>
      <c r="E21" s="159">
        <v>21</v>
      </c>
      <c r="F21" s="159">
        <v>62</v>
      </c>
      <c r="G21" s="160">
        <v>83</v>
      </c>
      <c r="H21" s="173"/>
      <c r="I21" s="159">
        <v>39</v>
      </c>
      <c r="J21" s="159">
        <v>61</v>
      </c>
      <c r="K21" s="159">
        <v>86</v>
      </c>
      <c r="L21" s="159">
        <v>64</v>
      </c>
      <c r="M21" s="159">
        <v>35</v>
      </c>
      <c r="N21" s="162">
        <v>285</v>
      </c>
      <c r="O21" s="163">
        <v>368</v>
      </c>
      <c r="P21" s="46"/>
    </row>
    <row r="22" spans="1:16" ht="21" customHeight="1">
      <c r="A22" s="46"/>
      <c r="B22" s="46"/>
      <c r="C22" s="791"/>
      <c r="D22" s="166" t="s">
        <v>161</v>
      </c>
      <c r="E22" s="167">
        <v>2</v>
      </c>
      <c r="F22" s="167">
        <v>0</v>
      </c>
      <c r="G22" s="162">
        <v>2</v>
      </c>
      <c r="H22" s="168"/>
      <c r="I22" s="167">
        <v>0</v>
      </c>
      <c r="J22" s="167">
        <v>1</v>
      </c>
      <c r="K22" s="167">
        <v>1</v>
      </c>
      <c r="L22" s="167">
        <v>1</v>
      </c>
      <c r="M22" s="167">
        <v>1</v>
      </c>
      <c r="N22" s="162">
        <v>4</v>
      </c>
      <c r="O22" s="163">
        <v>6</v>
      </c>
      <c r="P22" s="46"/>
    </row>
    <row r="23" spans="1:16" ht="21" customHeight="1">
      <c r="A23" s="46"/>
      <c r="B23" s="46"/>
      <c r="C23" s="791"/>
      <c r="D23" s="169" t="s">
        <v>162</v>
      </c>
      <c r="E23" s="167">
        <v>1</v>
      </c>
      <c r="F23" s="167">
        <v>9</v>
      </c>
      <c r="G23" s="162">
        <v>10</v>
      </c>
      <c r="H23" s="168"/>
      <c r="I23" s="167">
        <v>3</v>
      </c>
      <c r="J23" s="167">
        <v>2</v>
      </c>
      <c r="K23" s="167">
        <v>2</v>
      </c>
      <c r="L23" s="167">
        <v>3</v>
      </c>
      <c r="M23" s="167">
        <v>1</v>
      </c>
      <c r="N23" s="162">
        <v>11</v>
      </c>
      <c r="O23" s="163">
        <v>21</v>
      </c>
      <c r="P23" s="46"/>
    </row>
    <row r="24" spans="1:16" ht="21" customHeight="1">
      <c r="A24" s="46"/>
      <c r="B24" s="46"/>
      <c r="C24" s="791"/>
      <c r="D24" s="169" t="s">
        <v>163</v>
      </c>
      <c r="E24" s="167">
        <v>2</v>
      </c>
      <c r="F24" s="167">
        <v>6</v>
      </c>
      <c r="G24" s="162">
        <v>8</v>
      </c>
      <c r="H24" s="168"/>
      <c r="I24" s="167">
        <v>4</v>
      </c>
      <c r="J24" s="167">
        <v>9</v>
      </c>
      <c r="K24" s="167">
        <v>5</v>
      </c>
      <c r="L24" s="167">
        <v>4</v>
      </c>
      <c r="M24" s="167">
        <v>0</v>
      </c>
      <c r="N24" s="162">
        <v>22</v>
      </c>
      <c r="O24" s="163">
        <v>30</v>
      </c>
      <c r="P24" s="46"/>
    </row>
    <row r="25" spans="1:16" ht="21" customHeight="1">
      <c r="A25" s="46"/>
      <c r="B25" s="46"/>
      <c r="C25" s="791"/>
      <c r="D25" s="169" t="s">
        <v>164</v>
      </c>
      <c r="E25" s="167">
        <v>4</v>
      </c>
      <c r="F25" s="167">
        <v>12</v>
      </c>
      <c r="G25" s="162">
        <v>16</v>
      </c>
      <c r="H25" s="168"/>
      <c r="I25" s="167">
        <v>4</v>
      </c>
      <c r="J25" s="167">
        <v>9</v>
      </c>
      <c r="K25" s="167">
        <v>9</v>
      </c>
      <c r="L25" s="167">
        <v>12</v>
      </c>
      <c r="M25" s="167">
        <v>2</v>
      </c>
      <c r="N25" s="162">
        <v>36</v>
      </c>
      <c r="O25" s="163">
        <v>52</v>
      </c>
      <c r="P25" s="46"/>
    </row>
    <row r="26" spans="1:16" ht="21" customHeight="1">
      <c r="A26" s="46"/>
      <c r="B26" s="46"/>
      <c r="C26" s="791"/>
      <c r="D26" s="169" t="s">
        <v>165</v>
      </c>
      <c r="E26" s="167">
        <v>8</v>
      </c>
      <c r="F26" s="167">
        <v>16</v>
      </c>
      <c r="G26" s="162">
        <v>24</v>
      </c>
      <c r="H26" s="168"/>
      <c r="I26" s="167">
        <v>17</v>
      </c>
      <c r="J26" s="167">
        <v>19</v>
      </c>
      <c r="K26" s="167">
        <v>27</v>
      </c>
      <c r="L26" s="167">
        <v>15</v>
      </c>
      <c r="M26" s="167">
        <v>7</v>
      </c>
      <c r="N26" s="162">
        <v>85</v>
      </c>
      <c r="O26" s="163">
        <v>109</v>
      </c>
      <c r="P26" s="46"/>
    </row>
    <row r="27" spans="1:16" ht="21" customHeight="1">
      <c r="A27" s="46"/>
      <c r="B27" s="46"/>
      <c r="C27" s="791"/>
      <c r="D27" s="169" t="s">
        <v>166</v>
      </c>
      <c r="E27" s="167">
        <v>4</v>
      </c>
      <c r="F27" s="167">
        <v>19</v>
      </c>
      <c r="G27" s="162">
        <v>23</v>
      </c>
      <c r="H27" s="168"/>
      <c r="I27" s="167">
        <v>11</v>
      </c>
      <c r="J27" s="167">
        <v>21</v>
      </c>
      <c r="K27" s="167">
        <v>42</v>
      </c>
      <c r="L27" s="167">
        <v>29</v>
      </c>
      <c r="M27" s="167">
        <v>24</v>
      </c>
      <c r="N27" s="162">
        <v>127</v>
      </c>
      <c r="O27" s="163">
        <v>150</v>
      </c>
      <c r="P27" s="46"/>
    </row>
    <row r="28" spans="1:16" ht="21" customHeight="1">
      <c r="A28" s="46"/>
      <c r="B28" s="46"/>
      <c r="C28" s="791"/>
      <c r="D28" s="158" t="s">
        <v>167</v>
      </c>
      <c r="E28" s="167">
        <v>0</v>
      </c>
      <c r="F28" s="167">
        <v>0</v>
      </c>
      <c r="G28" s="162">
        <v>0</v>
      </c>
      <c r="H28" s="168"/>
      <c r="I28" s="167">
        <v>0</v>
      </c>
      <c r="J28" s="167">
        <v>0</v>
      </c>
      <c r="K28" s="167">
        <v>1</v>
      </c>
      <c r="L28" s="167">
        <v>0</v>
      </c>
      <c r="M28" s="167">
        <v>0</v>
      </c>
      <c r="N28" s="162">
        <v>1</v>
      </c>
      <c r="O28" s="163">
        <v>1</v>
      </c>
      <c r="P28" s="46"/>
    </row>
    <row r="29" spans="1:16" ht="21" customHeight="1">
      <c r="A29" s="164"/>
      <c r="B29" s="165"/>
      <c r="C29" s="792"/>
      <c r="D29" s="170" t="s">
        <v>168</v>
      </c>
      <c r="E29" s="159">
        <v>21</v>
      </c>
      <c r="F29" s="159">
        <v>62</v>
      </c>
      <c r="G29" s="162">
        <v>83</v>
      </c>
      <c r="H29" s="174"/>
      <c r="I29" s="159">
        <v>39</v>
      </c>
      <c r="J29" s="159">
        <v>61</v>
      </c>
      <c r="K29" s="159">
        <v>87</v>
      </c>
      <c r="L29" s="159">
        <v>64</v>
      </c>
      <c r="M29" s="159">
        <v>35</v>
      </c>
      <c r="N29" s="162">
        <v>286</v>
      </c>
      <c r="O29" s="171">
        <v>369</v>
      </c>
      <c r="P29" s="46"/>
    </row>
    <row r="30" spans="1:16" ht="21" customHeight="1">
      <c r="A30" s="164"/>
      <c r="B30" s="165"/>
      <c r="C30" s="790" t="s">
        <v>14</v>
      </c>
      <c r="D30" s="153"/>
      <c r="E30" s="154" t="s">
        <v>152</v>
      </c>
      <c r="F30" s="154" t="s">
        <v>153</v>
      </c>
      <c r="G30" s="154" t="s">
        <v>14</v>
      </c>
      <c r="H30" s="155" t="s">
        <v>154</v>
      </c>
      <c r="I30" s="156" t="s">
        <v>155</v>
      </c>
      <c r="J30" s="154" t="s">
        <v>156</v>
      </c>
      <c r="K30" s="154" t="s">
        <v>157</v>
      </c>
      <c r="L30" s="154" t="s">
        <v>158</v>
      </c>
      <c r="M30" s="154" t="s">
        <v>159</v>
      </c>
      <c r="N30" s="154" t="s">
        <v>14</v>
      </c>
      <c r="O30" s="172" t="s">
        <v>109</v>
      </c>
      <c r="P30" s="46"/>
    </row>
    <row r="31" spans="1:16" ht="21" customHeight="1">
      <c r="A31" s="46"/>
      <c r="B31" s="46"/>
      <c r="C31" s="791"/>
      <c r="D31" s="158" t="s">
        <v>160</v>
      </c>
      <c r="E31" s="159">
        <v>36</v>
      </c>
      <c r="F31" s="159">
        <v>89</v>
      </c>
      <c r="G31" s="160">
        <v>125</v>
      </c>
      <c r="H31" s="175"/>
      <c r="I31" s="159">
        <v>61</v>
      </c>
      <c r="J31" s="159">
        <v>103</v>
      </c>
      <c r="K31" s="159">
        <v>128</v>
      </c>
      <c r="L31" s="159">
        <v>95</v>
      </c>
      <c r="M31" s="159">
        <v>49</v>
      </c>
      <c r="N31" s="162">
        <v>436</v>
      </c>
      <c r="O31" s="163">
        <v>561</v>
      </c>
      <c r="P31" s="46"/>
    </row>
    <row r="32" spans="1:16" ht="21" customHeight="1">
      <c r="A32" s="164"/>
      <c r="B32" s="165"/>
      <c r="C32" s="791"/>
      <c r="D32" s="166" t="s">
        <v>161</v>
      </c>
      <c r="E32" s="159">
        <v>4</v>
      </c>
      <c r="F32" s="159">
        <v>1</v>
      </c>
      <c r="G32" s="160">
        <v>5</v>
      </c>
      <c r="H32" s="175"/>
      <c r="I32" s="159">
        <v>0</v>
      </c>
      <c r="J32" s="159">
        <v>1</v>
      </c>
      <c r="K32" s="159">
        <v>3</v>
      </c>
      <c r="L32" s="159">
        <v>3</v>
      </c>
      <c r="M32" s="159">
        <v>1</v>
      </c>
      <c r="N32" s="162">
        <v>8</v>
      </c>
      <c r="O32" s="163">
        <v>13</v>
      </c>
      <c r="P32" s="46"/>
    </row>
    <row r="33" spans="1:16" ht="21" customHeight="1">
      <c r="A33" s="164"/>
      <c r="B33" s="165"/>
      <c r="C33" s="791"/>
      <c r="D33" s="169" t="s">
        <v>162</v>
      </c>
      <c r="E33" s="159">
        <v>3</v>
      </c>
      <c r="F33" s="159">
        <v>11</v>
      </c>
      <c r="G33" s="160">
        <v>14</v>
      </c>
      <c r="H33" s="175"/>
      <c r="I33" s="159">
        <v>5</v>
      </c>
      <c r="J33" s="159">
        <v>6</v>
      </c>
      <c r="K33" s="159">
        <v>13</v>
      </c>
      <c r="L33" s="159">
        <v>5</v>
      </c>
      <c r="M33" s="159">
        <v>2</v>
      </c>
      <c r="N33" s="162">
        <v>31</v>
      </c>
      <c r="O33" s="163">
        <v>45</v>
      </c>
      <c r="P33" s="46"/>
    </row>
    <row r="34" spans="1:16" ht="21" customHeight="1">
      <c r="A34" s="46"/>
      <c r="B34" s="46"/>
      <c r="C34" s="791"/>
      <c r="D34" s="169" t="s">
        <v>163</v>
      </c>
      <c r="E34" s="159">
        <v>7</v>
      </c>
      <c r="F34" s="159">
        <v>11</v>
      </c>
      <c r="G34" s="160">
        <v>18</v>
      </c>
      <c r="H34" s="175"/>
      <c r="I34" s="159">
        <v>8</v>
      </c>
      <c r="J34" s="159">
        <v>15</v>
      </c>
      <c r="K34" s="159">
        <v>9</v>
      </c>
      <c r="L34" s="159">
        <v>15</v>
      </c>
      <c r="M34" s="159">
        <v>3</v>
      </c>
      <c r="N34" s="162">
        <v>50</v>
      </c>
      <c r="O34" s="163">
        <v>68</v>
      </c>
      <c r="P34" s="46"/>
    </row>
    <row r="35" spans="1:16" ht="21" customHeight="1">
      <c r="A35" s="164"/>
      <c r="B35" s="165"/>
      <c r="C35" s="791"/>
      <c r="D35" s="169" t="s">
        <v>164</v>
      </c>
      <c r="E35" s="159">
        <v>4</v>
      </c>
      <c r="F35" s="159">
        <v>18</v>
      </c>
      <c r="G35" s="160">
        <v>22</v>
      </c>
      <c r="H35" s="175"/>
      <c r="I35" s="159">
        <v>11</v>
      </c>
      <c r="J35" s="159">
        <v>18</v>
      </c>
      <c r="K35" s="159">
        <v>13</v>
      </c>
      <c r="L35" s="159">
        <v>14</v>
      </c>
      <c r="M35" s="159">
        <v>5</v>
      </c>
      <c r="N35" s="162">
        <v>61</v>
      </c>
      <c r="O35" s="163">
        <v>83</v>
      </c>
      <c r="P35" s="46"/>
    </row>
    <row r="36" spans="1:16" ht="21" customHeight="1">
      <c r="A36" s="164"/>
      <c r="B36" s="165"/>
      <c r="C36" s="791"/>
      <c r="D36" s="169" t="s">
        <v>165</v>
      </c>
      <c r="E36" s="159">
        <v>12</v>
      </c>
      <c r="F36" s="159">
        <v>22</v>
      </c>
      <c r="G36" s="160">
        <v>34</v>
      </c>
      <c r="H36" s="175"/>
      <c r="I36" s="159">
        <v>21</v>
      </c>
      <c r="J36" s="159">
        <v>34</v>
      </c>
      <c r="K36" s="159">
        <v>38</v>
      </c>
      <c r="L36" s="159">
        <v>20</v>
      </c>
      <c r="M36" s="159">
        <v>10</v>
      </c>
      <c r="N36" s="162">
        <v>123</v>
      </c>
      <c r="O36" s="163">
        <v>157</v>
      </c>
      <c r="P36" s="46"/>
    </row>
    <row r="37" spans="1:16" ht="21" customHeight="1">
      <c r="A37" s="164"/>
      <c r="B37" s="165"/>
      <c r="C37" s="791"/>
      <c r="D37" s="169" t="s">
        <v>166</v>
      </c>
      <c r="E37" s="159">
        <v>6</v>
      </c>
      <c r="F37" s="159">
        <v>26</v>
      </c>
      <c r="G37" s="160">
        <v>32</v>
      </c>
      <c r="H37" s="175"/>
      <c r="I37" s="159">
        <v>16</v>
      </c>
      <c r="J37" s="159">
        <v>29</v>
      </c>
      <c r="K37" s="159">
        <v>52</v>
      </c>
      <c r="L37" s="159">
        <v>38</v>
      </c>
      <c r="M37" s="159">
        <v>28</v>
      </c>
      <c r="N37" s="162">
        <v>163</v>
      </c>
      <c r="O37" s="163">
        <v>195</v>
      </c>
      <c r="P37" s="46"/>
    </row>
    <row r="38" spans="1:16" ht="21" customHeight="1">
      <c r="A38" s="164"/>
      <c r="B38" s="165"/>
      <c r="C38" s="791"/>
      <c r="D38" s="158" t="s">
        <v>167</v>
      </c>
      <c r="E38" s="159">
        <v>0</v>
      </c>
      <c r="F38" s="159">
        <v>1</v>
      </c>
      <c r="G38" s="160">
        <v>1</v>
      </c>
      <c r="H38" s="175"/>
      <c r="I38" s="159">
        <v>0</v>
      </c>
      <c r="J38" s="159">
        <v>0</v>
      </c>
      <c r="K38" s="159">
        <v>2</v>
      </c>
      <c r="L38" s="159">
        <v>1</v>
      </c>
      <c r="M38" s="159">
        <v>1</v>
      </c>
      <c r="N38" s="162">
        <v>4</v>
      </c>
      <c r="O38" s="163">
        <v>5</v>
      </c>
      <c r="P38" s="46"/>
    </row>
    <row r="39" spans="1:16" ht="21" customHeight="1">
      <c r="A39" s="164"/>
      <c r="B39" s="165"/>
      <c r="C39" s="792"/>
      <c r="D39" s="170" t="s">
        <v>168</v>
      </c>
      <c r="E39" s="120">
        <v>36</v>
      </c>
      <c r="F39" s="120">
        <v>90</v>
      </c>
      <c r="G39" s="176">
        <v>126</v>
      </c>
      <c r="H39" s="177"/>
      <c r="I39" s="120">
        <v>61</v>
      </c>
      <c r="J39" s="120">
        <v>103</v>
      </c>
      <c r="K39" s="120">
        <v>130</v>
      </c>
      <c r="L39" s="120">
        <v>96</v>
      </c>
      <c r="M39" s="120">
        <v>50</v>
      </c>
      <c r="N39" s="178">
        <v>440</v>
      </c>
      <c r="O39" s="171">
        <v>566</v>
      </c>
      <c r="P39" s="46"/>
    </row>
    <row r="40" spans="1:16" ht="21" customHeight="1">
      <c r="A40" s="164"/>
      <c r="B40" s="165"/>
      <c r="C40" s="179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</row>
    <row r="41" spans="1:16" ht="12" customHeight="1">
      <c r="A41" s="164"/>
      <c r="B41" s="165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</row>
  </sheetData>
  <sheetProtection selectLockedCells="1" selectUnlockedCells="1"/>
  <mergeCells count="5">
    <mergeCell ref="A3:P3"/>
    <mergeCell ref="A4:P4"/>
    <mergeCell ref="C10:C19"/>
    <mergeCell ref="C20:C29"/>
    <mergeCell ref="C30:C39"/>
  </mergeCells>
  <phoneticPr fontId="3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1"/>
  <sheetViews>
    <sheetView workbookViewId="0"/>
  </sheetViews>
  <sheetFormatPr defaultRowHeight="12" customHeight="1"/>
  <cols>
    <col min="1" max="2" width="2.33203125" customWidth="1"/>
    <col min="3" max="3" width="2.88671875" customWidth="1"/>
    <col min="4" max="4" width="17.44140625" customWidth="1"/>
    <col min="5" max="15" width="14.44140625" customWidth="1"/>
    <col min="16" max="16" width="4" customWidth="1"/>
  </cols>
  <sheetData>
    <row r="1" spans="1:16" ht="18" customHeight="1">
      <c r="A1" s="151" t="s">
        <v>148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2"/>
    </row>
    <row r="2" spans="1:16" ht="18.75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2"/>
    </row>
    <row r="3" spans="1:16" ht="21" customHeight="1">
      <c r="A3" s="723" t="s">
        <v>1</v>
      </c>
      <c r="B3" s="723"/>
      <c r="C3" s="723"/>
      <c r="D3" s="723"/>
      <c r="E3" s="723"/>
      <c r="F3" s="723"/>
      <c r="G3" s="723"/>
      <c r="H3" s="723"/>
      <c r="I3" s="723"/>
      <c r="J3" s="723"/>
      <c r="K3" s="723"/>
      <c r="L3" s="723"/>
      <c r="M3" s="723"/>
      <c r="N3" s="723"/>
      <c r="O3" s="723"/>
      <c r="P3" s="723"/>
    </row>
    <row r="4" spans="1:16" ht="17.25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</row>
    <row r="5" spans="1:16" ht="21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7" t="s">
        <v>32</v>
      </c>
      <c r="O5" s="152" t="s">
        <v>4</v>
      </c>
      <c r="P5" s="41"/>
    </row>
    <row r="6" spans="1:16" ht="21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7" t="s">
        <v>33</v>
      </c>
      <c r="O6" s="180" t="s">
        <v>6</v>
      </c>
      <c r="P6" s="41" t="s">
        <v>7</v>
      </c>
    </row>
    <row r="7" spans="1:16" ht="21" customHeight="1">
      <c r="A7" s="39" t="s">
        <v>34</v>
      </c>
      <c r="B7" s="45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1"/>
    </row>
    <row r="8" spans="1:16" ht="21" customHeight="1">
      <c r="A8" s="46"/>
      <c r="B8" s="39" t="s">
        <v>149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1"/>
    </row>
    <row r="9" spans="1:16" ht="21" customHeight="1">
      <c r="A9" s="46"/>
      <c r="B9" s="45"/>
      <c r="C9" s="39" t="s">
        <v>170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1"/>
    </row>
    <row r="10" spans="1:16" ht="21" customHeight="1">
      <c r="A10" s="46"/>
      <c r="B10" s="46"/>
      <c r="C10" s="790" t="s">
        <v>151</v>
      </c>
      <c r="D10" s="153"/>
      <c r="E10" s="154" t="s">
        <v>152</v>
      </c>
      <c r="F10" s="154" t="s">
        <v>153</v>
      </c>
      <c r="G10" s="154" t="s">
        <v>14</v>
      </c>
      <c r="H10" s="155" t="s">
        <v>154</v>
      </c>
      <c r="I10" s="156" t="s">
        <v>155</v>
      </c>
      <c r="J10" s="154" t="s">
        <v>156</v>
      </c>
      <c r="K10" s="154" t="s">
        <v>157</v>
      </c>
      <c r="L10" s="154" t="s">
        <v>158</v>
      </c>
      <c r="M10" s="154" t="s">
        <v>159</v>
      </c>
      <c r="N10" s="154" t="s">
        <v>14</v>
      </c>
      <c r="O10" s="157" t="s">
        <v>109</v>
      </c>
      <c r="P10" s="46"/>
    </row>
    <row r="11" spans="1:16" ht="21" customHeight="1">
      <c r="A11" s="46"/>
      <c r="B11" s="46"/>
      <c r="C11" s="791"/>
      <c r="D11" s="158" t="s">
        <v>160</v>
      </c>
      <c r="E11" s="159">
        <v>0</v>
      </c>
      <c r="F11" s="159">
        <v>0</v>
      </c>
      <c r="G11" s="160">
        <v>0</v>
      </c>
      <c r="H11" s="173"/>
      <c r="I11" s="159">
        <v>0</v>
      </c>
      <c r="J11" s="159">
        <v>1</v>
      </c>
      <c r="K11" s="159">
        <v>1</v>
      </c>
      <c r="L11" s="159">
        <v>1</v>
      </c>
      <c r="M11" s="159">
        <v>0</v>
      </c>
      <c r="N11" s="162">
        <v>3</v>
      </c>
      <c r="O11" s="163">
        <v>3</v>
      </c>
      <c r="P11" s="46"/>
    </row>
    <row r="12" spans="1:16" ht="21" customHeight="1">
      <c r="A12" s="164"/>
      <c r="B12" s="165"/>
      <c r="C12" s="791"/>
      <c r="D12" s="166" t="s">
        <v>161</v>
      </c>
      <c r="E12" s="167">
        <v>0</v>
      </c>
      <c r="F12" s="167">
        <v>0</v>
      </c>
      <c r="G12" s="162">
        <v>0</v>
      </c>
      <c r="H12" s="168"/>
      <c r="I12" s="167">
        <v>0</v>
      </c>
      <c r="J12" s="167">
        <v>0</v>
      </c>
      <c r="K12" s="167">
        <v>0</v>
      </c>
      <c r="L12" s="167">
        <v>0</v>
      </c>
      <c r="M12" s="167">
        <v>0</v>
      </c>
      <c r="N12" s="162">
        <v>0</v>
      </c>
      <c r="O12" s="163">
        <v>0</v>
      </c>
      <c r="P12" s="46"/>
    </row>
    <row r="13" spans="1:16" ht="21" customHeight="1">
      <c r="A13" s="164"/>
      <c r="B13" s="165"/>
      <c r="C13" s="791"/>
      <c r="D13" s="169" t="s">
        <v>162</v>
      </c>
      <c r="E13" s="167">
        <v>0</v>
      </c>
      <c r="F13" s="167">
        <v>0</v>
      </c>
      <c r="G13" s="162">
        <v>0</v>
      </c>
      <c r="H13" s="168"/>
      <c r="I13" s="167">
        <v>0</v>
      </c>
      <c r="J13" s="167">
        <v>0</v>
      </c>
      <c r="K13" s="167">
        <v>0</v>
      </c>
      <c r="L13" s="167">
        <v>0</v>
      </c>
      <c r="M13" s="167">
        <v>0</v>
      </c>
      <c r="N13" s="162">
        <v>0</v>
      </c>
      <c r="O13" s="163">
        <v>0</v>
      </c>
      <c r="P13" s="46"/>
    </row>
    <row r="14" spans="1:16" ht="21" customHeight="1">
      <c r="A14" s="164"/>
      <c r="B14" s="165"/>
      <c r="C14" s="791"/>
      <c r="D14" s="169" t="s">
        <v>163</v>
      </c>
      <c r="E14" s="167">
        <v>0</v>
      </c>
      <c r="F14" s="167">
        <v>0</v>
      </c>
      <c r="G14" s="162">
        <v>0</v>
      </c>
      <c r="H14" s="168"/>
      <c r="I14" s="167">
        <v>0</v>
      </c>
      <c r="J14" s="167">
        <v>1</v>
      </c>
      <c r="K14" s="167">
        <v>0</v>
      </c>
      <c r="L14" s="167">
        <v>0</v>
      </c>
      <c r="M14" s="167">
        <v>0</v>
      </c>
      <c r="N14" s="162">
        <v>1</v>
      </c>
      <c r="O14" s="163">
        <v>1</v>
      </c>
      <c r="P14" s="46"/>
    </row>
    <row r="15" spans="1:16" ht="21" customHeight="1">
      <c r="A15" s="46"/>
      <c r="B15" s="46"/>
      <c r="C15" s="791"/>
      <c r="D15" s="169" t="s">
        <v>164</v>
      </c>
      <c r="E15" s="167">
        <v>0</v>
      </c>
      <c r="F15" s="167">
        <v>0</v>
      </c>
      <c r="G15" s="162">
        <v>0</v>
      </c>
      <c r="H15" s="168"/>
      <c r="I15" s="167">
        <v>0</v>
      </c>
      <c r="J15" s="167">
        <v>0</v>
      </c>
      <c r="K15" s="167">
        <v>0</v>
      </c>
      <c r="L15" s="167">
        <v>1</v>
      </c>
      <c r="M15" s="167">
        <v>0</v>
      </c>
      <c r="N15" s="162">
        <v>1</v>
      </c>
      <c r="O15" s="163">
        <v>1</v>
      </c>
      <c r="P15" s="46"/>
    </row>
    <row r="16" spans="1:16" ht="21" customHeight="1">
      <c r="A16" s="46"/>
      <c r="B16" s="46"/>
      <c r="C16" s="791"/>
      <c r="D16" s="169" t="s">
        <v>165</v>
      </c>
      <c r="E16" s="167">
        <v>0</v>
      </c>
      <c r="F16" s="167">
        <v>0</v>
      </c>
      <c r="G16" s="162">
        <v>0</v>
      </c>
      <c r="H16" s="168"/>
      <c r="I16" s="167">
        <v>0</v>
      </c>
      <c r="J16" s="167">
        <v>0</v>
      </c>
      <c r="K16" s="167">
        <v>1</v>
      </c>
      <c r="L16" s="167">
        <v>0</v>
      </c>
      <c r="M16" s="167">
        <v>0</v>
      </c>
      <c r="N16" s="162">
        <v>1</v>
      </c>
      <c r="O16" s="163">
        <v>1</v>
      </c>
      <c r="P16" s="46"/>
    </row>
    <row r="17" spans="1:16" ht="21" customHeight="1">
      <c r="A17" s="46"/>
      <c r="B17" s="46"/>
      <c r="C17" s="791"/>
      <c r="D17" s="169" t="s">
        <v>166</v>
      </c>
      <c r="E17" s="167">
        <v>0</v>
      </c>
      <c r="F17" s="167">
        <v>0</v>
      </c>
      <c r="G17" s="162">
        <v>0</v>
      </c>
      <c r="H17" s="168"/>
      <c r="I17" s="167">
        <v>0</v>
      </c>
      <c r="J17" s="167">
        <v>0</v>
      </c>
      <c r="K17" s="167">
        <v>0</v>
      </c>
      <c r="L17" s="167">
        <v>0</v>
      </c>
      <c r="M17" s="167">
        <v>0</v>
      </c>
      <c r="N17" s="162">
        <v>0</v>
      </c>
      <c r="O17" s="163">
        <v>0</v>
      </c>
      <c r="P17" s="46"/>
    </row>
    <row r="18" spans="1:16" ht="21" customHeight="1">
      <c r="A18" s="46"/>
      <c r="B18" s="46"/>
      <c r="C18" s="791"/>
      <c r="D18" s="158" t="s">
        <v>167</v>
      </c>
      <c r="E18" s="167">
        <v>0</v>
      </c>
      <c r="F18" s="167">
        <v>0</v>
      </c>
      <c r="G18" s="162">
        <v>0</v>
      </c>
      <c r="H18" s="168"/>
      <c r="I18" s="167">
        <v>0</v>
      </c>
      <c r="J18" s="167">
        <v>0</v>
      </c>
      <c r="K18" s="167">
        <v>0</v>
      </c>
      <c r="L18" s="167">
        <v>0</v>
      </c>
      <c r="M18" s="167">
        <v>0</v>
      </c>
      <c r="N18" s="162">
        <v>0</v>
      </c>
      <c r="O18" s="163">
        <v>0</v>
      </c>
      <c r="P18" s="46"/>
    </row>
    <row r="19" spans="1:16" ht="21" customHeight="1">
      <c r="A19" s="46"/>
      <c r="B19" s="46"/>
      <c r="C19" s="792"/>
      <c r="D19" s="170" t="s">
        <v>168</v>
      </c>
      <c r="E19" s="159">
        <v>0</v>
      </c>
      <c r="F19" s="159">
        <v>0</v>
      </c>
      <c r="G19" s="162">
        <v>0</v>
      </c>
      <c r="H19" s="174"/>
      <c r="I19" s="159">
        <v>0</v>
      </c>
      <c r="J19" s="159">
        <v>1</v>
      </c>
      <c r="K19" s="159">
        <v>1</v>
      </c>
      <c r="L19" s="159">
        <v>1</v>
      </c>
      <c r="M19" s="159">
        <v>0</v>
      </c>
      <c r="N19" s="162">
        <v>3</v>
      </c>
      <c r="O19" s="171">
        <v>3</v>
      </c>
      <c r="P19" s="46"/>
    </row>
    <row r="20" spans="1:16" ht="21" customHeight="1">
      <c r="A20" s="164"/>
      <c r="B20" s="165"/>
      <c r="C20" s="790" t="s">
        <v>169</v>
      </c>
      <c r="D20" s="153"/>
      <c r="E20" s="154" t="s">
        <v>152</v>
      </c>
      <c r="F20" s="154" t="s">
        <v>153</v>
      </c>
      <c r="G20" s="154" t="s">
        <v>14</v>
      </c>
      <c r="H20" s="155" t="s">
        <v>154</v>
      </c>
      <c r="I20" s="156" t="s">
        <v>155</v>
      </c>
      <c r="J20" s="154" t="s">
        <v>156</v>
      </c>
      <c r="K20" s="154" t="s">
        <v>157</v>
      </c>
      <c r="L20" s="154" t="s">
        <v>158</v>
      </c>
      <c r="M20" s="154" t="s">
        <v>159</v>
      </c>
      <c r="N20" s="154" t="s">
        <v>14</v>
      </c>
      <c r="O20" s="172" t="s">
        <v>109</v>
      </c>
      <c r="P20" s="46"/>
    </row>
    <row r="21" spans="1:16" ht="21" customHeight="1">
      <c r="A21" s="164"/>
      <c r="B21" s="165"/>
      <c r="C21" s="791"/>
      <c r="D21" s="158" t="s">
        <v>160</v>
      </c>
      <c r="E21" s="159">
        <v>0</v>
      </c>
      <c r="F21" s="159">
        <v>0</v>
      </c>
      <c r="G21" s="160">
        <v>0</v>
      </c>
      <c r="H21" s="173"/>
      <c r="I21" s="159">
        <v>0</v>
      </c>
      <c r="J21" s="159">
        <v>0</v>
      </c>
      <c r="K21" s="159">
        <v>0</v>
      </c>
      <c r="L21" s="159">
        <v>0</v>
      </c>
      <c r="M21" s="159">
        <v>0</v>
      </c>
      <c r="N21" s="162">
        <v>0</v>
      </c>
      <c r="O21" s="163">
        <v>0</v>
      </c>
      <c r="P21" s="46"/>
    </row>
    <row r="22" spans="1:16" ht="21" customHeight="1">
      <c r="A22" s="46"/>
      <c r="B22" s="46"/>
      <c r="C22" s="791"/>
      <c r="D22" s="166" t="s">
        <v>161</v>
      </c>
      <c r="E22" s="167">
        <v>0</v>
      </c>
      <c r="F22" s="167">
        <v>0</v>
      </c>
      <c r="G22" s="162">
        <v>0</v>
      </c>
      <c r="H22" s="168"/>
      <c r="I22" s="167">
        <v>0</v>
      </c>
      <c r="J22" s="167">
        <v>0</v>
      </c>
      <c r="K22" s="167">
        <v>0</v>
      </c>
      <c r="L22" s="167">
        <v>0</v>
      </c>
      <c r="M22" s="167">
        <v>0</v>
      </c>
      <c r="N22" s="162">
        <v>0</v>
      </c>
      <c r="O22" s="163">
        <v>0</v>
      </c>
      <c r="P22" s="46"/>
    </row>
    <row r="23" spans="1:16" ht="21" customHeight="1">
      <c r="A23" s="46"/>
      <c r="B23" s="46"/>
      <c r="C23" s="791"/>
      <c r="D23" s="169" t="s">
        <v>162</v>
      </c>
      <c r="E23" s="167">
        <v>0</v>
      </c>
      <c r="F23" s="167">
        <v>0</v>
      </c>
      <c r="G23" s="162">
        <v>0</v>
      </c>
      <c r="H23" s="168"/>
      <c r="I23" s="167">
        <v>0</v>
      </c>
      <c r="J23" s="167">
        <v>0</v>
      </c>
      <c r="K23" s="167">
        <v>0</v>
      </c>
      <c r="L23" s="167">
        <v>0</v>
      </c>
      <c r="M23" s="167">
        <v>0</v>
      </c>
      <c r="N23" s="162">
        <v>0</v>
      </c>
      <c r="O23" s="163">
        <v>0</v>
      </c>
      <c r="P23" s="46"/>
    </row>
    <row r="24" spans="1:16" ht="21" customHeight="1">
      <c r="A24" s="46"/>
      <c r="B24" s="46"/>
      <c r="C24" s="791"/>
      <c r="D24" s="169" t="s">
        <v>163</v>
      </c>
      <c r="E24" s="167">
        <v>0</v>
      </c>
      <c r="F24" s="167">
        <v>0</v>
      </c>
      <c r="G24" s="162">
        <v>0</v>
      </c>
      <c r="H24" s="168"/>
      <c r="I24" s="167">
        <v>0</v>
      </c>
      <c r="J24" s="167">
        <v>0</v>
      </c>
      <c r="K24" s="167">
        <v>0</v>
      </c>
      <c r="L24" s="167">
        <v>0</v>
      </c>
      <c r="M24" s="167">
        <v>0</v>
      </c>
      <c r="N24" s="162">
        <v>0</v>
      </c>
      <c r="O24" s="163">
        <v>0</v>
      </c>
      <c r="P24" s="46"/>
    </row>
    <row r="25" spans="1:16" ht="21" customHeight="1">
      <c r="A25" s="46"/>
      <c r="B25" s="46"/>
      <c r="C25" s="791"/>
      <c r="D25" s="169" t="s">
        <v>164</v>
      </c>
      <c r="E25" s="167">
        <v>0</v>
      </c>
      <c r="F25" s="167">
        <v>0</v>
      </c>
      <c r="G25" s="162">
        <v>0</v>
      </c>
      <c r="H25" s="168"/>
      <c r="I25" s="167">
        <v>0</v>
      </c>
      <c r="J25" s="167">
        <v>0</v>
      </c>
      <c r="K25" s="167">
        <v>0</v>
      </c>
      <c r="L25" s="167">
        <v>0</v>
      </c>
      <c r="M25" s="167">
        <v>0</v>
      </c>
      <c r="N25" s="162">
        <v>0</v>
      </c>
      <c r="O25" s="163">
        <v>0</v>
      </c>
      <c r="P25" s="46"/>
    </row>
    <row r="26" spans="1:16" ht="21" customHeight="1">
      <c r="A26" s="46"/>
      <c r="B26" s="46"/>
      <c r="C26" s="791"/>
      <c r="D26" s="169" t="s">
        <v>165</v>
      </c>
      <c r="E26" s="167">
        <v>0</v>
      </c>
      <c r="F26" s="167">
        <v>0</v>
      </c>
      <c r="G26" s="162">
        <v>0</v>
      </c>
      <c r="H26" s="168"/>
      <c r="I26" s="167">
        <v>0</v>
      </c>
      <c r="J26" s="167">
        <v>0</v>
      </c>
      <c r="K26" s="167">
        <v>0</v>
      </c>
      <c r="L26" s="167">
        <v>0</v>
      </c>
      <c r="M26" s="167">
        <v>0</v>
      </c>
      <c r="N26" s="162">
        <v>0</v>
      </c>
      <c r="O26" s="163">
        <v>0</v>
      </c>
      <c r="P26" s="46"/>
    </row>
    <row r="27" spans="1:16" ht="21" customHeight="1">
      <c r="A27" s="46"/>
      <c r="B27" s="46"/>
      <c r="C27" s="791"/>
      <c r="D27" s="169" t="s">
        <v>166</v>
      </c>
      <c r="E27" s="167">
        <v>0</v>
      </c>
      <c r="F27" s="167">
        <v>0</v>
      </c>
      <c r="G27" s="162">
        <v>0</v>
      </c>
      <c r="H27" s="168"/>
      <c r="I27" s="167">
        <v>0</v>
      </c>
      <c r="J27" s="167">
        <v>0</v>
      </c>
      <c r="K27" s="167">
        <v>0</v>
      </c>
      <c r="L27" s="167">
        <v>0</v>
      </c>
      <c r="M27" s="167">
        <v>0</v>
      </c>
      <c r="N27" s="162">
        <v>0</v>
      </c>
      <c r="O27" s="163">
        <v>0</v>
      </c>
      <c r="P27" s="46"/>
    </row>
    <row r="28" spans="1:16" ht="21" customHeight="1">
      <c r="A28" s="46"/>
      <c r="B28" s="46"/>
      <c r="C28" s="791"/>
      <c r="D28" s="158" t="s">
        <v>167</v>
      </c>
      <c r="E28" s="167">
        <v>0</v>
      </c>
      <c r="F28" s="167">
        <v>0</v>
      </c>
      <c r="G28" s="162">
        <v>0</v>
      </c>
      <c r="H28" s="168"/>
      <c r="I28" s="167">
        <v>0</v>
      </c>
      <c r="J28" s="167">
        <v>0</v>
      </c>
      <c r="K28" s="167">
        <v>0</v>
      </c>
      <c r="L28" s="167">
        <v>0</v>
      </c>
      <c r="M28" s="167">
        <v>0</v>
      </c>
      <c r="N28" s="162">
        <v>0</v>
      </c>
      <c r="O28" s="163">
        <v>0</v>
      </c>
      <c r="P28" s="46"/>
    </row>
    <row r="29" spans="1:16" ht="21" customHeight="1">
      <c r="A29" s="164"/>
      <c r="B29" s="165"/>
      <c r="C29" s="792"/>
      <c r="D29" s="170" t="s">
        <v>168</v>
      </c>
      <c r="E29" s="159">
        <v>0</v>
      </c>
      <c r="F29" s="159">
        <v>0</v>
      </c>
      <c r="G29" s="162">
        <v>0</v>
      </c>
      <c r="H29" s="174"/>
      <c r="I29" s="159">
        <v>0</v>
      </c>
      <c r="J29" s="159">
        <v>0</v>
      </c>
      <c r="K29" s="159">
        <v>0</v>
      </c>
      <c r="L29" s="159">
        <v>0</v>
      </c>
      <c r="M29" s="159">
        <v>0</v>
      </c>
      <c r="N29" s="162">
        <v>0</v>
      </c>
      <c r="O29" s="171">
        <v>0</v>
      </c>
      <c r="P29" s="46"/>
    </row>
    <row r="30" spans="1:16" ht="21" customHeight="1">
      <c r="A30" s="164"/>
      <c r="B30" s="165"/>
      <c r="C30" s="790" t="s">
        <v>14</v>
      </c>
      <c r="D30" s="153"/>
      <c r="E30" s="154" t="s">
        <v>152</v>
      </c>
      <c r="F30" s="154" t="s">
        <v>153</v>
      </c>
      <c r="G30" s="154" t="s">
        <v>14</v>
      </c>
      <c r="H30" s="155" t="s">
        <v>154</v>
      </c>
      <c r="I30" s="156" t="s">
        <v>155</v>
      </c>
      <c r="J30" s="154" t="s">
        <v>156</v>
      </c>
      <c r="K30" s="154" t="s">
        <v>157</v>
      </c>
      <c r="L30" s="154" t="s">
        <v>158</v>
      </c>
      <c r="M30" s="154" t="s">
        <v>159</v>
      </c>
      <c r="N30" s="154" t="s">
        <v>14</v>
      </c>
      <c r="O30" s="172" t="s">
        <v>109</v>
      </c>
      <c r="P30" s="46"/>
    </row>
    <row r="31" spans="1:16" ht="21" customHeight="1">
      <c r="A31" s="46"/>
      <c r="B31" s="46"/>
      <c r="C31" s="791"/>
      <c r="D31" s="158" t="s">
        <v>160</v>
      </c>
      <c r="E31" s="159">
        <v>0</v>
      </c>
      <c r="F31" s="159">
        <v>0</v>
      </c>
      <c r="G31" s="160">
        <v>0</v>
      </c>
      <c r="H31" s="175"/>
      <c r="I31" s="159">
        <v>0</v>
      </c>
      <c r="J31" s="159">
        <v>1</v>
      </c>
      <c r="K31" s="159">
        <v>1</v>
      </c>
      <c r="L31" s="159">
        <v>1</v>
      </c>
      <c r="M31" s="159">
        <v>0</v>
      </c>
      <c r="N31" s="162">
        <v>3</v>
      </c>
      <c r="O31" s="163">
        <v>3</v>
      </c>
      <c r="P31" s="46"/>
    </row>
    <row r="32" spans="1:16" ht="21" customHeight="1">
      <c r="A32" s="164"/>
      <c r="B32" s="165"/>
      <c r="C32" s="791"/>
      <c r="D32" s="166" t="s">
        <v>161</v>
      </c>
      <c r="E32" s="159">
        <v>0</v>
      </c>
      <c r="F32" s="159">
        <v>0</v>
      </c>
      <c r="G32" s="160">
        <v>0</v>
      </c>
      <c r="H32" s="175"/>
      <c r="I32" s="159">
        <v>0</v>
      </c>
      <c r="J32" s="159">
        <v>0</v>
      </c>
      <c r="K32" s="159">
        <v>0</v>
      </c>
      <c r="L32" s="159">
        <v>0</v>
      </c>
      <c r="M32" s="159">
        <v>0</v>
      </c>
      <c r="N32" s="162">
        <v>0</v>
      </c>
      <c r="O32" s="163">
        <v>0</v>
      </c>
      <c r="P32" s="46"/>
    </row>
    <row r="33" spans="1:16" ht="21" customHeight="1">
      <c r="A33" s="164"/>
      <c r="B33" s="165"/>
      <c r="C33" s="791"/>
      <c r="D33" s="169" t="s">
        <v>162</v>
      </c>
      <c r="E33" s="159">
        <v>0</v>
      </c>
      <c r="F33" s="159">
        <v>0</v>
      </c>
      <c r="G33" s="160">
        <v>0</v>
      </c>
      <c r="H33" s="175"/>
      <c r="I33" s="159">
        <v>0</v>
      </c>
      <c r="J33" s="159">
        <v>0</v>
      </c>
      <c r="K33" s="159">
        <v>0</v>
      </c>
      <c r="L33" s="159">
        <v>0</v>
      </c>
      <c r="M33" s="159">
        <v>0</v>
      </c>
      <c r="N33" s="162">
        <v>0</v>
      </c>
      <c r="O33" s="163">
        <v>0</v>
      </c>
      <c r="P33" s="46"/>
    </row>
    <row r="34" spans="1:16" ht="21" customHeight="1">
      <c r="A34" s="46"/>
      <c r="B34" s="46"/>
      <c r="C34" s="791"/>
      <c r="D34" s="169" t="s">
        <v>163</v>
      </c>
      <c r="E34" s="159">
        <v>0</v>
      </c>
      <c r="F34" s="159">
        <v>0</v>
      </c>
      <c r="G34" s="160">
        <v>0</v>
      </c>
      <c r="H34" s="175"/>
      <c r="I34" s="159">
        <v>0</v>
      </c>
      <c r="J34" s="159">
        <v>1</v>
      </c>
      <c r="K34" s="159">
        <v>0</v>
      </c>
      <c r="L34" s="159">
        <v>0</v>
      </c>
      <c r="M34" s="159">
        <v>0</v>
      </c>
      <c r="N34" s="162">
        <v>1</v>
      </c>
      <c r="O34" s="163">
        <v>1</v>
      </c>
      <c r="P34" s="46"/>
    </row>
    <row r="35" spans="1:16" ht="21" customHeight="1">
      <c r="A35" s="164"/>
      <c r="B35" s="165"/>
      <c r="C35" s="791"/>
      <c r="D35" s="169" t="s">
        <v>164</v>
      </c>
      <c r="E35" s="159">
        <v>0</v>
      </c>
      <c r="F35" s="159">
        <v>0</v>
      </c>
      <c r="G35" s="160">
        <v>0</v>
      </c>
      <c r="H35" s="175"/>
      <c r="I35" s="159">
        <v>0</v>
      </c>
      <c r="J35" s="159">
        <v>0</v>
      </c>
      <c r="K35" s="159">
        <v>0</v>
      </c>
      <c r="L35" s="159">
        <v>1</v>
      </c>
      <c r="M35" s="159">
        <v>0</v>
      </c>
      <c r="N35" s="162">
        <v>1</v>
      </c>
      <c r="O35" s="163">
        <v>1</v>
      </c>
      <c r="P35" s="46"/>
    </row>
    <row r="36" spans="1:16" ht="21" customHeight="1">
      <c r="A36" s="164"/>
      <c r="B36" s="165"/>
      <c r="C36" s="791"/>
      <c r="D36" s="169" t="s">
        <v>165</v>
      </c>
      <c r="E36" s="159">
        <v>0</v>
      </c>
      <c r="F36" s="159">
        <v>0</v>
      </c>
      <c r="G36" s="160">
        <v>0</v>
      </c>
      <c r="H36" s="175"/>
      <c r="I36" s="159">
        <v>0</v>
      </c>
      <c r="J36" s="159">
        <v>0</v>
      </c>
      <c r="K36" s="159">
        <v>1</v>
      </c>
      <c r="L36" s="159">
        <v>0</v>
      </c>
      <c r="M36" s="159">
        <v>0</v>
      </c>
      <c r="N36" s="162">
        <v>1</v>
      </c>
      <c r="O36" s="163">
        <v>1</v>
      </c>
      <c r="P36" s="46"/>
    </row>
    <row r="37" spans="1:16" ht="21" customHeight="1">
      <c r="A37" s="164"/>
      <c r="B37" s="165"/>
      <c r="C37" s="791"/>
      <c r="D37" s="169" t="s">
        <v>166</v>
      </c>
      <c r="E37" s="159">
        <v>0</v>
      </c>
      <c r="F37" s="159">
        <v>0</v>
      </c>
      <c r="G37" s="160">
        <v>0</v>
      </c>
      <c r="H37" s="175"/>
      <c r="I37" s="159">
        <v>0</v>
      </c>
      <c r="J37" s="159">
        <v>0</v>
      </c>
      <c r="K37" s="159">
        <v>0</v>
      </c>
      <c r="L37" s="159">
        <v>0</v>
      </c>
      <c r="M37" s="159">
        <v>0</v>
      </c>
      <c r="N37" s="162">
        <v>0</v>
      </c>
      <c r="O37" s="163">
        <v>0</v>
      </c>
      <c r="P37" s="46"/>
    </row>
    <row r="38" spans="1:16" ht="21" customHeight="1">
      <c r="A38" s="164"/>
      <c r="B38" s="165"/>
      <c r="C38" s="791"/>
      <c r="D38" s="158" t="s">
        <v>167</v>
      </c>
      <c r="E38" s="159">
        <v>0</v>
      </c>
      <c r="F38" s="159">
        <v>0</v>
      </c>
      <c r="G38" s="160">
        <v>0</v>
      </c>
      <c r="H38" s="175"/>
      <c r="I38" s="159">
        <v>0</v>
      </c>
      <c r="J38" s="159">
        <v>0</v>
      </c>
      <c r="K38" s="159">
        <v>0</v>
      </c>
      <c r="L38" s="159">
        <v>0</v>
      </c>
      <c r="M38" s="159">
        <v>0</v>
      </c>
      <c r="N38" s="162">
        <v>0</v>
      </c>
      <c r="O38" s="163">
        <v>0</v>
      </c>
      <c r="P38" s="46"/>
    </row>
    <row r="39" spans="1:16" ht="21" customHeight="1">
      <c r="A39" s="164"/>
      <c r="B39" s="165"/>
      <c r="C39" s="792"/>
      <c r="D39" s="170" t="s">
        <v>168</v>
      </c>
      <c r="E39" s="120">
        <v>0</v>
      </c>
      <c r="F39" s="120">
        <v>0</v>
      </c>
      <c r="G39" s="176">
        <v>0</v>
      </c>
      <c r="H39" s="177"/>
      <c r="I39" s="120">
        <v>0</v>
      </c>
      <c r="J39" s="120">
        <v>1</v>
      </c>
      <c r="K39" s="120">
        <v>1</v>
      </c>
      <c r="L39" s="120">
        <v>1</v>
      </c>
      <c r="M39" s="120">
        <v>0</v>
      </c>
      <c r="N39" s="178">
        <v>3</v>
      </c>
      <c r="O39" s="171">
        <v>3</v>
      </c>
      <c r="P39" s="46"/>
    </row>
    <row r="40" spans="1:16" ht="21" customHeight="1">
      <c r="A40" s="164"/>
      <c r="B40" s="165"/>
      <c r="C40" s="181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</row>
    <row r="41" spans="1:16" ht="12" customHeight="1">
      <c r="A41" s="164"/>
      <c r="B41" s="165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</row>
  </sheetData>
  <sheetProtection selectLockedCells="1" selectUnlockedCells="1"/>
  <mergeCells count="5">
    <mergeCell ref="A3:P3"/>
    <mergeCell ref="A4:P4"/>
    <mergeCell ref="C10:C19"/>
    <mergeCell ref="C20:C29"/>
    <mergeCell ref="C30:C39"/>
  </mergeCells>
  <phoneticPr fontId="3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1"/>
  <sheetViews>
    <sheetView workbookViewId="0"/>
  </sheetViews>
  <sheetFormatPr defaultRowHeight="12" customHeight="1"/>
  <cols>
    <col min="1" max="2" width="2.33203125" customWidth="1"/>
    <col min="3" max="3" width="2.88671875" customWidth="1"/>
    <col min="4" max="4" width="17.44140625" customWidth="1"/>
    <col min="5" max="15" width="14.44140625" customWidth="1"/>
    <col min="16" max="16" width="4" customWidth="1"/>
  </cols>
  <sheetData>
    <row r="1" spans="1:16" ht="18" customHeight="1">
      <c r="A1" s="151" t="s">
        <v>148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2"/>
    </row>
    <row r="2" spans="1:16" ht="18.75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2"/>
    </row>
    <row r="3" spans="1:16" ht="21" customHeight="1">
      <c r="A3" s="723" t="s">
        <v>1</v>
      </c>
      <c r="B3" s="723"/>
      <c r="C3" s="723"/>
      <c r="D3" s="723"/>
      <c r="E3" s="723"/>
      <c r="F3" s="723"/>
      <c r="G3" s="723"/>
      <c r="H3" s="723"/>
      <c r="I3" s="723"/>
      <c r="J3" s="723"/>
      <c r="K3" s="723"/>
      <c r="L3" s="723"/>
      <c r="M3" s="723"/>
      <c r="N3" s="723"/>
      <c r="O3" s="723"/>
      <c r="P3" s="723"/>
    </row>
    <row r="4" spans="1:16" ht="17.25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</row>
    <row r="5" spans="1:16" ht="21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7" t="s">
        <v>32</v>
      </c>
      <c r="O5" s="152" t="s">
        <v>4</v>
      </c>
      <c r="P5" s="41"/>
    </row>
    <row r="6" spans="1:16" ht="21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7" t="s">
        <v>33</v>
      </c>
      <c r="O6" s="180" t="s">
        <v>6</v>
      </c>
      <c r="P6" s="41" t="s">
        <v>7</v>
      </c>
    </row>
    <row r="7" spans="1:16" ht="21" customHeight="1">
      <c r="A7" s="39" t="s">
        <v>34</v>
      </c>
      <c r="B7" s="45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1"/>
    </row>
    <row r="8" spans="1:16" ht="21" customHeight="1">
      <c r="A8" s="46"/>
      <c r="B8" s="39" t="s">
        <v>149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1"/>
    </row>
    <row r="9" spans="1:16" ht="21" customHeight="1">
      <c r="A9" s="46"/>
      <c r="B9" s="45"/>
      <c r="C9" s="39" t="s">
        <v>171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1"/>
    </row>
    <row r="10" spans="1:16" ht="21" customHeight="1">
      <c r="A10" s="46"/>
      <c r="B10" s="46"/>
      <c r="C10" s="790" t="s">
        <v>151</v>
      </c>
      <c r="D10" s="153"/>
      <c r="E10" s="154" t="s">
        <v>152</v>
      </c>
      <c r="F10" s="154" t="s">
        <v>153</v>
      </c>
      <c r="G10" s="154" t="s">
        <v>14</v>
      </c>
      <c r="H10" s="155" t="s">
        <v>154</v>
      </c>
      <c r="I10" s="156" t="s">
        <v>155</v>
      </c>
      <c r="J10" s="154" t="s">
        <v>156</v>
      </c>
      <c r="K10" s="154" t="s">
        <v>157</v>
      </c>
      <c r="L10" s="154" t="s">
        <v>158</v>
      </c>
      <c r="M10" s="154" t="s">
        <v>159</v>
      </c>
      <c r="N10" s="154" t="s">
        <v>14</v>
      </c>
      <c r="O10" s="157" t="s">
        <v>109</v>
      </c>
      <c r="P10" s="46"/>
    </row>
    <row r="11" spans="1:16" ht="21" customHeight="1">
      <c r="A11" s="46"/>
      <c r="B11" s="46"/>
      <c r="C11" s="791"/>
      <c r="D11" s="158" t="s">
        <v>160</v>
      </c>
      <c r="E11" s="159">
        <v>1</v>
      </c>
      <c r="F11" s="159">
        <v>1</v>
      </c>
      <c r="G11" s="160">
        <v>2</v>
      </c>
      <c r="H11" s="173"/>
      <c r="I11" s="159">
        <v>1</v>
      </c>
      <c r="J11" s="159">
        <v>0</v>
      </c>
      <c r="K11" s="159">
        <v>2</v>
      </c>
      <c r="L11" s="159">
        <v>2</v>
      </c>
      <c r="M11" s="159">
        <v>1</v>
      </c>
      <c r="N11" s="162">
        <v>6</v>
      </c>
      <c r="O11" s="163">
        <v>8</v>
      </c>
      <c r="P11" s="46"/>
    </row>
    <row r="12" spans="1:16" ht="21" customHeight="1">
      <c r="A12" s="164"/>
      <c r="B12" s="165"/>
      <c r="C12" s="791"/>
      <c r="D12" s="166" t="s">
        <v>161</v>
      </c>
      <c r="E12" s="167">
        <v>1</v>
      </c>
      <c r="F12" s="167">
        <v>0</v>
      </c>
      <c r="G12" s="162">
        <v>1</v>
      </c>
      <c r="H12" s="168"/>
      <c r="I12" s="167">
        <v>0</v>
      </c>
      <c r="J12" s="167">
        <v>0</v>
      </c>
      <c r="K12" s="167">
        <v>0</v>
      </c>
      <c r="L12" s="167">
        <v>0</v>
      </c>
      <c r="M12" s="167">
        <v>0</v>
      </c>
      <c r="N12" s="162">
        <v>0</v>
      </c>
      <c r="O12" s="163">
        <v>1</v>
      </c>
      <c r="P12" s="46"/>
    </row>
    <row r="13" spans="1:16" ht="21" customHeight="1">
      <c r="A13" s="164"/>
      <c r="B13" s="165"/>
      <c r="C13" s="791"/>
      <c r="D13" s="169" t="s">
        <v>162</v>
      </c>
      <c r="E13" s="167">
        <v>0</v>
      </c>
      <c r="F13" s="167">
        <v>1</v>
      </c>
      <c r="G13" s="162">
        <v>1</v>
      </c>
      <c r="H13" s="168"/>
      <c r="I13" s="167">
        <v>0</v>
      </c>
      <c r="J13" s="167">
        <v>0</v>
      </c>
      <c r="K13" s="167">
        <v>0</v>
      </c>
      <c r="L13" s="167">
        <v>1</v>
      </c>
      <c r="M13" s="167">
        <v>0</v>
      </c>
      <c r="N13" s="162">
        <v>1</v>
      </c>
      <c r="O13" s="163">
        <v>2</v>
      </c>
      <c r="P13" s="46"/>
    </row>
    <row r="14" spans="1:16" ht="21" customHeight="1">
      <c r="A14" s="164"/>
      <c r="B14" s="165"/>
      <c r="C14" s="791"/>
      <c r="D14" s="169" t="s">
        <v>163</v>
      </c>
      <c r="E14" s="167">
        <v>0</v>
      </c>
      <c r="F14" s="167">
        <v>0</v>
      </c>
      <c r="G14" s="162">
        <v>0</v>
      </c>
      <c r="H14" s="168"/>
      <c r="I14" s="167">
        <v>0</v>
      </c>
      <c r="J14" s="167">
        <v>0</v>
      </c>
      <c r="K14" s="167">
        <v>0</v>
      </c>
      <c r="L14" s="167">
        <v>1</v>
      </c>
      <c r="M14" s="167">
        <v>0</v>
      </c>
      <c r="N14" s="162">
        <v>1</v>
      </c>
      <c r="O14" s="163">
        <v>1</v>
      </c>
      <c r="P14" s="46"/>
    </row>
    <row r="15" spans="1:16" ht="21" customHeight="1">
      <c r="A15" s="46"/>
      <c r="B15" s="46"/>
      <c r="C15" s="791"/>
      <c r="D15" s="169" t="s">
        <v>164</v>
      </c>
      <c r="E15" s="167">
        <v>0</v>
      </c>
      <c r="F15" s="167">
        <v>0</v>
      </c>
      <c r="G15" s="162">
        <v>0</v>
      </c>
      <c r="H15" s="168"/>
      <c r="I15" s="167">
        <v>1</v>
      </c>
      <c r="J15" s="167">
        <v>0</v>
      </c>
      <c r="K15" s="167">
        <v>1</v>
      </c>
      <c r="L15" s="167">
        <v>0</v>
      </c>
      <c r="M15" s="167">
        <v>1</v>
      </c>
      <c r="N15" s="162">
        <v>3</v>
      </c>
      <c r="O15" s="163">
        <v>3</v>
      </c>
      <c r="P15" s="46"/>
    </row>
    <row r="16" spans="1:16" ht="21" customHeight="1">
      <c r="A16" s="46"/>
      <c r="B16" s="46"/>
      <c r="C16" s="791"/>
      <c r="D16" s="169" t="s">
        <v>165</v>
      </c>
      <c r="E16" s="167">
        <v>0</v>
      </c>
      <c r="F16" s="167">
        <v>0</v>
      </c>
      <c r="G16" s="162">
        <v>0</v>
      </c>
      <c r="H16" s="168"/>
      <c r="I16" s="167">
        <v>0</v>
      </c>
      <c r="J16" s="167">
        <v>0</v>
      </c>
      <c r="K16" s="167">
        <v>1</v>
      </c>
      <c r="L16" s="167">
        <v>0</v>
      </c>
      <c r="M16" s="167">
        <v>0</v>
      </c>
      <c r="N16" s="162">
        <v>1</v>
      </c>
      <c r="O16" s="163">
        <v>1</v>
      </c>
      <c r="P16" s="46"/>
    </row>
    <row r="17" spans="1:16" ht="21" customHeight="1">
      <c r="A17" s="46"/>
      <c r="B17" s="46"/>
      <c r="C17" s="791"/>
      <c r="D17" s="169" t="s">
        <v>166</v>
      </c>
      <c r="E17" s="167">
        <v>0</v>
      </c>
      <c r="F17" s="167">
        <v>0</v>
      </c>
      <c r="G17" s="162">
        <v>0</v>
      </c>
      <c r="H17" s="168"/>
      <c r="I17" s="167">
        <v>0</v>
      </c>
      <c r="J17" s="167">
        <v>0</v>
      </c>
      <c r="K17" s="167">
        <v>0</v>
      </c>
      <c r="L17" s="167">
        <v>0</v>
      </c>
      <c r="M17" s="167">
        <v>0</v>
      </c>
      <c r="N17" s="162">
        <v>0</v>
      </c>
      <c r="O17" s="163">
        <v>0</v>
      </c>
      <c r="P17" s="46"/>
    </row>
    <row r="18" spans="1:16" ht="21" customHeight="1">
      <c r="A18" s="46"/>
      <c r="B18" s="46"/>
      <c r="C18" s="791"/>
      <c r="D18" s="158" t="s">
        <v>167</v>
      </c>
      <c r="E18" s="167">
        <v>0</v>
      </c>
      <c r="F18" s="167">
        <v>0</v>
      </c>
      <c r="G18" s="162">
        <v>0</v>
      </c>
      <c r="H18" s="168"/>
      <c r="I18" s="167">
        <v>0</v>
      </c>
      <c r="J18" s="167">
        <v>0</v>
      </c>
      <c r="K18" s="167">
        <v>0</v>
      </c>
      <c r="L18" s="167">
        <v>0</v>
      </c>
      <c r="M18" s="167">
        <v>0</v>
      </c>
      <c r="N18" s="162">
        <v>0</v>
      </c>
      <c r="O18" s="163">
        <v>0</v>
      </c>
      <c r="P18" s="46"/>
    </row>
    <row r="19" spans="1:16" ht="21" customHeight="1">
      <c r="A19" s="46"/>
      <c r="B19" s="46"/>
      <c r="C19" s="792"/>
      <c r="D19" s="170" t="s">
        <v>168</v>
      </c>
      <c r="E19" s="159">
        <v>1</v>
      </c>
      <c r="F19" s="159">
        <v>1</v>
      </c>
      <c r="G19" s="162">
        <v>2</v>
      </c>
      <c r="H19" s="174"/>
      <c r="I19" s="159">
        <v>1</v>
      </c>
      <c r="J19" s="159">
        <v>0</v>
      </c>
      <c r="K19" s="159">
        <v>2</v>
      </c>
      <c r="L19" s="159">
        <v>2</v>
      </c>
      <c r="M19" s="159">
        <v>1</v>
      </c>
      <c r="N19" s="162">
        <v>6</v>
      </c>
      <c r="O19" s="171">
        <v>8</v>
      </c>
      <c r="P19" s="46"/>
    </row>
    <row r="20" spans="1:16" ht="21" customHeight="1">
      <c r="A20" s="164"/>
      <c r="B20" s="165"/>
      <c r="C20" s="790" t="s">
        <v>169</v>
      </c>
      <c r="D20" s="153"/>
      <c r="E20" s="154" t="s">
        <v>152</v>
      </c>
      <c r="F20" s="154" t="s">
        <v>153</v>
      </c>
      <c r="G20" s="154" t="s">
        <v>14</v>
      </c>
      <c r="H20" s="155" t="s">
        <v>154</v>
      </c>
      <c r="I20" s="156" t="s">
        <v>155</v>
      </c>
      <c r="J20" s="154" t="s">
        <v>156</v>
      </c>
      <c r="K20" s="154" t="s">
        <v>157</v>
      </c>
      <c r="L20" s="154" t="s">
        <v>158</v>
      </c>
      <c r="M20" s="154" t="s">
        <v>159</v>
      </c>
      <c r="N20" s="154" t="s">
        <v>14</v>
      </c>
      <c r="O20" s="172" t="s">
        <v>109</v>
      </c>
      <c r="P20" s="46"/>
    </row>
    <row r="21" spans="1:16" ht="21" customHeight="1">
      <c r="A21" s="164"/>
      <c r="B21" s="165"/>
      <c r="C21" s="791"/>
      <c r="D21" s="158" t="s">
        <v>160</v>
      </c>
      <c r="E21" s="159">
        <v>0</v>
      </c>
      <c r="F21" s="159">
        <v>1</v>
      </c>
      <c r="G21" s="160">
        <v>1</v>
      </c>
      <c r="H21" s="173"/>
      <c r="I21" s="159">
        <v>0</v>
      </c>
      <c r="J21" s="159">
        <v>0</v>
      </c>
      <c r="K21" s="159">
        <v>0</v>
      </c>
      <c r="L21" s="159">
        <v>1</v>
      </c>
      <c r="M21" s="159">
        <v>0</v>
      </c>
      <c r="N21" s="162">
        <v>1</v>
      </c>
      <c r="O21" s="163">
        <v>2</v>
      </c>
      <c r="P21" s="46"/>
    </row>
    <row r="22" spans="1:16" ht="21" customHeight="1">
      <c r="A22" s="46"/>
      <c r="B22" s="46"/>
      <c r="C22" s="791"/>
      <c r="D22" s="166" t="s">
        <v>161</v>
      </c>
      <c r="E22" s="167">
        <v>0</v>
      </c>
      <c r="F22" s="167">
        <v>0</v>
      </c>
      <c r="G22" s="162">
        <v>0</v>
      </c>
      <c r="H22" s="168"/>
      <c r="I22" s="167">
        <v>0</v>
      </c>
      <c r="J22" s="167">
        <v>0</v>
      </c>
      <c r="K22" s="167">
        <v>0</v>
      </c>
      <c r="L22" s="167">
        <v>0</v>
      </c>
      <c r="M22" s="167">
        <v>0</v>
      </c>
      <c r="N22" s="162">
        <v>0</v>
      </c>
      <c r="O22" s="163">
        <v>0</v>
      </c>
      <c r="P22" s="46"/>
    </row>
    <row r="23" spans="1:16" ht="21" customHeight="1">
      <c r="A23" s="46"/>
      <c r="B23" s="46"/>
      <c r="C23" s="791"/>
      <c r="D23" s="169" t="s">
        <v>162</v>
      </c>
      <c r="E23" s="167">
        <v>0</v>
      </c>
      <c r="F23" s="167">
        <v>0</v>
      </c>
      <c r="G23" s="162">
        <v>0</v>
      </c>
      <c r="H23" s="168"/>
      <c r="I23" s="167">
        <v>0</v>
      </c>
      <c r="J23" s="167">
        <v>0</v>
      </c>
      <c r="K23" s="167">
        <v>0</v>
      </c>
      <c r="L23" s="167">
        <v>0</v>
      </c>
      <c r="M23" s="167">
        <v>0</v>
      </c>
      <c r="N23" s="162">
        <v>0</v>
      </c>
      <c r="O23" s="163">
        <v>0</v>
      </c>
      <c r="P23" s="46"/>
    </row>
    <row r="24" spans="1:16" ht="21" customHeight="1">
      <c r="A24" s="46"/>
      <c r="B24" s="46"/>
      <c r="C24" s="791"/>
      <c r="D24" s="169" t="s">
        <v>163</v>
      </c>
      <c r="E24" s="167">
        <v>0</v>
      </c>
      <c r="F24" s="167">
        <v>1</v>
      </c>
      <c r="G24" s="162">
        <v>1</v>
      </c>
      <c r="H24" s="168"/>
      <c r="I24" s="167">
        <v>0</v>
      </c>
      <c r="J24" s="167">
        <v>0</v>
      </c>
      <c r="K24" s="167">
        <v>0</v>
      </c>
      <c r="L24" s="167">
        <v>0</v>
      </c>
      <c r="M24" s="167">
        <v>0</v>
      </c>
      <c r="N24" s="162">
        <v>0</v>
      </c>
      <c r="O24" s="163">
        <v>1</v>
      </c>
      <c r="P24" s="46"/>
    </row>
    <row r="25" spans="1:16" ht="21" customHeight="1">
      <c r="A25" s="46"/>
      <c r="B25" s="46"/>
      <c r="C25" s="791"/>
      <c r="D25" s="169" t="s">
        <v>164</v>
      </c>
      <c r="E25" s="167">
        <v>0</v>
      </c>
      <c r="F25" s="167">
        <v>0</v>
      </c>
      <c r="G25" s="162">
        <v>0</v>
      </c>
      <c r="H25" s="168"/>
      <c r="I25" s="167">
        <v>0</v>
      </c>
      <c r="J25" s="167">
        <v>0</v>
      </c>
      <c r="K25" s="167">
        <v>0</v>
      </c>
      <c r="L25" s="167">
        <v>0</v>
      </c>
      <c r="M25" s="167">
        <v>0</v>
      </c>
      <c r="N25" s="162">
        <v>0</v>
      </c>
      <c r="O25" s="163">
        <v>0</v>
      </c>
      <c r="P25" s="46"/>
    </row>
    <row r="26" spans="1:16" ht="21" customHeight="1">
      <c r="A26" s="46"/>
      <c r="B26" s="46"/>
      <c r="C26" s="791"/>
      <c r="D26" s="169" t="s">
        <v>165</v>
      </c>
      <c r="E26" s="167">
        <v>0</v>
      </c>
      <c r="F26" s="167">
        <v>0</v>
      </c>
      <c r="G26" s="162">
        <v>0</v>
      </c>
      <c r="H26" s="168"/>
      <c r="I26" s="167">
        <v>0</v>
      </c>
      <c r="J26" s="167">
        <v>0</v>
      </c>
      <c r="K26" s="167">
        <v>0</v>
      </c>
      <c r="L26" s="167">
        <v>1</v>
      </c>
      <c r="M26" s="167">
        <v>0</v>
      </c>
      <c r="N26" s="162">
        <v>1</v>
      </c>
      <c r="O26" s="163">
        <v>1</v>
      </c>
      <c r="P26" s="46"/>
    </row>
    <row r="27" spans="1:16" ht="21" customHeight="1">
      <c r="A27" s="46"/>
      <c r="B27" s="46"/>
      <c r="C27" s="791"/>
      <c r="D27" s="169" t="s">
        <v>166</v>
      </c>
      <c r="E27" s="167">
        <v>0</v>
      </c>
      <c r="F27" s="167">
        <v>0</v>
      </c>
      <c r="G27" s="162">
        <v>0</v>
      </c>
      <c r="H27" s="168"/>
      <c r="I27" s="167">
        <v>0</v>
      </c>
      <c r="J27" s="167">
        <v>0</v>
      </c>
      <c r="K27" s="167">
        <v>0</v>
      </c>
      <c r="L27" s="167">
        <v>0</v>
      </c>
      <c r="M27" s="167">
        <v>0</v>
      </c>
      <c r="N27" s="162">
        <v>0</v>
      </c>
      <c r="O27" s="163">
        <v>0</v>
      </c>
      <c r="P27" s="46"/>
    </row>
    <row r="28" spans="1:16" ht="21" customHeight="1">
      <c r="A28" s="46"/>
      <c r="B28" s="46"/>
      <c r="C28" s="791"/>
      <c r="D28" s="158" t="s">
        <v>167</v>
      </c>
      <c r="E28" s="167">
        <v>0</v>
      </c>
      <c r="F28" s="167">
        <v>0</v>
      </c>
      <c r="G28" s="162">
        <v>0</v>
      </c>
      <c r="H28" s="168"/>
      <c r="I28" s="167">
        <v>0</v>
      </c>
      <c r="J28" s="167">
        <v>0</v>
      </c>
      <c r="K28" s="167">
        <v>0</v>
      </c>
      <c r="L28" s="167">
        <v>0</v>
      </c>
      <c r="M28" s="167">
        <v>0</v>
      </c>
      <c r="N28" s="162">
        <v>0</v>
      </c>
      <c r="O28" s="163">
        <v>0</v>
      </c>
      <c r="P28" s="46"/>
    </row>
    <row r="29" spans="1:16" ht="21" customHeight="1">
      <c r="A29" s="164"/>
      <c r="B29" s="165"/>
      <c r="C29" s="792"/>
      <c r="D29" s="170" t="s">
        <v>168</v>
      </c>
      <c r="E29" s="159">
        <v>0</v>
      </c>
      <c r="F29" s="159">
        <v>1</v>
      </c>
      <c r="G29" s="162">
        <v>1</v>
      </c>
      <c r="H29" s="174"/>
      <c r="I29" s="159">
        <v>0</v>
      </c>
      <c r="J29" s="159">
        <v>0</v>
      </c>
      <c r="K29" s="159">
        <v>0</v>
      </c>
      <c r="L29" s="159">
        <v>1</v>
      </c>
      <c r="M29" s="159">
        <v>0</v>
      </c>
      <c r="N29" s="162">
        <v>1</v>
      </c>
      <c r="O29" s="171">
        <v>2</v>
      </c>
      <c r="P29" s="46"/>
    </row>
    <row r="30" spans="1:16" ht="21" customHeight="1">
      <c r="A30" s="164"/>
      <c r="B30" s="165"/>
      <c r="C30" s="790" t="s">
        <v>14</v>
      </c>
      <c r="D30" s="153"/>
      <c r="E30" s="154" t="s">
        <v>152</v>
      </c>
      <c r="F30" s="154" t="s">
        <v>153</v>
      </c>
      <c r="G30" s="154" t="s">
        <v>14</v>
      </c>
      <c r="H30" s="155" t="s">
        <v>154</v>
      </c>
      <c r="I30" s="156" t="s">
        <v>155</v>
      </c>
      <c r="J30" s="154" t="s">
        <v>156</v>
      </c>
      <c r="K30" s="154" t="s">
        <v>157</v>
      </c>
      <c r="L30" s="154" t="s">
        <v>158</v>
      </c>
      <c r="M30" s="154" t="s">
        <v>159</v>
      </c>
      <c r="N30" s="154" t="s">
        <v>14</v>
      </c>
      <c r="O30" s="172" t="s">
        <v>109</v>
      </c>
      <c r="P30" s="46"/>
    </row>
    <row r="31" spans="1:16" ht="21" customHeight="1">
      <c r="A31" s="46"/>
      <c r="B31" s="46"/>
      <c r="C31" s="791"/>
      <c r="D31" s="158" t="s">
        <v>160</v>
      </c>
      <c r="E31" s="159">
        <v>1</v>
      </c>
      <c r="F31" s="159">
        <v>2</v>
      </c>
      <c r="G31" s="160">
        <v>3</v>
      </c>
      <c r="H31" s="182"/>
      <c r="I31" s="159">
        <v>1</v>
      </c>
      <c r="J31" s="159">
        <v>0</v>
      </c>
      <c r="K31" s="159">
        <v>2</v>
      </c>
      <c r="L31" s="159">
        <v>3</v>
      </c>
      <c r="M31" s="159">
        <v>1</v>
      </c>
      <c r="N31" s="162">
        <v>7</v>
      </c>
      <c r="O31" s="163">
        <v>10</v>
      </c>
      <c r="P31" s="46"/>
    </row>
    <row r="32" spans="1:16" ht="21" customHeight="1">
      <c r="A32" s="164"/>
      <c r="B32" s="165"/>
      <c r="C32" s="791"/>
      <c r="D32" s="166" t="s">
        <v>161</v>
      </c>
      <c r="E32" s="159">
        <v>1</v>
      </c>
      <c r="F32" s="159">
        <v>0</v>
      </c>
      <c r="G32" s="160">
        <v>1</v>
      </c>
      <c r="H32" s="182"/>
      <c r="I32" s="159">
        <v>0</v>
      </c>
      <c r="J32" s="159">
        <v>0</v>
      </c>
      <c r="K32" s="159">
        <v>0</v>
      </c>
      <c r="L32" s="159">
        <v>0</v>
      </c>
      <c r="M32" s="159">
        <v>0</v>
      </c>
      <c r="N32" s="162">
        <v>0</v>
      </c>
      <c r="O32" s="163">
        <v>1</v>
      </c>
      <c r="P32" s="46"/>
    </row>
    <row r="33" spans="1:16" ht="21" customHeight="1">
      <c r="A33" s="164"/>
      <c r="B33" s="165"/>
      <c r="C33" s="791"/>
      <c r="D33" s="169" t="s">
        <v>162</v>
      </c>
      <c r="E33" s="159">
        <v>0</v>
      </c>
      <c r="F33" s="159">
        <v>1</v>
      </c>
      <c r="G33" s="160">
        <v>1</v>
      </c>
      <c r="H33" s="182"/>
      <c r="I33" s="159">
        <v>0</v>
      </c>
      <c r="J33" s="159">
        <v>0</v>
      </c>
      <c r="K33" s="159">
        <v>0</v>
      </c>
      <c r="L33" s="159">
        <v>1</v>
      </c>
      <c r="M33" s="159">
        <v>0</v>
      </c>
      <c r="N33" s="162">
        <v>1</v>
      </c>
      <c r="O33" s="163">
        <v>2</v>
      </c>
      <c r="P33" s="46"/>
    </row>
    <row r="34" spans="1:16" ht="21" customHeight="1">
      <c r="A34" s="46"/>
      <c r="B34" s="46"/>
      <c r="C34" s="791"/>
      <c r="D34" s="169" t="s">
        <v>163</v>
      </c>
      <c r="E34" s="159">
        <v>0</v>
      </c>
      <c r="F34" s="159">
        <v>1</v>
      </c>
      <c r="G34" s="160">
        <v>1</v>
      </c>
      <c r="H34" s="182"/>
      <c r="I34" s="159">
        <v>0</v>
      </c>
      <c r="J34" s="159">
        <v>0</v>
      </c>
      <c r="K34" s="159">
        <v>0</v>
      </c>
      <c r="L34" s="159">
        <v>1</v>
      </c>
      <c r="M34" s="159">
        <v>0</v>
      </c>
      <c r="N34" s="162">
        <v>1</v>
      </c>
      <c r="O34" s="163">
        <v>2</v>
      </c>
      <c r="P34" s="46"/>
    </row>
    <row r="35" spans="1:16" ht="21" customHeight="1">
      <c r="A35" s="164"/>
      <c r="B35" s="165"/>
      <c r="C35" s="791"/>
      <c r="D35" s="169" t="s">
        <v>164</v>
      </c>
      <c r="E35" s="159">
        <v>0</v>
      </c>
      <c r="F35" s="159">
        <v>0</v>
      </c>
      <c r="G35" s="160">
        <v>0</v>
      </c>
      <c r="H35" s="182"/>
      <c r="I35" s="159">
        <v>1</v>
      </c>
      <c r="J35" s="159">
        <v>0</v>
      </c>
      <c r="K35" s="159">
        <v>1</v>
      </c>
      <c r="L35" s="159">
        <v>0</v>
      </c>
      <c r="M35" s="159">
        <v>1</v>
      </c>
      <c r="N35" s="162">
        <v>3</v>
      </c>
      <c r="O35" s="163">
        <v>3</v>
      </c>
      <c r="P35" s="46"/>
    </row>
    <row r="36" spans="1:16" ht="21" customHeight="1">
      <c r="A36" s="164"/>
      <c r="B36" s="165"/>
      <c r="C36" s="791"/>
      <c r="D36" s="169" t="s">
        <v>165</v>
      </c>
      <c r="E36" s="159">
        <v>0</v>
      </c>
      <c r="F36" s="159">
        <v>0</v>
      </c>
      <c r="G36" s="160">
        <v>0</v>
      </c>
      <c r="H36" s="182"/>
      <c r="I36" s="159">
        <v>0</v>
      </c>
      <c r="J36" s="159">
        <v>0</v>
      </c>
      <c r="K36" s="159">
        <v>1</v>
      </c>
      <c r="L36" s="159">
        <v>1</v>
      </c>
      <c r="M36" s="159">
        <v>0</v>
      </c>
      <c r="N36" s="162">
        <v>2</v>
      </c>
      <c r="O36" s="163">
        <v>2</v>
      </c>
      <c r="P36" s="46"/>
    </row>
    <row r="37" spans="1:16" ht="21" customHeight="1">
      <c r="A37" s="164"/>
      <c r="B37" s="165"/>
      <c r="C37" s="791"/>
      <c r="D37" s="169" t="s">
        <v>166</v>
      </c>
      <c r="E37" s="159">
        <v>0</v>
      </c>
      <c r="F37" s="159">
        <v>0</v>
      </c>
      <c r="G37" s="160">
        <v>0</v>
      </c>
      <c r="H37" s="182"/>
      <c r="I37" s="159">
        <v>0</v>
      </c>
      <c r="J37" s="159">
        <v>0</v>
      </c>
      <c r="K37" s="159">
        <v>0</v>
      </c>
      <c r="L37" s="159">
        <v>0</v>
      </c>
      <c r="M37" s="159">
        <v>0</v>
      </c>
      <c r="N37" s="162">
        <v>0</v>
      </c>
      <c r="O37" s="163">
        <v>0</v>
      </c>
      <c r="P37" s="46"/>
    </row>
    <row r="38" spans="1:16" ht="21" customHeight="1">
      <c r="A38" s="164"/>
      <c r="B38" s="165"/>
      <c r="C38" s="791"/>
      <c r="D38" s="158" t="s">
        <v>167</v>
      </c>
      <c r="E38" s="159">
        <v>0</v>
      </c>
      <c r="F38" s="159">
        <v>0</v>
      </c>
      <c r="G38" s="160">
        <v>0</v>
      </c>
      <c r="H38" s="182"/>
      <c r="I38" s="159">
        <v>0</v>
      </c>
      <c r="J38" s="159">
        <v>0</v>
      </c>
      <c r="K38" s="159">
        <v>0</v>
      </c>
      <c r="L38" s="159">
        <v>0</v>
      </c>
      <c r="M38" s="159">
        <v>0</v>
      </c>
      <c r="N38" s="162">
        <v>0</v>
      </c>
      <c r="O38" s="163">
        <v>0</v>
      </c>
      <c r="P38" s="46"/>
    </row>
    <row r="39" spans="1:16" ht="21" customHeight="1">
      <c r="A39" s="164"/>
      <c r="B39" s="165"/>
      <c r="C39" s="792"/>
      <c r="D39" s="170" t="s">
        <v>168</v>
      </c>
      <c r="E39" s="120">
        <v>1</v>
      </c>
      <c r="F39" s="120">
        <v>2</v>
      </c>
      <c r="G39" s="176">
        <v>3</v>
      </c>
      <c r="H39" s="183"/>
      <c r="I39" s="120">
        <v>1</v>
      </c>
      <c r="J39" s="120">
        <v>0</v>
      </c>
      <c r="K39" s="120">
        <v>2</v>
      </c>
      <c r="L39" s="120">
        <v>3</v>
      </c>
      <c r="M39" s="120">
        <v>1</v>
      </c>
      <c r="N39" s="178">
        <v>7</v>
      </c>
      <c r="O39" s="171">
        <v>10</v>
      </c>
      <c r="P39" s="46"/>
    </row>
    <row r="40" spans="1:16" ht="21" customHeight="1">
      <c r="A40" s="164"/>
      <c r="B40" s="165"/>
      <c r="C40" s="181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</row>
    <row r="41" spans="1:16" ht="12" customHeight="1">
      <c r="A41" s="164"/>
      <c r="B41" s="165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</row>
  </sheetData>
  <sheetProtection selectLockedCells="1" selectUnlockedCells="1"/>
  <mergeCells count="5">
    <mergeCell ref="A3:P3"/>
    <mergeCell ref="A4:P4"/>
    <mergeCell ref="C10:C19"/>
    <mergeCell ref="C20:C29"/>
    <mergeCell ref="C30:C39"/>
  </mergeCells>
  <phoneticPr fontId="3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8"/>
  <sheetViews>
    <sheetView showGridLines="0" workbookViewId="0"/>
  </sheetViews>
  <sheetFormatPr defaultColWidth="9" defaultRowHeight="12" customHeight="1"/>
  <cols>
    <col min="1" max="1" width="2.77734375" customWidth="1"/>
    <col min="2" max="2" width="2.33203125" customWidth="1"/>
    <col min="3" max="3" width="20.77734375" customWidth="1"/>
    <col min="4" max="14" width="14.44140625" customWidth="1"/>
    <col min="15" max="15" width="4" customWidth="1"/>
  </cols>
  <sheetData>
    <row r="1" spans="1:15" ht="21" customHeight="1">
      <c r="A1" s="51" t="s">
        <v>172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2"/>
    </row>
    <row r="2" spans="1:15" ht="21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2"/>
    </row>
    <row r="3" spans="1:15" ht="21" customHeight="1">
      <c r="A3" s="793" t="s">
        <v>1</v>
      </c>
      <c r="B3" s="793"/>
      <c r="C3" s="793"/>
      <c r="D3" s="793"/>
      <c r="E3" s="793"/>
      <c r="F3" s="793"/>
      <c r="G3" s="793"/>
      <c r="H3" s="793"/>
      <c r="I3" s="793"/>
      <c r="J3" s="793"/>
      <c r="K3" s="793"/>
      <c r="L3" s="793"/>
      <c r="M3" s="793"/>
      <c r="N3" s="793"/>
      <c r="O3" s="793"/>
    </row>
    <row r="4" spans="1:15" ht="21" customHeight="1">
      <c r="A4" s="793" t="s">
        <v>2</v>
      </c>
      <c r="B4" s="794"/>
      <c r="C4" s="794"/>
      <c r="D4" s="794"/>
      <c r="E4" s="794"/>
      <c r="F4" s="794"/>
      <c r="G4" s="794"/>
      <c r="H4" s="794"/>
      <c r="I4" s="794"/>
      <c r="J4" s="794"/>
      <c r="K4" s="794"/>
      <c r="L4" s="794"/>
      <c r="M4" s="794"/>
      <c r="N4" s="794"/>
      <c r="O4" s="794"/>
    </row>
    <row r="5" spans="1:15" ht="21" customHeight="1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184" t="s">
        <v>3</v>
      </c>
      <c r="N5" s="185" t="s">
        <v>4</v>
      </c>
    </row>
    <row r="6" spans="1:15" ht="21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186" t="s">
        <v>5</v>
      </c>
      <c r="N6" s="187" t="s">
        <v>6</v>
      </c>
      <c r="O6" t="s">
        <v>7</v>
      </c>
    </row>
    <row r="7" spans="1:15" ht="21" customHeight="1">
      <c r="A7" s="41"/>
      <c r="B7" s="39" t="s">
        <v>111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1:15" ht="21" customHeight="1">
      <c r="A8" s="41"/>
      <c r="B8" s="39" t="s">
        <v>173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21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189"/>
    </row>
    <row r="10" spans="1:15" ht="21" customHeight="1">
      <c r="A10" s="46"/>
      <c r="B10" s="46"/>
      <c r="C10" s="193"/>
      <c r="D10" s="194" t="s">
        <v>152</v>
      </c>
      <c r="E10" s="194" t="s">
        <v>153</v>
      </c>
      <c r="F10" s="194" t="s">
        <v>14</v>
      </c>
      <c r="G10" s="195" t="s">
        <v>154</v>
      </c>
      <c r="H10" s="196" t="s">
        <v>155</v>
      </c>
      <c r="I10" s="194" t="s">
        <v>156</v>
      </c>
      <c r="J10" s="194" t="s">
        <v>157</v>
      </c>
      <c r="K10" s="194" t="s">
        <v>158</v>
      </c>
      <c r="L10" s="194" t="s">
        <v>159</v>
      </c>
      <c r="M10" s="194" t="s">
        <v>14</v>
      </c>
      <c r="N10" s="197" t="s">
        <v>109</v>
      </c>
      <c r="O10" s="198"/>
    </row>
    <row r="11" spans="1:15" ht="21" customHeight="1">
      <c r="A11" s="164"/>
      <c r="B11" s="165"/>
      <c r="C11" s="199" t="s">
        <v>142</v>
      </c>
      <c r="D11" s="200">
        <v>184</v>
      </c>
      <c r="E11" s="200">
        <v>521</v>
      </c>
      <c r="F11" s="201">
        <v>705</v>
      </c>
      <c r="G11" s="202"/>
      <c r="H11" s="200">
        <v>436</v>
      </c>
      <c r="I11" s="200">
        <v>878</v>
      </c>
      <c r="J11" s="200">
        <v>696</v>
      </c>
      <c r="K11" s="200">
        <v>267</v>
      </c>
      <c r="L11" s="200">
        <v>114</v>
      </c>
      <c r="M11" s="201">
        <v>2391</v>
      </c>
      <c r="N11" s="203">
        <v>3096</v>
      </c>
      <c r="O11" s="198"/>
    </row>
    <row r="12" spans="1:15" ht="21" customHeight="1">
      <c r="A12" s="164"/>
      <c r="B12" s="165"/>
      <c r="C12" s="199" t="s">
        <v>143</v>
      </c>
      <c r="D12" s="200">
        <v>0</v>
      </c>
      <c r="E12" s="200">
        <v>14</v>
      </c>
      <c r="F12" s="201">
        <v>14</v>
      </c>
      <c r="G12" s="202"/>
      <c r="H12" s="200">
        <v>2</v>
      </c>
      <c r="I12" s="200">
        <v>15</v>
      </c>
      <c r="J12" s="200">
        <v>4</v>
      </c>
      <c r="K12" s="200">
        <v>0</v>
      </c>
      <c r="L12" s="200">
        <v>12</v>
      </c>
      <c r="M12" s="201">
        <v>33</v>
      </c>
      <c r="N12" s="204">
        <v>47</v>
      </c>
      <c r="O12" s="198"/>
    </row>
    <row r="13" spans="1:15" ht="21" customHeight="1">
      <c r="A13" s="164"/>
      <c r="B13" s="165"/>
      <c r="C13" s="205" t="s">
        <v>168</v>
      </c>
      <c r="D13" s="206">
        <v>184</v>
      </c>
      <c r="E13" s="206">
        <v>535</v>
      </c>
      <c r="F13" s="207">
        <v>719</v>
      </c>
      <c r="G13" s="208"/>
      <c r="H13" s="209">
        <v>438</v>
      </c>
      <c r="I13" s="209">
        <v>893</v>
      </c>
      <c r="J13" s="209">
        <v>700</v>
      </c>
      <c r="K13" s="209">
        <v>267</v>
      </c>
      <c r="L13" s="209">
        <v>126</v>
      </c>
      <c r="M13" s="207">
        <v>2424</v>
      </c>
      <c r="N13" s="210">
        <v>3143</v>
      </c>
      <c r="O13" s="198"/>
    </row>
    <row r="14" spans="1:15" ht="12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</row>
    <row r="15" spans="1:15" ht="21" customHeight="1">
      <c r="A15" s="211"/>
      <c r="B15" s="212" t="s">
        <v>174</v>
      </c>
      <c r="C15" s="213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</row>
    <row r="16" spans="1:15" ht="21" customHeight="1">
      <c r="A16" s="188"/>
      <c r="B16" s="189"/>
      <c r="C16" s="190"/>
      <c r="D16" s="191"/>
      <c r="E16" s="192"/>
      <c r="F16" s="192"/>
      <c r="G16" s="191"/>
      <c r="H16" s="192"/>
      <c r="I16" s="192"/>
      <c r="J16" s="192"/>
      <c r="K16" s="192"/>
      <c r="L16" s="192"/>
      <c r="M16" s="192"/>
      <c r="N16" s="191"/>
      <c r="O16" s="189"/>
    </row>
    <row r="17" spans="1:15" ht="21" customHeight="1">
      <c r="A17" s="46"/>
      <c r="B17" s="46"/>
      <c r="C17" s="193"/>
      <c r="D17" s="194" t="s">
        <v>152</v>
      </c>
      <c r="E17" s="194" t="s">
        <v>153</v>
      </c>
      <c r="F17" s="194" t="s">
        <v>14</v>
      </c>
      <c r="G17" s="195" t="s">
        <v>154</v>
      </c>
      <c r="H17" s="196" t="s">
        <v>155</v>
      </c>
      <c r="I17" s="194" t="s">
        <v>156</v>
      </c>
      <c r="J17" s="194" t="s">
        <v>157</v>
      </c>
      <c r="K17" s="194" t="s">
        <v>158</v>
      </c>
      <c r="L17" s="194" t="s">
        <v>159</v>
      </c>
      <c r="M17" s="214" t="s">
        <v>14</v>
      </c>
      <c r="N17" s="197" t="s">
        <v>109</v>
      </c>
      <c r="O17" s="198"/>
    </row>
    <row r="18" spans="1:15" ht="21" customHeight="1">
      <c r="A18" s="164"/>
      <c r="B18" s="165"/>
      <c r="C18" s="199" t="s">
        <v>142</v>
      </c>
      <c r="D18" s="200">
        <v>0</v>
      </c>
      <c r="E18" s="200">
        <v>17</v>
      </c>
      <c r="F18" s="201">
        <v>17</v>
      </c>
      <c r="G18" s="202"/>
      <c r="H18" s="200">
        <v>92</v>
      </c>
      <c r="I18" s="200">
        <v>119</v>
      </c>
      <c r="J18" s="200">
        <v>205</v>
      </c>
      <c r="K18" s="200">
        <v>132</v>
      </c>
      <c r="L18" s="200">
        <v>81</v>
      </c>
      <c r="M18" s="201">
        <v>629</v>
      </c>
      <c r="N18" s="203">
        <v>646</v>
      </c>
      <c r="O18" s="198"/>
    </row>
    <row r="19" spans="1:15" ht="21" customHeight="1">
      <c r="A19" s="164"/>
      <c r="B19" s="165"/>
      <c r="C19" s="199" t="s">
        <v>143</v>
      </c>
      <c r="D19" s="200">
        <v>0</v>
      </c>
      <c r="E19" s="200">
        <v>0</v>
      </c>
      <c r="F19" s="201">
        <v>0</v>
      </c>
      <c r="G19" s="202"/>
      <c r="H19" s="200">
        <v>0</v>
      </c>
      <c r="I19" s="200">
        <v>0</v>
      </c>
      <c r="J19" s="200">
        <v>0</v>
      </c>
      <c r="K19" s="200">
        <v>0</v>
      </c>
      <c r="L19" s="200">
        <v>0</v>
      </c>
      <c r="M19" s="201">
        <v>0</v>
      </c>
      <c r="N19" s="203">
        <v>0</v>
      </c>
      <c r="O19" s="198"/>
    </row>
    <row r="20" spans="1:15" ht="21" customHeight="1">
      <c r="A20" s="46"/>
      <c r="B20" s="46"/>
      <c r="C20" s="205" t="s">
        <v>168</v>
      </c>
      <c r="D20" s="206">
        <v>0</v>
      </c>
      <c r="E20" s="206">
        <v>17</v>
      </c>
      <c r="F20" s="206">
        <v>17</v>
      </c>
      <c r="G20" s="208"/>
      <c r="H20" s="206">
        <v>92</v>
      </c>
      <c r="I20" s="206">
        <v>119</v>
      </c>
      <c r="J20" s="206">
        <v>205</v>
      </c>
      <c r="K20" s="206">
        <v>132</v>
      </c>
      <c r="L20" s="206">
        <v>81</v>
      </c>
      <c r="M20" s="206">
        <v>629</v>
      </c>
      <c r="N20" s="215">
        <v>646</v>
      </c>
      <c r="O20" s="198"/>
    </row>
    <row r="21" spans="1:15" ht="12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</row>
    <row r="22" spans="1:15" ht="21" customHeight="1">
      <c r="A22" s="211"/>
      <c r="B22" s="212" t="s">
        <v>175</v>
      </c>
      <c r="C22" s="211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</row>
    <row r="23" spans="1:15" ht="21" customHeight="1">
      <c r="A23" s="188"/>
      <c r="B23" s="189"/>
      <c r="C23" s="190"/>
      <c r="D23" s="191"/>
      <c r="E23" s="192"/>
      <c r="F23" s="192"/>
      <c r="G23" s="191"/>
      <c r="H23" s="192"/>
      <c r="I23" s="192"/>
      <c r="J23" s="192"/>
      <c r="K23" s="192"/>
      <c r="L23" s="192"/>
      <c r="M23" s="192"/>
      <c r="N23" s="216"/>
      <c r="O23" s="189"/>
    </row>
    <row r="24" spans="1:15" ht="21" customHeight="1">
      <c r="A24" s="46"/>
      <c r="B24" s="46"/>
      <c r="C24" s="217"/>
      <c r="D24" s="218" t="s">
        <v>152</v>
      </c>
      <c r="E24" s="218" t="s">
        <v>153</v>
      </c>
      <c r="F24" s="218" t="s">
        <v>14</v>
      </c>
      <c r="G24" s="219" t="s">
        <v>155</v>
      </c>
      <c r="H24" s="218" t="s">
        <v>156</v>
      </c>
      <c r="I24" s="218" t="s">
        <v>157</v>
      </c>
      <c r="J24" s="218" t="s">
        <v>158</v>
      </c>
      <c r="K24" s="218" t="s">
        <v>159</v>
      </c>
      <c r="L24" s="220" t="s">
        <v>14</v>
      </c>
      <c r="M24" s="221" t="s">
        <v>109</v>
      </c>
      <c r="N24" s="222"/>
      <c r="O24" s="46"/>
    </row>
    <row r="25" spans="1:15" ht="21" customHeight="1">
      <c r="A25" s="46"/>
      <c r="B25" s="46"/>
      <c r="C25" s="223" t="s">
        <v>113</v>
      </c>
      <c r="D25" s="224">
        <v>0</v>
      </c>
      <c r="E25" s="224">
        <v>0</v>
      </c>
      <c r="F25" s="224">
        <v>0</v>
      </c>
      <c r="G25" s="225">
        <v>10</v>
      </c>
      <c r="H25" s="226">
        <v>37</v>
      </c>
      <c r="I25" s="226">
        <v>286</v>
      </c>
      <c r="J25" s="226">
        <v>239</v>
      </c>
      <c r="K25" s="226">
        <v>242</v>
      </c>
      <c r="L25" s="227">
        <v>814</v>
      </c>
      <c r="M25" s="228">
        <v>814</v>
      </c>
      <c r="N25" s="46"/>
      <c r="O25" s="46"/>
    </row>
    <row r="26" spans="1:15" ht="21" customHeight="1">
      <c r="A26" s="164"/>
      <c r="B26" s="165"/>
      <c r="C26" s="229" t="s">
        <v>142</v>
      </c>
      <c r="D26" s="230">
        <v>0</v>
      </c>
      <c r="E26" s="230">
        <v>0</v>
      </c>
      <c r="F26" s="201">
        <v>0</v>
      </c>
      <c r="G26" s="231">
        <v>10</v>
      </c>
      <c r="H26" s="230">
        <v>37</v>
      </c>
      <c r="I26" s="230">
        <v>286</v>
      </c>
      <c r="J26" s="230">
        <v>239</v>
      </c>
      <c r="K26" s="230">
        <v>242</v>
      </c>
      <c r="L26" s="201">
        <v>814</v>
      </c>
      <c r="M26" s="204">
        <v>814</v>
      </c>
      <c r="N26" s="46"/>
      <c r="O26" s="189"/>
    </row>
    <row r="27" spans="1:15" ht="21" customHeight="1">
      <c r="A27" s="164"/>
      <c r="B27" s="165"/>
      <c r="C27" s="229" t="s">
        <v>143</v>
      </c>
      <c r="D27" s="232">
        <v>0</v>
      </c>
      <c r="E27" s="232">
        <v>0</v>
      </c>
      <c r="F27" s="201">
        <v>0</v>
      </c>
      <c r="G27" s="233">
        <v>0</v>
      </c>
      <c r="H27" s="232">
        <v>0</v>
      </c>
      <c r="I27" s="232">
        <v>0</v>
      </c>
      <c r="J27" s="232">
        <v>0</v>
      </c>
      <c r="K27" s="232">
        <v>0</v>
      </c>
      <c r="L27" s="201">
        <v>0</v>
      </c>
      <c r="M27" s="210">
        <v>0</v>
      </c>
      <c r="N27" s="46"/>
      <c r="O27" s="46"/>
    </row>
    <row r="28" spans="1:15" ht="21" customHeight="1">
      <c r="A28" s="46"/>
      <c r="B28" s="46"/>
      <c r="C28" s="223" t="s">
        <v>114</v>
      </c>
      <c r="D28" s="226">
        <v>0</v>
      </c>
      <c r="E28" s="226">
        <v>0</v>
      </c>
      <c r="F28" s="226">
        <v>0</v>
      </c>
      <c r="G28" s="225">
        <v>36</v>
      </c>
      <c r="H28" s="226">
        <v>146</v>
      </c>
      <c r="I28" s="226">
        <v>231</v>
      </c>
      <c r="J28" s="226">
        <v>277</v>
      </c>
      <c r="K28" s="226">
        <v>109</v>
      </c>
      <c r="L28" s="226">
        <v>799</v>
      </c>
      <c r="M28" s="203">
        <v>799</v>
      </c>
      <c r="N28" s="46"/>
      <c r="O28" s="46"/>
    </row>
    <row r="29" spans="1:15" ht="21" customHeight="1">
      <c r="A29" s="164"/>
      <c r="B29" s="165"/>
      <c r="C29" s="229" t="s">
        <v>142</v>
      </c>
      <c r="D29" s="200">
        <v>0</v>
      </c>
      <c r="E29" s="200">
        <v>0</v>
      </c>
      <c r="F29" s="201">
        <v>0</v>
      </c>
      <c r="G29" s="234">
        <v>36</v>
      </c>
      <c r="H29" s="200">
        <v>146</v>
      </c>
      <c r="I29" s="200">
        <v>219</v>
      </c>
      <c r="J29" s="200">
        <v>277</v>
      </c>
      <c r="K29" s="200">
        <v>109</v>
      </c>
      <c r="L29" s="201">
        <v>787</v>
      </c>
      <c r="M29" s="203">
        <v>787</v>
      </c>
      <c r="N29" s="46"/>
      <c r="O29" s="46"/>
    </row>
    <row r="30" spans="1:15" ht="21" customHeight="1">
      <c r="A30" s="164"/>
      <c r="B30" s="165"/>
      <c r="C30" s="229" t="s">
        <v>143</v>
      </c>
      <c r="D30" s="235">
        <v>0</v>
      </c>
      <c r="E30" s="235">
        <v>0</v>
      </c>
      <c r="F30" s="206">
        <v>0</v>
      </c>
      <c r="G30" s="236">
        <v>0</v>
      </c>
      <c r="H30" s="235">
        <v>0</v>
      </c>
      <c r="I30" s="235">
        <v>12</v>
      </c>
      <c r="J30" s="235">
        <v>0</v>
      </c>
      <c r="K30" s="235">
        <v>0</v>
      </c>
      <c r="L30" s="206">
        <v>12</v>
      </c>
      <c r="M30" s="215">
        <v>12</v>
      </c>
      <c r="N30" s="46"/>
      <c r="O30" s="46"/>
    </row>
    <row r="31" spans="1:15" ht="21" customHeight="1">
      <c r="A31" s="46"/>
      <c r="B31" s="46"/>
      <c r="C31" s="223" t="s">
        <v>176</v>
      </c>
      <c r="D31" s="226">
        <v>0</v>
      </c>
      <c r="E31" s="226">
        <v>0</v>
      </c>
      <c r="F31" s="226">
        <v>0</v>
      </c>
      <c r="G31" s="225">
        <v>0</v>
      </c>
      <c r="H31" s="226">
        <v>0</v>
      </c>
      <c r="I31" s="226">
        <v>0</v>
      </c>
      <c r="J31" s="226">
        <v>0</v>
      </c>
      <c r="K31" s="226">
        <v>0</v>
      </c>
      <c r="L31" s="226">
        <v>0</v>
      </c>
      <c r="M31" s="237">
        <v>0</v>
      </c>
      <c r="N31" s="46"/>
      <c r="O31" s="46"/>
    </row>
    <row r="32" spans="1:15" ht="21" customHeight="1">
      <c r="A32" s="164"/>
      <c r="B32" s="165"/>
      <c r="C32" s="229" t="s">
        <v>142</v>
      </c>
      <c r="D32" s="200">
        <v>0</v>
      </c>
      <c r="E32" s="200">
        <v>0</v>
      </c>
      <c r="F32" s="201">
        <v>0</v>
      </c>
      <c r="G32" s="234">
        <v>0</v>
      </c>
      <c r="H32" s="200">
        <v>0</v>
      </c>
      <c r="I32" s="200">
        <v>0</v>
      </c>
      <c r="J32" s="200">
        <v>0</v>
      </c>
      <c r="K32" s="200">
        <v>0</v>
      </c>
      <c r="L32" s="201">
        <v>0</v>
      </c>
      <c r="M32" s="203">
        <v>0</v>
      </c>
      <c r="N32" s="46"/>
      <c r="O32" s="46"/>
    </row>
    <row r="33" spans="1:15" ht="21" customHeight="1">
      <c r="A33" s="164"/>
      <c r="B33" s="165"/>
      <c r="C33" s="238" t="s">
        <v>143</v>
      </c>
      <c r="D33" s="235">
        <v>0</v>
      </c>
      <c r="E33" s="235">
        <v>0</v>
      </c>
      <c r="F33" s="206">
        <v>0</v>
      </c>
      <c r="G33" s="236">
        <v>0</v>
      </c>
      <c r="H33" s="235">
        <v>0</v>
      </c>
      <c r="I33" s="235">
        <v>0</v>
      </c>
      <c r="J33" s="235">
        <v>0</v>
      </c>
      <c r="K33" s="235">
        <v>0</v>
      </c>
      <c r="L33" s="206">
        <v>0</v>
      </c>
      <c r="M33" s="215">
        <v>0</v>
      </c>
      <c r="N33" s="46"/>
      <c r="O33" s="46"/>
    </row>
    <row r="34" spans="1:15" ht="21" customHeight="1">
      <c r="A34" s="164"/>
      <c r="B34" s="165"/>
      <c r="C34" s="223" t="s">
        <v>116</v>
      </c>
      <c r="D34" s="226">
        <v>0</v>
      </c>
      <c r="E34" s="226">
        <v>0</v>
      </c>
      <c r="F34" s="226">
        <v>0</v>
      </c>
      <c r="G34" s="225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37">
        <v>0</v>
      </c>
      <c r="N34" s="46"/>
      <c r="O34" s="46"/>
    </row>
    <row r="35" spans="1:15" ht="21" customHeight="1">
      <c r="A35" s="164"/>
      <c r="B35" s="165"/>
      <c r="C35" s="229" t="s">
        <v>142</v>
      </c>
      <c r="D35" s="200">
        <v>0</v>
      </c>
      <c r="E35" s="200">
        <v>0</v>
      </c>
      <c r="F35" s="201">
        <v>0</v>
      </c>
      <c r="G35" s="234">
        <v>0</v>
      </c>
      <c r="H35" s="200">
        <v>0</v>
      </c>
      <c r="I35" s="200">
        <v>0</v>
      </c>
      <c r="J35" s="200">
        <v>0</v>
      </c>
      <c r="K35" s="200">
        <v>0</v>
      </c>
      <c r="L35" s="201">
        <v>0</v>
      </c>
      <c r="M35" s="203">
        <v>0</v>
      </c>
      <c r="N35" s="46"/>
      <c r="O35" s="46"/>
    </row>
    <row r="36" spans="1:15" ht="21" customHeight="1">
      <c r="A36" s="164"/>
      <c r="B36" s="165"/>
      <c r="C36" s="238" t="s">
        <v>143</v>
      </c>
      <c r="D36" s="235">
        <v>0</v>
      </c>
      <c r="E36" s="235">
        <v>0</v>
      </c>
      <c r="F36" s="206">
        <v>0</v>
      </c>
      <c r="G36" s="236">
        <v>0</v>
      </c>
      <c r="H36" s="235">
        <v>0</v>
      </c>
      <c r="I36" s="235">
        <v>0</v>
      </c>
      <c r="J36" s="235">
        <v>0</v>
      </c>
      <c r="K36" s="235">
        <v>0</v>
      </c>
      <c r="L36" s="206">
        <v>0</v>
      </c>
      <c r="M36" s="215">
        <v>0</v>
      </c>
      <c r="N36" s="46"/>
      <c r="O36" s="46"/>
    </row>
    <row r="37" spans="1:15" ht="21" customHeight="1">
      <c r="A37" s="46"/>
      <c r="B37" s="46"/>
      <c r="C37" s="205" t="s">
        <v>168</v>
      </c>
      <c r="D37" s="235">
        <v>0</v>
      </c>
      <c r="E37" s="235">
        <v>0</v>
      </c>
      <c r="F37" s="206">
        <v>0</v>
      </c>
      <c r="G37" s="236">
        <v>46</v>
      </c>
      <c r="H37" s="235">
        <v>183</v>
      </c>
      <c r="I37" s="235">
        <v>517</v>
      </c>
      <c r="J37" s="235">
        <v>515</v>
      </c>
      <c r="K37" s="235">
        <v>351</v>
      </c>
      <c r="L37" s="206">
        <v>1612</v>
      </c>
      <c r="M37" s="215">
        <v>1612</v>
      </c>
      <c r="N37" s="46"/>
      <c r="O37" s="46"/>
    </row>
    <row r="38" spans="1:15" ht="12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</row>
  </sheetData>
  <mergeCells count="2">
    <mergeCell ref="A3:O3"/>
    <mergeCell ref="A4:O4"/>
  </mergeCells>
  <phoneticPr fontId="3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65"/>
  <sheetViews>
    <sheetView workbookViewId="0"/>
  </sheetViews>
  <sheetFormatPr defaultRowHeight="0" customHeight="1" zeroHeight="1"/>
  <cols>
    <col min="1" max="2" width="2.33203125" customWidth="1"/>
    <col min="3" max="3" width="35" customWidth="1"/>
    <col min="4" max="14" width="14.44140625" customWidth="1"/>
    <col min="15" max="15" width="4" customWidth="1"/>
  </cols>
  <sheetData>
    <row r="1" spans="1:15" ht="18" customHeight="1">
      <c r="A1" s="151" t="s">
        <v>177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2"/>
    </row>
    <row r="2" spans="1:15" ht="18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2"/>
    </row>
    <row r="3" spans="1:15" ht="18" customHeight="1">
      <c r="A3" s="723" t="s">
        <v>1</v>
      </c>
      <c r="B3" s="723"/>
      <c r="C3" s="723"/>
      <c r="D3" s="723"/>
      <c r="E3" s="723"/>
      <c r="F3" s="723"/>
      <c r="G3" s="723"/>
      <c r="H3" s="723"/>
      <c r="I3" s="723"/>
      <c r="J3" s="723"/>
      <c r="K3" s="723"/>
      <c r="L3" s="723"/>
      <c r="M3" s="723"/>
      <c r="N3" s="723"/>
      <c r="O3" s="723"/>
    </row>
    <row r="4" spans="1:15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</row>
    <row r="5" spans="1:15" ht="18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7" t="s">
        <v>32</v>
      </c>
      <c r="N5" s="152" t="s">
        <v>4</v>
      </c>
      <c r="O5" s="41"/>
    </row>
    <row r="6" spans="1:15" ht="18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7" t="s">
        <v>33</v>
      </c>
      <c r="N6" s="180" t="s">
        <v>6</v>
      </c>
      <c r="O6" s="41" t="s">
        <v>7</v>
      </c>
    </row>
    <row r="7" spans="1:15" ht="18" customHeight="1">
      <c r="A7" s="39" t="s">
        <v>34</v>
      </c>
      <c r="B7" s="45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1"/>
    </row>
    <row r="8" spans="1:15" ht="18" customHeight="1">
      <c r="A8" s="46"/>
      <c r="B8" s="39" t="s">
        <v>178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1"/>
    </row>
    <row r="9" spans="1:15" ht="18" customHeight="1">
      <c r="A9" s="46"/>
      <c r="B9" s="45"/>
      <c r="C9" s="39" t="s">
        <v>179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1"/>
    </row>
    <row r="10" spans="1:15" ht="18" customHeight="1">
      <c r="A10" s="188"/>
      <c r="B10" s="189"/>
      <c r="C10" s="190"/>
      <c r="D10" s="191"/>
      <c r="E10" s="192"/>
      <c r="F10" s="192"/>
      <c r="G10" s="191"/>
      <c r="H10" s="192"/>
      <c r="I10" s="192"/>
      <c r="J10" s="192"/>
      <c r="K10" s="192"/>
      <c r="L10" s="192"/>
      <c r="M10" s="192"/>
      <c r="N10" s="191"/>
      <c r="O10" s="189"/>
    </row>
    <row r="11" spans="1:15" ht="18" customHeight="1">
      <c r="A11" s="46"/>
      <c r="B11" s="46"/>
      <c r="C11" s="239"/>
      <c r="D11" s="240" t="s">
        <v>152</v>
      </c>
      <c r="E11" s="240" t="s">
        <v>153</v>
      </c>
      <c r="F11" s="241" t="s">
        <v>14</v>
      </c>
      <c r="G11" s="242" t="s">
        <v>154</v>
      </c>
      <c r="H11" s="240" t="s">
        <v>155</v>
      </c>
      <c r="I11" s="240" t="s">
        <v>156</v>
      </c>
      <c r="J11" s="240" t="s">
        <v>157</v>
      </c>
      <c r="K11" s="240" t="s">
        <v>158</v>
      </c>
      <c r="L11" s="240" t="s">
        <v>159</v>
      </c>
      <c r="M11" s="241" t="s">
        <v>14</v>
      </c>
      <c r="N11" s="243" t="s">
        <v>109</v>
      </c>
      <c r="O11" s="46"/>
    </row>
    <row r="12" spans="1:15" ht="18" customHeight="1">
      <c r="A12" s="164"/>
      <c r="B12" s="165"/>
      <c r="C12" s="244" t="s">
        <v>180</v>
      </c>
      <c r="D12" s="167">
        <v>0</v>
      </c>
      <c r="E12" s="167">
        <v>0</v>
      </c>
      <c r="F12" s="162">
        <v>0</v>
      </c>
      <c r="G12" s="202"/>
      <c r="H12" s="167">
        <v>71</v>
      </c>
      <c r="I12" s="167">
        <v>99</v>
      </c>
      <c r="J12" s="167">
        <v>132</v>
      </c>
      <c r="K12" s="167">
        <v>49</v>
      </c>
      <c r="L12" s="167">
        <v>47</v>
      </c>
      <c r="M12" s="162">
        <v>398</v>
      </c>
      <c r="N12" s="163">
        <v>398</v>
      </c>
      <c r="O12" s="46"/>
    </row>
    <row r="13" spans="1:15" ht="18" customHeight="1">
      <c r="A13" s="164"/>
      <c r="B13" s="165"/>
      <c r="C13" s="244" t="s">
        <v>181</v>
      </c>
      <c r="D13" s="167">
        <v>5</v>
      </c>
      <c r="E13" s="167">
        <v>0</v>
      </c>
      <c r="F13" s="162">
        <v>5</v>
      </c>
      <c r="G13" s="202"/>
      <c r="H13" s="167">
        <v>0</v>
      </c>
      <c r="I13" s="167">
        <v>17</v>
      </c>
      <c r="J13" s="167">
        <v>12</v>
      </c>
      <c r="K13" s="167">
        <v>8</v>
      </c>
      <c r="L13" s="167">
        <v>9</v>
      </c>
      <c r="M13" s="162">
        <v>46</v>
      </c>
      <c r="N13" s="163">
        <v>51</v>
      </c>
      <c r="O13" s="46"/>
    </row>
    <row r="14" spans="1:15" ht="18" customHeight="1">
      <c r="A14" s="164"/>
      <c r="B14" s="165"/>
      <c r="C14" s="244" t="s">
        <v>182</v>
      </c>
      <c r="D14" s="167">
        <v>12</v>
      </c>
      <c r="E14" s="167">
        <v>0</v>
      </c>
      <c r="F14" s="162">
        <v>12</v>
      </c>
      <c r="G14" s="202"/>
      <c r="H14" s="167">
        <v>1</v>
      </c>
      <c r="I14" s="167">
        <v>55</v>
      </c>
      <c r="J14" s="167">
        <v>13</v>
      </c>
      <c r="K14" s="167">
        <v>13</v>
      </c>
      <c r="L14" s="167">
        <v>2</v>
      </c>
      <c r="M14" s="162">
        <v>84</v>
      </c>
      <c r="N14" s="163">
        <v>96</v>
      </c>
      <c r="O14" s="46"/>
    </row>
    <row r="15" spans="1:15" ht="18" customHeight="1">
      <c r="A15" s="164"/>
      <c r="B15" s="165"/>
      <c r="C15" s="244" t="s">
        <v>183</v>
      </c>
      <c r="D15" s="167">
        <v>27</v>
      </c>
      <c r="E15" s="167">
        <v>36</v>
      </c>
      <c r="F15" s="162">
        <v>63</v>
      </c>
      <c r="G15" s="202"/>
      <c r="H15" s="167">
        <v>9</v>
      </c>
      <c r="I15" s="167">
        <v>72</v>
      </c>
      <c r="J15" s="167">
        <v>24</v>
      </c>
      <c r="K15" s="167">
        <v>1</v>
      </c>
      <c r="L15" s="167">
        <v>3</v>
      </c>
      <c r="M15" s="162">
        <v>109</v>
      </c>
      <c r="N15" s="163">
        <v>172</v>
      </c>
      <c r="O15" s="46"/>
    </row>
    <row r="16" spans="1:15" ht="18" customHeight="1">
      <c r="A16" s="164"/>
      <c r="B16" s="165"/>
      <c r="C16" s="244" t="s">
        <v>184</v>
      </c>
      <c r="D16" s="167">
        <v>0</v>
      </c>
      <c r="E16" s="167">
        <v>0</v>
      </c>
      <c r="F16" s="162">
        <v>0</v>
      </c>
      <c r="G16" s="202"/>
      <c r="H16" s="167">
        <v>8</v>
      </c>
      <c r="I16" s="167">
        <v>34</v>
      </c>
      <c r="J16" s="167">
        <v>21</v>
      </c>
      <c r="K16" s="167">
        <v>18</v>
      </c>
      <c r="L16" s="167">
        <v>17</v>
      </c>
      <c r="M16" s="162">
        <v>98</v>
      </c>
      <c r="N16" s="163">
        <v>98</v>
      </c>
      <c r="O16" s="46"/>
    </row>
    <row r="17" spans="1:15" ht="18" customHeight="1">
      <c r="A17" s="164"/>
      <c r="B17" s="165"/>
      <c r="C17" s="244" t="s">
        <v>185</v>
      </c>
      <c r="D17" s="167">
        <v>0</v>
      </c>
      <c r="E17" s="167">
        <v>0</v>
      </c>
      <c r="F17" s="162">
        <v>0</v>
      </c>
      <c r="G17" s="202"/>
      <c r="H17" s="167">
        <v>143</v>
      </c>
      <c r="I17" s="167">
        <v>167</v>
      </c>
      <c r="J17" s="167">
        <v>195</v>
      </c>
      <c r="K17" s="167">
        <v>82</v>
      </c>
      <c r="L17" s="167">
        <v>51</v>
      </c>
      <c r="M17" s="162">
        <v>638</v>
      </c>
      <c r="N17" s="163">
        <v>638</v>
      </c>
      <c r="O17" s="46"/>
    </row>
    <row r="18" spans="1:15" ht="18" customHeight="1">
      <c r="A18" s="164"/>
      <c r="B18" s="165"/>
      <c r="C18" s="244" t="s">
        <v>186</v>
      </c>
      <c r="D18" s="167">
        <v>84</v>
      </c>
      <c r="E18" s="167">
        <v>332</v>
      </c>
      <c r="F18" s="162">
        <v>416</v>
      </c>
      <c r="G18" s="202"/>
      <c r="H18" s="167">
        <v>189</v>
      </c>
      <c r="I18" s="167">
        <v>417</v>
      </c>
      <c r="J18" s="167">
        <v>347</v>
      </c>
      <c r="K18" s="167">
        <v>74</v>
      </c>
      <c r="L18" s="167">
        <v>16</v>
      </c>
      <c r="M18" s="162">
        <v>1043</v>
      </c>
      <c r="N18" s="163">
        <v>1459</v>
      </c>
      <c r="O18" s="46"/>
    </row>
    <row r="19" spans="1:15" ht="18" customHeight="1">
      <c r="A19" s="164"/>
      <c r="B19" s="165"/>
      <c r="C19" s="244" t="s">
        <v>187</v>
      </c>
      <c r="D19" s="167">
        <v>0</v>
      </c>
      <c r="E19" s="167">
        <v>1</v>
      </c>
      <c r="F19" s="162">
        <v>1</v>
      </c>
      <c r="G19" s="202"/>
      <c r="H19" s="167">
        <v>15</v>
      </c>
      <c r="I19" s="167">
        <v>29</v>
      </c>
      <c r="J19" s="167">
        <v>58</v>
      </c>
      <c r="K19" s="167">
        <v>52</v>
      </c>
      <c r="L19" s="167">
        <v>28</v>
      </c>
      <c r="M19" s="162">
        <v>182</v>
      </c>
      <c r="N19" s="163">
        <v>183</v>
      </c>
      <c r="O19" s="46"/>
    </row>
    <row r="20" spans="1:15" ht="18" customHeight="1">
      <c r="A20" s="164"/>
      <c r="B20" s="165"/>
      <c r="C20" s="244" t="s">
        <v>188</v>
      </c>
      <c r="D20" s="167">
        <v>0</v>
      </c>
      <c r="E20" s="167">
        <v>1</v>
      </c>
      <c r="F20" s="162">
        <v>1</v>
      </c>
      <c r="G20" s="202"/>
      <c r="H20" s="167">
        <v>13</v>
      </c>
      <c r="I20" s="167">
        <v>10</v>
      </c>
      <c r="J20" s="167">
        <v>51</v>
      </c>
      <c r="K20" s="167">
        <v>16</v>
      </c>
      <c r="L20" s="167">
        <v>11</v>
      </c>
      <c r="M20" s="162">
        <v>101</v>
      </c>
      <c r="N20" s="163">
        <v>102</v>
      </c>
      <c r="O20" s="46"/>
    </row>
    <row r="21" spans="1:15" ht="18" customHeight="1">
      <c r="A21" s="164"/>
      <c r="B21" s="165"/>
      <c r="C21" s="244" t="s">
        <v>189</v>
      </c>
      <c r="D21" s="167">
        <v>0</v>
      </c>
      <c r="E21" s="167">
        <v>0</v>
      </c>
      <c r="F21" s="162">
        <v>0</v>
      </c>
      <c r="G21" s="202"/>
      <c r="H21" s="167">
        <v>0</v>
      </c>
      <c r="I21" s="167">
        <v>0</v>
      </c>
      <c r="J21" s="167">
        <v>0</v>
      </c>
      <c r="K21" s="167">
        <v>0</v>
      </c>
      <c r="L21" s="167">
        <v>0</v>
      </c>
      <c r="M21" s="162">
        <v>0</v>
      </c>
      <c r="N21" s="163">
        <v>0</v>
      </c>
      <c r="O21" s="46"/>
    </row>
    <row r="22" spans="1:15" ht="18" customHeight="1">
      <c r="A22" s="164"/>
      <c r="B22" s="165"/>
      <c r="C22" s="244" t="s">
        <v>190</v>
      </c>
      <c r="D22" s="167">
        <v>0</v>
      </c>
      <c r="E22" s="167">
        <v>0</v>
      </c>
      <c r="F22" s="162">
        <v>0</v>
      </c>
      <c r="G22" s="202"/>
      <c r="H22" s="167">
        <v>0</v>
      </c>
      <c r="I22" s="167">
        <v>0</v>
      </c>
      <c r="J22" s="167">
        <v>0</v>
      </c>
      <c r="K22" s="167">
        <v>0</v>
      </c>
      <c r="L22" s="167">
        <v>0</v>
      </c>
      <c r="M22" s="162">
        <v>0</v>
      </c>
      <c r="N22" s="163">
        <v>0</v>
      </c>
      <c r="O22" s="46"/>
    </row>
    <row r="23" spans="1:15" ht="18" customHeight="1">
      <c r="A23" s="46"/>
      <c r="B23" s="46"/>
      <c r="C23" s="244" t="s">
        <v>191</v>
      </c>
      <c r="D23" s="167">
        <v>88</v>
      </c>
      <c r="E23" s="167">
        <v>352</v>
      </c>
      <c r="F23" s="162">
        <v>440</v>
      </c>
      <c r="G23" s="202"/>
      <c r="H23" s="167">
        <v>148</v>
      </c>
      <c r="I23" s="167">
        <v>603</v>
      </c>
      <c r="J23" s="167">
        <v>465</v>
      </c>
      <c r="K23" s="167">
        <v>220</v>
      </c>
      <c r="L23" s="167">
        <v>103</v>
      </c>
      <c r="M23" s="162">
        <v>1539</v>
      </c>
      <c r="N23" s="163">
        <v>1979</v>
      </c>
      <c r="O23" s="46"/>
    </row>
    <row r="24" spans="1:15" ht="18" customHeight="1">
      <c r="A24" s="245"/>
      <c r="B24" s="245"/>
      <c r="C24" s="244" t="s">
        <v>192</v>
      </c>
      <c r="D24" s="167">
        <v>0</v>
      </c>
      <c r="E24" s="167">
        <v>0</v>
      </c>
      <c r="F24" s="162">
        <v>0</v>
      </c>
      <c r="G24" s="246"/>
      <c r="H24" s="167">
        <v>2</v>
      </c>
      <c r="I24" s="167">
        <v>14</v>
      </c>
      <c r="J24" s="167">
        <v>14</v>
      </c>
      <c r="K24" s="167">
        <v>2</v>
      </c>
      <c r="L24" s="167">
        <v>0</v>
      </c>
      <c r="M24" s="162">
        <v>32</v>
      </c>
      <c r="N24" s="163">
        <v>32</v>
      </c>
      <c r="O24" s="245"/>
    </row>
    <row r="25" spans="1:15" ht="18" customHeight="1">
      <c r="A25" s="46"/>
      <c r="B25" s="46"/>
      <c r="C25" s="244" t="s">
        <v>193</v>
      </c>
      <c r="D25" s="167">
        <v>0</v>
      </c>
      <c r="E25" s="167">
        <v>0</v>
      </c>
      <c r="F25" s="162">
        <v>0</v>
      </c>
      <c r="G25" s="247"/>
      <c r="H25" s="167">
        <v>0</v>
      </c>
      <c r="I25" s="167">
        <v>0</v>
      </c>
      <c r="J25" s="167">
        <v>0</v>
      </c>
      <c r="K25" s="167">
        <v>0</v>
      </c>
      <c r="L25" s="167">
        <v>0</v>
      </c>
      <c r="M25" s="162">
        <v>0</v>
      </c>
      <c r="N25" s="163">
        <v>0</v>
      </c>
      <c r="O25" s="46"/>
    </row>
    <row r="26" spans="1:15" ht="18" customHeight="1">
      <c r="A26" s="46"/>
      <c r="B26" s="46"/>
      <c r="C26" s="248" t="s">
        <v>194</v>
      </c>
      <c r="D26" s="118">
        <v>183</v>
      </c>
      <c r="E26" s="118">
        <v>534</v>
      </c>
      <c r="F26" s="178">
        <v>717</v>
      </c>
      <c r="G26" s="249"/>
      <c r="H26" s="118">
        <v>433</v>
      </c>
      <c r="I26" s="118">
        <v>869</v>
      </c>
      <c r="J26" s="118">
        <v>676</v>
      </c>
      <c r="K26" s="118">
        <v>261</v>
      </c>
      <c r="L26" s="118">
        <v>121</v>
      </c>
      <c r="M26" s="178">
        <v>2360</v>
      </c>
      <c r="N26" s="171">
        <v>3077</v>
      </c>
      <c r="O26" s="46"/>
    </row>
    <row r="27" spans="1:15" ht="12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</row>
    <row r="28" spans="1:15" ht="18" customHeight="1">
      <c r="A28" s="46"/>
      <c r="B28" s="46"/>
      <c r="C28" s="39" t="s">
        <v>195</v>
      </c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</row>
    <row r="29" spans="1:15" ht="18" customHeight="1">
      <c r="A29" s="188"/>
      <c r="B29" s="189"/>
      <c r="C29" s="190"/>
      <c r="D29" s="191"/>
      <c r="E29" s="192"/>
      <c r="F29" s="192"/>
      <c r="G29" s="191"/>
      <c r="H29" s="192"/>
      <c r="I29" s="192"/>
      <c r="J29" s="192"/>
      <c r="K29" s="192"/>
      <c r="L29" s="192"/>
      <c r="M29" s="192"/>
      <c r="N29" s="191"/>
      <c r="O29" s="189"/>
    </row>
    <row r="30" spans="1:15" ht="18" customHeight="1">
      <c r="A30" s="164"/>
      <c r="B30" s="165"/>
      <c r="C30" s="239"/>
      <c r="D30" s="240" t="s">
        <v>152</v>
      </c>
      <c r="E30" s="240" t="s">
        <v>153</v>
      </c>
      <c r="F30" s="241" t="s">
        <v>14</v>
      </c>
      <c r="G30" s="242" t="s">
        <v>154</v>
      </c>
      <c r="H30" s="240" t="s">
        <v>155</v>
      </c>
      <c r="I30" s="240" t="s">
        <v>156</v>
      </c>
      <c r="J30" s="240" t="s">
        <v>157</v>
      </c>
      <c r="K30" s="240" t="s">
        <v>158</v>
      </c>
      <c r="L30" s="240" t="s">
        <v>159</v>
      </c>
      <c r="M30" s="241" t="s">
        <v>14</v>
      </c>
      <c r="N30" s="243" t="s">
        <v>109</v>
      </c>
      <c r="O30" s="46"/>
    </row>
    <row r="31" spans="1:15" ht="18" customHeight="1">
      <c r="A31" s="46"/>
      <c r="B31" s="46"/>
      <c r="C31" s="244" t="s">
        <v>180</v>
      </c>
      <c r="D31" s="167">
        <v>0</v>
      </c>
      <c r="E31" s="167">
        <v>0</v>
      </c>
      <c r="F31" s="162">
        <v>0</v>
      </c>
      <c r="G31" s="202"/>
      <c r="H31" s="167">
        <v>0</v>
      </c>
      <c r="I31" s="167">
        <v>12</v>
      </c>
      <c r="J31" s="167">
        <v>0</v>
      </c>
      <c r="K31" s="167">
        <v>0</v>
      </c>
      <c r="L31" s="167">
        <v>0</v>
      </c>
      <c r="M31" s="162">
        <v>12</v>
      </c>
      <c r="N31" s="163">
        <v>12</v>
      </c>
      <c r="O31" s="46"/>
    </row>
    <row r="32" spans="1:15" ht="18" customHeight="1">
      <c r="A32" s="46"/>
      <c r="B32" s="46"/>
      <c r="C32" s="244" t="s">
        <v>181</v>
      </c>
      <c r="D32" s="167">
        <v>0</v>
      </c>
      <c r="E32" s="167">
        <v>0</v>
      </c>
      <c r="F32" s="162">
        <v>0</v>
      </c>
      <c r="G32" s="202"/>
      <c r="H32" s="167">
        <v>0</v>
      </c>
      <c r="I32" s="167">
        <v>0</v>
      </c>
      <c r="J32" s="167">
        <v>0</v>
      </c>
      <c r="K32" s="167">
        <v>0</v>
      </c>
      <c r="L32" s="167">
        <v>0</v>
      </c>
      <c r="M32" s="162">
        <v>0</v>
      </c>
      <c r="N32" s="163">
        <v>0</v>
      </c>
      <c r="O32" s="46"/>
    </row>
    <row r="33" spans="1:15" ht="18" customHeight="1">
      <c r="A33" s="46"/>
      <c r="B33" s="46"/>
      <c r="C33" s="244" t="s">
        <v>182</v>
      </c>
      <c r="D33" s="167">
        <v>0</v>
      </c>
      <c r="E33" s="167">
        <v>0</v>
      </c>
      <c r="F33" s="162">
        <v>0</v>
      </c>
      <c r="G33" s="247"/>
      <c r="H33" s="167">
        <v>0</v>
      </c>
      <c r="I33" s="167">
        <v>12</v>
      </c>
      <c r="J33" s="167">
        <v>0</v>
      </c>
      <c r="K33" s="167">
        <v>0</v>
      </c>
      <c r="L33" s="167">
        <v>0</v>
      </c>
      <c r="M33" s="162">
        <v>12</v>
      </c>
      <c r="N33" s="163">
        <v>12</v>
      </c>
      <c r="O33" s="46"/>
    </row>
    <row r="34" spans="1:15" ht="18" customHeight="1">
      <c r="A34" s="46"/>
      <c r="B34" s="46"/>
      <c r="C34" s="244" t="s">
        <v>183</v>
      </c>
      <c r="D34" s="167">
        <v>0</v>
      </c>
      <c r="E34" s="167">
        <v>0</v>
      </c>
      <c r="F34" s="162">
        <v>0</v>
      </c>
      <c r="G34" s="202"/>
      <c r="H34" s="167">
        <v>0</v>
      </c>
      <c r="I34" s="167">
        <v>12</v>
      </c>
      <c r="J34" s="167">
        <v>0</v>
      </c>
      <c r="K34" s="167">
        <v>0</v>
      </c>
      <c r="L34" s="167">
        <v>0</v>
      </c>
      <c r="M34" s="162">
        <v>12</v>
      </c>
      <c r="N34" s="163">
        <v>12</v>
      </c>
      <c r="O34" s="46"/>
    </row>
    <row r="35" spans="1:15" ht="18" customHeight="1">
      <c r="A35" s="46"/>
      <c r="B35" s="46"/>
      <c r="C35" s="244" t="s">
        <v>184</v>
      </c>
      <c r="D35" s="167">
        <v>0</v>
      </c>
      <c r="E35" s="167">
        <v>0</v>
      </c>
      <c r="F35" s="162">
        <v>0</v>
      </c>
      <c r="G35" s="202"/>
      <c r="H35" s="167">
        <v>0</v>
      </c>
      <c r="I35" s="167">
        <v>0</v>
      </c>
      <c r="J35" s="167">
        <v>0</v>
      </c>
      <c r="K35" s="167">
        <v>0</v>
      </c>
      <c r="L35" s="167">
        <v>0</v>
      </c>
      <c r="M35" s="162">
        <v>0</v>
      </c>
      <c r="N35" s="163">
        <v>0</v>
      </c>
      <c r="O35" s="46"/>
    </row>
    <row r="36" spans="1:15" ht="18" customHeight="1">
      <c r="A36" s="46"/>
      <c r="B36" s="46"/>
      <c r="C36" s="244" t="s">
        <v>185</v>
      </c>
      <c r="D36" s="167">
        <v>0</v>
      </c>
      <c r="E36" s="167">
        <v>0</v>
      </c>
      <c r="F36" s="162">
        <v>0</v>
      </c>
      <c r="G36" s="202"/>
      <c r="H36" s="167">
        <v>2</v>
      </c>
      <c r="I36" s="167">
        <v>0</v>
      </c>
      <c r="J36" s="167">
        <v>8</v>
      </c>
      <c r="K36" s="167">
        <v>4</v>
      </c>
      <c r="L36" s="167">
        <v>0</v>
      </c>
      <c r="M36" s="162">
        <v>14</v>
      </c>
      <c r="N36" s="163">
        <v>14</v>
      </c>
      <c r="O36" s="46"/>
    </row>
    <row r="37" spans="1:15" ht="18" customHeight="1">
      <c r="A37" s="46"/>
      <c r="B37" s="46"/>
      <c r="C37" s="244" t="s">
        <v>186</v>
      </c>
      <c r="D37" s="167">
        <v>0</v>
      </c>
      <c r="E37" s="167">
        <v>0</v>
      </c>
      <c r="F37" s="162">
        <v>0</v>
      </c>
      <c r="G37" s="202"/>
      <c r="H37" s="167">
        <v>5</v>
      </c>
      <c r="I37" s="167">
        <v>12</v>
      </c>
      <c r="J37" s="167">
        <v>2</v>
      </c>
      <c r="K37" s="167">
        <v>4</v>
      </c>
      <c r="L37" s="167">
        <v>0</v>
      </c>
      <c r="M37" s="162">
        <v>23</v>
      </c>
      <c r="N37" s="163">
        <v>23</v>
      </c>
      <c r="O37" s="46"/>
    </row>
    <row r="38" spans="1:15" ht="18" customHeight="1">
      <c r="A38" s="164"/>
      <c r="B38" s="165"/>
      <c r="C38" s="244" t="s">
        <v>187</v>
      </c>
      <c r="D38" s="167">
        <v>0</v>
      </c>
      <c r="E38" s="167">
        <v>0</v>
      </c>
      <c r="F38" s="162">
        <v>0</v>
      </c>
      <c r="G38" s="202"/>
      <c r="H38" s="167">
        <v>0</v>
      </c>
      <c r="I38" s="167">
        <v>0</v>
      </c>
      <c r="J38" s="167">
        <v>0</v>
      </c>
      <c r="K38" s="167">
        <v>0</v>
      </c>
      <c r="L38" s="167">
        <v>0</v>
      </c>
      <c r="M38" s="162">
        <v>0</v>
      </c>
      <c r="N38" s="163">
        <v>0</v>
      </c>
      <c r="O38" s="46"/>
    </row>
    <row r="39" spans="1:15" ht="18" customHeight="1">
      <c r="A39" s="164"/>
      <c r="B39" s="165"/>
      <c r="C39" s="244" t="s">
        <v>188</v>
      </c>
      <c r="D39" s="167">
        <v>0</v>
      </c>
      <c r="E39" s="167">
        <v>0</v>
      </c>
      <c r="F39" s="162">
        <v>0</v>
      </c>
      <c r="G39" s="202"/>
      <c r="H39" s="167">
        <v>0</v>
      </c>
      <c r="I39" s="167">
        <v>0</v>
      </c>
      <c r="J39" s="167">
        <v>0</v>
      </c>
      <c r="K39" s="167">
        <v>0</v>
      </c>
      <c r="L39" s="167">
        <v>0</v>
      </c>
      <c r="M39" s="162">
        <v>0</v>
      </c>
      <c r="N39" s="163">
        <v>0</v>
      </c>
      <c r="O39" s="46"/>
    </row>
    <row r="40" spans="1:15" ht="18" customHeight="1">
      <c r="A40" s="46"/>
      <c r="B40" s="46"/>
      <c r="C40" s="244" t="s">
        <v>189</v>
      </c>
      <c r="D40" s="167">
        <v>0</v>
      </c>
      <c r="E40" s="167">
        <v>0</v>
      </c>
      <c r="F40" s="162">
        <v>0</v>
      </c>
      <c r="G40" s="202"/>
      <c r="H40" s="167">
        <v>0</v>
      </c>
      <c r="I40" s="167">
        <v>0</v>
      </c>
      <c r="J40" s="167">
        <v>0</v>
      </c>
      <c r="K40" s="167">
        <v>0</v>
      </c>
      <c r="L40" s="167">
        <v>0</v>
      </c>
      <c r="M40" s="162">
        <v>0</v>
      </c>
      <c r="N40" s="163">
        <v>0</v>
      </c>
      <c r="O40" s="46"/>
    </row>
    <row r="41" spans="1:15" ht="18" customHeight="1">
      <c r="A41" s="164"/>
      <c r="B41" s="165"/>
      <c r="C41" s="244" t="s">
        <v>190</v>
      </c>
      <c r="D41" s="167">
        <v>0</v>
      </c>
      <c r="E41" s="167">
        <v>0</v>
      </c>
      <c r="F41" s="162">
        <v>0</v>
      </c>
      <c r="G41" s="202"/>
      <c r="H41" s="167">
        <v>0</v>
      </c>
      <c r="I41" s="167">
        <v>0</v>
      </c>
      <c r="J41" s="167">
        <v>0</v>
      </c>
      <c r="K41" s="167">
        <v>0</v>
      </c>
      <c r="L41" s="167">
        <v>0</v>
      </c>
      <c r="M41" s="162">
        <v>0</v>
      </c>
      <c r="N41" s="163">
        <v>0</v>
      </c>
      <c r="O41" s="46"/>
    </row>
    <row r="42" spans="1:15" ht="18" customHeight="1">
      <c r="A42" s="164"/>
      <c r="B42" s="165"/>
      <c r="C42" s="244" t="s">
        <v>191</v>
      </c>
      <c r="D42" s="167">
        <v>0</v>
      </c>
      <c r="E42" s="167">
        <v>0</v>
      </c>
      <c r="F42" s="162">
        <v>0</v>
      </c>
      <c r="G42" s="202"/>
      <c r="H42" s="167">
        <v>0</v>
      </c>
      <c r="I42" s="167">
        <v>6</v>
      </c>
      <c r="J42" s="167">
        <v>10</v>
      </c>
      <c r="K42" s="167">
        <v>4</v>
      </c>
      <c r="L42" s="167">
        <v>0</v>
      </c>
      <c r="M42" s="162">
        <v>20</v>
      </c>
      <c r="N42" s="163">
        <v>20</v>
      </c>
      <c r="O42" s="46"/>
    </row>
    <row r="43" spans="1:15" ht="18" customHeight="1">
      <c r="A43" s="245"/>
      <c r="B43" s="245"/>
      <c r="C43" s="244" t="s">
        <v>192</v>
      </c>
      <c r="D43" s="167">
        <v>0</v>
      </c>
      <c r="E43" s="167">
        <v>0</v>
      </c>
      <c r="F43" s="162">
        <v>0</v>
      </c>
      <c r="G43" s="246"/>
      <c r="H43" s="167">
        <v>0</v>
      </c>
      <c r="I43" s="167">
        <v>0</v>
      </c>
      <c r="J43" s="167">
        <v>0</v>
      </c>
      <c r="K43" s="167">
        <v>0</v>
      </c>
      <c r="L43" s="167">
        <v>0</v>
      </c>
      <c r="M43" s="162">
        <v>0</v>
      </c>
      <c r="N43" s="163">
        <v>0</v>
      </c>
      <c r="O43" s="245"/>
    </row>
    <row r="44" spans="1:15" ht="18" customHeight="1">
      <c r="A44" s="46"/>
      <c r="B44" s="46"/>
      <c r="C44" s="244" t="s">
        <v>193</v>
      </c>
      <c r="D44" s="167">
        <v>0</v>
      </c>
      <c r="E44" s="167">
        <v>0</v>
      </c>
      <c r="F44" s="162">
        <v>0</v>
      </c>
      <c r="G44" s="202"/>
      <c r="H44" s="167">
        <v>0</v>
      </c>
      <c r="I44" s="167">
        <v>0</v>
      </c>
      <c r="J44" s="167">
        <v>0</v>
      </c>
      <c r="K44" s="167">
        <v>0</v>
      </c>
      <c r="L44" s="167">
        <v>0</v>
      </c>
      <c r="M44" s="162">
        <v>0</v>
      </c>
      <c r="N44" s="163">
        <v>0</v>
      </c>
      <c r="O44" s="46"/>
    </row>
    <row r="45" spans="1:15" ht="18" customHeight="1">
      <c r="A45" s="164"/>
      <c r="B45" s="165"/>
      <c r="C45" s="248" t="s">
        <v>194</v>
      </c>
      <c r="D45" s="118">
        <v>0</v>
      </c>
      <c r="E45" s="118">
        <v>0</v>
      </c>
      <c r="F45" s="178">
        <v>0</v>
      </c>
      <c r="G45" s="249"/>
      <c r="H45" s="118">
        <v>7</v>
      </c>
      <c r="I45" s="118">
        <v>12</v>
      </c>
      <c r="J45" s="118">
        <v>10</v>
      </c>
      <c r="K45" s="118">
        <v>4</v>
      </c>
      <c r="L45" s="118">
        <v>0</v>
      </c>
      <c r="M45" s="178">
        <v>33</v>
      </c>
      <c r="N45" s="171">
        <v>33</v>
      </c>
      <c r="O45" s="46"/>
    </row>
    <row r="46" spans="1:15" ht="12" customHeight="1">
      <c r="A46" s="164"/>
      <c r="B46" s="165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</row>
    <row r="47" spans="1:15" ht="18" customHeight="1">
      <c r="A47" s="46"/>
      <c r="B47" s="46"/>
      <c r="C47" s="39" t="s">
        <v>196</v>
      </c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</row>
    <row r="48" spans="1:15" ht="18" customHeight="1">
      <c r="A48" s="164"/>
      <c r="B48" s="165"/>
      <c r="C48" s="190"/>
      <c r="D48" s="191"/>
      <c r="E48" s="192"/>
      <c r="F48" s="192"/>
      <c r="G48" s="191"/>
      <c r="H48" s="192"/>
      <c r="I48" s="192"/>
      <c r="J48" s="192"/>
      <c r="K48" s="192"/>
      <c r="L48" s="192"/>
      <c r="M48" s="192"/>
      <c r="N48" s="191"/>
      <c r="O48" s="46"/>
    </row>
    <row r="49" spans="1:15" ht="18" customHeight="1">
      <c r="A49" s="164"/>
      <c r="B49" s="165"/>
      <c r="C49" s="239"/>
      <c r="D49" s="240" t="s">
        <v>152</v>
      </c>
      <c r="E49" s="240" t="s">
        <v>153</v>
      </c>
      <c r="F49" s="241" t="s">
        <v>14</v>
      </c>
      <c r="G49" s="242" t="s">
        <v>154</v>
      </c>
      <c r="H49" s="240" t="s">
        <v>155</v>
      </c>
      <c r="I49" s="240" t="s">
        <v>156</v>
      </c>
      <c r="J49" s="240" t="s">
        <v>157</v>
      </c>
      <c r="K49" s="240" t="s">
        <v>158</v>
      </c>
      <c r="L49" s="240" t="s">
        <v>159</v>
      </c>
      <c r="M49" s="241" t="s">
        <v>14</v>
      </c>
      <c r="N49" s="243" t="s">
        <v>109</v>
      </c>
      <c r="O49" s="46"/>
    </row>
    <row r="50" spans="1:15" ht="18" customHeight="1">
      <c r="A50" s="46"/>
      <c r="B50" s="46"/>
      <c r="C50" s="244" t="s">
        <v>180</v>
      </c>
      <c r="D50" s="167">
        <v>0</v>
      </c>
      <c r="E50" s="167">
        <v>0</v>
      </c>
      <c r="F50" s="162">
        <v>0</v>
      </c>
      <c r="G50" s="202"/>
      <c r="H50" s="167">
        <v>0</v>
      </c>
      <c r="I50" s="167">
        <v>0</v>
      </c>
      <c r="J50" s="167">
        <v>0</v>
      </c>
      <c r="K50" s="167">
        <v>0</v>
      </c>
      <c r="L50" s="167">
        <v>0</v>
      </c>
      <c r="M50" s="162">
        <v>0</v>
      </c>
      <c r="N50" s="163">
        <v>0</v>
      </c>
      <c r="O50" s="46"/>
    </row>
    <row r="51" spans="1:15" ht="18" customHeight="1">
      <c r="A51" s="46"/>
      <c r="B51" s="46"/>
      <c r="C51" s="244" t="s">
        <v>181</v>
      </c>
      <c r="D51" s="167">
        <v>0</v>
      </c>
      <c r="E51" s="167">
        <v>0</v>
      </c>
      <c r="F51" s="162">
        <v>0</v>
      </c>
      <c r="G51" s="202"/>
      <c r="H51" s="167">
        <v>0</v>
      </c>
      <c r="I51" s="167">
        <v>0</v>
      </c>
      <c r="J51" s="167">
        <v>0</v>
      </c>
      <c r="K51" s="167">
        <v>0</v>
      </c>
      <c r="L51" s="167">
        <v>3</v>
      </c>
      <c r="M51" s="162">
        <v>3</v>
      </c>
      <c r="N51" s="163">
        <v>3</v>
      </c>
      <c r="O51" s="46"/>
    </row>
    <row r="52" spans="1:15" ht="18" customHeight="1">
      <c r="A52" s="46"/>
      <c r="B52" s="46"/>
      <c r="C52" s="244" t="s">
        <v>182</v>
      </c>
      <c r="D52" s="167">
        <v>0</v>
      </c>
      <c r="E52" s="167">
        <v>0</v>
      </c>
      <c r="F52" s="162">
        <v>0</v>
      </c>
      <c r="G52" s="247"/>
      <c r="H52" s="167">
        <v>0</v>
      </c>
      <c r="I52" s="167">
        <v>0</v>
      </c>
      <c r="J52" s="167">
        <v>0</v>
      </c>
      <c r="K52" s="167">
        <v>0</v>
      </c>
      <c r="L52" s="167">
        <v>0</v>
      </c>
      <c r="M52" s="162">
        <v>0</v>
      </c>
      <c r="N52" s="163">
        <v>0</v>
      </c>
      <c r="O52" s="46"/>
    </row>
    <row r="53" spans="1:15" ht="18" customHeight="1">
      <c r="A53" s="46"/>
      <c r="B53" s="46"/>
      <c r="C53" s="244" t="s">
        <v>183</v>
      </c>
      <c r="D53" s="167">
        <v>0</v>
      </c>
      <c r="E53" s="167">
        <v>0</v>
      </c>
      <c r="F53" s="162">
        <v>0</v>
      </c>
      <c r="G53" s="202"/>
      <c r="H53" s="167">
        <v>0</v>
      </c>
      <c r="I53" s="167">
        <v>0</v>
      </c>
      <c r="J53" s="167">
        <v>0</v>
      </c>
      <c r="K53" s="167">
        <v>0</v>
      </c>
      <c r="L53" s="167">
        <v>3</v>
      </c>
      <c r="M53" s="162">
        <v>3</v>
      </c>
      <c r="N53" s="163">
        <v>3</v>
      </c>
      <c r="O53" s="46"/>
    </row>
    <row r="54" spans="1:15" ht="18" customHeight="1">
      <c r="A54" s="46"/>
      <c r="B54" s="46"/>
      <c r="C54" s="244" t="s">
        <v>184</v>
      </c>
      <c r="D54" s="167">
        <v>0</v>
      </c>
      <c r="E54" s="167">
        <v>0</v>
      </c>
      <c r="F54" s="162">
        <v>0</v>
      </c>
      <c r="G54" s="202"/>
      <c r="H54" s="167">
        <v>0</v>
      </c>
      <c r="I54" s="167">
        <v>0</v>
      </c>
      <c r="J54" s="167">
        <v>0</v>
      </c>
      <c r="K54" s="167">
        <v>0</v>
      </c>
      <c r="L54" s="167">
        <v>0</v>
      </c>
      <c r="M54" s="162">
        <v>0</v>
      </c>
      <c r="N54" s="163">
        <v>0</v>
      </c>
      <c r="O54" s="46"/>
    </row>
    <row r="55" spans="1:15" ht="18" customHeight="1">
      <c r="A55" s="46"/>
      <c r="B55" s="46"/>
      <c r="C55" s="244" t="s">
        <v>185</v>
      </c>
      <c r="D55" s="167">
        <v>0</v>
      </c>
      <c r="E55" s="167">
        <v>0</v>
      </c>
      <c r="F55" s="162">
        <v>0</v>
      </c>
      <c r="G55" s="202"/>
      <c r="H55" s="167">
        <v>5</v>
      </c>
      <c r="I55" s="167">
        <v>0</v>
      </c>
      <c r="J55" s="167">
        <v>0</v>
      </c>
      <c r="K55" s="167">
        <v>0</v>
      </c>
      <c r="L55" s="167">
        <v>0</v>
      </c>
      <c r="M55" s="162">
        <v>5</v>
      </c>
      <c r="N55" s="163">
        <v>5</v>
      </c>
      <c r="O55" s="46"/>
    </row>
    <row r="56" spans="1:15" ht="18" customHeight="1">
      <c r="A56" s="46"/>
      <c r="B56" s="46"/>
      <c r="C56" s="244" t="s">
        <v>186</v>
      </c>
      <c r="D56" s="167">
        <v>0</v>
      </c>
      <c r="E56" s="167">
        <v>1</v>
      </c>
      <c r="F56" s="162">
        <v>1</v>
      </c>
      <c r="G56" s="202"/>
      <c r="H56" s="167">
        <v>0</v>
      </c>
      <c r="I56" s="167">
        <v>7</v>
      </c>
      <c r="J56" s="167">
        <v>2</v>
      </c>
      <c r="K56" s="167">
        <v>0</v>
      </c>
      <c r="L56" s="167">
        <v>0</v>
      </c>
      <c r="M56" s="162">
        <v>9</v>
      </c>
      <c r="N56" s="163">
        <v>10</v>
      </c>
      <c r="O56" s="46"/>
    </row>
    <row r="57" spans="1:15" ht="18" customHeight="1">
      <c r="A57" s="164"/>
      <c r="B57" s="165"/>
      <c r="C57" s="244" t="s">
        <v>187</v>
      </c>
      <c r="D57" s="167">
        <v>0</v>
      </c>
      <c r="E57" s="167">
        <v>0</v>
      </c>
      <c r="F57" s="162">
        <v>0</v>
      </c>
      <c r="G57" s="202"/>
      <c r="H57" s="167">
        <v>0</v>
      </c>
      <c r="I57" s="167">
        <v>0</v>
      </c>
      <c r="J57" s="167">
        <v>0</v>
      </c>
      <c r="K57" s="167">
        <v>0</v>
      </c>
      <c r="L57" s="167">
        <v>0</v>
      </c>
      <c r="M57" s="162">
        <v>0</v>
      </c>
      <c r="N57" s="163">
        <v>0</v>
      </c>
      <c r="O57" s="46"/>
    </row>
    <row r="58" spans="1:15" ht="18" customHeight="1">
      <c r="A58" s="164"/>
      <c r="B58" s="165"/>
      <c r="C58" s="244" t="s">
        <v>188</v>
      </c>
      <c r="D58" s="167">
        <v>0</v>
      </c>
      <c r="E58" s="167">
        <v>0</v>
      </c>
      <c r="F58" s="162">
        <v>0</v>
      </c>
      <c r="G58" s="202"/>
      <c r="H58" s="167">
        <v>0</v>
      </c>
      <c r="I58" s="167">
        <v>0</v>
      </c>
      <c r="J58" s="167">
        <v>0</v>
      </c>
      <c r="K58" s="167">
        <v>0</v>
      </c>
      <c r="L58" s="167">
        <v>0</v>
      </c>
      <c r="M58" s="162">
        <v>0</v>
      </c>
      <c r="N58" s="163">
        <v>0</v>
      </c>
      <c r="O58" s="46"/>
    </row>
    <row r="59" spans="1:15" ht="18" customHeight="1">
      <c r="A59" s="46"/>
      <c r="B59" s="46"/>
      <c r="C59" s="244" t="s">
        <v>189</v>
      </c>
      <c r="D59" s="167">
        <v>0</v>
      </c>
      <c r="E59" s="167">
        <v>0</v>
      </c>
      <c r="F59" s="162">
        <v>0</v>
      </c>
      <c r="G59" s="202"/>
      <c r="H59" s="167">
        <v>0</v>
      </c>
      <c r="I59" s="167">
        <v>0</v>
      </c>
      <c r="J59" s="167">
        <v>0</v>
      </c>
      <c r="K59" s="167">
        <v>0</v>
      </c>
      <c r="L59" s="167">
        <v>0</v>
      </c>
      <c r="M59" s="162">
        <v>0</v>
      </c>
      <c r="N59" s="163">
        <v>0</v>
      </c>
      <c r="O59" s="46"/>
    </row>
    <row r="60" spans="1:15" ht="18" customHeight="1">
      <c r="A60" s="164"/>
      <c r="B60" s="165"/>
      <c r="C60" s="244" t="s">
        <v>190</v>
      </c>
      <c r="D60" s="167">
        <v>0</v>
      </c>
      <c r="E60" s="167">
        <v>0</v>
      </c>
      <c r="F60" s="162">
        <v>0</v>
      </c>
      <c r="G60" s="202"/>
      <c r="H60" s="167">
        <v>0</v>
      </c>
      <c r="I60" s="167">
        <v>0</v>
      </c>
      <c r="J60" s="167">
        <v>0</v>
      </c>
      <c r="K60" s="167">
        <v>0</v>
      </c>
      <c r="L60" s="167">
        <v>0</v>
      </c>
      <c r="M60" s="162">
        <v>0</v>
      </c>
      <c r="N60" s="163">
        <v>0</v>
      </c>
      <c r="O60" s="46"/>
    </row>
    <row r="61" spans="1:15" ht="18" customHeight="1">
      <c r="A61" s="164"/>
      <c r="B61" s="165"/>
      <c r="C61" s="244" t="s">
        <v>191</v>
      </c>
      <c r="D61" s="167">
        <v>0</v>
      </c>
      <c r="E61" s="167">
        <v>12</v>
      </c>
      <c r="F61" s="162">
        <v>12</v>
      </c>
      <c r="G61" s="202"/>
      <c r="H61" s="167">
        <v>0</v>
      </c>
      <c r="I61" s="167">
        <v>0</v>
      </c>
      <c r="J61" s="167">
        <v>2</v>
      </c>
      <c r="K61" s="167">
        <v>2</v>
      </c>
      <c r="L61" s="167">
        <v>3</v>
      </c>
      <c r="M61" s="162">
        <v>7</v>
      </c>
      <c r="N61" s="163">
        <v>19</v>
      </c>
      <c r="O61" s="46"/>
    </row>
    <row r="62" spans="1:15" ht="18" customHeight="1">
      <c r="A62" s="189"/>
      <c r="B62" s="189"/>
      <c r="C62" s="244" t="s">
        <v>197</v>
      </c>
      <c r="D62" s="167">
        <v>0</v>
      </c>
      <c r="E62" s="167">
        <v>0</v>
      </c>
      <c r="F62" s="162">
        <v>0</v>
      </c>
      <c r="G62" s="246"/>
      <c r="H62" s="167">
        <v>0</v>
      </c>
      <c r="I62" s="167">
        <v>0</v>
      </c>
      <c r="J62" s="167">
        <v>0</v>
      </c>
      <c r="K62" s="167">
        <v>0</v>
      </c>
      <c r="L62" s="167">
        <v>0</v>
      </c>
      <c r="M62" s="162">
        <v>0</v>
      </c>
      <c r="N62" s="163">
        <v>0</v>
      </c>
      <c r="O62" s="189"/>
    </row>
    <row r="63" spans="1:15" ht="18" customHeight="1">
      <c r="A63" s="46"/>
      <c r="B63" s="46"/>
      <c r="C63" s="244" t="s">
        <v>193</v>
      </c>
      <c r="D63" s="167">
        <v>0</v>
      </c>
      <c r="E63" s="167">
        <v>0</v>
      </c>
      <c r="F63" s="162">
        <v>0</v>
      </c>
      <c r="G63" s="202"/>
      <c r="H63" s="167">
        <v>0</v>
      </c>
      <c r="I63" s="167">
        <v>0</v>
      </c>
      <c r="J63" s="167">
        <v>0</v>
      </c>
      <c r="K63" s="167">
        <v>0</v>
      </c>
      <c r="L63" s="167">
        <v>0</v>
      </c>
      <c r="M63" s="162">
        <v>0</v>
      </c>
      <c r="N63" s="163">
        <v>0</v>
      </c>
      <c r="O63" s="46"/>
    </row>
    <row r="64" spans="1:15" ht="18" customHeight="1">
      <c r="A64" s="164"/>
      <c r="B64" s="165"/>
      <c r="C64" s="248" t="s">
        <v>194</v>
      </c>
      <c r="D64" s="118">
        <v>0</v>
      </c>
      <c r="E64" s="118">
        <v>12</v>
      </c>
      <c r="F64" s="178">
        <v>12</v>
      </c>
      <c r="G64" s="249"/>
      <c r="H64" s="118">
        <v>5</v>
      </c>
      <c r="I64" s="118">
        <v>8</v>
      </c>
      <c r="J64" s="118">
        <v>2</v>
      </c>
      <c r="K64" s="118">
        <v>2</v>
      </c>
      <c r="L64" s="118">
        <v>3</v>
      </c>
      <c r="M64" s="178">
        <v>20</v>
      </c>
      <c r="N64" s="171">
        <v>32</v>
      </c>
      <c r="O64" s="46"/>
    </row>
    <row r="65" spans="1:15" ht="9" customHeight="1">
      <c r="A65" s="245"/>
      <c r="B65" s="245"/>
      <c r="C65" s="245"/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5"/>
      <c r="O65" s="245"/>
    </row>
  </sheetData>
  <mergeCells count="2">
    <mergeCell ref="A3:O3"/>
    <mergeCell ref="A4:O4"/>
  </mergeCells>
  <phoneticPr fontId="3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6"/>
  <sheetViews>
    <sheetView workbookViewId="0"/>
  </sheetViews>
  <sheetFormatPr defaultRowHeight="0" customHeight="1" zeroHeight="1"/>
  <cols>
    <col min="1" max="2" width="2.33203125" customWidth="1"/>
    <col min="3" max="3" width="40.77734375" customWidth="1"/>
    <col min="4" max="14" width="14.44140625" customWidth="1"/>
    <col min="15" max="15" width="4" customWidth="1"/>
  </cols>
  <sheetData>
    <row r="1" spans="1:15" ht="18" customHeight="1">
      <c r="A1" s="84" t="s">
        <v>177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2"/>
    </row>
    <row r="2" spans="1:15" ht="18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2"/>
    </row>
    <row r="3" spans="1:15" ht="18" customHeight="1">
      <c r="A3" s="723" t="s">
        <v>1</v>
      </c>
      <c r="B3" s="723"/>
      <c r="C3" s="723"/>
      <c r="D3" s="723"/>
      <c r="E3" s="723"/>
      <c r="F3" s="723"/>
      <c r="G3" s="723"/>
      <c r="H3" s="723"/>
      <c r="I3" s="723"/>
      <c r="J3" s="723"/>
      <c r="K3" s="723"/>
      <c r="L3" s="723"/>
      <c r="M3" s="723"/>
      <c r="N3" s="723"/>
      <c r="O3" s="723"/>
    </row>
    <row r="4" spans="1:15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</row>
    <row r="5" spans="1:15" ht="18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7" t="s">
        <v>32</v>
      </c>
      <c r="N5" s="152" t="s">
        <v>4</v>
      </c>
      <c r="O5" s="41"/>
    </row>
    <row r="6" spans="1:15" ht="18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7" t="s">
        <v>33</v>
      </c>
      <c r="N6" s="180" t="s">
        <v>6</v>
      </c>
      <c r="O6" s="41" t="s">
        <v>7</v>
      </c>
    </row>
    <row r="7" spans="1:15" ht="18" customHeight="1">
      <c r="A7" s="39" t="s">
        <v>34</v>
      </c>
      <c r="B7" s="45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1"/>
    </row>
    <row r="8" spans="1:15" ht="18" customHeight="1">
      <c r="A8" s="46"/>
      <c r="B8" s="39" t="s">
        <v>198</v>
      </c>
      <c r="C8" s="39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1"/>
    </row>
    <row r="9" spans="1:15" ht="18" customHeight="1">
      <c r="A9" s="46"/>
      <c r="B9" s="45"/>
      <c r="C9" s="39" t="s">
        <v>179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1"/>
    </row>
    <row r="10" spans="1:15" ht="18" customHeight="1">
      <c r="A10" s="188"/>
      <c r="B10" s="189"/>
      <c r="C10" s="190"/>
      <c r="D10" s="191"/>
      <c r="E10" s="192"/>
      <c r="F10" s="192"/>
      <c r="G10" s="191"/>
      <c r="H10" s="192"/>
      <c r="I10" s="192"/>
      <c r="J10" s="192"/>
      <c r="K10" s="192"/>
      <c r="L10" s="192"/>
      <c r="M10" s="192"/>
      <c r="N10" s="191"/>
      <c r="O10" s="189"/>
    </row>
    <row r="11" spans="1:15" ht="18" customHeight="1">
      <c r="A11" s="46"/>
      <c r="B11" s="46"/>
      <c r="C11" s="239"/>
      <c r="D11" s="240" t="s">
        <v>152</v>
      </c>
      <c r="E11" s="240" t="s">
        <v>153</v>
      </c>
      <c r="F11" s="241" t="s">
        <v>14</v>
      </c>
      <c r="G11" s="242" t="s">
        <v>154</v>
      </c>
      <c r="H11" s="240" t="s">
        <v>155</v>
      </c>
      <c r="I11" s="240" t="s">
        <v>156</v>
      </c>
      <c r="J11" s="240" t="s">
        <v>157</v>
      </c>
      <c r="K11" s="240" t="s">
        <v>158</v>
      </c>
      <c r="L11" s="240" t="s">
        <v>159</v>
      </c>
      <c r="M11" s="241" t="s">
        <v>14</v>
      </c>
      <c r="N11" s="243" t="s">
        <v>109</v>
      </c>
      <c r="O11" s="46"/>
    </row>
    <row r="12" spans="1:15" ht="18" customHeight="1">
      <c r="A12" s="164"/>
      <c r="B12" s="165"/>
      <c r="C12" s="244" t="s">
        <v>199</v>
      </c>
      <c r="D12" s="167">
        <v>0</v>
      </c>
      <c r="E12" s="167">
        <v>0</v>
      </c>
      <c r="F12" s="162">
        <v>0</v>
      </c>
      <c r="G12" s="202"/>
      <c r="H12" s="167">
        <v>1026</v>
      </c>
      <c r="I12" s="167">
        <v>1259</v>
      </c>
      <c r="J12" s="167">
        <v>3003</v>
      </c>
      <c r="K12" s="167">
        <v>867</v>
      </c>
      <c r="L12" s="167">
        <v>2309</v>
      </c>
      <c r="M12" s="162">
        <v>8464</v>
      </c>
      <c r="N12" s="163">
        <v>8464</v>
      </c>
      <c r="O12" s="46"/>
    </row>
    <row r="13" spans="1:15" ht="18" customHeight="1">
      <c r="A13" s="164"/>
      <c r="B13" s="165"/>
      <c r="C13" s="244" t="s">
        <v>200</v>
      </c>
      <c r="D13" s="167">
        <v>20</v>
      </c>
      <c r="E13" s="167">
        <v>0</v>
      </c>
      <c r="F13" s="162">
        <v>20</v>
      </c>
      <c r="G13" s="202"/>
      <c r="H13" s="167">
        <v>0</v>
      </c>
      <c r="I13" s="167">
        <v>67</v>
      </c>
      <c r="J13" s="167">
        <v>64</v>
      </c>
      <c r="K13" s="167">
        <v>33</v>
      </c>
      <c r="L13" s="167">
        <v>42</v>
      </c>
      <c r="M13" s="162">
        <v>206</v>
      </c>
      <c r="N13" s="163">
        <v>226</v>
      </c>
      <c r="O13" s="46"/>
    </row>
    <row r="14" spans="1:15" ht="18" customHeight="1">
      <c r="A14" s="164"/>
      <c r="B14" s="165"/>
      <c r="C14" s="244" t="s">
        <v>201</v>
      </c>
      <c r="D14" s="167">
        <v>34</v>
      </c>
      <c r="E14" s="167">
        <v>0</v>
      </c>
      <c r="F14" s="162">
        <v>34</v>
      </c>
      <c r="G14" s="202"/>
      <c r="H14" s="167">
        <v>3</v>
      </c>
      <c r="I14" s="167">
        <v>575</v>
      </c>
      <c r="J14" s="167">
        <v>52</v>
      </c>
      <c r="K14" s="167">
        <v>45</v>
      </c>
      <c r="L14" s="167">
        <v>11</v>
      </c>
      <c r="M14" s="162">
        <v>686</v>
      </c>
      <c r="N14" s="163">
        <v>720</v>
      </c>
      <c r="O14" s="46"/>
    </row>
    <row r="15" spans="1:15" ht="18" customHeight="1">
      <c r="A15" s="164"/>
      <c r="B15" s="165"/>
      <c r="C15" s="244" t="s">
        <v>202</v>
      </c>
      <c r="D15" s="167">
        <v>299</v>
      </c>
      <c r="E15" s="167">
        <v>393</v>
      </c>
      <c r="F15" s="162">
        <v>692</v>
      </c>
      <c r="G15" s="202"/>
      <c r="H15" s="167">
        <v>42</v>
      </c>
      <c r="I15" s="167">
        <v>905</v>
      </c>
      <c r="J15" s="167">
        <v>356</v>
      </c>
      <c r="K15" s="167">
        <v>28</v>
      </c>
      <c r="L15" s="167">
        <v>38</v>
      </c>
      <c r="M15" s="162">
        <v>1369</v>
      </c>
      <c r="N15" s="163">
        <v>2061</v>
      </c>
      <c r="O15" s="46"/>
    </row>
    <row r="16" spans="1:15" ht="18" customHeight="1">
      <c r="A16" s="164"/>
      <c r="B16" s="165"/>
      <c r="C16" s="244" t="s">
        <v>203</v>
      </c>
      <c r="D16" s="167">
        <v>0</v>
      </c>
      <c r="E16" s="167">
        <v>0</v>
      </c>
      <c r="F16" s="162">
        <v>0</v>
      </c>
      <c r="G16" s="202"/>
      <c r="H16" s="167">
        <v>1056</v>
      </c>
      <c r="I16" s="167">
        <v>1496</v>
      </c>
      <c r="J16" s="167">
        <v>2145</v>
      </c>
      <c r="K16" s="167">
        <v>1090</v>
      </c>
      <c r="L16" s="167">
        <v>631</v>
      </c>
      <c r="M16" s="162">
        <v>6418</v>
      </c>
      <c r="N16" s="163">
        <v>6418</v>
      </c>
      <c r="O16" s="46"/>
    </row>
    <row r="17" spans="1:15" ht="18" customHeight="1">
      <c r="A17" s="164"/>
      <c r="B17" s="165"/>
      <c r="C17" s="244" t="s">
        <v>204</v>
      </c>
      <c r="D17" s="167">
        <v>0</v>
      </c>
      <c r="E17" s="167">
        <v>0</v>
      </c>
      <c r="F17" s="162">
        <v>0</v>
      </c>
      <c r="G17" s="202"/>
      <c r="H17" s="167">
        <v>1407</v>
      </c>
      <c r="I17" s="167">
        <v>3251</v>
      </c>
      <c r="J17" s="167">
        <v>3590</v>
      </c>
      <c r="K17" s="167">
        <v>737</v>
      </c>
      <c r="L17" s="167">
        <v>135</v>
      </c>
      <c r="M17" s="162">
        <v>9120</v>
      </c>
      <c r="N17" s="163">
        <v>9120</v>
      </c>
      <c r="O17" s="46"/>
    </row>
    <row r="18" spans="1:15" ht="18" customHeight="1">
      <c r="A18" s="164"/>
      <c r="B18" s="165"/>
      <c r="C18" s="244" t="s">
        <v>205</v>
      </c>
      <c r="D18" s="167">
        <v>0</v>
      </c>
      <c r="E18" s="167">
        <v>5</v>
      </c>
      <c r="F18" s="162">
        <v>5</v>
      </c>
      <c r="G18" s="202"/>
      <c r="H18" s="167">
        <v>46</v>
      </c>
      <c r="I18" s="167">
        <v>152</v>
      </c>
      <c r="J18" s="167">
        <v>535</v>
      </c>
      <c r="K18" s="167">
        <v>777</v>
      </c>
      <c r="L18" s="167">
        <v>152</v>
      </c>
      <c r="M18" s="162">
        <v>1662</v>
      </c>
      <c r="N18" s="163">
        <v>1667</v>
      </c>
      <c r="O18" s="46"/>
    </row>
    <row r="19" spans="1:15" ht="18" customHeight="1">
      <c r="A19" s="164"/>
      <c r="B19" s="165"/>
      <c r="C19" s="244" t="s">
        <v>206</v>
      </c>
      <c r="D19" s="167">
        <v>0</v>
      </c>
      <c r="E19" s="167">
        <v>4</v>
      </c>
      <c r="F19" s="162">
        <v>4</v>
      </c>
      <c r="G19" s="202"/>
      <c r="H19" s="167">
        <v>65</v>
      </c>
      <c r="I19" s="167">
        <v>96</v>
      </c>
      <c r="J19" s="167">
        <v>354</v>
      </c>
      <c r="K19" s="167">
        <v>148</v>
      </c>
      <c r="L19" s="167">
        <v>44</v>
      </c>
      <c r="M19" s="162">
        <v>707</v>
      </c>
      <c r="N19" s="163">
        <v>711</v>
      </c>
      <c r="O19" s="46"/>
    </row>
    <row r="20" spans="1:15" ht="18" customHeight="1">
      <c r="A20" s="164"/>
      <c r="B20" s="165"/>
      <c r="C20" s="244" t="s">
        <v>207</v>
      </c>
      <c r="D20" s="167">
        <v>0</v>
      </c>
      <c r="E20" s="167">
        <v>0</v>
      </c>
      <c r="F20" s="162">
        <v>0</v>
      </c>
      <c r="G20" s="202"/>
      <c r="H20" s="167">
        <v>0</v>
      </c>
      <c r="I20" s="167">
        <v>0</v>
      </c>
      <c r="J20" s="167">
        <v>0</v>
      </c>
      <c r="K20" s="167">
        <v>0</v>
      </c>
      <c r="L20" s="167">
        <v>0</v>
      </c>
      <c r="M20" s="162">
        <v>0</v>
      </c>
      <c r="N20" s="163">
        <v>0</v>
      </c>
      <c r="O20" s="46"/>
    </row>
    <row r="21" spans="1:15" ht="18" customHeight="1">
      <c r="A21" s="189"/>
      <c r="B21" s="189"/>
      <c r="C21" s="250" t="s">
        <v>208</v>
      </c>
      <c r="D21" s="251">
        <v>0</v>
      </c>
      <c r="E21" s="251">
        <v>0</v>
      </c>
      <c r="F21" s="252">
        <v>0</v>
      </c>
      <c r="G21" s="253"/>
      <c r="H21" s="251">
        <v>0</v>
      </c>
      <c r="I21" s="251">
        <v>0</v>
      </c>
      <c r="J21" s="251">
        <v>0</v>
      </c>
      <c r="K21" s="251">
        <v>0</v>
      </c>
      <c r="L21" s="251">
        <v>0</v>
      </c>
      <c r="M21" s="252">
        <v>0</v>
      </c>
      <c r="N21" s="254">
        <v>0</v>
      </c>
      <c r="O21" s="189"/>
    </row>
    <row r="22" spans="1:15" ht="18" customHeight="1">
      <c r="A22" s="46"/>
      <c r="B22" s="46"/>
      <c r="C22" s="248" t="s">
        <v>209</v>
      </c>
      <c r="D22" s="118">
        <v>0</v>
      </c>
      <c r="E22" s="118">
        <v>0</v>
      </c>
      <c r="F22" s="178">
        <v>0</v>
      </c>
      <c r="G22" s="255"/>
      <c r="H22" s="118">
        <v>0</v>
      </c>
      <c r="I22" s="118">
        <v>0</v>
      </c>
      <c r="J22" s="118">
        <v>0</v>
      </c>
      <c r="K22" s="118">
        <v>0</v>
      </c>
      <c r="L22" s="118">
        <v>0</v>
      </c>
      <c r="M22" s="178">
        <v>0</v>
      </c>
      <c r="N22" s="171">
        <v>0</v>
      </c>
      <c r="O22" s="46"/>
    </row>
    <row r="23" spans="1:15" ht="18" customHeight="1">
      <c r="A23" s="46"/>
      <c r="B23" s="46"/>
      <c r="C23" s="181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</row>
    <row r="24" spans="1:15" ht="12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</row>
    <row r="25" spans="1:15" ht="18" customHeight="1">
      <c r="A25" s="46"/>
      <c r="B25" s="46"/>
      <c r="C25" s="39" t="s">
        <v>195</v>
      </c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</row>
    <row r="26" spans="1:15" ht="18" customHeight="1">
      <c r="A26" s="188"/>
      <c r="B26" s="189"/>
      <c r="C26" s="190"/>
      <c r="D26" s="191"/>
      <c r="E26" s="192"/>
      <c r="F26" s="192"/>
      <c r="G26" s="191"/>
      <c r="H26" s="192"/>
      <c r="I26" s="192"/>
      <c r="J26" s="192"/>
      <c r="K26" s="192"/>
      <c r="L26" s="192"/>
      <c r="M26" s="192"/>
      <c r="N26" s="191"/>
      <c r="O26" s="189"/>
    </row>
    <row r="27" spans="1:15" ht="18" customHeight="1">
      <c r="A27" s="164"/>
      <c r="B27" s="165"/>
      <c r="C27" s="239"/>
      <c r="D27" s="240" t="s">
        <v>152</v>
      </c>
      <c r="E27" s="240" t="s">
        <v>153</v>
      </c>
      <c r="F27" s="241" t="s">
        <v>14</v>
      </c>
      <c r="G27" s="242" t="s">
        <v>154</v>
      </c>
      <c r="H27" s="240" t="s">
        <v>155</v>
      </c>
      <c r="I27" s="240" t="s">
        <v>156</v>
      </c>
      <c r="J27" s="240" t="s">
        <v>157</v>
      </c>
      <c r="K27" s="240" t="s">
        <v>158</v>
      </c>
      <c r="L27" s="240" t="s">
        <v>159</v>
      </c>
      <c r="M27" s="241" t="s">
        <v>14</v>
      </c>
      <c r="N27" s="243" t="s">
        <v>109</v>
      </c>
      <c r="O27" s="46"/>
    </row>
    <row r="28" spans="1:15" ht="18" customHeight="1">
      <c r="A28" s="46"/>
      <c r="B28" s="46"/>
      <c r="C28" s="244" t="s">
        <v>199</v>
      </c>
      <c r="D28" s="167">
        <v>0</v>
      </c>
      <c r="E28" s="167">
        <v>0</v>
      </c>
      <c r="F28" s="162">
        <v>0</v>
      </c>
      <c r="G28" s="202"/>
      <c r="H28" s="167">
        <v>0</v>
      </c>
      <c r="I28" s="167">
        <v>53</v>
      </c>
      <c r="J28" s="167">
        <v>0</v>
      </c>
      <c r="K28" s="167">
        <v>0</v>
      </c>
      <c r="L28" s="167">
        <v>0</v>
      </c>
      <c r="M28" s="162">
        <v>53</v>
      </c>
      <c r="N28" s="163">
        <v>53</v>
      </c>
      <c r="O28" s="46"/>
    </row>
    <row r="29" spans="1:15" ht="18" customHeight="1">
      <c r="A29" s="46"/>
      <c r="B29" s="46"/>
      <c r="C29" s="244" t="s">
        <v>200</v>
      </c>
      <c r="D29" s="167">
        <v>0</v>
      </c>
      <c r="E29" s="167">
        <v>0</v>
      </c>
      <c r="F29" s="162">
        <v>0</v>
      </c>
      <c r="G29" s="202"/>
      <c r="H29" s="167">
        <v>0</v>
      </c>
      <c r="I29" s="167">
        <v>0</v>
      </c>
      <c r="J29" s="167">
        <v>0</v>
      </c>
      <c r="K29" s="167">
        <v>0</v>
      </c>
      <c r="L29" s="167">
        <v>0</v>
      </c>
      <c r="M29" s="162">
        <v>0</v>
      </c>
      <c r="N29" s="163">
        <v>0</v>
      </c>
      <c r="O29" s="46"/>
    </row>
    <row r="30" spans="1:15" ht="18" customHeight="1">
      <c r="A30" s="46"/>
      <c r="B30" s="46"/>
      <c r="C30" s="244" t="s">
        <v>201</v>
      </c>
      <c r="D30" s="167">
        <v>0</v>
      </c>
      <c r="E30" s="167">
        <v>0</v>
      </c>
      <c r="F30" s="162">
        <v>0</v>
      </c>
      <c r="G30" s="247"/>
      <c r="H30" s="167">
        <v>0</v>
      </c>
      <c r="I30" s="167">
        <v>233</v>
      </c>
      <c r="J30" s="167">
        <v>0</v>
      </c>
      <c r="K30" s="167">
        <v>0</v>
      </c>
      <c r="L30" s="167">
        <v>0</v>
      </c>
      <c r="M30" s="162">
        <v>233</v>
      </c>
      <c r="N30" s="163">
        <v>233</v>
      </c>
      <c r="O30" s="46"/>
    </row>
    <row r="31" spans="1:15" ht="18" customHeight="1">
      <c r="A31" s="46"/>
      <c r="B31" s="46"/>
      <c r="C31" s="244" t="s">
        <v>202</v>
      </c>
      <c r="D31" s="167">
        <v>0</v>
      </c>
      <c r="E31" s="167">
        <v>0</v>
      </c>
      <c r="F31" s="162">
        <v>0</v>
      </c>
      <c r="G31" s="202"/>
      <c r="H31" s="167">
        <v>0</v>
      </c>
      <c r="I31" s="167">
        <v>222</v>
      </c>
      <c r="J31" s="167">
        <v>0</v>
      </c>
      <c r="K31" s="167">
        <v>0</v>
      </c>
      <c r="L31" s="167">
        <v>0</v>
      </c>
      <c r="M31" s="162">
        <v>222</v>
      </c>
      <c r="N31" s="163">
        <v>222</v>
      </c>
      <c r="O31" s="46"/>
    </row>
    <row r="32" spans="1:15" ht="18" customHeight="1">
      <c r="A32" s="46"/>
      <c r="B32" s="46"/>
      <c r="C32" s="244" t="s">
        <v>203</v>
      </c>
      <c r="D32" s="167">
        <v>0</v>
      </c>
      <c r="E32" s="167">
        <v>0</v>
      </c>
      <c r="F32" s="162">
        <v>0</v>
      </c>
      <c r="G32" s="202"/>
      <c r="H32" s="167">
        <v>10</v>
      </c>
      <c r="I32" s="167">
        <v>0</v>
      </c>
      <c r="J32" s="167">
        <v>106</v>
      </c>
      <c r="K32" s="167">
        <v>60</v>
      </c>
      <c r="L32" s="167">
        <v>0</v>
      </c>
      <c r="M32" s="162">
        <v>176</v>
      </c>
      <c r="N32" s="163">
        <v>176</v>
      </c>
      <c r="O32" s="46"/>
    </row>
    <row r="33" spans="1:15" ht="18" customHeight="1">
      <c r="A33" s="46"/>
      <c r="B33" s="46"/>
      <c r="C33" s="244" t="s">
        <v>204</v>
      </c>
      <c r="D33" s="167">
        <v>0</v>
      </c>
      <c r="E33" s="167">
        <v>0</v>
      </c>
      <c r="F33" s="162">
        <v>0</v>
      </c>
      <c r="G33" s="202"/>
      <c r="H33" s="167">
        <v>36</v>
      </c>
      <c r="I33" s="167">
        <v>60</v>
      </c>
      <c r="J33" s="167">
        <v>8</v>
      </c>
      <c r="K33" s="167">
        <v>20</v>
      </c>
      <c r="L33" s="167">
        <v>0</v>
      </c>
      <c r="M33" s="162">
        <v>124</v>
      </c>
      <c r="N33" s="163">
        <v>124</v>
      </c>
      <c r="O33" s="46"/>
    </row>
    <row r="34" spans="1:15" ht="18" customHeight="1">
      <c r="A34" s="46"/>
      <c r="B34" s="46"/>
      <c r="C34" s="244" t="s">
        <v>205</v>
      </c>
      <c r="D34" s="167">
        <v>0</v>
      </c>
      <c r="E34" s="167">
        <v>0</v>
      </c>
      <c r="F34" s="162">
        <v>0</v>
      </c>
      <c r="G34" s="202"/>
      <c r="H34" s="167">
        <v>0</v>
      </c>
      <c r="I34" s="167">
        <v>0</v>
      </c>
      <c r="J34" s="167">
        <v>0</v>
      </c>
      <c r="K34" s="167">
        <v>0</v>
      </c>
      <c r="L34" s="167">
        <v>0</v>
      </c>
      <c r="M34" s="162">
        <v>0</v>
      </c>
      <c r="N34" s="163">
        <v>0</v>
      </c>
      <c r="O34" s="46"/>
    </row>
    <row r="35" spans="1:15" ht="18" customHeight="1">
      <c r="A35" s="164"/>
      <c r="B35" s="165"/>
      <c r="C35" s="244" t="s">
        <v>206</v>
      </c>
      <c r="D35" s="167">
        <v>0</v>
      </c>
      <c r="E35" s="167">
        <v>0</v>
      </c>
      <c r="F35" s="162">
        <v>0</v>
      </c>
      <c r="G35" s="202"/>
      <c r="H35" s="167">
        <v>0</v>
      </c>
      <c r="I35" s="167">
        <v>0</v>
      </c>
      <c r="J35" s="167">
        <v>0</v>
      </c>
      <c r="K35" s="167">
        <v>0</v>
      </c>
      <c r="L35" s="167">
        <v>0</v>
      </c>
      <c r="M35" s="162">
        <v>0</v>
      </c>
      <c r="N35" s="163">
        <v>0</v>
      </c>
      <c r="O35" s="46"/>
    </row>
    <row r="36" spans="1:15" ht="18" customHeight="1">
      <c r="A36" s="164"/>
      <c r="B36" s="165"/>
      <c r="C36" s="244" t="s">
        <v>207</v>
      </c>
      <c r="D36" s="167">
        <v>0</v>
      </c>
      <c r="E36" s="167">
        <v>0</v>
      </c>
      <c r="F36" s="162">
        <v>0</v>
      </c>
      <c r="G36" s="202"/>
      <c r="H36" s="167">
        <v>0</v>
      </c>
      <c r="I36" s="167">
        <v>0</v>
      </c>
      <c r="J36" s="167">
        <v>0</v>
      </c>
      <c r="K36" s="167">
        <v>0</v>
      </c>
      <c r="L36" s="167">
        <v>0</v>
      </c>
      <c r="M36" s="162">
        <v>0</v>
      </c>
      <c r="N36" s="163">
        <v>0</v>
      </c>
      <c r="O36" s="46"/>
    </row>
    <row r="37" spans="1:15" ht="18" customHeight="1">
      <c r="A37" s="188"/>
      <c r="B37" s="189"/>
      <c r="C37" s="244" t="s">
        <v>208</v>
      </c>
      <c r="D37" s="167">
        <v>0</v>
      </c>
      <c r="E37" s="167">
        <v>0</v>
      </c>
      <c r="F37" s="162">
        <v>0</v>
      </c>
      <c r="G37" s="256"/>
      <c r="H37" s="167">
        <v>0</v>
      </c>
      <c r="I37" s="167">
        <v>0</v>
      </c>
      <c r="J37" s="167">
        <v>0</v>
      </c>
      <c r="K37" s="167">
        <v>0</v>
      </c>
      <c r="L37" s="167">
        <v>0</v>
      </c>
      <c r="M37" s="162">
        <v>0</v>
      </c>
      <c r="N37" s="163">
        <v>0</v>
      </c>
      <c r="O37" s="189"/>
    </row>
    <row r="38" spans="1:15" ht="18" customHeight="1">
      <c r="A38" s="164"/>
      <c r="B38" s="165"/>
      <c r="C38" s="257" t="s">
        <v>209</v>
      </c>
      <c r="D38" s="258">
        <v>0</v>
      </c>
      <c r="E38" s="258">
        <v>0</v>
      </c>
      <c r="F38" s="259">
        <v>0</v>
      </c>
      <c r="G38" s="260"/>
      <c r="H38" s="258">
        <v>0</v>
      </c>
      <c r="I38" s="258">
        <v>0</v>
      </c>
      <c r="J38" s="258">
        <v>0</v>
      </c>
      <c r="K38" s="258">
        <v>0</v>
      </c>
      <c r="L38" s="258">
        <v>0</v>
      </c>
      <c r="M38" s="259">
        <v>0</v>
      </c>
      <c r="N38" s="261">
        <v>0</v>
      </c>
      <c r="O38" s="46"/>
    </row>
    <row r="39" spans="1:15" ht="18" customHeight="1">
      <c r="A39" s="164"/>
      <c r="B39" s="165"/>
      <c r="C39" s="181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</row>
    <row r="40" spans="1:15" ht="12" customHeight="1">
      <c r="A40" s="164"/>
      <c r="B40" s="165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</row>
    <row r="41" spans="1:15" ht="18" customHeight="1">
      <c r="A41" s="46"/>
      <c r="B41" s="46"/>
      <c r="C41" s="39" t="s">
        <v>196</v>
      </c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</row>
    <row r="42" spans="1:15" ht="18" customHeight="1">
      <c r="A42" s="188"/>
      <c r="B42" s="189"/>
      <c r="C42" s="190"/>
      <c r="D42" s="191"/>
      <c r="E42" s="192"/>
      <c r="F42" s="192"/>
      <c r="G42" s="191"/>
      <c r="H42" s="192"/>
      <c r="I42" s="192"/>
      <c r="J42" s="192"/>
      <c r="K42" s="192"/>
      <c r="L42" s="192"/>
      <c r="M42" s="192"/>
      <c r="N42" s="191"/>
      <c r="O42" s="189"/>
    </row>
    <row r="43" spans="1:15" ht="18" customHeight="1">
      <c r="A43" s="164"/>
      <c r="B43" s="165"/>
      <c r="C43" s="239"/>
      <c r="D43" s="240" t="s">
        <v>152</v>
      </c>
      <c r="E43" s="240" t="s">
        <v>153</v>
      </c>
      <c r="F43" s="241" t="s">
        <v>14</v>
      </c>
      <c r="G43" s="242" t="s">
        <v>154</v>
      </c>
      <c r="H43" s="240" t="s">
        <v>155</v>
      </c>
      <c r="I43" s="240" t="s">
        <v>156</v>
      </c>
      <c r="J43" s="240" t="s">
        <v>157</v>
      </c>
      <c r="K43" s="240" t="s">
        <v>158</v>
      </c>
      <c r="L43" s="240" t="s">
        <v>159</v>
      </c>
      <c r="M43" s="241" t="s">
        <v>14</v>
      </c>
      <c r="N43" s="243" t="s">
        <v>109</v>
      </c>
      <c r="O43" s="46"/>
    </row>
    <row r="44" spans="1:15" ht="18" customHeight="1">
      <c r="A44" s="46"/>
      <c r="B44" s="46"/>
      <c r="C44" s="244" t="s">
        <v>199</v>
      </c>
      <c r="D44" s="167">
        <v>0</v>
      </c>
      <c r="E44" s="167">
        <v>0</v>
      </c>
      <c r="F44" s="162">
        <v>0</v>
      </c>
      <c r="G44" s="202"/>
      <c r="H44" s="167">
        <v>0</v>
      </c>
      <c r="I44" s="167">
        <v>0</v>
      </c>
      <c r="J44" s="167">
        <v>0</v>
      </c>
      <c r="K44" s="167">
        <v>0</v>
      </c>
      <c r="L44" s="167">
        <v>0</v>
      </c>
      <c r="M44" s="162">
        <v>0</v>
      </c>
      <c r="N44" s="163">
        <v>0</v>
      </c>
      <c r="O44" s="46"/>
    </row>
    <row r="45" spans="1:15" ht="18" customHeight="1">
      <c r="A45" s="46"/>
      <c r="B45" s="46"/>
      <c r="C45" s="244" t="s">
        <v>200</v>
      </c>
      <c r="D45" s="167">
        <v>0</v>
      </c>
      <c r="E45" s="167">
        <v>0</v>
      </c>
      <c r="F45" s="162">
        <v>0</v>
      </c>
      <c r="G45" s="202"/>
      <c r="H45" s="167">
        <v>0</v>
      </c>
      <c r="I45" s="167">
        <v>0</v>
      </c>
      <c r="J45" s="167">
        <v>0</v>
      </c>
      <c r="K45" s="167">
        <v>0</v>
      </c>
      <c r="L45" s="167">
        <v>20</v>
      </c>
      <c r="M45" s="162">
        <v>20</v>
      </c>
      <c r="N45" s="163">
        <v>20</v>
      </c>
      <c r="O45" s="46"/>
    </row>
    <row r="46" spans="1:15" ht="18" customHeight="1">
      <c r="A46" s="46"/>
      <c r="B46" s="46"/>
      <c r="C46" s="244" t="s">
        <v>201</v>
      </c>
      <c r="D46" s="167">
        <v>0</v>
      </c>
      <c r="E46" s="167">
        <v>0</v>
      </c>
      <c r="F46" s="162">
        <v>0</v>
      </c>
      <c r="G46" s="247"/>
      <c r="H46" s="167">
        <v>0</v>
      </c>
      <c r="I46" s="167">
        <v>0</v>
      </c>
      <c r="J46" s="167">
        <v>0</v>
      </c>
      <c r="K46" s="167">
        <v>0</v>
      </c>
      <c r="L46" s="167">
        <v>0</v>
      </c>
      <c r="M46" s="162">
        <v>0</v>
      </c>
      <c r="N46" s="163">
        <v>0</v>
      </c>
      <c r="O46" s="46"/>
    </row>
    <row r="47" spans="1:15" ht="18" customHeight="1">
      <c r="A47" s="46"/>
      <c r="B47" s="46"/>
      <c r="C47" s="244" t="s">
        <v>202</v>
      </c>
      <c r="D47" s="167">
        <v>0</v>
      </c>
      <c r="E47" s="167">
        <v>0</v>
      </c>
      <c r="F47" s="162">
        <v>0</v>
      </c>
      <c r="G47" s="202"/>
      <c r="H47" s="167">
        <v>0</v>
      </c>
      <c r="I47" s="167">
        <v>0</v>
      </c>
      <c r="J47" s="167">
        <v>0</v>
      </c>
      <c r="K47" s="167">
        <v>0</v>
      </c>
      <c r="L47" s="167">
        <v>38</v>
      </c>
      <c r="M47" s="162">
        <v>38</v>
      </c>
      <c r="N47" s="163">
        <v>38</v>
      </c>
      <c r="O47" s="46"/>
    </row>
    <row r="48" spans="1:15" ht="18" customHeight="1">
      <c r="A48" s="46"/>
      <c r="B48" s="46"/>
      <c r="C48" s="244" t="s">
        <v>203</v>
      </c>
      <c r="D48" s="167">
        <v>0</v>
      </c>
      <c r="E48" s="167">
        <v>0</v>
      </c>
      <c r="F48" s="162">
        <v>0</v>
      </c>
      <c r="G48" s="202"/>
      <c r="H48" s="167">
        <v>39</v>
      </c>
      <c r="I48" s="167">
        <v>0</v>
      </c>
      <c r="J48" s="167">
        <v>0</v>
      </c>
      <c r="K48" s="167">
        <v>0</v>
      </c>
      <c r="L48" s="167">
        <v>0</v>
      </c>
      <c r="M48" s="162">
        <v>39</v>
      </c>
      <c r="N48" s="163">
        <v>39</v>
      </c>
      <c r="O48" s="46"/>
    </row>
    <row r="49" spans="1:15" ht="18" customHeight="1">
      <c r="A49" s="46"/>
      <c r="B49" s="46"/>
      <c r="C49" s="244" t="s">
        <v>204</v>
      </c>
      <c r="D49" s="167">
        <v>0</v>
      </c>
      <c r="E49" s="167">
        <v>0</v>
      </c>
      <c r="F49" s="162">
        <v>0</v>
      </c>
      <c r="G49" s="202"/>
      <c r="H49" s="167">
        <v>0</v>
      </c>
      <c r="I49" s="167">
        <v>90</v>
      </c>
      <c r="J49" s="167">
        <v>17</v>
      </c>
      <c r="K49" s="167">
        <v>0</v>
      </c>
      <c r="L49" s="167">
        <v>0</v>
      </c>
      <c r="M49" s="162">
        <v>107</v>
      </c>
      <c r="N49" s="163">
        <v>107</v>
      </c>
      <c r="O49" s="46"/>
    </row>
    <row r="50" spans="1:15" ht="18" customHeight="1">
      <c r="A50" s="46"/>
      <c r="B50" s="46"/>
      <c r="C50" s="244" t="s">
        <v>205</v>
      </c>
      <c r="D50" s="167">
        <v>0</v>
      </c>
      <c r="E50" s="167">
        <v>0</v>
      </c>
      <c r="F50" s="162">
        <v>0</v>
      </c>
      <c r="G50" s="202"/>
      <c r="H50" s="167">
        <v>0</v>
      </c>
      <c r="I50" s="167">
        <v>0</v>
      </c>
      <c r="J50" s="167">
        <v>0</v>
      </c>
      <c r="K50" s="167">
        <v>0</v>
      </c>
      <c r="L50" s="167">
        <v>0</v>
      </c>
      <c r="M50" s="162">
        <v>0</v>
      </c>
      <c r="N50" s="163">
        <v>0</v>
      </c>
      <c r="O50" s="46"/>
    </row>
    <row r="51" spans="1:15" ht="18" customHeight="1">
      <c r="A51" s="164"/>
      <c r="B51" s="165"/>
      <c r="C51" s="244" t="s">
        <v>206</v>
      </c>
      <c r="D51" s="167">
        <v>0</v>
      </c>
      <c r="E51" s="167">
        <v>0</v>
      </c>
      <c r="F51" s="162">
        <v>0</v>
      </c>
      <c r="G51" s="202"/>
      <c r="H51" s="167">
        <v>0</v>
      </c>
      <c r="I51" s="167">
        <v>0</v>
      </c>
      <c r="J51" s="167">
        <v>0</v>
      </c>
      <c r="K51" s="167">
        <v>0</v>
      </c>
      <c r="L51" s="167">
        <v>0</v>
      </c>
      <c r="M51" s="162">
        <v>0</v>
      </c>
      <c r="N51" s="163">
        <v>0</v>
      </c>
      <c r="O51" s="46"/>
    </row>
    <row r="52" spans="1:15" ht="18" customHeight="1">
      <c r="A52" s="46"/>
      <c r="B52" s="46"/>
      <c r="C52" s="244" t="s">
        <v>207</v>
      </c>
      <c r="D52" s="167">
        <v>0</v>
      </c>
      <c r="E52" s="167">
        <v>0</v>
      </c>
      <c r="F52" s="162">
        <v>0</v>
      </c>
      <c r="G52" s="202"/>
      <c r="H52" s="167">
        <v>0</v>
      </c>
      <c r="I52" s="167">
        <v>0</v>
      </c>
      <c r="J52" s="167">
        <v>0</v>
      </c>
      <c r="K52" s="167">
        <v>0</v>
      </c>
      <c r="L52" s="167">
        <v>0</v>
      </c>
      <c r="M52" s="162">
        <v>0</v>
      </c>
      <c r="N52" s="163">
        <v>0</v>
      </c>
      <c r="O52" s="46"/>
    </row>
    <row r="53" spans="1:15" ht="18" customHeight="1">
      <c r="A53" s="188"/>
      <c r="B53" s="189"/>
      <c r="C53" s="244" t="s">
        <v>208</v>
      </c>
      <c r="D53" s="167">
        <v>0</v>
      </c>
      <c r="E53" s="167">
        <v>0</v>
      </c>
      <c r="F53" s="162">
        <v>0</v>
      </c>
      <c r="G53" s="256"/>
      <c r="H53" s="167">
        <v>0</v>
      </c>
      <c r="I53" s="167">
        <v>0</v>
      </c>
      <c r="J53" s="167">
        <v>0</v>
      </c>
      <c r="K53" s="167">
        <v>0</v>
      </c>
      <c r="L53" s="167">
        <v>0</v>
      </c>
      <c r="M53" s="162">
        <v>0</v>
      </c>
      <c r="N53" s="163">
        <v>0</v>
      </c>
      <c r="O53" s="189"/>
    </row>
    <row r="54" spans="1:15" ht="18" customHeight="1">
      <c r="A54" s="164"/>
      <c r="B54" s="165"/>
      <c r="C54" s="257" t="s">
        <v>209</v>
      </c>
      <c r="D54" s="258">
        <v>0</v>
      </c>
      <c r="E54" s="258">
        <v>0</v>
      </c>
      <c r="F54" s="259">
        <v>0</v>
      </c>
      <c r="G54" s="260"/>
      <c r="H54" s="258">
        <v>0</v>
      </c>
      <c r="I54" s="258">
        <v>0</v>
      </c>
      <c r="J54" s="258">
        <v>0</v>
      </c>
      <c r="K54" s="258">
        <v>0</v>
      </c>
      <c r="L54" s="258">
        <v>0</v>
      </c>
      <c r="M54" s="259">
        <v>0</v>
      </c>
      <c r="N54" s="261">
        <v>0</v>
      </c>
      <c r="O54" s="46"/>
    </row>
    <row r="55" spans="1:15" ht="18" customHeight="1">
      <c r="A55" s="164"/>
      <c r="B55" s="165"/>
      <c r="C55" s="262"/>
      <c r="D55" s="263"/>
      <c r="E55" s="263"/>
      <c r="F55" s="263"/>
      <c r="G55" s="263"/>
      <c r="H55" s="263"/>
      <c r="I55" s="263"/>
      <c r="J55" s="263"/>
      <c r="K55" s="263"/>
      <c r="L55" s="263"/>
      <c r="M55" s="263"/>
      <c r="N55" s="263"/>
      <c r="O55" s="46"/>
    </row>
    <row r="56" spans="1:15" ht="12" customHeight="1">
      <c r="A56" s="164"/>
      <c r="B56" s="165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</row>
  </sheetData>
  <mergeCells count="2">
    <mergeCell ref="A3:O3"/>
    <mergeCell ref="A4:O4"/>
  </mergeCells>
  <phoneticPr fontId="3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59"/>
  <sheetViews>
    <sheetView workbookViewId="0"/>
  </sheetViews>
  <sheetFormatPr defaultRowHeight="0" customHeight="1" zeroHeight="1"/>
  <cols>
    <col min="1" max="2" width="2.33203125" customWidth="1"/>
    <col min="3" max="3" width="40.88671875" customWidth="1"/>
    <col min="4" max="14" width="14.44140625" customWidth="1"/>
    <col min="15" max="15" width="4" customWidth="1"/>
  </cols>
  <sheetData>
    <row r="1" spans="1:15" ht="18" customHeight="1">
      <c r="A1" s="84" t="s">
        <v>177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2"/>
    </row>
    <row r="2" spans="1:15" ht="18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2"/>
    </row>
    <row r="3" spans="1:15" ht="18" customHeight="1">
      <c r="A3" s="723" t="s">
        <v>1</v>
      </c>
      <c r="B3" s="723"/>
      <c r="C3" s="723"/>
      <c r="D3" s="723"/>
      <c r="E3" s="723"/>
      <c r="F3" s="723"/>
      <c r="G3" s="723"/>
      <c r="H3" s="723"/>
      <c r="I3" s="723"/>
      <c r="J3" s="723"/>
      <c r="K3" s="723"/>
      <c r="L3" s="723"/>
      <c r="M3" s="723"/>
      <c r="N3" s="723"/>
      <c r="O3" s="723"/>
    </row>
    <row r="4" spans="1:15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</row>
    <row r="5" spans="1:15" ht="18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7" t="s">
        <v>32</v>
      </c>
      <c r="N5" s="152" t="s">
        <v>4</v>
      </c>
      <c r="O5" s="41"/>
    </row>
    <row r="6" spans="1:15" ht="18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7" t="s">
        <v>33</v>
      </c>
      <c r="N6" s="180" t="s">
        <v>6</v>
      </c>
      <c r="O6" s="41" t="s">
        <v>7</v>
      </c>
    </row>
    <row r="7" spans="1:15" ht="18" customHeight="1">
      <c r="A7" s="39" t="s">
        <v>34</v>
      </c>
      <c r="B7" s="45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1"/>
    </row>
    <row r="8" spans="1:15" ht="18" customHeight="1">
      <c r="A8" s="46"/>
      <c r="B8" s="39" t="s">
        <v>210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1"/>
    </row>
    <row r="9" spans="1:15" ht="18" customHeight="1">
      <c r="A9" s="46"/>
      <c r="B9" s="45"/>
      <c r="C9" s="39" t="s">
        <v>179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1"/>
    </row>
    <row r="10" spans="1:15" ht="18" customHeight="1">
      <c r="A10" s="188"/>
      <c r="B10" s="189"/>
      <c r="C10" s="190"/>
      <c r="D10" s="191"/>
      <c r="E10" s="192"/>
      <c r="F10" s="192"/>
      <c r="G10" s="191"/>
      <c r="H10" s="192"/>
      <c r="I10" s="192"/>
      <c r="J10" s="192"/>
      <c r="K10" s="192"/>
      <c r="L10" s="192"/>
      <c r="M10" s="192"/>
      <c r="N10" s="191"/>
      <c r="O10" s="189"/>
    </row>
    <row r="11" spans="1:15" ht="18" customHeight="1">
      <c r="A11" s="46"/>
      <c r="B11" s="46"/>
      <c r="C11" s="239"/>
      <c r="D11" s="240" t="s">
        <v>152</v>
      </c>
      <c r="E11" s="240" t="s">
        <v>153</v>
      </c>
      <c r="F11" s="241" t="s">
        <v>14</v>
      </c>
      <c r="G11" s="242" t="s">
        <v>154</v>
      </c>
      <c r="H11" s="240" t="s">
        <v>155</v>
      </c>
      <c r="I11" s="240" t="s">
        <v>156</v>
      </c>
      <c r="J11" s="240" t="s">
        <v>157</v>
      </c>
      <c r="K11" s="240" t="s">
        <v>158</v>
      </c>
      <c r="L11" s="240" t="s">
        <v>159</v>
      </c>
      <c r="M11" s="241" t="s">
        <v>14</v>
      </c>
      <c r="N11" s="243" t="s">
        <v>109</v>
      </c>
      <c r="O11" s="46"/>
    </row>
    <row r="12" spans="1:15" ht="18" customHeight="1">
      <c r="A12" s="164"/>
      <c r="B12" s="165"/>
      <c r="C12" s="244" t="s">
        <v>211</v>
      </c>
      <c r="D12" s="167">
        <v>0</v>
      </c>
      <c r="E12" s="167">
        <v>0</v>
      </c>
      <c r="F12" s="162">
        <v>0</v>
      </c>
      <c r="G12" s="202"/>
      <c r="H12" s="167">
        <v>5</v>
      </c>
      <c r="I12" s="167">
        <v>0</v>
      </c>
      <c r="J12" s="167">
        <v>0</v>
      </c>
      <c r="K12" s="167">
        <v>0</v>
      </c>
      <c r="L12" s="167">
        <v>0</v>
      </c>
      <c r="M12" s="162">
        <v>5</v>
      </c>
      <c r="N12" s="163">
        <v>5</v>
      </c>
      <c r="O12" s="46"/>
    </row>
    <row r="13" spans="1:15" ht="18" customHeight="1">
      <c r="A13" s="164"/>
      <c r="B13" s="165"/>
      <c r="C13" s="244" t="s">
        <v>212</v>
      </c>
      <c r="D13" s="167">
        <v>0</v>
      </c>
      <c r="E13" s="167">
        <v>0</v>
      </c>
      <c r="F13" s="162">
        <v>0</v>
      </c>
      <c r="G13" s="202"/>
      <c r="H13" s="167">
        <v>0</v>
      </c>
      <c r="I13" s="167">
        <v>0</v>
      </c>
      <c r="J13" s="167">
        <v>0</v>
      </c>
      <c r="K13" s="167">
        <v>0</v>
      </c>
      <c r="L13" s="167">
        <v>0</v>
      </c>
      <c r="M13" s="162">
        <v>0</v>
      </c>
      <c r="N13" s="163">
        <v>0</v>
      </c>
      <c r="O13" s="46"/>
    </row>
    <row r="14" spans="1:15" ht="18" customHeight="1">
      <c r="A14" s="164"/>
      <c r="B14" s="165"/>
      <c r="C14" s="244" t="s">
        <v>213</v>
      </c>
      <c r="D14" s="167">
        <v>0</v>
      </c>
      <c r="E14" s="167">
        <v>0</v>
      </c>
      <c r="F14" s="162">
        <v>0</v>
      </c>
      <c r="G14" s="202"/>
      <c r="H14" s="167">
        <v>9</v>
      </c>
      <c r="I14" s="167">
        <v>2</v>
      </c>
      <c r="J14" s="167">
        <v>0</v>
      </c>
      <c r="K14" s="167">
        <v>0</v>
      </c>
      <c r="L14" s="167">
        <v>0</v>
      </c>
      <c r="M14" s="162">
        <v>11</v>
      </c>
      <c r="N14" s="163">
        <v>11</v>
      </c>
      <c r="O14" s="46"/>
    </row>
    <row r="15" spans="1:15" ht="18" customHeight="1">
      <c r="A15" s="164"/>
      <c r="B15" s="165"/>
      <c r="C15" s="244" t="s">
        <v>214</v>
      </c>
      <c r="D15" s="167">
        <v>0</v>
      </c>
      <c r="E15" s="167">
        <v>0</v>
      </c>
      <c r="F15" s="162">
        <v>0</v>
      </c>
      <c r="G15" s="202"/>
      <c r="H15" s="167">
        <v>0</v>
      </c>
      <c r="I15" s="167">
        <v>0</v>
      </c>
      <c r="J15" s="167">
        <v>0</v>
      </c>
      <c r="K15" s="167">
        <v>0</v>
      </c>
      <c r="L15" s="167">
        <v>0</v>
      </c>
      <c r="M15" s="162">
        <v>0</v>
      </c>
      <c r="N15" s="163">
        <v>0</v>
      </c>
      <c r="O15" s="46"/>
    </row>
    <row r="16" spans="1:15" ht="18" customHeight="1">
      <c r="A16" s="188"/>
      <c r="B16" s="189"/>
      <c r="C16" s="244" t="s">
        <v>215</v>
      </c>
      <c r="D16" s="167">
        <v>0</v>
      </c>
      <c r="E16" s="167">
        <v>0</v>
      </c>
      <c r="F16" s="162">
        <v>0</v>
      </c>
      <c r="G16" s="246"/>
      <c r="H16" s="167">
        <v>0</v>
      </c>
      <c r="I16" s="167">
        <v>0</v>
      </c>
      <c r="J16" s="167">
        <v>0</v>
      </c>
      <c r="K16" s="167">
        <v>0</v>
      </c>
      <c r="L16" s="167">
        <v>0</v>
      </c>
      <c r="M16" s="162">
        <v>0</v>
      </c>
      <c r="N16" s="163">
        <v>0</v>
      </c>
      <c r="O16" s="189"/>
    </row>
    <row r="17" spans="1:15" ht="18" customHeight="1">
      <c r="A17" s="164"/>
      <c r="B17" s="165"/>
      <c r="C17" s="244" t="s">
        <v>216</v>
      </c>
      <c r="D17" s="167">
        <v>0</v>
      </c>
      <c r="E17" s="167">
        <v>0</v>
      </c>
      <c r="F17" s="162">
        <v>0</v>
      </c>
      <c r="G17" s="202"/>
      <c r="H17" s="167">
        <v>0</v>
      </c>
      <c r="I17" s="167">
        <v>0</v>
      </c>
      <c r="J17" s="167">
        <v>0</v>
      </c>
      <c r="K17" s="167">
        <v>0</v>
      </c>
      <c r="L17" s="167">
        <v>0</v>
      </c>
      <c r="M17" s="162">
        <v>0</v>
      </c>
      <c r="N17" s="163">
        <v>0</v>
      </c>
      <c r="O17" s="46"/>
    </row>
    <row r="18" spans="1:15" ht="18" customHeight="1">
      <c r="A18" s="188"/>
      <c r="B18" s="189"/>
      <c r="C18" s="244" t="s">
        <v>217</v>
      </c>
      <c r="D18" s="167">
        <v>0</v>
      </c>
      <c r="E18" s="167">
        <v>17</v>
      </c>
      <c r="F18" s="162">
        <v>17</v>
      </c>
      <c r="G18" s="246"/>
      <c r="H18" s="167">
        <v>78</v>
      </c>
      <c r="I18" s="167">
        <v>105</v>
      </c>
      <c r="J18" s="167">
        <v>93</v>
      </c>
      <c r="K18" s="167">
        <v>7</v>
      </c>
      <c r="L18" s="167">
        <v>11</v>
      </c>
      <c r="M18" s="162">
        <v>294</v>
      </c>
      <c r="N18" s="163">
        <v>311</v>
      </c>
      <c r="O18" s="189"/>
    </row>
    <row r="19" spans="1:15" ht="18" customHeight="1">
      <c r="A19" s="164"/>
      <c r="B19" s="165"/>
      <c r="C19" s="244" t="s">
        <v>218</v>
      </c>
      <c r="D19" s="167">
        <v>0</v>
      </c>
      <c r="E19" s="167">
        <v>0</v>
      </c>
      <c r="F19" s="162">
        <v>0</v>
      </c>
      <c r="G19" s="202"/>
      <c r="H19" s="167">
        <v>0</v>
      </c>
      <c r="I19" s="167">
        <v>0</v>
      </c>
      <c r="J19" s="167">
        <v>0</v>
      </c>
      <c r="K19" s="167">
        <v>0</v>
      </c>
      <c r="L19" s="167">
        <v>0</v>
      </c>
      <c r="M19" s="162">
        <v>0</v>
      </c>
      <c r="N19" s="163">
        <v>0</v>
      </c>
      <c r="O19" s="46"/>
    </row>
    <row r="20" spans="1:15" ht="18" customHeight="1">
      <c r="A20" s="188"/>
      <c r="B20" s="189"/>
      <c r="C20" s="244" t="s">
        <v>219</v>
      </c>
      <c r="D20" s="167">
        <v>0</v>
      </c>
      <c r="E20" s="167">
        <v>0</v>
      </c>
      <c r="F20" s="162">
        <v>0</v>
      </c>
      <c r="G20" s="246"/>
      <c r="H20" s="167">
        <v>0</v>
      </c>
      <c r="I20" s="167">
        <v>0</v>
      </c>
      <c r="J20" s="167">
        <v>0</v>
      </c>
      <c r="K20" s="167">
        <v>0</v>
      </c>
      <c r="L20" s="167">
        <v>0</v>
      </c>
      <c r="M20" s="162">
        <v>0</v>
      </c>
      <c r="N20" s="163">
        <v>0</v>
      </c>
      <c r="O20" s="189"/>
    </row>
    <row r="21" spans="1:15" ht="18" customHeight="1">
      <c r="A21" s="164"/>
      <c r="B21" s="165"/>
      <c r="C21" s="244" t="s">
        <v>220</v>
      </c>
      <c r="D21" s="167">
        <v>0</v>
      </c>
      <c r="E21" s="167">
        <v>0</v>
      </c>
      <c r="F21" s="162">
        <v>0</v>
      </c>
      <c r="G21" s="202"/>
      <c r="H21" s="167">
        <v>0</v>
      </c>
      <c r="I21" s="167">
        <v>0</v>
      </c>
      <c r="J21" s="167">
        <v>0</v>
      </c>
      <c r="K21" s="167">
        <v>0</v>
      </c>
      <c r="L21" s="167">
        <v>0</v>
      </c>
      <c r="M21" s="162">
        <v>0</v>
      </c>
      <c r="N21" s="163">
        <v>0</v>
      </c>
      <c r="O21" s="46"/>
    </row>
    <row r="22" spans="1:15" ht="18" customHeight="1">
      <c r="A22" s="164"/>
      <c r="B22" s="165"/>
      <c r="C22" s="244" t="s">
        <v>221</v>
      </c>
      <c r="D22" s="167">
        <v>0</v>
      </c>
      <c r="E22" s="167">
        <v>0</v>
      </c>
      <c r="F22" s="162">
        <v>0</v>
      </c>
      <c r="G22" s="202"/>
      <c r="H22" s="167">
        <v>0</v>
      </c>
      <c r="I22" s="167">
        <v>12</v>
      </c>
      <c r="J22" s="167">
        <v>113</v>
      </c>
      <c r="K22" s="167">
        <v>126</v>
      </c>
      <c r="L22" s="167">
        <v>68</v>
      </c>
      <c r="M22" s="162">
        <v>319</v>
      </c>
      <c r="N22" s="163">
        <v>319</v>
      </c>
      <c r="O22" s="46"/>
    </row>
    <row r="23" spans="1:15" ht="18" customHeight="1">
      <c r="A23" s="189"/>
      <c r="B23" s="189"/>
      <c r="C23" s="244" t="s">
        <v>222</v>
      </c>
      <c r="D23" s="167">
        <v>0</v>
      </c>
      <c r="E23" s="167">
        <v>0</v>
      </c>
      <c r="F23" s="162">
        <v>0</v>
      </c>
      <c r="G23" s="256"/>
      <c r="H23" s="167">
        <v>0</v>
      </c>
      <c r="I23" s="167">
        <v>0</v>
      </c>
      <c r="J23" s="167">
        <v>0</v>
      </c>
      <c r="K23" s="167">
        <v>0</v>
      </c>
      <c r="L23" s="167">
        <v>3</v>
      </c>
      <c r="M23" s="162">
        <v>3</v>
      </c>
      <c r="N23" s="163">
        <v>3</v>
      </c>
      <c r="O23" s="189"/>
    </row>
    <row r="24" spans="1:15" ht="18" customHeight="1">
      <c r="A24" s="46"/>
      <c r="B24" s="46"/>
      <c r="C24" s="257" t="s">
        <v>223</v>
      </c>
      <c r="D24" s="258">
        <v>0</v>
      </c>
      <c r="E24" s="258">
        <v>0</v>
      </c>
      <c r="F24" s="259">
        <v>0</v>
      </c>
      <c r="G24" s="260"/>
      <c r="H24" s="258">
        <v>0</v>
      </c>
      <c r="I24" s="258">
        <v>0</v>
      </c>
      <c r="J24" s="258">
        <v>0</v>
      </c>
      <c r="K24" s="258">
        <v>0</v>
      </c>
      <c r="L24" s="258">
        <v>0</v>
      </c>
      <c r="M24" s="259">
        <v>0</v>
      </c>
      <c r="N24" s="261">
        <v>0</v>
      </c>
      <c r="O24" s="46"/>
    </row>
    <row r="25" spans="1:15" ht="12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</row>
    <row r="26" spans="1:15" ht="18" customHeight="1">
      <c r="A26" s="46"/>
      <c r="B26" s="46"/>
      <c r="C26" s="39" t="s">
        <v>195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</row>
    <row r="27" spans="1:15" ht="18" customHeight="1">
      <c r="A27" s="188"/>
      <c r="B27" s="189"/>
      <c r="C27" s="190"/>
      <c r="D27" s="191"/>
      <c r="E27" s="192"/>
      <c r="F27" s="192"/>
      <c r="G27" s="191"/>
      <c r="H27" s="192"/>
      <c r="I27" s="192"/>
      <c r="J27" s="192"/>
      <c r="K27" s="192"/>
      <c r="L27" s="192"/>
      <c r="M27" s="192"/>
      <c r="N27" s="191"/>
      <c r="O27" s="189"/>
    </row>
    <row r="28" spans="1:15" ht="18" customHeight="1">
      <c r="A28" s="164"/>
      <c r="B28" s="165"/>
      <c r="C28" s="239"/>
      <c r="D28" s="240" t="s">
        <v>152</v>
      </c>
      <c r="E28" s="240" t="s">
        <v>153</v>
      </c>
      <c r="F28" s="241" t="s">
        <v>14</v>
      </c>
      <c r="G28" s="242" t="s">
        <v>154</v>
      </c>
      <c r="H28" s="240" t="s">
        <v>155</v>
      </c>
      <c r="I28" s="240" t="s">
        <v>156</v>
      </c>
      <c r="J28" s="240" t="s">
        <v>157</v>
      </c>
      <c r="K28" s="240" t="s">
        <v>158</v>
      </c>
      <c r="L28" s="240" t="s">
        <v>159</v>
      </c>
      <c r="M28" s="241" t="s">
        <v>14</v>
      </c>
      <c r="N28" s="243" t="s">
        <v>109</v>
      </c>
      <c r="O28" s="46"/>
    </row>
    <row r="29" spans="1:15" ht="18" customHeight="1">
      <c r="A29" s="46"/>
      <c r="B29" s="46"/>
      <c r="C29" s="244" t="s">
        <v>211</v>
      </c>
      <c r="D29" s="167">
        <v>0</v>
      </c>
      <c r="E29" s="167">
        <v>0</v>
      </c>
      <c r="F29" s="162">
        <v>0</v>
      </c>
      <c r="G29" s="202"/>
      <c r="H29" s="167">
        <v>0</v>
      </c>
      <c r="I29" s="167">
        <v>0</v>
      </c>
      <c r="J29" s="167">
        <v>0</v>
      </c>
      <c r="K29" s="167">
        <v>0</v>
      </c>
      <c r="L29" s="167">
        <v>0</v>
      </c>
      <c r="M29" s="162">
        <v>0</v>
      </c>
      <c r="N29" s="163">
        <v>0</v>
      </c>
      <c r="O29" s="46"/>
    </row>
    <row r="30" spans="1:15" ht="18" customHeight="1">
      <c r="A30" s="46"/>
      <c r="B30" s="46"/>
      <c r="C30" s="244" t="s">
        <v>212</v>
      </c>
      <c r="D30" s="167">
        <v>0</v>
      </c>
      <c r="E30" s="167">
        <v>0</v>
      </c>
      <c r="F30" s="162">
        <v>0</v>
      </c>
      <c r="G30" s="202"/>
      <c r="H30" s="167">
        <v>0</v>
      </c>
      <c r="I30" s="167">
        <v>0</v>
      </c>
      <c r="J30" s="167">
        <v>0</v>
      </c>
      <c r="K30" s="167">
        <v>0</v>
      </c>
      <c r="L30" s="167">
        <v>0</v>
      </c>
      <c r="M30" s="162">
        <v>0</v>
      </c>
      <c r="N30" s="163">
        <v>0</v>
      </c>
      <c r="O30" s="46"/>
    </row>
    <row r="31" spans="1:15" ht="18" customHeight="1">
      <c r="A31" s="46"/>
      <c r="B31" s="46"/>
      <c r="C31" s="244" t="s">
        <v>213</v>
      </c>
      <c r="D31" s="167">
        <v>0</v>
      </c>
      <c r="E31" s="167">
        <v>0</v>
      </c>
      <c r="F31" s="162">
        <v>0</v>
      </c>
      <c r="G31" s="247"/>
      <c r="H31" s="167">
        <v>0</v>
      </c>
      <c r="I31" s="167">
        <v>0</v>
      </c>
      <c r="J31" s="167">
        <v>0</v>
      </c>
      <c r="K31" s="167">
        <v>0</v>
      </c>
      <c r="L31" s="167">
        <v>0</v>
      </c>
      <c r="M31" s="162">
        <v>0</v>
      </c>
      <c r="N31" s="163">
        <v>0</v>
      </c>
      <c r="O31" s="46"/>
    </row>
    <row r="32" spans="1:15" ht="18" customHeight="1">
      <c r="A32" s="46"/>
      <c r="B32" s="46"/>
      <c r="C32" s="244" t="s">
        <v>214</v>
      </c>
      <c r="D32" s="167">
        <v>0</v>
      </c>
      <c r="E32" s="167">
        <v>0</v>
      </c>
      <c r="F32" s="162">
        <v>0</v>
      </c>
      <c r="G32" s="202"/>
      <c r="H32" s="167">
        <v>0</v>
      </c>
      <c r="I32" s="167">
        <v>0</v>
      </c>
      <c r="J32" s="167">
        <v>0</v>
      </c>
      <c r="K32" s="167">
        <v>0</v>
      </c>
      <c r="L32" s="167">
        <v>0</v>
      </c>
      <c r="M32" s="162">
        <v>0</v>
      </c>
      <c r="N32" s="163">
        <v>0</v>
      </c>
      <c r="O32" s="46"/>
    </row>
    <row r="33" spans="1:15" ht="18" customHeight="1">
      <c r="A33" s="189"/>
      <c r="B33" s="189"/>
      <c r="C33" s="244" t="s">
        <v>215</v>
      </c>
      <c r="D33" s="167">
        <v>0</v>
      </c>
      <c r="E33" s="167">
        <v>0</v>
      </c>
      <c r="F33" s="162">
        <v>0</v>
      </c>
      <c r="G33" s="246"/>
      <c r="H33" s="167">
        <v>0</v>
      </c>
      <c r="I33" s="167">
        <v>0</v>
      </c>
      <c r="J33" s="167">
        <v>0</v>
      </c>
      <c r="K33" s="167">
        <v>0</v>
      </c>
      <c r="L33" s="167">
        <v>0</v>
      </c>
      <c r="M33" s="162">
        <v>0</v>
      </c>
      <c r="N33" s="163">
        <v>0</v>
      </c>
      <c r="O33" s="189"/>
    </row>
    <row r="34" spans="1:15" ht="18" customHeight="1">
      <c r="A34" s="46"/>
      <c r="B34" s="46"/>
      <c r="C34" s="244" t="s">
        <v>216</v>
      </c>
      <c r="D34" s="167">
        <v>0</v>
      </c>
      <c r="E34" s="167">
        <v>0</v>
      </c>
      <c r="F34" s="162">
        <v>0</v>
      </c>
      <c r="G34" s="202"/>
      <c r="H34" s="167">
        <v>0</v>
      </c>
      <c r="I34" s="167">
        <v>0</v>
      </c>
      <c r="J34" s="167">
        <v>0</v>
      </c>
      <c r="K34" s="167">
        <v>0</v>
      </c>
      <c r="L34" s="167">
        <v>0</v>
      </c>
      <c r="M34" s="162">
        <v>0</v>
      </c>
      <c r="N34" s="163">
        <v>0</v>
      </c>
      <c r="O34" s="46"/>
    </row>
    <row r="35" spans="1:15" ht="18" customHeight="1">
      <c r="A35" s="189"/>
      <c r="B35" s="189"/>
      <c r="C35" s="244" t="s">
        <v>217</v>
      </c>
      <c r="D35" s="167">
        <v>0</v>
      </c>
      <c r="E35" s="167">
        <v>0</v>
      </c>
      <c r="F35" s="162">
        <v>0</v>
      </c>
      <c r="G35" s="246"/>
      <c r="H35" s="167">
        <v>0</v>
      </c>
      <c r="I35" s="167">
        <v>0</v>
      </c>
      <c r="J35" s="167">
        <v>0</v>
      </c>
      <c r="K35" s="167">
        <v>0</v>
      </c>
      <c r="L35" s="167">
        <v>0</v>
      </c>
      <c r="M35" s="162">
        <v>0</v>
      </c>
      <c r="N35" s="163">
        <v>0</v>
      </c>
      <c r="O35" s="189"/>
    </row>
    <row r="36" spans="1:15" ht="18" customHeight="1">
      <c r="A36" s="46"/>
      <c r="B36" s="46"/>
      <c r="C36" s="244" t="s">
        <v>218</v>
      </c>
      <c r="D36" s="167">
        <v>0</v>
      </c>
      <c r="E36" s="167">
        <v>0</v>
      </c>
      <c r="F36" s="162">
        <v>0</v>
      </c>
      <c r="G36" s="202"/>
      <c r="H36" s="167">
        <v>0</v>
      </c>
      <c r="I36" s="167">
        <v>0</v>
      </c>
      <c r="J36" s="167">
        <v>0</v>
      </c>
      <c r="K36" s="167">
        <v>0</v>
      </c>
      <c r="L36" s="167">
        <v>0</v>
      </c>
      <c r="M36" s="162">
        <v>0</v>
      </c>
      <c r="N36" s="163">
        <v>0</v>
      </c>
      <c r="O36" s="46"/>
    </row>
    <row r="37" spans="1:15" ht="18" customHeight="1">
      <c r="A37" s="189"/>
      <c r="B37" s="189"/>
      <c r="C37" s="244" t="s">
        <v>219</v>
      </c>
      <c r="D37" s="167">
        <v>0</v>
      </c>
      <c r="E37" s="167">
        <v>0</v>
      </c>
      <c r="F37" s="162">
        <v>0</v>
      </c>
      <c r="G37" s="246"/>
      <c r="H37" s="167">
        <v>0</v>
      </c>
      <c r="I37" s="167">
        <v>0</v>
      </c>
      <c r="J37" s="167">
        <v>0</v>
      </c>
      <c r="K37" s="167">
        <v>0</v>
      </c>
      <c r="L37" s="167">
        <v>0</v>
      </c>
      <c r="M37" s="162">
        <v>0</v>
      </c>
      <c r="N37" s="163">
        <v>0</v>
      </c>
      <c r="O37" s="189"/>
    </row>
    <row r="38" spans="1:15" ht="18" customHeight="1">
      <c r="A38" s="46"/>
      <c r="B38" s="46"/>
      <c r="C38" s="244" t="s">
        <v>220</v>
      </c>
      <c r="D38" s="167">
        <v>0</v>
      </c>
      <c r="E38" s="167">
        <v>0</v>
      </c>
      <c r="F38" s="162">
        <v>0</v>
      </c>
      <c r="G38" s="202"/>
      <c r="H38" s="167">
        <v>0</v>
      </c>
      <c r="I38" s="167">
        <v>0</v>
      </c>
      <c r="J38" s="167">
        <v>0</v>
      </c>
      <c r="K38" s="167">
        <v>0</v>
      </c>
      <c r="L38" s="167">
        <v>0</v>
      </c>
      <c r="M38" s="162">
        <v>0</v>
      </c>
      <c r="N38" s="163">
        <v>0</v>
      </c>
      <c r="O38" s="46"/>
    </row>
    <row r="39" spans="1:15" ht="18" customHeight="1">
      <c r="A39" s="164"/>
      <c r="B39" s="165"/>
      <c r="C39" s="244" t="s">
        <v>221</v>
      </c>
      <c r="D39" s="167">
        <v>0</v>
      </c>
      <c r="E39" s="167">
        <v>0</v>
      </c>
      <c r="F39" s="162">
        <v>0</v>
      </c>
      <c r="G39" s="202"/>
      <c r="H39" s="167">
        <v>0</v>
      </c>
      <c r="I39" s="167">
        <v>0</v>
      </c>
      <c r="J39" s="167">
        <v>0</v>
      </c>
      <c r="K39" s="167">
        <v>0</v>
      </c>
      <c r="L39" s="167">
        <v>0</v>
      </c>
      <c r="M39" s="162">
        <v>0</v>
      </c>
      <c r="N39" s="163">
        <v>0</v>
      </c>
      <c r="O39" s="46"/>
    </row>
    <row r="40" spans="1:15" ht="18" customHeight="1">
      <c r="A40" s="188"/>
      <c r="B40" s="189"/>
      <c r="C40" s="244" t="s">
        <v>222</v>
      </c>
      <c r="D40" s="264">
        <v>0</v>
      </c>
      <c r="E40" s="264">
        <v>0</v>
      </c>
      <c r="F40" s="265">
        <v>0</v>
      </c>
      <c r="G40" s="266"/>
      <c r="H40" s="264">
        <v>0</v>
      </c>
      <c r="I40" s="264">
        <v>0</v>
      </c>
      <c r="J40" s="264">
        <v>0</v>
      </c>
      <c r="K40" s="264">
        <v>0</v>
      </c>
      <c r="L40" s="264">
        <v>0</v>
      </c>
      <c r="M40" s="265">
        <v>0</v>
      </c>
      <c r="N40" s="267">
        <v>0</v>
      </c>
      <c r="O40" s="189"/>
    </row>
    <row r="41" spans="1:15" ht="18" customHeight="1">
      <c r="A41" s="164"/>
      <c r="B41" s="165"/>
      <c r="C41" s="257" t="s">
        <v>223</v>
      </c>
      <c r="D41" s="258">
        <v>0</v>
      </c>
      <c r="E41" s="258">
        <v>0</v>
      </c>
      <c r="F41" s="259">
        <v>0</v>
      </c>
      <c r="G41" s="260"/>
      <c r="H41" s="258">
        <v>0</v>
      </c>
      <c r="I41" s="258">
        <v>0</v>
      </c>
      <c r="J41" s="258">
        <v>0</v>
      </c>
      <c r="K41" s="258">
        <v>0</v>
      </c>
      <c r="L41" s="258">
        <v>0</v>
      </c>
      <c r="M41" s="259">
        <v>0</v>
      </c>
      <c r="N41" s="261">
        <v>0</v>
      </c>
      <c r="O41" s="46"/>
    </row>
    <row r="42" spans="1:15" ht="12" customHeight="1">
      <c r="A42" s="164"/>
      <c r="B42" s="165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</row>
    <row r="43" spans="1:15" ht="18" customHeight="1">
      <c r="A43" s="46"/>
      <c r="B43" s="46"/>
      <c r="C43" s="39" t="s">
        <v>196</v>
      </c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</row>
    <row r="44" spans="1:15" ht="18" customHeight="1">
      <c r="A44" s="188"/>
      <c r="B44" s="189"/>
      <c r="C44" s="190"/>
      <c r="D44" s="191"/>
      <c r="E44" s="192"/>
      <c r="F44" s="192"/>
      <c r="G44" s="191"/>
      <c r="H44" s="192"/>
      <c r="I44" s="192"/>
      <c r="J44" s="192"/>
      <c r="K44" s="192"/>
      <c r="L44" s="192"/>
      <c r="M44" s="192"/>
      <c r="N44" s="191"/>
      <c r="O44" s="189"/>
    </row>
    <row r="45" spans="1:15" ht="18" customHeight="1">
      <c r="A45" s="164"/>
      <c r="B45" s="165"/>
      <c r="C45" s="239"/>
      <c r="D45" s="240" t="s">
        <v>152</v>
      </c>
      <c r="E45" s="240" t="s">
        <v>153</v>
      </c>
      <c r="F45" s="241" t="s">
        <v>14</v>
      </c>
      <c r="G45" s="242" t="s">
        <v>154</v>
      </c>
      <c r="H45" s="240" t="s">
        <v>155</v>
      </c>
      <c r="I45" s="240" t="s">
        <v>156</v>
      </c>
      <c r="J45" s="240" t="s">
        <v>157</v>
      </c>
      <c r="K45" s="240" t="s">
        <v>158</v>
      </c>
      <c r="L45" s="240" t="s">
        <v>159</v>
      </c>
      <c r="M45" s="241" t="s">
        <v>14</v>
      </c>
      <c r="N45" s="243" t="s">
        <v>109</v>
      </c>
      <c r="O45" s="46"/>
    </row>
    <row r="46" spans="1:15" ht="18" customHeight="1">
      <c r="A46" s="46"/>
      <c r="B46" s="46"/>
      <c r="C46" s="244" t="s">
        <v>211</v>
      </c>
      <c r="D46" s="167">
        <v>0</v>
      </c>
      <c r="E46" s="167">
        <v>0</v>
      </c>
      <c r="F46" s="162">
        <v>0</v>
      </c>
      <c r="G46" s="202"/>
      <c r="H46" s="167">
        <v>0</v>
      </c>
      <c r="I46" s="167">
        <v>0</v>
      </c>
      <c r="J46" s="167">
        <v>0</v>
      </c>
      <c r="K46" s="167">
        <v>0</v>
      </c>
      <c r="L46" s="167">
        <v>0</v>
      </c>
      <c r="M46" s="162">
        <v>0</v>
      </c>
      <c r="N46" s="163">
        <v>0</v>
      </c>
      <c r="O46" s="46"/>
    </row>
    <row r="47" spans="1:15" ht="18" customHeight="1">
      <c r="A47" s="46"/>
      <c r="B47" s="46"/>
      <c r="C47" s="244" t="s">
        <v>212</v>
      </c>
      <c r="D47" s="167">
        <v>0</v>
      </c>
      <c r="E47" s="167">
        <v>0</v>
      </c>
      <c r="F47" s="162">
        <v>0</v>
      </c>
      <c r="G47" s="202"/>
      <c r="H47" s="167">
        <v>0</v>
      </c>
      <c r="I47" s="167">
        <v>0</v>
      </c>
      <c r="J47" s="167">
        <v>0</v>
      </c>
      <c r="K47" s="167">
        <v>0</v>
      </c>
      <c r="L47" s="167">
        <v>0</v>
      </c>
      <c r="M47" s="162">
        <v>0</v>
      </c>
      <c r="N47" s="163">
        <v>0</v>
      </c>
      <c r="O47" s="46"/>
    </row>
    <row r="48" spans="1:15" ht="18" customHeight="1">
      <c r="A48" s="46"/>
      <c r="B48" s="46"/>
      <c r="C48" s="244" t="s">
        <v>213</v>
      </c>
      <c r="D48" s="167">
        <v>0</v>
      </c>
      <c r="E48" s="167">
        <v>0</v>
      </c>
      <c r="F48" s="162">
        <v>0</v>
      </c>
      <c r="G48" s="247"/>
      <c r="H48" s="167">
        <v>0</v>
      </c>
      <c r="I48" s="167">
        <v>0</v>
      </c>
      <c r="J48" s="167">
        <v>0</v>
      </c>
      <c r="K48" s="167">
        <v>0</v>
      </c>
      <c r="L48" s="167">
        <v>0</v>
      </c>
      <c r="M48" s="162">
        <v>0</v>
      </c>
      <c r="N48" s="163">
        <v>0</v>
      </c>
      <c r="O48" s="46"/>
    </row>
    <row r="49" spans="1:15" ht="18" customHeight="1">
      <c r="A49" s="46"/>
      <c r="B49" s="46"/>
      <c r="C49" s="244" t="s">
        <v>214</v>
      </c>
      <c r="D49" s="167">
        <v>0</v>
      </c>
      <c r="E49" s="167">
        <v>0</v>
      </c>
      <c r="F49" s="162">
        <v>0</v>
      </c>
      <c r="G49" s="202"/>
      <c r="H49" s="167">
        <v>0</v>
      </c>
      <c r="I49" s="167">
        <v>0</v>
      </c>
      <c r="J49" s="167">
        <v>0</v>
      </c>
      <c r="K49" s="167">
        <v>0</v>
      </c>
      <c r="L49" s="167">
        <v>0</v>
      </c>
      <c r="M49" s="162">
        <v>0</v>
      </c>
      <c r="N49" s="163">
        <v>0</v>
      </c>
      <c r="O49" s="46"/>
    </row>
    <row r="50" spans="1:15" ht="18" customHeight="1">
      <c r="A50" s="189"/>
      <c r="B50" s="189"/>
      <c r="C50" s="244" t="s">
        <v>215</v>
      </c>
      <c r="D50" s="167">
        <v>0</v>
      </c>
      <c r="E50" s="167">
        <v>0</v>
      </c>
      <c r="F50" s="162">
        <v>0</v>
      </c>
      <c r="G50" s="246"/>
      <c r="H50" s="167">
        <v>0</v>
      </c>
      <c r="I50" s="167">
        <v>0</v>
      </c>
      <c r="J50" s="167">
        <v>0</v>
      </c>
      <c r="K50" s="167">
        <v>0</v>
      </c>
      <c r="L50" s="167">
        <v>0</v>
      </c>
      <c r="M50" s="162">
        <v>0</v>
      </c>
      <c r="N50" s="163">
        <v>0</v>
      </c>
      <c r="O50" s="189"/>
    </row>
    <row r="51" spans="1:15" ht="18" customHeight="1">
      <c r="A51" s="46"/>
      <c r="B51" s="46"/>
      <c r="C51" s="244" t="s">
        <v>216</v>
      </c>
      <c r="D51" s="167">
        <v>0</v>
      </c>
      <c r="E51" s="167">
        <v>0</v>
      </c>
      <c r="F51" s="162">
        <v>0</v>
      </c>
      <c r="G51" s="202"/>
      <c r="H51" s="167">
        <v>0</v>
      </c>
      <c r="I51" s="167">
        <v>0</v>
      </c>
      <c r="J51" s="167">
        <v>0</v>
      </c>
      <c r="K51" s="167">
        <v>0</v>
      </c>
      <c r="L51" s="167">
        <v>0</v>
      </c>
      <c r="M51" s="162">
        <v>0</v>
      </c>
      <c r="N51" s="163">
        <v>0</v>
      </c>
      <c r="O51" s="46"/>
    </row>
    <row r="52" spans="1:15" ht="18" customHeight="1">
      <c r="A52" s="189"/>
      <c r="B52" s="189"/>
      <c r="C52" s="244" t="s">
        <v>217</v>
      </c>
      <c r="D52" s="167">
        <v>0</v>
      </c>
      <c r="E52" s="167">
        <v>0</v>
      </c>
      <c r="F52" s="162">
        <v>0</v>
      </c>
      <c r="G52" s="246"/>
      <c r="H52" s="167">
        <v>0</v>
      </c>
      <c r="I52" s="167">
        <v>0</v>
      </c>
      <c r="J52" s="167">
        <v>0</v>
      </c>
      <c r="K52" s="167">
        <v>0</v>
      </c>
      <c r="L52" s="167">
        <v>0</v>
      </c>
      <c r="M52" s="162">
        <v>0</v>
      </c>
      <c r="N52" s="163">
        <v>0</v>
      </c>
      <c r="O52" s="189"/>
    </row>
    <row r="53" spans="1:15" ht="18" customHeight="1">
      <c r="A53" s="46"/>
      <c r="B53" s="46"/>
      <c r="C53" s="244" t="s">
        <v>218</v>
      </c>
      <c r="D53" s="167">
        <v>0</v>
      </c>
      <c r="E53" s="167">
        <v>0</v>
      </c>
      <c r="F53" s="162">
        <v>0</v>
      </c>
      <c r="G53" s="202"/>
      <c r="H53" s="167">
        <v>0</v>
      </c>
      <c r="I53" s="167">
        <v>0</v>
      </c>
      <c r="J53" s="167">
        <v>0</v>
      </c>
      <c r="K53" s="167">
        <v>0</v>
      </c>
      <c r="L53" s="167">
        <v>0</v>
      </c>
      <c r="M53" s="162">
        <v>0</v>
      </c>
      <c r="N53" s="163">
        <v>0</v>
      </c>
      <c r="O53" s="46"/>
    </row>
    <row r="54" spans="1:15" ht="18" customHeight="1">
      <c r="A54" s="189"/>
      <c r="B54" s="189"/>
      <c r="C54" s="244" t="s">
        <v>219</v>
      </c>
      <c r="D54" s="167">
        <v>0</v>
      </c>
      <c r="E54" s="167">
        <v>0</v>
      </c>
      <c r="F54" s="162">
        <v>0</v>
      </c>
      <c r="G54" s="246"/>
      <c r="H54" s="167">
        <v>0</v>
      </c>
      <c r="I54" s="167">
        <v>0</v>
      </c>
      <c r="J54" s="167">
        <v>0</v>
      </c>
      <c r="K54" s="167">
        <v>0</v>
      </c>
      <c r="L54" s="167">
        <v>0</v>
      </c>
      <c r="M54" s="162">
        <v>0</v>
      </c>
      <c r="N54" s="163">
        <v>0</v>
      </c>
      <c r="O54" s="189"/>
    </row>
    <row r="55" spans="1:15" ht="18" customHeight="1">
      <c r="A55" s="46"/>
      <c r="B55" s="46"/>
      <c r="C55" s="244" t="s">
        <v>220</v>
      </c>
      <c r="D55" s="167">
        <v>0</v>
      </c>
      <c r="E55" s="167">
        <v>0</v>
      </c>
      <c r="F55" s="162">
        <v>0</v>
      </c>
      <c r="G55" s="202"/>
      <c r="H55" s="167">
        <v>0</v>
      </c>
      <c r="I55" s="167">
        <v>0</v>
      </c>
      <c r="J55" s="167">
        <v>0</v>
      </c>
      <c r="K55" s="167">
        <v>0</v>
      </c>
      <c r="L55" s="167">
        <v>0</v>
      </c>
      <c r="M55" s="162">
        <v>0</v>
      </c>
      <c r="N55" s="163">
        <v>0</v>
      </c>
      <c r="O55" s="46"/>
    </row>
    <row r="56" spans="1:15" ht="18" customHeight="1">
      <c r="A56" s="164"/>
      <c r="B56" s="165"/>
      <c r="C56" s="244" t="s">
        <v>221</v>
      </c>
      <c r="D56" s="167">
        <v>0</v>
      </c>
      <c r="E56" s="167">
        <v>0</v>
      </c>
      <c r="F56" s="162">
        <v>0</v>
      </c>
      <c r="G56" s="202"/>
      <c r="H56" s="167">
        <v>0</v>
      </c>
      <c r="I56" s="167">
        <v>0</v>
      </c>
      <c r="J56" s="167">
        <v>0</v>
      </c>
      <c r="K56" s="167">
        <v>0</v>
      </c>
      <c r="L56" s="167">
        <v>0</v>
      </c>
      <c r="M56" s="162">
        <v>0</v>
      </c>
      <c r="N56" s="163">
        <v>0</v>
      </c>
      <c r="O56" s="46"/>
    </row>
    <row r="57" spans="1:15" ht="18" customHeight="1">
      <c r="A57" s="188"/>
      <c r="B57" s="189"/>
      <c r="C57" s="244" t="s">
        <v>222</v>
      </c>
      <c r="D57" s="167">
        <v>0</v>
      </c>
      <c r="E57" s="167">
        <v>0</v>
      </c>
      <c r="F57" s="162">
        <v>0</v>
      </c>
      <c r="G57" s="256"/>
      <c r="H57" s="167">
        <v>0</v>
      </c>
      <c r="I57" s="167">
        <v>0</v>
      </c>
      <c r="J57" s="167">
        <v>0</v>
      </c>
      <c r="K57" s="167">
        <v>0</v>
      </c>
      <c r="L57" s="167">
        <v>0</v>
      </c>
      <c r="M57" s="162">
        <v>0</v>
      </c>
      <c r="N57" s="163">
        <v>0</v>
      </c>
      <c r="O57" s="189"/>
    </row>
    <row r="58" spans="1:15" ht="18" customHeight="1">
      <c r="A58" s="164"/>
      <c r="B58" s="165"/>
      <c r="C58" s="257" t="s">
        <v>223</v>
      </c>
      <c r="D58" s="258">
        <v>0</v>
      </c>
      <c r="E58" s="258">
        <v>0</v>
      </c>
      <c r="F58" s="259">
        <v>0</v>
      </c>
      <c r="G58" s="260"/>
      <c r="H58" s="258">
        <v>0</v>
      </c>
      <c r="I58" s="258">
        <v>0</v>
      </c>
      <c r="J58" s="258">
        <v>0</v>
      </c>
      <c r="K58" s="258">
        <v>0</v>
      </c>
      <c r="L58" s="258">
        <v>0</v>
      </c>
      <c r="M58" s="259">
        <v>0</v>
      </c>
      <c r="N58" s="261">
        <v>0</v>
      </c>
      <c r="O58" s="46"/>
    </row>
    <row r="59" spans="1:15" ht="12" customHeight="1">
      <c r="A59" s="164"/>
      <c r="B59" s="165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</row>
  </sheetData>
  <mergeCells count="2">
    <mergeCell ref="A3:O3"/>
    <mergeCell ref="A4:O4"/>
  </mergeCells>
  <phoneticPr fontId="3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5"/>
  <sheetViews>
    <sheetView workbookViewId="0"/>
  </sheetViews>
  <sheetFormatPr defaultRowHeight="0" customHeight="1" zeroHeight="1"/>
  <cols>
    <col min="1" max="2" width="2.33203125" customWidth="1"/>
    <col min="3" max="3" width="25.5546875" customWidth="1"/>
    <col min="4" max="14" width="14.44140625" customWidth="1"/>
    <col min="15" max="15" width="4" customWidth="1"/>
  </cols>
  <sheetData>
    <row r="1" spans="1:15" ht="18" customHeight="1">
      <c r="A1" s="84" t="s">
        <v>177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2"/>
    </row>
    <row r="2" spans="1:15" ht="18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2"/>
    </row>
    <row r="3" spans="1:15" ht="18" customHeight="1">
      <c r="A3" s="723" t="s">
        <v>1</v>
      </c>
      <c r="B3" s="723"/>
      <c r="C3" s="723"/>
      <c r="D3" s="723"/>
      <c r="E3" s="723"/>
      <c r="F3" s="723"/>
      <c r="G3" s="723"/>
      <c r="H3" s="723"/>
      <c r="I3" s="723"/>
      <c r="J3" s="723"/>
      <c r="K3" s="723"/>
      <c r="L3" s="723"/>
      <c r="M3" s="723"/>
      <c r="N3" s="723"/>
      <c r="O3" s="723"/>
    </row>
    <row r="4" spans="1:15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</row>
    <row r="5" spans="1:15" ht="18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7" t="s">
        <v>32</v>
      </c>
      <c r="N5" s="152" t="s">
        <v>4</v>
      </c>
      <c r="O5" s="41"/>
    </row>
    <row r="6" spans="1:15" ht="18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7" t="s">
        <v>33</v>
      </c>
      <c r="N6" s="180" t="s">
        <v>6</v>
      </c>
      <c r="O6" s="41" t="s">
        <v>7</v>
      </c>
    </row>
    <row r="7" spans="1:15" ht="18" customHeight="1">
      <c r="A7" s="39" t="s">
        <v>34</v>
      </c>
      <c r="B7" s="45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1"/>
    </row>
    <row r="8" spans="1:15" ht="18" customHeight="1">
      <c r="A8" s="46"/>
      <c r="B8" s="39" t="s">
        <v>224</v>
      </c>
      <c r="C8" s="39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1"/>
    </row>
    <row r="9" spans="1:15" ht="18" customHeight="1">
      <c r="A9" s="46"/>
      <c r="B9" s="45"/>
      <c r="C9" s="39" t="s">
        <v>179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1"/>
    </row>
    <row r="10" spans="1:15" ht="18" customHeight="1">
      <c r="A10" s="188"/>
      <c r="B10" s="189"/>
      <c r="C10" s="190"/>
      <c r="D10" s="191"/>
      <c r="E10" s="192"/>
      <c r="F10" s="192"/>
      <c r="G10" s="191"/>
      <c r="H10" s="192"/>
      <c r="I10" s="192"/>
      <c r="J10" s="192"/>
      <c r="K10" s="192"/>
      <c r="L10" s="192"/>
      <c r="M10" s="192"/>
      <c r="N10" s="191"/>
      <c r="O10" s="189"/>
    </row>
    <row r="11" spans="1:15" ht="18" customHeight="1">
      <c r="A11" s="46"/>
      <c r="B11" s="46"/>
      <c r="C11" s="239"/>
      <c r="D11" s="240" t="s">
        <v>152</v>
      </c>
      <c r="E11" s="240" t="s">
        <v>153</v>
      </c>
      <c r="F11" s="241" t="s">
        <v>14</v>
      </c>
      <c r="G11" s="242" t="s">
        <v>154</v>
      </c>
      <c r="H11" s="240" t="s">
        <v>155</v>
      </c>
      <c r="I11" s="240" t="s">
        <v>156</v>
      </c>
      <c r="J11" s="240" t="s">
        <v>157</v>
      </c>
      <c r="K11" s="240" t="s">
        <v>158</v>
      </c>
      <c r="L11" s="240" t="s">
        <v>159</v>
      </c>
      <c r="M11" s="241" t="s">
        <v>14</v>
      </c>
      <c r="N11" s="243" t="s">
        <v>109</v>
      </c>
      <c r="O11" s="46"/>
    </row>
    <row r="12" spans="1:15" ht="18" customHeight="1">
      <c r="A12" s="164"/>
      <c r="B12" s="165"/>
      <c r="C12" s="268" t="s">
        <v>225</v>
      </c>
      <c r="D12" s="251">
        <v>0</v>
      </c>
      <c r="E12" s="251">
        <v>0</v>
      </c>
      <c r="F12" s="252">
        <v>0</v>
      </c>
      <c r="G12" s="269"/>
      <c r="H12" s="251">
        <v>75</v>
      </c>
      <c r="I12" s="251">
        <v>23</v>
      </c>
      <c r="J12" s="251">
        <v>0</v>
      </c>
      <c r="K12" s="251">
        <v>0</v>
      </c>
      <c r="L12" s="251">
        <v>0</v>
      </c>
      <c r="M12" s="252">
        <v>98</v>
      </c>
      <c r="N12" s="254">
        <v>98</v>
      </c>
      <c r="O12" s="46"/>
    </row>
    <row r="13" spans="1:15" ht="18" customHeight="1">
      <c r="A13" s="189"/>
      <c r="B13" s="189"/>
      <c r="C13" s="270" t="s">
        <v>226</v>
      </c>
      <c r="D13" s="167">
        <v>0</v>
      </c>
      <c r="E13" s="167">
        <v>0</v>
      </c>
      <c r="F13" s="162">
        <v>0</v>
      </c>
      <c r="G13" s="271"/>
      <c r="H13" s="167">
        <v>0</v>
      </c>
      <c r="I13" s="167">
        <v>0</v>
      </c>
      <c r="J13" s="167">
        <v>0</v>
      </c>
      <c r="K13" s="167">
        <v>0</v>
      </c>
      <c r="L13" s="167">
        <v>0</v>
      </c>
      <c r="M13" s="162">
        <v>0</v>
      </c>
      <c r="N13" s="163">
        <v>0</v>
      </c>
      <c r="O13" s="189"/>
    </row>
    <row r="14" spans="1:15" ht="18" customHeight="1">
      <c r="A14" s="189"/>
      <c r="B14" s="189"/>
      <c r="C14" s="244" t="s">
        <v>227</v>
      </c>
      <c r="D14" s="167">
        <v>0</v>
      </c>
      <c r="E14" s="167">
        <v>0</v>
      </c>
      <c r="F14" s="162">
        <v>0</v>
      </c>
      <c r="G14" s="271"/>
      <c r="H14" s="167">
        <v>0</v>
      </c>
      <c r="I14" s="167">
        <v>0</v>
      </c>
      <c r="J14" s="167">
        <v>0</v>
      </c>
      <c r="K14" s="167">
        <v>0</v>
      </c>
      <c r="L14" s="167">
        <v>0</v>
      </c>
      <c r="M14" s="162">
        <v>0</v>
      </c>
      <c r="N14" s="163">
        <v>0</v>
      </c>
      <c r="O14" s="189"/>
    </row>
    <row r="15" spans="1:15" ht="18" customHeight="1">
      <c r="A15" s="189"/>
      <c r="B15" s="189"/>
      <c r="C15" s="244" t="s">
        <v>228</v>
      </c>
      <c r="D15" s="167">
        <v>0</v>
      </c>
      <c r="E15" s="167">
        <v>0</v>
      </c>
      <c r="F15" s="162">
        <v>0</v>
      </c>
      <c r="G15" s="271"/>
      <c r="H15" s="167">
        <v>0</v>
      </c>
      <c r="I15" s="167">
        <v>0</v>
      </c>
      <c r="J15" s="167">
        <v>0</v>
      </c>
      <c r="K15" s="167">
        <v>0</v>
      </c>
      <c r="L15" s="167">
        <v>0</v>
      </c>
      <c r="M15" s="162">
        <v>0</v>
      </c>
      <c r="N15" s="163">
        <v>0</v>
      </c>
      <c r="O15" s="189"/>
    </row>
    <row r="16" spans="1:15" ht="18" customHeight="1">
      <c r="A16" s="189"/>
      <c r="B16" s="189"/>
      <c r="C16" s="244" t="s">
        <v>229</v>
      </c>
      <c r="D16" s="167">
        <v>0</v>
      </c>
      <c r="E16" s="167">
        <v>0</v>
      </c>
      <c r="F16" s="162">
        <v>0</v>
      </c>
      <c r="G16" s="271"/>
      <c r="H16" s="167">
        <v>0</v>
      </c>
      <c r="I16" s="167">
        <v>0</v>
      </c>
      <c r="J16" s="167">
        <v>0</v>
      </c>
      <c r="K16" s="167">
        <v>0</v>
      </c>
      <c r="L16" s="167">
        <v>0</v>
      </c>
      <c r="M16" s="162">
        <v>0</v>
      </c>
      <c r="N16" s="163">
        <v>0</v>
      </c>
      <c r="O16" s="189"/>
    </row>
    <row r="17" spans="1:15" ht="18" customHeight="1">
      <c r="A17" s="46"/>
      <c r="B17" s="46"/>
      <c r="C17" s="257" t="s">
        <v>230</v>
      </c>
      <c r="D17" s="258">
        <v>0</v>
      </c>
      <c r="E17" s="258">
        <v>0</v>
      </c>
      <c r="F17" s="259">
        <v>0</v>
      </c>
      <c r="G17" s="260"/>
      <c r="H17" s="258">
        <v>0</v>
      </c>
      <c r="I17" s="258">
        <v>0</v>
      </c>
      <c r="J17" s="258">
        <v>0</v>
      </c>
      <c r="K17" s="258">
        <v>0</v>
      </c>
      <c r="L17" s="258">
        <v>0</v>
      </c>
      <c r="M17" s="259">
        <v>0</v>
      </c>
      <c r="N17" s="261">
        <v>0</v>
      </c>
      <c r="O17" s="46"/>
    </row>
    <row r="18" spans="1:15" ht="12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</row>
    <row r="19" spans="1:15" ht="18" customHeight="1">
      <c r="A19" s="46"/>
      <c r="B19" s="46"/>
      <c r="C19" s="39" t="s">
        <v>195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</row>
    <row r="20" spans="1:15" ht="18" customHeight="1">
      <c r="A20" s="188"/>
      <c r="B20" s="189"/>
      <c r="C20" s="190"/>
      <c r="D20" s="191"/>
      <c r="E20" s="192"/>
      <c r="F20" s="192"/>
      <c r="G20" s="191"/>
      <c r="H20" s="192"/>
      <c r="I20" s="192"/>
      <c r="J20" s="192"/>
      <c r="K20" s="192"/>
      <c r="L20" s="192"/>
      <c r="M20" s="192"/>
      <c r="N20" s="191"/>
      <c r="O20" s="189"/>
    </row>
    <row r="21" spans="1:15" ht="18" customHeight="1">
      <c r="A21" s="164"/>
      <c r="B21" s="165"/>
      <c r="C21" s="239"/>
      <c r="D21" s="240" t="s">
        <v>152</v>
      </c>
      <c r="E21" s="240" t="s">
        <v>153</v>
      </c>
      <c r="F21" s="241" t="s">
        <v>14</v>
      </c>
      <c r="G21" s="242" t="s">
        <v>154</v>
      </c>
      <c r="H21" s="240" t="s">
        <v>155</v>
      </c>
      <c r="I21" s="240" t="s">
        <v>156</v>
      </c>
      <c r="J21" s="240" t="s">
        <v>157</v>
      </c>
      <c r="K21" s="240" t="s">
        <v>158</v>
      </c>
      <c r="L21" s="240" t="s">
        <v>159</v>
      </c>
      <c r="M21" s="241" t="s">
        <v>14</v>
      </c>
      <c r="N21" s="243" t="s">
        <v>109</v>
      </c>
      <c r="O21" s="46"/>
    </row>
    <row r="22" spans="1:15" ht="18" customHeight="1">
      <c r="A22" s="46"/>
      <c r="B22" s="46"/>
      <c r="C22" s="270" t="s">
        <v>225</v>
      </c>
      <c r="D22" s="167">
        <v>0</v>
      </c>
      <c r="E22" s="167">
        <v>0</v>
      </c>
      <c r="F22" s="162">
        <v>0</v>
      </c>
      <c r="G22" s="202"/>
      <c r="H22" s="167">
        <v>0</v>
      </c>
      <c r="I22" s="167">
        <v>0</v>
      </c>
      <c r="J22" s="167">
        <v>0</v>
      </c>
      <c r="K22" s="167">
        <v>0</v>
      </c>
      <c r="L22" s="167">
        <v>0</v>
      </c>
      <c r="M22" s="162">
        <v>0</v>
      </c>
      <c r="N22" s="163">
        <v>0</v>
      </c>
      <c r="O22" s="46"/>
    </row>
    <row r="23" spans="1:15" ht="18" customHeight="1">
      <c r="A23" s="189"/>
      <c r="B23" s="189"/>
      <c r="C23" s="270" t="s">
        <v>226</v>
      </c>
      <c r="D23" s="167">
        <v>0</v>
      </c>
      <c r="E23" s="167">
        <v>0</v>
      </c>
      <c r="F23" s="162">
        <v>0</v>
      </c>
      <c r="G23" s="271"/>
      <c r="H23" s="167">
        <v>0</v>
      </c>
      <c r="I23" s="167">
        <v>0</v>
      </c>
      <c r="J23" s="167">
        <v>0</v>
      </c>
      <c r="K23" s="167">
        <v>0</v>
      </c>
      <c r="L23" s="167">
        <v>0</v>
      </c>
      <c r="M23" s="162">
        <v>0</v>
      </c>
      <c r="N23" s="163">
        <v>0</v>
      </c>
      <c r="O23" s="189"/>
    </row>
    <row r="24" spans="1:15" ht="18" customHeight="1">
      <c r="A24" s="189"/>
      <c r="B24" s="189"/>
      <c r="C24" s="244" t="s">
        <v>227</v>
      </c>
      <c r="D24" s="167">
        <v>0</v>
      </c>
      <c r="E24" s="167">
        <v>0</v>
      </c>
      <c r="F24" s="162">
        <v>0</v>
      </c>
      <c r="G24" s="271"/>
      <c r="H24" s="167">
        <v>0</v>
      </c>
      <c r="I24" s="167">
        <v>0</v>
      </c>
      <c r="J24" s="167">
        <v>0</v>
      </c>
      <c r="K24" s="167">
        <v>0</v>
      </c>
      <c r="L24" s="167">
        <v>0</v>
      </c>
      <c r="M24" s="162">
        <v>0</v>
      </c>
      <c r="N24" s="163">
        <v>0</v>
      </c>
      <c r="O24" s="189"/>
    </row>
    <row r="25" spans="1:15" ht="18" customHeight="1">
      <c r="A25" s="189"/>
      <c r="B25" s="189"/>
      <c r="C25" s="244" t="s">
        <v>228</v>
      </c>
      <c r="D25" s="167">
        <v>0</v>
      </c>
      <c r="E25" s="167">
        <v>0</v>
      </c>
      <c r="F25" s="162">
        <v>0</v>
      </c>
      <c r="G25" s="271"/>
      <c r="H25" s="167">
        <v>0</v>
      </c>
      <c r="I25" s="167">
        <v>0</v>
      </c>
      <c r="J25" s="167">
        <v>0</v>
      </c>
      <c r="K25" s="167">
        <v>0</v>
      </c>
      <c r="L25" s="167">
        <v>0</v>
      </c>
      <c r="M25" s="162">
        <v>0</v>
      </c>
      <c r="N25" s="163">
        <v>0</v>
      </c>
      <c r="O25" s="189"/>
    </row>
    <row r="26" spans="1:15" ht="18" customHeight="1">
      <c r="A26" s="189"/>
      <c r="B26" s="189"/>
      <c r="C26" s="244" t="s">
        <v>229</v>
      </c>
      <c r="D26" s="167">
        <v>0</v>
      </c>
      <c r="E26" s="167">
        <v>0</v>
      </c>
      <c r="F26" s="162">
        <v>0</v>
      </c>
      <c r="G26" s="271"/>
      <c r="H26" s="167">
        <v>0</v>
      </c>
      <c r="I26" s="167">
        <v>0</v>
      </c>
      <c r="J26" s="167">
        <v>0</v>
      </c>
      <c r="K26" s="167">
        <v>0</v>
      </c>
      <c r="L26" s="167">
        <v>0</v>
      </c>
      <c r="M26" s="162">
        <v>0</v>
      </c>
      <c r="N26" s="163">
        <v>0</v>
      </c>
      <c r="O26" s="189"/>
    </row>
    <row r="27" spans="1:15" ht="18" customHeight="1">
      <c r="A27" s="189"/>
      <c r="B27" s="189"/>
      <c r="C27" s="257" t="s">
        <v>230</v>
      </c>
      <c r="D27" s="258">
        <v>0</v>
      </c>
      <c r="E27" s="258">
        <v>0</v>
      </c>
      <c r="F27" s="259">
        <v>0</v>
      </c>
      <c r="G27" s="272"/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9">
        <v>0</v>
      </c>
      <c r="N27" s="261">
        <v>0</v>
      </c>
      <c r="O27" s="189"/>
    </row>
    <row r="28" spans="1:15" ht="12" customHeight="1">
      <c r="A28" s="164"/>
      <c r="B28" s="165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</row>
    <row r="29" spans="1:15" ht="18" customHeight="1">
      <c r="A29" s="46"/>
      <c r="B29" s="46"/>
      <c r="C29" s="39" t="s">
        <v>196</v>
      </c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</row>
    <row r="30" spans="1:15" ht="18" customHeight="1">
      <c r="A30" s="188"/>
      <c r="B30" s="189"/>
      <c r="C30" s="190"/>
      <c r="D30" s="191"/>
      <c r="E30" s="192"/>
      <c r="F30" s="192"/>
      <c r="G30" s="191"/>
      <c r="H30" s="192"/>
      <c r="I30" s="192"/>
      <c r="J30" s="192"/>
      <c r="K30" s="192"/>
      <c r="L30" s="192"/>
      <c r="M30" s="192"/>
      <c r="N30" s="191"/>
      <c r="O30" s="189"/>
    </row>
    <row r="31" spans="1:15" ht="18" customHeight="1">
      <c r="A31" s="164"/>
      <c r="B31" s="165"/>
      <c r="C31" s="239"/>
      <c r="D31" s="240" t="s">
        <v>152</v>
      </c>
      <c r="E31" s="240" t="s">
        <v>153</v>
      </c>
      <c r="F31" s="241" t="s">
        <v>14</v>
      </c>
      <c r="G31" s="242" t="s">
        <v>154</v>
      </c>
      <c r="H31" s="240" t="s">
        <v>155</v>
      </c>
      <c r="I31" s="240" t="s">
        <v>156</v>
      </c>
      <c r="J31" s="240" t="s">
        <v>157</v>
      </c>
      <c r="K31" s="240" t="s">
        <v>158</v>
      </c>
      <c r="L31" s="240" t="s">
        <v>159</v>
      </c>
      <c r="M31" s="241" t="s">
        <v>14</v>
      </c>
      <c r="N31" s="243" t="s">
        <v>109</v>
      </c>
      <c r="O31" s="46"/>
    </row>
    <row r="32" spans="1:15" ht="18" customHeight="1">
      <c r="A32" s="46"/>
      <c r="B32" s="46"/>
      <c r="C32" s="270" t="s">
        <v>225</v>
      </c>
      <c r="D32" s="167">
        <v>0</v>
      </c>
      <c r="E32" s="167">
        <v>0</v>
      </c>
      <c r="F32" s="162">
        <v>0</v>
      </c>
      <c r="G32" s="202"/>
      <c r="H32" s="167">
        <v>0</v>
      </c>
      <c r="I32" s="167">
        <v>0</v>
      </c>
      <c r="J32" s="167">
        <v>0</v>
      </c>
      <c r="K32" s="167">
        <v>0</v>
      </c>
      <c r="L32" s="167">
        <v>0</v>
      </c>
      <c r="M32" s="162">
        <v>0</v>
      </c>
      <c r="N32" s="163">
        <v>0</v>
      </c>
      <c r="O32" s="46"/>
    </row>
    <row r="33" spans="1:15" ht="18" customHeight="1">
      <c r="A33" s="189"/>
      <c r="B33" s="189"/>
      <c r="C33" s="270" t="s">
        <v>226</v>
      </c>
      <c r="D33" s="167">
        <v>0</v>
      </c>
      <c r="E33" s="167">
        <v>0</v>
      </c>
      <c r="F33" s="162">
        <v>0</v>
      </c>
      <c r="G33" s="271"/>
      <c r="H33" s="167">
        <v>0</v>
      </c>
      <c r="I33" s="167">
        <v>0</v>
      </c>
      <c r="J33" s="167">
        <v>0</v>
      </c>
      <c r="K33" s="167">
        <v>0</v>
      </c>
      <c r="L33" s="167">
        <v>0</v>
      </c>
      <c r="M33" s="162">
        <v>0</v>
      </c>
      <c r="N33" s="163">
        <v>0</v>
      </c>
      <c r="O33" s="189"/>
    </row>
    <row r="34" spans="1:15" ht="18" customHeight="1">
      <c r="A34" s="189"/>
      <c r="B34" s="189"/>
      <c r="C34" s="244" t="s">
        <v>227</v>
      </c>
      <c r="D34" s="167">
        <v>0</v>
      </c>
      <c r="E34" s="167">
        <v>0</v>
      </c>
      <c r="F34" s="162">
        <v>0</v>
      </c>
      <c r="G34" s="271"/>
      <c r="H34" s="167">
        <v>0</v>
      </c>
      <c r="I34" s="167">
        <v>0</v>
      </c>
      <c r="J34" s="167">
        <v>0</v>
      </c>
      <c r="K34" s="167">
        <v>0</v>
      </c>
      <c r="L34" s="167">
        <v>0</v>
      </c>
      <c r="M34" s="162">
        <v>0</v>
      </c>
      <c r="N34" s="163">
        <v>0</v>
      </c>
      <c r="O34" s="189"/>
    </row>
    <row r="35" spans="1:15" ht="18" customHeight="1">
      <c r="A35" s="189"/>
      <c r="B35" s="189"/>
      <c r="C35" s="244" t="s">
        <v>228</v>
      </c>
      <c r="D35" s="167">
        <v>0</v>
      </c>
      <c r="E35" s="167">
        <v>0</v>
      </c>
      <c r="F35" s="162">
        <v>0</v>
      </c>
      <c r="G35" s="271"/>
      <c r="H35" s="167">
        <v>0</v>
      </c>
      <c r="I35" s="167">
        <v>0</v>
      </c>
      <c r="J35" s="167">
        <v>0</v>
      </c>
      <c r="K35" s="167">
        <v>0</v>
      </c>
      <c r="L35" s="167">
        <v>0</v>
      </c>
      <c r="M35" s="162">
        <v>0</v>
      </c>
      <c r="N35" s="163">
        <v>0</v>
      </c>
      <c r="O35" s="189"/>
    </row>
    <row r="36" spans="1:15" ht="18" customHeight="1">
      <c r="A36" s="189"/>
      <c r="B36" s="189"/>
      <c r="C36" s="244" t="s">
        <v>229</v>
      </c>
      <c r="D36" s="167">
        <v>0</v>
      </c>
      <c r="E36" s="167">
        <v>0</v>
      </c>
      <c r="F36" s="162">
        <v>0</v>
      </c>
      <c r="G36" s="271"/>
      <c r="H36" s="167">
        <v>0</v>
      </c>
      <c r="I36" s="167">
        <v>0</v>
      </c>
      <c r="J36" s="167">
        <v>0</v>
      </c>
      <c r="K36" s="167">
        <v>0</v>
      </c>
      <c r="L36" s="167">
        <v>0</v>
      </c>
      <c r="M36" s="162">
        <v>0</v>
      </c>
      <c r="N36" s="163">
        <v>0</v>
      </c>
      <c r="O36" s="189"/>
    </row>
    <row r="37" spans="1:15" ht="18" customHeight="1">
      <c r="A37" s="189"/>
      <c r="B37" s="189"/>
      <c r="C37" s="257" t="s">
        <v>230</v>
      </c>
      <c r="D37" s="258">
        <v>0</v>
      </c>
      <c r="E37" s="258">
        <v>0</v>
      </c>
      <c r="F37" s="259">
        <v>0</v>
      </c>
      <c r="G37" s="272"/>
      <c r="H37" s="258">
        <v>0</v>
      </c>
      <c r="I37" s="258">
        <v>0</v>
      </c>
      <c r="J37" s="258">
        <v>0</v>
      </c>
      <c r="K37" s="258">
        <v>0</v>
      </c>
      <c r="L37" s="258">
        <v>0</v>
      </c>
      <c r="M37" s="259">
        <v>0</v>
      </c>
      <c r="N37" s="261">
        <v>0</v>
      </c>
      <c r="O37" s="189"/>
    </row>
    <row r="38" spans="1:15" ht="12" customHeight="1">
      <c r="A38" s="164"/>
      <c r="B38" s="165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</row>
    <row r="39" spans="1:15" ht="18" customHeight="1">
      <c r="A39" s="164"/>
      <c r="B39" s="39" t="s">
        <v>231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</row>
    <row r="40" spans="1:15" ht="18" customHeight="1">
      <c r="A40" s="46"/>
      <c r="B40" s="46"/>
      <c r="C40" s="39" t="s">
        <v>232</v>
      </c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</row>
    <row r="41" spans="1:15" ht="18" customHeight="1">
      <c r="A41" s="188"/>
      <c r="B41" s="189"/>
      <c r="C41" s="190"/>
      <c r="D41" s="191"/>
      <c r="E41" s="192"/>
      <c r="F41" s="192"/>
      <c r="G41" s="191"/>
      <c r="H41" s="192"/>
      <c r="I41" s="192"/>
      <c r="J41" s="192"/>
      <c r="K41" s="192"/>
      <c r="L41" s="192"/>
      <c r="M41" s="192"/>
      <c r="N41" s="273"/>
      <c r="O41" s="189"/>
    </row>
    <row r="42" spans="1:15" ht="18" customHeight="1">
      <c r="A42" s="164"/>
      <c r="B42" s="165"/>
      <c r="C42" s="239"/>
      <c r="D42" s="240" t="s">
        <v>152</v>
      </c>
      <c r="E42" s="240" t="s">
        <v>153</v>
      </c>
      <c r="F42" s="274" t="s">
        <v>14</v>
      </c>
      <c r="G42" s="275" t="s">
        <v>155</v>
      </c>
      <c r="H42" s="240" t="s">
        <v>156</v>
      </c>
      <c r="I42" s="240" t="s">
        <v>157</v>
      </c>
      <c r="J42" s="240" t="s">
        <v>158</v>
      </c>
      <c r="K42" s="240" t="s">
        <v>159</v>
      </c>
      <c r="L42" s="241" t="s">
        <v>14</v>
      </c>
      <c r="M42" s="243" t="s">
        <v>109</v>
      </c>
      <c r="N42" s="46"/>
      <c r="O42" s="46"/>
    </row>
    <row r="43" spans="1:15" ht="18" customHeight="1">
      <c r="A43" s="46"/>
      <c r="B43" s="46"/>
      <c r="C43" s="270" t="s">
        <v>113</v>
      </c>
      <c r="D43" s="167">
        <v>0</v>
      </c>
      <c r="E43" s="167">
        <v>0</v>
      </c>
      <c r="F43" s="162">
        <v>0</v>
      </c>
      <c r="G43" s="276">
        <v>0</v>
      </c>
      <c r="H43" s="167">
        <v>0</v>
      </c>
      <c r="I43" s="167">
        <v>0</v>
      </c>
      <c r="J43" s="167">
        <v>0</v>
      </c>
      <c r="K43" s="167">
        <v>0</v>
      </c>
      <c r="L43" s="162">
        <v>0</v>
      </c>
      <c r="M43" s="163">
        <v>0</v>
      </c>
      <c r="N43" s="46"/>
      <c r="O43" s="46"/>
    </row>
    <row r="44" spans="1:15" ht="18" customHeight="1">
      <c r="A44" s="46"/>
      <c r="B44" s="46"/>
      <c r="C44" s="268" t="s">
        <v>114</v>
      </c>
      <c r="D44" s="251">
        <v>0</v>
      </c>
      <c r="E44" s="251">
        <v>0</v>
      </c>
      <c r="F44" s="162">
        <v>0</v>
      </c>
      <c r="G44" s="276">
        <v>0</v>
      </c>
      <c r="H44" s="167">
        <v>0</v>
      </c>
      <c r="I44" s="167">
        <v>0</v>
      </c>
      <c r="J44" s="167">
        <v>5</v>
      </c>
      <c r="K44" s="167">
        <v>0</v>
      </c>
      <c r="L44" s="162">
        <v>5</v>
      </c>
      <c r="M44" s="163">
        <v>5</v>
      </c>
      <c r="N44" s="46"/>
      <c r="O44" s="46"/>
    </row>
    <row r="45" spans="1:15" ht="18" customHeight="1">
      <c r="A45" s="46"/>
      <c r="B45" s="46"/>
      <c r="C45" s="268" t="s">
        <v>176</v>
      </c>
      <c r="D45" s="251">
        <v>0</v>
      </c>
      <c r="E45" s="251">
        <v>0</v>
      </c>
      <c r="F45" s="162">
        <v>0</v>
      </c>
      <c r="G45" s="276">
        <v>0</v>
      </c>
      <c r="H45" s="167">
        <v>0</v>
      </c>
      <c r="I45" s="167">
        <v>0</v>
      </c>
      <c r="J45" s="167">
        <v>0</v>
      </c>
      <c r="K45" s="167">
        <v>0</v>
      </c>
      <c r="L45" s="162">
        <v>0</v>
      </c>
      <c r="M45" s="163">
        <v>0</v>
      </c>
      <c r="N45" s="46"/>
      <c r="O45" s="46"/>
    </row>
    <row r="46" spans="1:15" ht="18" customHeight="1">
      <c r="A46" s="164"/>
      <c r="B46" s="165"/>
      <c r="C46" s="277" t="s">
        <v>116</v>
      </c>
      <c r="D46" s="118">
        <v>0</v>
      </c>
      <c r="E46" s="118">
        <v>0</v>
      </c>
      <c r="F46" s="178">
        <v>0</v>
      </c>
      <c r="G46" s="278">
        <v>0</v>
      </c>
      <c r="H46" s="118">
        <v>0</v>
      </c>
      <c r="I46" s="118">
        <v>0</v>
      </c>
      <c r="J46" s="118">
        <v>0</v>
      </c>
      <c r="K46" s="118">
        <v>0</v>
      </c>
      <c r="L46" s="178">
        <v>0</v>
      </c>
      <c r="M46" s="171">
        <v>0</v>
      </c>
      <c r="N46" s="46"/>
      <c r="O46" s="46"/>
    </row>
    <row r="47" spans="1:15" ht="12" customHeight="1">
      <c r="A47" s="164"/>
      <c r="B47" s="165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</row>
    <row r="48" spans="1:15" ht="18" customHeight="1">
      <c r="A48" s="46"/>
      <c r="B48" s="46"/>
      <c r="C48" s="39" t="s">
        <v>233</v>
      </c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</row>
    <row r="49" spans="1:15" ht="18" customHeight="1">
      <c r="A49" s="188"/>
      <c r="B49" s="189"/>
      <c r="C49" s="190"/>
      <c r="D49" s="191"/>
      <c r="E49" s="192"/>
      <c r="F49" s="192"/>
      <c r="G49" s="191"/>
      <c r="H49" s="192"/>
      <c r="I49" s="192"/>
      <c r="J49" s="192"/>
      <c r="K49" s="192"/>
      <c r="L49" s="192"/>
      <c r="M49" s="192"/>
      <c r="N49" s="189"/>
      <c r="O49" s="189"/>
    </row>
    <row r="50" spans="1:15" ht="18" customHeight="1">
      <c r="A50" s="164"/>
      <c r="B50" s="165"/>
      <c r="C50" s="239"/>
      <c r="D50" s="240" t="s">
        <v>152</v>
      </c>
      <c r="E50" s="240" t="s">
        <v>153</v>
      </c>
      <c r="F50" s="274" t="s">
        <v>14</v>
      </c>
      <c r="G50" s="275" t="s">
        <v>155</v>
      </c>
      <c r="H50" s="240" t="s">
        <v>156</v>
      </c>
      <c r="I50" s="240" t="s">
        <v>157</v>
      </c>
      <c r="J50" s="240" t="s">
        <v>158</v>
      </c>
      <c r="K50" s="240" t="s">
        <v>159</v>
      </c>
      <c r="L50" s="241" t="s">
        <v>14</v>
      </c>
      <c r="M50" s="243" t="s">
        <v>109</v>
      </c>
      <c r="N50" s="46"/>
      <c r="O50" s="46"/>
    </row>
    <row r="51" spans="1:15" ht="18" customHeight="1">
      <c r="A51" s="46"/>
      <c r="B51" s="46"/>
      <c r="C51" s="270" t="s">
        <v>113</v>
      </c>
      <c r="D51" s="167">
        <v>0</v>
      </c>
      <c r="E51" s="167">
        <v>0</v>
      </c>
      <c r="F51" s="162">
        <v>0</v>
      </c>
      <c r="G51" s="276">
        <v>0</v>
      </c>
      <c r="H51" s="167">
        <v>0</v>
      </c>
      <c r="I51" s="167">
        <v>0</v>
      </c>
      <c r="J51" s="167">
        <v>0</v>
      </c>
      <c r="K51" s="167">
        <v>0</v>
      </c>
      <c r="L51" s="162">
        <v>0</v>
      </c>
      <c r="M51" s="163">
        <v>0</v>
      </c>
      <c r="N51" s="46"/>
      <c r="O51" s="46"/>
    </row>
    <row r="52" spans="1:15" ht="18" customHeight="1">
      <c r="A52" s="46"/>
      <c r="B52" s="46"/>
      <c r="C52" s="268" t="s">
        <v>114</v>
      </c>
      <c r="D52" s="251">
        <v>0</v>
      </c>
      <c r="E52" s="251">
        <v>0</v>
      </c>
      <c r="F52" s="162">
        <v>0</v>
      </c>
      <c r="G52" s="276">
        <v>0</v>
      </c>
      <c r="H52" s="167">
        <v>0</v>
      </c>
      <c r="I52" s="167">
        <v>0</v>
      </c>
      <c r="J52" s="167">
        <v>7</v>
      </c>
      <c r="K52" s="167">
        <v>0</v>
      </c>
      <c r="L52" s="162">
        <v>7</v>
      </c>
      <c r="M52" s="163">
        <v>7</v>
      </c>
      <c r="N52" s="46"/>
      <c r="O52" s="46"/>
    </row>
    <row r="53" spans="1:15" ht="18" customHeight="1">
      <c r="A53" s="46"/>
      <c r="B53" s="46"/>
      <c r="C53" s="268" t="s">
        <v>176</v>
      </c>
      <c r="D53" s="251">
        <v>0</v>
      </c>
      <c r="E53" s="251">
        <v>0</v>
      </c>
      <c r="F53" s="162">
        <v>0</v>
      </c>
      <c r="G53" s="276">
        <v>0</v>
      </c>
      <c r="H53" s="167">
        <v>0</v>
      </c>
      <c r="I53" s="167">
        <v>0</v>
      </c>
      <c r="J53" s="167">
        <v>0</v>
      </c>
      <c r="K53" s="167">
        <v>0</v>
      </c>
      <c r="L53" s="162">
        <v>0</v>
      </c>
      <c r="M53" s="163">
        <v>0</v>
      </c>
      <c r="N53" s="46"/>
      <c r="O53" s="46"/>
    </row>
    <row r="54" spans="1:15" ht="18" customHeight="1">
      <c r="A54" s="164"/>
      <c r="B54" s="165"/>
      <c r="C54" s="277" t="s">
        <v>116</v>
      </c>
      <c r="D54" s="118">
        <v>0</v>
      </c>
      <c r="E54" s="118">
        <v>0</v>
      </c>
      <c r="F54" s="178">
        <v>0</v>
      </c>
      <c r="G54" s="278">
        <v>0</v>
      </c>
      <c r="H54" s="118">
        <v>0</v>
      </c>
      <c r="I54" s="118">
        <v>0</v>
      </c>
      <c r="J54" s="118">
        <v>0</v>
      </c>
      <c r="K54" s="118">
        <v>0</v>
      </c>
      <c r="L54" s="178">
        <v>0</v>
      </c>
      <c r="M54" s="171">
        <v>0</v>
      </c>
      <c r="N54" s="46"/>
      <c r="O54" s="46"/>
    </row>
    <row r="55" spans="1:15" ht="12" customHeight="1">
      <c r="A55" s="164"/>
      <c r="B55" s="165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</row>
  </sheetData>
  <mergeCells count="2">
    <mergeCell ref="A3:O3"/>
    <mergeCell ref="A4:O4"/>
  </mergeCells>
  <phoneticPr fontId="3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53"/>
  <sheetViews>
    <sheetView showGridLines="0" workbookViewId="0"/>
  </sheetViews>
  <sheetFormatPr defaultColWidth="9" defaultRowHeight="12" custom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234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237</v>
      </c>
    </row>
    <row r="8" spans="1:17" ht="18" customHeight="1">
      <c r="C8" s="84" t="s">
        <v>238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/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8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218</v>
      </c>
      <c r="G11" s="288">
        <v>742</v>
      </c>
      <c r="H11" s="289">
        <v>960</v>
      </c>
      <c r="I11" s="290"/>
      <c r="J11" s="288">
        <v>611</v>
      </c>
      <c r="K11" s="288">
        <v>1556</v>
      </c>
      <c r="L11" s="287">
        <v>1398</v>
      </c>
      <c r="M11" s="288">
        <v>574</v>
      </c>
      <c r="N11" s="288">
        <v>303</v>
      </c>
      <c r="O11" s="287">
        <v>4442</v>
      </c>
      <c r="P11" s="291">
        <v>5402</v>
      </c>
    </row>
    <row r="12" spans="1:17" ht="18" customHeight="1">
      <c r="C12" s="292"/>
      <c r="D12" s="293" t="s">
        <v>241</v>
      </c>
      <c r="E12" s="294"/>
      <c r="F12" s="295">
        <v>44</v>
      </c>
      <c r="G12" s="296">
        <v>37</v>
      </c>
      <c r="H12" s="297">
        <v>81</v>
      </c>
      <c r="I12" s="298"/>
      <c r="J12" s="296">
        <v>96</v>
      </c>
      <c r="K12" s="295">
        <v>302</v>
      </c>
      <c r="L12" s="295">
        <v>234</v>
      </c>
      <c r="M12" s="295">
        <v>114</v>
      </c>
      <c r="N12" s="296">
        <v>90</v>
      </c>
      <c r="O12" s="295">
        <v>836</v>
      </c>
      <c r="P12" s="299">
        <v>917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72</v>
      </c>
      <c r="K13" s="302">
        <v>102</v>
      </c>
      <c r="L13" s="302">
        <v>134</v>
      </c>
      <c r="M13" s="302">
        <v>52</v>
      </c>
      <c r="N13" s="303">
        <v>47</v>
      </c>
      <c r="O13" s="295">
        <v>407</v>
      </c>
      <c r="P13" s="299">
        <v>407</v>
      </c>
    </row>
    <row r="14" spans="1:17" ht="18" customHeight="1">
      <c r="C14" s="292"/>
      <c r="D14" s="300"/>
      <c r="E14" s="301" t="s">
        <v>181</v>
      </c>
      <c r="F14" s="302">
        <v>5</v>
      </c>
      <c r="G14" s="303">
        <v>0</v>
      </c>
      <c r="H14" s="297">
        <v>5</v>
      </c>
      <c r="I14" s="304"/>
      <c r="J14" s="303">
        <v>0</v>
      </c>
      <c r="K14" s="302">
        <v>17</v>
      </c>
      <c r="L14" s="302">
        <v>13</v>
      </c>
      <c r="M14" s="302">
        <v>9</v>
      </c>
      <c r="N14" s="303">
        <v>9</v>
      </c>
      <c r="O14" s="295">
        <v>48</v>
      </c>
      <c r="P14" s="299">
        <v>53</v>
      </c>
    </row>
    <row r="15" spans="1:17" ht="18" customHeight="1">
      <c r="C15" s="292"/>
      <c r="D15" s="300"/>
      <c r="E15" s="301" t="s">
        <v>182</v>
      </c>
      <c r="F15" s="302">
        <v>12</v>
      </c>
      <c r="G15" s="303">
        <v>0</v>
      </c>
      <c r="H15" s="297">
        <v>12</v>
      </c>
      <c r="I15" s="304"/>
      <c r="J15" s="303">
        <v>1</v>
      </c>
      <c r="K15" s="302">
        <v>57</v>
      </c>
      <c r="L15" s="302">
        <v>14</v>
      </c>
      <c r="M15" s="302">
        <v>13</v>
      </c>
      <c r="N15" s="303">
        <v>2</v>
      </c>
      <c r="O15" s="295">
        <v>87</v>
      </c>
      <c r="P15" s="299">
        <v>99</v>
      </c>
    </row>
    <row r="16" spans="1:17" ht="18" customHeight="1">
      <c r="C16" s="292"/>
      <c r="D16" s="300"/>
      <c r="E16" s="301" t="s">
        <v>183</v>
      </c>
      <c r="F16" s="302">
        <v>27</v>
      </c>
      <c r="G16" s="303">
        <v>37</v>
      </c>
      <c r="H16" s="297">
        <v>64</v>
      </c>
      <c r="I16" s="304"/>
      <c r="J16" s="303">
        <v>6</v>
      </c>
      <c r="K16" s="302">
        <v>72</v>
      </c>
      <c r="L16" s="302">
        <v>24</v>
      </c>
      <c r="M16" s="302">
        <v>2</v>
      </c>
      <c r="N16" s="303">
        <v>3</v>
      </c>
      <c r="O16" s="295">
        <v>107</v>
      </c>
      <c r="P16" s="299">
        <v>171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17</v>
      </c>
      <c r="K17" s="302">
        <v>54</v>
      </c>
      <c r="L17" s="302">
        <v>49</v>
      </c>
      <c r="M17" s="302">
        <v>38</v>
      </c>
      <c r="N17" s="303">
        <v>29</v>
      </c>
      <c r="O17" s="295">
        <v>187</v>
      </c>
      <c r="P17" s="299">
        <v>187</v>
      </c>
    </row>
    <row r="18" spans="1:17" ht="18" customHeight="1">
      <c r="C18" s="292"/>
      <c r="D18" s="293" t="s">
        <v>242</v>
      </c>
      <c r="E18" s="305"/>
      <c r="F18" s="295">
        <v>84</v>
      </c>
      <c r="G18" s="296">
        <v>339</v>
      </c>
      <c r="H18" s="297">
        <v>423</v>
      </c>
      <c r="I18" s="298"/>
      <c r="J18" s="296">
        <v>334</v>
      </c>
      <c r="K18" s="295">
        <v>585</v>
      </c>
      <c r="L18" s="295">
        <v>578</v>
      </c>
      <c r="M18" s="295">
        <v>161</v>
      </c>
      <c r="N18" s="296">
        <v>67</v>
      </c>
      <c r="O18" s="295">
        <v>1725</v>
      </c>
      <c r="P18" s="299">
        <v>2148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143</v>
      </c>
      <c r="K19" s="302">
        <v>164</v>
      </c>
      <c r="L19" s="302">
        <v>204</v>
      </c>
      <c r="M19" s="302">
        <v>85</v>
      </c>
      <c r="N19" s="303">
        <v>52</v>
      </c>
      <c r="O19" s="295">
        <v>648</v>
      </c>
      <c r="P19" s="299">
        <v>648</v>
      </c>
    </row>
    <row r="20" spans="1:17" ht="18" customHeight="1">
      <c r="C20" s="292"/>
      <c r="D20" s="300"/>
      <c r="E20" s="306" t="s">
        <v>186</v>
      </c>
      <c r="F20" s="302">
        <v>84</v>
      </c>
      <c r="G20" s="303">
        <v>339</v>
      </c>
      <c r="H20" s="297">
        <v>423</v>
      </c>
      <c r="I20" s="304"/>
      <c r="J20" s="303">
        <v>191</v>
      </c>
      <c r="K20" s="302">
        <v>421</v>
      </c>
      <c r="L20" s="302">
        <v>374</v>
      </c>
      <c r="M20" s="302">
        <v>76</v>
      </c>
      <c r="N20" s="303">
        <v>15</v>
      </c>
      <c r="O20" s="295">
        <v>1077</v>
      </c>
      <c r="P20" s="299">
        <v>1500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2</v>
      </c>
      <c r="H21" s="297">
        <v>2</v>
      </c>
      <c r="I21" s="298"/>
      <c r="J21" s="296">
        <v>22</v>
      </c>
      <c r="K21" s="295">
        <v>30</v>
      </c>
      <c r="L21" s="295">
        <v>93</v>
      </c>
      <c r="M21" s="295">
        <v>63</v>
      </c>
      <c r="N21" s="296">
        <v>39</v>
      </c>
      <c r="O21" s="295">
        <v>247</v>
      </c>
      <c r="P21" s="299">
        <v>249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1</v>
      </c>
      <c r="H22" s="297">
        <v>1</v>
      </c>
      <c r="I22" s="304"/>
      <c r="J22" s="303">
        <v>9</v>
      </c>
      <c r="K22" s="302">
        <v>20</v>
      </c>
      <c r="L22" s="302">
        <v>41</v>
      </c>
      <c r="M22" s="302">
        <v>47</v>
      </c>
      <c r="N22" s="303">
        <v>28</v>
      </c>
      <c r="O22" s="295">
        <v>145</v>
      </c>
      <c r="P22" s="299">
        <v>146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1</v>
      </c>
      <c r="H23" s="297">
        <v>1</v>
      </c>
      <c r="I23" s="304"/>
      <c r="J23" s="303">
        <v>13</v>
      </c>
      <c r="K23" s="302">
        <v>10</v>
      </c>
      <c r="L23" s="302">
        <v>52</v>
      </c>
      <c r="M23" s="302">
        <v>16</v>
      </c>
      <c r="N23" s="303">
        <v>11</v>
      </c>
      <c r="O23" s="295">
        <v>102</v>
      </c>
      <c r="P23" s="299">
        <v>103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90</v>
      </c>
      <c r="G26" s="296">
        <v>364</v>
      </c>
      <c r="H26" s="297">
        <v>454</v>
      </c>
      <c r="I26" s="298"/>
      <c r="J26" s="296">
        <v>157</v>
      </c>
      <c r="K26" s="295">
        <v>625</v>
      </c>
      <c r="L26" s="295">
        <v>479</v>
      </c>
      <c r="M26" s="295">
        <v>234</v>
      </c>
      <c r="N26" s="296">
        <v>107</v>
      </c>
      <c r="O26" s="295">
        <v>1602</v>
      </c>
      <c r="P26" s="299">
        <v>2056</v>
      </c>
    </row>
    <row r="27" spans="1:17" ht="18" customHeight="1">
      <c r="C27" s="292"/>
      <c r="D27" s="300"/>
      <c r="E27" s="308" t="s">
        <v>191</v>
      </c>
      <c r="F27" s="309">
        <v>90</v>
      </c>
      <c r="G27" s="310">
        <v>357</v>
      </c>
      <c r="H27" s="297">
        <v>447</v>
      </c>
      <c r="I27" s="304"/>
      <c r="J27" s="310">
        <v>151</v>
      </c>
      <c r="K27" s="309">
        <v>612</v>
      </c>
      <c r="L27" s="309">
        <v>475</v>
      </c>
      <c r="M27" s="309">
        <v>230</v>
      </c>
      <c r="N27" s="310">
        <v>105</v>
      </c>
      <c r="O27" s="295">
        <v>1573</v>
      </c>
      <c r="P27" s="299">
        <v>2020</v>
      </c>
    </row>
    <row r="28" spans="1:17" ht="18" customHeight="1">
      <c r="C28" s="292"/>
      <c r="D28" s="311"/>
      <c r="E28" s="306" t="s">
        <v>245</v>
      </c>
      <c r="F28" s="312">
        <v>0</v>
      </c>
      <c r="G28" s="313">
        <v>3</v>
      </c>
      <c r="H28" s="297">
        <v>3</v>
      </c>
      <c r="I28" s="314"/>
      <c r="J28" s="313">
        <v>3</v>
      </c>
      <c r="K28" s="312">
        <v>9</v>
      </c>
      <c r="L28" s="312">
        <v>3</v>
      </c>
      <c r="M28" s="312">
        <v>2</v>
      </c>
      <c r="N28" s="313">
        <v>2</v>
      </c>
      <c r="O28" s="295">
        <v>19</v>
      </c>
      <c r="P28" s="299">
        <v>22</v>
      </c>
    </row>
    <row r="29" spans="1:17" ht="18" customHeight="1">
      <c r="C29" s="292"/>
      <c r="D29" s="315"/>
      <c r="E29" s="301" t="s">
        <v>246</v>
      </c>
      <c r="F29" s="316">
        <v>0</v>
      </c>
      <c r="G29" s="317">
        <v>4</v>
      </c>
      <c r="H29" s="297">
        <v>4</v>
      </c>
      <c r="I29" s="314"/>
      <c r="J29" s="317">
        <v>3</v>
      </c>
      <c r="K29" s="316">
        <v>4</v>
      </c>
      <c r="L29" s="316">
        <v>1</v>
      </c>
      <c r="M29" s="316">
        <v>2</v>
      </c>
      <c r="N29" s="317">
        <v>0</v>
      </c>
      <c r="O29" s="295">
        <v>10</v>
      </c>
      <c r="P29" s="299">
        <v>14</v>
      </c>
    </row>
    <row r="30" spans="1:17" ht="18" customHeight="1">
      <c r="A30" s="318"/>
      <c r="B30" s="318"/>
      <c r="C30" s="292"/>
      <c r="D30" s="300" t="s">
        <v>192</v>
      </c>
      <c r="E30" s="319"/>
      <c r="F30" s="302">
        <v>0</v>
      </c>
      <c r="G30" s="303">
        <v>0</v>
      </c>
      <c r="H30" s="297">
        <v>0</v>
      </c>
      <c r="I30" s="320"/>
      <c r="J30" s="303">
        <v>2</v>
      </c>
      <c r="K30" s="302">
        <v>14</v>
      </c>
      <c r="L30" s="302">
        <v>14</v>
      </c>
      <c r="M30" s="302">
        <v>2</v>
      </c>
      <c r="N30" s="303">
        <v>0</v>
      </c>
      <c r="O30" s="295">
        <v>32</v>
      </c>
      <c r="P30" s="299">
        <v>32</v>
      </c>
      <c r="Q30" s="8"/>
    </row>
    <row r="31" spans="1:17" ht="18" customHeight="1">
      <c r="A31" s="318"/>
      <c r="B31" s="318"/>
      <c r="C31" s="292"/>
      <c r="D31" s="293" t="s">
        <v>193</v>
      </c>
      <c r="E31" s="319"/>
      <c r="F31" s="302">
        <v>0</v>
      </c>
      <c r="G31" s="303">
        <v>0</v>
      </c>
      <c r="H31" s="297">
        <v>0</v>
      </c>
      <c r="I31" s="320"/>
      <c r="J31" s="303">
        <v>0</v>
      </c>
      <c r="K31" s="302">
        <v>0</v>
      </c>
      <c r="L31" s="302">
        <v>0</v>
      </c>
      <c r="M31" s="302">
        <v>0</v>
      </c>
      <c r="N31" s="303">
        <v>0</v>
      </c>
      <c r="O31" s="295">
        <v>0</v>
      </c>
      <c r="P31" s="299">
        <v>0</v>
      </c>
      <c r="Q31" s="8"/>
    </row>
    <row r="32" spans="1:17" ht="18" customHeight="1">
      <c r="A32" s="318"/>
      <c r="B32" s="318"/>
      <c r="C32" s="321" t="s">
        <v>194</v>
      </c>
      <c r="D32" s="322"/>
      <c r="E32" s="322"/>
      <c r="F32" s="323">
        <v>220</v>
      </c>
      <c r="G32" s="167">
        <v>680</v>
      </c>
      <c r="H32" s="162">
        <v>900</v>
      </c>
      <c r="I32" s="324"/>
      <c r="J32" s="167">
        <v>432</v>
      </c>
      <c r="K32" s="323">
        <v>853</v>
      </c>
      <c r="L32" s="323">
        <v>671</v>
      </c>
      <c r="M32" s="323">
        <v>268</v>
      </c>
      <c r="N32" s="167">
        <v>110</v>
      </c>
      <c r="O32" s="162">
        <v>2334</v>
      </c>
      <c r="P32" s="163">
        <v>3234</v>
      </c>
      <c r="Q32" s="8"/>
    </row>
    <row r="33" spans="1:17" ht="18" customHeight="1">
      <c r="A33" s="318"/>
      <c r="B33" s="318"/>
      <c r="C33" s="285" t="s">
        <v>247</v>
      </c>
      <c r="D33" s="325"/>
      <c r="E33" s="326"/>
      <c r="F33" s="287">
        <v>0</v>
      </c>
      <c r="G33" s="288">
        <v>18</v>
      </c>
      <c r="H33" s="289">
        <v>18</v>
      </c>
      <c r="I33" s="327"/>
      <c r="J33" s="288">
        <v>93</v>
      </c>
      <c r="K33" s="287">
        <v>119</v>
      </c>
      <c r="L33" s="287">
        <v>206</v>
      </c>
      <c r="M33" s="287">
        <v>134</v>
      </c>
      <c r="N33" s="288">
        <v>83</v>
      </c>
      <c r="O33" s="287">
        <v>635</v>
      </c>
      <c r="P33" s="291">
        <v>653</v>
      </c>
      <c r="Q33" s="8"/>
    </row>
    <row r="34" spans="1:17" ht="18" customHeight="1">
      <c r="A34" s="318"/>
      <c r="B34" s="318"/>
      <c r="C34" s="328"/>
      <c r="D34" s="798" t="s">
        <v>211</v>
      </c>
      <c r="E34" s="799"/>
      <c r="F34" s="329">
        <v>0</v>
      </c>
      <c r="G34" s="330">
        <v>0</v>
      </c>
      <c r="H34" s="331">
        <v>0</v>
      </c>
      <c r="I34" s="320"/>
      <c r="J34" s="330">
        <v>6</v>
      </c>
      <c r="K34" s="329">
        <v>0</v>
      </c>
      <c r="L34" s="329">
        <v>0</v>
      </c>
      <c r="M34" s="329">
        <v>0</v>
      </c>
      <c r="N34" s="330">
        <v>0</v>
      </c>
      <c r="O34" s="332">
        <v>6</v>
      </c>
      <c r="P34" s="333">
        <v>6</v>
      </c>
      <c r="Q34" s="8"/>
    </row>
    <row r="35" spans="1:17" ht="18" customHeight="1">
      <c r="A35" s="318"/>
      <c r="B35" s="318"/>
      <c r="C35" s="292"/>
      <c r="D35" s="307" t="s">
        <v>212</v>
      </c>
      <c r="E35" s="319"/>
      <c r="F35" s="329">
        <v>0</v>
      </c>
      <c r="G35" s="330">
        <v>0</v>
      </c>
      <c r="H35" s="297">
        <v>0</v>
      </c>
      <c r="I35" s="320"/>
      <c r="J35" s="303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07" t="s">
        <v>213</v>
      </c>
      <c r="E36" s="319"/>
      <c r="F36" s="302">
        <v>0</v>
      </c>
      <c r="G36" s="303">
        <v>0</v>
      </c>
      <c r="H36" s="297">
        <v>0</v>
      </c>
      <c r="I36" s="320"/>
      <c r="J36" s="303">
        <v>9</v>
      </c>
      <c r="K36" s="302">
        <v>2</v>
      </c>
      <c r="L36" s="302">
        <v>0</v>
      </c>
      <c r="M36" s="302">
        <v>0</v>
      </c>
      <c r="N36" s="303">
        <v>0</v>
      </c>
      <c r="O36" s="295">
        <v>11</v>
      </c>
      <c r="P36" s="299">
        <v>11</v>
      </c>
      <c r="Q36" s="8"/>
    </row>
    <row r="37" spans="1:17" ht="18" customHeight="1">
      <c r="A37" s="318"/>
      <c r="B37" s="318"/>
      <c r="C37" s="292"/>
      <c r="D37" s="334" t="s">
        <v>214</v>
      </c>
      <c r="E37" s="305"/>
      <c r="F37" s="302">
        <v>0</v>
      </c>
      <c r="G37" s="303">
        <v>0</v>
      </c>
      <c r="H37" s="297">
        <v>0</v>
      </c>
      <c r="I37" s="320"/>
      <c r="J37" s="303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215</v>
      </c>
      <c r="E38" s="305"/>
      <c r="F38" s="302">
        <v>0</v>
      </c>
      <c r="G38" s="303">
        <v>0</v>
      </c>
      <c r="H38" s="297">
        <v>0</v>
      </c>
      <c r="I38" s="320"/>
      <c r="J38" s="303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216</v>
      </c>
      <c r="E39" s="305"/>
      <c r="F39" s="302">
        <v>0</v>
      </c>
      <c r="G39" s="303">
        <v>0</v>
      </c>
      <c r="H39" s="297">
        <v>0</v>
      </c>
      <c r="I39" s="320"/>
      <c r="J39" s="303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334" t="s">
        <v>217</v>
      </c>
      <c r="E40" s="305"/>
      <c r="F40" s="330">
        <v>0</v>
      </c>
      <c r="G40" s="303">
        <v>18</v>
      </c>
      <c r="H40" s="297">
        <v>18</v>
      </c>
      <c r="I40" s="320"/>
      <c r="J40" s="303">
        <v>78</v>
      </c>
      <c r="K40" s="302">
        <v>105</v>
      </c>
      <c r="L40" s="302">
        <v>93</v>
      </c>
      <c r="M40" s="302">
        <v>7</v>
      </c>
      <c r="N40" s="303">
        <v>11</v>
      </c>
      <c r="O40" s="295">
        <v>294</v>
      </c>
      <c r="P40" s="299">
        <v>312</v>
      </c>
      <c r="Q40" s="8"/>
    </row>
    <row r="41" spans="1:17" ht="18" customHeight="1">
      <c r="A41" s="318"/>
      <c r="B41" s="318"/>
      <c r="C41" s="292"/>
      <c r="D41" s="334" t="s">
        <v>218</v>
      </c>
      <c r="E41" s="305"/>
      <c r="F41" s="330">
        <v>0</v>
      </c>
      <c r="G41" s="303">
        <v>0</v>
      </c>
      <c r="H41" s="297">
        <v>0</v>
      </c>
      <c r="I41" s="320"/>
      <c r="J41" s="303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219</v>
      </c>
      <c r="E42" s="800"/>
      <c r="F42" s="329">
        <v>0</v>
      </c>
      <c r="G42" s="330">
        <v>0</v>
      </c>
      <c r="H42" s="297">
        <v>0</v>
      </c>
      <c r="I42" s="320"/>
      <c r="J42" s="303">
        <v>0</v>
      </c>
      <c r="K42" s="302">
        <v>0</v>
      </c>
      <c r="L42" s="302">
        <v>0</v>
      </c>
      <c r="M42" s="302">
        <v>0</v>
      </c>
      <c r="N42" s="303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292"/>
      <c r="D43" s="798" t="s">
        <v>220</v>
      </c>
      <c r="E43" s="800"/>
      <c r="F43" s="329">
        <v>0</v>
      </c>
      <c r="G43" s="330">
        <v>0</v>
      </c>
      <c r="H43" s="297">
        <v>0</v>
      </c>
      <c r="I43" s="320"/>
      <c r="J43" s="303">
        <v>0</v>
      </c>
      <c r="K43" s="302">
        <v>0</v>
      </c>
      <c r="L43" s="302">
        <v>0</v>
      </c>
      <c r="M43" s="302">
        <v>0</v>
      </c>
      <c r="N43" s="303">
        <v>0</v>
      </c>
      <c r="O43" s="295">
        <v>0</v>
      </c>
      <c r="P43" s="299">
        <v>0</v>
      </c>
      <c r="Q43" s="8"/>
    </row>
    <row r="44" spans="1:17" ht="18" customHeight="1">
      <c r="A44" s="318"/>
      <c r="B44" s="318"/>
      <c r="C44" s="328"/>
      <c r="D44" s="798" t="s">
        <v>221</v>
      </c>
      <c r="E44" s="799"/>
      <c r="F44" s="329">
        <v>0</v>
      </c>
      <c r="G44" s="330">
        <v>0</v>
      </c>
      <c r="H44" s="331">
        <v>0</v>
      </c>
      <c r="I44" s="320"/>
      <c r="J44" s="330">
        <v>0</v>
      </c>
      <c r="K44" s="329">
        <v>12</v>
      </c>
      <c r="L44" s="329">
        <v>113</v>
      </c>
      <c r="M44" s="329">
        <v>127</v>
      </c>
      <c r="N44" s="330">
        <v>69</v>
      </c>
      <c r="O44" s="332">
        <v>321</v>
      </c>
      <c r="P44" s="333">
        <v>321</v>
      </c>
      <c r="Q44" s="8"/>
    </row>
    <row r="45" spans="1:17" ht="18" customHeight="1">
      <c r="A45" s="318"/>
      <c r="B45" s="318"/>
      <c r="C45" s="335"/>
      <c r="D45" s="798" t="s">
        <v>248</v>
      </c>
      <c r="E45" s="799"/>
      <c r="F45" s="329">
        <v>0</v>
      </c>
      <c r="G45" s="330">
        <v>0</v>
      </c>
      <c r="H45" s="297">
        <v>0</v>
      </c>
      <c r="I45" s="336"/>
      <c r="J45" s="330">
        <v>0</v>
      </c>
      <c r="K45" s="329">
        <v>0</v>
      </c>
      <c r="L45" s="329">
        <v>0</v>
      </c>
      <c r="M45" s="329">
        <v>0</v>
      </c>
      <c r="N45" s="330">
        <v>3</v>
      </c>
      <c r="O45" s="332">
        <v>3</v>
      </c>
      <c r="P45" s="333">
        <v>3</v>
      </c>
      <c r="Q45" s="8"/>
    </row>
    <row r="46" spans="1:17" ht="18" customHeight="1">
      <c r="A46" s="318"/>
      <c r="B46" s="318"/>
      <c r="C46" s="337"/>
      <c r="D46" s="804" t="s">
        <v>249</v>
      </c>
      <c r="E46" s="805"/>
      <c r="F46" s="338">
        <v>0</v>
      </c>
      <c r="G46" s="339">
        <v>0</v>
      </c>
      <c r="H46" s="297">
        <v>0</v>
      </c>
      <c r="I46" s="320"/>
      <c r="J46" s="339">
        <v>0</v>
      </c>
      <c r="K46" s="338">
        <v>0</v>
      </c>
      <c r="L46" s="338">
        <v>0</v>
      </c>
      <c r="M46" s="338">
        <v>0</v>
      </c>
      <c r="N46" s="339">
        <v>0</v>
      </c>
      <c r="O46" s="340">
        <v>0</v>
      </c>
      <c r="P46" s="341">
        <v>0</v>
      </c>
      <c r="Q46" s="8"/>
    </row>
    <row r="47" spans="1:17" ht="18" customHeight="1">
      <c r="A47" s="318"/>
      <c r="B47" s="318"/>
      <c r="C47" s="292" t="s">
        <v>250</v>
      </c>
      <c r="D47" s="294"/>
      <c r="E47" s="294"/>
      <c r="F47" s="288">
        <v>0</v>
      </c>
      <c r="G47" s="288">
        <v>0</v>
      </c>
      <c r="H47" s="289">
        <v>0</v>
      </c>
      <c r="I47" s="327"/>
      <c r="J47" s="288">
        <v>46</v>
      </c>
      <c r="K47" s="287">
        <v>184</v>
      </c>
      <c r="L47" s="287">
        <v>527</v>
      </c>
      <c r="M47" s="287">
        <v>527</v>
      </c>
      <c r="N47" s="288">
        <v>356</v>
      </c>
      <c r="O47" s="287">
        <v>1640</v>
      </c>
      <c r="P47" s="291">
        <v>1640</v>
      </c>
      <c r="Q47" s="8"/>
    </row>
    <row r="48" spans="1:17" ht="18" customHeight="1">
      <c r="A48" s="318"/>
      <c r="B48" s="318"/>
      <c r="C48" s="292"/>
      <c r="D48" s="342" t="s">
        <v>113</v>
      </c>
      <c r="E48" s="342"/>
      <c r="F48" s="303">
        <v>0</v>
      </c>
      <c r="G48" s="303">
        <v>0</v>
      </c>
      <c r="H48" s="297">
        <v>0</v>
      </c>
      <c r="I48" s="320"/>
      <c r="J48" s="303">
        <v>10</v>
      </c>
      <c r="K48" s="302">
        <v>38</v>
      </c>
      <c r="L48" s="302">
        <v>291</v>
      </c>
      <c r="M48" s="302">
        <v>245</v>
      </c>
      <c r="N48" s="303">
        <v>246</v>
      </c>
      <c r="O48" s="295">
        <v>830</v>
      </c>
      <c r="P48" s="299">
        <v>830</v>
      </c>
      <c r="Q48" s="8"/>
    </row>
    <row r="49" spans="1:17" ht="18" customHeight="1">
      <c r="A49" s="318"/>
      <c r="B49" s="318"/>
      <c r="C49" s="292"/>
      <c r="D49" s="342" t="s">
        <v>114</v>
      </c>
      <c r="E49" s="342"/>
      <c r="F49" s="302">
        <v>0</v>
      </c>
      <c r="G49" s="303">
        <v>0</v>
      </c>
      <c r="H49" s="297">
        <v>0</v>
      </c>
      <c r="I49" s="320"/>
      <c r="J49" s="303">
        <v>36</v>
      </c>
      <c r="K49" s="302">
        <v>146</v>
      </c>
      <c r="L49" s="302">
        <v>236</v>
      </c>
      <c r="M49" s="302">
        <v>282</v>
      </c>
      <c r="N49" s="303">
        <v>110</v>
      </c>
      <c r="O49" s="295">
        <v>810</v>
      </c>
      <c r="P49" s="299">
        <v>810</v>
      </c>
      <c r="Q49" s="8"/>
    </row>
    <row r="50" spans="1:17" ht="18" customHeight="1">
      <c r="A50" s="318"/>
      <c r="B50" s="318"/>
      <c r="C50" s="292"/>
      <c r="D50" s="343" t="s">
        <v>176</v>
      </c>
      <c r="E50" s="343"/>
      <c r="F50" s="329">
        <v>0</v>
      </c>
      <c r="G50" s="330">
        <v>0</v>
      </c>
      <c r="H50" s="297">
        <v>0</v>
      </c>
      <c r="I50" s="320"/>
      <c r="J50" s="330">
        <v>0</v>
      </c>
      <c r="K50" s="329">
        <v>0</v>
      </c>
      <c r="L50" s="329">
        <v>0</v>
      </c>
      <c r="M50" s="329">
        <v>0</v>
      </c>
      <c r="N50" s="330">
        <v>0</v>
      </c>
      <c r="O50" s="295">
        <v>0</v>
      </c>
      <c r="P50" s="299">
        <v>0</v>
      </c>
      <c r="Q50" s="8"/>
    </row>
    <row r="51" spans="1:17" ht="18" customHeight="1">
      <c r="A51" s="318"/>
      <c r="B51" s="318"/>
      <c r="C51" s="292"/>
      <c r="D51" s="344" t="s">
        <v>251</v>
      </c>
      <c r="E51" s="344"/>
      <c r="F51" s="338">
        <v>0</v>
      </c>
      <c r="G51" s="339">
        <v>0</v>
      </c>
      <c r="H51" s="345">
        <v>0</v>
      </c>
      <c r="I51" s="320"/>
      <c r="J51" s="339">
        <v>0</v>
      </c>
      <c r="K51" s="338">
        <v>0</v>
      </c>
      <c r="L51" s="338">
        <v>0</v>
      </c>
      <c r="M51" s="338">
        <v>0</v>
      </c>
      <c r="N51" s="339">
        <v>0</v>
      </c>
      <c r="O51" s="340">
        <v>0</v>
      </c>
      <c r="P51" s="341">
        <v>0</v>
      </c>
      <c r="Q51" s="8"/>
    </row>
    <row r="52" spans="1:17" ht="18" customHeight="1">
      <c r="A52" s="318"/>
      <c r="B52" s="318"/>
      <c r="C52" s="801" t="s">
        <v>252</v>
      </c>
      <c r="D52" s="802"/>
      <c r="E52" s="803"/>
      <c r="F52" s="346">
        <v>438</v>
      </c>
      <c r="G52" s="346">
        <v>1440</v>
      </c>
      <c r="H52" s="178">
        <v>1878</v>
      </c>
      <c r="I52" s="347"/>
      <c r="J52" s="346">
        <v>1182</v>
      </c>
      <c r="K52" s="346">
        <v>2712</v>
      </c>
      <c r="L52" s="346">
        <v>2802</v>
      </c>
      <c r="M52" s="346">
        <v>1503</v>
      </c>
      <c r="N52" s="346">
        <v>852</v>
      </c>
      <c r="O52" s="346">
        <v>9051</v>
      </c>
      <c r="P52" s="171">
        <v>10929</v>
      </c>
      <c r="Q52" s="8"/>
    </row>
    <row r="53" spans="1:17" ht="12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8"/>
    </row>
  </sheetData>
  <mergeCells count="10">
    <mergeCell ref="D44:E44"/>
    <mergeCell ref="D42:E42"/>
    <mergeCell ref="C52:E52"/>
    <mergeCell ref="D46:E46"/>
    <mergeCell ref="D45:E45"/>
    <mergeCell ref="A3:Q3"/>
    <mergeCell ref="A4:Q4"/>
    <mergeCell ref="C10:E10"/>
    <mergeCell ref="D34:E34"/>
    <mergeCell ref="D43:E43"/>
  </mergeCells>
  <phoneticPr fontId="3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51"/>
  <sheetViews>
    <sheetView showGridLines="0" workbookViewId="0"/>
  </sheetViews>
  <sheetFormatPr defaultColWidth="9" defaultRowHeight="12" custom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234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237</v>
      </c>
    </row>
    <row r="8" spans="1:17" ht="18" customHeight="1">
      <c r="C8" s="84" t="s">
        <v>253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/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419988</v>
      </c>
      <c r="G11" s="287">
        <v>2125663</v>
      </c>
      <c r="H11" s="289">
        <v>2545651</v>
      </c>
      <c r="I11" s="290"/>
      <c r="J11" s="287">
        <v>3133447</v>
      </c>
      <c r="K11" s="287">
        <v>7771341</v>
      </c>
      <c r="L11" s="287">
        <v>10314579</v>
      </c>
      <c r="M11" s="287">
        <v>4306288</v>
      </c>
      <c r="N11" s="287">
        <v>2404850</v>
      </c>
      <c r="O11" s="287">
        <v>27930505</v>
      </c>
      <c r="P11" s="291">
        <v>30476156</v>
      </c>
    </row>
    <row r="12" spans="1:17" ht="18" customHeight="1">
      <c r="C12" s="292"/>
      <c r="D12" s="293" t="s">
        <v>241</v>
      </c>
      <c r="E12" s="294"/>
      <c r="F12" s="295">
        <v>135981</v>
      </c>
      <c r="G12" s="296">
        <v>141841</v>
      </c>
      <c r="H12" s="297">
        <v>277822</v>
      </c>
      <c r="I12" s="298"/>
      <c r="J12" s="296">
        <v>450077</v>
      </c>
      <c r="K12" s="295">
        <v>1214142</v>
      </c>
      <c r="L12" s="295">
        <v>1357718</v>
      </c>
      <c r="M12" s="295">
        <v>478139</v>
      </c>
      <c r="N12" s="296">
        <v>872340</v>
      </c>
      <c r="O12" s="295">
        <v>4372416</v>
      </c>
      <c r="P12" s="299">
        <v>4650238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416169</v>
      </c>
      <c r="K13" s="302">
        <v>484474</v>
      </c>
      <c r="L13" s="302">
        <v>1058225</v>
      </c>
      <c r="M13" s="302">
        <v>346306</v>
      </c>
      <c r="N13" s="303">
        <v>756747</v>
      </c>
      <c r="O13" s="295">
        <v>3061921</v>
      </c>
      <c r="P13" s="299">
        <v>3061921</v>
      </c>
    </row>
    <row r="14" spans="1:17" ht="18" customHeight="1">
      <c r="C14" s="292"/>
      <c r="D14" s="300"/>
      <c r="E14" s="301" t="s">
        <v>181</v>
      </c>
      <c r="F14" s="302">
        <v>18728</v>
      </c>
      <c r="G14" s="303">
        <v>0</v>
      </c>
      <c r="H14" s="297">
        <v>18728</v>
      </c>
      <c r="I14" s="304"/>
      <c r="J14" s="303">
        <v>0</v>
      </c>
      <c r="K14" s="302">
        <v>97712</v>
      </c>
      <c r="L14" s="302">
        <v>88859</v>
      </c>
      <c r="M14" s="302">
        <v>49653</v>
      </c>
      <c r="N14" s="303">
        <v>63168</v>
      </c>
      <c r="O14" s="295">
        <v>299392</v>
      </c>
      <c r="P14" s="299">
        <v>318120</v>
      </c>
    </row>
    <row r="15" spans="1:17" ht="18" customHeight="1">
      <c r="C15" s="292"/>
      <c r="D15" s="300"/>
      <c r="E15" s="301" t="s">
        <v>182</v>
      </c>
      <c r="F15" s="302">
        <v>13190</v>
      </c>
      <c r="G15" s="303">
        <v>0</v>
      </c>
      <c r="H15" s="297">
        <v>13190</v>
      </c>
      <c r="I15" s="304"/>
      <c r="J15" s="303">
        <v>2602</v>
      </c>
      <c r="K15" s="302">
        <v>241738</v>
      </c>
      <c r="L15" s="302">
        <v>44015</v>
      </c>
      <c r="M15" s="302">
        <v>37298</v>
      </c>
      <c r="N15" s="303">
        <v>11877</v>
      </c>
      <c r="O15" s="295">
        <v>337530</v>
      </c>
      <c r="P15" s="299">
        <v>350720</v>
      </c>
    </row>
    <row r="16" spans="1:17" ht="18" customHeight="1">
      <c r="C16" s="292"/>
      <c r="D16" s="300"/>
      <c r="E16" s="301" t="s">
        <v>183</v>
      </c>
      <c r="F16" s="302">
        <v>104063</v>
      </c>
      <c r="G16" s="303">
        <v>141841</v>
      </c>
      <c r="H16" s="297">
        <v>245904</v>
      </c>
      <c r="I16" s="304"/>
      <c r="J16" s="303">
        <v>17557</v>
      </c>
      <c r="K16" s="302">
        <v>350609</v>
      </c>
      <c r="L16" s="302">
        <v>139827</v>
      </c>
      <c r="M16" s="302">
        <v>11051</v>
      </c>
      <c r="N16" s="303">
        <v>19267</v>
      </c>
      <c r="O16" s="295">
        <v>538311</v>
      </c>
      <c r="P16" s="299">
        <v>784215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13749</v>
      </c>
      <c r="K17" s="302">
        <v>39609</v>
      </c>
      <c r="L17" s="302">
        <v>26792</v>
      </c>
      <c r="M17" s="302">
        <v>33831</v>
      </c>
      <c r="N17" s="303">
        <v>21281</v>
      </c>
      <c r="O17" s="295">
        <v>135262</v>
      </c>
      <c r="P17" s="299">
        <v>135262</v>
      </c>
    </row>
    <row r="18" spans="1:17" ht="18" customHeight="1">
      <c r="C18" s="292"/>
      <c r="D18" s="293" t="s">
        <v>242</v>
      </c>
      <c r="E18" s="305"/>
      <c r="F18" s="295">
        <v>231758</v>
      </c>
      <c r="G18" s="296">
        <v>1666011</v>
      </c>
      <c r="H18" s="297">
        <v>1897769</v>
      </c>
      <c r="I18" s="298"/>
      <c r="J18" s="296">
        <v>2368051</v>
      </c>
      <c r="K18" s="295">
        <v>5160838</v>
      </c>
      <c r="L18" s="295">
        <v>6937547</v>
      </c>
      <c r="M18" s="295">
        <v>2379941</v>
      </c>
      <c r="N18" s="296">
        <v>1048866</v>
      </c>
      <c r="O18" s="295">
        <v>17895243</v>
      </c>
      <c r="P18" s="299">
        <v>19793012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935012</v>
      </c>
      <c r="K19" s="302">
        <v>1488111</v>
      </c>
      <c r="L19" s="302">
        <v>2371158</v>
      </c>
      <c r="M19" s="302">
        <v>1321215</v>
      </c>
      <c r="N19" s="303">
        <v>828009</v>
      </c>
      <c r="O19" s="295">
        <v>6943505</v>
      </c>
      <c r="P19" s="299">
        <v>6943505</v>
      </c>
    </row>
    <row r="20" spans="1:17" ht="18" customHeight="1">
      <c r="C20" s="292"/>
      <c r="D20" s="300"/>
      <c r="E20" s="306" t="s">
        <v>186</v>
      </c>
      <c r="F20" s="302">
        <v>231758</v>
      </c>
      <c r="G20" s="303">
        <v>1666011</v>
      </c>
      <c r="H20" s="297">
        <v>1897769</v>
      </c>
      <c r="I20" s="304"/>
      <c r="J20" s="303">
        <v>1433039</v>
      </c>
      <c r="K20" s="302">
        <v>3672727</v>
      </c>
      <c r="L20" s="302">
        <v>4566389</v>
      </c>
      <c r="M20" s="302">
        <v>1058726</v>
      </c>
      <c r="N20" s="303">
        <v>220857</v>
      </c>
      <c r="O20" s="295">
        <v>10951738</v>
      </c>
      <c r="P20" s="299">
        <v>12849507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9160</v>
      </c>
      <c r="H21" s="297">
        <v>9160</v>
      </c>
      <c r="I21" s="298"/>
      <c r="J21" s="296">
        <v>117111</v>
      </c>
      <c r="K21" s="295">
        <v>249743</v>
      </c>
      <c r="L21" s="295">
        <v>1019233</v>
      </c>
      <c r="M21" s="295">
        <v>1052428</v>
      </c>
      <c r="N21" s="296">
        <v>255489</v>
      </c>
      <c r="O21" s="295">
        <v>2694004</v>
      </c>
      <c r="P21" s="299">
        <v>2703164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4178</v>
      </c>
      <c r="H22" s="297">
        <v>4178</v>
      </c>
      <c r="I22" s="304"/>
      <c r="J22" s="303">
        <v>37847</v>
      </c>
      <c r="K22" s="302">
        <v>133938</v>
      </c>
      <c r="L22" s="302">
        <v>532614</v>
      </c>
      <c r="M22" s="302">
        <v>846146</v>
      </c>
      <c r="N22" s="303">
        <v>186695</v>
      </c>
      <c r="O22" s="295">
        <v>1737240</v>
      </c>
      <c r="P22" s="299">
        <v>1741418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4982</v>
      </c>
      <c r="H23" s="297">
        <v>4982</v>
      </c>
      <c r="I23" s="304"/>
      <c r="J23" s="303">
        <v>79264</v>
      </c>
      <c r="K23" s="302">
        <v>115805</v>
      </c>
      <c r="L23" s="302">
        <v>486619</v>
      </c>
      <c r="M23" s="302">
        <v>206282</v>
      </c>
      <c r="N23" s="303">
        <v>68794</v>
      </c>
      <c r="O23" s="295">
        <v>956764</v>
      </c>
      <c r="P23" s="299">
        <v>961746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52249</v>
      </c>
      <c r="G26" s="295">
        <v>308651</v>
      </c>
      <c r="H26" s="297">
        <v>360900</v>
      </c>
      <c r="I26" s="298"/>
      <c r="J26" s="296">
        <v>160407</v>
      </c>
      <c r="K26" s="295">
        <v>866903</v>
      </c>
      <c r="L26" s="295">
        <v>687024</v>
      </c>
      <c r="M26" s="295">
        <v>342228</v>
      </c>
      <c r="N26" s="296">
        <v>228155</v>
      </c>
      <c r="O26" s="295">
        <v>2284717</v>
      </c>
      <c r="P26" s="299">
        <v>2645617</v>
      </c>
    </row>
    <row r="27" spans="1:17" ht="18" customHeight="1">
      <c r="C27" s="292"/>
      <c r="D27" s="300"/>
      <c r="E27" s="301" t="s">
        <v>191</v>
      </c>
      <c r="F27" s="348">
        <v>52249</v>
      </c>
      <c r="G27" s="349">
        <v>308651</v>
      </c>
      <c r="H27" s="297">
        <v>360900</v>
      </c>
      <c r="I27" s="304"/>
      <c r="J27" s="349">
        <v>160407</v>
      </c>
      <c r="K27" s="348">
        <v>866903</v>
      </c>
      <c r="L27" s="348">
        <v>687024</v>
      </c>
      <c r="M27" s="348">
        <v>342228</v>
      </c>
      <c r="N27" s="349">
        <v>228155</v>
      </c>
      <c r="O27" s="295">
        <v>2284717</v>
      </c>
      <c r="P27" s="299">
        <v>2645617</v>
      </c>
    </row>
    <row r="28" spans="1:17" ht="18" customHeight="1">
      <c r="A28" s="318"/>
      <c r="B28" s="318"/>
      <c r="C28" s="328"/>
      <c r="D28" s="334" t="s">
        <v>192</v>
      </c>
      <c r="E28" s="305"/>
      <c r="F28" s="330">
        <v>0</v>
      </c>
      <c r="G28" s="330">
        <v>0</v>
      </c>
      <c r="H28" s="331">
        <v>0</v>
      </c>
      <c r="I28" s="320"/>
      <c r="J28" s="330">
        <v>37801</v>
      </c>
      <c r="K28" s="329">
        <v>279715</v>
      </c>
      <c r="L28" s="329">
        <v>313057</v>
      </c>
      <c r="M28" s="329">
        <v>53552</v>
      </c>
      <c r="N28" s="330">
        <v>0</v>
      </c>
      <c r="O28" s="332">
        <v>684125</v>
      </c>
      <c r="P28" s="333">
        <v>684125</v>
      </c>
      <c r="Q28" s="8"/>
    </row>
    <row r="29" spans="1:17" ht="18" customHeight="1">
      <c r="A29" s="318"/>
      <c r="B29" s="318"/>
      <c r="C29" s="328"/>
      <c r="D29" s="293" t="s">
        <v>193</v>
      </c>
      <c r="E29" s="350"/>
      <c r="F29" s="351">
        <v>0</v>
      </c>
      <c r="G29" s="351">
        <v>0</v>
      </c>
      <c r="H29" s="352">
        <v>0</v>
      </c>
      <c r="I29" s="353"/>
      <c r="J29" s="351">
        <v>0</v>
      </c>
      <c r="K29" s="354">
        <v>0</v>
      </c>
      <c r="L29" s="354">
        <v>0</v>
      </c>
      <c r="M29" s="354">
        <v>0</v>
      </c>
      <c r="N29" s="351">
        <v>0</v>
      </c>
      <c r="O29" s="355">
        <v>0</v>
      </c>
      <c r="P29" s="356">
        <v>0</v>
      </c>
      <c r="Q29" s="8"/>
    </row>
    <row r="30" spans="1:17" ht="18" customHeight="1">
      <c r="A30" s="318"/>
      <c r="B30" s="318"/>
      <c r="C30" s="321" t="s">
        <v>194</v>
      </c>
      <c r="D30" s="322"/>
      <c r="E30" s="322"/>
      <c r="F30" s="323">
        <v>113557</v>
      </c>
      <c r="G30" s="167">
        <v>347444</v>
      </c>
      <c r="H30" s="162">
        <v>461001</v>
      </c>
      <c r="I30" s="324"/>
      <c r="J30" s="167">
        <v>695378</v>
      </c>
      <c r="K30" s="323">
        <v>1385960</v>
      </c>
      <c r="L30" s="323">
        <v>1345212</v>
      </c>
      <c r="M30" s="323">
        <v>539570</v>
      </c>
      <c r="N30" s="167">
        <v>219308</v>
      </c>
      <c r="O30" s="162">
        <v>4185428</v>
      </c>
      <c r="P30" s="163">
        <v>4646429</v>
      </c>
      <c r="Q30" s="8"/>
    </row>
    <row r="31" spans="1:17" ht="18" customHeight="1">
      <c r="A31" s="318"/>
      <c r="B31" s="318"/>
      <c r="C31" s="285" t="s">
        <v>247</v>
      </c>
      <c r="D31" s="325"/>
      <c r="E31" s="326"/>
      <c r="F31" s="287">
        <v>0</v>
      </c>
      <c r="G31" s="288">
        <v>483256</v>
      </c>
      <c r="H31" s="289">
        <v>483256</v>
      </c>
      <c r="I31" s="327"/>
      <c r="J31" s="357">
        <v>2287127</v>
      </c>
      <c r="K31" s="287">
        <v>3583146</v>
      </c>
      <c r="L31" s="287">
        <v>6463560</v>
      </c>
      <c r="M31" s="287">
        <v>4420311</v>
      </c>
      <c r="N31" s="288">
        <v>3001818</v>
      </c>
      <c r="O31" s="287">
        <v>19755962</v>
      </c>
      <c r="P31" s="291">
        <v>20239218</v>
      </c>
      <c r="Q31" s="8"/>
    </row>
    <row r="32" spans="1:17" ht="18" customHeight="1">
      <c r="A32" s="318"/>
      <c r="B32" s="318"/>
      <c r="C32" s="328"/>
      <c r="D32" s="334" t="s">
        <v>211</v>
      </c>
      <c r="E32" s="305"/>
      <c r="F32" s="329">
        <v>0</v>
      </c>
      <c r="G32" s="330">
        <v>0</v>
      </c>
      <c r="H32" s="331">
        <v>0</v>
      </c>
      <c r="I32" s="320"/>
      <c r="J32" s="330">
        <v>41454</v>
      </c>
      <c r="K32" s="329">
        <v>0</v>
      </c>
      <c r="L32" s="329">
        <v>0</v>
      </c>
      <c r="M32" s="329">
        <v>0</v>
      </c>
      <c r="N32" s="330">
        <v>0</v>
      </c>
      <c r="O32" s="332">
        <v>41454</v>
      </c>
      <c r="P32" s="333">
        <v>41454</v>
      </c>
      <c r="Q32" s="8"/>
    </row>
    <row r="33" spans="1:17" ht="18" customHeight="1">
      <c r="A33" s="318"/>
      <c r="B33" s="318"/>
      <c r="C33" s="292"/>
      <c r="D33" s="334" t="s">
        <v>212</v>
      </c>
      <c r="E33" s="305"/>
      <c r="F33" s="329">
        <v>0</v>
      </c>
      <c r="G33" s="330">
        <v>0</v>
      </c>
      <c r="H33" s="297">
        <v>0</v>
      </c>
      <c r="I33" s="320"/>
      <c r="J33" s="358">
        <v>0</v>
      </c>
      <c r="K33" s="302">
        <v>0</v>
      </c>
      <c r="L33" s="302">
        <v>0</v>
      </c>
      <c r="M33" s="302">
        <v>0</v>
      </c>
      <c r="N33" s="303">
        <v>0</v>
      </c>
      <c r="O33" s="295">
        <v>0</v>
      </c>
      <c r="P33" s="299">
        <v>0</v>
      </c>
      <c r="Q33" s="8"/>
    </row>
    <row r="34" spans="1:17" ht="18" customHeight="1">
      <c r="A34" s="318"/>
      <c r="B34" s="318"/>
      <c r="C34" s="292"/>
      <c r="D34" s="307" t="s">
        <v>213</v>
      </c>
      <c r="E34" s="319"/>
      <c r="F34" s="302">
        <v>0</v>
      </c>
      <c r="G34" s="303">
        <v>0</v>
      </c>
      <c r="H34" s="297">
        <v>0</v>
      </c>
      <c r="I34" s="320"/>
      <c r="J34" s="303">
        <v>30900</v>
      </c>
      <c r="K34" s="302">
        <v>11031</v>
      </c>
      <c r="L34" s="302">
        <v>0</v>
      </c>
      <c r="M34" s="302">
        <v>0</v>
      </c>
      <c r="N34" s="303">
        <v>0</v>
      </c>
      <c r="O34" s="295">
        <v>41931</v>
      </c>
      <c r="P34" s="299">
        <v>41931</v>
      </c>
      <c r="Q34" s="8"/>
    </row>
    <row r="35" spans="1:17" ht="18" customHeight="1">
      <c r="A35" s="318"/>
      <c r="B35" s="318"/>
      <c r="C35" s="292"/>
      <c r="D35" s="334" t="s">
        <v>214</v>
      </c>
      <c r="E35" s="305"/>
      <c r="F35" s="302">
        <v>0</v>
      </c>
      <c r="G35" s="303">
        <v>0</v>
      </c>
      <c r="H35" s="297">
        <v>0</v>
      </c>
      <c r="I35" s="320"/>
      <c r="J35" s="358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34" t="s">
        <v>215</v>
      </c>
      <c r="E36" s="305"/>
      <c r="F36" s="302">
        <v>0</v>
      </c>
      <c r="G36" s="303">
        <v>0</v>
      </c>
      <c r="H36" s="297">
        <v>0</v>
      </c>
      <c r="I36" s="320"/>
      <c r="J36" s="358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216</v>
      </c>
      <c r="E37" s="305"/>
      <c r="F37" s="302">
        <v>0</v>
      </c>
      <c r="G37" s="303">
        <v>0</v>
      </c>
      <c r="H37" s="297">
        <v>0</v>
      </c>
      <c r="I37" s="320"/>
      <c r="J37" s="358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217</v>
      </c>
      <c r="E38" s="305"/>
      <c r="F38" s="330">
        <v>0</v>
      </c>
      <c r="G38" s="303">
        <v>483256</v>
      </c>
      <c r="H38" s="297">
        <v>483256</v>
      </c>
      <c r="I38" s="320"/>
      <c r="J38" s="358">
        <v>2214773</v>
      </c>
      <c r="K38" s="302">
        <v>3214058</v>
      </c>
      <c r="L38" s="302">
        <v>2892850</v>
      </c>
      <c r="M38" s="302">
        <v>208824</v>
      </c>
      <c r="N38" s="303">
        <v>364892</v>
      </c>
      <c r="O38" s="295">
        <v>8895397</v>
      </c>
      <c r="P38" s="299">
        <v>9378653</v>
      </c>
      <c r="Q38" s="8"/>
    </row>
    <row r="39" spans="1:17" ht="18" customHeight="1">
      <c r="A39" s="318"/>
      <c r="B39" s="318"/>
      <c r="C39" s="292"/>
      <c r="D39" s="334" t="s">
        <v>218</v>
      </c>
      <c r="E39" s="305"/>
      <c r="F39" s="330">
        <v>0</v>
      </c>
      <c r="G39" s="303">
        <v>0</v>
      </c>
      <c r="H39" s="297">
        <v>0</v>
      </c>
      <c r="I39" s="320"/>
      <c r="J39" s="358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808" t="s">
        <v>219</v>
      </c>
      <c r="E40" s="809"/>
      <c r="F40" s="329">
        <v>0</v>
      </c>
      <c r="G40" s="330">
        <v>0</v>
      </c>
      <c r="H40" s="297">
        <v>0</v>
      </c>
      <c r="I40" s="320"/>
      <c r="J40" s="358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808" t="s">
        <v>220</v>
      </c>
      <c r="E41" s="809"/>
      <c r="F41" s="329">
        <v>0</v>
      </c>
      <c r="G41" s="330">
        <v>0</v>
      </c>
      <c r="H41" s="297">
        <v>0</v>
      </c>
      <c r="I41" s="320"/>
      <c r="J41" s="358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221</v>
      </c>
      <c r="E42" s="800"/>
      <c r="F42" s="302">
        <v>0</v>
      </c>
      <c r="G42" s="302">
        <v>0</v>
      </c>
      <c r="H42" s="297">
        <v>0</v>
      </c>
      <c r="I42" s="320"/>
      <c r="J42" s="359">
        <v>0</v>
      </c>
      <c r="K42" s="360">
        <v>358057</v>
      </c>
      <c r="L42" s="360">
        <v>3570710</v>
      </c>
      <c r="M42" s="360">
        <v>4211487</v>
      </c>
      <c r="N42" s="361">
        <v>2549939</v>
      </c>
      <c r="O42" s="295">
        <v>10690193</v>
      </c>
      <c r="P42" s="299">
        <v>10690193</v>
      </c>
      <c r="Q42" s="8"/>
    </row>
    <row r="43" spans="1:17" ht="18" customHeight="1">
      <c r="A43" s="318"/>
      <c r="B43" s="318"/>
      <c r="C43" s="292"/>
      <c r="D43" s="798" t="s">
        <v>248</v>
      </c>
      <c r="E43" s="800"/>
      <c r="F43" s="302">
        <v>0</v>
      </c>
      <c r="G43" s="302">
        <v>0</v>
      </c>
      <c r="H43" s="297">
        <v>0</v>
      </c>
      <c r="I43" s="336"/>
      <c r="J43" s="362">
        <v>0</v>
      </c>
      <c r="K43" s="329">
        <v>0</v>
      </c>
      <c r="L43" s="329">
        <v>0</v>
      </c>
      <c r="M43" s="329">
        <v>0</v>
      </c>
      <c r="N43" s="330">
        <v>86987</v>
      </c>
      <c r="O43" s="332">
        <v>86987</v>
      </c>
      <c r="P43" s="333">
        <v>86987</v>
      </c>
      <c r="Q43" s="8"/>
    </row>
    <row r="44" spans="1:17" ht="18" customHeight="1">
      <c r="A44" s="318"/>
      <c r="B44" s="318"/>
      <c r="C44" s="337"/>
      <c r="D44" s="806" t="s">
        <v>249</v>
      </c>
      <c r="E44" s="807"/>
      <c r="F44" s="302">
        <v>0</v>
      </c>
      <c r="G44" s="302">
        <v>0</v>
      </c>
      <c r="H44" s="297">
        <v>0</v>
      </c>
      <c r="I44" s="363"/>
      <c r="J44" s="364">
        <v>0</v>
      </c>
      <c r="K44" s="136">
        <v>0</v>
      </c>
      <c r="L44" s="136">
        <v>0</v>
      </c>
      <c r="M44" s="136">
        <v>0</v>
      </c>
      <c r="N44" s="109">
        <v>0</v>
      </c>
      <c r="O44" s="145">
        <v>0</v>
      </c>
      <c r="P44" s="365">
        <v>0</v>
      </c>
      <c r="Q44" s="8"/>
    </row>
    <row r="45" spans="1:17" ht="18" customHeight="1">
      <c r="A45" s="318"/>
      <c r="B45" s="318"/>
      <c r="C45" s="292" t="s">
        <v>250</v>
      </c>
      <c r="D45" s="294"/>
      <c r="E45" s="294"/>
      <c r="F45" s="288">
        <v>0</v>
      </c>
      <c r="G45" s="288">
        <v>0</v>
      </c>
      <c r="H45" s="289">
        <v>0</v>
      </c>
      <c r="I45" s="327"/>
      <c r="J45" s="357">
        <v>1244640</v>
      </c>
      <c r="K45" s="287">
        <v>5652387</v>
      </c>
      <c r="L45" s="287">
        <v>16810324</v>
      </c>
      <c r="M45" s="287">
        <v>18097990</v>
      </c>
      <c r="N45" s="288">
        <v>12686508</v>
      </c>
      <c r="O45" s="287">
        <v>54491849</v>
      </c>
      <c r="P45" s="291">
        <v>54491849</v>
      </c>
      <c r="Q45" s="8"/>
    </row>
    <row r="46" spans="1:17" ht="18" customHeight="1">
      <c r="A46" s="318"/>
      <c r="B46" s="318"/>
      <c r="C46" s="292"/>
      <c r="D46" s="342" t="s">
        <v>113</v>
      </c>
      <c r="E46" s="342"/>
      <c r="F46" s="303">
        <v>0</v>
      </c>
      <c r="G46" s="303">
        <v>0</v>
      </c>
      <c r="H46" s="297">
        <v>0</v>
      </c>
      <c r="I46" s="320"/>
      <c r="J46" s="303">
        <v>222788</v>
      </c>
      <c r="K46" s="303">
        <v>1001487</v>
      </c>
      <c r="L46" s="303">
        <v>8537900</v>
      </c>
      <c r="M46" s="303">
        <v>7529115</v>
      </c>
      <c r="N46" s="303">
        <v>8305334</v>
      </c>
      <c r="O46" s="295">
        <v>25596624</v>
      </c>
      <c r="P46" s="299">
        <v>25596624</v>
      </c>
      <c r="Q46" s="8"/>
    </row>
    <row r="47" spans="1:17" ht="18" customHeight="1">
      <c r="A47" s="318"/>
      <c r="B47" s="318"/>
      <c r="C47" s="292"/>
      <c r="D47" s="342" t="s">
        <v>114</v>
      </c>
      <c r="E47" s="342"/>
      <c r="F47" s="302">
        <v>0</v>
      </c>
      <c r="G47" s="303">
        <v>0</v>
      </c>
      <c r="H47" s="297">
        <v>0</v>
      </c>
      <c r="I47" s="320"/>
      <c r="J47" s="303">
        <v>1021852</v>
      </c>
      <c r="K47" s="302">
        <v>4650900</v>
      </c>
      <c r="L47" s="303">
        <v>8272424</v>
      </c>
      <c r="M47" s="302">
        <v>10568875</v>
      </c>
      <c r="N47" s="303">
        <v>4381174</v>
      </c>
      <c r="O47" s="295">
        <v>28895225</v>
      </c>
      <c r="P47" s="299">
        <v>28895225</v>
      </c>
      <c r="Q47" s="8"/>
    </row>
    <row r="48" spans="1:17" ht="18" customHeight="1">
      <c r="A48" s="318"/>
      <c r="B48" s="318"/>
      <c r="C48" s="292"/>
      <c r="D48" s="343" t="s">
        <v>176</v>
      </c>
      <c r="E48" s="343"/>
      <c r="F48" s="329">
        <v>0</v>
      </c>
      <c r="G48" s="330">
        <v>0</v>
      </c>
      <c r="H48" s="297">
        <v>0</v>
      </c>
      <c r="I48" s="320"/>
      <c r="J48" s="330">
        <v>0</v>
      </c>
      <c r="K48" s="329">
        <v>0</v>
      </c>
      <c r="L48" s="330">
        <v>0</v>
      </c>
      <c r="M48" s="329">
        <v>0</v>
      </c>
      <c r="N48" s="330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4" t="s">
        <v>251</v>
      </c>
      <c r="E49" s="344"/>
      <c r="F49" s="338">
        <v>0</v>
      </c>
      <c r="G49" s="339">
        <v>0</v>
      </c>
      <c r="H49" s="345">
        <v>0</v>
      </c>
      <c r="I49" s="320"/>
      <c r="J49" s="339">
        <v>0</v>
      </c>
      <c r="K49" s="338">
        <v>0</v>
      </c>
      <c r="L49" s="339">
        <v>0</v>
      </c>
      <c r="M49" s="338">
        <v>0</v>
      </c>
      <c r="N49" s="339">
        <v>0</v>
      </c>
      <c r="O49" s="340">
        <v>0</v>
      </c>
      <c r="P49" s="341">
        <v>0</v>
      </c>
      <c r="Q49" s="8"/>
    </row>
    <row r="50" spans="1:17" ht="18" customHeight="1">
      <c r="A50" s="318"/>
      <c r="B50" s="318"/>
      <c r="C50" s="801" t="s">
        <v>252</v>
      </c>
      <c r="D50" s="802"/>
      <c r="E50" s="803"/>
      <c r="F50" s="346">
        <v>533545</v>
      </c>
      <c r="G50" s="120">
        <v>2956363</v>
      </c>
      <c r="H50" s="178">
        <v>3489908</v>
      </c>
      <c r="I50" s="347"/>
      <c r="J50" s="366">
        <v>7360592</v>
      </c>
      <c r="K50" s="346">
        <v>18392834</v>
      </c>
      <c r="L50" s="346">
        <v>34933675</v>
      </c>
      <c r="M50" s="346">
        <v>27364159</v>
      </c>
      <c r="N50" s="120">
        <v>18312484</v>
      </c>
      <c r="O50" s="346">
        <v>106363744</v>
      </c>
      <c r="P50" s="171">
        <v>109853652</v>
      </c>
      <c r="Q50" s="8"/>
    </row>
    <row r="51" spans="1:17" ht="12" customHeight="1">
      <c r="A51" s="318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8"/>
    </row>
  </sheetData>
  <mergeCells count="9">
    <mergeCell ref="A3:Q3"/>
    <mergeCell ref="A4:Q4"/>
    <mergeCell ref="C10:E10"/>
    <mergeCell ref="D42:E42"/>
    <mergeCell ref="C50:E50"/>
    <mergeCell ref="D44:E44"/>
    <mergeCell ref="D43:E43"/>
    <mergeCell ref="D41:E41"/>
    <mergeCell ref="D40:E40"/>
  </mergeCells>
  <phoneticPr fontId="35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53"/>
  <sheetViews>
    <sheetView showGridLines="0" workbookViewId="0"/>
  </sheetViews>
  <sheetFormatPr defaultColWidth="9" defaultRowHeight="12" custom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234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237</v>
      </c>
    </row>
    <row r="8" spans="1:17" ht="18" customHeight="1">
      <c r="C8" s="84" t="s">
        <v>254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/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4199880</v>
      </c>
      <c r="G11" s="288">
        <v>21734310</v>
      </c>
      <c r="H11" s="289">
        <v>25934190</v>
      </c>
      <c r="I11" s="290"/>
      <c r="J11" s="288">
        <v>31773602</v>
      </c>
      <c r="K11" s="288">
        <v>78970372</v>
      </c>
      <c r="L11" s="287">
        <v>103646563</v>
      </c>
      <c r="M11" s="288">
        <v>43450793</v>
      </c>
      <c r="N11" s="288">
        <v>24208541</v>
      </c>
      <c r="O11" s="287">
        <v>282049871</v>
      </c>
      <c r="P11" s="291">
        <v>307984061</v>
      </c>
    </row>
    <row r="12" spans="1:17" ht="18" customHeight="1">
      <c r="C12" s="292"/>
      <c r="D12" s="293" t="s">
        <v>241</v>
      </c>
      <c r="E12" s="294"/>
      <c r="F12" s="295">
        <v>1359810</v>
      </c>
      <c r="G12" s="296">
        <v>1418410</v>
      </c>
      <c r="H12" s="297">
        <v>2778220</v>
      </c>
      <c r="I12" s="298"/>
      <c r="J12" s="296">
        <v>4500770</v>
      </c>
      <c r="K12" s="295">
        <v>12231700</v>
      </c>
      <c r="L12" s="295">
        <v>13701201</v>
      </c>
      <c r="M12" s="295">
        <v>4832673</v>
      </c>
      <c r="N12" s="296">
        <v>8847297</v>
      </c>
      <c r="O12" s="295">
        <v>44113641</v>
      </c>
      <c r="P12" s="299">
        <v>46891861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4161690</v>
      </c>
      <c r="K13" s="302">
        <v>4852054</v>
      </c>
      <c r="L13" s="302">
        <v>10699926</v>
      </c>
      <c r="M13" s="302">
        <v>3496915</v>
      </c>
      <c r="N13" s="303">
        <v>7675891</v>
      </c>
      <c r="O13" s="295">
        <v>30886476</v>
      </c>
      <c r="P13" s="299">
        <v>30886476</v>
      </c>
    </row>
    <row r="14" spans="1:17" ht="18" customHeight="1">
      <c r="C14" s="292"/>
      <c r="D14" s="300"/>
      <c r="E14" s="301" t="s">
        <v>181</v>
      </c>
      <c r="F14" s="302">
        <v>187280</v>
      </c>
      <c r="G14" s="303">
        <v>0</v>
      </c>
      <c r="H14" s="297">
        <v>187280</v>
      </c>
      <c r="I14" s="304"/>
      <c r="J14" s="303">
        <v>0</v>
      </c>
      <c r="K14" s="302">
        <v>993840</v>
      </c>
      <c r="L14" s="302">
        <v>888590</v>
      </c>
      <c r="M14" s="302">
        <v>509237</v>
      </c>
      <c r="N14" s="303">
        <v>647156</v>
      </c>
      <c r="O14" s="295">
        <v>3038823</v>
      </c>
      <c r="P14" s="299">
        <v>3226103</v>
      </c>
    </row>
    <row r="15" spans="1:17" ht="18" customHeight="1">
      <c r="C15" s="292"/>
      <c r="D15" s="300"/>
      <c r="E15" s="301" t="s">
        <v>182</v>
      </c>
      <c r="F15" s="302">
        <v>131900</v>
      </c>
      <c r="G15" s="303">
        <v>0</v>
      </c>
      <c r="H15" s="297">
        <v>131900</v>
      </c>
      <c r="I15" s="304"/>
      <c r="J15" s="303">
        <v>26020</v>
      </c>
      <c r="K15" s="302">
        <v>2483626</v>
      </c>
      <c r="L15" s="302">
        <v>446495</v>
      </c>
      <c r="M15" s="302">
        <v>377701</v>
      </c>
      <c r="N15" s="303">
        <v>118770</v>
      </c>
      <c r="O15" s="295">
        <v>3452612</v>
      </c>
      <c r="P15" s="299">
        <v>3584512</v>
      </c>
    </row>
    <row r="16" spans="1:17" ht="18" customHeight="1">
      <c r="C16" s="292"/>
      <c r="D16" s="300"/>
      <c r="E16" s="301" t="s">
        <v>183</v>
      </c>
      <c r="F16" s="302">
        <v>1040630</v>
      </c>
      <c r="G16" s="303">
        <v>1418410</v>
      </c>
      <c r="H16" s="297">
        <v>2459040</v>
      </c>
      <c r="I16" s="304"/>
      <c r="J16" s="303">
        <v>175570</v>
      </c>
      <c r="K16" s="302">
        <v>3506090</v>
      </c>
      <c r="L16" s="302">
        <v>1398270</v>
      </c>
      <c r="M16" s="302">
        <v>110510</v>
      </c>
      <c r="N16" s="303">
        <v>192670</v>
      </c>
      <c r="O16" s="295">
        <v>5383110</v>
      </c>
      <c r="P16" s="299">
        <v>7842150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137490</v>
      </c>
      <c r="K17" s="302">
        <v>396090</v>
      </c>
      <c r="L17" s="302">
        <v>267920</v>
      </c>
      <c r="M17" s="302">
        <v>338310</v>
      </c>
      <c r="N17" s="303">
        <v>212810</v>
      </c>
      <c r="O17" s="295">
        <v>1352620</v>
      </c>
      <c r="P17" s="299">
        <v>1352620</v>
      </c>
    </row>
    <row r="18" spans="1:17" ht="18" customHeight="1">
      <c r="C18" s="292"/>
      <c r="D18" s="293" t="s">
        <v>242</v>
      </c>
      <c r="E18" s="305"/>
      <c r="F18" s="295">
        <v>2317580</v>
      </c>
      <c r="G18" s="296">
        <v>16660110</v>
      </c>
      <c r="H18" s="297">
        <v>18977690</v>
      </c>
      <c r="I18" s="298"/>
      <c r="J18" s="296">
        <v>23686861</v>
      </c>
      <c r="K18" s="295">
        <v>51738632</v>
      </c>
      <c r="L18" s="295">
        <v>69487602</v>
      </c>
      <c r="M18" s="295">
        <v>23852216</v>
      </c>
      <c r="N18" s="296">
        <v>10488660</v>
      </c>
      <c r="O18" s="295">
        <v>179253971</v>
      </c>
      <c r="P18" s="299">
        <v>198231661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9356471</v>
      </c>
      <c r="K19" s="302">
        <v>14918526</v>
      </c>
      <c r="L19" s="302">
        <v>23736085</v>
      </c>
      <c r="M19" s="302">
        <v>13264956</v>
      </c>
      <c r="N19" s="303">
        <v>8280090</v>
      </c>
      <c r="O19" s="295">
        <v>69556128</v>
      </c>
      <c r="P19" s="299">
        <v>69556128</v>
      </c>
    </row>
    <row r="20" spans="1:17" ht="18" customHeight="1">
      <c r="C20" s="292"/>
      <c r="D20" s="300"/>
      <c r="E20" s="306" t="s">
        <v>186</v>
      </c>
      <c r="F20" s="302">
        <v>2317580</v>
      </c>
      <c r="G20" s="303">
        <v>16660110</v>
      </c>
      <c r="H20" s="297">
        <v>18977690</v>
      </c>
      <c r="I20" s="304"/>
      <c r="J20" s="303">
        <v>14330390</v>
      </c>
      <c r="K20" s="302">
        <v>36820106</v>
      </c>
      <c r="L20" s="302">
        <v>45751517</v>
      </c>
      <c r="M20" s="302">
        <v>10587260</v>
      </c>
      <c r="N20" s="303">
        <v>2208570</v>
      </c>
      <c r="O20" s="295">
        <v>109697843</v>
      </c>
      <c r="P20" s="299">
        <v>128675533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91600</v>
      </c>
      <c r="H21" s="297">
        <v>91600</v>
      </c>
      <c r="I21" s="298"/>
      <c r="J21" s="296">
        <v>1174446</v>
      </c>
      <c r="K21" s="295">
        <v>2498827</v>
      </c>
      <c r="L21" s="295">
        <v>10296623</v>
      </c>
      <c r="M21" s="295">
        <v>10591204</v>
      </c>
      <c r="N21" s="296">
        <v>2559434</v>
      </c>
      <c r="O21" s="295">
        <v>27120534</v>
      </c>
      <c r="P21" s="299">
        <v>27212134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41780</v>
      </c>
      <c r="H22" s="297">
        <v>41780</v>
      </c>
      <c r="I22" s="304"/>
      <c r="J22" s="303">
        <v>381806</v>
      </c>
      <c r="K22" s="302">
        <v>1340777</v>
      </c>
      <c r="L22" s="302">
        <v>5427513</v>
      </c>
      <c r="M22" s="302">
        <v>8528384</v>
      </c>
      <c r="N22" s="303">
        <v>1871494</v>
      </c>
      <c r="O22" s="295">
        <v>17549974</v>
      </c>
      <c r="P22" s="299">
        <v>17591754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49820</v>
      </c>
      <c r="H23" s="297">
        <v>49820</v>
      </c>
      <c r="I23" s="304"/>
      <c r="J23" s="303">
        <v>792640</v>
      </c>
      <c r="K23" s="302">
        <v>1158050</v>
      </c>
      <c r="L23" s="302">
        <v>4869110</v>
      </c>
      <c r="M23" s="302">
        <v>2062820</v>
      </c>
      <c r="N23" s="303">
        <v>687940</v>
      </c>
      <c r="O23" s="295">
        <v>9570560</v>
      </c>
      <c r="P23" s="299">
        <v>9620380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522490</v>
      </c>
      <c r="G26" s="296">
        <v>3564190</v>
      </c>
      <c r="H26" s="297">
        <v>4086680</v>
      </c>
      <c r="I26" s="298"/>
      <c r="J26" s="296">
        <v>2023310</v>
      </c>
      <c r="K26" s="295">
        <v>9628547</v>
      </c>
      <c r="L26" s="295">
        <v>7007975</v>
      </c>
      <c r="M26" s="295">
        <v>3639180</v>
      </c>
      <c r="N26" s="296">
        <v>2313150</v>
      </c>
      <c r="O26" s="295">
        <v>24612162</v>
      </c>
      <c r="P26" s="299">
        <v>28698842</v>
      </c>
    </row>
    <row r="27" spans="1:17" ht="18" customHeight="1">
      <c r="C27" s="292"/>
      <c r="D27" s="300"/>
      <c r="E27" s="308" t="s">
        <v>191</v>
      </c>
      <c r="F27" s="309">
        <v>522490</v>
      </c>
      <c r="G27" s="310">
        <v>3086510</v>
      </c>
      <c r="H27" s="297">
        <v>3609000</v>
      </c>
      <c r="I27" s="304"/>
      <c r="J27" s="310">
        <v>1604070</v>
      </c>
      <c r="K27" s="309">
        <v>8669030</v>
      </c>
      <c r="L27" s="309">
        <v>6870240</v>
      </c>
      <c r="M27" s="309">
        <v>3422280</v>
      </c>
      <c r="N27" s="310">
        <v>2281550</v>
      </c>
      <c r="O27" s="295">
        <v>22847170</v>
      </c>
      <c r="P27" s="299">
        <v>26456170</v>
      </c>
    </row>
    <row r="28" spans="1:17" ht="18" customHeight="1">
      <c r="C28" s="292"/>
      <c r="D28" s="311"/>
      <c r="E28" s="306" t="s">
        <v>245</v>
      </c>
      <c r="F28" s="312">
        <v>0</v>
      </c>
      <c r="G28" s="313">
        <v>88680</v>
      </c>
      <c r="H28" s="297">
        <v>88680</v>
      </c>
      <c r="I28" s="314"/>
      <c r="J28" s="313">
        <v>99640</v>
      </c>
      <c r="K28" s="312">
        <v>367537</v>
      </c>
      <c r="L28" s="312">
        <v>79735</v>
      </c>
      <c r="M28" s="312">
        <v>64900</v>
      </c>
      <c r="N28" s="313">
        <v>31600</v>
      </c>
      <c r="O28" s="295">
        <v>643412</v>
      </c>
      <c r="P28" s="299">
        <v>732092</v>
      </c>
    </row>
    <row r="29" spans="1:17" ht="18" customHeight="1">
      <c r="C29" s="292"/>
      <c r="D29" s="315"/>
      <c r="E29" s="301" t="s">
        <v>246</v>
      </c>
      <c r="F29" s="316">
        <v>0</v>
      </c>
      <c r="G29" s="317">
        <v>389000</v>
      </c>
      <c r="H29" s="297">
        <v>389000</v>
      </c>
      <c r="I29" s="314"/>
      <c r="J29" s="317">
        <v>319600</v>
      </c>
      <c r="K29" s="316">
        <v>591980</v>
      </c>
      <c r="L29" s="316">
        <v>58000</v>
      </c>
      <c r="M29" s="316">
        <v>152000</v>
      </c>
      <c r="N29" s="317">
        <v>0</v>
      </c>
      <c r="O29" s="295">
        <v>1121580</v>
      </c>
      <c r="P29" s="299">
        <v>1510580</v>
      </c>
    </row>
    <row r="30" spans="1:17" ht="18" customHeight="1">
      <c r="A30" s="318"/>
      <c r="B30" s="318"/>
      <c r="C30" s="292"/>
      <c r="D30" s="300" t="s">
        <v>192</v>
      </c>
      <c r="E30" s="319"/>
      <c r="F30" s="302">
        <v>0</v>
      </c>
      <c r="G30" s="303">
        <v>0</v>
      </c>
      <c r="H30" s="297">
        <v>0</v>
      </c>
      <c r="I30" s="320"/>
      <c r="J30" s="303">
        <v>388215</v>
      </c>
      <c r="K30" s="302">
        <v>2872666</v>
      </c>
      <c r="L30" s="302">
        <v>3153162</v>
      </c>
      <c r="M30" s="302">
        <v>535520</v>
      </c>
      <c r="N30" s="303">
        <v>0</v>
      </c>
      <c r="O30" s="295">
        <v>6949563</v>
      </c>
      <c r="P30" s="299">
        <v>6949563</v>
      </c>
      <c r="Q30" s="8"/>
    </row>
    <row r="31" spans="1:17" ht="18" customHeight="1">
      <c r="A31" s="318"/>
      <c r="B31" s="318"/>
      <c r="C31" s="292"/>
      <c r="D31" s="293" t="s">
        <v>193</v>
      </c>
      <c r="E31" s="319"/>
      <c r="F31" s="302">
        <v>0</v>
      </c>
      <c r="G31" s="303">
        <v>0</v>
      </c>
      <c r="H31" s="297">
        <v>0</v>
      </c>
      <c r="I31" s="320"/>
      <c r="J31" s="303">
        <v>0</v>
      </c>
      <c r="K31" s="302">
        <v>0</v>
      </c>
      <c r="L31" s="302">
        <v>0</v>
      </c>
      <c r="M31" s="302">
        <v>0</v>
      </c>
      <c r="N31" s="303">
        <v>0</v>
      </c>
      <c r="O31" s="295">
        <v>0</v>
      </c>
      <c r="P31" s="299">
        <v>0</v>
      </c>
      <c r="Q31" s="8"/>
    </row>
    <row r="32" spans="1:17" ht="18" customHeight="1">
      <c r="A32" s="318"/>
      <c r="B32" s="318"/>
      <c r="C32" s="321" t="s">
        <v>194</v>
      </c>
      <c r="D32" s="322"/>
      <c r="E32" s="322"/>
      <c r="F32" s="323">
        <v>1135570</v>
      </c>
      <c r="G32" s="167">
        <v>3474440</v>
      </c>
      <c r="H32" s="162">
        <v>4610010</v>
      </c>
      <c r="I32" s="324"/>
      <c r="J32" s="167">
        <v>6957259</v>
      </c>
      <c r="K32" s="323">
        <v>13865888</v>
      </c>
      <c r="L32" s="323">
        <v>13456536</v>
      </c>
      <c r="M32" s="323">
        <v>5403632</v>
      </c>
      <c r="N32" s="167">
        <v>2200001</v>
      </c>
      <c r="O32" s="162">
        <v>41883316</v>
      </c>
      <c r="P32" s="163">
        <v>46493326</v>
      </c>
      <c r="Q32" s="8"/>
    </row>
    <row r="33" spans="1:17" ht="18" customHeight="1">
      <c r="A33" s="318"/>
      <c r="B33" s="318"/>
      <c r="C33" s="285" t="s">
        <v>247</v>
      </c>
      <c r="D33" s="325"/>
      <c r="E33" s="326"/>
      <c r="F33" s="287">
        <v>0</v>
      </c>
      <c r="G33" s="288">
        <v>4832560</v>
      </c>
      <c r="H33" s="289">
        <v>4832560</v>
      </c>
      <c r="I33" s="327"/>
      <c r="J33" s="288">
        <v>22888678</v>
      </c>
      <c r="K33" s="287">
        <v>35831460</v>
      </c>
      <c r="L33" s="287">
        <v>64635600</v>
      </c>
      <c r="M33" s="287">
        <v>44203110</v>
      </c>
      <c r="N33" s="288">
        <v>30046885</v>
      </c>
      <c r="O33" s="287">
        <v>197605733</v>
      </c>
      <c r="P33" s="291">
        <v>202438293</v>
      </c>
      <c r="Q33" s="8"/>
    </row>
    <row r="34" spans="1:17" ht="18" customHeight="1">
      <c r="A34" s="318"/>
      <c r="B34" s="318"/>
      <c r="C34" s="328"/>
      <c r="D34" s="798" t="s">
        <v>211</v>
      </c>
      <c r="E34" s="799"/>
      <c r="F34" s="329">
        <v>0</v>
      </c>
      <c r="G34" s="330">
        <v>0</v>
      </c>
      <c r="H34" s="331">
        <v>0</v>
      </c>
      <c r="I34" s="320"/>
      <c r="J34" s="330">
        <v>431948</v>
      </c>
      <c r="K34" s="329">
        <v>0</v>
      </c>
      <c r="L34" s="329">
        <v>0</v>
      </c>
      <c r="M34" s="329">
        <v>0</v>
      </c>
      <c r="N34" s="330">
        <v>0</v>
      </c>
      <c r="O34" s="332">
        <v>431948</v>
      </c>
      <c r="P34" s="333">
        <v>431948</v>
      </c>
      <c r="Q34" s="8"/>
    </row>
    <row r="35" spans="1:17" ht="18" customHeight="1">
      <c r="A35" s="318"/>
      <c r="B35" s="318"/>
      <c r="C35" s="292"/>
      <c r="D35" s="307" t="s">
        <v>212</v>
      </c>
      <c r="E35" s="319"/>
      <c r="F35" s="329">
        <v>0</v>
      </c>
      <c r="G35" s="330">
        <v>0</v>
      </c>
      <c r="H35" s="297">
        <v>0</v>
      </c>
      <c r="I35" s="320"/>
      <c r="J35" s="303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07" t="s">
        <v>213</v>
      </c>
      <c r="E36" s="319"/>
      <c r="F36" s="302">
        <v>0</v>
      </c>
      <c r="G36" s="303">
        <v>0</v>
      </c>
      <c r="H36" s="297">
        <v>0</v>
      </c>
      <c r="I36" s="320"/>
      <c r="J36" s="303">
        <v>309000</v>
      </c>
      <c r="K36" s="302">
        <v>110310</v>
      </c>
      <c r="L36" s="302">
        <v>0</v>
      </c>
      <c r="M36" s="302">
        <v>0</v>
      </c>
      <c r="N36" s="303">
        <v>0</v>
      </c>
      <c r="O36" s="295">
        <v>419310</v>
      </c>
      <c r="P36" s="299">
        <v>419310</v>
      </c>
      <c r="Q36" s="8"/>
    </row>
    <row r="37" spans="1:17" ht="18" customHeight="1">
      <c r="A37" s="318"/>
      <c r="B37" s="318"/>
      <c r="C37" s="292"/>
      <c r="D37" s="334" t="s">
        <v>214</v>
      </c>
      <c r="E37" s="305"/>
      <c r="F37" s="302">
        <v>0</v>
      </c>
      <c r="G37" s="303">
        <v>0</v>
      </c>
      <c r="H37" s="297">
        <v>0</v>
      </c>
      <c r="I37" s="320"/>
      <c r="J37" s="303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215</v>
      </c>
      <c r="E38" s="305"/>
      <c r="F38" s="302">
        <v>0</v>
      </c>
      <c r="G38" s="303">
        <v>0</v>
      </c>
      <c r="H38" s="297">
        <v>0</v>
      </c>
      <c r="I38" s="320"/>
      <c r="J38" s="303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216</v>
      </c>
      <c r="E39" s="305"/>
      <c r="F39" s="302">
        <v>0</v>
      </c>
      <c r="G39" s="303">
        <v>0</v>
      </c>
      <c r="H39" s="297">
        <v>0</v>
      </c>
      <c r="I39" s="320"/>
      <c r="J39" s="303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334" t="s">
        <v>217</v>
      </c>
      <c r="E40" s="305"/>
      <c r="F40" s="330">
        <v>0</v>
      </c>
      <c r="G40" s="303">
        <v>4832560</v>
      </c>
      <c r="H40" s="297">
        <v>4832560</v>
      </c>
      <c r="I40" s="320"/>
      <c r="J40" s="303">
        <v>22147730</v>
      </c>
      <c r="K40" s="302">
        <v>32140580</v>
      </c>
      <c r="L40" s="302">
        <v>28928500</v>
      </c>
      <c r="M40" s="302">
        <v>2088240</v>
      </c>
      <c r="N40" s="303">
        <v>3648920</v>
      </c>
      <c r="O40" s="295">
        <v>88953970</v>
      </c>
      <c r="P40" s="299">
        <v>93786530</v>
      </c>
      <c r="Q40" s="8"/>
    </row>
    <row r="41" spans="1:17" ht="18" customHeight="1">
      <c r="A41" s="318"/>
      <c r="B41" s="318"/>
      <c r="C41" s="292"/>
      <c r="D41" s="334" t="s">
        <v>218</v>
      </c>
      <c r="E41" s="305"/>
      <c r="F41" s="330">
        <v>0</v>
      </c>
      <c r="G41" s="303">
        <v>0</v>
      </c>
      <c r="H41" s="297">
        <v>0</v>
      </c>
      <c r="I41" s="320"/>
      <c r="J41" s="303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219</v>
      </c>
      <c r="E42" s="800"/>
      <c r="F42" s="329">
        <v>0</v>
      </c>
      <c r="G42" s="330">
        <v>0</v>
      </c>
      <c r="H42" s="297">
        <v>0</v>
      </c>
      <c r="I42" s="320"/>
      <c r="J42" s="303">
        <v>0</v>
      </c>
      <c r="K42" s="302">
        <v>0</v>
      </c>
      <c r="L42" s="302">
        <v>0</v>
      </c>
      <c r="M42" s="302">
        <v>0</v>
      </c>
      <c r="N42" s="303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292"/>
      <c r="D43" s="798" t="s">
        <v>220</v>
      </c>
      <c r="E43" s="800"/>
      <c r="F43" s="329">
        <v>0</v>
      </c>
      <c r="G43" s="330">
        <v>0</v>
      </c>
      <c r="H43" s="297">
        <v>0</v>
      </c>
      <c r="I43" s="320"/>
      <c r="J43" s="303">
        <v>0</v>
      </c>
      <c r="K43" s="302">
        <v>0</v>
      </c>
      <c r="L43" s="302">
        <v>0</v>
      </c>
      <c r="M43" s="302">
        <v>0</v>
      </c>
      <c r="N43" s="303">
        <v>0</v>
      </c>
      <c r="O43" s="295">
        <v>0</v>
      </c>
      <c r="P43" s="299">
        <v>0</v>
      </c>
      <c r="Q43" s="8"/>
    </row>
    <row r="44" spans="1:17" ht="18" customHeight="1">
      <c r="A44" s="318"/>
      <c r="B44" s="318"/>
      <c r="C44" s="328"/>
      <c r="D44" s="798" t="s">
        <v>221</v>
      </c>
      <c r="E44" s="799"/>
      <c r="F44" s="329">
        <v>0</v>
      </c>
      <c r="G44" s="330">
        <v>0</v>
      </c>
      <c r="H44" s="331">
        <v>0</v>
      </c>
      <c r="I44" s="320"/>
      <c r="J44" s="330">
        <v>0</v>
      </c>
      <c r="K44" s="329">
        <v>3580570</v>
      </c>
      <c r="L44" s="329">
        <v>35707100</v>
      </c>
      <c r="M44" s="329">
        <v>42114870</v>
      </c>
      <c r="N44" s="330">
        <v>25499390</v>
      </c>
      <c r="O44" s="332">
        <v>106901930</v>
      </c>
      <c r="P44" s="333">
        <v>106901930</v>
      </c>
      <c r="Q44" s="8"/>
    </row>
    <row r="45" spans="1:17" ht="18" customHeight="1">
      <c r="A45" s="318"/>
      <c r="B45" s="318"/>
      <c r="C45" s="367"/>
      <c r="D45" s="811" t="s">
        <v>248</v>
      </c>
      <c r="E45" s="799"/>
      <c r="F45" s="329">
        <v>0</v>
      </c>
      <c r="G45" s="330">
        <v>0</v>
      </c>
      <c r="H45" s="297">
        <v>0</v>
      </c>
      <c r="I45" s="336"/>
      <c r="J45" s="330">
        <v>0</v>
      </c>
      <c r="K45" s="329">
        <v>0</v>
      </c>
      <c r="L45" s="329">
        <v>0</v>
      </c>
      <c r="M45" s="329">
        <v>0</v>
      </c>
      <c r="N45" s="330">
        <v>898575</v>
      </c>
      <c r="O45" s="332">
        <v>898575</v>
      </c>
      <c r="P45" s="333">
        <v>898575</v>
      </c>
      <c r="Q45" s="8"/>
    </row>
    <row r="46" spans="1:17" ht="18" customHeight="1">
      <c r="A46" s="318"/>
      <c r="B46" s="318"/>
      <c r="C46" s="337"/>
      <c r="D46" s="806" t="s">
        <v>249</v>
      </c>
      <c r="E46" s="810"/>
      <c r="F46" s="136">
        <v>0</v>
      </c>
      <c r="G46" s="109">
        <v>0</v>
      </c>
      <c r="H46" s="297">
        <v>0</v>
      </c>
      <c r="I46" s="363"/>
      <c r="J46" s="109">
        <v>0</v>
      </c>
      <c r="K46" s="136">
        <v>0</v>
      </c>
      <c r="L46" s="136">
        <v>0</v>
      </c>
      <c r="M46" s="136">
        <v>0</v>
      </c>
      <c r="N46" s="109">
        <v>0</v>
      </c>
      <c r="O46" s="145">
        <v>0</v>
      </c>
      <c r="P46" s="365">
        <v>0</v>
      </c>
      <c r="Q46" s="8"/>
    </row>
    <row r="47" spans="1:17" ht="18" customHeight="1">
      <c r="A47" s="318"/>
      <c r="B47" s="318"/>
      <c r="C47" s="292" t="s">
        <v>250</v>
      </c>
      <c r="D47" s="294"/>
      <c r="E47" s="294"/>
      <c r="F47" s="288">
        <v>0</v>
      </c>
      <c r="G47" s="288">
        <v>0</v>
      </c>
      <c r="H47" s="289">
        <v>0</v>
      </c>
      <c r="I47" s="327"/>
      <c r="J47" s="288">
        <v>12507495</v>
      </c>
      <c r="K47" s="287">
        <v>57033706</v>
      </c>
      <c r="L47" s="287">
        <v>169740556</v>
      </c>
      <c r="M47" s="287">
        <v>182434997</v>
      </c>
      <c r="N47" s="288">
        <v>127317643</v>
      </c>
      <c r="O47" s="287">
        <v>549034397</v>
      </c>
      <c r="P47" s="291">
        <v>549034397</v>
      </c>
      <c r="Q47" s="8"/>
    </row>
    <row r="48" spans="1:17" ht="18" customHeight="1">
      <c r="A48" s="318"/>
      <c r="B48" s="318"/>
      <c r="C48" s="292"/>
      <c r="D48" s="342" t="s">
        <v>113</v>
      </c>
      <c r="E48" s="342"/>
      <c r="F48" s="303">
        <v>0</v>
      </c>
      <c r="G48" s="303">
        <v>0</v>
      </c>
      <c r="H48" s="297">
        <v>0</v>
      </c>
      <c r="I48" s="320"/>
      <c r="J48" s="303">
        <v>2288025</v>
      </c>
      <c r="K48" s="302">
        <v>10174738</v>
      </c>
      <c r="L48" s="302">
        <v>86727841</v>
      </c>
      <c r="M48" s="302">
        <v>76303219</v>
      </c>
      <c r="N48" s="303">
        <v>83367947</v>
      </c>
      <c r="O48" s="295">
        <v>258861770</v>
      </c>
      <c r="P48" s="299">
        <v>258861770</v>
      </c>
      <c r="Q48" s="8"/>
    </row>
    <row r="49" spans="1:17" ht="18" customHeight="1">
      <c r="A49" s="318"/>
      <c r="B49" s="318"/>
      <c r="C49" s="292"/>
      <c r="D49" s="342" t="s">
        <v>114</v>
      </c>
      <c r="E49" s="342"/>
      <c r="F49" s="302">
        <v>0</v>
      </c>
      <c r="G49" s="303">
        <v>0</v>
      </c>
      <c r="H49" s="297">
        <v>0</v>
      </c>
      <c r="I49" s="320"/>
      <c r="J49" s="303">
        <v>10219470</v>
      </c>
      <c r="K49" s="302">
        <v>46858968</v>
      </c>
      <c r="L49" s="302">
        <v>83012715</v>
      </c>
      <c r="M49" s="302">
        <v>106131778</v>
      </c>
      <c r="N49" s="303">
        <v>43949696</v>
      </c>
      <c r="O49" s="295">
        <v>290172627</v>
      </c>
      <c r="P49" s="299">
        <v>290172627</v>
      </c>
      <c r="Q49" s="8"/>
    </row>
    <row r="50" spans="1:17" ht="18" customHeight="1">
      <c r="A50" s="318"/>
      <c r="B50" s="318"/>
      <c r="C50" s="292"/>
      <c r="D50" s="343" t="s">
        <v>176</v>
      </c>
      <c r="E50" s="343"/>
      <c r="F50" s="329">
        <v>0</v>
      </c>
      <c r="G50" s="330">
        <v>0</v>
      </c>
      <c r="H50" s="297">
        <v>0</v>
      </c>
      <c r="I50" s="320"/>
      <c r="J50" s="330">
        <v>0</v>
      </c>
      <c r="K50" s="329">
        <v>0</v>
      </c>
      <c r="L50" s="329">
        <v>0</v>
      </c>
      <c r="M50" s="329">
        <v>0</v>
      </c>
      <c r="N50" s="330">
        <v>0</v>
      </c>
      <c r="O50" s="295">
        <v>0</v>
      </c>
      <c r="P50" s="299">
        <v>0</v>
      </c>
      <c r="Q50" s="8"/>
    </row>
    <row r="51" spans="1:17" ht="18" customHeight="1">
      <c r="A51" s="318"/>
      <c r="B51" s="318"/>
      <c r="C51" s="292"/>
      <c r="D51" s="344" t="s">
        <v>251</v>
      </c>
      <c r="E51" s="344"/>
      <c r="F51" s="338">
        <v>0</v>
      </c>
      <c r="G51" s="339">
        <v>0</v>
      </c>
      <c r="H51" s="345">
        <v>0</v>
      </c>
      <c r="I51" s="320"/>
      <c r="J51" s="339">
        <v>0</v>
      </c>
      <c r="K51" s="338">
        <v>0</v>
      </c>
      <c r="L51" s="338">
        <v>0</v>
      </c>
      <c r="M51" s="338">
        <v>0</v>
      </c>
      <c r="N51" s="339">
        <v>0</v>
      </c>
      <c r="O51" s="340">
        <v>0</v>
      </c>
      <c r="P51" s="341">
        <v>0</v>
      </c>
      <c r="Q51" s="8"/>
    </row>
    <row r="52" spans="1:17" ht="18" customHeight="1">
      <c r="A52" s="318"/>
      <c r="B52" s="318"/>
      <c r="C52" s="801" t="s">
        <v>252</v>
      </c>
      <c r="D52" s="802"/>
      <c r="E52" s="803"/>
      <c r="F52" s="346">
        <v>5335450</v>
      </c>
      <c r="G52" s="346">
        <v>30041310</v>
      </c>
      <c r="H52" s="178">
        <v>35376760</v>
      </c>
      <c r="I52" s="347"/>
      <c r="J52" s="346">
        <v>74127034</v>
      </c>
      <c r="K52" s="346">
        <v>185701426</v>
      </c>
      <c r="L52" s="346">
        <v>351479255</v>
      </c>
      <c r="M52" s="346">
        <v>275492532</v>
      </c>
      <c r="N52" s="346">
        <v>183773070</v>
      </c>
      <c r="O52" s="346">
        <v>1070573317</v>
      </c>
      <c r="P52" s="171">
        <v>1105950077</v>
      </c>
      <c r="Q52" s="8"/>
    </row>
    <row r="53" spans="1:17" ht="12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8"/>
    </row>
  </sheetData>
  <mergeCells count="10">
    <mergeCell ref="D44:E44"/>
    <mergeCell ref="D42:E42"/>
    <mergeCell ref="C52:E52"/>
    <mergeCell ref="D46:E46"/>
    <mergeCell ref="D45:E45"/>
    <mergeCell ref="A3:Q3"/>
    <mergeCell ref="A4:Q4"/>
    <mergeCell ref="C10:E10"/>
    <mergeCell ref="D34:E34"/>
    <mergeCell ref="D43:E43"/>
  </mergeCells>
  <phoneticPr fontId="35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ECBCA"/>
  </sheetPr>
  <dimension ref="A1:Q53"/>
  <sheetViews>
    <sheetView showGridLines="0" workbookViewId="0"/>
  </sheetViews>
  <sheetFormatPr defaultColWidth="9" defaultRowHeight="0" customHeight="1" zero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234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237</v>
      </c>
    </row>
    <row r="8" spans="1:17" ht="18" customHeight="1">
      <c r="C8" s="84" t="s">
        <v>255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/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3779892</v>
      </c>
      <c r="G11" s="288">
        <v>19548807</v>
      </c>
      <c r="H11" s="289">
        <v>23328699</v>
      </c>
      <c r="I11" s="290"/>
      <c r="J11" s="288">
        <v>28483564</v>
      </c>
      <c r="K11" s="288">
        <v>70637023</v>
      </c>
      <c r="L11" s="287">
        <v>93085061</v>
      </c>
      <c r="M11" s="288">
        <v>38981481</v>
      </c>
      <c r="N11" s="288">
        <v>21666664</v>
      </c>
      <c r="O11" s="287">
        <v>252853793</v>
      </c>
      <c r="P11" s="291">
        <v>276182492</v>
      </c>
    </row>
    <row r="12" spans="1:17" ht="18" customHeight="1">
      <c r="C12" s="292"/>
      <c r="D12" s="293" t="s">
        <v>241</v>
      </c>
      <c r="E12" s="294"/>
      <c r="F12" s="295">
        <v>1223829</v>
      </c>
      <c r="G12" s="296">
        <v>1276569</v>
      </c>
      <c r="H12" s="297">
        <v>2500398</v>
      </c>
      <c r="I12" s="298"/>
      <c r="J12" s="296">
        <v>4050693</v>
      </c>
      <c r="K12" s="295">
        <v>10830716</v>
      </c>
      <c r="L12" s="295">
        <v>12331074</v>
      </c>
      <c r="M12" s="295">
        <v>4349400</v>
      </c>
      <c r="N12" s="296">
        <v>7857185</v>
      </c>
      <c r="O12" s="295">
        <v>39419068</v>
      </c>
      <c r="P12" s="299">
        <v>41919466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3745521</v>
      </c>
      <c r="K13" s="302">
        <v>4348691</v>
      </c>
      <c r="L13" s="302">
        <v>9629928</v>
      </c>
      <c r="M13" s="302">
        <v>3147221</v>
      </c>
      <c r="N13" s="303">
        <v>6908298</v>
      </c>
      <c r="O13" s="295">
        <v>27779659</v>
      </c>
      <c r="P13" s="299">
        <v>27779659</v>
      </c>
    </row>
    <row r="14" spans="1:17" ht="18" customHeight="1">
      <c r="C14" s="292"/>
      <c r="D14" s="300"/>
      <c r="E14" s="301" t="s">
        <v>181</v>
      </c>
      <c r="F14" s="302">
        <v>168552</v>
      </c>
      <c r="G14" s="303">
        <v>0</v>
      </c>
      <c r="H14" s="297">
        <v>168552</v>
      </c>
      <c r="I14" s="304"/>
      <c r="J14" s="303">
        <v>0</v>
      </c>
      <c r="K14" s="302">
        <v>894453</v>
      </c>
      <c r="L14" s="302">
        <v>799731</v>
      </c>
      <c r="M14" s="302">
        <v>458311</v>
      </c>
      <c r="N14" s="303">
        <v>515596</v>
      </c>
      <c r="O14" s="295">
        <v>2668091</v>
      </c>
      <c r="P14" s="299">
        <v>2836643</v>
      </c>
    </row>
    <row r="15" spans="1:17" ht="18" customHeight="1">
      <c r="C15" s="292"/>
      <c r="D15" s="300"/>
      <c r="E15" s="301" t="s">
        <v>182</v>
      </c>
      <c r="F15" s="302">
        <v>118710</v>
      </c>
      <c r="G15" s="303">
        <v>0</v>
      </c>
      <c r="H15" s="297">
        <v>118710</v>
      </c>
      <c r="I15" s="304"/>
      <c r="J15" s="303">
        <v>23418</v>
      </c>
      <c r="K15" s="302">
        <v>2160639</v>
      </c>
      <c r="L15" s="302">
        <v>401844</v>
      </c>
      <c r="M15" s="302">
        <v>339930</v>
      </c>
      <c r="N15" s="303">
        <v>106893</v>
      </c>
      <c r="O15" s="295">
        <v>3032724</v>
      </c>
      <c r="P15" s="299">
        <v>3151434</v>
      </c>
    </row>
    <row r="16" spans="1:17" ht="18" customHeight="1">
      <c r="C16" s="292"/>
      <c r="D16" s="300"/>
      <c r="E16" s="301" t="s">
        <v>183</v>
      </c>
      <c r="F16" s="302">
        <v>936567</v>
      </c>
      <c r="G16" s="303">
        <v>1276569</v>
      </c>
      <c r="H16" s="297">
        <v>2213136</v>
      </c>
      <c r="I16" s="304"/>
      <c r="J16" s="303">
        <v>158013</v>
      </c>
      <c r="K16" s="302">
        <v>3070452</v>
      </c>
      <c r="L16" s="302">
        <v>1258443</v>
      </c>
      <c r="M16" s="302">
        <v>99459</v>
      </c>
      <c r="N16" s="303">
        <v>134869</v>
      </c>
      <c r="O16" s="295">
        <v>4721236</v>
      </c>
      <c r="P16" s="299">
        <v>6934372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123741</v>
      </c>
      <c r="K17" s="302">
        <v>356481</v>
      </c>
      <c r="L17" s="302">
        <v>241128</v>
      </c>
      <c r="M17" s="302">
        <v>304479</v>
      </c>
      <c r="N17" s="303">
        <v>191529</v>
      </c>
      <c r="O17" s="295">
        <v>1217358</v>
      </c>
      <c r="P17" s="299">
        <v>1217358</v>
      </c>
    </row>
    <row r="18" spans="1:17" ht="18" customHeight="1">
      <c r="C18" s="292"/>
      <c r="D18" s="293" t="s">
        <v>242</v>
      </c>
      <c r="E18" s="305"/>
      <c r="F18" s="295">
        <v>2085822</v>
      </c>
      <c r="G18" s="296">
        <v>14984327</v>
      </c>
      <c r="H18" s="297">
        <v>17070149</v>
      </c>
      <c r="I18" s="298"/>
      <c r="J18" s="296">
        <v>21205500</v>
      </c>
      <c r="K18" s="295">
        <v>46312561</v>
      </c>
      <c r="L18" s="295">
        <v>62364805</v>
      </c>
      <c r="M18" s="295">
        <v>21364068</v>
      </c>
      <c r="N18" s="296">
        <v>9439794</v>
      </c>
      <c r="O18" s="295">
        <v>160686728</v>
      </c>
      <c r="P18" s="299">
        <v>177756877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8344033</v>
      </c>
      <c r="K19" s="302">
        <v>13426670</v>
      </c>
      <c r="L19" s="302">
        <v>21243757</v>
      </c>
      <c r="M19" s="302">
        <v>11864509</v>
      </c>
      <c r="N19" s="303">
        <v>7452081</v>
      </c>
      <c r="O19" s="295">
        <v>62331050</v>
      </c>
      <c r="P19" s="299">
        <v>62331050</v>
      </c>
    </row>
    <row r="20" spans="1:17" ht="18" customHeight="1">
      <c r="C20" s="292"/>
      <c r="D20" s="300"/>
      <c r="E20" s="306" t="s">
        <v>186</v>
      </c>
      <c r="F20" s="302">
        <v>2085822</v>
      </c>
      <c r="G20" s="303">
        <v>14984327</v>
      </c>
      <c r="H20" s="297">
        <v>17070149</v>
      </c>
      <c r="I20" s="304"/>
      <c r="J20" s="303">
        <v>12861467</v>
      </c>
      <c r="K20" s="302">
        <v>32885891</v>
      </c>
      <c r="L20" s="302">
        <v>41121048</v>
      </c>
      <c r="M20" s="302">
        <v>9499559</v>
      </c>
      <c r="N20" s="303">
        <v>1987713</v>
      </c>
      <c r="O20" s="295">
        <v>98355678</v>
      </c>
      <c r="P20" s="299">
        <v>115425827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82440</v>
      </c>
      <c r="H21" s="297">
        <v>82440</v>
      </c>
      <c r="I21" s="298"/>
      <c r="J21" s="296">
        <v>1057000</v>
      </c>
      <c r="K21" s="295">
        <v>2248944</v>
      </c>
      <c r="L21" s="295">
        <v>9266952</v>
      </c>
      <c r="M21" s="295">
        <v>9532080</v>
      </c>
      <c r="N21" s="296">
        <v>2303490</v>
      </c>
      <c r="O21" s="295">
        <v>24408466</v>
      </c>
      <c r="P21" s="299">
        <v>24490906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37602</v>
      </c>
      <c r="H22" s="297">
        <v>37602</v>
      </c>
      <c r="I22" s="304"/>
      <c r="J22" s="303">
        <v>343624</v>
      </c>
      <c r="K22" s="302">
        <v>1206699</v>
      </c>
      <c r="L22" s="302">
        <v>4884753</v>
      </c>
      <c r="M22" s="302">
        <v>7675542</v>
      </c>
      <c r="N22" s="303">
        <v>1684344</v>
      </c>
      <c r="O22" s="295">
        <v>15794962</v>
      </c>
      <c r="P22" s="299">
        <v>15832564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44838</v>
      </c>
      <c r="H23" s="297">
        <v>44838</v>
      </c>
      <c r="I23" s="304"/>
      <c r="J23" s="303">
        <v>713376</v>
      </c>
      <c r="K23" s="302">
        <v>1042245</v>
      </c>
      <c r="L23" s="302">
        <v>4382199</v>
      </c>
      <c r="M23" s="302">
        <v>1856538</v>
      </c>
      <c r="N23" s="303">
        <v>619146</v>
      </c>
      <c r="O23" s="295">
        <v>8613504</v>
      </c>
      <c r="P23" s="299">
        <v>8658342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470241</v>
      </c>
      <c r="G26" s="296">
        <v>3205471</v>
      </c>
      <c r="H26" s="297">
        <v>3675712</v>
      </c>
      <c r="I26" s="298"/>
      <c r="J26" s="296">
        <v>1820979</v>
      </c>
      <c r="K26" s="295">
        <v>8659409</v>
      </c>
      <c r="L26" s="295">
        <v>6284386</v>
      </c>
      <c r="M26" s="295">
        <v>3253965</v>
      </c>
      <c r="N26" s="296">
        <v>2066195</v>
      </c>
      <c r="O26" s="295">
        <v>22084934</v>
      </c>
      <c r="P26" s="299">
        <v>25760646</v>
      </c>
    </row>
    <row r="27" spans="1:17" ht="18" customHeight="1">
      <c r="C27" s="292"/>
      <c r="D27" s="300"/>
      <c r="E27" s="308" t="s">
        <v>191</v>
      </c>
      <c r="F27" s="309">
        <v>470241</v>
      </c>
      <c r="G27" s="310">
        <v>2775559</v>
      </c>
      <c r="H27" s="297">
        <v>3245800</v>
      </c>
      <c r="I27" s="304"/>
      <c r="J27" s="310">
        <v>1443663</v>
      </c>
      <c r="K27" s="309">
        <v>7799607</v>
      </c>
      <c r="L27" s="309">
        <v>6160425</v>
      </c>
      <c r="M27" s="309">
        <v>3058755</v>
      </c>
      <c r="N27" s="310">
        <v>2037755</v>
      </c>
      <c r="O27" s="295">
        <v>20500205</v>
      </c>
      <c r="P27" s="299">
        <v>23746005</v>
      </c>
    </row>
    <row r="28" spans="1:17" ht="18" customHeight="1">
      <c r="C28" s="292"/>
      <c r="D28" s="311"/>
      <c r="E28" s="306" t="s">
        <v>245</v>
      </c>
      <c r="F28" s="312">
        <v>0</v>
      </c>
      <c r="G28" s="313">
        <v>79812</v>
      </c>
      <c r="H28" s="297">
        <v>79812</v>
      </c>
      <c r="I28" s="314"/>
      <c r="J28" s="313">
        <v>89676</v>
      </c>
      <c r="K28" s="312">
        <v>327020</v>
      </c>
      <c r="L28" s="312">
        <v>71761</v>
      </c>
      <c r="M28" s="312">
        <v>58410</v>
      </c>
      <c r="N28" s="313">
        <v>28440</v>
      </c>
      <c r="O28" s="295">
        <v>575307</v>
      </c>
      <c r="P28" s="299">
        <v>655119</v>
      </c>
    </row>
    <row r="29" spans="1:17" ht="18" customHeight="1">
      <c r="C29" s="292"/>
      <c r="D29" s="315"/>
      <c r="E29" s="301" t="s">
        <v>246</v>
      </c>
      <c r="F29" s="316">
        <v>0</v>
      </c>
      <c r="G29" s="317">
        <v>350100</v>
      </c>
      <c r="H29" s="297">
        <v>350100</v>
      </c>
      <c r="I29" s="314"/>
      <c r="J29" s="317">
        <v>287640</v>
      </c>
      <c r="K29" s="316">
        <v>532782</v>
      </c>
      <c r="L29" s="316">
        <v>52200</v>
      </c>
      <c r="M29" s="316">
        <v>136800</v>
      </c>
      <c r="N29" s="317">
        <v>0</v>
      </c>
      <c r="O29" s="295">
        <v>1009422</v>
      </c>
      <c r="P29" s="299">
        <v>1359522</v>
      </c>
    </row>
    <row r="30" spans="1:17" ht="18" customHeight="1">
      <c r="A30" s="318"/>
      <c r="B30" s="318"/>
      <c r="C30" s="292"/>
      <c r="D30" s="307" t="s">
        <v>192</v>
      </c>
      <c r="E30" s="319"/>
      <c r="F30" s="302">
        <v>0</v>
      </c>
      <c r="G30" s="303">
        <v>0</v>
      </c>
      <c r="H30" s="297">
        <v>0</v>
      </c>
      <c r="I30" s="320"/>
      <c r="J30" s="303">
        <v>349392</v>
      </c>
      <c r="K30" s="302">
        <v>2585393</v>
      </c>
      <c r="L30" s="302">
        <v>2837844</v>
      </c>
      <c r="M30" s="302">
        <v>481968</v>
      </c>
      <c r="N30" s="303">
        <v>0</v>
      </c>
      <c r="O30" s="295">
        <v>6254597</v>
      </c>
      <c r="P30" s="299">
        <v>6254597</v>
      </c>
      <c r="Q30" s="8"/>
    </row>
    <row r="31" spans="1:17" ht="18" customHeight="1">
      <c r="A31" s="318"/>
      <c r="B31" s="318"/>
      <c r="C31" s="292"/>
      <c r="D31" s="300" t="s">
        <v>193</v>
      </c>
      <c r="E31" s="319"/>
      <c r="F31" s="302">
        <v>0</v>
      </c>
      <c r="G31" s="303">
        <v>0</v>
      </c>
      <c r="H31" s="297">
        <v>0</v>
      </c>
      <c r="I31" s="320"/>
      <c r="J31" s="303">
        <v>0</v>
      </c>
      <c r="K31" s="302">
        <v>0</v>
      </c>
      <c r="L31" s="302">
        <v>0</v>
      </c>
      <c r="M31" s="302">
        <v>0</v>
      </c>
      <c r="N31" s="303">
        <v>0</v>
      </c>
      <c r="O31" s="295">
        <v>0</v>
      </c>
      <c r="P31" s="299">
        <v>0</v>
      </c>
      <c r="Q31" s="8"/>
    </row>
    <row r="32" spans="1:17" ht="18" customHeight="1">
      <c r="A32" s="318"/>
      <c r="B32" s="318"/>
      <c r="C32" s="321" t="s">
        <v>194</v>
      </c>
      <c r="D32" s="322"/>
      <c r="E32" s="322"/>
      <c r="F32" s="323">
        <v>1135570</v>
      </c>
      <c r="G32" s="167">
        <v>3474440</v>
      </c>
      <c r="H32" s="162">
        <v>4610010</v>
      </c>
      <c r="I32" s="324"/>
      <c r="J32" s="167">
        <v>6957259</v>
      </c>
      <c r="K32" s="323">
        <v>13865888</v>
      </c>
      <c r="L32" s="323">
        <v>13456536</v>
      </c>
      <c r="M32" s="323">
        <v>5403632</v>
      </c>
      <c r="N32" s="167">
        <v>2200001</v>
      </c>
      <c r="O32" s="162">
        <v>41883316</v>
      </c>
      <c r="P32" s="163">
        <v>46493326</v>
      </c>
      <c r="Q32" s="8"/>
    </row>
    <row r="33" spans="1:17" ht="18" customHeight="1">
      <c r="A33" s="318"/>
      <c r="B33" s="318"/>
      <c r="C33" s="285" t="s">
        <v>247</v>
      </c>
      <c r="D33" s="325"/>
      <c r="E33" s="326"/>
      <c r="F33" s="287">
        <v>0</v>
      </c>
      <c r="G33" s="288">
        <v>4349304</v>
      </c>
      <c r="H33" s="289">
        <v>4349304</v>
      </c>
      <c r="I33" s="327"/>
      <c r="J33" s="288">
        <v>20599809</v>
      </c>
      <c r="K33" s="287">
        <v>32248314</v>
      </c>
      <c r="L33" s="287">
        <v>58172040</v>
      </c>
      <c r="M33" s="287">
        <v>39782799</v>
      </c>
      <c r="N33" s="288">
        <v>27042195</v>
      </c>
      <c r="O33" s="287">
        <v>177845157</v>
      </c>
      <c r="P33" s="291">
        <v>182194461</v>
      </c>
      <c r="Q33" s="8"/>
    </row>
    <row r="34" spans="1:17" ht="18" customHeight="1">
      <c r="A34" s="318"/>
      <c r="B34" s="318"/>
      <c r="C34" s="328"/>
      <c r="D34" s="798" t="s">
        <v>211</v>
      </c>
      <c r="E34" s="799"/>
      <c r="F34" s="329">
        <v>0</v>
      </c>
      <c r="G34" s="330">
        <v>0</v>
      </c>
      <c r="H34" s="331">
        <v>0</v>
      </c>
      <c r="I34" s="320"/>
      <c r="J34" s="330">
        <v>388752</v>
      </c>
      <c r="K34" s="329">
        <v>0</v>
      </c>
      <c r="L34" s="329">
        <v>0</v>
      </c>
      <c r="M34" s="329">
        <v>0</v>
      </c>
      <c r="N34" s="330">
        <v>0</v>
      </c>
      <c r="O34" s="332">
        <v>388752</v>
      </c>
      <c r="P34" s="333">
        <v>388752</v>
      </c>
      <c r="Q34" s="8"/>
    </row>
    <row r="35" spans="1:17" ht="18" customHeight="1">
      <c r="A35" s="318"/>
      <c r="B35" s="318"/>
      <c r="C35" s="292"/>
      <c r="D35" s="307" t="s">
        <v>212</v>
      </c>
      <c r="E35" s="319"/>
      <c r="F35" s="329">
        <v>0</v>
      </c>
      <c r="G35" s="330">
        <v>0</v>
      </c>
      <c r="H35" s="297">
        <v>0</v>
      </c>
      <c r="I35" s="320"/>
      <c r="J35" s="303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07" t="s">
        <v>213</v>
      </c>
      <c r="E36" s="319"/>
      <c r="F36" s="302">
        <v>0</v>
      </c>
      <c r="G36" s="303">
        <v>0</v>
      </c>
      <c r="H36" s="297">
        <v>0</v>
      </c>
      <c r="I36" s="320"/>
      <c r="J36" s="303">
        <v>278100</v>
      </c>
      <c r="K36" s="302">
        <v>99279</v>
      </c>
      <c r="L36" s="302">
        <v>0</v>
      </c>
      <c r="M36" s="302">
        <v>0</v>
      </c>
      <c r="N36" s="303">
        <v>0</v>
      </c>
      <c r="O36" s="295">
        <v>377379</v>
      </c>
      <c r="P36" s="299">
        <v>377379</v>
      </c>
      <c r="Q36" s="8"/>
    </row>
    <row r="37" spans="1:17" ht="18" customHeight="1">
      <c r="A37" s="318"/>
      <c r="B37" s="318"/>
      <c r="C37" s="292"/>
      <c r="D37" s="334" t="s">
        <v>214</v>
      </c>
      <c r="E37" s="305"/>
      <c r="F37" s="302">
        <v>0</v>
      </c>
      <c r="G37" s="303">
        <v>0</v>
      </c>
      <c r="H37" s="297">
        <v>0</v>
      </c>
      <c r="I37" s="320"/>
      <c r="J37" s="303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215</v>
      </c>
      <c r="E38" s="305"/>
      <c r="F38" s="302">
        <v>0</v>
      </c>
      <c r="G38" s="303">
        <v>0</v>
      </c>
      <c r="H38" s="297">
        <v>0</v>
      </c>
      <c r="I38" s="320"/>
      <c r="J38" s="303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216</v>
      </c>
      <c r="E39" s="305"/>
      <c r="F39" s="302">
        <v>0</v>
      </c>
      <c r="G39" s="303">
        <v>0</v>
      </c>
      <c r="H39" s="297">
        <v>0</v>
      </c>
      <c r="I39" s="320"/>
      <c r="J39" s="303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334" t="s">
        <v>217</v>
      </c>
      <c r="E40" s="305"/>
      <c r="F40" s="330">
        <v>0</v>
      </c>
      <c r="G40" s="303">
        <v>4349304</v>
      </c>
      <c r="H40" s="297">
        <v>4349304</v>
      </c>
      <c r="I40" s="320"/>
      <c r="J40" s="303">
        <v>19932957</v>
      </c>
      <c r="K40" s="302">
        <v>28926522</v>
      </c>
      <c r="L40" s="302">
        <v>26035650</v>
      </c>
      <c r="M40" s="302">
        <v>1879416</v>
      </c>
      <c r="N40" s="303">
        <v>3284028</v>
      </c>
      <c r="O40" s="295">
        <v>80058573</v>
      </c>
      <c r="P40" s="299">
        <v>84407877</v>
      </c>
      <c r="Q40" s="8"/>
    </row>
    <row r="41" spans="1:17" ht="18" customHeight="1">
      <c r="A41" s="318"/>
      <c r="B41" s="318"/>
      <c r="C41" s="292"/>
      <c r="D41" s="334" t="s">
        <v>218</v>
      </c>
      <c r="E41" s="305"/>
      <c r="F41" s="330">
        <v>0</v>
      </c>
      <c r="G41" s="303">
        <v>0</v>
      </c>
      <c r="H41" s="297">
        <v>0</v>
      </c>
      <c r="I41" s="320"/>
      <c r="J41" s="303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219</v>
      </c>
      <c r="E42" s="800"/>
      <c r="F42" s="329">
        <v>0</v>
      </c>
      <c r="G42" s="330">
        <v>0</v>
      </c>
      <c r="H42" s="297">
        <v>0</v>
      </c>
      <c r="I42" s="320"/>
      <c r="J42" s="303">
        <v>0</v>
      </c>
      <c r="K42" s="302">
        <v>0</v>
      </c>
      <c r="L42" s="302">
        <v>0</v>
      </c>
      <c r="M42" s="302">
        <v>0</v>
      </c>
      <c r="N42" s="303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292"/>
      <c r="D43" s="798" t="s">
        <v>220</v>
      </c>
      <c r="E43" s="800"/>
      <c r="F43" s="329">
        <v>0</v>
      </c>
      <c r="G43" s="330">
        <v>0</v>
      </c>
      <c r="H43" s="297">
        <v>0</v>
      </c>
      <c r="I43" s="320"/>
      <c r="J43" s="303">
        <v>0</v>
      </c>
      <c r="K43" s="302">
        <v>0</v>
      </c>
      <c r="L43" s="302">
        <v>0</v>
      </c>
      <c r="M43" s="302">
        <v>0</v>
      </c>
      <c r="N43" s="303">
        <v>0</v>
      </c>
      <c r="O43" s="295">
        <v>0</v>
      </c>
      <c r="P43" s="299">
        <v>0</v>
      </c>
      <c r="Q43" s="8"/>
    </row>
    <row r="44" spans="1:17" ht="18" customHeight="1">
      <c r="A44" s="318"/>
      <c r="B44" s="318"/>
      <c r="C44" s="328"/>
      <c r="D44" s="798" t="s">
        <v>221</v>
      </c>
      <c r="E44" s="799"/>
      <c r="F44" s="329">
        <v>0</v>
      </c>
      <c r="G44" s="330">
        <v>0</v>
      </c>
      <c r="H44" s="331">
        <v>0</v>
      </c>
      <c r="I44" s="320"/>
      <c r="J44" s="330">
        <v>0</v>
      </c>
      <c r="K44" s="329">
        <v>3222513</v>
      </c>
      <c r="L44" s="329">
        <v>32136390</v>
      </c>
      <c r="M44" s="329">
        <v>37903383</v>
      </c>
      <c r="N44" s="330">
        <v>22949451</v>
      </c>
      <c r="O44" s="332">
        <v>96211737</v>
      </c>
      <c r="P44" s="333">
        <v>96211737</v>
      </c>
      <c r="Q44" s="8"/>
    </row>
    <row r="45" spans="1:17" ht="18" customHeight="1">
      <c r="A45" s="318"/>
      <c r="B45" s="318"/>
      <c r="C45" s="335"/>
      <c r="D45" s="798" t="s">
        <v>248</v>
      </c>
      <c r="E45" s="799"/>
      <c r="F45" s="329">
        <v>0</v>
      </c>
      <c r="G45" s="330">
        <v>0</v>
      </c>
      <c r="H45" s="297">
        <v>0</v>
      </c>
      <c r="I45" s="336"/>
      <c r="J45" s="330">
        <v>0</v>
      </c>
      <c r="K45" s="329">
        <v>0</v>
      </c>
      <c r="L45" s="329">
        <v>0</v>
      </c>
      <c r="M45" s="329">
        <v>0</v>
      </c>
      <c r="N45" s="330">
        <v>808716</v>
      </c>
      <c r="O45" s="332">
        <v>808716</v>
      </c>
      <c r="P45" s="333">
        <v>808716</v>
      </c>
      <c r="Q45" s="8"/>
    </row>
    <row r="46" spans="1:17" ht="18" customHeight="1">
      <c r="A46" s="318"/>
      <c r="B46" s="318"/>
      <c r="C46" s="368"/>
      <c r="D46" s="812" t="s">
        <v>249</v>
      </c>
      <c r="E46" s="810"/>
      <c r="F46" s="136">
        <v>0</v>
      </c>
      <c r="G46" s="109">
        <v>0</v>
      </c>
      <c r="H46" s="297">
        <v>0</v>
      </c>
      <c r="I46" s="363"/>
      <c r="J46" s="109">
        <v>0</v>
      </c>
      <c r="K46" s="136">
        <v>0</v>
      </c>
      <c r="L46" s="136">
        <v>0</v>
      </c>
      <c r="M46" s="136">
        <v>0</v>
      </c>
      <c r="N46" s="109">
        <v>0</v>
      </c>
      <c r="O46" s="145">
        <v>0</v>
      </c>
      <c r="P46" s="365">
        <v>0</v>
      </c>
      <c r="Q46" s="8"/>
    </row>
    <row r="47" spans="1:17" ht="18" customHeight="1">
      <c r="A47" s="318"/>
      <c r="B47" s="318"/>
      <c r="C47" s="292" t="s">
        <v>250</v>
      </c>
      <c r="D47" s="294"/>
      <c r="E47" s="294"/>
      <c r="F47" s="288">
        <v>0</v>
      </c>
      <c r="G47" s="288">
        <v>0</v>
      </c>
      <c r="H47" s="289">
        <v>0</v>
      </c>
      <c r="I47" s="327"/>
      <c r="J47" s="288">
        <v>11256744</v>
      </c>
      <c r="K47" s="287">
        <v>51330306</v>
      </c>
      <c r="L47" s="287">
        <v>152766399</v>
      </c>
      <c r="M47" s="287">
        <v>163412831</v>
      </c>
      <c r="N47" s="288">
        <v>114585862</v>
      </c>
      <c r="O47" s="287">
        <v>493352142</v>
      </c>
      <c r="P47" s="291">
        <v>493352142</v>
      </c>
      <c r="Q47" s="8"/>
    </row>
    <row r="48" spans="1:17" ht="18" customHeight="1">
      <c r="A48" s="318"/>
      <c r="B48" s="318"/>
      <c r="C48" s="292"/>
      <c r="D48" s="342" t="s">
        <v>113</v>
      </c>
      <c r="E48" s="342"/>
      <c r="F48" s="303">
        <v>0</v>
      </c>
      <c r="G48" s="303">
        <v>0</v>
      </c>
      <c r="H48" s="297">
        <v>0</v>
      </c>
      <c r="I48" s="320"/>
      <c r="J48" s="303">
        <v>2059221</v>
      </c>
      <c r="K48" s="302">
        <v>9157251</v>
      </c>
      <c r="L48" s="302">
        <v>78054972</v>
      </c>
      <c r="M48" s="302">
        <v>68672830</v>
      </c>
      <c r="N48" s="303">
        <v>75031139</v>
      </c>
      <c r="O48" s="295">
        <v>232975413</v>
      </c>
      <c r="P48" s="299">
        <v>232975413</v>
      </c>
      <c r="Q48" s="8"/>
    </row>
    <row r="49" spans="1:17" ht="18" customHeight="1">
      <c r="A49" s="318"/>
      <c r="B49" s="318"/>
      <c r="C49" s="292"/>
      <c r="D49" s="342" t="s">
        <v>114</v>
      </c>
      <c r="E49" s="342"/>
      <c r="F49" s="302">
        <v>0</v>
      </c>
      <c r="G49" s="303">
        <v>0</v>
      </c>
      <c r="H49" s="297">
        <v>0</v>
      </c>
      <c r="I49" s="320"/>
      <c r="J49" s="303">
        <v>9197523</v>
      </c>
      <c r="K49" s="302">
        <v>42173055</v>
      </c>
      <c r="L49" s="302">
        <v>74711427</v>
      </c>
      <c r="M49" s="302">
        <v>94740001</v>
      </c>
      <c r="N49" s="303">
        <v>39554723</v>
      </c>
      <c r="O49" s="295">
        <v>260376729</v>
      </c>
      <c r="P49" s="299">
        <v>260376729</v>
      </c>
      <c r="Q49" s="8"/>
    </row>
    <row r="50" spans="1:17" ht="18" customHeight="1">
      <c r="A50" s="318"/>
      <c r="B50" s="318"/>
      <c r="C50" s="292"/>
      <c r="D50" s="343" t="s">
        <v>176</v>
      </c>
      <c r="E50" s="343"/>
      <c r="F50" s="329">
        <v>0</v>
      </c>
      <c r="G50" s="330">
        <v>0</v>
      </c>
      <c r="H50" s="297">
        <v>0</v>
      </c>
      <c r="I50" s="320"/>
      <c r="J50" s="330">
        <v>0</v>
      </c>
      <c r="K50" s="329">
        <v>0</v>
      </c>
      <c r="L50" s="329">
        <v>0</v>
      </c>
      <c r="M50" s="329">
        <v>0</v>
      </c>
      <c r="N50" s="330">
        <v>0</v>
      </c>
      <c r="O50" s="295">
        <v>0</v>
      </c>
      <c r="P50" s="299">
        <v>0</v>
      </c>
      <c r="Q50" s="8"/>
    </row>
    <row r="51" spans="1:17" ht="18" customHeight="1">
      <c r="A51" s="318"/>
      <c r="B51" s="318"/>
      <c r="C51" s="292"/>
      <c r="D51" s="344" t="s">
        <v>251</v>
      </c>
      <c r="E51" s="344"/>
      <c r="F51" s="338">
        <v>0</v>
      </c>
      <c r="G51" s="339">
        <v>0</v>
      </c>
      <c r="H51" s="345">
        <v>0</v>
      </c>
      <c r="I51" s="320"/>
      <c r="J51" s="339">
        <v>0</v>
      </c>
      <c r="K51" s="338">
        <v>0</v>
      </c>
      <c r="L51" s="338">
        <v>0</v>
      </c>
      <c r="M51" s="338">
        <v>0</v>
      </c>
      <c r="N51" s="339">
        <v>0</v>
      </c>
      <c r="O51" s="340">
        <v>0</v>
      </c>
      <c r="P51" s="341">
        <v>0</v>
      </c>
      <c r="Q51" s="8"/>
    </row>
    <row r="52" spans="1:17" ht="18" customHeight="1">
      <c r="A52" s="318"/>
      <c r="B52" s="318"/>
      <c r="C52" s="801" t="s">
        <v>252</v>
      </c>
      <c r="D52" s="802"/>
      <c r="E52" s="803"/>
      <c r="F52" s="346">
        <v>4915462</v>
      </c>
      <c r="G52" s="346">
        <v>27372551</v>
      </c>
      <c r="H52" s="178">
        <v>32288013</v>
      </c>
      <c r="I52" s="347"/>
      <c r="J52" s="346">
        <v>67297376</v>
      </c>
      <c r="K52" s="346">
        <v>168081531</v>
      </c>
      <c r="L52" s="346">
        <v>317480036</v>
      </c>
      <c r="M52" s="346">
        <v>247580743</v>
      </c>
      <c r="N52" s="346">
        <v>165494722</v>
      </c>
      <c r="O52" s="346">
        <v>965934408</v>
      </c>
      <c r="P52" s="369">
        <v>998222421</v>
      </c>
      <c r="Q52" s="8"/>
    </row>
    <row r="53" spans="1:17" ht="10.5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8"/>
    </row>
  </sheetData>
  <mergeCells count="10">
    <mergeCell ref="D44:E44"/>
    <mergeCell ref="D42:E42"/>
    <mergeCell ref="C52:E52"/>
    <mergeCell ref="D46:E46"/>
    <mergeCell ref="D45:E45"/>
    <mergeCell ref="A3:Q3"/>
    <mergeCell ref="A4:Q4"/>
    <mergeCell ref="C10:E10"/>
    <mergeCell ref="D34:E34"/>
    <mergeCell ref="D43:E43"/>
  </mergeCells>
  <phoneticPr fontId="35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ECBCA"/>
  </sheetPr>
  <dimension ref="A1:Q53"/>
  <sheetViews>
    <sheetView showGridLines="0" workbookViewId="0"/>
  </sheetViews>
  <sheetFormatPr defaultColWidth="9" defaultRowHeight="12" custom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234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256</v>
      </c>
    </row>
    <row r="8" spans="1:17" ht="18" customHeight="1">
      <c r="C8" s="84" t="s">
        <v>238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/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0</v>
      </c>
      <c r="G11" s="288">
        <v>0</v>
      </c>
      <c r="H11" s="289">
        <v>0</v>
      </c>
      <c r="I11" s="290"/>
      <c r="J11" s="288">
        <v>7</v>
      </c>
      <c r="K11" s="288">
        <v>58</v>
      </c>
      <c r="L11" s="287">
        <v>21</v>
      </c>
      <c r="M11" s="288">
        <v>15</v>
      </c>
      <c r="N11" s="288">
        <v>0</v>
      </c>
      <c r="O11" s="287">
        <v>101</v>
      </c>
      <c r="P11" s="291">
        <v>101</v>
      </c>
    </row>
    <row r="12" spans="1:17" ht="18" customHeight="1">
      <c r="C12" s="292"/>
      <c r="D12" s="293" t="s">
        <v>241</v>
      </c>
      <c r="E12" s="294"/>
      <c r="F12" s="295">
        <v>0</v>
      </c>
      <c r="G12" s="296">
        <v>0</v>
      </c>
      <c r="H12" s="297">
        <v>0</v>
      </c>
      <c r="I12" s="298"/>
      <c r="J12" s="296">
        <v>0</v>
      </c>
      <c r="K12" s="295">
        <v>36</v>
      </c>
      <c r="L12" s="295">
        <v>0</v>
      </c>
      <c r="M12" s="295">
        <v>0</v>
      </c>
      <c r="N12" s="296">
        <v>0</v>
      </c>
      <c r="O12" s="295">
        <v>36</v>
      </c>
      <c r="P12" s="299">
        <v>36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0</v>
      </c>
      <c r="K13" s="302">
        <v>12</v>
      </c>
      <c r="L13" s="302">
        <v>0</v>
      </c>
      <c r="M13" s="302">
        <v>0</v>
      </c>
      <c r="N13" s="303">
        <v>0</v>
      </c>
      <c r="O13" s="295">
        <v>12</v>
      </c>
      <c r="P13" s="299">
        <v>12</v>
      </c>
    </row>
    <row r="14" spans="1:17" ht="18" customHeight="1">
      <c r="C14" s="292"/>
      <c r="D14" s="300"/>
      <c r="E14" s="301" t="s">
        <v>181</v>
      </c>
      <c r="F14" s="302">
        <v>0</v>
      </c>
      <c r="G14" s="303">
        <v>0</v>
      </c>
      <c r="H14" s="297">
        <v>0</v>
      </c>
      <c r="I14" s="304"/>
      <c r="J14" s="303">
        <v>0</v>
      </c>
      <c r="K14" s="302">
        <v>0</v>
      </c>
      <c r="L14" s="302">
        <v>0</v>
      </c>
      <c r="M14" s="302">
        <v>0</v>
      </c>
      <c r="N14" s="303">
        <v>0</v>
      </c>
      <c r="O14" s="370">
        <v>0</v>
      </c>
      <c r="P14" s="299">
        <v>0</v>
      </c>
    </row>
    <row r="15" spans="1:17" ht="18" customHeight="1">
      <c r="C15" s="292"/>
      <c r="D15" s="300"/>
      <c r="E15" s="301" t="s">
        <v>182</v>
      </c>
      <c r="F15" s="302">
        <v>0</v>
      </c>
      <c r="G15" s="303">
        <v>0</v>
      </c>
      <c r="H15" s="297">
        <v>0</v>
      </c>
      <c r="I15" s="304"/>
      <c r="J15" s="303">
        <v>0</v>
      </c>
      <c r="K15" s="302">
        <v>12</v>
      </c>
      <c r="L15" s="302">
        <v>0</v>
      </c>
      <c r="M15" s="302">
        <v>0</v>
      </c>
      <c r="N15" s="303">
        <v>0</v>
      </c>
      <c r="O15" s="295">
        <v>12</v>
      </c>
      <c r="P15" s="299">
        <v>12</v>
      </c>
    </row>
    <row r="16" spans="1:17" ht="18" customHeight="1">
      <c r="C16" s="292"/>
      <c r="D16" s="300"/>
      <c r="E16" s="301" t="s">
        <v>183</v>
      </c>
      <c r="F16" s="302">
        <v>0</v>
      </c>
      <c r="G16" s="303">
        <v>0</v>
      </c>
      <c r="H16" s="297">
        <v>0</v>
      </c>
      <c r="I16" s="304"/>
      <c r="J16" s="303">
        <v>0</v>
      </c>
      <c r="K16" s="302">
        <v>12</v>
      </c>
      <c r="L16" s="302">
        <v>0</v>
      </c>
      <c r="M16" s="302">
        <v>0</v>
      </c>
      <c r="N16" s="303">
        <v>0</v>
      </c>
      <c r="O16" s="295">
        <v>12</v>
      </c>
      <c r="P16" s="299">
        <v>12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0</v>
      </c>
      <c r="K17" s="302">
        <v>0</v>
      </c>
      <c r="L17" s="302">
        <v>0</v>
      </c>
      <c r="M17" s="302">
        <v>0</v>
      </c>
      <c r="N17" s="303">
        <v>0</v>
      </c>
      <c r="O17" s="295">
        <v>0</v>
      </c>
      <c r="P17" s="299">
        <v>0</v>
      </c>
    </row>
    <row r="18" spans="1:17" ht="18" customHeight="1">
      <c r="C18" s="292"/>
      <c r="D18" s="293" t="s">
        <v>242</v>
      </c>
      <c r="E18" s="305"/>
      <c r="F18" s="295">
        <v>0</v>
      </c>
      <c r="G18" s="296">
        <v>0</v>
      </c>
      <c r="H18" s="297">
        <v>0</v>
      </c>
      <c r="I18" s="298"/>
      <c r="J18" s="296">
        <v>7</v>
      </c>
      <c r="K18" s="295">
        <v>13</v>
      </c>
      <c r="L18" s="295">
        <v>11</v>
      </c>
      <c r="M18" s="295">
        <v>10</v>
      </c>
      <c r="N18" s="296">
        <v>0</v>
      </c>
      <c r="O18" s="295">
        <v>41</v>
      </c>
      <c r="P18" s="299">
        <v>41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2</v>
      </c>
      <c r="K19" s="302">
        <v>0</v>
      </c>
      <c r="L19" s="302">
        <v>9</v>
      </c>
      <c r="M19" s="302">
        <v>5</v>
      </c>
      <c r="N19" s="303">
        <v>0</v>
      </c>
      <c r="O19" s="295">
        <v>16</v>
      </c>
      <c r="P19" s="299">
        <v>16</v>
      </c>
    </row>
    <row r="20" spans="1:17" ht="18" customHeight="1">
      <c r="C20" s="292"/>
      <c r="D20" s="300"/>
      <c r="E20" s="306" t="s">
        <v>186</v>
      </c>
      <c r="F20" s="302">
        <v>0</v>
      </c>
      <c r="G20" s="303">
        <v>0</v>
      </c>
      <c r="H20" s="371">
        <v>0</v>
      </c>
      <c r="I20" s="304"/>
      <c r="J20" s="303">
        <v>5</v>
      </c>
      <c r="K20" s="302">
        <v>13</v>
      </c>
      <c r="L20" s="302">
        <v>2</v>
      </c>
      <c r="M20" s="302">
        <v>5</v>
      </c>
      <c r="N20" s="303">
        <v>0</v>
      </c>
      <c r="O20" s="295">
        <v>25</v>
      </c>
      <c r="P20" s="299">
        <v>25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0</v>
      </c>
      <c r="H21" s="297">
        <v>0</v>
      </c>
      <c r="I21" s="298"/>
      <c r="J21" s="296">
        <v>0</v>
      </c>
      <c r="K21" s="295">
        <v>0</v>
      </c>
      <c r="L21" s="295">
        <v>0</v>
      </c>
      <c r="M21" s="295">
        <v>0</v>
      </c>
      <c r="N21" s="296">
        <v>0</v>
      </c>
      <c r="O21" s="295">
        <v>0</v>
      </c>
      <c r="P21" s="299">
        <v>0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0</v>
      </c>
      <c r="H22" s="297">
        <v>0</v>
      </c>
      <c r="I22" s="304"/>
      <c r="J22" s="303">
        <v>0</v>
      </c>
      <c r="K22" s="302">
        <v>0</v>
      </c>
      <c r="L22" s="302">
        <v>0</v>
      </c>
      <c r="M22" s="302">
        <v>0</v>
      </c>
      <c r="N22" s="303">
        <v>0</v>
      </c>
      <c r="O22" s="295">
        <v>0</v>
      </c>
      <c r="P22" s="299">
        <v>0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0</v>
      </c>
      <c r="H23" s="297">
        <v>0</v>
      </c>
      <c r="I23" s="304"/>
      <c r="J23" s="303">
        <v>0</v>
      </c>
      <c r="K23" s="302">
        <v>0</v>
      </c>
      <c r="L23" s="302">
        <v>0</v>
      </c>
      <c r="M23" s="302">
        <v>0</v>
      </c>
      <c r="N23" s="303">
        <v>0</v>
      </c>
      <c r="O23" s="370">
        <v>0</v>
      </c>
      <c r="P23" s="299">
        <v>0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0</v>
      </c>
      <c r="G26" s="296">
        <v>0</v>
      </c>
      <c r="H26" s="297">
        <v>0</v>
      </c>
      <c r="I26" s="298"/>
      <c r="J26" s="296">
        <v>0</v>
      </c>
      <c r="K26" s="295">
        <v>9</v>
      </c>
      <c r="L26" s="295">
        <v>10</v>
      </c>
      <c r="M26" s="295">
        <v>5</v>
      </c>
      <c r="N26" s="296">
        <v>0</v>
      </c>
      <c r="O26" s="295">
        <v>24</v>
      </c>
      <c r="P26" s="299">
        <v>24</v>
      </c>
    </row>
    <row r="27" spans="1:17" ht="18" customHeight="1">
      <c r="C27" s="292"/>
      <c r="D27" s="300"/>
      <c r="E27" s="308" t="s">
        <v>191</v>
      </c>
      <c r="F27" s="309">
        <v>0</v>
      </c>
      <c r="G27" s="310">
        <v>0</v>
      </c>
      <c r="H27" s="371">
        <v>0</v>
      </c>
      <c r="I27" s="304"/>
      <c r="J27" s="310">
        <v>0</v>
      </c>
      <c r="K27" s="309">
        <v>6</v>
      </c>
      <c r="L27" s="309">
        <v>10</v>
      </c>
      <c r="M27" s="309">
        <v>5</v>
      </c>
      <c r="N27" s="310">
        <v>0</v>
      </c>
      <c r="O27" s="295">
        <v>21</v>
      </c>
      <c r="P27" s="299">
        <v>21</v>
      </c>
    </row>
    <row r="28" spans="1:17" ht="18" customHeight="1">
      <c r="C28" s="292"/>
      <c r="D28" s="311"/>
      <c r="E28" s="306" t="s">
        <v>245</v>
      </c>
      <c r="F28" s="312">
        <v>0</v>
      </c>
      <c r="G28" s="313">
        <v>0</v>
      </c>
      <c r="H28" s="297">
        <v>0</v>
      </c>
      <c r="I28" s="314"/>
      <c r="J28" s="313">
        <v>0</v>
      </c>
      <c r="K28" s="312">
        <v>3</v>
      </c>
      <c r="L28" s="312">
        <v>0</v>
      </c>
      <c r="M28" s="312">
        <v>0</v>
      </c>
      <c r="N28" s="313">
        <v>0</v>
      </c>
      <c r="O28" s="295">
        <v>3</v>
      </c>
      <c r="P28" s="299">
        <v>3</v>
      </c>
    </row>
    <row r="29" spans="1:17" ht="18" customHeight="1">
      <c r="C29" s="292"/>
      <c r="D29" s="315"/>
      <c r="E29" s="301" t="s">
        <v>246</v>
      </c>
      <c r="F29" s="316">
        <v>0</v>
      </c>
      <c r="G29" s="317">
        <v>0</v>
      </c>
      <c r="H29" s="297">
        <v>0</v>
      </c>
      <c r="I29" s="314"/>
      <c r="J29" s="317">
        <v>0</v>
      </c>
      <c r="K29" s="316">
        <v>0</v>
      </c>
      <c r="L29" s="316">
        <v>0</v>
      </c>
      <c r="M29" s="316">
        <v>0</v>
      </c>
      <c r="N29" s="317">
        <v>0</v>
      </c>
      <c r="O29" s="295">
        <v>0</v>
      </c>
      <c r="P29" s="299">
        <v>0</v>
      </c>
    </row>
    <row r="30" spans="1:17" ht="18" customHeight="1">
      <c r="A30" s="318"/>
      <c r="B30" s="318"/>
      <c r="C30" s="292"/>
      <c r="D30" s="300" t="s">
        <v>192</v>
      </c>
      <c r="E30" s="319"/>
      <c r="F30" s="302">
        <v>0</v>
      </c>
      <c r="G30" s="303">
        <v>0</v>
      </c>
      <c r="H30" s="297">
        <v>0</v>
      </c>
      <c r="I30" s="320"/>
      <c r="J30" s="303">
        <v>0</v>
      </c>
      <c r="K30" s="302">
        <v>0</v>
      </c>
      <c r="L30" s="302">
        <v>0</v>
      </c>
      <c r="M30" s="302">
        <v>0</v>
      </c>
      <c r="N30" s="303">
        <v>0</v>
      </c>
      <c r="O30" s="295">
        <v>0</v>
      </c>
      <c r="P30" s="299">
        <v>0</v>
      </c>
      <c r="Q30" s="8"/>
    </row>
    <row r="31" spans="1:17" ht="18" customHeight="1">
      <c r="A31" s="318"/>
      <c r="B31" s="318"/>
      <c r="C31" s="292"/>
      <c r="D31" s="293" t="s">
        <v>193</v>
      </c>
      <c r="E31" s="319"/>
      <c r="F31" s="302">
        <v>0</v>
      </c>
      <c r="G31" s="303">
        <v>0</v>
      </c>
      <c r="H31" s="297">
        <v>0</v>
      </c>
      <c r="I31" s="320"/>
      <c r="J31" s="303">
        <v>0</v>
      </c>
      <c r="K31" s="302">
        <v>0</v>
      </c>
      <c r="L31" s="302">
        <v>0</v>
      </c>
      <c r="M31" s="302">
        <v>0</v>
      </c>
      <c r="N31" s="303">
        <v>0</v>
      </c>
      <c r="O31" s="295">
        <v>0</v>
      </c>
      <c r="P31" s="299">
        <v>0</v>
      </c>
      <c r="Q31" s="8"/>
    </row>
    <row r="32" spans="1:17" ht="18" customHeight="1">
      <c r="A32" s="318"/>
      <c r="B32" s="318"/>
      <c r="C32" s="321" t="s">
        <v>194</v>
      </c>
      <c r="D32" s="372"/>
      <c r="E32" s="372"/>
      <c r="F32" s="373"/>
      <c r="G32" s="373"/>
      <c r="H32" s="374"/>
      <c r="I32" s="375"/>
      <c r="J32" s="373"/>
      <c r="K32" s="373"/>
      <c r="L32" s="373"/>
      <c r="M32" s="373"/>
      <c r="N32" s="373"/>
      <c r="O32" s="374"/>
      <c r="P32" s="376"/>
      <c r="Q32" s="8"/>
    </row>
    <row r="33" spans="1:17" ht="18" customHeight="1">
      <c r="A33" s="318"/>
      <c r="B33" s="318"/>
      <c r="C33" s="285" t="s">
        <v>247</v>
      </c>
      <c r="D33" s="325"/>
      <c r="E33" s="326"/>
      <c r="F33" s="287">
        <v>0</v>
      </c>
      <c r="G33" s="288">
        <v>0</v>
      </c>
      <c r="H33" s="289">
        <v>0</v>
      </c>
      <c r="I33" s="327"/>
      <c r="J33" s="288">
        <v>0</v>
      </c>
      <c r="K33" s="287">
        <v>0</v>
      </c>
      <c r="L33" s="287">
        <v>0</v>
      </c>
      <c r="M33" s="287">
        <v>0</v>
      </c>
      <c r="N33" s="288">
        <v>0</v>
      </c>
      <c r="O33" s="287">
        <v>0</v>
      </c>
      <c r="P33" s="291">
        <v>0</v>
      </c>
      <c r="Q33" s="8"/>
    </row>
    <row r="34" spans="1:17" ht="18" customHeight="1">
      <c r="A34" s="318"/>
      <c r="B34" s="318"/>
      <c r="C34" s="328"/>
      <c r="D34" s="798" t="s">
        <v>211</v>
      </c>
      <c r="E34" s="799"/>
      <c r="F34" s="329">
        <v>0</v>
      </c>
      <c r="G34" s="330">
        <v>0</v>
      </c>
      <c r="H34" s="331">
        <v>0</v>
      </c>
      <c r="I34" s="320"/>
      <c r="J34" s="330">
        <v>0</v>
      </c>
      <c r="K34" s="329">
        <v>0</v>
      </c>
      <c r="L34" s="329">
        <v>0</v>
      </c>
      <c r="M34" s="329">
        <v>0</v>
      </c>
      <c r="N34" s="330">
        <v>0</v>
      </c>
      <c r="O34" s="332">
        <v>0</v>
      </c>
      <c r="P34" s="333">
        <v>0</v>
      </c>
      <c r="Q34" s="8"/>
    </row>
    <row r="35" spans="1:17" ht="18" customHeight="1">
      <c r="A35" s="318"/>
      <c r="B35" s="318"/>
      <c r="C35" s="292"/>
      <c r="D35" s="307" t="s">
        <v>212</v>
      </c>
      <c r="E35" s="319"/>
      <c r="F35" s="329">
        <v>0</v>
      </c>
      <c r="G35" s="330">
        <v>0</v>
      </c>
      <c r="H35" s="297">
        <v>0</v>
      </c>
      <c r="I35" s="320"/>
      <c r="J35" s="303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07" t="s">
        <v>213</v>
      </c>
      <c r="E36" s="319"/>
      <c r="F36" s="302">
        <v>0</v>
      </c>
      <c r="G36" s="303">
        <v>0</v>
      </c>
      <c r="H36" s="297">
        <v>0</v>
      </c>
      <c r="I36" s="320"/>
      <c r="J36" s="303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214</v>
      </c>
      <c r="E37" s="305"/>
      <c r="F37" s="302">
        <v>0</v>
      </c>
      <c r="G37" s="303">
        <v>0</v>
      </c>
      <c r="H37" s="297">
        <v>0</v>
      </c>
      <c r="I37" s="320"/>
      <c r="J37" s="303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215</v>
      </c>
      <c r="E38" s="305"/>
      <c r="F38" s="302">
        <v>0</v>
      </c>
      <c r="G38" s="303">
        <v>0</v>
      </c>
      <c r="H38" s="297">
        <v>0</v>
      </c>
      <c r="I38" s="320"/>
      <c r="J38" s="303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216</v>
      </c>
      <c r="E39" s="305"/>
      <c r="F39" s="302">
        <v>0</v>
      </c>
      <c r="G39" s="303">
        <v>0</v>
      </c>
      <c r="H39" s="297">
        <v>0</v>
      </c>
      <c r="I39" s="320"/>
      <c r="J39" s="303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334" t="s">
        <v>217</v>
      </c>
      <c r="E40" s="305"/>
      <c r="F40" s="330">
        <v>0</v>
      </c>
      <c r="G40" s="303">
        <v>0</v>
      </c>
      <c r="H40" s="297">
        <v>0</v>
      </c>
      <c r="I40" s="320"/>
      <c r="J40" s="303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334" t="s">
        <v>218</v>
      </c>
      <c r="E41" s="305"/>
      <c r="F41" s="330">
        <v>0</v>
      </c>
      <c r="G41" s="303">
        <v>0</v>
      </c>
      <c r="H41" s="297">
        <v>0</v>
      </c>
      <c r="I41" s="320"/>
      <c r="J41" s="303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219</v>
      </c>
      <c r="E42" s="800"/>
      <c r="F42" s="329">
        <v>0</v>
      </c>
      <c r="G42" s="330">
        <v>0</v>
      </c>
      <c r="H42" s="297">
        <v>0</v>
      </c>
      <c r="I42" s="320"/>
      <c r="J42" s="303">
        <v>0</v>
      </c>
      <c r="K42" s="302">
        <v>0</v>
      </c>
      <c r="L42" s="302">
        <v>0</v>
      </c>
      <c r="M42" s="302">
        <v>0</v>
      </c>
      <c r="N42" s="303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292"/>
      <c r="D43" s="798" t="s">
        <v>220</v>
      </c>
      <c r="E43" s="800"/>
      <c r="F43" s="329">
        <v>0</v>
      </c>
      <c r="G43" s="330">
        <v>0</v>
      </c>
      <c r="H43" s="297">
        <v>0</v>
      </c>
      <c r="I43" s="320"/>
      <c r="J43" s="303">
        <v>0</v>
      </c>
      <c r="K43" s="302">
        <v>0</v>
      </c>
      <c r="L43" s="302">
        <v>0</v>
      </c>
      <c r="M43" s="302">
        <v>0</v>
      </c>
      <c r="N43" s="303">
        <v>0</v>
      </c>
      <c r="O43" s="295">
        <v>0</v>
      </c>
      <c r="P43" s="299">
        <v>0</v>
      </c>
      <c r="Q43" s="8"/>
    </row>
    <row r="44" spans="1:17" ht="18" customHeight="1">
      <c r="A44" s="318"/>
      <c r="B44" s="318"/>
      <c r="C44" s="328"/>
      <c r="D44" s="798" t="s">
        <v>221</v>
      </c>
      <c r="E44" s="799"/>
      <c r="F44" s="329">
        <v>0</v>
      </c>
      <c r="G44" s="330">
        <v>0</v>
      </c>
      <c r="H44" s="331">
        <v>0</v>
      </c>
      <c r="I44" s="320"/>
      <c r="J44" s="330">
        <v>0</v>
      </c>
      <c r="K44" s="329">
        <v>0</v>
      </c>
      <c r="L44" s="329">
        <v>0</v>
      </c>
      <c r="M44" s="329">
        <v>0</v>
      </c>
      <c r="N44" s="330">
        <v>0</v>
      </c>
      <c r="O44" s="332">
        <v>0</v>
      </c>
      <c r="P44" s="333">
        <v>0</v>
      </c>
      <c r="Q44" s="8"/>
    </row>
    <row r="45" spans="1:17" ht="18" customHeight="1">
      <c r="A45" s="318"/>
      <c r="B45" s="318"/>
      <c r="C45" s="367"/>
      <c r="D45" s="811" t="s">
        <v>248</v>
      </c>
      <c r="E45" s="799"/>
      <c r="F45" s="329">
        <v>0</v>
      </c>
      <c r="G45" s="330">
        <v>0</v>
      </c>
      <c r="H45" s="297">
        <v>0</v>
      </c>
      <c r="I45" s="336"/>
      <c r="J45" s="330">
        <v>0</v>
      </c>
      <c r="K45" s="329">
        <v>0</v>
      </c>
      <c r="L45" s="329">
        <v>0</v>
      </c>
      <c r="M45" s="329">
        <v>0</v>
      </c>
      <c r="N45" s="330">
        <v>0</v>
      </c>
      <c r="O45" s="332">
        <v>0</v>
      </c>
      <c r="P45" s="333">
        <v>0</v>
      </c>
      <c r="Q45" s="8"/>
    </row>
    <row r="46" spans="1:17" ht="18" customHeight="1">
      <c r="A46" s="318"/>
      <c r="B46" s="318"/>
      <c r="C46" s="337"/>
      <c r="D46" s="806" t="s">
        <v>257</v>
      </c>
      <c r="E46" s="810"/>
      <c r="F46" s="136">
        <v>0</v>
      </c>
      <c r="G46" s="109">
        <v>0</v>
      </c>
      <c r="H46" s="297">
        <v>0</v>
      </c>
      <c r="I46" s="363"/>
      <c r="J46" s="109">
        <v>0</v>
      </c>
      <c r="K46" s="136">
        <v>0</v>
      </c>
      <c r="L46" s="136">
        <v>0</v>
      </c>
      <c r="M46" s="136">
        <v>0</v>
      </c>
      <c r="N46" s="109">
        <v>0</v>
      </c>
      <c r="O46" s="145">
        <v>0</v>
      </c>
      <c r="P46" s="365">
        <v>0</v>
      </c>
      <c r="Q46" s="8"/>
    </row>
    <row r="47" spans="1:17" ht="18" customHeight="1">
      <c r="A47" s="318"/>
      <c r="B47" s="318"/>
      <c r="C47" s="292" t="s">
        <v>250</v>
      </c>
      <c r="D47" s="294"/>
      <c r="E47" s="294"/>
      <c r="F47" s="288">
        <v>0</v>
      </c>
      <c r="G47" s="288">
        <v>0</v>
      </c>
      <c r="H47" s="289">
        <v>0</v>
      </c>
      <c r="I47" s="327"/>
      <c r="J47" s="288">
        <v>0</v>
      </c>
      <c r="K47" s="287">
        <v>0</v>
      </c>
      <c r="L47" s="287">
        <v>0</v>
      </c>
      <c r="M47" s="287">
        <v>5</v>
      </c>
      <c r="N47" s="288">
        <v>0</v>
      </c>
      <c r="O47" s="287">
        <v>5</v>
      </c>
      <c r="P47" s="291">
        <v>5</v>
      </c>
      <c r="Q47" s="8"/>
    </row>
    <row r="48" spans="1:17" ht="18" customHeight="1">
      <c r="A48" s="318"/>
      <c r="B48" s="318"/>
      <c r="C48" s="292"/>
      <c r="D48" s="342" t="s">
        <v>113</v>
      </c>
      <c r="E48" s="342"/>
      <c r="F48" s="303">
        <v>0</v>
      </c>
      <c r="G48" s="303">
        <v>0</v>
      </c>
      <c r="H48" s="297">
        <v>0</v>
      </c>
      <c r="I48" s="320"/>
      <c r="J48" s="303">
        <v>0</v>
      </c>
      <c r="K48" s="302">
        <v>0</v>
      </c>
      <c r="L48" s="302">
        <v>0</v>
      </c>
      <c r="M48" s="302">
        <v>0</v>
      </c>
      <c r="N48" s="303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2" t="s">
        <v>114</v>
      </c>
      <c r="E49" s="342"/>
      <c r="F49" s="302">
        <v>0</v>
      </c>
      <c r="G49" s="303">
        <v>0</v>
      </c>
      <c r="H49" s="297">
        <v>0</v>
      </c>
      <c r="I49" s="320"/>
      <c r="J49" s="303">
        <v>0</v>
      </c>
      <c r="K49" s="302">
        <v>0</v>
      </c>
      <c r="L49" s="302">
        <v>0</v>
      </c>
      <c r="M49" s="302">
        <v>5</v>
      </c>
      <c r="N49" s="303">
        <v>0</v>
      </c>
      <c r="O49" s="295">
        <v>5</v>
      </c>
      <c r="P49" s="299">
        <v>5</v>
      </c>
      <c r="Q49" s="8"/>
    </row>
    <row r="50" spans="1:17" ht="18" customHeight="1">
      <c r="A50" s="318"/>
      <c r="B50" s="318"/>
      <c r="C50" s="292"/>
      <c r="D50" s="343" t="s">
        <v>176</v>
      </c>
      <c r="E50" s="343"/>
      <c r="F50" s="329">
        <v>0</v>
      </c>
      <c r="G50" s="330">
        <v>0</v>
      </c>
      <c r="H50" s="297">
        <v>0</v>
      </c>
      <c r="I50" s="320"/>
      <c r="J50" s="330">
        <v>0</v>
      </c>
      <c r="K50" s="329">
        <v>0</v>
      </c>
      <c r="L50" s="329">
        <v>0</v>
      </c>
      <c r="M50" s="329">
        <v>0</v>
      </c>
      <c r="N50" s="330">
        <v>0</v>
      </c>
      <c r="O50" s="295">
        <v>0</v>
      </c>
      <c r="P50" s="299">
        <v>0</v>
      </c>
      <c r="Q50" s="8"/>
    </row>
    <row r="51" spans="1:17" ht="18" customHeight="1">
      <c r="A51" s="318"/>
      <c r="B51" s="318"/>
      <c r="C51" s="292"/>
      <c r="D51" s="344" t="s">
        <v>251</v>
      </c>
      <c r="E51" s="344"/>
      <c r="F51" s="338">
        <v>0</v>
      </c>
      <c r="G51" s="339">
        <v>0</v>
      </c>
      <c r="H51" s="345">
        <v>0</v>
      </c>
      <c r="I51" s="320"/>
      <c r="J51" s="339">
        <v>0</v>
      </c>
      <c r="K51" s="338">
        <v>0</v>
      </c>
      <c r="L51" s="338">
        <v>0</v>
      </c>
      <c r="M51" s="338">
        <v>0</v>
      </c>
      <c r="N51" s="339">
        <v>0</v>
      </c>
      <c r="O51" s="340">
        <v>0</v>
      </c>
      <c r="P51" s="341">
        <v>0</v>
      </c>
      <c r="Q51" s="8"/>
    </row>
    <row r="52" spans="1:17" ht="18" customHeight="1">
      <c r="A52" s="318"/>
      <c r="B52" s="318"/>
      <c r="C52" s="801" t="s">
        <v>252</v>
      </c>
      <c r="D52" s="802"/>
      <c r="E52" s="803"/>
      <c r="F52" s="346">
        <v>0</v>
      </c>
      <c r="G52" s="346">
        <v>0</v>
      </c>
      <c r="H52" s="178">
        <v>0</v>
      </c>
      <c r="I52" s="347"/>
      <c r="J52" s="346">
        <v>7</v>
      </c>
      <c r="K52" s="346">
        <v>58</v>
      </c>
      <c r="L52" s="346">
        <v>21</v>
      </c>
      <c r="M52" s="346">
        <v>20</v>
      </c>
      <c r="N52" s="346">
        <v>0</v>
      </c>
      <c r="O52" s="346">
        <v>106</v>
      </c>
      <c r="P52" s="171">
        <v>106</v>
      </c>
      <c r="Q52" s="8"/>
    </row>
    <row r="53" spans="1:17" ht="12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8"/>
    </row>
  </sheetData>
  <mergeCells count="10">
    <mergeCell ref="D44:E44"/>
    <mergeCell ref="D42:E42"/>
    <mergeCell ref="C52:E52"/>
    <mergeCell ref="D46:E46"/>
    <mergeCell ref="D45:E45"/>
    <mergeCell ref="A3:Q3"/>
    <mergeCell ref="A4:Q4"/>
    <mergeCell ref="C10:E10"/>
    <mergeCell ref="D34:E34"/>
    <mergeCell ref="D43:E43"/>
  </mergeCells>
  <phoneticPr fontId="35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ECBCA"/>
  </sheetPr>
  <dimension ref="A1:Q51"/>
  <sheetViews>
    <sheetView showGridLines="0" workbookViewId="0"/>
  </sheetViews>
  <sheetFormatPr defaultColWidth="9" defaultRowHeight="12" custom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234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256</v>
      </c>
    </row>
    <row r="8" spans="1:17" ht="18" customHeight="1">
      <c r="C8" s="84" t="s">
        <v>253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 t="s">
        <v>239</v>
      </c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0</v>
      </c>
      <c r="G11" s="287">
        <v>0</v>
      </c>
      <c r="H11" s="289">
        <v>0</v>
      </c>
      <c r="I11" s="290"/>
      <c r="J11" s="287">
        <v>44752</v>
      </c>
      <c r="K11" s="287">
        <v>241751</v>
      </c>
      <c r="L11" s="287">
        <v>140990</v>
      </c>
      <c r="M11" s="287">
        <v>117438</v>
      </c>
      <c r="N11" s="287">
        <v>0</v>
      </c>
      <c r="O11" s="287">
        <v>544931</v>
      </c>
      <c r="P11" s="291">
        <v>544931</v>
      </c>
    </row>
    <row r="12" spans="1:17" ht="18" customHeight="1">
      <c r="C12" s="292"/>
      <c r="D12" s="293" t="s">
        <v>241</v>
      </c>
      <c r="E12" s="294"/>
      <c r="F12" s="295">
        <v>0</v>
      </c>
      <c r="G12" s="296">
        <v>0</v>
      </c>
      <c r="H12" s="297">
        <v>0</v>
      </c>
      <c r="I12" s="298"/>
      <c r="J12" s="296">
        <v>0</v>
      </c>
      <c r="K12" s="295">
        <v>177061</v>
      </c>
      <c r="L12" s="295">
        <v>0</v>
      </c>
      <c r="M12" s="295">
        <v>0</v>
      </c>
      <c r="N12" s="296">
        <v>0</v>
      </c>
      <c r="O12" s="295">
        <v>177061</v>
      </c>
      <c r="P12" s="299">
        <v>177061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0</v>
      </c>
      <c r="K13" s="302">
        <v>17421</v>
      </c>
      <c r="L13" s="302">
        <v>0</v>
      </c>
      <c r="M13" s="302">
        <v>0</v>
      </c>
      <c r="N13" s="303">
        <v>0</v>
      </c>
      <c r="O13" s="295">
        <v>17421</v>
      </c>
      <c r="P13" s="299">
        <v>17421</v>
      </c>
    </row>
    <row r="14" spans="1:17" ht="18" customHeight="1">
      <c r="C14" s="292"/>
      <c r="D14" s="300"/>
      <c r="E14" s="301" t="s">
        <v>181</v>
      </c>
      <c r="F14" s="302">
        <v>0</v>
      </c>
      <c r="G14" s="303">
        <v>0</v>
      </c>
      <c r="H14" s="297">
        <v>0</v>
      </c>
      <c r="I14" s="304"/>
      <c r="J14" s="303">
        <v>0</v>
      </c>
      <c r="K14" s="302">
        <v>0</v>
      </c>
      <c r="L14" s="302">
        <v>0</v>
      </c>
      <c r="M14" s="302">
        <v>0</v>
      </c>
      <c r="N14" s="303">
        <v>0</v>
      </c>
      <c r="O14" s="370">
        <v>0</v>
      </c>
      <c r="P14" s="299">
        <v>0</v>
      </c>
    </row>
    <row r="15" spans="1:17" ht="18" customHeight="1">
      <c r="C15" s="292"/>
      <c r="D15" s="300"/>
      <c r="E15" s="301" t="s">
        <v>182</v>
      </c>
      <c r="F15" s="302">
        <v>0</v>
      </c>
      <c r="G15" s="303">
        <v>0</v>
      </c>
      <c r="H15" s="297">
        <v>0</v>
      </c>
      <c r="I15" s="304"/>
      <c r="J15" s="303">
        <v>0</v>
      </c>
      <c r="K15" s="302">
        <v>74611</v>
      </c>
      <c r="L15" s="302">
        <v>0</v>
      </c>
      <c r="M15" s="302">
        <v>0</v>
      </c>
      <c r="N15" s="303">
        <v>0</v>
      </c>
      <c r="O15" s="295">
        <v>74611</v>
      </c>
      <c r="P15" s="299">
        <v>74611</v>
      </c>
    </row>
    <row r="16" spans="1:17" ht="18" customHeight="1">
      <c r="C16" s="292"/>
      <c r="D16" s="300"/>
      <c r="E16" s="301" t="s">
        <v>183</v>
      </c>
      <c r="F16" s="302">
        <v>0</v>
      </c>
      <c r="G16" s="303">
        <v>0</v>
      </c>
      <c r="H16" s="297">
        <v>0</v>
      </c>
      <c r="I16" s="304"/>
      <c r="J16" s="303">
        <v>0</v>
      </c>
      <c r="K16" s="302">
        <v>85029</v>
      </c>
      <c r="L16" s="302">
        <v>0</v>
      </c>
      <c r="M16" s="302">
        <v>0</v>
      </c>
      <c r="N16" s="303">
        <v>0</v>
      </c>
      <c r="O16" s="295">
        <v>85029</v>
      </c>
      <c r="P16" s="299">
        <v>85029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0</v>
      </c>
      <c r="K17" s="302">
        <v>0</v>
      </c>
      <c r="L17" s="302">
        <v>0</v>
      </c>
      <c r="M17" s="302">
        <v>0</v>
      </c>
      <c r="N17" s="303">
        <v>0</v>
      </c>
      <c r="O17" s="295">
        <v>0</v>
      </c>
      <c r="P17" s="299">
        <v>0</v>
      </c>
    </row>
    <row r="18" spans="1:17" ht="18" customHeight="1">
      <c r="C18" s="292"/>
      <c r="D18" s="293" t="s">
        <v>242</v>
      </c>
      <c r="E18" s="305"/>
      <c r="F18" s="295">
        <v>0</v>
      </c>
      <c r="G18" s="296">
        <v>0</v>
      </c>
      <c r="H18" s="297">
        <v>0</v>
      </c>
      <c r="I18" s="298"/>
      <c r="J18" s="296">
        <v>44752</v>
      </c>
      <c r="K18" s="295">
        <v>62170</v>
      </c>
      <c r="L18" s="295">
        <v>128951</v>
      </c>
      <c r="M18" s="295">
        <v>102923</v>
      </c>
      <c r="N18" s="296">
        <v>0</v>
      </c>
      <c r="O18" s="295">
        <v>338796</v>
      </c>
      <c r="P18" s="299">
        <v>338796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8868</v>
      </c>
      <c r="K19" s="302">
        <v>0</v>
      </c>
      <c r="L19" s="302">
        <v>118718</v>
      </c>
      <c r="M19" s="302">
        <v>73948</v>
      </c>
      <c r="N19" s="303">
        <v>0</v>
      </c>
      <c r="O19" s="295">
        <v>201534</v>
      </c>
      <c r="P19" s="299">
        <v>201534</v>
      </c>
    </row>
    <row r="20" spans="1:17" ht="18" customHeight="1">
      <c r="C20" s="292"/>
      <c r="D20" s="300"/>
      <c r="E20" s="306" t="s">
        <v>186</v>
      </c>
      <c r="F20" s="302">
        <v>0</v>
      </c>
      <c r="G20" s="303">
        <v>0</v>
      </c>
      <c r="H20" s="371">
        <v>0</v>
      </c>
      <c r="I20" s="304"/>
      <c r="J20" s="303">
        <v>35884</v>
      </c>
      <c r="K20" s="302">
        <v>62170</v>
      </c>
      <c r="L20" s="302">
        <v>10233</v>
      </c>
      <c r="M20" s="302">
        <v>28975</v>
      </c>
      <c r="N20" s="303">
        <v>0</v>
      </c>
      <c r="O20" s="295">
        <v>137262</v>
      </c>
      <c r="P20" s="299">
        <v>137262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0</v>
      </c>
      <c r="H21" s="297">
        <v>0</v>
      </c>
      <c r="I21" s="298"/>
      <c r="J21" s="296">
        <v>0</v>
      </c>
      <c r="K21" s="295">
        <v>0</v>
      </c>
      <c r="L21" s="295">
        <v>0</v>
      </c>
      <c r="M21" s="295">
        <v>0</v>
      </c>
      <c r="N21" s="296">
        <v>0</v>
      </c>
      <c r="O21" s="295">
        <v>0</v>
      </c>
      <c r="P21" s="299">
        <v>0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0</v>
      </c>
      <c r="H22" s="297">
        <v>0</v>
      </c>
      <c r="I22" s="304"/>
      <c r="J22" s="303">
        <v>0</v>
      </c>
      <c r="K22" s="302">
        <v>0</v>
      </c>
      <c r="L22" s="302">
        <v>0</v>
      </c>
      <c r="M22" s="302">
        <v>0</v>
      </c>
      <c r="N22" s="303">
        <v>0</v>
      </c>
      <c r="O22" s="295">
        <v>0</v>
      </c>
      <c r="P22" s="299">
        <v>0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0</v>
      </c>
      <c r="H23" s="297">
        <v>0</v>
      </c>
      <c r="I23" s="304"/>
      <c r="J23" s="303">
        <v>0</v>
      </c>
      <c r="K23" s="302">
        <v>0</v>
      </c>
      <c r="L23" s="302">
        <v>0</v>
      </c>
      <c r="M23" s="302">
        <v>0</v>
      </c>
      <c r="N23" s="303">
        <v>0</v>
      </c>
      <c r="O23" s="370">
        <v>0</v>
      </c>
      <c r="P23" s="299">
        <v>0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0</v>
      </c>
      <c r="G26" s="295">
        <v>0</v>
      </c>
      <c r="H26" s="297">
        <v>0</v>
      </c>
      <c r="I26" s="298"/>
      <c r="J26" s="296">
        <v>0</v>
      </c>
      <c r="K26" s="295">
        <v>2520</v>
      </c>
      <c r="L26" s="295">
        <v>12039</v>
      </c>
      <c r="M26" s="295">
        <v>14515</v>
      </c>
      <c r="N26" s="296">
        <v>0</v>
      </c>
      <c r="O26" s="295">
        <v>29074</v>
      </c>
      <c r="P26" s="299">
        <v>29074</v>
      </c>
    </row>
    <row r="27" spans="1:17" ht="18" customHeight="1">
      <c r="C27" s="292"/>
      <c r="D27" s="300"/>
      <c r="E27" s="301" t="s">
        <v>191</v>
      </c>
      <c r="F27" s="348">
        <v>0</v>
      </c>
      <c r="G27" s="349">
        <v>0</v>
      </c>
      <c r="H27" s="371">
        <v>0</v>
      </c>
      <c r="I27" s="304"/>
      <c r="J27" s="349">
        <v>0</v>
      </c>
      <c r="K27" s="348">
        <v>2520</v>
      </c>
      <c r="L27" s="348">
        <v>12039</v>
      </c>
      <c r="M27" s="348">
        <v>14515</v>
      </c>
      <c r="N27" s="349">
        <v>0</v>
      </c>
      <c r="O27" s="295">
        <v>29074</v>
      </c>
      <c r="P27" s="299">
        <v>29074</v>
      </c>
    </row>
    <row r="28" spans="1:17" ht="18" customHeight="1">
      <c r="A28" s="318"/>
      <c r="B28" s="318"/>
      <c r="C28" s="328"/>
      <c r="D28" s="334" t="s">
        <v>192</v>
      </c>
      <c r="E28" s="305"/>
      <c r="F28" s="330">
        <v>0</v>
      </c>
      <c r="G28" s="330">
        <v>0</v>
      </c>
      <c r="H28" s="331">
        <v>0</v>
      </c>
      <c r="I28" s="320"/>
      <c r="J28" s="330">
        <v>0</v>
      </c>
      <c r="K28" s="329">
        <v>0</v>
      </c>
      <c r="L28" s="329">
        <v>0</v>
      </c>
      <c r="M28" s="329">
        <v>0</v>
      </c>
      <c r="N28" s="330">
        <v>0</v>
      </c>
      <c r="O28" s="332">
        <v>0</v>
      </c>
      <c r="P28" s="333">
        <v>0</v>
      </c>
      <c r="Q28" s="8"/>
    </row>
    <row r="29" spans="1:17" ht="18" customHeight="1">
      <c r="A29" s="318"/>
      <c r="B29" s="318"/>
      <c r="C29" s="328"/>
      <c r="D29" s="293" t="s">
        <v>193</v>
      </c>
      <c r="E29" s="350"/>
      <c r="F29" s="351">
        <v>0</v>
      </c>
      <c r="G29" s="351">
        <v>0</v>
      </c>
      <c r="H29" s="352">
        <v>0</v>
      </c>
      <c r="I29" s="353"/>
      <c r="J29" s="351">
        <v>0</v>
      </c>
      <c r="K29" s="354">
        <v>0</v>
      </c>
      <c r="L29" s="354">
        <v>0</v>
      </c>
      <c r="M29" s="354">
        <v>0</v>
      </c>
      <c r="N29" s="351">
        <v>0</v>
      </c>
      <c r="O29" s="355">
        <v>0</v>
      </c>
      <c r="P29" s="356">
        <v>0</v>
      </c>
      <c r="Q29" s="8"/>
    </row>
    <row r="30" spans="1:17" ht="18" customHeight="1">
      <c r="A30" s="318"/>
      <c r="B30" s="318"/>
      <c r="C30" s="321" t="s">
        <v>194</v>
      </c>
      <c r="D30" s="372"/>
      <c r="E30" s="372"/>
      <c r="F30" s="373"/>
      <c r="G30" s="373"/>
      <c r="H30" s="374"/>
      <c r="I30" s="375"/>
      <c r="J30" s="373"/>
      <c r="K30" s="373"/>
      <c r="L30" s="373"/>
      <c r="M30" s="373"/>
      <c r="N30" s="373"/>
      <c r="O30" s="374"/>
      <c r="P30" s="377"/>
      <c r="Q30" s="8"/>
    </row>
    <row r="31" spans="1:17" ht="18" customHeight="1">
      <c r="A31" s="318"/>
      <c r="B31" s="318"/>
      <c r="C31" s="285" t="s">
        <v>247</v>
      </c>
      <c r="D31" s="325"/>
      <c r="E31" s="326"/>
      <c r="F31" s="295">
        <v>0</v>
      </c>
      <c r="G31" s="288">
        <v>0</v>
      </c>
      <c r="H31" s="289">
        <v>0</v>
      </c>
      <c r="I31" s="327"/>
      <c r="J31" s="357">
        <v>0</v>
      </c>
      <c r="K31" s="287">
        <v>0</v>
      </c>
      <c r="L31" s="287">
        <v>0</v>
      </c>
      <c r="M31" s="287">
        <v>0</v>
      </c>
      <c r="N31" s="288">
        <v>0</v>
      </c>
      <c r="O31" s="287">
        <v>0</v>
      </c>
      <c r="P31" s="291">
        <v>0</v>
      </c>
      <c r="Q31" s="8"/>
    </row>
    <row r="32" spans="1:17" ht="18" customHeight="1">
      <c r="A32" s="318"/>
      <c r="B32" s="318"/>
      <c r="C32" s="328"/>
      <c r="D32" s="334" t="s">
        <v>211</v>
      </c>
      <c r="E32" s="305"/>
      <c r="F32" s="329">
        <v>0</v>
      </c>
      <c r="G32" s="330">
        <v>0</v>
      </c>
      <c r="H32" s="331">
        <v>0</v>
      </c>
      <c r="I32" s="320"/>
      <c r="J32" s="330">
        <v>0</v>
      </c>
      <c r="K32" s="329">
        <v>0</v>
      </c>
      <c r="L32" s="329">
        <v>0</v>
      </c>
      <c r="M32" s="329">
        <v>0</v>
      </c>
      <c r="N32" s="330">
        <v>0</v>
      </c>
      <c r="O32" s="332">
        <v>0</v>
      </c>
      <c r="P32" s="333">
        <v>0</v>
      </c>
      <c r="Q32" s="8"/>
    </row>
    <row r="33" spans="1:17" ht="18" customHeight="1">
      <c r="A33" s="318"/>
      <c r="B33" s="318"/>
      <c r="C33" s="292"/>
      <c r="D33" s="334" t="s">
        <v>212</v>
      </c>
      <c r="E33" s="305"/>
      <c r="F33" s="329">
        <v>0</v>
      </c>
      <c r="G33" s="330">
        <v>0</v>
      </c>
      <c r="H33" s="297">
        <v>0</v>
      </c>
      <c r="I33" s="320"/>
      <c r="J33" s="358">
        <v>0</v>
      </c>
      <c r="K33" s="302">
        <v>0</v>
      </c>
      <c r="L33" s="302">
        <v>0</v>
      </c>
      <c r="M33" s="302">
        <v>0</v>
      </c>
      <c r="N33" s="303">
        <v>0</v>
      </c>
      <c r="O33" s="295">
        <v>0</v>
      </c>
      <c r="P33" s="299">
        <v>0</v>
      </c>
      <c r="Q33" s="8"/>
    </row>
    <row r="34" spans="1:17" ht="18" customHeight="1">
      <c r="A34" s="318"/>
      <c r="B34" s="318"/>
      <c r="C34" s="292"/>
      <c r="D34" s="307" t="s">
        <v>213</v>
      </c>
      <c r="E34" s="319"/>
      <c r="F34" s="302">
        <v>0</v>
      </c>
      <c r="G34" s="303">
        <v>0</v>
      </c>
      <c r="H34" s="297">
        <v>0</v>
      </c>
      <c r="I34" s="320"/>
      <c r="J34" s="303">
        <v>0</v>
      </c>
      <c r="K34" s="302">
        <v>0</v>
      </c>
      <c r="L34" s="302">
        <v>0</v>
      </c>
      <c r="M34" s="302">
        <v>0</v>
      </c>
      <c r="N34" s="303">
        <v>0</v>
      </c>
      <c r="O34" s="295">
        <v>0</v>
      </c>
      <c r="P34" s="299">
        <v>0</v>
      </c>
      <c r="Q34" s="8"/>
    </row>
    <row r="35" spans="1:17" ht="18" customHeight="1">
      <c r="A35" s="318"/>
      <c r="B35" s="318"/>
      <c r="C35" s="292"/>
      <c r="D35" s="334" t="s">
        <v>214</v>
      </c>
      <c r="E35" s="305"/>
      <c r="F35" s="302">
        <v>0</v>
      </c>
      <c r="G35" s="303">
        <v>0</v>
      </c>
      <c r="H35" s="297">
        <v>0</v>
      </c>
      <c r="I35" s="320"/>
      <c r="J35" s="358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34" t="s">
        <v>215</v>
      </c>
      <c r="E36" s="305"/>
      <c r="F36" s="302">
        <v>0</v>
      </c>
      <c r="G36" s="303">
        <v>0</v>
      </c>
      <c r="H36" s="297">
        <v>0</v>
      </c>
      <c r="I36" s="320"/>
      <c r="J36" s="358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216</v>
      </c>
      <c r="E37" s="305"/>
      <c r="F37" s="302">
        <v>0</v>
      </c>
      <c r="G37" s="303">
        <v>0</v>
      </c>
      <c r="H37" s="297">
        <v>0</v>
      </c>
      <c r="I37" s="320"/>
      <c r="J37" s="358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217</v>
      </c>
      <c r="E38" s="305"/>
      <c r="F38" s="330">
        <v>0</v>
      </c>
      <c r="G38" s="303">
        <v>0</v>
      </c>
      <c r="H38" s="297">
        <v>0</v>
      </c>
      <c r="I38" s="320"/>
      <c r="J38" s="358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218</v>
      </c>
      <c r="E39" s="305"/>
      <c r="F39" s="330">
        <v>0</v>
      </c>
      <c r="G39" s="303">
        <v>0</v>
      </c>
      <c r="H39" s="297">
        <v>0</v>
      </c>
      <c r="I39" s="320"/>
      <c r="J39" s="358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808" t="s">
        <v>219</v>
      </c>
      <c r="E40" s="809"/>
      <c r="F40" s="329">
        <v>0</v>
      </c>
      <c r="G40" s="330">
        <v>0</v>
      </c>
      <c r="H40" s="297">
        <v>0</v>
      </c>
      <c r="I40" s="320"/>
      <c r="J40" s="358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808" t="s">
        <v>220</v>
      </c>
      <c r="E41" s="809"/>
      <c r="F41" s="329">
        <v>0</v>
      </c>
      <c r="G41" s="330">
        <v>0</v>
      </c>
      <c r="H41" s="297">
        <v>0</v>
      </c>
      <c r="I41" s="320"/>
      <c r="J41" s="358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221</v>
      </c>
      <c r="E42" s="800"/>
      <c r="F42" s="302">
        <v>0</v>
      </c>
      <c r="G42" s="302">
        <v>0</v>
      </c>
      <c r="H42" s="297">
        <v>0</v>
      </c>
      <c r="I42" s="320"/>
      <c r="J42" s="359">
        <v>0</v>
      </c>
      <c r="K42" s="360">
        <v>0</v>
      </c>
      <c r="L42" s="360">
        <v>0</v>
      </c>
      <c r="M42" s="360">
        <v>0</v>
      </c>
      <c r="N42" s="361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292"/>
      <c r="D43" s="798" t="s">
        <v>248</v>
      </c>
      <c r="E43" s="800"/>
      <c r="F43" s="302">
        <v>0</v>
      </c>
      <c r="G43" s="302">
        <v>0</v>
      </c>
      <c r="H43" s="297">
        <v>0</v>
      </c>
      <c r="I43" s="336"/>
      <c r="J43" s="362">
        <v>0</v>
      </c>
      <c r="K43" s="329">
        <v>0</v>
      </c>
      <c r="L43" s="329">
        <v>0</v>
      </c>
      <c r="M43" s="329">
        <v>0</v>
      </c>
      <c r="N43" s="330">
        <v>0</v>
      </c>
      <c r="O43" s="332">
        <v>0</v>
      </c>
      <c r="P43" s="333">
        <v>0</v>
      </c>
      <c r="Q43" s="8"/>
    </row>
    <row r="44" spans="1:17" ht="18" customHeight="1">
      <c r="A44" s="318"/>
      <c r="B44" s="318"/>
      <c r="C44" s="337"/>
      <c r="D44" s="806" t="s">
        <v>249</v>
      </c>
      <c r="E44" s="807"/>
      <c r="F44" s="302">
        <v>0</v>
      </c>
      <c r="G44" s="302">
        <v>0</v>
      </c>
      <c r="H44" s="297">
        <v>0</v>
      </c>
      <c r="I44" s="363"/>
      <c r="J44" s="364">
        <v>0</v>
      </c>
      <c r="K44" s="136">
        <v>0</v>
      </c>
      <c r="L44" s="136">
        <v>0</v>
      </c>
      <c r="M44" s="136">
        <v>0</v>
      </c>
      <c r="N44" s="109">
        <v>0</v>
      </c>
      <c r="O44" s="145">
        <v>0</v>
      </c>
      <c r="P44" s="365">
        <v>0</v>
      </c>
      <c r="Q44" s="8"/>
    </row>
    <row r="45" spans="1:17" ht="18" customHeight="1">
      <c r="A45" s="318"/>
      <c r="B45" s="318"/>
      <c r="C45" s="292" t="s">
        <v>250</v>
      </c>
      <c r="D45" s="294"/>
      <c r="E45" s="294"/>
      <c r="F45" s="288">
        <v>0</v>
      </c>
      <c r="G45" s="288">
        <v>0</v>
      </c>
      <c r="H45" s="289">
        <v>0</v>
      </c>
      <c r="I45" s="327"/>
      <c r="J45" s="357">
        <v>0</v>
      </c>
      <c r="K45" s="287">
        <v>0</v>
      </c>
      <c r="L45" s="287">
        <v>0</v>
      </c>
      <c r="M45" s="287">
        <v>187986</v>
      </c>
      <c r="N45" s="288">
        <v>0</v>
      </c>
      <c r="O45" s="287">
        <v>187986</v>
      </c>
      <c r="P45" s="291">
        <v>187986</v>
      </c>
      <c r="Q45" s="8"/>
    </row>
    <row r="46" spans="1:17" ht="18" customHeight="1">
      <c r="A46" s="318"/>
      <c r="B46" s="318"/>
      <c r="C46" s="292"/>
      <c r="D46" s="342" t="s">
        <v>113</v>
      </c>
      <c r="E46" s="342"/>
      <c r="F46" s="303">
        <v>0</v>
      </c>
      <c r="G46" s="303">
        <v>0</v>
      </c>
      <c r="H46" s="297">
        <v>0</v>
      </c>
      <c r="I46" s="320"/>
      <c r="J46" s="303">
        <v>0</v>
      </c>
      <c r="K46" s="303">
        <v>0</v>
      </c>
      <c r="L46" s="303">
        <v>0</v>
      </c>
      <c r="M46" s="303">
        <v>0</v>
      </c>
      <c r="N46" s="303">
        <v>0</v>
      </c>
      <c r="O46" s="295">
        <v>0</v>
      </c>
      <c r="P46" s="299">
        <v>0</v>
      </c>
      <c r="Q46" s="8"/>
    </row>
    <row r="47" spans="1:17" ht="18" customHeight="1">
      <c r="A47" s="318"/>
      <c r="B47" s="318"/>
      <c r="C47" s="292"/>
      <c r="D47" s="342" t="s">
        <v>114</v>
      </c>
      <c r="E47" s="342"/>
      <c r="F47" s="302">
        <v>0</v>
      </c>
      <c r="G47" s="303">
        <v>0</v>
      </c>
      <c r="H47" s="297">
        <v>0</v>
      </c>
      <c r="I47" s="320"/>
      <c r="J47" s="303">
        <v>0</v>
      </c>
      <c r="K47" s="302">
        <v>0</v>
      </c>
      <c r="L47" s="303">
        <v>0</v>
      </c>
      <c r="M47" s="302">
        <v>187986</v>
      </c>
      <c r="N47" s="303">
        <v>0</v>
      </c>
      <c r="O47" s="295">
        <v>187986</v>
      </c>
      <c r="P47" s="299">
        <v>187986</v>
      </c>
      <c r="Q47" s="8"/>
    </row>
    <row r="48" spans="1:17" ht="18" customHeight="1">
      <c r="A48" s="318"/>
      <c r="B48" s="318"/>
      <c r="C48" s="292"/>
      <c r="D48" s="343" t="s">
        <v>176</v>
      </c>
      <c r="E48" s="343"/>
      <c r="F48" s="329">
        <v>0</v>
      </c>
      <c r="G48" s="330">
        <v>0</v>
      </c>
      <c r="H48" s="297">
        <v>0</v>
      </c>
      <c r="I48" s="320"/>
      <c r="J48" s="330">
        <v>0</v>
      </c>
      <c r="K48" s="329">
        <v>0</v>
      </c>
      <c r="L48" s="330">
        <v>0</v>
      </c>
      <c r="M48" s="329">
        <v>0</v>
      </c>
      <c r="N48" s="330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4" t="s">
        <v>251</v>
      </c>
      <c r="E49" s="344"/>
      <c r="F49" s="338">
        <v>0</v>
      </c>
      <c r="G49" s="339">
        <v>0</v>
      </c>
      <c r="H49" s="345">
        <v>0</v>
      </c>
      <c r="I49" s="320"/>
      <c r="J49" s="339">
        <v>0</v>
      </c>
      <c r="K49" s="338">
        <v>0</v>
      </c>
      <c r="L49" s="339">
        <v>0</v>
      </c>
      <c r="M49" s="338">
        <v>0</v>
      </c>
      <c r="N49" s="339">
        <v>0</v>
      </c>
      <c r="O49" s="340">
        <v>0</v>
      </c>
      <c r="P49" s="341">
        <v>0</v>
      </c>
      <c r="Q49" s="8"/>
    </row>
    <row r="50" spans="1:17" ht="18" customHeight="1">
      <c r="A50" s="318"/>
      <c r="B50" s="318"/>
      <c r="C50" s="801" t="s">
        <v>252</v>
      </c>
      <c r="D50" s="802"/>
      <c r="E50" s="803"/>
      <c r="F50" s="346">
        <v>0</v>
      </c>
      <c r="G50" s="120">
        <v>0</v>
      </c>
      <c r="H50" s="178">
        <v>0</v>
      </c>
      <c r="I50" s="347"/>
      <c r="J50" s="366">
        <v>44752</v>
      </c>
      <c r="K50" s="346">
        <v>241751</v>
      </c>
      <c r="L50" s="346">
        <v>140990</v>
      </c>
      <c r="M50" s="346">
        <v>305424</v>
      </c>
      <c r="N50" s="120">
        <v>0</v>
      </c>
      <c r="O50" s="346">
        <v>732917</v>
      </c>
      <c r="P50" s="171">
        <v>732917</v>
      </c>
      <c r="Q50" s="8"/>
    </row>
    <row r="51" spans="1:17" ht="12" customHeight="1">
      <c r="A51" s="318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8"/>
    </row>
  </sheetData>
  <mergeCells count="9">
    <mergeCell ref="A3:Q3"/>
    <mergeCell ref="A4:Q4"/>
    <mergeCell ref="C10:E10"/>
    <mergeCell ref="D42:E42"/>
    <mergeCell ref="C50:E50"/>
    <mergeCell ref="D44:E44"/>
    <mergeCell ref="D43:E43"/>
    <mergeCell ref="D40:E40"/>
    <mergeCell ref="D41:E41"/>
  </mergeCells>
  <phoneticPr fontId="35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53"/>
  <sheetViews>
    <sheetView showGridLines="0" workbookViewId="0"/>
  </sheetViews>
  <sheetFormatPr defaultColWidth="9" defaultRowHeight="0" customHeight="1" zero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234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256</v>
      </c>
    </row>
    <row r="8" spans="1:17" ht="18" customHeight="1">
      <c r="C8" s="378" t="s">
        <v>254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 t="s">
        <v>239</v>
      </c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0</v>
      </c>
      <c r="G11" s="288">
        <v>0</v>
      </c>
      <c r="H11" s="289">
        <v>0</v>
      </c>
      <c r="I11" s="290"/>
      <c r="J11" s="288">
        <v>447520</v>
      </c>
      <c r="K11" s="288">
        <v>2482204</v>
      </c>
      <c r="L11" s="287">
        <v>1409900</v>
      </c>
      <c r="M11" s="288">
        <v>1174380</v>
      </c>
      <c r="N11" s="288">
        <v>0</v>
      </c>
      <c r="O11" s="287">
        <v>5514004</v>
      </c>
      <c r="P11" s="291">
        <v>5514004</v>
      </c>
    </row>
    <row r="12" spans="1:17" ht="18" customHeight="1">
      <c r="C12" s="292"/>
      <c r="D12" s="293" t="s">
        <v>241</v>
      </c>
      <c r="E12" s="294"/>
      <c r="F12" s="295">
        <v>0</v>
      </c>
      <c r="G12" s="296">
        <v>0</v>
      </c>
      <c r="H12" s="297">
        <v>0</v>
      </c>
      <c r="I12" s="298"/>
      <c r="J12" s="296">
        <v>0</v>
      </c>
      <c r="K12" s="295">
        <v>1777924</v>
      </c>
      <c r="L12" s="295">
        <v>0</v>
      </c>
      <c r="M12" s="295">
        <v>0</v>
      </c>
      <c r="N12" s="296">
        <v>0</v>
      </c>
      <c r="O12" s="295">
        <v>1777924</v>
      </c>
      <c r="P12" s="299">
        <v>1777924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0</v>
      </c>
      <c r="K13" s="302">
        <v>181524</v>
      </c>
      <c r="L13" s="302">
        <v>0</v>
      </c>
      <c r="M13" s="302">
        <v>0</v>
      </c>
      <c r="N13" s="303">
        <v>0</v>
      </c>
      <c r="O13" s="295">
        <v>181524</v>
      </c>
      <c r="P13" s="299">
        <v>181524</v>
      </c>
    </row>
    <row r="14" spans="1:17" ht="18" customHeight="1">
      <c r="C14" s="292"/>
      <c r="D14" s="300"/>
      <c r="E14" s="301" t="s">
        <v>181</v>
      </c>
      <c r="F14" s="302">
        <v>0</v>
      </c>
      <c r="G14" s="303">
        <v>0</v>
      </c>
      <c r="H14" s="297">
        <v>0</v>
      </c>
      <c r="I14" s="304"/>
      <c r="J14" s="303">
        <v>0</v>
      </c>
      <c r="K14" s="302">
        <v>0</v>
      </c>
      <c r="L14" s="302">
        <v>0</v>
      </c>
      <c r="M14" s="302">
        <v>0</v>
      </c>
      <c r="N14" s="303">
        <v>0</v>
      </c>
      <c r="O14" s="295">
        <v>0</v>
      </c>
      <c r="P14" s="299">
        <v>0</v>
      </c>
    </row>
    <row r="15" spans="1:17" ht="18" customHeight="1">
      <c r="C15" s="292"/>
      <c r="D15" s="300"/>
      <c r="E15" s="301" t="s">
        <v>182</v>
      </c>
      <c r="F15" s="302">
        <v>0</v>
      </c>
      <c r="G15" s="303">
        <v>0</v>
      </c>
      <c r="H15" s="297">
        <v>0</v>
      </c>
      <c r="I15" s="304"/>
      <c r="J15" s="303">
        <v>0</v>
      </c>
      <c r="K15" s="302">
        <v>746110</v>
      </c>
      <c r="L15" s="302">
        <v>0</v>
      </c>
      <c r="M15" s="302">
        <v>0</v>
      </c>
      <c r="N15" s="303">
        <v>0</v>
      </c>
      <c r="O15" s="295">
        <v>746110</v>
      </c>
      <c r="P15" s="299">
        <v>746110</v>
      </c>
    </row>
    <row r="16" spans="1:17" ht="18" customHeight="1">
      <c r="C16" s="292"/>
      <c r="D16" s="300"/>
      <c r="E16" s="301" t="s">
        <v>183</v>
      </c>
      <c r="F16" s="302">
        <v>0</v>
      </c>
      <c r="G16" s="303">
        <v>0</v>
      </c>
      <c r="H16" s="297">
        <v>0</v>
      </c>
      <c r="I16" s="304"/>
      <c r="J16" s="303">
        <v>0</v>
      </c>
      <c r="K16" s="302">
        <v>850290</v>
      </c>
      <c r="L16" s="302">
        <v>0</v>
      </c>
      <c r="M16" s="302">
        <v>0</v>
      </c>
      <c r="N16" s="303">
        <v>0</v>
      </c>
      <c r="O16" s="295">
        <v>850290</v>
      </c>
      <c r="P16" s="299">
        <v>850290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0</v>
      </c>
      <c r="K17" s="302">
        <v>0</v>
      </c>
      <c r="L17" s="302">
        <v>0</v>
      </c>
      <c r="M17" s="302">
        <v>0</v>
      </c>
      <c r="N17" s="303">
        <v>0</v>
      </c>
      <c r="O17" s="295">
        <v>0</v>
      </c>
      <c r="P17" s="299">
        <v>0</v>
      </c>
    </row>
    <row r="18" spans="1:17" ht="18" customHeight="1">
      <c r="C18" s="292"/>
      <c r="D18" s="293" t="s">
        <v>242</v>
      </c>
      <c r="E18" s="305"/>
      <c r="F18" s="295">
        <v>0</v>
      </c>
      <c r="G18" s="296">
        <v>0</v>
      </c>
      <c r="H18" s="297">
        <v>0</v>
      </c>
      <c r="I18" s="298"/>
      <c r="J18" s="296">
        <v>447520</v>
      </c>
      <c r="K18" s="295">
        <v>641460</v>
      </c>
      <c r="L18" s="295">
        <v>1289510</v>
      </c>
      <c r="M18" s="295">
        <v>1029230</v>
      </c>
      <c r="N18" s="296">
        <v>0</v>
      </c>
      <c r="O18" s="295">
        <v>3407720</v>
      </c>
      <c r="P18" s="299">
        <v>3407720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88680</v>
      </c>
      <c r="K19" s="302">
        <v>0</v>
      </c>
      <c r="L19" s="302">
        <v>1187180</v>
      </c>
      <c r="M19" s="302">
        <v>739480</v>
      </c>
      <c r="N19" s="303">
        <v>0</v>
      </c>
      <c r="O19" s="295">
        <v>2015340</v>
      </c>
      <c r="P19" s="299">
        <v>2015340</v>
      </c>
    </row>
    <row r="20" spans="1:17" ht="18" customHeight="1">
      <c r="C20" s="292"/>
      <c r="D20" s="300"/>
      <c r="E20" s="306" t="s">
        <v>186</v>
      </c>
      <c r="F20" s="302">
        <v>0</v>
      </c>
      <c r="G20" s="303">
        <v>0</v>
      </c>
      <c r="H20" s="297">
        <v>0</v>
      </c>
      <c r="I20" s="304"/>
      <c r="J20" s="303">
        <v>358840</v>
      </c>
      <c r="K20" s="302">
        <v>641460</v>
      </c>
      <c r="L20" s="302">
        <v>102330</v>
      </c>
      <c r="M20" s="302">
        <v>289750</v>
      </c>
      <c r="N20" s="303">
        <v>0</v>
      </c>
      <c r="O20" s="295">
        <v>1392380</v>
      </c>
      <c r="P20" s="299">
        <v>1392380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0</v>
      </c>
      <c r="H21" s="297">
        <v>0</v>
      </c>
      <c r="I21" s="298"/>
      <c r="J21" s="296">
        <v>0</v>
      </c>
      <c r="K21" s="295">
        <v>0</v>
      </c>
      <c r="L21" s="295">
        <v>0</v>
      </c>
      <c r="M21" s="295">
        <v>0</v>
      </c>
      <c r="N21" s="296">
        <v>0</v>
      </c>
      <c r="O21" s="295">
        <v>0</v>
      </c>
      <c r="P21" s="299">
        <v>0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0</v>
      </c>
      <c r="H22" s="297">
        <v>0</v>
      </c>
      <c r="I22" s="304"/>
      <c r="J22" s="303">
        <v>0</v>
      </c>
      <c r="K22" s="302">
        <v>0</v>
      </c>
      <c r="L22" s="302">
        <v>0</v>
      </c>
      <c r="M22" s="302">
        <v>0</v>
      </c>
      <c r="N22" s="303">
        <v>0</v>
      </c>
      <c r="O22" s="295">
        <v>0</v>
      </c>
      <c r="P22" s="299">
        <v>0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0</v>
      </c>
      <c r="H23" s="297">
        <v>0</v>
      </c>
      <c r="I23" s="304"/>
      <c r="J23" s="303">
        <v>0</v>
      </c>
      <c r="K23" s="302">
        <v>0</v>
      </c>
      <c r="L23" s="302">
        <v>0</v>
      </c>
      <c r="M23" s="302">
        <v>0</v>
      </c>
      <c r="N23" s="303">
        <v>0</v>
      </c>
      <c r="O23" s="295">
        <v>0</v>
      </c>
      <c r="P23" s="299">
        <v>0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0</v>
      </c>
      <c r="G26" s="296">
        <v>0</v>
      </c>
      <c r="H26" s="297">
        <v>0</v>
      </c>
      <c r="I26" s="298"/>
      <c r="J26" s="296">
        <v>0</v>
      </c>
      <c r="K26" s="295">
        <v>62820</v>
      </c>
      <c r="L26" s="295">
        <v>120390</v>
      </c>
      <c r="M26" s="295">
        <v>145150</v>
      </c>
      <c r="N26" s="296">
        <v>0</v>
      </c>
      <c r="O26" s="295">
        <v>328360</v>
      </c>
      <c r="P26" s="299">
        <v>328360</v>
      </c>
    </row>
    <row r="27" spans="1:17" ht="18" customHeight="1">
      <c r="C27" s="292"/>
      <c r="D27" s="300"/>
      <c r="E27" s="308" t="s">
        <v>191</v>
      </c>
      <c r="F27" s="309">
        <v>0</v>
      </c>
      <c r="G27" s="310">
        <v>0</v>
      </c>
      <c r="H27" s="297">
        <v>0</v>
      </c>
      <c r="I27" s="304"/>
      <c r="J27" s="310">
        <v>0</v>
      </c>
      <c r="K27" s="309">
        <v>25200</v>
      </c>
      <c r="L27" s="309">
        <v>120390</v>
      </c>
      <c r="M27" s="309">
        <v>145150</v>
      </c>
      <c r="N27" s="310">
        <v>0</v>
      </c>
      <c r="O27" s="295">
        <v>290740</v>
      </c>
      <c r="P27" s="299">
        <v>290740</v>
      </c>
    </row>
    <row r="28" spans="1:17" ht="18" customHeight="1">
      <c r="C28" s="292"/>
      <c r="D28" s="311"/>
      <c r="E28" s="306" t="s">
        <v>245</v>
      </c>
      <c r="F28" s="312">
        <v>0</v>
      </c>
      <c r="G28" s="313">
        <v>0</v>
      </c>
      <c r="H28" s="297">
        <v>0</v>
      </c>
      <c r="I28" s="314"/>
      <c r="J28" s="313">
        <v>0</v>
      </c>
      <c r="K28" s="312">
        <v>37620</v>
      </c>
      <c r="L28" s="312">
        <v>0</v>
      </c>
      <c r="M28" s="312">
        <v>0</v>
      </c>
      <c r="N28" s="313">
        <v>0</v>
      </c>
      <c r="O28" s="295">
        <v>37620</v>
      </c>
      <c r="P28" s="299">
        <v>37620</v>
      </c>
    </row>
    <row r="29" spans="1:17" ht="18" customHeight="1">
      <c r="C29" s="292"/>
      <c r="D29" s="315"/>
      <c r="E29" s="301" t="s">
        <v>246</v>
      </c>
      <c r="F29" s="316">
        <v>0</v>
      </c>
      <c r="G29" s="317">
        <v>0</v>
      </c>
      <c r="H29" s="297">
        <v>0</v>
      </c>
      <c r="I29" s="314"/>
      <c r="J29" s="317">
        <v>0</v>
      </c>
      <c r="K29" s="316">
        <v>0</v>
      </c>
      <c r="L29" s="316">
        <v>0</v>
      </c>
      <c r="M29" s="316">
        <v>0</v>
      </c>
      <c r="N29" s="317">
        <v>0</v>
      </c>
      <c r="O29" s="295">
        <v>0</v>
      </c>
      <c r="P29" s="299">
        <v>0</v>
      </c>
    </row>
    <row r="30" spans="1:17" ht="18" customHeight="1">
      <c r="A30" s="318"/>
      <c r="B30" s="318"/>
      <c r="C30" s="292"/>
      <c r="D30" s="300" t="s">
        <v>192</v>
      </c>
      <c r="E30" s="319"/>
      <c r="F30" s="302">
        <v>0</v>
      </c>
      <c r="G30" s="303">
        <v>0</v>
      </c>
      <c r="H30" s="297">
        <v>0</v>
      </c>
      <c r="I30" s="320"/>
      <c r="J30" s="303">
        <v>0</v>
      </c>
      <c r="K30" s="302">
        <v>0</v>
      </c>
      <c r="L30" s="302">
        <v>0</v>
      </c>
      <c r="M30" s="302">
        <v>0</v>
      </c>
      <c r="N30" s="303">
        <v>0</v>
      </c>
      <c r="O30" s="295">
        <v>0</v>
      </c>
      <c r="P30" s="299">
        <v>0</v>
      </c>
      <c r="Q30" s="8"/>
    </row>
    <row r="31" spans="1:17" ht="18" customHeight="1">
      <c r="A31" s="318"/>
      <c r="B31" s="318"/>
      <c r="C31" s="292"/>
      <c r="D31" s="293" t="s">
        <v>193</v>
      </c>
      <c r="E31" s="319"/>
      <c r="F31" s="302">
        <v>0</v>
      </c>
      <c r="G31" s="303">
        <v>0</v>
      </c>
      <c r="H31" s="297">
        <v>0</v>
      </c>
      <c r="I31" s="320"/>
      <c r="J31" s="303">
        <v>0</v>
      </c>
      <c r="K31" s="302">
        <v>0</v>
      </c>
      <c r="L31" s="302">
        <v>0</v>
      </c>
      <c r="M31" s="302">
        <v>0</v>
      </c>
      <c r="N31" s="303">
        <v>0</v>
      </c>
      <c r="O31" s="295">
        <v>0</v>
      </c>
      <c r="P31" s="299">
        <v>0</v>
      </c>
      <c r="Q31" s="8"/>
    </row>
    <row r="32" spans="1:17" ht="18" customHeight="1">
      <c r="A32" s="318"/>
      <c r="B32" s="318"/>
      <c r="C32" s="321" t="s">
        <v>194</v>
      </c>
      <c r="D32" s="372"/>
      <c r="E32" s="372"/>
      <c r="F32" s="373"/>
      <c r="G32" s="373"/>
      <c r="H32" s="374"/>
      <c r="I32" s="375"/>
      <c r="J32" s="373"/>
      <c r="K32" s="373"/>
      <c r="L32" s="373"/>
      <c r="M32" s="373"/>
      <c r="N32" s="373"/>
      <c r="O32" s="374"/>
      <c r="P32" s="377"/>
      <c r="Q32" s="8"/>
    </row>
    <row r="33" spans="1:17" ht="18" customHeight="1">
      <c r="A33" s="318"/>
      <c r="B33" s="318"/>
      <c r="C33" s="285" t="s">
        <v>247</v>
      </c>
      <c r="D33" s="325"/>
      <c r="E33" s="326"/>
      <c r="F33" s="287">
        <v>0</v>
      </c>
      <c r="G33" s="288">
        <v>0</v>
      </c>
      <c r="H33" s="289">
        <v>0</v>
      </c>
      <c r="I33" s="327"/>
      <c r="J33" s="288">
        <v>0</v>
      </c>
      <c r="K33" s="287">
        <v>0</v>
      </c>
      <c r="L33" s="287">
        <v>0</v>
      </c>
      <c r="M33" s="287">
        <v>0</v>
      </c>
      <c r="N33" s="288">
        <v>0</v>
      </c>
      <c r="O33" s="287">
        <v>0</v>
      </c>
      <c r="P33" s="291">
        <v>0</v>
      </c>
      <c r="Q33" s="8"/>
    </row>
    <row r="34" spans="1:17" ht="18" customHeight="1">
      <c r="A34" s="318"/>
      <c r="B34" s="318"/>
      <c r="C34" s="328"/>
      <c r="D34" s="798" t="s">
        <v>211</v>
      </c>
      <c r="E34" s="799"/>
      <c r="F34" s="329">
        <v>0</v>
      </c>
      <c r="G34" s="330">
        <v>0</v>
      </c>
      <c r="H34" s="331">
        <v>0</v>
      </c>
      <c r="I34" s="320"/>
      <c r="J34" s="330">
        <v>0</v>
      </c>
      <c r="K34" s="329">
        <v>0</v>
      </c>
      <c r="L34" s="329">
        <v>0</v>
      </c>
      <c r="M34" s="329">
        <v>0</v>
      </c>
      <c r="N34" s="330">
        <v>0</v>
      </c>
      <c r="O34" s="332">
        <v>0</v>
      </c>
      <c r="P34" s="333">
        <v>0</v>
      </c>
      <c r="Q34" s="8"/>
    </row>
    <row r="35" spans="1:17" ht="18" customHeight="1">
      <c r="A35" s="318"/>
      <c r="B35" s="318"/>
      <c r="C35" s="292"/>
      <c r="D35" s="307" t="s">
        <v>212</v>
      </c>
      <c r="E35" s="319"/>
      <c r="F35" s="329">
        <v>0</v>
      </c>
      <c r="G35" s="330">
        <v>0</v>
      </c>
      <c r="H35" s="297">
        <v>0</v>
      </c>
      <c r="I35" s="320"/>
      <c r="J35" s="303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07" t="s">
        <v>213</v>
      </c>
      <c r="E36" s="319"/>
      <c r="F36" s="302">
        <v>0</v>
      </c>
      <c r="G36" s="303">
        <v>0</v>
      </c>
      <c r="H36" s="297">
        <v>0</v>
      </c>
      <c r="I36" s="320"/>
      <c r="J36" s="303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214</v>
      </c>
      <c r="E37" s="305"/>
      <c r="F37" s="302">
        <v>0</v>
      </c>
      <c r="G37" s="303">
        <v>0</v>
      </c>
      <c r="H37" s="297">
        <v>0</v>
      </c>
      <c r="I37" s="320"/>
      <c r="J37" s="303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215</v>
      </c>
      <c r="E38" s="305"/>
      <c r="F38" s="302">
        <v>0</v>
      </c>
      <c r="G38" s="303">
        <v>0</v>
      </c>
      <c r="H38" s="297">
        <v>0</v>
      </c>
      <c r="I38" s="320"/>
      <c r="J38" s="303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216</v>
      </c>
      <c r="E39" s="305"/>
      <c r="F39" s="302">
        <v>0</v>
      </c>
      <c r="G39" s="303">
        <v>0</v>
      </c>
      <c r="H39" s="297">
        <v>0</v>
      </c>
      <c r="I39" s="320"/>
      <c r="J39" s="303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334" t="s">
        <v>217</v>
      </c>
      <c r="E40" s="305"/>
      <c r="F40" s="330">
        <v>0</v>
      </c>
      <c r="G40" s="303">
        <v>0</v>
      </c>
      <c r="H40" s="297">
        <v>0</v>
      </c>
      <c r="I40" s="320"/>
      <c r="J40" s="303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334" t="s">
        <v>218</v>
      </c>
      <c r="E41" s="305"/>
      <c r="F41" s="330">
        <v>0</v>
      </c>
      <c r="G41" s="303">
        <v>0</v>
      </c>
      <c r="H41" s="297">
        <v>0</v>
      </c>
      <c r="I41" s="320"/>
      <c r="J41" s="303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219</v>
      </c>
      <c r="E42" s="800"/>
      <c r="F42" s="329">
        <v>0</v>
      </c>
      <c r="G42" s="330">
        <v>0</v>
      </c>
      <c r="H42" s="297">
        <v>0</v>
      </c>
      <c r="I42" s="320"/>
      <c r="J42" s="303">
        <v>0</v>
      </c>
      <c r="K42" s="302">
        <v>0</v>
      </c>
      <c r="L42" s="302">
        <v>0</v>
      </c>
      <c r="M42" s="302">
        <v>0</v>
      </c>
      <c r="N42" s="303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292"/>
      <c r="D43" s="798" t="s">
        <v>220</v>
      </c>
      <c r="E43" s="800"/>
      <c r="F43" s="329">
        <v>0</v>
      </c>
      <c r="G43" s="330">
        <v>0</v>
      </c>
      <c r="H43" s="297">
        <v>0</v>
      </c>
      <c r="I43" s="320"/>
      <c r="J43" s="303">
        <v>0</v>
      </c>
      <c r="K43" s="302">
        <v>0</v>
      </c>
      <c r="L43" s="302">
        <v>0</v>
      </c>
      <c r="M43" s="302">
        <v>0</v>
      </c>
      <c r="N43" s="303">
        <v>0</v>
      </c>
      <c r="O43" s="295">
        <v>0</v>
      </c>
      <c r="P43" s="299">
        <v>0</v>
      </c>
      <c r="Q43" s="8"/>
    </row>
    <row r="44" spans="1:17" ht="18" customHeight="1">
      <c r="A44" s="318"/>
      <c r="B44" s="318"/>
      <c r="C44" s="328"/>
      <c r="D44" s="798" t="s">
        <v>221</v>
      </c>
      <c r="E44" s="799"/>
      <c r="F44" s="329">
        <v>0</v>
      </c>
      <c r="G44" s="330">
        <v>0</v>
      </c>
      <c r="H44" s="331">
        <v>0</v>
      </c>
      <c r="I44" s="320"/>
      <c r="J44" s="330">
        <v>0</v>
      </c>
      <c r="K44" s="329">
        <v>0</v>
      </c>
      <c r="L44" s="329">
        <v>0</v>
      </c>
      <c r="M44" s="329">
        <v>0</v>
      </c>
      <c r="N44" s="330">
        <v>0</v>
      </c>
      <c r="O44" s="332">
        <v>0</v>
      </c>
      <c r="P44" s="333">
        <v>0</v>
      </c>
      <c r="Q44" s="8"/>
    </row>
    <row r="45" spans="1:17" ht="18" customHeight="1">
      <c r="A45" s="318"/>
      <c r="B45" s="318"/>
      <c r="C45" s="367"/>
      <c r="D45" s="811" t="s">
        <v>248</v>
      </c>
      <c r="E45" s="799"/>
      <c r="F45" s="329">
        <v>0</v>
      </c>
      <c r="G45" s="330">
        <v>0</v>
      </c>
      <c r="H45" s="297">
        <v>0</v>
      </c>
      <c r="I45" s="336"/>
      <c r="J45" s="330">
        <v>0</v>
      </c>
      <c r="K45" s="329">
        <v>0</v>
      </c>
      <c r="L45" s="329">
        <v>0</v>
      </c>
      <c r="M45" s="329">
        <v>0</v>
      </c>
      <c r="N45" s="330">
        <v>0</v>
      </c>
      <c r="O45" s="332">
        <v>0</v>
      </c>
      <c r="P45" s="333">
        <v>0</v>
      </c>
      <c r="Q45" s="8"/>
    </row>
    <row r="46" spans="1:17" ht="18" customHeight="1">
      <c r="A46" s="318"/>
      <c r="B46" s="318"/>
      <c r="C46" s="337"/>
      <c r="D46" s="806" t="s">
        <v>249</v>
      </c>
      <c r="E46" s="810"/>
      <c r="F46" s="136">
        <v>0</v>
      </c>
      <c r="G46" s="109">
        <v>0</v>
      </c>
      <c r="H46" s="297">
        <v>0</v>
      </c>
      <c r="I46" s="363"/>
      <c r="J46" s="109">
        <v>0</v>
      </c>
      <c r="K46" s="136">
        <v>0</v>
      </c>
      <c r="L46" s="136">
        <v>0</v>
      </c>
      <c r="M46" s="136">
        <v>0</v>
      </c>
      <c r="N46" s="109">
        <v>0</v>
      </c>
      <c r="O46" s="145">
        <v>0</v>
      </c>
      <c r="P46" s="365">
        <v>0</v>
      </c>
      <c r="Q46" s="8"/>
    </row>
    <row r="47" spans="1:17" ht="18" customHeight="1">
      <c r="A47" s="318"/>
      <c r="B47" s="318"/>
      <c r="C47" s="292" t="s">
        <v>250</v>
      </c>
      <c r="D47" s="294"/>
      <c r="E47" s="294"/>
      <c r="F47" s="288">
        <v>0</v>
      </c>
      <c r="G47" s="288">
        <v>0</v>
      </c>
      <c r="H47" s="289">
        <v>0</v>
      </c>
      <c r="I47" s="327"/>
      <c r="J47" s="288">
        <v>0</v>
      </c>
      <c r="K47" s="287">
        <v>0</v>
      </c>
      <c r="L47" s="287">
        <v>0</v>
      </c>
      <c r="M47" s="287">
        <v>1930614</v>
      </c>
      <c r="N47" s="288">
        <v>0</v>
      </c>
      <c r="O47" s="287">
        <v>1930614</v>
      </c>
      <c r="P47" s="291">
        <v>1930614</v>
      </c>
      <c r="Q47" s="8"/>
    </row>
    <row r="48" spans="1:17" ht="18" customHeight="1">
      <c r="A48" s="318"/>
      <c r="B48" s="318"/>
      <c r="C48" s="292"/>
      <c r="D48" s="342" t="s">
        <v>113</v>
      </c>
      <c r="E48" s="342"/>
      <c r="F48" s="303">
        <v>0</v>
      </c>
      <c r="G48" s="303">
        <v>0</v>
      </c>
      <c r="H48" s="297">
        <v>0</v>
      </c>
      <c r="I48" s="320"/>
      <c r="J48" s="303">
        <v>0</v>
      </c>
      <c r="K48" s="302">
        <v>0</v>
      </c>
      <c r="L48" s="302">
        <v>0</v>
      </c>
      <c r="M48" s="302">
        <v>0</v>
      </c>
      <c r="N48" s="303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2" t="s">
        <v>114</v>
      </c>
      <c r="E49" s="342"/>
      <c r="F49" s="302">
        <v>0</v>
      </c>
      <c r="G49" s="303">
        <v>0</v>
      </c>
      <c r="H49" s="297">
        <v>0</v>
      </c>
      <c r="I49" s="320"/>
      <c r="J49" s="303">
        <v>0</v>
      </c>
      <c r="K49" s="302">
        <v>0</v>
      </c>
      <c r="L49" s="302">
        <v>0</v>
      </c>
      <c r="M49" s="302">
        <v>1930614</v>
      </c>
      <c r="N49" s="303">
        <v>0</v>
      </c>
      <c r="O49" s="295">
        <v>1930614</v>
      </c>
      <c r="P49" s="299">
        <v>1930614</v>
      </c>
      <c r="Q49" s="8"/>
    </row>
    <row r="50" spans="1:17" ht="18" customHeight="1">
      <c r="A50" s="318"/>
      <c r="B50" s="318"/>
      <c r="C50" s="292"/>
      <c r="D50" s="343" t="s">
        <v>176</v>
      </c>
      <c r="E50" s="343"/>
      <c r="F50" s="329">
        <v>0</v>
      </c>
      <c r="G50" s="330">
        <v>0</v>
      </c>
      <c r="H50" s="297">
        <v>0</v>
      </c>
      <c r="I50" s="320"/>
      <c r="J50" s="330">
        <v>0</v>
      </c>
      <c r="K50" s="329">
        <v>0</v>
      </c>
      <c r="L50" s="329">
        <v>0</v>
      </c>
      <c r="M50" s="329">
        <v>0</v>
      </c>
      <c r="N50" s="330">
        <v>0</v>
      </c>
      <c r="O50" s="295">
        <v>0</v>
      </c>
      <c r="P50" s="299">
        <v>0</v>
      </c>
      <c r="Q50" s="8"/>
    </row>
    <row r="51" spans="1:17" ht="18" customHeight="1">
      <c r="A51" s="318"/>
      <c r="B51" s="318"/>
      <c r="C51" s="292"/>
      <c r="D51" s="344" t="s">
        <v>251</v>
      </c>
      <c r="E51" s="344"/>
      <c r="F51" s="338">
        <v>0</v>
      </c>
      <c r="G51" s="339">
        <v>0</v>
      </c>
      <c r="H51" s="345">
        <v>0</v>
      </c>
      <c r="I51" s="320"/>
      <c r="J51" s="339">
        <v>0</v>
      </c>
      <c r="K51" s="338">
        <v>0</v>
      </c>
      <c r="L51" s="338">
        <v>0</v>
      </c>
      <c r="M51" s="338">
        <v>0</v>
      </c>
      <c r="N51" s="339">
        <v>0</v>
      </c>
      <c r="O51" s="340">
        <v>0</v>
      </c>
      <c r="P51" s="341">
        <v>0</v>
      </c>
      <c r="Q51" s="8"/>
    </row>
    <row r="52" spans="1:17" ht="18" customHeight="1">
      <c r="A52" s="318"/>
      <c r="B52" s="318"/>
      <c r="C52" s="801" t="s">
        <v>252</v>
      </c>
      <c r="D52" s="802"/>
      <c r="E52" s="803"/>
      <c r="F52" s="346">
        <v>0</v>
      </c>
      <c r="G52" s="346">
        <v>0</v>
      </c>
      <c r="H52" s="178">
        <v>0</v>
      </c>
      <c r="I52" s="347"/>
      <c r="J52" s="346">
        <v>447520</v>
      </c>
      <c r="K52" s="346">
        <v>2482204</v>
      </c>
      <c r="L52" s="346">
        <v>1409900</v>
      </c>
      <c r="M52" s="346">
        <v>3104994</v>
      </c>
      <c r="N52" s="346">
        <v>0</v>
      </c>
      <c r="O52" s="346">
        <v>7444618</v>
      </c>
      <c r="P52" s="171">
        <v>7444618</v>
      </c>
      <c r="Q52" s="8"/>
    </row>
    <row r="53" spans="1:17" ht="12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8"/>
    </row>
  </sheetData>
  <mergeCells count="10">
    <mergeCell ref="D44:E44"/>
    <mergeCell ref="D42:E42"/>
    <mergeCell ref="C52:E52"/>
    <mergeCell ref="D46:E46"/>
    <mergeCell ref="D45:E45"/>
    <mergeCell ref="A3:Q3"/>
    <mergeCell ref="A4:Q4"/>
    <mergeCell ref="C10:E10"/>
    <mergeCell ref="D34:E34"/>
    <mergeCell ref="D43:E43"/>
  </mergeCells>
  <phoneticPr fontId="35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53"/>
  <sheetViews>
    <sheetView showGridLines="0" workbookViewId="0"/>
  </sheetViews>
  <sheetFormatPr defaultColWidth="9" defaultRowHeight="12" custom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234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256</v>
      </c>
    </row>
    <row r="8" spans="1:17" ht="18" customHeight="1">
      <c r="C8" s="378" t="s">
        <v>255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 t="s">
        <v>239</v>
      </c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0</v>
      </c>
      <c r="G11" s="288">
        <v>0</v>
      </c>
      <c r="H11" s="289">
        <v>0</v>
      </c>
      <c r="I11" s="290"/>
      <c r="J11" s="288">
        <v>358016</v>
      </c>
      <c r="K11" s="288">
        <v>1985754</v>
      </c>
      <c r="L11" s="287">
        <v>1127920</v>
      </c>
      <c r="M11" s="288">
        <v>939504</v>
      </c>
      <c r="N11" s="288">
        <v>0</v>
      </c>
      <c r="O11" s="287">
        <v>4411194</v>
      </c>
      <c r="P11" s="291">
        <v>4411194</v>
      </c>
    </row>
    <row r="12" spans="1:17" ht="18" customHeight="1">
      <c r="C12" s="292"/>
      <c r="D12" s="293" t="s">
        <v>241</v>
      </c>
      <c r="E12" s="294"/>
      <c r="F12" s="295">
        <v>0</v>
      </c>
      <c r="G12" s="296">
        <v>0</v>
      </c>
      <c r="H12" s="297">
        <v>0</v>
      </c>
      <c r="I12" s="298"/>
      <c r="J12" s="296">
        <v>0</v>
      </c>
      <c r="K12" s="295">
        <v>1422334</v>
      </c>
      <c r="L12" s="295">
        <v>0</v>
      </c>
      <c r="M12" s="295">
        <v>0</v>
      </c>
      <c r="N12" s="296">
        <v>0</v>
      </c>
      <c r="O12" s="295">
        <v>1422334</v>
      </c>
      <c r="P12" s="299">
        <v>1422334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0</v>
      </c>
      <c r="K13" s="302">
        <v>145214</v>
      </c>
      <c r="L13" s="302">
        <v>0</v>
      </c>
      <c r="M13" s="302">
        <v>0</v>
      </c>
      <c r="N13" s="303">
        <v>0</v>
      </c>
      <c r="O13" s="295">
        <v>145214</v>
      </c>
      <c r="P13" s="299">
        <v>145214</v>
      </c>
    </row>
    <row r="14" spans="1:17" ht="18" customHeight="1">
      <c r="C14" s="292"/>
      <c r="D14" s="300"/>
      <c r="E14" s="301" t="s">
        <v>181</v>
      </c>
      <c r="F14" s="302">
        <v>0</v>
      </c>
      <c r="G14" s="303">
        <v>0</v>
      </c>
      <c r="H14" s="297">
        <v>0</v>
      </c>
      <c r="I14" s="304"/>
      <c r="J14" s="303">
        <v>0</v>
      </c>
      <c r="K14" s="302">
        <v>0</v>
      </c>
      <c r="L14" s="302">
        <v>0</v>
      </c>
      <c r="M14" s="302">
        <v>0</v>
      </c>
      <c r="N14" s="303">
        <v>0</v>
      </c>
      <c r="O14" s="295">
        <v>0</v>
      </c>
      <c r="P14" s="299">
        <v>0</v>
      </c>
    </row>
    <row r="15" spans="1:17" ht="18" customHeight="1">
      <c r="C15" s="292"/>
      <c r="D15" s="300"/>
      <c r="E15" s="301" t="s">
        <v>182</v>
      </c>
      <c r="F15" s="302">
        <v>0</v>
      </c>
      <c r="G15" s="303">
        <v>0</v>
      </c>
      <c r="H15" s="297">
        <v>0</v>
      </c>
      <c r="I15" s="304"/>
      <c r="J15" s="303">
        <v>0</v>
      </c>
      <c r="K15" s="302">
        <v>596888</v>
      </c>
      <c r="L15" s="302">
        <v>0</v>
      </c>
      <c r="M15" s="302">
        <v>0</v>
      </c>
      <c r="N15" s="303">
        <v>0</v>
      </c>
      <c r="O15" s="295">
        <v>596888</v>
      </c>
      <c r="P15" s="299">
        <v>596888</v>
      </c>
    </row>
    <row r="16" spans="1:17" ht="18" customHeight="1">
      <c r="C16" s="292"/>
      <c r="D16" s="300"/>
      <c r="E16" s="301" t="s">
        <v>183</v>
      </c>
      <c r="F16" s="302">
        <v>0</v>
      </c>
      <c r="G16" s="303">
        <v>0</v>
      </c>
      <c r="H16" s="297">
        <v>0</v>
      </c>
      <c r="I16" s="304"/>
      <c r="J16" s="303">
        <v>0</v>
      </c>
      <c r="K16" s="302">
        <v>680232</v>
      </c>
      <c r="L16" s="302">
        <v>0</v>
      </c>
      <c r="M16" s="302">
        <v>0</v>
      </c>
      <c r="N16" s="303">
        <v>0</v>
      </c>
      <c r="O16" s="295">
        <v>680232</v>
      </c>
      <c r="P16" s="299">
        <v>680232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0</v>
      </c>
      <c r="K17" s="302">
        <v>0</v>
      </c>
      <c r="L17" s="302">
        <v>0</v>
      </c>
      <c r="M17" s="302">
        <v>0</v>
      </c>
      <c r="N17" s="303">
        <v>0</v>
      </c>
      <c r="O17" s="295">
        <v>0</v>
      </c>
      <c r="P17" s="299">
        <v>0</v>
      </c>
    </row>
    <row r="18" spans="1:17" ht="18" customHeight="1">
      <c r="C18" s="292"/>
      <c r="D18" s="293" t="s">
        <v>242</v>
      </c>
      <c r="E18" s="305"/>
      <c r="F18" s="295">
        <v>0</v>
      </c>
      <c r="G18" s="296">
        <v>0</v>
      </c>
      <c r="H18" s="297">
        <v>0</v>
      </c>
      <c r="I18" s="298"/>
      <c r="J18" s="296">
        <v>358016</v>
      </c>
      <c r="K18" s="295">
        <v>513164</v>
      </c>
      <c r="L18" s="295">
        <v>1031608</v>
      </c>
      <c r="M18" s="295">
        <v>823384</v>
      </c>
      <c r="N18" s="296">
        <v>0</v>
      </c>
      <c r="O18" s="295">
        <v>2726172</v>
      </c>
      <c r="P18" s="299">
        <v>2726172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70944</v>
      </c>
      <c r="K19" s="302">
        <v>0</v>
      </c>
      <c r="L19" s="302">
        <v>949744</v>
      </c>
      <c r="M19" s="302">
        <v>591584</v>
      </c>
      <c r="N19" s="303">
        <v>0</v>
      </c>
      <c r="O19" s="295">
        <v>1612272</v>
      </c>
      <c r="P19" s="299">
        <v>1612272</v>
      </c>
    </row>
    <row r="20" spans="1:17" ht="18" customHeight="1">
      <c r="C20" s="292"/>
      <c r="D20" s="300"/>
      <c r="E20" s="306" t="s">
        <v>186</v>
      </c>
      <c r="F20" s="302">
        <v>0</v>
      </c>
      <c r="G20" s="303">
        <v>0</v>
      </c>
      <c r="H20" s="297">
        <v>0</v>
      </c>
      <c r="I20" s="304"/>
      <c r="J20" s="303">
        <v>287072</v>
      </c>
      <c r="K20" s="302">
        <v>513164</v>
      </c>
      <c r="L20" s="302">
        <v>81864</v>
      </c>
      <c r="M20" s="302">
        <v>231800</v>
      </c>
      <c r="N20" s="303">
        <v>0</v>
      </c>
      <c r="O20" s="295">
        <v>1113900</v>
      </c>
      <c r="P20" s="299">
        <v>1113900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0</v>
      </c>
      <c r="H21" s="297">
        <v>0</v>
      </c>
      <c r="I21" s="298"/>
      <c r="J21" s="296">
        <v>0</v>
      </c>
      <c r="K21" s="295">
        <v>0</v>
      </c>
      <c r="L21" s="295">
        <v>0</v>
      </c>
      <c r="M21" s="295">
        <v>0</v>
      </c>
      <c r="N21" s="296">
        <v>0</v>
      </c>
      <c r="O21" s="295">
        <v>0</v>
      </c>
      <c r="P21" s="299">
        <v>0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0</v>
      </c>
      <c r="H22" s="297">
        <v>0</v>
      </c>
      <c r="I22" s="304"/>
      <c r="J22" s="303">
        <v>0</v>
      </c>
      <c r="K22" s="302">
        <v>0</v>
      </c>
      <c r="L22" s="302">
        <v>0</v>
      </c>
      <c r="M22" s="302">
        <v>0</v>
      </c>
      <c r="N22" s="303">
        <v>0</v>
      </c>
      <c r="O22" s="295">
        <v>0</v>
      </c>
      <c r="P22" s="299">
        <v>0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0</v>
      </c>
      <c r="H23" s="297">
        <v>0</v>
      </c>
      <c r="I23" s="304"/>
      <c r="J23" s="303">
        <v>0</v>
      </c>
      <c r="K23" s="302">
        <v>0</v>
      </c>
      <c r="L23" s="302">
        <v>0</v>
      </c>
      <c r="M23" s="302">
        <v>0</v>
      </c>
      <c r="N23" s="303">
        <v>0</v>
      </c>
      <c r="O23" s="295">
        <v>0</v>
      </c>
      <c r="P23" s="299">
        <v>0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0</v>
      </c>
      <c r="G26" s="296">
        <v>0</v>
      </c>
      <c r="H26" s="297">
        <v>0</v>
      </c>
      <c r="I26" s="298"/>
      <c r="J26" s="296">
        <v>0</v>
      </c>
      <c r="K26" s="295">
        <v>50256</v>
      </c>
      <c r="L26" s="295">
        <v>96312</v>
      </c>
      <c r="M26" s="295">
        <v>116120</v>
      </c>
      <c r="N26" s="296">
        <v>0</v>
      </c>
      <c r="O26" s="295">
        <v>262688</v>
      </c>
      <c r="P26" s="299">
        <v>262688</v>
      </c>
    </row>
    <row r="27" spans="1:17" ht="18" customHeight="1">
      <c r="C27" s="292"/>
      <c r="D27" s="300"/>
      <c r="E27" s="308" t="s">
        <v>191</v>
      </c>
      <c r="F27" s="309">
        <v>0</v>
      </c>
      <c r="G27" s="310">
        <v>0</v>
      </c>
      <c r="H27" s="297">
        <v>0</v>
      </c>
      <c r="I27" s="304"/>
      <c r="J27" s="310">
        <v>0</v>
      </c>
      <c r="K27" s="309">
        <v>20160</v>
      </c>
      <c r="L27" s="309">
        <v>96312</v>
      </c>
      <c r="M27" s="309">
        <v>116120</v>
      </c>
      <c r="N27" s="310">
        <v>0</v>
      </c>
      <c r="O27" s="295">
        <v>232592</v>
      </c>
      <c r="P27" s="299">
        <v>232592</v>
      </c>
    </row>
    <row r="28" spans="1:17" ht="18" customHeight="1">
      <c r="C28" s="292"/>
      <c r="D28" s="311"/>
      <c r="E28" s="306" t="s">
        <v>245</v>
      </c>
      <c r="F28" s="312">
        <v>0</v>
      </c>
      <c r="G28" s="313">
        <v>0</v>
      </c>
      <c r="H28" s="297">
        <v>0</v>
      </c>
      <c r="I28" s="314"/>
      <c r="J28" s="313">
        <v>0</v>
      </c>
      <c r="K28" s="312">
        <v>30096</v>
      </c>
      <c r="L28" s="312">
        <v>0</v>
      </c>
      <c r="M28" s="312">
        <v>0</v>
      </c>
      <c r="N28" s="313">
        <v>0</v>
      </c>
      <c r="O28" s="295">
        <v>30096</v>
      </c>
      <c r="P28" s="299">
        <v>30096</v>
      </c>
    </row>
    <row r="29" spans="1:17" ht="18" customHeight="1">
      <c r="C29" s="292"/>
      <c r="D29" s="315"/>
      <c r="E29" s="301" t="s">
        <v>246</v>
      </c>
      <c r="F29" s="316">
        <v>0</v>
      </c>
      <c r="G29" s="317">
        <v>0</v>
      </c>
      <c r="H29" s="297">
        <v>0</v>
      </c>
      <c r="I29" s="314"/>
      <c r="J29" s="317">
        <v>0</v>
      </c>
      <c r="K29" s="316">
        <v>0</v>
      </c>
      <c r="L29" s="316">
        <v>0</v>
      </c>
      <c r="M29" s="316">
        <v>0</v>
      </c>
      <c r="N29" s="317">
        <v>0</v>
      </c>
      <c r="O29" s="295">
        <v>0</v>
      </c>
      <c r="P29" s="299">
        <v>0</v>
      </c>
    </row>
    <row r="30" spans="1:17" ht="18" customHeight="1">
      <c r="A30" s="318"/>
      <c r="B30" s="318"/>
      <c r="C30" s="292"/>
      <c r="D30" s="307" t="s">
        <v>192</v>
      </c>
      <c r="E30" s="319"/>
      <c r="F30" s="302">
        <v>0</v>
      </c>
      <c r="G30" s="303">
        <v>0</v>
      </c>
      <c r="H30" s="297">
        <v>0</v>
      </c>
      <c r="I30" s="320"/>
      <c r="J30" s="303">
        <v>0</v>
      </c>
      <c r="K30" s="302">
        <v>0</v>
      </c>
      <c r="L30" s="302">
        <v>0</v>
      </c>
      <c r="M30" s="302">
        <v>0</v>
      </c>
      <c r="N30" s="303">
        <v>0</v>
      </c>
      <c r="O30" s="295">
        <v>0</v>
      </c>
      <c r="P30" s="299">
        <v>0</v>
      </c>
      <c r="Q30" s="8"/>
    </row>
    <row r="31" spans="1:17" ht="18" customHeight="1">
      <c r="A31" s="318"/>
      <c r="B31" s="318"/>
      <c r="C31" s="292"/>
      <c r="D31" s="300" t="s">
        <v>193</v>
      </c>
      <c r="E31" s="319"/>
      <c r="F31" s="302">
        <v>0</v>
      </c>
      <c r="G31" s="303">
        <v>0</v>
      </c>
      <c r="H31" s="297">
        <v>0</v>
      </c>
      <c r="I31" s="320"/>
      <c r="J31" s="303">
        <v>0</v>
      </c>
      <c r="K31" s="302">
        <v>0</v>
      </c>
      <c r="L31" s="302">
        <v>0</v>
      </c>
      <c r="M31" s="302">
        <v>0</v>
      </c>
      <c r="N31" s="303">
        <v>0</v>
      </c>
      <c r="O31" s="295">
        <v>0</v>
      </c>
      <c r="P31" s="299">
        <v>0</v>
      </c>
      <c r="Q31" s="8"/>
    </row>
    <row r="32" spans="1:17" ht="18" customHeight="1">
      <c r="A32" s="318"/>
      <c r="B32" s="318"/>
      <c r="C32" s="321" t="s">
        <v>194</v>
      </c>
      <c r="D32" s="372"/>
      <c r="E32" s="372"/>
      <c r="F32" s="373"/>
      <c r="G32" s="373"/>
      <c r="H32" s="374"/>
      <c r="I32" s="375"/>
      <c r="J32" s="373"/>
      <c r="K32" s="373"/>
      <c r="L32" s="373"/>
      <c r="M32" s="373"/>
      <c r="N32" s="373"/>
      <c r="O32" s="374"/>
      <c r="P32" s="377"/>
      <c r="Q32" s="8"/>
    </row>
    <row r="33" spans="1:17" ht="18" customHeight="1">
      <c r="A33" s="318"/>
      <c r="B33" s="318"/>
      <c r="C33" s="285" t="s">
        <v>247</v>
      </c>
      <c r="D33" s="325"/>
      <c r="E33" s="326"/>
      <c r="F33" s="287">
        <v>0</v>
      </c>
      <c r="G33" s="288">
        <v>0</v>
      </c>
      <c r="H33" s="289">
        <v>0</v>
      </c>
      <c r="I33" s="327"/>
      <c r="J33" s="288">
        <v>0</v>
      </c>
      <c r="K33" s="287">
        <v>0</v>
      </c>
      <c r="L33" s="287">
        <v>0</v>
      </c>
      <c r="M33" s="287">
        <v>0</v>
      </c>
      <c r="N33" s="288">
        <v>0</v>
      </c>
      <c r="O33" s="287">
        <v>0</v>
      </c>
      <c r="P33" s="291">
        <v>0</v>
      </c>
      <c r="Q33" s="8"/>
    </row>
    <row r="34" spans="1:17" ht="18" customHeight="1">
      <c r="A34" s="318"/>
      <c r="B34" s="318"/>
      <c r="C34" s="328"/>
      <c r="D34" s="798" t="s">
        <v>211</v>
      </c>
      <c r="E34" s="799"/>
      <c r="F34" s="329">
        <v>0</v>
      </c>
      <c r="G34" s="330">
        <v>0</v>
      </c>
      <c r="H34" s="331">
        <v>0</v>
      </c>
      <c r="I34" s="320"/>
      <c r="J34" s="330">
        <v>0</v>
      </c>
      <c r="K34" s="329">
        <v>0</v>
      </c>
      <c r="L34" s="329">
        <v>0</v>
      </c>
      <c r="M34" s="329">
        <v>0</v>
      </c>
      <c r="N34" s="330">
        <v>0</v>
      </c>
      <c r="O34" s="332">
        <v>0</v>
      </c>
      <c r="P34" s="333">
        <v>0</v>
      </c>
      <c r="Q34" s="8"/>
    </row>
    <row r="35" spans="1:17" ht="18" customHeight="1">
      <c r="A35" s="318"/>
      <c r="B35" s="318"/>
      <c r="C35" s="292"/>
      <c r="D35" s="307" t="s">
        <v>212</v>
      </c>
      <c r="E35" s="319"/>
      <c r="F35" s="329">
        <v>0</v>
      </c>
      <c r="G35" s="330">
        <v>0</v>
      </c>
      <c r="H35" s="297">
        <v>0</v>
      </c>
      <c r="I35" s="320"/>
      <c r="J35" s="303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07" t="s">
        <v>213</v>
      </c>
      <c r="E36" s="319"/>
      <c r="F36" s="302">
        <v>0</v>
      </c>
      <c r="G36" s="303">
        <v>0</v>
      </c>
      <c r="H36" s="297">
        <v>0</v>
      </c>
      <c r="I36" s="320"/>
      <c r="J36" s="303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214</v>
      </c>
      <c r="E37" s="305"/>
      <c r="F37" s="302">
        <v>0</v>
      </c>
      <c r="G37" s="303">
        <v>0</v>
      </c>
      <c r="H37" s="297">
        <v>0</v>
      </c>
      <c r="I37" s="320"/>
      <c r="J37" s="303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215</v>
      </c>
      <c r="E38" s="305"/>
      <c r="F38" s="302">
        <v>0</v>
      </c>
      <c r="G38" s="303">
        <v>0</v>
      </c>
      <c r="H38" s="297">
        <v>0</v>
      </c>
      <c r="I38" s="320"/>
      <c r="J38" s="303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216</v>
      </c>
      <c r="E39" s="305"/>
      <c r="F39" s="302">
        <v>0</v>
      </c>
      <c r="G39" s="303">
        <v>0</v>
      </c>
      <c r="H39" s="297">
        <v>0</v>
      </c>
      <c r="I39" s="320"/>
      <c r="J39" s="303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334" t="s">
        <v>217</v>
      </c>
      <c r="E40" s="305"/>
      <c r="F40" s="330">
        <v>0</v>
      </c>
      <c r="G40" s="303">
        <v>0</v>
      </c>
      <c r="H40" s="297">
        <v>0</v>
      </c>
      <c r="I40" s="320"/>
      <c r="J40" s="303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334" t="s">
        <v>218</v>
      </c>
      <c r="E41" s="305"/>
      <c r="F41" s="330">
        <v>0</v>
      </c>
      <c r="G41" s="303">
        <v>0</v>
      </c>
      <c r="H41" s="297">
        <v>0</v>
      </c>
      <c r="I41" s="320"/>
      <c r="J41" s="303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219</v>
      </c>
      <c r="E42" s="800"/>
      <c r="F42" s="329">
        <v>0</v>
      </c>
      <c r="G42" s="330">
        <v>0</v>
      </c>
      <c r="H42" s="297">
        <v>0</v>
      </c>
      <c r="I42" s="320"/>
      <c r="J42" s="303">
        <v>0</v>
      </c>
      <c r="K42" s="302">
        <v>0</v>
      </c>
      <c r="L42" s="302">
        <v>0</v>
      </c>
      <c r="M42" s="302">
        <v>0</v>
      </c>
      <c r="N42" s="303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292"/>
      <c r="D43" s="798" t="s">
        <v>220</v>
      </c>
      <c r="E43" s="800"/>
      <c r="F43" s="329">
        <v>0</v>
      </c>
      <c r="G43" s="330">
        <v>0</v>
      </c>
      <c r="H43" s="297">
        <v>0</v>
      </c>
      <c r="I43" s="320"/>
      <c r="J43" s="303">
        <v>0</v>
      </c>
      <c r="K43" s="302">
        <v>0</v>
      </c>
      <c r="L43" s="302">
        <v>0</v>
      </c>
      <c r="M43" s="302">
        <v>0</v>
      </c>
      <c r="N43" s="303">
        <v>0</v>
      </c>
      <c r="O43" s="295">
        <v>0</v>
      </c>
      <c r="P43" s="299">
        <v>0</v>
      </c>
      <c r="Q43" s="8"/>
    </row>
    <row r="44" spans="1:17" ht="18" customHeight="1">
      <c r="A44" s="318"/>
      <c r="B44" s="318"/>
      <c r="C44" s="328"/>
      <c r="D44" s="798" t="s">
        <v>221</v>
      </c>
      <c r="E44" s="799"/>
      <c r="F44" s="329">
        <v>0</v>
      </c>
      <c r="G44" s="330">
        <v>0</v>
      </c>
      <c r="H44" s="331">
        <v>0</v>
      </c>
      <c r="I44" s="320"/>
      <c r="J44" s="330">
        <v>0</v>
      </c>
      <c r="K44" s="329">
        <v>0</v>
      </c>
      <c r="L44" s="329">
        <v>0</v>
      </c>
      <c r="M44" s="329">
        <v>0</v>
      </c>
      <c r="N44" s="330">
        <v>0</v>
      </c>
      <c r="O44" s="332">
        <v>0</v>
      </c>
      <c r="P44" s="333">
        <v>0</v>
      </c>
      <c r="Q44" s="8"/>
    </row>
    <row r="45" spans="1:17" ht="18" customHeight="1">
      <c r="A45" s="318"/>
      <c r="B45" s="318"/>
      <c r="C45" s="367"/>
      <c r="D45" s="811" t="s">
        <v>258</v>
      </c>
      <c r="E45" s="799"/>
      <c r="F45" s="329">
        <v>0</v>
      </c>
      <c r="G45" s="330">
        <v>0</v>
      </c>
      <c r="H45" s="297">
        <v>0</v>
      </c>
      <c r="I45" s="336"/>
      <c r="J45" s="330">
        <v>0</v>
      </c>
      <c r="K45" s="329">
        <v>0</v>
      </c>
      <c r="L45" s="329">
        <v>0</v>
      </c>
      <c r="M45" s="329">
        <v>0</v>
      </c>
      <c r="N45" s="330">
        <v>0</v>
      </c>
      <c r="O45" s="332">
        <v>0</v>
      </c>
      <c r="P45" s="333">
        <v>0</v>
      </c>
      <c r="Q45" s="8"/>
    </row>
    <row r="46" spans="1:17" ht="18" customHeight="1">
      <c r="A46" s="318"/>
      <c r="B46" s="318"/>
      <c r="C46" s="337"/>
      <c r="D46" s="806" t="s">
        <v>249</v>
      </c>
      <c r="E46" s="810"/>
      <c r="F46" s="136">
        <v>0</v>
      </c>
      <c r="G46" s="109">
        <v>0</v>
      </c>
      <c r="H46" s="297">
        <v>0</v>
      </c>
      <c r="I46" s="363"/>
      <c r="J46" s="109">
        <v>0</v>
      </c>
      <c r="K46" s="136">
        <v>0</v>
      </c>
      <c r="L46" s="136">
        <v>0</v>
      </c>
      <c r="M46" s="136">
        <v>0</v>
      </c>
      <c r="N46" s="109">
        <v>0</v>
      </c>
      <c r="O46" s="145">
        <v>0</v>
      </c>
      <c r="P46" s="365">
        <v>0</v>
      </c>
      <c r="Q46" s="8"/>
    </row>
    <row r="47" spans="1:17" ht="18" customHeight="1">
      <c r="A47" s="318"/>
      <c r="B47" s="318"/>
      <c r="C47" s="292" t="s">
        <v>250</v>
      </c>
      <c r="D47" s="294"/>
      <c r="E47" s="294"/>
      <c r="F47" s="288">
        <v>0</v>
      </c>
      <c r="G47" s="288">
        <v>0</v>
      </c>
      <c r="H47" s="289">
        <v>0</v>
      </c>
      <c r="I47" s="327"/>
      <c r="J47" s="288">
        <v>0</v>
      </c>
      <c r="K47" s="287">
        <v>0</v>
      </c>
      <c r="L47" s="287">
        <v>0</v>
      </c>
      <c r="M47" s="287">
        <v>1544490</v>
      </c>
      <c r="N47" s="288">
        <v>0</v>
      </c>
      <c r="O47" s="287">
        <v>1544490</v>
      </c>
      <c r="P47" s="291">
        <v>1544490</v>
      </c>
      <c r="Q47" s="8"/>
    </row>
    <row r="48" spans="1:17" ht="18" customHeight="1">
      <c r="A48" s="318"/>
      <c r="B48" s="318"/>
      <c r="C48" s="292"/>
      <c r="D48" s="342" t="s">
        <v>113</v>
      </c>
      <c r="E48" s="342"/>
      <c r="F48" s="303">
        <v>0</v>
      </c>
      <c r="G48" s="303">
        <v>0</v>
      </c>
      <c r="H48" s="297">
        <v>0</v>
      </c>
      <c r="I48" s="320"/>
      <c r="J48" s="303">
        <v>0</v>
      </c>
      <c r="K48" s="302">
        <v>0</v>
      </c>
      <c r="L48" s="302">
        <v>0</v>
      </c>
      <c r="M48" s="302">
        <v>0</v>
      </c>
      <c r="N48" s="303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2" t="s">
        <v>114</v>
      </c>
      <c r="E49" s="342"/>
      <c r="F49" s="302">
        <v>0</v>
      </c>
      <c r="G49" s="303">
        <v>0</v>
      </c>
      <c r="H49" s="297">
        <v>0</v>
      </c>
      <c r="I49" s="320"/>
      <c r="J49" s="303">
        <v>0</v>
      </c>
      <c r="K49" s="302">
        <v>0</v>
      </c>
      <c r="L49" s="302">
        <v>0</v>
      </c>
      <c r="M49" s="302">
        <v>1544490</v>
      </c>
      <c r="N49" s="303">
        <v>0</v>
      </c>
      <c r="O49" s="295">
        <v>1544490</v>
      </c>
      <c r="P49" s="299">
        <v>1544490</v>
      </c>
      <c r="Q49" s="8"/>
    </row>
    <row r="50" spans="1:17" ht="18" customHeight="1">
      <c r="A50" s="318"/>
      <c r="B50" s="318"/>
      <c r="C50" s="292"/>
      <c r="D50" s="343" t="s">
        <v>176</v>
      </c>
      <c r="E50" s="343"/>
      <c r="F50" s="329">
        <v>0</v>
      </c>
      <c r="G50" s="330">
        <v>0</v>
      </c>
      <c r="H50" s="297">
        <v>0</v>
      </c>
      <c r="I50" s="320"/>
      <c r="J50" s="330">
        <v>0</v>
      </c>
      <c r="K50" s="329">
        <v>0</v>
      </c>
      <c r="L50" s="329">
        <v>0</v>
      </c>
      <c r="M50" s="329">
        <v>0</v>
      </c>
      <c r="N50" s="330">
        <v>0</v>
      </c>
      <c r="O50" s="295">
        <v>0</v>
      </c>
      <c r="P50" s="299">
        <v>0</v>
      </c>
      <c r="Q50" s="8"/>
    </row>
    <row r="51" spans="1:17" ht="18" customHeight="1">
      <c r="A51" s="318"/>
      <c r="B51" s="318"/>
      <c r="C51" s="292"/>
      <c r="D51" s="344" t="s">
        <v>251</v>
      </c>
      <c r="E51" s="344"/>
      <c r="F51" s="338">
        <v>0</v>
      </c>
      <c r="G51" s="339">
        <v>0</v>
      </c>
      <c r="H51" s="345">
        <v>0</v>
      </c>
      <c r="I51" s="320"/>
      <c r="J51" s="339">
        <v>0</v>
      </c>
      <c r="K51" s="338">
        <v>0</v>
      </c>
      <c r="L51" s="338">
        <v>0</v>
      </c>
      <c r="M51" s="338">
        <v>0</v>
      </c>
      <c r="N51" s="339">
        <v>0</v>
      </c>
      <c r="O51" s="340">
        <v>0</v>
      </c>
      <c r="P51" s="341">
        <v>0</v>
      </c>
      <c r="Q51" s="8"/>
    </row>
    <row r="52" spans="1:17" ht="18" customHeight="1">
      <c r="A52" s="318"/>
      <c r="B52" s="318"/>
      <c r="C52" s="801" t="s">
        <v>252</v>
      </c>
      <c r="D52" s="802"/>
      <c r="E52" s="803"/>
      <c r="F52" s="346">
        <v>0</v>
      </c>
      <c r="G52" s="346">
        <v>0</v>
      </c>
      <c r="H52" s="178">
        <v>0</v>
      </c>
      <c r="I52" s="347"/>
      <c r="J52" s="346">
        <v>358016</v>
      </c>
      <c r="K52" s="346">
        <v>1985754</v>
      </c>
      <c r="L52" s="346">
        <v>1127920</v>
      </c>
      <c r="M52" s="346">
        <v>2483994</v>
      </c>
      <c r="N52" s="346">
        <v>0</v>
      </c>
      <c r="O52" s="346">
        <v>5955684</v>
      </c>
      <c r="P52" s="171">
        <v>5955684</v>
      </c>
      <c r="Q52" s="8"/>
    </row>
    <row r="53" spans="1:17" ht="12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8"/>
    </row>
  </sheetData>
  <mergeCells count="10">
    <mergeCell ref="D44:E44"/>
    <mergeCell ref="D42:E42"/>
    <mergeCell ref="C52:E52"/>
    <mergeCell ref="D46:E46"/>
    <mergeCell ref="D45:E45"/>
    <mergeCell ref="A3:Q3"/>
    <mergeCell ref="A4:Q4"/>
    <mergeCell ref="C10:E10"/>
    <mergeCell ref="D34:E34"/>
    <mergeCell ref="D43:E43"/>
  </mergeCells>
  <phoneticPr fontId="35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9933"/>
  </sheetPr>
  <dimension ref="A1:Q53"/>
  <sheetViews>
    <sheetView showGridLines="0" topLeftCell="A7" workbookViewId="0"/>
  </sheetViews>
  <sheetFormatPr defaultColWidth="9" defaultRowHeight="12" custom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234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259</v>
      </c>
    </row>
    <row r="8" spans="1:17" ht="18" customHeight="1">
      <c r="C8" s="84" t="s">
        <v>238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 t="s">
        <v>239</v>
      </c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0</v>
      </c>
      <c r="G11" s="288">
        <v>13</v>
      </c>
      <c r="H11" s="289">
        <v>13</v>
      </c>
      <c r="I11" s="290"/>
      <c r="J11" s="288">
        <v>5</v>
      </c>
      <c r="K11" s="288">
        <v>7</v>
      </c>
      <c r="L11" s="287">
        <v>4</v>
      </c>
      <c r="M11" s="288">
        <v>3</v>
      </c>
      <c r="N11" s="288">
        <v>9</v>
      </c>
      <c r="O11" s="287">
        <v>28</v>
      </c>
      <c r="P11" s="291">
        <v>41</v>
      </c>
    </row>
    <row r="12" spans="1:17" ht="18" customHeight="1">
      <c r="C12" s="292"/>
      <c r="D12" s="293" t="s">
        <v>241</v>
      </c>
      <c r="E12" s="294"/>
      <c r="F12" s="295">
        <v>0</v>
      </c>
      <c r="G12" s="296">
        <v>0</v>
      </c>
      <c r="H12" s="297">
        <v>0</v>
      </c>
      <c r="I12" s="298"/>
      <c r="J12" s="296">
        <v>0</v>
      </c>
      <c r="K12" s="295">
        <v>0</v>
      </c>
      <c r="L12" s="295">
        <v>0</v>
      </c>
      <c r="M12" s="295">
        <v>0</v>
      </c>
      <c r="N12" s="296">
        <v>6</v>
      </c>
      <c r="O12" s="295">
        <v>6</v>
      </c>
      <c r="P12" s="299">
        <v>6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0</v>
      </c>
      <c r="K13" s="302">
        <v>0</v>
      </c>
      <c r="L13" s="302">
        <v>0</v>
      </c>
      <c r="M13" s="302">
        <v>0</v>
      </c>
      <c r="N13" s="303">
        <v>0</v>
      </c>
      <c r="O13" s="295">
        <v>0</v>
      </c>
      <c r="P13" s="299">
        <v>0</v>
      </c>
    </row>
    <row r="14" spans="1:17" ht="18" customHeight="1">
      <c r="C14" s="292"/>
      <c r="D14" s="300"/>
      <c r="E14" s="301" t="s">
        <v>181</v>
      </c>
      <c r="F14" s="302">
        <v>0</v>
      </c>
      <c r="G14" s="303">
        <v>0</v>
      </c>
      <c r="H14" s="297">
        <v>0</v>
      </c>
      <c r="I14" s="304"/>
      <c r="J14" s="303">
        <v>0</v>
      </c>
      <c r="K14" s="302">
        <v>0</v>
      </c>
      <c r="L14" s="302">
        <v>0</v>
      </c>
      <c r="M14" s="302">
        <v>0</v>
      </c>
      <c r="N14" s="303">
        <v>3</v>
      </c>
      <c r="O14" s="295">
        <v>3</v>
      </c>
      <c r="P14" s="299">
        <v>3</v>
      </c>
    </row>
    <row r="15" spans="1:17" ht="18" customHeight="1">
      <c r="C15" s="292"/>
      <c r="D15" s="300"/>
      <c r="E15" s="301" t="s">
        <v>182</v>
      </c>
      <c r="F15" s="302">
        <v>0</v>
      </c>
      <c r="G15" s="303">
        <v>0</v>
      </c>
      <c r="H15" s="297">
        <v>0</v>
      </c>
      <c r="I15" s="304"/>
      <c r="J15" s="303">
        <v>0</v>
      </c>
      <c r="K15" s="302">
        <v>0</v>
      </c>
      <c r="L15" s="302">
        <v>0</v>
      </c>
      <c r="M15" s="302">
        <v>0</v>
      </c>
      <c r="N15" s="303">
        <v>0</v>
      </c>
      <c r="O15" s="295">
        <v>0</v>
      </c>
      <c r="P15" s="299">
        <v>0</v>
      </c>
    </row>
    <row r="16" spans="1:17" ht="18" customHeight="1">
      <c r="C16" s="292"/>
      <c r="D16" s="300"/>
      <c r="E16" s="301" t="s">
        <v>183</v>
      </c>
      <c r="F16" s="302">
        <v>0</v>
      </c>
      <c r="G16" s="303">
        <v>0</v>
      </c>
      <c r="H16" s="297">
        <v>0</v>
      </c>
      <c r="I16" s="304"/>
      <c r="J16" s="303">
        <v>0</v>
      </c>
      <c r="K16" s="302">
        <v>0</v>
      </c>
      <c r="L16" s="302">
        <v>0</v>
      </c>
      <c r="M16" s="302">
        <v>0</v>
      </c>
      <c r="N16" s="303">
        <v>3</v>
      </c>
      <c r="O16" s="295">
        <v>3</v>
      </c>
      <c r="P16" s="299">
        <v>3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0</v>
      </c>
      <c r="K17" s="302">
        <v>0</v>
      </c>
      <c r="L17" s="302">
        <v>0</v>
      </c>
      <c r="M17" s="302">
        <v>0</v>
      </c>
      <c r="N17" s="303">
        <v>0</v>
      </c>
      <c r="O17" s="295">
        <v>0</v>
      </c>
      <c r="P17" s="299">
        <v>0</v>
      </c>
    </row>
    <row r="18" spans="1:17" ht="18" customHeight="1">
      <c r="C18" s="292"/>
      <c r="D18" s="293" t="s">
        <v>242</v>
      </c>
      <c r="E18" s="305"/>
      <c r="F18" s="295">
        <v>0</v>
      </c>
      <c r="G18" s="296">
        <v>1</v>
      </c>
      <c r="H18" s="297">
        <v>1</v>
      </c>
      <c r="I18" s="298"/>
      <c r="J18" s="296">
        <v>5</v>
      </c>
      <c r="K18" s="295">
        <v>7</v>
      </c>
      <c r="L18" s="295">
        <v>2</v>
      </c>
      <c r="M18" s="295">
        <v>0</v>
      </c>
      <c r="N18" s="296">
        <v>0</v>
      </c>
      <c r="O18" s="295">
        <v>14</v>
      </c>
      <c r="P18" s="299">
        <v>15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5</v>
      </c>
      <c r="K19" s="302">
        <v>0</v>
      </c>
      <c r="L19" s="302">
        <v>0</v>
      </c>
      <c r="M19" s="302">
        <v>0</v>
      </c>
      <c r="N19" s="303">
        <v>0</v>
      </c>
      <c r="O19" s="295">
        <v>5</v>
      </c>
      <c r="P19" s="299">
        <v>5</v>
      </c>
    </row>
    <row r="20" spans="1:17" ht="18" customHeight="1">
      <c r="C20" s="292"/>
      <c r="D20" s="300"/>
      <c r="E20" s="306" t="s">
        <v>186</v>
      </c>
      <c r="F20" s="302">
        <v>0</v>
      </c>
      <c r="G20" s="303">
        <v>1</v>
      </c>
      <c r="H20" s="297">
        <v>1</v>
      </c>
      <c r="I20" s="304"/>
      <c r="J20" s="303">
        <v>0</v>
      </c>
      <c r="K20" s="302">
        <v>7</v>
      </c>
      <c r="L20" s="302">
        <v>2</v>
      </c>
      <c r="M20" s="302">
        <v>0</v>
      </c>
      <c r="N20" s="303">
        <v>0</v>
      </c>
      <c r="O20" s="295">
        <v>9</v>
      </c>
      <c r="P20" s="299">
        <v>10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0</v>
      </c>
      <c r="H21" s="297">
        <v>0</v>
      </c>
      <c r="I21" s="298"/>
      <c r="J21" s="296">
        <v>0</v>
      </c>
      <c r="K21" s="295">
        <v>0</v>
      </c>
      <c r="L21" s="295">
        <v>0</v>
      </c>
      <c r="M21" s="295">
        <v>0</v>
      </c>
      <c r="N21" s="296">
        <v>0</v>
      </c>
      <c r="O21" s="295">
        <v>0</v>
      </c>
      <c r="P21" s="299">
        <v>0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0</v>
      </c>
      <c r="H22" s="297">
        <v>0</v>
      </c>
      <c r="I22" s="304"/>
      <c r="J22" s="303">
        <v>0</v>
      </c>
      <c r="K22" s="302">
        <v>0</v>
      </c>
      <c r="L22" s="302">
        <v>0</v>
      </c>
      <c r="M22" s="302">
        <v>0</v>
      </c>
      <c r="N22" s="303">
        <v>0</v>
      </c>
      <c r="O22" s="295">
        <v>0</v>
      </c>
      <c r="P22" s="299">
        <v>0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0</v>
      </c>
      <c r="H23" s="297">
        <v>0</v>
      </c>
      <c r="I23" s="304"/>
      <c r="J23" s="303">
        <v>0</v>
      </c>
      <c r="K23" s="302">
        <v>0</v>
      </c>
      <c r="L23" s="302">
        <v>0</v>
      </c>
      <c r="M23" s="302">
        <v>0</v>
      </c>
      <c r="N23" s="303">
        <v>0</v>
      </c>
      <c r="O23" s="295">
        <v>0</v>
      </c>
      <c r="P23" s="299">
        <v>0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0</v>
      </c>
      <c r="G26" s="296">
        <v>12</v>
      </c>
      <c r="H26" s="297">
        <v>12</v>
      </c>
      <c r="I26" s="298"/>
      <c r="J26" s="296">
        <v>0</v>
      </c>
      <c r="K26" s="295">
        <v>0</v>
      </c>
      <c r="L26" s="295">
        <v>2</v>
      </c>
      <c r="M26" s="295">
        <v>3</v>
      </c>
      <c r="N26" s="296">
        <v>3</v>
      </c>
      <c r="O26" s="295">
        <v>8</v>
      </c>
      <c r="P26" s="299">
        <v>20</v>
      </c>
    </row>
    <row r="27" spans="1:17" ht="18" customHeight="1">
      <c r="C27" s="292"/>
      <c r="D27" s="300"/>
      <c r="E27" s="308" t="s">
        <v>191</v>
      </c>
      <c r="F27" s="309">
        <v>0</v>
      </c>
      <c r="G27" s="379">
        <v>12</v>
      </c>
      <c r="H27" s="297">
        <v>12</v>
      </c>
      <c r="I27" s="304"/>
      <c r="J27" s="310">
        <v>0</v>
      </c>
      <c r="K27" s="309">
        <v>0</v>
      </c>
      <c r="L27" s="309">
        <v>2</v>
      </c>
      <c r="M27" s="309">
        <v>3</v>
      </c>
      <c r="N27" s="310">
        <v>3</v>
      </c>
      <c r="O27" s="295">
        <v>8</v>
      </c>
      <c r="P27" s="299">
        <v>20</v>
      </c>
    </row>
    <row r="28" spans="1:17" ht="18" customHeight="1">
      <c r="C28" s="292"/>
      <c r="D28" s="311"/>
      <c r="E28" s="306" t="s">
        <v>245</v>
      </c>
      <c r="F28" s="312">
        <v>0</v>
      </c>
      <c r="G28" s="313">
        <v>0</v>
      </c>
      <c r="H28" s="297">
        <v>0</v>
      </c>
      <c r="I28" s="314"/>
      <c r="J28" s="313">
        <v>0</v>
      </c>
      <c r="K28" s="312">
        <v>0</v>
      </c>
      <c r="L28" s="312">
        <v>0</v>
      </c>
      <c r="M28" s="312">
        <v>0</v>
      </c>
      <c r="N28" s="313">
        <v>0</v>
      </c>
      <c r="O28" s="295">
        <v>0</v>
      </c>
      <c r="P28" s="299">
        <v>0</v>
      </c>
    </row>
    <row r="29" spans="1:17" ht="18" customHeight="1">
      <c r="C29" s="292"/>
      <c r="D29" s="315"/>
      <c r="E29" s="301" t="s">
        <v>246</v>
      </c>
      <c r="F29" s="316">
        <v>0</v>
      </c>
      <c r="G29" s="317">
        <v>0</v>
      </c>
      <c r="H29" s="297">
        <v>0</v>
      </c>
      <c r="I29" s="314"/>
      <c r="J29" s="317">
        <v>0</v>
      </c>
      <c r="K29" s="316">
        <v>0</v>
      </c>
      <c r="L29" s="316">
        <v>0</v>
      </c>
      <c r="M29" s="316">
        <v>0</v>
      </c>
      <c r="N29" s="317">
        <v>0</v>
      </c>
      <c r="O29" s="295">
        <v>0</v>
      </c>
      <c r="P29" s="299">
        <v>0</v>
      </c>
    </row>
    <row r="30" spans="1:17" ht="18" customHeight="1">
      <c r="A30" s="318"/>
      <c r="B30" s="318"/>
      <c r="C30" s="292"/>
      <c r="D30" s="307" t="s">
        <v>192</v>
      </c>
      <c r="E30" s="319"/>
      <c r="F30" s="302">
        <v>0</v>
      </c>
      <c r="G30" s="303">
        <v>0</v>
      </c>
      <c r="H30" s="297">
        <v>0</v>
      </c>
      <c r="I30" s="320"/>
      <c r="J30" s="303">
        <v>0</v>
      </c>
      <c r="K30" s="302">
        <v>0</v>
      </c>
      <c r="L30" s="302">
        <v>0</v>
      </c>
      <c r="M30" s="302">
        <v>0</v>
      </c>
      <c r="N30" s="303">
        <v>0</v>
      </c>
      <c r="O30" s="295">
        <v>0</v>
      </c>
      <c r="P30" s="299">
        <v>0</v>
      </c>
      <c r="Q30" s="8"/>
    </row>
    <row r="31" spans="1:17" ht="18" customHeight="1">
      <c r="A31" s="318"/>
      <c r="B31" s="318"/>
      <c r="C31" s="292"/>
      <c r="D31" s="300" t="s">
        <v>193</v>
      </c>
      <c r="E31" s="319"/>
      <c r="F31" s="302">
        <v>0</v>
      </c>
      <c r="G31" s="303">
        <v>0</v>
      </c>
      <c r="H31" s="297">
        <v>0</v>
      </c>
      <c r="I31" s="320"/>
      <c r="J31" s="303">
        <v>0</v>
      </c>
      <c r="K31" s="302">
        <v>0</v>
      </c>
      <c r="L31" s="302">
        <v>0</v>
      </c>
      <c r="M31" s="302">
        <v>0</v>
      </c>
      <c r="N31" s="303">
        <v>0</v>
      </c>
      <c r="O31" s="295">
        <v>0</v>
      </c>
      <c r="P31" s="299">
        <v>0</v>
      </c>
      <c r="Q31" s="8"/>
    </row>
    <row r="32" spans="1:17" ht="18" customHeight="1">
      <c r="A32" s="318"/>
      <c r="B32" s="318"/>
      <c r="C32" s="321" t="s">
        <v>194</v>
      </c>
      <c r="D32" s="372"/>
      <c r="E32" s="372"/>
      <c r="F32" s="373"/>
      <c r="G32" s="373"/>
      <c r="H32" s="374"/>
      <c r="I32" s="375"/>
      <c r="J32" s="373"/>
      <c r="K32" s="373"/>
      <c r="L32" s="373"/>
      <c r="M32" s="373"/>
      <c r="N32" s="373"/>
      <c r="O32" s="374"/>
      <c r="P32" s="377"/>
      <c r="Q32" s="8"/>
    </row>
    <row r="33" spans="1:17" ht="18" customHeight="1">
      <c r="A33" s="318"/>
      <c r="B33" s="318"/>
      <c r="C33" s="285" t="s">
        <v>247</v>
      </c>
      <c r="D33" s="325"/>
      <c r="E33" s="326"/>
      <c r="F33" s="287">
        <v>0</v>
      </c>
      <c r="G33" s="288">
        <v>0</v>
      </c>
      <c r="H33" s="289">
        <v>0</v>
      </c>
      <c r="I33" s="327"/>
      <c r="J33" s="288">
        <v>0</v>
      </c>
      <c r="K33" s="287">
        <v>0</v>
      </c>
      <c r="L33" s="287">
        <v>0</v>
      </c>
      <c r="M33" s="287">
        <v>0</v>
      </c>
      <c r="N33" s="288">
        <v>0</v>
      </c>
      <c r="O33" s="287">
        <v>0</v>
      </c>
      <c r="P33" s="291">
        <v>0</v>
      </c>
      <c r="Q33" s="8"/>
    </row>
    <row r="34" spans="1:17" ht="18" customHeight="1">
      <c r="A34" s="318"/>
      <c r="B34" s="318"/>
      <c r="C34" s="328"/>
      <c r="D34" s="798" t="s">
        <v>211</v>
      </c>
      <c r="E34" s="799"/>
      <c r="F34" s="329">
        <v>0</v>
      </c>
      <c r="G34" s="330">
        <v>0</v>
      </c>
      <c r="H34" s="331">
        <v>0</v>
      </c>
      <c r="I34" s="320"/>
      <c r="J34" s="330">
        <v>0</v>
      </c>
      <c r="K34" s="329">
        <v>0</v>
      </c>
      <c r="L34" s="329">
        <v>0</v>
      </c>
      <c r="M34" s="329">
        <v>0</v>
      </c>
      <c r="N34" s="330">
        <v>0</v>
      </c>
      <c r="O34" s="332">
        <v>0</v>
      </c>
      <c r="P34" s="333">
        <v>0</v>
      </c>
      <c r="Q34" s="8"/>
    </row>
    <row r="35" spans="1:17" ht="18" customHeight="1">
      <c r="A35" s="318"/>
      <c r="B35" s="318"/>
      <c r="C35" s="292"/>
      <c r="D35" s="307" t="s">
        <v>212</v>
      </c>
      <c r="E35" s="319"/>
      <c r="F35" s="329">
        <v>0</v>
      </c>
      <c r="G35" s="330">
        <v>0</v>
      </c>
      <c r="H35" s="297">
        <v>0</v>
      </c>
      <c r="I35" s="320"/>
      <c r="J35" s="303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07" t="s">
        <v>213</v>
      </c>
      <c r="E36" s="319"/>
      <c r="F36" s="302">
        <v>0</v>
      </c>
      <c r="G36" s="303">
        <v>0</v>
      </c>
      <c r="H36" s="297">
        <v>0</v>
      </c>
      <c r="I36" s="320"/>
      <c r="J36" s="303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214</v>
      </c>
      <c r="E37" s="305"/>
      <c r="F37" s="302">
        <v>0</v>
      </c>
      <c r="G37" s="303">
        <v>0</v>
      </c>
      <c r="H37" s="297">
        <v>0</v>
      </c>
      <c r="I37" s="320"/>
      <c r="J37" s="303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215</v>
      </c>
      <c r="E38" s="305"/>
      <c r="F38" s="302">
        <v>0</v>
      </c>
      <c r="G38" s="303">
        <v>0</v>
      </c>
      <c r="H38" s="297">
        <v>0</v>
      </c>
      <c r="I38" s="320"/>
      <c r="J38" s="303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216</v>
      </c>
      <c r="E39" s="305"/>
      <c r="F39" s="302">
        <v>0</v>
      </c>
      <c r="G39" s="303">
        <v>0</v>
      </c>
      <c r="H39" s="297">
        <v>0</v>
      </c>
      <c r="I39" s="320"/>
      <c r="J39" s="303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334" t="s">
        <v>217</v>
      </c>
      <c r="E40" s="305"/>
      <c r="F40" s="330">
        <v>0</v>
      </c>
      <c r="G40" s="303">
        <v>0</v>
      </c>
      <c r="H40" s="297">
        <v>0</v>
      </c>
      <c r="I40" s="320"/>
      <c r="J40" s="303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334" t="s">
        <v>218</v>
      </c>
      <c r="E41" s="305"/>
      <c r="F41" s="330">
        <v>0</v>
      </c>
      <c r="G41" s="303">
        <v>0</v>
      </c>
      <c r="H41" s="297">
        <v>0</v>
      </c>
      <c r="I41" s="320"/>
      <c r="J41" s="303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219</v>
      </c>
      <c r="E42" s="800"/>
      <c r="F42" s="329">
        <v>0</v>
      </c>
      <c r="G42" s="330">
        <v>0</v>
      </c>
      <c r="H42" s="297">
        <v>0</v>
      </c>
      <c r="I42" s="320"/>
      <c r="J42" s="303">
        <v>0</v>
      </c>
      <c r="K42" s="302">
        <v>0</v>
      </c>
      <c r="L42" s="302">
        <v>0</v>
      </c>
      <c r="M42" s="302">
        <v>0</v>
      </c>
      <c r="N42" s="303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292"/>
      <c r="D43" s="798" t="s">
        <v>220</v>
      </c>
      <c r="E43" s="800"/>
      <c r="F43" s="329">
        <v>0</v>
      </c>
      <c r="G43" s="330">
        <v>0</v>
      </c>
      <c r="H43" s="297">
        <v>0</v>
      </c>
      <c r="I43" s="320"/>
      <c r="J43" s="303">
        <v>0</v>
      </c>
      <c r="K43" s="302">
        <v>0</v>
      </c>
      <c r="L43" s="302">
        <v>0</v>
      </c>
      <c r="M43" s="302">
        <v>0</v>
      </c>
      <c r="N43" s="303">
        <v>0</v>
      </c>
      <c r="O43" s="295">
        <v>0</v>
      </c>
      <c r="P43" s="299">
        <v>0</v>
      </c>
      <c r="Q43" s="8"/>
    </row>
    <row r="44" spans="1:17" ht="18" customHeight="1">
      <c r="A44" s="318"/>
      <c r="B44" s="318"/>
      <c r="C44" s="328"/>
      <c r="D44" s="798" t="s">
        <v>221</v>
      </c>
      <c r="E44" s="799"/>
      <c r="F44" s="329">
        <v>0</v>
      </c>
      <c r="G44" s="330">
        <v>0</v>
      </c>
      <c r="H44" s="331">
        <v>0</v>
      </c>
      <c r="I44" s="320"/>
      <c r="J44" s="330">
        <v>0</v>
      </c>
      <c r="K44" s="329">
        <v>0</v>
      </c>
      <c r="L44" s="329">
        <v>0</v>
      </c>
      <c r="M44" s="329">
        <v>0</v>
      </c>
      <c r="N44" s="330">
        <v>0</v>
      </c>
      <c r="O44" s="332">
        <v>0</v>
      </c>
      <c r="P44" s="333">
        <v>0</v>
      </c>
      <c r="Q44" s="8"/>
    </row>
    <row r="45" spans="1:17" ht="18" customHeight="1">
      <c r="A45" s="318"/>
      <c r="B45" s="318"/>
      <c r="C45" s="367"/>
      <c r="D45" s="811" t="s">
        <v>248</v>
      </c>
      <c r="E45" s="799"/>
      <c r="F45" s="329">
        <v>0</v>
      </c>
      <c r="G45" s="330">
        <v>0</v>
      </c>
      <c r="H45" s="297">
        <v>0</v>
      </c>
      <c r="I45" s="336"/>
      <c r="J45" s="330">
        <v>0</v>
      </c>
      <c r="K45" s="329">
        <v>0</v>
      </c>
      <c r="L45" s="329">
        <v>0</v>
      </c>
      <c r="M45" s="329">
        <v>0</v>
      </c>
      <c r="N45" s="330">
        <v>0</v>
      </c>
      <c r="O45" s="332">
        <v>0</v>
      </c>
      <c r="P45" s="333">
        <v>0</v>
      </c>
      <c r="Q45" s="8"/>
    </row>
    <row r="46" spans="1:17" ht="18" customHeight="1">
      <c r="A46" s="318"/>
      <c r="B46" s="318"/>
      <c r="C46" s="337"/>
      <c r="D46" s="806" t="s">
        <v>249</v>
      </c>
      <c r="E46" s="810"/>
      <c r="F46" s="136">
        <v>0</v>
      </c>
      <c r="G46" s="109">
        <v>0</v>
      </c>
      <c r="H46" s="297">
        <v>0</v>
      </c>
      <c r="I46" s="363"/>
      <c r="J46" s="109">
        <v>0</v>
      </c>
      <c r="K46" s="136">
        <v>0</v>
      </c>
      <c r="L46" s="136">
        <v>0</v>
      </c>
      <c r="M46" s="136">
        <v>0</v>
      </c>
      <c r="N46" s="109">
        <v>0</v>
      </c>
      <c r="O46" s="145">
        <v>0</v>
      </c>
      <c r="P46" s="365">
        <v>0</v>
      </c>
      <c r="Q46" s="8"/>
    </row>
    <row r="47" spans="1:17" ht="18" customHeight="1">
      <c r="A47" s="318"/>
      <c r="B47" s="318"/>
      <c r="C47" s="292" t="s">
        <v>250</v>
      </c>
      <c r="D47" s="294"/>
      <c r="E47" s="294"/>
      <c r="F47" s="288">
        <v>0</v>
      </c>
      <c r="G47" s="288">
        <v>0</v>
      </c>
      <c r="H47" s="289">
        <v>0</v>
      </c>
      <c r="I47" s="327"/>
      <c r="J47" s="288">
        <v>0</v>
      </c>
      <c r="K47" s="287">
        <v>0</v>
      </c>
      <c r="L47" s="287">
        <v>0</v>
      </c>
      <c r="M47" s="287">
        <v>7</v>
      </c>
      <c r="N47" s="288">
        <v>0</v>
      </c>
      <c r="O47" s="287">
        <v>7</v>
      </c>
      <c r="P47" s="291">
        <v>7</v>
      </c>
      <c r="Q47" s="8"/>
    </row>
    <row r="48" spans="1:17" ht="18" customHeight="1">
      <c r="A48" s="318"/>
      <c r="B48" s="318"/>
      <c r="C48" s="292"/>
      <c r="D48" s="342" t="s">
        <v>113</v>
      </c>
      <c r="E48" s="342"/>
      <c r="F48" s="303">
        <v>0</v>
      </c>
      <c r="G48" s="303">
        <v>0</v>
      </c>
      <c r="H48" s="297">
        <v>0</v>
      </c>
      <c r="I48" s="320"/>
      <c r="J48" s="303">
        <v>0</v>
      </c>
      <c r="K48" s="302">
        <v>0</v>
      </c>
      <c r="L48" s="302">
        <v>0</v>
      </c>
      <c r="M48" s="302">
        <v>0</v>
      </c>
      <c r="N48" s="303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2" t="s">
        <v>114</v>
      </c>
      <c r="E49" s="342"/>
      <c r="F49" s="302">
        <v>0</v>
      </c>
      <c r="G49" s="303">
        <v>0</v>
      </c>
      <c r="H49" s="297">
        <v>0</v>
      </c>
      <c r="I49" s="320"/>
      <c r="J49" s="303">
        <v>0</v>
      </c>
      <c r="K49" s="302">
        <v>0</v>
      </c>
      <c r="L49" s="302">
        <v>0</v>
      </c>
      <c r="M49" s="302">
        <v>7</v>
      </c>
      <c r="N49" s="303">
        <v>0</v>
      </c>
      <c r="O49" s="295">
        <v>7</v>
      </c>
      <c r="P49" s="299">
        <v>7</v>
      </c>
      <c r="Q49" s="8"/>
    </row>
    <row r="50" spans="1:17" ht="18" customHeight="1">
      <c r="A50" s="318"/>
      <c r="B50" s="318"/>
      <c r="C50" s="292"/>
      <c r="D50" s="343" t="s">
        <v>176</v>
      </c>
      <c r="E50" s="343"/>
      <c r="F50" s="329">
        <v>0</v>
      </c>
      <c r="G50" s="330">
        <v>0</v>
      </c>
      <c r="H50" s="297">
        <v>0</v>
      </c>
      <c r="I50" s="320"/>
      <c r="J50" s="330">
        <v>0</v>
      </c>
      <c r="K50" s="329">
        <v>0</v>
      </c>
      <c r="L50" s="329">
        <v>0</v>
      </c>
      <c r="M50" s="329">
        <v>0</v>
      </c>
      <c r="N50" s="330">
        <v>0</v>
      </c>
      <c r="O50" s="295">
        <v>0</v>
      </c>
      <c r="P50" s="299">
        <v>0</v>
      </c>
      <c r="Q50" s="8"/>
    </row>
    <row r="51" spans="1:17" ht="18" customHeight="1">
      <c r="A51" s="318"/>
      <c r="B51" s="318"/>
      <c r="C51" s="292"/>
      <c r="D51" s="344" t="s">
        <v>251</v>
      </c>
      <c r="E51" s="344"/>
      <c r="F51" s="338">
        <v>0</v>
      </c>
      <c r="G51" s="339">
        <v>0</v>
      </c>
      <c r="H51" s="345">
        <v>0</v>
      </c>
      <c r="I51" s="320"/>
      <c r="J51" s="339">
        <v>0</v>
      </c>
      <c r="K51" s="338">
        <v>0</v>
      </c>
      <c r="L51" s="338">
        <v>0</v>
      </c>
      <c r="M51" s="338">
        <v>0</v>
      </c>
      <c r="N51" s="339">
        <v>0</v>
      </c>
      <c r="O51" s="340">
        <v>0</v>
      </c>
      <c r="P51" s="341">
        <v>0</v>
      </c>
      <c r="Q51" s="8"/>
    </row>
    <row r="52" spans="1:17" ht="18" customHeight="1">
      <c r="A52" s="318"/>
      <c r="B52" s="318"/>
      <c r="C52" s="801" t="s">
        <v>252</v>
      </c>
      <c r="D52" s="802"/>
      <c r="E52" s="803"/>
      <c r="F52" s="346">
        <v>0</v>
      </c>
      <c r="G52" s="346">
        <v>13</v>
      </c>
      <c r="H52" s="178">
        <v>13</v>
      </c>
      <c r="I52" s="347"/>
      <c r="J52" s="346">
        <v>5</v>
      </c>
      <c r="K52" s="346">
        <v>7</v>
      </c>
      <c r="L52" s="346">
        <v>4</v>
      </c>
      <c r="M52" s="346">
        <v>10</v>
      </c>
      <c r="N52" s="346">
        <v>9</v>
      </c>
      <c r="O52" s="346">
        <v>35</v>
      </c>
      <c r="P52" s="171">
        <v>48</v>
      </c>
      <c r="Q52" s="8"/>
    </row>
    <row r="53" spans="1:17" ht="12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8"/>
    </row>
  </sheetData>
  <mergeCells count="10">
    <mergeCell ref="D44:E44"/>
    <mergeCell ref="D42:E42"/>
    <mergeCell ref="D46:E46"/>
    <mergeCell ref="C52:E52"/>
    <mergeCell ref="D45:E45"/>
    <mergeCell ref="A3:Q3"/>
    <mergeCell ref="A4:Q4"/>
    <mergeCell ref="C10:E10"/>
    <mergeCell ref="D34:E34"/>
    <mergeCell ref="D43:E43"/>
  </mergeCells>
  <phoneticPr fontId="35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ECBCA"/>
  </sheetPr>
  <dimension ref="A1:Q51"/>
  <sheetViews>
    <sheetView showGridLines="0" workbookViewId="0"/>
  </sheetViews>
  <sheetFormatPr defaultColWidth="9" defaultRowHeight="12" custom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234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259</v>
      </c>
    </row>
    <row r="8" spans="1:17" ht="18" customHeight="1">
      <c r="C8" s="84" t="s">
        <v>253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/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0</v>
      </c>
      <c r="G11" s="287">
        <v>6036</v>
      </c>
      <c r="H11" s="289">
        <v>6036</v>
      </c>
      <c r="I11" s="290"/>
      <c r="J11" s="287">
        <v>33960</v>
      </c>
      <c r="K11" s="287">
        <v>91019</v>
      </c>
      <c r="L11" s="287">
        <v>27193</v>
      </c>
      <c r="M11" s="287">
        <v>3391</v>
      </c>
      <c r="N11" s="287">
        <v>59161</v>
      </c>
      <c r="O11" s="287">
        <v>214724</v>
      </c>
      <c r="P11" s="291">
        <v>220760</v>
      </c>
    </row>
    <row r="12" spans="1:17" ht="18" customHeight="1">
      <c r="C12" s="292"/>
      <c r="D12" s="293" t="s">
        <v>241</v>
      </c>
      <c r="E12" s="294"/>
      <c r="F12" s="295">
        <v>0</v>
      </c>
      <c r="G12" s="296">
        <v>0</v>
      </c>
      <c r="H12" s="297">
        <v>0</v>
      </c>
      <c r="I12" s="298"/>
      <c r="J12" s="296">
        <v>0</v>
      </c>
      <c r="K12" s="295">
        <v>0</v>
      </c>
      <c r="L12" s="295">
        <v>0</v>
      </c>
      <c r="M12" s="295">
        <v>0</v>
      </c>
      <c r="N12" s="296">
        <v>51341</v>
      </c>
      <c r="O12" s="295">
        <v>51341</v>
      </c>
      <c r="P12" s="299">
        <v>51341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0</v>
      </c>
      <c r="K13" s="302">
        <v>0</v>
      </c>
      <c r="L13" s="302">
        <v>0</v>
      </c>
      <c r="M13" s="302">
        <v>0</v>
      </c>
      <c r="N13" s="303">
        <v>0</v>
      </c>
      <c r="O13" s="295">
        <v>0</v>
      </c>
      <c r="P13" s="299">
        <v>0</v>
      </c>
    </row>
    <row r="14" spans="1:17" ht="18" customHeight="1">
      <c r="C14" s="292"/>
      <c r="D14" s="300"/>
      <c r="E14" s="301" t="s">
        <v>181</v>
      </c>
      <c r="F14" s="302">
        <v>0</v>
      </c>
      <c r="G14" s="303">
        <v>0</v>
      </c>
      <c r="H14" s="297">
        <v>0</v>
      </c>
      <c r="I14" s="304"/>
      <c r="J14" s="303">
        <v>0</v>
      </c>
      <c r="K14" s="302">
        <v>0</v>
      </c>
      <c r="L14" s="302">
        <v>0</v>
      </c>
      <c r="M14" s="302">
        <v>0</v>
      </c>
      <c r="N14" s="303">
        <v>32074</v>
      </c>
      <c r="O14" s="295">
        <v>32074</v>
      </c>
      <c r="P14" s="299">
        <v>32074</v>
      </c>
    </row>
    <row r="15" spans="1:17" ht="18" customHeight="1">
      <c r="C15" s="292"/>
      <c r="D15" s="300"/>
      <c r="E15" s="301" t="s">
        <v>182</v>
      </c>
      <c r="F15" s="302">
        <v>0</v>
      </c>
      <c r="G15" s="303">
        <v>0</v>
      </c>
      <c r="H15" s="297">
        <v>0</v>
      </c>
      <c r="I15" s="304"/>
      <c r="J15" s="303">
        <v>0</v>
      </c>
      <c r="K15" s="302">
        <v>0</v>
      </c>
      <c r="L15" s="302">
        <v>0</v>
      </c>
      <c r="M15" s="302">
        <v>0</v>
      </c>
      <c r="N15" s="303">
        <v>0</v>
      </c>
      <c r="O15" s="295">
        <v>0</v>
      </c>
      <c r="P15" s="299">
        <v>0</v>
      </c>
    </row>
    <row r="16" spans="1:17" ht="18" customHeight="1">
      <c r="C16" s="292"/>
      <c r="D16" s="300"/>
      <c r="E16" s="301" t="s">
        <v>183</v>
      </c>
      <c r="F16" s="302">
        <v>0</v>
      </c>
      <c r="G16" s="303">
        <v>0</v>
      </c>
      <c r="H16" s="297">
        <v>0</v>
      </c>
      <c r="I16" s="304"/>
      <c r="J16" s="303">
        <v>0</v>
      </c>
      <c r="K16" s="302">
        <v>0</v>
      </c>
      <c r="L16" s="302">
        <v>0</v>
      </c>
      <c r="M16" s="302">
        <v>0</v>
      </c>
      <c r="N16" s="303">
        <v>19267</v>
      </c>
      <c r="O16" s="295">
        <v>19267</v>
      </c>
      <c r="P16" s="299">
        <v>19267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0</v>
      </c>
      <c r="K17" s="302">
        <v>0</v>
      </c>
      <c r="L17" s="302">
        <v>0</v>
      </c>
      <c r="M17" s="302">
        <v>0</v>
      </c>
      <c r="N17" s="303">
        <v>0</v>
      </c>
      <c r="O17" s="295">
        <v>0</v>
      </c>
      <c r="P17" s="299">
        <v>0</v>
      </c>
    </row>
    <row r="18" spans="1:17" ht="18" customHeight="1">
      <c r="C18" s="292"/>
      <c r="D18" s="293" t="s">
        <v>242</v>
      </c>
      <c r="E18" s="305"/>
      <c r="F18" s="295">
        <v>0</v>
      </c>
      <c r="G18" s="296">
        <v>4886</v>
      </c>
      <c r="H18" s="297">
        <v>4886</v>
      </c>
      <c r="I18" s="298"/>
      <c r="J18" s="296">
        <v>33960</v>
      </c>
      <c r="K18" s="295">
        <v>91019</v>
      </c>
      <c r="L18" s="295">
        <v>21817</v>
      </c>
      <c r="M18" s="295">
        <v>0</v>
      </c>
      <c r="N18" s="296">
        <v>0</v>
      </c>
      <c r="O18" s="295">
        <v>146796</v>
      </c>
      <c r="P18" s="299">
        <v>151682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33960</v>
      </c>
      <c r="K19" s="302">
        <v>0</v>
      </c>
      <c r="L19" s="302">
        <v>0</v>
      </c>
      <c r="M19" s="302">
        <v>0</v>
      </c>
      <c r="N19" s="303">
        <v>0</v>
      </c>
      <c r="O19" s="295">
        <v>33960</v>
      </c>
      <c r="P19" s="299">
        <v>33960</v>
      </c>
    </row>
    <row r="20" spans="1:17" ht="18" customHeight="1">
      <c r="C20" s="292"/>
      <c r="D20" s="300"/>
      <c r="E20" s="306" t="s">
        <v>186</v>
      </c>
      <c r="F20" s="302">
        <v>0</v>
      </c>
      <c r="G20" s="303">
        <v>4886</v>
      </c>
      <c r="H20" s="297">
        <v>4886</v>
      </c>
      <c r="I20" s="304"/>
      <c r="J20" s="303">
        <v>0</v>
      </c>
      <c r="K20" s="302">
        <v>91019</v>
      </c>
      <c r="L20" s="302">
        <v>21817</v>
      </c>
      <c r="M20" s="302">
        <v>0</v>
      </c>
      <c r="N20" s="303">
        <v>0</v>
      </c>
      <c r="O20" s="295">
        <v>112836</v>
      </c>
      <c r="P20" s="299">
        <v>117722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0</v>
      </c>
      <c r="H21" s="297">
        <v>0</v>
      </c>
      <c r="I21" s="298"/>
      <c r="J21" s="296">
        <v>0</v>
      </c>
      <c r="K21" s="295">
        <v>0</v>
      </c>
      <c r="L21" s="295">
        <v>0</v>
      </c>
      <c r="M21" s="295">
        <v>0</v>
      </c>
      <c r="N21" s="296">
        <v>0</v>
      </c>
      <c r="O21" s="295">
        <v>0</v>
      </c>
      <c r="P21" s="299">
        <v>0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0</v>
      </c>
      <c r="H22" s="297">
        <v>0</v>
      </c>
      <c r="I22" s="304"/>
      <c r="J22" s="303">
        <v>0</v>
      </c>
      <c r="K22" s="302">
        <v>0</v>
      </c>
      <c r="L22" s="302">
        <v>0</v>
      </c>
      <c r="M22" s="302">
        <v>0</v>
      </c>
      <c r="N22" s="303">
        <v>0</v>
      </c>
      <c r="O22" s="295">
        <v>0</v>
      </c>
      <c r="P22" s="299">
        <v>0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0</v>
      </c>
      <c r="H23" s="297">
        <v>0</v>
      </c>
      <c r="I23" s="304"/>
      <c r="J23" s="303">
        <v>0</v>
      </c>
      <c r="K23" s="302">
        <v>0</v>
      </c>
      <c r="L23" s="302">
        <v>0</v>
      </c>
      <c r="M23" s="302">
        <v>0</v>
      </c>
      <c r="N23" s="303">
        <v>0</v>
      </c>
      <c r="O23" s="295">
        <v>0</v>
      </c>
      <c r="P23" s="299">
        <v>0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0</v>
      </c>
      <c r="G26" s="295">
        <v>1150</v>
      </c>
      <c r="H26" s="297">
        <v>1150</v>
      </c>
      <c r="I26" s="298"/>
      <c r="J26" s="296">
        <v>0</v>
      </c>
      <c r="K26" s="295">
        <v>0</v>
      </c>
      <c r="L26" s="295">
        <v>5376</v>
      </c>
      <c r="M26" s="295">
        <v>3391</v>
      </c>
      <c r="N26" s="296">
        <v>7820</v>
      </c>
      <c r="O26" s="295">
        <v>16587</v>
      </c>
      <c r="P26" s="299">
        <v>17737</v>
      </c>
    </row>
    <row r="27" spans="1:17" ht="18" customHeight="1">
      <c r="C27" s="292"/>
      <c r="D27" s="300"/>
      <c r="E27" s="301" t="s">
        <v>191</v>
      </c>
      <c r="F27" s="348">
        <v>0</v>
      </c>
      <c r="G27" s="380">
        <v>1150</v>
      </c>
      <c r="H27" s="297">
        <v>1150</v>
      </c>
      <c r="I27" s="304"/>
      <c r="J27" s="349">
        <v>0</v>
      </c>
      <c r="K27" s="348">
        <v>0</v>
      </c>
      <c r="L27" s="348">
        <v>5376</v>
      </c>
      <c r="M27" s="348">
        <v>3391</v>
      </c>
      <c r="N27" s="349">
        <v>7820</v>
      </c>
      <c r="O27" s="295">
        <v>16587</v>
      </c>
      <c r="P27" s="299">
        <v>17737</v>
      </c>
    </row>
    <row r="28" spans="1:17" ht="18" customHeight="1">
      <c r="A28" s="318"/>
      <c r="B28" s="318"/>
      <c r="C28" s="328"/>
      <c r="D28" s="334" t="s">
        <v>192</v>
      </c>
      <c r="E28" s="305"/>
      <c r="F28" s="330">
        <v>0</v>
      </c>
      <c r="G28" s="330">
        <v>0</v>
      </c>
      <c r="H28" s="331">
        <v>0</v>
      </c>
      <c r="I28" s="320"/>
      <c r="J28" s="330">
        <v>0</v>
      </c>
      <c r="K28" s="329">
        <v>0</v>
      </c>
      <c r="L28" s="329">
        <v>0</v>
      </c>
      <c r="M28" s="329">
        <v>0</v>
      </c>
      <c r="N28" s="330">
        <v>0</v>
      </c>
      <c r="O28" s="332">
        <v>0</v>
      </c>
      <c r="P28" s="333">
        <v>0</v>
      </c>
      <c r="Q28" s="8"/>
    </row>
    <row r="29" spans="1:17" ht="18" customHeight="1">
      <c r="A29" s="318"/>
      <c r="B29" s="318"/>
      <c r="C29" s="328"/>
      <c r="D29" s="293" t="s">
        <v>193</v>
      </c>
      <c r="E29" s="350"/>
      <c r="F29" s="351">
        <v>0</v>
      </c>
      <c r="G29" s="351">
        <v>0</v>
      </c>
      <c r="H29" s="352">
        <v>0</v>
      </c>
      <c r="I29" s="353"/>
      <c r="J29" s="351">
        <v>0</v>
      </c>
      <c r="K29" s="354">
        <v>0</v>
      </c>
      <c r="L29" s="354">
        <v>0</v>
      </c>
      <c r="M29" s="354">
        <v>0</v>
      </c>
      <c r="N29" s="351">
        <v>0</v>
      </c>
      <c r="O29" s="355">
        <v>0</v>
      </c>
      <c r="P29" s="356">
        <v>0</v>
      </c>
      <c r="Q29" s="8"/>
    </row>
    <row r="30" spans="1:17" ht="18" customHeight="1">
      <c r="A30" s="318"/>
      <c r="B30" s="318"/>
      <c r="C30" s="321" t="s">
        <v>194</v>
      </c>
      <c r="D30" s="372"/>
      <c r="E30" s="372"/>
      <c r="F30" s="373"/>
      <c r="G30" s="373"/>
      <c r="H30" s="374"/>
      <c r="I30" s="375"/>
      <c r="J30" s="373"/>
      <c r="K30" s="373"/>
      <c r="L30" s="373"/>
      <c r="M30" s="373"/>
      <c r="N30" s="373"/>
      <c r="O30" s="374"/>
      <c r="P30" s="377"/>
      <c r="Q30" s="8"/>
    </row>
    <row r="31" spans="1:17" ht="18" customHeight="1">
      <c r="A31" s="318"/>
      <c r="B31" s="318"/>
      <c r="C31" s="285" t="s">
        <v>247</v>
      </c>
      <c r="D31" s="325"/>
      <c r="E31" s="326"/>
      <c r="F31" s="295">
        <v>0</v>
      </c>
      <c r="G31" s="288">
        <v>0</v>
      </c>
      <c r="H31" s="289">
        <v>0</v>
      </c>
      <c r="I31" s="327"/>
      <c r="J31" s="357">
        <v>0</v>
      </c>
      <c r="K31" s="287">
        <v>0</v>
      </c>
      <c r="L31" s="287">
        <v>0</v>
      </c>
      <c r="M31" s="287">
        <v>0</v>
      </c>
      <c r="N31" s="288">
        <v>0</v>
      </c>
      <c r="O31" s="287">
        <v>0</v>
      </c>
      <c r="P31" s="291">
        <v>0</v>
      </c>
      <c r="Q31" s="8"/>
    </row>
    <row r="32" spans="1:17" ht="18" customHeight="1">
      <c r="A32" s="318"/>
      <c r="B32" s="318"/>
      <c r="C32" s="328"/>
      <c r="D32" s="334" t="s">
        <v>211</v>
      </c>
      <c r="E32" s="305"/>
      <c r="F32" s="329">
        <v>0</v>
      </c>
      <c r="G32" s="330">
        <v>0</v>
      </c>
      <c r="H32" s="331">
        <v>0</v>
      </c>
      <c r="I32" s="320"/>
      <c r="J32" s="330">
        <v>0</v>
      </c>
      <c r="K32" s="329">
        <v>0</v>
      </c>
      <c r="L32" s="329">
        <v>0</v>
      </c>
      <c r="M32" s="329">
        <v>0</v>
      </c>
      <c r="N32" s="330">
        <v>0</v>
      </c>
      <c r="O32" s="332">
        <v>0</v>
      </c>
      <c r="P32" s="333">
        <v>0</v>
      </c>
      <c r="Q32" s="8"/>
    </row>
    <row r="33" spans="1:17" ht="18" customHeight="1">
      <c r="A33" s="318"/>
      <c r="B33" s="318"/>
      <c r="C33" s="292"/>
      <c r="D33" s="334" t="s">
        <v>212</v>
      </c>
      <c r="E33" s="305"/>
      <c r="F33" s="329">
        <v>0</v>
      </c>
      <c r="G33" s="330">
        <v>0</v>
      </c>
      <c r="H33" s="297">
        <v>0</v>
      </c>
      <c r="I33" s="320"/>
      <c r="J33" s="358">
        <v>0</v>
      </c>
      <c r="K33" s="302">
        <v>0</v>
      </c>
      <c r="L33" s="302">
        <v>0</v>
      </c>
      <c r="M33" s="302">
        <v>0</v>
      </c>
      <c r="N33" s="303">
        <v>0</v>
      </c>
      <c r="O33" s="295">
        <v>0</v>
      </c>
      <c r="P33" s="299">
        <v>0</v>
      </c>
      <c r="Q33" s="8"/>
    </row>
    <row r="34" spans="1:17" ht="18" customHeight="1">
      <c r="A34" s="318"/>
      <c r="B34" s="318"/>
      <c r="C34" s="292"/>
      <c r="D34" s="307" t="s">
        <v>213</v>
      </c>
      <c r="E34" s="319"/>
      <c r="F34" s="302">
        <v>0</v>
      </c>
      <c r="G34" s="303">
        <v>0</v>
      </c>
      <c r="H34" s="297">
        <v>0</v>
      </c>
      <c r="I34" s="320"/>
      <c r="J34" s="303">
        <v>0</v>
      </c>
      <c r="K34" s="302">
        <v>0</v>
      </c>
      <c r="L34" s="302">
        <v>0</v>
      </c>
      <c r="M34" s="302">
        <v>0</v>
      </c>
      <c r="N34" s="303">
        <v>0</v>
      </c>
      <c r="O34" s="295">
        <v>0</v>
      </c>
      <c r="P34" s="299">
        <v>0</v>
      </c>
      <c r="Q34" s="8"/>
    </row>
    <row r="35" spans="1:17" ht="18" customHeight="1">
      <c r="A35" s="318"/>
      <c r="B35" s="318"/>
      <c r="C35" s="292"/>
      <c r="D35" s="334" t="s">
        <v>214</v>
      </c>
      <c r="E35" s="305"/>
      <c r="F35" s="302">
        <v>0</v>
      </c>
      <c r="G35" s="303">
        <v>0</v>
      </c>
      <c r="H35" s="297">
        <v>0</v>
      </c>
      <c r="I35" s="320"/>
      <c r="J35" s="358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34" t="s">
        <v>215</v>
      </c>
      <c r="E36" s="305"/>
      <c r="F36" s="302">
        <v>0</v>
      </c>
      <c r="G36" s="303">
        <v>0</v>
      </c>
      <c r="H36" s="297">
        <v>0</v>
      </c>
      <c r="I36" s="320"/>
      <c r="J36" s="358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216</v>
      </c>
      <c r="E37" s="305"/>
      <c r="F37" s="302">
        <v>0</v>
      </c>
      <c r="G37" s="303">
        <v>0</v>
      </c>
      <c r="H37" s="297">
        <v>0</v>
      </c>
      <c r="I37" s="320"/>
      <c r="J37" s="358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217</v>
      </c>
      <c r="E38" s="305"/>
      <c r="F38" s="330">
        <v>0</v>
      </c>
      <c r="G38" s="303">
        <v>0</v>
      </c>
      <c r="H38" s="297">
        <v>0</v>
      </c>
      <c r="I38" s="320"/>
      <c r="J38" s="358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218</v>
      </c>
      <c r="E39" s="305"/>
      <c r="F39" s="330">
        <v>0</v>
      </c>
      <c r="G39" s="303">
        <v>0</v>
      </c>
      <c r="H39" s="297">
        <v>0</v>
      </c>
      <c r="I39" s="320"/>
      <c r="J39" s="358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808" t="s">
        <v>219</v>
      </c>
      <c r="E40" s="809"/>
      <c r="F40" s="329">
        <v>0</v>
      </c>
      <c r="G40" s="330">
        <v>0</v>
      </c>
      <c r="H40" s="297">
        <v>0</v>
      </c>
      <c r="I40" s="320"/>
      <c r="J40" s="358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808" t="s">
        <v>220</v>
      </c>
      <c r="E41" s="809"/>
      <c r="F41" s="329">
        <v>0</v>
      </c>
      <c r="G41" s="330">
        <v>0</v>
      </c>
      <c r="H41" s="297">
        <v>0</v>
      </c>
      <c r="I41" s="320"/>
      <c r="J41" s="358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221</v>
      </c>
      <c r="E42" s="800"/>
      <c r="F42" s="302">
        <v>0</v>
      </c>
      <c r="G42" s="302">
        <v>0</v>
      </c>
      <c r="H42" s="297">
        <v>0</v>
      </c>
      <c r="I42" s="320"/>
      <c r="J42" s="359">
        <v>0</v>
      </c>
      <c r="K42" s="360">
        <v>0</v>
      </c>
      <c r="L42" s="360">
        <v>0</v>
      </c>
      <c r="M42" s="360">
        <v>0</v>
      </c>
      <c r="N42" s="361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335"/>
      <c r="D43" s="798" t="s">
        <v>248</v>
      </c>
      <c r="E43" s="800"/>
      <c r="F43" s="302">
        <v>0</v>
      </c>
      <c r="G43" s="302">
        <v>0</v>
      </c>
      <c r="H43" s="297">
        <v>0</v>
      </c>
      <c r="I43" s="336"/>
      <c r="J43" s="362">
        <v>0</v>
      </c>
      <c r="K43" s="329">
        <v>0</v>
      </c>
      <c r="L43" s="329">
        <v>0</v>
      </c>
      <c r="M43" s="329">
        <v>0</v>
      </c>
      <c r="N43" s="330">
        <v>0</v>
      </c>
      <c r="O43" s="332">
        <v>0</v>
      </c>
      <c r="P43" s="333">
        <v>0</v>
      </c>
      <c r="Q43" s="8"/>
    </row>
    <row r="44" spans="1:17" ht="18" customHeight="1">
      <c r="A44" s="318"/>
      <c r="B44" s="318"/>
      <c r="C44" s="337"/>
      <c r="D44" s="806" t="s">
        <v>249</v>
      </c>
      <c r="E44" s="807"/>
      <c r="F44" s="302">
        <v>0</v>
      </c>
      <c r="G44" s="302">
        <v>0</v>
      </c>
      <c r="H44" s="297">
        <v>0</v>
      </c>
      <c r="I44" s="363"/>
      <c r="J44" s="364">
        <v>0</v>
      </c>
      <c r="K44" s="136">
        <v>0</v>
      </c>
      <c r="L44" s="136">
        <v>0</v>
      </c>
      <c r="M44" s="136">
        <v>0</v>
      </c>
      <c r="N44" s="109">
        <v>0</v>
      </c>
      <c r="O44" s="145">
        <v>0</v>
      </c>
      <c r="P44" s="365">
        <v>0</v>
      </c>
      <c r="Q44" s="8"/>
    </row>
    <row r="45" spans="1:17" ht="18" customHeight="1">
      <c r="A45" s="318"/>
      <c r="B45" s="318"/>
      <c r="C45" s="292" t="s">
        <v>250</v>
      </c>
      <c r="D45" s="294"/>
      <c r="E45" s="294"/>
      <c r="F45" s="288">
        <v>0</v>
      </c>
      <c r="G45" s="288">
        <v>0</v>
      </c>
      <c r="H45" s="289">
        <v>0</v>
      </c>
      <c r="I45" s="327"/>
      <c r="J45" s="357">
        <v>0</v>
      </c>
      <c r="K45" s="287">
        <v>0</v>
      </c>
      <c r="L45" s="287">
        <v>0</v>
      </c>
      <c r="M45" s="287">
        <v>285062</v>
      </c>
      <c r="N45" s="288">
        <v>0</v>
      </c>
      <c r="O45" s="287">
        <v>285062</v>
      </c>
      <c r="P45" s="291">
        <v>285062</v>
      </c>
      <c r="Q45" s="8"/>
    </row>
    <row r="46" spans="1:17" ht="18" customHeight="1">
      <c r="A46" s="318"/>
      <c r="B46" s="318"/>
      <c r="C46" s="292"/>
      <c r="D46" s="342" t="s">
        <v>113</v>
      </c>
      <c r="E46" s="342"/>
      <c r="F46" s="303">
        <v>0</v>
      </c>
      <c r="G46" s="303">
        <v>0</v>
      </c>
      <c r="H46" s="297">
        <v>0</v>
      </c>
      <c r="I46" s="320"/>
      <c r="J46" s="303">
        <v>0</v>
      </c>
      <c r="K46" s="303">
        <v>0</v>
      </c>
      <c r="L46" s="303">
        <v>0</v>
      </c>
      <c r="M46" s="303">
        <v>0</v>
      </c>
      <c r="N46" s="303">
        <v>0</v>
      </c>
      <c r="O46" s="295">
        <v>0</v>
      </c>
      <c r="P46" s="299">
        <v>0</v>
      </c>
      <c r="Q46" s="8"/>
    </row>
    <row r="47" spans="1:17" ht="18" customHeight="1">
      <c r="A47" s="318"/>
      <c r="B47" s="318"/>
      <c r="C47" s="292"/>
      <c r="D47" s="342" t="s">
        <v>114</v>
      </c>
      <c r="E47" s="342"/>
      <c r="F47" s="302">
        <v>0</v>
      </c>
      <c r="G47" s="303">
        <v>0</v>
      </c>
      <c r="H47" s="297">
        <v>0</v>
      </c>
      <c r="I47" s="320"/>
      <c r="J47" s="303">
        <v>0</v>
      </c>
      <c r="K47" s="302">
        <v>0</v>
      </c>
      <c r="L47" s="303">
        <v>0</v>
      </c>
      <c r="M47" s="302">
        <v>285062</v>
      </c>
      <c r="N47" s="303">
        <v>0</v>
      </c>
      <c r="O47" s="295">
        <v>285062</v>
      </c>
      <c r="P47" s="299">
        <v>285062</v>
      </c>
      <c r="Q47" s="8"/>
    </row>
    <row r="48" spans="1:17" ht="18" customHeight="1">
      <c r="A48" s="318"/>
      <c r="B48" s="318"/>
      <c r="C48" s="292"/>
      <c r="D48" s="343" t="s">
        <v>176</v>
      </c>
      <c r="E48" s="343"/>
      <c r="F48" s="329">
        <v>0</v>
      </c>
      <c r="G48" s="330">
        <v>0</v>
      </c>
      <c r="H48" s="297">
        <v>0</v>
      </c>
      <c r="I48" s="320"/>
      <c r="J48" s="330">
        <v>0</v>
      </c>
      <c r="K48" s="329">
        <v>0</v>
      </c>
      <c r="L48" s="330">
        <v>0</v>
      </c>
      <c r="M48" s="329">
        <v>0</v>
      </c>
      <c r="N48" s="330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4" t="s">
        <v>251</v>
      </c>
      <c r="E49" s="344"/>
      <c r="F49" s="338">
        <v>0</v>
      </c>
      <c r="G49" s="339">
        <v>0</v>
      </c>
      <c r="H49" s="345">
        <v>0</v>
      </c>
      <c r="I49" s="320"/>
      <c r="J49" s="339">
        <v>0</v>
      </c>
      <c r="K49" s="338">
        <v>0</v>
      </c>
      <c r="L49" s="339">
        <v>0</v>
      </c>
      <c r="M49" s="338">
        <v>0</v>
      </c>
      <c r="N49" s="339">
        <v>0</v>
      </c>
      <c r="O49" s="340">
        <v>0</v>
      </c>
      <c r="P49" s="341">
        <v>0</v>
      </c>
      <c r="Q49" s="8"/>
    </row>
    <row r="50" spans="1:17" ht="18" customHeight="1">
      <c r="A50" s="318"/>
      <c r="B50" s="318"/>
      <c r="C50" s="801" t="s">
        <v>252</v>
      </c>
      <c r="D50" s="802"/>
      <c r="E50" s="803"/>
      <c r="F50" s="346">
        <v>0</v>
      </c>
      <c r="G50" s="120">
        <v>6036</v>
      </c>
      <c r="H50" s="178">
        <v>6036</v>
      </c>
      <c r="I50" s="347"/>
      <c r="J50" s="366">
        <v>33960</v>
      </c>
      <c r="K50" s="346">
        <v>91019</v>
      </c>
      <c r="L50" s="346">
        <v>27193</v>
      </c>
      <c r="M50" s="346">
        <v>288453</v>
      </c>
      <c r="N50" s="120">
        <v>59161</v>
      </c>
      <c r="O50" s="346">
        <v>499786</v>
      </c>
      <c r="P50" s="171">
        <v>505822</v>
      </c>
      <c r="Q50" s="8"/>
    </row>
    <row r="51" spans="1:17" ht="12" customHeight="1">
      <c r="A51" s="318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8"/>
    </row>
  </sheetData>
  <mergeCells count="9">
    <mergeCell ref="C50:E50"/>
    <mergeCell ref="D43:E43"/>
    <mergeCell ref="D41:E41"/>
    <mergeCell ref="D40:E40"/>
    <mergeCell ref="A3:Q3"/>
    <mergeCell ref="A4:Q4"/>
    <mergeCell ref="C10:E10"/>
    <mergeCell ref="D42:E42"/>
    <mergeCell ref="D44:E44"/>
  </mergeCells>
  <phoneticPr fontId="35"/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53"/>
  <sheetViews>
    <sheetView showGridLines="0" workbookViewId="0"/>
  </sheetViews>
  <sheetFormatPr defaultColWidth="9" defaultRowHeight="0" customHeight="1" zero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234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259</v>
      </c>
    </row>
    <row r="8" spans="1:17" ht="18" customHeight="1">
      <c r="C8" s="378" t="s">
        <v>254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/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0</v>
      </c>
      <c r="G11" s="288">
        <v>60360</v>
      </c>
      <c r="H11" s="289">
        <v>60360</v>
      </c>
      <c r="I11" s="290"/>
      <c r="J11" s="288">
        <v>339600</v>
      </c>
      <c r="K11" s="288">
        <v>940224</v>
      </c>
      <c r="L11" s="287">
        <v>279129</v>
      </c>
      <c r="M11" s="288">
        <v>33910</v>
      </c>
      <c r="N11" s="288">
        <v>605079</v>
      </c>
      <c r="O11" s="287">
        <v>2197942</v>
      </c>
      <c r="P11" s="291">
        <v>2258302</v>
      </c>
    </row>
    <row r="12" spans="1:17" ht="18" customHeight="1">
      <c r="C12" s="292"/>
      <c r="D12" s="293" t="s">
        <v>241</v>
      </c>
      <c r="E12" s="294"/>
      <c r="F12" s="295">
        <v>0</v>
      </c>
      <c r="G12" s="296">
        <v>0</v>
      </c>
      <c r="H12" s="297">
        <v>0</v>
      </c>
      <c r="I12" s="298"/>
      <c r="J12" s="296">
        <v>0</v>
      </c>
      <c r="K12" s="295">
        <v>0</v>
      </c>
      <c r="L12" s="295">
        <v>0</v>
      </c>
      <c r="M12" s="295">
        <v>0</v>
      </c>
      <c r="N12" s="296">
        <v>526879</v>
      </c>
      <c r="O12" s="295">
        <v>526879</v>
      </c>
      <c r="P12" s="299">
        <v>526879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0</v>
      </c>
      <c r="K13" s="302">
        <v>0</v>
      </c>
      <c r="L13" s="302">
        <v>0</v>
      </c>
      <c r="M13" s="302">
        <v>0</v>
      </c>
      <c r="N13" s="303">
        <v>0</v>
      </c>
      <c r="O13" s="295">
        <v>0</v>
      </c>
      <c r="P13" s="299">
        <v>0</v>
      </c>
    </row>
    <row r="14" spans="1:17" ht="18" customHeight="1">
      <c r="C14" s="292"/>
      <c r="D14" s="300"/>
      <c r="E14" s="301" t="s">
        <v>181</v>
      </c>
      <c r="F14" s="302">
        <v>0</v>
      </c>
      <c r="G14" s="303">
        <v>0</v>
      </c>
      <c r="H14" s="297">
        <v>0</v>
      </c>
      <c r="I14" s="304"/>
      <c r="J14" s="303">
        <v>0</v>
      </c>
      <c r="K14" s="302">
        <v>0</v>
      </c>
      <c r="L14" s="302">
        <v>0</v>
      </c>
      <c r="M14" s="302">
        <v>0</v>
      </c>
      <c r="N14" s="303">
        <v>334209</v>
      </c>
      <c r="O14" s="295">
        <v>334209</v>
      </c>
      <c r="P14" s="299">
        <v>334209</v>
      </c>
    </row>
    <row r="15" spans="1:17" ht="18" customHeight="1">
      <c r="C15" s="292"/>
      <c r="D15" s="300"/>
      <c r="E15" s="301" t="s">
        <v>182</v>
      </c>
      <c r="F15" s="302">
        <v>0</v>
      </c>
      <c r="G15" s="303">
        <v>0</v>
      </c>
      <c r="H15" s="297">
        <v>0</v>
      </c>
      <c r="I15" s="304"/>
      <c r="J15" s="303">
        <v>0</v>
      </c>
      <c r="K15" s="302">
        <v>0</v>
      </c>
      <c r="L15" s="302">
        <v>0</v>
      </c>
      <c r="M15" s="302">
        <v>0</v>
      </c>
      <c r="N15" s="303">
        <v>0</v>
      </c>
      <c r="O15" s="295">
        <v>0</v>
      </c>
      <c r="P15" s="299">
        <v>0</v>
      </c>
    </row>
    <row r="16" spans="1:17" ht="18" customHeight="1">
      <c r="C16" s="292"/>
      <c r="D16" s="300"/>
      <c r="E16" s="301" t="s">
        <v>183</v>
      </c>
      <c r="F16" s="302">
        <v>0</v>
      </c>
      <c r="G16" s="303">
        <v>0</v>
      </c>
      <c r="H16" s="297">
        <v>0</v>
      </c>
      <c r="I16" s="304"/>
      <c r="J16" s="303">
        <v>0</v>
      </c>
      <c r="K16" s="302">
        <v>0</v>
      </c>
      <c r="L16" s="302">
        <v>0</v>
      </c>
      <c r="M16" s="302">
        <v>0</v>
      </c>
      <c r="N16" s="303">
        <v>192670</v>
      </c>
      <c r="O16" s="295">
        <v>192670</v>
      </c>
      <c r="P16" s="299">
        <v>192670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0</v>
      </c>
      <c r="K17" s="302">
        <v>0</v>
      </c>
      <c r="L17" s="302">
        <v>0</v>
      </c>
      <c r="M17" s="302">
        <v>0</v>
      </c>
      <c r="N17" s="303">
        <v>0</v>
      </c>
      <c r="O17" s="295">
        <v>0</v>
      </c>
      <c r="P17" s="299">
        <v>0</v>
      </c>
    </row>
    <row r="18" spans="1:17" ht="18" customHeight="1">
      <c r="C18" s="292"/>
      <c r="D18" s="293" t="s">
        <v>242</v>
      </c>
      <c r="E18" s="305"/>
      <c r="F18" s="295">
        <v>0</v>
      </c>
      <c r="G18" s="296">
        <v>48860</v>
      </c>
      <c r="H18" s="297">
        <v>48860</v>
      </c>
      <c r="I18" s="298"/>
      <c r="J18" s="296">
        <v>339600</v>
      </c>
      <c r="K18" s="295">
        <v>940224</v>
      </c>
      <c r="L18" s="295">
        <v>225369</v>
      </c>
      <c r="M18" s="295">
        <v>0</v>
      </c>
      <c r="N18" s="296">
        <v>0</v>
      </c>
      <c r="O18" s="295">
        <v>1505193</v>
      </c>
      <c r="P18" s="299">
        <v>1554053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339600</v>
      </c>
      <c r="K19" s="302">
        <v>0</v>
      </c>
      <c r="L19" s="302">
        <v>0</v>
      </c>
      <c r="M19" s="302">
        <v>0</v>
      </c>
      <c r="N19" s="303">
        <v>0</v>
      </c>
      <c r="O19" s="295">
        <v>339600</v>
      </c>
      <c r="P19" s="299">
        <v>339600</v>
      </c>
    </row>
    <row r="20" spans="1:17" ht="18" customHeight="1">
      <c r="C20" s="292"/>
      <c r="D20" s="300"/>
      <c r="E20" s="306" t="s">
        <v>186</v>
      </c>
      <c r="F20" s="302">
        <v>0</v>
      </c>
      <c r="G20" s="303">
        <v>48860</v>
      </c>
      <c r="H20" s="297">
        <v>48860</v>
      </c>
      <c r="I20" s="304"/>
      <c r="J20" s="303">
        <v>0</v>
      </c>
      <c r="K20" s="302">
        <v>940224</v>
      </c>
      <c r="L20" s="302">
        <v>225369</v>
      </c>
      <c r="M20" s="302">
        <v>0</v>
      </c>
      <c r="N20" s="303">
        <v>0</v>
      </c>
      <c r="O20" s="295">
        <v>1165593</v>
      </c>
      <c r="P20" s="299">
        <v>1214453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0</v>
      </c>
      <c r="H21" s="297">
        <v>0</v>
      </c>
      <c r="I21" s="298"/>
      <c r="J21" s="296">
        <v>0</v>
      </c>
      <c r="K21" s="295">
        <v>0</v>
      </c>
      <c r="L21" s="295">
        <v>0</v>
      </c>
      <c r="M21" s="295">
        <v>0</v>
      </c>
      <c r="N21" s="296">
        <v>0</v>
      </c>
      <c r="O21" s="295">
        <v>0</v>
      </c>
      <c r="P21" s="299">
        <v>0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0</v>
      </c>
      <c r="H22" s="297">
        <v>0</v>
      </c>
      <c r="I22" s="304"/>
      <c r="J22" s="303">
        <v>0</v>
      </c>
      <c r="K22" s="302">
        <v>0</v>
      </c>
      <c r="L22" s="302">
        <v>0</v>
      </c>
      <c r="M22" s="302">
        <v>0</v>
      </c>
      <c r="N22" s="303">
        <v>0</v>
      </c>
      <c r="O22" s="295">
        <v>0</v>
      </c>
      <c r="P22" s="299">
        <v>0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0</v>
      </c>
      <c r="H23" s="297">
        <v>0</v>
      </c>
      <c r="I23" s="304"/>
      <c r="J23" s="303">
        <v>0</v>
      </c>
      <c r="K23" s="302">
        <v>0</v>
      </c>
      <c r="L23" s="302">
        <v>0</v>
      </c>
      <c r="M23" s="302">
        <v>0</v>
      </c>
      <c r="N23" s="303">
        <v>0</v>
      </c>
      <c r="O23" s="295">
        <v>0</v>
      </c>
      <c r="P23" s="299">
        <v>0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0</v>
      </c>
      <c r="G26" s="296">
        <v>11500</v>
      </c>
      <c r="H26" s="297">
        <v>11500</v>
      </c>
      <c r="I26" s="298"/>
      <c r="J26" s="296">
        <v>0</v>
      </c>
      <c r="K26" s="295">
        <v>0</v>
      </c>
      <c r="L26" s="295">
        <v>53760</v>
      </c>
      <c r="M26" s="295">
        <v>33910</v>
      </c>
      <c r="N26" s="296">
        <v>78200</v>
      </c>
      <c r="O26" s="295">
        <v>165870</v>
      </c>
      <c r="P26" s="299">
        <v>177370</v>
      </c>
    </row>
    <row r="27" spans="1:17" ht="18" customHeight="1">
      <c r="C27" s="292"/>
      <c r="D27" s="300"/>
      <c r="E27" s="308" t="s">
        <v>191</v>
      </c>
      <c r="F27" s="309">
        <v>0</v>
      </c>
      <c r="G27" s="310">
        <v>11500</v>
      </c>
      <c r="H27" s="297">
        <v>11500</v>
      </c>
      <c r="I27" s="304"/>
      <c r="J27" s="310">
        <v>0</v>
      </c>
      <c r="K27" s="309">
        <v>0</v>
      </c>
      <c r="L27" s="309">
        <v>53760</v>
      </c>
      <c r="M27" s="309">
        <v>33910</v>
      </c>
      <c r="N27" s="310">
        <v>78200</v>
      </c>
      <c r="O27" s="295">
        <v>165870</v>
      </c>
      <c r="P27" s="299">
        <v>177370</v>
      </c>
    </row>
    <row r="28" spans="1:17" ht="18" customHeight="1">
      <c r="C28" s="292"/>
      <c r="D28" s="311"/>
      <c r="E28" s="306" t="s">
        <v>245</v>
      </c>
      <c r="F28" s="312">
        <v>0</v>
      </c>
      <c r="G28" s="313">
        <v>0</v>
      </c>
      <c r="H28" s="297">
        <v>0</v>
      </c>
      <c r="I28" s="314"/>
      <c r="J28" s="313">
        <v>0</v>
      </c>
      <c r="K28" s="312">
        <v>0</v>
      </c>
      <c r="L28" s="312">
        <v>0</v>
      </c>
      <c r="M28" s="312">
        <v>0</v>
      </c>
      <c r="N28" s="313">
        <v>0</v>
      </c>
      <c r="O28" s="295">
        <v>0</v>
      </c>
      <c r="P28" s="299">
        <v>0</v>
      </c>
    </row>
    <row r="29" spans="1:17" ht="18" customHeight="1">
      <c r="C29" s="292"/>
      <c r="D29" s="315"/>
      <c r="E29" s="301" t="s">
        <v>246</v>
      </c>
      <c r="F29" s="316">
        <v>0</v>
      </c>
      <c r="G29" s="317">
        <v>0</v>
      </c>
      <c r="H29" s="297">
        <v>0</v>
      </c>
      <c r="I29" s="314"/>
      <c r="J29" s="317">
        <v>0</v>
      </c>
      <c r="K29" s="316">
        <v>0</v>
      </c>
      <c r="L29" s="316">
        <v>0</v>
      </c>
      <c r="M29" s="316">
        <v>0</v>
      </c>
      <c r="N29" s="317">
        <v>0</v>
      </c>
      <c r="O29" s="295">
        <v>0</v>
      </c>
      <c r="P29" s="299">
        <v>0</v>
      </c>
    </row>
    <row r="30" spans="1:17" ht="18" customHeight="1">
      <c r="A30" s="318"/>
      <c r="B30" s="318"/>
      <c r="C30" s="292"/>
      <c r="D30" s="307" t="s">
        <v>192</v>
      </c>
      <c r="E30" s="319"/>
      <c r="F30" s="302">
        <v>0</v>
      </c>
      <c r="G30" s="303">
        <v>0</v>
      </c>
      <c r="H30" s="297">
        <v>0</v>
      </c>
      <c r="I30" s="320"/>
      <c r="J30" s="303">
        <v>0</v>
      </c>
      <c r="K30" s="302">
        <v>0</v>
      </c>
      <c r="L30" s="302">
        <v>0</v>
      </c>
      <c r="M30" s="302">
        <v>0</v>
      </c>
      <c r="N30" s="303">
        <v>0</v>
      </c>
      <c r="O30" s="295">
        <v>0</v>
      </c>
      <c r="P30" s="299">
        <v>0</v>
      </c>
      <c r="Q30" s="8"/>
    </row>
    <row r="31" spans="1:17" ht="18" customHeight="1">
      <c r="A31" s="318"/>
      <c r="B31" s="318"/>
      <c r="C31" s="292"/>
      <c r="D31" s="300" t="s">
        <v>193</v>
      </c>
      <c r="E31" s="319"/>
      <c r="F31" s="302">
        <v>0</v>
      </c>
      <c r="G31" s="303">
        <v>0</v>
      </c>
      <c r="H31" s="297">
        <v>0</v>
      </c>
      <c r="I31" s="320"/>
      <c r="J31" s="303">
        <v>0</v>
      </c>
      <c r="K31" s="302">
        <v>0</v>
      </c>
      <c r="L31" s="302">
        <v>0</v>
      </c>
      <c r="M31" s="302">
        <v>0</v>
      </c>
      <c r="N31" s="303">
        <v>0</v>
      </c>
      <c r="O31" s="295">
        <v>0</v>
      </c>
      <c r="P31" s="299">
        <v>0</v>
      </c>
      <c r="Q31" s="8"/>
    </row>
    <row r="32" spans="1:17" ht="18" customHeight="1">
      <c r="A32" s="318"/>
      <c r="B32" s="318"/>
      <c r="C32" s="321" t="s">
        <v>194</v>
      </c>
      <c r="D32" s="372"/>
      <c r="E32" s="372"/>
      <c r="F32" s="373"/>
      <c r="G32" s="373"/>
      <c r="H32" s="374"/>
      <c r="I32" s="375"/>
      <c r="J32" s="373"/>
      <c r="K32" s="373"/>
      <c r="L32" s="373"/>
      <c r="M32" s="373"/>
      <c r="N32" s="373"/>
      <c r="O32" s="374"/>
      <c r="P32" s="377"/>
      <c r="Q32" s="8"/>
    </row>
    <row r="33" spans="1:17" ht="18" customHeight="1">
      <c r="A33" s="318"/>
      <c r="B33" s="318"/>
      <c r="C33" s="285" t="s">
        <v>247</v>
      </c>
      <c r="D33" s="325"/>
      <c r="E33" s="326"/>
      <c r="F33" s="287">
        <v>0</v>
      </c>
      <c r="G33" s="288">
        <v>0</v>
      </c>
      <c r="H33" s="289">
        <v>0</v>
      </c>
      <c r="I33" s="327"/>
      <c r="J33" s="288">
        <v>0</v>
      </c>
      <c r="K33" s="287">
        <v>0</v>
      </c>
      <c r="L33" s="287">
        <v>0</v>
      </c>
      <c r="M33" s="287">
        <v>0</v>
      </c>
      <c r="N33" s="288">
        <v>0</v>
      </c>
      <c r="O33" s="287">
        <v>0</v>
      </c>
      <c r="P33" s="291">
        <v>0</v>
      </c>
      <c r="Q33" s="8"/>
    </row>
    <row r="34" spans="1:17" ht="18" customHeight="1">
      <c r="A34" s="318"/>
      <c r="B34" s="318"/>
      <c r="C34" s="328"/>
      <c r="D34" s="798" t="s">
        <v>211</v>
      </c>
      <c r="E34" s="799"/>
      <c r="F34" s="329">
        <v>0</v>
      </c>
      <c r="G34" s="330">
        <v>0</v>
      </c>
      <c r="H34" s="331">
        <v>0</v>
      </c>
      <c r="I34" s="320"/>
      <c r="J34" s="330">
        <v>0</v>
      </c>
      <c r="K34" s="329">
        <v>0</v>
      </c>
      <c r="L34" s="329">
        <v>0</v>
      </c>
      <c r="M34" s="329">
        <v>0</v>
      </c>
      <c r="N34" s="330">
        <v>0</v>
      </c>
      <c r="O34" s="332">
        <v>0</v>
      </c>
      <c r="P34" s="333">
        <v>0</v>
      </c>
      <c r="Q34" s="8"/>
    </row>
    <row r="35" spans="1:17" ht="18" customHeight="1">
      <c r="A35" s="318"/>
      <c r="B35" s="318"/>
      <c r="C35" s="292"/>
      <c r="D35" s="307" t="s">
        <v>212</v>
      </c>
      <c r="E35" s="319"/>
      <c r="F35" s="329">
        <v>0</v>
      </c>
      <c r="G35" s="330">
        <v>0</v>
      </c>
      <c r="H35" s="297">
        <v>0</v>
      </c>
      <c r="I35" s="320"/>
      <c r="J35" s="303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07" t="s">
        <v>213</v>
      </c>
      <c r="E36" s="319"/>
      <c r="F36" s="302">
        <v>0</v>
      </c>
      <c r="G36" s="303">
        <v>0</v>
      </c>
      <c r="H36" s="297">
        <v>0</v>
      </c>
      <c r="I36" s="320"/>
      <c r="J36" s="303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214</v>
      </c>
      <c r="E37" s="305"/>
      <c r="F37" s="302">
        <v>0</v>
      </c>
      <c r="G37" s="303">
        <v>0</v>
      </c>
      <c r="H37" s="297">
        <v>0</v>
      </c>
      <c r="I37" s="320"/>
      <c r="J37" s="303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215</v>
      </c>
      <c r="E38" s="305"/>
      <c r="F38" s="302">
        <v>0</v>
      </c>
      <c r="G38" s="303">
        <v>0</v>
      </c>
      <c r="H38" s="297">
        <v>0</v>
      </c>
      <c r="I38" s="320"/>
      <c r="J38" s="303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216</v>
      </c>
      <c r="E39" s="305"/>
      <c r="F39" s="302">
        <v>0</v>
      </c>
      <c r="G39" s="303">
        <v>0</v>
      </c>
      <c r="H39" s="297">
        <v>0</v>
      </c>
      <c r="I39" s="320"/>
      <c r="J39" s="303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334" t="s">
        <v>217</v>
      </c>
      <c r="E40" s="305"/>
      <c r="F40" s="330">
        <v>0</v>
      </c>
      <c r="G40" s="303">
        <v>0</v>
      </c>
      <c r="H40" s="297">
        <v>0</v>
      </c>
      <c r="I40" s="320"/>
      <c r="J40" s="303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334" t="s">
        <v>218</v>
      </c>
      <c r="E41" s="305"/>
      <c r="F41" s="330">
        <v>0</v>
      </c>
      <c r="G41" s="303">
        <v>0</v>
      </c>
      <c r="H41" s="297">
        <v>0</v>
      </c>
      <c r="I41" s="320"/>
      <c r="J41" s="303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219</v>
      </c>
      <c r="E42" s="800"/>
      <c r="F42" s="329">
        <v>0</v>
      </c>
      <c r="G42" s="330">
        <v>0</v>
      </c>
      <c r="H42" s="297">
        <v>0</v>
      </c>
      <c r="I42" s="320"/>
      <c r="J42" s="303">
        <v>0</v>
      </c>
      <c r="K42" s="302">
        <v>0</v>
      </c>
      <c r="L42" s="302">
        <v>0</v>
      </c>
      <c r="M42" s="302">
        <v>0</v>
      </c>
      <c r="N42" s="303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292"/>
      <c r="D43" s="798" t="s">
        <v>220</v>
      </c>
      <c r="E43" s="800"/>
      <c r="F43" s="329">
        <v>0</v>
      </c>
      <c r="G43" s="330">
        <v>0</v>
      </c>
      <c r="H43" s="297">
        <v>0</v>
      </c>
      <c r="I43" s="320"/>
      <c r="J43" s="303">
        <v>0</v>
      </c>
      <c r="K43" s="302">
        <v>0</v>
      </c>
      <c r="L43" s="302">
        <v>0</v>
      </c>
      <c r="M43" s="302">
        <v>0</v>
      </c>
      <c r="N43" s="303">
        <v>0</v>
      </c>
      <c r="O43" s="295">
        <v>0</v>
      </c>
      <c r="P43" s="299">
        <v>0</v>
      </c>
      <c r="Q43" s="8"/>
    </row>
    <row r="44" spans="1:17" ht="18" customHeight="1">
      <c r="A44" s="318"/>
      <c r="B44" s="318"/>
      <c r="C44" s="328"/>
      <c r="D44" s="798" t="s">
        <v>221</v>
      </c>
      <c r="E44" s="799"/>
      <c r="F44" s="329">
        <v>0</v>
      </c>
      <c r="G44" s="330">
        <v>0</v>
      </c>
      <c r="H44" s="331">
        <v>0</v>
      </c>
      <c r="I44" s="320"/>
      <c r="J44" s="330">
        <v>0</v>
      </c>
      <c r="K44" s="329">
        <v>0</v>
      </c>
      <c r="L44" s="329">
        <v>0</v>
      </c>
      <c r="M44" s="329">
        <v>0</v>
      </c>
      <c r="N44" s="330">
        <v>0</v>
      </c>
      <c r="O44" s="332">
        <v>0</v>
      </c>
      <c r="P44" s="333">
        <v>0</v>
      </c>
      <c r="Q44" s="8"/>
    </row>
    <row r="45" spans="1:17" ht="18" customHeight="1">
      <c r="A45" s="318"/>
      <c r="B45" s="318"/>
      <c r="C45" s="292"/>
      <c r="D45" s="798" t="s">
        <v>248</v>
      </c>
      <c r="E45" s="799"/>
      <c r="F45" s="329">
        <v>0</v>
      </c>
      <c r="G45" s="330">
        <v>0</v>
      </c>
      <c r="H45" s="297">
        <v>0</v>
      </c>
      <c r="I45" s="336"/>
      <c r="J45" s="330">
        <v>0</v>
      </c>
      <c r="K45" s="329">
        <v>0</v>
      </c>
      <c r="L45" s="329">
        <v>0</v>
      </c>
      <c r="M45" s="329">
        <v>0</v>
      </c>
      <c r="N45" s="330">
        <v>0</v>
      </c>
      <c r="O45" s="332">
        <v>0</v>
      </c>
      <c r="P45" s="333">
        <v>0</v>
      </c>
      <c r="Q45" s="8"/>
    </row>
    <row r="46" spans="1:17" ht="18" customHeight="1">
      <c r="A46" s="318"/>
      <c r="B46" s="318"/>
      <c r="C46" s="337"/>
      <c r="D46" s="806" t="s">
        <v>249</v>
      </c>
      <c r="E46" s="810"/>
      <c r="F46" s="136">
        <v>0</v>
      </c>
      <c r="G46" s="109">
        <v>0</v>
      </c>
      <c r="H46" s="297">
        <v>0</v>
      </c>
      <c r="I46" s="363"/>
      <c r="J46" s="109">
        <v>0</v>
      </c>
      <c r="K46" s="136">
        <v>0</v>
      </c>
      <c r="L46" s="136">
        <v>0</v>
      </c>
      <c r="M46" s="136">
        <v>0</v>
      </c>
      <c r="N46" s="109">
        <v>0</v>
      </c>
      <c r="O46" s="145">
        <v>0</v>
      </c>
      <c r="P46" s="365">
        <v>0</v>
      </c>
      <c r="Q46" s="8"/>
    </row>
    <row r="47" spans="1:17" ht="18" customHeight="1">
      <c r="A47" s="318"/>
      <c r="B47" s="318"/>
      <c r="C47" s="292" t="s">
        <v>250</v>
      </c>
      <c r="D47" s="294"/>
      <c r="E47" s="294"/>
      <c r="F47" s="288">
        <v>0</v>
      </c>
      <c r="G47" s="288">
        <v>0</v>
      </c>
      <c r="H47" s="289">
        <v>0</v>
      </c>
      <c r="I47" s="327"/>
      <c r="J47" s="288">
        <v>0</v>
      </c>
      <c r="K47" s="287">
        <v>0</v>
      </c>
      <c r="L47" s="287">
        <v>0</v>
      </c>
      <c r="M47" s="287">
        <v>2927583</v>
      </c>
      <c r="N47" s="288">
        <v>0</v>
      </c>
      <c r="O47" s="287">
        <v>2927583</v>
      </c>
      <c r="P47" s="291">
        <v>2927583</v>
      </c>
      <c r="Q47" s="8"/>
    </row>
    <row r="48" spans="1:17" ht="18" customHeight="1">
      <c r="A48" s="318"/>
      <c r="B48" s="318"/>
      <c r="C48" s="292"/>
      <c r="D48" s="342" t="s">
        <v>113</v>
      </c>
      <c r="E48" s="342"/>
      <c r="F48" s="303">
        <v>0</v>
      </c>
      <c r="G48" s="303">
        <v>0</v>
      </c>
      <c r="H48" s="297">
        <v>0</v>
      </c>
      <c r="I48" s="320"/>
      <c r="J48" s="303">
        <v>0</v>
      </c>
      <c r="K48" s="302">
        <v>0</v>
      </c>
      <c r="L48" s="302">
        <v>0</v>
      </c>
      <c r="M48" s="302">
        <v>0</v>
      </c>
      <c r="N48" s="303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2" t="s">
        <v>114</v>
      </c>
      <c r="E49" s="342"/>
      <c r="F49" s="302">
        <v>0</v>
      </c>
      <c r="G49" s="303">
        <v>0</v>
      </c>
      <c r="H49" s="297">
        <v>0</v>
      </c>
      <c r="I49" s="320"/>
      <c r="J49" s="303">
        <v>0</v>
      </c>
      <c r="K49" s="302">
        <v>0</v>
      </c>
      <c r="L49" s="302">
        <v>0</v>
      </c>
      <c r="M49" s="302">
        <v>2927583</v>
      </c>
      <c r="N49" s="303">
        <v>0</v>
      </c>
      <c r="O49" s="295">
        <v>2927583</v>
      </c>
      <c r="P49" s="299">
        <v>2927583</v>
      </c>
      <c r="Q49" s="8"/>
    </row>
    <row r="50" spans="1:17" ht="18" customHeight="1">
      <c r="A50" s="318"/>
      <c r="B50" s="318"/>
      <c r="C50" s="292"/>
      <c r="D50" s="343" t="s">
        <v>176</v>
      </c>
      <c r="E50" s="343"/>
      <c r="F50" s="329">
        <v>0</v>
      </c>
      <c r="G50" s="330">
        <v>0</v>
      </c>
      <c r="H50" s="297">
        <v>0</v>
      </c>
      <c r="I50" s="320"/>
      <c r="J50" s="330">
        <v>0</v>
      </c>
      <c r="K50" s="329">
        <v>0</v>
      </c>
      <c r="L50" s="329">
        <v>0</v>
      </c>
      <c r="M50" s="329">
        <v>0</v>
      </c>
      <c r="N50" s="330">
        <v>0</v>
      </c>
      <c r="O50" s="295">
        <v>0</v>
      </c>
      <c r="P50" s="299">
        <v>0</v>
      </c>
      <c r="Q50" s="8"/>
    </row>
    <row r="51" spans="1:17" ht="18" customHeight="1">
      <c r="A51" s="318"/>
      <c r="B51" s="318"/>
      <c r="C51" s="292"/>
      <c r="D51" s="344" t="s">
        <v>251</v>
      </c>
      <c r="E51" s="344"/>
      <c r="F51" s="338">
        <v>0</v>
      </c>
      <c r="G51" s="339">
        <v>0</v>
      </c>
      <c r="H51" s="345">
        <v>0</v>
      </c>
      <c r="I51" s="320"/>
      <c r="J51" s="339">
        <v>0</v>
      </c>
      <c r="K51" s="338">
        <v>0</v>
      </c>
      <c r="L51" s="338">
        <v>0</v>
      </c>
      <c r="M51" s="338">
        <v>0</v>
      </c>
      <c r="N51" s="339">
        <v>0</v>
      </c>
      <c r="O51" s="340">
        <v>0</v>
      </c>
      <c r="P51" s="341">
        <v>0</v>
      </c>
      <c r="Q51" s="8"/>
    </row>
    <row r="52" spans="1:17" ht="18" customHeight="1">
      <c r="A52" s="318"/>
      <c r="B52" s="318"/>
      <c r="C52" s="801" t="s">
        <v>252</v>
      </c>
      <c r="D52" s="802"/>
      <c r="E52" s="803"/>
      <c r="F52" s="346">
        <v>0</v>
      </c>
      <c r="G52" s="346">
        <v>60360</v>
      </c>
      <c r="H52" s="178">
        <v>60360</v>
      </c>
      <c r="I52" s="347"/>
      <c r="J52" s="346">
        <v>339600</v>
      </c>
      <c r="K52" s="346">
        <v>940224</v>
      </c>
      <c r="L52" s="346">
        <v>279129</v>
      </c>
      <c r="M52" s="346">
        <v>2961493</v>
      </c>
      <c r="N52" s="346">
        <v>605079</v>
      </c>
      <c r="O52" s="346">
        <v>5125525</v>
      </c>
      <c r="P52" s="171">
        <v>5185885</v>
      </c>
      <c r="Q52" s="8"/>
    </row>
    <row r="53" spans="1:17" ht="12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8"/>
    </row>
  </sheetData>
  <mergeCells count="10">
    <mergeCell ref="D44:E44"/>
    <mergeCell ref="D42:E42"/>
    <mergeCell ref="D46:E46"/>
    <mergeCell ref="C52:E52"/>
    <mergeCell ref="D45:E45"/>
    <mergeCell ref="A3:Q3"/>
    <mergeCell ref="A4:Q4"/>
    <mergeCell ref="C10:E10"/>
    <mergeCell ref="D34:E34"/>
    <mergeCell ref="D43:E43"/>
  </mergeCells>
  <phoneticPr fontId="35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53"/>
  <sheetViews>
    <sheetView showGridLines="0" workbookViewId="0"/>
  </sheetViews>
  <sheetFormatPr defaultColWidth="9" defaultRowHeight="12" custom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234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259</v>
      </c>
    </row>
    <row r="8" spans="1:17" ht="18" customHeight="1">
      <c r="C8" s="378" t="s">
        <v>255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/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0</v>
      </c>
      <c r="G11" s="288">
        <v>42252</v>
      </c>
      <c r="H11" s="289">
        <v>42252</v>
      </c>
      <c r="I11" s="290"/>
      <c r="J11" s="288">
        <v>237720</v>
      </c>
      <c r="K11" s="288">
        <v>658154</v>
      </c>
      <c r="L11" s="287">
        <v>195390</v>
      </c>
      <c r="M11" s="288">
        <v>23737</v>
      </c>
      <c r="N11" s="288">
        <v>423553</v>
      </c>
      <c r="O11" s="287">
        <v>1538554</v>
      </c>
      <c r="P11" s="291">
        <v>1580806</v>
      </c>
    </row>
    <row r="12" spans="1:17" ht="18" customHeight="1">
      <c r="C12" s="292"/>
      <c r="D12" s="293" t="s">
        <v>241</v>
      </c>
      <c r="E12" s="294"/>
      <c r="F12" s="295">
        <v>0</v>
      </c>
      <c r="G12" s="296">
        <v>0</v>
      </c>
      <c r="H12" s="297">
        <v>0</v>
      </c>
      <c r="I12" s="298"/>
      <c r="J12" s="296">
        <v>0</v>
      </c>
      <c r="K12" s="295">
        <v>0</v>
      </c>
      <c r="L12" s="295">
        <v>0</v>
      </c>
      <c r="M12" s="295">
        <v>0</v>
      </c>
      <c r="N12" s="296">
        <v>368813</v>
      </c>
      <c r="O12" s="295">
        <v>368813</v>
      </c>
      <c r="P12" s="299">
        <v>368813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0</v>
      </c>
      <c r="K13" s="302">
        <v>0</v>
      </c>
      <c r="L13" s="302">
        <v>0</v>
      </c>
      <c r="M13" s="302">
        <v>0</v>
      </c>
      <c r="N13" s="303">
        <v>0</v>
      </c>
      <c r="O13" s="295">
        <v>0</v>
      </c>
      <c r="P13" s="299">
        <v>0</v>
      </c>
    </row>
    <row r="14" spans="1:17" ht="18" customHeight="1">
      <c r="C14" s="292"/>
      <c r="D14" s="300"/>
      <c r="E14" s="301" t="s">
        <v>181</v>
      </c>
      <c r="F14" s="302">
        <v>0</v>
      </c>
      <c r="G14" s="303">
        <v>0</v>
      </c>
      <c r="H14" s="297">
        <v>0</v>
      </c>
      <c r="I14" s="304"/>
      <c r="J14" s="303">
        <v>0</v>
      </c>
      <c r="K14" s="302">
        <v>0</v>
      </c>
      <c r="L14" s="302">
        <v>0</v>
      </c>
      <c r="M14" s="302">
        <v>0</v>
      </c>
      <c r="N14" s="303">
        <v>233944</v>
      </c>
      <c r="O14" s="295">
        <v>233944</v>
      </c>
      <c r="P14" s="299">
        <v>233944</v>
      </c>
    </row>
    <row r="15" spans="1:17" ht="18" customHeight="1">
      <c r="C15" s="292"/>
      <c r="D15" s="300"/>
      <c r="E15" s="301" t="s">
        <v>182</v>
      </c>
      <c r="F15" s="302">
        <v>0</v>
      </c>
      <c r="G15" s="303">
        <v>0</v>
      </c>
      <c r="H15" s="297">
        <v>0</v>
      </c>
      <c r="I15" s="304"/>
      <c r="J15" s="303">
        <v>0</v>
      </c>
      <c r="K15" s="302">
        <v>0</v>
      </c>
      <c r="L15" s="302">
        <v>0</v>
      </c>
      <c r="M15" s="302">
        <v>0</v>
      </c>
      <c r="N15" s="303">
        <v>0</v>
      </c>
      <c r="O15" s="295">
        <v>0</v>
      </c>
      <c r="P15" s="299">
        <v>0</v>
      </c>
    </row>
    <row r="16" spans="1:17" ht="18" customHeight="1">
      <c r="C16" s="292"/>
      <c r="D16" s="300"/>
      <c r="E16" s="301" t="s">
        <v>183</v>
      </c>
      <c r="F16" s="302">
        <v>0</v>
      </c>
      <c r="G16" s="303">
        <v>0</v>
      </c>
      <c r="H16" s="297">
        <v>0</v>
      </c>
      <c r="I16" s="304"/>
      <c r="J16" s="303">
        <v>0</v>
      </c>
      <c r="K16" s="302">
        <v>0</v>
      </c>
      <c r="L16" s="302">
        <v>0</v>
      </c>
      <c r="M16" s="302">
        <v>0</v>
      </c>
      <c r="N16" s="303">
        <v>134869</v>
      </c>
      <c r="O16" s="295">
        <v>134869</v>
      </c>
      <c r="P16" s="299">
        <v>134869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0</v>
      </c>
      <c r="K17" s="302">
        <v>0</v>
      </c>
      <c r="L17" s="302">
        <v>0</v>
      </c>
      <c r="M17" s="302">
        <v>0</v>
      </c>
      <c r="N17" s="303">
        <v>0</v>
      </c>
      <c r="O17" s="295">
        <v>0</v>
      </c>
      <c r="P17" s="299">
        <v>0</v>
      </c>
    </row>
    <row r="18" spans="1:17" ht="18" customHeight="1">
      <c r="C18" s="292"/>
      <c r="D18" s="293" t="s">
        <v>242</v>
      </c>
      <c r="E18" s="305"/>
      <c r="F18" s="295">
        <v>0</v>
      </c>
      <c r="G18" s="296">
        <v>34202</v>
      </c>
      <c r="H18" s="297">
        <v>34202</v>
      </c>
      <c r="I18" s="298"/>
      <c r="J18" s="296">
        <v>237720</v>
      </c>
      <c r="K18" s="295">
        <v>658154</v>
      </c>
      <c r="L18" s="295">
        <v>157758</v>
      </c>
      <c r="M18" s="295">
        <v>0</v>
      </c>
      <c r="N18" s="296">
        <v>0</v>
      </c>
      <c r="O18" s="295">
        <v>1053632</v>
      </c>
      <c r="P18" s="299">
        <v>1087834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237720</v>
      </c>
      <c r="K19" s="302">
        <v>0</v>
      </c>
      <c r="L19" s="302">
        <v>0</v>
      </c>
      <c r="M19" s="302">
        <v>0</v>
      </c>
      <c r="N19" s="303">
        <v>0</v>
      </c>
      <c r="O19" s="295">
        <v>237720</v>
      </c>
      <c r="P19" s="299">
        <v>237720</v>
      </c>
    </row>
    <row r="20" spans="1:17" ht="18" customHeight="1">
      <c r="C20" s="292"/>
      <c r="D20" s="300"/>
      <c r="E20" s="306" t="s">
        <v>186</v>
      </c>
      <c r="F20" s="302">
        <v>0</v>
      </c>
      <c r="G20" s="303">
        <v>34202</v>
      </c>
      <c r="H20" s="297">
        <v>34202</v>
      </c>
      <c r="I20" s="304"/>
      <c r="J20" s="303">
        <v>0</v>
      </c>
      <c r="K20" s="302">
        <v>658154</v>
      </c>
      <c r="L20" s="302">
        <v>157758</v>
      </c>
      <c r="M20" s="302">
        <v>0</v>
      </c>
      <c r="N20" s="303">
        <v>0</v>
      </c>
      <c r="O20" s="295">
        <v>815912</v>
      </c>
      <c r="P20" s="299">
        <v>850114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0</v>
      </c>
      <c r="H21" s="297">
        <v>0</v>
      </c>
      <c r="I21" s="298"/>
      <c r="J21" s="296">
        <v>0</v>
      </c>
      <c r="K21" s="295">
        <v>0</v>
      </c>
      <c r="L21" s="295">
        <v>0</v>
      </c>
      <c r="M21" s="295">
        <v>0</v>
      </c>
      <c r="N21" s="296">
        <v>0</v>
      </c>
      <c r="O21" s="295">
        <v>0</v>
      </c>
      <c r="P21" s="299">
        <v>0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0</v>
      </c>
      <c r="H22" s="297">
        <v>0</v>
      </c>
      <c r="I22" s="304"/>
      <c r="J22" s="303">
        <v>0</v>
      </c>
      <c r="K22" s="302">
        <v>0</v>
      </c>
      <c r="L22" s="302">
        <v>0</v>
      </c>
      <c r="M22" s="302">
        <v>0</v>
      </c>
      <c r="N22" s="303">
        <v>0</v>
      </c>
      <c r="O22" s="295">
        <v>0</v>
      </c>
      <c r="P22" s="299">
        <v>0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0</v>
      </c>
      <c r="H23" s="297">
        <v>0</v>
      </c>
      <c r="I23" s="304"/>
      <c r="J23" s="303">
        <v>0</v>
      </c>
      <c r="K23" s="302">
        <v>0</v>
      </c>
      <c r="L23" s="302">
        <v>0</v>
      </c>
      <c r="M23" s="302">
        <v>0</v>
      </c>
      <c r="N23" s="303">
        <v>0</v>
      </c>
      <c r="O23" s="295">
        <v>0</v>
      </c>
      <c r="P23" s="299">
        <v>0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0</v>
      </c>
      <c r="G26" s="296">
        <v>8050</v>
      </c>
      <c r="H26" s="297">
        <v>8050</v>
      </c>
      <c r="I26" s="298"/>
      <c r="J26" s="296">
        <v>0</v>
      </c>
      <c r="K26" s="295">
        <v>0</v>
      </c>
      <c r="L26" s="295">
        <v>37632</v>
      </c>
      <c r="M26" s="295">
        <v>23737</v>
      </c>
      <c r="N26" s="296">
        <v>54740</v>
      </c>
      <c r="O26" s="295">
        <v>116109</v>
      </c>
      <c r="P26" s="299">
        <v>124159</v>
      </c>
    </row>
    <row r="27" spans="1:17" ht="18" customHeight="1">
      <c r="C27" s="292"/>
      <c r="D27" s="300"/>
      <c r="E27" s="308" t="s">
        <v>191</v>
      </c>
      <c r="F27" s="309">
        <v>0</v>
      </c>
      <c r="G27" s="310">
        <v>8050</v>
      </c>
      <c r="H27" s="297">
        <v>8050</v>
      </c>
      <c r="I27" s="304"/>
      <c r="J27" s="310">
        <v>0</v>
      </c>
      <c r="K27" s="309">
        <v>0</v>
      </c>
      <c r="L27" s="309">
        <v>37632</v>
      </c>
      <c r="M27" s="309">
        <v>23737</v>
      </c>
      <c r="N27" s="310">
        <v>54740</v>
      </c>
      <c r="O27" s="295">
        <v>116109</v>
      </c>
      <c r="P27" s="299">
        <v>124159</v>
      </c>
    </row>
    <row r="28" spans="1:17" ht="18" customHeight="1">
      <c r="C28" s="292"/>
      <c r="D28" s="311"/>
      <c r="E28" s="306" t="s">
        <v>245</v>
      </c>
      <c r="F28" s="312">
        <v>0</v>
      </c>
      <c r="G28" s="313">
        <v>0</v>
      </c>
      <c r="H28" s="297">
        <v>0</v>
      </c>
      <c r="I28" s="314"/>
      <c r="J28" s="313">
        <v>0</v>
      </c>
      <c r="K28" s="312">
        <v>0</v>
      </c>
      <c r="L28" s="312">
        <v>0</v>
      </c>
      <c r="M28" s="312">
        <v>0</v>
      </c>
      <c r="N28" s="313">
        <v>0</v>
      </c>
      <c r="O28" s="295">
        <v>0</v>
      </c>
      <c r="P28" s="299">
        <v>0</v>
      </c>
    </row>
    <row r="29" spans="1:17" ht="18" customHeight="1">
      <c r="C29" s="292"/>
      <c r="D29" s="315"/>
      <c r="E29" s="301" t="s">
        <v>246</v>
      </c>
      <c r="F29" s="316">
        <v>0</v>
      </c>
      <c r="G29" s="317">
        <v>0</v>
      </c>
      <c r="H29" s="297">
        <v>0</v>
      </c>
      <c r="I29" s="314"/>
      <c r="J29" s="317">
        <v>0</v>
      </c>
      <c r="K29" s="316">
        <v>0</v>
      </c>
      <c r="L29" s="316">
        <v>0</v>
      </c>
      <c r="M29" s="316">
        <v>0</v>
      </c>
      <c r="N29" s="317">
        <v>0</v>
      </c>
      <c r="O29" s="295">
        <v>0</v>
      </c>
      <c r="P29" s="299">
        <v>0</v>
      </c>
    </row>
    <row r="30" spans="1:17" ht="18" customHeight="1">
      <c r="A30" s="318"/>
      <c r="B30" s="318"/>
      <c r="C30" s="292"/>
      <c r="D30" s="307" t="s">
        <v>192</v>
      </c>
      <c r="E30" s="319"/>
      <c r="F30" s="302">
        <v>0</v>
      </c>
      <c r="G30" s="303">
        <v>0</v>
      </c>
      <c r="H30" s="297">
        <v>0</v>
      </c>
      <c r="I30" s="320"/>
      <c r="J30" s="303">
        <v>0</v>
      </c>
      <c r="K30" s="302">
        <v>0</v>
      </c>
      <c r="L30" s="302">
        <v>0</v>
      </c>
      <c r="M30" s="302">
        <v>0</v>
      </c>
      <c r="N30" s="303">
        <v>0</v>
      </c>
      <c r="O30" s="295">
        <v>0</v>
      </c>
      <c r="P30" s="299">
        <v>0</v>
      </c>
      <c r="Q30" s="8"/>
    </row>
    <row r="31" spans="1:17" ht="18" customHeight="1">
      <c r="A31" s="318"/>
      <c r="B31" s="318"/>
      <c r="C31" s="292"/>
      <c r="D31" s="300" t="s">
        <v>193</v>
      </c>
      <c r="E31" s="319"/>
      <c r="F31" s="302">
        <v>0</v>
      </c>
      <c r="G31" s="303">
        <v>0</v>
      </c>
      <c r="H31" s="297">
        <v>0</v>
      </c>
      <c r="I31" s="320"/>
      <c r="J31" s="303">
        <v>0</v>
      </c>
      <c r="K31" s="302">
        <v>0</v>
      </c>
      <c r="L31" s="302">
        <v>0</v>
      </c>
      <c r="M31" s="302">
        <v>0</v>
      </c>
      <c r="N31" s="303">
        <v>0</v>
      </c>
      <c r="O31" s="295">
        <v>0</v>
      </c>
      <c r="P31" s="299">
        <v>0</v>
      </c>
      <c r="Q31" s="8"/>
    </row>
    <row r="32" spans="1:17" ht="18" customHeight="1">
      <c r="A32" s="318"/>
      <c r="B32" s="318"/>
      <c r="C32" s="321" t="s">
        <v>194</v>
      </c>
      <c r="D32" s="372"/>
      <c r="E32" s="372"/>
      <c r="F32" s="373"/>
      <c r="G32" s="373"/>
      <c r="H32" s="374"/>
      <c r="I32" s="375"/>
      <c r="J32" s="373"/>
      <c r="K32" s="373"/>
      <c r="L32" s="373"/>
      <c r="M32" s="373"/>
      <c r="N32" s="373"/>
      <c r="O32" s="374"/>
      <c r="P32" s="377"/>
      <c r="Q32" s="8"/>
    </row>
    <row r="33" spans="1:17" ht="18" customHeight="1">
      <c r="A33" s="318"/>
      <c r="B33" s="318"/>
      <c r="C33" s="285" t="s">
        <v>247</v>
      </c>
      <c r="D33" s="325"/>
      <c r="E33" s="326"/>
      <c r="F33" s="287">
        <v>0</v>
      </c>
      <c r="G33" s="288">
        <v>0</v>
      </c>
      <c r="H33" s="289">
        <v>0</v>
      </c>
      <c r="I33" s="327"/>
      <c r="J33" s="288">
        <v>0</v>
      </c>
      <c r="K33" s="287">
        <v>0</v>
      </c>
      <c r="L33" s="287">
        <v>0</v>
      </c>
      <c r="M33" s="287">
        <v>0</v>
      </c>
      <c r="N33" s="288">
        <v>0</v>
      </c>
      <c r="O33" s="287">
        <v>0</v>
      </c>
      <c r="P33" s="291">
        <v>0</v>
      </c>
      <c r="Q33" s="8"/>
    </row>
    <row r="34" spans="1:17" ht="18" customHeight="1">
      <c r="A34" s="318"/>
      <c r="B34" s="318"/>
      <c r="C34" s="328"/>
      <c r="D34" s="798" t="s">
        <v>211</v>
      </c>
      <c r="E34" s="799"/>
      <c r="F34" s="329">
        <v>0</v>
      </c>
      <c r="G34" s="330">
        <v>0</v>
      </c>
      <c r="H34" s="331">
        <v>0</v>
      </c>
      <c r="I34" s="320"/>
      <c r="J34" s="330">
        <v>0</v>
      </c>
      <c r="K34" s="329">
        <v>0</v>
      </c>
      <c r="L34" s="329">
        <v>0</v>
      </c>
      <c r="M34" s="329">
        <v>0</v>
      </c>
      <c r="N34" s="330">
        <v>0</v>
      </c>
      <c r="O34" s="332">
        <v>0</v>
      </c>
      <c r="P34" s="333">
        <v>0</v>
      </c>
      <c r="Q34" s="8"/>
    </row>
    <row r="35" spans="1:17" ht="18" customHeight="1">
      <c r="A35" s="318"/>
      <c r="B35" s="318"/>
      <c r="C35" s="292"/>
      <c r="D35" s="307" t="s">
        <v>212</v>
      </c>
      <c r="E35" s="319"/>
      <c r="F35" s="329">
        <v>0</v>
      </c>
      <c r="G35" s="330">
        <v>0</v>
      </c>
      <c r="H35" s="297">
        <v>0</v>
      </c>
      <c r="I35" s="320"/>
      <c r="J35" s="303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07" t="s">
        <v>213</v>
      </c>
      <c r="E36" s="319"/>
      <c r="F36" s="302">
        <v>0</v>
      </c>
      <c r="G36" s="303">
        <v>0</v>
      </c>
      <c r="H36" s="297">
        <v>0</v>
      </c>
      <c r="I36" s="320"/>
      <c r="J36" s="303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214</v>
      </c>
      <c r="E37" s="305"/>
      <c r="F37" s="302">
        <v>0</v>
      </c>
      <c r="G37" s="303">
        <v>0</v>
      </c>
      <c r="H37" s="297">
        <v>0</v>
      </c>
      <c r="I37" s="320"/>
      <c r="J37" s="303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215</v>
      </c>
      <c r="E38" s="305"/>
      <c r="F38" s="302">
        <v>0</v>
      </c>
      <c r="G38" s="303">
        <v>0</v>
      </c>
      <c r="H38" s="297">
        <v>0</v>
      </c>
      <c r="I38" s="320"/>
      <c r="J38" s="303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216</v>
      </c>
      <c r="E39" s="305"/>
      <c r="F39" s="302">
        <v>0</v>
      </c>
      <c r="G39" s="303">
        <v>0</v>
      </c>
      <c r="H39" s="297">
        <v>0</v>
      </c>
      <c r="I39" s="320"/>
      <c r="J39" s="303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334" t="s">
        <v>217</v>
      </c>
      <c r="E40" s="305"/>
      <c r="F40" s="330">
        <v>0</v>
      </c>
      <c r="G40" s="303">
        <v>0</v>
      </c>
      <c r="H40" s="297">
        <v>0</v>
      </c>
      <c r="I40" s="320"/>
      <c r="J40" s="303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334" t="s">
        <v>218</v>
      </c>
      <c r="E41" s="305"/>
      <c r="F41" s="330">
        <v>0</v>
      </c>
      <c r="G41" s="303">
        <v>0</v>
      </c>
      <c r="H41" s="297">
        <v>0</v>
      </c>
      <c r="I41" s="320"/>
      <c r="J41" s="303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219</v>
      </c>
      <c r="E42" s="800"/>
      <c r="F42" s="329">
        <v>0</v>
      </c>
      <c r="G42" s="330">
        <v>0</v>
      </c>
      <c r="H42" s="297">
        <v>0</v>
      </c>
      <c r="I42" s="320"/>
      <c r="J42" s="303">
        <v>0</v>
      </c>
      <c r="K42" s="302">
        <v>0</v>
      </c>
      <c r="L42" s="302">
        <v>0</v>
      </c>
      <c r="M42" s="302">
        <v>0</v>
      </c>
      <c r="N42" s="303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292"/>
      <c r="D43" s="798" t="s">
        <v>220</v>
      </c>
      <c r="E43" s="800"/>
      <c r="F43" s="329">
        <v>0</v>
      </c>
      <c r="G43" s="330">
        <v>0</v>
      </c>
      <c r="H43" s="297">
        <v>0</v>
      </c>
      <c r="I43" s="320"/>
      <c r="J43" s="303">
        <v>0</v>
      </c>
      <c r="K43" s="302">
        <v>0</v>
      </c>
      <c r="L43" s="302">
        <v>0</v>
      </c>
      <c r="M43" s="302">
        <v>0</v>
      </c>
      <c r="N43" s="303">
        <v>0</v>
      </c>
      <c r="O43" s="295">
        <v>0</v>
      </c>
      <c r="P43" s="299">
        <v>0</v>
      </c>
      <c r="Q43" s="8"/>
    </row>
    <row r="44" spans="1:17" ht="18" customHeight="1">
      <c r="A44" s="318"/>
      <c r="B44" s="318"/>
      <c r="C44" s="328"/>
      <c r="D44" s="798" t="s">
        <v>221</v>
      </c>
      <c r="E44" s="799"/>
      <c r="F44" s="329">
        <v>0</v>
      </c>
      <c r="G44" s="330">
        <v>0</v>
      </c>
      <c r="H44" s="331">
        <v>0</v>
      </c>
      <c r="I44" s="320"/>
      <c r="J44" s="330">
        <v>0</v>
      </c>
      <c r="K44" s="329">
        <v>0</v>
      </c>
      <c r="L44" s="329">
        <v>0</v>
      </c>
      <c r="M44" s="329">
        <v>0</v>
      </c>
      <c r="N44" s="330">
        <v>0</v>
      </c>
      <c r="O44" s="332">
        <v>0</v>
      </c>
      <c r="P44" s="333">
        <v>0</v>
      </c>
      <c r="Q44" s="8"/>
    </row>
    <row r="45" spans="1:17" ht="18" customHeight="1">
      <c r="A45" s="318"/>
      <c r="B45" s="318"/>
      <c r="C45" s="328"/>
      <c r="D45" s="798" t="s">
        <v>248</v>
      </c>
      <c r="E45" s="799"/>
      <c r="F45" s="329">
        <v>0</v>
      </c>
      <c r="G45" s="330">
        <v>0</v>
      </c>
      <c r="H45" s="297">
        <v>0</v>
      </c>
      <c r="I45" s="336"/>
      <c r="J45" s="330">
        <v>0</v>
      </c>
      <c r="K45" s="329">
        <v>0</v>
      </c>
      <c r="L45" s="329">
        <v>0</v>
      </c>
      <c r="M45" s="329">
        <v>0</v>
      </c>
      <c r="N45" s="330">
        <v>0</v>
      </c>
      <c r="O45" s="332">
        <v>0</v>
      </c>
      <c r="P45" s="333">
        <v>0</v>
      </c>
      <c r="Q45" s="8"/>
    </row>
    <row r="46" spans="1:17" ht="18" customHeight="1">
      <c r="A46" s="318"/>
      <c r="B46" s="318"/>
      <c r="C46" s="337"/>
      <c r="D46" s="806" t="s">
        <v>249</v>
      </c>
      <c r="E46" s="810"/>
      <c r="F46" s="136">
        <v>0</v>
      </c>
      <c r="G46" s="109">
        <v>0</v>
      </c>
      <c r="H46" s="297">
        <v>0</v>
      </c>
      <c r="I46" s="363"/>
      <c r="J46" s="109">
        <v>0</v>
      </c>
      <c r="K46" s="136">
        <v>0</v>
      </c>
      <c r="L46" s="136">
        <v>0</v>
      </c>
      <c r="M46" s="136">
        <v>0</v>
      </c>
      <c r="N46" s="109">
        <v>0</v>
      </c>
      <c r="O46" s="145">
        <v>0</v>
      </c>
      <c r="P46" s="365">
        <v>0</v>
      </c>
      <c r="Q46" s="8"/>
    </row>
    <row r="47" spans="1:17" ht="18" customHeight="1">
      <c r="A47" s="318"/>
      <c r="B47" s="318"/>
      <c r="C47" s="292" t="s">
        <v>250</v>
      </c>
      <c r="D47" s="294"/>
      <c r="E47" s="294"/>
      <c r="F47" s="288">
        <v>0</v>
      </c>
      <c r="G47" s="288">
        <v>0</v>
      </c>
      <c r="H47" s="289">
        <v>0</v>
      </c>
      <c r="I47" s="327"/>
      <c r="J47" s="288">
        <v>0</v>
      </c>
      <c r="K47" s="287">
        <v>0</v>
      </c>
      <c r="L47" s="287">
        <v>0</v>
      </c>
      <c r="M47" s="287">
        <v>2049306</v>
      </c>
      <c r="N47" s="288">
        <v>0</v>
      </c>
      <c r="O47" s="287">
        <v>2049306</v>
      </c>
      <c r="P47" s="291">
        <v>2049306</v>
      </c>
      <c r="Q47" s="8"/>
    </row>
    <row r="48" spans="1:17" ht="18" customHeight="1">
      <c r="A48" s="318"/>
      <c r="B48" s="318"/>
      <c r="C48" s="292"/>
      <c r="D48" s="342" t="s">
        <v>113</v>
      </c>
      <c r="E48" s="342"/>
      <c r="F48" s="303">
        <v>0</v>
      </c>
      <c r="G48" s="303">
        <v>0</v>
      </c>
      <c r="H48" s="297">
        <v>0</v>
      </c>
      <c r="I48" s="320"/>
      <c r="J48" s="303">
        <v>0</v>
      </c>
      <c r="K48" s="302">
        <v>0</v>
      </c>
      <c r="L48" s="302">
        <v>0</v>
      </c>
      <c r="M48" s="302">
        <v>0</v>
      </c>
      <c r="N48" s="303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2" t="s">
        <v>114</v>
      </c>
      <c r="E49" s="342"/>
      <c r="F49" s="302">
        <v>0</v>
      </c>
      <c r="G49" s="303">
        <v>0</v>
      </c>
      <c r="H49" s="297">
        <v>0</v>
      </c>
      <c r="I49" s="320"/>
      <c r="J49" s="303">
        <v>0</v>
      </c>
      <c r="K49" s="302">
        <v>0</v>
      </c>
      <c r="L49" s="302">
        <v>0</v>
      </c>
      <c r="M49" s="302">
        <v>2049306</v>
      </c>
      <c r="N49" s="303">
        <v>0</v>
      </c>
      <c r="O49" s="295">
        <v>2049306</v>
      </c>
      <c r="P49" s="299">
        <v>2049306</v>
      </c>
      <c r="Q49" s="8"/>
    </row>
    <row r="50" spans="1:17" ht="18" customHeight="1">
      <c r="A50" s="318"/>
      <c r="B50" s="318"/>
      <c r="C50" s="292"/>
      <c r="D50" s="343" t="s">
        <v>176</v>
      </c>
      <c r="E50" s="343"/>
      <c r="F50" s="329">
        <v>0</v>
      </c>
      <c r="G50" s="330">
        <v>0</v>
      </c>
      <c r="H50" s="297">
        <v>0</v>
      </c>
      <c r="I50" s="320"/>
      <c r="J50" s="330">
        <v>0</v>
      </c>
      <c r="K50" s="329">
        <v>0</v>
      </c>
      <c r="L50" s="329">
        <v>0</v>
      </c>
      <c r="M50" s="329">
        <v>0</v>
      </c>
      <c r="N50" s="330">
        <v>0</v>
      </c>
      <c r="O50" s="295">
        <v>0</v>
      </c>
      <c r="P50" s="299">
        <v>0</v>
      </c>
      <c r="Q50" s="8"/>
    </row>
    <row r="51" spans="1:17" ht="18" customHeight="1">
      <c r="A51" s="318"/>
      <c r="B51" s="318"/>
      <c r="C51" s="292"/>
      <c r="D51" s="344" t="s">
        <v>251</v>
      </c>
      <c r="E51" s="344"/>
      <c r="F51" s="338">
        <v>0</v>
      </c>
      <c r="G51" s="339">
        <v>0</v>
      </c>
      <c r="H51" s="345">
        <v>0</v>
      </c>
      <c r="I51" s="320"/>
      <c r="J51" s="339">
        <v>0</v>
      </c>
      <c r="K51" s="338">
        <v>0</v>
      </c>
      <c r="L51" s="338">
        <v>0</v>
      </c>
      <c r="M51" s="338">
        <v>0</v>
      </c>
      <c r="N51" s="339">
        <v>0</v>
      </c>
      <c r="O51" s="340">
        <v>0</v>
      </c>
      <c r="P51" s="341">
        <v>0</v>
      </c>
      <c r="Q51" s="8"/>
    </row>
    <row r="52" spans="1:17" ht="18" customHeight="1">
      <c r="A52" s="318"/>
      <c r="B52" s="318"/>
      <c r="C52" s="801" t="s">
        <v>252</v>
      </c>
      <c r="D52" s="802"/>
      <c r="E52" s="803"/>
      <c r="F52" s="346">
        <v>0</v>
      </c>
      <c r="G52" s="346">
        <v>42252</v>
      </c>
      <c r="H52" s="178">
        <v>42252</v>
      </c>
      <c r="I52" s="347"/>
      <c r="J52" s="346">
        <v>237720</v>
      </c>
      <c r="K52" s="346">
        <v>658154</v>
      </c>
      <c r="L52" s="346">
        <v>195390</v>
      </c>
      <c r="M52" s="346">
        <v>2073043</v>
      </c>
      <c r="N52" s="346">
        <v>423553</v>
      </c>
      <c r="O52" s="346">
        <v>3587860</v>
      </c>
      <c r="P52" s="171">
        <v>3630112</v>
      </c>
      <c r="Q52" s="8"/>
    </row>
    <row r="53" spans="1:17" ht="12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8"/>
    </row>
  </sheetData>
  <mergeCells count="10">
    <mergeCell ref="D44:E44"/>
    <mergeCell ref="D42:E42"/>
    <mergeCell ref="D46:E46"/>
    <mergeCell ref="C52:E52"/>
    <mergeCell ref="D45:E45"/>
    <mergeCell ref="A3:Q3"/>
    <mergeCell ref="A4:Q4"/>
    <mergeCell ref="C10:E10"/>
    <mergeCell ref="D34:E34"/>
    <mergeCell ref="D43:E43"/>
  </mergeCells>
  <phoneticPr fontId="35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ECBCA"/>
  </sheetPr>
  <dimension ref="A1:Q53"/>
  <sheetViews>
    <sheetView showGridLines="0" workbookViewId="0"/>
  </sheetViews>
  <sheetFormatPr defaultColWidth="9" defaultRowHeight="12" custom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260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261</v>
      </c>
    </row>
    <row r="8" spans="1:17" ht="18" customHeight="1">
      <c r="C8" s="84" t="s">
        <v>238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/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0</v>
      </c>
      <c r="G11" s="288">
        <v>14</v>
      </c>
      <c r="H11" s="289">
        <v>14</v>
      </c>
      <c r="I11" s="290"/>
      <c r="J11" s="288">
        <v>4</v>
      </c>
      <c r="K11" s="288">
        <v>27</v>
      </c>
      <c r="L11" s="287">
        <v>8</v>
      </c>
      <c r="M11" s="288">
        <v>0</v>
      </c>
      <c r="N11" s="288">
        <v>47</v>
      </c>
      <c r="O11" s="287">
        <v>86</v>
      </c>
      <c r="P11" s="291">
        <v>100</v>
      </c>
    </row>
    <row r="12" spans="1:17" ht="18" customHeight="1">
      <c r="C12" s="292"/>
      <c r="D12" s="293" t="s">
        <v>241</v>
      </c>
      <c r="E12" s="294"/>
      <c r="F12" s="295">
        <v>0</v>
      </c>
      <c r="G12" s="296">
        <v>0</v>
      </c>
      <c r="H12" s="297">
        <v>0</v>
      </c>
      <c r="I12" s="298"/>
      <c r="J12" s="296">
        <v>2</v>
      </c>
      <c r="K12" s="295">
        <v>13</v>
      </c>
      <c r="L12" s="295">
        <v>0</v>
      </c>
      <c r="M12" s="295">
        <v>0</v>
      </c>
      <c r="N12" s="296">
        <v>0</v>
      </c>
      <c r="O12" s="295">
        <v>15</v>
      </c>
      <c r="P12" s="299">
        <v>15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0</v>
      </c>
      <c r="K13" s="302">
        <v>4</v>
      </c>
      <c r="L13" s="302">
        <v>0</v>
      </c>
      <c r="M13" s="302">
        <v>0</v>
      </c>
      <c r="N13" s="303">
        <v>0</v>
      </c>
      <c r="O13" s="295">
        <v>4</v>
      </c>
      <c r="P13" s="299">
        <v>4</v>
      </c>
    </row>
    <row r="14" spans="1:17" ht="18" customHeight="1">
      <c r="C14" s="292"/>
      <c r="D14" s="300"/>
      <c r="E14" s="301" t="s">
        <v>181</v>
      </c>
      <c r="F14" s="302">
        <v>0</v>
      </c>
      <c r="G14" s="303">
        <v>0</v>
      </c>
      <c r="H14" s="297">
        <v>0</v>
      </c>
      <c r="I14" s="304"/>
      <c r="J14" s="303">
        <v>0</v>
      </c>
      <c r="K14" s="302">
        <v>0</v>
      </c>
      <c r="L14" s="302">
        <v>0</v>
      </c>
      <c r="M14" s="302">
        <v>0</v>
      </c>
      <c r="N14" s="303">
        <v>0</v>
      </c>
      <c r="O14" s="295">
        <v>0</v>
      </c>
      <c r="P14" s="299">
        <v>0</v>
      </c>
    </row>
    <row r="15" spans="1:17" ht="18" customHeight="1">
      <c r="C15" s="292"/>
      <c r="D15" s="300"/>
      <c r="E15" s="301" t="s">
        <v>182</v>
      </c>
      <c r="F15" s="302">
        <v>0</v>
      </c>
      <c r="G15" s="303">
        <v>0</v>
      </c>
      <c r="H15" s="297">
        <v>0</v>
      </c>
      <c r="I15" s="304"/>
      <c r="J15" s="303">
        <v>1</v>
      </c>
      <c r="K15" s="302">
        <v>3</v>
      </c>
      <c r="L15" s="302">
        <v>0</v>
      </c>
      <c r="M15" s="302">
        <v>0</v>
      </c>
      <c r="N15" s="303">
        <v>0</v>
      </c>
      <c r="O15" s="295">
        <v>4</v>
      </c>
      <c r="P15" s="299">
        <v>4</v>
      </c>
    </row>
    <row r="16" spans="1:17" ht="18" customHeight="1">
      <c r="C16" s="292"/>
      <c r="D16" s="300"/>
      <c r="E16" s="301" t="s">
        <v>183</v>
      </c>
      <c r="F16" s="302">
        <v>0</v>
      </c>
      <c r="G16" s="303">
        <v>0</v>
      </c>
      <c r="H16" s="297">
        <v>0</v>
      </c>
      <c r="I16" s="304"/>
      <c r="J16" s="303">
        <v>1</v>
      </c>
      <c r="K16" s="302">
        <v>6</v>
      </c>
      <c r="L16" s="302">
        <v>0</v>
      </c>
      <c r="M16" s="302">
        <v>0</v>
      </c>
      <c r="N16" s="303">
        <v>0</v>
      </c>
      <c r="O16" s="295">
        <v>7</v>
      </c>
      <c r="P16" s="299">
        <v>7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0</v>
      </c>
      <c r="K17" s="302">
        <v>0</v>
      </c>
      <c r="L17" s="302">
        <v>0</v>
      </c>
      <c r="M17" s="302">
        <v>0</v>
      </c>
      <c r="N17" s="303">
        <v>0</v>
      </c>
      <c r="O17" s="295">
        <v>0</v>
      </c>
      <c r="P17" s="299">
        <v>0</v>
      </c>
    </row>
    <row r="18" spans="1:17" ht="18" customHeight="1">
      <c r="C18" s="292"/>
      <c r="D18" s="293" t="s">
        <v>242</v>
      </c>
      <c r="E18" s="305"/>
      <c r="F18" s="295">
        <v>0</v>
      </c>
      <c r="G18" s="296">
        <v>12</v>
      </c>
      <c r="H18" s="297">
        <v>12</v>
      </c>
      <c r="I18" s="298"/>
      <c r="J18" s="296">
        <v>0</v>
      </c>
      <c r="K18" s="295">
        <v>3</v>
      </c>
      <c r="L18" s="295">
        <v>4</v>
      </c>
      <c r="M18" s="295">
        <v>0</v>
      </c>
      <c r="N18" s="296">
        <v>12</v>
      </c>
      <c r="O18" s="295">
        <v>19</v>
      </c>
      <c r="P18" s="299">
        <v>31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0</v>
      </c>
      <c r="K19" s="302">
        <v>0</v>
      </c>
      <c r="L19" s="302">
        <v>0</v>
      </c>
      <c r="M19" s="302">
        <v>0</v>
      </c>
      <c r="N19" s="303">
        <v>0</v>
      </c>
      <c r="O19" s="370">
        <v>0</v>
      </c>
      <c r="P19" s="299">
        <v>0</v>
      </c>
    </row>
    <row r="20" spans="1:17" ht="18" customHeight="1">
      <c r="C20" s="292"/>
      <c r="D20" s="300"/>
      <c r="E20" s="306" t="s">
        <v>186</v>
      </c>
      <c r="F20" s="302">
        <v>0</v>
      </c>
      <c r="G20" s="303">
        <v>12</v>
      </c>
      <c r="H20" s="297">
        <v>12</v>
      </c>
      <c r="I20" s="304"/>
      <c r="J20" s="303">
        <v>0</v>
      </c>
      <c r="K20" s="302">
        <v>3</v>
      </c>
      <c r="L20" s="302">
        <v>4</v>
      </c>
      <c r="M20" s="302">
        <v>0</v>
      </c>
      <c r="N20" s="303">
        <v>12</v>
      </c>
      <c r="O20" s="295">
        <v>19</v>
      </c>
      <c r="P20" s="299">
        <v>31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0</v>
      </c>
      <c r="H21" s="297">
        <v>0</v>
      </c>
      <c r="I21" s="298"/>
      <c r="J21" s="296">
        <v>0</v>
      </c>
      <c r="K21" s="295">
        <v>0</v>
      </c>
      <c r="L21" s="295">
        <v>0</v>
      </c>
      <c r="M21" s="295">
        <v>0</v>
      </c>
      <c r="N21" s="296">
        <v>23</v>
      </c>
      <c r="O21" s="295">
        <v>23</v>
      </c>
      <c r="P21" s="299">
        <v>23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0</v>
      </c>
      <c r="H22" s="297">
        <v>0</v>
      </c>
      <c r="I22" s="304"/>
      <c r="J22" s="303">
        <v>0</v>
      </c>
      <c r="K22" s="302">
        <v>0</v>
      </c>
      <c r="L22" s="302">
        <v>0</v>
      </c>
      <c r="M22" s="302">
        <v>0</v>
      </c>
      <c r="N22" s="303">
        <v>12</v>
      </c>
      <c r="O22" s="295">
        <v>12</v>
      </c>
      <c r="P22" s="299">
        <v>12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0</v>
      </c>
      <c r="H23" s="297">
        <v>0</v>
      </c>
      <c r="I23" s="304"/>
      <c r="J23" s="303">
        <v>0</v>
      </c>
      <c r="K23" s="302">
        <v>0</v>
      </c>
      <c r="L23" s="302">
        <v>0</v>
      </c>
      <c r="M23" s="302">
        <v>0</v>
      </c>
      <c r="N23" s="303">
        <v>11</v>
      </c>
      <c r="O23" s="295">
        <v>11</v>
      </c>
      <c r="P23" s="299">
        <v>11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0</v>
      </c>
      <c r="G26" s="296">
        <v>2</v>
      </c>
      <c r="H26" s="297">
        <v>2</v>
      </c>
      <c r="I26" s="298"/>
      <c r="J26" s="296">
        <v>2</v>
      </c>
      <c r="K26" s="295">
        <v>11</v>
      </c>
      <c r="L26" s="295">
        <v>4</v>
      </c>
      <c r="M26" s="295">
        <v>0</v>
      </c>
      <c r="N26" s="296">
        <v>12</v>
      </c>
      <c r="O26" s="295">
        <v>29</v>
      </c>
      <c r="P26" s="299">
        <v>31</v>
      </c>
    </row>
    <row r="27" spans="1:17" ht="18" customHeight="1">
      <c r="C27" s="292"/>
      <c r="D27" s="300"/>
      <c r="E27" s="308" t="s">
        <v>191</v>
      </c>
      <c r="F27" s="309">
        <v>0</v>
      </c>
      <c r="G27" s="310">
        <v>2</v>
      </c>
      <c r="H27" s="297">
        <v>2</v>
      </c>
      <c r="I27" s="304"/>
      <c r="J27" s="310">
        <v>2</v>
      </c>
      <c r="K27" s="309">
        <v>11</v>
      </c>
      <c r="L27" s="309">
        <v>4</v>
      </c>
      <c r="M27" s="309">
        <v>0</v>
      </c>
      <c r="N27" s="310">
        <v>12</v>
      </c>
      <c r="O27" s="295">
        <v>29</v>
      </c>
      <c r="P27" s="299">
        <v>31</v>
      </c>
    </row>
    <row r="28" spans="1:17" ht="18" customHeight="1">
      <c r="C28" s="292"/>
      <c r="D28" s="311"/>
      <c r="E28" s="306" t="s">
        <v>245</v>
      </c>
      <c r="F28" s="312">
        <v>0</v>
      </c>
      <c r="G28" s="313">
        <v>0</v>
      </c>
      <c r="H28" s="297">
        <v>0</v>
      </c>
      <c r="I28" s="314"/>
      <c r="J28" s="313">
        <v>0</v>
      </c>
      <c r="K28" s="312">
        <v>0</v>
      </c>
      <c r="L28" s="312">
        <v>0</v>
      </c>
      <c r="M28" s="312">
        <v>0</v>
      </c>
      <c r="N28" s="313">
        <v>0</v>
      </c>
      <c r="O28" s="295">
        <v>0</v>
      </c>
      <c r="P28" s="299">
        <v>0</v>
      </c>
    </row>
    <row r="29" spans="1:17" ht="18" customHeight="1">
      <c r="C29" s="292"/>
      <c r="D29" s="315"/>
      <c r="E29" s="301" t="s">
        <v>246</v>
      </c>
      <c r="F29" s="316">
        <v>0</v>
      </c>
      <c r="G29" s="317">
        <v>0</v>
      </c>
      <c r="H29" s="297">
        <v>0</v>
      </c>
      <c r="I29" s="314"/>
      <c r="J29" s="317">
        <v>0</v>
      </c>
      <c r="K29" s="316">
        <v>0</v>
      </c>
      <c r="L29" s="316">
        <v>0</v>
      </c>
      <c r="M29" s="316">
        <v>0</v>
      </c>
      <c r="N29" s="317">
        <v>0</v>
      </c>
      <c r="O29" s="295">
        <v>0</v>
      </c>
      <c r="P29" s="299">
        <v>0</v>
      </c>
    </row>
    <row r="30" spans="1:17" ht="18" customHeight="1">
      <c r="A30" s="318"/>
      <c r="B30" s="318"/>
      <c r="C30" s="292"/>
      <c r="D30" s="307" t="s">
        <v>192</v>
      </c>
      <c r="E30" s="319"/>
      <c r="F30" s="302">
        <v>0</v>
      </c>
      <c r="G30" s="303">
        <v>0</v>
      </c>
      <c r="H30" s="297">
        <v>0</v>
      </c>
      <c r="I30" s="320"/>
      <c r="J30" s="303">
        <v>0</v>
      </c>
      <c r="K30" s="302">
        <v>0</v>
      </c>
      <c r="L30" s="302">
        <v>0</v>
      </c>
      <c r="M30" s="302">
        <v>0</v>
      </c>
      <c r="N30" s="303">
        <v>0</v>
      </c>
      <c r="O30" s="295">
        <v>0</v>
      </c>
      <c r="P30" s="299">
        <v>0</v>
      </c>
      <c r="Q30" s="8"/>
    </row>
    <row r="31" spans="1:17" ht="18" customHeight="1">
      <c r="A31" s="318"/>
      <c r="B31" s="318"/>
      <c r="C31" s="292"/>
      <c r="D31" s="300" t="s">
        <v>193</v>
      </c>
      <c r="E31" s="319"/>
      <c r="F31" s="302">
        <v>0</v>
      </c>
      <c r="G31" s="303">
        <v>0</v>
      </c>
      <c r="H31" s="297">
        <v>0</v>
      </c>
      <c r="I31" s="320"/>
      <c r="J31" s="303">
        <v>0</v>
      </c>
      <c r="K31" s="302">
        <v>0</v>
      </c>
      <c r="L31" s="302">
        <v>0</v>
      </c>
      <c r="M31" s="302">
        <v>0</v>
      </c>
      <c r="N31" s="303">
        <v>0</v>
      </c>
      <c r="O31" s="295">
        <v>0</v>
      </c>
      <c r="P31" s="299">
        <v>0</v>
      </c>
      <c r="Q31" s="8"/>
    </row>
    <row r="32" spans="1:17" ht="18" customHeight="1">
      <c r="A32" s="318"/>
      <c r="B32" s="318"/>
      <c r="C32" s="321" t="s">
        <v>194</v>
      </c>
      <c r="D32" s="322"/>
      <c r="E32" s="322"/>
      <c r="F32" s="323">
        <v>0</v>
      </c>
      <c r="G32" s="167">
        <v>14</v>
      </c>
      <c r="H32" s="162">
        <v>14</v>
      </c>
      <c r="I32" s="324"/>
      <c r="J32" s="167">
        <v>2</v>
      </c>
      <c r="K32" s="323">
        <v>14</v>
      </c>
      <c r="L32" s="323">
        <v>4</v>
      </c>
      <c r="M32" s="323">
        <v>0</v>
      </c>
      <c r="N32" s="167">
        <v>12</v>
      </c>
      <c r="O32" s="162">
        <v>32</v>
      </c>
      <c r="P32" s="163">
        <v>46</v>
      </c>
      <c r="Q32" s="8"/>
    </row>
    <row r="33" spans="1:17" ht="18" customHeight="1">
      <c r="A33" s="318"/>
      <c r="B33" s="318"/>
      <c r="C33" s="285" t="s">
        <v>247</v>
      </c>
      <c r="D33" s="325"/>
      <c r="E33" s="326"/>
      <c r="F33" s="287">
        <v>0</v>
      </c>
      <c r="G33" s="288">
        <v>0</v>
      </c>
      <c r="H33" s="289">
        <v>0</v>
      </c>
      <c r="I33" s="327"/>
      <c r="J33" s="288">
        <v>0</v>
      </c>
      <c r="K33" s="287">
        <v>0</v>
      </c>
      <c r="L33" s="287">
        <v>0</v>
      </c>
      <c r="M33" s="287">
        <v>0</v>
      </c>
      <c r="N33" s="288">
        <v>0</v>
      </c>
      <c r="O33" s="287">
        <v>0</v>
      </c>
      <c r="P33" s="291">
        <v>0</v>
      </c>
      <c r="Q33" s="8"/>
    </row>
    <row r="34" spans="1:17" ht="18" customHeight="1">
      <c r="A34" s="318"/>
      <c r="B34" s="318"/>
      <c r="C34" s="328"/>
      <c r="D34" s="798" t="s">
        <v>211</v>
      </c>
      <c r="E34" s="799"/>
      <c r="F34" s="329">
        <v>0</v>
      </c>
      <c r="G34" s="330">
        <v>0</v>
      </c>
      <c r="H34" s="331">
        <v>0</v>
      </c>
      <c r="I34" s="320"/>
      <c r="J34" s="330">
        <v>0</v>
      </c>
      <c r="K34" s="329">
        <v>0</v>
      </c>
      <c r="L34" s="329">
        <v>0</v>
      </c>
      <c r="M34" s="329">
        <v>0</v>
      </c>
      <c r="N34" s="330">
        <v>0</v>
      </c>
      <c r="O34" s="332">
        <v>0</v>
      </c>
      <c r="P34" s="333">
        <v>0</v>
      </c>
      <c r="Q34" s="8"/>
    </row>
    <row r="35" spans="1:17" ht="18" customHeight="1">
      <c r="A35" s="318"/>
      <c r="B35" s="318"/>
      <c r="C35" s="292"/>
      <c r="D35" s="307" t="s">
        <v>212</v>
      </c>
      <c r="E35" s="319"/>
      <c r="F35" s="329">
        <v>0</v>
      </c>
      <c r="G35" s="330">
        <v>0</v>
      </c>
      <c r="H35" s="297">
        <v>0</v>
      </c>
      <c r="I35" s="320"/>
      <c r="J35" s="303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07" t="s">
        <v>213</v>
      </c>
      <c r="E36" s="319"/>
      <c r="F36" s="302">
        <v>0</v>
      </c>
      <c r="G36" s="303">
        <v>0</v>
      </c>
      <c r="H36" s="297">
        <v>0</v>
      </c>
      <c r="I36" s="320"/>
      <c r="J36" s="303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214</v>
      </c>
      <c r="E37" s="305"/>
      <c r="F37" s="302">
        <v>0</v>
      </c>
      <c r="G37" s="303">
        <v>0</v>
      </c>
      <c r="H37" s="297">
        <v>0</v>
      </c>
      <c r="I37" s="320"/>
      <c r="J37" s="303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215</v>
      </c>
      <c r="E38" s="305"/>
      <c r="F38" s="302">
        <v>0</v>
      </c>
      <c r="G38" s="303">
        <v>0</v>
      </c>
      <c r="H38" s="297">
        <v>0</v>
      </c>
      <c r="I38" s="320"/>
      <c r="J38" s="303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216</v>
      </c>
      <c r="E39" s="305"/>
      <c r="F39" s="302">
        <v>0</v>
      </c>
      <c r="G39" s="303">
        <v>0</v>
      </c>
      <c r="H39" s="297">
        <v>0</v>
      </c>
      <c r="I39" s="320"/>
      <c r="J39" s="303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334" t="s">
        <v>217</v>
      </c>
      <c r="E40" s="305"/>
      <c r="F40" s="330">
        <v>0</v>
      </c>
      <c r="G40" s="303">
        <v>0</v>
      </c>
      <c r="H40" s="297">
        <v>0</v>
      </c>
      <c r="I40" s="320"/>
      <c r="J40" s="303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334" t="s">
        <v>218</v>
      </c>
      <c r="E41" s="305"/>
      <c r="F41" s="330">
        <v>0</v>
      </c>
      <c r="G41" s="303">
        <v>0</v>
      </c>
      <c r="H41" s="297">
        <v>0</v>
      </c>
      <c r="I41" s="320"/>
      <c r="J41" s="303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219</v>
      </c>
      <c r="E42" s="800"/>
      <c r="F42" s="329">
        <v>0</v>
      </c>
      <c r="G42" s="330">
        <v>0</v>
      </c>
      <c r="H42" s="297">
        <v>0</v>
      </c>
      <c r="I42" s="320"/>
      <c r="J42" s="303">
        <v>0</v>
      </c>
      <c r="K42" s="302">
        <v>0</v>
      </c>
      <c r="L42" s="302">
        <v>0</v>
      </c>
      <c r="M42" s="302">
        <v>0</v>
      </c>
      <c r="N42" s="303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292"/>
      <c r="D43" s="798" t="s">
        <v>220</v>
      </c>
      <c r="E43" s="800"/>
      <c r="F43" s="329">
        <v>0</v>
      </c>
      <c r="G43" s="330">
        <v>0</v>
      </c>
      <c r="H43" s="297">
        <v>0</v>
      </c>
      <c r="I43" s="320"/>
      <c r="J43" s="303">
        <v>0</v>
      </c>
      <c r="K43" s="302">
        <v>0</v>
      </c>
      <c r="L43" s="302">
        <v>0</v>
      </c>
      <c r="M43" s="302">
        <v>0</v>
      </c>
      <c r="N43" s="303">
        <v>0</v>
      </c>
      <c r="O43" s="295">
        <v>0</v>
      </c>
      <c r="P43" s="299">
        <v>0</v>
      </c>
      <c r="Q43" s="8"/>
    </row>
    <row r="44" spans="1:17" ht="18" customHeight="1">
      <c r="A44" s="318"/>
      <c r="B44" s="318"/>
      <c r="C44" s="328"/>
      <c r="D44" s="798" t="s">
        <v>221</v>
      </c>
      <c r="E44" s="799"/>
      <c r="F44" s="329">
        <v>0</v>
      </c>
      <c r="G44" s="330">
        <v>0</v>
      </c>
      <c r="H44" s="331">
        <v>0</v>
      </c>
      <c r="I44" s="320"/>
      <c r="J44" s="330">
        <v>0</v>
      </c>
      <c r="K44" s="329">
        <v>0</v>
      </c>
      <c r="L44" s="329">
        <v>0</v>
      </c>
      <c r="M44" s="329">
        <v>0</v>
      </c>
      <c r="N44" s="330">
        <v>0</v>
      </c>
      <c r="O44" s="332">
        <v>0</v>
      </c>
      <c r="P44" s="333">
        <v>0</v>
      </c>
      <c r="Q44" s="8"/>
    </row>
    <row r="45" spans="1:17" ht="18" customHeight="1">
      <c r="A45" s="318"/>
      <c r="B45" s="318"/>
      <c r="C45" s="328"/>
      <c r="D45" s="798" t="s">
        <v>248</v>
      </c>
      <c r="E45" s="799"/>
      <c r="F45" s="329">
        <v>0</v>
      </c>
      <c r="G45" s="330">
        <v>0</v>
      </c>
      <c r="H45" s="297">
        <v>0</v>
      </c>
      <c r="I45" s="336"/>
      <c r="J45" s="330">
        <v>0</v>
      </c>
      <c r="K45" s="329">
        <v>0</v>
      </c>
      <c r="L45" s="329">
        <v>0</v>
      </c>
      <c r="M45" s="329">
        <v>0</v>
      </c>
      <c r="N45" s="330">
        <v>0</v>
      </c>
      <c r="O45" s="332">
        <v>0</v>
      </c>
      <c r="P45" s="333">
        <v>0</v>
      </c>
      <c r="Q45" s="8"/>
    </row>
    <row r="46" spans="1:17" ht="18" customHeight="1">
      <c r="A46" s="318"/>
      <c r="B46" s="318"/>
      <c r="C46" s="337"/>
      <c r="D46" s="806" t="s">
        <v>249</v>
      </c>
      <c r="E46" s="810"/>
      <c r="F46" s="136">
        <v>0</v>
      </c>
      <c r="G46" s="109">
        <v>0</v>
      </c>
      <c r="H46" s="297">
        <v>0</v>
      </c>
      <c r="I46" s="363"/>
      <c r="J46" s="109">
        <v>0</v>
      </c>
      <c r="K46" s="136">
        <v>0</v>
      </c>
      <c r="L46" s="136">
        <v>0</v>
      </c>
      <c r="M46" s="136">
        <v>0</v>
      </c>
      <c r="N46" s="109">
        <v>0</v>
      </c>
      <c r="O46" s="145">
        <v>0</v>
      </c>
      <c r="P46" s="365">
        <v>0</v>
      </c>
      <c r="Q46" s="8"/>
    </row>
    <row r="47" spans="1:17" ht="18" customHeight="1">
      <c r="A47" s="318"/>
      <c r="B47" s="318"/>
      <c r="C47" s="292" t="s">
        <v>250</v>
      </c>
      <c r="D47" s="294"/>
      <c r="E47" s="294"/>
      <c r="F47" s="288">
        <v>0</v>
      </c>
      <c r="G47" s="288">
        <v>0</v>
      </c>
      <c r="H47" s="289">
        <v>0</v>
      </c>
      <c r="I47" s="327"/>
      <c r="J47" s="288">
        <v>0</v>
      </c>
      <c r="K47" s="287">
        <v>0</v>
      </c>
      <c r="L47" s="287">
        <v>12</v>
      </c>
      <c r="M47" s="287">
        <v>0</v>
      </c>
      <c r="N47" s="288">
        <v>0</v>
      </c>
      <c r="O47" s="287">
        <v>12</v>
      </c>
      <c r="P47" s="291">
        <v>12</v>
      </c>
      <c r="Q47" s="8"/>
    </row>
    <row r="48" spans="1:17" ht="18" customHeight="1">
      <c r="A48" s="318"/>
      <c r="B48" s="318"/>
      <c r="C48" s="292"/>
      <c r="D48" s="342" t="s">
        <v>113</v>
      </c>
      <c r="E48" s="342"/>
      <c r="F48" s="303">
        <v>0</v>
      </c>
      <c r="G48" s="303">
        <v>0</v>
      </c>
      <c r="H48" s="297">
        <v>0</v>
      </c>
      <c r="I48" s="320"/>
      <c r="J48" s="303">
        <v>0</v>
      </c>
      <c r="K48" s="302">
        <v>0</v>
      </c>
      <c r="L48" s="302">
        <v>0</v>
      </c>
      <c r="M48" s="302">
        <v>0</v>
      </c>
      <c r="N48" s="303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2" t="s">
        <v>114</v>
      </c>
      <c r="E49" s="342"/>
      <c r="F49" s="302">
        <v>0</v>
      </c>
      <c r="G49" s="303">
        <v>0</v>
      </c>
      <c r="H49" s="297">
        <v>0</v>
      </c>
      <c r="I49" s="320"/>
      <c r="J49" s="303">
        <v>0</v>
      </c>
      <c r="K49" s="302">
        <v>0</v>
      </c>
      <c r="L49" s="302">
        <v>12</v>
      </c>
      <c r="M49" s="302">
        <v>0</v>
      </c>
      <c r="N49" s="303">
        <v>0</v>
      </c>
      <c r="O49" s="295">
        <v>12</v>
      </c>
      <c r="P49" s="299">
        <v>12</v>
      </c>
      <c r="Q49" s="8"/>
    </row>
    <row r="50" spans="1:17" ht="18" customHeight="1">
      <c r="A50" s="318"/>
      <c r="B50" s="318"/>
      <c r="C50" s="292"/>
      <c r="D50" s="343" t="s">
        <v>176</v>
      </c>
      <c r="E50" s="343"/>
      <c r="F50" s="329">
        <v>0</v>
      </c>
      <c r="G50" s="330">
        <v>0</v>
      </c>
      <c r="H50" s="297">
        <v>0</v>
      </c>
      <c r="I50" s="320"/>
      <c r="J50" s="330">
        <v>0</v>
      </c>
      <c r="K50" s="329">
        <v>0</v>
      </c>
      <c r="L50" s="329">
        <v>0</v>
      </c>
      <c r="M50" s="329">
        <v>0</v>
      </c>
      <c r="N50" s="330">
        <v>0</v>
      </c>
      <c r="O50" s="295">
        <v>0</v>
      </c>
      <c r="P50" s="299">
        <v>0</v>
      </c>
      <c r="Q50" s="8"/>
    </row>
    <row r="51" spans="1:17" ht="18" customHeight="1">
      <c r="A51" s="318"/>
      <c r="B51" s="318"/>
      <c r="C51" s="292"/>
      <c r="D51" s="344" t="s">
        <v>251</v>
      </c>
      <c r="E51" s="344"/>
      <c r="F51" s="338">
        <v>0</v>
      </c>
      <c r="G51" s="339">
        <v>0</v>
      </c>
      <c r="H51" s="345">
        <v>0</v>
      </c>
      <c r="I51" s="320"/>
      <c r="J51" s="339">
        <v>0</v>
      </c>
      <c r="K51" s="338">
        <v>0</v>
      </c>
      <c r="L51" s="338">
        <v>0</v>
      </c>
      <c r="M51" s="338">
        <v>0</v>
      </c>
      <c r="N51" s="339">
        <v>0</v>
      </c>
      <c r="O51" s="340">
        <v>0</v>
      </c>
      <c r="P51" s="341">
        <v>0</v>
      </c>
      <c r="Q51" s="8"/>
    </row>
    <row r="52" spans="1:17" ht="18" customHeight="1">
      <c r="A52" s="318"/>
      <c r="B52" s="318"/>
      <c r="C52" s="801" t="s">
        <v>252</v>
      </c>
      <c r="D52" s="802"/>
      <c r="E52" s="803"/>
      <c r="F52" s="346">
        <v>0</v>
      </c>
      <c r="G52" s="346">
        <v>28</v>
      </c>
      <c r="H52" s="178">
        <v>28</v>
      </c>
      <c r="I52" s="347"/>
      <c r="J52" s="346">
        <v>6</v>
      </c>
      <c r="K52" s="346">
        <v>41</v>
      </c>
      <c r="L52" s="346">
        <v>24</v>
      </c>
      <c r="M52" s="346">
        <v>0</v>
      </c>
      <c r="N52" s="346">
        <v>59</v>
      </c>
      <c r="O52" s="346">
        <v>130</v>
      </c>
      <c r="P52" s="171">
        <v>158</v>
      </c>
      <c r="Q52" s="8"/>
    </row>
    <row r="53" spans="1:17" ht="12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8"/>
    </row>
  </sheetData>
  <mergeCells count="10">
    <mergeCell ref="D44:E44"/>
    <mergeCell ref="D42:E42"/>
    <mergeCell ref="C52:E52"/>
    <mergeCell ref="D46:E46"/>
    <mergeCell ref="D45:E45"/>
    <mergeCell ref="A3:Q3"/>
    <mergeCell ref="A4:Q4"/>
    <mergeCell ref="C10:E10"/>
    <mergeCell ref="D34:E34"/>
    <mergeCell ref="D43:E43"/>
  </mergeCells>
  <phoneticPr fontId="35"/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ECBCA"/>
  </sheetPr>
  <dimension ref="A1:Q51"/>
  <sheetViews>
    <sheetView showGridLines="0" workbookViewId="0"/>
  </sheetViews>
  <sheetFormatPr defaultColWidth="9" defaultRowHeight="0" customHeight="1" zero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260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261</v>
      </c>
    </row>
    <row r="8" spans="1:17" ht="18" customHeight="1">
      <c r="C8" s="84" t="s">
        <v>253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/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0</v>
      </c>
      <c r="G11" s="287">
        <v>64923</v>
      </c>
      <c r="H11" s="289">
        <v>64923</v>
      </c>
      <c r="I11" s="290"/>
      <c r="J11" s="287">
        <v>4806</v>
      </c>
      <c r="K11" s="287">
        <v>100029</v>
      </c>
      <c r="L11" s="287">
        <v>40334</v>
      </c>
      <c r="M11" s="287">
        <v>0</v>
      </c>
      <c r="N11" s="287">
        <v>356360</v>
      </c>
      <c r="O11" s="287">
        <v>501529</v>
      </c>
      <c r="P11" s="291">
        <v>566452</v>
      </c>
    </row>
    <row r="12" spans="1:17" ht="18" customHeight="1">
      <c r="C12" s="292"/>
      <c r="D12" s="293" t="s">
        <v>241</v>
      </c>
      <c r="E12" s="294"/>
      <c r="F12" s="295">
        <v>0</v>
      </c>
      <c r="G12" s="296">
        <v>0</v>
      </c>
      <c r="H12" s="297">
        <v>0</v>
      </c>
      <c r="I12" s="298"/>
      <c r="J12" s="296">
        <v>4056</v>
      </c>
      <c r="K12" s="295">
        <v>58761</v>
      </c>
      <c r="L12" s="295">
        <v>0</v>
      </c>
      <c r="M12" s="295">
        <v>0</v>
      </c>
      <c r="N12" s="296">
        <v>0</v>
      </c>
      <c r="O12" s="295">
        <v>62817</v>
      </c>
      <c r="P12" s="299">
        <v>62817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0</v>
      </c>
      <c r="K13" s="302">
        <v>35734</v>
      </c>
      <c r="L13" s="302">
        <v>0</v>
      </c>
      <c r="M13" s="302">
        <v>0</v>
      </c>
      <c r="N13" s="303">
        <v>0</v>
      </c>
      <c r="O13" s="295">
        <v>35734</v>
      </c>
      <c r="P13" s="299">
        <v>35734</v>
      </c>
    </row>
    <row r="14" spans="1:17" ht="18" customHeight="1">
      <c r="C14" s="292"/>
      <c r="D14" s="300"/>
      <c r="E14" s="301" t="s">
        <v>181</v>
      </c>
      <c r="F14" s="302">
        <v>0</v>
      </c>
      <c r="G14" s="303">
        <v>0</v>
      </c>
      <c r="H14" s="297">
        <v>0</v>
      </c>
      <c r="I14" s="304"/>
      <c r="J14" s="303">
        <v>0</v>
      </c>
      <c r="K14" s="302">
        <v>0</v>
      </c>
      <c r="L14" s="302">
        <v>0</v>
      </c>
      <c r="M14" s="302">
        <v>0</v>
      </c>
      <c r="N14" s="303">
        <v>0</v>
      </c>
      <c r="O14" s="295">
        <v>0</v>
      </c>
      <c r="P14" s="299">
        <v>0</v>
      </c>
    </row>
    <row r="15" spans="1:17" ht="18" customHeight="1">
      <c r="C15" s="292"/>
      <c r="D15" s="300"/>
      <c r="E15" s="301" t="s">
        <v>182</v>
      </c>
      <c r="F15" s="302">
        <v>0</v>
      </c>
      <c r="G15" s="303">
        <v>0</v>
      </c>
      <c r="H15" s="297">
        <v>0</v>
      </c>
      <c r="I15" s="304"/>
      <c r="J15" s="303">
        <v>2602</v>
      </c>
      <c r="K15" s="302">
        <v>7882</v>
      </c>
      <c r="L15" s="302">
        <v>0</v>
      </c>
      <c r="M15" s="302">
        <v>0</v>
      </c>
      <c r="N15" s="303">
        <v>0</v>
      </c>
      <c r="O15" s="295">
        <v>10484</v>
      </c>
      <c r="P15" s="299">
        <v>10484</v>
      </c>
    </row>
    <row r="16" spans="1:17" ht="18" customHeight="1">
      <c r="C16" s="292"/>
      <c r="D16" s="300"/>
      <c r="E16" s="301" t="s">
        <v>183</v>
      </c>
      <c r="F16" s="302">
        <v>0</v>
      </c>
      <c r="G16" s="303">
        <v>0</v>
      </c>
      <c r="H16" s="297">
        <v>0</v>
      </c>
      <c r="I16" s="304"/>
      <c r="J16" s="303">
        <v>1454</v>
      </c>
      <c r="K16" s="302">
        <v>15145</v>
      </c>
      <c r="L16" s="302">
        <v>0</v>
      </c>
      <c r="M16" s="302">
        <v>0</v>
      </c>
      <c r="N16" s="303">
        <v>0</v>
      </c>
      <c r="O16" s="295">
        <v>16599</v>
      </c>
      <c r="P16" s="299">
        <v>16599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0</v>
      </c>
      <c r="K17" s="302">
        <v>0</v>
      </c>
      <c r="L17" s="302">
        <v>0</v>
      </c>
      <c r="M17" s="302">
        <v>0</v>
      </c>
      <c r="N17" s="303">
        <v>0</v>
      </c>
      <c r="O17" s="295">
        <v>0</v>
      </c>
      <c r="P17" s="299">
        <v>0</v>
      </c>
    </row>
    <row r="18" spans="1:17" ht="18" customHeight="1">
      <c r="C18" s="292"/>
      <c r="D18" s="293" t="s">
        <v>242</v>
      </c>
      <c r="E18" s="305"/>
      <c r="F18" s="295">
        <v>0</v>
      </c>
      <c r="G18" s="296">
        <v>61627</v>
      </c>
      <c r="H18" s="297">
        <v>61627</v>
      </c>
      <c r="I18" s="298"/>
      <c r="J18" s="296">
        <v>0</v>
      </c>
      <c r="K18" s="295">
        <v>23982</v>
      </c>
      <c r="L18" s="295">
        <v>39934</v>
      </c>
      <c r="M18" s="295">
        <v>0</v>
      </c>
      <c r="N18" s="296">
        <v>176501</v>
      </c>
      <c r="O18" s="295">
        <v>240417</v>
      </c>
      <c r="P18" s="299">
        <v>302044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0</v>
      </c>
      <c r="K19" s="302">
        <v>0</v>
      </c>
      <c r="L19" s="302">
        <v>0</v>
      </c>
      <c r="M19" s="302">
        <v>0</v>
      </c>
      <c r="N19" s="303">
        <v>0</v>
      </c>
      <c r="O19" s="370">
        <v>0</v>
      </c>
      <c r="P19" s="299">
        <v>0</v>
      </c>
    </row>
    <row r="20" spans="1:17" ht="18" customHeight="1">
      <c r="C20" s="292"/>
      <c r="D20" s="300"/>
      <c r="E20" s="306" t="s">
        <v>186</v>
      </c>
      <c r="F20" s="302">
        <v>0</v>
      </c>
      <c r="G20" s="303">
        <v>61627</v>
      </c>
      <c r="H20" s="297">
        <v>61627</v>
      </c>
      <c r="I20" s="304"/>
      <c r="J20" s="303">
        <v>0</v>
      </c>
      <c r="K20" s="302">
        <v>23982</v>
      </c>
      <c r="L20" s="302">
        <v>39934</v>
      </c>
      <c r="M20" s="302">
        <v>0</v>
      </c>
      <c r="N20" s="303">
        <v>176501</v>
      </c>
      <c r="O20" s="295">
        <v>240417</v>
      </c>
      <c r="P20" s="299">
        <v>302044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0</v>
      </c>
      <c r="H21" s="297">
        <v>0</v>
      </c>
      <c r="I21" s="298"/>
      <c r="J21" s="296">
        <v>0</v>
      </c>
      <c r="K21" s="295">
        <v>0</v>
      </c>
      <c r="L21" s="295">
        <v>0</v>
      </c>
      <c r="M21" s="295">
        <v>0</v>
      </c>
      <c r="N21" s="296">
        <v>136419</v>
      </c>
      <c r="O21" s="295">
        <v>136419</v>
      </c>
      <c r="P21" s="299">
        <v>136419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0</v>
      </c>
      <c r="H22" s="297">
        <v>0</v>
      </c>
      <c r="I22" s="304"/>
      <c r="J22" s="303">
        <v>0</v>
      </c>
      <c r="K22" s="302">
        <v>0</v>
      </c>
      <c r="L22" s="302">
        <v>0</v>
      </c>
      <c r="M22" s="302">
        <v>0</v>
      </c>
      <c r="N22" s="303">
        <v>67625</v>
      </c>
      <c r="O22" s="295">
        <v>67625</v>
      </c>
      <c r="P22" s="299">
        <v>67625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0</v>
      </c>
      <c r="H23" s="297">
        <v>0</v>
      </c>
      <c r="I23" s="304"/>
      <c r="J23" s="303">
        <v>0</v>
      </c>
      <c r="K23" s="302">
        <v>0</v>
      </c>
      <c r="L23" s="302">
        <v>0</v>
      </c>
      <c r="M23" s="302">
        <v>0</v>
      </c>
      <c r="N23" s="303">
        <v>68794</v>
      </c>
      <c r="O23" s="295">
        <v>68794</v>
      </c>
      <c r="P23" s="299">
        <v>68794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0</v>
      </c>
      <c r="G26" s="295">
        <v>3296</v>
      </c>
      <c r="H26" s="297">
        <v>3296</v>
      </c>
      <c r="I26" s="298"/>
      <c r="J26" s="296">
        <v>750</v>
      </c>
      <c r="K26" s="295">
        <v>17286</v>
      </c>
      <c r="L26" s="295">
        <v>400</v>
      </c>
      <c r="M26" s="295">
        <v>0</v>
      </c>
      <c r="N26" s="296">
        <v>43440</v>
      </c>
      <c r="O26" s="295">
        <v>61876</v>
      </c>
      <c r="P26" s="299">
        <v>65172</v>
      </c>
    </row>
    <row r="27" spans="1:17" ht="18" customHeight="1">
      <c r="C27" s="292"/>
      <c r="D27" s="300"/>
      <c r="E27" s="301" t="s">
        <v>191</v>
      </c>
      <c r="F27" s="348">
        <v>0</v>
      </c>
      <c r="G27" s="349">
        <v>3296</v>
      </c>
      <c r="H27" s="297">
        <v>3296</v>
      </c>
      <c r="I27" s="304"/>
      <c r="J27" s="349">
        <v>750</v>
      </c>
      <c r="K27" s="348">
        <v>17286</v>
      </c>
      <c r="L27" s="348">
        <v>400</v>
      </c>
      <c r="M27" s="348">
        <v>0</v>
      </c>
      <c r="N27" s="349">
        <v>43440</v>
      </c>
      <c r="O27" s="295">
        <v>61876</v>
      </c>
      <c r="P27" s="299">
        <v>65172</v>
      </c>
    </row>
    <row r="28" spans="1:17" ht="18" customHeight="1">
      <c r="A28" s="318"/>
      <c r="B28" s="318"/>
      <c r="C28" s="328"/>
      <c r="D28" s="334" t="s">
        <v>192</v>
      </c>
      <c r="E28" s="305"/>
      <c r="F28" s="330">
        <v>0</v>
      </c>
      <c r="G28" s="330">
        <v>0</v>
      </c>
      <c r="H28" s="331">
        <v>0</v>
      </c>
      <c r="I28" s="320"/>
      <c r="J28" s="330">
        <v>0</v>
      </c>
      <c r="K28" s="329">
        <v>0</v>
      </c>
      <c r="L28" s="329">
        <v>0</v>
      </c>
      <c r="M28" s="329">
        <v>0</v>
      </c>
      <c r="N28" s="330">
        <v>0</v>
      </c>
      <c r="O28" s="332">
        <v>0</v>
      </c>
      <c r="P28" s="333">
        <v>0</v>
      </c>
      <c r="Q28" s="8"/>
    </row>
    <row r="29" spans="1:17" ht="18" customHeight="1">
      <c r="A29" s="318"/>
      <c r="B29" s="318"/>
      <c r="C29" s="328"/>
      <c r="D29" s="293" t="s">
        <v>193</v>
      </c>
      <c r="E29" s="350"/>
      <c r="F29" s="351">
        <v>0</v>
      </c>
      <c r="G29" s="351">
        <v>0</v>
      </c>
      <c r="H29" s="352">
        <v>0</v>
      </c>
      <c r="I29" s="353"/>
      <c r="J29" s="351">
        <v>0</v>
      </c>
      <c r="K29" s="354">
        <v>0</v>
      </c>
      <c r="L29" s="354">
        <v>0</v>
      </c>
      <c r="M29" s="354">
        <v>0</v>
      </c>
      <c r="N29" s="351">
        <v>0</v>
      </c>
      <c r="O29" s="355">
        <v>0</v>
      </c>
      <c r="P29" s="356">
        <v>0</v>
      </c>
      <c r="Q29" s="8"/>
    </row>
    <row r="30" spans="1:17" ht="18" customHeight="1">
      <c r="A30" s="318"/>
      <c r="B30" s="318"/>
      <c r="C30" s="321" t="s">
        <v>194</v>
      </c>
      <c r="D30" s="322"/>
      <c r="E30" s="322"/>
      <c r="F30" s="323">
        <v>0</v>
      </c>
      <c r="G30" s="167">
        <v>7400</v>
      </c>
      <c r="H30" s="162">
        <v>7400</v>
      </c>
      <c r="I30" s="324"/>
      <c r="J30" s="167">
        <v>3394</v>
      </c>
      <c r="K30" s="323">
        <v>25020</v>
      </c>
      <c r="L30" s="323">
        <v>8084</v>
      </c>
      <c r="M30" s="323">
        <v>0</v>
      </c>
      <c r="N30" s="167">
        <v>24478</v>
      </c>
      <c r="O30" s="162">
        <v>60976</v>
      </c>
      <c r="P30" s="163">
        <v>68376</v>
      </c>
      <c r="Q30" s="8"/>
    </row>
    <row r="31" spans="1:17" ht="18" customHeight="1">
      <c r="A31" s="318"/>
      <c r="B31" s="318"/>
      <c r="C31" s="285" t="s">
        <v>247</v>
      </c>
      <c r="D31" s="325"/>
      <c r="E31" s="326"/>
      <c r="F31" s="287">
        <v>0</v>
      </c>
      <c r="G31" s="288">
        <v>0</v>
      </c>
      <c r="H31" s="289">
        <v>0</v>
      </c>
      <c r="I31" s="327"/>
      <c r="J31" s="357">
        <v>0</v>
      </c>
      <c r="K31" s="287">
        <v>0</v>
      </c>
      <c r="L31" s="287">
        <v>0</v>
      </c>
      <c r="M31" s="287">
        <v>0</v>
      </c>
      <c r="N31" s="288">
        <v>0</v>
      </c>
      <c r="O31" s="287">
        <v>0</v>
      </c>
      <c r="P31" s="291">
        <v>0</v>
      </c>
      <c r="Q31" s="8"/>
    </row>
    <row r="32" spans="1:17" ht="18" customHeight="1">
      <c r="A32" s="318"/>
      <c r="B32" s="318"/>
      <c r="C32" s="328"/>
      <c r="D32" s="334" t="s">
        <v>211</v>
      </c>
      <c r="E32" s="305"/>
      <c r="F32" s="329">
        <v>0</v>
      </c>
      <c r="G32" s="330">
        <v>0</v>
      </c>
      <c r="H32" s="331">
        <v>0</v>
      </c>
      <c r="I32" s="320"/>
      <c r="J32" s="330">
        <v>0</v>
      </c>
      <c r="K32" s="329">
        <v>0</v>
      </c>
      <c r="L32" s="329">
        <v>0</v>
      </c>
      <c r="M32" s="329">
        <v>0</v>
      </c>
      <c r="N32" s="330">
        <v>0</v>
      </c>
      <c r="O32" s="332">
        <v>0</v>
      </c>
      <c r="P32" s="333">
        <v>0</v>
      </c>
      <c r="Q32" s="8"/>
    </row>
    <row r="33" spans="1:17" ht="18" customHeight="1">
      <c r="A33" s="318"/>
      <c r="B33" s="318"/>
      <c r="C33" s="292"/>
      <c r="D33" s="334" t="s">
        <v>212</v>
      </c>
      <c r="E33" s="305"/>
      <c r="F33" s="329">
        <v>0</v>
      </c>
      <c r="G33" s="330">
        <v>0</v>
      </c>
      <c r="H33" s="297">
        <v>0</v>
      </c>
      <c r="I33" s="320"/>
      <c r="J33" s="358">
        <v>0</v>
      </c>
      <c r="K33" s="302">
        <v>0</v>
      </c>
      <c r="L33" s="302">
        <v>0</v>
      </c>
      <c r="M33" s="302">
        <v>0</v>
      </c>
      <c r="N33" s="303">
        <v>0</v>
      </c>
      <c r="O33" s="295">
        <v>0</v>
      </c>
      <c r="P33" s="299">
        <v>0</v>
      </c>
      <c r="Q33" s="8"/>
    </row>
    <row r="34" spans="1:17" ht="18" customHeight="1">
      <c r="A34" s="318"/>
      <c r="B34" s="318"/>
      <c r="C34" s="292"/>
      <c r="D34" s="307" t="s">
        <v>213</v>
      </c>
      <c r="E34" s="319"/>
      <c r="F34" s="302">
        <v>0</v>
      </c>
      <c r="G34" s="303">
        <v>0</v>
      </c>
      <c r="H34" s="297">
        <v>0</v>
      </c>
      <c r="I34" s="320"/>
      <c r="J34" s="303">
        <v>0</v>
      </c>
      <c r="K34" s="302">
        <v>0</v>
      </c>
      <c r="L34" s="302">
        <v>0</v>
      </c>
      <c r="M34" s="302">
        <v>0</v>
      </c>
      <c r="N34" s="303">
        <v>0</v>
      </c>
      <c r="O34" s="295">
        <v>0</v>
      </c>
      <c r="P34" s="299">
        <v>0</v>
      </c>
      <c r="Q34" s="8"/>
    </row>
    <row r="35" spans="1:17" ht="18" customHeight="1">
      <c r="A35" s="318"/>
      <c r="B35" s="318"/>
      <c r="C35" s="292"/>
      <c r="D35" s="334" t="s">
        <v>214</v>
      </c>
      <c r="E35" s="305"/>
      <c r="F35" s="302">
        <v>0</v>
      </c>
      <c r="G35" s="303">
        <v>0</v>
      </c>
      <c r="H35" s="297">
        <v>0</v>
      </c>
      <c r="I35" s="320"/>
      <c r="J35" s="358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34" t="s">
        <v>215</v>
      </c>
      <c r="E36" s="305"/>
      <c r="F36" s="302">
        <v>0</v>
      </c>
      <c r="G36" s="303">
        <v>0</v>
      </c>
      <c r="H36" s="297">
        <v>0</v>
      </c>
      <c r="I36" s="320"/>
      <c r="J36" s="358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216</v>
      </c>
      <c r="E37" s="305"/>
      <c r="F37" s="302">
        <v>0</v>
      </c>
      <c r="G37" s="303">
        <v>0</v>
      </c>
      <c r="H37" s="297">
        <v>0</v>
      </c>
      <c r="I37" s="320"/>
      <c r="J37" s="358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217</v>
      </c>
      <c r="E38" s="305"/>
      <c r="F38" s="330">
        <v>0</v>
      </c>
      <c r="G38" s="303">
        <v>0</v>
      </c>
      <c r="H38" s="297">
        <v>0</v>
      </c>
      <c r="I38" s="320"/>
      <c r="J38" s="358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218</v>
      </c>
      <c r="E39" s="305"/>
      <c r="F39" s="330">
        <v>0</v>
      </c>
      <c r="G39" s="303">
        <v>0</v>
      </c>
      <c r="H39" s="297">
        <v>0</v>
      </c>
      <c r="I39" s="320"/>
      <c r="J39" s="358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808" t="s">
        <v>219</v>
      </c>
      <c r="E40" s="809"/>
      <c r="F40" s="329">
        <v>0</v>
      </c>
      <c r="G40" s="330">
        <v>0</v>
      </c>
      <c r="H40" s="297">
        <v>0</v>
      </c>
      <c r="I40" s="320"/>
      <c r="J40" s="358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808" t="s">
        <v>220</v>
      </c>
      <c r="E41" s="809"/>
      <c r="F41" s="329">
        <v>0</v>
      </c>
      <c r="G41" s="330">
        <v>0</v>
      </c>
      <c r="H41" s="297">
        <v>0</v>
      </c>
      <c r="I41" s="320"/>
      <c r="J41" s="358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221</v>
      </c>
      <c r="E42" s="800"/>
      <c r="F42" s="302">
        <v>0</v>
      </c>
      <c r="G42" s="302">
        <v>0</v>
      </c>
      <c r="H42" s="297">
        <v>0</v>
      </c>
      <c r="I42" s="320"/>
      <c r="J42" s="359">
        <v>0</v>
      </c>
      <c r="K42" s="360">
        <v>0</v>
      </c>
      <c r="L42" s="360">
        <v>0</v>
      </c>
      <c r="M42" s="360">
        <v>0</v>
      </c>
      <c r="N42" s="361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335"/>
      <c r="D43" s="798" t="s">
        <v>248</v>
      </c>
      <c r="E43" s="800"/>
      <c r="F43" s="302">
        <v>0</v>
      </c>
      <c r="G43" s="302">
        <v>0</v>
      </c>
      <c r="H43" s="297">
        <v>0</v>
      </c>
      <c r="I43" s="336"/>
      <c r="J43" s="362">
        <v>0</v>
      </c>
      <c r="K43" s="329">
        <v>0</v>
      </c>
      <c r="L43" s="329">
        <v>0</v>
      </c>
      <c r="M43" s="329">
        <v>0</v>
      </c>
      <c r="N43" s="330">
        <v>0</v>
      </c>
      <c r="O43" s="332">
        <v>0</v>
      </c>
      <c r="P43" s="333">
        <v>0</v>
      </c>
      <c r="Q43" s="8"/>
    </row>
    <row r="44" spans="1:17" ht="18" customHeight="1">
      <c r="A44" s="318"/>
      <c r="B44" s="318"/>
      <c r="C44" s="337"/>
      <c r="D44" s="806" t="s">
        <v>249</v>
      </c>
      <c r="E44" s="807"/>
      <c r="F44" s="302">
        <v>0</v>
      </c>
      <c r="G44" s="302">
        <v>0</v>
      </c>
      <c r="H44" s="297">
        <v>0</v>
      </c>
      <c r="I44" s="363"/>
      <c r="J44" s="364">
        <v>0</v>
      </c>
      <c r="K44" s="136">
        <v>0</v>
      </c>
      <c r="L44" s="136">
        <v>0</v>
      </c>
      <c r="M44" s="136">
        <v>0</v>
      </c>
      <c r="N44" s="109">
        <v>0</v>
      </c>
      <c r="O44" s="145">
        <v>0</v>
      </c>
      <c r="P44" s="365">
        <v>0</v>
      </c>
      <c r="Q44" s="8"/>
    </row>
    <row r="45" spans="1:17" ht="18" customHeight="1">
      <c r="A45" s="318"/>
      <c r="B45" s="318"/>
      <c r="C45" s="292" t="s">
        <v>250</v>
      </c>
      <c r="D45" s="294"/>
      <c r="E45" s="294"/>
      <c r="F45" s="288">
        <v>0</v>
      </c>
      <c r="G45" s="288">
        <v>0</v>
      </c>
      <c r="H45" s="289">
        <v>0</v>
      </c>
      <c r="I45" s="327"/>
      <c r="J45" s="357">
        <v>0</v>
      </c>
      <c r="K45" s="287">
        <v>0</v>
      </c>
      <c r="L45" s="287">
        <v>467399</v>
      </c>
      <c r="M45" s="287">
        <v>0</v>
      </c>
      <c r="N45" s="288">
        <v>0</v>
      </c>
      <c r="O45" s="287">
        <v>467399</v>
      </c>
      <c r="P45" s="291">
        <v>467399</v>
      </c>
      <c r="Q45" s="8"/>
    </row>
    <row r="46" spans="1:17" ht="18" customHeight="1">
      <c r="A46" s="318"/>
      <c r="B46" s="318"/>
      <c r="C46" s="292"/>
      <c r="D46" s="342" t="s">
        <v>113</v>
      </c>
      <c r="E46" s="342"/>
      <c r="F46" s="303">
        <v>0</v>
      </c>
      <c r="G46" s="303">
        <v>0</v>
      </c>
      <c r="H46" s="297">
        <v>0</v>
      </c>
      <c r="I46" s="320"/>
      <c r="J46" s="303">
        <v>0</v>
      </c>
      <c r="K46" s="303">
        <v>0</v>
      </c>
      <c r="L46" s="303">
        <v>0</v>
      </c>
      <c r="M46" s="303">
        <v>0</v>
      </c>
      <c r="N46" s="303">
        <v>0</v>
      </c>
      <c r="O46" s="295">
        <v>0</v>
      </c>
      <c r="P46" s="299">
        <v>0</v>
      </c>
      <c r="Q46" s="8"/>
    </row>
    <row r="47" spans="1:17" ht="18" customHeight="1">
      <c r="A47" s="318"/>
      <c r="B47" s="318"/>
      <c r="C47" s="292"/>
      <c r="D47" s="342" t="s">
        <v>114</v>
      </c>
      <c r="E47" s="342"/>
      <c r="F47" s="302">
        <v>0</v>
      </c>
      <c r="G47" s="303">
        <v>0</v>
      </c>
      <c r="H47" s="297">
        <v>0</v>
      </c>
      <c r="I47" s="320"/>
      <c r="J47" s="303">
        <v>0</v>
      </c>
      <c r="K47" s="302">
        <v>0</v>
      </c>
      <c r="L47" s="303">
        <v>467399</v>
      </c>
      <c r="M47" s="302">
        <v>0</v>
      </c>
      <c r="N47" s="303">
        <v>0</v>
      </c>
      <c r="O47" s="295">
        <v>467399</v>
      </c>
      <c r="P47" s="299">
        <v>467399</v>
      </c>
      <c r="Q47" s="8"/>
    </row>
    <row r="48" spans="1:17" ht="18" customHeight="1">
      <c r="A48" s="318"/>
      <c r="B48" s="318"/>
      <c r="C48" s="292"/>
      <c r="D48" s="343" t="s">
        <v>176</v>
      </c>
      <c r="E48" s="343"/>
      <c r="F48" s="329">
        <v>0</v>
      </c>
      <c r="G48" s="330">
        <v>0</v>
      </c>
      <c r="H48" s="297">
        <v>0</v>
      </c>
      <c r="I48" s="320"/>
      <c r="J48" s="330">
        <v>0</v>
      </c>
      <c r="K48" s="329">
        <v>0</v>
      </c>
      <c r="L48" s="330">
        <v>0</v>
      </c>
      <c r="M48" s="329">
        <v>0</v>
      </c>
      <c r="N48" s="330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4" t="s">
        <v>251</v>
      </c>
      <c r="E49" s="344"/>
      <c r="F49" s="338">
        <v>0</v>
      </c>
      <c r="G49" s="339">
        <v>0</v>
      </c>
      <c r="H49" s="345">
        <v>0</v>
      </c>
      <c r="I49" s="320"/>
      <c r="J49" s="339">
        <v>0</v>
      </c>
      <c r="K49" s="338">
        <v>0</v>
      </c>
      <c r="L49" s="339">
        <v>0</v>
      </c>
      <c r="M49" s="338">
        <v>0</v>
      </c>
      <c r="N49" s="339">
        <v>0</v>
      </c>
      <c r="O49" s="340">
        <v>0</v>
      </c>
      <c r="P49" s="341">
        <v>0</v>
      </c>
      <c r="Q49" s="8"/>
    </row>
    <row r="50" spans="1:17" ht="18" customHeight="1">
      <c r="A50" s="318"/>
      <c r="B50" s="318"/>
      <c r="C50" s="801" t="s">
        <v>252</v>
      </c>
      <c r="D50" s="802"/>
      <c r="E50" s="803"/>
      <c r="F50" s="346">
        <v>0</v>
      </c>
      <c r="G50" s="120">
        <v>72323</v>
      </c>
      <c r="H50" s="178">
        <v>72323</v>
      </c>
      <c r="I50" s="347"/>
      <c r="J50" s="366">
        <v>8200</v>
      </c>
      <c r="K50" s="346">
        <v>125049</v>
      </c>
      <c r="L50" s="346">
        <v>515817</v>
      </c>
      <c r="M50" s="346">
        <v>0</v>
      </c>
      <c r="N50" s="120">
        <v>380838</v>
      </c>
      <c r="O50" s="346">
        <v>1029904</v>
      </c>
      <c r="P50" s="171">
        <v>1102227</v>
      </c>
      <c r="Q50" s="8"/>
    </row>
    <row r="51" spans="1:17" ht="12" customHeight="1">
      <c r="A51" s="318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8"/>
    </row>
  </sheetData>
  <mergeCells count="9">
    <mergeCell ref="A3:Q3"/>
    <mergeCell ref="A4:Q4"/>
    <mergeCell ref="C10:E10"/>
    <mergeCell ref="D42:E42"/>
    <mergeCell ref="C50:E50"/>
    <mergeCell ref="D44:E44"/>
    <mergeCell ref="D43:E43"/>
    <mergeCell ref="D41:E41"/>
    <mergeCell ref="D40:E40"/>
  </mergeCells>
  <phoneticPr fontId="35"/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53"/>
  <sheetViews>
    <sheetView showGridLines="0" workbookViewId="0"/>
  </sheetViews>
  <sheetFormatPr defaultColWidth="9" defaultRowHeight="0" customHeight="1" zero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260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261</v>
      </c>
    </row>
    <row r="8" spans="1:17" ht="18" customHeight="1">
      <c r="C8" s="84" t="s">
        <v>254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/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0</v>
      </c>
      <c r="G11" s="288">
        <v>649230</v>
      </c>
      <c r="H11" s="289">
        <v>649230</v>
      </c>
      <c r="I11" s="290"/>
      <c r="J11" s="288">
        <v>48060</v>
      </c>
      <c r="K11" s="288">
        <v>1000290</v>
      </c>
      <c r="L11" s="287">
        <v>403340</v>
      </c>
      <c r="M11" s="288">
        <v>0</v>
      </c>
      <c r="N11" s="288">
        <v>3563600</v>
      </c>
      <c r="O11" s="287">
        <v>5015290</v>
      </c>
      <c r="P11" s="291">
        <v>5664520</v>
      </c>
    </row>
    <row r="12" spans="1:17" ht="18" customHeight="1">
      <c r="C12" s="292"/>
      <c r="D12" s="293" t="s">
        <v>241</v>
      </c>
      <c r="E12" s="294"/>
      <c r="F12" s="295">
        <v>0</v>
      </c>
      <c r="G12" s="296">
        <v>0</v>
      </c>
      <c r="H12" s="297">
        <v>0</v>
      </c>
      <c r="I12" s="298"/>
      <c r="J12" s="296">
        <v>40560</v>
      </c>
      <c r="K12" s="295">
        <v>587610</v>
      </c>
      <c r="L12" s="295">
        <v>0</v>
      </c>
      <c r="M12" s="295">
        <v>0</v>
      </c>
      <c r="N12" s="296">
        <v>0</v>
      </c>
      <c r="O12" s="295">
        <v>628170</v>
      </c>
      <c r="P12" s="299">
        <v>628170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0</v>
      </c>
      <c r="K13" s="302">
        <v>357340</v>
      </c>
      <c r="L13" s="302">
        <v>0</v>
      </c>
      <c r="M13" s="302">
        <v>0</v>
      </c>
      <c r="N13" s="303">
        <v>0</v>
      </c>
      <c r="O13" s="295">
        <v>357340</v>
      </c>
      <c r="P13" s="299">
        <v>357340</v>
      </c>
    </row>
    <row r="14" spans="1:17" ht="18" customHeight="1">
      <c r="C14" s="292"/>
      <c r="D14" s="300"/>
      <c r="E14" s="301" t="s">
        <v>181</v>
      </c>
      <c r="F14" s="302">
        <v>0</v>
      </c>
      <c r="G14" s="303">
        <v>0</v>
      </c>
      <c r="H14" s="297">
        <v>0</v>
      </c>
      <c r="I14" s="304"/>
      <c r="J14" s="303">
        <v>0</v>
      </c>
      <c r="K14" s="302">
        <v>0</v>
      </c>
      <c r="L14" s="302">
        <v>0</v>
      </c>
      <c r="M14" s="302">
        <v>0</v>
      </c>
      <c r="N14" s="303">
        <v>0</v>
      </c>
      <c r="O14" s="295">
        <v>0</v>
      </c>
      <c r="P14" s="299">
        <v>0</v>
      </c>
    </row>
    <row r="15" spans="1:17" ht="18" customHeight="1">
      <c r="C15" s="292"/>
      <c r="D15" s="300"/>
      <c r="E15" s="301" t="s">
        <v>182</v>
      </c>
      <c r="F15" s="302">
        <v>0</v>
      </c>
      <c r="G15" s="303">
        <v>0</v>
      </c>
      <c r="H15" s="297">
        <v>0</v>
      </c>
      <c r="I15" s="304"/>
      <c r="J15" s="303">
        <v>26020</v>
      </c>
      <c r="K15" s="302">
        <v>78820</v>
      </c>
      <c r="L15" s="302">
        <v>0</v>
      </c>
      <c r="M15" s="302">
        <v>0</v>
      </c>
      <c r="N15" s="303">
        <v>0</v>
      </c>
      <c r="O15" s="295">
        <v>104840</v>
      </c>
      <c r="P15" s="299">
        <v>104840</v>
      </c>
    </row>
    <row r="16" spans="1:17" ht="18" customHeight="1">
      <c r="C16" s="292"/>
      <c r="D16" s="300"/>
      <c r="E16" s="301" t="s">
        <v>183</v>
      </c>
      <c r="F16" s="302">
        <v>0</v>
      </c>
      <c r="G16" s="303">
        <v>0</v>
      </c>
      <c r="H16" s="297">
        <v>0</v>
      </c>
      <c r="I16" s="304"/>
      <c r="J16" s="303">
        <v>14540</v>
      </c>
      <c r="K16" s="302">
        <v>151450</v>
      </c>
      <c r="L16" s="302">
        <v>0</v>
      </c>
      <c r="M16" s="302">
        <v>0</v>
      </c>
      <c r="N16" s="303">
        <v>0</v>
      </c>
      <c r="O16" s="295">
        <v>165990</v>
      </c>
      <c r="P16" s="299">
        <v>165990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0</v>
      </c>
      <c r="K17" s="302">
        <v>0</v>
      </c>
      <c r="L17" s="302">
        <v>0</v>
      </c>
      <c r="M17" s="302">
        <v>0</v>
      </c>
      <c r="N17" s="303">
        <v>0</v>
      </c>
      <c r="O17" s="295">
        <v>0</v>
      </c>
      <c r="P17" s="299">
        <v>0</v>
      </c>
    </row>
    <row r="18" spans="1:17" ht="18" customHeight="1">
      <c r="C18" s="292"/>
      <c r="D18" s="293" t="s">
        <v>242</v>
      </c>
      <c r="E18" s="305"/>
      <c r="F18" s="295">
        <v>0</v>
      </c>
      <c r="G18" s="296">
        <v>616270</v>
      </c>
      <c r="H18" s="297">
        <v>616270</v>
      </c>
      <c r="I18" s="298"/>
      <c r="J18" s="296">
        <v>0</v>
      </c>
      <c r="K18" s="295">
        <v>239820</v>
      </c>
      <c r="L18" s="295">
        <v>399340</v>
      </c>
      <c r="M18" s="295">
        <v>0</v>
      </c>
      <c r="N18" s="296">
        <v>1765010</v>
      </c>
      <c r="O18" s="295">
        <v>2404170</v>
      </c>
      <c r="P18" s="299">
        <v>3020440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0</v>
      </c>
      <c r="K19" s="302">
        <v>0</v>
      </c>
      <c r="L19" s="302">
        <v>0</v>
      </c>
      <c r="M19" s="302">
        <v>0</v>
      </c>
      <c r="N19" s="303">
        <v>0</v>
      </c>
      <c r="O19" s="295">
        <v>0</v>
      </c>
      <c r="P19" s="299">
        <v>0</v>
      </c>
    </row>
    <row r="20" spans="1:17" ht="18" customHeight="1">
      <c r="C20" s="292"/>
      <c r="D20" s="300"/>
      <c r="E20" s="306" t="s">
        <v>186</v>
      </c>
      <c r="F20" s="302">
        <v>0</v>
      </c>
      <c r="G20" s="303">
        <v>616270</v>
      </c>
      <c r="H20" s="297">
        <v>616270</v>
      </c>
      <c r="I20" s="304"/>
      <c r="J20" s="303">
        <v>0</v>
      </c>
      <c r="K20" s="302">
        <v>239820</v>
      </c>
      <c r="L20" s="302">
        <v>399340</v>
      </c>
      <c r="M20" s="302">
        <v>0</v>
      </c>
      <c r="N20" s="303">
        <v>1765010</v>
      </c>
      <c r="O20" s="295">
        <v>2404170</v>
      </c>
      <c r="P20" s="299">
        <v>3020440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0</v>
      </c>
      <c r="H21" s="297">
        <v>0</v>
      </c>
      <c r="I21" s="298"/>
      <c r="J21" s="296">
        <v>0</v>
      </c>
      <c r="K21" s="295">
        <v>0</v>
      </c>
      <c r="L21" s="295">
        <v>0</v>
      </c>
      <c r="M21" s="295">
        <v>0</v>
      </c>
      <c r="N21" s="296">
        <v>1364190</v>
      </c>
      <c r="O21" s="295">
        <v>1364190</v>
      </c>
      <c r="P21" s="299">
        <v>1364190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0</v>
      </c>
      <c r="H22" s="297">
        <v>0</v>
      </c>
      <c r="I22" s="304"/>
      <c r="J22" s="303">
        <v>0</v>
      </c>
      <c r="K22" s="302">
        <v>0</v>
      </c>
      <c r="L22" s="302">
        <v>0</v>
      </c>
      <c r="M22" s="302">
        <v>0</v>
      </c>
      <c r="N22" s="303">
        <v>676250</v>
      </c>
      <c r="O22" s="295">
        <v>676250</v>
      </c>
      <c r="P22" s="299">
        <v>676250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0</v>
      </c>
      <c r="H23" s="297">
        <v>0</v>
      </c>
      <c r="I23" s="304"/>
      <c r="J23" s="303">
        <v>0</v>
      </c>
      <c r="K23" s="302">
        <v>0</v>
      </c>
      <c r="L23" s="302">
        <v>0</v>
      </c>
      <c r="M23" s="302">
        <v>0</v>
      </c>
      <c r="N23" s="303">
        <v>687940</v>
      </c>
      <c r="O23" s="295">
        <v>687940</v>
      </c>
      <c r="P23" s="299">
        <v>687940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0</v>
      </c>
      <c r="G26" s="296">
        <v>32960</v>
      </c>
      <c r="H26" s="297">
        <v>32960</v>
      </c>
      <c r="I26" s="298"/>
      <c r="J26" s="296">
        <v>7500</v>
      </c>
      <c r="K26" s="295">
        <v>172860</v>
      </c>
      <c r="L26" s="295">
        <v>4000</v>
      </c>
      <c r="M26" s="295">
        <v>0</v>
      </c>
      <c r="N26" s="296">
        <v>434400</v>
      </c>
      <c r="O26" s="295">
        <v>618760</v>
      </c>
      <c r="P26" s="299">
        <v>651720</v>
      </c>
    </row>
    <row r="27" spans="1:17" ht="18" customHeight="1">
      <c r="C27" s="292"/>
      <c r="D27" s="300"/>
      <c r="E27" s="308" t="s">
        <v>191</v>
      </c>
      <c r="F27" s="309">
        <v>0</v>
      </c>
      <c r="G27" s="310">
        <v>32960</v>
      </c>
      <c r="H27" s="297">
        <v>32960</v>
      </c>
      <c r="I27" s="304"/>
      <c r="J27" s="310">
        <v>7500</v>
      </c>
      <c r="K27" s="309">
        <v>172860</v>
      </c>
      <c r="L27" s="309">
        <v>4000</v>
      </c>
      <c r="M27" s="309">
        <v>0</v>
      </c>
      <c r="N27" s="310">
        <v>434400</v>
      </c>
      <c r="O27" s="295">
        <v>618760</v>
      </c>
      <c r="P27" s="299">
        <v>651720</v>
      </c>
    </row>
    <row r="28" spans="1:17" ht="18" customHeight="1">
      <c r="C28" s="292"/>
      <c r="D28" s="311"/>
      <c r="E28" s="301" t="s">
        <v>245</v>
      </c>
      <c r="F28" s="312">
        <v>0</v>
      </c>
      <c r="G28" s="313">
        <v>0</v>
      </c>
      <c r="H28" s="297">
        <v>0</v>
      </c>
      <c r="I28" s="314"/>
      <c r="J28" s="313">
        <v>0</v>
      </c>
      <c r="K28" s="312">
        <v>0</v>
      </c>
      <c r="L28" s="312">
        <v>0</v>
      </c>
      <c r="M28" s="312">
        <v>0</v>
      </c>
      <c r="N28" s="313">
        <v>0</v>
      </c>
      <c r="O28" s="295">
        <v>0</v>
      </c>
      <c r="P28" s="299">
        <v>0</v>
      </c>
    </row>
    <row r="29" spans="1:17" ht="18" customHeight="1">
      <c r="C29" s="292"/>
      <c r="D29" s="315"/>
      <c r="E29" s="301" t="s">
        <v>246</v>
      </c>
      <c r="F29" s="316">
        <v>0</v>
      </c>
      <c r="G29" s="317">
        <v>0</v>
      </c>
      <c r="H29" s="297">
        <v>0</v>
      </c>
      <c r="I29" s="314"/>
      <c r="J29" s="317">
        <v>0</v>
      </c>
      <c r="K29" s="316">
        <v>0</v>
      </c>
      <c r="L29" s="316">
        <v>0</v>
      </c>
      <c r="M29" s="316">
        <v>0</v>
      </c>
      <c r="N29" s="317">
        <v>0</v>
      </c>
      <c r="O29" s="295">
        <v>0</v>
      </c>
      <c r="P29" s="299">
        <v>0</v>
      </c>
    </row>
    <row r="30" spans="1:17" ht="18" customHeight="1">
      <c r="A30" s="318"/>
      <c r="B30" s="318"/>
      <c r="C30" s="292"/>
      <c r="D30" s="307" t="s">
        <v>192</v>
      </c>
      <c r="E30" s="319"/>
      <c r="F30" s="302">
        <v>0</v>
      </c>
      <c r="G30" s="303">
        <v>0</v>
      </c>
      <c r="H30" s="297">
        <v>0</v>
      </c>
      <c r="I30" s="320"/>
      <c r="J30" s="303">
        <v>0</v>
      </c>
      <c r="K30" s="302">
        <v>0</v>
      </c>
      <c r="L30" s="302">
        <v>0</v>
      </c>
      <c r="M30" s="302">
        <v>0</v>
      </c>
      <c r="N30" s="303">
        <v>0</v>
      </c>
      <c r="O30" s="295">
        <v>0</v>
      </c>
      <c r="P30" s="299">
        <v>0</v>
      </c>
      <c r="Q30" s="8"/>
    </row>
    <row r="31" spans="1:17" ht="18" customHeight="1">
      <c r="A31" s="318"/>
      <c r="B31" s="318"/>
      <c r="C31" s="292"/>
      <c r="D31" s="300" t="s">
        <v>193</v>
      </c>
      <c r="E31" s="319"/>
      <c r="F31" s="302">
        <v>0</v>
      </c>
      <c r="G31" s="303">
        <v>0</v>
      </c>
      <c r="H31" s="297">
        <v>0</v>
      </c>
      <c r="I31" s="320"/>
      <c r="J31" s="303">
        <v>0</v>
      </c>
      <c r="K31" s="302">
        <v>0</v>
      </c>
      <c r="L31" s="302">
        <v>0</v>
      </c>
      <c r="M31" s="302">
        <v>0</v>
      </c>
      <c r="N31" s="303">
        <v>0</v>
      </c>
      <c r="O31" s="295">
        <v>0</v>
      </c>
      <c r="P31" s="299">
        <v>0</v>
      </c>
      <c r="Q31" s="8"/>
    </row>
    <row r="32" spans="1:17" ht="18" customHeight="1">
      <c r="A32" s="318"/>
      <c r="B32" s="318"/>
      <c r="C32" s="321" t="s">
        <v>194</v>
      </c>
      <c r="D32" s="322"/>
      <c r="E32" s="322"/>
      <c r="F32" s="323">
        <v>0</v>
      </c>
      <c r="G32" s="167">
        <v>74000</v>
      </c>
      <c r="H32" s="162">
        <v>74000</v>
      </c>
      <c r="I32" s="324"/>
      <c r="J32" s="167">
        <v>33940</v>
      </c>
      <c r="K32" s="323">
        <v>250200</v>
      </c>
      <c r="L32" s="323">
        <v>80840</v>
      </c>
      <c r="M32" s="323">
        <v>0</v>
      </c>
      <c r="N32" s="167">
        <v>244780</v>
      </c>
      <c r="O32" s="162">
        <v>609760</v>
      </c>
      <c r="P32" s="163">
        <v>683760</v>
      </c>
      <c r="Q32" s="8"/>
    </row>
    <row r="33" spans="1:17" ht="18" customHeight="1">
      <c r="A33" s="318"/>
      <c r="B33" s="318"/>
      <c r="C33" s="285" t="s">
        <v>247</v>
      </c>
      <c r="D33" s="325"/>
      <c r="E33" s="326"/>
      <c r="F33" s="287">
        <v>0</v>
      </c>
      <c r="G33" s="288">
        <v>0</v>
      </c>
      <c r="H33" s="289">
        <v>0</v>
      </c>
      <c r="I33" s="327"/>
      <c r="J33" s="288">
        <v>0</v>
      </c>
      <c r="K33" s="287">
        <v>0</v>
      </c>
      <c r="L33" s="287">
        <v>0</v>
      </c>
      <c r="M33" s="287">
        <v>0</v>
      </c>
      <c r="N33" s="288">
        <v>0</v>
      </c>
      <c r="O33" s="287">
        <v>0</v>
      </c>
      <c r="P33" s="291">
        <v>0</v>
      </c>
      <c r="Q33" s="8"/>
    </row>
    <row r="34" spans="1:17" ht="18" customHeight="1">
      <c r="A34" s="318"/>
      <c r="B34" s="318"/>
      <c r="C34" s="328"/>
      <c r="D34" s="798" t="s">
        <v>211</v>
      </c>
      <c r="E34" s="799"/>
      <c r="F34" s="329">
        <v>0</v>
      </c>
      <c r="G34" s="330">
        <v>0</v>
      </c>
      <c r="H34" s="331">
        <v>0</v>
      </c>
      <c r="I34" s="320"/>
      <c r="J34" s="330">
        <v>0</v>
      </c>
      <c r="K34" s="329">
        <v>0</v>
      </c>
      <c r="L34" s="329">
        <v>0</v>
      </c>
      <c r="M34" s="329">
        <v>0</v>
      </c>
      <c r="N34" s="330">
        <v>0</v>
      </c>
      <c r="O34" s="332">
        <v>0</v>
      </c>
      <c r="P34" s="333">
        <v>0</v>
      </c>
      <c r="Q34" s="8"/>
    </row>
    <row r="35" spans="1:17" ht="18" customHeight="1">
      <c r="A35" s="318"/>
      <c r="B35" s="318"/>
      <c r="C35" s="292"/>
      <c r="D35" s="307" t="s">
        <v>212</v>
      </c>
      <c r="E35" s="319"/>
      <c r="F35" s="329">
        <v>0</v>
      </c>
      <c r="G35" s="330">
        <v>0</v>
      </c>
      <c r="H35" s="297">
        <v>0</v>
      </c>
      <c r="I35" s="320"/>
      <c r="J35" s="303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07" t="s">
        <v>213</v>
      </c>
      <c r="E36" s="319"/>
      <c r="F36" s="302">
        <v>0</v>
      </c>
      <c r="G36" s="303">
        <v>0</v>
      </c>
      <c r="H36" s="297">
        <v>0</v>
      </c>
      <c r="I36" s="320"/>
      <c r="J36" s="303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214</v>
      </c>
      <c r="E37" s="305"/>
      <c r="F37" s="302">
        <v>0</v>
      </c>
      <c r="G37" s="303">
        <v>0</v>
      </c>
      <c r="H37" s="297">
        <v>0</v>
      </c>
      <c r="I37" s="320"/>
      <c r="J37" s="303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215</v>
      </c>
      <c r="E38" s="305"/>
      <c r="F38" s="302">
        <v>0</v>
      </c>
      <c r="G38" s="303">
        <v>0</v>
      </c>
      <c r="H38" s="297">
        <v>0</v>
      </c>
      <c r="I38" s="320"/>
      <c r="J38" s="303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216</v>
      </c>
      <c r="E39" s="305"/>
      <c r="F39" s="302">
        <v>0</v>
      </c>
      <c r="G39" s="303">
        <v>0</v>
      </c>
      <c r="H39" s="297">
        <v>0</v>
      </c>
      <c r="I39" s="320"/>
      <c r="J39" s="303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334" t="s">
        <v>217</v>
      </c>
      <c r="E40" s="305"/>
      <c r="F40" s="330">
        <v>0</v>
      </c>
      <c r="G40" s="303">
        <v>0</v>
      </c>
      <c r="H40" s="297">
        <v>0</v>
      </c>
      <c r="I40" s="320"/>
      <c r="J40" s="303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334" t="s">
        <v>218</v>
      </c>
      <c r="E41" s="305"/>
      <c r="F41" s="330">
        <v>0</v>
      </c>
      <c r="G41" s="303">
        <v>0</v>
      </c>
      <c r="H41" s="297">
        <v>0</v>
      </c>
      <c r="I41" s="320"/>
      <c r="J41" s="303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219</v>
      </c>
      <c r="E42" s="800"/>
      <c r="F42" s="329">
        <v>0</v>
      </c>
      <c r="G42" s="330">
        <v>0</v>
      </c>
      <c r="H42" s="297">
        <v>0</v>
      </c>
      <c r="I42" s="320"/>
      <c r="J42" s="303">
        <v>0</v>
      </c>
      <c r="K42" s="302">
        <v>0</v>
      </c>
      <c r="L42" s="302">
        <v>0</v>
      </c>
      <c r="M42" s="302">
        <v>0</v>
      </c>
      <c r="N42" s="303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292"/>
      <c r="D43" s="798" t="s">
        <v>220</v>
      </c>
      <c r="E43" s="800"/>
      <c r="F43" s="329">
        <v>0</v>
      </c>
      <c r="G43" s="330">
        <v>0</v>
      </c>
      <c r="H43" s="297">
        <v>0</v>
      </c>
      <c r="I43" s="320"/>
      <c r="J43" s="303">
        <v>0</v>
      </c>
      <c r="K43" s="302">
        <v>0</v>
      </c>
      <c r="L43" s="302">
        <v>0</v>
      </c>
      <c r="M43" s="302">
        <v>0</v>
      </c>
      <c r="N43" s="303">
        <v>0</v>
      </c>
      <c r="O43" s="295">
        <v>0</v>
      </c>
      <c r="P43" s="299">
        <v>0</v>
      </c>
      <c r="Q43" s="8"/>
    </row>
    <row r="44" spans="1:17" ht="18" customHeight="1">
      <c r="A44" s="318"/>
      <c r="B44" s="318"/>
      <c r="C44" s="328"/>
      <c r="D44" s="798" t="s">
        <v>221</v>
      </c>
      <c r="E44" s="799"/>
      <c r="F44" s="329">
        <v>0</v>
      </c>
      <c r="G44" s="330">
        <v>0</v>
      </c>
      <c r="H44" s="331">
        <v>0</v>
      </c>
      <c r="I44" s="320"/>
      <c r="J44" s="330">
        <v>0</v>
      </c>
      <c r="K44" s="329">
        <v>0</v>
      </c>
      <c r="L44" s="329">
        <v>0</v>
      </c>
      <c r="M44" s="329">
        <v>0</v>
      </c>
      <c r="N44" s="330">
        <v>0</v>
      </c>
      <c r="O44" s="332">
        <v>0</v>
      </c>
      <c r="P44" s="333">
        <v>0</v>
      </c>
      <c r="Q44" s="8"/>
    </row>
    <row r="45" spans="1:17" ht="18" customHeight="1">
      <c r="A45" s="318"/>
      <c r="B45" s="318"/>
      <c r="C45" s="328"/>
      <c r="D45" s="798" t="s">
        <v>248</v>
      </c>
      <c r="E45" s="799"/>
      <c r="F45" s="329">
        <v>0</v>
      </c>
      <c r="G45" s="330">
        <v>0</v>
      </c>
      <c r="H45" s="297">
        <v>0</v>
      </c>
      <c r="I45" s="336"/>
      <c r="J45" s="330">
        <v>0</v>
      </c>
      <c r="K45" s="329">
        <v>0</v>
      </c>
      <c r="L45" s="329">
        <v>0</v>
      </c>
      <c r="M45" s="329">
        <v>0</v>
      </c>
      <c r="N45" s="330">
        <v>0</v>
      </c>
      <c r="O45" s="332">
        <v>0</v>
      </c>
      <c r="P45" s="333">
        <v>0</v>
      </c>
      <c r="Q45" s="8"/>
    </row>
    <row r="46" spans="1:17" ht="18" customHeight="1">
      <c r="A46" s="318"/>
      <c r="B46" s="318"/>
      <c r="C46" s="337"/>
      <c r="D46" s="806" t="s">
        <v>249</v>
      </c>
      <c r="E46" s="810"/>
      <c r="F46" s="136">
        <v>0</v>
      </c>
      <c r="G46" s="109">
        <v>0</v>
      </c>
      <c r="H46" s="297">
        <v>0</v>
      </c>
      <c r="I46" s="363"/>
      <c r="J46" s="109">
        <v>0</v>
      </c>
      <c r="K46" s="136">
        <v>0</v>
      </c>
      <c r="L46" s="136">
        <v>0</v>
      </c>
      <c r="M46" s="136">
        <v>0</v>
      </c>
      <c r="N46" s="109">
        <v>0</v>
      </c>
      <c r="O46" s="145">
        <v>0</v>
      </c>
      <c r="P46" s="365">
        <v>0</v>
      </c>
      <c r="Q46" s="8"/>
    </row>
    <row r="47" spans="1:17" ht="18" customHeight="1">
      <c r="A47" s="318"/>
      <c r="B47" s="318"/>
      <c r="C47" s="292" t="s">
        <v>250</v>
      </c>
      <c r="D47" s="294"/>
      <c r="E47" s="294"/>
      <c r="F47" s="288">
        <v>0</v>
      </c>
      <c r="G47" s="288">
        <v>0</v>
      </c>
      <c r="H47" s="289">
        <v>0</v>
      </c>
      <c r="I47" s="327"/>
      <c r="J47" s="288">
        <v>0</v>
      </c>
      <c r="K47" s="287">
        <v>0</v>
      </c>
      <c r="L47" s="287">
        <v>4800181</v>
      </c>
      <c r="M47" s="287">
        <v>0</v>
      </c>
      <c r="N47" s="288">
        <v>0</v>
      </c>
      <c r="O47" s="287">
        <v>4800181</v>
      </c>
      <c r="P47" s="291">
        <v>4800181</v>
      </c>
      <c r="Q47" s="8"/>
    </row>
    <row r="48" spans="1:17" ht="18" customHeight="1">
      <c r="A48" s="318"/>
      <c r="B48" s="318"/>
      <c r="C48" s="292"/>
      <c r="D48" s="342" t="s">
        <v>113</v>
      </c>
      <c r="E48" s="342"/>
      <c r="F48" s="303">
        <v>0</v>
      </c>
      <c r="G48" s="303">
        <v>0</v>
      </c>
      <c r="H48" s="297">
        <v>0</v>
      </c>
      <c r="I48" s="320"/>
      <c r="J48" s="303">
        <v>0</v>
      </c>
      <c r="K48" s="302">
        <v>0</v>
      </c>
      <c r="L48" s="302">
        <v>0</v>
      </c>
      <c r="M48" s="302">
        <v>0</v>
      </c>
      <c r="N48" s="303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2" t="s">
        <v>114</v>
      </c>
      <c r="E49" s="342"/>
      <c r="F49" s="302">
        <v>0</v>
      </c>
      <c r="G49" s="303">
        <v>0</v>
      </c>
      <c r="H49" s="297">
        <v>0</v>
      </c>
      <c r="I49" s="320"/>
      <c r="J49" s="303">
        <v>0</v>
      </c>
      <c r="K49" s="302">
        <v>0</v>
      </c>
      <c r="L49" s="302">
        <v>4800181</v>
      </c>
      <c r="M49" s="302">
        <v>0</v>
      </c>
      <c r="N49" s="303">
        <v>0</v>
      </c>
      <c r="O49" s="295">
        <v>4800181</v>
      </c>
      <c r="P49" s="299">
        <v>4800181</v>
      </c>
      <c r="Q49" s="8"/>
    </row>
    <row r="50" spans="1:17" ht="18" customHeight="1">
      <c r="A50" s="318"/>
      <c r="B50" s="318"/>
      <c r="C50" s="292"/>
      <c r="D50" s="343" t="s">
        <v>176</v>
      </c>
      <c r="E50" s="343"/>
      <c r="F50" s="329">
        <v>0</v>
      </c>
      <c r="G50" s="330">
        <v>0</v>
      </c>
      <c r="H50" s="297">
        <v>0</v>
      </c>
      <c r="I50" s="320"/>
      <c r="J50" s="330">
        <v>0</v>
      </c>
      <c r="K50" s="329">
        <v>0</v>
      </c>
      <c r="L50" s="329">
        <v>0</v>
      </c>
      <c r="M50" s="329">
        <v>0</v>
      </c>
      <c r="N50" s="330">
        <v>0</v>
      </c>
      <c r="O50" s="295">
        <v>0</v>
      </c>
      <c r="P50" s="299">
        <v>0</v>
      </c>
      <c r="Q50" s="8"/>
    </row>
    <row r="51" spans="1:17" ht="18" customHeight="1">
      <c r="A51" s="318"/>
      <c r="B51" s="318"/>
      <c r="C51" s="292"/>
      <c r="D51" s="344" t="s">
        <v>251</v>
      </c>
      <c r="E51" s="344"/>
      <c r="F51" s="338">
        <v>0</v>
      </c>
      <c r="G51" s="339">
        <v>0</v>
      </c>
      <c r="H51" s="345">
        <v>0</v>
      </c>
      <c r="I51" s="320"/>
      <c r="J51" s="339">
        <v>0</v>
      </c>
      <c r="K51" s="338">
        <v>0</v>
      </c>
      <c r="L51" s="338">
        <v>0</v>
      </c>
      <c r="M51" s="338">
        <v>0</v>
      </c>
      <c r="N51" s="339">
        <v>0</v>
      </c>
      <c r="O51" s="340">
        <v>0</v>
      </c>
      <c r="P51" s="341">
        <v>0</v>
      </c>
      <c r="Q51" s="8"/>
    </row>
    <row r="52" spans="1:17" ht="18" customHeight="1">
      <c r="A52" s="318"/>
      <c r="B52" s="318"/>
      <c r="C52" s="801" t="s">
        <v>252</v>
      </c>
      <c r="D52" s="802"/>
      <c r="E52" s="803"/>
      <c r="F52" s="346">
        <v>0</v>
      </c>
      <c r="G52" s="346">
        <v>723230</v>
      </c>
      <c r="H52" s="178">
        <v>723230</v>
      </c>
      <c r="I52" s="347"/>
      <c r="J52" s="346">
        <v>82000</v>
      </c>
      <c r="K52" s="346">
        <v>1250490</v>
      </c>
      <c r="L52" s="346">
        <v>5284361</v>
      </c>
      <c r="M52" s="346">
        <v>0</v>
      </c>
      <c r="N52" s="346">
        <v>3808380</v>
      </c>
      <c r="O52" s="346">
        <v>10425231</v>
      </c>
      <c r="P52" s="171">
        <v>11148461</v>
      </c>
      <c r="Q52" s="8"/>
    </row>
    <row r="53" spans="1:17" ht="12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8"/>
    </row>
  </sheetData>
  <mergeCells count="10">
    <mergeCell ref="D44:E44"/>
    <mergeCell ref="D42:E42"/>
    <mergeCell ref="C52:E52"/>
    <mergeCell ref="D46:E46"/>
    <mergeCell ref="D45:E45"/>
    <mergeCell ref="A3:Q3"/>
    <mergeCell ref="A4:Q4"/>
    <mergeCell ref="C10:E10"/>
    <mergeCell ref="D34:E34"/>
    <mergeCell ref="D43:E43"/>
  </mergeCells>
  <phoneticPr fontId="35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53"/>
  <sheetViews>
    <sheetView showGridLines="0" workbookViewId="0"/>
  </sheetViews>
  <sheetFormatPr defaultColWidth="9" defaultRowHeight="0" customHeight="1" zero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260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261</v>
      </c>
    </row>
    <row r="8" spans="1:17" ht="18" customHeight="1">
      <c r="C8" s="84" t="s">
        <v>255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/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0</v>
      </c>
      <c r="G11" s="288">
        <v>584307</v>
      </c>
      <c r="H11" s="289">
        <v>584307</v>
      </c>
      <c r="I11" s="290"/>
      <c r="J11" s="288">
        <v>43254</v>
      </c>
      <c r="K11" s="288">
        <v>900261</v>
      </c>
      <c r="L11" s="287">
        <v>363006</v>
      </c>
      <c r="M11" s="288">
        <v>0</v>
      </c>
      <c r="N11" s="288">
        <v>3207240</v>
      </c>
      <c r="O11" s="287">
        <v>4513761</v>
      </c>
      <c r="P11" s="291">
        <v>5098068</v>
      </c>
    </row>
    <row r="12" spans="1:17" ht="18" customHeight="1">
      <c r="C12" s="292"/>
      <c r="D12" s="293" t="s">
        <v>241</v>
      </c>
      <c r="E12" s="294"/>
      <c r="F12" s="295">
        <v>0</v>
      </c>
      <c r="G12" s="296">
        <v>0</v>
      </c>
      <c r="H12" s="297">
        <v>0</v>
      </c>
      <c r="I12" s="298"/>
      <c r="J12" s="296">
        <v>36504</v>
      </c>
      <c r="K12" s="295">
        <v>528849</v>
      </c>
      <c r="L12" s="295">
        <v>0</v>
      </c>
      <c r="M12" s="295">
        <v>0</v>
      </c>
      <c r="N12" s="296">
        <v>0</v>
      </c>
      <c r="O12" s="295">
        <v>565353</v>
      </c>
      <c r="P12" s="299">
        <v>565353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0</v>
      </c>
      <c r="K13" s="302">
        <v>321606</v>
      </c>
      <c r="L13" s="302">
        <v>0</v>
      </c>
      <c r="M13" s="302">
        <v>0</v>
      </c>
      <c r="N13" s="303">
        <v>0</v>
      </c>
      <c r="O13" s="295">
        <v>321606</v>
      </c>
      <c r="P13" s="299">
        <v>321606</v>
      </c>
    </row>
    <row r="14" spans="1:17" ht="18" customHeight="1">
      <c r="C14" s="292"/>
      <c r="D14" s="300"/>
      <c r="E14" s="301" t="s">
        <v>181</v>
      </c>
      <c r="F14" s="302">
        <v>0</v>
      </c>
      <c r="G14" s="303">
        <v>0</v>
      </c>
      <c r="H14" s="297">
        <v>0</v>
      </c>
      <c r="I14" s="304"/>
      <c r="J14" s="303">
        <v>0</v>
      </c>
      <c r="K14" s="302">
        <v>0</v>
      </c>
      <c r="L14" s="302">
        <v>0</v>
      </c>
      <c r="M14" s="302">
        <v>0</v>
      </c>
      <c r="N14" s="303">
        <v>0</v>
      </c>
      <c r="O14" s="295">
        <v>0</v>
      </c>
      <c r="P14" s="299">
        <v>0</v>
      </c>
    </row>
    <row r="15" spans="1:17" ht="18" customHeight="1">
      <c r="C15" s="292"/>
      <c r="D15" s="300"/>
      <c r="E15" s="301" t="s">
        <v>182</v>
      </c>
      <c r="F15" s="302">
        <v>0</v>
      </c>
      <c r="G15" s="303">
        <v>0</v>
      </c>
      <c r="H15" s="297">
        <v>0</v>
      </c>
      <c r="I15" s="304"/>
      <c r="J15" s="303">
        <v>23418</v>
      </c>
      <c r="K15" s="302">
        <v>70938</v>
      </c>
      <c r="L15" s="302">
        <v>0</v>
      </c>
      <c r="M15" s="302">
        <v>0</v>
      </c>
      <c r="N15" s="303">
        <v>0</v>
      </c>
      <c r="O15" s="295">
        <v>94356</v>
      </c>
      <c r="P15" s="299">
        <v>94356</v>
      </c>
    </row>
    <row r="16" spans="1:17" ht="18" customHeight="1">
      <c r="C16" s="292"/>
      <c r="D16" s="300"/>
      <c r="E16" s="301" t="s">
        <v>183</v>
      </c>
      <c r="F16" s="302">
        <v>0</v>
      </c>
      <c r="G16" s="303">
        <v>0</v>
      </c>
      <c r="H16" s="297">
        <v>0</v>
      </c>
      <c r="I16" s="304"/>
      <c r="J16" s="303">
        <v>13086</v>
      </c>
      <c r="K16" s="302">
        <v>136305</v>
      </c>
      <c r="L16" s="302">
        <v>0</v>
      </c>
      <c r="M16" s="302">
        <v>0</v>
      </c>
      <c r="N16" s="303">
        <v>0</v>
      </c>
      <c r="O16" s="295">
        <v>149391</v>
      </c>
      <c r="P16" s="299">
        <v>149391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0</v>
      </c>
      <c r="K17" s="302">
        <v>0</v>
      </c>
      <c r="L17" s="302">
        <v>0</v>
      </c>
      <c r="M17" s="302">
        <v>0</v>
      </c>
      <c r="N17" s="303">
        <v>0</v>
      </c>
      <c r="O17" s="295">
        <v>0</v>
      </c>
      <c r="P17" s="299">
        <v>0</v>
      </c>
    </row>
    <row r="18" spans="1:17" ht="18" customHeight="1">
      <c r="C18" s="292"/>
      <c r="D18" s="293" t="s">
        <v>242</v>
      </c>
      <c r="E18" s="305"/>
      <c r="F18" s="295">
        <v>0</v>
      </c>
      <c r="G18" s="296">
        <v>554643</v>
      </c>
      <c r="H18" s="297">
        <v>554643</v>
      </c>
      <c r="I18" s="298"/>
      <c r="J18" s="296">
        <v>0</v>
      </c>
      <c r="K18" s="295">
        <v>215838</v>
      </c>
      <c r="L18" s="295">
        <v>359406</v>
      </c>
      <c r="M18" s="295">
        <v>0</v>
      </c>
      <c r="N18" s="296">
        <v>1588509</v>
      </c>
      <c r="O18" s="295">
        <v>2163753</v>
      </c>
      <c r="P18" s="299">
        <v>2718396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0</v>
      </c>
      <c r="K19" s="302">
        <v>0</v>
      </c>
      <c r="L19" s="302">
        <v>0</v>
      </c>
      <c r="M19" s="302">
        <v>0</v>
      </c>
      <c r="N19" s="303">
        <v>0</v>
      </c>
      <c r="O19" s="295">
        <v>0</v>
      </c>
      <c r="P19" s="299">
        <v>0</v>
      </c>
    </row>
    <row r="20" spans="1:17" ht="18" customHeight="1">
      <c r="C20" s="292"/>
      <c r="D20" s="300"/>
      <c r="E20" s="306" t="s">
        <v>186</v>
      </c>
      <c r="F20" s="302">
        <v>0</v>
      </c>
      <c r="G20" s="303">
        <v>554643</v>
      </c>
      <c r="H20" s="297">
        <v>554643</v>
      </c>
      <c r="I20" s="304"/>
      <c r="J20" s="303">
        <v>0</v>
      </c>
      <c r="K20" s="302">
        <v>215838</v>
      </c>
      <c r="L20" s="302">
        <v>359406</v>
      </c>
      <c r="M20" s="302">
        <v>0</v>
      </c>
      <c r="N20" s="303">
        <v>1588509</v>
      </c>
      <c r="O20" s="295">
        <v>2163753</v>
      </c>
      <c r="P20" s="299">
        <v>2718396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0</v>
      </c>
      <c r="H21" s="297">
        <v>0</v>
      </c>
      <c r="I21" s="298"/>
      <c r="J21" s="296">
        <v>0</v>
      </c>
      <c r="K21" s="295">
        <v>0</v>
      </c>
      <c r="L21" s="295">
        <v>0</v>
      </c>
      <c r="M21" s="295">
        <v>0</v>
      </c>
      <c r="N21" s="296">
        <v>1227771</v>
      </c>
      <c r="O21" s="295">
        <v>1227771</v>
      </c>
      <c r="P21" s="299">
        <v>1227771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0</v>
      </c>
      <c r="H22" s="297">
        <v>0</v>
      </c>
      <c r="I22" s="304"/>
      <c r="J22" s="303">
        <v>0</v>
      </c>
      <c r="K22" s="302">
        <v>0</v>
      </c>
      <c r="L22" s="302">
        <v>0</v>
      </c>
      <c r="M22" s="302">
        <v>0</v>
      </c>
      <c r="N22" s="303">
        <v>608625</v>
      </c>
      <c r="O22" s="295">
        <v>608625</v>
      </c>
      <c r="P22" s="299">
        <v>608625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0</v>
      </c>
      <c r="H23" s="297">
        <v>0</v>
      </c>
      <c r="I23" s="304"/>
      <c r="J23" s="303">
        <v>0</v>
      </c>
      <c r="K23" s="302">
        <v>0</v>
      </c>
      <c r="L23" s="302">
        <v>0</v>
      </c>
      <c r="M23" s="302">
        <v>0</v>
      </c>
      <c r="N23" s="303">
        <v>619146</v>
      </c>
      <c r="O23" s="295">
        <v>619146</v>
      </c>
      <c r="P23" s="299">
        <v>619146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0</v>
      </c>
      <c r="G26" s="296">
        <v>29664</v>
      </c>
      <c r="H26" s="297">
        <v>29664</v>
      </c>
      <c r="I26" s="298"/>
      <c r="J26" s="296">
        <v>6750</v>
      </c>
      <c r="K26" s="295">
        <v>155574</v>
      </c>
      <c r="L26" s="295">
        <v>3600</v>
      </c>
      <c r="M26" s="295">
        <v>0</v>
      </c>
      <c r="N26" s="296">
        <v>390960</v>
      </c>
      <c r="O26" s="295">
        <v>556884</v>
      </c>
      <c r="P26" s="299">
        <v>586548</v>
      </c>
    </row>
    <row r="27" spans="1:17" ht="18" customHeight="1">
      <c r="C27" s="292"/>
      <c r="D27" s="300"/>
      <c r="E27" s="308" t="s">
        <v>191</v>
      </c>
      <c r="F27" s="309">
        <v>0</v>
      </c>
      <c r="G27" s="310">
        <v>29664</v>
      </c>
      <c r="H27" s="297">
        <v>29664</v>
      </c>
      <c r="I27" s="304"/>
      <c r="J27" s="310">
        <v>6750</v>
      </c>
      <c r="K27" s="309">
        <v>155574</v>
      </c>
      <c r="L27" s="309">
        <v>3600</v>
      </c>
      <c r="M27" s="309">
        <v>0</v>
      </c>
      <c r="N27" s="310">
        <v>390960</v>
      </c>
      <c r="O27" s="295">
        <v>556884</v>
      </c>
      <c r="P27" s="299">
        <v>586548</v>
      </c>
    </row>
    <row r="28" spans="1:17" ht="18" customHeight="1">
      <c r="C28" s="292"/>
      <c r="D28" s="311"/>
      <c r="E28" s="306" t="s">
        <v>245</v>
      </c>
      <c r="F28" s="312">
        <v>0</v>
      </c>
      <c r="G28" s="313">
        <v>0</v>
      </c>
      <c r="H28" s="297">
        <v>0</v>
      </c>
      <c r="I28" s="314"/>
      <c r="J28" s="313">
        <v>0</v>
      </c>
      <c r="K28" s="312">
        <v>0</v>
      </c>
      <c r="L28" s="312">
        <v>0</v>
      </c>
      <c r="M28" s="312">
        <v>0</v>
      </c>
      <c r="N28" s="313">
        <v>0</v>
      </c>
      <c r="O28" s="295">
        <v>0</v>
      </c>
      <c r="P28" s="299">
        <v>0</v>
      </c>
    </row>
    <row r="29" spans="1:17" ht="18" customHeight="1">
      <c r="C29" s="292"/>
      <c r="D29" s="315"/>
      <c r="E29" s="301" t="s">
        <v>246</v>
      </c>
      <c r="F29" s="316">
        <v>0</v>
      </c>
      <c r="G29" s="317">
        <v>0</v>
      </c>
      <c r="H29" s="297">
        <v>0</v>
      </c>
      <c r="I29" s="314"/>
      <c r="J29" s="317">
        <v>0</v>
      </c>
      <c r="K29" s="316">
        <v>0</v>
      </c>
      <c r="L29" s="316">
        <v>0</v>
      </c>
      <c r="M29" s="316">
        <v>0</v>
      </c>
      <c r="N29" s="317">
        <v>0</v>
      </c>
      <c r="O29" s="295">
        <v>0</v>
      </c>
      <c r="P29" s="299">
        <v>0</v>
      </c>
    </row>
    <row r="30" spans="1:17" ht="18" customHeight="1">
      <c r="A30" s="318"/>
      <c r="B30" s="318"/>
      <c r="C30" s="292"/>
      <c r="D30" s="307" t="s">
        <v>192</v>
      </c>
      <c r="E30" s="319"/>
      <c r="F30" s="302">
        <v>0</v>
      </c>
      <c r="G30" s="303">
        <v>0</v>
      </c>
      <c r="H30" s="297">
        <v>0</v>
      </c>
      <c r="I30" s="320"/>
      <c r="J30" s="303">
        <v>0</v>
      </c>
      <c r="K30" s="302">
        <v>0</v>
      </c>
      <c r="L30" s="302">
        <v>0</v>
      </c>
      <c r="M30" s="302">
        <v>0</v>
      </c>
      <c r="N30" s="303">
        <v>0</v>
      </c>
      <c r="O30" s="295">
        <v>0</v>
      </c>
      <c r="P30" s="299">
        <v>0</v>
      </c>
      <c r="Q30" s="8"/>
    </row>
    <row r="31" spans="1:17" ht="18" customHeight="1">
      <c r="A31" s="318"/>
      <c r="B31" s="318"/>
      <c r="C31" s="292"/>
      <c r="D31" s="300" t="s">
        <v>193</v>
      </c>
      <c r="E31" s="319"/>
      <c r="F31" s="302">
        <v>0</v>
      </c>
      <c r="G31" s="303">
        <v>0</v>
      </c>
      <c r="H31" s="297">
        <v>0</v>
      </c>
      <c r="I31" s="320"/>
      <c r="J31" s="303">
        <v>0</v>
      </c>
      <c r="K31" s="302">
        <v>0</v>
      </c>
      <c r="L31" s="302">
        <v>0</v>
      </c>
      <c r="M31" s="302">
        <v>0</v>
      </c>
      <c r="N31" s="303">
        <v>0</v>
      </c>
      <c r="O31" s="295">
        <v>0</v>
      </c>
      <c r="P31" s="299">
        <v>0</v>
      </c>
      <c r="Q31" s="8"/>
    </row>
    <row r="32" spans="1:17" ht="18" customHeight="1">
      <c r="A32" s="318"/>
      <c r="B32" s="318"/>
      <c r="C32" s="321" t="s">
        <v>194</v>
      </c>
      <c r="D32" s="322"/>
      <c r="E32" s="322"/>
      <c r="F32" s="323">
        <v>0</v>
      </c>
      <c r="G32" s="167">
        <v>74000</v>
      </c>
      <c r="H32" s="162">
        <v>74000</v>
      </c>
      <c r="I32" s="324"/>
      <c r="J32" s="167">
        <v>33940</v>
      </c>
      <c r="K32" s="323">
        <v>250200</v>
      </c>
      <c r="L32" s="323">
        <v>80840</v>
      </c>
      <c r="M32" s="323">
        <v>0</v>
      </c>
      <c r="N32" s="167">
        <v>244780</v>
      </c>
      <c r="O32" s="162">
        <v>609760</v>
      </c>
      <c r="P32" s="163">
        <v>683760</v>
      </c>
      <c r="Q32" s="8"/>
    </row>
    <row r="33" spans="1:17" ht="18" customHeight="1">
      <c r="A33" s="318"/>
      <c r="B33" s="318"/>
      <c r="C33" s="285" t="s">
        <v>247</v>
      </c>
      <c r="D33" s="325"/>
      <c r="E33" s="326"/>
      <c r="F33" s="287">
        <v>0</v>
      </c>
      <c r="G33" s="288">
        <v>0</v>
      </c>
      <c r="H33" s="289">
        <v>0</v>
      </c>
      <c r="I33" s="327"/>
      <c r="J33" s="288">
        <v>0</v>
      </c>
      <c r="K33" s="287">
        <v>0</v>
      </c>
      <c r="L33" s="287">
        <v>0</v>
      </c>
      <c r="M33" s="287">
        <v>0</v>
      </c>
      <c r="N33" s="288">
        <v>0</v>
      </c>
      <c r="O33" s="287">
        <v>0</v>
      </c>
      <c r="P33" s="291">
        <v>0</v>
      </c>
      <c r="Q33" s="8"/>
    </row>
    <row r="34" spans="1:17" ht="18" customHeight="1">
      <c r="A34" s="318"/>
      <c r="B34" s="318"/>
      <c r="C34" s="328"/>
      <c r="D34" s="798" t="s">
        <v>211</v>
      </c>
      <c r="E34" s="799"/>
      <c r="F34" s="329">
        <v>0</v>
      </c>
      <c r="G34" s="330">
        <v>0</v>
      </c>
      <c r="H34" s="331">
        <v>0</v>
      </c>
      <c r="I34" s="320"/>
      <c r="J34" s="330">
        <v>0</v>
      </c>
      <c r="K34" s="329">
        <v>0</v>
      </c>
      <c r="L34" s="329">
        <v>0</v>
      </c>
      <c r="M34" s="329">
        <v>0</v>
      </c>
      <c r="N34" s="330">
        <v>0</v>
      </c>
      <c r="O34" s="332">
        <v>0</v>
      </c>
      <c r="P34" s="333">
        <v>0</v>
      </c>
      <c r="Q34" s="8"/>
    </row>
    <row r="35" spans="1:17" ht="18" customHeight="1">
      <c r="A35" s="318"/>
      <c r="B35" s="318"/>
      <c r="C35" s="292"/>
      <c r="D35" s="307" t="s">
        <v>212</v>
      </c>
      <c r="E35" s="319"/>
      <c r="F35" s="329">
        <v>0</v>
      </c>
      <c r="G35" s="330">
        <v>0</v>
      </c>
      <c r="H35" s="297">
        <v>0</v>
      </c>
      <c r="I35" s="320"/>
      <c r="J35" s="303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07" t="s">
        <v>213</v>
      </c>
      <c r="E36" s="319"/>
      <c r="F36" s="302">
        <v>0</v>
      </c>
      <c r="G36" s="303">
        <v>0</v>
      </c>
      <c r="H36" s="297">
        <v>0</v>
      </c>
      <c r="I36" s="320"/>
      <c r="J36" s="303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214</v>
      </c>
      <c r="E37" s="305"/>
      <c r="F37" s="302">
        <v>0</v>
      </c>
      <c r="G37" s="303">
        <v>0</v>
      </c>
      <c r="H37" s="297">
        <v>0</v>
      </c>
      <c r="I37" s="320"/>
      <c r="J37" s="303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215</v>
      </c>
      <c r="E38" s="305"/>
      <c r="F38" s="302">
        <v>0</v>
      </c>
      <c r="G38" s="303">
        <v>0</v>
      </c>
      <c r="H38" s="297">
        <v>0</v>
      </c>
      <c r="I38" s="320"/>
      <c r="J38" s="303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216</v>
      </c>
      <c r="E39" s="305"/>
      <c r="F39" s="302">
        <v>0</v>
      </c>
      <c r="G39" s="303">
        <v>0</v>
      </c>
      <c r="H39" s="297">
        <v>0</v>
      </c>
      <c r="I39" s="320"/>
      <c r="J39" s="303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334" t="s">
        <v>217</v>
      </c>
      <c r="E40" s="305"/>
      <c r="F40" s="330">
        <v>0</v>
      </c>
      <c r="G40" s="303">
        <v>0</v>
      </c>
      <c r="H40" s="297">
        <v>0</v>
      </c>
      <c r="I40" s="320"/>
      <c r="J40" s="303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334" t="s">
        <v>218</v>
      </c>
      <c r="E41" s="305"/>
      <c r="F41" s="330">
        <v>0</v>
      </c>
      <c r="G41" s="303">
        <v>0</v>
      </c>
      <c r="H41" s="297">
        <v>0</v>
      </c>
      <c r="I41" s="320"/>
      <c r="J41" s="303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219</v>
      </c>
      <c r="E42" s="800"/>
      <c r="F42" s="329">
        <v>0</v>
      </c>
      <c r="G42" s="330">
        <v>0</v>
      </c>
      <c r="H42" s="297">
        <v>0</v>
      </c>
      <c r="I42" s="320"/>
      <c r="J42" s="303">
        <v>0</v>
      </c>
      <c r="K42" s="302">
        <v>0</v>
      </c>
      <c r="L42" s="302">
        <v>0</v>
      </c>
      <c r="M42" s="302">
        <v>0</v>
      </c>
      <c r="N42" s="303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292"/>
      <c r="D43" s="798" t="s">
        <v>220</v>
      </c>
      <c r="E43" s="800"/>
      <c r="F43" s="329">
        <v>0</v>
      </c>
      <c r="G43" s="330">
        <v>0</v>
      </c>
      <c r="H43" s="297">
        <v>0</v>
      </c>
      <c r="I43" s="320"/>
      <c r="J43" s="303">
        <v>0</v>
      </c>
      <c r="K43" s="302">
        <v>0</v>
      </c>
      <c r="L43" s="302">
        <v>0</v>
      </c>
      <c r="M43" s="302">
        <v>0</v>
      </c>
      <c r="N43" s="303">
        <v>0</v>
      </c>
      <c r="O43" s="295">
        <v>0</v>
      </c>
      <c r="P43" s="299">
        <v>0</v>
      </c>
      <c r="Q43" s="8"/>
    </row>
    <row r="44" spans="1:17" ht="18" customHeight="1">
      <c r="A44" s="318"/>
      <c r="B44" s="318"/>
      <c r="C44" s="328"/>
      <c r="D44" s="798" t="s">
        <v>221</v>
      </c>
      <c r="E44" s="799"/>
      <c r="F44" s="329">
        <v>0</v>
      </c>
      <c r="G44" s="330">
        <v>0</v>
      </c>
      <c r="H44" s="331">
        <v>0</v>
      </c>
      <c r="I44" s="320"/>
      <c r="J44" s="330">
        <v>0</v>
      </c>
      <c r="K44" s="329">
        <v>0</v>
      </c>
      <c r="L44" s="329">
        <v>0</v>
      </c>
      <c r="M44" s="329">
        <v>0</v>
      </c>
      <c r="N44" s="330">
        <v>0</v>
      </c>
      <c r="O44" s="332">
        <v>0</v>
      </c>
      <c r="P44" s="333">
        <v>0</v>
      </c>
      <c r="Q44" s="8"/>
    </row>
    <row r="45" spans="1:17" ht="18" customHeight="1">
      <c r="A45" s="318"/>
      <c r="B45" s="318"/>
      <c r="C45" s="335"/>
      <c r="D45" s="798" t="s">
        <v>248</v>
      </c>
      <c r="E45" s="799"/>
      <c r="F45" s="329">
        <v>0</v>
      </c>
      <c r="G45" s="330">
        <v>0</v>
      </c>
      <c r="H45" s="297">
        <v>0</v>
      </c>
      <c r="I45" s="336"/>
      <c r="J45" s="330">
        <v>0</v>
      </c>
      <c r="K45" s="329">
        <v>0</v>
      </c>
      <c r="L45" s="329">
        <v>0</v>
      </c>
      <c r="M45" s="329">
        <v>0</v>
      </c>
      <c r="N45" s="330">
        <v>0</v>
      </c>
      <c r="O45" s="332">
        <v>0</v>
      </c>
      <c r="P45" s="333">
        <v>0</v>
      </c>
      <c r="Q45" s="8"/>
    </row>
    <row r="46" spans="1:17" ht="18" customHeight="1">
      <c r="A46" s="318"/>
      <c r="B46" s="318"/>
      <c r="C46" s="337"/>
      <c r="D46" s="806" t="s">
        <v>249</v>
      </c>
      <c r="E46" s="810"/>
      <c r="F46" s="136">
        <v>0</v>
      </c>
      <c r="G46" s="109">
        <v>0</v>
      </c>
      <c r="H46" s="297">
        <v>0</v>
      </c>
      <c r="I46" s="363"/>
      <c r="J46" s="109">
        <v>0</v>
      </c>
      <c r="K46" s="136">
        <v>0</v>
      </c>
      <c r="L46" s="136">
        <v>0</v>
      </c>
      <c r="M46" s="136">
        <v>0</v>
      </c>
      <c r="N46" s="109">
        <v>0</v>
      </c>
      <c r="O46" s="145">
        <v>0</v>
      </c>
      <c r="P46" s="365">
        <v>0</v>
      </c>
      <c r="Q46" s="8"/>
    </row>
    <row r="47" spans="1:17" ht="18" customHeight="1">
      <c r="A47" s="318"/>
      <c r="B47" s="318"/>
      <c r="C47" s="292" t="s">
        <v>250</v>
      </c>
      <c r="D47" s="294"/>
      <c r="E47" s="294"/>
      <c r="F47" s="288">
        <v>0</v>
      </c>
      <c r="G47" s="288">
        <v>0</v>
      </c>
      <c r="H47" s="289">
        <v>0</v>
      </c>
      <c r="I47" s="327"/>
      <c r="J47" s="288">
        <v>0</v>
      </c>
      <c r="K47" s="287">
        <v>0</v>
      </c>
      <c r="L47" s="287">
        <v>4320156</v>
      </c>
      <c r="M47" s="287">
        <v>0</v>
      </c>
      <c r="N47" s="288">
        <v>0</v>
      </c>
      <c r="O47" s="287">
        <v>4320156</v>
      </c>
      <c r="P47" s="291">
        <v>4320156</v>
      </c>
      <c r="Q47" s="8"/>
    </row>
    <row r="48" spans="1:17" ht="18" customHeight="1">
      <c r="A48" s="318"/>
      <c r="B48" s="318"/>
      <c r="C48" s="292"/>
      <c r="D48" s="342" t="s">
        <v>113</v>
      </c>
      <c r="E48" s="342"/>
      <c r="F48" s="303">
        <v>0</v>
      </c>
      <c r="G48" s="303">
        <v>0</v>
      </c>
      <c r="H48" s="297">
        <v>0</v>
      </c>
      <c r="I48" s="320"/>
      <c r="J48" s="303">
        <v>0</v>
      </c>
      <c r="K48" s="302">
        <v>0</v>
      </c>
      <c r="L48" s="302">
        <v>0</v>
      </c>
      <c r="M48" s="302">
        <v>0</v>
      </c>
      <c r="N48" s="303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2" t="s">
        <v>114</v>
      </c>
      <c r="E49" s="342"/>
      <c r="F49" s="302">
        <v>0</v>
      </c>
      <c r="G49" s="303">
        <v>0</v>
      </c>
      <c r="H49" s="297">
        <v>0</v>
      </c>
      <c r="I49" s="320"/>
      <c r="J49" s="303">
        <v>0</v>
      </c>
      <c r="K49" s="302">
        <v>0</v>
      </c>
      <c r="L49" s="302">
        <v>4320156</v>
      </c>
      <c r="M49" s="302">
        <v>0</v>
      </c>
      <c r="N49" s="303">
        <v>0</v>
      </c>
      <c r="O49" s="295">
        <v>4320156</v>
      </c>
      <c r="P49" s="299">
        <v>4320156</v>
      </c>
      <c r="Q49" s="8"/>
    </row>
    <row r="50" spans="1:17" ht="18" customHeight="1">
      <c r="A50" s="318"/>
      <c r="B50" s="318"/>
      <c r="C50" s="292"/>
      <c r="D50" s="343" t="s">
        <v>176</v>
      </c>
      <c r="E50" s="343"/>
      <c r="F50" s="329">
        <v>0</v>
      </c>
      <c r="G50" s="330">
        <v>0</v>
      </c>
      <c r="H50" s="297">
        <v>0</v>
      </c>
      <c r="I50" s="320"/>
      <c r="J50" s="330">
        <v>0</v>
      </c>
      <c r="K50" s="329">
        <v>0</v>
      </c>
      <c r="L50" s="329">
        <v>0</v>
      </c>
      <c r="M50" s="329">
        <v>0</v>
      </c>
      <c r="N50" s="330">
        <v>0</v>
      </c>
      <c r="O50" s="295">
        <v>0</v>
      </c>
      <c r="P50" s="299">
        <v>0</v>
      </c>
      <c r="Q50" s="8"/>
    </row>
    <row r="51" spans="1:17" ht="18" customHeight="1">
      <c r="A51" s="318"/>
      <c r="B51" s="318"/>
      <c r="C51" s="292"/>
      <c r="D51" s="344" t="s">
        <v>251</v>
      </c>
      <c r="E51" s="344"/>
      <c r="F51" s="338">
        <v>0</v>
      </c>
      <c r="G51" s="339">
        <v>0</v>
      </c>
      <c r="H51" s="345">
        <v>0</v>
      </c>
      <c r="I51" s="320"/>
      <c r="J51" s="339">
        <v>0</v>
      </c>
      <c r="K51" s="338">
        <v>0</v>
      </c>
      <c r="L51" s="338">
        <v>0</v>
      </c>
      <c r="M51" s="338">
        <v>0</v>
      </c>
      <c r="N51" s="339">
        <v>0</v>
      </c>
      <c r="O51" s="340">
        <v>0</v>
      </c>
      <c r="P51" s="341">
        <v>0</v>
      </c>
      <c r="Q51" s="8"/>
    </row>
    <row r="52" spans="1:17" ht="18" customHeight="1">
      <c r="A52" s="318"/>
      <c r="B52" s="318"/>
      <c r="C52" s="801" t="s">
        <v>252</v>
      </c>
      <c r="D52" s="802"/>
      <c r="E52" s="803"/>
      <c r="F52" s="346">
        <v>0</v>
      </c>
      <c r="G52" s="346">
        <v>658307</v>
      </c>
      <c r="H52" s="178">
        <v>658307</v>
      </c>
      <c r="I52" s="347"/>
      <c r="J52" s="346">
        <v>77194</v>
      </c>
      <c r="K52" s="346">
        <v>1150461</v>
      </c>
      <c r="L52" s="346">
        <v>4764002</v>
      </c>
      <c r="M52" s="346">
        <v>0</v>
      </c>
      <c r="N52" s="346">
        <v>3452020</v>
      </c>
      <c r="O52" s="346">
        <v>9443677</v>
      </c>
      <c r="P52" s="171">
        <v>10101984</v>
      </c>
      <c r="Q52" s="8"/>
    </row>
    <row r="53" spans="1:17" ht="12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8"/>
    </row>
  </sheetData>
  <mergeCells count="10">
    <mergeCell ref="D44:E44"/>
    <mergeCell ref="D42:E42"/>
    <mergeCell ref="C52:E52"/>
    <mergeCell ref="D46:E46"/>
    <mergeCell ref="D45:E45"/>
    <mergeCell ref="A3:Q3"/>
    <mergeCell ref="A4:Q4"/>
    <mergeCell ref="C10:E10"/>
    <mergeCell ref="D34:E34"/>
    <mergeCell ref="D43:E43"/>
  </mergeCells>
  <phoneticPr fontId="35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53"/>
  <sheetViews>
    <sheetView showGridLines="0" workbookViewId="0"/>
  </sheetViews>
  <sheetFormatPr defaultColWidth="9" defaultRowHeight="0" customHeight="1" zero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262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263</v>
      </c>
    </row>
    <row r="8" spans="1:17" ht="18" customHeight="1">
      <c r="C8" s="84" t="s">
        <v>238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/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0</v>
      </c>
      <c r="G11" s="288">
        <v>0</v>
      </c>
      <c r="H11" s="289">
        <v>0</v>
      </c>
      <c r="I11" s="290"/>
      <c r="J11" s="288">
        <v>0</v>
      </c>
      <c r="K11" s="288">
        <v>0</v>
      </c>
      <c r="L11" s="287">
        <v>0</v>
      </c>
      <c r="M11" s="288">
        <v>0</v>
      </c>
      <c r="N11" s="288">
        <v>0</v>
      </c>
      <c r="O11" s="287">
        <v>0</v>
      </c>
      <c r="P11" s="291">
        <v>0</v>
      </c>
    </row>
    <row r="12" spans="1:17" ht="18" customHeight="1">
      <c r="C12" s="292"/>
      <c r="D12" s="293" t="s">
        <v>241</v>
      </c>
      <c r="E12" s="294"/>
      <c r="F12" s="295">
        <v>0</v>
      </c>
      <c r="G12" s="296">
        <v>0</v>
      </c>
      <c r="H12" s="297">
        <v>0</v>
      </c>
      <c r="I12" s="298"/>
      <c r="J12" s="296">
        <v>0</v>
      </c>
      <c r="K12" s="295">
        <v>0</v>
      </c>
      <c r="L12" s="295">
        <v>0</v>
      </c>
      <c r="M12" s="295">
        <v>0</v>
      </c>
      <c r="N12" s="296">
        <v>0</v>
      </c>
      <c r="O12" s="295">
        <v>0</v>
      </c>
      <c r="P12" s="299">
        <v>0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0</v>
      </c>
      <c r="K13" s="302">
        <v>0</v>
      </c>
      <c r="L13" s="302">
        <v>0</v>
      </c>
      <c r="M13" s="302">
        <v>0</v>
      </c>
      <c r="N13" s="303">
        <v>0</v>
      </c>
      <c r="O13" s="295">
        <v>0</v>
      </c>
      <c r="P13" s="299">
        <v>0</v>
      </c>
    </row>
    <row r="14" spans="1:17" ht="18" customHeight="1">
      <c r="C14" s="292"/>
      <c r="D14" s="300"/>
      <c r="E14" s="301" t="s">
        <v>181</v>
      </c>
      <c r="F14" s="302">
        <v>0</v>
      </c>
      <c r="G14" s="303">
        <v>0</v>
      </c>
      <c r="H14" s="297">
        <v>0</v>
      </c>
      <c r="I14" s="304"/>
      <c r="J14" s="303">
        <v>0</v>
      </c>
      <c r="K14" s="302">
        <v>0</v>
      </c>
      <c r="L14" s="302">
        <v>0</v>
      </c>
      <c r="M14" s="302">
        <v>0</v>
      </c>
      <c r="N14" s="303">
        <v>0</v>
      </c>
      <c r="O14" s="295">
        <v>0</v>
      </c>
      <c r="P14" s="299">
        <v>0</v>
      </c>
    </row>
    <row r="15" spans="1:17" ht="18" customHeight="1">
      <c r="C15" s="292"/>
      <c r="D15" s="300"/>
      <c r="E15" s="301" t="s">
        <v>182</v>
      </c>
      <c r="F15" s="302">
        <v>0</v>
      </c>
      <c r="G15" s="303">
        <v>0</v>
      </c>
      <c r="H15" s="297">
        <v>0</v>
      </c>
      <c r="I15" s="304"/>
      <c r="J15" s="303">
        <v>0</v>
      </c>
      <c r="K15" s="302">
        <v>0</v>
      </c>
      <c r="L15" s="302">
        <v>0</v>
      </c>
      <c r="M15" s="302">
        <v>0</v>
      </c>
      <c r="N15" s="303">
        <v>0</v>
      </c>
      <c r="O15" s="295">
        <v>0</v>
      </c>
      <c r="P15" s="299">
        <v>0</v>
      </c>
    </row>
    <row r="16" spans="1:17" ht="18" customHeight="1">
      <c r="C16" s="292"/>
      <c r="D16" s="300"/>
      <c r="E16" s="301" t="s">
        <v>183</v>
      </c>
      <c r="F16" s="302">
        <v>0</v>
      </c>
      <c r="G16" s="303">
        <v>0</v>
      </c>
      <c r="H16" s="297">
        <v>0</v>
      </c>
      <c r="I16" s="304"/>
      <c r="J16" s="303">
        <v>0</v>
      </c>
      <c r="K16" s="302">
        <v>0</v>
      </c>
      <c r="L16" s="302">
        <v>0</v>
      </c>
      <c r="M16" s="302">
        <v>0</v>
      </c>
      <c r="N16" s="303">
        <v>0</v>
      </c>
      <c r="O16" s="295">
        <v>0</v>
      </c>
      <c r="P16" s="299">
        <v>0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0</v>
      </c>
      <c r="K17" s="302">
        <v>0</v>
      </c>
      <c r="L17" s="302">
        <v>0</v>
      </c>
      <c r="M17" s="302">
        <v>0</v>
      </c>
      <c r="N17" s="303">
        <v>0</v>
      </c>
      <c r="O17" s="295">
        <v>0</v>
      </c>
      <c r="P17" s="299">
        <v>0</v>
      </c>
    </row>
    <row r="18" spans="1:17" ht="18" customHeight="1">
      <c r="C18" s="292"/>
      <c r="D18" s="293" t="s">
        <v>242</v>
      </c>
      <c r="E18" s="305"/>
      <c r="F18" s="295">
        <v>0</v>
      </c>
      <c r="G18" s="296">
        <v>0</v>
      </c>
      <c r="H18" s="297">
        <v>0</v>
      </c>
      <c r="I18" s="298"/>
      <c r="J18" s="296">
        <v>0</v>
      </c>
      <c r="K18" s="295">
        <v>0</v>
      </c>
      <c r="L18" s="295">
        <v>0</v>
      </c>
      <c r="M18" s="295">
        <v>0</v>
      </c>
      <c r="N18" s="296">
        <v>0</v>
      </c>
      <c r="O18" s="295">
        <v>0</v>
      </c>
      <c r="P18" s="299">
        <v>0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0</v>
      </c>
      <c r="K19" s="302">
        <v>0</v>
      </c>
      <c r="L19" s="302">
        <v>0</v>
      </c>
      <c r="M19" s="302">
        <v>0</v>
      </c>
      <c r="N19" s="303">
        <v>0</v>
      </c>
      <c r="O19" s="295">
        <v>0</v>
      </c>
      <c r="P19" s="299">
        <v>0</v>
      </c>
    </row>
    <row r="20" spans="1:17" ht="18" customHeight="1">
      <c r="C20" s="292"/>
      <c r="D20" s="300"/>
      <c r="E20" s="306" t="s">
        <v>186</v>
      </c>
      <c r="F20" s="302">
        <v>0</v>
      </c>
      <c r="G20" s="303">
        <v>0</v>
      </c>
      <c r="H20" s="297">
        <v>0</v>
      </c>
      <c r="I20" s="304"/>
      <c r="J20" s="303">
        <v>0</v>
      </c>
      <c r="K20" s="302">
        <v>0</v>
      </c>
      <c r="L20" s="302">
        <v>0</v>
      </c>
      <c r="M20" s="302">
        <v>0</v>
      </c>
      <c r="N20" s="303">
        <v>0</v>
      </c>
      <c r="O20" s="295">
        <v>0</v>
      </c>
      <c r="P20" s="299">
        <v>0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0</v>
      </c>
      <c r="H21" s="297">
        <v>0</v>
      </c>
      <c r="I21" s="298"/>
      <c r="J21" s="296">
        <v>0</v>
      </c>
      <c r="K21" s="295">
        <v>0</v>
      </c>
      <c r="L21" s="295">
        <v>0</v>
      </c>
      <c r="M21" s="295">
        <v>0</v>
      </c>
      <c r="N21" s="296">
        <v>0</v>
      </c>
      <c r="O21" s="295">
        <v>0</v>
      </c>
      <c r="P21" s="299">
        <v>0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0</v>
      </c>
      <c r="H22" s="297">
        <v>0</v>
      </c>
      <c r="I22" s="304"/>
      <c r="J22" s="303">
        <v>0</v>
      </c>
      <c r="K22" s="302">
        <v>0</v>
      </c>
      <c r="L22" s="302">
        <v>0</v>
      </c>
      <c r="M22" s="302">
        <v>0</v>
      </c>
      <c r="N22" s="303">
        <v>0</v>
      </c>
      <c r="O22" s="295">
        <v>0</v>
      </c>
      <c r="P22" s="299">
        <v>0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0</v>
      </c>
      <c r="H23" s="297">
        <v>0</v>
      </c>
      <c r="I23" s="304"/>
      <c r="J23" s="303">
        <v>0</v>
      </c>
      <c r="K23" s="302">
        <v>0</v>
      </c>
      <c r="L23" s="302">
        <v>0</v>
      </c>
      <c r="M23" s="302">
        <v>0</v>
      </c>
      <c r="N23" s="303">
        <v>0</v>
      </c>
      <c r="O23" s="295">
        <v>0</v>
      </c>
      <c r="P23" s="299">
        <v>0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0</v>
      </c>
      <c r="G26" s="296">
        <v>0</v>
      </c>
      <c r="H26" s="297">
        <v>0</v>
      </c>
      <c r="I26" s="298"/>
      <c r="J26" s="296">
        <v>0</v>
      </c>
      <c r="K26" s="295">
        <v>0</v>
      </c>
      <c r="L26" s="295">
        <v>0</v>
      </c>
      <c r="M26" s="295">
        <v>0</v>
      </c>
      <c r="N26" s="296">
        <v>0</v>
      </c>
      <c r="O26" s="295">
        <v>0</v>
      </c>
      <c r="P26" s="299">
        <v>0</v>
      </c>
    </row>
    <row r="27" spans="1:17" ht="18" customHeight="1">
      <c r="C27" s="292"/>
      <c r="D27" s="300"/>
      <c r="E27" s="308" t="s">
        <v>191</v>
      </c>
      <c r="F27" s="309">
        <v>0</v>
      </c>
      <c r="G27" s="310">
        <v>0</v>
      </c>
      <c r="H27" s="297">
        <v>0</v>
      </c>
      <c r="I27" s="304"/>
      <c r="J27" s="310">
        <v>0</v>
      </c>
      <c r="K27" s="309">
        <v>0</v>
      </c>
      <c r="L27" s="309">
        <v>0</v>
      </c>
      <c r="M27" s="309">
        <v>0</v>
      </c>
      <c r="N27" s="310">
        <v>0</v>
      </c>
      <c r="O27" s="295">
        <v>0</v>
      </c>
      <c r="P27" s="299">
        <v>0</v>
      </c>
    </row>
    <row r="28" spans="1:17" ht="18" customHeight="1">
      <c r="C28" s="292"/>
      <c r="D28" s="311"/>
      <c r="E28" s="306" t="s">
        <v>245</v>
      </c>
      <c r="F28" s="312">
        <v>0</v>
      </c>
      <c r="G28" s="313">
        <v>0</v>
      </c>
      <c r="H28" s="297">
        <v>0</v>
      </c>
      <c r="I28" s="314"/>
      <c r="J28" s="313">
        <v>0</v>
      </c>
      <c r="K28" s="312">
        <v>0</v>
      </c>
      <c r="L28" s="312">
        <v>0</v>
      </c>
      <c r="M28" s="312">
        <v>0</v>
      </c>
      <c r="N28" s="313">
        <v>0</v>
      </c>
      <c r="O28" s="295">
        <v>0</v>
      </c>
      <c r="P28" s="299">
        <v>0</v>
      </c>
    </row>
    <row r="29" spans="1:17" ht="18" customHeight="1">
      <c r="C29" s="292"/>
      <c r="D29" s="315"/>
      <c r="E29" s="301" t="s">
        <v>246</v>
      </c>
      <c r="F29" s="316">
        <v>0</v>
      </c>
      <c r="G29" s="317">
        <v>0</v>
      </c>
      <c r="H29" s="297">
        <v>0</v>
      </c>
      <c r="I29" s="314"/>
      <c r="J29" s="317">
        <v>0</v>
      </c>
      <c r="K29" s="316">
        <v>0</v>
      </c>
      <c r="L29" s="316">
        <v>0</v>
      </c>
      <c r="M29" s="316">
        <v>0</v>
      </c>
      <c r="N29" s="317">
        <v>0</v>
      </c>
      <c r="O29" s="295">
        <v>0</v>
      </c>
      <c r="P29" s="299">
        <v>0</v>
      </c>
    </row>
    <row r="30" spans="1:17" ht="18" customHeight="1">
      <c r="A30" s="318"/>
      <c r="B30" s="318"/>
      <c r="C30" s="292"/>
      <c r="D30" s="307" t="s">
        <v>192</v>
      </c>
      <c r="E30" s="319"/>
      <c r="F30" s="302">
        <v>0</v>
      </c>
      <c r="G30" s="303">
        <v>0</v>
      </c>
      <c r="H30" s="297">
        <v>0</v>
      </c>
      <c r="I30" s="320"/>
      <c r="J30" s="303">
        <v>0</v>
      </c>
      <c r="K30" s="302">
        <v>0</v>
      </c>
      <c r="L30" s="302">
        <v>0</v>
      </c>
      <c r="M30" s="302">
        <v>0</v>
      </c>
      <c r="N30" s="303">
        <v>0</v>
      </c>
      <c r="O30" s="295">
        <v>0</v>
      </c>
      <c r="P30" s="299">
        <v>0</v>
      </c>
      <c r="Q30" s="8"/>
    </row>
    <row r="31" spans="1:17" ht="18" customHeight="1">
      <c r="A31" s="318"/>
      <c r="B31" s="318"/>
      <c r="C31" s="292"/>
      <c r="D31" s="300" t="s">
        <v>193</v>
      </c>
      <c r="E31" s="319"/>
      <c r="F31" s="302">
        <v>0</v>
      </c>
      <c r="G31" s="303">
        <v>0</v>
      </c>
      <c r="H31" s="297">
        <v>0</v>
      </c>
      <c r="I31" s="320"/>
      <c r="J31" s="303">
        <v>0</v>
      </c>
      <c r="K31" s="302">
        <v>0</v>
      </c>
      <c r="L31" s="302">
        <v>0</v>
      </c>
      <c r="M31" s="302">
        <v>0</v>
      </c>
      <c r="N31" s="303">
        <v>0</v>
      </c>
      <c r="O31" s="295">
        <v>0</v>
      </c>
      <c r="P31" s="299">
        <v>0</v>
      </c>
      <c r="Q31" s="8"/>
    </row>
    <row r="32" spans="1:17" ht="18" customHeight="1">
      <c r="A32" s="318"/>
      <c r="B32" s="318"/>
      <c r="C32" s="321" t="s">
        <v>194</v>
      </c>
      <c r="D32" s="322"/>
      <c r="E32" s="322"/>
      <c r="F32" s="323">
        <v>0</v>
      </c>
      <c r="G32" s="167">
        <v>0</v>
      </c>
      <c r="H32" s="162">
        <v>0</v>
      </c>
      <c r="I32" s="324"/>
      <c r="J32" s="167">
        <v>0</v>
      </c>
      <c r="K32" s="323">
        <v>0</v>
      </c>
      <c r="L32" s="323">
        <v>0</v>
      </c>
      <c r="M32" s="323">
        <v>0</v>
      </c>
      <c r="N32" s="167">
        <v>0</v>
      </c>
      <c r="O32" s="162">
        <v>0</v>
      </c>
      <c r="P32" s="163">
        <v>0</v>
      </c>
      <c r="Q32" s="8"/>
    </row>
    <row r="33" spans="1:17" ht="18" customHeight="1">
      <c r="A33" s="318"/>
      <c r="B33" s="318"/>
      <c r="C33" s="285" t="s">
        <v>247</v>
      </c>
      <c r="D33" s="325"/>
      <c r="E33" s="326"/>
      <c r="F33" s="287">
        <v>0</v>
      </c>
      <c r="G33" s="288">
        <v>0</v>
      </c>
      <c r="H33" s="289">
        <v>0</v>
      </c>
      <c r="I33" s="327"/>
      <c r="J33" s="288">
        <v>0</v>
      </c>
      <c r="K33" s="287">
        <v>0</v>
      </c>
      <c r="L33" s="287">
        <v>0</v>
      </c>
      <c r="M33" s="287">
        <v>0</v>
      </c>
      <c r="N33" s="288">
        <v>0</v>
      </c>
      <c r="O33" s="287">
        <v>0</v>
      </c>
      <c r="P33" s="291">
        <v>0</v>
      </c>
      <c r="Q33" s="8"/>
    </row>
    <row r="34" spans="1:17" ht="18" customHeight="1">
      <c r="A34" s="318"/>
      <c r="B34" s="318"/>
      <c r="C34" s="328"/>
      <c r="D34" s="798" t="s">
        <v>211</v>
      </c>
      <c r="E34" s="799"/>
      <c r="F34" s="329">
        <v>0</v>
      </c>
      <c r="G34" s="330">
        <v>0</v>
      </c>
      <c r="H34" s="331">
        <v>0</v>
      </c>
      <c r="I34" s="320"/>
      <c r="J34" s="330">
        <v>0</v>
      </c>
      <c r="K34" s="329">
        <v>0</v>
      </c>
      <c r="L34" s="329">
        <v>0</v>
      </c>
      <c r="M34" s="329">
        <v>0</v>
      </c>
      <c r="N34" s="330">
        <v>0</v>
      </c>
      <c r="O34" s="332">
        <v>0</v>
      </c>
      <c r="P34" s="333">
        <v>0</v>
      </c>
      <c r="Q34" s="8"/>
    </row>
    <row r="35" spans="1:17" ht="18" customHeight="1">
      <c r="A35" s="318"/>
      <c r="B35" s="318"/>
      <c r="C35" s="292"/>
      <c r="D35" s="307" t="s">
        <v>212</v>
      </c>
      <c r="E35" s="319"/>
      <c r="F35" s="329">
        <v>0</v>
      </c>
      <c r="G35" s="330">
        <v>0</v>
      </c>
      <c r="H35" s="297">
        <v>0</v>
      </c>
      <c r="I35" s="320"/>
      <c r="J35" s="303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07" t="s">
        <v>213</v>
      </c>
      <c r="E36" s="319"/>
      <c r="F36" s="302">
        <v>0</v>
      </c>
      <c r="G36" s="303">
        <v>0</v>
      </c>
      <c r="H36" s="297">
        <v>0</v>
      </c>
      <c r="I36" s="320"/>
      <c r="J36" s="303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214</v>
      </c>
      <c r="E37" s="305"/>
      <c r="F37" s="302">
        <v>0</v>
      </c>
      <c r="G37" s="303">
        <v>0</v>
      </c>
      <c r="H37" s="297">
        <v>0</v>
      </c>
      <c r="I37" s="320"/>
      <c r="J37" s="303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215</v>
      </c>
      <c r="E38" s="305"/>
      <c r="F38" s="302">
        <v>0</v>
      </c>
      <c r="G38" s="303">
        <v>0</v>
      </c>
      <c r="H38" s="297">
        <v>0</v>
      </c>
      <c r="I38" s="320"/>
      <c r="J38" s="303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216</v>
      </c>
      <c r="E39" s="305"/>
      <c r="F39" s="302">
        <v>0</v>
      </c>
      <c r="G39" s="303">
        <v>0</v>
      </c>
      <c r="H39" s="297">
        <v>0</v>
      </c>
      <c r="I39" s="320"/>
      <c r="J39" s="303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334" t="s">
        <v>217</v>
      </c>
      <c r="E40" s="305"/>
      <c r="F40" s="330">
        <v>0</v>
      </c>
      <c r="G40" s="303">
        <v>0</v>
      </c>
      <c r="H40" s="297">
        <v>0</v>
      </c>
      <c r="I40" s="320"/>
      <c r="J40" s="303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334" t="s">
        <v>218</v>
      </c>
      <c r="E41" s="305"/>
      <c r="F41" s="330">
        <v>0</v>
      </c>
      <c r="G41" s="303">
        <v>0</v>
      </c>
      <c r="H41" s="297">
        <v>0</v>
      </c>
      <c r="I41" s="320"/>
      <c r="J41" s="303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219</v>
      </c>
      <c r="E42" s="800"/>
      <c r="F42" s="329">
        <v>0</v>
      </c>
      <c r="G42" s="330">
        <v>0</v>
      </c>
      <c r="H42" s="297">
        <v>0</v>
      </c>
      <c r="I42" s="320"/>
      <c r="J42" s="303">
        <v>0</v>
      </c>
      <c r="K42" s="302">
        <v>0</v>
      </c>
      <c r="L42" s="302">
        <v>0</v>
      </c>
      <c r="M42" s="302">
        <v>0</v>
      </c>
      <c r="N42" s="303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292"/>
      <c r="D43" s="798" t="s">
        <v>220</v>
      </c>
      <c r="E43" s="800"/>
      <c r="F43" s="329">
        <v>0</v>
      </c>
      <c r="G43" s="330">
        <v>0</v>
      </c>
      <c r="H43" s="297">
        <v>0</v>
      </c>
      <c r="I43" s="320"/>
      <c r="J43" s="303">
        <v>0</v>
      </c>
      <c r="K43" s="302">
        <v>0</v>
      </c>
      <c r="L43" s="302">
        <v>0</v>
      </c>
      <c r="M43" s="302">
        <v>0</v>
      </c>
      <c r="N43" s="303">
        <v>0</v>
      </c>
      <c r="O43" s="295">
        <v>0</v>
      </c>
      <c r="P43" s="299">
        <v>0</v>
      </c>
      <c r="Q43" s="8"/>
    </row>
    <row r="44" spans="1:17" ht="18" customHeight="1">
      <c r="A44" s="318"/>
      <c r="B44" s="318"/>
      <c r="C44" s="328"/>
      <c r="D44" s="798" t="s">
        <v>221</v>
      </c>
      <c r="E44" s="799"/>
      <c r="F44" s="329">
        <v>0</v>
      </c>
      <c r="G44" s="330">
        <v>0</v>
      </c>
      <c r="H44" s="331">
        <v>0</v>
      </c>
      <c r="I44" s="320"/>
      <c r="J44" s="330">
        <v>0</v>
      </c>
      <c r="K44" s="329">
        <v>0</v>
      </c>
      <c r="L44" s="329">
        <v>0</v>
      </c>
      <c r="M44" s="329">
        <v>0</v>
      </c>
      <c r="N44" s="330">
        <v>0</v>
      </c>
      <c r="O44" s="332">
        <v>0</v>
      </c>
      <c r="P44" s="333">
        <v>0</v>
      </c>
      <c r="Q44" s="8"/>
    </row>
    <row r="45" spans="1:17" ht="18" customHeight="1">
      <c r="A45" s="318"/>
      <c r="B45" s="318"/>
      <c r="C45" s="335"/>
      <c r="D45" s="798" t="s">
        <v>248</v>
      </c>
      <c r="E45" s="799"/>
      <c r="F45" s="329">
        <v>0</v>
      </c>
      <c r="G45" s="330">
        <v>0</v>
      </c>
      <c r="H45" s="297">
        <v>0</v>
      </c>
      <c r="I45" s="336"/>
      <c r="J45" s="330">
        <v>0</v>
      </c>
      <c r="K45" s="329">
        <v>0</v>
      </c>
      <c r="L45" s="329">
        <v>0</v>
      </c>
      <c r="M45" s="329">
        <v>0</v>
      </c>
      <c r="N45" s="330">
        <v>0</v>
      </c>
      <c r="O45" s="332">
        <v>0</v>
      </c>
      <c r="P45" s="333">
        <v>0</v>
      </c>
      <c r="Q45" s="8"/>
    </row>
    <row r="46" spans="1:17" ht="18" customHeight="1">
      <c r="A46" s="318"/>
      <c r="B46" s="318"/>
      <c r="C46" s="337"/>
      <c r="D46" s="806" t="s">
        <v>249</v>
      </c>
      <c r="E46" s="810"/>
      <c r="F46" s="136">
        <v>0</v>
      </c>
      <c r="G46" s="109">
        <v>0</v>
      </c>
      <c r="H46" s="297">
        <v>0</v>
      </c>
      <c r="I46" s="363"/>
      <c r="J46" s="109">
        <v>0</v>
      </c>
      <c r="K46" s="136">
        <v>0</v>
      </c>
      <c r="L46" s="136">
        <v>0</v>
      </c>
      <c r="M46" s="136">
        <v>0</v>
      </c>
      <c r="N46" s="109">
        <v>0</v>
      </c>
      <c r="O46" s="145">
        <v>0</v>
      </c>
      <c r="P46" s="365">
        <v>0</v>
      </c>
      <c r="Q46" s="8"/>
    </row>
    <row r="47" spans="1:17" ht="18" customHeight="1">
      <c r="A47" s="318"/>
      <c r="B47" s="318"/>
      <c r="C47" s="292" t="s">
        <v>250</v>
      </c>
      <c r="D47" s="294"/>
      <c r="E47" s="294"/>
      <c r="F47" s="288">
        <v>0</v>
      </c>
      <c r="G47" s="288">
        <v>0</v>
      </c>
      <c r="H47" s="289">
        <v>0</v>
      </c>
      <c r="I47" s="327"/>
      <c r="J47" s="288">
        <v>0</v>
      </c>
      <c r="K47" s="287">
        <v>0</v>
      </c>
      <c r="L47" s="287">
        <v>0</v>
      </c>
      <c r="M47" s="287">
        <v>0</v>
      </c>
      <c r="N47" s="288">
        <v>0</v>
      </c>
      <c r="O47" s="287">
        <v>0</v>
      </c>
      <c r="P47" s="291">
        <v>0</v>
      </c>
      <c r="Q47" s="8"/>
    </row>
    <row r="48" spans="1:17" ht="18" customHeight="1">
      <c r="A48" s="318"/>
      <c r="B48" s="318"/>
      <c r="C48" s="292"/>
      <c r="D48" s="342" t="s">
        <v>113</v>
      </c>
      <c r="E48" s="342"/>
      <c r="F48" s="303">
        <v>0</v>
      </c>
      <c r="G48" s="303">
        <v>0</v>
      </c>
      <c r="H48" s="297">
        <v>0</v>
      </c>
      <c r="I48" s="320"/>
      <c r="J48" s="303">
        <v>0</v>
      </c>
      <c r="K48" s="302">
        <v>0</v>
      </c>
      <c r="L48" s="302">
        <v>0</v>
      </c>
      <c r="M48" s="302">
        <v>0</v>
      </c>
      <c r="N48" s="303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2" t="s">
        <v>114</v>
      </c>
      <c r="E49" s="342"/>
      <c r="F49" s="302">
        <v>0</v>
      </c>
      <c r="G49" s="303">
        <v>0</v>
      </c>
      <c r="H49" s="297">
        <v>0</v>
      </c>
      <c r="I49" s="320"/>
      <c r="J49" s="303">
        <v>0</v>
      </c>
      <c r="K49" s="302">
        <v>0</v>
      </c>
      <c r="L49" s="302">
        <v>0</v>
      </c>
      <c r="M49" s="302">
        <v>0</v>
      </c>
      <c r="N49" s="303">
        <v>0</v>
      </c>
      <c r="O49" s="295">
        <v>0</v>
      </c>
      <c r="P49" s="299">
        <v>0</v>
      </c>
      <c r="Q49" s="8"/>
    </row>
    <row r="50" spans="1:17" ht="18" customHeight="1">
      <c r="A50" s="318"/>
      <c r="B50" s="318"/>
      <c r="C50" s="292"/>
      <c r="D50" s="343" t="s">
        <v>176</v>
      </c>
      <c r="E50" s="343"/>
      <c r="F50" s="329">
        <v>0</v>
      </c>
      <c r="G50" s="330">
        <v>0</v>
      </c>
      <c r="H50" s="297">
        <v>0</v>
      </c>
      <c r="I50" s="320"/>
      <c r="J50" s="330">
        <v>0</v>
      </c>
      <c r="K50" s="329">
        <v>0</v>
      </c>
      <c r="L50" s="329">
        <v>0</v>
      </c>
      <c r="M50" s="329">
        <v>0</v>
      </c>
      <c r="N50" s="330">
        <v>0</v>
      </c>
      <c r="O50" s="295">
        <v>0</v>
      </c>
      <c r="P50" s="299">
        <v>0</v>
      </c>
      <c r="Q50" s="8"/>
    </row>
    <row r="51" spans="1:17" ht="18" customHeight="1">
      <c r="A51" s="318"/>
      <c r="B51" s="318"/>
      <c r="C51" s="292"/>
      <c r="D51" s="344" t="s">
        <v>251</v>
      </c>
      <c r="E51" s="344"/>
      <c r="F51" s="338">
        <v>0</v>
      </c>
      <c r="G51" s="339">
        <v>0</v>
      </c>
      <c r="H51" s="345">
        <v>0</v>
      </c>
      <c r="I51" s="320"/>
      <c r="J51" s="339">
        <v>0</v>
      </c>
      <c r="K51" s="338">
        <v>0</v>
      </c>
      <c r="L51" s="338">
        <v>0</v>
      </c>
      <c r="M51" s="338">
        <v>0</v>
      </c>
      <c r="N51" s="339">
        <v>0</v>
      </c>
      <c r="O51" s="340">
        <v>0</v>
      </c>
      <c r="P51" s="341">
        <v>0</v>
      </c>
      <c r="Q51" s="8"/>
    </row>
    <row r="52" spans="1:17" ht="18" customHeight="1">
      <c r="A52" s="318"/>
      <c r="B52" s="318"/>
      <c r="C52" s="801" t="s">
        <v>252</v>
      </c>
      <c r="D52" s="802"/>
      <c r="E52" s="803"/>
      <c r="F52" s="346">
        <v>0</v>
      </c>
      <c r="G52" s="346">
        <v>0</v>
      </c>
      <c r="H52" s="178">
        <v>0</v>
      </c>
      <c r="I52" s="347"/>
      <c r="J52" s="346">
        <v>0</v>
      </c>
      <c r="K52" s="346">
        <v>0</v>
      </c>
      <c r="L52" s="346">
        <v>0</v>
      </c>
      <c r="M52" s="346">
        <v>0</v>
      </c>
      <c r="N52" s="346">
        <v>0</v>
      </c>
      <c r="O52" s="346">
        <v>0</v>
      </c>
      <c r="P52" s="171">
        <v>0</v>
      </c>
      <c r="Q52" s="8"/>
    </row>
    <row r="53" spans="1:17" ht="12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8"/>
    </row>
  </sheetData>
  <mergeCells count="10">
    <mergeCell ref="D44:E44"/>
    <mergeCell ref="D42:E42"/>
    <mergeCell ref="C52:E52"/>
    <mergeCell ref="D46:E46"/>
    <mergeCell ref="D45:E45"/>
    <mergeCell ref="A3:Q3"/>
    <mergeCell ref="A4:Q4"/>
    <mergeCell ref="C10:E10"/>
    <mergeCell ref="D34:E34"/>
    <mergeCell ref="D43:E43"/>
  </mergeCells>
  <phoneticPr fontId="35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51"/>
  <sheetViews>
    <sheetView showGridLines="0" workbookViewId="0"/>
  </sheetViews>
  <sheetFormatPr defaultColWidth="9" defaultRowHeight="0" customHeight="1" zero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262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263</v>
      </c>
    </row>
    <row r="8" spans="1:17" ht="18" customHeight="1">
      <c r="C8" s="84" t="s">
        <v>253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/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0</v>
      </c>
      <c r="G11" s="287">
        <v>0</v>
      </c>
      <c r="H11" s="289">
        <v>0</v>
      </c>
      <c r="I11" s="290"/>
      <c r="J11" s="287">
        <v>0</v>
      </c>
      <c r="K11" s="287">
        <v>0</v>
      </c>
      <c r="L11" s="287">
        <v>0</v>
      </c>
      <c r="M11" s="287">
        <v>0</v>
      </c>
      <c r="N11" s="287">
        <v>0</v>
      </c>
      <c r="O11" s="287">
        <v>0</v>
      </c>
      <c r="P11" s="291">
        <v>0</v>
      </c>
    </row>
    <row r="12" spans="1:17" ht="18" customHeight="1">
      <c r="C12" s="292"/>
      <c r="D12" s="293" t="s">
        <v>241</v>
      </c>
      <c r="E12" s="294"/>
      <c r="F12" s="295">
        <v>0</v>
      </c>
      <c r="G12" s="296">
        <v>0</v>
      </c>
      <c r="H12" s="297">
        <v>0</v>
      </c>
      <c r="I12" s="298"/>
      <c r="J12" s="296">
        <v>0</v>
      </c>
      <c r="K12" s="295">
        <v>0</v>
      </c>
      <c r="L12" s="295">
        <v>0</v>
      </c>
      <c r="M12" s="295">
        <v>0</v>
      </c>
      <c r="N12" s="296">
        <v>0</v>
      </c>
      <c r="O12" s="295">
        <v>0</v>
      </c>
      <c r="P12" s="299">
        <v>0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0</v>
      </c>
      <c r="K13" s="302">
        <v>0</v>
      </c>
      <c r="L13" s="302">
        <v>0</v>
      </c>
      <c r="M13" s="302">
        <v>0</v>
      </c>
      <c r="N13" s="303">
        <v>0</v>
      </c>
      <c r="O13" s="295">
        <v>0</v>
      </c>
      <c r="P13" s="299">
        <v>0</v>
      </c>
    </row>
    <row r="14" spans="1:17" ht="18" customHeight="1">
      <c r="C14" s="292"/>
      <c r="D14" s="300"/>
      <c r="E14" s="301" t="s">
        <v>181</v>
      </c>
      <c r="F14" s="302">
        <v>0</v>
      </c>
      <c r="G14" s="303">
        <v>0</v>
      </c>
      <c r="H14" s="297">
        <v>0</v>
      </c>
      <c r="I14" s="304"/>
      <c r="J14" s="303">
        <v>0</v>
      </c>
      <c r="K14" s="302">
        <v>0</v>
      </c>
      <c r="L14" s="302">
        <v>0</v>
      </c>
      <c r="M14" s="302">
        <v>0</v>
      </c>
      <c r="N14" s="303">
        <v>0</v>
      </c>
      <c r="O14" s="295">
        <v>0</v>
      </c>
      <c r="P14" s="299">
        <v>0</v>
      </c>
    </row>
    <row r="15" spans="1:17" ht="18" customHeight="1">
      <c r="C15" s="292"/>
      <c r="D15" s="300"/>
      <c r="E15" s="301" t="s">
        <v>182</v>
      </c>
      <c r="F15" s="302">
        <v>0</v>
      </c>
      <c r="G15" s="303">
        <v>0</v>
      </c>
      <c r="H15" s="297">
        <v>0</v>
      </c>
      <c r="I15" s="304"/>
      <c r="J15" s="303">
        <v>0</v>
      </c>
      <c r="K15" s="302">
        <v>0</v>
      </c>
      <c r="L15" s="302">
        <v>0</v>
      </c>
      <c r="M15" s="302">
        <v>0</v>
      </c>
      <c r="N15" s="303">
        <v>0</v>
      </c>
      <c r="O15" s="295">
        <v>0</v>
      </c>
      <c r="P15" s="299">
        <v>0</v>
      </c>
    </row>
    <row r="16" spans="1:17" ht="18" customHeight="1">
      <c r="C16" s="292"/>
      <c r="D16" s="300"/>
      <c r="E16" s="301" t="s">
        <v>183</v>
      </c>
      <c r="F16" s="302">
        <v>0</v>
      </c>
      <c r="G16" s="303">
        <v>0</v>
      </c>
      <c r="H16" s="297">
        <v>0</v>
      </c>
      <c r="I16" s="304"/>
      <c r="J16" s="303">
        <v>0</v>
      </c>
      <c r="K16" s="302">
        <v>0</v>
      </c>
      <c r="L16" s="302">
        <v>0</v>
      </c>
      <c r="M16" s="302">
        <v>0</v>
      </c>
      <c r="N16" s="303">
        <v>0</v>
      </c>
      <c r="O16" s="295">
        <v>0</v>
      </c>
      <c r="P16" s="299">
        <v>0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0</v>
      </c>
      <c r="K17" s="302">
        <v>0</v>
      </c>
      <c r="L17" s="302">
        <v>0</v>
      </c>
      <c r="M17" s="302">
        <v>0</v>
      </c>
      <c r="N17" s="303">
        <v>0</v>
      </c>
      <c r="O17" s="295">
        <v>0</v>
      </c>
      <c r="P17" s="299">
        <v>0</v>
      </c>
    </row>
    <row r="18" spans="1:17" ht="18" customHeight="1">
      <c r="C18" s="292"/>
      <c r="D18" s="293" t="s">
        <v>242</v>
      </c>
      <c r="E18" s="305"/>
      <c r="F18" s="295">
        <v>0</v>
      </c>
      <c r="G18" s="296">
        <v>0</v>
      </c>
      <c r="H18" s="297">
        <v>0</v>
      </c>
      <c r="I18" s="298"/>
      <c r="J18" s="296">
        <v>0</v>
      </c>
      <c r="K18" s="295">
        <v>0</v>
      </c>
      <c r="L18" s="295">
        <v>0</v>
      </c>
      <c r="M18" s="295">
        <v>0</v>
      </c>
      <c r="N18" s="296">
        <v>0</v>
      </c>
      <c r="O18" s="295">
        <v>0</v>
      </c>
      <c r="P18" s="299">
        <v>0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0</v>
      </c>
      <c r="K19" s="302">
        <v>0</v>
      </c>
      <c r="L19" s="302">
        <v>0</v>
      </c>
      <c r="M19" s="302">
        <v>0</v>
      </c>
      <c r="N19" s="303">
        <v>0</v>
      </c>
      <c r="O19" s="295">
        <v>0</v>
      </c>
      <c r="P19" s="299">
        <v>0</v>
      </c>
    </row>
    <row r="20" spans="1:17" ht="18" customHeight="1">
      <c r="C20" s="292"/>
      <c r="D20" s="300"/>
      <c r="E20" s="306" t="s">
        <v>186</v>
      </c>
      <c r="F20" s="302">
        <v>0</v>
      </c>
      <c r="G20" s="303">
        <v>0</v>
      </c>
      <c r="H20" s="297">
        <v>0</v>
      </c>
      <c r="I20" s="304"/>
      <c r="J20" s="303">
        <v>0</v>
      </c>
      <c r="K20" s="302">
        <v>0</v>
      </c>
      <c r="L20" s="302">
        <v>0</v>
      </c>
      <c r="M20" s="302">
        <v>0</v>
      </c>
      <c r="N20" s="303">
        <v>0</v>
      </c>
      <c r="O20" s="295">
        <v>0</v>
      </c>
      <c r="P20" s="299">
        <v>0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0</v>
      </c>
      <c r="H21" s="297">
        <v>0</v>
      </c>
      <c r="I21" s="298"/>
      <c r="J21" s="296">
        <v>0</v>
      </c>
      <c r="K21" s="295">
        <v>0</v>
      </c>
      <c r="L21" s="295">
        <v>0</v>
      </c>
      <c r="M21" s="295">
        <v>0</v>
      </c>
      <c r="N21" s="296">
        <v>0</v>
      </c>
      <c r="O21" s="295">
        <v>0</v>
      </c>
      <c r="P21" s="299">
        <v>0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0</v>
      </c>
      <c r="H22" s="297">
        <v>0</v>
      </c>
      <c r="I22" s="304"/>
      <c r="J22" s="303">
        <v>0</v>
      </c>
      <c r="K22" s="302">
        <v>0</v>
      </c>
      <c r="L22" s="302">
        <v>0</v>
      </c>
      <c r="M22" s="302">
        <v>0</v>
      </c>
      <c r="N22" s="303">
        <v>0</v>
      </c>
      <c r="O22" s="295">
        <v>0</v>
      </c>
      <c r="P22" s="299">
        <v>0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0</v>
      </c>
      <c r="H23" s="297">
        <v>0</v>
      </c>
      <c r="I23" s="304"/>
      <c r="J23" s="303">
        <v>0</v>
      </c>
      <c r="K23" s="302">
        <v>0</v>
      </c>
      <c r="L23" s="302">
        <v>0</v>
      </c>
      <c r="M23" s="302">
        <v>0</v>
      </c>
      <c r="N23" s="303">
        <v>0</v>
      </c>
      <c r="O23" s="295">
        <v>0</v>
      </c>
      <c r="P23" s="299">
        <v>0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0</v>
      </c>
      <c r="G26" s="295">
        <v>0</v>
      </c>
      <c r="H26" s="297">
        <v>0</v>
      </c>
      <c r="I26" s="298"/>
      <c r="J26" s="296">
        <v>0</v>
      </c>
      <c r="K26" s="295">
        <v>0</v>
      </c>
      <c r="L26" s="295">
        <v>0</v>
      </c>
      <c r="M26" s="295">
        <v>0</v>
      </c>
      <c r="N26" s="296">
        <v>0</v>
      </c>
      <c r="O26" s="295">
        <v>0</v>
      </c>
      <c r="P26" s="299">
        <v>0</v>
      </c>
    </row>
    <row r="27" spans="1:17" ht="18" customHeight="1">
      <c r="C27" s="292"/>
      <c r="D27" s="300"/>
      <c r="E27" s="301" t="s">
        <v>191</v>
      </c>
      <c r="F27" s="348">
        <v>0</v>
      </c>
      <c r="G27" s="349">
        <v>0</v>
      </c>
      <c r="H27" s="297">
        <v>0</v>
      </c>
      <c r="I27" s="304"/>
      <c r="J27" s="349">
        <v>0</v>
      </c>
      <c r="K27" s="348">
        <v>0</v>
      </c>
      <c r="L27" s="348">
        <v>0</v>
      </c>
      <c r="M27" s="348">
        <v>0</v>
      </c>
      <c r="N27" s="349">
        <v>0</v>
      </c>
      <c r="O27" s="295">
        <v>0</v>
      </c>
      <c r="P27" s="299">
        <v>0</v>
      </c>
    </row>
    <row r="28" spans="1:17" ht="18" customHeight="1">
      <c r="A28" s="318"/>
      <c r="B28" s="318"/>
      <c r="C28" s="328"/>
      <c r="D28" s="334" t="s">
        <v>192</v>
      </c>
      <c r="E28" s="305"/>
      <c r="F28" s="330">
        <v>0</v>
      </c>
      <c r="G28" s="330">
        <v>0</v>
      </c>
      <c r="H28" s="331">
        <v>0</v>
      </c>
      <c r="I28" s="320"/>
      <c r="J28" s="330">
        <v>0</v>
      </c>
      <c r="K28" s="329">
        <v>0</v>
      </c>
      <c r="L28" s="329">
        <v>0</v>
      </c>
      <c r="M28" s="329">
        <v>0</v>
      </c>
      <c r="N28" s="330">
        <v>0</v>
      </c>
      <c r="O28" s="332">
        <v>0</v>
      </c>
      <c r="P28" s="333">
        <v>0</v>
      </c>
      <c r="Q28" s="8"/>
    </row>
    <row r="29" spans="1:17" ht="18" customHeight="1">
      <c r="A29" s="318"/>
      <c r="B29" s="318"/>
      <c r="C29" s="328"/>
      <c r="D29" s="293" t="s">
        <v>193</v>
      </c>
      <c r="E29" s="350"/>
      <c r="F29" s="351">
        <v>0</v>
      </c>
      <c r="G29" s="351">
        <v>0</v>
      </c>
      <c r="H29" s="352">
        <v>0</v>
      </c>
      <c r="I29" s="353"/>
      <c r="J29" s="351">
        <v>0</v>
      </c>
      <c r="K29" s="354">
        <v>0</v>
      </c>
      <c r="L29" s="354">
        <v>0</v>
      </c>
      <c r="M29" s="354">
        <v>0</v>
      </c>
      <c r="N29" s="351">
        <v>0</v>
      </c>
      <c r="O29" s="355">
        <v>0</v>
      </c>
      <c r="P29" s="356">
        <v>0</v>
      </c>
      <c r="Q29" s="8"/>
    </row>
    <row r="30" spans="1:17" ht="18" customHeight="1">
      <c r="A30" s="318"/>
      <c r="B30" s="318"/>
      <c r="C30" s="321" t="s">
        <v>194</v>
      </c>
      <c r="D30" s="322"/>
      <c r="E30" s="322"/>
      <c r="F30" s="323">
        <v>0</v>
      </c>
      <c r="G30" s="167">
        <v>0</v>
      </c>
      <c r="H30" s="162">
        <v>0</v>
      </c>
      <c r="I30" s="324"/>
      <c r="J30" s="167">
        <v>0</v>
      </c>
      <c r="K30" s="323">
        <v>0</v>
      </c>
      <c r="L30" s="323">
        <v>0</v>
      </c>
      <c r="M30" s="323">
        <v>0</v>
      </c>
      <c r="N30" s="167">
        <v>0</v>
      </c>
      <c r="O30" s="162">
        <v>0</v>
      </c>
      <c r="P30" s="163">
        <v>0</v>
      </c>
      <c r="Q30" s="8"/>
    </row>
    <row r="31" spans="1:17" ht="18" customHeight="1">
      <c r="A31" s="318"/>
      <c r="B31" s="318"/>
      <c r="C31" s="285" t="s">
        <v>247</v>
      </c>
      <c r="D31" s="325"/>
      <c r="E31" s="326"/>
      <c r="F31" s="287">
        <v>0</v>
      </c>
      <c r="G31" s="288">
        <v>0</v>
      </c>
      <c r="H31" s="289">
        <v>0</v>
      </c>
      <c r="I31" s="327"/>
      <c r="J31" s="357">
        <v>0</v>
      </c>
      <c r="K31" s="287">
        <v>0</v>
      </c>
      <c r="L31" s="287">
        <v>0</v>
      </c>
      <c r="M31" s="287">
        <v>0</v>
      </c>
      <c r="N31" s="288">
        <v>0</v>
      </c>
      <c r="O31" s="287">
        <v>0</v>
      </c>
      <c r="P31" s="291">
        <v>0</v>
      </c>
      <c r="Q31" s="8"/>
    </row>
    <row r="32" spans="1:17" ht="18" customHeight="1">
      <c r="A32" s="318"/>
      <c r="B32" s="318"/>
      <c r="C32" s="328"/>
      <c r="D32" s="334" t="s">
        <v>211</v>
      </c>
      <c r="E32" s="305"/>
      <c r="F32" s="329">
        <v>0</v>
      </c>
      <c r="G32" s="330">
        <v>0</v>
      </c>
      <c r="H32" s="331">
        <v>0</v>
      </c>
      <c r="I32" s="320"/>
      <c r="J32" s="330">
        <v>0</v>
      </c>
      <c r="K32" s="329">
        <v>0</v>
      </c>
      <c r="L32" s="329">
        <v>0</v>
      </c>
      <c r="M32" s="329">
        <v>0</v>
      </c>
      <c r="N32" s="330">
        <v>0</v>
      </c>
      <c r="O32" s="332">
        <v>0</v>
      </c>
      <c r="P32" s="333">
        <v>0</v>
      </c>
      <c r="Q32" s="8"/>
    </row>
    <row r="33" spans="1:17" ht="18" customHeight="1">
      <c r="A33" s="318"/>
      <c r="B33" s="318"/>
      <c r="C33" s="292"/>
      <c r="D33" s="334" t="s">
        <v>212</v>
      </c>
      <c r="E33" s="305"/>
      <c r="F33" s="329">
        <v>0</v>
      </c>
      <c r="G33" s="330">
        <v>0</v>
      </c>
      <c r="H33" s="297">
        <v>0</v>
      </c>
      <c r="I33" s="320"/>
      <c r="J33" s="358">
        <v>0</v>
      </c>
      <c r="K33" s="302">
        <v>0</v>
      </c>
      <c r="L33" s="302">
        <v>0</v>
      </c>
      <c r="M33" s="302">
        <v>0</v>
      </c>
      <c r="N33" s="303">
        <v>0</v>
      </c>
      <c r="O33" s="295">
        <v>0</v>
      </c>
      <c r="P33" s="299">
        <v>0</v>
      </c>
      <c r="Q33" s="8"/>
    </row>
    <row r="34" spans="1:17" ht="18" customHeight="1">
      <c r="A34" s="318"/>
      <c r="B34" s="318"/>
      <c r="C34" s="292"/>
      <c r="D34" s="307" t="s">
        <v>213</v>
      </c>
      <c r="E34" s="319"/>
      <c r="F34" s="302">
        <v>0</v>
      </c>
      <c r="G34" s="303">
        <v>0</v>
      </c>
      <c r="H34" s="297">
        <v>0</v>
      </c>
      <c r="I34" s="320"/>
      <c r="J34" s="303">
        <v>0</v>
      </c>
      <c r="K34" s="302">
        <v>0</v>
      </c>
      <c r="L34" s="302">
        <v>0</v>
      </c>
      <c r="M34" s="302">
        <v>0</v>
      </c>
      <c r="N34" s="303">
        <v>0</v>
      </c>
      <c r="O34" s="295">
        <v>0</v>
      </c>
      <c r="P34" s="299">
        <v>0</v>
      </c>
      <c r="Q34" s="8"/>
    </row>
    <row r="35" spans="1:17" ht="18" customHeight="1">
      <c r="A35" s="318"/>
      <c r="B35" s="318"/>
      <c r="C35" s="292"/>
      <c r="D35" s="334" t="s">
        <v>214</v>
      </c>
      <c r="E35" s="305"/>
      <c r="F35" s="302">
        <v>0</v>
      </c>
      <c r="G35" s="303">
        <v>0</v>
      </c>
      <c r="H35" s="297">
        <v>0</v>
      </c>
      <c r="I35" s="320"/>
      <c r="J35" s="358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34" t="s">
        <v>215</v>
      </c>
      <c r="E36" s="305"/>
      <c r="F36" s="302">
        <v>0</v>
      </c>
      <c r="G36" s="303">
        <v>0</v>
      </c>
      <c r="H36" s="297">
        <v>0</v>
      </c>
      <c r="I36" s="320"/>
      <c r="J36" s="358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216</v>
      </c>
      <c r="E37" s="305"/>
      <c r="F37" s="302">
        <v>0</v>
      </c>
      <c r="G37" s="303">
        <v>0</v>
      </c>
      <c r="H37" s="297">
        <v>0</v>
      </c>
      <c r="I37" s="320"/>
      <c r="J37" s="358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217</v>
      </c>
      <c r="E38" s="305"/>
      <c r="F38" s="330">
        <v>0</v>
      </c>
      <c r="G38" s="303">
        <v>0</v>
      </c>
      <c r="H38" s="297">
        <v>0</v>
      </c>
      <c r="I38" s="320"/>
      <c r="J38" s="358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218</v>
      </c>
      <c r="E39" s="305"/>
      <c r="F39" s="330">
        <v>0</v>
      </c>
      <c r="G39" s="303">
        <v>0</v>
      </c>
      <c r="H39" s="297">
        <v>0</v>
      </c>
      <c r="I39" s="320"/>
      <c r="J39" s="358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808" t="s">
        <v>219</v>
      </c>
      <c r="E40" s="809"/>
      <c r="F40" s="329">
        <v>0</v>
      </c>
      <c r="G40" s="330">
        <v>0</v>
      </c>
      <c r="H40" s="297">
        <v>0</v>
      </c>
      <c r="I40" s="320"/>
      <c r="J40" s="358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808" t="s">
        <v>220</v>
      </c>
      <c r="E41" s="809"/>
      <c r="F41" s="329">
        <v>0</v>
      </c>
      <c r="G41" s="330">
        <v>0</v>
      </c>
      <c r="H41" s="297">
        <v>0</v>
      </c>
      <c r="I41" s="320"/>
      <c r="J41" s="358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221</v>
      </c>
      <c r="E42" s="800"/>
      <c r="F42" s="302">
        <v>0</v>
      </c>
      <c r="G42" s="302">
        <v>0</v>
      </c>
      <c r="H42" s="297">
        <v>0</v>
      </c>
      <c r="I42" s="320"/>
      <c r="J42" s="359">
        <v>0</v>
      </c>
      <c r="K42" s="360">
        <v>0</v>
      </c>
      <c r="L42" s="360">
        <v>0</v>
      </c>
      <c r="M42" s="360">
        <v>0</v>
      </c>
      <c r="N42" s="361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335"/>
      <c r="D43" s="798" t="s">
        <v>248</v>
      </c>
      <c r="E43" s="800"/>
      <c r="F43" s="302">
        <v>0</v>
      </c>
      <c r="G43" s="302">
        <v>0</v>
      </c>
      <c r="H43" s="297">
        <v>0</v>
      </c>
      <c r="I43" s="336"/>
      <c r="J43" s="362">
        <v>0</v>
      </c>
      <c r="K43" s="329">
        <v>0</v>
      </c>
      <c r="L43" s="329">
        <v>0</v>
      </c>
      <c r="M43" s="329">
        <v>0</v>
      </c>
      <c r="N43" s="330">
        <v>0</v>
      </c>
      <c r="O43" s="332">
        <v>0</v>
      </c>
      <c r="P43" s="333">
        <v>0</v>
      </c>
      <c r="Q43" s="8"/>
    </row>
    <row r="44" spans="1:17" ht="18" customHeight="1">
      <c r="A44" s="318"/>
      <c r="B44" s="318"/>
      <c r="C44" s="337"/>
      <c r="D44" s="806" t="s">
        <v>249</v>
      </c>
      <c r="E44" s="807"/>
      <c r="F44" s="302">
        <v>0</v>
      </c>
      <c r="G44" s="302">
        <v>0</v>
      </c>
      <c r="H44" s="297">
        <v>0</v>
      </c>
      <c r="I44" s="363"/>
      <c r="J44" s="364">
        <v>0</v>
      </c>
      <c r="K44" s="136">
        <v>0</v>
      </c>
      <c r="L44" s="136">
        <v>0</v>
      </c>
      <c r="M44" s="136">
        <v>0</v>
      </c>
      <c r="N44" s="109">
        <v>0</v>
      </c>
      <c r="O44" s="145">
        <v>0</v>
      </c>
      <c r="P44" s="365">
        <v>0</v>
      </c>
      <c r="Q44" s="8"/>
    </row>
    <row r="45" spans="1:17" ht="18" customHeight="1">
      <c r="A45" s="318"/>
      <c r="B45" s="318"/>
      <c r="C45" s="292" t="s">
        <v>250</v>
      </c>
      <c r="D45" s="294"/>
      <c r="E45" s="294"/>
      <c r="F45" s="288">
        <v>0</v>
      </c>
      <c r="G45" s="288">
        <v>0</v>
      </c>
      <c r="H45" s="289">
        <v>0</v>
      </c>
      <c r="I45" s="327"/>
      <c r="J45" s="357">
        <v>0</v>
      </c>
      <c r="K45" s="287">
        <v>0</v>
      </c>
      <c r="L45" s="287">
        <v>0</v>
      </c>
      <c r="M45" s="287">
        <v>0</v>
      </c>
      <c r="N45" s="288">
        <v>0</v>
      </c>
      <c r="O45" s="287">
        <v>0</v>
      </c>
      <c r="P45" s="291">
        <v>0</v>
      </c>
      <c r="Q45" s="8"/>
    </row>
    <row r="46" spans="1:17" ht="18" customHeight="1">
      <c r="A46" s="318"/>
      <c r="B46" s="318"/>
      <c r="C46" s="292"/>
      <c r="D46" s="342" t="s">
        <v>113</v>
      </c>
      <c r="E46" s="342"/>
      <c r="F46" s="303">
        <v>0</v>
      </c>
      <c r="G46" s="303">
        <v>0</v>
      </c>
      <c r="H46" s="297">
        <v>0</v>
      </c>
      <c r="I46" s="320"/>
      <c r="J46" s="303">
        <v>0</v>
      </c>
      <c r="K46" s="303">
        <v>0</v>
      </c>
      <c r="L46" s="303">
        <v>0</v>
      </c>
      <c r="M46" s="303">
        <v>0</v>
      </c>
      <c r="N46" s="303">
        <v>0</v>
      </c>
      <c r="O46" s="295">
        <v>0</v>
      </c>
      <c r="P46" s="299">
        <v>0</v>
      </c>
      <c r="Q46" s="8"/>
    </row>
    <row r="47" spans="1:17" ht="18" customHeight="1">
      <c r="A47" s="318"/>
      <c r="B47" s="318"/>
      <c r="C47" s="292"/>
      <c r="D47" s="342" t="s">
        <v>114</v>
      </c>
      <c r="E47" s="342"/>
      <c r="F47" s="302">
        <v>0</v>
      </c>
      <c r="G47" s="303">
        <v>0</v>
      </c>
      <c r="H47" s="297">
        <v>0</v>
      </c>
      <c r="I47" s="320"/>
      <c r="J47" s="303">
        <v>0</v>
      </c>
      <c r="K47" s="302">
        <v>0</v>
      </c>
      <c r="L47" s="303">
        <v>0</v>
      </c>
      <c r="M47" s="302">
        <v>0</v>
      </c>
      <c r="N47" s="303">
        <v>0</v>
      </c>
      <c r="O47" s="295">
        <v>0</v>
      </c>
      <c r="P47" s="299">
        <v>0</v>
      </c>
      <c r="Q47" s="8"/>
    </row>
    <row r="48" spans="1:17" ht="18" customHeight="1">
      <c r="A48" s="318"/>
      <c r="B48" s="318"/>
      <c r="C48" s="292"/>
      <c r="D48" s="343" t="s">
        <v>176</v>
      </c>
      <c r="E48" s="343"/>
      <c r="F48" s="329">
        <v>0</v>
      </c>
      <c r="G48" s="330">
        <v>0</v>
      </c>
      <c r="H48" s="297">
        <v>0</v>
      </c>
      <c r="I48" s="320"/>
      <c r="J48" s="330">
        <v>0</v>
      </c>
      <c r="K48" s="329">
        <v>0</v>
      </c>
      <c r="L48" s="330">
        <v>0</v>
      </c>
      <c r="M48" s="329">
        <v>0</v>
      </c>
      <c r="N48" s="330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4" t="s">
        <v>251</v>
      </c>
      <c r="E49" s="344"/>
      <c r="F49" s="338">
        <v>0</v>
      </c>
      <c r="G49" s="339">
        <v>0</v>
      </c>
      <c r="H49" s="345">
        <v>0</v>
      </c>
      <c r="I49" s="320"/>
      <c r="J49" s="339">
        <v>0</v>
      </c>
      <c r="K49" s="338">
        <v>0</v>
      </c>
      <c r="L49" s="339">
        <v>0</v>
      </c>
      <c r="M49" s="338">
        <v>0</v>
      </c>
      <c r="N49" s="339">
        <v>0</v>
      </c>
      <c r="O49" s="340">
        <v>0</v>
      </c>
      <c r="P49" s="341">
        <v>0</v>
      </c>
      <c r="Q49" s="8"/>
    </row>
    <row r="50" spans="1:17" ht="18" customHeight="1">
      <c r="A50" s="318"/>
      <c r="B50" s="318"/>
      <c r="C50" s="801" t="s">
        <v>252</v>
      </c>
      <c r="D50" s="802"/>
      <c r="E50" s="803"/>
      <c r="F50" s="346">
        <v>0</v>
      </c>
      <c r="G50" s="120">
        <v>0</v>
      </c>
      <c r="H50" s="178">
        <v>0</v>
      </c>
      <c r="I50" s="347"/>
      <c r="J50" s="366">
        <v>0</v>
      </c>
      <c r="K50" s="346">
        <v>0</v>
      </c>
      <c r="L50" s="346">
        <v>0</v>
      </c>
      <c r="M50" s="346">
        <v>0</v>
      </c>
      <c r="N50" s="120">
        <v>0</v>
      </c>
      <c r="O50" s="346">
        <v>0</v>
      </c>
      <c r="P50" s="171">
        <v>0</v>
      </c>
      <c r="Q50" s="8"/>
    </row>
    <row r="51" spans="1:17" ht="12" customHeight="1">
      <c r="A51" s="318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8"/>
    </row>
  </sheetData>
  <mergeCells count="9">
    <mergeCell ref="A3:Q3"/>
    <mergeCell ref="A4:Q4"/>
    <mergeCell ref="C10:E10"/>
    <mergeCell ref="D42:E42"/>
    <mergeCell ref="C50:E50"/>
    <mergeCell ref="D44:E44"/>
    <mergeCell ref="D43:E43"/>
    <mergeCell ref="D41:E41"/>
    <mergeCell ref="D40:E40"/>
  </mergeCells>
  <phoneticPr fontId="35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53"/>
  <sheetViews>
    <sheetView showGridLines="0" workbookViewId="0"/>
  </sheetViews>
  <sheetFormatPr defaultColWidth="9" defaultRowHeight="0" customHeight="1" zero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262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263</v>
      </c>
    </row>
    <row r="8" spans="1:17" ht="18" customHeight="1">
      <c r="C8" s="84" t="s">
        <v>254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/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0</v>
      </c>
      <c r="G11" s="288">
        <v>0</v>
      </c>
      <c r="H11" s="289">
        <v>0</v>
      </c>
      <c r="I11" s="290"/>
      <c r="J11" s="288">
        <v>0</v>
      </c>
      <c r="K11" s="288">
        <v>0</v>
      </c>
      <c r="L11" s="287">
        <v>0</v>
      </c>
      <c r="M11" s="288">
        <v>0</v>
      </c>
      <c r="N11" s="288">
        <v>0</v>
      </c>
      <c r="O11" s="287">
        <v>0</v>
      </c>
      <c r="P11" s="291">
        <v>0</v>
      </c>
    </row>
    <row r="12" spans="1:17" ht="18" customHeight="1">
      <c r="C12" s="292"/>
      <c r="D12" s="293" t="s">
        <v>241</v>
      </c>
      <c r="E12" s="294"/>
      <c r="F12" s="295">
        <v>0</v>
      </c>
      <c r="G12" s="296">
        <v>0</v>
      </c>
      <c r="H12" s="297">
        <v>0</v>
      </c>
      <c r="I12" s="298"/>
      <c r="J12" s="296">
        <v>0</v>
      </c>
      <c r="K12" s="295">
        <v>0</v>
      </c>
      <c r="L12" s="295">
        <v>0</v>
      </c>
      <c r="M12" s="295">
        <v>0</v>
      </c>
      <c r="N12" s="296">
        <v>0</v>
      </c>
      <c r="O12" s="295">
        <v>0</v>
      </c>
      <c r="P12" s="299">
        <v>0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0</v>
      </c>
      <c r="K13" s="302">
        <v>0</v>
      </c>
      <c r="L13" s="302">
        <v>0</v>
      </c>
      <c r="M13" s="302">
        <v>0</v>
      </c>
      <c r="N13" s="303">
        <v>0</v>
      </c>
      <c r="O13" s="295">
        <v>0</v>
      </c>
      <c r="P13" s="299">
        <v>0</v>
      </c>
    </row>
    <row r="14" spans="1:17" ht="18" customHeight="1">
      <c r="C14" s="292"/>
      <c r="D14" s="300"/>
      <c r="E14" s="301" t="s">
        <v>181</v>
      </c>
      <c r="F14" s="302">
        <v>0</v>
      </c>
      <c r="G14" s="303">
        <v>0</v>
      </c>
      <c r="H14" s="297">
        <v>0</v>
      </c>
      <c r="I14" s="304"/>
      <c r="J14" s="303">
        <v>0</v>
      </c>
      <c r="K14" s="302">
        <v>0</v>
      </c>
      <c r="L14" s="302">
        <v>0</v>
      </c>
      <c r="M14" s="302">
        <v>0</v>
      </c>
      <c r="N14" s="303">
        <v>0</v>
      </c>
      <c r="O14" s="295">
        <v>0</v>
      </c>
      <c r="P14" s="299">
        <v>0</v>
      </c>
    </row>
    <row r="15" spans="1:17" ht="18" customHeight="1">
      <c r="C15" s="292"/>
      <c r="D15" s="300"/>
      <c r="E15" s="301" t="s">
        <v>182</v>
      </c>
      <c r="F15" s="302">
        <v>0</v>
      </c>
      <c r="G15" s="303">
        <v>0</v>
      </c>
      <c r="H15" s="297">
        <v>0</v>
      </c>
      <c r="I15" s="304"/>
      <c r="J15" s="303">
        <v>0</v>
      </c>
      <c r="K15" s="302">
        <v>0</v>
      </c>
      <c r="L15" s="302">
        <v>0</v>
      </c>
      <c r="M15" s="302">
        <v>0</v>
      </c>
      <c r="N15" s="303">
        <v>0</v>
      </c>
      <c r="O15" s="295">
        <v>0</v>
      </c>
      <c r="P15" s="299">
        <v>0</v>
      </c>
    </row>
    <row r="16" spans="1:17" ht="18" customHeight="1">
      <c r="C16" s="292"/>
      <c r="D16" s="300"/>
      <c r="E16" s="301" t="s">
        <v>183</v>
      </c>
      <c r="F16" s="302">
        <v>0</v>
      </c>
      <c r="G16" s="303">
        <v>0</v>
      </c>
      <c r="H16" s="297">
        <v>0</v>
      </c>
      <c r="I16" s="304"/>
      <c r="J16" s="303">
        <v>0</v>
      </c>
      <c r="K16" s="302">
        <v>0</v>
      </c>
      <c r="L16" s="302">
        <v>0</v>
      </c>
      <c r="M16" s="302">
        <v>0</v>
      </c>
      <c r="N16" s="303">
        <v>0</v>
      </c>
      <c r="O16" s="295">
        <v>0</v>
      </c>
      <c r="P16" s="299">
        <v>0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0</v>
      </c>
      <c r="K17" s="302">
        <v>0</v>
      </c>
      <c r="L17" s="302">
        <v>0</v>
      </c>
      <c r="M17" s="302">
        <v>0</v>
      </c>
      <c r="N17" s="303">
        <v>0</v>
      </c>
      <c r="O17" s="295">
        <v>0</v>
      </c>
      <c r="P17" s="299">
        <v>0</v>
      </c>
    </row>
    <row r="18" spans="1:17" ht="18" customHeight="1">
      <c r="C18" s="292"/>
      <c r="D18" s="293" t="s">
        <v>242</v>
      </c>
      <c r="E18" s="305"/>
      <c r="F18" s="295">
        <v>0</v>
      </c>
      <c r="G18" s="296">
        <v>0</v>
      </c>
      <c r="H18" s="297">
        <v>0</v>
      </c>
      <c r="I18" s="298"/>
      <c r="J18" s="296">
        <v>0</v>
      </c>
      <c r="K18" s="295">
        <v>0</v>
      </c>
      <c r="L18" s="295">
        <v>0</v>
      </c>
      <c r="M18" s="295">
        <v>0</v>
      </c>
      <c r="N18" s="296">
        <v>0</v>
      </c>
      <c r="O18" s="295">
        <v>0</v>
      </c>
      <c r="P18" s="299">
        <v>0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0</v>
      </c>
      <c r="K19" s="302">
        <v>0</v>
      </c>
      <c r="L19" s="302">
        <v>0</v>
      </c>
      <c r="M19" s="302">
        <v>0</v>
      </c>
      <c r="N19" s="303">
        <v>0</v>
      </c>
      <c r="O19" s="295">
        <v>0</v>
      </c>
      <c r="P19" s="299">
        <v>0</v>
      </c>
    </row>
    <row r="20" spans="1:17" ht="18" customHeight="1">
      <c r="C20" s="292"/>
      <c r="D20" s="300"/>
      <c r="E20" s="306" t="s">
        <v>186</v>
      </c>
      <c r="F20" s="302">
        <v>0</v>
      </c>
      <c r="G20" s="303">
        <v>0</v>
      </c>
      <c r="H20" s="297">
        <v>0</v>
      </c>
      <c r="I20" s="304"/>
      <c r="J20" s="303">
        <v>0</v>
      </c>
      <c r="K20" s="302">
        <v>0</v>
      </c>
      <c r="L20" s="302">
        <v>0</v>
      </c>
      <c r="M20" s="302">
        <v>0</v>
      </c>
      <c r="N20" s="303">
        <v>0</v>
      </c>
      <c r="O20" s="295">
        <v>0</v>
      </c>
      <c r="P20" s="299">
        <v>0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0</v>
      </c>
      <c r="H21" s="297">
        <v>0</v>
      </c>
      <c r="I21" s="298"/>
      <c r="J21" s="296">
        <v>0</v>
      </c>
      <c r="K21" s="295">
        <v>0</v>
      </c>
      <c r="L21" s="295">
        <v>0</v>
      </c>
      <c r="M21" s="295">
        <v>0</v>
      </c>
      <c r="N21" s="296">
        <v>0</v>
      </c>
      <c r="O21" s="295">
        <v>0</v>
      </c>
      <c r="P21" s="299">
        <v>0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0</v>
      </c>
      <c r="H22" s="297">
        <v>0</v>
      </c>
      <c r="I22" s="304"/>
      <c r="J22" s="303">
        <v>0</v>
      </c>
      <c r="K22" s="302">
        <v>0</v>
      </c>
      <c r="L22" s="302">
        <v>0</v>
      </c>
      <c r="M22" s="302">
        <v>0</v>
      </c>
      <c r="N22" s="303">
        <v>0</v>
      </c>
      <c r="O22" s="295">
        <v>0</v>
      </c>
      <c r="P22" s="299">
        <v>0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0</v>
      </c>
      <c r="H23" s="297">
        <v>0</v>
      </c>
      <c r="I23" s="304"/>
      <c r="J23" s="303">
        <v>0</v>
      </c>
      <c r="K23" s="302">
        <v>0</v>
      </c>
      <c r="L23" s="302">
        <v>0</v>
      </c>
      <c r="M23" s="302">
        <v>0</v>
      </c>
      <c r="N23" s="303">
        <v>0</v>
      </c>
      <c r="O23" s="295">
        <v>0</v>
      </c>
      <c r="P23" s="299">
        <v>0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0</v>
      </c>
      <c r="G26" s="296">
        <v>0</v>
      </c>
      <c r="H26" s="297">
        <v>0</v>
      </c>
      <c r="I26" s="298"/>
      <c r="J26" s="296">
        <v>0</v>
      </c>
      <c r="K26" s="295">
        <v>0</v>
      </c>
      <c r="L26" s="295">
        <v>0</v>
      </c>
      <c r="M26" s="295">
        <v>0</v>
      </c>
      <c r="N26" s="296">
        <v>0</v>
      </c>
      <c r="O26" s="295">
        <v>0</v>
      </c>
      <c r="P26" s="299">
        <v>0</v>
      </c>
    </row>
    <row r="27" spans="1:17" ht="18" customHeight="1">
      <c r="C27" s="292"/>
      <c r="D27" s="300"/>
      <c r="E27" s="308" t="s">
        <v>191</v>
      </c>
      <c r="F27" s="309">
        <v>0</v>
      </c>
      <c r="G27" s="310">
        <v>0</v>
      </c>
      <c r="H27" s="297">
        <v>0</v>
      </c>
      <c r="I27" s="304"/>
      <c r="J27" s="310">
        <v>0</v>
      </c>
      <c r="K27" s="309">
        <v>0</v>
      </c>
      <c r="L27" s="309">
        <v>0</v>
      </c>
      <c r="M27" s="309">
        <v>0</v>
      </c>
      <c r="N27" s="310">
        <v>0</v>
      </c>
      <c r="O27" s="295">
        <v>0</v>
      </c>
      <c r="P27" s="299">
        <v>0</v>
      </c>
    </row>
    <row r="28" spans="1:17" ht="18" customHeight="1">
      <c r="C28" s="292"/>
      <c r="D28" s="311"/>
      <c r="E28" s="306" t="s">
        <v>245</v>
      </c>
      <c r="F28" s="312">
        <v>0</v>
      </c>
      <c r="G28" s="313">
        <v>0</v>
      </c>
      <c r="H28" s="297">
        <v>0</v>
      </c>
      <c r="I28" s="314"/>
      <c r="J28" s="313">
        <v>0</v>
      </c>
      <c r="K28" s="312">
        <v>0</v>
      </c>
      <c r="L28" s="312">
        <v>0</v>
      </c>
      <c r="M28" s="312">
        <v>0</v>
      </c>
      <c r="N28" s="313">
        <v>0</v>
      </c>
      <c r="O28" s="295">
        <v>0</v>
      </c>
      <c r="P28" s="299">
        <v>0</v>
      </c>
    </row>
    <row r="29" spans="1:17" ht="18" customHeight="1">
      <c r="C29" s="292"/>
      <c r="D29" s="315"/>
      <c r="E29" s="301" t="s">
        <v>246</v>
      </c>
      <c r="F29" s="316">
        <v>0</v>
      </c>
      <c r="G29" s="317">
        <v>0</v>
      </c>
      <c r="H29" s="297">
        <v>0</v>
      </c>
      <c r="I29" s="314"/>
      <c r="J29" s="317">
        <v>0</v>
      </c>
      <c r="K29" s="316">
        <v>0</v>
      </c>
      <c r="L29" s="316">
        <v>0</v>
      </c>
      <c r="M29" s="316">
        <v>0</v>
      </c>
      <c r="N29" s="317">
        <v>0</v>
      </c>
      <c r="O29" s="295">
        <v>0</v>
      </c>
      <c r="P29" s="299">
        <v>0</v>
      </c>
    </row>
    <row r="30" spans="1:17" ht="18" customHeight="1">
      <c r="A30" s="318"/>
      <c r="B30" s="318"/>
      <c r="C30" s="292"/>
      <c r="D30" s="307" t="s">
        <v>192</v>
      </c>
      <c r="E30" s="319"/>
      <c r="F30" s="302">
        <v>0</v>
      </c>
      <c r="G30" s="303">
        <v>0</v>
      </c>
      <c r="H30" s="297">
        <v>0</v>
      </c>
      <c r="I30" s="320"/>
      <c r="J30" s="303">
        <v>0</v>
      </c>
      <c r="K30" s="302">
        <v>0</v>
      </c>
      <c r="L30" s="302">
        <v>0</v>
      </c>
      <c r="M30" s="302">
        <v>0</v>
      </c>
      <c r="N30" s="303">
        <v>0</v>
      </c>
      <c r="O30" s="295">
        <v>0</v>
      </c>
      <c r="P30" s="299">
        <v>0</v>
      </c>
      <c r="Q30" s="8"/>
    </row>
    <row r="31" spans="1:17" ht="18" customHeight="1">
      <c r="A31" s="318"/>
      <c r="B31" s="318"/>
      <c r="C31" s="292"/>
      <c r="D31" s="300" t="s">
        <v>193</v>
      </c>
      <c r="E31" s="319"/>
      <c r="F31" s="302">
        <v>0</v>
      </c>
      <c r="G31" s="303">
        <v>0</v>
      </c>
      <c r="H31" s="297">
        <v>0</v>
      </c>
      <c r="I31" s="320"/>
      <c r="J31" s="303">
        <v>0</v>
      </c>
      <c r="K31" s="302">
        <v>0</v>
      </c>
      <c r="L31" s="302">
        <v>0</v>
      </c>
      <c r="M31" s="302">
        <v>0</v>
      </c>
      <c r="N31" s="303">
        <v>0</v>
      </c>
      <c r="O31" s="295">
        <v>0</v>
      </c>
      <c r="P31" s="299">
        <v>0</v>
      </c>
      <c r="Q31" s="8"/>
    </row>
    <row r="32" spans="1:17" ht="18" customHeight="1">
      <c r="A32" s="318"/>
      <c r="B32" s="318"/>
      <c r="C32" s="321" t="s">
        <v>194</v>
      </c>
      <c r="D32" s="322"/>
      <c r="E32" s="322"/>
      <c r="F32" s="323">
        <v>0</v>
      </c>
      <c r="G32" s="167">
        <v>0</v>
      </c>
      <c r="H32" s="162">
        <v>0</v>
      </c>
      <c r="I32" s="324"/>
      <c r="J32" s="167">
        <v>0</v>
      </c>
      <c r="K32" s="323">
        <v>0</v>
      </c>
      <c r="L32" s="323">
        <v>0</v>
      </c>
      <c r="M32" s="323">
        <v>0</v>
      </c>
      <c r="N32" s="167">
        <v>0</v>
      </c>
      <c r="O32" s="162">
        <v>0</v>
      </c>
      <c r="P32" s="163">
        <v>0</v>
      </c>
      <c r="Q32" s="8"/>
    </row>
    <row r="33" spans="1:17" ht="18" customHeight="1">
      <c r="A33" s="318"/>
      <c r="B33" s="318"/>
      <c r="C33" s="285" t="s">
        <v>247</v>
      </c>
      <c r="D33" s="325"/>
      <c r="E33" s="326"/>
      <c r="F33" s="287">
        <v>0</v>
      </c>
      <c r="G33" s="288">
        <v>0</v>
      </c>
      <c r="H33" s="289">
        <v>0</v>
      </c>
      <c r="I33" s="327"/>
      <c r="J33" s="288">
        <v>0</v>
      </c>
      <c r="K33" s="287">
        <v>0</v>
      </c>
      <c r="L33" s="287">
        <v>0</v>
      </c>
      <c r="M33" s="287">
        <v>0</v>
      </c>
      <c r="N33" s="288">
        <v>0</v>
      </c>
      <c r="O33" s="287">
        <v>0</v>
      </c>
      <c r="P33" s="291">
        <v>0</v>
      </c>
      <c r="Q33" s="8"/>
    </row>
    <row r="34" spans="1:17" ht="18" customHeight="1">
      <c r="A34" s="318"/>
      <c r="B34" s="318"/>
      <c r="C34" s="328"/>
      <c r="D34" s="798" t="s">
        <v>211</v>
      </c>
      <c r="E34" s="799"/>
      <c r="F34" s="329">
        <v>0</v>
      </c>
      <c r="G34" s="330">
        <v>0</v>
      </c>
      <c r="H34" s="331">
        <v>0</v>
      </c>
      <c r="I34" s="320"/>
      <c r="J34" s="330">
        <v>0</v>
      </c>
      <c r="K34" s="329">
        <v>0</v>
      </c>
      <c r="L34" s="329">
        <v>0</v>
      </c>
      <c r="M34" s="329">
        <v>0</v>
      </c>
      <c r="N34" s="330">
        <v>0</v>
      </c>
      <c r="O34" s="332">
        <v>0</v>
      </c>
      <c r="P34" s="333">
        <v>0</v>
      </c>
      <c r="Q34" s="8"/>
    </row>
    <row r="35" spans="1:17" ht="18" customHeight="1">
      <c r="A35" s="318"/>
      <c r="B35" s="318"/>
      <c r="C35" s="292"/>
      <c r="D35" s="307" t="s">
        <v>212</v>
      </c>
      <c r="E35" s="319"/>
      <c r="F35" s="329">
        <v>0</v>
      </c>
      <c r="G35" s="330">
        <v>0</v>
      </c>
      <c r="H35" s="297">
        <v>0</v>
      </c>
      <c r="I35" s="320"/>
      <c r="J35" s="303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07" t="s">
        <v>213</v>
      </c>
      <c r="E36" s="319"/>
      <c r="F36" s="302">
        <v>0</v>
      </c>
      <c r="G36" s="303">
        <v>0</v>
      </c>
      <c r="H36" s="297">
        <v>0</v>
      </c>
      <c r="I36" s="320"/>
      <c r="J36" s="303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214</v>
      </c>
      <c r="E37" s="305"/>
      <c r="F37" s="302">
        <v>0</v>
      </c>
      <c r="G37" s="303">
        <v>0</v>
      </c>
      <c r="H37" s="297">
        <v>0</v>
      </c>
      <c r="I37" s="320"/>
      <c r="J37" s="303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215</v>
      </c>
      <c r="E38" s="305"/>
      <c r="F38" s="302">
        <v>0</v>
      </c>
      <c r="G38" s="303">
        <v>0</v>
      </c>
      <c r="H38" s="297">
        <v>0</v>
      </c>
      <c r="I38" s="320"/>
      <c r="J38" s="303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216</v>
      </c>
      <c r="E39" s="305"/>
      <c r="F39" s="302">
        <v>0</v>
      </c>
      <c r="G39" s="303">
        <v>0</v>
      </c>
      <c r="H39" s="297">
        <v>0</v>
      </c>
      <c r="I39" s="320"/>
      <c r="J39" s="303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334" t="s">
        <v>217</v>
      </c>
      <c r="E40" s="305"/>
      <c r="F40" s="330">
        <v>0</v>
      </c>
      <c r="G40" s="303">
        <v>0</v>
      </c>
      <c r="H40" s="297">
        <v>0</v>
      </c>
      <c r="I40" s="320"/>
      <c r="J40" s="303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334" t="s">
        <v>218</v>
      </c>
      <c r="E41" s="305"/>
      <c r="F41" s="330">
        <v>0</v>
      </c>
      <c r="G41" s="303">
        <v>0</v>
      </c>
      <c r="H41" s="297">
        <v>0</v>
      </c>
      <c r="I41" s="320"/>
      <c r="J41" s="303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219</v>
      </c>
      <c r="E42" s="800"/>
      <c r="F42" s="329">
        <v>0</v>
      </c>
      <c r="G42" s="330">
        <v>0</v>
      </c>
      <c r="H42" s="297">
        <v>0</v>
      </c>
      <c r="I42" s="320"/>
      <c r="J42" s="303">
        <v>0</v>
      </c>
      <c r="K42" s="302">
        <v>0</v>
      </c>
      <c r="L42" s="302">
        <v>0</v>
      </c>
      <c r="M42" s="302">
        <v>0</v>
      </c>
      <c r="N42" s="303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292"/>
      <c r="D43" s="798" t="s">
        <v>220</v>
      </c>
      <c r="E43" s="800"/>
      <c r="F43" s="329">
        <v>0</v>
      </c>
      <c r="G43" s="330">
        <v>0</v>
      </c>
      <c r="H43" s="297">
        <v>0</v>
      </c>
      <c r="I43" s="320"/>
      <c r="J43" s="303">
        <v>0</v>
      </c>
      <c r="K43" s="302">
        <v>0</v>
      </c>
      <c r="L43" s="302">
        <v>0</v>
      </c>
      <c r="M43" s="302">
        <v>0</v>
      </c>
      <c r="N43" s="303">
        <v>0</v>
      </c>
      <c r="O43" s="295">
        <v>0</v>
      </c>
      <c r="P43" s="299">
        <v>0</v>
      </c>
      <c r="Q43" s="8"/>
    </row>
    <row r="44" spans="1:17" ht="18" customHeight="1">
      <c r="A44" s="318"/>
      <c r="B44" s="318"/>
      <c r="C44" s="328"/>
      <c r="D44" s="798" t="s">
        <v>221</v>
      </c>
      <c r="E44" s="799"/>
      <c r="F44" s="329">
        <v>0</v>
      </c>
      <c r="G44" s="330">
        <v>0</v>
      </c>
      <c r="H44" s="331">
        <v>0</v>
      </c>
      <c r="I44" s="320"/>
      <c r="J44" s="330">
        <v>0</v>
      </c>
      <c r="K44" s="329">
        <v>0</v>
      </c>
      <c r="L44" s="329">
        <v>0</v>
      </c>
      <c r="M44" s="329">
        <v>0</v>
      </c>
      <c r="N44" s="330">
        <v>0</v>
      </c>
      <c r="O44" s="332">
        <v>0</v>
      </c>
      <c r="P44" s="333">
        <v>0</v>
      </c>
      <c r="Q44" s="8"/>
    </row>
    <row r="45" spans="1:17" ht="18" customHeight="1">
      <c r="A45" s="318"/>
      <c r="B45" s="318"/>
      <c r="C45" s="335"/>
      <c r="D45" s="798" t="s">
        <v>248</v>
      </c>
      <c r="E45" s="799"/>
      <c r="F45" s="329">
        <v>0</v>
      </c>
      <c r="G45" s="330">
        <v>0</v>
      </c>
      <c r="H45" s="297">
        <v>0</v>
      </c>
      <c r="I45" s="336"/>
      <c r="J45" s="330">
        <v>0</v>
      </c>
      <c r="K45" s="329">
        <v>0</v>
      </c>
      <c r="L45" s="329">
        <v>0</v>
      </c>
      <c r="M45" s="329">
        <v>0</v>
      </c>
      <c r="N45" s="330">
        <v>0</v>
      </c>
      <c r="O45" s="332">
        <v>0</v>
      </c>
      <c r="P45" s="333">
        <v>0</v>
      </c>
      <c r="Q45" s="8"/>
    </row>
    <row r="46" spans="1:17" ht="18" customHeight="1">
      <c r="A46" s="318"/>
      <c r="B46" s="318"/>
      <c r="C46" s="337"/>
      <c r="D46" s="806" t="s">
        <v>249</v>
      </c>
      <c r="E46" s="810"/>
      <c r="F46" s="136">
        <v>0</v>
      </c>
      <c r="G46" s="109">
        <v>0</v>
      </c>
      <c r="H46" s="297">
        <v>0</v>
      </c>
      <c r="I46" s="363"/>
      <c r="J46" s="109">
        <v>0</v>
      </c>
      <c r="K46" s="136">
        <v>0</v>
      </c>
      <c r="L46" s="136">
        <v>0</v>
      </c>
      <c r="M46" s="136">
        <v>0</v>
      </c>
      <c r="N46" s="109">
        <v>0</v>
      </c>
      <c r="O46" s="145">
        <v>0</v>
      </c>
      <c r="P46" s="365">
        <v>0</v>
      </c>
      <c r="Q46" s="8"/>
    </row>
    <row r="47" spans="1:17" ht="18" customHeight="1">
      <c r="A47" s="318"/>
      <c r="B47" s="318"/>
      <c r="C47" s="292" t="s">
        <v>250</v>
      </c>
      <c r="D47" s="294"/>
      <c r="E47" s="294"/>
      <c r="F47" s="288">
        <v>0</v>
      </c>
      <c r="G47" s="288">
        <v>0</v>
      </c>
      <c r="H47" s="289">
        <v>0</v>
      </c>
      <c r="I47" s="327"/>
      <c r="J47" s="288">
        <v>0</v>
      </c>
      <c r="K47" s="287">
        <v>0</v>
      </c>
      <c r="L47" s="287">
        <v>0</v>
      </c>
      <c r="M47" s="287">
        <v>0</v>
      </c>
      <c r="N47" s="288">
        <v>0</v>
      </c>
      <c r="O47" s="287">
        <v>0</v>
      </c>
      <c r="P47" s="291">
        <v>0</v>
      </c>
      <c r="Q47" s="8"/>
    </row>
    <row r="48" spans="1:17" ht="18" customHeight="1">
      <c r="A48" s="318"/>
      <c r="B48" s="318"/>
      <c r="C48" s="292"/>
      <c r="D48" s="342" t="s">
        <v>113</v>
      </c>
      <c r="E48" s="342"/>
      <c r="F48" s="303">
        <v>0</v>
      </c>
      <c r="G48" s="303">
        <v>0</v>
      </c>
      <c r="H48" s="297">
        <v>0</v>
      </c>
      <c r="I48" s="320"/>
      <c r="J48" s="303">
        <v>0</v>
      </c>
      <c r="K48" s="302">
        <v>0</v>
      </c>
      <c r="L48" s="302">
        <v>0</v>
      </c>
      <c r="M48" s="302">
        <v>0</v>
      </c>
      <c r="N48" s="303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2" t="s">
        <v>114</v>
      </c>
      <c r="E49" s="342"/>
      <c r="F49" s="302">
        <v>0</v>
      </c>
      <c r="G49" s="303">
        <v>0</v>
      </c>
      <c r="H49" s="297">
        <v>0</v>
      </c>
      <c r="I49" s="320"/>
      <c r="J49" s="303">
        <v>0</v>
      </c>
      <c r="K49" s="302">
        <v>0</v>
      </c>
      <c r="L49" s="302">
        <v>0</v>
      </c>
      <c r="M49" s="302">
        <v>0</v>
      </c>
      <c r="N49" s="303">
        <v>0</v>
      </c>
      <c r="O49" s="295">
        <v>0</v>
      </c>
      <c r="P49" s="299">
        <v>0</v>
      </c>
      <c r="Q49" s="8"/>
    </row>
    <row r="50" spans="1:17" ht="18" customHeight="1">
      <c r="A50" s="318"/>
      <c r="B50" s="318"/>
      <c r="C50" s="292"/>
      <c r="D50" s="343" t="s">
        <v>176</v>
      </c>
      <c r="E50" s="343"/>
      <c r="F50" s="329">
        <v>0</v>
      </c>
      <c r="G50" s="330">
        <v>0</v>
      </c>
      <c r="H50" s="297">
        <v>0</v>
      </c>
      <c r="I50" s="320"/>
      <c r="J50" s="330">
        <v>0</v>
      </c>
      <c r="K50" s="329">
        <v>0</v>
      </c>
      <c r="L50" s="329">
        <v>0</v>
      </c>
      <c r="M50" s="329">
        <v>0</v>
      </c>
      <c r="N50" s="330">
        <v>0</v>
      </c>
      <c r="O50" s="295">
        <v>0</v>
      </c>
      <c r="P50" s="299">
        <v>0</v>
      </c>
      <c r="Q50" s="8"/>
    </row>
    <row r="51" spans="1:17" ht="18" customHeight="1">
      <c r="A51" s="318"/>
      <c r="B51" s="318"/>
      <c r="C51" s="292"/>
      <c r="D51" s="344" t="s">
        <v>251</v>
      </c>
      <c r="E51" s="344"/>
      <c r="F51" s="338">
        <v>0</v>
      </c>
      <c r="G51" s="339">
        <v>0</v>
      </c>
      <c r="H51" s="345">
        <v>0</v>
      </c>
      <c r="I51" s="320"/>
      <c r="J51" s="339">
        <v>0</v>
      </c>
      <c r="K51" s="338">
        <v>0</v>
      </c>
      <c r="L51" s="338">
        <v>0</v>
      </c>
      <c r="M51" s="338">
        <v>0</v>
      </c>
      <c r="N51" s="339">
        <v>0</v>
      </c>
      <c r="O51" s="340">
        <v>0</v>
      </c>
      <c r="P51" s="341">
        <v>0</v>
      </c>
      <c r="Q51" s="8"/>
    </row>
    <row r="52" spans="1:17" ht="18" customHeight="1">
      <c r="A52" s="318"/>
      <c r="B52" s="318"/>
      <c r="C52" s="801" t="s">
        <v>252</v>
      </c>
      <c r="D52" s="802"/>
      <c r="E52" s="803"/>
      <c r="F52" s="346">
        <v>0</v>
      </c>
      <c r="G52" s="346">
        <v>0</v>
      </c>
      <c r="H52" s="178">
        <v>0</v>
      </c>
      <c r="I52" s="347"/>
      <c r="J52" s="346">
        <v>0</v>
      </c>
      <c r="K52" s="346">
        <v>0</v>
      </c>
      <c r="L52" s="346">
        <v>0</v>
      </c>
      <c r="M52" s="346">
        <v>0</v>
      </c>
      <c r="N52" s="346">
        <v>0</v>
      </c>
      <c r="O52" s="346">
        <v>0</v>
      </c>
      <c r="P52" s="171">
        <v>0</v>
      </c>
      <c r="Q52" s="8"/>
    </row>
    <row r="53" spans="1:17" ht="12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8"/>
    </row>
  </sheetData>
  <mergeCells count="10">
    <mergeCell ref="D44:E44"/>
    <mergeCell ref="D42:E42"/>
    <mergeCell ref="C52:E52"/>
    <mergeCell ref="D46:E46"/>
    <mergeCell ref="D45:E45"/>
    <mergeCell ref="A3:Q3"/>
    <mergeCell ref="A4:Q4"/>
    <mergeCell ref="C10:E10"/>
    <mergeCell ref="D34:E34"/>
    <mergeCell ref="D43:E43"/>
  </mergeCells>
  <phoneticPr fontId="35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53"/>
  <sheetViews>
    <sheetView showGridLines="0" workbookViewId="0"/>
  </sheetViews>
  <sheetFormatPr defaultColWidth="9" defaultRowHeight="0" customHeight="1" zero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262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263</v>
      </c>
    </row>
    <row r="8" spans="1:17" ht="18" customHeight="1">
      <c r="C8" s="84" t="s">
        <v>255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/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0</v>
      </c>
      <c r="G11" s="288">
        <v>0</v>
      </c>
      <c r="H11" s="289">
        <v>0</v>
      </c>
      <c r="I11" s="290"/>
      <c r="J11" s="288">
        <v>0</v>
      </c>
      <c r="K11" s="288">
        <v>0</v>
      </c>
      <c r="L11" s="287">
        <v>0</v>
      </c>
      <c r="M11" s="288">
        <v>0</v>
      </c>
      <c r="N11" s="288">
        <v>0</v>
      </c>
      <c r="O11" s="287">
        <v>0</v>
      </c>
      <c r="P11" s="291">
        <v>0</v>
      </c>
    </row>
    <row r="12" spans="1:17" ht="18" customHeight="1">
      <c r="C12" s="292"/>
      <c r="D12" s="293" t="s">
        <v>241</v>
      </c>
      <c r="E12" s="294"/>
      <c r="F12" s="295">
        <v>0</v>
      </c>
      <c r="G12" s="296">
        <v>0</v>
      </c>
      <c r="H12" s="297">
        <v>0</v>
      </c>
      <c r="I12" s="298"/>
      <c r="J12" s="296">
        <v>0</v>
      </c>
      <c r="K12" s="295">
        <v>0</v>
      </c>
      <c r="L12" s="295">
        <v>0</v>
      </c>
      <c r="M12" s="295">
        <v>0</v>
      </c>
      <c r="N12" s="296">
        <v>0</v>
      </c>
      <c r="O12" s="295">
        <v>0</v>
      </c>
      <c r="P12" s="299">
        <v>0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0</v>
      </c>
      <c r="K13" s="302">
        <v>0</v>
      </c>
      <c r="L13" s="302">
        <v>0</v>
      </c>
      <c r="M13" s="302">
        <v>0</v>
      </c>
      <c r="N13" s="303">
        <v>0</v>
      </c>
      <c r="O13" s="295">
        <v>0</v>
      </c>
      <c r="P13" s="299">
        <v>0</v>
      </c>
    </row>
    <row r="14" spans="1:17" ht="18" customHeight="1">
      <c r="C14" s="292"/>
      <c r="D14" s="300"/>
      <c r="E14" s="301" t="s">
        <v>181</v>
      </c>
      <c r="F14" s="302">
        <v>0</v>
      </c>
      <c r="G14" s="303">
        <v>0</v>
      </c>
      <c r="H14" s="297">
        <v>0</v>
      </c>
      <c r="I14" s="304"/>
      <c r="J14" s="303">
        <v>0</v>
      </c>
      <c r="K14" s="302">
        <v>0</v>
      </c>
      <c r="L14" s="302">
        <v>0</v>
      </c>
      <c r="M14" s="302">
        <v>0</v>
      </c>
      <c r="N14" s="303">
        <v>0</v>
      </c>
      <c r="O14" s="295">
        <v>0</v>
      </c>
      <c r="P14" s="299">
        <v>0</v>
      </c>
    </row>
    <row r="15" spans="1:17" ht="18" customHeight="1">
      <c r="C15" s="292"/>
      <c r="D15" s="300"/>
      <c r="E15" s="301" t="s">
        <v>182</v>
      </c>
      <c r="F15" s="302">
        <v>0</v>
      </c>
      <c r="G15" s="303">
        <v>0</v>
      </c>
      <c r="H15" s="297">
        <v>0</v>
      </c>
      <c r="I15" s="304"/>
      <c r="J15" s="303">
        <v>0</v>
      </c>
      <c r="K15" s="302">
        <v>0</v>
      </c>
      <c r="L15" s="302">
        <v>0</v>
      </c>
      <c r="M15" s="302">
        <v>0</v>
      </c>
      <c r="N15" s="303">
        <v>0</v>
      </c>
      <c r="O15" s="295">
        <v>0</v>
      </c>
      <c r="P15" s="299">
        <v>0</v>
      </c>
    </row>
    <row r="16" spans="1:17" ht="18" customHeight="1">
      <c r="C16" s="292"/>
      <c r="D16" s="300"/>
      <c r="E16" s="301" t="s">
        <v>183</v>
      </c>
      <c r="F16" s="302">
        <v>0</v>
      </c>
      <c r="G16" s="303">
        <v>0</v>
      </c>
      <c r="H16" s="297">
        <v>0</v>
      </c>
      <c r="I16" s="304"/>
      <c r="J16" s="303">
        <v>0</v>
      </c>
      <c r="K16" s="302">
        <v>0</v>
      </c>
      <c r="L16" s="302">
        <v>0</v>
      </c>
      <c r="M16" s="302">
        <v>0</v>
      </c>
      <c r="N16" s="303">
        <v>0</v>
      </c>
      <c r="O16" s="295">
        <v>0</v>
      </c>
      <c r="P16" s="299">
        <v>0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0</v>
      </c>
      <c r="K17" s="302">
        <v>0</v>
      </c>
      <c r="L17" s="302">
        <v>0</v>
      </c>
      <c r="M17" s="302">
        <v>0</v>
      </c>
      <c r="N17" s="303">
        <v>0</v>
      </c>
      <c r="O17" s="295">
        <v>0</v>
      </c>
      <c r="P17" s="299">
        <v>0</v>
      </c>
    </row>
    <row r="18" spans="1:17" ht="18" customHeight="1">
      <c r="C18" s="292"/>
      <c r="D18" s="293" t="s">
        <v>242</v>
      </c>
      <c r="E18" s="305"/>
      <c r="F18" s="295">
        <v>0</v>
      </c>
      <c r="G18" s="296">
        <v>0</v>
      </c>
      <c r="H18" s="297">
        <v>0</v>
      </c>
      <c r="I18" s="298"/>
      <c r="J18" s="296">
        <v>0</v>
      </c>
      <c r="K18" s="295">
        <v>0</v>
      </c>
      <c r="L18" s="295">
        <v>0</v>
      </c>
      <c r="M18" s="295">
        <v>0</v>
      </c>
      <c r="N18" s="296">
        <v>0</v>
      </c>
      <c r="O18" s="295">
        <v>0</v>
      </c>
      <c r="P18" s="299">
        <v>0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0</v>
      </c>
      <c r="K19" s="302">
        <v>0</v>
      </c>
      <c r="L19" s="302">
        <v>0</v>
      </c>
      <c r="M19" s="302">
        <v>0</v>
      </c>
      <c r="N19" s="303">
        <v>0</v>
      </c>
      <c r="O19" s="295">
        <v>0</v>
      </c>
      <c r="P19" s="299">
        <v>0</v>
      </c>
    </row>
    <row r="20" spans="1:17" ht="18" customHeight="1">
      <c r="C20" s="292"/>
      <c r="D20" s="300"/>
      <c r="E20" s="306" t="s">
        <v>186</v>
      </c>
      <c r="F20" s="302">
        <v>0</v>
      </c>
      <c r="G20" s="303">
        <v>0</v>
      </c>
      <c r="H20" s="297">
        <v>0</v>
      </c>
      <c r="I20" s="304"/>
      <c r="J20" s="303">
        <v>0</v>
      </c>
      <c r="K20" s="302">
        <v>0</v>
      </c>
      <c r="L20" s="302">
        <v>0</v>
      </c>
      <c r="M20" s="302">
        <v>0</v>
      </c>
      <c r="N20" s="303">
        <v>0</v>
      </c>
      <c r="O20" s="295">
        <v>0</v>
      </c>
      <c r="P20" s="299">
        <v>0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0</v>
      </c>
      <c r="H21" s="297">
        <v>0</v>
      </c>
      <c r="I21" s="298"/>
      <c r="J21" s="296">
        <v>0</v>
      </c>
      <c r="K21" s="295">
        <v>0</v>
      </c>
      <c r="L21" s="295">
        <v>0</v>
      </c>
      <c r="M21" s="295">
        <v>0</v>
      </c>
      <c r="N21" s="296">
        <v>0</v>
      </c>
      <c r="O21" s="295">
        <v>0</v>
      </c>
      <c r="P21" s="299">
        <v>0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0</v>
      </c>
      <c r="H22" s="297">
        <v>0</v>
      </c>
      <c r="I22" s="304"/>
      <c r="J22" s="303">
        <v>0</v>
      </c>
      <c r="K22" s="302">
        <v>0</v>
      </c>
      <c r="L22" s="302">
        <v>0</v>
      </c>
      <c r="M22" s="302">
        <v>0</v>
      </c>
      <c r="N22" s="303">
        <v>0</v>
      </c>
      <c r="O22" s="295">
        <v>0</v>
      </c>
      <c r="P22" s="299">
        <v>0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0</v>
      </c>
      <c r="H23" s="297">
        <v>0</v>
      </c>
      <c r="I23" s="304"/>
      <c r="J23" s="303">
        <v>0</v>
      </c>
      <c r="K23" s="302">
        <v>0</v>
      </c>
      <c r="L23" s="302">
        <v>0</v>
      </c>
      <c r="M23" s="302">
        <v>0</v>
      </c>
      <c r="N23" s="303">
        <v>0</v>
      </c>
      <c r="O23" s="295">
        <v>0</v>
      </c>
      <c r="P23" s="299">
        <v>0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0</v>
      </c>
      <c r="G26" s="296">
        <v>0</v>
      </c>
      <c r="H26" s="297">
        <v>0</v>
      </c>
      <c r="I26" s="298"/>
      <c r="J26" s="296">
        <v>0</v>
      </c>
      <c r="K26" s="295">
        <v>0</v>
      </c>
      <c r="L26" s="295">
        <v>0</v>
      </c>
      <c r="M26" s="295">
        <v>0</v>
      </c>
      <c r="N26" s="296">
        <v>0</v>
      </c>
      <c r="O26" s="295">
        <v>0</v>
      </c>
      <c r="P26" s="299">
        <v>0</v>
      </c>
    </row>
    <row r="27" spans="1:17" ht="18" customHeight="1">
      <c r="C27" s="292"/>
      <c r="D27" s="300"/>
      <c r="E27" s="308" t="s">
        <v>191</v>
      </c>
      <c r="F27" s="309">
        <v>0</v>
      </c>
      <c r="G27" s="310">
        <v>0</v>
      </c>
      <c r="H27" s="297">
        <v>0</v>
      </c>
      <c r="I27" s="304"/>
      <c r="J27" s="310">
        <v>0</v>
      </c>
      <c r="K27" s="309">
        <v>0</v>
      </c>
      <c r="L27" s="309">
        <v>0</v>
      </c>
      <c r="M27" s="309">
        <v>0</v>
      </c>
      <c r="N27" s="310">
        <v>0</v>
      </c>
      <c r="O27" s="295">
        <v>0</v>
      </c>
      <c r="P27" s="299">
        <v>0</v>
      </c>
    </row>
    <row r="28" spans="1:17" ht="18" customHeight="1">
      <c r="C28" s="292"/>
      <c r="D28" s="311"/>
      <c r="E28" s="306" t="s">
        <v>245</v>
      </c>
      <c r="F28" s="312">
        <v>0</v>
      </c>
      <c r="G28" s="313">
        <v>0</v>
      </c>
      <c r="H28" s="297">
        <v>0</v>
      </c>
      <c r="I28" s="314"/>
      <c r="J28" s="313">
        <v>0</v>
      </c>
      <c r="K28" s="312">
        <v>0</v>
      </c>
      <c r="L28" s="312">
        <v>0</v>
      </c>
      <c r="M28" s="312">
        <v>0</v>
      </c>
      <c r="N28" s="313">
        <v>0</v>
      </c>
      <c r="O28" s="295">
        <v>0</v>
      </c>
      <c r="P28" s="299">
        <v>0</v>
      </c>
    </row>
    <row r="29" spans="1:17" ht="18" customHeight="1">
      <c r="C29" s="292"/>
      <c r="D29" s="315"/>
      <c r="E29" s="301" t="s">
        <v>246</v>
      </c>
      <c r="F29" s="316">
        <v>0</v>
      </c>
      <c r="G29" s="317">
        <v>0</v>
      </c>
      <c r="H29" s="297">
        <v>0</v>
      </c>
      <c r="I29" s="314"/>
      <c r="J29" s="317">
        <v>0</v>
      </c>
      <c r="K29" s="316">
        <v>0</v>
      </c>
      <c r="L29" s="316">
        <v>0</v>
      </c>
      <c r="M29" s="316">
        <v>0</v>
      </c>
      <c r="N29" s="317">
        <v>0</v>
      </c>
      <c r="O29" s="295">
        <v>0</v>
      </c>
      <c r="P29" s="299">
        <v>0</v>
      </c>
    </row>
    <row r="30" spans="1:17" ht="18" customHeight="1">
      <c r="A30" s="318"/>
      <c r="B30" s="318"/>
      <c r="C30" s="292"/>
      <c r="D30" s="307" t="s">
        <v>192</v>
      </c>
      <c r="E30" s="319"/>
      <c r="F30" s="302">
        <v>0</v>
      </c>
      <c r="G30" s="303">
        <v>0</v>
      </c>
      <c r="H30" s="297">
        <v>0</v>
      </c>
      <c r="I30" s="320"/>
      <c r="J30" s="303">
        <v>0</v>
      </c>
      <c r="K30" s="302">
        <v>0</v>
      </c>
      <c r="L30" s="302">
        <v>0</v>
      </c>
      <c r="M30" s="302">
        <v>0</v>
      </c>
      <c r="N30" s="303">
        <v>0</v>
      </c>
      <c r="O30" s="295">
        <v>0</v>
      </c>
      <c r="P30" s="299">
        <v>0</v>
      </c>
      <c r="Q30" s="8"/>
    </row>
    <row r="31" spans="1:17" ht="18" customHeight="1">
      <c r="A31" s="318"/>
      <c r="B31" s="318"/>
      <c r="C31" s="292"/>
      <c r="D31" s="300" t="s">
        <v>193</v>
      </c>
      <c r="E31" s="319"/>
      <c r="F31" s="302">
        <v>0</v>
      </c>
      <c r="G31" s="303">
        <v>0</v>
      </c>
      <c r="H31" s="297">
        <v>0</v>
      </c>
      <c r="I31" s="320"/>
      <c r="J31" s="303">
        <v>0</v>
      </c>
      <c r="K31" s="302">
        <v>0</v>
      </c>
      <c r="L31" s="302">
        <v>0</v>
      </c>
      <c r="M31" s="302">
        <v>0</v>
      </c>
      <c r="N31" s="303">
        <v>0</v>
      </c>
      <c r="O31" s="295">
        <v>0</v>
      </c>
      <c r="P31" s="299">
        <v>0</v>
      </c>
      <c r="Q31" s="8"/>
    </row>
    <row r="32" spans="1:17" ht="18" customHeight="1">
      <c r="A32" s="318"/>
      <c r="B32" s="318"/>
      <c r="C32" s="321" t="s">
        <v>194</v>
      </c>
      <c r="D32" s="322"/>
      <c r="E32" s="322"/>
      <c r="F32" s="323">
        <v>0</v>
      </c>
      <c r="G32" s="167">
        <v>0</v>
      </c>
      <c r="H32" s="162">
        <v>0</v>
      </c>
      <c r="I32" s="324"/>
      <c r="J32" s="167">
        <v>0</v>
      </c>
      <c r="K32" s="323">
        <v>0</v>
      </c>
      <c r="L32" s="323">
        <v>0</v>
      </c>
      <c r="M32" s="323">
        <v>0</v>
      </c>
      <c r="N32" s="167">
        <v>0</v>
      </c>
      <c r="O32" s="162">
        <v>0</v>
      </c>
      <c r="P32" s="163">
        <v>0</v>
      </c>
      <c r="Q32" s="8"/>
    </row>
    <row r="33" spans="1:17" ht="18" customHeight="1">
      <c r="A33" s="318"/>
      <c r="B33" s="318"/>
      <c r="C33" s="285" t="s">
        <v>247</v>
      </c>
      <c r="D33" s="325"/>
      <c r="E33" s="326"/>
      <c r="F33" s="287">
        <v>0</v>
      </c>
      <c r="G33" s="288">
        <v>0</v>
      </c>
      <c r="H33" s="289">
        <v>0</v>
      </c>
      <c r="I33" s="327"/>
      <c r="J33" s="288">
        <v>0</v>
      </c>
      <c r="K33" s="287">
        <v>0</v>
      </c>
      <c r="L33" s="287">
        <v>0</v>
      </c>
      <c r="M33" s="287">
        <v>0</v>
      </c>
      <c r="N33" s="288">
        <v>0</v>
      </c>
      <c r="O33" s="287">
        <v>0</v>
      </c>
      <c r="P33" s="291">
        <v>0</v>
      </c>
      <c r="Q33" s="8"/>
    </row>
    <row r="34" spans="1:17" ht="18" customHeight="1">
      <c r="A34" s="318"/>
      <c r="B34" s="318"/>
      <c r="C34" s="328"/>
      <c r="D34" s="798" t="s">
        <v>211</v>
      </c>
      <c r="E34" s="799"/>
      <c r="F34" s="329">
        <v>0</v>
      </c>
      <c r="G34" s="330">
        <v>0</v>
      </c>
      <c r="H34" s="331">
        <v>0</v>
      </c>
      <c r="I34" s="320"/>
      <c r="J34" s="330">
        <v>0</v>
      </c>
      <c r="K34" s="329">
        <v>0</v>
      </c>
      <c r="L34" s="329">
        <v>0</v>
      </c>
      <c r="M34" s="329">
        <v>0</v>
      </c>
      <c r="N34" s="330">
        <v>0</v>
      </c>
      <c r="O34" s="332">
        <v>0</v>
      </c>
      <c r="P34" s="333">
        <v>0</v>
      </c>
      <c r="Q34" s="8"/>
    </row>
    <row r="35" spans="1:17" ht="18" customHeight="1">
      <c r="A35" s="318"/>
      <c r="B35" s="318"/>
      <c r="C35" s="292"/>
      <c r="D35" s="307" t="s">
        <v>212</v>
      </c>
      <c r="E35" s="319"/>
      <c r="F35" s="329">
        <v>0</v>
      </c>
      <c r="G35" s="330">
        <v>0</v>
      </c>
      <c r="H35" s="297">
        <v>0</v>
      </c>
      <c r="I35" s="320"/>
      <c r="J35" s="303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07" t="s">
        <v>213</v>
      </c>
      <c r="E36" s="319"/>
      <c r="F36" s="302">
        <v>0</v>
      </c>
      <c r="G36" s="303">
        <v>0</v>
      </c>
      <c r="H36" s="297">
        <v>0</v>
      </c>
      <c r="I36" s="320"/>
      <c r="J36" s="303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214</v>
      </c>
      <c r="E37" s="305"/>
      <c r="F37" s="302">
        <v>0</v>
      </c>
      <c r="G37" s="303">
        <v>0</v>
      </c>
      <c r="H37" s="297">
        <v>0</v>
      </c>
      <c r="I37" s="320"/>
      <c r="J37" s="303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215</v>
      </c>
      <c r="E38" s="305"/>
      <c r="F38" s="302">
        <v>0</v>
      </c>
      <c r="G38" s="303">
        <v>0</v>
      </c>
      <c r="H38" s="297">
        <v>0</v>
      </c>
      <c r="I38" s="320"/>
      <c r="J38" s="303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216</v>
      </c>
      <c r="E39" s="305"/>
      <c r="F39" s="302">
        <v>0</v>
      </c>
      <c r="G39" s="303">
        <v>0</v>
      </c>
      <c r="H39" s="297">
        <v>0</v>
      </c>
      <c r="I39" s="320"/>
      <c r="J39" s="303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334" t="s">
        <v>217</v>
      </c>
      <c r="E40" s="305"/>
      <c r="F40" s="330">
        <v>0</v>
      </c>
      <c r="G40" s="303">
        <v>0</v>
      </c>
      <c r="H40" s="297">
        <v>0</v>
      </c>
      <c r="I40" s="320"/>
      <c r="J40" s="303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334" t="s">
        <v>264</v>
      </c>
      <c r="E41" s="305"/>
      <c r="F41" s="330">
        <v>0</v>
      </c>
      <c r="G41" s="303">
        <v>0</v>
      </c>
      <c r="H41" s="297">
        <v>0</v>
      </c>
      <c r="I41" s="320"/>
      <c r="J41" s="303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219</v>
      </c>
      <c r="E42" s="800"/>
      <c r="F42" s="329">
        <v>0</v>
      </c>
      <c r="G42" s="330">
        <v>0</v>
      </c>
      <c r="H42" s="297">
        <v>0</v>
      </c>
      <c r="I42" s="320"/>
      <c r="J42" s="303">
        <v>0</v>
      </c>
      <c r="K42" s="302">
        <v>0</v>
      </c>
      <c r="L42" s="302">
        <v>0</v>
      </c>
      <c r="M42" s="302">
        <v>0</v>
      </c>
      <c r="N42" s="303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292"/>
      <c r="D43" s="798" t="s">
        <v>220</v>
      </c>
      <c r="E43" s="800"/>
      <c r="F43" s="329">
        <v>0</v>
      </c>
      <c r="G43" s="330">
        <v>0</v>
      </c>
      <c r="H43" s="297">
        <v>0</v>
      </c>
      <c r="I43" s="320"/>
      <c r="J43" s="303">
        <v>0</v>
      </c>
      <c r="K43" s="302">
        <v>0</v>
      </c>
      <c r="L43" s="302">
        <v>0</v>
      </c>
      <c r="M43" s="302">
        <v>0</v>
      </c>
      <c r="N43" s="303">
        <v>0</v>
      </c>
      <c r="O43" s="295">
        <v>0</v>
      </c>
      <c r="P43" s="299">
        <v>0</v>
      </c>
      <c r="Q43" s="8"/>
    </row>
    <row r="44" spans="1:17" ht="18" customHeight="1">
      <c r="A44" s="318"/>
      <c r="B44" s="318"/>
      <c r="C44" s="328"/>
      <c r="D44" s="798" t="s">
        <v>221</v>
      </c>
      <c r="E44" s="799"/>
      <c r="F44" s="329">
        <v>0</v>
      </c>
      <c r="G44" s="330">
        <v>0</v>
      </c>
      <c r="H44" s="331">
        <v>0</v>
      </c>
      <c r="I44" s="320"/>
      <c r="J44" s="330">
        <v>0</v>
      </c>
      <c r="K44" s="329">
        <v>0</v>
      </c>
      <c r="L44" s="329">
        <v>0</v>
      </c>
      <c r="M44" s="329">
        <v>0</v>
      </c>
      <c r="N44" s="330">
        <v>0</v>
      </c>
      <c r="O44" s="332">
        <v>0</v>
      </c>
      <c r="P44" s="333">
        <v>0</v>
      </c>
      <c r="Q44" s="8"/>
    </row>
    <row r="45" spans="1:17" ht="18" customHeight="1">
      <c r="A45" s="318"/>
      <c r="B45" s="318"/>
      <c r="C45" s="335"/>
      <c r="D45" s="798" t="s">
        <v>248</v>
      </c>
      <c r="E45" s="799"/>
      <c r="F45" s="329">
        <v>0</v>
      </c>
      <c r="G45" s="330">
        <v>0</v>
      </c>
      <c r="H45" s="297">
        <v>0</v>
      </c>
      <c r="I45" s="336"/>
      <c r="J45" s="330">
        <v>0</v>
      </c>
      <c r="K45" s="329">
        <v>0</v>
      </c>
      <c r="L45" s="329">
        <v>0</v>
      </c>
      <c r="M45" s="329">
        <v>0</v>
      </c>
      <c r="N45" s="330">
        <v>0</v>
      </c>
      <c r="O45" s="332">
        <v>0</v>
      </c>
      <c r="P45" s="333">
        <v>0</v>
      </c>
      <c r="Q45" s="8"/>
    </row>
    <row r="46" spans="1:17" ht="18" customHeight="1">
      <c r="A46" s="318"/>
      <c r="B46" s="318"/>
      <c r="C46" s="337"/>
      <c r="D46" s="806" t="s">
        <v>249</v>
      </c>
      <c r="E46" s="810"/>
      <c r="F46" s="136">
        <v>0</v>
      </c>
      <c r="G46" s="109">
        <v>0</v>
      </c>
      <c r="H46" s="297">
        <v>0</v>
      </c>
      <c r="I46" s="363"/>
      <c r="J46" s="109">
        <v>0</v>
      </c>
      <c r="K46" s="136">
        <v>0</v>
      </c>
      <c r="L46" s="136">
        <v>0</v>
      </c>
      <c r="M46" s="136">
        <v>0</v>
      </c>
      <c r="N46" s="109">
        <v>0</v>
      </c>
      <c r="O46" s="145">
        <v>0</v>
      </c>
      <c r="P46" s="365">
        <v>0</v>
      </c>
      <c r="Q46" s="8"/>
    </row>
    <row r="47" spans="1:17" ht="18" customHeight="1">
      <c r="A47" s="318"/>
      <c r="B47" s="318"/>
      <c r="C47" s="292" t="s">
        <v>250</v>
      </c>
      <c r="D47" s="294"/>
      <c r="E47" s="294"/>
      <c r="F47" s="288">
        <v>0</v>
      </c>
      <c r="G47" s="288">
        <v>0</v>
      </c>
      <c r="H47" s="289">
        <v>0</v>
      </c>
      <c r="I47" s="327"/>
      <c r="J47" s="288">
        <v>0</v>
      </c>
      <c r="K47" s="287">
        <v>0</v>
      </c>
      <c r="L47" s="287">
        <v>0</v>
      </c>
      <c r="M47" s="287">
        <v>0</v>
      </c>
      <c r="N47" s="288">
        <v>0</v>
      </c>
      <c r="O47" s="287">
        <v>0</v>
      </c>
      <c r="P47" s="291">
        <v>0</v>
      </c>
      <c r="Q47" s="8"/>
    </row>
    <row r="48" spans="1:17" ht="18" customHeight="1">
      <c r="A48" s="318"/>
      <c r="B48" s="318"/>
      <c r="C48" s="292"/>
      <c r="D48" s="342" t="s">
        <v>113</v>
      </c>
      <c r="E48" s="342"/>
      <c r="F48" s="303">
        <v>0</v>
      </c>
      <c r="G48" s="303">
        <v>0</v>
      </c>
      <c r="H48" s="297">
        <v>0</v>
      </c>
      <c r="I48" s="320"/>
      <c r="J48" s="303">
        <v>0</v>
      </c>
      <c r="K48" s="302">
        <v>0</v>
      </c>
      <c r="L48" s="302">
        <v>0</v>
      </c>
      <c r="M48" s="302">
        <v>0</v>
      </c>
      <c r="N48" s="303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2" t="s">
        <v>114</v>
      </c>
      <c r="E49" s="342"/>
      <c r="F49" s="302">
        <v>0</v>
      </c>
      <c r="G49" s="303">
        <v>0</v>
      </c>
      <c r="H49" s="297">
        <v>0</v>
      </c>
      <c r="I49" s="320"/>
      <c r="J49" s="303">
        <v>0</v>
      </c>
      <c r="K49" s="302">
        <v>0</v>
      </c>
      <c r="L49" s="302">
        <v>0</v>
      </c>
      <c r="M49" s="302">
        <v>0</v>
      </c>
      <c r="N49" s="303">
        <v>0</v>
      </c>
      <c r="O49" s="295">
        <v>0</v>
      </c>
      <c r="P49" s="299">
        <v>0</v>
      </c>
      <c r="Q49" s="8"/>
    </row>
    <row r="50" spans="1:17" ht="18" customHeight="1">
      <c r="A50" s="318"/>
      <c r="B50" s="318"/>
      <c r="C50" s="292"/>
      <c r="D50" s="343" t="s">
        <v>176</v>
      </c>
      <c r="E50" s="343"/>
      <c r="F50" s="329">
        <v>0</v>
      </c>
      <c r="G50" s="330">
        <v>0</v>
      </c>
      <c r="H50" s="297">
        <v>0</v>
      </c>
      <c r="I50" s="320"/>
      <c r="J50" s="330">
        <v>0</v>
      </c>
      <c r="K50" s="329">
        <v>0</v>
      </c>
      <c r="L50" s="329">
        <v>0</v>
      </c>
      <c r="M50" s="329">
        <v>0</v>
      </c>
      <c r="N50" s="330">
        <v>0</v>
      </c>
      <c r="O50" s="295">
        <v>0</v>
      </c>
      <c r="P50" s="299">
        <v>0</v>
      </c>
      <c r="Q50" s="8"/>
    </row>
    <row r="51" spans="1:17" ht="18" customHeight="1">
      <c r="A51" s="318"/>
      <c r="B51" s="318"/>
      <c r="C51" s="292"/>
      <c r="D51" s="344" t="s">
        <v>251</v>
      </c>
      <c r="E51" s="344"/>
      <c r="F51" s="338">
        <v>0</v>
      </c>
      <c r="G51" s="339">
        <v>0</v>
      </c>
      <c r="H51" s="345">
        <v>0</v>
      </c>
      <c r="I51" s="320"/>
      <c r="J51" s="339">
        <v>0</v>
      </c>
      <c r="K51" s="338">
        <v>0</v>
      </c>
      <c r="L51" s="338">
        <v>0</v>
      </c>
      <c r="M51" s="338">
        <v>0</v>
      </c>
      <c r="N51" s="339">
        <v>0</v>
      </c>
      <c r="O51" s="340">
        <v>0</v>
      </c>
      <c r="P51" s="341">
        <v>0</v>
      </c>
      <c r="Q51" s="8"/>
    </row>
    <row r="52" spans="1:17" ht="18" customHeight="1">
      <c r="A52" s="318"/>
      <c r="B52" s="318"/>
      <c r="C52" s="801" t="s">
        <v>252</v>
      </c>
      <c r="D52" s="802"/>
      <c r="E52" s="803"/>
      <c r="F52" s="346">
        <v>0</v>
      </c>
      <c r="G52" s="346">
        <v>0</v>
      </c>
      <c r="H52" s="178">
        <v>0</v>
      </c>
      <c r="I52" s="347"/>
      <c r="J52" s="346">
        <v>0</v>
      </c>
      <c r="K52" s="346">
        <v>0</v>
      </c>
      <c r="L52" s="346">
        <v>0</v>
      </c>
      <c r="M52" s="346">
        <v>0</v>
      </c>
      <c r="N52" s="346">
        <v>0</v>
      </c>
      <c r="O52" s="346">
        <v>0</v>
      </c>
      <c r="P52" s="171">
        <v>0</v>
      </c>
      <c r="Q52" s="8"/>
    </row>
    <row r="53" spans="1:17" ht="12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8"/>
    </row>
  </sheetData>
  <mergeCells count="10">
    <mergeCell ref="D44:E44"/>
    <mergeCell ref="D42:E42"/>
    <mergeCell ref="C52:E52"/>
    <mergeCell ref="D46:E46"/>
    <mergeCell ref="D45:E45"/>
    <mergeCell ref="A3:Q3"/>
    <mergeCell ref="A4:Q4"/>
    <mergeCell ref="C10:E10"/>
    <mergeCell ref="D34:E34"/>
    <mergeCell ref="D43:E43"/>
  </mergeCells>
  <phoneticPr fontId="35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53"/>
  <sheetViews>
    <sheetView showGridLines="0" workbookViewId="0"/>
  </sheetViews>
  <sheetFormatPr defaultColWidth="9" defaultRowHeight="0" customHeight="1" zero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265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266</v>
      </c>
    </row>
    <row r="8" spans="1:17" ht="18" customHeight="1">
      <c r="C8" s="84" t="s">
        <v>238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/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0</v>
      </c>
      <c r="G11" s="288">
        <v>0</v>
      </c>
      <c r="H11" s="289">
        <v>0</v>
      </c>
      <c r="I11" s="290"/>
      <c r="J11" s="288">
        <v>0</v>
      </c>
      <c r="K11" s="288">
        <v>0</v>
      </c>
      <c r="L11" s="287">
        <v>0</v>
      </c>
      <c r="M11" s="288">
        <v>0</v>
      </c>
      <c r="N11" s="288">
        <v>0</v>
      </c>
      <c r="O11" s="287">
        <v>0</v>
      </c>
      <c r="P11" s="291">
        <v>0</v>
      </c>
    </row>
    <row r="12" spans="1:17" ht="18" customHeight="1">
      <c r="C12" s="292"/>
      <c r="D12" s="293" t="s">
        <v>241</v>
      </c>
      <c r="E12" s="294"/>
      <c r="F12" s="295">
        <v>0</v>
      </c>
      <c r="G12" s="296">
        <v>0</v>
      </c>
      <c r="H12" s="297">
        <v>0</v>
      </c>
      <c r="I12" s="298"/>
      <c r="J12" s="296">
        <v>0</v>
      </c>
      <c r="K12" s="295">
        <v>0</v>
      </c>
      <c r="L12" s="295">
        <v>0</v>
      </c>
      <c r="M12" s="295">
        <v>0</v>
      </c>
      <c r="N12" s="296">
        <v>0</v>
      </c>
      <c r="O12" s="295">
        <v>0</v>
      </c>
      <c r="P12" s="299">
        <v>0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0</v>
      </c>
      <c r="K13" s="302">
        <v>0</v>
      </c>
      <c r="L13" s="302">
        <v>0</v>
      </c>
      <c r="M13" s="302">
        <v>0</v>
      </c>
      <c r="N13" s="303">
        <v>0</v>
      </c>
      <c r="O13" s="295">
        <v>0</v>
      </c>
      <c r="P13" s="299">
        <v>0</v>
      </c>
    </row>
    <row r="14" spans="1:17" ht="18" customHeight="1">
      <c r="C14" s="292"/>
      <c r="D14" s="300"/>
      <c r="E14" s="301" t="s">
        <v>181</v>
      </c>
      <c r="F14" s="302">
        <v>0</v>
      </c>
      <c r="G14" s="303">
        <v>0</v>
      </c>
      <c r="H14" s="297">
        <v>0</v>
      </c>
      <c r="I14" s="304"/>
      <c r="J14" s="303">
        <v>0</v>
      </c>
      <c r="K14" s="302">
        <v>0</v>
      </c>
      <c r="L14" s="302">
        <v>0</v>
      </c>
      <c r="M14" s="302">
        <v>0</v>
      </c>
      <c r="N14" s="303">
        <v>0</v>
      </c>
      <c r="O14" s="295">
        <v>0</v>
      </c>
      <c r="P14" s="299">
        <v>0</v>
      </c>
    </row>
    <row r="15" spans="1:17" ht="18" customHeight="1">
      <c r="C15" s="292"/>
      <c r="D15" s="300"/>
      <c r="E15" s="301" t="s">
        <v>182</v>
      </c>
      <c r="F15" s="302">
        <v>0</v>
      </c>
      <c r="G15" s="303">
        <v>0</v>
      </c>
      <c r="H15" s="297">
        <v>0</v>
      </c>
      <c r="I15" s="304"/>
      <c r="J15" s="303">
        <v>0</v>
      </c>
      <c r="K15" s="302">
        <v>0</v>
      </c>
      <c r="L15" s="302">
        <v>0</v>
      </c>
      <c r="M15" s="302">
        <v>0</v>
      </c>
      <c r="N15" s="303">
        <v>0</v>
      </c>
      <c r="O15" s="295">
        <v>0</v>
      </c>
      <c r="P15" s="299">
        <v>0</v>
      </c>
    </row>
    <row r="16" spans="1:17" ht="18" customHeight="1">
      <c r="C16" s="292"/>
      <c r="D16" s="300"/>
      <c r="E16" s="301" t="s">
        <v>183</v>
      </c>
      <c r="F16" s="302">
        <v>0</v>
      </c>
      <c r="G16" s="303">
        <v>0</v>
      </c>
      <c r="H16" s="297">
        <v>0</v>
      </c>
      <c r="I16" s="304"/>
      <c r="J16" s="303">
        <v>0</v>
      </c>
      <c r="K16" s="302">
        <v>0</v>
      </c>
      <c r="L16" s="302">
        <v>0</v>
      </c>
      <c r="M16" s="302">
        <v>0</v>
      </c>
      <c r="N16" s="303">
        <v>0</v>
      </c>
      <c r="O16" s="295">
        <v>0</v>
      </c>
      <c r="P16" s="299">
        <v>0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0</v>
      </c>
      <c r="K17" s="302">
        <v>0</v>
      </c>
      <c r="L17" s="302">
        <v>0</v>
      </c>
      <c r="M17" s="302">
        <v>0</v>
      </c>
      <c r="N17" s="303">
        <v>0</v>
      </c>
      <c r="O17" s="295">
        <v>0</v>
      </c>
      <c r="P17" s="299">
        <v>0</v>
      </c>
    </row>
    <row r="18" spans="1:17" ht="18" customHeight="1">
      <c r="C18" s="292"/>
      <c r="D18" s="293" t="s">
        <v>242</v>
      </c>
      <c r="E18" s="305"/>
      <c r="F18" s="295">
        <v>0</v>
      </c>
      <c r="G18" s="296">
        <v>0</v>
      </c>
      <c r="H18" s="297">
        <v>0</v>
      </c>
      <c r="I18" s="298"/>
      <c r="J18" s="296">
        <v>0</v>
      </c>
      <c r="K18" s="295">
        <v>0</v>
      </c>
      <c r="L18" s="295">
        <v>0</v>
      </c>
      <c r="M18" s="295">
        <v>0</v>
      </c>
      <c r="N18" s="296">
        <v>0</v>
      </c>
      <c r="O18" s="295">
        <v>0</v>
      </c>
      <c r="P18" s="299">
        <v>0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0</v>
      </c>
      <c r="K19" s="302">
        <v>0</v>
      </c>
      <c r="L19" s="302">
        <v>0</v>
      </c>
      <c r="M19" s="302">
        <v>0</v>
      </c>
      <c r="N19" s="303">
        <v>0</v>
      </c>
      <c r="O19" s="295">
        <v>0</v>
      </c>
      <c r="P19" s="299">
        <v>0</v>
      </c>
    </row>
    <row r="20" spans="1:17" ht="18" customHeight="1">
      <c r="C20" s="292"/>
      <c r="D20" s="300"/>
      <c r="E20" s="306" t="s">
        <v>186</v>
      </c>
      <c r="F20" s="302">
        <v>0</v>
      </c>
      <c r="G20" s="303">
        <v>0</v>
      </c>
      <c r="H20" s="297">
        <v>0</v>
      </c>
      <c r="I20" s="304"/>
      <c r="J20" s="303">
        <v>0</v>
      </c>
      <c r="K20" s="302">
        <v>0</v>
      </c>
      <c r="L20" s="302">
        <v>0</v>
      </c>
      <c r="M20" s="302">
        <v>0</v>
      </c>
      <c r="N20" s="303">
        <v>0</v>
      </c>
      <c r="O20" s="295">
        <v>0</v>
      </c>
      <c r="P20" s="299">
        <v>0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0</v>
      </c>
      <c r="H21" s="297">
        <v>0</v>
      </c>
      <c r="I21" s="298"/>
      <c r="J21" s="296">
        <v>0</v>
      </c>
      <c r="K21" s="295">
        <v>0</v>
      </c>
      <c r="L21" s="295">
        <v>0</v>
      </c>
      <c r="M21" s="295">
        <v>0</v>
      </c>
      <c r="N21" s="296">
        <v>0</v>
      </c>
      <c r="O21" s="295">
        <v>0</v>
      </c>
      <c r="P21" s="299">
        <v>0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0</v>
      </c>
      <c r="H22" s="297">
        <v>0</v>
      </c>
      <c r="I22" s="304"/>
      <c r="J22" s="303">
        <v>0</v>
      </c>
      <c r="K22" s="302">
        <v>0</v>
      </c>
      <c r="L22" s="302">
        <v>0</v>
      </c>
      <c r="M22" s="302">
        <v>0</v>
      </c>
      <c r="N22" s="303">
        <v>0</v>
      </c>
      <c r="O22" s="295">
        <v>0</v>
      </c>
      <c r="P22" s="299">
        <v>0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0</v>
      </c>
      <c r="H23" s="297">
        <v>0</v>
      </c>
      <c r="I23" s="304"/>
      <c r="J23" s="303">
        <v>0</v>
      </c>
      <c r="K23" s="302">
        <v>0</v>
      </c>
      <c r="L23" s="302">
        <v>0</v>
      </c>
      <c r="M23" s="302">
        <v>0</v>
      </c>
      <c r="N23" s="303">
        <v>0</v>
      </c>
      <c r="O23" s="295">
        <v>0</v>
      </c>
      <c r="P23" s="299">
        <v>0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0</v>
      </c>
      <c r="G26" s="296">
        <v>0</v>
      </c>
      <c r="H26" s="297">
        <v>0</v>
      </c>
      <c r="I26" s="298"/>
      <c r="J26" s="296">
        <v>0</v>
      </c>
      <c r="K26" s="295">
        <v>0</v>
      </c>
      <c r="L26" s="295">
        <v>0</v>
      </c>
      <c r="M26" s="295">
        <v>0</v>
      </c>
      <c r="N26" s="296">
        <v>0</v>
      </c>
      <c r="O26" s="295">
        <v>0</v>
      </c>
      <c r="P26" s="299">
        <v>0</v>
      </c>
    </row>
    <row r="27" spans="1:17" ht="18" customHeight="1">
      <c r="C27" s="292"/>
      <c r="D27" s="300"/>
      <c r="E27" s="308" t="s">
        <v>191</v>
      </c>
      <c r="F27" s="309">
        <v>0</v>
      </c>
      <c r="G27" s="310">
        <v>0</v>
      </c>
      <c r="H27" s="297">
        <v>0</v>
      </c>
      <c r="I27" s="304"/>
      <c r="J27" s="310">
        <v>0</v>
      </c>
      <c r="K27" s="309">
        <v>0</v>
      </c>
      <c r="L27" s="309">
        <v>0</v>
      </c>
      <c r="M27" s="309">
        <v>0</v>
      </c>
      <c r="N27" s="310">
        <v>0</v>
      </c>
      <c r="O27" s="295">
        <v>0</v>
      </c>
      <c r="P27" s="299">
        <v>0</v>
      </c>
    </row>
    <row r="28" spans="1:17" ht="18" customHeight="1">
      <c r="C28" s="292"/>
      <c r="D28" s="311"/>
      <c r="E28" s="306" t="s">
        <v>245</v>
      </c>
      <c r="F28" s="312">
        <v>0</v>
      </c>
      <c r="G28" s="313">
        <v>0</v>
      </c>
      <c r="H28" s="297">
        <v>0</v>
      </c>
      <c r="I28" s="314"/>
      <c r="J28" s="313">
        <v>0</v>
      </c>
      <c r="K28" s="312">
        <v>0</v>
      </c>
      <c r="L28" s="312">
        <v>0</v>
      </c>
      <c r="M28" s="312">
        <v>0</v>
      </c>
      <c r="N28" s="313">
        <v>0</v>
      </c>
      <c r="O28" s="295">
        <v>0</v>
      </c>
      <c r="P28" s="299">
        <v>0</v>
      </c>
    </row>
    <row r="29" spans="1:17" ht="18" customHeight="1">
      <c r="C29" s="292"/>
      <c r="D29" s="315"/>
      <c r="E29" s="301" t="s">
        <v>246</v>
      </c>
      <c r="F29" s="316">
        <v>0</v>
      </c>
      <c r="G29" s="317">
        <v>0</v>
      </c>
      <c r="H29" s="297">
        <v>0</v>
      </c>
      <c r="I29" s="314"/>
      <c r="J29" s="317">
        <v>0</v>
      </c>
      <c r="K29" s="316">
        <v>0</v>
      </c>
      <c r="L29" s="316">
        <v>0</v>
      </c>
      <c r="M29" s="316">
        <v>0</v>
      </c>
      <c r="N29" s="317">
        <v>0</v>
      </c>
      <c r="O29" s="295">
        <v>0</v>
      </c>
      <c r="P29" s="299">
        <v>0</v>
      </c>
    </row>
    <row r="30" spans="1:17" ht="18" customHeight="1">
      <c r="A30" s="318"/>
      <c r="B30" s="318"/>
      <c r="C30" s="292"/>
      <c r="D30" s="307" t="s">
        <v>192</v>
      </c>
      <c r="E30" s="319"/>
      <c r="F30" s="302">
        <v>0</v>
      </c>
      <c r="G30" s="303">
        <v>0</v>
      </c>
      <c r="H30" s="297">
        <v>0</v>
      </c>
      <c r="I30" s="320"/>
      <c r="J30" s="303">
        <v>0</v>
      </c>
      <c r="K30" s="302">
        <v>0</v>
      </c>
      <c r="L30" s="302">
        <v>0</v>
      </c>
      <c r="M30" s="302">
        <v>0</v>
      </c>
      <c r="N30" s="303">
        <v>0</v>
      </c>
      <c r="O30" s="295">
        <v>0</v>
      </c>
      <c r="P30" s="299">
        <v>0</v>
      </c>
      <c r="Q30" s="8"/>
    </row>
    <row r="31" spans="1:17" ht="18" customHeight="1">
      <c r="A31" s="318"/>
      <c r="B31" s="318"/>
      <c r="C31" s="292"/>
      <c r="D31" s="300" t="s">
        <v>193</v>
      </c>
      <c r="E31" s="319"/>
      <c r="F31" s="302">
        <v>0</v>
      </c>
      <c r="G31" s="303">
        <v>0</v>
      </c>
      <c r="H31" s="297">
        <v>0</v>
      </c>
      <c r="I31" s="320"/>
      <c r="J31" s="303">
        <v>0</v>
      </c>
      <c r="K31" s="302">
        <v>0</v>
      </c>
      <c r="L31" s="302">
        <v>0</v>
      </c>
      <c r="M31" s="302">
        <v>0</v>
      </c>
      <c r="N31" s="303">
        <v>0</v>
      </c>
      <c r="O31" s="295">
        <v>0</v>
      </c>
      <c r="P31" s="299">
        <v>0</v>
      </c>
      <c r="Q31" s="8"/>
    </row>
    <row r="32" spans="1:17" ht="18" customHeight="1">
      <c r="A32" s="318"/>
      <c r="B32" s="318"/>
      <c r="C32" s="321" t="s">
        <v>194</v>
      </c>
      <c r="D32" s="322"/>
      <c r="E32" s="322"/>
      <c r="F32" s="323">
        <v>0</v>
      </c>
      <c r="G32" s="167">
        <v>0</v>
      </c>
      <c r="H32" s="162">
        <v>0</v>
      </c>
      <c r="I32" s="324"/>
      <c r="J32" s="167">
        <v>0</v>
      </c>
      <c r="K32" s="323">
        <v>0</v>
      </c>
      <c r="L32" s="323">
        <v>0</v>
      </c>
      <c r="M32" s="323">
        <v>0</v>
      </c>
      <c r="N32" s="167">
        <v>0</v>
      </c>
      <c r="O32" s="162">
        <v>0</v>
      </c>
      <c r="P32" s="163">
        <v>0</v>
      </c>
      <c r="Q32" s="8"/>
    </row>
    <row r="33" spans="1:17" ht="18" customHeight="1">
      <c r="A33" s="318"/>
      <c r="B33" s="318"/>
      <c r="C33" s="285" t="s">
        <v>247</v>
      </c>
      <c r="D33" s="325"/>
      <c r="E33" s="326"/>
      <c r="F33" s="287">
        <v>0</v>
      </c>
      <c r="G33" s="288">
        <v>0</v>
      </c>
      <c r="H33" s="289">
        <v>0</v>
      </c>
      <c r="I33" s="327"/>
      <c r="J33" s="288">
        <v>0</v>
      </c>
      <c r="K33" s="287">
        <v>0</v>
      </c>
      <c r="L33" s="287">
        <v>0</v>
      </c>
      <c r="M33" s="287">
        <v>0</v>
      </c>
      <c r="N33" s="288">
        <v>0</v>
      </c>
      <c r="O33" s="287">
        <v>0</v>
      </c>
      <c r="P33" s="291">
        <v>0</v>
      </c>
      <c r="Q33" s="8"/>
    </row>
    <row r="34" spans="1:17" ht="18" customHeight="1">
      <c r="A34" s="318"/>
      <c r="B34" s="318"/>
      <c r="C34" s="328"/>
      <c r="D34" s="798" t="s">
        <v>211</v>
      </c>
      <c r="E34" s="799"/>
      <c r="F34" s="329">
        <v>0</v>
      </c>
      <c r="G34" s="330">
        <v>0</v>
      </c>
      <c r="H34" s="331">
        <v>0</v>
      </c>
      <c r="I34" s="320"/>
      <c r="J34" s="330">
        <v>0</v>
      </c>
      <c r="K34" s="329">
        <v>0</v>
      </c>
      <c r="L34" s="329">
        <v>0</v>
      </c>
      <c r="M34" s="329">
        <v>0</v>
      </c>
      <c r="N34" s="330">
        <v>0</v>
      </c>
      <c r="O34" s="332">
        <v>0</v>
      </c>
      <c r="P34" s="333">
        <v>0</v>
      </c>
      <c r="Q34" s="8"/>
    </row>
    <row r="35" spans="1:17" ht="18" customHeight="1">
      <c r="A35" s="318"/>
      <c r="B35" s="318"/>
      <c r="C35" s="292"/>
      <c r="D35" s="307" t="s">
        <v>212</v>
      </c>
      <c r="E35" s="319"/>
      <c r="F35" s="329">
        <v>0</v>
      </c>
      <c r="G35" s="330">
        <v>0</v>
      </c>
      <c r="H35" s="297">
        <v>0</v>
      </c>
      <c r="I35" s="320"/>
      <c r="J35" s="303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07" t="s">
        <v>213</v>
      </c>
      <c r="E36" s="319"/>
      <c r="F36" s="302">
        <v>0</v>
      </c>
      <c r="G36" s="303">
        <v>0</v>
      </c>
      <c r="H36" s="297">
        <v>0</v>
      </c>
      <c r="I36" s="320"/>
      <c r="J36" s="303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214</v>
      </c>
      <c r="E37" s="305"/>
      <c r="F37" s="302">
        <v>0</v>
      </c>
      <c r="G37" s="303">
        <v>0</v>
      </c>
      <c r="H37" s="297">
        <v>0</v>
      </c>
      <c r="I37" s="320"/>
      <c r="J37" s="303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215</v>
      </c>
      <c r="E38" s="305"/>
      <c r="F38" s="302">
        <v>0</v>
      </c>
      <c r="G38" s="303">
        <v>0</v>
      </c>
      <c r="H38" s="297">
        <v>0</v>
      </c>
      <c r="I38" s="320"/>
      <c r="J38" s="303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216</v>
      </c>
      <c r="E39" s="305"/>
      <c r="F39" s="302">
        <v>0</v>
      </c>
      <c r="G39" s="303">
        <v>0</v>
      </c>
      <c r="H39" s="297">
        <v>0</v>
      </c>
      <c r="I39" s="320"/>
      <c r="J39" s="303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334" t="s">
        <v>217</v>
      </c>
      <c r="E40" s="305"/>
      <c r="F40" s="330">
        <v>0</v>
      </c>
      <c r="G40" s="303">
        <v>0</v>
      </c>
      <c r="H40" s="297">
        <v>0</v>
      </c>
      <c r="I40" s="320"/>
      <c r="J40" s="303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334" t="s">
        <v>218</v>
      </c>
      <c r="E41" s="305"/>
      <c r="F41" s="330">
        <v>0</v>
      </c>
      <c r="G41" s="303">
        <v>0</v>
      </c>
      <c r="H41" s="297">
        <v>0</v>
      </c>
      <c r="I41" s="320"/>
      <c r="J41" s="303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219</v>
      </c>
      <c r="E42" s="800"/>
      <c r="F42" s="329">
        <v>0</v>
      </c>
      <c r="G42" s="330">
        <v>0</v>
      </c>
      <c r="H42" s="297">
        <v>0</v>
      </c>
      <c r="I42" s="320"/>
      <c r="J42" s="303">
        <v>0</v>
      </c>
      <c r="K42" s="302">
        <v>0</v>
      </c>
      <c r="L42" s="302">
        <v>0</v>
      </c>
      <c r="M42" s="302">
        <v>0</v>
      </c>
      <c r="N42" s="303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292"/>
      <c r="D43" s="798" t="s">
        <v>220</v>
      </c>
      <c r="E43" s="800"/>
      <c r="F43" s="329">
        <v>0</v>
      </c>
      <c r="G43" s="330">
        <v>0</v>
      </c>
      <c r="H43" s="297">
        <v>0</v>
      </c>
      <c r="I43" s="320"/>
      <c r="J43" s="303">
        <v>0</v>
      </c>
      <c r="K43" s="302">
        <v>0</v>
      </c>
      <c r="L43" s="302">
        <v>0</v>
      </c>
      <c r="M43" s="302">
        <v>0</v>
      </c>
      <c r="N43" s="303">
        <v>0</v>
      </c>
      <c r="O43" s="295">
        <v>0</v>
      </c>
      <c r="P43" s="299">
        <v>0</v>
      </c>
      <c r="Q43" s="8"/>
    </row>
    <row r="44" spans="1:17" ht="18" customHeight="1">
      <c r="A44" s="318"/>
      <c r="B44" s="318"/>
      <c r="C44" s="328"/>
      <c r="D44" s="798" t="s">
        <v>221</v>
      </c>
      <c r="E44" s="799"/>
      <c r="F44" s="329">
        <v>0</v>
      </c>
      <c r="G44" s="330">
        <v>0</v>
      </c>
      <c r="H44" s="331">
        <v>0</v>
      </c>
      <c r="I44" s="320"/>
      <c r="J44" s="330">
        <v>0</v>
      </c>
      <c r="K44" s="329">
        <v>0</v>
      </c>
      <c r="L44" s="329">
        <v>0</v>
      </c>
      <c r="M44" s="329">
        <v>0</v>
      </c>
      <c r="N44" s="330">
        <v>0</v>
      </c>
      <c r="O44" s="332">
        <v>0</v>
      </c>
      <c r="P44" s="333">
        <v>0</v>
      </c>
      <c r="Q44" s="8"/>
    </row>
    <row r="45" spans="1:17" ht="18" customHeight="1">
      <c r="A45" s="318"/>
      <c r="B45" s="318"/>
      <c r="C45" s="335"/>
      <c r="D45" s="798" t="s">
        <v>248</v>
      </c>
      <c r="E45" s="799"/>
      <c r="F45" s="329">
        <v>0</v>
      </c>
      <c r="G45" s="330">
        <v>0</v>
      </c>
      <c r="H45" s="297">
        <v>0</v>
      </c>
      <c r="I45" s="336"/>
      <c r="J45" s="330">
        <v>0</v>
      </c>
      <c r="K45" s="329">
        <v>0</v>
      </c>
      <c r="L45" s="329">
        <v>0</v>
      </c>
      <c r="M45" s="329">
        <v>0</v>
      </c>
      <c r="N45" s="330">
        <v>0</v>
      </c>
      <c r="O45" s="332">
        <v>0</v>
      </c>
      <c r="P45" s="333">
        <v>0</v>
      </c>
      <c r="Q45" s="8"/>
    </row>
    <row r="46" spans="1:17" ht="18" customHeight="1">
      <c r="A46" s="318"/>
      <c r="B46" s="318"/>
      <c r="C46" s="337"/>
      <c r="D46" s="806" t="s">
        <v>249</v>
      </c>
      <c r="E46" s="810"/>
      <c r="F46" s="136">
        <v>0</v>
      </c>
      <c r="G46" s="109">
        <v>0</v>
      </c>
      <c r="H46" s="297">
        <v>0</v>
      </c>
      <c r="I46" s="363"/>
      <c r="J46" s="109">
        <v>0</v>
      </c>
      <c r="K46" s="136">
        <v>0</v>
      </c>
      <c r="L46" s="136">
        <v>0</v>
      </c>
      <c r="M46" s="136">
        <v>0</v>
      </c>
      <c r="N46" s="109">
        <v>0</v>
      </c>
      <c r="O46" s="145">
        <v>0</v>
      </c>
      <c r="P46" s="365">
        <v>0</v>
      </c>
      <c r="Q46" s="8"/>
    </row>
    <row r="47" spans="1:17" ht="18" customHeight="1">
      <c r="A47" s="318"/>
      <c r="B47" s="318"/>
      <c r="C47" s="292" t="s">
        <v>250</v>
      </c>
      <c r="D47" s="294"/>
      <c r="E47" s="294"/>
      <c r="F47" s="288">
        <v>0</v>
      </c>
      <c r="G47" s="288">
        <v>0</v>
      </c>
      <c r="H47" s="289">
        <v>0</v>
      </c>
      <c r="I47" s="327"/>
      <c r="J47" s="288">
        <v>0</v>
      </c>
      <c r="K47" s="287">
        <v>0</v>
      </c>
      <c r="L47" s="287">
        <v>0</v>
      </c>
      <c r="M47" s="287">
        <v>0</v>
      </c>
      <c r="N47" s="288">
        <v>0</v>
      </c>
      <c r="O47" s="287">
        <v>0</v>
      </c>
      <c r="P47" s="291">
        <v>0</v>
      </c>
      <c r="Q47" s="8"/>
    </row>
    <row r="48" spans="1:17" ht="18" customHeight="1">
      <c r="A48" s="318"/>
      <c r="B48" s="318"/>
      <c r="C48" s="292"/>
      <c r="D48" s="342" t="s">
        <v>113</v>
      </c>
      <c r="E48" s="342"/>
      <c r="F48" s="303">
        <v>0</v>
      </c>
      <c r="G48" s="303">
        <v>0</v>
      </c>
      <c r="H48" s="297">
        <v>0</v>
      </c>
      <c r="I48" s="320"/>
      <c r="J48" s="303">
        <v>0</v>
      </c>
      <c r="K48" s="302">
        <v>0</v>
      </c>
      <c r="L48" s="302">
        <v>0</v>
      </c>
      <c r="M48" s="302">
        <v>0</v>
      </c>
      <c r="N48" s="303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2" t="s">
        <v>114</v>
      </c>
      <c r="E49" s="342"/>
      <c r="F49" s="302">
        <v>0</v>
      </c>
      <c r="G49" s="303">
        <v>0</v>
      </c>
      <c r="H49" s="297">
        <v>0</v>
      </c>
      <c r="I49" s="320"/>
      <c r="J49" s="303">
        <v>0</v>
      </c>
      <c r="K49" s="302">
        <v>0</v>
      </c>
      <c r="L49" s="302">
        <v>0</v>
      </c>
      <c r="M49" s="302">
        <v>0</v>
      </c>
      <c r="N49" s="303">
        <v>0</v>
      </c>
      <c r="O49" s="295">
        <v>0</v>
      </c>
      <c r="P49" s="299">
        <v>0</v>
      </c>
      <c r="Q49" s="8"/>
    </row>
    <row r="50" spans="1:17" ht="18" customHeight="1">
      <c r="A50" s="318"/>
      <c r="B50" s="318"/>
      <c r="C50" s="292"/>
      <c r="D50" s="343" t="s">
        <v>176</v>
      </c>
      <c r="E50" s="343"/>
      <c r="F50" s="329">
        <v>0</v>
      </c>
      <c r="G50" s="330">
        <v>0</v>
      </c>
      <c r="H50" s="297">
        <v>0</v>
      </c>
      <c r="I50" s="320"/>
      <c r="J50" s="330">
        <v>0</v>
      </c>
      <c r="K50" s="329">
        <v>0</v>
      </c>
      <c r="L50" s="329">
        <v>0</v>
      </c>
      <c r="M50" s="329">
        <v>0</v>
      </c>
      <c r="N50" s="330">
        <v>0</v>
      </c>
      <c r="O50" s="295">
        <v>0</v>
      </c>
      <c r="P50" s="299">
        <v>0</v>
      </c>
      <c r="Q50" s="8"/>
    </row>
    <row r="51" spans="1:17" ht="18" customHeight="1">
      <c r="A51" s="318"/>
      <c r="B51" s="318"/>
      <c r="C51" s="292"/>
      <c r="D51" s="344" t="s">
        <v>251</v>
      </c>
      <c r="E51" s="344"/>
      <c r="F51" s="338">
        <v>0</v>
      </c>
      <c r="G51" s="339">
        <v>0</v>
      </c>
      <c r="H51" s="345">
        <v>0</v>
      </c>
      <c r="I51" s="320"/>
      <c r="J51" s="339">
        <v>0</v>
      </c>
      <c r="K51" s="338">
        <v>0</v>
      </c>
      <c r="L51" s="338">
        <v>0</v>
      </c>
      <c r="M51" s="338">
        <v>0</v>
      </c>
      <c r="N51" s="339">
        <v>0</v>
      </c>
      <c r="O51" s="340">
        <v>0</v>
      </c>
      <c r="P51" s="341">
        <v>0</v>
      </c>
      <c r="Q51" s="8"/>
    </row>
    <row r="52" spans="1:17" ht="18" customHeight="1">
      <c r="A52" s="318"/>
      <c r="B52" s="318"/>
      <c r="C52" s="801" t="s">
        <v>252</v>
      </c>
      <c r="D52" s="802"/>
      <c r="E52" s="803"/>
      <c r="F52" s="346">
        <v>0</v>
      </c>
      <c r="G52" s="346">
        <v>0</v>
      </c>
      <c r="H52" s="178">
        <v>0</v>
      </c>
      <c r="I52" s="347"/>
      <c r="J52" s="346">
        <v>0</v>
      </c>
      <c r="K52" s="346">
        <v>0</v>
      </c>
      <c r="L52" s="346">
        <v>0</v>
      </c>
      <c r="M52" s="346">
        <v>0</v>
      </c>
      <c r="N52" s="346">
        <v>0</v>
      </c>
      <c r="O52" s="346">
        <v>0</v>
      </c>
      <c r="P52" s="171">
        <v>0</v>
      </c>
      <c r="Q52" s="8"/>
    </row>
    <row r="53" spans="1:17" ht="12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8"/>
    </row>
  </sheetData>
  <mergeCells count="10">
    <mergeCell ref="D44:E44"/>
    <mergeCell ref="D42:E42"/>
    <mergeCell ref="C52:E52"/>
    <mergeCell ref="D46:E46"/>
    <mergeCell ref="D45:E45"/>
    <mergeCell ref="A3:Q3"/>
    <mergeCell ref="A4:Q4"/>
    <mergeCell ref="C10:E10"/>
    <mergeCell ref="D34:E34"/>
    <mergeCell ref="D43:E43"/>
  </mergeCells>
  <phoneticPr fontId="35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51"/>
  <sheetViews>
    <sheetView showGridLines="0" workbookViewId="0"/>
  </sheetViews>
  <sheetFormatPr defaultColWidth="9" defaultRowHeight="0" customHeight="1" zero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265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266</v>
      </c>
    </row>
    <row r="8" spans="1:17" ht="18" customHeight="1">
      <c r="C8" s="84" t="s">
        <v>253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/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0</v>
      </c>
      <c r="G11" s="287">
        <v>0</v>
      </c>
      <c r="H11" s="289">
        <v>0</v>
      </c>
      <c r="I11" s="290"/>
      <c r="J11" s="287">
        <v>0</v>
      </c>
      <c r="K11" s="287">
        <v>0</v>
      </c>
      <c r="L11" s="287">
        <v>0</v>
      </c>
      <c r="M11" s="287">
        <v>0</v>
      </c>
      <c r="N11" s="287">
        <v>0</v>
      </c>
      <c r="O11" s="287">
        <v>0</v>
      </c>
      <c r="P11" s="291">
        <v>0</v>
      </c>
    </row>
    <row r="12" spans="1:17" ht="18" customHeight="1">
      <c r="C12" s="292"/>
      <c r="D12" s="293" t="s">
        <v>241</v>
      </c>
      <c r="E12" s="294"/>
      <c r="F12" s="295">
        <v>0</v>
      </c>
      <c r="G12" s="296">
        <v>0</v>
      </c>
      <c r="H12" s="297">
        <v>0</v>
      </c>
      <c r="I12" s="298"/>
      <c r="J12" s="296">
        <v>0</v>
      </c>
      <c r="K12" s="295">
        <v>0</v>
      </c>
      <c r="L12" s="295">
        <v>0</v>
      </c>
      <c r="M12" s="295">
        <v>0</v>
      </c>
      <c r="N12" s="296">
        <v>0</v>
      </c>
      <c r="O12" s="295">
        <v>0</v>
      </c>
      <c r="P12" s="299">
        <v>0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0</v>
      </c>
      <c r="K13" s="302">
        <v>0</v>
      </c>
      <c r="L13" s="302">
        <v>0</v>
      </c>
      <c r="M13" s="302">
        <v>0</v>
      </c>
      <c r="N13" s="303">
        <v>0</v>
      </c>
      <c r="O13" s="295">
        <v>0</v>
      </c>
      <c r="P13" s="299">
        <v>0</v>
      </c>
    </row>
    <row r="14" spans="1:17" ht="18" customHeight="1">
      <c r="C14" s="292"/>
      <c r="D14" s="300"/>
      <c r="E14" s="301" t="s">
        <v>181</v>
      </c>
      <c r="F14" s="302">
        <v>0</v>
      </c>
      <c r="G14" s="303">
        <v>0</v>
      </c>
      <c r="H14" s="297">
        <v>0</v>
      </c>
      <c r="I14" s="304"/>
      <c r="J14" s="303">
        <v>0</v>
      </c>
      <c r="K14" s="302">
        <v>0</v>
      </c>
      <c r="L14" s="302">
        <v>0</v>
      </c>
      <c r="M14" s="302">
        <v>0</v>
      </c>
      <c r="N14" s="303">
        <v>0</v>
      </c>
      <c r="O14" s="295">
        <v>0</v>
      </c>
      <c r="P14" s="299">
        <v>0</v>
      </c>
    </row>
    <row r="15" spans="1:17" ht="18" customHeight="1">
      <c r="C15" s="292"/>
      <c r="D15" s="300"/>
      <c r="E15" s="301" t="s">
        <v>182</v>
      </c>
      <c r="F15" s="302">
        <v>0</v>
      </c>
      <c r="G15" s="303">
        <v>0</v>
      </c>
      <c r="H15" s="297">
        <v>0</v>
      </c>
      <c r="I15" s="304"/>
      <c r="J15" s="303">
        <v>0</v>
      </c>
      <c r="K15" s="302">
        <v>0</v>
      </c>
      <c r="L15" s="302">
        <v>0</v>
      </c>
      <c r="M15" s="302">
        <v>0</v>
      </c>
      <c r="N15" s="303">
        <v>0</v>
      </c>
      <c r="O15" s="295">
        <v>0</v>
      </c>
      <c r="P15" s="299">
        <v>0</v>
      </c>
    </row>
    <row r="16" spans="1:17" ht="18" customHeight="1">
      <c r="C16" s="292"/>
      <c r="D16" s="300"/>
      <c r="E16" s="301" t="s">
        <v>183</v>
      </c>
      <c r="F16" s="302">
        <v>0</v>
      </c>
      <c r="G16" s="303">
        <v>0</v>
      </c>
      <c r="H16" s="297">
        <v>0</v>
      </c>
      <c r="I16" s="304"/>
      <c r="J16" s="303">
        <v>0</v>
      </c>
      <c r="K16" s="302">
        <v>0</v>
      </c>
      <c r="L16" s="302">
        <v>0</v>
      </c>
      <c r="M16" s="302">
        <v>0</v>
      </c>
      <c r="N16" s="303">
        <v>0</v>
      </c>
      <c r="O16" s="295">
        <v>0</v>
      </c>
      <c r="P16" s="299">
        <v>0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0</v>
      </c>
      <c r="K17" s="302">
        <v>0</v>
      </c>
      <c r="L17" s="302">
        <v>0</v>
      </c>
      <c r="M17" s="302">
        <v>0</v>
      </c>
      <c r="N17" s="303">
        <v>0</v>
      </c>
      <c r="O17" s="295">
        <v>0</v>
      </c>
      <c r="P17" s="299">
        <v>0</v>
      </c>
    </row>
    <row r="18" spans="1:17" ht="18" customHeight="1">
      <c r="C18" s="292"/>
      <c r="D18" s="293" t="s">
        <v>242</v>
      </c>
      <c r="E18" s="305"/>
      <c r="F18" s="295">
        <v>0</v>
      </c>
      <c r="G18" s="296">
        <v>0</v>
      </c>
      <c r="H18" s="297">
        <v>0</v>
      </c>
      <c r="I18" s="298"/>
      <c r="J18" s="296">
        <v>0</v>
      </c>
      <c r="K18" s="295">
        <v>0</v>
      </c>
      <c r="L18" s="295">
        <v>0</v>
      </c>
      <c r="M18" s="295">
        <v>0</v>
      </c>
      <c r="N18" s="296">
        <v>0</v>
      </c>
      <c r="O18" s="295">
        <v>0</v>
      </c>
      <c r="P18" s="299">
        <v>0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0</v>
      </c>
      <c r="K19" s="302">
        <v>0</v>
      </c>
      <c r="L19" s="302">
        <v>0</v>
      </c>
      <c r="M19" s="302">
        <v>0</v>
      </c>
      <c r="N19" s="303">
        <v>0</v>
      </c>
      <c r="O19" s="295">
        <v>0</v>
      </c>
      <c r="P19" s="299">
        <v>0</v>
      </c>
    </row>
    <row r="20" spans="1:17" ht="18" customHeight="1">
      <c r="C20" s="292"/>
      <c r="D20" s="300"/>
      <c r="E20" s="306" t="s">
        <v>186</v>
      </c>
      <c r="F20" s="302">
        <v>0</v>
      </c>
      <c r="G20" s="303">
        <v>0</v>
      </c>
      <c r="H20" s="297">
        <v>0</v>
      </c>
      <c r="I20" s="304"/>
      <c r="J20" s="303">
        <v>0</v>
      </c>
      <c r="K20" s="302">
        <v>0</v>
      </c>
      <c r="L20" s="302">
        <v>0</v>
      </c>
      <c r="M20" s="302">
        <v>0</v>
      </c>
      <c r="N20" s="303">
        <v>0</v>
      </c>
      <c r="O20" s="295">
        <v>0</v>
      </c>
      <c r="P20" s="299">
        <v>0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0</v>
      </c>
      <c r="H21" s="297">
        <v>0</v>
      </c>
      <c r="I21" s="298"/>
      <c r="J21" s="296">
        <v>0</v>
      </c>
      <c r="K21" s="295">
        <v>0</v>
      </c>
      <c r="L21" s="295">
        <v>0</v>
      </c>
      <c r="M21" s="295">
        <v>0</v>
      </c>
      <c r="N21" s="296">
        <v>0</v>
      </c>
      <c r="O21" s="295">
        <v>0</v>
      </c>
      <c r="P21" s="299">
        <v>0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0</v>
      </c>
      <c r="H22" s="297">
        <v>0</v>
      </c>
      <c r="I22" s="304"/>
      <c r="J22" s="303">
        <v>0</v>
      </c>
      <c r="K22" s="302">
        <v>0</v>
      </c>
      <c r="L22" s="302">
        <v>0</v>
      </c>
      <c r="M22" s="302">
        <v>0</v>
      </c>
      <c r="N22" s="303">
        <v>0</v>
      </c>
      <c r="O22" s="295">
        <v>0</v>
      </c>
      <c r="P22" s="299">
        <v>0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0</v>
      </c>
      <c r="H23" s="297">
        <v>0</v>
      </c>
      <c r="I23" s="304"/>
      <c r="J23" s="303">
        <v>0</v>
      </c>
      <c r="K23" s="302">
        <v>0</v>
      </c>
      <c r="L23" s="302">
        <v>0</v>
      </c>
      <c r="M23" s="302">
        <v>0</v>
      </c>
      <c r="N23" s="303">
        <v>0</v>
      </c>
      <c r="O23" s="295">
        <v>0</v>
      </c>
      <c r="P23" s="299">
        <v>0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0</v>
      </c>
      <c r="G26" s="295">
        <v>0</v>
      </c>
      <c r="H26" s="297">
        <v>0</v>
      </c>
      <c r="I26" s="298"/>
      <c r="J26" s="296">
        <v>0</v>
      </c>
      <c r="K26" s="295">
        <v>0</v>
      </c>
      <c r="L26" s="295">
        <v>0</v>
      </c>
      <c r="M26" s="295">
        <v>0</v>
      </c>
      <c r="N26" s="296">
        <v>0</v>
      </c>
      <c r="O26" s="295">
        <v>0</v>
      </c>
      <c r="P26" s="299">
        <v>0</v>
      </c>
    </row>
    <row r="27" spans="1:17" ht="18" customHeight="1">
      <c r="C27" s="292"/>
      <c r="D27" s="300"/>
      <c r="E27" s="301" t="s">
        <v>191</v>
      </c>
      <c r="F27" s="348">
        <v>0</v>
      </c>
      <c r="G27" s="349">
        <v>0</v>
      </c>
      <c r="H27" s="297">
        <v>0</v>
      </c>
      <c r="I27" s="304"/>
      <c r="J27" s="349">
        <v>0</v>
      </c>
      <c r="K27" s="348">
        <v>0</v>
      </c>
      <c r="L27" s="348">
        <v>0</v>
      </c>
      <c r="M27" s="348">
        <v>0</v>
      </c>
      <c r="N27" s="349">
        <v>0</v>
      </c>
      <c r="O27" s="295">
        <v>0</v>
      </c>
      <c r="P27" s="299">
        <v>0</v>
      </c>
    </row>
    <row r="28" spans="1:17" ht="18" customHeight="1">
      <c r="A28" s="318"/>
      <c r="B28" s="318"/>
      <c r="C28" s="328"/>
      <c r="D28" s="334" t="s">
        <v>192</v>
      </c>
      <c r="E28" s="305"/>
      <c r="F28" s="330">
        <v>0</v>
      </c>
      <c r="G28" s="330">
        <v>0</v>
      </c>
      <c r="H28" s="331">
        <v>0</v>
      </c>
      <c r="I28" s="320"/>
      <c r="J28" s="330">
        <v>0</v>
      </c>
      <c r="K28" s="329">
        <v>0</v>
      </c>
      <c r="L28" s="329">
        <v>0</v>
      </c>
      <c r="M28" s="329">
        <v>0</v>
      </c>
      <c r="N28" s="330">
        <v>0</v>
      </c>
      <c r="O28" s="332">
        <v>0</v>
      </c>
      <c r="P28" s="333">
        <v>0</v>
      </c>
      <c r="Q28" s="8"/>
    </row>
    <row r="29" spans="1:17" ht="18" customHeight="1">
      <c r="A29" s="318"/>
      <c r="B29" s="318"/>
      <c r="C29" s="328"/>
      <c r="D29" s="293" t="s">
        <v>193</v>
      </c>
      <c r="E29" s="350"/>
      <c r="F29" s="351">
        <v>0</v>
      </c>
      <c r="G29" s="351">
        <v>0</v>
      </c>
      <c r="H29" s="352">
        <v>0</v>
      </c>
      <c r="I29" s="353"/>
      <c r="J29" s="351">
        <v>0</v>
      </c>
      <c r="K29" s="354">
        <v>0</v>
      </c>
      <c r="L29" s="354">
        <v>0</v>
      </c>
      <c r="M29" s="354">
        <v>0</v>
      </c>
      <c r="N29" s="351">
        <v>0</v>
      </c>
      <c r="O29" s="355">
        <v>0</v>
      </c>
      <c r="P29" s="356">
        <v>0</v>
      </c>
      <c r="Q29" s="8"/>
    </row>
    <row r="30" spans="1:17" ht="18" customHeight="1">
      <c r="A30" s="318"/>
      <c r="B30" s="318"/>
      <c r="C30" s="321" t="s">
        <v>194</v>
      </c>
      <c r="D30" s="322"/>
      <c r="E30" s="322"/>
      <c r="F30" s="323">
        <v>0</v>
      </c>
      <c r="G30" s="167">
        <v>0</v>
      </c>
      <c r="H30" s="162">
        <v>0</v>
      </c>
      <c r="I30" s="324"/>
      <c r="J30" s="167">
        <v>0</v>
      </c>
      <c r="K30" s="323">
        <v>0</v>
      </c>
      <c r="L30" s="323">
        <v>0</v>
      </c>
      <c r="M30" s="323">
        <v>0</v>
      </c>
      <c r="N30" s="167">
        <v>0</v>
      </c>
      <c r="O30" s="162">
        <v>0</v>
      </c>
      <c r="P30" s="163">
        <v>0</v>
      </c>
      <c r="Q30" s="8"/>
    </row>
    <row r="31" spans="1:17" ht="18" customHeight="1">
      <c r="A31" s="318"/>
      <c r="B31" s="318"/>
      <c r="C31" s="285" t="s">
        <v>247</v>
      </c>
      <c r="D31" s="325"/>
      <c r="E31" s="326"/>
      <c r="F31" s="287">
        <v>0</v>
      </c>
      <c r="G31" s="288">
        <v>0</v>
      </c>
      <c r="H31" s="289">
        <v>0</v>
      </c>
      <c r="I31" s="327"/>
      <c r="J31" s="357">
        <v>0</v>
      </c>
      <c r="K31" s="287">
        <v>0</v>
      </c>
      <c r="L31" s="287">
        <v>0</v>
      </c>
      <c r="M31" s="287">
        <v>0</v>
      </c>
      <c r="N31" s="288">
        <v>0</v>
      </c>
      <c r="O31" s="287">
        <v>0</v>
      </c>
      <c r="P31" s="291">
        <v>0</v>
      </c>
      <c r="Q31" s="8"/>
    </row>
    <row r="32" spans="1:17" ht="18" customHeight="1">
      <c r="A32" s="318"/>
      <c r="B32" s="318"/>
      <c r="C32" s="328"/>
      <c r="D32" s="334" t="s">
        <v>211</v>
      </c>
      <c r="E32" s="305"/>
      <c r="F32" s="329">
        <v>0</v>
      </c>
      <c r="G32" s="330">
        <v>0</v>
      </c>
      <c r="H32" s="331">
        <v>0</v>
      </c>
      <c r="I32" s="320"/>
      <c r="J32" s="330">
        <v>0</v>
      </c>
      <c r="K32" s="329">
        <v>0</v>
      </c>
      <c r="L32" s="329">
        <v>0</v>
      </c>
      <c r="M32" s="329">
        <v>0</v>
      </c>
      <c r="N32" s="330">
        <v>0</v>
      </c>
      <c r="O32" s="332">
        <v>0</v>
      </c>
      <c r="P32" s="333">
        <v>0</v>
      </c>
      <c r="Q32" s="8"/>
    </row>
    <row r="33" spans="1:17" ht="18" customHeight="1">
      <c r="A33" s="318"/>
      <c r="B33" s="318"/>
      <c r="C33" s="292"/>
      <c r="D33" s="334" t="s">
        <v>212</v>
      </c>
      <c r="E33" s="305"/>
      <c r="F33" s="329">
        <v>0</v>
      </c>
      <c r="G33" s="330">
        <v>0</v>
      </c>
      <c r="H33" s="297">
        <v>0</v>
      </c>
      <c r="I33" s="320"/>
      <c r="J33" s="358">
        <v>0</v>
      </c>
      <c r="K33" s="302">
        <v>0</v>
      </c>
      <c r="L33" s="302">
        <v>0</v>
      </c>
      <c r="M33" s="302">
        <v>0</v>
      </c>
      <c r="N33" s="303">
        <v>0</v>
      </c>
      <c r="O33" s="295">
        <v>0</v>
      </c>
      <c r="P33" s="299">
        <v>0</v>
      </c>
      <c r="Q33" s="8"/>
    </row>
    <row r="34" spans="1:17" ht="18" customHeight="1">
      <c r="A34" s="318"/>
      <c r="B34" s="318"/>
      <c r="C34" s="292"/>
      <c r="D34" s="307" t="s">
        <v>213</v>
      </c>
      <c r="E34" s="319"/>
      <c r="F34" s="302">
        <v>0</v>
      </c>
      <c r="G34" s="303">
        <v>0</v>
      </c>
      <c r="H34" s="297">
        <v>0</v>
      </c>
      <c r="I34" s="320"/>
      <c r="J34" s="303">
        <v>0</v>
      </c>
      <c r="K34" s="302">
        <v>0</v>
      </c>
      <c r="L34" s="302">
        <v>0</v>
      </c>
      <c r="M34" s="302">
        <v>0</v>
      </c>
      <c r="N34" s="303">
        <v>0</v>
      </c>
      <c r="O34" s="295">
        <v>0</v>
      </c>
      <c r="P34" s="299">
        <v>0</v>
      </c>
      <c r="Q34" s="8"/>
    </row>
    <row r="35" spans="1:17" ht="18" customHeight="1">
      <c r="A35" s="318"/>
      <c r="B35" s="318"/>
      <c r="C35" s="292"/>
      <c r="D35" s="334" t="s">
        <v>214</v>
      </c>
      <c r="E35" s="305"/>
      <c r="F35" s="302">
        <v>0</v>
      </c>
      <c r="G35" s="303">
        <v>0</v>
      </c>
      <c r="H35" s="297">
        <v>0</v>
      </c>
      <c r="I35" s="320"/>
      <c r="J35" s="358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34" t="s">
        <v>215</v>
      </c>
      <c r="E36" s="305"/>
      <c r="F36" s="302">
        <v>0</v>
      </c>
      <c r="G36" s="303">
        <v>0</v>
      </c>
      <c r="H36" s="297">
        <v>0</v>
      </c>
      <c r="I36" s="320"/>
      <c r="J36" s="358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216</v>
      </c>
      <c r="E37" s="305"/>
      <c r="F37" s="302">
        <v>0</v>
      </c>
      <c r="G37" s="303">
        <v>0</v>
      </c>
      <c r="H37" s="297">
        <v>0</v>
      </c>
      <c r="I37" s="320"/>
      <c r="J37" s="358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217</v>
      </c>
      <c r="E38" s="305"/>
      <c r="F38" s="330">
        <v>0</v>
      </c>
      <c r="G38" s="303">
        <v>0</v>
      </c>
      <c r="H38" s="297">
        <v>0</v>
      </c>
      <c r="I38" s="320"/>
      <c r="J38" s="358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218</v>
      </c>
      <c r="E39" s="305"/>
      <c r="F39" s="330">
        <v>0</v>
      </c>
      <c r="G39" s="303">
        <v>0</v>
      </c>
      <c r="H39" s="297">
        <v>0</v>
      </c>
      <c r="I39" s="320"/>
      <c r="J39" s="358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808" t="s">
        <v>219</v>
      </c>
      <c r="E40" s="809"/>
      <c r="F40" s="329">
        <v>0</v>
      </c>
      <c r="G40" s="330">
        <v>0</v>
      </c>
      <c r="H40" s="297">
        <v>0</v>
      </c>
      <c r="I40" s="320"/>
      <c r="J40" s="358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808" t="s">
        <v>220</v>
      </c>
      <c r="E41" s="809"/>
      <c r="F41" s="329">
        <v>0</v>
      </c>
      <c r="G41" s="330">
        <v>0</v>
      </c>
      <c r="H41" s="297">
        <v>0</v>
      </c>
      <c r="I41" s="320"/>
      <c r="J41" s="358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221</v>
      </c>
      <c r="E42" s="800"/>
      <c r="F42" s="302">
        <v>0</v>
      </c>
      <c r="G42" s="302">
        <v>0</v>
      </c>
      <c r="H42" s="297">
        <v>0</v>
      </c>
      <c r="I42" s="320"/>
      <c r="J42" s="359">
        <v>0</v>
      </c>
      <c r="K42" s="360">
        <v>0</v>
      </c>
      <c r="L42" s="360">
        <v>0</v>
      </c>
      <c r="M42" s="360">
        <v>0</v>
      </c>
      <c r="N42" s="361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292"/>
      <c r="D43" s="798" t="s">
        <v>248</v>
      </c>
      <c r="E43" s="800"/>
      <c r="F43" s="302">
        <v>0</v>
      </c>
      <c r="G43" s="302">
        <v>0</v>
      </c>
      <c r="H43" s="297">
        <v>0</v>
      </c>
      <c r="I43" s="336"/>
      <c r="J43" s="362">
        <v>0</v>
      </c>
      <c r="K43" s="329">
        <v>0</v>
      </c>
      <c r="L43" s="329">
        <v>0</v>
      </c>
      <c r="M43" s="329">
        <v>0</v>
      </c>
      <c r="N43" s="330">
        <v>0</v>
      </c>
      <c r="O43" s="332">
        <v>0</v>
      </c>
      <c r="P43" s="333">
        <v>0</v>
      </c>
      <c r="Q43" s="8"/>
    </row>
    <row r="44" spans="1:17" ht="18" customHeight="1">
      <c r="A44" s="318"/>
      <c r="B44" s="318"/>
      <c r="C44" s="337"/>
      <c r="D44" s="806" t="s">
        <v>249</v>
      </c>
      <c r="E44" s="807"/>
      <c r="F44" s="302">
        <v>0</v>
      </c>
      <c r="G44" s="302">
        <v>0</v>
      </c>
      <c r="H44" s="297">
        <v>0</v>
      </c>
      <c r="I44" s="363"/>
      <c r="J44" s="364">
        <v>0</v>
      </c>
      <c r="K44" s="136">
        <v>0</v>
      </c>
      <c r="L44" s="136">
        <v>0</v>
      </c>
      <c r="M44" s="136">
        <v>0</v>
      </c>
      <c r="N44" s="109">
        <v>0</v>
      </c>
      <c r="O44" s="145">
        <v>0</v>
      </c>
      <c r="P44" s="365">
        <v>0</v>
      </c>
      <c r="Q44" s="8"/>
    </row>
    <row r="45" spans="1:17" ht="18" customHeight="1">
      <c r="A45" s="318"/>
      <c r="B45" s="318"/>
      <c r="C45" s="292" t="s">
        <v>250</v>
      </c>
      <c r="D45" s="294"/>
      <c r="E45" s="294"/>
      <c r="F45" s="288">
        <v>0</v>
      </c>
      <c r="G45" s="288">
        <v>0</v>
      </c>
      <c r="H45" s="289">
        <v>0</v>
      </c>
      <c r="I45" s="327"/>
      <c r="J45" s="357">
        <v>0</v>
      </c>
      <c r="K45" s="287">
        <v>0</v>
      </c>
      <c r="L45" s="287">
        <v>0</v>
      </c>
      <c r="M45" s="287">
        <v>0</v>
      </c>
      <c r="N45" s="288">
        <v>0</v>
      </c>
      <c r="O45" s="287">
        <v>0</v>
      </c>
      <c r="P45" s="291">
        <v>0</v>
      </c>
      <c r="Q45" s="8"/>
    </row>
    <row r="46" spans="1:17" ht="18" customHeight="1">
      <c r="A46" s="318"/>
      <c r="B46" s="318"/>
      <c r="C46" s="292"/>
      <c r="D46" s="342" t="s">
        <v>113</v>
      </c>
      <c r="E46" s="342"/>
      <c r="F46" s="303">
        <v>0</v>
      </c>
      <c r="G46" s="303">
        <v>0</v>
      </c>
      <c r="H46" s="297">
        <v>0</v>
      </c>
      <c r="I46" s="320"/>
      <c r="J46" s="303">
        <v>0</v>
      </c>
      <c r="K46" s="303">
        <v>0</v>
      </c>
      <c r="L46" s="303">
        <v>0</v>
      </c>
      <c r="M46" s="303">
        <v>0</v>
      </c>
      <c r="N46" s="303">
        <v>0</v>
      </c>
      <c r="O46" s="295">
        <v>0</v>
      </c>
      <c r="P46" s="299">
        <v>0</v>
      </c>
      <c r="Q46" s="8"/>
    </row>
    <row r="47" spans="1:17" ht="18" customHeight="1">
      <c r="A47" s="318"/>
      <c r="B47" s="318"/>
      <c r="C47" s="292"/>
      <c r="D47" s="342" t="s">
        <v>114</v>
      </c>
      <c r="E47" s="342"/>
      <c r="F47" s="302">
        <v>0</v>
      </c>
      <c r="G47" s="303">
        <v>0</v>
      </c>
      <c r="H47" s="297">
        <v>0</v>
      </c>
      <c r="I47" s="320"/>
      <c r="J47" s="303">
        <v>0</v>
      </c>
      <c r="K47" s="302">
        <v>0</v>
      </c>
      <c r="L47" s="303">
        <v>0</v>
      </c>
      <c r="M47" s="302">
        <v>0</v>
      </c>
      <c r="N47" s="303">
        <v>0</v>
      </c>
      <c r="O47" s="295">
        <v>0</v>
      </c>
      <c r="P47" s="299">
        <v>0</v>
      </c>
      <c r="Q47" s="8"/>
    </row>
    <row r="48" spans="1:17" ht="18" customHeight="1">
      <c r="A48" s="318"/>
      <c r="B48" s="318"/>
      <c r="C48" s="292"/>
      <c r="D48" s="343" t="s">
        <v>176</v>
      </c>
      <c r="E48" s="343"/>
      <c r="F48" s="329">
        <v>0</v>
      </c>
      <c r="G48" s="330">
        <v>0</v>
      </c>
      <c r="H48" s="297">
        <v>0</v>
      </c>
      <c r="I48" s="320"/>
      <c r="J48" s="330">
        <v>0</v>
      </c>
      <c r="K48" s="329">
        <v>0</v>
      </c>
      <c r="L48" s="330">
        <v>0</v>
      </c>
      <c r="M48" s="329">
        <v>0</v>
      </c>
      <c r="N48" s="330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4" t="s">
        <v>251</v>
      </c>
      <c r="E49" s="344"/>
      <c r="F49" s="338">
        <v>0</v>
      </c>
      <c r="G49" s="339">
        <v>0</v>
      </c>
      <c r="H49" s="345">
        <v>0</v>
      </c>
      <c r="I49" s="320"/>
      <c r="J49" s="339">
        <v>0</v>
      </c>
      <c r="K49" s="338">
        <v>0</v>
      </c>
      <c r="L49" s="339">
        <v>0</v>
      </c>
      <c r="M49" s="338">
        <v>0</v>
      </c>
      <c r="N49" s="339">
        <v>0</v>
      </c>
      <c r="O49" s="340">
        <v>0</v>
      </c>
      <c r="P49" s="341">
        <v>0</v>
      </c>
      <c r="Q49" s="8"/>
    </row>
    <row r="50" spans="1:17" ht="18" customHeight="1">
      <c r="A50" s="318"/>
      <c r="B50" s="318"/>
      <c r="C50" s="801" t="s">
        <v>252</v>
      </c>
      <c r="D50" s="802"/>
      <c r="E50" s="803"/>
      <c r="F50" s="346">
        <v>0</v>
      </c>
      <c r="G50" s="120">
        <v>0</v>
      </c>
      <c r="H50" s="178">
        <v>0</v>
      </c>
      <c r="I50" s="347"/>
      <c r="J50" s="366">
        <v>0</v>
      </c>
      <c r="K50" s="346">
        <v>0</v>
      </c>
      <c r="L50" s="346">
        <v>0</v>
      </c>
      <c r="M50" s="346">
        <v>0</v>
      </c>
      <c r="N50" s="120">
        <v>0</v>
      </c>
      <c r="O50" s="346">
        <v>0</v>
      </c>
      <c r="P50" s="171">
        <v>0</v>
      </c>
      <c r="Q50" s="8"/>
    </row>
    <row r="51" spans="1:17" ht="12" customHeight="1">
      <c r="A51" s="318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8"/>
    </row>
  </sheetData>
  <mergeCells count="9">
    <mergeCell ref="A3:Q3"/>
    <mergeCell ref="A4:Q4"/>
    <mergeCell ref="C10:E10"/>
    <mergeCell ref="D42:E42"/>
    <mergeCell ref="C50:E50"/>
    <mergeCell ref="D44:E44"/>
    <mergeCell ref="D43:E43"/>
    <mergeCell ref="D41:E41"/>
    <mergeCell ref="D40:E40"/>
  </mergeCells>
  <phoneticPr fontId="35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53"/>
  <sheetViews>
    <sheetView showGridLines="0" workbookViewId="0"/>
  </sheetViews>
  <sheetFormatPr defaultColWidth="9" defaultRowHeight="0" customHeight="1" zero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265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266</v>
      </c>
    </row>
    <row r="8" spans="1:17" ht="18" customHeight="1">
      <c r="C8" s="84" t="s">
        <v>254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/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0</v>
      </c>
      <c r="G11" s="288">
        <v>0</v>
      </c>
      <c r="H11" s="289">
        <v>0</v>
      </c>
      <c r="I11" s="290"/>
      <c r="J11" s="288">
        <v>0</v>
      </c>
      <c r="K11" s="288">
        <v>0</v>
      </c>
      <c r="L11" s="287">
        <v>0</v>
      </c>
      <c r="M11" s="288">
        <v>0</v>
      </c>
      <c r="N11" s="288">
        <v>0</v>
      </c>
      <c r="O11" s="287">
        <v>0</v>
      </c>
      <c r="P11" s="291">
        <v>0</v>
      </c>
    </row>
    <row r="12" spans="1:17" ht="18" customHeight="1">
      <c r="C12" s="292"/>
      <c r="D12" s="293" t="s">
        <v>241</v>
      </c>
      <c r="E12" s="294"/>
      <c r="F12" s="295">
        <v>0</v>
      </c>
      <c r="G12" s="296">
        <v>0</v>
      </c>
      <c r="H12" s="297">
        <v>0</v>
      </c>
      <c r="I12" s="298"/>
      <c r="J12" s="296">
        <v>0</v>
      </c>
      <c r="K12" s="295">
        <v>0</v>
      </c>
      <c r="L12" s="295">
        <v>0</v>
      </c>
      <c r="M12" s="295">
        <v>0</v>
      </c>
      <c r="N12" s="296">
        <v>0</v>
      </c>
      <c r="O12" s="295">
        <v>0</v>
      </c>
      <c r="P12" s="299">
        <v>0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0</v>
      </c>
      <c r="K13" s="302">
        <v>0</v>
      </c>
      <c r="L13" s="302">
        <v>0</v>
      </c>
      <c r="M13" s="302">
        <v>0</v>
      </c>
      <c r="N13" s="303">
        <v>0</v>
      </c>
      <c r="O13" s="295">
        <v>0</v>
      </c>
      <c r="P13" s="299">
        <v>0</v>
      </c>
    </row>
    <row r="14" spans="1:17" ht="18" customHeight="1">
      <c r="C14" s="292"/>
      <c r="D14" s="300"/>
      <c r="E14" s="301" t="s">
        <v>181</v>
      </c>
      <c r="F14" s="302">
        <v>0</v>
      </c>
      <c r="G14" s="303">
        <v>0</v>
      </c>
      <c r="H14" s="297">
        <v>0</v>
      </c>
      <c r="I14" s="304"/>
      <c r="J14" s="303">
        <v>0</v>
      </c>
      <c r="K14" s="302">
        <v>0</v>
      </c>
      <c r="L14" s="302">
        <v>0</v>
      </c>
      <c r="M14" s="302">
        <v>0</v>
      </c>
      <c r="N14" s="303">
        <v>0</v>
      </c>
      <c r="O14" s="295">
        <v>0</v>
      </c>
      <c r="P14" s="299">
        <v>0</v>
      </c>
    </row>
    <row r="15" spans="1:17" ht="18" customHeight="1">
      <c r="C15" s="292"/>
      <c r="D15" s="300"/>
      <c r="E15" s="301" t="s">
        <v>182</v>
      </c>
      <c r="F15" s="302">
        <v>0</v>
      </c>
      <c r="G15" s="303">
        <v>0</v>
      </c>
      <c r="H15" s="297">
        <v>0</v>
      </c>
      <c r="I15" s="304"/>
      <c r="J15" s="303">
        <v>0</v>
      </c>
      <c r="K15" s="302">
        <v>0</v>
      </c>
      <c r="L15" s="302">
        <v>0</v>
      </c>
      <c r="M15" s="302">
        <v>0</v>
      </c>
      <c r="N15" s="303">
        <v>0</v>
      </c>
      <c r="O15" s="295">
        <v>0</v>
      </c>
      <c r="P15" s="299">
        <v>0</v>
      </c>
    </row>
    <row r="16" spans="1:17" ht="18" customHeight="1">
      <c r="C16" s="292"/>
      <c r="D16" s="300"/>
      <c r="E16" s="301" t="s">
        <v>183</v>
      </c>
      <c r="F16" s="302">
        <v>0</v>
      </c>
      <c r="G16" s="303">
        <v>0</v>
      </c>
      <c r="H16" s="297">
        <v>0</v>
      </c>
      <c r="I16" s="304"/>
      <c r="J16" s="303">
        <v>0</v>
      </c>
      <c r="K16" s="302">
        <v>0</v>
      </c>
      <c r="L16" s="302">
        <v>0</v>
      </c>
      <c r="M16" s="302">
        <v>0</v>
      </c>
      <c r="N16" s="303">
        <v>0</v>
      </c>
      <c r="O16" s="295">
        <v>0</v>
      </c>
      <c r="P16" s="299">
        <v>0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0</v>
      </c>
      <c r="K17" s="302">
        <v>0</v>
      </c>
      <c r="L17" s="302">
        <v>0</v>
      </c>
      <c r="M17" s="302">
        <v>0</v>
      </c>
      <c r="N17" s="303">
        <v>0</v>
      </c>
      <c r="O17" s="295">
        <v>0</v>
      </c>
      <c r="P17" s="299">
        <v>0</v>
      </c>
    </row>
    <row r="18" spans="1:17" ht="18" customHeight="1">
      <c r="C18" s="292"/>
      <c r="D18" s="293" t="s">
        <v>242</v>
      </c>
      <c r="E18" s="305"/>
      <c r="F18" s="295">
        <v>0</v>
      </c>
      <c r="G18" s="296">
        <v>0</v>
      </c>
      <c r="H18" s="297">
        <v>0</v>
      </c>
      <c r="I18" s="298"/>
      <c r="J18" s="296">
        <v>0</v>
      </c>
      <c r="K18" s="295">
        <v>0</v>
      </c>
      <c r="L18" s="295">
        <v>0</v>
      </c>
      <c r="M18" s="295">
        <v>0</v>
      </c>
      <c r="N18" s="296">
        <v>0</v>
      </c>
      <c r="O18" s="295">
        <v>0</v>
      </c>
      <c r="P18" s="299">
        <v>0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0</v>
      </c>
      <c r="K19" s="302">
        <v>0</v>
      </c>
      <c r="L19" s="302">
        <v>0</v>
      </c>
      <c r="M19" s="302">
        <v>0</v>
      </c>
      <c r="N19" s="303">
        <v>0</v>
      </c>
      <c r="O19" s="295">
        <v>0</v>
      </c>
      <c r="P19" s="299">
        <v>0</v>
      </c>
    </row>
    <row r="20" spans="1:17" ht="18" customHeight="1">
      <c r="C20" s="292"/>
      <c r="D20" s="300"/>
      <c r="E20" s="306" t="s">
        <v>186</v>
      </c>
      <c r="F20" s="302">
        <v>0</v>
      </c>
      <c r="G20" s="303">
        <v>0</v>
      </c>
      <c r="H20" s="297">
        <v>0</v>
      </c>
      <c r="I20" s="304"/>
      <c r="J20" s="303">
        <v>0</v>
      </c>
      <c r="K20" s="302">
        <v>0</v>
      </c>
      <c r="L20" s="302">
        <v>0</v>
      </c>
      <c r="M20" s="302">
        <v>0</v>
      </c>
      <c r="N20" s="303">
        <v>0</v>
      </c>
      <c r="O20" s="295">
        <v>0</v>
      </c>
      <c r="P20" s="299">
        <v>0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0</v>
      </c>
      <c r="H21" s="297">
        <v>0</v>
      </c>
      <c r="I21" s="298"/>
      <c r="J21" s="296">
        <v>0</v>
      </c>
      <c r="K21" s="295">
        <v>0</v>
      </c>
      <c r="L21" s="295">
        <v>0</v>
      </c>
      <c r="M21" s="295">
        <v>0</v>
      </c>
      <c r="N21" s="296">
        <v>0</v>
      </c>
      <c r="O21" s="295">
        <v>0</v>
      </c>
      <c r="P21" s="299">
        <v>0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0</v>
      </c>
      <c r="H22" s="297">
        <v>0</v>
      </c>
      <c r="I22" s="304"/>
      <c r="J22" s="303">
        <v>0</v>
      </c>
      <c r="K22" s="302">
        <v>0</v>
      </c>
      <c r="L22" s="302">
        <v>0</v>
      </c>
      <c r="M22" s="302">
        <v>0</v>
      </c>
      <c r="N22" s="303">
        <v>0</v>
      </c>
      <c r="O22" s="295">
        <v>0</v>
      </c>
      <c r="P22" s="299">
        <v>0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0</v>
      </c>
      <c r="H23" s="297">
        <v>0</v>
      </c>
      <c r="I23" s="304"/>
      <c r="J23" s="303">
        <v>0</v>
      </c>
      <c r="K23" s="302">
        <v>0</v>
      </c>
      <c r="L23" s="302">
        <v>0</v>
      </c>
      <c r="M23" s="302">
        <v>0</v>
      </c>
      <c r="N23" s="303">
        <v>0</v>
      </c>
      <c r="O23" s="295">
        <v>0</v>
      </c>
      <c r="P23" s="299">
        <v>0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0</v>
      </c>
      <c r="G26" s="296">
        <v>0</v>
      </c>
      <c r="H26" s="297">
        <v>0</v>
      </c>
      <c r="I26" s="298"/>
      <c r="J26" s="296">
        <v>0</v>
      </c>
      <c r="K26" s="295">
        <v>0</v>
      </c>
      <c r="L26" s="295">
        <v>0</v>
      </c>
      <c r="M26" s="295">
        <v>0</v>
      </c>
      <c r="N26" s="296">
        <v>0</v>
      </c>
      <c r="O26" s="295">
        <v>0</v>
      </c>
      <c r="P26" s="299">
        <v>0</v>
      </c>
    </row>
    <row r="27" spans="1:17" ht="18" customHeight="1">
      <c r="C27" s="292"/>
      <c r="D27" s="300"/>
      <c r="E27" s="308" t="s">
        <v>191</v>
      </c>
      <c r="F27" s="309">
        <v>0</v>
      </c>
      <c r="G27" s="310">
        <v>0</v>
      </c>
      <c r="H27" s="297">
        <v>0</v>
      </c>
      <c r="I27" s="304"/>
      <c r="J27" s="310">
        <v>0</v>
      </c>
      <c r="K27" s="309">
        <v>0</v>
      </c>
      <c r="L27" s="309">
        <v>0</v>
      </c>
      <c r="M27" s="309">
        <v>0</v>
      </c>
      <c r="N27" s="310">
        <v>0</v>
      </c>
      <c r="O27" s="295">
        <v>0</v>
      </c>
      <c r="P27" s="299">
        <v>0</v>
      </c>
    </row>
    <row r="28" spans="1:17" ht="18" customHeight="1">
      <c r="C28" s="292"/>
      <c r="D28" s="311"/>
      <c r="E28" s="306" t="s">
        <v>245</v>
      </c>
      <c r="F28" s="312">
        <v>0</v>
      </c>
      <c r="G28" s="313">
        <v>0</v>
      </c>
      <c r="H28" s="297">
        <v>0</v>
      </c>
      <c r="I28" s="314"/>
      <c r="J28" s="313">
        <v>0</v>
      </c>
      <c r="K28" s="312">
        <v>0</v>
      </c>
      <c r="L28" s="312">
        <v>0</v>
      </c>
      <c r="M28" s="312">
        <v>0</v>
      </c>
      <c r="N28" s="313">
        <v>0</v>
      </c>
      <c r="O28" s="295">
        <v>0</v>
      </c>
      <c r="P28" s="299">
        <v>0</v>
      </c>
    </row>
    <row r="29" spans="1:17" ht="18" customHeight="1">
      <c r="C29" s="292"/>
      <c r="D29" s="315"/>
      <c r="E29" s="301" t="s">
        <v>246</v>
      </c>
      <c r="F29" s="316">
        <v>0</v>
      </c>
      <c r="G29" s="317">
        <v>0</v>
      </c>
      <c r="H29" s="297">
        <v>0</v>
      </c>
      <c r="I29" s="314"/>
      <c r="J29" s="317">
        <v>0</v>
      </c>
      <c r="K29" s="316">
        <v>0</v>
      </c>
      <c r="L29" s="316">
        <v>0</v>
      </c>
      <c r="M29" s="316">
        <v>0</v>
      </c>
      <c r="N29" s="317">
        <v>0</v>
      </c>
      <c r="O29" s="295">
        <v>0</v>
      </c>
      <c r="P29" s="299">
        <v>0</v>
      </c>
    </row>
    <row r="30" spans="1:17" ht="18" customHeight="1">
      <c r="A30" s="318"/>
      <c r="B30" s="318"/>
      <c r="C30" s="292"/>
      <c r="D30" s="307" t="s">
        <v>192</v>
      </c>
      <c r="E30" s="319"/>
      <c r="F30" s="302">
        <v>0</v>
      </c>
      <c r="G30" s="303">
        <v>0</v>
      </c>
      <c r="H30" s="297">
        <v>0</v>
      </c>
      <c r="I30" s="320"/>
      <c r="J30" s="303">
        <v>0</v>
      </c>
      <c r="K30" s="302">
        <v>0</v>
      </c>
      <c r="L30" s="302">
        <v>0</v>
      </c>
      <c r="M30" s="302">
        <v>0</v>
      </c>
      <c r="N30" s="303">
        <v>0</v>
      </c>
      <c r="O30" s="295">
        <v>0</v>
      </c>
      <c r="P30" s="299">
        <v>0</v>
      </c>
      <c r="Q30" s="8"/>
    </row>
    <row r="31" spans="1:17" ht="18" customHeight="1">
      <c r="A31" s="318"/>
      <c r="B31" s="318"/>
      <c r="C31" s="292"/>
      <c r="D31" s="300" t="s">
        <v>193</v>
      </c>
      <c r="E31" s="319"/>
      <c r="F31" s="302">
        <v>0</v>
      </c>
      <c r="G31" s="303">
        <v>0</v>
      </c>
      <c r="H31" s="297">
        <v>0</v>
      </c>
      <c r="I31" s="320"/>
      <c r="J31" s="303">
        <v>0</v>
      </c>
      <c r="K31" s="302">
        <v>0</v>
      </c>
      <c r="L31" s="302">
        <v>0</v>
      </c>
      <c r="M31" s="302">
        <v>0</v>
      </c>
      <c r="N31" s="303">
        <v>0</v>
      </c>
      <c r="O31" s="295">
        <v>0</v>
      </c>
      <c r="P31" s="299">
        <v>0</v>
      </c>
      <c r="Q31" s="8"/>
    </row>
    <row r="32" spans="1:17" ht="18" customHeight="1">
      <c r="A32" s="318"/>
      <c r="B32" s="318"/>
      <c r="C32" s="321" t="s">
        <v>194</v>
      </c>
      <c r="D32" s="322"/>
      <c r="E32" s="322"/>
      <c r="F32" s="323">
        <v>0</v>
      </c>
      <c r="G32" s="167">
        <v>0</v>
      </c>
      <c r="H32" s="162">
        <v>0</v>
      </c>
      <c r="I32" s="324"/>
      <c r="J32" s="167">
        <v>0</v>
      </c>
      <c r="K32" s="323">
        <v>0</v>
      </c>
      <c r="L32" s="323">
        <v>0</v>
      </c>
      <c r="M32" s="323">
        <v>0</v>
      </c>
      <c r="N32" s="167">
        <v>0</v>
      </c>
      <c r="O32" s="162">
        <v>0</v>
      </c>
      <c r="P32" s="163">
        <v>0</v>
      </c>
      <c r="Q32" s="8"/>
    </row>
    <row r="33" spans="1:17" ht="18" customHeight="1">
      <c r="A33" s="318"/>
      <c r="B33" s="318"/>
      <c r="C33" s="285" t="s">
        <v>247</v>
      </c>
      <c r="D33" s="325"/>
      <c r="E33" s="326"/>
      <c r="F33" s="287">
        <v>0</v>
      </c>
      <c r="G33" s="288">
        <v>0</v>
      </c>
      <c r="H33" s="289">
        <v>0</v>
      </c>
      <c r="I33" s="327"/>
      <c r="J33" s="288">
        <v>0</v>
      </c>
      <c r="K33" s="287">
        <v>0</v>
      </c>
      <c r="L33" s="287">
        <v>0</v>
      </c>
      <c r="M33" s="287">
        <v>0</v>
      </c>
      <c r="N33" s="288">
        <v>0</v>
      </c>
      <c r="O33" s="287">
        <v>0</v>
      </c>
      <c r="P33" s="291">
        <v>0</v>
      </c>
      <c r="Q33" s="8"/>
    </row>
    <row r="34" spans="1:17" ht="18" customHeight="1">
      <c r="A34" s="318"/>
      <c r="B34" s="318"/>
      <c r="C34" s="328"/>
      <c r="D34" s="798" t="s">
        <v>211</v>
      </c>
      <c r="E34" s="799"/>
      <c r="F34" s="329">
        <v>0</v>
      </c>
      <c r="G34" s="330">
        <v>0</v>
      </c>
      <c r="H34" s="331">
        <v>0</v>
      </c>
      <c r="I34" s="320"/>
      <c r="J34" s="330">
        <v>0</v>
      </c>
      <c r="K34" s="329">
        <v>0</v>
      </c>
      <c r="L34" s="329">
        <v>0</v>
      </c>
      <c r="M34" s="329">
        <v>0</v>
      </c>
      <c r="N34" s="330">
        <v>0</v>
      </c>
      <c r="O34" s="332">
        <v>0</v>
      </c>
      <c r="P34" s="333">
        <v>0</v>
      </c>
      <c r="Q34" s="8"/>
    </row>
    <row r="35" spans="1:17" ht="18" customHeight="1">
      <c r="A35" s="318"/>
      <c r="B35" s="318"/>
      <c r="C35" s="292"/>
      <c r="D35" s="307" t="s">
        <v>212</v>
      </c>
      <c r="E35" s="319"/>
      <c r="F35" s="329">
        <v>0</v>
      </c>
      <c r="G35" s="330">
        <v>0</v>
      </c>
      <c r="H35" s="297">
        <v>0</v>
      </c>
      <c r="I35" s="320"/>
      <c r="J35" s="303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07" t="s">
        <v>213</v>
      </c>
      <c r="E36" s="319"/>
      <c r="F36" s="302">
        <v>0</v>
      </c>
      <c r="G36" s="303">
        <v>0</v>
      </c>
      <c r="H36" s="297">
        <v>0</v>
      </c>
      <c r="I36" s="320"/>
      <c r="J36" s="303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214</v>
      </c>
      <c r="E37" s="305"/>
      <c r="F37" s="302">
        <v>0</v>
      </c>
      <c r="G37" s="303">
        <v>0</v>
      </c>
      <c r="H37" s="297">
        <v>0</v>
      </c>
      <c r="I37" s="320"/>
      <c r="J37" s="303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215</v>
      </c>
      <c r="E38" s="305"/>
      <c r="F38" s="302">
        <v>0</v>
      </c>
      <c r="G38" s="303">
        <v>0</v>
      </c>
      <c r="H38" s="297">
        <v>0</v>
      </c>
      <c r="I38" s="320"/>
      <c r="J38" s="303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216</v>
      </c>
      <c r="E39" s="305"/>
      <c r="F39" s="302">
        <v>0</v>
      </c>
      <c r="G39" s="303">
        <v>0</v>
      </c>
      <c r="H39" s="297">
        <v>0</v>
      </c>
      <c r="I39" s="320"/>
      <c r="J39" s="303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334" t="s">
        <v>217</v>
      </c>
      <c r="E40" s="305"/>
      <c r="F40" s="330">
        <v>0</v>
      </c>
      <c r="G40" s="303">
        <v>0</v>
      </c>
      <c r="H40" s="297">
        <v>0</v>
      </c>
      <c r="I40" s="320"/>
      <c r="J40" s="303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334" t="s">
        <v>218</v>
      </c>
      <c r="E41" s="305"/>
      <c r="F41" s="330">
        <v>0</v>
      </c>
      <c r="G41" s="303">
        <v>0</v>
      </c>
      <c r="H41" s="297">
        <v>0</v>
      </c>
      <c r="I41" s="320"/>
      <c r="J41" s="303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219</v>
      </c>
      <c r="E42" s="800"/>
      <c r="F42" s="329">
        <v>0</v>
      </c>
      <c r="G42" s="330">
        <v>0</v>
      </c>
      <c r="H42" s="297">
        <v>0</v>
      </c>
      <c r="I42" s="320"/>
      <c r="J42" s="303">
        <v>0</v>
      </c>
      <c r="K42" s="302">
        <v>0</v>
      </c>
      <c r="L42" s="302">
        <v>0</v>
      </c>
      <c r="M42" s="302">
        <v>0</v>
      </c>
      <c r="N42" s="303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292"/>
      <c r="D43" s="798" t="s">
        <v>220</v>
      </c>
      <c r="E43" s="800"/>
      <c r="F43" s="329">
        <v>0</v>
      </c>
      <c r="G43" s="330">
        <v>0</v>
      </c>
      <c r="H43" s="297">
        <v>0</v>
      </c>
      <c r="I43" s="320"/>
      <c r="J43" s="303">
        <v>0</v>
      </c>
      <c r="K43" s="302">
        <v>0</v>
      </c>
      <c r="L43" s="302">
        <v>0</v>
      </c>
      <c r="M43" s="302">
        <v>0</v>
      </c>
      <c r="N43" s="303">
        <v>0</v>
      </c>
      <c r="O43" s="295">
        <v>0</v>
      </c>
      <c r="P43" s="299">
        <v>0</v>
      </c>
      <c r="Q43" s="8"/>
    </row>
    <row r="44" spans="1:17" ht="18" customHeight="1">
      <c r="A44" s="318"/>
      <c r="B44" s="318"/>
      <c r="C44" s="328"/>
      <c r="D44" s="798" t="s">
        <v>221</v>
      </c>
      <c r="E44" s="799"/>
      <c r="F44" s="329">
        <v>0</v>
      </c>
      <c r="G44" s="330">
        <v>0</v>
      </c>
      <c r="H44" s="331">
        <v>0</v>
      </c>
      <c r="I44" s="320"/>
      <c r="J44" s="330">
        <v>0</v>
      </c>
      <c r="K44" s="329">
        <v>0</v>
      </c>
      <c r="L44" s="329">
        <v>0</v>
      </c>
      <c r="M44" s="329">
        <v>0</v>
      </c>
      <c r="N44" s="330">
        <v>0</v>
      </c>
      <c r="O44" s="332">
        <v>0</v>
      </c>
      <c r="P44" s="333">
        <v>0</v>
      </c>
      <c r="Q44" s="8"/>
    </row>
    <row r="45" spans="1:17" ht="18" customHeight="1">
      <c r="A45" s="318"/>
      <c r="B45" s="318"/>
      <c r="C45" s="335"/>
      <c r="D45" s="798" t="s">
        <v>248</v>
      </c>
      <c r="E45" s="799"/>
      <c r="F45" s="329">
        <v>0</v>
      </c>
      <c r="G45" s="330">
        <v>0</v>
      </c>
      <c r="H45" s="297">
        <v>0</v>
      </c>
      <c r="I45" s="336"/>
      <c r="J45" s="330">
        <v>0</v>
      </c>
      <c r="K45" s="329">
        <v>0</v>
      </c>
      <c r="L45" s="329">
        <v>0</v>
      </c>
      <c r="M45" s="329">
        <v>0</v>
      </c>
      <c r="N45" s="330">
        <v>0</v>
      </c>
      <c r="O45" s="332">
        <v>0</v>
      </c>
      <c r="P45" s="333">
        <v>0</v>
      </c>
      <c r="Q45" s="8"/>
    </row>
    <row r="46" spans="1:17" ht="18" customHeight="1">
      <c r="A46" s="318"/>
      <c r="B46" s="318"/>
      <c r="C46" s="337"/>
      <c r="D46" s="806" t="s">
        <v>249</v>
      </c>
      <c r="E46" s="810"/>
      <c r="F46" s="136">
        <v>0</v>
      </c>
      <c r="G46" s="109">
        <v>0</v>
      </c>
      <c r="H46" s="297">
        <v>0</v>
      </c>
      <c r="I46" s="363"/>
      <c r="J46" s="109">
        <v>0</v>
      </c>
      <c r="K46" s="136">
        <v>0</v>
      </c>
      <c r="L46" s="136">
        <v>0</v>
      </c>
      <c r="M46" s="136">
        <v>0</v>
      </c>
      <c r="N46" s="109">
        <v>0</v>
      </c>
      <c r="O46" s="145">
        <v>0</v>
      </c>
      <c r="P46" s="365">
        <v>0</v>
      </c>
      <c r="Q46" s="8"/>
    </row>
    <row r="47" spans="1:17" ht="18" customHeight="1">
      <c r="A47" s="318"/>
      <c r="B47" s="318"/>
      <c r="C47" s="292" t="s">
        <v>250</v>
      </c>
      <c r="D47" s="294"/>
      <c r="E47" s="294"/>
      <c r="F47" s="288">
        <v>0</v>
      </c>
      <c r="G47" s="288">
        <v>0</v>
      </c>
      <c r="H47" s="289">
        <v>0</v>
      </c>
      <c r="I47" s="327"/>
      <c r="J47" s="288">
        <v>0</v>
      </c>
      <c r="K47" s="287">
        <v>0</v>
      </c>
      <c r="L47" s="287">
        <v>0</v>
      </c>
      <c r="M47" s="287">
        <v>0</v>
      </c>
      <c r="N47" s="288">
        <v>0</v>
      </c>
      <c r="O47" s="287">
        <v>0</v>
      </c>
      <c r="P47" s="291">
        <v>0</v>
      </c>
      <c r="Q47" s="8"/>
    </row>
    <row r="48" spans="1:17" ht="18" customHeight="1">
      <c r="A48" s="318"/>
      <c r="B48" s="318"/>
      <c r="C48" s="292"/>
      <c r="D48" s="342" t="s">
        <v>113</v>
      </c>
      <c r="E48" s="342"/>
      <c r="F48" s="303">
        <v>0</v>
      </c>
      <c r="G48" s="303">
        <v>0</v>
      </c>
      <c r="H48" s="297">
        <v>0</v>
      </c>
      <c r="I48" s="320"/>
      <c r="J48" s="303">
        <v>0</v>
      </c>
      <c r="K48" s="302">
        <v>0</v>
      </c>
      <c r="L48" s="302">
        <v>0</v>
      </c>
      <c r="M48" s="302">
        <v>0</v>
      </c>
      <c r="N48" s="303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2" t="s">
        <v>114</v>
      </c>
      <c r="E49" s="342"/>
      <c r="F49" s="302">
        <v>0</v>
      </c>
      <c r="G49" s="303">
        <v>0</v>
      </c>
      <c r="H49" s="297">
        <v>0</v>
      </c>
      <c r="I49" s="320"/>
      <c r="J49" s="303">
        <v>0</v>
      </c>
      <c r="K49" s="302">
        <v>0</v>
      </c>
      <c r="L49" s="302">
        <v>0</v>
      </c>
      <c r="M49" s="302">
        <v>0</v>
      </c>
      <c r="N49" s="303">
        <v>0</v>
      </c>
      <c r="O49" s="295">
        <v>0</v>
      </c>
      <c r="P49" s="299">
        <v>0</v>
      </c>
      <c r="Q49" s="8"/>
    </row>
    <row r="50" spans="1:17" ht="18" customHeight="1">
      <c r="A50" s="318"/>
      <c r="B50" s="318"/>
      <c r="C50" s="292"/>
      <c r="D50" s="343" t="s">
        <v>176</v>
      </c>
      <c r="E50" s="343"/>
      <c r="F50" s="329">
        <v>0</v>
      </c>
      <c r="G50" s="330">
        <v>0</v>
      </c>
      <c r="H50" s="297">
        <v>0</v>
      </c>
      <c r="I50" s="320"/>
      <c r="J50" s="330">
        <v>0</v>
      </c>
      <c r="K50" s="329">
        <v>0</v>
      </c>
      <c r="L50" s="329">
        <v>0</v>
      </c>
      <c r="M50" s="329">
        <v>0</v>
      </c>
      <c r="N50" s="330">
        <v>0</v>
      </c>
      <c r="O50" s="295">
        <v>0</v>
      </c>
      <c r="P50" s="299">
        <v>0</v>
      </c>
      <c r="Q50" s="8"/>
    </row>
    <row r="51" spans="1:17" ht="18" customHeight="1">
      <c r="A51" s="318"/>
      <c r="B51" s="318"/>
      <c r="C51" s="292"/>
      <c r="D51" s="344" t="s">
        <v>251</v>
      </c>
      <c r="E51" s="344"/>
      <c r="F51" s="338">
        <v>0</v>
      </c>
      <c r="G51" s="339">
        <v>0</v>
      </c>
      <c r="H51" s="345">
        <v>0</v>
      </c>
      <c r="I51" s="320"/>
      <c r="J51" s="339">
        <v>0</v>
      </c>
      <c r="K51" s="338">
        <v>0</v>
      </c>
      <c r="L51" s="338">
        <v>0</v>
      </c>
      <c r="M51" s="338">
        <v>0</v>
      </c>
      <c r="N51" s="339">
        <v>0</v>
      </c>
      <c r="O51" s="340">
        <v>0</v>
      </c>
      <c r="P51" s="341">
        <v>0</v>
      </c>
      <c r="Q51" s="8"/>
    </row>
    <row r="52" spans="1:17" ht="18" customHeight="1">
      <c r="A52" s="318"/>
      <c r="B52" s="318"/>
      <c r="C52" s="801" t="s">
        <v>252</v>
      </c>
      <c r="D52" s="802"/>
      <c r="E52" s="803"/>
      <c r="F52" s="346">
        <v>0</v>
      </c>
      <c r="G52" s="346">
        <v>0</v>
      </c>
      <c r="H52" s="178">
        <v>0</v>
      </c>
      <c r="I52" s="347"/>
      <c r="J52" s="346">
        <v>0</v>
      </c>
      <c r="K52" s="346">
        <v>0</v>
      </c>
      <c r="L52" s="346">
        <v>0</v>
      </c>
      <c r="M52" s="346">
        <v>0</v>
      </c>
      <c r="N52" s="346">
        <v>0</v>
      </c>
      <c r="O52" s="346">
        <v>0</v>
      </c>
      <c r="P52" s="171">
        <v>0</v>
      </c>
      <c r="Q52" s="8"/>
    </row>
    <row r="53" spans="1:17" ht="12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8"/>
    </row>
  </sheetData>
  <mergeCells count="10">
    <mergeCell ref="D44:E44"/>
    <mergeCell ref="D42:E42"/>
    <mergeCell ref="C52:E52"/>
    <mergeCell ref="D46:E46"/>
    <mergeCell ref="D45:E45"/>
    <mergeCell ref="A3:Q3"/>
    <mergeCell ref="A4:Q4"/>
    <mergeCell ref="C10:E10"/>
    <mergeCell ref="D34:E34"/>
    <mergeCell ref="D43:E43"/>
  </mergeCells>
  <phoneticPr fontId="35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53"/>
  <sheetViews>
    <sheetView showGridLines="0" workbookViewId="0"/>
  </sheetViews>
  <sheetFormatPr defaultColWidth="9" defaultRowHeight="0" customHeight="1" zero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265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236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266</v>
      </c>
    </row>
    <row r="8" spans="1:17" ht="18" customHeight="1">
      <c r="C8" s="84" t="s">
        <v>255</v>
      </c>
    </row>
    <row r="9" spans="1:17" ht="18" customHeight="1">
      <c r="A9" s="188"/>
      <c r="B9" s="189"/>
      <c r="C9" s="190"/>
      <c r="D9" s="191"/>
      <c r="E9" s="192"/>
      <c r="F9" s="192"/>
      <c r="G9" s="191"/>
      <c r="H9" s="192"/>
      <c r="I9" s="192"/>
      <c r="J9" s="192"/>
      <c r="K9" s="192"/>
      <c r="L9" s="192"/>
      <c r="M9" s="192"/>
      <c r="N9" s="191"/>
      <c r="O9" s="279"/>
      <c r="P9" s="280"/>
      <c r="Q9" s="189"/>
    </row>
    <row r="10" spans="1:17" ht="18" customHeight="1">
      <c r="C10" s="795" t="s">
        <v>239</v>
      </c>
      <c r="D10" s="796"/>
      <c r="E10" s="797"/>
      <c r="F10" s="282" t="s">
        <v>152</v>
      </c>
      <c r="G10" s="240" t="s">
        <v>153</v>
      </c>
      <c r="H10" s="274" t="s">
        <v>14</v>
      </c>
      <c r="I10" s="283" t="s">
        <v>154</v>
      </c>
      <c r="J10" s="240" t="s">
        <v>155</v>
      </c>
      <c r="K10" s="282" t="s">
        <v>156</v>
      </c>
      <c r="L10" s="282" t="s">
        <v>157</v>
      </c>
      <c r="M10" s="282" t="s">
        <v>158</v>
      </c>
      <c r="N10" s="240" t="s">
        <v>159</v>
      </c>
      <c r="O10" s="274" t="s">
        <v>14</v>
      </c>
      <c r="P10" s="243" t="s">
        <v>109</v>
      </c>
    </row>
    <row r="11" spans="1:17" ht="18" customHeight="1">
      <c r="C11" s="285" t="s">
        <v>240</v>
      </c>
      <c r="D11" s="286"/>
      <c r="E11" s="286"/>
      <c r="F11" s="287">
        <v>0</v>
      </c>
      <c r="G11" s="288">
        <v>0</v>
      </c>
      <c r="H11" s="289">
        <v>0</v>
      </c>
      <c r="I11" s="290"/>
      <c r="J11" s="288">
        <v>0</v>
      </c>
      <c r="K11" s="288">
        <v>0</v>
      </c>
      <c r="L11" s="287">
        <v>0</v>
      </c>
      <c r="M11" s="288">
        <v>0</v>
      </c>
      <c r="N11" s="288">
        <v>0</v>
      </c>
      <c r="O11" s="287">
        <v>0</v>
      </c>
      <c r="P11" s="291">
        <v>0</v>
      </c>
    </row>
    <row r="12" spans="1:17" ht="18" customHeight="1">
      <c r="C12" s="292"/>
      <c r="D12" s="293" t="s">
        <v>241</v>
      </c>
      <c r="E12" s="294"/>
      <c r="F12" s="295">
        <v>0</v>
      </c>
      <c r="G12" s="296">
        <v>0</v>
      </c>
      <c r="H12" s="297">
        <v>0</v>
      </c>
      <c r="I12" s="298"/>
      <c r="J12" s="296">
        <v>0</v>
      </c>
      <c r="K12" s="295">
        <v>0</v>
      </c>
      <c r="L12" s="295">
        <v>0</v>
      </c>
      <c r="M12" s="295">
        <v>0</v>
      </c>
      <c r="N12" s="296">
        <v>0</v>
      </c>
      <c r="O12" s="295">
        <v>0</v>
      </c>
      <c r="P12" s="299">
        <v>0</v>
      </c>
    </row>
    <row r="13" spans="1:17" ht="18" customHeight="1">
      <c r="C13" s="292"/>
      <c r="D13" s="300"/>
      <c r="E13" s="301" t="s">
        <v>180</v>
      </c>
      <c r="F13" s="302">
        <v>0</v>
      </c>
      <c r="G13" s="303">
        <v>0</v>
      </c>
      <c r="H13" s="297">
        <v>0</v>
      </c>
      <c r="I13" s="304"/>
      <c r="J13" s="303">
        <v>0</v>
      </c>
      <c r="K13" s="302">
        <v>0</v>
      </c>
      <c r="L13" s="302">
        <v>0</v>
      </c>
      <c r="M13" s="302">
        <v>0</v>
      </c>
      <c r="N13" s="303">
        <v>0</v>
      </c>
      <c r="O13" s="295">
        <v>0</v>
      </c>
      <c r="P13" s="299">
        <v>0</v>
      </c>
    </row>
    <row r="14" spans="1:17" ht="18" customHeight="1">
      <c r="C14" s="292"/>
      <c r="D14" s="300"/>
      <c r="E14" s="301" t="s">
        <v>181</v>
      </c>
      <c r="F14" s="302">
        <v>0</v>
      </c>
      <c r="G14" s="303">
        <v>0</v>
      </c>
      <c r="H14" s="297">
        <v>0</v>
      </c>
      <c r="I14" s="304"/>
      <c r="J14" s="303">
        <v>0</v>
      </c>
      <c r="K14" s="302">
        <v>0</v>
      </c>
      <c r="L14" s="302">
        <v>0</v>
      </c>
      <c r="M14" s="302">
        <v>0</v>
      </c>
      <c r="N14" s="303">
        <v>0</v>
      </c>
      <c r="O14" s="295">
        <v>0</v>
      </c>
      <c r="P14" s="299">
        <v>0</v>
      </c>
    </row>
    <row r="15" spans="1:17" ht="18" customHeight="1">
      <c r="C15" s="292"/>
      <c r="D15" s="300"/>
      <c r="E15" s="301" t="s">
        <v>182</v>
      </c>
      <c r="F15" s="302">
        <v>0</v>
      </c>
      <c r="G15" s="303">
        <v>0</v>
      </c>
      <c r="H15" s="297">
        <v>0</v>
      </c>
      <c r="I15" s="304"/>
      <c r="J15" s="303">
        <v>0</v>
      </c>
      <c r="K15" s="302">
        <v>0</v>
      </c>
      <c r="L15" s="302">
        <v>0</v>
      </c>
      <c r="M15" s="302">
        <v>0</v>
      </c>
      <c r="N15" s="303">
        <v>0</v>
      </c>
      <c r="O15" s="295">
        <v>0</v>
      </c>
      <c r="P15" s="299">
        <v>0</v>
      </c>
    </row>
    <row r="16" spans="1:17" ht="18" customHeight="1">
      <c r="C16" s="292"/>
      <c r="D16" s="300"/>
      <c r="E16" s="301" t="s">
        <v>183</v>
      </c>
      <c r="F16" s="302">
        <v>0</v>
      </c>
      <c r="G16" s="303">
        <v>0</v>
      </c>
      <c r="H16" s="297">
        <v>0</v>
      </c>
      <c r="I16" s="304"/>
      <c r="J16" s="303">
        <v>0</v>
      </c>
      <c r="K16" s="302">
        <v>0</v>
      </c>
      <c r="L16" s="302">
        <v>0</v>
      </c>
      <c r="M16" s="302">
        <v>0</v>
      </c>
      <c r="N16" s="303">
        <v>0</v>
      </c>
      <c r="O16" s="295">
        <v>0</v>
      </c>
      <c r="P16" s="299">
        <v>0</v>
      </c>
    </row>
    <row r="17" spans="1:17" ht="18" customHeight="1">
      <c r="C17" s="292"/>
      <c r="D17" s="300"/>
      <c r="E17" s="301" t="s">
        <v>184</v>
      </c>
      <c r="F17" s="302">
        <v>0</v>
      </c>
      <c r="G17" s="303">
        <v>0</v>
      </c>
      <c r="H17" s="297">
        <v>0</v>
      </c>
      <c r="I17" s="304"/>
      <c r="J17" s="303">
        <v>0</v>
      </c>
      <c r="K17" s="302">
        <v>0</v>
      </c>
      <c r="L17" s="302">
        <v>0</v>
      </c>
      <c r="M17" s="302">
        <v>0</v>
      </c>
      <c r="N17" s="303">
        <v>0</v>
      </c>
      <c r="O17" s="295">
        <v>0</v>
      </c>
      <c r="P17" s="299">
        <v>0</v>
      </c>
    </row>
    <row r="18" spans="1:17" ht="18" customHeight="1">
      <c r="C18" s="292"/>
      <c r="D18" s="293" t="s">
        <v>242</v>
      </c>
      <c r="E18" s="305"/>
      <c r="F18" s="295">
        <v>0</v>
      </c>
      <c r="G18" s="296">
        <v>0</v>
      </c>
      <c r="H18" s="297">
        <v>0</v>
      </c>
      <c r="I18" s="298"/>
      <c r="J18" s="296">
        <v>0</v>
      </c>
      <c r="K18" s="295">
        <v>0</v>
      </c>
      <c r="L18" s="295">
        <v>0</v>
      </c>
      <c r="M18" s="295">
        <v>0</v>
      </c>
      <c r="N18" s="296">
        <v>0</v>
      </c>
      <c r="O18" s="295">
        <v>0</v>
      </c>
      <c r="P18" s="299">
        <v>0</v>
      </c>
    </row>
    <row r="19" spans="1:17" ht="18" customHeight="1">
      <c r="C19" s="292"/>
      <c r="D19" s="300"/>
      <c r="E19" s="306" t="s">
        <v>185</v>
      </c>
      <c r="F19" s="302">
        <v>0</v>
      </c>
      <c r="G19" s="303">
        <v>0</v>
      </c>
      <c r="H19" s="297">
        <v>0</v>
      </c>
      <c r="I19" s="304"/>
      <c r="J19" s="303">
        <v>0</v>
      </c>
      <c r="K19" s="302">
        <v>0</v>
      </c>
      <c r="L19" s="302">
        <v>0</v>
      </c>
      <c r="M19" s="302">
        <v>0</v>
      </c>
      <c r="N19" s="303">
        <v>0</v>
      </c>
      <c r="O19" s="295">
        <v>0</v>
      </c>
      <c r="P19" s="299">
        <v>0</v>
      </c>
    </row>
    <row r="20" spans="1:17" ht="18" customHeight="1">
      <c r="C20" s="292"/>
      <c r="D20" s="300"/>
      <c r="E20" s="306" t="s">
        <v>186</v>
      </c>
      <c r="F20" s="302">
        <v>0</v>
      </c>
      <c r="G20" s="303">
        <v>0</v>
      </c>
      <c r="H20" s="297">
        <v>0</v>
      </c>
      <c r="I20" s="304"/>
      <c r="J20" s="303">
        <v>0</v>
      </c>
      <c r="K20" s="302">
        <v>0</v>
      </c>
      <c r="L20" s="302">
        <v>0</v>
      </c>
      <c r="M20" s="302">
        <v>0</v>
      </c>
      <c r="N20" s="303">
        <v>0</v>
      </c>
      <c r="O20" s="295">
        <v>0</v>
      </c>
      <c r="P20" s="299">
        <v>0</v>
      </c>
    </row>
    <row r="21" spans="1:17" ht="18" customHeight="1">
      <c r="C21" s="292"/>
      <c r="D21" s="293" t="s">
        <v>243</v>
      </c>
      <c r="E21" s="294"/>
      <c r="F21" s="295">
        <v>0</v>
      </c>
      <c r="G21" s="296">
        <v>0</v>
      </c>
      <c r="H21" s="297">
        <v>0</v>
      </c>
      <c r="I21" s="298"/>
      <c r="J21" s="296">
        <v>0</v>
      </c>
      <c r="K21" s="295">
        <v>0</v>
      </c>
      <c r="L21" s="295">
        <v>0</v>
      </c>
      <c r="M21" s="295">
        <v>0</v>
      </c>
      <c r="N21" s="296">
        <v>0</v>
      </c>
      <c r="O21" s="295">
        <v>0</v>
      </c>
      <c r="P21" s="299">
        <v>0</v>
      </c>
    </row>
    <row r="22" spans="1:17" ht="18" customHeight="1">
      <c r="C22" s="292"/>
      <c r="D22" s="300"/>
      <c r="E22" s="301" t="s">
        <v>187</v>
      </c>
      <c r="F22" s="302">
        <v>0</v>
      </c>
      <c r="G22" s="303">
        <v>0</v>
      </c>
      <c r="H22" s="297">
        <v>0</v>
      </c>
      <c r="I22" s="304"/>
      <c r="J22" s="303">
        <v>0</v>
      </c>
      <c r="K22" s="302">
        <v>0</v>
      </c>
      <c r="L22" s="302">
        <v>0</v>
      </c>
      <c r="M22" s="302">
        <v>0</v>
      </c>
      <c r="N22" s="303">
        <v>0</v>
      </c>
      <c r="O22" s="295">
        <v>0</v>
      </c>
      <c r="P22" s="299">
        <v>0</v>
      </c>
    </row>
    <row r="23" spans="1:17" ht="18" customHeight="1">
      <c r="C23" s="292"/>
      <c r="D23" s="300"/>
      <c r="E23" s="301" t="s">
        <v>188</v>
      </c>
      <c r="F23" s="302">
        <v>0</v>
      </c>
      <c r="G23" s="303">
        <v>0</v>
      </c>
      <c r="H23" s="297">
        <v>0</v>
      </c>
      <c r="I23" s="304"/>
      <c r="J23" s="303">
        <v>0</v>
      </c>
      <c r="K23" s="302">
        <v>0</v>
      </c>
      <c r="L23" s="302">
        <v>0</v>
      </c>
      <c r="M23" s="302">
        <v>0</v>
      </c>
      <c r="N23" s="303">
        <v>0</v>
      </c>
      <c r="O23" s="295">
        <v>0</v>
      </c>
      <c r="P23" s="299">
        <v>0</v>
      </c>
    </row>
    <row r="24" spans="1:17" ht="18" customHeight="1">
      <c r="C24" s="292"/>
      <c r="D24" s="300"/>
      <c r="E24" s="301" t="s">
        <v>189</v>
      </c>
      <c r="F24" s="302">
        <v>0</v>
      </c>
      <c r="G24" s="303">
        <v>0</v>
      </c>
      <c r="H24" s="297">
        <v>0</v>
      </c>
      <c r="I24" s="304"/>
      <c r="J24" s="303">
        <v>0</v>
      </c>
      <c r="K24" s="302">
        <v>0</v>
      </c>
      <c r="L24" s="302">
        <v>0</v>
      </c>
      <c r="M24" s="302">
        <v>0</v>
      </c>
      <c r="N24" s="303">
        <v>0</v>
      </c>
      <c r="O24" s="295">
        <v>0</v>
      </c>
      <c r="P24" s="299">
        <v>0</v>
      </c>
    </row>
    <row r="25" spans="1:17" ht="18" customHeight="1">
      <c r="C25" s="292"/>
      <c r="D25" s="307"/>
      <c r="E25" s="301" t="s">
        <v>190</v>
      </c>
      <c r="F25" s="302">
        <v>0</v>
      </c>
      <c r="G25" s="303">
        <v>0</v>
      </c>
      <c r="H25" s="297">
        <v>0</v>
      </c>
      <c r="I25" s="304"/>
      <c r="J25" s="303">
        <v>0</v>
      </c>
      <c r="K25" s="302">
        <v>0</v>
      </c>
      <c r="L25" s="302">
        <v>0</v>
      </c>
      <c r="M25" s="302">
        <v>0</v>
      </c>
      <c r="N25" s="303">
        <v>0</v>
      </c>
      <c r="O25" s="295">
        <v>0</v>
      </c>
      <c r="P25" s="299">
        <v>0</v>
      </c>
    </row>
    <row r="26" spans="1:17" ht="18" customHeight="1">
      <c r="C26" s="292"/>
      <c r="D26" s="293" t="s">
        <v>244</v>
      </c>
      <c r="E26" s="294"/>
      <c r="F26" s="295">
        <v>0</v>
      </c>
      <c r="G26" s="296">
        <v>0</v>
      </c>
      <c r="H26" s="297">
        <v>0</v>
      </c>
      <c r="I26" s="298"/>
      <c r="J26" s="296">
        <v>0</v>
      </c>
      <c r="K26" s="295">
        <v>0</v>
      </c>
      <c r="L26" s="295">
        <v>0</v>
      </c>
      <c r="M26" s="295">
        <v>0</v>
      </c>
      <c r="N26" s="296">
        <v>0</v>
      </c>
      <c r="O26" s="295">
        <v>0</v>
      </c>
      <c r="P26" s="299">
        <v>0</v>
      </c>
    </row>
    <row r="27" spans="1:17" ht="18" customHeight="1">
      <c r="C27" s="292"/>
      <c r="D27" s="300"/>
      <c r="E27" s="308" t="s">
        <v>191</v>
      </c>
      <c r="F27" s="309">
        <v>0</v>
      </c>
      <c r="G27" s="310">
        <v>0</v>
      </c>
      <c r="H27" s="297">
        <v>0</v>
      </c>
      <c r="I27" s="304"/>
      <c r="J27" s="310">
        <v>0</v>
      </c>
      <c r="K27" s="309">
        <v>0</v>
      </c>
      <c r="L27" s="309">
        <v>0</v>
      </c>
      <c r="M27" s="309">
        <v>0</v>
      </c>
      <c r="N27" s="310">
        <v>0</v>
      </c>
      <c r="O27" s="295">
        <v>0</v>
      </c>
      <c r="P27" s="299">
        <v>0</v>
      </c>
    </row>
    <row r="28" spans="1:17" ht="18" customHeight="1">
      <c r="C28" s="292"/>
      <c r="D28" s="311"/>
      <c r="E28" s="306" t="s">
        <v>245</v>
      </c>
      <c r="F28" s="312">
        <v>0</v>
      </c>
      <c r="G28" s="313">
        <v>0</v>
      </c>
      <c r="H28" s="297">
        <v>0</v>
      </c>
      <c r="I28" s="314"/>
      <c r="J28" s="313">
        <v>0</v>
      </c>
      <c r="K28" s="312">
        <v>0</v>
      </c>
      <c r="L28" s="312">
        <v>0</v>
      </c>
      <c r="M28" s="312">
        <v>0</v>
      </c>
      <c r="N28" s="313">
        <v>0</v>
      </c>
      <c r="O28" s="295">
        <v>0</v>
      </c>
      <c r="P28" s="299">
        <v>0</v>
      </c>
    </row>
    <row r="29" spans="1:17" ht="18" customHeight="1">
      <c r="C29" s="292"/>
      <c r="D29" s="315"/>
      <c r="E29" s="301" t="s">
        <v>246</v>
      </c>
      <c r="F29" s="316">
        <v>0</v>
      </c>
      <c r="G29" s="317">
        <v>0</v>
      </c>
      <c r="H29" s="297">
        <v>0</v>
      </c>
      <c r="I29" s="314"/>
      <c r="J29" s="317">
        <v>0</v>
      </c>
      <c r="K29" s="316">
        <v>0</v>
      </c>
      <c r="L29" s="316">
        <v>0</v>
      </c>
      <c r="M29" s="316">
        <v>0</v>
      </c>
      <c r="N29" s="317">
        <v>0</v>
      </c>
      <c r="O29" s="295">
        <v>0</v>
      </c>
      <c r="P29" s="299">
        <v>0</v>
      </c>
    </row>
    <row r="30" spans="1:17" ht="18" customHeight="1">
      <c r="A30" s="318"/>
      <c r="B30" s="318"/>
      <c r="C30" s="292"/>
      <c r="D30" s="307" t="s">
        <v>192</v>
      </c>
      <c r="E30" s="319"/>
      <c r="F30" s="302">
        <v>0</v>
      </c>
      <c r="G30" s="303">
        <v>0</v>
      </c>
      <c r="H30" s="297">
        <v>0</v>
      </c>
      <c r="I30" s="320"/>
      <c r="J30" s="303">
        <v>0</v>
      </c>
      <c r="K30" s="302">
        <v>0</v>
      </c>
      <c r="L30" s="302">
        <v>0</v>
      </c>
      <c r="M30" s="302">
        <v>0</v>
      </c>
      <c r="N30" s="303">
        <v>0</v>
      </c>
      <c r="O30" s="295">
        <v>0</v>
      </c>
      <c r="P30" s="299">
        <v>0</v>
      </c>
      <c r="Q30" s="8"/>
    </row>
    <row r="31" spans="1:17" ht="18" customHeight="1">
      <c r="A31" s="318"/>
      <c r="B31" s="318"/>
      <c r="C31" s="292"/>
      <c r="D31" s="300" t="s">
        <v>193</v>
      </c>
      <c r="E31" s="319"/>
      <c r="F31" s="302">
        <v>0</v>
      </c>
      <c r="G31" s="303">
        <v>0</v>
      </c>
      <c r="H31" s="297">
        <v>0</v>
      </c>
      <c r="I31" s="320"/>
      <c r="J31" s="303">
        <v>0</v>
      </c>
      <c r="K31" s="302">
        <v>0</v>
      </c>
      <c r="L31" s="302">
        <v>0</v>
      </c>
      <c r="M31" s="302">
        <v>0</v>
      </c>
      <c r="N31" s="303">
        <v>0</v>
      </c>
      <c r="O31" s="295">
        <v>0</v>
      </c>
      <c r="P31" s="299">
        <v>0</v>
      </c>
      <c r="Q31" s="8"/>
    </row>
    <row r="32" spans="1:17" ht="18" customHeight="1">
      <c r="A32" s="318"/>
      <c r="B32" s="318"/>
      <c r="C32" s="321" t="s">
        <v>194</v>
      </c>
      <c r="D32" s="322"/>
      <c r="E32" s="322"/>
      <c r="F32" s="323">
        <v>0</v>
      </c>
      <c r="G32" s="167">
        <v>0</v>
      </c>
      <c r="H32" s="162">
        <v>0</v>
      </c>
      <c r="I32" s="324"/>
      <c r="J32" s="167">
        <v>0</v>
      </c>
      <c r="K32" s="323">
        <v>0</v>
      </c>
      <c r="L32" s="323">
        <v>0</v>
      </c>
      <c r="M32" s="323">
        <v>0</v>
      </c>
      <c r="N32" s="167">
        <v>0</v>
      </c>
      <c r="O32" s="162">
        <v>0</v>
      </c>
      <c r="P32" s="163">
        <v>0</v>
      </c>
      <c r="Q32" s="8"/>
    </row>
    <row r="33" spans="1:17" ht="18" customHeight="1">
      <c r="A33" s="318"/>
      <c r="B33" s="318"/>
      <c r="C33" s="285" t="s">
        <v>247</v>
      </c>
      <c r="D33" s="325"/>
      <c r="E33" s="326"/>
      <c r="F33" s="287">
        <v>0</v>
      </c>
      <c r="G33" s="288">
        <v>0</v>
      </c>
      <c r="H33" s="289">
        <v>0</v>
      </c>
      <c r="I33" s="327"/>
      <c r="J33" s="288">
        <v>0</v>
      </c>
      <c r="K33" s="287">
        <v>0</v>
      </c>
      <c r="L33" s="287">
        <v>0</v>
      </c>
      <c r="M33" s="287">
        <v>0</v>
      </c>
      <c r="N33" s="288">
        <v>0</v>
      </c>
      <c r="O33" s="287">
        <v>0</v>
      </c>
      <c r="P33" s="291">
        <v>0</v>
      </c>
      <c r="Q33" s="8"/>
    </row>
    <row r="34" spans="1:17" ht="18" customHeight="1">
      <c r="A34" s="318"/>
      <c r="B34" s="318"/>
      <c r="C34" s="328"/>
      <c r="D34" s="798" t="s">
        <v>211</v>
      </c>
      <c r="E34" s="799"/>
      <c r="F34" s="329">
        <v>0</v>
      </c>
      <c r="G34" s="330">
        <v>0</v>
      </c>
      <c r="H34" s="331">
        <v>0</v>
      </c>
      <c r="I34" s="320"/>
      <c r="J34" s="330">
        <v>0</v>
      </c>
      <c r="K34" s="329">
        <v>0</v>
      </c>
      <c r="L34" s="329">
        <v>0</v>
      </c>
      <c r="M34" s="329">
        <v>0</v>
      </c>
      <c r="N34" s="330">
        <v>0</v>
      </c>
      <c r="O34" s="332">
        <v>0</v>
      </c>
      <c r="P34" s="333">
        <v>0</v>
      </c>
      <c r="Q34" s="8"/>
    </row>
    <row r="35" spans="1:17" ht="18" customHeight="1">
      <c r="A35" s="318"/>
      <c r="B35" s="318"/>
      <c r="C35" s="292"/>
      <c r="D35" s="307" t="s">
        <v>212</v>
      </c>
      <c r="E35" s="319"/>
      <c r="F35" s="329">
        <v>0</v>
      </c>
      <c r="G35" s="330">
        <v>0</v>
      </c>
      <c r="H35" s="297">
        <v>0</v>
      </c>
      <c r="I35" s="320"/>
      <c r="J35" s="303">
        <v>0</v>
      </c>
      <c r="K35" s="302">
        <v>0</v>
      </c>
      <c r="L35" s="302">
        <v>0</v>
      </c>
      <c r="M35" s="302">
        <v>0</v>
      </c>
      <c r="N35" s="303">
        <v>0</v>
      </c>
      <c r="O35" s="295">
        <v>0</v>
      </c>
      <c r="P35" s="299">
        <v>0</v>
      </c>
      <c r="Q35" s="8"/>
    </row>
    <row r="36" spans="1:17" ht="18" customHeight="1">
      <c r="A36" s="318"/>
      <c r="B36" s="318"/>
      <c r="C36" s="292"/>
      <c r="D36" s="307" t="s">
        <v>213</v>
      </c>
      <c r="E36" s="319"/>
      <c r="F36" s="302">
        <v>0</v>
      </c>
      <c r="G36" s="303">
        <v>0</v>
      </c>
      <c r="H36" s="297">
        <v>0</v>
      </c>
      <c r="I36" s="320"/>
      <c r="J36" s="303">
        <v>0</v>
      </c>
      <c r="K36" s="302">
        <v>0</v>
      </c>
      <c r="L36" s="302">
        <v>0</v>
      </c>
      <c r="M36" s="302">
        <v>0</v>
      </c>
      <c r="N36" s="303">
        <v>0</v>
      </c>
      <c r="O36" s="295">
        <v>0</v>
      </c>
      <c r="P36" s="299">
        <v>0</v>
      </c>
      <c r="Q36" s="8"/>
    </row>
    <row r="37" spans="1:17" ht="18" customHeight="1">
      <c r="A37" s="318"/>
      <c r="B37" s="318"/>
      <c r="C37" s="292"/>
      <c r="D37" s="334" t="s">
        <v>214</v>
      </c>
      <c r="E37" s="305"/>
      <c r="F37" s="302">
        <v>0</v>
      </c>
      <c r="G37" s="303">
        <v>0</v>
      </c>
      <c r="H37" s="297">
        <v>0</v>
      </c>
      <c r="I37" s="320"/>
      <c r="J37" s="303">
        <v>0</v>
      </c>
      <c r="K37" s="302">
        <v>0</v>
      </c>
      <c r="L37" s="302">
        <v>0</v>
      </c>
      <c r="M37" s="302">
        <v>0</v>
      </c>
      <c r="N37" s="303">
        <v>0</v>
      </c>
      <c r="O37" s="295">
        <v>0</v>
      </c>
      <c r="P37" s="299">
        <v>0</v>
      </c>
      <c r="Q37" s="8"/>
    </row>
    <row r="38" spans="1:17" ht="18" customHeight="1">
      <c r="A38" s="318"/>
      <c r="B38" s="318"/>
      <c r="C38" s="292"/>
      <c r="D38" s="334" t="s">
        <v>215</v>
      </c>
      <c r="E38" s="305"/>
      <c r="F38" s="302">
        <v>0</v>
      </c>
      <c r="G38" s="303">
        <v>0</v>
      </c>
      <c r="H38" s="297">
        <v>0</v>
      </c>
      <c r="I38" s="320"/>
      <c r="J38" s="303">
        <v>0</v>
      </c>
      <c r="K38" s="302">
        <v>0</v>
      </c>
      <c r="L38" s="302">
        <v>0</v>
      </c>
      <c r="M38" s="302">
        <v>0</v>
      </c>
      <c r="N38" s="303">
        <v>0</v>
      </c>
      <c r="O38" s="295">
        <v>0</v>
      </c>
      <c r="P38" s="299">
        <v>0</v>
      </c>
      <c r="Q38" s="8"/>
    </row>
    <row r="39" spans="1:17" ht="18" customHeight="1">
      <c r="A39" s="318"/>
      <c r="B39" s="318"/>
      <c r="C39" s="292"/>
      <c r="D39" s="334" t="s">
        <v>216</v>
      </c>
      <c r="E39" s="305"/>
      <c r="F39" s="302">
        <v>0</v>
      </c>
      <c r="G39" s="303">
        <v>0</v>
      </c>
      <c r="H39" s="297">
        <v>0</v>
      </c>
      <c r="I39" s="320"/>
      <c r="J39" s="303">
        <v>0</v>
      </c>
      <c r="K39" s="302">
        <v>0</v>
      </c>
      <c r="L39" s="302">
        <v>0</v>
      </c>
      <c r="M39" s="302">
        <v>0</v>
      </c>
      <c r="N39" s="303">
        <v>0</v>
      </c>
      <c r="O39" s="295">
        <v>0</v>
      </c>
      <c r="P39" s="299">
        <v>0</v>
      </c>
      <c r="Q39" s="8"/>
    </row>
    <row r="40" spans="1:17" ht="18" customHeight="1">
      <c r="A40" s="318"/>
      <c r="B40" s="318"/>
      <c r="C40" s="292"/>
      <c r="D40" s="334" t="s">
        <v>217</v>
      </c>
      <c r="E40" s="305"/>
      <c r="F40" s="330">
        <v>0</v>
      </c>
      <c r="G40" s="303">
        <v>0</v>
      </c>
      <c r="H40" s="297">
        <v>0</v>
      </c>
      <c r="I40" s="320"/>
      <c r="J40" s="303">
        <v>0</v>
      </c>
      <c r="K40" s="302">
        <v>0</v>
      </c>
      <c r="L40" s="302">
        <v>0</v>
      </c>
      <c r="M40" s="302">
        <v>0</v>
      </c>
      <c r="N40" s="303">
        <v>0</v>
      </c>
      <c r="O40" s="295">
        <v>0</v>
      </c>
      <c r="P40" s="299">
        <v>0</v>
      </c>
      <c r="Q40" s="8"/>
    </row>
    <row r="41" spans="1:17" ht="18" customHeight="1">
      <c r="A41" s="318"/>
      <c r="B41" s="318"/>
      <c r="C41" s="292"/>
      <c r="D41" s="334" t="s">
        <v>218</v>
      </c>
      <c r="E41" s="305"/>
      <c r="F41" s="330">
        <v>0</v>
      </c>
      <c r="G41" s="303">
        <v>0</v>
      </c>
      <c r="H41" s="297">
        <v>0</v>
      </c>
      <c r="I41" s="320"/>
      <c r="J41" s="303">
        <v>0</v>
      </c>
      <c r="K41" s="302">
        <v>0</v>
      </c>
      <c r="L41" s="302">
        <v>0</v>
      </c>
      <c r="M41" s="302">
        <v>0</v>
      </c>
      <c r="N41" s="303">
        <v>0</v>
      </c>
      <c r="O41" s="295">
        <v>0</v>
      </c>
      <c r="P41" s="299">
        <v>0</v>
      </c>
      <c r="Q41" s="8"/>
    </row>
    <row r="42" spans="1:17" ht="18" customHeight="1">
      <c r="A42" s="318"/>
      <c r="B42" s="318"/>
      <c r="C42" s="292"/>
      <c r="D42" s="798" t="s">
        <v>219</v>
      </c>
      <c r="E42" s="800"/>
      <c r="F42" s="329">
        <v>0</v>
      </c>
      <c r="G42" s="330">
        <v>0</v>
      </c>
      <c r="H42" s="297">
        <v>0</v>
      </c>
      <c r="I42" s="320"/>
      <c r="J42" s="303">
        <v>0</v>
      </c>
      <c r="K42" s="302">
        <v>0</v>
      </c>
      <c r="L42" s="302">
        <v>0</v>
      </c>
      <c r="M42" s="302">
        <v>0</v>
      </c>
      <c r="N42" s="303">
        <v>0</v>
      </c>
      <c r="O42" s="295">
        <v>0</v>
      </c>
      <c r="P42" s="299">
        <v>0</v>
      </c>
      <c r="Q42" s="8"/>
    </row>
    <row r="43" spans="1:17" ht="18" customHeight="1">
      <c r="A43" s="318"/>
      <c r="B43" s="318"/>
      <c r="C43" s="292"/>
      <c r="D43" s="798" t="s">
        <v>220</v>
      </c>
      <c r="E43" s="800"/>
      <c r="F43" s="329">
        <v>0</v>
      </c>
      <c r="G43" s="330">
        <v>0</v>
      </c>
      <c r="H43" s="297">
        <v>0</v>
      </c>
      <c r="I43" s="320"/>
      <c r="J43" s="303">
        <v>0</v>
      </c>
      <c r="K43" s="302">
        <v>0</v>
      </c>
      <c r="L43" s="302">
        <v>0</v>
      </c>
      <c r="M43" s="302">
        <v>0</v>
      </c>
      <c r="N43" s="303">
        <v>0</v>
      </c>
      <c r="O43" s="295">
        <v>0</v>
      </c>
      <c r="P43" s="299">
        <v>0</v>
      </c>
      <c r="Q43" s="8"/>
    </row>
    <row r="44" spans="1:17" ht="18" customHeight="1">
      <c r="A44" s="318"/>
      <c r="B44" s="318"/>
      <c r="C44" s="328"/>
      <c r="D44" s="798" t="s">
        <v>221</v>
      </c>
      <c r="E44" s="799"/>
      <c r="F44" s="329">
        <v>0</v>
      </c>
      <c r="G44" s="330">
        <v>0</v>
      </c>
      <c r="H44" s="331">
        <v>0</v>
      </c>
      <c r="I44" s="320"/>
      <c r="J44" s="330">
        <v>0</v>
      </c>
      <c r="K44" s="329">
        <v>0</v>
      </c>
      <c r="L44" s="329">
        <v>0</v>
      </c>
      <c r="M44" s="329">
        <v>0</v>
      </c>
      <c r="N44" s="330">
        <v>0</v>
      </c>
      <c r="O44" s="332">
        <v>0</v>
      </c>
      <c r="P44" s="333">
        <v>0</v>
      </c>
      <c r="Q44" s="8"/>
    </row>
    <row r="45" spans="1:17" ht="18" customHeight="1">
      <c r="A45" s="318"/>
      <c r="B45" s="318"/>
      <c r="C45" s="335"/>
      <c r="D45" s="798" t="s">
        <v>248</v>
      </c>
      <c r="E45" s="799"/>
      <c r="F45" s="329">
        <v>0</v>
      </c>
      <c r="G45" s="330">
        <v>0</v>
      </c>
      <c r="H45" s="297">
        <v>0</v>
      </c>
      <c r="I45" s="336"/>
      <c r="J45" s="330">
        <v>0</v>
      </c>
      <c r="K45" s="329">
        <v>0</v>
      </c>
      <c r="L45" s="329">
        <v>0</v>
      </c>
      <c r="M45" s="329">
        <v>0</v>
      </c>
      <c r="N45" s="330">
        <v>0</v>
      </c>
      <c r="O45" s="332">
        <v>0</v>
      </c>
      <c r="P45" s="333">
        <v>0</v>
      </c>
      <c r="Q45" s="8"/>
    </row>
    <row r="46" spans="1:17" ht="18" customHeight="1">
      <c r="A46" s="318"/>
      <c r="B46" s="318"/>
      <c r="C46" s="337"/>
      <c r="D46" s="806" t="s">
        <v>249</v>
      </c>
      <c r="E46" s="810"/>
      <c r="F46" s="136">
        <v>0</v>
      </c>
      <c r="G46" s="109">
        <v>0</v>
      </c>
      <c r="H46" s="297">
        <v>0</v>
      </c>
      <c r="I46" s="363"/>
      <c r="J46" s="109">
        <v>0</v>
      </c>
      <c r="K46" s="136">
        <v>0</v>
      </c>
      <c r="L46" s="136">
        <v>0</v>
      </c>
      <c r="M46" s="136">
        <v>0</v>
      </c>
      <c r="N46" s="109">
        <v>0</v>
      </c>
      <c r="O46" s="145">
        <v>0</v>
      </c>
      <c r="P46" s="365">
        <v>0</v>
      </c>
      <c r="Q46" s="8"/>
    </row>
    <row r="47" spans="1:17" ht="18" customHeight="1">
      <c r="A47" s="318"/>
      <c r="B47" s="318"/>
      <c r="C47" s="292" t="s">
        <v>250</v>
      </c>
      <c r="D47" s="294"/>
      <c r="E47" s="294"/>
      <c r="F47" s="288">
        <v>0</v>
      </c>
      <c r="G47" s="288">
        <v>0</v>
      </c>
      <c r="H47" s="289">
        <v>0</v>
      </c>
      <c r="I47" s="327"/>
      <c r="J47" s="288">
        <v>0</v>
      </c>
      <c r="K47" s="287">
        <v>0</v>
      </c>
      <c r="L47" s="287">
        <v>0</v>
      </c>
      <c r="M47" s="287">
        <v>0</v>
      </c>
      <c r="N47" s="288">
        <v>0</v>
      </c>
      <c r="O47" s="287">
        <v>0</v>
      </c>
      <c r="P47" s="291">
        <v>0</v>
      </c>
      <c r="Q47" s="8"/>
    </row>
    <row r="48" spans="1:17" ht="18" customHeight="1">
      <c r="A48" s="318"/>
      <c r="B48" s="318"/>
      <c r="C48" s="292"/>
      <c r="D48" s="342" t="s">
        <v>113</v>
      </c>
      <c r="E48" s="342"/>
      <c r="F48" s="303">
        <v>0</v>
      </c>
      <c r="G48" s="303">
        <v>0</v>
      </c>
      <c r="H48" s="297">
        <v>0</v>
      </c>
      <c r="I48" s="320"/>
      <c r="J48" s="303">
        <v>0</v>
      </c>
      <c r="K48" s="302">
        <v>0</v>
      </c>
      <c r="L48" s="302">
        <v>0</v>
      </c>
      <c r="M48" s="302">
        <v>0</v>
      </c>
      <c r="N48" s="303">
        <v>0</v>
      </c>
      <c r="O48" s="295">
        <v>0</v>
      </c>
      <c r="P48" s="299">
        <v>0</v>
      </c>
      <c r="Q48" s="8"/>
    </row>
    <row r="49" spans="1:17" ht="18" customHeight="1">
      <c r="A49" s="318"/>
      <c r="B49" s="318"/>
      <c r="C49" s="292"/>
      <c r="D49" s="342" t="s">
        <v>114</v>
      </c>
      <c r="E49" s="342"/>
      <c r="F49" s="302">
        <v>0</v>
      </c>
      <c r="G49" s="303">
        <v>0</v>
      </c>
      <c r="H49" s="297">
        <v>0</v>
      </c>
      <c r="I49" s="320"/>
      <c r="J49" s="303">
        <v>0</v>
      </c>
      <c r="K49" s="302">
        <v>0</v>
      </c>
      <c r="L49" s="302">
        <v>0</v>
      </c>
      <c r="M49" s="302">
        <v>0</v>
      </c>
      <c r="N49" s="303">
        <v>0</v>
      </c>
      <c r="O49" s="295">
        <v>0</v>
      </c>
      <c r="P49" s="299">
        <v>0</v>
      </c>
      <c r="Q49" s="8"/>
    </row>
    <row r="50" spans="1:17" ht="18" customHeight="1">
      <c r="A50" s="318"/>
      <c r="B50" s="318"/>
      <c r="C50" s="292"/>
      <c r="D50" s="343" t="s">
        <v>176</v>
      </c>
      <c r="E50" s="343"/>
      <c r="F50" s="329">
        <v>0</v>
      </c>
      <c r="G50" s="330">
        <v>0</v>
      </c>
      <c r="H50" s="297">
        <v>0</v>
      </c>
      <c r="I50" s="320"/>
      <c r="J50" s="330">
        <v>0</v>
      </c>
      <c r="K50" s="329">
        <v>0</v>
      </c>
      <c r="L50" s="329">
        <v>0</v>
      </c>
      <c r="M50" s="329">
        <v>0</v>
      </c>
      <c r="N50" s="330">
        <v>0</v>
      </c>
      <c r="O50" s="295">
        <v>0</v>
      </c>
      <c r="P50" s="299">
        <v>0</v>
      </c>
      <c r="Q50" s="8"/>
    </row>
    <row r="51" spans="1:17" ht="18" customHeight="1">
      <c r="A51" s="318"/>
      <c r="B51" s="318"/>
      <c r="C51" s="292"/>
      <c r="D51" s="344" t="s">
        <v>251</v>
      </c>
      <c r="E51" s="344"/>
      <c r="F51" s="338">
        <v>0</v>
      </c>
      <c r="G51" s="339">
        <v>0</v>
      </c>
      <c r="H51" s="345">
        <v>0</v>
      </c>
      <c r="I51" s="320"/>
      <c r="J51" s="339">
        <v>0</v>
      </c>
      <c r="K51" s="338">
        <v>0</v>
      </c>
      <c r="L51" s="338">
        <v>0</v>
      </c>
      <c r="M51" s="338">
        <v>0</v>
      </c>
      <c r="N51" s="339">
        <v>0</v>
      </c>
      <c r="O51" s="340">
        <v>0</v>
      </c>
      <c r="P51" s="341">
        <v>0</v>
      </c>
      <c r="Q51" s="8"/>
    </row>
    <row r="52" spans="1:17" ht="18" customHeight="1">
      <c r="A52" s="318"/>
      <c r="B52" s="318"/>
      <c r="C52" s="801" t="s">
        <v>252</v>
      </c>
      <c r="D52" s="802"/>
      <c r="E52" s="803"/>
      <c r="F52" s="346">
        <v>0</v>
      </c>
      <c r="G52" s="346">
        <v>0</v>
      </c>
      <c r="H52" s="178">
        <v>0</v>
      </c>
      <c r="I52" s="347"/>
      <c r="J52" s="346">
        <v>0</v>
      </c>
      <c r="K52" s="346">
        <v>0</v>
      </c>
      <c r="L52" s="346">
        <v>0</v>
      </c>
      <c r="M52" s="346">
        <v>0</v>
      </c>
      <c r="N52" s="346">
        <v>0</v>
      </c>
      <c r="O52" s="346">
        <v>0</v>
      </c>
      <c r="P52" s="171">
        <v>0</v>
      </c>
      <c r="Q52" s="8"/>
    </row>
    <row r="53" spans="1:17" ht="12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8"/>
    </row>
  </sheetData>
  <mergeCells count="10">
    <mergeCell ref="D44:E44"/>
    <mergeCell ref="D42:E42"/>
    <mergeCell ref="C52:E52"/>
    <mergeCell ref="D46:E46"/>
    <mergeCell ref="D45:E45"/>
    <mergeCell ref="A3:Q3"/>
    <mergeCell ref="A4:Q4"/>
    <mergeCell ref="C10:E10"/>
    <mergeCell ref="D34:E34"/>
    <mergeCell ref="D43:E43"/>
  </mergeCells>
  <phoneticPr fontId="35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52"/>
  <sheetViews>
    <sheetView showGridLines="0" workbookViewId="0"/>
  </sheetViews>
  <sheetFormatPr defaultColWidth="9" defaultRowHeight="12" customHeight="1"/>
  <cols>
    <col min="1" max="4" width="3.77734375" customWidth="1"/>
    <col min="5" max="5" width="35.5546875" customWidth="1"/>
    <col min="6" max="16" width="14.44140625" customWidth="1"/>
    <col min="17" max="17" width="4" customWidth="1"/>
  </cols>
  <sheetData>
    <row r="1" spans="1:17" ht="18" customHeight="1">
      <c r="A1" s="84" t="s">
        <v>267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268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269</v>
      </c>
    </row>
    <row r="8" spans="1:17" ht="18" customHeight="1">
      <c r="A8" s="188"/>
      <c r="B8" s="189"/>
      <c r="C8" s="190"/>
      <c r="D8" s="191"/>
      <c r="E8" s="192"/>
      <c r="F8" s="192"/>
      <c r="G8" s="191"/>
      <c r="H8" s="192"/>
      <c r="I8" s="192"/>
      <c r="J8" s="192"/>
      <c r="K8" s="192"/>
      <c r="L8" s="192"/>
      <c r="M8" s="192"/>
      <c r="N8" s="191"/>
      <c r="O8" s="279"/>
      <c r="P8" s="280"/>
      <c r="Q8" s="189"/>
    </row>
    <row r="9" spans="1:17" ht="18" customHeight="1">
      <c r="C9" s="795" t="s">
        <v>239</v>
      </c>
      <c r="D9" s="796"/>
      <c r="E9" s="797"/>
      <c r="F9" s="282" t="s">
        <v>152</v>
      </c>
      <c r="G9" s="240" t="s">
        <v>153</v>
      </c>
      <c r="H9" s="274" t="s">
        <v>14</v>
      </c>
      <c r="I9" s="283" t="s">
        <v>154</v>
      </c>
      <c r="J9" s="240" t="s">
        <v>155</v>
      </c>
      <c r="K9" s="282" t="s">
        <v>156</v>
      </c>
      <c r="L9" s="282" t="s">
        <v>157</v>
      </c>
      <c r="M9" s="282" t="s">
        <v>158</v>
      </c>
      <c r="N9" s="240" t="s">
        <v>159</v>
      </c>
      <c r="O9" s="241" t="s">
        <v>14</v>
      </c>
      <c r="P9" s="243" t="s">
        <v>109</v>
      </c>
    </row>
    <row r="10" spans="1:17" ht="18" customHeight="1">
      <c r="C10" s="285" t="s">
        <v>270</v>
      </c>
      <c r="D10" s="322"/>
      <c r="E10" s="381"/>
      <c r="F10" s="382"/>
      <c r="G10" s="382"/>
      <c r="H10" s="382"/>
      <c r="I10" s="382"/>
      <c r="J10" s="382"/>
      <c r="K10" s="382"/>
      <c r="L10" s="382"/>
      <c r="M10" s="382"/>
      <c r="N10" s="382"/>
      <c r="O10" s="382"/>
      <c r="P10" s="383"/>
    </row>
    <row r="11" spans="1:17" ht="18" customHeight="1">
      <c r="C11" s="292"/>
      <c r="D11" s="384" t="s">
        <v>119</v>
      </c>
      <c r="E11" s="385"/>
      <c r="F11" s="386">
        <v>0</v>
      </c>
      <c r="G11" s="332">
        <v>0</v>
      </c>
      <c r="H11" s="289">
        <v>0</v>
      </c>
      <c r="I11" s="290"/>
      <c r="J11" s="387">
        <v>36</v>
      </c>
      <c r="K11" s="332">
        <v>91</v>
      </c>
      <c r="L11" s="332">
        <v>456</v>
      </c>
      <c r="M11" s="332">
        <v>472</v>
      </c>
      <c r="N11" s="332">
        <v>318</v>
      </c>
      <c r="O11" s="289">
        <v>1373</v>
      </c>
      <c r="P11" s="291">
        <v>1373</v>
      </c>
    </row>
    <row r="12" spans="1:17" ht="18" customHeight="1">
      <c r="C12" s="292"/>
      <c r="D12" s="388"/>
      <c r="E12" s="301" t="s">
        <v>113</v>
      </c>
      <c r="F12" s="330">
        <v>0</v>
      </c>
      <c r="G12" s="330">
        <v>0</v>
      </c>
      <c r="H12" s="331">
        <v>0</v>
      </c>
      <c r="I12" s="304"/>
      <c r="J12" s="362">
        <v>10</v>
      </c>
      <c r="K12" s="329">
        <v>26</v>
      </c>
      <c r="L12" s="329">
        <v>249</v>
      </c>
      <c r="M12" s="329">
        <v>225</v>
      </c>
      <c r="N12" s="329">
        <v>201</v>
      </c>
      <c r="O12" s="331">
        <v>711</v>
      </c>
      <c r="P12" s="333">
        <v>711</v>
      </c>
    </row>
    <row r="13" spans="1:17" ht="18" customHeight="1">
      <c r="C13" s="292"/>
      <c r="D13" s="389"/>
      <c r="E13" s="301" t="s">
        <v>114</v>
      </c>
      <c r="F13" s="330">
        <v>0</v>
      </c>
      <c r="G13" s="330">
        <v>0</v>
      </c>
      <c r="H13" s="331">
        <v>0</v>
      </c>
      <c r="I13" s="304"/>
      <c r="J13" s="362">
        <v>22</v>
      </c>
      <c r="K13" s="329">
        <v>43</v>
      </c>
      <c r="L13" s="329">
        <v>98</v>
      </c>
      <c r="M13" s="329">
        <v>116</v>
      </c>
      <c r="N13" s="329">
        <v>38</v>
      </c>
      <c r="O13" s="331">
        <v>317</v>
      </c>
      <c r="P13" s="333">
        <v>317</v>
      </c>
    </row>
    <row r="14" spans="1:17" ht="18" customHeight="1">
      <c r="C14" s="292"/>
      <c r="D14" s="388"/>
      <c r="E14" s="301" t="s">
        <v>176</v>
      </c>
      <c r="F14" s="330">
        <v>0</v>
      </c>
      <c r="G14" s="330">
        <v>0</v>
      </c>
      <c r="H14" s="331">
        <v>0</v>
      </c>
      <c r="I14" s="304"/>
      <c r="J14" s="362">
        <v>0</v>
      </c>
      <c r="K14" s="329">
        <v>0</v>
      </c>
      <c r="L14" s="329">
        <v>0</v>
      </c>
      <c r="M14" s="329">
        <v>0</v>
      </c>
      <c r="N14" s="329">
        <v>0</v>
      </c>
      <c r="O14" s="331">
        <v>0</v>
      </c>
      <c r="P14" s="333">
        <v>0</v>
      </c>
    </row>
    <row r="15" spans="1:17" ht="18" customHeight="1">
      <c r="C15" s="292"/>
      <c r="D15" s="388"/>
      <c r="E15" s="301" t="s">
        <v>116</v>
      </c>
      <c r="F15" s="330">
        <v>0</v>
      </c>
      <c r="G15" s="330">
        <v>0</v>
      </c>
      <c r="H15" s="331">
        <v>0</v>
      </c>
      <c r="I15" s="304"/>
      <c r="J15" s="362">
        <v>0</v>
      </c>
      <c r="K15" s="329">
        <v>0</v>
      </c>
      <c r="L15" s="329">
        <v>0</v>
      </c>
      <c r="M15" s="329">
        <v>0</v>
      </c>
      <c r="N15" s="329">
        <v>0</v>
      </c>
      <c r="O15" s="331">
        <v>0</v>
      </c>
      <c r="P15" s="333">
        <v>0</v>
      </c>
    </row>
    <row r="16" spans="1:17" ht="18" customHeight="1">
      <c r="C16" s="292"/>
      <c r="D16" s="388"/>
      <c r="E16" s="301" t="s">
        <v>221</v>
      </c>
      <c r="F16" s="330">
        <v>0</v>
      </c>
      <c r="G16" s="330">
        <v>0</v>
      </c>
      <c r="H16" s="331">
        <v>0</v>
      </c>
      <c r="I16" s="304"/>
      <c r="J16" s="362">
        <v>0</v>
      </c>
      <c r="K16" s="329">
        <v>12</v>
      </c>
      <c r="L16" s="329">
        <v>75</v>
      </c>
      <c r="M16" s="329">
        <v>116</v>
      </c>
      <c r="N16" s="329">
        <v>49</v>
      </c>
      <c r="O16" s="331">
        <v>252</v>
      </c>
      <c r="P16" s="333">
        <v>252</v>
      </c>
    </row>
    <row r="17" spans="3:16" ht="18" customHeight="1">
      <c r="C17" s="292"/>
      <c r="D17" s="388"/>
      <c r="E17" s="301" t="s">
        <v>187</v>
      </c>
      <c r="F17" s="329">
        <v>0</v>
      </c>
      <c r="G17" s="329">
        <v>0</v>
      </c>
      <c r="H17" s="331">
        <v>0</v>
      </c>
      <c r="I17" s="304"/>
      <c r="J17" s="362">
        <v>3</v>
      </c>
      <c r="K17" s="329">
        <v>8</v>
      </c>
      <c r="L17" s="329">
        <v>20</v>
      </c>
      <c r="M17" s="329">
        <v>14</v>
      </c>
      <c r="N17" s="329">
        <v>19</v>
      </c>
      <c r="O17" s="331">
        <v>64</v>
      </c>
      <c r="P17" s="333">
        <v>64</v>
      </c>
    </row>
    <row r="18" spans="3:16" ht="18" customHeight="1">
      <c r="C18" s="292"/>
      <c r="D18" s="388"/>
      <c r="E18" s="301" t="s">
        <v>188</v>
      </c>
      <c r="F18" s="354">
        <v>0</v>
      </c>
      <c r="G18" s="354">
        <v>0</v>
      </c>
      <c r="H18" s="352">
        <v>0</v>
      </c>
      <c r="I18" s="304"/>
      <c r="J18" s="390">
        <v>1</v>
      </c>
      <c r="K18" s="354">
        <v>2</v>
      </c>
      <c r="L18" s="354">
        <v>14</v>
      </c>
      <c r="M18" s="354">
        <v>1</v>
      </c>
      <c r="N18" s="354">
        <v>11</v>
      </c>
      <c r="O18" s="352">
        <v>29</v>
      </c>
      <c r="P18" s="356">
        <v>29</v>
      </c>
    </row>
    <row r="19" spans="3:16" ht="18" customHeight="1">
      <c r="C19" s="292"/>
      <c r="D19" s="388"/>
      <c r="E19" s="391" t="s">
        <v>189</v>
      </c>
      <c r="F19" s="354">
        <v>0</v>
      </c>
      <c r="G19" s="354">
        <v>0</v>
      </c>
      <c r="H19" s="352">
        <v>0</v>
      </c>
      <c r="I19" s="304"/>
      <c r="J19" s="390">
        <v>0</v>
      </c>
      <c r="K19" s="354">
        <v>0</v>
      </c>
      <c r="L19" s="354">
        <v>0</v>
      </c>
      <c r="M19" s="354">
        <v>0</v>
      </c>
      <c r="N19" s="354">
        <v>0</v>
      </c>
      <c r="O19" s="352">
        <v>0</v>
      </c>
      <c r="P19" s="356">
        <v>0</v>
      </c>
    </row>
    <row r="20" spans="3:16" ht="18" customHeight="1">
      <c r="C20" s="292"/>
      <c r="D20" s="388"/>
      <c r="E20" s="391" t="s">
        <v>190</v>
      </c>
      <c r="F20" s="354">
        <v>0</v>
      </c>
      <c r="G20" s="354">
        <v>0</v>
      </c>
      <c r="H20" s="352">
        <v>0</v>
      </c>
      <c r="I20" s="304"/>
      <c r="J20" s="390">
        <v>0</v>
      </c>
      <c r="K20" s="354">
        <v>0</v>
      </c>
      <c r="L20" s="354">
        <v>0</v>
      </c>
      <c r="M20" s="354">
        <v>0</v>
      </c>
      <c r="N20" s="354">
        <v>0</v>
      </c>
      <c r="O20" s="352">
        <v>0</v>
      </c>
      <c r="P20" s="356">
        <v>0</v>
      </c>
    </row>
    <row r="21" spans="3:16" ht="18" customHeight="1">
      <c r="C21" s="292"/>
      <c r="D21" s="384" t="s">
        <v>271</v>
      </c>
      <c r="E21" s="392"/>
      <c r="F21" s="287">
        <v>0</v>
      </c>
      <c r="G21" s="287">
        <v>0</v>
      </c>
      <c r="H21" s="289">
        <v>0</v>
      </c>
      <c r="I21" s="290"/>
      <c r="J21" s="357">
        <v>36</v>
      </c>
      <c r="K21" s="287">
        <v>91</v>
      </c>
      <c r="L21" s="287">
        <v>460</v>
      </c>
      <c r="M21" s="287">
        <v>473</v>
      </c>
      <c r="N21" s="287">
        <v>312</v>
      </c>
      <c r="O21" s="289">
        <v>1372</v>
      </c>
      <c r="P21" s="291">
        <v>1372</v>
      </c>
    </row>
    <row r="22" spans="3:16" ht="18" customHeight="1">
      <c r="C22" s="292"/>
      <c r="D22" s="388"/>
      <c r="E22" s="301" t="s">
        <v>113</v>
      </c>
      <c r="F22" s="330">
        <v>0</v>
      </c>
      <c r="G22" s="330">
        <v>0</v>
      </c>
      <c r="H22" s="331">
        <v>0</v>
      </c>
      <c r="I22" s="304"/>
      <c r="J22" s="362">
        <v>10</v>
      </c>
      <c r="K22" s="329">
        <v>26</v>
      </c>
      <c r="L22" s="329">
        <v>250</v>
      </c>
      <c r="M22" s="329">
        <v>225</v>
      </c>
      <c r="N22" s="329">
        <v>204</v>
      </c>
      <c r="O22" s="331">
        <v>715</v>
      </c>
      <c r="P22" s="333">
        <v>715</v>
      </c>
    </row>
    <row r="23" spans="3:16" ht="18" customHeight="1">
      <c r="C23" s="292"/>
      <c r="D23" s="389"/>
      <c r="E23" s="301" t="s">
        <v>114</v>
      </c>
      <c r="F23" s="330">
        <v>0</v>
      </c>
      <c r="G23" s="330">
        <v>0</v>
      </c>
      <c r="H23" s="331">
        <v>0</v>
      </c>
      <c r="I23" s="304"/>
      <c r="J23" s="362">
        <v>22</v>
      </c>
      <c r="K23" s="329">
        <v>43</v>
      </c>
      <c r="L23" s="329">
        <v>99</v>
      </c>
      <c r="M23" s="329">
        <v>117</v>
      </c>
      <c r="N23" s="329">
        <v>38</v>
      </c>
      <c r="O23" s="331">
        <v>319</v>
      </c>
      <c r="P23" s="333">
        <v>319</v>
      </c>
    </row>
    <row r="24" spans="3:16" ht="18" customHeight="1">
      <c r="C24" s="292"/>
      <c r="D24" s="388"/>
      <c r="E24" s="301" t="s">
        <v>176</v>
      </c>
      <c r="F24" s="330">
        <v>0</v>
      </c>
      <c r="G24" s="330">
        <v>0</v>
      </c>
      <c r="H24" s="331">
        <v>0</v>
      </c>
      <c r="I24" s="304"/>
      <c r="J24" s="362">
        <v>0</v>
      </c>
      <c r="K24" s="329">
        <v>0</v>
      </c>
      <c r="L24" s="329">
        <v>0</v>
      </c>
      <c r="M24" s="329">
        <v>0</v>
      </c>
      <c r="N24" s="329">
        <v>0</v>
      </c>
      <c r="O24" s="331">
        <v>0</v>
      </c>
      <c r="P24" s="333">
        <v>0</v>
      </c>
    </row>
    <row r="25" spans="3:16" ht="18" customHeight="1">
      <c r="C25" s="292"/>
      <c r="D25" s="388"/>
      <c r="E25" s="301" t="s">
        <v>116</v>
      </c>
      <c r="F25" s="330">
        <v>0</v>
      </c>
      <c r="G25" s="330">
        <v>0</v>
      </c>
      <c r="H25" s="331">
        <v>0</v>
      </c>
      <c r="I25" s="304"/>
      <c r="J25" s="362">
        <v>0</v>
      </c>
      <c r="K25" s="329">
        <v>0</v>
      </c>
      <c r="L25" s="329">
        <v>0</v>
      </c>
      <c r="M25" s="329">
        <v>0</v>
      </c>
      <c r="N25" s="329">
        <v>0</v>
      </c>
      <c r="O25" s="331">
        <v>0</v>
      </c>
      <c r="P25" s="333">
        <v>0</v>
      </c>
    </row>
    <row r="26" spans="3:16" ht="18" customHeight="1">
      <c r="C26" s="292"/>
      <c r="D26" s="388"/>
      <c r="E26" s="301" t="s">
        <v>221</v>
      </c>
      <c r="F26" s="330">
        <v>0</v>
      </c>
      <c r="G26" s="330">
        <v>0</v>
      </c>
      <c r="H26" s="331">
        <v>0</v>
      </c>
      <c r="I26" s="304"/>
      <c r="J26" s="362">
        <v>0</v>
      </c>
      <c r="K26" s="329">
        <v>12</v>
      </c>
      <c r="L26" s="329">
        <v>77</v>
      </c>
      <c r="M26" s="329">
        <v>116</v>
      </c>
      <c r="N26" s="329">
        <v>49</v>
      </c>
      <c r="O26" s="331">
        <v>254</v>
      </c>
      <c r="P26" s="333">
        <v>254</v>
      </c>
    </row>
    <row r="27" spans="3:16" ht="18" customHeight="1">
      <c r="C27" s="292"/>
      <c r="D27" s="388"/>
      <c r="E27" s="301" t="s">
        <v>187</v>
      </c>
      <c r="F27" s="329">
        <v>0</v>
      </c>
      <c r="G27" s="329">
        <v>0</v>
      </c>
      <c r="H27" s="331">
        <v>0</v>
      </c>
      <c r="I27" s="304"/>
      <c r="J27" s="362">
        <v>3</v>
      </c>
      <c r="K27" s="329">
        <v>8</v>
      </c>
      <c r="L27" s="329">
        <v>20</v>
      </c>
      <c r="M27" s="329">
        <v>14</v>
      </c>
      <c r="N27" s="329">
        <v>10</v>
      </c>
      <c r="O27" s="331">
        <v>55</v>
      </c>
      <c r="P27" s="333">
        <v>55</v>
      </c>
    </row>
    <row r="28" spans="3:16" ht="18" customHeight="1">
      <c r="C28" s="292"/>
      <c r="D28" s="388"/>
      <c r="E28" s="301" t="s">
        <v>188</v>
      </c>
      <c r="F28" s="354">
        <v>0</v>
      </c>
      <c r="G28" s="354">
        <v>0</v>
      </c>
      <c r="H28" s="352">
        <v>0</v>
      </c>
      <c r="I28" s="304"/>
      <c r="J28" s="390">
        <v>1</v>
      </c>
      <c r="K28" s="354">
        <v>2</v>
      </c>
      <c r="L28" s="354">
        <v>14</v>
      </c>
      <c r="M28" s="354">
        <v>1</v>
      </c>
      <c r="N28" s="354">
        <v>11</v>
      </c>
      <c r="O28" s="352">
        <v>29</v>
      </c>
      <c r="P28" s="356">
        <v>29</v>
      </c>
    </row>
    <row r="29" spans="3:16" ht="18" customHeight="1">
      <c r="C29" s="292"/>
      <c r="D29" s="388"/>
      <c r="E29" s="391" t="s">
        <v>189</v>
      </c>
      <c r="F29" s="354">
        <v>0</v>
      </c>
      <c r="G29" s="354">
        <v>0</v>
      </c>
      <c r="H29" s="352">
        <v>0</v>
      </c>
      <c r="I29" s="304"/>
      <c r="J29" s="390">
        <v>0</v>
      </c>
      <c r="K29" s="354">
        <v>0</v>
      </c>
      <c r="L29" s="354">
        <v>0</v>
      </c>
      <c r="M29" s="354">
        <v>0</v>
      </c>
      <c r="N29" s="354">
        <v>0</v>
      </c>
      <c r="O29" s="352">
        <v>0</v>
      </c>
      <c r="P29" s="356">
        <v>0</v>
      </c>
    </row>
    <row r="30" spans="3:16" ht="18" customHeight="1">
      <c r="C30" s="292"/>
      <c r="D30" s="393"/>
      <c r="E30" s="394" t="s">
        <v>190</v>
      </c>
      <c r="F30" s="338">
        <v>0</v>
      </c>
      <c r="G30" s="338">
        <v>0</v>
      </c>
      <c r="H30" s="345">
        <v>0</v>
      </c>
      <c r="I30" s="395"/>
      <c r="J30" s="396">
        <v>0</v>
      </c>
      <c r="K30" s="338">
        <v>0</v>
      </c>
      <c r="L30" s="338">
        <v>0</v>
      </c>
      <c r="M30" s="338">
        <v>0</v>
      </c>
      <c r="N30" s="338">
        <v>0</v>
      </c>
      <c r="O30" s="345">
        <v>0</v>
      </c>
      <c r="P30" s="341">
        <v>0</v>
      </c>
    </row>
    <row r="31" spans="3:16" ht="18" customHeight="1">
      <c r="C31" s="397" t="s">
        <v>272</v>
      </c>
      <c r="D31" s="398"/>
      <c r="E31" s="399"/>
      <c r="F31" s="400"/>
      <c r="G31" s="400"/>
      <c r="H31" s="400"/>
      <c r="I31" s="400"/>
      <c r="J31" s="400"/>
      <c r="K31" s="400"/>
      <c r="L31" s="400"/>
      <c r="M31" s="400"/>
      <c r="N31" s="400"/>
      <c r="O31" s="400"/>
      <c r="P31" s="401"/>
    </row>
    <row r="32" spans="3:16" ht="18" customHeight="1">
      <c r="C32" s="292"/>
      <c r="D32" s="384" t="s">
        <v>119</v>
      </c>
      <c r="E32" s="385"/>
      <c r="F32" s="386">
        <v>0</v>
      </c>
      <c r="G32" s="332">
        <v>0</v>
      </c>
      <c r="H32" s="289">
        <v>0</v>
      </c>
      <c r="I32" s="290"/>
      <c r="J32" s="387">
        <v>747123</v>
      </c>
      <c r="K32" s="332">
        <v>1899076</v>
      </c>
      <c r="L32" s="332">
        <v>11166855</v>
      </c>
      <c r="M32" s="332">
        <v>9947911</v>
      </c>
      <c r="N32" s="332">
        <v>6475745</v>
      </c>
      <c r="O32" s="289">
        <v>30236710</v>
      </c>
      <c r="P32" s="291">
        <v>30236710</v>
      </c>
    </row>
    <row r="33" spans="3:16" ht="18" customHeight="1">
      <c r="C33" s="292"/>
      <c r="D33" s="388"/>
      <c r="E33" s="301" t="s">
        <v>113</v>
      </c>
      <c r="F33" s="330">
        <v>0</v>
      </c>
      <c r="G33" s="330">
        <v>0</v>
      </c>
      <c r="H33" s="331">
        <v>0</v>
      </c>
      <c r="I33" s="304"/>
      <c r="J33" s="362">
        <v>237705</v>
      </c>
      <c r="K33" s="329">
        <v>856555</v>
      </c>
      <c r="L33" s="329">
        <v>6541800</v>
      </c>
      <c r="M33" s="329">
        <v>5173550</v>
      </c>
      <c r="N33" s="329">
        <v>4736290</v>
      </c>
      <c r="O33" s="331">
        <v>17545900</v>
      </c>
      <c r="P33" s="333">
        <v>17545900</v>
      </c>
    </row>
    <row r="34" spans="3:16" ht="18" customHeight="1">
      <c r="C34" s="292"/>
      <c r="D34" s="389"/>
      <c r="E34" s="301" t="s">
        <v>114</v>
      </c>
      <c r="F34" s="330">
        <v>0</v>
      </c>
      <c r="G34" s="330">
        <v>0</v>
      </c>
      <c r="H34" s="331">
        <v>0</v>
      </c>
      <c r="I34" s="304"/>
      <c r="J34" s="362">
        <v>498313</v>
      </c>
      <c r="K34" s="329">
        <v>957161</v>
      </c>
      <c r="L34" s="329">
        <v>2314435</v>
      </c>
      <c r="M34" s="329">
        <v>2380286</v>
      </c>
      <c r="N34" s="329">
        <v>468620</v>
      </c>
      <c r="O34" s="331">
        <v>6618815</v>
      </c>
      <c r="P34" s="333">
        <v>6618815</v>
      </c>
    </row>
    <row r="35" spans="3:16" ht="18" customHeight="1">
      <c r="C35" s="292"/>
      <c r="D35" s="388"/>
      <c r="E35" s="301" t="s">
        <v>176</v>
      </c>
      <c r="F35" s="330">
        <v>0</v>
      </c>
      <c r="G35" s="330">
        <v>0</v>
      </c>
      <c r="H35" s="331">
        <v>0</v>
      </c>
      <c r="I35" s="304"/>
      <c r="J35" s="362">
        <v>0</v>
      </c>
      <c r="K35" s="329">
        <v>0</v>
      </c>
      <c r="L35" s="329">
        <v>0</v>
      </c>
      <c r="M35" s="329">
        <v>0</v>
      </c>
      <c r="N35" s="329">
        <v>0</v>
      </c>
      <c r="O35" s="331">
        <v>0</v>
      </c>
      <c r="P35" s="333">
        <v>0</v>
      </c>
    </row>
    <row r="36" spans="3:16" ht="18" customHeight="1">
      <c r="C36" s="292"/>
      <c r="D36" s="388"/>
      <c r="E36" s="301" t="s">
        <v>116</v>
      </c>
      <c r="F36" s="330">
        <v>0</v>
      </c>
      <c r="G36" s="330">
        <v>0</v>
      </c>
      <c r="H36" s="331">
        <v>0</v>
      </c>
      <c r="I36" s="304"/>
      <c r="J36" s="362">
        <v>0</v>
      </c>
      <c r="K36" s="329">
        <v>0</v>
      </c>
      <c r="L36" s="329">
        <v>0</v>
      </c>
      <c r="M36" s="329">
        <v>0</v>
      </c>
      <c r="N36" s="329">
        <v>0</v>
      </c>
      <c r="O36" s="331">
        <v>0</v>
      </c>
      <c r="P36" s="333">
        <v>0</v>
      </c>
    </row>
    <row r="37" spans="3:16" ht="18" customHeight="1">
      <c r="C37" s="292"/>
      <c r="D37" s="388"/>
      <c r="E37" s="301" t="s">
        <v>221</v>
      </c>
      <c r="F37" s="330">
        <v>0</v>
      </c>
      <c r="G37" s="330">
        <v>0</v>
      </c>
      <c r="H37" s="331">
        <v>0</v>
      </c>
      <c r="I37" s="304"/>
      <c r="J37" s="362">
        <v>0</v>
      </c>
      <c r="K37" s="329">
        <v>29920</v>
      </c>
      <c r="L37" s="329">
        <v>1951670</v>
      </c>
      <c r="M37" s="329">
        <v>2165545</v>
      </c>
      <c r="N37" s="329">
        <v>1256550</v>
      </c>
      <c r="O37" s="331">
        <v>5403685</v>
      </c>
      <c r="P37" s="333">
        <v>5403685</v>
      </c>
    </row>
    <row r="38" spans="3:16" ht="18" customHeight="1">
      <c r="C38" s="292"/>
      <c r="D38" s="388"/>
      <c r="E38" s="301" t="s">
        <v>187</v>
      </c>
      <c r="F38" s="329">
        <v>0</v>
      </c>
      <c r="G38" s="329">
        <v>0</v>
      </c>
      <c r="H38" s="331">
        <v>0</v>
      </c>
      <c r="I38" s="304"/>
      <c r="J38" s="362">
        <v>6520</v>
      </c>
      <c r="K38" s="329">
        <v>53840</v>
      </c>
      <c r="L38" s="329">
        <v>238845</v>
      </c>
      <c r="M38" s="329">
        <v>226935</v>
      </c>
      <c r="N38" s="329">
        <v>10485</v>
      </c>
      <c r="O38" s="331">
        <v>536625</v>
      </c>
      <c r="P38" s="333">
        <v>536625</v>
      </c>
    </row>
    <row r="39" spans="3:16" ht="18" customHeight="1">
      <c r="C39" s="292"/>
      <c r="D39" s="388"/>
      <c r="E39" s="301" t="s">
        <v>188</v>
      </c>
      <c r="F39" s="354">
        <v>0</v>
      </c>
      <c r="G39" s="354">
        <v>0</v>
      </c>
      <c r="H39" s="352">
        <v>0</v>
      </c>
      <c r="I39" s="304"/>
      <c r="J39" s="390">
        <v>4585</v>
      </c>
      <c r="K39" s="354">
        <v>1600</v>
      </c>
      <c r="L39" s="354">
        <v>120105</v>
      </c>
      <c r="M39" s="354">
        <v>1595</v>
      </c>
      <c r="N39" s="354">
        <v>3800</v>
      </c>
      <c r="O39" s="352">
        <v>131685</v>
      </c>
      <c r="P39" s="356">
        <v>131685</v>
      </c>
    </row>
    <row r="40" spans="3:16" ht="18" customHeight="1">
      <c r="C40" s="292"/>
      <c r="D40" s="388"/>
      <c r="E40" s="391" t="s">
        <v>189</v>
      </c>
      <c r="F40" s="354">
        <v>0</v>
      </c>
      <c r="G40" s="354">
        <v>0</v>
      </c>
      <c r="H40" s="352">
        <v>0</v>
      </c>
      <c r="I40" s="304"/>
      <c r="J40" s="390">
        <v>0</v>
      </c>
      <c r="K40" s="354">
        <v>0</v>
      </c>
      <c r="L40" s="354">
        <v>0</v>
      </c>
      <c r="M40" s="354">
        <v>0</v>
      </c>
      <c r="N40" s="354">
        <v>0</v>
      </c>
      <c r="O40" s="352">
        <v>0</v>
      </c>
      <c r="P40" s="356">
        <v>0</v>
      </c>
    </row>
    <row r="41" spans="3:16" ht="18" customHeight="1">
      <c r="C41" s="292"/>
      <c r="D41" s="388"/>
      <c r="E41" s="391" t="s">
        <v>190</v>
      </c>
      <c r="F41" s="354">
        <v>0</v>
      </c>
      <c r="G41" s="354">
        <v>0</v>
      </c>
      <c r="H41" s="352">
        <v>0</v>
      </c>
      <c r="I41" s="304"/>
      <c r="J41" s="390">
        <v>0</v>
      </c>
      <c r="K41" s="354">
        <v>0</v>
      </c>
      <c r="L41" s="354">
        <v>0</v>
      </c>
      <c r="M41" s="354">
        <v>0</v>
      </c>
      <c r="N41" s="354">
        <v>0</v>
      </c>
      <c r="O41" s="352">
        <v>0</v>
      </c>
      <c r="P41" s="356">
        <v>0</v>
      </c>
    </row>
    <row r="42" spans="3:16" ht="18" customHeight="1">
      <c r="C42" s="292"/>
      <c r="D42" s="384" t="s">
        <v>271</v>
      </c>
      <c r="E42" s="392"/>
      <c r="F42" s="287">
        <v>0</v>
      </c>
      <c r="G42" s="287">
        <v>0</v>
      </c>
      <c r="H42" s="289">
        <v>0</v>
      </c>
      <c r="I42" s="290"/>
      <c r="J42" s="357">
        <v>333551</v>
      </c>
      <c r="K42" s="287">
        <v>1235584</v>
      </c>
      <c r="L42" s="287">
        <v>8169816</v>
      </c>
      <c r="M42" s="287">
        <v>8019363</v>
      </c>
      <c r="N42" s="287">
        <v>4972132</v>
      </c>
      <c r="O42" s="289">
        <v>22730446</v>
      </c>
      <c r="P42" s="291">
        <v>22730446</v>
      </c>
    </row>
    <row r="43" spans="3:16" ht="18" customHeight="1">
      <c r="C43" s="292"/>
      <c r="D43" s="388"/>
      <c r="E43" s="301" t="s">
        <v>113</v>
      </c>
      <c r="F43" s="330">
        <v>0</v>
      </c>
      <c r="G43" s="330">
        <v>0</v>
      </c>
      <c r="H43" s="331">
        <v>0</v>
      </c>
      <c r="I43" s="304"/>
      <c r="J43" s="362">
        <v>147925</v>
      </c>
      <c r="K43" s="329">
        <v>537131</v>
      </c>
      <c r="L43" s="329">
        <v>5363642</v>
      </c>
      <c r="M43" s="329">
        <v>3987845</v>
      </c>
      <c r="N43" s="329">
        <v>3711789</v>
      </c>
      <c r="O43" s="331">
        <v>13748332</v>
      </c>
      <c r="P43" s="333">
        <v>13748332</v>
      </c>
    </row>
    <row r="44" spans="3:16" ht="18" customHeight="1">
      <c r="C44" s="292"/>
      <c r="D44" s="389"/>
      <c r="E44" s="301" t="s">
        <v>114</v>
      </c>
      <c r="F44" s="330">
        <v>0</v>
      </c>
      <c r="G44" s="330">
        <v>0</v>
      </c>
      <c r="H44" s="331">
        <v>0</v>
      </c>
      <c r="I44" s="304"/>
      <c r="J44" s="362">
        <v>177851</v>
      </c>
      <c r="K44" s="329">
        <v>358634</v>
      </c>
      <c r="L44" s="329">
        <v>322603</v>
      </c>
      <c r="M44" s="329">
        <v>705647</v>
      </c>
      <c r="N44" s="329">
        <v>8149</v>
      </c>
      <c r="O44" s="331">
        <v>1572884</v>
      </c>
      <c r="P44" s="333">
        <v>1572884</v>
      </c>
    </row>
    <row r="45" spans="3:16" ht="18" customHeight="1">
      <c r="C45" s="292"/>
      <c r="D45" s="388"/>
      <c r="E45" s="301" t="s">
        <v>176</v>
      </c>
      <c r="F45" s="330">
        <v>0</v>
      </c>
      <c r="G45" s="330">
        <v>0</v>
      </c>
      <c r="H45" s="331">
        <v>0</v>
      </c>
      <c r="I45" s="304"/>
      <c r="J45" s="362">
        <v>0</v>
      </c>
      <c r="K45" s="329">
        <v>0</v>
      </c>
      <c r="L45" s="329">
        <v>0</v>
      </c>
      <c r="M45" s="329">
        <v>0</v>
      </c>
      <c r="N45" s="329">
        <v>0</v>
      </c>
      <c r="O45" s="331">
        <v>0</v>
      </c>
      <c r="P45" s="333">
        <v>0</v>
      </c>
    </row>
    <row r="46" spans="3:16" ht="18" customHeight="1">
      <c r="C46" s="292"/>
      <c r="D46" s="388"/>
      <c r="E46" s="301" t="s">
        <v>116</v>
      </c>
      <c r="F46" s="330">
        <v>0</v>
      </c>
      <c r="G46" s="330">
        <v>0</v>
      </c>
      <c r="H46" s="331">
        <v>0</v>
      </c>
      <c r="I46" s="304"/>
      <c r="J46" s="362">
        <v>0</v>
      </c>
      <c r="K46" s="329">
        <v>0</v>
      </c>
      <c r="L46" s="329">
        <v>0</v>
      </c>
      <c r="M46" s="329">
        <v>0</v>
      </c>
      <c r="N46" s="329">
        <v>0</v>
      </c>
      <c r="O46" s="331">
        <v>0</v>
      </c>
      <c r="P46" s="333">
        <v>0</v>
      </c>
    </row>
    <row r="47" spans="3:16" ht="18" customHeight="1">
      <c r="C47" s="292"/>
      <c r="D47" s="388"/>
      <c r="E47" s="301" t="s">
        <v>221</v>
      </c>
      <c r="F47" s="330">
        <v>0</v>
      </c>
      <c r="G47" s="330">
        <v>0</v>
      </c>
      <c r="H47" s="331">
        <v>0</v>
      </c>
      <c r="I47" s="304"/>
      <c r="J47" s="362">
        <v>0</v>
      </c>
      <c r="K47" s="329">
        <v>249168</v>
      </c>
      <c r="L47" s="329">
        <v>2062950</v>
      </c>
      <c r="M47" s="329">
        <v>3009010</v>
      </c>
      <c r="N47" s="329">
        <v>1213474</v>
      </c>
      <c r="O47" s="331">
        <v>6534602</v>
      </c>
      <c r="P47" s="333">
        <v>6534602</v>
      </c>
    </row>
    <row r="48" spans="3:16" ht="18" customHeight="1">
      <c r="C48" s="292"/>
      <c r="D48" s="388"/>
      <c r="E48" s="301" t="s">
        <v>187</v>
      </c>
      <c r="F48" s="329">
        <v>0</v>
      </c>
      <c r="G48" s="329">
        <v>0</v>
      </c>
      <c r="H48" s="331">
        <v>0</v>
      </c>
      <c r="I48" s="304"/>
      <c r="J48" s="362">
        <v>7698</v>
      </c>
      <c r="K48" s="329">
        <v>85976</v>
      </c>
      <c r="L48" s="329">
        <v>309829</v>
      </c>
      <c r="M48" s="329">
        <v>314505</v>
      </c>
      <c r="N48" s="329">
        <v>22968</v>
      </c>
      <c r="O48" s="331">
        <v>740976</v>
      </c>
      <c r="P48" s="333">
        <v>740976</v>
      </c>
    </row>
    <row r="49" spans="3:16" ht="18" customHeight="1">
      <c r="C49" s="292"/>
      <c r="D49" s="389"/>
      <c r="E49" s="301" t="s">
        <v>188</v>
      </c>
      <c r="F49" s="329">
        <v>0</v>
      </c>
      <c r="G49" s="329">
        <v>0</v>
      </c>
      <c r="H49" s="331">
        <v>0</v>
      </c>
      <c r="I49" s="304"/>
      <c r="J49" s="362">
        <v>77</v>
      </c>
      <c r="K49" s="329">
        <v>4675</v>
      </c>
      <c r="L49" s="329">
        <v>110792</v>
      </c>
      <c r="M49" s="329">
        <v>2356</v>
      </c>
      <c r="N49" s="329">
        <v>15752</v>
      </c>
      <c r="O49" s="331">
        <v>133652</v>
      </c>
      <c r="P49" s="333">
        <v>133652</v>
      </c>
    </row>
    <row r="50" spans="3:16" ht="18" customHeight="1">
      <c r="C50" s="292"/>
      <c r="D50" s="388"/>
      <c r="E50" s="391" t="s">
        <v>189</v>
      </c>
      <c r="F50" s="354">
        <v>0</v>
      </c>
      <c r="G50" s="354">
        <v>0</v>
      </c>
      <c r="H50" s="352">
        <v>0</v>
      </c>
      <c r="I50" s="304"/>
      <c r="J50" s="390">
        <v>0</v>
      </c>
      <c r="K50" s="354">
        <v>0</v>
      </c>
      <c r="L50" s="354">
        <v>0</v>
      </c>
      <c r="M50" s="354">
        <v>0</v>
      </c>
      <c r="N50" s="354">
        <v>0</v>
      </c>
      <c r="O50" s="352">
        <v>0</v>
      </c>
      <c r="P50" s="356">
        <v>0</v>
      </c>
    </row>
    <row r="51" spans="3:16" ht="18" customHeight="1">
      <c r="C51" s="292"/>
      <c r="D51" s="393"/>
      <c r="E51" s="394" t="s">
        <v>190</v>
      </c>
      <c r="F51" s="338">
        <v>0</v>
      </c>
      <c r="G51" s="338">
        <v>0</v>
      </c>
      <c r="H51" s="345">
        <v>0</v>
      </c>
      <c r="I51" s="304"/>
      <c r="J51" s="396">
        <v>0</v>
      </c>
      <c r="K51" s="338">
        <v>0</v>
      </c>
      <c r="L51" s="338">
        <v>0</v>
      </c>
      <c r="M51" s="338">
        <v>0</v>
      </c>
      <c r="N51" s="338">
        <v>0</v>
      </c>
      <c r="O51" s="345">
        <v>0</v>
      </c>
      <c r="P51" s="341">
        <v>0</v>
      </c>
    </row>
    <row r="52" spans="3:16" ht="18" customHeight="1">
      <c r="C52" s="801" t="s">
        <v>252</v>
      </c>
      <c r="D52" s="802"/>
      <c r="E52" s="803"/>
      <c r="F52" s="120">
        <v>0</v>
      </c>
      <c r="G52" s="346">
        <v>0</v>
      </c>
      <c r="H52" s="178">
        <v>0</v>
      </c>
      <c r="I52" s="208"/>
      <c r="J52" s="366">
        <v>1080674</v>
      </c>
      <c r="K52" s="346">
        <v>3134660</v>
      </c>
      <c r="L52" s="346">
        <v>19336671</v>
      </c>
      <c r="M52" s="346">
        <v>17967274</v>
      </c>
      <c r="N52" s="346">
        <v>11447877</v>
      </c>
      <c r="O52" s="178">
        <v>52967156</v>
      </c>
      <c r="P52" s="171">
        <v>52967156</v>
      </c>
    </row>
  </sheetData>
  <sheetProtection selectLockedCells="1" selectUnlockedCells="1"/>
  <mergeCells count="4">
    <mergeCell ref="C52:E52"/>
    <mergeCell ref="A3:Q3"/>
    <mergeCell ref="A4:Q4"/>
    <mergeCell ref="C9:E9"/>
  </mergeCells>
  <phoneticPr fontId="35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53"/>
  <sheetViews>
    <sheetView showGridLines="0" workbookViewId="0"/>
  </sheetViews>
  <sheetFormatPr defaultColWidth="9" defaultRowHeight="0" customHeight="1" zeroHeight="1"/>
  <cols>
    <col min="1" max="4" width="3.77734375" customWidth="1"/>
    <col min="5" max="5" width="33.77734375" customWidth="1"/>
    <col min="6" max="16" width="14.44140625" customWidth="1"/>
    <col min="17" max="17" width="4" customWidth="1"/>
  </cols>
  <sheetData>
    <row r="1" spans="1:17" ht="18" customHeight="1">
      <c r="A1" s="84" t="s">
        <v>273</v>
      </c>
      <c r="Q1" s="86"/>
    </row>
    <row r="2" spans="1:17" ht="18" customHeight="1">
      <c r="Q2" s="86"/>
    </row>
    <row r="3" spans="1:17" ht="18" customHeight="1">
      <c r="A3" s="775" t="s">
        <v>1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17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</row>
    <row r="5" spans="1:17" ht="18" customHeight="1">
      <c r="B5" s="84" t="s">
        <v>235</v>
      </c>
      <c r="N5" s="8"/>
      <c r="O5" s="184" t="s">
        <v>3</v>
      </c>
      <c r="P5" s="87" t="s">
        <v>4</v>
      </c>
      <c r="Q5" s="85"/>
    </row>
    <row r="6" spans="1:17" ht="18" customHeight="1">
      <c r="B6" s="84" t="s">
        <v>268</v>
      </c>
      <c r="N6" s="8"/>
      <c r="O6" s="186" t="s">
        <v>5</v>
      </c>
      <c r="P6" s="6" t="s">
        <v>6</v>
      </c>
      <c r="Q6" s="85" t="s">
        <v>7</v>
      </c>
    </row>
    <row r="7" spans="1:17" ht="18" customHeight="1">
      <c r="C7" s="84" t="s">
        <v>274</v>
      </c>
    </row>
    <row r="8" spans="1:17" ht="18" customHeight="1">
      <c r="A8" s="188"/>
      <c r="B8" s="189"/>
      <c r="C8" s="190"/>
      <c r="D8" s="191"/>
      <c r="E8" s="192"/>
      <c r="F8" s="192"/>
      <c r="G8" s="191"/>
      <c r="H8" s="192"/>
      <c r="I8" s="192"/>
      <c r="J8" s="192"/>
      <c r="K8" s="192"/>
      <c r="L8" s="192"/>
      <c r="M8" s="192"/>
      <c r="N8" s="191"/>
      <c r="O8" s="279"/>
      <c r="P8" s="280"/>
      <c r="Q8" s="189"/>
    </row>
    <row r="9" spans="1:17" ht="18" customHeight="1">
      <c r="C9" s="795" t="s">
        <v>239</v>
      </c>
      <c r="D9" s="796"/>
      <c r="E9" s="797"/>
      <c r="F9" s="282" t="s">
        <v>152</v>
      </c>
      <c r="G9" s="240" t="s">
        <v>153</v>
      </c>
      <c r="H9" s="274" t="s">
        <v>14</v>
      </c>
      <c r="I9" s="283" t="s">
        <v>154</v>
      </c>
      <c r="J9" s="240" t="s">
        <v>155</v>
      </c>
      <c r="K9" s="282" t="s">
        <v>156</v>
      </c>
      <c r="L9" s="282" t="s">
        <v>157</v>
      </c>
      <c r="M9" s="282" t="s">
        <v>158</v>
      </c>
      <c r="N9" s="240" t="s">
        <v>159</v>
      </c>
      <c r="O9" s="241" t="s">
        <v>14</v>
      </c>
      <c r="P9" s="243" t="s">
        <v>109</v>
      </c>
    </row>
    <row r="10" spans="1:17" ht="18" customHeight="1">
      <c r="C10" s="285" t="s">
        <v>270</v>
      </c>
      <c r="D10" s="322"/>
      <c r="E10" s="381"/>
      <c r="F10" s="382"/>
      <c r="G10" s="382"/>
      <c r="H10" s="382"/>
      <c r="I10" s="382"/>
      <c r="J10" s="382"/>
      <c r="K10" s="382"/>
      <c r="L10" s="382"/>
      <c r="M10" s="382"/>
      <c r="N10" s="382"/>
      <c r="O10" s="382"/>
      <c r="P10" s="383"/>
    </row>
    <row r="11" spans="1:17" ht="18" customHeight="1">
      <c r="C11" s="292"/>
      <c r="D11" s="384" t="s">
        <v>119</v>
      </c>
      <c r="E11" s="385"/>
      <c r="F11" s="386">
        <v>0</v>
      </c>
      <c r="G11" s="332">
        <v>0</v>
      </c>
      <c r="H11" s="289">
        <v>0</v>
      </c>
      <c r="I11" s="290"/>
      <c r="J11" s="387">
        <v>0</v>
      </c>
      <c r="K11" s="332">
        <v>0</v>
      </c>
      <c r="L11" s="332">
        <v>0</v>
      </c>
      <c r="M11" s="332">
        <v>0</v>
      </c>
      <c r="N11" s="332">
        <v>23</v>
      </c>
      <c r="O11" s="289">
        <v>23</v>
      </c>
      <c r="P11" s="291">
        <v>23</v>
      </c>
    </row>
    <row r="12" spans="1:17" ht="18" customHeight="1">
      <c r="C12" s="292"/>
      <c r="D12" s="388"/>
      <c r="E12" s="301" t="s">
        <v>113</v>
      </c>
      <c r="F12" s="330">
        <v>0</v>
      </c>
      <c r="G12" s="330">
        <v>0</v>
      </c>
      <c r="H12" s="331">
        <v>0</v>
      </c>
      <c r="I12" s="304"/>
      <c r="J12" s="362">
        <v>0</v>
      </c>
      <c r="K12" s="329">
        <v>0</v>
      </c>
      <c r="L12" s="329">
        <v>0</v>
      </c>
      <c r="M12" s="329">
        <v>0</v>
      </c>
      <c r="N12" s="329">
        <v>0</v>
      </c>
      <c r="O12" s="331">
        <v>0</v>
      </c>
      <c r="P12" s="333">
        <v>0</v>
      </c>
    </row>
    <row r="13" spans="1:17" ht="18" customHeight="1">
      <c r="C13" s="292"/>
      <c r="D13" s="389"/>
      <c r="E13" s="301" t="s">
        <v>114</v>
      </c>
      <c r="F13" s="330">
        <v>0</v>
      </c>
      <c r="G13" s="330">
        <v>0</v>
      </c>
      <c r="H13" s="331">
        <v>0</v>
      </c>
      <c r="I13" s="304"/>
      <c r="J13" s="362">
        <v>0</v>
      </c>
      <c r="K13" s="329">
        <v>0</v>
      </c>
      <c r="L13" s="329">
        <v>0</v>
      </c>
      <c r="M13" s="329">
        <v>0</v>
      </c>
      <c r="N13" s="329">
        <v>0</v>
      </c>
      <c r="O13" s="331">
        <v>0</v>
      </c>
      <c r="P13" s="333">
        <v>0</v>
      </c>
    </row>
    <row r="14" spans="1:17" ht="18" customHeight="1">
      <c r="C14" s="292"/>
      <c r="D14" s="388"/>
      <c r="E14" s="301" t="s">
        <v>176</v>
      </c>
      <c r="F14" s="330">
        <v>0</v>
      </c>
      <c r="G14" s="330">
        <v>0</v>
      </c>
      <c r="H14" s="331">
        <v>0</v>
      </c>
      <c r="I14" s="304"/>
      <c r="J14" s="362">
        <v>0</v>
      </c>
      <c r="K14" s="329">
        <v>0</v>
      </c>
      <c r="L14" s="329">
        <v>0</v>
      </c>
      <c r="M14" s="329">
        <v>0</v>
      </c>
      <c r="N14" s="329">
        <v>0</v>
      </c>
      <c r="O14" s="331">
        <v>0</v>
      </c>
      <c r="P14" s="333">
        <v>0</v>
      </c>
    </row>
    <row r="15" spans="1:17" ht="18" customHeight="1">
      <c r="C15" s="292"/>
      <c r="D15" s="388"/>
      <c r="E15" s="301" t="s">
        <v>116</v>
      </c>
      <c r="F15" s="330">
        <v>0</v>
      </c>
      <c r="G15" s="330">
        <v>0</v>
      </c>
      <c r="H15" s="331">
        <v>0</v>
      </c>
      <c r="I15" s="304"/>
      <c r="J15" s="362">
        <v>0</v>
      </c>
      <c r="K15" s="329">
        <v>0</v>
      </c>
      <c r="L15" s="329">
        <v>0</v>
      </c>
      <c r="M15" s="329">
        <v>0</v>
      </c>
      <c r="N15" s="329">
        <v>0</v>
      </c>
      <c r="O15" s="331">
        <v>0</v>
      </c>
      <c r="P15" s="333">
        <v>0</v>
      </c>
    </row>
    <row r="16" spans="1:17" ht="18" customHeight="1">
      <c r="C16" s="292"/>
      <c r="D16" s="388"/>
      <c r="E16" s="301" t="s">
        <v>221</v>
      </c>
      <c r="F16" s="330">
        <v>0</v>
      </c>
      <c r="G16" s="330">
        <v>0</v>
      </c>
      <c r="H16" s="331">
        <v>0</v>
      </c>
      <c r="I16" s="304"/>
      <c r="J16" s="362">
        <v>0</v>
      </c>
      <c r="K16" s="329">
        <v>0</v>
      </c>
      <c r="L16" s="329">
        <v>0</v>
      </c>
      <c r="M16" s="329">
        <v>0</v>
      </c>
      <c r="N16" s="329">
        <v>0</v>
      </c>
      <c r="O16" s="331">
        <v>0</v>
      </c>
      <c r="P16" s="333">
        <v>0</v>
      </c>
    </row>
    <row r="17" spans="3:16" ht="18" customHeight="1">
      <c r="C17" s="292"/>
      <c r="D17" s="388"/>
      <c r="E17" s="301" t="s">
        <v>187</v>
      </c>
      <c r="F17" s="329">
        <v>0</v>
      </c>
      <c r="G17" s="329">
        <v>0</v>
      </c>
      <c r="H17" s="331">
        <v>0</v>
      </c>
      <c r="I17" s="304"/>
      <c r="J17" s="362">
        <v>0</v>
      </c>
      <c r="K17" s="329">
        <v>0</v>
      </c>
      <c r="L17" s="329">
        <v>0</v>
      </c>
      <c r="M17" s="329">
        <v>0</v>
      </c>
      <c r="N17" s="329">
        <v>12</v>
      </c>
      <c r="O17" s="331">
        <v>12</v>
      </c>
      <c r="P17" s="333">
        <v>12</v>
      </c>
    </row>
    <row r="18" spans="3:16" ht="18" customHeight="1">
      <c r="C18" s="292"/>
      <c r="D18" s="388"/>
      <c r="E18" s="301" t="s">
        <v>188</v>
      </c>
      <c r="F18" s="354">
        <v>0</v>
      </c>
      <c r="G18" s="354">
        <v>0</v>
      </c>
      <c r="H18" s="352">
        <v>0</v>
      </c>
      <c r="I18" s="304"/>
      <c r="J18" s="390">
        <v>0</v>
      </c>
      <c r="K18" s="354">
        <v>0</v>
      </c>
      <c r="L18" s="354">
        <v>0</v>
      </c>
      <c r="M18" s="354">
        <v>0</v>
      </c>
      <c r="N18" s="354">
        <v>11</v>
      </c>
      <c r="O18" s="352">
        <v>11</v>
      </c>
      <c r="P18" s="356">
        <v>11</v>
      </c>
    </row>
    <row r="19" spans="3:16" ht="18" customHeight="1">
      <c r="C19" s="292"/>
      <c r="D19" s="388"/>
      <c r="E19" s="391" t="s">
        <v>189</v>
      </c>
      <c r="F19" s="354">
        <v>0</v>
      </c>
      <c r="G19" s="354">
        <v>0</v>
      </c>
      <c r="H19" s="352">
        <v>0</v>
      </c>
      <c r="I19" s="304"/>
      <c r="J19" s="390">
        <v>0</v>
      </c>
      <c r="K19" s="354">
        <v>0</v>
      </c>
      <c r="L19" s="354">
        <v>0</v>
      </c>
      <c r="M19" s="354">
        <v>0</v>
      </c>
      <c r="N19" s="354">
        <v>0</v>
      </c>
      <c r="O19" s="352">
        <v>0</v>
      </c>
      <c r="P19" s="356">
        <v>0</v>
      </c>
    </row>
    <row r="20" spans="3:16" ht="18" customHeight="1">
      <c r="C20" s="292"/>
      <c r="D20" s="393"/>
      <c r="E20" s="394" t="s">
        <v>190</v>
      </c>
      <c r="F20" s="354">
        <v>0</v>
      </c>
      <c r="G20" s="354">
        <v>0</v>
      </c>
      <c r="H20" s="352">
        <v>0</v>
      </c>
      <c r="I20" s="304"/>
      <c r="J20" s="390">
        <v>0</v>
      </c>
      <c r="K20" s="354">
        <v>0</v>
      </c>
      <c r="L20" s="354">
        <v>0</v>
      </c>
      <c r="M20" s="354">
        <v>0</v>
      </c>
      <c r="N20" s="354">
        <v>0</v>
      </c>
      <c r="O20" s="352">
        <v>0</v>
      </c>
      <c r="P20" s="356">
        <v>0</v>
      </c>
    </row>
    <row r="21" spans="3:16" ht="18" customHeight="1">
      <c r="C21" s="292"/>
      <c r="D21" s="402" t="s">
        <v>271</v>
      </c>
      <c r="E21" s="392"/>
      <c r="F21" s="287">
        <v>0</v>
      </c>
      <c r="G21" s="287">
        <v>0</v>
      </c>
      <c r="H21" s="289">
        <v>0</v>
      </c>
      <c r="I21" s="290"/>
      <c r="J21" s="357">
        <v>0</v>
      </c>
      <c r="K21" s="287">
        <v>0</v>
      </c>
      <c r="L21" s="287">
        <v>0</v>
      </c>
      <c r="M21" s="287">
        <v>0</v>
      </c>
      <c r="N21" s="287">
        <v>13</v>
      </c>
      <c r="O21" s="289">
        <v>13</v>
      </c>
      <c r="P21" s="291">
        <v>13</v>
      </c>
    </row>
    <row r="22" spans="3:16" ht="18" customHeight="1">
      <c r="C22" s="292"/>
      <c r="D22" s="388"/>
      <c r="E22" s="301" t="s">
        <v>113</v>
      </c>
      <c r="F22" s="330">
        <v>0</v>
      </c>
      <c r="G22" s="330">
        <v>0</v>
      </c>
      <c r="H22" s="331">
        <v>0</v>
      </c>
      <c r="I22" s="304"/>
      <c r="J22" s="362">
        <v>0</v>
      </c>
      <c r="K22" s="329">
        <v>0</v>
      </c>
      <c r="L22" s="329">
        <v>0</v>
      </c>
      <c r="M22" s="329">
        <v>0</v>
      </c>
      <c r="N22" s="329">
        <v>0</v>
      </c>
      <c r="O22" s="331">
        <v>0</v>
      </c>
      <c r="P22" s="333">
        <v>0</v>
      </c>
    </row>
    <row r="23" spans="3:16" ht="18" customHeight="1">
      <c r="C23" s="292"/>
      <c r="D23" s="389"/>
      <c r="E23" s="301" t="s">
        <v>114</v>
      </c>
      <c r="F23" s="330">
        <v>0</v>
      </c>
      <c r="G23" s="330">
        <v>0</v>
      </c>
      <c r="H23" s="331">
        <v>0</v>
      </c>
      <c r="I23" s="304"/>
      <c r="J23" s="362">
        <v>0</v>
      </c>
      <c r="K23" s="329">
        <v>0</v>
      </c>
      <c r="L23" s="329">
        <v>0</v>
      </c>
      <c r="M23" s="329">
        <v>0</v>
      </c>
      <c r="N23" s="329">
        <v>0</v>
      </c>
      <c r="O23" s="331">
        <v>0</v>
      </c>
      <c r="P23" s="333">
        <v>0</v>
      </c>
    </row>
    <row r="24" spans="3:16" ht="18" customHeight="1">
      <c r="C24" s="292"/>
      <c r="D24" s="388"/>
      <c r="E24" s="301" t="s">
        <v>176</v>
      </c>
      <c r="F24" s="330">
        <v>0</v>
      </c>
      <c r="G24" s="330">
        <v>0</v>
      </c>
      <c r="H24" s="331">
        <v>0</v>
      </c>
      <c r="I24" s="304"/>
      <c r="J24" s="362">
        <v>0</v>
      </c>
      <c r="K24" s="329">
        <v>0</v>
      </c>
      <c r="L24" s="329">
        <v>0</v>
      </c>
      <c r="M24" s="329">
        <v>0</v>
      </c>
      <c r="N24" s="329">
        <v>0</v>
      </c>
      <c r="O24" s="331">
        <v>0</v>
      </c>
      <c r="P24" s="333">
        <v>0</v>
      </c>
    </row>
    <row r="25" spans="3:16" ht="18" customHeight="1">
      <c r="C25" s="292"/>
      <c r="D25" s="388"/>
      <c r="E25" s="301" t="s">
        <v>116</v>
      </c>
      <c r="F25" s="330">
        <v>0</v>
      </c>
      <c r="G25" s="330">
        <v>0</v>
      </c>
      <c r="H25" s="331">
        <v>0</v>
      </c>
      <c r="I25" s="304"/>
      <c r="J25" s="362">
        <v>0</v>
      </c>
      <c r="K25" s="329">
        <v>0</v>
      </c>
      <c r="L25" s="329">
        <v>0</v>
      </c>
      <c r="M25" s="329">
        <v>0</v>
      </c>
      <c r="N25" s="329">
        <v>0</v>
      </c>
      <c r="O25" s="331">
        <v>0</v>
      </c>
      <c r="P25" s="333">
        <v>0</v>
      </c>
    </row>
    <row r="26" spans="3:16" ht="18" customHeight="1">
      <c r="C26" s="292"/>
      <c r="D26" s="388"/>
      <c r="E26" s="301" t="s">
        <v>221</v>
      </c>
      <c r="F26" s="330">
        <v>0</v>
      </c>
      <c r="G26" s="330">
        <v>0</v>
      </c>
      <c r="H26" s="331">
        <v>0</v>
      </c>
      <c r="I26" s="304"/>
      <c r="J26" s="362">
        <v>0</v>
      </c>
      <c r="K26" s="329">
        <v>0</v>
      </c>
      <c r="L26" s="329">
        <v>0</v>
      </c>
      <c r="M26" s="329">
        <v>0</v>
      </c>
      <c r="N26" s="329">
        <v>0</v>
      </c>
      <c r="O26" s="331">
        <v>0</v>
      </c>
      <c r="P26" s="333">
        <v>0</v>
      </c>
    </row>
    <row r="27" spans="3:16" ht="18" customHeight="1">
      <c r="C27" s="292"/>
      <c r="D27" s="388"/>
      <c r="E27" s="301" t="s">
        <v>187</v>
      </c>
      <c r="F27" s="329">
        <v>0</v>
      </c>
      <c r="G27" s="329">
        <v>0</v>
      </c>
      <c r="H27" s="331">
        <v>0</v>
      </c>
      <c r="I27" s="304"/>
      <c r="J27" s="362">
        <v>0</v>
      </c>
      <c r="K27" s="329">
        <v>0</v>
      </c>
      <c r="L27" s="329">
        <v>0</v>
      </c>
      <c r="M27" s="329">
        <v>0</v>
      </c>
      <c r="N27" s="329">
        <v>2</v>
      </c>
      <c r="O27" s="331">
        <v>2</v>
      </c>
      <c r="P27" s="333">
        <v>2</v>
      </c>
    </row>
    <row r="28" spans="3:16" ht="18" customHeight="1">
      <c r="C28" s="292"/>
      <c r="D28" s="388"/>
      <c r="E28" s="301" t="s">
        <v>188</v>
      </c>
      <c r="F28" s="354">
        <v>0</v>
      </c>
      <c r="G28" s="354">
        <v>0</v>
      </c>
      <c r="H28" s="352">
        <v>0</v>
      </c>
      <c r="I28" s="304"/>
      <c r="J28" s="390">
        <v>0</v>
      </c>
      <c r="K28" s="354">
        <v>0</v>
      </c>
      <c r="L28" s="354">
        <v>0</v>
      </c>
      <c r="M28" s="354">
        <v>0</v>
      </c>
      <c r="N28" s="354">
        <v>11</v>
      </c>
      <c r="O28" s="352">
        <v>11</v>
      </c>
      <c r="P28" s="356">
        <v>11</v>
      </c>
    </row>
    <row r="29" spans="3:16" ht="18" customHeight="1">
      <c r="C29" s="292"/>
      <c r="D29" s="388"/>
      <c r="E29" s="391" t="s">
        <v>189</v>
      </c>
      <c r="F29" s="354">
        <v>0</v>
      </c>
      <c r="G29" s="354">
        <v>0</v>
      </c>
      <c r="H29" s="352">
        <v>0</v>
      </c>
      <c r="I29" s="304"/>
      <c r="J29" s="390">
        <v>0</v>
      </c>
      <c r="K29" s="354">
        <v>0</v>
      </c>
      <c r="L29" s="354">
        <v>0</v>
      </c>
      <c r="M29" s="354">
        <v>0</v>
      </c>
      <c r="N29" s="354">
        <v>0</v>
      </c>
      <c r="O29" s="352">
        <v>0</v>
      </c>
      <c r="P29" s="356">
        <v>0</v>
      </c>
    </row>
    <row r="30" spans="3:16" ht="18" customHeight="1">
      <c r="C30" s="292"/>
      <c r="D30" s="393"/>
      <c r="E30" s="394" t="s">
        <v>190</v>
      </c>
      <c r="F30" s="338">
        <v>0</v>
      </c>
      <c r="G30" s="338">
        <v>0</v>
      </c>
      <c r="H30" s="345">
        <v>0</v>
      </c>
      <c r="I30" s="395"/>
      <c r="J30" s="396">
        <v>0</v>
      </c>
      <c r="K30" s="338">
        <v>0</v>
      </c>
      <c r="L30" s="338">
        <v>0</v>
      </c>
      <c r="M30" s="338">
        <v>0</v>
      </c>
      <c r="N30" s="338">
        <v>0</v>
      </c>
      <c r="O30" s="345">
        <v>0</v>
      </c>
      <c r="P30" s="341">
        <v>0</v>
      </c>
    </row>
    <row r="31" spans="3:16" ht="18" customHeight="1">
      <c r="C31" s="397" t="s">
        <v>272</v>
      </c>
      <c r="D31" s="398"/>
      <c r="E31" s="399"/>
      <c r="F31" s="400"/>
      <c r="G31" s="400"/>
      <c r="H31" s="400"/>
      <c r="I31" s="400"/>
      <c r="J31" s="400"/>
      <c r="K31" s="400"/>
      <c r="L31" s="400"/>
      <c r="M31" s="400"/>
      <c r="N31" s="400"/>
      <c r="O31" s="400"/>
      <c r="P31" s="401"/>
    </row>
    <row r="32" spans="3:16" ht="18" customHeight="1">
      <c r="C32" s="292"/>
      <c r="D32" s="384" t="s">
        <v>119</v>
      </c>
      <c r="E32" s="385"/>
      <c r="F32" s="386">
        <v>0</v>
      </c>
      <c r="G32" s="332">
        <v>0</v>
      </c>
      <c r="H32" s="289">
        <v>0</v>
      </c>
      <c r="I32" s="290"/>
      <c r="J32" s="387">
        <v>0</v>
      </c>
      <c r="K32" s="332">
        <v>0</v>
      </c>
      <c r="L32" s="332">
        <v>0</v>
      </c>
      <c r="M32" s="332">
        <v>0</v>
      </c>
      <c r="N32" s="332">
        <v>7860</v>
      </c>
      <c r="O32" s="289">
        <v>7860</v>
      </c>
      <c r="P32" s="291">
        <v>7860</v>
      </c>
    </row>
    <row r="33" spans="3:16" ht="18" customHeight="1">
      <c r="C33" s="292"/>
      <c r="D33" s="388"/>
      <c r="E33" s="301" t="s">
        <v>113</v>
      </c>
      <c r="F33" s="330">
        <v>0</v>
      </c>
      <c r="G33" s="330">
        <v>0</v>
      </c>
      <c r="H33" s="331">
        <v>0</v>
      </c>
      <c r="I33" s="304"/>
      <c r="J33" s="362">
        <v>0</v>
      </c>
      <c r="K33" s="329">
        <v>0</v>
      </c>
      <c r="L33" s="329">
        <v>0</v>
      </c>
      <c r="M33" s="329">
        <v>0</v>
      </c>
      <c r="N33" s="329">
        <v>0</v>
      </c>
      <c r="O33" s="331">
        <v>0</v>
      </c>
      <c r="P33" s="333">
        <v>0</v>
      </c>
    </row>
    <row r="34" spans="3:16" ht="18" customHeight="1">
      <c r="C34" s="292"/>
      <c r="D34" s="389"/>
      <c r="E34" s="301" t="s">
        <v>114</v>
      </c>
      <c r="F34" s="330">
        <v>0</v>
      </c>
      <c r="G34" s="330">
        <v>0</v>
      </c>
      <c r="H34" s="331">
        <v>0</v>
      </c>
      <c r="I34" s="304"/>
      <c r="J34" s="362">
        <v>0</v>
      </c>
      <c r="K34" s="329">
        <v>0</v>
      </c>
      <c r="L34" s="329">
        <v>0</v>
      </c>
      <c r="M34" s="329">
        <v>0</v>
      </c>
      <c r="N34" s="329">
        <v>0</v>
      </c>
      <c r="O34" s="331">
        <v>0</v>
      </c>
      <c r="P34" s="333">
        <v>0</v>
      </c>
    </row>
    <row r="35" spans="3:16" ht="18" customHeight="1">
      <c r="C35" s="292"/>
      <c r="D35" s="388"/>
      <c r="E35" s="301" t="s">
        <v>176</v>
      </c>
      <c r="F35" s="330">
        <v>0</v>
      </c>
      <c r="G35" s="330">
        <v>0</v>
      </c>
      <c r="H35" s="331">
        <v>0</v>
      </c>
      <c r="I35" s="304"/>
      <c r="J35" s="362">
        <v>0</v>
      </c>
      <c r="K35" s="329">
        <v>0</v>
      </c>
      <c r="L35" s="329">
        <v>0</v>
      </c>
      <c r="M35" s="329">
        <v>0</v>
      </c>
      <c r="N35" s="329">
        <v>0</v>
      </c>
      <c r="O35" s="331">
        <v>0</v>
      </c>
      <c r="P35" s="333">
        <v>0</v>
      </c>
    </row>
    <row r="36" spans="3:16" ht="18" customHeight="1">
      <c r="C36" s="292"/>
      <c r="D36" s="388"/>
      <c r="E36" s="301" t="s">
        <v>116</v>
      </c>
      <c r="F36" s="330">
        <v>0</v>
      </c>
      <c r="G36" s="330">
        <v>0</v>
      </c>
      <c r="H36" s="331">
        <v>0</v>
      </c>
      <c r="I36" s="304"/>
      <c r="J36" s="362">
        <v>0</v>
      </c>
      <c r="K36" s="329">
        <v>0</v>
      </c>
      <c r="L36" s="329">
        <v>0</v>
      </c>
      <c r="M36" s="329">
        <v>0</v>
      </c>
      <c r="N36" s="329">
        <v>0</v>
      </c>
      <c r="O36" s="331">
        <v>0</v>
      </c>
      <c r="P36" s="333">
        <v>0</v>
      </c>
    </row>
    <row r="37" spans="3:16" ht="18" customHeight="1">
      <c r="C37" s="292"/>
      <c r="D37" s="388"/>
      <c r="E37" s="301" t="s">
        <v>221</v>
      </c>
      <c r="F37" s="330">
        <v>0</v>
      </c>
      <c r="G37" s="330">
        <v>0</v>
      </c>
      <c r="H37" s="331">
        <v>0</v>
      </c>
      <c r="I37" s="304"/>
      <c r="J37" s="362">
        <v>0</v>
      </c>
      <c r="K37" s="329">
        <v>0</v>
      </c>
      <c r="L37" s="329">
        <v>0</v>
      </c>
      <c r="M37" s="329">
        <v>0</v>
      </c>
      <c r="N37" s="329">
        <v>0</v>
      </c>
      <c r="O37" s="331">
        <v>0</v>
      </c>
      <c r="P37" s="333">
        <v>0</v>
      </c>
    </row>
    <row r="38" spans="3:16" ht="18" customHeight="1">
      <c r="C38" s="292"/>
      <c r="D38" s="388"/>
      <c r="E38" s="301" t="s">
        <v>187</v>
      </c>
      <c r="F38" s="329">
        <v>0</v>
      </c>
      <c r="G38" s="329">
        <v>0</v>
      </c>
      <c r="H38" s="331">
        <v>0</v>
      </c>
      <c r="I38" s="304"/>
      <c r="J38" s="362">
        <v>0</v>
      </c>
      <c r="K38" s="329">
        <v>0</v>
      </c>
      <c r="L38" s="329">
        <v>0</v>
      </c>
      <c r="M38" s="329">
        <v>0</v>
      </c>
      <c r="N38" s="329">
        <v>4060</v>
      </c>
      <c r="O38" s="331">
        <v>4060</v>
      </c>
      <c r="P38" s="333">
        <v>4060</v>
      </c>
    </row>
    <row r="39" spans="3:16" ht="18" customHeight="1">
      <c r="C39" s="292"/>
      <c r="D39" s="388"/>
      <c r="E39" s="301" t="s">
        <v>188</v>
      </c>
      <c r="F39" s="354">
        <v>0</v>
      </c>
      <c r="G39" s="354">
        <v>0</v>
      </c>
      <c r="H39" s="352">
        <v>0</v>
      </c>
      <c r="I39" s="304"/>
      <c r="J39" s="390">
        <v>0</v>
      </c>
      <c r="K39" s="354">
        <v>0</v>
      </c>
      <c r="L39" s="354">
        <v>0</v>
      </c>
      <c r="M39" s="354">
        <v>0</v>
      </c>
      <c r="N39" s="354">
        <v>3800</v>
      </c>
      <c r="O39" s="352">
        <v>3800</v>
      </c>
      <c r="P39" s="356">
        <v>3800</v>
      </c>
    </row>
    <row r="40" spans="3:16" ht="18" customHeight="1">
      <c r="C40" s="292"/>
      <c r="D40" s="388"/>
      <c r="E40" s="391" t="s">
        <v>189</v>
      </c>
      <c r="F40" s="354">
        <v>0</v>
      </c>
      <c r="G40" s="354">
        <v>0</v>
      </c>
      <c r="H40" s="352">
        <v>0</v>
      </c>
      <c r="I40" s="304"/>
      <c r="J40" s="390">
        <v>0</v>
      </c>
      <c r="K40" s="354">
        <v>0</v>
      </c>
      <c r="L40" s="354">
        <v>0</v>
      </c>
      <c r="M40" s="354">
        <v>0</v>
      </c>
      <c r="N40" s="354">
        <v>0</v>
      </c>
      <c r="O40" s="352">
        <v>0</v>
      </c>
      <c r="P40" s="356">
        <v>0</v>
      </c>
    </row>
    <row r="41" spans="3:16" ht="18" customHeight="1">
      <c r="C41" s="292"/>
      <c r="D41" s="388"/>
      <c r="E41" s="391" t="s">
        <v>190</v>
      </c>
      <c r="F41" s="354">
        <v>0</v>
      </c>
      <c r="G41" s="354">
        <v>0</v>
      </c>
      <c r="H41" s="352">
        <v>0</v>
      </c>
      <c r="I41" s="304"/>
      <c r="J41" s="390">
        <v>0</v>
      </c>
      <c r="K41" s="354">
        <v>0</v>
      </c>
      <c r="L41" s="354">
        <v>0</v>
      </c>
      <c r="M41" s="354">
        <v>0</v>
      </c>
      <c r="N41" s="354">
        <v>0</v>
      </c>
      <c r="O41" s="352">
        <v>0</v>
      </c>
      <c r="P41" s="356">
        <v>0</v>
      </c>
    </row>
    <row r="42" spans="3:16" ht="18" customHeight="1">
      <c r="C42" s="292"/>
      <c r="D42" s="384" t="s">
        <v>271</v>
      </c>
      <c r="E42" s="392"/>
      <c r="F42" s="287">
        <v>0</v>
      </c>
      <c r="G42" s="287">
        <v>0</v>
      </c>
      <c r="H42" s="289">
        <v>0</v>
      </c>
      <c r="I42" s="290"/>
      <c r="J42" s="357">
        <v>0</v>
      </c>
      <c r="K42" s="287">
        <v>0</v>
      </c>
      <c r="L42" s="287">
        <v>0</v>
      </c>
      <c r="M42" s="287">
        <v>0</v>
      </c>
      <c r="N42" s="287">
        <v>21320</v>
      </c>
      <c r="O42" s="289">
        <v>21320</v>
      </c>
      <c r="P42" s="291">
        <v>21320</v>
      </c>
    </row>
    <row r="43" spans="3:16" ht="18" customHeight="1">
      <c r="C43" s="292"/>
      <c r="D43" s="388"/>
      <c r="E43" s="301" t="s">
        <v>113</v>
      </c>
      <c r="F43" s="330">
        <v>0</v>
      </c>
      <c r="G43" s="330">
        <v>0</v>
      </c>
      <c r="H43" s="331">
        <v>0</v>
      </c>
      <c r="I43" s="304"/>
      <c r="J43" s="362">
        <v>0</v>
      </c>
      <c r="K43" s="329">
        <v>0</v>
      </c>
      <c r="L43" s="329">
        <v>0</v>
      </c>
      <c r="M43" s="329">
        <v>0</v>
      </c>
      <c r="N43" s="329">
        <v>0</v>
      </c>
      <c r="O43" s="331">
        <v>0</v>
      </c>
      <c r="P43" s="333">
        <v>0</v>
      </c>
    </row>
    <row r="44" spans="3:16" ht="18" customHeight="1">
      <c r="C44" s="292"/>
      <c r="D44" s="389"/>
      <c r="E44" s="301" t="s">
        <v>114</v>
      </c>
      <c r="F44" s="330">
        <v>0</v>
      </c>
      <c r="G44" s="330">
        <v>0</v>
      </c>
      <c r="H44" s="331">
        <v>0</v>
      </c>
      <c r="I44" s="304"/>
      <c r="J44" s="362">
        <v>0</v>
      </c>
      <c r="K44" s="329">
        <v>0</v>
      </c>
      <c r="L44" s="329">
        <v>0</v>
      </c>
      <c r="M44" s="329">
        <v>0</v>
      </c>
      <c r="N44" s="329">
        <v>0</v>
      </c>
      <c r="O44" s="331">
        <v>0</v>
      </c>
      <c r="P44" s="333">
        <v>0</v>
      </c>
    </row>
    <row r="45" spans="3:16" ht="18" customHeight="1">
      <c r="C45" s="292"/>
      <c r="D45" s="388"/>
      <c r="E45" s="301" t="s">
        <v>176</v>
      </c>
      <c r="F45" s="330">
        <v>0</v>
      </c>
      <c r="G45" s="330">
        <v>0</v>
      </c>
      <c r="H45" s="331">
        <v>0</v>
      </c>
      <c r="I45" s="304"/>
      <c r="J45" s="362">
        <v>0</v>
      </c>
      <c r="K45" s="329">
        <v>0</v>
      </c>
      <c r="L45" s="329">
        <v>0</v>
      </c>
      <c r="M45" s="329">
        <v>0</v>
      </c>
      <c r="N45" s="329">
        <v>0</v>
      </c>
      <c r="O45" s="331">
        <v>0</v>
      </c>
      <c r="P45" s="333">
        <v>0</v>
      </c>
    </row>
    <row r="46" spans="3:16" ht="18" customHeight="1">
      <c r="C46" s="292"/>
      <c r="D46" s="388"/>
      <c r="E46" s="301" t="s">
        <v>116</v>
      </c>
      <c r="F46" s="330">
        <v>0</v>
      </c>
      <c r="G46" s="330">
        <v>0</v>
      </c>
      <c r="H46" s="331">
        <v>0</v>
      </c>
      <c r="I46" s="304"/>
      <c r="J46" s="362">
        <v>0</v>
      </c>
      <c r="K46" s="329">
        <v>0</v>
      </c>
      <c r="L46" s="329">
        <v>0</v>
      </c>
      <c r="M46" s="329">
        <v>0</v>
      </c>
      <c r="N46" s="329">
        <v>0</v>
      </c>
      <c r="O46" s="331">
        <v>0</v>
      </c>
      <c r="P46" s="333">
        <v>0</v>
      </c>
    </row>
    <row r="47" spans="3:16" ht="18" customHeight="1">
      <c r="C47" s="292"/>
      <c r="D47" s="388"/>
      <c r="E47" s="301" t="s">
        <v>221</v>
      </c>
      <c r="F47" s="330">
        <v>0</v>
      </c>
      <c r="G47" s="330">
        <v>0</v>
      </c>
      <c r="H47" s="331">
        <v>0</v>
      </c>
      <c r="I47" s="304"/>
      <c r="J47" s="362">
        <v>0</v>
      </c>
      <c r="K47" s="329">
        <v>0</v>
      </c>
      <c r="L47" s="329">
        <v>0</v>
      </c>
      <c r="M47" s="329">
        <v>0</v>
      </c>
      <c r="N47" s="329">
        <v>0</v>
      </c>
      <c r="O47" s="331">
        <v>0</v>
      </c>
      <c r="P47" s="333">
        <v>0</v>
      </c>
    </row>
    <row r="48" spans="3:16" ht="18" customHeight="1">
      <c r="C48" s="292"/>
      <c r="D48" s="388"/>
      <c r="E48" s="301" t="s">
        <v>187</v>
      </c>
      <c r="F48" s="329">
        <v>0</v>
      </c>
      <c r="G48" s="329">
        <v>0</v>
      </c>
      <c r="H48" s="331">
        <v>0</v>
      </c>
      <c r="I48" s="304"/>
      <c r="J48" s="362">
        <v>0</v>
      </c>
      <c r="K48" s="329">
        <v>0</v>
      </c>
      <c r="L48" s="329">
        <v>0</v>
      </c>
      <c r="M48" s="329">
        <v>0</v>
      </c>
      <c r="N48" s="329">
        <v>5568</v>
      </c>
      <c r="O48" s="331">
        <v>5568</v>
      </c>
      <c r="P48" s="333">
        <v>5568</v>
      </c>
    </row>
    <row r="49" spans="3:16" ht="18" customHeight="1">
      <c r="C49" s="292"/>
      <c r="D49" s="389"/>
      <c r="E49" s="301" t="s">
        <v>188</v>
      </c>
      <c r="F49" s="329">
        <v>0</v>
      </c>
      <c r="G49" s="329">
        <v>0</v>
      </c>
      <c r="H49" s="331">
        <v>0</v>
      </c>
      <c r="I49" s="304"/>
      <c r="J49" s="362">
        <v>0</v>
      </c>
      <c r="K49" s="329">
        <v>0</v>
      </c>
      <c r="L49" s="329">
        <v>0</v>
      </c>
      <c r="M49" s="329">
        <v>0</v>
      </c>
      <c r="N49" s="329">
        <v>15752</v>
      </c>
      <c r="O49" s="331">
        <v>15752</v>
      </c>
      <c r="P49" s="333">
        <v>15752</v>
      </c>
    </row>
    <row r="50" spans="3:16" ht="18" customHeight="1">
      <c r="C50" s="292"/>
      <c r="D50" s="388"/>
      <c r="E50" s="391" t="s">
        <v>189</v>
      </c>
      <c r="F50" s="354">
        <v>0</v>
      </c>
      <c r="G50" s="354">
        <v>0</v>
      </c>
      <c r="H50" s="352">
        <v>0</v>
      </c>
      <c r="I50" s="304"/>
      <c r="J50" s="390">
        <v>0</v>
      </c>
      <c r="K50" s="354">
        <v>0</v>
      </c>
      <c r="L50" s="354">
        <v>0</v>
      </c>
      <c r="M50" s="354">
        <v>0</v>
      </c>
      <c r="N50" s="354">
        <v>0</v>
      </c>
      <c r="O50" s="352">
        <v>0</v>
      </c>
      <c r="P50" s="356">
        <v>0</v>
      </c>
    </row>
    <row r="51" spans="3:16" ht="18" customHeight="1">
      <c r="C51" s="292"/>
      <c r="D51" s="393"/>
      <c r="E51" s="394" t="s">
        <v>190</v>
      </c>
      <c r="F51" s="338">
        <v>0</v>
      </c>
      <c r="G51" s="338">
        <v>0</v>
      </c>
      <c r="H51" s="345">
        <v>0</v>
      </c>
      <c r="I51" s="304"/>
      <c r="J51" s="396">
        <v>0</v>
      </c>
      <c r="K51" s="338">
        <v>0</v>
      </c>
      <c r="L51" s="338">
        <v>0</v>
      </c>
      <c r="M51" s="338">
        <v>0</v>
      </c>
      <c r="N51" s="338">
        <v>0</v>
      </c>
      <c r="O51" s="345">
        <v>0</v>
      </c>
      <c r="P51" s="341">
        <v>0</v>
      </c>
    </row>
    <row r="52" spans="3:16" ht="18" customHeight="1">
      <c r="C52" s="801" t="s">
        <v>252</v>
      </c>
      <c r="D52" s="802"/>
      <c r="E52" s="803"/>
      <c r="F52" s="120">
        <v>0</v>
      </c>
      <c r="G52" s="346">
        <v>0</v>
      </c>
      <c r="H52" s="178">
        <v>0</v>
      </c>
      <c r="I52" s="208"/>
      <c r="J52" s="366">
        <v>0</v>
      </c>
      <c r="K52" s="346">
        <v>0</v>
      </c>
      <c r="L52" s="346">
        <v>0</v>
      </c>
      <c r="M52" s="346">
        <v>0</v>
      </c>
      <c r="N52" s="346">
        <v>29180</v>
      </c>
      <c r="O52" s="178">
        <v>29180</v>
      </c>
      <c r="P52" s="171">
        <v>29180</v>
      </c>
    </row>
    <row r="53" spans="3:16" ht="12" customHeight="1"/>
  </sheetData>
  <sheetProtection selectLockedCells="1" selectUnlockedCells="1"/>
  <mergeCells count="4">
    <mergeCell ref="C52:E52"/>
    <mergeCell ref="A3:Q3"/>
    <mergeCell ref="A4:Q4"/>
    <mergeCell ref="C9:E9"/>
  </mergeCells>
  <phoneticPr fontId="35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56"/>
  <sheetViews>
    <sheetView showGridLines="0" workbookViewId="0"/>
  </sheetViews>
  <sheetFormatPr defaultColWidth="6.21875" defaultRowHeight="15" customHeight="1"/>
  <cols>
    <col min="1" max="2" width="3.77734375" customWidth="1"/>
    <col min="3" max="3" width="13.88671875" customWidth="1"/>
    <col min="4" max="6" width="14.44140625" customWidth="1"/>
    <col min="7" max="7" width="13.88671875" customWidth="1"/>
    <col min="8" max="8" width="4" customWidth="1"/>
  </cols>
  <sheetData>
    <row r="1" spans="1:8" ht="18" customHeight="1">
      <c r="A1" s="403" t="s">
        <v>275</v>
      </c>
      <c r="B1" s="404"/>
      <c r="C1" s="404"/>
      <c r="D1" s="405"/>
      <c r="E1" s="405"/>
      <c r="F1" s="405"/>
      <c r="G1" s="405"/>
      <c r="H1" s="406"/>
    </row>
    <row r="2" spans="1:8" ht="18" customHeight="1">
      <c r="A2" s="404"/>
      <c r="B2" s="404"/>
      <c r="C2" s="404"/>
      <c r="D2" s="404"/>
      <c r="E2" s="404"/>
      <c r="F2" s="404"/>
      <c r="G2" s="404"/>
      <c r="H2" s="407"/>
    </row>
    <row r="3" spans="1:8" ht="18" customHeight="1">
      <c r="A3" s="794" t="s">
        <v>1</v>
      </c>
      <c r="B3" s="794"/>
      <c r="C3" s="794"/>
      <c r="D3" s="794"/>
      <c r="E3" s="794"/>
      <c r="F3" s="794"/>
      <c r="G3" s="794"/>
      <c r="H3" s="408"/>
    </row>
    <row r="4" spans="1:8" ht="18" customHeight="1">
      <c r="A4" s="794" t="s">
        <v>2</v>
      </c>
      <c r="B4" s="794"/>
      <c r="C4" s="794"/>
      <c r="D4" s="794"/>
      <c r="E4" s="794"/>
      <c r="F4" s="794"/>
      <c r="G4" s="794"/>
      <c r="H4" s="408"/>
    </row>
    <row r="5" spans="1:8" ht="18" customHeight="1">
      <c r="A5" s="409"/>
      <c r="B5" s="409"/>
      <c r="C5" s="409"/>
      <c r="D5" s="409"/>
      <c r="E5" s="404"/>
      <c r="F5" s="410" t="s">
        <v>3</v>
      </c>
      <c r="G5" s="411" t="s">
        <v>4</v>
      </c>
      <c r="H5" s="412"/>
    </row>
    <row r="6" spans="1:8" ht="18" customHeight="1">
      <c r="A6" s="409"/>
      <c r="B6" s="409"/>
      <c r="C6" s="409"/>
      <c r="D6" s="409"/>
      <c r="E6" s="404"/>
      <c r="F6" s="413" t="s">
        <v>5</v>
      </c>
      <c r="G6" s="414" t="s">
        <v>6</v>
      </c>
      <c r="H6" s="412" t="s">
        <v>7</v>
      </c>
    </row>
    <row r="7" spans="1:8" ht="18" customHeight="1">
      <c r="A7" s="409"/>
      <c r="B7" s="409"/>
      <c r="C7" s="409"/>
      <c r="D7" s="409"/>
      <c r="E7" s="404"/>
      <c r="F7" s="415"/>
      <c r="G7" s="404"/>
      <c r="H7" s="412"/>
    </row>
    <row r="8" spans="1:8" ht="18" customHeight="1">
      <c r="A8" s="416"/>
      <c r="B8" s="151" t="s">
        <v>276</v>
      </c>
      <c r="C8" s="416"/>
      <c r="D8" s="416"/>
      <c r="E8" s="416"/>
      <c r="F8" s="416"/>
      <c r="G8" s="416"/>
      <c r="H8" s="416"/>
    </row>
    <row r="9" spans="1:8" ht="18" customHeight="1">
      <c r="A9" s="416"/>
      <c r="B9" s="151" t="s">
        <v>277</v>
      </c>
      <c r="C9" s="416"/>
      <c r="D9" s="416"/>
      <c r="E9" s="416"/>
      <c r="F9" s="416"/>
      <c r="G9" s="416"/>
      <c r="H9" s="416"/>
    </row>
    <row r="10" spans="1:8" ht="18" customHeight="1">
      <c r="A10" s="409"/>
      <c r="B10" s="417"/>
      <c r="C10" s="409"/>
      <c r="D10" s="409"/>
      <c r="E10" s="409"/>
      <c r="F10" s="409"/>
      <c r="G10" s="409"/>
      <c r="H10" s="418"/>
    </row>
    <row r="11" spans="1:8" ht="16.5" customHeight="1">
      <c r="A11" s="419"/>
      <c r="B11" s="419"/>
      <c r="C11" s="420" t="s">
        <v>278</v>
      </c>
      <c r="D11" s="419"/>
      <c r="E11" s="419"/>
      <c r="F11" s="419"/>
      <c r="G11" s="419"/>
      <c r="H11" s="419"/>
    </row>
    <row r="12" spans="1:8" ht="16.5" customHeight="1">
      <c r="A12" s="419"/>
      <c r="B12" s="419"/>
      <c r="C12" s="421"/>
      <c r="D12" s="422" t="s">
        <v>279</v>
      </c>
      <c r="E12" s="422" t="s">
        <v>27</v>
      </c>
      <c r="F12" s="423" t="s">
        <v>14</v>
      </c>
      <c r="G12" s="419"/>
      <c r="H12" s="419"/>
    </row>
    <row r="13" spans="1:8" ht="16.5" customHeight="1">
      <c r="A13" s="419"/>
      <c r="B13" s="419"/>
      <c r="C13" s="424" t="s">
        <v>280</v>
      </c>
      <c r="D13" s="425">
        <v>58</v>
      </c>
      <c r="E13" s="425">
        <v>33</v>
      </c>
      <c r="F13" s="426">
        <v>91</v>
      </c>
      <c r="G13" s="419"/>
      <c r="H13" s="419"/>
    </row>
    <row r="14" spans="1:8" ht="16.5" customHeight="1">
      <c r="A14" s="419"/>
      <c r="B14" s="419"/>
      <c r="C14" s="427" t="s">
        <v>281</v>
      </c>
      <c r="D14" s="428">
        <v>441923</v>
      </c>
      <c r="E14" s="428">
        <v>761158</v>
      </c>
      <c r="F14" s="429">
        <v>1203081</v>
      </c>
      <c r="G14" s="419"/>
      <c r="H14" s="419"/>
    </row>
    <row r="15" spans="1:8" ht="12" customHeight="1">
      <c r="A15" s="419"/>
      <c r="B15" s="419"/>
      <c r="C15" s="419"/>
      <c r="D15" s="419"/>
      <c r="E15" s="419"/>
      <c r="F15" s="419"/>
      <c r="G15" s="419"/>
      <c r="H15" s="419"/>
    </row>
    <row r="16" spans="1:8" ht="16.5" customHeight="1">
      <c r="A16" s="419"/>
      <c r="B16" s="419"/>
      <c r="C16" s="420" t="s">
        <v>282</v>
      </c>
      <c r="D16" s="430"/>
      <c r="E16" s="419"/>
      <c r="F16" s="419"/>
      <c r="G16" s="419"/>
      <c r="H16" s="419"/>
    </row>
    <row r="17" spans="1:8" ht="16.5" customHeight="1">
      <c r="A17" s="419"/>
      <c r="B17" s="419"/>
      <c r="C17" s="421"/>
      <c r="D17" s="422" t="s">
        <v>279</v>
      </c>
      <c r="E17" s="422" t="s">
        <v>27</v>
      </c>
      <c r="F17" s="423" t="s">
        <v>14</v>
      </c>
      <c r="G17" s="419"/>
      <c r="H17" s="419"/>
    </row>
    <row r="18" spans="1:8" ht="16.5" customHeight="1">
      <c r="A18" s="419"/>
      <c r="B18" s="419"/>
      <c r="C18" s="424" t="s">
        <v>280</v>
      </c>
      <c r="D18" s="431">
        <v>0</v>
      </c>
      <c r="E18" s="431">
        <v>0</v>
      </c>
      <c r="F18" s="432">
        <v>0</v>
      </c>
      <c r="G18" s="419"/>
      <c r="H18" s="419"/>
    </row>
    <row r="19" spans="1:8" ht="16.5" customHeight="1">
      <c r="A19" s="419"/>
      <c r="B19" s="419"/>
      <c r="C19" s="427" t="s">
        <v>281</v>
      </c>
      <c r="D19" s="433">
        <v>0</v>
      </c>
      <c r="E19" s="433">
        <v>0</v>
      </c>
      <c r="F19" s="434">
        <v>0</v>
      </c>
      <c r="G19" s="419"/>
      <c r="H19" s="419"/>
    </row>
    <row r="20" spans="1:8" ht="12" customHeight="1">
      <c r="A20" s="419"/>
      <c r="B20" s="419"/>
      <c r="C20" s="419"/>
      <c r="D20" s="419"/>
      <c r="E20" s="419"/>
      <c r="F20" s="419"/>
      <c r="G20" s="419"/>
      <c r="H20" s="419"/>
    </row>
    <row r="21" spans="1:8" ht="16.5" customHeight="1">
      <c r="A21" s="419"/>
      <c r="B21" s="419"/>
      <c r="C21" s="420" t="s">
        <v>283</v>
      </c>
      <c r="D21" s="430"/>
      <c r="E21" s="419"/>
      <c r="F21" s="419"/>
      <c r="G21" s="419"/>
      <c r="H21" s="419"/>
    </row>
    <row r="22" spans="1:8" ht="16.5" customHeight="1">
      <c r="A22" s="419"/>
      <c r="B22" s="419"/>
      <c r="C22" s="421"/>
      <c r="D22" s="422" t="s">
        <v>279</v>
      </c>
      <c r="E22" s="422" t="s">
        <v>27</v>
      </c>
      <c r="F22" s="423" t="s">
        <v>14</v>
      </c>
      <c r="G22" s="419"/>
      <c r="H22" s="419"/>
    </row>
    <row r="23" spans="1:8" ht="16.5" customHeight="1">
      <c r="A23" s="419"/>
      <c r="B23" s="419"/>
      <c r="C23" s="424" t="s">
        <v>280</v>
      </c>
      <c r="D23" s="431">
        <v>0</v>
      </c>
      <c r="E23" s="431">
        <v>0</v>
      </c>
      <c r="F23" s="432">
        <v>0</v>
      </c>
      <c r="G23" s="419"/>
      <c r="H23" s="419"/>
    </row>
    <row r="24" spans="1:8" ht="16.5" customHeight="1">
      <c r="A24" s="419"/>
      <c r="B24" s="419"/>
      <c r="C24" s="427" t="s">
        <v>281</v>
      </c>
      <c r="D24" s="433">
        <v>0</v>
      </c>
      <c r="E24" s="433">
        <v>0</v>
      </c>
      <c r="F24" s="434">
        <v>0</v>
      </c>
      <c r="G24" s="419"/>
      <c r="H24" s="419"/>
    </row>
    <row r="25" spans="1:8" ht="12" customHeight="1">
      <c r="A25" s="419"/>
      <c r="B25" s="419"/>
      <c r="C25" s="419"/>
      <c r="D25" s="419"/>
      <c r="E25" s="419"/>
      <c r="F25" s="419"/>
      <c r="G25" s="419"/>
      <c r="H25" s="419"/>
    </row>
    <row r="26" spans="1:8" ht="16.5" customHeight="1">
      <c r="A26" s="419"/>
      <c r="B26" s="419"/>
      <c r="C26" s="420" t="s">
        <v>284</v>
      </c>
      <c r="D26" s="419"/>
      <c r="E26" s="419"/>
      <c r="F26" s="419"/>
      <c r="G26" s="419"/>
      <c r="H26" s="419"/>
    </row>
    <row r="27" spans="1:8" ht="16.5" customHeight="1">
      <c r="A27" s="419"/>
      <c r="B27" s="419"/>
      <c r="C27" s="421"/>
      <c r="D27" s="422" t="s">
        <v>279</v>
      </c>
      <c r="E27" s="422" t="s">
        <v>27</v>
      </c>
      <c r="F27" s="423" t="s">
        <v>14</v>
      </c>
      <c r="G27" s="419"/>
      <c r="H27" s="419"/>
    </row>
    <row r="28" spans="1:8" ht="16.5" customHeight="1">
      <c r="A28" s="419"/>
      <c r="B28" s="419"/>
      <c r="C28" s="424" t="s">
        <v>280</v>
      </c>
      <c r="D28" s="431">
        <v>58</v>
      </c>
      <c r="E28" s="431">
        <v>33</v>
      </c>
      <c r="F28" s="432">
        <v>91</v>
      </c>
      <c r="G28" s="419"/>
      <c r="H28" s="419"/>
    </row>
    <row r="29" spans="1:8" ht="16.5" customHeight="1">
      <c r="A29" s="419"/>
      <c r="B29" s="419"/>
      <c r="C29" s="427" t="s">
        <v>281</v>
      </c>
      <c r="D29" s="433">
        <v>441923</v>
      </c>
      <c r="E29" s="433">
        <v>761158</v>
      </c>
      <c r="F29" s="434">
        <v>1203081</v>
      </c>
      <c r="G29" s="419"/>
      <c r="H29" s="419"/>
    </row>
    <row r="30" spans="1:8" ht="12" customHeight="1">
      <c r="A30" s="419"/>
      <c r="B30" s="419"/>
      <c r="C30" s="419"/>
      <c r="D30" s="419"/>
      <c r="E30" s="419"/>
      <c r="F30" s="419"/>
      <c r="G30" s="419"/>
      <c r="H30" s="419"/>
    </row>
    <row r="31" spans="1:8" ht="16.5" customHeight="1">
      <c r="A31" s="419"/>
      <c r="B31" s="419"/>
      <c r="C31" s="420" t="s">
        <v>285</v>
      </c>
      <c r="D31" s="419"/>
      <c r="E31" s="419"/>
      <c r="F31" s="419"/>
      <c r="G31" s="419"/>
      <c r="H31" s="419"/>
    </row>
    <row r="32" spans="1:8" ht="16.5" customHeight="1">
      <c r="A32" s="419"/>
      <c r="B32" s="419"/>
      <c r="C32" s="435"/>
      <c r="D32" s="422" t="s">
        <v>279</v>
      </c>
      <c r="E32" s="422" t="s">
        <v>27</v>
      </c>
      <c r="F32" s="423" t="s">
        <v>14</v>
      </c>
      <c r="G32" s="419"/>
      <c r="H32" s="419"/>
    </row>
    <row r="33" spans="1:8" ht="16.5" customHeight="1">
      <c r="A33" s="419"/>
      <c r="B33" s="419"/>
      <c r="C33" s="424" t="s">
        <v>280</v>
      </c>
      <c r="D33" s="431">
        <v>195</v>
      </c>
      <c r="E33" s="431">
        <v>681</v>
      </c>
      <c r="F33" s="432">
        <v>876</v>
      </c>
      <c r="G33" s="419"/>
      <c r="H33" s="419"/>
    </row>
    <row r="34" spans="1:8" ht="16.5" customHeight="1">
      <c r="A34" s="419"/>
      <c r="B34" s="419"/>
      <c r="C34" s="427" t="s">
        <v>281</v>
      </c>
      <c r="D34" s="433">
        <v>2695360</v>
      </c>
      <c r="E34" s="433">
        <v>6458668</v>
      </c>
      <c r="F34" s="434">
        <v>9154028</v>
      </c>
      <c r="G34" s="419"/>
      <c r="H34" s="419"/>
    </row>
    <row r="35" spans="1:8" ht="12" customHeight="1">
      <c r="A35" s="419"/>
      <c r="B35" s="419"/>
      <c r="C35" s="419"/>
      <c r="D35" s="419"/>
      <c r="E35" s="419"/>
      <c r="F35" s="419"/>
      <c r="G35" s="419"/>
      <c r="H35" s="419"/>
    </row>
    <row r="36" spans="1:8" ht="16.5" customHeight="1">
      <c r="A36" s="419"/>
      <c r="B36" s="419"/>
      <c r="C36" s="420" t="s">
        <v>286</v>
      </c>
      <c r="D36" s="419"/>
      <c r="E36" s="419"/>
      <c r="F36" s="419"/>
      <c r="G36" s="419"/>
      <c r="H36" s="419"/>
    </row>
    <row r="37" spans="1:8" ht="16.5" customHeight="1">
      <c r="A37" s="419"/>
      <c r="B37" s="419"/>
      <c r="C37" s="435"/>
      <c r="D37" s="422" t="s">
        <v>279</v>
      </c>
      <c r="E37" s="422" t="s">
        <v>27</v>
      </c>
      <c r="F37" s="423" t="s">
        <v>14</v>
      </c>
      <c r="G37" s="419"/>
      <c r="H37" s="419"/>
    </row>
    <row r="38" spans="1:8" ht="16.5" customHeight="1">
      <c r="A38" s="419"/>
      <c r="B38" s="419"/>
      <c r="C38" s="424" t="s">
        <v>280</v>
      </c>
      <c r="D38" s="431">
        <v>106</v>
      </c>
      <c r="E38" s="431">
        <v>895</v>
      </c>
      <c r="F38" s="432">
        <v>1001</v>
      </c>
      <c r="G38" s="419"/>
      <c r="H38" s="419"/>
    </row>
    <row r="39" spans="1:8" ht="16.5" customHeight="1">
      <c r="A39" s="436"/>
      <c r="B39" s="436"/>
      <c r="C39" s="427" t="s">
        <v>281</v>
      </c>
      <c r="D39" s="433">
        <v>1857831</v>
      </c>
      <c r="E39" s="433">
        <v>15555080</v>
      </c>
      <c r="F39" s="434">
        <v>17412911</v>
      </c>
      <c r="G39" s="436"/>
      <c r="H39" s="436"/>
    </row>
    <row r="40" spans="1:8" ht="12" customHeight="1">
      <c r="A40" s="436"/>
      <c r="B40" s="436"/>
      <c r="C40" s="436"/>
      <c r="D40" s="436"/>
      <c r="E40" s="436"/>
      <c r="F40" s="436"/>
      <c r="G40" s="436"/>
      <c r="H40" s="436"/>
    </row>
    <row r="41" spans="1:8" ht="16.5" customHeight="1">
      <c r="A41" s="436"/>
      <c r="B41" s="436"/>
      <c r="C41" s="420" t="s">
        <v>287</v>
      </c>
      <c r="D41" s="436"/>
      <c r="E41" s="436"/>
      <c r="F41" s="436"/>
      <c r="G41" s="436"/>
      <c r="H41" s="436"/>
    </row>
    <row r="42" spans="1:8" ht="16.5" customHeight="1">
      <c r="A42" s="436"/>
      <c r="B42" s="436"/>
      <c r="C42" s="435"/>
      <c r="D42" s="422" t="s">
        <v>279</v>
      </c>
      <c r="E42" s="422" t="s">
        <v>27</v>
      </c>
      <c r="F42" s="423" t="s">
        <v>14</v>
      </c>
      <c r="G42" s="436"/>
      <c r="H42" s="436"/>
    </row>
    <row r="43" spans="1:8" ht="16.5" customHeight="1">
      <c r="A43" s="436"/>
      <c r="B43" s="436"/>
      <c r="C43" s="424" t="s">
        <v>280</v>
      </c>
      <c r="D43" s="431">
        <v>0</v>
      </c>
      <c r="E43" s="431">
        <v>164</v>
      </c>
      <c r="F43" s="432">
        <v>164</v>
      </c>
      <c r="G43" s="436"/>
      <c r="H43" s="436"/>
    </row>
    <row r="44" spans="1:8" ht="16.5" customHeight="1">
      <c r="A44" s="436"/>
      <c r="B44" s="436"/>
      <c r="C44" s="427" t="s">
        <v>281</v>
      </c>
      <c r="D44" s="433">
        <v>0</v>
      </c>
      <c r="E44" s="433">
        <v>2697993</v>
      </c>
      <c r="F44" s="434">
        <v>2697993</v>
      </c>
      <c r="G44" s="436"/>
      <c r="H44" s="436"/>
    </row>
    <row r="45" spans="1:8" ht="12" customHeight="1">
      <c r="A45" s="436"/>
      <c r="B45" s="436"/>
      <c r="C45" s="436"/>
      <c r="D45" s="436"/>
      <c r="E45" s="436"/>
      <c r="F45" s="436"/>
      <c r="G45" s="436"/>
      <c r="H45" s="436"/>
    </row>
    <row r="46" spans="1:8" ht="16.5" customHeight="1">
      <c r="A46" s="436"/>
      <c r="B46" s="436"/>
      <c r="C46" s="420" t="s">
        <v>288</v>
      </c>
      <c r="D46" s="436"/>
      <c r="E46" s="436"/>
      <c r="F46" s="436"/>
      <c r="G46" s="436"/>
      <c r="H46" s="436"/>
    </row>
    <row r="47" spans="1:8" ht="16.5" customHeight="1">
      <c r="A47" s="436"/>
      <c r="B47" s="436"/>
      <c r="C47" s="435"/>
      <c r="D47" s="422" t="s">
        <v>279</v>
      </c>
      <c r="E47" s="422" t="s">
        <v>27</v>
      </c>
      <c r="F47" s="423" t="s">
        <v>14</v>
      </c>
      <c r="G47" s="436"/>
      <c r="H47" s="436"/>
    </row>
    <row r="48" spans="1:8" ht="16.5" customHeight="1">
      <c r="A48" s="436"/>
      <c r="B48" s="436"/>
      <c r="C48" s="424" t="s">
        <v>280</v>
      </c>
      <c r="D48" s="437">
        <v>359</v>
      </c>
      <c r="E48" s="437">
        <v>1773</v>
      </c>
      <c r="F48" s="438">
        <v>2132</v>
      </c>
      <c r="G48" s="436"/>
      <c r="H48" s="436"/>
    </row>
    <row r="49" spans="1:8" ht="16.5" customHeight="1">
      <c r="A49" s="436"/>
      <c r="B49" s="436"/>
      <c r="C49" s="427" t="s">
        <v>281</v>
      </c>
      <c r="D49" s="439">
        <v>4995114</v>
      </c>
      <c r="E49" s="439">
        <v>25472899</v>
      </c>
      <c r="F49" s="440">
        <v>30468013</v>
      </c>
      <c r="G49" s="436"/>
      <c r="H49" s="436"/>
    </row>
    <row r="50" spans="1:8" ht="16.5" customHeight="1">
      <c r="A50" s="441"/>
      <c r="B50" s="441"/>
      <c r="C50" s="441"/>
      <c r="D50" s="441"/>
      <c r="E50" s="441"/>
      <c r="F50" s="441"/>
      <c r="G50" s="441"/>
      <c r="H50" s="416"/>
    </row>
    <row r="51" spans="1:8" ht="16.5" customHeight="1">
      <c r="A51" s="436"/>
      <c r="B51" s="442" t="s">
        <v>289</v>
      </c>
      <c r="C51" s="436"/>
      <c r="D51" s="436"/>
      <c r="E51" s="436"/>
      <c r="F51" s="436"/>
      <c r="G51" s="436"/>
      <c r="H51" s="436"/>
    </row>
    <row r="52" spans="1:8" ht="6" customHeight="1">
      <c r="A52" s="436"/>
      <c r="B52" s="436"/>
      <c r="C52" s="436"/>
      <c r="D52" s="436"/>
      <c r="E52" s="436"/>
      <c r="F52" s="436"/>
      <c r="G52" s="436"/>
      <c r="H52" s="436"/>
    </row>
    <row r="53" spans="1:8" ht="16.5" customHeight="1">
      <c r="A53" s="436"/>
      <c r="B53" s="436"/>
      <c r="C53" s="435"/>
      <c r="D53" s="422" t="s">
        <v>279</v>
      </c>
      <c r="E53" s="422" t="s">
        <v>27</v>
      </c>
      <c r="F53" s="423" t="s">
        <v>14</v>
      </c>
      <c r="G53" s="436"/>
      <c r="H53" s="436"/>
    </row>
    <row r="54" spans="1:8" ht="16.5" customHeight="1">
      <c r="A54" s="436"/>
      <c r="B54" s="436"/>
      <c r="C54" s="424" t="s">
        <v>280</v>
      </c>
      <c r="D54" s="431">
        <v>0</v>
      </c>
      <c r="E54" s="431">
        <v>0</v>
      </c>
      <c r="F54" s="432">
        <v>0</v>
      </c>
      <c r="G54" s="436"/>
      <c r="H54" s="436"/>
    </row>
    <row r="55" spans="1:8" ht="16.5" customHeight="1">
      <c r="A55" s="436"/>
      <c r="B55" s="436"/>
      <c r="C55" s="427" t="s">
        <v>281</v>
      </c>
      <c r="D55" s="433">
        <v>0</v>
      </c>
      <c r="E55" s="433">
        <v>0</v>
      </c>
      <c r="F55" s="434">
        <v>0</v>
      </c>
      <c r="G55" s="436"/>
      <c r="H55" s="436"/>
    </row>
    <row r="56" spans="1:8" ht="16.5" customHeight="1">
      <c r="A56" s="441"/>
      <c r="B56" s="441"/>
      <c r="C56" s="441"/>
      <c r="D56" s="441"/>
      <c r="E56" s="441"/>
      <c r="F56" s="441"/>
      <c r="G56" s="441"/>
      <c r="H56" s="416"/>
    </row>
  </sheetData>
  <mergeCells count="2">
    <mergeCell ref="A3:G3"/>
    <mergeCell ref="A4:G4"/>
  </mergeCells>
  <phoneticPr fontId="35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41"/>
  <sheetViews>
    <sheetView showGridLines="0" workbookViewId="0"/>
  </sheetViews>
  <sheetFormatPr defaultColWidth="9" defaultRowHeight="13.5" customHeight="1"/>
  <cols>
    <col min="1" max="4" width="3.77734375" customWidth="1"/>
    <col min="5" max="5" width="13.88671875" customWidth="1"/>
    <col min="6" max="6" width="14.44140625" customWidth="1"/>
    <col min="7" max="7" width="6.5546875" customWidth="1"/>
    <col min="8" max="8" width="14.44140625" customWidth="1"/>
    <col min="9" max="9" width="13.88671875" customWidth="1"/>
    <col min="10" max="10" width="4" customWidth="1"/>
  </cols>
  <sheetData>
    <row r="1" spans="1:10" ht="18" customHeight="1">
      <c r="A1" s="443" t="s">
        <v>275</v>
      </c>
      <c r="J1" s="86"/>
    </row>
    <row r="2" spans="1:10" ht="18" customHeight="1">
      <c r="I2" s="318"/>
      <c r="J2" s="86"/>
    </row>
    <row r="3" spans="1:10" ht="18" customHeight="1">
      <c r="A3" s="815" t="s">
        <v>1</v>
      </c>
      <c r="B3" s="815"/>
      <c r="C3" s="815"/>
      <c r="D3" s="815"/>
      <c r="E3" s="815"/>
      <c r="F3" s="815"/>
      <c r="G3" s="815"/>
      <c r="H3" s="815"/>
      <c r="I3" s="815"/>
      <c r="J3" s="444"/>
    </row>
    <row r="4" spans="1:10" ht="18" customHeight="1">
      <c r="A4" s="815" t="s">
        <v>2</v>
      </c>
      <c r="B4" s="776"/>
      <c r="C4" s="776"/>
      <c r="D4" s="776"/>
      <c r="E4" s="776"/>
      <c r="F4" s="776"/>
      <c r="G4" s="776"/>
      <c r="H4" s="776"/>
      <c r="I4" s="776"/>
      <c r="J4" s="444"/>
    </row>
    <row r="5" spans="1:10" ht="18" customHeight="1">
      <c r="A5" s="444"/>
      <c r="B5" s="444"/>
      <c r="C5" s="444"/>
      <c r="D5" s="444"/>
      <c r="E5" s="444"/>
      <c r="F5" s="444"/>
      <c r="G5" s="445"/>
      <c r="H5" s="184" t="s">
        <v>3</v>
      </c>
      <c r="I5" s="446" t="s">
        <v>4</v>
      </c>
    </row>
    <row r="6" spans="1:10" ht="18" customHeight="1">
      <c r="A6" s="444"/>
      <c r="B6" s="444"/>
      <c r="C6" s="444"/>
      <c r="D6" s="444"/>
      <c r="E6" s="444"/>
      <c r="F6" s="444"/>
      <c r="G6" s="445"/>
      <c r="H6" s="186" t="s">
        <v>5</v>
      </c>
      <c r="I6" s="446" t="s">
        <v>6</v>
      </c>
      <c r="J6" t="s">
        <v>7</v>
      </c>
    </row>
    <row r="7" spans="1:10" ht="18" customHeight="1">
      <c r="A7" s="444"/>
      <c r="B7" s="444"/>
      <c r="C7" s="444"/>
      <c r="D7" s="444"/>
      <c r="E7" s="444"/>
      <c r="F7" s="444"/>
      <c r="G7" s="445"/>
      <c r="H7" s="447"/>
      <c r="I7" s="448"/>
    </row>
    <row r="8" spans="1:10" ht="18" customHeight="1">
      <c r="B8" s="84" t="s">
        <v>276</v>
      </c>
    </row>
    <row r="9" spans="1:10" ht="18" customHeight="1">
      <c r="C9" s="84" t="s">
        <v>290</v>
      </c>
    </row>
    <row r="10" spans="1:10" ht="16.5" customHeight="1">
      <c r="D10" s="85" t="s">
        <v>291</v>
      </c>
    </row>
    <row r="11" spans="1:10" ht="16.5" customHeight="1">
      <c r="D11" s="813" t="s">
        <v>280</v>
      </c>
      <c r="E11" s="814"/>
      <c r="F11" s="449">
        <v>1</v>
      </c>
    </row>
    <row r="12" spans="1:10" ht="16.5" customHeight="1">
      <c r="D12" s="801" t="s">
        <v>281</v>
      </c>
      <c r="E12" s="803"/>
      <c r="F12" s="450">
        <v>85701</v>
      </c>
    </row>
    <row r="13" spans="1:10" ht="12" customHeight="1">
      <c r="G13" s="445"/>
      <c r="H13" s="445"/>
    </row>
    <row r="14" spans="1:10" ht="16.5" customHeight="1">
      <c r="E14" s="451" t="s">
        <v>292</v>
      </c>
      <c r="F14" s="445"/>
      <c r="G14" s="445"/>
      <c r="H14" s="445"/>
    </row>
    <row r="15" spans="1:10" ht="16.5" customHeight="1">
      <c r="E15" s="452" t="s">
        <v>280</v>
      </c>
      <c r="F15" s="453">
        <v>0</v>
      </c>
    </row>
    <row r="16" spans="1:10" ht="16.5" customHeight="1">
      <c r="E16" s="454" t="s">
        <v>281</v>
      </c>
      <c r="F16" s="455">
        <v>0</v>
      </c>
    </row>
    <row r="17" spans="4:6" ht="12" customHeight="1"/>
    <row r="18" spans="4:6" ht="16.5" customHeight="1">
      <c r="E18" s="451" t="s">
        <v>293</v>
      </c>
    </row>
    <row r="19" spans="4:6" ht="16.5" customHeight="1">
      <c r="E19" s="452" t="s">
        <v>280</v>
      </c>
      <c r="F19" s="453">
        <v>0</v>
      </c>
    </row>
    <row r="20" spans="4:6" ht="16.5" customHeight="1">
      <c r="E20" s="454" t="s">
        <v>281</v>
      </c>
      <c r="F20" s="455">
        <v>0</v>
      </c>
    </row>
    <row r="21" spans="4:6" ht="12" customHeight="1"/>
    <row r="22" spans="4:6" ht="16.5" customHeight="1">
      <c r="E22" s="451" t="s">
        <v>294</v>
      </c>
    </row>
    <row r="23" spans="4:6" ht="16.5" customHeight="1">
      <c r="E23" s="452" t="s">
        <v>280</v>
      </c>
      <c r="F23" s="453">
        <v>1</v>
      </c>
    </row>
    <row r="24" spans="4:6" ht="16.5" customHeight="1">
      <c r="E24" s="454" t="s">
        <v>281</v>
      </c>
      <c r="F24" s="455">
        <v>85701</v>
      </c>
    </row>
    <row r="25" spans="4:6" ht="12" customHeight="1"/>
    <row r="26" spans="4:6" ht="16.5" customHeight="1">
      <c r="D26" s="451" t="s">
        <v>295</v>
      </c>
    </row>
    <row r="27" spans="4:6" ht="16.5" customHeight="1">
      <c r="D27" s="813" t="s">
        <v>280</v>
      </c>
      <c r="E27" s="814"/>
      <c r="F27" s="453">
        <v>3</v>
      </c>
    </row>
    <row r="28" spans="4:6" ht="16.5" customHeight="1">
      <c r="D28" s="801" t="s">
        <v>281</v>
      </c>
      <c r="E28" s="803"/>
      <c r="F28" s="455">
        <v>128200</v>
      </c>
    </row>
    <row r="29" spans="4:6" ht="12" customHeight="1"/>
    <row r="30" spans="4:6" ht="16.5" customHeight="1">
      <c r="D30" s="451" t="s">
        <v>296</v>
      </c>
    </row>
    <row r="31" spans="4:6" ht="16.5" customHeight="1">
      <c r="D31" s="813" t="s">
        <v>280</v>
      </c>
      <c r="E31" s="814"/>
      <c r="F31" s="453">
        <v>34</v>
      </c>
    </row>
    <row r="32" spans="4:6" ht="16.5" customHeight="1">
      <c r="D32" s="801" t="s">
        <v>281</v>
      </c>
      <c r="E32" s="803"/>
      <c r="F32" s="455">
        <v>1224896</v>
      </c>
    </row>
    <row r="33" spans="4:6" ht="12" customHeight="1"/>
    <row r="34" spans="4:6" ht="16.5" customHeight="1">
      <c r="D34" s="451" t="s">
        <v>297</v>
      </c>
    </row>
    <row r="35" spans="4:6" ht="16.5" customHeight="1">
      <c r="D35" s="813" t="s">
        <v>280</v>
      </c>
      <c r="E35" s="814"/>
      <c r="F35" s="453">
        <v>39</v>
      </c>
    </row>
    <row r="36" spans="4:6" ht="16.5" customHeight="1">
      <c r="D36" s="801" t="s">
        <v>281</v>
      </c>
      <c r="E36" s="803"/>
      <c r="F36" s="455">
        <v>1073995</v>
      </c>
    </row>
    <row r="37" spans="4:6" ht="12" customHeight="1"/>
    <row r="38" spans="4:6" ht="16.5" customHeight="1">
      <c r="D38" s="451" t="s">
        <v>288</v>
      </c>
    </row>
    <row r="39" spans="4:6" ht="16.5" customHeight="1">
      <c r="D39" s="813" t="s">
        <v>280</v>
      </c>
      <c r="E39" s="814"/>
      <c r="F39" s="449">
        <v>77</v>
      </c>
    </row>
    <row r="40" spans="4:6" ht="16.5" customHeight="1">
      <c r="D40" s="801" t="s">
        <v>281</v>
      </c>
      <c r="E40" s="803"/>
      <c r="F40" s="450">
        <v>2512792</v>
      </c>
    </row>
    <row r="41" spans="4:6" ht="12" customHeight="1"/>
  </sheetData>
  <sheetProtection selectLockedCells="1" selectUnlockedCells="1"/>
  <mergeCells count="12">
    <mergeCell ref="A3:I3"/>
    <mergeCell ref="A4:I4"/>
    <mergeCell ref="D11:E11"/>
    <mergeCell ref="D12:E12"/>
    <mergeCell ref="D36:E36"/>
    <mergeCell ref="D39:E39"/>
    <mergeCell ref="D40:E40"/>
    <mergeCell ref="D27:E27"/>
    <mergeCell ref="D28:E28"/>
    <mergeCell ref="D31:E31"/>
    <mergeCell ref="D32:E32"/>
    <mergeCell ref="D35:E35"/>
  </mergeCells>
  <phoneticPr fontId="35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41"/>
  <sheetViews>
    <sheetView workbookViewId="0"/>
  </sheetViews>
  <sheetFormatPr defaultRowHeight="0" customHeight="1" zeroHeight="1"/>
  <cols>
    <col min="1" max="2" width="2.33203125" customWidth="1"/>
    <col min="3" max="3" width="25.5546875" customWidth="1"/>
    <col min="4" max="14" width="14.44140625" customWidth="1"/>
    <col min="15" max="15" width="4" customWidth="1"/>
  </cols>
  <sheetData>
    <row r="1" spans="1:15" ht="18" customHeight="1">
      <c r="A1" s="39" t="s">
        <v>298</v>
      </c>
      <c r="B1" s="4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2"/>
    </row>
    <row r="2" spans="1:15" ht="18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2"/>
    </row>
    <row r="3" spans="1:15" ht="18" customHeight="1">
      <c r="A3" s="723" t="s">
        <v>1</v>
      </c>
      <c r="B3" s="723"/>
      <c r="C3" s="723"/>
      <c r="D3" s="723"/>
      <c r="E3" s="723"/>
      <c r="F3" s="723"/>
      <c r="G3" s="723"/>
      <c r="H3" s="723"/>
      <c r="I3" s="723"/>
      <c r="J3" s="723"/>
      <c r="K3" s="723"/>
      <c r="L3" s="723"/>
      <c r="M3" s="723"/>
      <c r="N3" s="723"/>
      <c r="O3" s="723"/>
    </row>
    <row r="4" spans="1:15" ht="18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</row>
    <row r="5" spans="1:15" ht="18" customHeight="1">
      <c r="A5" s="44"/>
      <c r="B5" s="45"/>
      <c r="C5" s="46"/>
      <c r="D5" s="41"/>
      <c r="E5" s="41"/>
      <c r="F5" s="41"/>
      <c r="G5" s="41"/>
      <c r="H5" s="41"/>
      <c r="I5" s="41"/>
      <c r="J5" s="41"/>
      <c r="K5" s="41"/>
      <c r="L5" s="41"/>
      <c r="M5" s="456" t="s">
        <v>32</v>
      </c>
      <c r="N5" s="457" t="s">
        <v>4</v>
      </c>
      <c r="O5" s="41"/>
    </row>
    <row r="6" spans="1:15" ht="18" customHeight="1">
      <c r="A6" s="40"/>
      <c r="B6" s="45"/>
      <c r="C6" s="46"/>
      <c r="D6" s="41"/>
      <c r="E6" s="41"/>
      <c r="F6" s="41"/>
      <c r="G6" s="41"/>
      <c r="H6" s="41"/>
      <c r="I6" s="41"/>
      <c r="J6" s="41"/>
      <c r="K6" s="41"/>
      <c r="L6" s="41"/>
      <c r="M6" s="456" t="s">
        <v>33</v>
      </c>
      <c r="N6" s="458" t="s">
        <v>6</v>
      </c>
      <c r="O6" s="41" t="s">
        <v>7</v>
      </c>
    </row>
    <row r="7" spans="1:15" ht="18" customHeight="1">
      <c r="A7" s="39" t="s">
        <v>235</v>
      </c>
      <c r="B7" s="459"/>
      <c r="C7" s="39"/>
      <c r="D7" s="41"/>
      <c r="E7" s="41"/>
      <c r="F7" s="41"/>
      <c r="G7" s="41"/>
      <c r="H7" s="41"/>
      <c r="I7" s="41"/>
      <c r="J7" s="41"/>
      <c r="K7" s="41"/>
      <c r="L7" s="41"/>
      <c r="M7" s="460"/>
      <c r="N7" s="461"/>
      <c r="O7" s="41"/>
    </row>
    <row r="8" spans="1:15" ht="18" customHeight="1">
      <c r="A8" s="40"/>
      <c r="B8" s="39" t="s">
        <v>299</v>
      </c>
      <c r="C8" s="40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1"/>
    </row>
    <row r="9" spans="1:15" ht="18" customHeight="1">
      <c r="A9" s="40"/>
      <c r="B9" s="459"/>
      <c r="C9" s="39" t="s">
        <v>300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1"/>
    </row>
    <row r="10" spans="1:15" ht="18" customHeight="1">
      <c r="A10" s="188"/>
      <c r="B10" s="189"/>
      <c r="C10" s="190"/>
      <c r="D10" s="191"/>
      <c r="E10" s="192"/>
      <c r="F10" s="192"/>
      <c r="G10" s="191"/>
      <c r="H10" s="192"/>
      <c r="I10" s="192"/>
      <c r="J10" s="192"/>
      <c r="K10" s="192"/>
      <c r="L10" s="192"/>
      <c r="M10" s="192"/>
      <c r="N10" s="191"/>
      <c r="O10" s="462"/>
    </row>
    <row r="11" spans="1:15" ht="18" customHeight="1">
      <c r="A11" s="46"/>
      <c r="B11" s="46"/>
      <c r="C11" s="463" t="s">
        <v>239</v>
      </c>
      <c r="D11" s="240" t="s">
        <v>152</v>
      </c>
      <c r="E11" s="240" t="s">
        <v>153</v>
      </c>
      <c r="F11" s="241" t="s">
        <v>14</v>
      </c>
      <c r="G11" s="242" t="s">
        <v>154</v>
      </c>
      <c r="H11" s="240" t="s">
        <v>155</v>
      </c>
      <c r="I11" s="240" t="s">
        <v>156</v>
      </c>
      <c r="J11" s="240" t="s">
        <v>157</v>
      </c>
      <c r="K11" s="240" t="s">
        <v>158</v>
      </c>
      <c r="L11" s="240" t="s">
        <v>159</v>
      </c>
      <c r="M11" s="241" t="s">
        <v>14</v>
      </c>
      <c r="N11" s="243" t="s">
        <v>109</v>
      </c>
      <c r="O11" s="46"/>
    </row>
    <row r="12" spans="1:15" ht="18" customHeight="1">
      <c r="A12" s="164"/>
      <c r="B12" s="165"/>
      <c r="C12" s="270" t="s">
        <v>301</v>
      </c>
      <c r="D12" s="464">
        <v>0</v>
      </c>
      <c r="E12" s="464">
        <v>0</v>
      </c>
      <c r="F12" s="465">
        <f t="shared" ref="F12:F18" si="0">D12+E12</f>
        <v>0</v>
      </c>
      <c r="G12" s="466"/>
      <c r="H12" s="464">
        <v>0</v>
      </c>
      <c r="I12" s="464">
        <v>0</v>
      </c>
      <c r="J12" s="464">
        <v>0</v>
      </c>
      <c r="K12" s="464">
        <v>0</v>
      </c>
      <c r="L12" s="464">
        <v>0</v>
      </c>
      <c r="M12" s="465">
        <f t="shared" ref="M12:M18" si="1">+SUM(G12:L12)</f>
        <v>0</v>
      </c>
      <c r="N12" s="467">
        <f t="shared" ref="N12:N18" si="2">F12+M12</f>
        <v>0</v>
      </c>
      <c r="O12" s="46"/>
    </row>
    <row r="13" spans="1:15" ht="18" customHeight="1">
      <c r="A13" s="164"/>
      <c r="B13" s="165"/>
      <c r="C13" s="468" t="s">
        <v>302</v>
      </c>
      <c r="D13" s="464">
        <v>0</v>
      </c>
      <c r="E13" s="464">
        <v>0</v>
      </c>
      <c r="F13" s="465">
        <f t="shared" si="0"/>
        <v>0</v>
      </c>
      <c r="G13" s="466"/>
      <c r="H13" s="464">
        <v>0</v>
      </c>
      <c r="I13" s="464">
        <v>0</v>
      </c>
      <c r="J13" s="464">
        <v>0</v>
      </c>
      <c r="K13" s="464">
        <v>0</v>
      </c>
      <c r="L13" s="464">
        <v>0</v>
      </c>
      <c r="M13" s="465">
        <f t="shared" si="1"/>
        <v>0</v>
      </c>
      <c r="N13" s="467">
        <f t="shared" si="2"/>
        <v>0</v>
      </c>
      <c r="O13" s="46"/>
    </row>
    <row r="14" spans="1:15" ht="18" customHeight="1">
      <c r="A14" s="164"/>
      <c r="B14" s="165"/>
      <c r="C14" s="468" t="s">
        <v>303</v>
      </c>
      <c r="D14" s="464">
        <v>0</v>
      </c>
      <c r="E14" s="464">
        <v>0</v>
      </c>
      <c r="F14" s="465">
        <f t="shared" si="0"/>
        <v>0</v>
      </c>
      <c r="G14" s="466"/>
      <c r="H14" s="464">
        <v>0</v>
      </c>
      <c r="I14" s="464">
        <v>0</v>
      </c>
      <c r="J14" s="464">
        <v>0</v>
      </c>
      <c r="K14" s="464">
        <v>0</v>
      </c>
      <c r="L14" s="464">
        <v>0</v>
      </c>
      <c r="M14" s="465">
        <f t="shared" si="1"/>
        <v>0</v>
      </c>
      <c r="N14" s="467">
        <f t="shared" si="2"/>
        <v>0</v>
      </c>
      <c r="O14" s="46"/>
    </row>
    <row r="15" spans="1:15" ht="18" customHeight="1">
      <c r="A15" s="164"/>
      <c r="B15" s="165"/>
      <c r="C15" s="468" t="s">
        <v>304</v>
      </c>
      <c r="D15" s="464">
        <v>0</v>
      </c>
      <c r="E15" s="464">
        <v>0</v>
      </c>
      <c r="F15" s="465">
        <f t="shared" si="0"/>
        <v>0</v>
      </c>
      <c r="G15" s="466"/>
      <c r="H15" s="464">
        <v>0</v>
      </c>
      <c r="I15" s="464">
        <v>0</v>
      </c>
      <c r="J15" s="464">
        <v>0</v>
      </c>
      <c r="K15" s="464">
        <v>0</v>
      </c>
      <c r="L15" s="464">
        <v>0</v>
      </c>
      <c r="M15" s="465">
        <f t="shared" si="1"/>
        <v>0</v>
      </c>
      <c r="N15" s="467">
        <f t="shared" si="2"/>
        <v>0</v>
      </c>
      <c r="O15" s="46"/>
    </row>
    <row r="16" spans="1:15" ht="18" customHeight="1">
      <c r="A16" s="164"/>
      <c r="B16" s="165"/>
      <c r="C16" s="270" t="s">
        <v>305</v>
      </c>
      <c r="D16" s="464">
        <v>0</v>
      </c>
      <c r="E16" s="464">
        <v>0</v>
      </c>
      <c r="F16" s="465">
        <f t="shared" si="0"/>
        <v>0</v>
      </c>
      <c r="G16" s="466"/>
      <c r="H16" s="464">
        <v>0</v>
      </c>
      <c r="I16" s="464">
        <v>0</v>
      </c>
      <c r="J16" s="464">
        <v>0</v>
      </c>
      <c r="K16" s="464">
        <v>0</v>
      </c>
      <c r="L16" s="464">
        <v>0</v>
      </c>
      <c r="M16" s="465">
        <f t="shared" si="1"/>
        <v>0</v>
      </c>
      <c r="N16" s="467">
        <f t="shared" si="2"/>
        <v>0</v>
      </c>
      <c r="O16" s="46"/>
    </row>
    <row r="17" spans="1:15" ht="18" customHeight="1">
      <c r="A17" s="188"/>
      <c r="B17" s="189"/>
      <c r="C17" s="270" t="s">
        <v>27</v>
      </c>
      <c r="D17" s="464">
        <v>0</v>
      </c>
      <c r="E17" s="464">
        <v>0</v>
      </c>
      <c r="F17" s="465">
        <f t="shared" si="0"/>
        <v>0</v>
      </c>
      <c r="G17" s="466"/>
      <c r="H17" s="464">
        <v>0</v>
      </c>
      <c r="I17" s="464">
        <v>0</v>
      </c>
      <c r="J17" s="464">
        <v>0</v>
      </c>
      <c r="K17" s="464">
        <v>0</v>
      </c>
      <c r="L17" s="464">
        <v>0</v>
      </c>
      <c r="M17" s="465">
        <f t="shared" si="1"/>
        <v>0</v>
      </c>
      <c r="N17" s="467">
        <f t="shared" si="2"/>
        <v>0</v>
      </c>
      <c r="O17" s="189"/>
    </row>
    <row r="18" spans="1:15" ht="18" customHeight="1">
      <c r="A18" s="46"/>
      <c r="B18" s="46"/>
      <c r="C18" s="277" t="s">
        <v>252</v>
      </c>
      <c r="D18" s="469">
        <f>SUM(D12:D17)</f>
        <v>0</v>
      </c>
      <c r="E18" s="469">
        <f>SUM(E12:E17)</f>
        <v>0</v>
      </c>
      <c r="F18" s="470">
        <f t="shared" si="0"/>
        <v>0</v>
      </c>
      <c r="G18" s="471"/>
      <c r="H18" s="469">
        <f>SUM(H12:H17)</f>
        <v>0</v>
      </c>
      <c r="I18" s="469">
        <f>SUM(I12:I17)</f>
        <v>0</v>
      </c>
      <c r="J18" s="469">
        <f>SUM(J12:J17)</f>
        <v>0</v>
      </c>
      <c r="K18" s="469">
        <f>SUM(K12:K17)</f>
        <v>0</v>
      </c>
      <c r="L18" s="469">
        <f>SUM(L12:L17)</f>
        <v>0</v>
      </c>
      <c r="M18" s="470">
        <f t="shared" si="1"/>
        <v>0</v>
      </c>
      <c r="N18" s="472">
        <f t="shared" si="2"/>
        <v>0</v>
      </c>
      <c r="O18" s="46"/>
    </row>
    <row r="19" spans="1:15" ht="12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</row>
    <row r="20" spans="1:15" ht="18" customHeight="1">
      <c r="A20" s="46"/>
      <c r="B20" s="46"/>
      <c r="C20" s="39" t="s">
        <v>306</v>
      </c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</row>
    <row r="21" spans="1:15" ht="18" customHeight="1">
      <c r="A21" s="188"/>
      <c r="B21" s="189"/>
      <c r="C21" s="190"/>
      <c r="D21" s="191"/>
      <c r="E21" s="192"/>
      <c r="F21" s="192"/>
      <c r="G21" s="191"/>
      <c r="H21" s="192"/>
      <c r="I21" s="192"/>
      <c r="J21" s="192"/>
      <c r="K21" s="192"/>
      <c r="L21" s="192"/>
      <c r="M21" s="192"/>
      <c r="N21" s="191"/>
      <c r="O21" s="462"/>
    </row>
    <row r="22" spans="1:15" ht="18" customHeight="1">
      <c r="A22" s="164"/>
      <c r="B22" s="165"/>
      <c r="C22" s="463" t="s">
        <v>239</v>
      </c>
      <c r="D22" s="240" t="s">
        <v>152</v>
      </c>
      <c r="E22" s="240" t="s">
        <v>153</v>
      </c>
      <c r="F22" s="241" t="s">
        <v>14</v>
      </c>
      <c r="G22" s="242" t="s">
        <v>154</v>
      </c>
      <c r="H22" s="240" t="s">
        <v>155</v>
      </c>
      <c r="I22" s="240" t="s">
        <v>156</v>
      </c>
      <c r="J22" s="240" t="s">
        <v>157</v>
      </c>
      <c r="K22" s="240" t="s">
        <v>158</v>
      </c>
      <c r="L22" s="240" t="s">
        <v>159</v>
      </c>
      <c r="M22" s="241" t="s">
        <v>14</v>
      </c>
      <c r="N22" s="243" t="s">
        <v>109</v>
      </c>
      <c r="O22" s="46"/>
    </row>
    <row r="23" spans="1:15" ht="18" customHeight="1">
      <c r="A23" s="46"/>
      <c r="B23" s="46"/>
      <c r="C23" s="270" t="s">
        <v>301</v>
      </c>
      <c r="D23" s="464">
        <v>0</v>
      </c>
      <c r="E23" s="464">
        <v>0</v>
      </c>
      <c r="F23" s="465">
        <f t="shared" ref="F23:F29" si="3">D23+E23</f>
        <v>0</v>
      </c>
      <c r="G23" s="168"/>
      <c r="H23" s="464">
        <v>0</v>
      </c>
      <c r="I23" s="464">
        <v>0</v>
      </c>
      <c r="J23" s="464">
        <v>0</v>
      </c>
      <c r="K23" s="464">
        <v>0</v>
      </c>
      <c r="L23" s="464">
        <v>0</v>
      </c>
      <c r="M23" s="465">
        <f t="shared" ref="M23:M29" si="4">+SUM(G23:L23)</f>
        <v>0</v>
      </c>
      <c r="N23" s="467">
        <f t="shared" ref="N23:N29" si="5">F23+M23</f>
        <v>0</v>
      </c>
      <c r="O23" s="46"/>
    </row>
    <row r="24" spans="1:15" ht="18" customHeight="1">
      <c r="A24" s="46"/>
      <c r="B24" s="46"/>
      <c r="C24" s="468" t="s">
        <v>302</v>
      </c>
      <c r="D24" s="464">
        <v>0</v>
      </c>
      <c r="E24" s="464">
        <v>0</v>
      </c>
      <c r="F24" s="465">
        <f t="shared" si="3"/>
        <v>0</v>
      </c>
      <c r="G24" s="168"/>
      <c r="H24" s="464">
        <v>0</v>
      </c>
      <c r="I24" s="464">
        <v>0</v>
      </c>
      <c r="J24" s="464">
        <v>0</v>
      </c>
      <c r="K24" s="464">
        <v>0</v>
      </c>
      <c r="L24" s="464">
        <v>0</v>
      </c>
      <c r="M24" s="465">
        <f t="shared" si="4"/>
        <v>0</v>
      </c>
      <c r="N24" s="467">
        <f t="shared" si="5"/>
        <v>0</v>
      </c>
      <c r="O24" s="46"/>
    </row>
    <row r="25" spans="1:15" ht="18" customHeight="1">
      <c r="A25" s="46"/>
      <c r="B25" s="46"/>
      <c r="C25" s="468" t="s">
        <v>303</v>
      </c>
      <c r="D25" s="464">
        <v>0</v>
      </c>
      <c r="E25" s="464">
        <v>0</v>
      </c>
      <c r="F25" s="465">
        <f t="shared" si="3"/>
        <v>0</v>
      </c>
      <c r="G25" s="168"/>
      <c r="H25" s="464">
        <v>0</v>
      </c>
      <c r="I25" s="464">
        <v>0</v>
      </c>
      <c r="J25" s="464">
        <v>0</v>
      </c>
      <c r="K25" s="464">
        <v>0</v>
      </c>
      <c r="L25" s="464">
        <v>0</v>
      </c>
      <c r="M25" s="465">
        <f t="shared" si="4"/>
        <v>0</v>
      </c>
      <c r="N25" s="467">
        <f t="shared" si="5"/>
        <v>0</v>
      </c>
      <c r="O25" s="46"/>
    </row>
    <row r="26" spans="1:15" ht="18" customHeight="1">
      <c r="A26" s="46"/>
      <c r="B26" s="46"/>
      <c r="C26" s="468" t="s">
        <v>304</v>
      </c>
      <c r="D26" s="464">
        <v>0</v>
      </c>
      <c r="E26" s="464">
        <v>0</v>
      </c>
      <c r="F26" s="465">
        <f t="shared" si="3"/>
        <v>0</v>
      </c>
      <c r="G26" s="168"/>
      <c r="H26" s="464">
        <v>0</v>
      </c>
      <c r="I26" s="464">
        <v>0</v>
      </c>
      <c r="J26" s="464">
        <v>0</v>
      </c>
      <c r="K26" s="464">
        <v>0</v>
      </c>
      <c r="L26" s="464">
        <v>0</v>
      </c>
      <c r="M26" s="465">
        <f t="shared" si="4"/>
        <v>0</v>
      </c>
      <c r="N26" s="467">
        <f t="shared" si="5"/>
        <v>0</v>
      </c>
      <c r="O26" s="46"/>
    </row>
    <row r="27" spans="1:15" ht="18" customHeight="1">
      <c r="A27" s="189"/>
      <c r="B27" s="189"/>
      <c r="C27" s="468" t="s">
        <v>305</v>
      </c>
      <c r="D27" s="464">
        <v>0</v>
      </c>
      <c r="E27" s="464">
        <v>0</v>
      </c>
      <c r="F27" s="465">
        <f t="shared" si="3"/>
        <v>0</v>
      </c>
      <c r="G27" s="466"/>
      <c r="H27" s="464">
        <v>0</v>
      </c>
      <c r="I27" s="464">
        <v>0</v>
      </c>
      <c r="J27" s="464">
        <v>0</v>
      </c>
      <c r="K27" s="464">
        <v>0</v>
      </c>
      <c r="L27" s="464">
        <v>0</v>
      </c>
      <c r="M27" s="465">
        <f t="shared" si="4"/>
        <v>0</v>
      </c>
      <c r="N27" s="467">
        <f t="shared" si="5"/>
        <v>0</v>
      </c>
      <c r="O27" s="189"/>
    </row>
    <row r="28" spans="1:15" ht="18" customHeight="1">
      <c r="A28" s="164"/>
      <c r="B28" s="165"/>
      <c r="C28" s="270" t="s">
        <v>27</v>
      </c>
      <c r="D28" s="464">
        <v>0</v>
      </c>
      <c r="E28" s="464">
        <v>0</v>
      </c>
      <c r="F28" s="465">
        <f t="shared" si="3"/>
        <v>0</v>
      </c>
      <c r="G28" s="168"/>
      <c r="H28" s="464">
        <v>0</v>
      </c>
      <c r="I28" s="464">
        <v>0</v>
      </c>
      <c r="J28" s="464">
        <v>0</v>
      </c>
      <c r="K28" s="464">
        <v>0</v>
      </c>
      <c r="L28" s="464">
        <v>0</v>
      </c>
      <c r="M28" s="465">
        <f t="shared" si="4"/>
        <v>0</v>
      </c>
      <c r="N28" s="467">
        <f t="shared" si="5"/>
        <v>0</v>
      </c>
      <c r="O28" s="46"/>
    </row>
    <row r="29" spans="1:15" ht="18" customHeight="1">
      <c r="A29" s="164"/>
      <c r="B29" s="165"/>
      <c r="C29" s="277" t="s">
        <v>252</v>
      </c>
      <c r="D29" s="469">
        <f>SUM(D23:D28)</f>
        <v>0</v>
      </c>
      <c r="E29" s="469">
        <f>SUM(E23:E28)</f>
        <v>0</v>
      </c>
      <c r="F29" s="470">
        <f t="shared" si="3"/>
        <v>0</v>
      </c>
      <c r="G29" s="473"/>
      <c r="H29" s="469">
        <f>SUM(H23:H28)</f>
        <v>0</v>
      </c>
      <c r="I29" s="469">
        <f>SUM(I23:I28)</f>
        <v>0</v>
      </c>
      <c r="J29" s="469">
        <f>SUM(J23:J28)</f>
        <v>0</v>
      </c>
      <c r="K29" s="469">
        <f>SUM(K23:K28)</f>
        <v>0</v>
      </c>
      <c r="L29" s="469">
        <f>SUM(L23:L28)</f>
        <v>0</v>
      </c>
      <c r="M29" s="470">
        <f t="shared" si="4"/>
        <v>0</v>
      </c>
      <c r="N29" s="472">
        <f t="shared" si="5"/>
        <v>0</v>
      </c>
      <c r="O29" s="46"/>
    </row>
    <row r="30" spans="1:15" ht="12" customHeight="1">
      <c r="A30" s="164"/>
      <c r="B30" s="165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</row>
    <row r="31" spans="1:15" ht="21" customHeight="1">
      <c r="A31" s="46"/>
      <c r="B31" s="46"/>
      <c r="C31" s="39" t="s">
        <v>307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</row>
    <row r="32" spans="1:15" ht="18" customHeight="1">
      <c r="A32" s="188"/>
      <c r="B32" s="189"/>
      <c r="C32" s="190"/>
      <c r="D32" s="191"/>
      <c r="E32" s="192"/>
      <c r="F32" s="192"/>
      <c r="G32" s="191"/>
      <c r="H32" s="192"/>
      <c r="I32" s="192"/>
      <c r="J32" s="192"/>
      <c r="K32" s="192"/>
      <c r="L32" s="192"/>
      <c r="M32" s="192"/>
      <c r="N32" s="191"/>
      <c r="O32" s="189"/>
    </row>
    <row r="33" spans="1:15" ht="18" customHeight="1">
      <c r="A33" s="164"/>
      <c r="B33" s="165"/>
      <c r="C33" s="463" t="s">
        <v>239</v>
      </c>
      <c r="D33" s="240" t="s">
        <v>152</v>
      </c>
      <c r="E33" s="240" t="s">
        <v>153</v>
      </c>
      <c r="F33" s="241" t="s">
        <v>14</v>
      </c>
      <c r="G33" s="242" t="s">
        <v>154</v>
      </c>
      <c r="H33" s="240" t="s">
        <v>155</v>
      </c>
      <c r="I33" s="240" t="s">
        <v>156</v>
      </c>
      <c r="J33" s="240" t="s">
        <v>157</v>
      </c>
      <c r="K33" s="240" t="s">
        <v>158</v>
      </c>
      <c r="L33" s="240" t="s">
        <v>159</v>
      </c>
      <c r="M33" s="241" t="s">
        <v>14</v>
      </c>
      <c r="N33" s="243" t="s">
        <v>109</v>
      </c>
      <c r="O33" s="46"/>
    </row>
    <row r="34" spans="1:15" ht="18" customHeight="1">
      <c r="A34" s="46"/>
      <c r="B34" s="46"/>
      <c r="C34" s="270" t="s">
        <v>301</v>
      </c>
      <c r="D34" s="464">
        <v>0</v>
      </c>
      <c r="E34" s="464">
        <v>0</v>
      </c>
      <c r="F34" s="465">
        <f t="shared" ref="F34:F40" si="6">D34+E34</f>
        <v>0</v>
      </c>
      <c r="G34" s="168"/>
      <c r="H34" s="464">
        <v>0</v>
      </c>
      <c r="I34" s="464">
        <v>0</v>
      </c>
      <c r="J34" s="464">
        <v>0</v>
      </c>
      <c r="K34" s="464">
        <v>0</v>
      </c>
      <c r="L34" s="464">
        <v>0</v>
      </c>
      <c r="M34" s="465">
        <f t="shared" ref="M34:M40" si="7">+SUM(G34:L34)</f>
        <v>0</v>
      </c>
      <c r="N34" s="467">
        <f t="shared" ref="N34:N40" si="8">F34+M34</f>
        <v>0</v>
      </c>
      <c r="O34" s="46"/>
    </row>
    <row r="35" spans="1:15" ht="18" customHeight="1">
      <c r="A35" s="46"/>
      <c r="B35" s="46"/>
      <c r="C35" s="468" t="s">
        <v>302</v>
      </c>
      <c r="D35" s="464">
        <v>0</v>
      </c>
      <c r="E35" s="464">
        <v>0</v>
      </c>
      <c r="F35" s="465">
        <f t="shared" si="6"/>
        <v>0</v>
      </c>
      <c r="G35" s="168"/>
      <c r="H35" s="464">
        <v>0</v>
      </c>
      <c r="I35" s="464">
        <v>0</v>
      </c>
      <c r="J35" s="464">
        <v>0</v>
      </c>
      <c r="K35" s="464">
        <v>0</v>
      </c>
      <c r="L35" s="464">
        <v>0</v>
      </c>
      <c r="M35" s="465">
        <f t="shared" si="7"/>
        <v>0</v>
      </c>
      <c r="N35" s="467">
        <f t="shared" si="8"/>
        <v>0</v>
      </c>
      <c r="O35" s="46"/>
    </row>
    <row r="36" spans="1:15" ht="18" customHeight="1">
      <c r="A36" s="46"/>
      <c r="B36" s="46"/>
      <c r="C36" s="468" t="s">
        <v>303</v>
      </c>
      <c r="D36" s="464">
        <v>0</v>
      </c>
      <c r="E36" s="464">
        <v>0</v>
      </c>
      <c r="F36" s="465">
        <f t="shared" si="6"/>
        <v>0</v>
      </c>
      <c r="G36" s="168"/>
      <c r="H36" s="464">
        <v>0</v>
      </c>
      <c r="I36" s="464">
        <v>0</v>
      </c>
      <c r="J36" s="464">
        <v>0</v>
      </c>
      <c r="K36" s="464">
        <v>0</v>
      </c>
      <c r="L36" s="464">
        <v>0</v>
      </c>
      <c r="M36" s="465">
        <f t="shared" si="7"/>
        <v>0</v>
      </c>
      <c r="N36" s="467">
        <f t="shared" si="8"/>
        <v>0</v>
      </c>
      <c r="O36" s="46"/>
    </row>
    <row r="37" spans="1:15" ht="18" customHeight="1">
      <c r="A37" s="46"/>
      <c r="B37" s="46"/>
      <c r="C37" s="468" t="s">
        <v>304</v>
      </c>
      <c r="D37" s="464">
        <v>0</v>
      </c>
      <c r="E37" s="464">
        <v>0</v>
      </c>
      <c r="F37" s="465">
        <f t="shared" si="6"/>
        <v>0</v>
      </c>
      <c r="G37" s="168"/>
      <c r="H37" s="464">
        <v>0</v>
      </c>
      <c r="I37" s="464">
        <v>0</v>
      </c>
      <c r="J37" s="464">
        <v>0</v>
      </c>
      <c r="K37" s="464">
        <v>0</v>
      </c>
      <c r="L37" s="464">
        <v>0</v>
      </c>
      <c r="M37" s="465">
        <f t="shared" si="7"/>
        <v>0</v>
      </c>
      <c r="N37" s="467">
        <f t="shared" si="8"/>
        <v>0</v>
      </c>
      <c r="O37" s="46"/>
    </row>
    <row r="38" spans="1:15" ht="18" customHeight="1">
      <c r="A38" s="189"/>
      <c r="B38" s="189"/>
      <c r="C38" s="468" t="s">
        <v>305</v>
      </c>
      <c r="D38" s="464">
        <v>0</v>
      </c>
      <c r="E38" s="464">
        <v>0</v>
      </c>
      <c r="F38" s="465">
        <f t="shared" si="6"/>
        <v>0</v>
      </c>
      <c r="G38" s="466"/>
      <c r="H38" s="464">
        <v>0</v>
      </c>
      <c r="I38" s="464">
        <v>0</v>
      </c>
      <c r="J38" s="464">
        <v>0</v>
      </c>
      <c r="K38" s="464">
        <v>0</v>
      </c>
      <c r="L38" s="464">
        <v>0</v>
      </c>
      <c r="M38" s="465">
        <f t="shared" si="7"/>
        <v>0</v>
      </c>
      <c r="N38" s="467">
        <f t="shared" si="8"/>
        <v>0</v>
      </c>
      <c r="O38" s="189"/>
    </row>
    <row r="39" spans="1:15" ht="18" customHeight="1">
      <c r="A39" s="164"/>
      <c r="B39" s="165"/>
      <c r="C39" s="270" t="s">
        <v>27</v>
      </c>
      <c r="D39" s="464">
        <v>0</v>
      </c>
      <c r="E39" s="464">
        <v>0</v>
      </c>
      <c r="F39" s="465">
        <f t="shared" si="6"/>
        <v>0</v>
      </c>
      <c r="G39" s="168"/>
      <c r="H39" s="464">
        <v>0</v>
      </c>
      <c r="I39" s="464">
        <v>0</v>
      </c>
      <c r="J39" s="464">
        <v>0</v>
      </c>
      <c r="K39" s="464">
        <v>0</v>
      </c>
      <c r="L39" s="464">
        <v>0</v>
      </c>
      <c r="M39" s="465">
        <f t="shared" si="7"/>
        <v>0</v>
      </c>
      <c r="N39" s="467">
        <f t="shared" si="8"/>
        <v>0</v>
      </c>
      <c r="O39" s="46"/>
    </row>
    <row r="40" spans="1:15" ht="18" customHeight="1">
      <c r="A40" s="164"/>
      <c r="B40" s="165"/>
      <c r="C40" s="277" t="s">
        <v>252</v>
      </c>
      <c r="D40" s="469">
        <f>SUM(D34:D39)</f>
        <v>0</v>
      </c>
      <c r="E40" s="469">
        <f>SUM(E34:E39)</f>
        <v>0</v>
      </c>
      <c r="F40" s="470">
        <f t="shared" si="6"/>
        <v>0</v>
      </c>
      <c r="G40" s="473"/>
      <c r="H40" s="469">
        <f>SUM(H34:H39)</f>
        <v>0</v>
      </c>
      <c r="I40" s="469">
        <f>SUM(I34:I39)</f>
        <v>0</v>
      </c>
      <c r="J40" s="469">
        <f>SUM(J34:J39)</f>
        <v>0</v>
      </c>
      <c r="K40" s="469">
        <f>SUM(K34:K39)</f>
        <v>0</v>
      </c>
      <c r="L40" s="469">
        <f>SUM(L34:L39)</f>
        <v>0</v>
      </c>
      <c r="M40" s="470">
        <f t="shared" si="7"/>
        <v>0</v>
      </c>
      <c r="N40" s="472">
        <f t="shared" si="8"/>
        <v>0</v>
      </c>
      <c r="O40" s="46"/>
    </row>
    <row r="41" spans="1:15" ht="12" customHeight="1">
      <c r="A41" s="164"/>
      <c r="B41" s="165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</row>
  </sheetData>
  <sheetProtection selectLockedCells="1" selectUnlockedCells="1"/>
  <mergeCells count="2">
    <mergeCell ref="A3:O3"/>
    <mergeCell ref="A4:O4"/>
  </mergeCells>
  <phoneticPr fontId="35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9933"/>
  </sheetPr>
  <dimension ref="A1:L28"/>
  <sheetViews>
    <sheetView tabSelected="1" topLeftCell="A4" workbookViewId="0"/>
  </sheetViews>
  <sheetFormatPr defaultRowHeight="0" customHeight="1" zeroHeight="1"/>
  <cols>
    <col min="1" max="1" width="1" customWidth="1"/>
    <col min="2" max="3" width="2.33203125" customWidth="1"/>
    <col min="4" max="5" width="13.88671875" customWidth="1"/>
    <col min="6" max="11" width="14.44140625" customWidth="1"/>
    <col min="12" max="12" width="4" customWidth="1"/>
  </cols>
  <sheetData>
    <row r="1" spans="1:12" ht="18" customHeight="1">
      <c r="A1" s="51" t="s">
        <v>308</v>
      </c>
      <c r="B1" s="40"/>
      <c r="C1" s="40"/>
      <c r="D1" s="41"/>
      <c r="E1" s="41"/>
      <c r="F1" s="41"/>
      <c r="G1" s="41"/>
      <c r="H1" s="41"/>
      <c r="I1" s="41"/>
      <c r="J1" s="41"/>
      <c r="K1" s="41"/>
      <c r="L1" s="42"/>
    </row>
    <row r="2" spans="1:12" ht="18.75" customHeight="1">
      <c r="A2" s="43"/>
      <c r="B2" s="41"/>
      <c r="C2" s="41"/>
      <c r="D2" s="41"/>
      <c r="E2" s="41"/>
      <c r="F2" s="41"/>
      <c r="G2" s="41"/>
      <c r="H2" s="41"/>
      <c r="I2" s="41"/>
      <c r="J2" s="41"/>
      <c r="K2" s="41"/>
      <c r="L2" s="42"/>
    </row>
    <row r="3" spans="1:12" ht="21" customHeight="1">
      <c r="A3" s="43"/>
      <c r="B3" s="723" t="s">
        <v>1</v>
      </c>
      <c r="C3" s="723"/>
      <c r="D3" s="723"/>
      <c r="E3" s="723"/>
      <c r="F3" s="723"/>
      <c r="G3" s="723"/>
      <c r="H3" s="723"/>
      <c r="I3" s="723"/>
      <c r="J3" s="723"/>
      <c r="K3" s="723"/>
      <c r="L3" s="723"/>
    </row>
    <row r="4" spans="1:12" ht="17.25" customHeight="1">
      <c r="A4" s="43"/>
      <c r="B4" s="723" t="s">
        <v>2</v>
      </c>
      <c r="C4" s="724"/>
      <c r="D4" s="724"/>
      <c r="E4" s="724"/>
      <c r="F4" s="724"/>
      <c r="G4" s="724"/>
      <c r="H4" s="724"/>
      <c r="I4" s="724"/>
      <c r="J4" s="724"/>
      <c r="K4" s="724"/>
      <c r="L4" s="724"/>
    </row>
    <row r="5" spans="1:12" ht="21" customHeight="1">
      <c r="A5" s="43"/>
      <c r="B5" s="44"/>
      <c r="C5" s="45"/>
      <c r="D5" s="46"/>
      <c r="E5" s="41"/>
      <c r="F5" s="41"/>
      <c r="G5" s="41"/>
      <c r="H5" s="41"/>
      <c r="I5" s="41"/>
      <c r="J5" s="47" t="s">
        <v>32</v>
      </c>
      <c r="K5" s="152" t="s">
        <v>4</v>
      </c>
      <c r="L5" s="41"/>
    </row>
    <row r="6" spans="1:12" ht="21" customHeight="1">
      <c r="A6" s="43"/>
      <c r="B6" s="40"/>
      <c r="C6" s="45"/>
      <c r="D6" s="46"/>
      <c r="E6" s="41"/>
      <c r="F6" s="41"/>
      <c r="G6" s="41"/>
      <c r="H6" s="41"/>
      <c r="I6" s="41"/>
      <c r="J6" s="47" t="s">
        <v>33</v>
      </c>
      <c r="K6" s="180" t="s">
        <v>6</v>
      </c>
      <c r="L6" s="41" t="s">
        <v>7</v>
      </c>
    </row>
    <row r="7" spans="1:12" ht="21" customHeight="1">
      <c r="A7" s="43"/>
      <c r="B7" s="39" t="s">
        <v>309</v>
      </c>
      <c r="C7" s="44"/>
      <c r="D7" s="46"/>
      <c r="E7" s="46"/>
      <c r="F7" s="46"/>
      <c r="G7" s="46"/>
      <c r="H7" s="46"/>
      <c r="I7" s="46"/>
      <c r="J7" s="46"/>
      <c r="K7" s="46"/>
      <c r="L7" s="46"/>
    </row>
    <row r="8" spans="1:12" ht="12" customHeight="1">
      <c r="A8" s="43"/>
      <c r="B8" s="46"/>
      <c r="C8" s="45"/>
      <c r="D8" s="41"/>
      <c r="E8" s="46"/>
      <c r="F8" s="46"/>
      <c r="G8" s="46"/>
      <c r="H8" s="46"/>
      <c r="I8" s="46"/>
      <c r="J8" s="46"/>
      <c r="K8" s="474" t="s">
        <v>310</v>
      </c>
      <c r="L8" s="46"/>
    </row>
    <row r="9" spans="1:12" ht="39.75" customHeight="1">
      <c r="A9" s="54"/>
      <c r="B9" s="46"/>
      <c r="C9" s="46"/>
      <c r="D9" s="813" t="s">
        <v>311</v>
      </c>
      <c r="E9" s="814"/>
      <c r="F9" s="475" t="s">
        <v>312</v>
      </c>
      <c r="G9" s="475" t="s">
        <v>313</v>
      </c>
      <c r="H9" s="475" t="s">
        <v>314</v>
      </c>
      <c r="I9" s="475" t="s">
        <v>315</v>
      </c>
      <c r="J9" s="475" t="s">
        <v>316</v>
      </c>
      <c r="K9" s="476" t="s">
        <v>317</v>
      </c>
      <c r="L9" s="46"/>
    </row>
    <row r="10" spans="1:12" ht="21" customHeight="1">
      <c r="A10" s="54"/>
      <c r="B10" s="46"/>
      <c r="C10" s="46"/>
      <c r="D10" s="816" t="s">
        <v>318</v>
      </c>
      <c r="E10" s="477" t="s">
        <v>319</v>
      </c>
      <c r="F10" s="464">
        <v>226697080</v>
      </c>
      <c r="G10" s="464">
        <v>226697080</v>
      </c>
      <c r="H10" s="464">
        <v>155170</v>
      </c>
      <c r="I10" s="478"/>
      <c r="J10" s="478"/>
      <c r="K10" s="479">
        <v>0</v>
      </c>
      <c r="L10" s="46"/>
    </row>
    <row r="11" spans="1:12" ht="21" customHeight="1">
      <c r="A11" s="54"/>
      <c r="B11" s="164"/>
      <c r="C11" s="165"/>
      <c r="D11" s="791"/>
      <c r="E11" s="477" t="s">
        <v>320</v>
      </c>
      <c r="F11" s="464">
        <v>18174170</v>
      </c>
      <c r="G11" s="464">
        <v>17094060</v>
      </c>
      <c r="H11" s="480">
        <v>0</v>
      </c>
      <c r="I11" s="464">
        <v>0</v>
      </c>
      <c r="J11" s="481">
        <f>F11-G11-I11</f>
        <v>1080110</v>
      </c>
      <c r="K11" s="479">
        <v>0</v>
      </c>
      <c r="L11" s="46"/>
    </row>
    <row r="12" spans="1:12" ht="21" customHeight="1">
      <c r="A12" s="54"/>
      <c r="B12" s="164"/>
      <c r="C12" s="165"/>
      <c r="D12" s="817"/>
      <c r="E12" s="477" t="s">
        <v>14</v>
      </c>
      <c r="F12" s="481">
        <f>F10+F11</f>
        <v>244871250</v>
      </c>
      <c r="G12" s="481">
        <f>G10+G11</f>
        <v>243791140</v>
      </c>
      <c r="H12" s="481">
        <f>H10+H11</f>
        <v>155170</v>
      </c>
      <c r="I12" s="481">
        <f>I11</f>
        <v>0</v>
      </c>
      <c r="J12" s="481">
        <f>J11</f>
        <v>1080110</v>
      </c>
      <c r="K12" s="482">
        <f>K10+K11</f>
        <v>0</v>
      </c>
      <c r="L12" s="46"/>
    </row>
    <row r="13" spans="1:12" ht="21" customHeight="1">
      <c r="A13" s="54"/>
      <c r="B13" s="164"/>
      <c r="C13" s="165"/>
      <c r="D13" s="281" t="s">
        <v>321</v>
      </c>
      <c r="E13" s="477" t="s">
        <v>320</v>
      </c>
      <c r="F13" s="464">
        <v>8220021</v>
      </c>
      <c r="G13" s="464">
        <v>956710</v>
      </c>
      <c r="H13" s="464">
        <v>0</v>
      </c>
      <c r="I13" s="464">
        <v>835700</v>
      </c>
      <c r="J13" s="481">
        <f>F13-G13-I13</f>
        <v>6427611</v>
      </c>
      <c r="K13" s="479">
        <v>0</v>
      </c>
      <c r="L13" s="46"/>
    </row>
    <row r="14" spans="1:12" ht="21" customHeight="1">
      <c r="A14" s="54"/>
      <c r="B14" s="164"/>
      <c r="C14" s="165"/>
      <c r="D14" s="816" t="s">
        <v>322</v>
      </c>
      <c r="E14" s="477" t="s">
        <v>319</v>
      </c>
      <c r="F14" s="481">
        <f>F10</f>
        <v>226697080</v>
      </c>
      <c r="G14" s="481">
        <f>G10</f>
        <v>226697080</v>
      </c>
      <c r="H14" s="481">
        <f>H10</f>
        <v>155170</v>
      </c>
      <c r="I14" s="478"/>
      <c r="J14" s="478"/>
      <c r="K14" s="482">
        <f>K10</f>
        <v>0</v>
      </c>
      <c r="L14" s="46"/>
    </row>
    <row r="15" spans="1:12" ht="21" customHeight="1">
      <c r="A15" s="54"/>
      <c r="B15" s="164"/>
      <c r="C15" s="165"/>
      <c r="D15" s="791"/>
      <c r="E15" s="477" t="s">
        <v>320</v>
      </c>
      <c r="F15" s="481">
        <f t="shared" ref="F15:K15" si="0">F11+F13</f>
        <v>26394191</v>
      </c>
      <c r="G15" s="481">
        <f t="shared" si="0"/>
        <v>18050770</v>
      </c>
      <c r="H15" s="481">
        <f t="shared" si="0"/>
        <v>0</v>
      </c>
      <c r="I15" s="481">
        <f t="shared" si="0"/>
        <v>835700</v>
      </c>
      <c r="J15" s="481">
        <f t="shared" si="0"/>
        <v>7507721</v>
      </c>
      <c r="K15" s="482">
        <f t="shared" si="0"/>
        <v>0</v>
      </c>
      <c r="L15" s="46"/>
    </row>
    <row r="16" spans="1:12" ht="21" customHeight="1">
      <c r="A16" s="54"/>
      <c r="B16" s="46"/>
      <c r="C16" s="46"/>
      <c r="D16" s="792"/>
      <c r="E16" s="483" t="s">
        <v>14</v>
      </c>
      <c r="F16" s="469">
        <f>F14+F15</f>
        <v>253091271</v>
      </c>
      <c r="G16" s="469">
        <f>G14+G15</f>
        <v>244747850</v>
      </c>
      <c r="H16" s="469">
        <f>H14+H15</f>
        <v>155170</v>
      </c>
      <c r="I16" s="469">
        <f>I15</f>
        <v>835700</v>
      </c>
      <c r="J16" s="469">
        <f>J15</f>
        <v>7507721</v>
      </c>
      <c r="K16" s="484">
        <f>K14+K15</f>
        <v>0</v>
      </c>
      <c r="L16" s="46"/>
    </row>
    <row r="17" spans="1:12" ht="12" customHeight="1">
      <c r="A17" s="54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ht="21" customHeight="1">
      <c r="A18" s="54"/>
      <c r="B18" s="39" t="s">
        <v>323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ht="12" customHeight="1">
      <c r="A19" s="54"/>
      <c r="B19" s="46"/>
      <c r="C19" s="46"/>
      <c r="D19" s="41"/>
      <c r="E19" s="46"/>
      <c r="F19" s="46"/>
      <c r="G19" s="46"/>
      <c r="H19" s="46"/>
      <c r="I19" s="46"/>
      <c r="J19" s="474" t="s">
        <v>310</v>
      </c>
      <c r="K19" s="46"/>
      <c r="L19" s="46"/>
    </row>
    <row r="20" spans="1:12" ht="39.75" customHeight="1">
      <c r="A20" s="54"/>
      <c r="B20" s="164"/>
      <c r="C20" s="165"/>
      <c r="D20" s="813" t="s">
        <v>311</v>
      </c>
      <c r="E20" s="814"/>
      <c r="F20" s="475" t="s">
        <v>324</v>
      </c>
      <c r="G20" s="475" t="s">
        <v>325</v>
      </c>
      <c r="H20" s="475" t="s">
        <v>326</v>
      </c>
      <c r="I20" s="475" t="s">
        <v>327</v>
      </c>
      <c r="J20" s="485" t="s">
        <v>328</v>
      </c>
      <c r="K20" s="46"/>
      <c r="L20" s="46"/>
    </row>
    <row r="21" spans="1:12" ht="21" customHeight="1">
      <c r="A21" s="54"/>
      <c r="B21" s="164"/>
      <c r="C21" s="165"/>
      <c r="D21" s="818" t="s">
        <v>329</v>
      </c>
      <c r="E21" s="819"/>
      <c r="F21" s="464">
        <v>966359349</v>
      </c>
      <c r="G21" s="486">
        <v>966359349</v>
      </c>
      <c r="H21" s="464">
        <v>0</v>
      </c>
      <c r="I21" s="464">
        <v>0</v>
      </c>
      <c r="J21" s="487">
        <f t="shared" ref="J21:J27" si="1">F21-G21+H21+I21</f>
        <v>0</v>
      </c>
      <c r="K21" s="46"/>
      <c r="L21" s="46"/>
    </row>
    <row r="22" spans="1:12" ht="21" customHeight="1">
      <c r="A22" s="54"/>
      <c r="B22" s="46"/>
      <c r="C22" s="46"/>
      <c r="D22" s="818" t="s">
        <v>330</v>
      </c>
      <c r="E22" s="819"/>
      <c r="F22" s="464">
        <v>32279997</v>
      </c>
      <c r="G22" s="486">
        <v>32279997</v>
      </c>
      <c r="H22" s="464">
        <v>0</v>
      </c>
      <c r="I22" s="464">
        <v>0</v>
      </c>
      <c r="J22" s="487">
        <f t="shared" si="1"/>
        <v>0</v>
      </c>
      <c r="K22" s="46"/>
      <c r="L22" s="46"/>
    </row>
    <row r="23" spans="1:12" ht="21" customHeight="1">
      <c r="A23" s="54"/>
      <c r="B23" s="46"/>
      <c r="C23" s="46"/>
      <c r="D23" s="818" t="s">
        <v>331</v>
      </c>
      <c r="E23" s="819"/>
      <c r="F23" s="464">
        <v>30468013</v>
      </c>
      <c r="G23" s="464">
        <v>30468013</v>
      </c>
      <c r="H23" s="464">
        <v>0</v>
      </c>
      <c r="I23" s="464">
        <v>0</v>
      </c>
      <c r="J23" s="482">
        <f t="shared" si="1"/>
        <v>0</v>
      </c>
      <c r="K23" s="46"/>
      <c r="L23" s="46"/>
    </row>
    <row r="24" spans="1:12" ht="21" customHeight="1">
      <c r="A24" s="488"/>
      <c r="B24" s="46"/>
      <c r="C24" s="46"/>
      <c r="D24" s="820" t="s">
        <v>332</v>
      </c>
      <c r="E24" s="821"/>
      <c r="F24" s="480">
        <v>2512792</v>
      </c>
      <c r="G24" s="480">
        <v>2512792</v>
      </c>
      <c r="H24" s="464">
        <v>0</v>
      </c>
      <c r="I24" s="464">
        <v>0</v>
      </c>
      <c r="J24" s="482">
        <f t="shared" si="1"/>
        <v>0</v>
      </c>
      <c r="K24" s="46"/>
      <c r="L24" s="46"/>
    </row>
    <row r="25" spans="1:12" ht="21" customHeight="1">
      <c r="A25" s="54"/>
      <c r="B25" s="46"/>
      <c r="C25" s="46"/>
      <c r="D25" s="820" t="s">
        <v>333</v>
      </c>
      <c r="E25" s="821"/>
      <c r="F25" s="464">
        <v>52967156</v>
      </c>
      <c r="G25" s="464">
        <v>52967156</v>
      </c>
      <c r="H25" s="464">
        <v>0</v>
      </c>
      <c r="I25" s="464">
        <v>0</v>
      </c>
      <c r="J25" s="482">
        <f t="shared" si="1"/>
        <v>0</v>
      </c>
      <c r="K25" s="46"/>
      <c r="L25" s="46"/>
    </row>
    <row r="26" spans="1:12" ht="21" customHeight="1">
      <c r="A26" s="54"/>
      <c r="B26" s="164"/>
      <c r="C26" s="165"/>
      <c r="D26" s="818" t="s">
        <v>334</v>
      </c>
      <c r="E26" s="819"/>
      <c r="F26" s="464">
        <v>0</v>
      </c>
      <c r="G26" s="464">
        <v>0</v>
      </c>
      <c r="H26" s="464">
        <v>0</v>
      </c>
      <c r="I26" s="464">
        <v>0</v>
      </c>
      <c r="J26" s="482">
        <f t="shared" si="1"/>
        <v>0</v>
      </c>
      <c r="K26" s="46"/>
      <c r="L26" s="46"/>
    </row>
    <row r="27" spans="1:12" ht="21" customHeight="1">
      <c r="A27" s="54"/>
      <c r="B27" s="164"/>
      <c r="C27" s="165"/>
      <c r="D27" s="801" t="s">
        <v>14</v>
      </c>
      <c r="E27" s="803"/>
      <c r="F27" s="469">
        <f>SUM(F21:F26)</f>
        <v>1084587307</v>
      </c>
      <c r="G27" s="469">
        <f>SUM(G21:G26)</f>
        <v>1084587307</v>
      </c>
      <c r="H27" s="469">
        <f>SUM(H21:H26)</f>
        <v>0</v>
      </c>
      <c r="I27" s="469">
        <f>SUM(I21:I26)</f>
        <v>0</v>
      </c>
      <c r="J27" s="484">
        <f t="shared" si="1"/>
        <v>0</v>
      </c>
      <c r="K27" s="46"/>
      <c r="L27" s="46"/>
    </row>
    <row r="28" spans="1:12" ht="12" customHeight="1">
      <c r="A28" s="54"/>
      <c r="B28" s="164"/>
      <c r="C28" s="165"/>
      <c r="D28" s="46"/>
      <c r="E28" s="46"/>
      <c r="F28" s="46"/>
      <c r="G28" s="46"/>
      <c r="H28" s="46"/>
      <c r="I28" s="46"/>
      <c r="J28" s="46"/>
      <c r="K28" s="46"/>
      <c r="L28" s="46"/>
    </row>
  </sheetData>
  <sheetProtection selectLockedCells="1" selectUnlockedCells="1"/>
  <mergeCells count="13">
    <mergeCell ref="D27:E27"/>
    <mergeCell ref="D21:E21"/>
    <mergeCell ref="D22:E22"/>
    <mergeCell ref="D23:E23"/>
    <mergeCell ref="D24:E24"/>
    <mergeCell ref="D25:E25"/>
    <mergeCell ref="D26:E26"/>
    <mergeCell ref="D20:E20"/>
    <mergeCell ref="B3:L3"/>
    <mergeCell ref="B4:L4"/>
    <mergeCell ref="D9:E9"/>
    <mergeCell ref="D10:D12"/>
    <mergeCell ref="D14:D16"/>
  </mergeCells>
  <phoneticPr fontId="35"/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51"/>
  <sheetViews>
    <sheetView workbookViewId="0"/>
  </sheetViews>
  <sheetFormatPr defaultRowHeight="0" customHeight="1" zeroHeight="1"/>
  <cols>
    <col min="1" max="1" width="1.109375" customWidth="1"/>
    <col min="2" max="3" width="2.33203125" customWidth="1"/>
    <col min="4" max="4" width="13.88671875" customWidth="1"/>
    <col min="5" max="6" width="15.5546875" customWidth="1"/>
    <col min="7" max="7" width="14.44140625" customWidth="1"/>
    <col min="8" max="8" width="13.88671875" customWidth="1"/>
    <col min="9" max="10" width="15.5546875" customWidth="1"/>
    <col min="11" max="11" width="14.44140625" customWidth="1"/>
    <col min="12" max="12" width="4" customWidth="1"/>
  </cols>
  <sheetData>
    <row r="1" spans="1:12" ht="18" customHeight="1">
      <c r="A1" s="51" t="s">
        <v>335</v>
      </c>
      <c r="B1" s="40"/>
      <c r="C1" s="40"/>
      <c r="D1" s="41"/>
      <c r="E1" s="489"/>
      <c r="F1" s="41"/>
      <c r="G1" s="41"/>
      <c r="H1" s="41"/>
      <c r="I1" s="41"/>
      <c r="J1" s="41"/>
      <c r="K1" s="41"/>
      <c r="L1" s="41"/>
    </row>
    <row r="2" spans="1:12" ht="18.75" customHeight="1">
      <c r="A2" s="43"/>
      <c r="B2" s="41"/>
      <c r="C2" s="41"/>
      <c r="D2" s="41"/>
      <c r="E2" s="489"/>
      <c r="F2" s="41"/>
      <c r="G2" s="41"/>
      <c r="H2" s="41"/>
      <c r="I2" s="41"/>
      <c r="J2" s="41"/>
      <c r="K2" s="41"/>
      <c r="L2" s="41"/>
    </row>
    <row r="3" spans="1:12" ht="21" customHeight="1">
      <c r="A3" s="43"/>
      <c r="B3" s="723" t="s">
        <v>1</v>
      </c>
      <c r="C3" s="723"/>
      <c r="D3" s="723"/>
      <c r="E3" s="723"/>
      <c r="F3" s="723"/>
      <c r="G3" s="723"/>
      <c r="H3" s="723"/>
      <c r="I3" s="723"/>
      <c r="J3" s="723"/>
      <c r="K3" s="723"/>
      <c r="L3" s="723"/>
    </row>
    <row r="4" spans="1:12" ht="17.25" customHeight="1">
      <c r="A4" s="43"/>
      <c r="B4" s="723" t="s">
        <v>2</v>
      </c>
      <c r="C4" s="724"/>
      <c r="D4" s="724"/>
      <c r="E4" s="724"/>
      <c r="F4" s="724"/>
      <c r="G4" s="724"/>
      <c r="H4" s="724"/>
      <c r="I4" s="724"/>
      <c r="J4" s="724"/>
      <c r="K4" s="724"/>
      <c r="L4" s="724"/>
    </row>
    <row r="5" spans="1:12" ht="21" customHeight="1">
      <c r="A5" s="43"/>
      <c r="B5" s="44"/>
      <c r="C5" s="45"/>
      <c r="D5" s="46"/>
      <c r="E5" s="489"/>
      <c r="F5" s="41"/>
      <c r="G5" s="41"/>
      <c r="H5" s="41"/>
      <c r="I5" s="41"/>
      <c r="J5" s="456" t="s">
        <v>32</v>
      </c>
      <c r="K5" s="457" t="s">
        <v>4</v>
      </c>
      <c r="L5" s="41"/>
    </row>
    <row r="6" spans="1:12" ht="21" customHeight="1">
      <c r="A6" s="43"/>
      <c r="B6" s="44"/>
      <c r="C6" s="45"/>
      <c r="D6" s="46"/>
      <c r="E6" s="489"/>
      <c r="F6" s="41"/>
      <c r="G6" s="41"/>
      <c r="H6" s="41"/>
      <c r="I6" s="41"/>
      <c r="J6" s="456" t="s">
        <v>33</v>
      </c>
      <c r="K6" s="458" t="s">
        <v>6</v>
      </c>
      <c r="L6" s="41" t="s">
        <v>7</v>
      </c>
    </row>
    <row r="7" spans="1:12" ht="21" customHeight="1">
      <c r="A7" s="43"/>
      <c r="B7" s="39" t="s">
        <v>336</v>
      </c>
      <c r="C7" s="44"/>
      <c r="D7" s="46"/>
      <c r="E7" s="490"/>
      <c r="F7" s="46"/>
      <c r="G7" s="46"/>
      <c r="H7" s="46"/>
      <c r="I7" s="46"/>
      <c r="J7" s="46"/>
      <c r="K7" s="46"/>
      <c r="L7" s="46"/>
    </row>
    <row r="8" spans="1:12" ht="21" customHeight="1">
      <c r="B8" s="54"/>
      <c r="C8" s="51" t="s">
        <v>337</v>
      </c>
      <c r="D8" s="53"/>
      <c r="E8" s="491"/>
      <c r="F8" s="53"/>
      <c r="G8" s="53"/>
      <c r="H8" s="53"/>
      <c r="I8" s="53"/>
      <c r="J8" s="53"/>
      <c r="K8" s="492" t="s">
        <v>310</v>
      </c>
      <c r="L8" s="54"/>
    </row>
    <row r="9" spans="1:12" ht="21.75" customHeight="1">
      <c r="A9" s="54"/>
      <c r="B9" s="46"/>
      <c r="C9" s="53"/>
      <c r="D9" s="824" t="s">
        <v>338</v>
      </c>
      <c r="E9" s="825"/>
      <c r="F9" s="825"/>
      <c r="G9" s="825"/>
      <c r="H9" s="825" t="s">
        <v>339</v>
      </c>
      <c r="I9" s="825"/>
      <c r="J9" s="826"/>
      <c r="K9" s="827"/>
      <c r="L9" s="46"/>
    </row>
    <row r="10" spans="1:12" ht="21.75" customHeight="1">
      <c r="A10" s="54"/>
      <c r="B10" s="46"/>
      <c r="C10" s="493"/>
      <c r="D10" s="828" t="s">
        <v>340</v>
      </c>
      <c r="E10" s="829"/>
      <c r="F10" s="830"/>
      <c r="G10" s="496" t="s">
        <v>341</v>
      </c>
      <c r="H10" s="831" t="s">
        <v>340</v>
      </c>
      <c r="I10" s="829"/>
      <c r="J10" s="830"/>
      <c r="K10" s="497" t="s">
        <v>341</v>
      </c>
      <c r="L10" s="46"/>
    </row>
    <row r="11" spans="1:12" ht="21.75" customHeight="1">
      <c r="A11" s="54"/>
      <c r="B11" s="164"/>
      <c r="C11" s="52"/>
      <c r="D11" s="498" t="s">
        <v>342</v>
      </c>
      <c r="E11" s="832" t="s">
        <v>343</v>
      </c>
      <c r="F11" s="833"/>
      <c r="G11" s="464">
        <v>0</v>
      </c>
      <c r="H11" s="499" t="s">
        <v>344</v>
      </c>
      <c r="I11" s="500"/>
      <c r="J11" s="501"/>
      <c r="K11" s="479">
        <v>0</v>
      </c>
      <c r="L11" s="46"/>
    </row>
    <row r="12" spans="1:12" ht="21.75" customHeight="1">
      <c r="A12" s="54"/>
      <c r="B12" s="164"/>
      <c r="C12" s="52"/>
      <c r="D12" s="502" t="s">
        <v>345</v>
      </c>
      <c r="E12" s="832" t="s">
        <v>346</v>
      </c>
      <c r="F12" s="833"/>
      <c r="G12" s="464">
        <v>0</v>
      </c>
      <c r="H12" s="503" t="s">
        <v>347</v>
      </c>
      <c r="I12" s="499" t="s">
        <v>329</v>
      </c>
      <c r="J12" s="501"/>
      <c r="K12" s="479">
        <v>0</v>
      </c>
      <c r="L12" s="46"/>
    </row>
    <row r="13" spans="1:12" ht="21.75" customHeight="1">
      <c r="A13" s="54"/>
      <c r="B13" s="164"/>
      <c r="C13" s="52"/>
      <c r="D13" s="504"/>
      <c r="E13" s="832" t="s">
        <v>27</v>
      </c>
      <c r="F13" s="833"/>
      <c r="G13" s="464">
        <v>0</v>
      </c>
      <c r="H13" s="505"/>
      <c r="I13" s="499" t="s">
        <v>330</v>
      </c>
      <c r="J13" s="501"/>
      <c r="K13" s="479">
        <v>0</v>
      </c>
      <c r="L13" s="46"/>
    </row>
    <row r="14" spans="1:12" ht="21.75" customHeight="1">
      <c r="A14" s="54"/>
      <c r="B14" s="164"/>
      <c r="C14" s="52"/>
      <c r="D14" s="502" t="s">
        <v>348</v>
      </c>
      <c r="E14" s="832" t="s">
        <v>349</v>
      </c>
      <c r="F14" s="833"/>
      <c r="G14" s="464">
        <v>0</v>
      </c>
      <c r="H14" s="506"/>
      <c r="I14" s="499" t="s">
        <v>331</v>
      </c>
      <c r="J14" s="501"/>
      <c r="K14" s="479">
        <v>0</v>
      </c>
      <c r="L14" s="46"/>
    </row>
    <row r="15" spans="1:12" ht="21.75" customHeight="1">
      <c r="A15" s="54"/>
      <c r="B15" s="164"/>
      <c r="C15" s="52"/>
      <c r="D15" s="504"/>
      <c r="E15" s="832" t="s">
        <v>350</v>
      </c>
      <c r="F15" s="833"/>
      <c r="G15" s="464">
        <v>0</v>
      </c>
      <c r="H15" s="505"/>
      <c r="I15" s="499" t="s">
        <v>332</v>
      </c>
      <c r="J15" s="501"/>
      <c r="K15" s="479">
        <v>0</v>
      </c>
      <c r="L15" s="46"/>
    </row>
    <row r="16" spans="1:12" ht="21.75" customHeight="1">
      <c r="A16" s="54"/>
      <c r="B16" s="46"/>
      <c r="C16" s="52"/>
      <c r="D16" s="507" t="s">
        <v>351</v>
      </c>
      <c r="E16" s="822" t="s">
        <v>352</v>
      </c>
      <c r="F16" s="823"/>
      <c r="G16" s="464">
        <v>0</v>
      </c>
      <c r="H16" s="505"/>
      <c r="I16" s="499" t="s">
        <v>333</v>
      </c>
      <c r="J16" s="501"/>
      <c r="K16" s="479">
        <v>0</v>
      </c>
      <c r="L16" s="46"/>
    </row>
    <row r="17" spans="1:12" ht="21.75" customHeight="1">
      <c r="A17" s="54"/>
      <c r="B17" s="46"/>
      <c r="C17" s="52"/>
      <c r="D17" s="508"/>
      <c r="E17" s="822" t="s">
        <v>353</v>
      </c>
      <c r="F17" s="823"/>
      <c r="G17" s="464">
        <v>0</v>
      </c>
      <c r="H17" s="505"/>
      <c r="I17" s="499" t="s">
        <v>354</v>
      </c>
      <c r="J17" s="501"/>
      <c r="K17" s="479">
        <v>0</v>
      </c>
      <c r="L17" s="46"/>
    </row>
    <row r="18" spans="1:12" ht="21.75" customHeight="1">
      <c r="A18" s="54"/>
      <c r="B18" s="46"/>
      <c r="C18" s="52"/>
      <c r="D18" s="508"/>
      <c r="E18" s="822" t="s">
        <v>355</v>
      </c>
      <c r="F18" s="823"/>
      <c r="G18" s="464">
        <v>0</v>
      </c>
      <c r="H18" s="505"/>
      <c r="I18" s="499" t="s">
        <v>356</v>
      </c>
      <c r="J18" s="509"/>
      <c r="K18" s="479">
        <v>0</v>
      </c>
      <c r="L18" s="46"/>
    </row>
    <row r="19" spans="1:12" ht="21.75" customHeight="1">
      <c r="A19" s="54"/>
      <c r="B19" s="40"/>
      <c r="C19" s="52"/>
      <c r="D19" s="508"/>
      <c r="E19" s="822" t="s">
        <v>357</v>
      </c>
      <c r="F19" s="823"/>
      <c r="G19" s="464">
        <v>0</v>
      </c>
      <c r="H19" s="505"/>
      <c r="I19" s="832" t="s">
        <v>27</v>
      </c>
      <c r="J19" s="833"/>
      <c r="K19" s="479">
        <v>0</v>
      </c>
      <c r="L19" s="46"/>
    </row>
    <row r="20" spans="1:12" ht="21.75" customHeight="1">
      <c r="A20" s="54"/>
      <c r="B20" s="40"/>
      <c r="C20" s="52"/>
      <c r="D20" s="508"/>
      <c r="E20" s="822" t="s">
        <v>358</v>
      </c>
      <c r="F20" s="823"/>
      <c r="G20" s="464">
        <v>0</v>
      </c>
      <c r="H20" s="510" t="s">
        <v>359</v>
      </c>
      <c r="I20" s="845" t="s">
        <v>360</v>
      </c>
      <c r="J20" s="836"/>
      <c r="K20" s="479">
        <v>0</v>
      </c>
      <c r="L20" s="189"/>
    </row>
    <row r="21" spans="1:12" ht="21.75" customHeight="1">
      <c r="A21" s="69"/>
      <c r="B21" s="511"/>
      <c r="C21" s="512"/>
      <c r="D21" s="508"/>
      <c r="E21" s="822" t="s">
        <v>361</v>
      </c>
      <c r="F21" s="823"/>
      <c r="G21" s="464">
        <v>0</v>
      </c>
      <c r="H21" s="505"/>
      <c r="I21" s="845" t="s">
        <v>362</v>
      </c>
      <c r="J21" s="836"/>
      <c r="K21" s="479">
        <v>0</v>
      </c>
      <c r="L21" s="189"/>
    </row>
    <row r="22" spans="1:12" ht="21.75" customHeight="1">
      <c r="A22" s="54"/>
      <c r="B22" s="40"/>
      <c r="C22" s="52"/>
      <c r="D22" s="504"/>
      <c r="E22" s="822" t="s">
        <v>27</v>
      </c>
      <c r="F22" s="823"/>
      <c r="G22" s="464">
        <v>0</v>
      </c>
      <c r="H22" s="505"/>
      <c r="I22" s="837" t="s">
        <v>363</v>
      </c>
      <c r="J22" s="838"/>
      <c r="K22" s="479">
        <v>0</v>
      </c>
      <c r="L22" s="189"/>
    </row>
    <row r="23" spans="1:12" ht="21.75" customHeight="1">
      <c r="A23" s="54"/>
      <c r="B23" s="40"/>
      <c r="C23" s="52"/>
      <c r="D23" s="513" t="s">
        <v>364</v>
      </c>
      <c r="E23" s="832" t="s">
        <v>365</v>
      </c>
      <c r="F23" s="833"/>
      <c r="G23" s="464">
        <v>0</v>
      </c>
      <c r="H23" s="506"/>
      <c r="I23" s="499" t="s">
        <v>366</v>
      </c>
      <c r="J23" s="501"/>
      <c r="K23" s="479">
        <v>0</v>
      </c>
      <c r="L23" s="189"/>
    </row>
    <row r="24" spans="1:12" ht="21.75" customHeight="1">
      <c r="A24" s="54"/>
      <c r="B24" s="40"/>
      <c r="C24" s="52"/>
      <c r="D24" s="508"/>
      <c r="E24" s="832" t="s">
        <v>367</v>
      </c>
      <c r="F24" s="833"/>
      <c r="G24" s="464">
        <v>0</v>
      </c>
      <c r="H24" s="506"/>
      <c r="I24" s="499" t="s">
        <v>27</v>
      </c>
      <c r="J24" s="501"/>
      <c r="K24" s="479">
        <v>0</v>
      </c>
      <c r="L24" s="189"/>
    </row>
    <row r="25" spans="1:12" ht="21.75" customHeight="1">
      <c r="A25" s="54"/>
      <c r="B25" s="40"/>
      <c r="C25" s="52"/>
      <c r="D25" s="502" t="s">
        <v>368</v>
      </c>
      <c r="E25" s="822" t="s">
        <v>369</v>
      </c>
      <c r="F25" s="823"/>
      <c r="G25" s="464">
        <v>0</v>
      </c>
      <c r="H25" s="499" t="s">
        <v>370</v>
      </c>
      <c r="I25" s="500"/>
      <c r="J25" s="501"/>
      <c r="K25" s="479">
        <v>0</v>
      </c>
      <c r="L25" s="189"/>
    </row>
    <row r="26" spans="1:12" ht="21.75" customHeight="1">
      <c r="A26" s="54"/>
      <c r="B26" s="40"/>
      <c r="C26" s="52"/>
      <c r="D26" s="508"/>
      <c r="E26" s="822" t="s">
        <v>371</v>
      </c>
      <c r="F26" s="823"/>
      <c r="G26" s="464">
        <v>0</v>
      </c>
      <c r="H26" s="499" t="s">
        <v>372</v>
      </c>
      <c r="I26" s="500"/>
      <c r="J26" s="501"/>
      <c r="K26" s="479">
        <v>0</v>
      </c>
      <c r="L26" s="189"/>
    </row>
    <row r="27" spans="1:12" ht="21.75" customHeight="1">
      <c r="A27" s="54"/>
      <c r="B27" s="40"/>
      <c r="C27" s="52"/>
      <c r="D27" s="508"/>
      <c r="E27" s="822" t="s">
        <v>355</v>
      </c>
      <c r="F27" s="823"/>
      <c r="G27" s="464">
        <v>0</v>
      </c>
      <c r="H27" s="499" t="s">
        <v>373</v>
      </c>
      <c r="I27" s="500"/>
      <c r="J27" s="501"/>
      <c r="K27" s="479">
        <v>0</v>
      </c>
      <c r="L27" s="189"/>
    </row>
    <row r="28" spans="1:12" ht="21.75" customHeight="1">
      <c r="A28" s="54"/>
      <c r="B28" s="40"/>
      <c r="C28" s="52"/>
      <c r="D28" s="508"/>
      <c r="E28" s="822" t="s">
        <v>357</v>
      </c>
      <c r="F28" s="823"/>
      <c r="G28" s="464">
        <v>0</v>
      </c>
      <c r="H28" s="499" t="s">
        <v>374</v>
      </c>
      <c r="I28" s="500"/>
      <c r="J28" s="501"/>
      <c r="K28" s="479">
        <v>0</v>
      </c>
      <c r="L28" s="189"/>
    </row>
    <row r="29" spans="1:12" ht="21.75" customHeight="1">
      <c r="A29" s="54"/>
      <c r="B29" s="40"/>
      <c r="C29" s="52"/>
      <c r="D29" s="504"/>
      <c r="E29" s="822" t="s">
        <v>27</v>
      </c>
      <c r="F29" s="823"/>
      <c r="G29" s="464">
        <v>0</v>
      </c>
      <c r="H29" s="503" t="s">
        <v>375</v>
      </c>
      <c r="I29" s="500" t="s">
        <v>376</v>
      </c>
      <c r="J29" s="501"/>
      <c r="K29" s="479">
        <v>0</v>
      </c>
      <c r="L29" s="189"/>
    </row>
    <row r="30" spans="1:12" ht="21.75" customHeight="1">
      <c r="A30" s="54"/>
      <c r="B30" s="40"/>
      <c r="C30" s="52"/>
      <c r="D30" s="834" t="s">
        <v>377</v>
      </c>
      <c r="E30" s="835"/>
      <c r="F30" s="836"/>
      <c r="G30" s="464">
        <v>0</v>
      </c>
      <c r="H30" s="505"/>
      <c r="I30" s="500" t="s">
        <v>27</v>
      </c>
      <c r="J30" s="501"/>
      <c r="K30" s="479">
        <v>0</v>
      </c>
      <c r="L30" s="189"/>
    </row>
    <row r="31" spans="1:12" ht="21.75" customHeight="1">
      <c r="A31" s="54"/>
      <c r="B31" s="40"/>
      <c r="C31" s="52"/>
      <c r="D31" s="834" t="s">
        <v>378</v>
      </c>
      <c r="E31" s="835"/>
      <c r="F31" s="836"/>
      <c r="G31" s="464">
        <v>0</v>
      </c>
      <c r="H31" s="499" t="s">
        <v>379</v>
      </c>
      <c r="I31" s="494"/>
      <c r="J31" s="495"/>
      <c r="K31" s="479">
        <v>0</v>
      </c>
      <c r="L31" s="189"/>
    </row>
    <row r="32" spans="1:12" ht="21.75" customHeight="1">
      <c r="A32" s="54"/>
      <c r="B32" s="40"/>
      <c r="C32" s="52"/>
      <c r="D32" s="834" t="s">
        <v>380</v>
      </c>
      <c r="E32" s="835"/>
      <c r="F32" s="836"/>
      <c r="G32" s="464">
        <v>0</v>
      </c>
      <c r="H32" s="503" t="s">
        <v>381</v>
      </c>
      <c r="I32" s="499" t="s">
        <v>382</v>
      </c>
      <c r="J32" s="495"/>
      <c r="K32" s="479">
        <v>0</v>
      </c>
      <c r="L32" s="189"/>
    </row>
    <row r="33" spans="1:12" ht="21.75" customHeight="1">
      <c r="A33" s="54"/>
      <c r="B33" s="40"/>
      <c r="C33" s="52"/>
      <c r="D33" s="507" t="s">
        <v>383</v>
      </c>
      <c r="E33" s="822" t="s">
        <v>384</v>
      </c>
      <c r="F33" s="823"/>
      <c r="G33" s="464">
        <v>0</v>
      </c>
      <c r="H33" s="514"/>
      <c r="I33" s="499" t="s">
        <v>385</v>
      </c>
      <c r="J33" s="495"/>
      <c r="K33" s="479">
        <v>0</v>
      </c>
      <c r="L33" s="189"/>
    </row>
    <row r="34" spans="1:12" ht="21.75" customHeight="1">
      <c r="A34" s="54"/>
      <c r="B34" s="40"/>
      <c r="C34" s="52"/>
      <c r="D34" s="508"/>
      <c r="E34" s="822" t="s">
        <v>386</v>
      </c>
      <c r="F34" s="823"/>
      <c r="G34" s="464">
        <v>0</v>
      </c>
      <c r="H34" s="515"/>
      <c r="I34" s="499" t="s">
        <v>27</v>
      </c>
      <c r="J34" s="495"/>
      <c r="K34" s="479">
        <v>0</v>
      </c>
      <c r="L34" s="46"/>
    </row>
    <row r="35" spans="1:12" ht="21.75" customHeight="1">
      <c r="A35" s="54"/>
      <c r="B35" s="40"/>
      <c r="C35" s="52"/>
      <c r="D35" s="508"/>
      <c r="E35" s="822" t="s">
        <v>387</v>
      </c>
      <c r="F35" s="823"/>
      <c r="G35" s="464">
        <v>0</v>
      </c>
      <c r="H35" s="847"/>
      <c r="I35" s="848"/>
      <c r="J35" s="848"/>
      <c r="K35" s="849"/>
      <c r="L35" s="46"/>
    </row>
    <row r="36" spans="1:12" ht="21.75" customHeight="1">
      <c r="A36" s="54"/>
      <c r="B36" s="40"/>
      <c r="C36" s="52"/>
      <c r="D36" s="508"/>
      <c r="E36" s="822" t="s">
        <v>388</v>
      </c>
      <c r="F36" s="823"/>
      <c r="G36" s="464">
        <v>0</v>
      </c>
      <c r="H36" s="848"/>
      <c r="I36" s="848"/>
      <c r="J36" s="848"/>
      <c r="K36" s="850"/>
      <c r="L36" s="46"/>
    </row>
    <row r="37" spans="1:12" ht="21.75" customHeight="1">
      <c r="A37" s="54"/>
      <c r="B37" s="40"/>
      <c r="C37" s="52"/>
      <c r="D37" s="508"/>
      <c r="E37" s="822" t="s">
        <v>389</v>
      </c>
      <c r="F37" s="823"/>
      <c r="G37" s="464">
        <v>0</v>
      </c>
      <c r="H37" s="848"/>
      <c r="I37" s="848"/>
      <c r="J37" s="848"/>
      <c r="K37" s="850"/>
      <c r="L37" s="46"/>
    </row>
    <row r="38" spans="1:12" ht="21.75" customHeight="1">
      <c r="A38" s="54"/>
      <c r="B38" s="40"/>
      <c r="C38" s="52"/>
      <c r="D38" s="508"/>
      <c r="E38" s="822" t="s">
        <v>390</v>
      </c>
      <c r="F38" s="823"/>
      <c r="G38" s="464">
        <v>0</v>
      </c>
      <c r="H38" s="848"/>
      <c r="I38" s="848"/>
      <c r="J38" s="848"/>
      <c r="K38" s="850"/>
      <c r="L38" s="46"/>
    </row>
    <row r="39" spans="1:12" ht="21.75" customHeight="1">
      <c r="A39" s="54"/>
      <c r="B39" s="40"/>
      <c r="C39" s="52"/>
      <c r="D39" s="508"/>
      <c r="E39" s="822" t="s">
        <v>391</v>
      </c>
      <c r="F39" s="823"/>
      <c r="G39" s="464">
        <v>0</v>
      </c>
      <c r="H39" s="848"/>
      <c r="I39" s="848"/>
      <c r="J39" s="848"/>
      <c r="K39" s="850"/>
      <c r="L39" s="46"/>
    </row>
    <row r="40" spans="1:12" ht="21.75" customHeight="1">
      <c r="A40" s="54"/>
      <c r="B40" s="40"/>
      <c r="C40" s="52"/>
      <c r="D40" s="504"/>
      <c r="E40" s="822" t="s">
        <v>27</v>
      </c>
      <c r="F40" s="823"/>
      <c r="G40" s="464">
        <v>0</v>
      </c>
      <c r="H40" s="848"/>
      <c r="I40" s="848"/>
      <c r="J40" s="848"/>
      <c r="K40" s="850"/>
      <c r="L40" s="46"/>
    </row>
    <row r="41" spans="1:12" ht="21.75" customHeight="1">
      <c r="A41" s="54"/>
      <c r="B41" s="40"/>
      <c r="C41" s="52"/>
      <c r="D41" s="834" t="s">
        <v>392</v>
      </c>
      <c r="E41" s="835"/>
      <c r="F41" s="836"/>
      <c r="G41" s="464">
        <v>0</v>
      </c>
      <c r="H41" s="848"/>
      <c r="I41" s="848"/>
      <c r="J41" s="848"/>
      <c r="K41" s="850"/>
      <c r="L41" s="46"/>
    </row>
    <row r="42" spans="1:12" ht="21.75" customHeight="1">
      <c r="A42" s="54"/>
      <c r="B42" s="40"/>
      <c r="C42" s="52"/>
      <c r="D42" s="507" t="s">
        <v>393</v>
      </c>
      <c r="E42" s="832" t="s">
        <v>394</v>
      </c>
      <c r="F42" s="833"/>
      <c r="G42" s="464">
        <v>0</v>
      </c>
      <c r="H42" s="848"/>
      <c r="I42" s="848"/>
      <c r="J42" s="848"/>
      <c r="K42" s="850"/>
      <c r="L42" s="46"/>
    </row>
    <row r="43" spans="1:12" ht="21.75" customHeight="1">
      <c r="A43" s="54"/>
      <c r="B43" s="40"/>
      <c r="C43" s="52"/>
      <c r="D43" s="504"/>
      <c r="E43" s="832" t="s">
        <v>27</v>
      </c>
      <c r="F43" s="833"/>
      <c r="G43" s="464">
        <v>0</v>
      </c>
      <c r="H43" s="848"/>
      <c r="I43" s="848"/>
      <c r="J43" s="848"/>
      <c r="K43" s="850"/>
      <c r="L43" s="46"/>
    </row>
    <row r="44" spans="1:12" ht="21.75" customHeight="1">
      <c r="A44" s="54"/>
      <c r="B44" s="40"/>
      <c r="C44" s="52"/>
      <c r="D44" s="834" t="s">
        <v>395</v>
      </c>
      <c r="E44" s="835"/>
      <c r="F44" s="836"/>
      <c r="G44" s="464">
        <v>0</v>
      </c>
      <c r="H44" s="848"/>
      <c r="I44" s="848"/>
      <c r="J44" s="848"/>
      <c r="K44" s="850"/>
      <c r="L44" s="46"/>
    </row>
    <row r="45" spans="1:12" ht="21.75" customHeight="1">
      <c r="A45" s="54"/>
      <c r="B45" s="40"/>
      <c r="C45" s="52"/>
      <c r="D45" s="842" t="s">
        <v>396</v>
      </c>
      <c r="E45" s="843"/>
      <c r="F45" s="844"/>
      <c r="G45" s="469">
        <f>SUM(G11:G44)</f>
        <v>0</v>
      </c>
      <c r="H45" s="846" t="s">
        <v>396</v>
      </c>
      <c r="I45" s="843"/>
      <c r="J45" s="844"/>
      <c r="K45" s="484">
        <f>SUM(K11:K34)</f>
        <v>0</v>
      </c>
      <c r="L45" s="46"/>
    </row>
    <row r="46" spans="1:12" ht="21" customHeight="1">
      <c r="A46" s="54"/>
      <c r="B46" s="40"/>
      <c r="C46" s="52"/>
      <c r="D46" s="516"/>
      <c r="E46" s="517"/>
      <c r="F46" s="516"/>
      <c r="G46" s="516"/>
      <c r="H46" s="69"/>
      <c r="I46" s="69"/>
      <c r="J46" s="69"/>
      <c r="K46" s="518"/>
      <c r="L46" s="46"/>
    </row>
    <row r="47" spans="1:12" ht="21" customHeight="1">
      <c r="A47" s="54"/>
      <c r="B47" s="40"/>
      <c r="C47" s="52"/>
      <c r="D47" s="506" t="s">
        <v>397</v>
      </c>
      <c r="E47" s="517"/>
      <c r="F47" s="516"/>
      <c r="G47" s="519">
        <f>G45-K45</f>
        <v>0</v>
      </c>
      <c r="H47" s="506" t="s">
        <v>398</v>
      </c>
      <c r="I47" s="69"/>
      <c r="J47" s="69"/>
      <c r="K47" s="518"/>
      <c r="L47" s="46"/>
    </row>
    <row r="48" spans="1:12" ht="21" customHeight="1">
      <c r="A48" s="54"/>
      <c r="B48" s="46"/>
      <c r="C48" s="52"/>
      <c r="D48" s="506" t="s">
        <v>399</v>
      </c>
      <c r="E48" s="517"/>
      <c r="F48" s="516"/>
      <c r="G48" s="520">
        <v>0</v>
      </c>
      <c r="H48" s="506" t="s">
        <v>398</v>
      </c>
      <c r="I48" s="69"/>
      <c r="J48" s="69"/>
      <c r="K48" s="518"/>
      <c r="L48" s="46"/>
    </row>
    <row r="49" spans="1:12" ht="21" customHeight="1">
      <c r="A49" s="54"/>
      <c r="B49" s="46"/>
      <c r="C49" s="52"/>
      <c r="D49" s="516"/>
      <c r="E49" s="517"/>
      <c r="F49" s="516"/>
      <c r="G49" s="521"/>
      <c r="H49" s="69"/>
      <c r="I49" s="69"/>
      <c r="J49" s="69"/>
      <c r="K49" s="518"/>
      <c r="L49" s="46"/>
    </row>
    <row r="50" spans="1:12" ht="21" customHeight="1">
      <c r="A50" s="54"/>
      <c r="B50" s="46"/>
      <c r="C50" s="52"/>
      <c r="D50" s="839" t="s">
        <v>400</v>
      </c>
      <c r="E50" s="840"/>
      <c r="F50" s="841"/>
      <c r="G50" s="522">
        <v>0</v>
      </c>
      <c r="H50" s="69"/>
      <c r="I50" s="69"/>
      <c r="J50" s="69"/>
      <c r="K50" s="518"/>
      <c r="L50" s="46"/>
    </row>
    <row r="51" spans="1:12" ht="12" customHeight="1">
      <c r="A51" s="54"/>
      <c r="B51" s="164"/>
      <c r="C51" s="165"/>
      <c r="D51" s="46"/>
      <c r="E51" s="490"/>
      <c r="F51" s="46"/>
      <c r="G51" s="46"/>
      <c r="H51" s="189"/>
      <c r="I51" s="189"/>
      <c r="J51" s="189"/>
      <c r="K51" s="189"/>
      <c r="L51" s="46"/>
    </row>
  </sheetData>
  <sheetProtection selectLockedCells="1" selectUnlockedCells="1"/>
  <mergeCells count="49">
    <mergeCell ref="K35:K44"/>
    <mergeCell ref="E21:F21"/>
    <mergeCell ref="I21:J21"/>
    <mergeCell ref="I20:J20"/>
    <mergeCell ref="H45:J45"/>
    <mergeCell ref="H35:J44"/>
    <mergeCell ref="E33:F33"/>
    <mergeCell ref="E34:F34"/>
    <mergeCell ref="E35:F35"/>
    <mergeCell ref="D50:F50"/>
    <mergeCell ref="D41:F41"/>
    <mergeCell ref="E42:F42"/>
    <mergeCell ref="E43:F43"/>
    <mergeCell ref="D44:F44"/>
    <mergeCell ref="D45:F45"/>
    <mergeCell ref="E36:F36"/>
    <mergeCell ref="E37:F37"/>
    <mergeCell ref="E38:F38"/>
    <mergeCell ref="E39:F39"/>
    <mergeCell ref="E40:F40"/>
    <mergeCell ref="D32:F32"/>
    <mergeCell ref="E22:F22"/>
    <mergeCell ref="I22:J22"/>
    <mergeCell ref="E23:F23"/>
    <mergeCell ref="E24:F24"/>
    <mergeCell ref="E25:F25"/>
    <mergeCell ref="E26:F26"/>
    <mergeCell ref="E27:F27"/>
    <mergeCell ref="E28:F28"/>
    <mergeCell ref="E29:F29"/>
    <mergeCell ref="D30:F30"/>
    <mergeCell ref="D31:F31"/>
    <mergeCell ref="E17:F17"/>
    <mergeCell ref="E18:F18"/>
    <mergeCell ref="E19:F19"/>
    <mergeCell ref="I19:J19"/>
    <mergeCell ref="E20:F20"/>
    <mergeCell ref="E16:F16"/>
    <mergeCell ref="B3:L3"/>
    <mergeCell ref="B4:L4"/>
    <mergeCell ref="D9:G9"/>
    <mergeCell ref="H9:K9"/>
    <mergeCell ref="D10:F10"/>
    <mergeCell ref="H10:J10"/>
    <mergeCell ref="E11:F11"/>
    <mergeCell ref="E12:F12"/>
    <mergeCell ref="E13:F13"/>
    <mergeCell ref="E14:F14"/>
    <mergeCell ref="E15:F15"/>
  </mergeCells>
  <phoneticPr fontId="35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34"/>
  <sheetViews>
    <sheetView workbookViewId="0"/>
  </sheetViews>
  <sheetFormatPr defaultRowHeight="0" customHeight="1" zeroHeight="1"/>
  <cols>
    <col min="1" max="1" width="1.44140625" customWidth="1"/>
    <col min="2" max="3" width="2.33203125" customWidth="1"/>
    <col min="4" max="4" width="13.88671875" customWidth="1"/>
    <col min="5" max="7" width="14.44140625" customWidth="1"/>
    <col min="8" max="10" width="13.88671875" customWidth="1"/>
    <col min="11" max="11" width="14.44140625" customWidth="1"/>
    <col min="12" max="12" width="4" customWidth="1"/>
  </cols>
  <sheetData>
    <row r="1" spans="1:12" ht="18" customHeight="1">
      <c r="A1" s="51" t="s">
        <v>401</v>
      </c>
      <c r="B1" s="39"/>
      <c r="C1" s="40"/>
      <c r="D1" s="41"/>
      <c r="E1" s="41"/>
      <c r="F1" s="41"/>
      <c r="G1" s="41"/>
      <c r="H1" s="41"/>
      <c r="I1" s="41"/>
      <c r="J1" s="41"/>
      <c r="K1" s="41"/>
      <c r="L1" s="42"/>
    </row>
    <row r="2" spans="1:12" ht="18.75" customHeight="1">
      <c r="A2" s="43"/>
      <c r="B2" s="41"/>
      <c r="C2" s="41"/>
      <c r="D2" s="41"/>
      <c r="E2" s="41"/>
      <c r="F2" s="41"/>
      <c r="G2" s="41"/>
      <c r="H2" s="41"/>
      <c r="I2" s="41"/>
      <c r="J2" s="41"/>
      <c r="K2" s="41"/>
      <c r="L2" s="42"/>
    </row>
    <row r="3" spans="1:12" ht="21" customHeight="1">
      <c r="A3" s="43"/>
      <c r="B3" s="723" t="s">
        <v>1</v>
      </c>
      <c r="C3" s="723"/>
      <c r="D3" s="723"/>
      <c r="E3" s="723"/>
      <c r="F3" s="723"/>
      <c r="G3" s="723"/>
      <c r="H3" s="723"/>
      <c r="I3" s="723"/>
      <c r="J3" s="723"/>
      <c r="K3" s="723"/>
      <c r="L3" s="723"/>
    </row>
    <row r="4" spans="1:12" ht="17.25" customHeight="1">
      <c r="A4" s="43"/>
      <c r="B4" s="723" t="s">
        <v>2</v>
      </c>
      <c r="C4" s="724"/>
      <c r="D4" s="724"/>
      <c r="E4" s="724"/>
      <c r="F4" s="724"/>
      <c r="G4" s="724"/>
      <c r="H4" s="724"/>
      <c r="I4" s="724"/>
      <c r="J4" s="724"/>
      <c r="K4" s="724"/>
      <c r="L4" s="724"/>
    </row>
    <row r="5" spans="1:12" ht="21" customHeight="1">
      <c r="A5" s="43"/>
      <c r="B5" s="44"/>
      <c r="C5" s="45"/>
      <c r="D5" s="46"/>
      <c r="E5" s="41"/>
      <c r="F5" s="41"/>
      <c r="G5" s="41"/>
      <c r="H5" s="41"/>
      <c r="I5" s="41"/>
      <c r="J5" s="47" t="s">
        <v>32</v>
      </c>
      <c r="K5" s="152" t="s">
        <v>4</v>
      </c>
      <c r="L5" s="41"/>
    </row>
    <row r="6" spans="1:12" ht="21" customHeight="1">
      <c r="A6" s="43"/>
      <c r="B6" s="40"/>
      <c r="C6" s="45"/>
      <c r="D6" s="46"/>
      <c r="E6" s="41"/>
      <c r="F6" s="41"/>
      <c r="G6" s="41"/>
      <c r="H6" s="41"/>
      <c r="I6" s="41"/>
      <c r="J6" s="47" t="s">
        <v>33</v>
      </c>
      <c r="K6" s="180" t="s">
        <v>6</v>
      </c>
      <c r="L6" s="41" t="s">
        <v>7</v>
      </c>
    </row>
    <row r="7" spans="1:12" ht="22.5" customHeight="1">
      <c r="A7" s="43"/>
      <c r="B7" s="39" t="s">
        <v>336</v>
      </c>
      <c r="C7" s="44"/>
      <c r="D7" s="46"/>
      <c r="E7" s="46"/>
      <c r="F7" s="46"/>
      <c r="G7" s="46"/>
      <c r="H7" s="46"/>
      <c r="I7" s="46"/>
      <c r="J7" s="46"/>
      <c r="K7" s="46"/>
      <c r="L7" s="46"/>
    </row>
    <row r="8" spans="1:12" ht="21" customHeight="1">
      <c r="B8" s="54"/>
      <c r="C8" s="51" t="s">
        <v>402</v>
      </c>
      <c r="D8" s="53"/>
      <c r="E8" s="53"/>
      <c r="F8" s="53"/>
      <c r="G8" s="53"/>
      <c r="H8" s="53"/>
      <c r="I8" s="53"/>
      <c r="J8" s="53"/>
      <c r="K8" s="492" t="s">
        <v>310</v>
      </c>
      <c r="L8" s="54"/>
    </row>
    <row r="9" spans="1:12" ht="21" customHeight="1">
      <c r="A9" s="54"/>
      <c r="B9" s="46"/>
      <c r="C9" s="53"/>
      <c r="D9" s="824" t="s">
        <v>338</v>
      </c>
      <c r="E9" s="825"/>
      <c r="F9" s="825"/>
      <c r="G9" s="825"/>
      <c r="H9" s="825" t="s">
        <v>339</v>
      </c>
      <c r="I9" s="825"/>
      <c r="J9" s="826"/>
      <c r="K9" s="827"/>
      <c r="L9" s="46"/>
    </row>
    <row r="10" spans="1:12" ht="21" customHeight="1">
      <c r="A10" s="54"/>
      <c r="B10" s="46"/>
      <c r="C10" s="493"/>
      <c r="D10" s="828" t="s">
        <v>340</v>
      </c>
      <c r="E10" s="829"/>
      <c r="F10" s="830"/>
      <c r="G10" s="496" t="s">
        <v>341</v>
      </c>
      <c r="H10" s="831" t="s">
        <v>340</v>
      </c>
      <c r="I10" s="829"/>
      <c r="J10" s="830"/>
      <c r="K10" s="497" t="s">
        <v>341</v>
      </c>
      <c r="L10" s="46"/>
    </row>
    <row r="11" spans="1:12" ht="21" customHeight="1">
      <c r="A11" s="54"/>
      <c r="B11" s="164"/>
      <c r="C11" s="52"/>
      <c r="D11" s="502" t="s">
        <v>403</v>
      </c>
      <c r="E11" s="499" t="s">
        <v>404</v>
      </c>
      <c r="F11" s="501"/>
      <c r="G11" s="523">
        <v>0</v>
      </c>
      <c r="H11" s="499" t="s">
        <v>344</v>
      </c>
      <c r="I11" s="500"/>
      <c r="J11" s="501"/>
      <c r="K11" s="524">
        <v>0</v>
      </c>
      <c r="L11" s="46"/>
    </row>
    <row r="12" spans="1:12" ht="21" customHeight="1">
      <c r="A12" s="54"/>
      <c r="B12" s="164"/>
      <c r="C12" s="52"/>
      <c r="D12" s="508"/>
      <c r="E12" s="499" t="s">
        <v>405</v>
      </c>
      <c r="F12" s="501"/>
      <c r="G12" s="523">
        <v>0</v>
      </c>
      <c r="H12" s="503" t="s">
        <v>406</v>
      </c>
      <c r="I12" s="499" t="s">
        <v>407</v>
      </c>
      <c r="J12" s="501"/>
      <c r="K12" s="524">
        <v>0</v>
      </c>
      <c r="L12" s="46"/>
    </row>
    <row r="13" spans="1:12" ht="21" customHeight="1">
      <c r="A13" s="54"/>
      <c r="B13" s="164"/>
      <c r="C13" s="52"/>
      <c r="D13" s="508"/>
      <c r="E13" s="832" t="s">
        <v>408</v>
      </c>
      <c r="F13" s="833"/>
      <c r="G13" s="523">
        <v>0</v>
      </c>
      <c r="H13" s="505"/>
      <c r="I13" s="499" t="s">
        <v>409</v>
      </c>
      <c r="J13" s="501"/>
      <c r="K13" s="524">
        <v>0</v>
      </c>
      <c r="L13" s="46"/>
    </row>
    <row r="14" spans="1:12" ht="21" customHeight="1">
      <c r="A14" s="54"/>
      <c r="B14" s="164"/>
      <c r="C14" s="52"/>
      <c r="D14" s="508"/>
      <c r="E14" s="499" t="s">
        <v>410</v>
      </c>
      <c r="F14" s="501"/>
      <c r="G14" s="523">
        <v>0</v>
      </c>
      <c r="H14" s="505"/>
      <c r="I14" s="499" t="s">
        <v>411</v>
      </c>
      <c r="J14" s="501"/>
      <c r="K14" s="524">
        <v>0</v>
      </c>
      <c r="L14" s="46"/>
    </row>
    <row r="15" spans="1:12" ht="21" customHeight="1">
      <c r="A15" s="54"/>
      <c r="B15" s="164"/>
      <c r="C15" s="52"/>
      <c r="D15" s="508"/>
      <c r="E15" s="499" t="s">
        <v>412</v>
      </c>
      <c r="F15" s="501"/>
      <c r="G15" s="523">
        <v>0</v>
      </c>
      <c r="H15" s="505"/>
      <c r="I15" s="832" t="s">
        <v>413</v>
      </c>
      <c r="J15" s="833"/>
      <c r="K15" s="524">
        <v>0</v>
      </c>
      <c r="L15" s="46"/>
    </row>
    <row r="16" spans="1:12" ht="21" customHeight="1">
      <c r="A16" s="54"/>
      <c r="B16" s="46"/>
      <c r="C16" s="52"/>
      <c r="D16" s="504"/>
      <c r="E16" s="499" t="s">
        <v>27</v>
      </c>
      <c r="F16" s="501"/>
      <c r="G16" s="523">
        <v>0</v>
      </c>
      <c r="H16" s="525"/>
      <c r="I16" s="499" t="s">
        <v>27</v>
      </c>
      <c r="J16" s="501"/>
      <c r="K16" s="524">
        <v>0</v>
      </c>
      <c r="L16" s="46"/>
    </row>
    <row r="17" spans="1:12" ht="21" customHeight="1">
      <c r="A17" s="54"/>
      <c r="B17" s="46"/>
      <c r="C17" s="52"/>
      <c r="D17" s="502" t="s">
        <v>345</v>
      </c>
      <c r="E17" s="499" t="s">
        <v>414</v>
      </c>
      <c r="F17" s="501"/>
      <c r="G17" s="523">
        <v>0</v>
      </c>
      <c r="H17" s="499" t="s">
        <v>415</v>
      </c>
      <c r="I17" s="500"/>
      <c r="J17" s="501"/>
      <c r="K17" s="524">
        <v>0</v>
      </c>
      <c r="L17" s="46"/>
    </row>
    <row r="18" spans="1:12" ht="21" customHeight="1">
      <c r="A18" s="54"/>
      <c r="B18" s="46"/>
      <c r="C18" s="52"/>
      <c r="D18" s="504"/>
      <c r="E18" s="499" t="s">
        <v>416</v>
      </c>
      <c r="F18" s="501"/>
      <c r="G18" s="523">
        <v>0</v>
      </c>
      <c r="H18" s="499" t="s">
        <v>374</v>
      </c>
      <c r="I18" s="500"/>
      <c r="J18" s="501"/>
      <c r="K18" s="524">
        <v>0</v>
      </c>
      <c r="L18" s="46"/>
    </row>
    <row r="19" spans="1:12" ht="21" customHeight="1">
      <c r="A19" s="54"/>
      <c r="B19" s="40"/>
      <c r="C19" s="52"/>
      <c r="D19" s="513" t="s">
        <v>348</v>
      </c>
      <c r="E19" s="499" t="s">
        <v>349</v>
      </c>
      <c r="F19" s="501"/>
      <c r="G19" s="523">
        <v>0</v>
      </c>
      <c r="H19" s="499" t="s">
        <v>375</v>
      </c>
      <c r="I19" s="500"/>
      <c r="J19" s="501"/>
      <c r="K19" s="524">
        <v>0</v>
      </c>
      <c r="L19" s="46"/>
    </row>
    <row r="20" spans="1:12" ht="21" customHeight="1">
      <c r="A20" s="54"/>
      <c r="B20" s="40"/>
      <c r="C20" s="52"/>
      <c r="D20" s="504"/>
      <c r="E20" s="499" t="s">
        <v>350</v>
      </c>
      <c r="F20" s="501"/>
      <c r="G20" s="523">
        <v>0</v>
      </c>
      <c r="H20" s="499" t="s">
        <v>379</v>
      </c>
      <c r="I20" s="500"/>
      <c r="J20" s="501"/>
      <c r="K20" s="524">
        <v>0</v>
      </c>
      <c r="L20" s="46"/>
    </row>
    <row r="21" spans="1:12" ht="21" customHeight="1">
      <c r="A21" s="54"/>
      <c r="B21" s="40"/>
      <c r="C21" s="52"/>
      <c r="D21" s="526" t="s">
        <v>351</v>
      </c>
      <c r="E21" s="500"/>
      <c r="F21" s="501"/>
      <c r="G21" s="523">
        <v>0</v>
      </c>
      <c r="H21" s="503" t="s">
        <v>381</v>
      </c>
      <c r="I21" s="500" t="s">
        <v>417</v>
      </c>
      <c r="J21" s="501"/>
      <c r="K21" s="524">
        <v>0</v>
      </c>
      <c r="L21" s="46"/>
    </row>
    <row r="22" spans="1:12" ht="21" customHeight="1">
      <c r="A22" s="54"/>
      <c r="B22" s="40"/>
      <c r="C22" s="52"/>
      <c r="D22" s="526" t="s">
        <v>368</v>
      </c>
      <c r="E22" s="500"/>
      <c r="F22" s="501"/>
      <c r="G22" s="523">
        <v>0</v>
      </c>
      <c r="H22" s="514"/>
      <c r="I22" s="499" t="s">
        <v>385</v>
      </c>
      <c r="J22" s="495"/>
      <c r="K22" s="524">
        <v>0</v>
      </c>
      <c r="L22" s="46"/>
    </row>
    <row r="23" spans="1:12" ht="21" customHeight="1">
      <c r="A23" s="54"/>
      <c r="B23" s="40"/>
      <c r="C23" s="52"/>
      <c r="D23" s="526" t="s">
        <v>378</v>
      </c>
      <c r="E23" s="500"/>
      <c r="F23" s="501"/>
      <c r="G23" s="523">
        <v>0</v>
      </c>
      <c r="H23" s="515"/>
      <c r="I23" s="499" t="s">
        <v>27</v>
      </c>
      <c r="J23" s="495"/>
      <c r="K23" s="524">
        <v>0</v>
      </c>
      <c r="L23" s="46"/>
    </row>
    <row r="24" spans="1:12" ht="21" customHeight="1">
      <c r="A24" s="54"/>
      <c r="B24" s="40"/>
      <c r="C24" s="52"/>
      <c r="D24" s="526" t="s">
        <v>380</v>
      </c>
      <c r="E24" s="500"/>
      <c r="F24" s="501"/>
      <c r="G24" s="523">
        <v>0</v>
      </c>
      <c r="H24" s="499" t="s">
        <v>418</v>
      </c>
      <c r="I24" s="494"/>
      <c r="J24" s="495"/>
      <c r="K24" s="524">
        <v>0</v>
      </c>
      <c r="L24" s="46"/>
    </row>
    <row r="25" spans="1:12" ht="21" customHeight="1">
      <c r="A25" s="54"/>
      <c r="B25" s="40"/>
      <c r="C25" s="52"/>
      <c r="D25" s="507" t="s">
        <v>383</v>
      </c>
      <c r="E25" s="500" t="s">
        <v>419</v>
      </c>
      <c r="F25" s="501"/>
      <c r="G25" s="523">
        <v>0</v>
      </c>
      <c r="H25" s="851"/>
      <c r="I25" s="852"/>
      <c r="J25" s="853"/>
      <c r="K25" s="860"/>
      <c r="L25" s="46"/>
    </row>
    <row r="26" spans="1:12" ht="21" customHeight="1">
      <c r="A26" s="54"/>
      <c r="B26" s="40"/>
      <c r="C26" s="52"/>
      <c r="D26" s="504"/>
      <c r="E26" s="500" t="s">
        <v>27</v>
      </c>
      <c r="F26" s="501"/>
      <c r="G26" s="523">
        <v>0</v>
      </c>
      <c r="H26" s="854"/>
      <c r="I26" s="855"/>
      <c r="J26" s="856"/>
      <c r="K26" s="861"/>
      <c r="L26" s="46"/>
    </row>
    <row r="27" spans="1:12" ht="21" customHeight="1">
      <c r="A27" s="54"/>
      <c r="B27" s="40"/>
      <c r="C27" s="52"/>
      <c r="D27" s="526" t="s">
        <v>392</v>
      </c>
      <c r="E27" s="500"/>
      <c r="F27" s="501"/>
      <c r="G27" s="523">
        <v>0</v>
      </c>
      <c r="H27" s="854"/>
      <c r="I27" s="855"/>
      <c r="J27" s="856"/>
      <c r="K27" s="861"/>
      <c r="L27" s="46"/>
    </row>
    <row r="28" spans="1:12" ht="21" customHeight="1">
      <c r="A28" s="54"/>
      <c r="B28" s="40"/>
      <c r="C28" s="52"/>
      <c r="D28" s="526" t="s">
        <v>393</v>
      </c>
      <c r="E28" s="500"/>
      <c r="F28" s="501"/>
      <c r="G28" s="523">
        <v>0</v>
      </c>
      <c r="H28" s="854"/>
      <c r="I28" s="855"/>
      <c r="J28" s="856"/>
      <c r="K28" s="861"/>
      <c r="L28" s="46"/>
    </row>
    <row r="29" spans="1:12" ht="21" customHeight="1">
      <c r="A29" s="54"/>
      <c r="B29" s="40"/>
      <c r="C29" s="52"/>
      <c r="D29" s="528" t="s">
        <v>395</v>
      </c>
      <c r="E29" s="500"/>
      <c r="F29" s="501"/>
      <c r="G29" s="523">
        <v>0</v>
      </c>
      <c r="H29" s="857"/>
      <c r="I29" s="858"/>
      <c r="J29" s="859"/>
      <c r="K29" s="862"/>
      <c r="L29" s="46"/>
    </row>
    <row r="30" spans="1:12" ht="21" customHeight="1">
      <c r="A30" s="54"/>
      <c r="B30" s="40"/>
      <c r="C30" s="52"/>
      <c r="D30" s="842" t="s">
        <v>396</v>
      </c>
      <c r="E30" s="843"/>
      <c r="F30" s="844"/>
      <c r="G30" s="469">
        <f>SUM(G11:G29)</f>
        <v>0</v>
      </c>
      <c r="H30" s="846" t="s">
        <v>396</v>
      </c>
      <c r="I30" s="843"/>
      <c r="J30" s="844"/>
      <c r="K30" s="484">
        <f>SUM(K11:K24)</f>
        <v>0</v>
      </c>
      <c r="L30" s="46"/>
    </row>
    <row r="31" spans="1:12" ht="21" customHeight="1">
      <c r="A31" s="54"/>
      <c r="B31" s="40"/>
      <c r="C31" s="52"/>
      <c r="D31" s="516"/>
      <c r="E31" s="516"/>
      <c r="F31" s="516"/>
      <c r="G31" s="516"/>
      <c r="H31" s="516"/>
      <c r="I31" s="516"/>
      <c r="J31" s="516"/>
      <c r="K31" s="527"/>
      <c r="L31" s="46"/>
    </row>
    <row r="32" spans="1:12" ht="21" customHeight="1">
      <c r="A32" s="54"/>
      <c r="B32" s="40"/>
      <c r="C32" s="52"/>
      <c r="D32" s="506" t="s">
        <v>397</v>
      </c>
      <c r="E32" s="516"/>
      <c r="F32" s="516"/>
      <c r="G32" s="519">
        <f>G30-K30</f>
        <v>0</v>
      </c>
      <c r="H32" s="506" t="s">
        <v>398</v>
      </c>
      <c r="I32" s="516"/>
      <c r="J32" s="516"/>
      <c r="K32" s="527"/>
      <c r="L32" s="46"/>
    </row>
    <row r="33" spans="1:12" ht="21" customHeight="1">
      <c r="A33" s="54"/>
      <c r="B33" s="46"/>
      <c r="C33" s="52"/>
      <c r="D33" s="506" t="s">
        <v>399</v>
      </c>
      <c r="E33" s="516"/>
      <c r="F33" s="516"/>
      <c r="G33" s="520">
        <v>0</v>
      </c>
      <c r="H33" s="506" t="s">
        <v>398</v>
      </c>
      <c r="I33" s="516"/>
      <c r="J33" s="516"/>
      <c r="K33" s="527"/>
      <c r="L33" s="46"/>
    </row>
    <row r="34" spans="1:12" ht="12" customHeight="1">
      <c r="A34" s="54"/>
      <c r="B34" s="164"/>
      <c r="C34" s="165"/>
      <c r="D34" s="46"/>
      <c r="E34" s="46"/>
      <c r="F34" s="46"/>
      <c r="G34" s="46"/>
      <c r="H34" s="46"/>
      <c r="I34" s="46"/>
      <c r="J34" s="46"/>
      <c r="K34" s="46"/>
      <c r="L34" s="46"/>
    </row>
  </sheetData>
  <sheetProtection selectLockedCells="1" selectUnlockedCells="1"/>
  <mergeCells count="12">
    <mergeCell ref="E13:F13"/>
    <mergeCell ref="I15:J15"/>
    <mergeCell ref="H25:J29"/>
    <mergeCell ref="K25:K29"/>
    <mergeCell ref="D30:F30"/>
    <mergeCell ref="H30:J30"/>
    <mergeCell ref="B3:L3"/>
    <mergeCell ref="B4:L4"/>
    <mergeCell ref="D9:G9"/>
    <mergeCell ref="H9:K9"/>
    <mergeCell ref="D10:F10"/>
    <mergeCell ref="H10:J10"/>
  </mergeCells>
  <phoneticPr fontId="35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42"/>
  <sheetViews>
    <sheetView workbookViewId="0"/>
  </sheetViews>
  <sheetFormatPr defaultRowHeight="0" customHeight="1" zeroHeight="1"/>
  <cols>
    <col min="1" max="1" width="2.44140625" customWidth="1"/>
    <col min="2" max="4" width="3.5546875" customWidth="1"/>
    <col min="5" max="5" width="5.88671875" customWidth="1"/>
    <col min="6" max="25" width="3.5546875" customWidth="1"/>
    <col min="26" max="26" width="4" customWidth="1"/>
  </cols>
  <sheetData>
    <row r="1" spans="1:26" ht="18" customHeight="1">
      <c r="A1" s="39" t="s">
        <v>420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3"/>
      <c r="Z1" s="42"/>
    </row>
    <row r="2" spans="1:26" ht="18.75" customHeight="1">
      <c r="A2" s="43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3"/>
      <c r="Z2" s="42"/>
    </row>
    <row r="3" spans="1:26" ht="21" customHeight="1">
      <c r="A3" s="723" t="s">
        <v>1</v>
      </c>
      <c r="B3" s="723"/>
      <c r="C3" s="723"/>
      <c r="D3" s="723"/>
      <c r="E3" s="723"/>
      <c r="F3" s="723"/>
      <c r="G3" s="723"/>
      <c r="H3" s="723"/>
      <c r="I3" s="723"/>
      <c r="J3" s="723"/>
      <c r="K3" s="723"/>
      <c r="L3" s="723"/>
      <c r="M3" s="723"/>
      <c r="N3" s="723"/>
      <c r="O3" s="723"/>
      <c r="P3" s="723"/>
      <c r="Q3" s="723"/>
      <c r="R3" s="723"/>
      <c r="S3" s="723"/>
      <c r="T3" s="723"/>
      <c r="U3" s="723"/>
      <c r="V3" s="723"/>
      <c r="W3" s="723"/>
      <c r="X3" s="723"/>
      <c r="Y3" s="723"/>
      <c r="Z3" s="462"/>
    </row>
    <row r="4" spans="1:26" ht="17.25" customHeight="1">
      <c r="A4" s="723" t="s">
        <v>2</v>
      </c>
      <c r="B4" s="724"/>
      <c r="C4" s="724"/>
      <c r="D4" s="724"/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  <c r="R4" s="724"/>
      <c r="S4" s="724"/>
      <c r="T4" s="724"/>
      <c r="U4" s="724"/>
      <c r="V4" s="724"/>
      <c r="W4" s="724"/>
      <c r="X4" s="724"/>
      <c r="Y4" s="724"/>
      <c r="Z4" s="462"/>
    </row>
    <row r="5" spans="1:26" ht="21" customHeight="1">
      <c r="A5" s="43"/>
      <c r="B5" s="44"/>
      <c r="C5" s="45"/>
      <c r="D5" s="45"/>
      <c r="E5" s="45"/>
      <c r="F5" s="45"/>
      <c r="G5" s="45"/>
      <c r="H5" s="45"/>
      <c r="I5" s="45"/>
      <c r="J5" s="45"/>
      <c r="K5" s="45"/>
      <c r="L5" s="46"/>
      <c r="M5" s="41"/>
      <c r="N5" s="41"/>
      <c r="O5" s="41"/>
      <c r="P5" s="41"/>
      <c r="Q5" s="41"/>
      <c r="R5" s="725" t="s">
        <v>32</v>
      </c>
      <c r="S5" s="725"/>
      <c r="T5" s="725"/>
      <c r="U5" s="725"/>
      <c r="V5" s="726" t="s">
        <v>4</v>
      </c>
      <c r="W5" s="726"/>
      <c r="X5" s="726"/>
      <c r="Y5" s="726"/>
      <c r="Z5" s="462"/>
    </row>
    <row r="6" spans="1:26" ht="21" customHeight="1">
      <c r="A6" s="43"/>
      <c r="B6" s="40"/>
      <c r="C6" s="45"/>
      <c r="D6" s="45"/>
      <c r="E6" s="45"/>
      <c r="F6" s="45"/>
      <c r="G6" s="45"/>
      <c r="H6" s="45"/>
      <c r="I6" s="45"/>
      <c r="J6" s="45"/>
      <c r="K6" s="45"/>
      <c r="L6" s="46"/>
      <c r="M6" s="41"/>
      <c r="N6" s="41"/>
      <c r="O6" s="41"/>
      <c r="P6" s="41"/>
      <c r="Q6" s="41"/>
      <c r="R6" s="727" t="s">
        <v>33</v>
      </c>
      <c r="S6" s="727"/>
      <c r="T6" s="727"/>
      <c r="U6" s="727"/>
      <c r="V6" s="728" t="s">
        <v>6</v>
      </c>
      <c r="W6" s="728"/>
      <c r="X6" s="728"/>
      <c r="Y6" s="728"/>
      <c r="Z6" s="462" t="s">
        <v>7</v>
      </c>
    </row>
    <row r="7" spans="1:26" ht="21" customHeight="1">
      <c r="A7" s="43"/>
      <c r="B7" s="40"/>
      <c r="C7" s="45"/>
      <c r="D7" s="45"/>
      <c r="E7" s="45"/>
      <c r="F7" s="45"/>
      <c r="G7" s="45"/>
      <c r="H7" s="45"/>
      <c r="I7" s="45"/>
      <c r="J7" s="45"/>
      <c r="K7" s="45"/>
      <c r="L7" s="46"/>
      <c r="M7" s="41"/>
      <c r="N7" s="41"/>
      <c r="O7" s="41"/>
      <c r="P7" s="41"/>
      <c r="Q7" s="41"/>
      <c r="R7" s="529"/>
      <c r="S7" s="529"/>
      <c r="T7" s="529"/>
      <c r="U7" s="529"/>
      <c r="V7" s="530"/>
      <c r="W7" s="530"/>
      <c r="X7" s="530"/>
      <c r="Y7" s="530"/>
      <c r="Z7" s="462"/>
    </row>
    <row r="8" spans="1:26" ht="22.5" customHeight="1">
      <c r="A8" s="39" t="s">
        <v>421</v>
      </c>
      <c r="B8" s="40"/>
      <c r="C8" s="44"/>
      <c r="D8" s="44"/>
      <c r="E8" s="44"/>
      <c r="F8" s="44"/>
      <c r="G8" s="44"/>
      <c r="H8" s="44"/>
      <c r="I8" s="44"/>
      <c r="J8" s="44"/>
      <c r="K8" s="44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1"/>
      <c r="Y8" s="43"/>
      <c r="Z8" s="462"/>
    </row>
    <row r="9" spans="1:26" ht="21" customHeight="1">
      <c r="B9" s="51" t="s">
        <v>422</v>
      </c>
      <c r="C9" s="52"/>
      <c r="D9" s="52"/>
      <c r="E9" s="52"/>
      <c r="F9" s="52"/>
      <c r="G9" s="52"/>
      <c r="H9" s="52"/>
      <c r="I9" s="52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462"/>
    </row>
    <row r="10" spans="1:26" ht="21" customHeight="1">
      <c r="A10" s="54"/>
      <c r="B10" s="49"/>
      <c r="C10" s="56" t="s">
        <v>423</v>
      </c>
      <c r="D10" s="49"/>
      <c r="E10" s="49"/>
      <c r="F10" s="49"/>
      <c r="G10" s="49"/>
      <c r="H10" s="531"/>
      <c r="I10" s="49"/>
      <c r="J10" s="49"/>
      <c r="K10" s="50"/>
      <c r="L10" s="50"/>
      <c r="M10" s="50"/>
      <c r="N10" s="50"/>
      <c r="O10" s="50"/>
      <c r="P10" s="50"/>
      <c r="Q10" s="50"/>
      <c r="R10" s="50"/>
      <c r="S10" s="50"/>
      <c r="T10" s="863" t="s">
        <v>310</v>
      </c>
      <c r="U10" s="863"/>
      <c r="V10" s="863"/>
      <c r="W10" s="863"/>
      <c r="X10" s="50"/>
      <c r="Y10" s="50"/>
      <c r="Z10" s="462"/>
    </row>
    <row r="11" spans="1:26" ht="21" customHeight="1">
      <c r="A11" s="54"/>
      <c r="B11" s="58"/>
      <c r="C11" s="864" t="s">
        <v>424</v>
      </c>
      <c r="D11" s="865"/>
      <c r="E11" s="865"/>
      <c r="F11" s="865"/>
      <c r="G11" s="865"/>
      <c r="H11" s="865"/>
      <c r="I11" s="865"/>
      <c r="J11" s="865"/>
      <c r="K11" s="865"/>
      <c r="L11" s="865"/>
      <c r="M11" s="864" t="s">
        <v>425</v>
      </c>
      <c r="N11" s="865"/>
      <c r="O11" s="865"/>
      <c r="P11" s="865"/>
      <c r="Q11" s="866"/>
      <c r="R11" s="532"/>
      <c r="S11" s="867" t="s">
        <v>426</v>
      </c>
      <c r="T11" s="868"/>
      <c r="U11" s="868"/>
      <c r="V11" s="868"/>
      <c r="W11" s="869"/>
      <c r="X11" s="50"/>
      <c r="Y11" s="50"/>
      <c r="Z11" s="462"/>
    </row>
    <row r="12" spans="1:26" ht="21" customHeight="1">
      <c r="A12" s="54"/>
      <c r="B12" s="58"/>
      <c r="C12" s="533" t="s">
        <v>351</v>
      </c>
      <c r="D12" s="534"/>
      <c r="E12" s="534"/>
      <c r="F12" s="763" t="s">
        <v>352</v>
      </c>
      <c r="G12" s="764"/>
      <c r="H12" s="764"/>
      <c r="I12" s="764"/>
      <c r="J12" s="764"/>
      <c r="K12" s="764"/>
      <c r="L12" s="764"/>
      <c r="M12" s="870">
        <v>0</v>
      </c>
      <c r="N12" s="871"/>
      <c r="O12" s="871"/>
      <c r="P12" s="871"/>
      <c r="Q12" s="872"/>
      <c r="R12" s="532"/>
      <c r="S12" s="870">
        <v>0</v>
      </c>
      <c r="T12" s="871"/>
      <c r="U12" s="871"/>
      <c r="V12" s="871"/>
      <c r="W12" s="872"/>
      <c r="X12" s="50"/>
      <c r="Y12" s="50"/>
      <c r="Z12" s="462"/>
    </row>
    <row r="13" spans="1:26" ht="21" customHeight="1">
      <c r="A13" s="54"/>
      <c r="B13" s="58"/>
      <c r="C13" s="535"/>
      <c r="D13" s="536"/>
      <c r="E13" s="536"/>
      <c r="F13" s="873" t="s">
        <v>353</v>
      </c>
      <c r="G13" s="874"/>
      <c r="H13" s="874"/>
      <c r="I13" s="874"/>
      <c r="J13" s="874"/>
      <c r="K13" s="874"/>
      <c r="L13" s="874"/>
      <c r="M13" s="870">
        <v>0</v>
      </c>
      <c r="N13" s="871"/>
      <c r="O13" s="871"/>
      <c r="P13" s="871"/>
      <c r="Q13" s="872"/>
      <c r="R13" s="532"/>
      <c r="S13" s="870">
        <v>0</v>
      </c>
      <c r="T13" s="871"/>
      <c r="U13" s="871"/>
      <c r="V13" s="871"/>
      <c r="W13" s="872"/>
      <c r="X13" s="50"/>
      <c r="Y13" s="50"/>
      <c r="Z13" s="462"/>
    </row>
    <row r="14" spans="1:26" ht="21" customHeight="1">
      <c r="A14" s="54"/>
      <c r="B14" s="58"/>
      <c r="C14" s="537"/>
      <c r="D14" s="538"/>
      <c r="E14" s="538"/>
      <c r="F14" s="875" t="s">
        <v>427</v>
      </c>
      <c r="G14" s="876"/>
      <c r="H14" s="876"/>
      <c r="I14" s="876"/>
      <c r="J14" s="876"/>
      <c r="K14" s="876"/>
      <c r="L14" s="876"/>
      <c r="M14" s="870">
        <v>0</v>
      </c>
      <c r="N14" s="871"/>
      <c r="O14" s="871"/>
      <c r="P14" s="871"/>
      <c r="Q14" s="872"/>
      <c r="R14" s="532"/>
      <c r="S14" s="870">
        <v>0</v>
      </c>
      <c r="T14" s="871"/>
      <c r="U14" s="871"/>
      <c r="V14" s="871"/>
      <c r="W14" s="872"/>
      <c r="X14" s="50"/>
      <c r="Y14" s="50"/>
      <c r="Z14" s="462"/>
    </row>
    <row r="15" spans="1:26" ht="21" customHeight="1">
      <c r="A15" s="54"/>
      <c r="B15" s="58"/>
      <c r="C15" s="877" t="s">
        <v>364</v>
      </c>
      <c r="D15" s="764"/>
      <c r="E15" s="765"/>
      <c r="F15" s="763" t="s">
        <v>365</v>
      </c>
      <c r="G15" s="764"/>
      <c r="H15" s="764"/>
      <c r="I15" s="764"/>
      <c r="J15" s="764"/>
      <c r="K15" s="764"/>
      <c r="L15" s="764"/>
      <c r="M15" s="870">
        <v>0</v>
      </c>
      <c r="N15" s="871"/>
      <c r="O15" s="871"/>
      <c r="P15" s="871"/>
      <c r="Q15" s="872"/>
      <c r="R15" s="532"/>
      <c r="S15" s="870">
        <v>0</v>
      </c>
      <c r="T15" s="871"/>
      <c r="U15" s="871"/>
      <c r="V15" s="871"/>
      <c r="W15" s="872"/>
      <c r="X15" s="50"/>
      <c r="Y15" s="50"/>
      <c r="Z15" s="462"/>
    </row>
    <row r="16" spans="1:26" ht="21" customHeight="1">
      <c r="A16" s="54"/>
      <c r="B16" s="58"/>
      <c r="C16" s="878"/>
      <c r="D16" s="876"/>
      <c r="E16" s="879"/>
      <c r="F16" s="880" t="s">
        <v>367</v>
      </c>
      <c r="G16" s="881"/>
      <c r="H16" s="881"/>
      <c r="I16" s="881"/>
      <c r="J16" s="881"/>
      <c r="K16" s="881"/>
      <c r="L16" s="881"/>
      <c r="M16" s="870">
        <v>0</v>
      </c>
      <c r="N16" s="871"/>
      <c r="O16" s="871"/>
      <c r="P16" s="871"/>
      <c r="Q16" s="872"/>
      <c r="R16" s="532"/>
      <c r="S16" s="870">
        <v>0</v>
      </c>
      <c r="T16" s="871"/>
      <c r="U16" s="871"/>
      <c r="V16" s="871"/>
      <c r="W16" s="872"/>
      <c r="X16" s="50"/>
      <c r="Y16" s="50"/>
      <c r="Z16" s="462"/>
    </row>
    <row r="17" spans="1:26" ht="21" customHeight="1">
      <c r="A17" s="54"/>
      <c r="B17" s="58"/>
      <c r="C17" s="877" t="s">
        <v>368</v>
      </c>
      <c r="D17" s="764"/>
      <c r="E17" s="765"/>
      <c r="F17" s="763" t="s">
        <v>369</v>
      </c>
      <c r="G17" s="764"/>
      <c r="H17" s="764"/>
      <c r="I17" s="764"/>
      <c r="J17" s="764"/>
      <c r="K17" s="764"/>
      <c r="L17" s="764"/>
      <c r="M17" s="870">
        <v>0</v>
      </c>
      <c r="N17" s="871"/>
      <c r="O17" s="871"/>
      <c r="P17" s="871"/>
      <c r="Q17" s="872"/>
      <c r="R17" s="532"/>
      <c r="S17" s="870">
        <v>0</v>
      </c>
      <c r="T17" s="871"/>
      <c r="U17" s="871"/>
      <c r="V17" s="871"/>
      <c r="W17" s="872"/>
      <c r="X17" s="50"/>
      <c r="Y17" s="50"/>
      <c r="Z17" s="462"/>
    </row>
    <row r="18" spans="1:26" ht="21" customHeight="1">
      <c r="A18" s="54"/>
      <c r="B18" s="58"/>
      <c r="C18" s="878"/>
      <c r="D18" s="876"/>
      <c r="E18" s="879"/>
      <c r="F18" s="880" t="s">
        <v>427</v>
      </c>
      <c r="G18" s="881"/>
      <c r="H18" s="881"/>
      <c r="I18" s="881"/>
      <c r="J18" s="881"/>
      <c r="K18" s="881"/>
      <c r="L18" s="881"/>
      <c r="M18" s="870">
        <v>0</v>
      </c>
      <c r="N18" s="871"/>
      <c r="O18" s="871"/>
      <c r="P18" s="871"/>
      <c r="Q18" s="872"/>
      <c r="R18" s="532"/>
      <c r="S18" s="870">
        <v>0</v>
      </c>
      <c r="T18" s="871"/>
      <c r="U18" s="871"/>
      <c r="V18" s="871"/>
      <c r="W18" s="872"/>
      <c r="X18" s="50"/>
      <c r="Y18" s="50"/>
      <c r="Z18" s="462"/>
    </row>
    <row r="19" spans="1:26" ht="21" customHeight="1">
      <c r="A19" s="54"/>
      <c r="B19" s="58"/>
      <c r="C19" s="882" t="s">
        <v>383</v>
      </c>
      <c r="D19" s="883"/>
      <c r="E19" s="884"/>
      <c r="F19" s="885" t="s">
        <v>428</v>
      </c>
      <c r="G19" s="883"/>
      <c r="H19" s="883"/>
      <c r="I19" s="883"/>
      <c r="J19" s="883"/>
      <c r="K19" s="883"/>
      <c r="L19" s="883"/>
      <c r="M19" s="870">
        <v>0</v>
      </c>
      <c r="N19" s="871"/>
      <c r="O19" s="871"/>
      <c r="P19" s="871"/>
      <c r="Q19" s="872"/>
      <c r="R19" s="532"/>
      <c r="S19" s="870">
        <v>0</v>
      </c>
      <c r="T19" s="871"/>
      <c r="U19" s="871"/>
      <c r="V19" s="871"/>
      <c r="W19" s="872"/>
      <c r="X19" s="50"/>
      <c r="Y19" s="50"/>
      <c r="Z19" s="462"/>
    </row>
    <row r="20" spans="1:26" ht="21" customHeight="1">
      <c r="A20" s="54"/>
      <c r="B20" s="63"/>
      <c r="C20" s="886" t="s">
        <v>109</v>
      </c>
      <c r="D20" s="887"/>
      <c r="E20" s="887"/>
      <c r="F20" s="887"/>
      <c r="G20" s="887"/>
      <c r="H20" s="887"/>
      <c r="I20" s="887"/>
      <c r="J20" s="887"/>
      <c r="K20" s="887"/>
      <c r="L20" s="888"/>
      <c r="M20" s="889">
        <f>SUM(M12:Q19)</f>
        <v>0</v>
      </c>
      <c r="N20" s="890"/>
      <c r="O20" s="890"/>
      <c r="P20" s="890"/>
      <c r="Q20" s="891"/>
      <c r="R20" s="539"/>
      <c r="S20" s="889">
        <f>SUM(S12:W19)</f>
        <v>0</v>
      </c>
      <c r="T20" s="890"/>
      <c r="U20" s="890"/>
      <c r="V20" s="890"/>
      <c r="W20" s="891"/>
      <c r="X20" s="50"/>
      <c r="Y20" s="540"/>
      <c r="Z20" s="462"/>
    </row>
    <row r="21" spans="1:26" ht="21" customHeight="1">
      <c r="A21" s="54"/>
      <c r="B21" s="58"/>
      <c r="C21" s="56"/>
      <c r="D21" s="56"/>
      <c r="E21" s="56"/>
      <c r="F21" s="56"/>
      <c r="G21" s="56"/>
      <c r="H21" s="541"/>
      <c r="I21" s="541"/>
      <c r="J21" s="56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462"/>
    </row>
    <row r="22" spans="1:26" ht="21" customHeight="1">
      <c r="A22" s="54"/>
      <c r="B22" s="65"/>
      <c r="C22" s="56" t="s">
        <v>429</v>
      </c>
      <c r="D22" s="65"/>
      <c r="E22" s="65"/>
      <c r="F22" s="65"/>
      <c r="G22" s="65"/>
      <c r="H22" s="65"/>
      <c r="I22" s="65"/>
      <c r="J22" s="49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462"/>
    </row>
    <row r="23" spans="1:26" ht="21" customHeight="1">
      <c r="A23" s="54"/>
      <c r="B23" s="58"/>
      <c r="C23" s="864" t="s">
        <v>424</v>
      </c>
      <c r="D23" s="865"/>
      <c r="E23" s="865"/>
      <c r="F23" s="865"/>
      <c r="G23" s="865"/>
      <c r="H23" s="865"/>
      <c r="I23" s="865"/>
      <c r="J23" s="865"/>
      <c r="K23" s="865"/>
      <c r="L23" s="866"/>
      <c r="M23" s="892" t="s">
        <v>430</v>
      </c>
      <c r="N23" s="893"/>
      <c r="O23" s="893"/>
      <c r="P23" s="893"/>
      <c r="Q23" s="894"/>
      <c r="R23" s="532"/>
      <c r="S23" s="892" t="s">
        <v>431</v>
      </c>
      <c r="T23" s="893"/>
      <c r="U23" s="893"/>
      <c r="V23" s="893"/>
      <c r="W23" s="894"/>
      <c r="X23" s="50"/>
      <c r="Y23" s="50"/>
      <c r="Z23" s="462"/>
    </row>
    <row r="24" spans="1:26" ht="21" customHeight="1">
      <c r="A24" s="54"/>
      <c r="B24" s="58"/>
      <c r="C24" s="533" t="s">
        <v>351</v>
      </c>
      <c r="D24" s="534"/>
      <c r="E24" s="534"/>
      <c r="F24" s="763" t="s">
        <v>352</v>
      </c>
      <c r="G24" s="764"/>
      <c r="H24" s="764"/>
      <c r="I24" s="764"/>
      <c r="J24" s="764"/>
      <c r="K24" s="764"/>
      <c r="L24" s="895"/>
      <c r="M24" s="870">
        <v>0</v>
      </c>
      <c r="N24" s="871"/>
      <c r="O24" s="871"/>
      <c r="P24" s="871"/>
      <c r="Q24" s="872"/>
      <c r="R24" s="532"/>
      <c r="S24" s="870">
        <v>0</v>
      </c>
      <c r="T24" s="871"/>
      <c r="U24" s="871"/>
      <c r="V24" s="871"/>
      <c r="W24" s="872"/>
      <c r="X24" s="50"/>
      <c r="Y24" s="50"/>
      <c r="Z24" s="462"/>
    </row>
    <row r="25" spans="1:26" ht="21" customHeight="1">
      <c r="A25" s="54"/>
      <c r="B25" s="58"/>
      <c r="C25" s="535"/>
      <c r="D25" s="536"/>
      <c r="E25" s="536"/>
      <c r="F25" s="873" t="s">
        <v>353</v>
      </c>
      <c r="G25" s="874"/>
      <c r="H25" s="874"/>
      <c r="I25" s="874"/>
      <c r="J25" s="874"/>
      <c r="K25" s="874"/>
      <c r="L25" s="896"/>
      <c r="M25" s="870">
        <v>0</v>
      </c>
      <c r="N25" s="871"/>
      <c r="O25" s="871"/>
      <c r="P25" s="871"/>
      <c r="Q25" s="872"/>
      <c r="R25" s="532"/>
      <c r="S25" s="870">
        <v>0</v>
      </c>
      <c r="T25" s="871"/>
      <c r="U25" s="871"/>
      <c r="V25" s="871"/>
      <c r="W25" s="872"/>
      <c r="X25" s="50"/>
      <c r="Y25" s="50"/>
      <c r="Z25" s="462"/>
    </row>
    <row r="26" spans="1:26" ht="21" customHeight="1">
      <c r="A26" s="54"/>
      <c r="B26" s="58"/>
      <c r="C26" s="537"/>
      <c r="D26" s="538"/>
      <c r="E26" s="538"/>
      <c r="F26" s="875" t="s">
        <v>427</v>
      </c>
      <c r="G26" s="876"/>
      <c r="H26" s="876"/>
      <c r="I26" s="876"/>
      <c r="J26" s="876"/>
      <c r="K26" s="876"/>
      <c r="L26" s="897"/>
      <c r="M26" s="870">
        <v>0</v>
      </c>
      <c r="N26" s="871"/>
      <c r="O26" s="871"/>
      <c r="P26" s="871"/>
      <c r="Q26" s="872"/>
      <c r="R26" s="532"/>
      <c r="S26" s="870">
        <v>0</v>
      </c>
      <c r="T26" s="871"/>
      <c r="U26" s="871"/>
      <c r="V26" s="871"/>
      <c r="W26" s="872"/>
      <c r="X26" s="50"/>
      <c r="Y26" s="50"/>
      <c r="Z26" s="462"/>
    </row>
    <row r="27" spans="1:26" ht="21" customHeight="1">
      <c r="A27" s="54"/>
      <c r="B27" s="58"/>
      <c r="C27" s="533" t="s">
        <v>364</v>
      </c>
      <c r="D27" s="534"/>
      <c r="E27" s="534"/>
      <c r="F27" s="763" t="s">
        <v>365</v>
      </c>
      <c r="G27" s="764"/>
      <c r="H27" s="764"/>
      <c r="I27" s="764"/>
      <c r="J27" s="764"/>
      <c r="K27" s="764"/>
      <c r="L27" s="895"/>
      <c r="M27" s="870">
        <v>0</v>
      </c>
      <c r="N27" s="871"/>
      <c r="O27" s="871"/>
      <c r="P27" s="871"/>
      <c r="Q27" s="872"/>
      <c r="R27" s="532"/>
      <c r="S27" s="870">
        <v>0</v>
      </c>
      <c r="T27" s="871"/>
      <c r="U27" s="871"/>
      <c r="V27" s="871"/>
      <c r="W27" s="872"/>
      <c r="X27" s="50"/>
      <c r="Y27" s="50"/>
      <c r="Z27" s="462"/>
    </row>
    <row r="28" spans="1:26" ht="21" customHeight="1">
      <c r="A28" s="54"/>
      <c r="B28" s="58"/>
      <c r="C28" s="542"/>
      <c r="D28" s="538"/>
      <c r="E28" s="538"/>
      <c r="F28" s="875" t="s">
        <v>367</v>
      </c>
      <c r="G28" s="876"/>
      <c r="H28" s="876"/>
      <c r="I28" s="876"/>
      <c r="J28" s="876"/>
      <c r="K28" s="876"/>
      <c r="L28" s="897"/>
      <c r="M28" s="870">
        <v>0</v>
      </c>
      <c r="N28" s="871"/>
      <c r="O28" s="871"/>
      <c r="P28" s="871"/>
      <c r="Q28" s="872"/>
      <c r="R28" s="532"/>
      <c r="S28" s="870">
        <v>0</v>
      </c>
      <c r="T28" s="871"/>
      <c r="U28" s="871"/>
      <c r="V28" s="871"/>
      <c r="W28" s="872"/>
      <c r="X28" s="50"/>
      <c r="Y28" s="50"/>
      <c r="Z28" s="462"/>
    </row>
    <row r="29" spans="1:26" ht="21" customHeight="1">
      <c r="A29" s="54"/>
      <c r="B29" s="58"/>
      <c r="C29" s="533" t="s">
        <v>368</v>
      </c>
      <c r="D29" s="534"/>
      <c r="E29" s="534"/>
      <c r="F29" s="763" t="s">
        <v>369</v>
      </c>
      <c r="G29" s="764"/>
      <c r="H29" s="764"/>
      <c r="I29" s="764"/>
      <c r="J29" s="764"/>
      <c r="K29" s="764"/>
      <c r="L29" s="895"/>
      <c r="M29" s="870">
        <v>0</v>
      </c>
      <c r="N29" s="871"/>
      <c r="O29" s="871"/>
      <c r="P29" s="871"/>
      <c r="Q29" s="872"/>
      <c r="R29" s="532"/>
      <c r="S29" s="870">
        <v>0</v>
      </c>
      <c r="T29" s="871"/>
      <c r="U29" s="871"/>
      <c r="V29" s="871"/>
      <c r="W29" s="872"/>
      <c r="X29" s="50"/>
      <c r="Y29" s="50"/>
      <c r="Z29" s="462"/>
    </row>
    <row r="30" spans="1:26" ht="21" customHeight="1">
      <c r="A30" s="54"/>
      <c r="B30" s="58"/>
      <c r="C30" s="542"/>
      <c r="D30" s="538"/>
      <c r="E30" s="538"/>
      <c r="F30" s="875" t="s">
        <v>427</v>
      </c>
      <c r="G30" s="876"/>
      <c r="H30" s="876"/>
      <c r="I30" s="876"/>
      <c r="J30" s="876"/>
      <c r="K30" s="876"/>
      <c r="L30" s="897"/>
      <c r="M30" s="870">
        <v>0</v>
      </c>
      <c r="N30" s="871"/>
      <c r="O30" s="871"/>
      <c r="P30" s="871"/>
      <c r="Q30" s="872"/>
      <c r="R30" s="532"/>
      <c r="S30" s="870">
        <v>0</v>
      </c>
      <c r="T30" s="871"/>
      <c r="U30" s="871"/>
      <c r="V30" s="871"/>
      <c r="W30" s="872"/>
      <c r="X30" s="50"/>
      <c r="Y30" s="50"/>
      <c r="Z30" s="462"/>
    </row>
    <row r="31" spans="1:26" ht="21" customHeight="1">
      <c r="A31" s="54"/>
      <c r="B31" s="58"/>
      <c r="C31" s="543" t="s">
        <v>383</v>
      </c>
      <c r="D31" s="544"/>
      <c r="E31" s="544"/>
      <c r="F31" s="885" t="s">
        <v>428</v>
      </c>
      <c r="G31" s="883"/>
      <c r="H31" s="883"/>
      <c r="I31" s="883"/>
      <c r="J31" s="883"/>
      <c r="K31" s="883"/>
      <c r="L31" s="898"/>
      <c r="M31" s="870">
        <v>0</v>
      </c>
      <c r="N31" s="871"/>
      <c r="O31" s="871"/>
      <c r="P31" s="871"/>
      <c r="Q31" s="872"/>
      <c r="R31" s="532"/>
      <c r="S31" s="870">
        <v>0</v>
      </c>
      <c r="T31" s="871"/>
      <c r="U31" s="871"/>
      <c r="V31" s="871"/>
      <c r="W31" s="872"/>
      <c r="X31" s="50"/>
      <c r="Y31" s="50"/>
      <c r="Z31" s="462"/>
    </row>
    <row r="32" spans="1:26" ht="21" customHeight="1">
      <c r="A32" s="54"/>
      <c r="B32" s="63"/>
      <c r="C32" s="886" t="s">
        <v>109</v>
      </c>
      <c r="D32" s="887"/>
      <c r="E32" s="887"/>
      <c r="F32" s="887"/>
      <c r="G32" s="887"/>
      <c r="H32" s="887"/>
      <c r="I32" s="887"/>
      <c r="J32" s="887"/>
      <c r="K32" s="887"/>
      <c r="L32" s="888"/>
      <c r="M32" s="889">
        <f>SUM(M24:Q31)</f>
        <v>0</v>
      </c>
      <c r="N32" s="890"/>
      <c r="O32" s="890"/>
      <c r="P32" s="890"/>
      <c r="Q32" s="891"/>
      <c r="R32" s="539"/>
      <c r="S32" s="889">
        <f>SUM(S24:W31)</f>
        <v>0</v>
      </c>
      <c r="T32" s="890"/>
      <c r="U32" s="890"/>
      <c r="V32" s="890"/>
      <c r="W32" s="891"/>
      <c r="X32" s="50"/>
      <c r="Y32" s="540"/>
      <c r="Z32" s="462"/>
    </row>
    <row r="33" spans="1:26" ht="21" customHeight="1">
      <c r="A33" s="54"/>
      <c r="B33" s="58"/>
      <c r="C33" s="58"/>
      <c r="D33" s="541"/>
      <c r="E33" s="541"/>
      <c r="F33" s="545"/>
      <c r="G33" s="58"/>
      <c r="H33" s="545"/>
      <c r="I33" s="58"/>
      <c r="J33" s="56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462"/>
    </row>
    <row r="34" spans="1:26" ht="21" customHeight="1">
      <c r="A34" s="54"/>
      <c r="B34" s="58"/>
      <c r="C34" s="56" t="s">
        <v>432</v>
      </c>
      <c r="D34" s="541"/>
      <c r="E34" s="541"/>
      <c r="F34" s="545"/>
      <c r="G34" s="58"/>
      <c r="H34" s="545"/>
      <c r="I34" s="58"/>
      <c r="J34" s="56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462"/>
    </row>
    <row r="35" spans="1:26" ht="21" customHeight="1">
      <c r="A35" s="54"/>
      <c r="B35" s="56"/>
      <c r="C35" s="899" t="s">
        <v>433</v>
      </c>
      <c r="D35" s="900"/>
      <c r="E35" s="900"/>
      <c r="F35" s="900"/>
      <c r="G35" s="901"/>
      <c r="H35" s="738">
        <v>0</v>
      </c>
      <c r="I35" s="738"/>
      <c r="J35" s="738"/>
      <c r="K35" s="738"/>
      <c r="L35" s="738"/>
      <c r="M35" s="739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462"/>
    </row>
    <row r="36" spans="1:26" ht="21" customHeight="1">
      <c r="A36" s="54"/>
      <c r="B36" s="56"/>
      <c r="C36" s="546"/>
      <c r="D36" s="546"/>
      <c r="E36" s="546"/>
      <c r="F36" s="546"/>
      <c r="G36" s="546"/>
      <c r="H36" s="546"/>
      <c r="I36" s="546"/>
      <c r="J36" s="546"/>
      <c r="K36" s="532"/>
      <c r="L36" s="532"/>
      <c r="M36" s="532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462"/>
    </row>
    <row r="37" spans="1:26" ht="21" customHeight="1">
      <c r="A37" s="54"/>
      <c r="B37" s="56"/>
      <c r="C37" s="899" t="s">
        <v>434</v>
      </c>
      <c r="D37" s="900"/>
      <c r="E37" s="900"/>
      <c r="F37" s="900"/>
      <c r="G37" s="901"/>
      <c r="H37" s="738">
        <v>0</v>
      </c>
      <c r="I37" s="738"/>
      <c r="J37" s="738"/>
      <c r="K37" s="738"/>
      <c r="L37" s="738"/>
      <c r="M37" s="739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462"/>
    </row>
    <row r="38" spans="1:26" ht="21" customHeight="1">
      <c r="A38" s="54"/>
      <c r="B38" s="56"/>
      <c r="C38" s="546"/>
      <c r="D38" s="546"/>
      <c r="E38" s="546"/>
      <c r="F38" s="546"/>
      <c r="G38" s="546"/>
      <c r="H38" s="546"/>
      <c r="I38" s="546"/>
      <c r="J38" s="546"/>
      <c r="K38" s="532"/>
      <c r="L38" s="532"/>
      <c r="M38" s="532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462"/>
    </row>
    <row r="39" spans="1:26" ht="21" customHeight="1">
      <c r="A39" s="54"/>
      <c r="B39" s="56"/>
      <c r="C39" s="899" t="s">
        <v>397</v>
      </c>
      <c r="D39" s="900"/>
      <c r="E39" s="900"/>
      <c r="F39" s="900"/>
      <c r="G39" s="901"/>
      <c r="H39" s="738">
        <v>0</v>
      </c>
      <c r="I39" s="738"/>
      <c r="J39" s="738"/>
      <c r="K39" s="738"/>
      <c r="L39" s="738"/>
      <c r="M39" s="739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462"/>
    </row>
    <row r="40" spans="1:26" ht="21" customHeight="1">
      <c r="A40" s="54"/>
      <c r="B40" s="56"/>
      <c r="C40" s="546"/>
      <c r="D40" s="546"/>
      <c r="E40" s="546"/>
      <c r="F40" s="546"/>
      <c r="G40" s="546"/>
      <c r="H40" s="546"/>
      <c r="I40" s="546"/>
      <c r="J40" s="546"/>
      <c r="K40" s="532"/>
      <c r="L40" s="532"/>
      <c r="M40" s="532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462"/>
    </row>
    <row r="41" spans="1:26" ht="21" customHeight="1">
      <c r="A41" s="54"/>
      <c r="B41" s="56"/>
      <c r="C41" s="899" t="s">
        <v>435</v>
      </c>
      <c r="D41" s="900"/>
      <c r="E41" s="900"/>
      <c r="F41" s="900"/>
      <c r="G41" s="901"/>
      <c r="H41" s="743">
        <f>H39-M20+M32-S32</f>
        <v>0</v>
      </c>
      <c r="I41" s="743"/>
      <c r="J41" s="743"/>
      <c r="K41" s="743"/>
      <c r="L41" s="743"/>
      <c r="M41" s="744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462"/>
    </row>
    <row r="42" spans="1:26" ht="12" customHeight="1">
      <c r="A42" s="54"/>
      <c r="B42" s="164"/>
      <c r="C42" s="165"/>
      <c r="D42" s="165"/>
      <c r="E42" s="165"/>
      <c r="F42" s="165"/>
      <c r="G42" s="165"/>
      <c r="H42" s="165"/>
      <c r="I42" s="165"/>
      <c r="J42" s="165"/>
      <c r="K42" s="165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54"/>
      <c r="Z42" s="462"/>
    </row>
  </sheetData>
  <sheetProtection selectLockedCells="1" selectUnlockedCells="1"/>
  <mergeCells count="80">
    <mergeCell ref="C41:G41"/>
    <mergeCell ref="H41:M41"/>
    <mergeCell ref="C35:G35"/>
    <mergeCell ref="H35:M35"/>
    <mergeCell ref="C37:G37"/>
    <mergeCell ref="H37:M37"/>
    <mergeCell ref="C39:G39"/>
    <mergeCell ref="H39:M39"/>
    <mergeCell ref="F31:L31"/>
    <mergeCell ref="M31:Q31"/>
    <mergeCell ref="S31:W31"/>
    <mergeCell ref="C32:L32"/>
    <mergeCell ref="M32:Q32"/>
    <mergeCell ref="S32:W32"/>
    <mergeCell ref="F29:L29"/>
    <mergeCell ref="M29:Q29"/>
    <mergeCell ref="S29:W29"/>
    <mergeCell ref="F30:L30"/>
    <mergeCell ref="M30:Q30"/>
    <mergeCell ref="S30:W30"/>
    <mergeCell ref="F27:L27"/>
    <mergeCell ref="M27:Q27"/>
    <mergeCell ref="S27:W27"/>
    <mergeCell ref="F28:L28"/>
    <mergeCell ref="M28:Q28"/>
    <mergeCell ref="S28:W28"/>
    <mergeCell ref="F25:L25"/>
    <mergeCell ref="M25:Q25"/>
    <mergeCell ref="S25:W25"/>
    <mergeCell ref="F26:L26"/>
    <mergeCell ref="M26:Q26"/>
    <mergeCell ref="S26:W26"/>
    <mergeCell ref="C23:L23"/>
    <mergeCell ref="M23:Q23"/>
    <mergeCell ref="S23:W23"/>
    <mergeCell ref="F24:L24"/>
    <mergeCell ref="M24:Q24"/>
    <mergeCell ref="S24:W24"/>
    <mergeCell ref="C19:E19"/>
    <mergeCell ref="F19:L19"/>
    <mergeCell ref="M19:Q19"/>
    <mergeCell ref="S19:W19"/>
    <mergeCell ref="C20:L20"/>
    <mergeCell ref="M20:Q20"/>
    <mergeCell ref="S20:W20"/>
    <mergeCell ref="C17:E17"/>
    <mergeCell ref="F17:L17"/>
    <mergeCell ref="M17:Q17"/>
    <mergeCell ref="S17:W17"/>
    <mergeCell ref="C18:E18"/>
    <mergeCell ref="F18:L18"/>
    <mergeCell ref="M18:Q18"/>
    <mergeCell ref="S18:W18"/>
    <mergeCell ref="C15:E15"/>
    <mergeCell ref="F15:L15"/>
    <mergeCell ref="M15:Q15"/>
    <mergeCell ref="S15:W15"/>
    <mergeCell ref="C16:E16"/>
    <mergeCell ref="F16:L16"/>
    <mergeCell ref="M16:Q16"/>
    <mergeCell ref="S16:W16"/>
    <mergeCell ref="F13:L13"/>
    <mergeCell ref="M13:Q13"/>
    <mergeCell ref="S13:W13"/>
    <mergeCell ref="F14:L14"/>
    <mergeCell ref="M14:Q14"/>
    <mergeCell ref="S14:W14"/>
    <mergeCell ref="T10:W10"/>
    <mergeCell ref="C11:L11"/>
    <mergeCell ref="M11:Q11"/>
    <mergeCell ref="S11:W11"/>
    <mergeCell ref="F12:L12"/>
    <mergeCell ref="M12:Q12"/>
    <mergeCell ref="S12:W12"/>
    <mergeCell ref="A3:Y3"/>
    <mergeCell ref="A4:Y4"/>
    <mergeCell ref="R5:U5"/>
    <mergeCell ref="V5:Y5"/>
    <mergeCell ref="R6:U6"/>
    <mergeCell ref="V6:Y6"/>
  </mergeCells>
  <phoneticPr fontId="35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178"/>
  <sheetViews>
    <sheetView showGridLines="0" workbookViewId="0"/>
  </sheetViews>
  <sheetFormatPr defaultColWidth="6.21875" defaultRowHeight="15" customHeight="1"/>
  <cols>
    <col min="1" max="4" width="1.88671875" customWidth="1"/>
    <col min="5" max="5" width="24.77734375" customWidth="1"/>
    <col min="6" max="6" width="26" customWidth="1"/>
    <col min="7" max="7" width="15.109375" customWidth="1"/>
    <col min="8" max="8" width="11.88671875" customWidth="1"/>
    <col min="9" max="10" width="16.33203125" customWidth="1"/>
    <col min="11" max="12" width="1.88671875" customWidth="1"/>
  </cols>
  <sheetData>
    <row r="1" spans="1:14" ht="17.25" customHeight="1">
      <c r="A1" s="547" t="s">
        <v>436</v>
      </c>
      <c r="B1" s="547"/>
      <c r="C1" s="547"/>
      <c r="D1" s="547"/>
      <c r="E1" s="547"/>
      <c r="F1" s="547"/>
      <c r="G1" s="547"/>
      <c r="H1" s="547"/>
      <c r="I1" s="547"/>
      <c r="J1" s="548"/>
      <c r="K1" s="549"/>
      <c r="L1" s="549"/>
      <c r="M1" s="550"/>
      <c r="N1" s="550"/>
    </row>
    <row r="2" spans="1:14" ht="17.25" customHeight="1">
      <c r="A2" s="547"/>
      <c r="B2" s="547"/>
      <c r="C2" s="547"/>
      <c r="D2" s="547"/>
      <c r="E2" s="547"/>
      <c r="F2" s="547"/>
      <c r="G2" s="547"/>
      <c r="H2" s="547"/>
      <c r="I2" s="547"/>
      <c r="J2" s="548"/>
      <c r="K2" s="549"/>
      <c r="L2" s="549"/>
      <c r="M2" s="550"/>
      <c r="N2" s="550"/>
    </row>
    <row r="3" spans="1:14" ht="24" customHeight="1">
      <c r="A3" s="902" t="s">
        <v>1</v>
      </c>
      <c r="B3" s="902"/>
      <c r="C3" s="902"/>
      <c r="D3" s="902"/>
      <c r="E3" s="902"/>
      <c r="F3" s="902"/>
      <c r="G3" s="902"/>
      <c r="H3" s="902"/>
      <c r="I3" s="902"/>
      <c r="J3" s="902"/>
      <c r="K3" s="902"/>
      <c r="L3" s="902"/>
      <c r="M3" s="550"/>
      <c r="N3" s="550"/>
    </row>
    <row r="4" spans="1:14" ht="24" customHeight="1">
      <c r="A4" s="776" t="s">
        <v>2</v>
      </c>
      <c r="B4" s="776"/>
      <c r="C4" s="776"/>
      <c r="D4" s="776"/>
      <c r="E4" s="776"/>
      <c r="F4" s="776"/>
      <c r="G4" s="776"/>
      <c r="H4" s="776"/>
      <c r="I4" s="776"/>
      <c r="J4" s="776"/>
      <c r="K4" s="776"/>
      <c r="L4" s="776"/>
      <c r="M4" s="550"/>
      <c r="N4" s="550"/>
    </row>
    <row r="5" spans="1:14" ht="15.75" customHeight="1">
      <c r="A5" s="551"/>
      <c r="B5" s="547"/>
      <c r="C5" s="547"/>
      <c r="D5" s="547"/>
      <c r="E5" s="547"/>
      <c r="F5" s="547"/>
      <c r="G5" s="547"/>
      <c r="H5" s="552"/>
      <c r="I5" s="553" t="s">
        <v>3</v>
      </c>
      <c r="J5" s="554" t="s">
        <v>4</v>
      </c>
      <c r="K5" s="555"/>
      <c r="L5" s="555"/>
      <c r="M5" s="550"/>
      <c r="N5" s="550"/>
    </row>
    <row r="6" spans="1:14" ht="15.75" customHeight="1">
      <c r="A6" s="551"/>
      <c r="B6" s="547"/>
      <c r="C6" s="547"/>
      <c r="D6" s="547"/>
      <c r="E6" s="547"/>
      <c r="F6" s="547"/>
      <c r="G6" s="547"/>
      <c r="H6" s="552"/>
      <c r="I6" s="556" t="s">
        <v>5</v>
      </c>
      <c r="J6" s="557" t="s">
        <v>6</v>
      </c>
      <c r="K6" s="555"/>
      <c r="L6" s="555"/>
      <c r="M6" s="550"/>
      <c r="N6" s="550"/>
    </row>
    <row r="7" spans="1:14" ht="9.75" customHeight="1">
      <c r="A7" s="558"/>
      <c r="B7" s="558"/>
      <c r="C7" s="558"/>
      <c r="D7" s="558"/>
      <c r="E7" s="558"/>
      <c r="F7" s="558"/>
      <c r="G7" s="558"/>
      <c r="H7" s="558"/>
      <c r="I7" s="558"/>
      <c r="J7" s="558"/>
      <c r="K7" s="559"/>
      <c r="L7" s="559"/>
      <c r="M7" s="550"/>
      <c r="N7" s="550"/>
    </row>
    <row r="8" spans="1:14" ht="17.25" customHeight="1">
      <c r="A8" s="558"/>
      <c r="B8" s="560" t="s">
        <v>437</v>
      </c>
      <c r="C8" s="558"/>
      <c r="D8" s="558"/>
      <c r="E8" s="558"/>
      <c r="F8" s="558"/>
      <c r="G8" s="558"/>
      <c r="H8" s="558"/>
      <c r="I8" s="560"/>
      <c r="J8" s="560"/>
      <c r="K8" s="559"/>
      <c r="L8" s="559"/>
      <c r="M8" s="550"/>
      <c r="N8" s="550"/>
    </row>
    <row r="9" spans="1:14" ht="17.25" customHeight="1">
      <c r="A9" s="558"/>
      <c r="B9" s="560"/>
      <c r="C9" s="558" t="s">
        <v>438</v>
      </c>
      <c r="D9" s="558"/>
      <c r="E9" s="558"/>
      <c r="F9" s="558"/>
      <c r="G9" s="558"/>
      <c r="H9" s="558"/>
      <c r="I9" s="560"/>
      <c r="J9" s="560"/>
      <c r="K9" s="559"/>
      <c r="L9" s="559"/>
      <c r="M9" s="550"/>
      <c r="N9" s="550"/>
    </row>
    <row r="10" spans="1:14" ht="17.25" customHeight="1">
      <c r="A10" s="558"/>
      <c r="B10" s="560"/>
      <c r="C10" s="558"/>
      <c r="D10" s="558"/>
      <c r="E10" s="561"/>
      <c r="F10" s="561"/>
      <c r="G10" s="561"/>
      <c r="H10" s="561"/>
      <c r="I10" s="562" t="s">
        <v>310</v>
      </c>
      <c r="J10" s="560"/>
      <c r="K10" s="559"/>
      <c r="L10" s="559"/>
      <c r="M10" s="550"/>
      <c r="N10" s="550"/>
    </row>
    <row r="11" spans="1:14" ht="20.25" customHeight="1">
      <c r="A11" s="558"/>
      <c r="B11" s="558"/>
      <c r="C11" s="558"/>
      <c r="D11" s="563" t="s">
        <v>439</v>
      </c>
      <c r="E11" s="564"/>
      <c r="F11" s="564"/>
      <c r="G11" s="564"/>
      <c r="H11" s="564"/>
      <c r="I11" s="565">
        <v>0</v>
      </c>
      <c r="J11" s="560"/>
      <c r="K11" s="559"/>
      <c r="L11" s="559"/>
      <c r="M11" s="550"/>
      <c r="N11" s="550"/>
    </row>
    <row r="12" spans="1:14" ht="20.25" customHeight="1">
      <c r="A12" s="558"/>
      <c r="B12" s="551"/>
      <c r="C12" s="558"/>
      <c r="D12" s="558"/>
      <c r="E12" s="558"/>
      <c r="F12" s="558"/>
      <c r="G12" s="558"/>
      <c r="H12" s="558"/>
      <c r="I12" s="566"/>
      <c r="J12" s="560"/>
      <c r="K12" s="559"/>
      <c r="L12" s="559"/>
      <c r="M12" s="550"/>
      <c r="N12" s="550"/>
    </row>
    <row r="13" spans="1:14" ht="20.25" customHeight="1">
      <c r="A13" s="558"/>
      <c r="B13" s="558"/>
      <c r="C13" s="558"/>
      <c r="D13" s="558"/>
      <c r="E13" s="558"/>
      <c r="F13" s="560"/>
      <c r="G13" s="567"/>
      <c r="H13" s="558"/>
      <c r="I13" s="558"/>
      <c r="J13" s="567"/>
      <c r="K13" s="559"/>
      <c r="L13" s="559"/>
      <c r="M13" s="550"/>
      <c r="N13" s="550"/>
    </row>
    <row r="14" spans="1:14" ht="20.25" customHeight="1">
      <c r="A14" s="558"/>
      <c r="B14" s="560" t="s">
        <v>440</v>
      </c>
      <c r="C14" s="558"/>
      <c r="D14" s="558"/>
      <c r="E14" s="558"/>
      <c r="F14" s="560"/>
      <c r="G14" s="567"/>
      <c r="H14" s="558"/>
      <c r="I14" s="558"/>
      <c r="J14" s="567"/>
      <c r="K14" s="559"/>
      <c r="L14" s="559"/>
      <c r="M14" s="550"/>
      <c r="N14" s="550"/>
    </row>
    <row r="15" spans="1:14" ht="20.25" customHeight="1">
      <c r="A15" s="558"/>
      <c r="B15" s="558"/>
      <c r="C15" s="558" t="s">
        <v>441</v>
      </c>
      <c r="D15" s="558"/>
      <c r="E15" s="558"/>
      <c r="F15" s="560"/>
      <c r="G15" s="567"/>
      <c r="H15" s="568"/>
      <c r="I15" s="558"/>
      <c r="J15" s="567"/>
      <c r="K15" s="559"/>
      <c r="L15" s="559"/>
      <c r="M15" s="550"/>
      <c r="N15" s="550"/>
    </row>
    <row r="16" spans="1:14" ht="20.25" customHeight="1">
      <c r="A16" s="558"/>
      <c r="B16" s="558"/>
      <c r="C16" s="558"/>
      <c r="D16" s="558" t="s">
        <v>442</v>
      </c>
      <c r="E16" s="558"/>
      <c r="F16" s="560"/>
      <c r="G16" s="567"/>
      <c r="H16" s="568"/>
      <c r="I16" s="558"/>
      <c r="J16" s="567"/>
      <c r="K16" s="559"/>
      <c r="L16" s="559"/>
      <c r="M16" s="550"/>
      <c r="N16" s="550"/>
    </row>
    <row r="17" spans="1:14" ht="20.25" customHeight="1">
      <c r="A17" s="558"/>
      <c r="B17" s="558"/>
      <c r="C17" s="558"/>
      <c r="D17" s="558"/>
      <c r="E17" s="569"/>
      <c r="F17" s="560"/>
      <c r="G17" s="567"/>
      <c r="H17" s="568"/>
      <c r="I17" s="562" t="s">
        <v>310</v>
      </c>
      <c r="J17" s="567"/>
      <c r="K17" s="559"/>
      <c r="L17" s="559"/>
      <c r="M17" s="550"/>
      <c r="N17" s="550"/>
    </row>
    <row r="18" spans="1:14" ht="20.25" customHeight="1">
      <c r="A18" s="558"/>
      <c r="B18" s="558"/>
      <c r="C18" s="558"/>
      <c r="D18" s="570"/>
      <c r="E18" s="571" t="s">
        <v>109</v>
      </c>
      <c r="F18" s="571"/>
      <c r="G18" s="571"/>
      <c r="H18" s="572"/>
      <c r="I18" s="573">
        <v>0</v>
      </c>
      <c r="J18" s="567"/>
      <c r="K18" s="559"/>
      <c r="L18" s="559"/>
      <c r="M18" s="550"/>
      <c r="N18" s="550"/>
    </row>
    <row r="19" spans="1:14" ht="20.25" customHeight="1">
      <c r="A19" s="558"/>
      <c r="B19" s="558"/>
      <c r="C19" s="558"/>
      <c r="D19" s="574"/>
      <c r="E19" s="575" t="s">
        <v>443</v>
      </c>
      <c r="F19" s="576"/>
      <c r="G19" s="576"/>
      <c r="H19" s="576"/>
      <c r="I19" s="577">
        <v>0</v>
      </c>
      <c r="J19" s="567"/>
      <c r="K19" s="559"/>
      <c r="L19" s="559"/>
      <c r="M19" s="550"/>
      <c r="N19" s="550"/>
    </row>
    <row r="20" spans="1:14" ht="20.25" customHeight="1">
      <c r="A20" s="558"/>
      <c r="B20" s="558"/>
      <c r="C20" s="578"/>
      <c r="D20" s="579"/>
      <c r="E20" s="576" t="s">
        <v>444</v>
      </c>
      <c r="F20" s="580" t="str">
        <f>H20&amp;"　当初（変更）交付決定額"</f>
        <v>令和7年度　当初（変更）交付決定額</v>
      </c>
      <c r="G20" s="581"/>
      <c r="H20" s="582" t="s">
        <v>445</v>
      </c>
      <c r="I20" s="577">
        <v>0</v>
      </c>
      <c r="J20" s="558"/>
      <c r="K20" s="559"/>
      <c r="L20" s="559"/>
      <c r="M20" s="550"/>
      <c r="N20" s="550"/>
    </row>
    <row r="21" spans="1:14" ht="20.25" customHeight="1">
      <c r="A21" s="558"/>
      <c r="B21" s="558"/>
      <c r="C21" s="578"/>
      <c r="D21" s="579"/>
      <c r="E21" s="576"/>
      <c r="F21" s="580" t="str">
        <f>H21&amp;"　確定後の精算交付額（追加交付額）"</f>
        <v>令和6年度　確定後の精算交付額（追加交付額）</v>
      </c>
      <c r="G21" s="581"/>
      <c r="H21" s="583" t="s">
        <v>446</v>
      </c>
      <c r="I21" s="584">
        <v>0</v>
      </c>
      <c r="J21" s="558"/>
      <c r="K21" s="559"/>
      <c r="L21" s="559"/>
      <c r="M21" s="550"/>
      <c r="N21" s="550"/>
    </row>
    <row r="22" spans="1:14" ht="20.25" customHeight="1">
      <c r="A22" s="558"/>
      <c r="B22" s="558"/>
      <c r="C22" s="578"/>
      <c r="D22" s="579"/>
      <c r="E22" s="576"/>
      <c r="F22" s="580" t="s">
        <v>447</v>
      </c>
      <c r="G22" s="581"/>
      <c r="H22" s="583" t="s">
        <v>448</v>
      </c>
      <c r="I22" s="584">
        <v>0</v>
      </c>
      <c r="J22" s="558"/>
      <c r="K22" s="559"/>
      <c r="L22" s="559"/>
      <c r="M22" s="550"/>
      <c r="N22" s="550"/>
    </row>
    <row r="23" spans="1:14" ht="20.25" customHeight="1">
      <c r="A23" s="558"/>
      <c r="B23" s="558"/>
      <c r="C23" s="578"/>
      <c r="D23" s="579"/>
      <c r="E23" s="576"/>
      <c r="F23" s="585"/>
      <c r="G23" s="576"/>
      <c r="H23" s="583" t="s">
        <v>449</v>
      </c>
      <c r="I23" s="584">
        <v>0</v>
      </c>
      <c r="J23" s="558"/>
      <c r="K23" s="559"/>
      <c r="L23" s="559"/>
      <c r="M23" s="550"/>
      <c r="N23" s="550"/>
    </row>
    <row r="24" spans="1:14" ht="20.25" customHeight="1">
      <c r="A24" s="558"/>
      <c r="B24" s="558"/>
      <c r="C24" s="578"/>
      <c r="D24" s="579"/>
      <c r="E24" s="576"/>
      <c r="F24" s="585"/>
      <c r="G24" s="576"/>
      <c r="H24" s="583" t="s">
        <v>450</v>
      </c>
      <c r="I24" s="584">
        <v>0</v>
      </c>
      <c r="J24" s="558"/>
      <c r="K24" s="559"/>
      <c r="L24" s="559"/>
      <c r="M24" s="550"/>
      <c r="N24" s="550"/>
    </row>
    <row r="25" spans="1:14" ht="20.25" customHeight="1">
      <c r="A25" s="558"/>
      <c r="B25" s="558"/>
      <c r="C25" s="578"/>
      <c r="D25" s="579"/>
      <c r="E25" s="576"/>
      <c r="F25" s="585"/>
      <c r="G25" s="576"/>
      <c r="H25" s="583" t="s">
        <v>451</v>
      </c>
      <c r="I25" s="584">
        <v>0</v>
      </c>
      <c r="J25" s="558"/>
      <c r="K25" s="559"/>
      <c r="L25" s="559"/>
      <c r="M25" s="550"/>
      <c r="N25" s="550"/>
    </row>
    <row r="26" spans="1:14" ht="20.25" customHeight="1">
      <c r="A26" s="558"/>
      <c r="B26" s="558"/>
      <c r="C26" s="578"/>
      <c r="D26" s="579"/>
      <c r="E26" s="576"/>
      <c r="F26" s="586"/>
      <c r="G26" s="587"/>
      <c r="H26" s="583" t="s">
        <v>452</v>
      </c>
      <c r="I26" s="584">
        <v>0</v>
      </c>
      <c r="J26" s="558"/>
      <c r="K26" s="559"/>
      <c r="L26" s="559"/>
      <c r="M26" s="550"/>
      <c r="N26" s="550"/>
    </row>
    <row r="27" spans="1:14" ht="20.25" customHeight="1">
      <c r="A27" s="558"/>
      <c r="B27" s="558"/>
      <c r="C27" s="558"/>
      <c r="D27" s="579"/>
      <c r="E27" s="576"/>
      <c r="F27" s="585" t="str">
        <f>H21&amp;"　確定に伴う返還額"</f>
        <v>令和6年度　確定に伴う返還額</v>
      </c>
      <c r="G27" s="576"/>
      <c r="H27" s="586" t="str">
        <f t="shared" ref="H27:H32" si="0">H21</f>
        <v>令和6年度</v>
      </c>
      <c r="I27" s="577">
        <v>0</v>
      </c>
      <c r="J27" s="567"/>
      <c r="K27" s="559"/>
      <c r="L27" s="559"/>
      <c r="M27" s="550"/>
      <c r="N27" s="550"/>
    </row>
    <row r="28" spans="1:14" ht="20.25" customHeight="1">
      <c r="A28" s="558"/>
      <c r="B28" s="558"/>
      <c r="C28" s="558"/>
      <c r="D28" s="579"/>
      <c r="E28" s="576"/>
      <c r="F28" s="580" t="s">
        <v>453</v>
      </c>
      <c r="G28" s="581"/>
      <c r="H28" s="583" t="str">
        <f t="shared" si="0"/>
        <v>令和5年度</v>
      </c>
      <c r="I28" s="584">
        <v>0</v>
      </c>
      <c r="J28" s="567"/>
      <c r="K28" s="559"/>
      <c r="L28" s="559"/>
      <c r="M28" s="550"/>
      <c r="N28" s="550"/>
    </row>
    <row r="29" spans="1:14" ht="20.25" customHeight="1">
      <c r="A29" s="558"/>
      <c r="B29" s="558"/>
      <c r="C29" s="558"/>
      <c r="D29" s="579"/>
      <c r="E29" s="576"/>
      <c r="F29" s="585"/>
      <c r="G29" s="576"/>
      <c r="H29" s="583" t="str">
        <f t="shared" si="0"/>
        <v>令和4年度</v>
      </c>
      <c r="I29" s="584">
        <v>0</v>
      </c>
      <c r="J29" s="567"/>
      <c r="K29" s="559"/>
      <c r="L29" s="559"/>
      <c r="M29" s="550"/>
      <c r="N29" s="550"/>
    </row>
    <row r="30" spans="1:14" ht="20.25" customHeight="1">
      <c r="A30" s="558"/>
      <c r="B30" s="558"/>
      <c r="C30" s="558"/>
      <c r="D30" s="579"/>
      <c r="E30" s="576"/>
      <c r="F30" s="585"/>
      <c r="G30" s="576"/>
      <c r="H30" s="583" t="str">
        <f t="shared" si="0"/>
        <v>令和3年度</v>
      </c>
      <c r="I30" s="584">
        <v>0</v>
      </c>
      <c r="J30" s="567"/>
      <c r="K30" s="559"/>
      <c r="L30" s="559"/>
      <c r="M30" s="550"/>
      <c r="N30" s="550"/>
    </row>
    <row r="31" spans="1:14" ht="20.25" customHeight="1">
      <c r="A31" s="558"/>
      <c r="B31" s="558"/>
      <c r="C31" s="558"/>
      <c r="D31" s="579"/>
      <c r="E31" s="576"/>
      <c r="F31" s="585"/>
      <c r="G31" s="576"/>
      <c r="H31" s="583" t="str">
        <f t="shared" si="0"/>
        <v>令和2年度</v>
      </c>
      <c r="I31" s="584">
        <v>0</v>
      </c>
      <c r="J31" s="567"/>
      <c r="K31" s="559"/>
      <c r="L31" s="559"/>
      <c r="M31" s="550"/>
      <c r="N31" s="550"/>
    </row>
    <row r="32" spans="1:14" ht="20.25" customHeight="1">
      <c r="A32" s="558"/>
      <c r="B32" s="558"/>
      <c r="C32" s="558"/>
      <c r="D32" s="588"/>
      <c r="E32" s="589"/>
      <c r="F32" s="590"/>
      <c r="G32" s="589"/>
      <c r="H32" s="591" t="str">
        <f t="shared" si="0"/>
        <v>令和元年度</v>
      </c>
      <c r="I32" s="592">
        <v>0</v>
      </c>
      <c r="J32" s="567"/>
      <c r="K32" s="559"/>
      <c r="L32" s="559"/>
      <c r="M32" s="550"/>
      <c r="N32" s="550"/>
    </row>
    <row r="33" spans="1:14" ht="20.25" customHeight="1">
      <c r="A33" s="558"/>
      <c r="B33" s="558"/>
      <c r="C33" s="558"/>
      <c r="D33" s="558"/>
      <c r="E33" s="558"/>
      <c r="F33" s="558"/>
      <c r="G33" s="567"/>
      <c r="H33" s="558"/>
      <c r="I33" s="558"/>
      <c r="J33" s="567"/>
      <c r="K33" s="559"/>
      <c r="L33" s="559"/>
      <c r="M33" s="550"/>
      <c r="N33" s="550"/>
    </row>
    <row r="34" spans="1:14" ht="20.25" customHeight="1">
      <c r="A34" s="558"/>
      <c r="B34" s="558"/>
      <c r="C34" s="558"/>
      <c r="D34" s="558"/>
      <c r="E34" s="558"/>
      <c r="F34" s="558"/>
      <c r="G34" s="567"/>
      <c r="H34" s="558"/>
      <c r="I34" s="558"/>
      <c r="J34" s="567"/>
      <c r="K34" s="559"/>
      <c r="L34" s="559"/>
      <c r="M34" s="550"/>
      <c r="N34" s="550"/>
    </row>
    <row r="35" spans="1:14" ht="20.25" customHeight="1">
      <c r="A35" s="558"/>
      <c r="B35" s="558"/>
      <c r="C35" s="558" t="s">
        <v>454</v>
      </c>
      <c r="D35" s="558"/>
      <c r="E35" s="558"/>
      <c r="F35" s="558"/>
      <c r="G35" s="567"/>
      <c r="H35" s="558"/>
      <c r="I35" s="558"/>
      <c r="J35" s="567"/>
      <c r="K35" s="559"/>
      <c r="L35" s="559"/>
      <c r="M35" s="550"/>
      <c r="N35" s="550"/>
    </row>
    <row r="36" spans="1:14" ht="20.25" customHeight="1">
      <c r="A36" s="558"/>
      <c r="B36" s="558"/>
      <c r="C36" s="558"/>
      <c r="D36" s="558"/>
      <c r="E36" s="569"/>
      <c r="F36" s="560"/>
      <c r="G36" s="567"/>
      <c r="H36" s="568"/>
      <c r="I36" s="562" t="s">
        <v>310</v>
      </c>
      <c r="J36" s="567"/>
      <c r="K36" s="559"/>
      <c r="L36" s="559"/>
      <c r="M36" s="550"/>
      <c r="N36" s="550"/>
    </row>
    <row r="37" spans="1:14" ht="20.25" customHeight="1">
      <c r="A37" s="558"/>
      <c r="B37" s="558"/>
      <c r="C37" s="558"/>
      <c r="D37" s="593" t="s">
        <v>109</v>
      </c>
      <c r="E37" s="594"/>
      <c r="F37" s="594"/>
      <c r="G37" s="594"/>
      <c r="H37" s="594"/>
      <c r="I37" s="595">
        <v>0</v>
      </c>
      <c r="J37" s="558"/>
      <c r="K37" s="559"/>
      <c r="L37" s="559"/>
      <c r="M37" s="550"/>
      <c r="N37" s="550"/>
    </row>
    <row r="38" spans="1:14" ht="20.25" customHeight="1">
      <c r="A38" s="558"/>
      <c r="B38" s="558"/>
      <c r="C38" s="558"/>
      <c r="D38" s="579"/>
      <c r="E38" s="576" t="s">
        <v>455</v>
      </c>
      <c r="F38" s="586" t="str">
        <f>H20&amp;"　普通調整交付金"</f>
        <v>令和7年度　普通調整交付金</v>
      </c>
      <c r="G38" s="587"/>
      <c r="H38" s="596"/>
      <c r="I38" s="597">
        <v>0</v>
      </c>
      <c r="J38" s="558"/>
      <c r="K38" s="559"/>
      <c r="L38" s="559"/>
      <c r="M38" s="550"/>
      <c r="N38" s="550"/>
    </row>
    <row r="39" spans="1:14" ht="20.25" customHeight="1">
      <c r="A39" s="558"/>
      <c r="B39" s="558"/>
      <c r="C39" s="558"/>
      <c r="D39" s="598"/>
      <c r="E39" s="599"/>
      <c r="F39" s="591" t="str">
        <f>H20&amp;"　特別調整交付金"</f>
        <v>令和7年度　特別調整交付金</v>
      </c>
      <c r="G39" s="600"/>
      <c r="H39" s="601"/>
      <c r="I39" s="602">
        <v>0</v>
      </c>
      <c r="J39" s="558"/>
      <c r="K39" s="559"/>
      <c r="L39" s="559"/>
      <c r="M39" s="550"/>
      <c r="N39" s="550"/>
    </row>
    <row r="40" spans="1:14" ht="20.25" customHeight="1">
      <c r="A40" s="558"/>
      <c r="B40" s="558"/>
      <c r="C40" s="558"/>
      <c r="D40" s="558"/>
      <c r="E40" s="558"/>
      <c r="F40" s="558"/>
      <c r="G40" s="567"/>
      <c r="H40" s="558"/>
      <c r="I40" s="558"/>
      <c r="J40" s="567"/>
      <c r="K40" s="559"/>
      <c r="L40" s="559"/>
      <c r="M40" s="550"/>
      <c r="N40" s="550"/>
    </row>
    <row r="41" spans="1:14" ht="20.25" customHeight="1">
      <c r="A41" s="558"/>
      <c r="B41" s="558"/>
      <c r="C41" s="558"/>
      <c r="D41" s="558"/>
      <c r="E41" s="558"/>
      <c r="F41" s="558"/>
      <c r="G41" s="567"/>
      <c r="H41" s="558"/>
      <c r="I41" s="558"/>
      <c r="J41" s="567"/>
      <c r="K41" s="559"/>
      <c r="L41" s="559"/>
      <c r="M41" s="550"/>
      <c r="N41" s="550"/>
    </row>
    <row r="42" spans="1:14" ht="20.25" customHeight="1">
      <c r="A42" s="558"/>
      <c r="B42" s="558"/>
      <c r="C42" s="903" t="s">
        <v>456</v>
      </c>
      <c r="D42" s="903"/>
      <c r="E42" s="903"/>
      <c r="F42" s="903"/>
      <c r="G42" s="903"/>
      <c r="H42" s="903"/>
      <c r="I42" s="903"/>
      <c r="J42" s="903"/>
      <c r="K42" s="559"/>
      <c r="L42" s="559"/>
      <c r="M42" s="550"/>
      <c r="N42" s="550"/>
    </row>
    <row r="43" spans="1:14" ht="20.25" customHeight="1">
      <c r="A43" s="558"/>
      <c r="B43" s="558"/>
      <c r="C43" s="903"/>
      <c r="D43" s="903"/>
      <c r="E43" s="903"/>
      <c r="F43" s="903"/>
      <c r="G43" s="903"/>
      <c r="H43" s="903"/>
      <c r="I43" s="903"/>
      <c r="J43" s="903"/>
      <c r="K43" s="559"/>
      <c r="L43" s="559"/>
      <c r="M43" s="550"/>
      <c r="N43" s="550"/>
    </row>
    <row r="44" spans="1:14" ht="20.25" customHeight="1">
      <c r="A44" s="558"/>
      <c r="B44" s="558"/>
      <c r="C44" s="603"/>
      <c r="D44" s="903" t="s">
        <v>457</v>
      </c>
      <c r="E44" s="903"/>
      <c r="F44" s="903"/>
      <c r="G44" s="903"/>
      <c r="H44" s="903"/>
      <c r="I44" s="903"/>
      <c r="J44" s="903"/>
      <c r="K44" s="559"/>
      <c r="L44" s="559"/>
      <c r="M44" s="550"/>
      <c r="N44" s="550"/>
    </row>
    <row r="45" spans="1:14" ht="20.25" customHeight="1">
      <c r="A45" s="558"/>
      <c r="B45" s="558"/>
      <c r="C45" s="603"/>
      <c r="D45" s="903"/>
      <c r="E45" s="903"/>
      <c r="F45" s="903"/>
      <c r="G45" s="903"/>
      <c r="H45" s="903"/>
      <c r="I45" s="903"/>
      <c r="J45" s="903"/>
      <c r="K45" s="559"/>
      <c r="L45" s="559"/>
      <c r="M45" s="550"/>
      <c r="N45" s="550"/>
    </row>
    <row r="46" spans="1:14" ht="20.25" customHeight="1">
      <c r="A46" s="558"/>
      <c r="B46" s="558"/>
      <c r="C46" s="558"/>
      <c r="D46" s="558"/>
      <c r="E46" s="558"/>
      <c r="F46" s="558"/>
      <c r="G46" s="567"/>
      <c r="H46" s="558"/>
      <c r="I46" s="562" t="s">
        <v>310</v>
      </c>
      <c r="J46" s="567"/>
      <c r="K46" s="559"/>
      <c r="L46" s="559"/>
      <c r="M46" s="550"/>
      <c r="N46" s="550"/>
    </row>
    <row r="47" spans="1:14" ht="20.25" customHeight="1">
      <c r="A47" s="558"/>
      <c r="B47" s="558"/>
      <c r="C47" s="558"/>
      <c r="D47" s="570" t="s">
        <v>355</v>
      </c>
      <c r="E47" s="571"/>
      <c r="F47" s="571"/>
      <c r="G47" s="571"/>
      <c r="H47" s="572"/>
      <c r="I47" s="573">
        <v>0</v>
      </c>
      <c r="J47" s="558"/>
      <c r="K47" s="559"/>
      <c r="L47" s="559"/>
      <c r="M47" s="550"/>
      <c r="N47" s="550"/>
    </row>
    <row r="48" spans="1:14" ht="20.25" customHeight="1">
      <c r="A48" s="558"/>
      <c r="B48" s="558"/>
      <c r="C48" s="558"/>
      <c r="D48" s="574" t="s">
        <v>357</v>
      </c>
      <c r="E48" s="575"/>
      <c r="F48" s="576"/>
      <c r="G48" s="576"/>
      <c r="H48" s="576"/>
      <c r="I48" s="577">
        <v>0</v>
      </c>
      <c r="J48" s="558"/>
      <c r="K48" s="559"/>
      <c r="L48" s="559"/>
      <c r="M48" s="550"/>
      <c r="N48" s="550"/>
    </row>
    <row r="49" spans="1:14" ht="20.25" customHeight="1">
      <c r="A49" s="558"/>
      <c r="B49" s="558"/>
      <c r="C49" s="558"/>
      <c r="D49" s="574"/>
      <c r="E49" s="604" t="s">
        <v>458</v>
      </c>
      <c r="F49" s="580" t="str">
        <f>H20&amp;"　当初（変更）交付決定額"</f>
        <v>令和7年度　当初（変更）交付決定額</v>
      </c>
      <c r="G49" s="581"/>
      <c r="H49" s="605" t="s">
        <v>459</v>
      </c>
      <c r="I49" s="584">
        <v>0</v>
      </c>
      <c r="J49" s="558"/>
      <c r="K49" s="559"/>
      <c r="L49" s="559"/>
      <c r="M49" s="550"/>
      <c r="N49" s="550"/>
    </row>
    <row r="50" spans="1:14" ht="20.25" customHeight="1">
      <c r="A50" s="558"/>
      <c r="B50" s="558"/>
      <c r="C50" s="558"/>
      <c r="D50" s="574"/>
      <c r="E50" s="606"/>
      <c r="F50" s="585"/>
      <c r="G50" s="576"/>
      <c r="H50" s="605" t="s">
        <v>353</v>
      </c>
      <c r="I50" s="584">
        <v>0</v>
      </c>
      <c r="J50" s="558"/>
      <c r="K50" s="559"/>
      <c r="L50" s="559"/>
      <c r="M50" s="550"/>
      <c r="N50" s="550"/>
    </row>
    <row r="51" spans="1:14" ht="20.25" customHeight="1">
      <c r="A51" s="558"/>
      <c r="B51" s="558"/>
      <c r="C51" s="558"/>
      <c r="D51" s="574"/>
      <c r="E51" s="606"/>
      <c r="F51" s="585"/>
      <c r="G51" s="576"/>
      <c r="H51" s="605" t="s">
        <v>460</v>
      </c>
      <c r="I51" s="584">
        <v>0</v>
      </c>
      <c r="J51" s="558"/>
      <c r="K51" s="559"/>
      <c r="L51" s="559"/>
      <c r="M51" s="550"/>
      <c r="N51" s="550"/>
    </row>
    <row r="52" spans="1:14" ht="20.25" customHeight="1">
      <c r="A52" s="558"/>
      <c r="B52" s="558"/>
      <c r="C52" s="558"/>
      <c r="D52" s="574"/>
      <c r="E52" s="606"/>
      <c r="F52" s="586"/>
      <c r="G52" s="587"/>
      <c r="H52" s="605" t="s">
        <v>461</v>
      </c>
      <c r="I52" s="584">
        <v>0</v>
      </c>
      <c r="J52" s="558"/>
      <c r="K52" s="559"/>
      <c r="L52" s="559"/>
      <c r="M52" s="550"/>
      <c r="N52" s="550"/>
    </row>
    <row r="53" spans="1:14" ht="20.25" customHeight="1">
      <c r="A53" s="558"/>
      <c r="B53" s="558"/>
      <c r="C53" s="558"/>
      <c r="D53" s="574"/>
      <c r="E53" s="606"/>
      <c r="F53" s="583" t="str">
        <f>H21&amp;"　確定後の精算交付額（追加交付額）"</f>
        <v>令和6年度　確定後の精算交付額（追加交付額）</v>
      </c>
      <c r="G53" s="607"/>
      <c r="H53" s="608"/>
      <c r="I53" s="609">
        <v>0</v>
      </c>
      <c r="J53" s="558"/>
      <c r="K53" s="559"/>
      <c r="L53" s="559"/>
      <c r="M53" s="550"/>
      <c r="N53" s="550"/>
    </row>
    <row r="54" spans="1:14" ht="20.25" customHeight="1">
      <c r="A54" s="558"/>
      <c r="B54" s="558"/>
      <c r="C54" s="558"/>
      <c r="D54" s="574"/>
      <c r="E54" s="606"/>
      <c r="F54" s="580" t="s">
        <v>462</v>
      </c>
      <c r="G54" s="581"/>
      <c r="H54" s="605" t="str">
        <f>H22</f>
        <v>令和5年度</v>
      </c>
      <c r="I54" s="597">
        <v>0</v>
      </c>
      <c r="J54" s="558"/>
      <c r="K54" s="559"/>
      <c r="L54" s="559"/>
      <c r="M54" s="550"/>
      <c r="N54" s="550"/>
    </row>
    <row r="55" spans="1:14" ht="20.25" customHeight="1">
      <c r="A55" s="558"/>
      <c r="B55" s="558"/>
      <c r="C55" s="558"/>
      <c r="D55" s="574"/>
      <c r="E55" s="606"/>
      <c r="F55" s="585"/>
      <c r="G55" s="576"/>
      <c r="H55" s="605" t="str">
        <f>H23</f>
        <v>令和4年度</v>
      </c>
      <c r="I55" s="597">
        <v>0</v>
      </c>
      <c r="J55" s="558"/>
      <c r="K55" s="559"/>
      <c r="L55" s="559"/>
      <c r="M55" s="550"/>
      <c r="N55" s="550"/>
    </row>
    <row r="56" spans="1:14" ht="20.25" customHeight="1">
      <c r="A56" s="558"/>
      <c r="B56" s="558"/>
      <c r="C56" s="558"/>
      <c r="D56" s="574"/>
      <c r="E56" s="606"/>
      <c r="F56" s="585"/>
      <c r="G56" s="576"/>
      <c r="H56" s="605" t="str">
        <f>H24</f>
        <v>令和3年度</v>
      </c>
      <c r="I56" s="609">
        <v>0</v>
      </c>
      <c r="J56" s="558"/>
      <c r="K56" s="559"/>
      <c r="L56" s="559"/>
      <c r="M56" s="550"/>
      <c r="N56" s="550"/>
    </row>
    <row r="57" spans="1:14" ht="20.25" customHeight="1">
      <c r="A57" s="558"/>
      <c r="B57" s="558"/>
      <c r="C57" s="558"/>
      <c r="D57" s="574"/>
      <c r="E57" s="606"/>
      <c r="F57" s="585"/>
      <c r="G57" s="610"/>
      <c r="H57" s="605" t="str">
        <f>H25</f>
        <v>令和2年度</v>
      </c>
      <c r="I57" s="609">
        <v>0</v>
      </c>
      <c r="J57" s="558"/>
      <c r="K57" s="559"/>
      <c r="L57" s="559"/>
      <c r="M57" s="550"/>
      <c r="N57" s="550"/>
    </row>
    <row r="58" spans="1:14" ht="20.25" customHeight="1">
      <c r="A58" s="558"/>
      <c r="B58" s="558"/>
      <c r="C58" s="558"/>
      <c r="D58" s="574"/>
      <c r="E58" s="606"/>
      <c r="F58" s="586"/>
      <c r="G58" s="587"/>
      <c r="H58" s="605" t="str">
        <f>H26</f>
        <v>令和元年度</v>
      </c>
      <c r="I58" s="609">
        <v>0</v>
      </c>
      <c r="J58" s="558"/>
      <c r="K58" s="559"/>
      <c r="L58" s="559"/>
      <c r="M58" s="550"/>
      <c r="N58" s="550"/>
    </row>
    <row r="59" spans="1:14" ht="20.25" customHeight="1">
      <c r="A59" s="558"/>
      <c r="B59" s="558"/>
      <c r="C59" s="558"/>
      <c r="D59" s="574"/>
      <c r="E59" s="606"/>
      <c r="F59" s="586" t="str">
        <f>H21&amp;"　確定に伴う返還額"</f>
        <v>令和6年度　確定に伴う返還額</v>
      </c>
      <c r="G59" s="587"/>
      <c r="H59" s="596"/>
      <c r="I59" s="597">
        <v>0</v>
      </c>
      <c r="J59" s="567"/>
      <c r="K59" s="559"/>
      <c r="L59" s="559"/>
      <c r="M59" s="550"/>
      <c r="N59" s="550"/>
    </row>
    <row r="60" spans="1:14" ht="20.25" customHeight="1">
      <c r="A60" s="558"/>
      <c r="B60" s="558"/>
      <c r="C60" s="558"/>
      <c r="D60" s="574"/>
      <c r="E60" s="606"/>
      <c r="F60" s="580" t="s">
        <v>453</v>
      </c>
      <c r="G60" s="581"/>
      <c r="H60" s="605" t="str">
        <f>H22</f>
        <v>令和5年度</v>
      </c>
      <c r="I60" s="597">
        <v>0</v>
      </c>
      <c r="J60" s="567"/>
      <c r="K60" s="559"/>
      <c r="L60" s="559"/>
      <c r="M60" s="550"/>
      <c r="N60" s="550"/>
    </row>
    <row r="61" spans="1:14" ht="20.25" customHeight="1">
      <c r="A61" s="558"/>
      <c r="B61" s="558"/>
      <c r="C61" s="558"/>
      <c r="D61" s="574"/>
      <c r="E61" s="606"/>
      <c r="F61" s="585"/>
      <c r="G61" s="576"/>
      <c r="H61" s="605" t="str">
        <f>H23</f>
        <v>令和4年度</v>
      </c>
      <c r="I61" s="597">
        <v>0</v>
      </c>
      <c r="J61" s="567"/>
      <c r="K61" s="559"/>
      <c r="L61" s="559"/>
      <c r="M61" s="550"/>
      <c r="N61" s="550"/>
    </row>
    <row r="62" spans="1:14" ht="20.25" customHeight="1">
      <c r="A62" s="558"/>
      <c r="B62" s="558"/>
      <c r="C62" s="558"/>
      <c r="D62" s="574"/>
      <c r="E62" s="606"/>
      <c r="F62" s="585"/>
      <c r="G62" s="576"/>
      <c r="H62" s="605" t="str">
        <f>H24</f>
        <v>令和3年度</v>
      </c>
      <c r="I62" s="609">
        <v>0</v>
      </c>
      <c r="J62" s="567"/>
      <c r="K62" s="559"/>
      <c r="L62" s="559"/>
      <c r="M62" s="550"/>
      <c r="N62" s="550"/>
    </row>
    <row r="63" spans="1:14" ht="20.25" customHeight="1">
      <c r="A63" s="558"/>
      <c r="B63" s="558"/>
      <c r="C63" s="558"/>
      <c r="D63" s="574"/>
      <c r="E63" s="606"/>
      <c r="F63" s="585"/>
      <c r="G63" s="610"/>
      <c r="H63" s="605" t="str">
        <f>H25</f>
        <v>令和2年度</v>
      </c>
      <c r="I63" s="609">
        <v>0</v>
      </c>
      <c r="J63" s="567"/>
      <c r="K63" s="559"/>
      <c r="L63" s="559"/>
      <c r="M63" s="550"/>
      <c r="N63" s="550"/>
    </row>
    <row r="64" spans="1:14" ht="20.25" customHeight="1">
      <c r="A64" s="558"/>
      <c r="B64" s="558"/>
      <c r="C64" s="558"/>
      <c r="D64" s="598"/>
      <c r="E64" s="599"/>
      <c r="F64" s="590"/>
      <c r="G64" s="589"/>
      <c r="H64" s="611" t="str">
        <f>H26</f>
        <v>令和元年度</v>
      </c>
      <c r="I64" s="602">
        <v>0</v>
      </c>
      <c r="J64" s="567"/>
      <c r="K64" s="559"/>
      <c r="L64" s="559"/>
      <c r="M64" s="550"/>
      <c r="N64" s="550"/>
    </row>
    <row r="65" spans="1:14" ht="20.25" customHeight="1">
      <c r="A65" s="558"/>
      <c r="B65" s="558"/>
      <c r="C65" s="558"/>
      <c r="D65" s="558"/>
      <c r="E65" s="558"/>
      <c r="F65" s="558"/>
      <c r="G65" s="558"/>
      <c r="H65" s="558"/>
      <c r="I65" s="566"/>
      <c r="J65" s="567"/>
      <c r="K65" s="559"/>
      <c r="L65" s="559"/>
      <c r="M65" s="550"/>
      <c r="N65" s="550"/>
    </row>
    <row r="66" spans="1:14" ht="20.25" customHeight="1">
      <c r="A66" s="558"/>
      <c r="B66" s="558"/>
      <c r="C66" s="558"/>
      <c r="D66" s="558"/>
      <c r="E66" s="558"/>
      <c r="F66" s="558"/>
      <c r="G66" s="567"/>
      <c r="H66" s="558"/>
      <c r="I66" s="558"/>
      <c r="J66" s="567"/>
      <c r="K66" s="559"/>
      <c r="L66" s="559"/>
      <c r="M66" s="550"/>
      <c r="N66" s="550"/>
    </row>
    <row r="67" spans="1:14" ht="20.25" customHeight="1">
      <c r="A67" s="558"/>
      <c r="B67" s="558"/>
      <c r="C67" s="558" t="s">
        <v>463</v>
      </c>
      <c r="D67" s="558"/>
      <c r="E67" s="558"/>
      <c r="F67" s="558"/>
      <c r="G67" s="558"/>
      <c r="H67" s="558"/>
      <c r="I67" s="558"/>
      <c r="J67" s="567"/>
      <c r="K67" s="559"/>
      <c r="L67" s="559"/>
      <c r="M67" s="550"/>
      <c r="N67" s="550"/>
    </row>
    <row r="68" spans="1:14" ht="20.25" customHeight="1">
      <c r="A68" s="558"/>
      <c r="B68" s="558"/>
      <c r="C68" s="558"/>
      <c r="D68" s="558"/>
      <c r="E68" s="558"/>
      <c r="F68" s="558"/>
      <c r="G68" s="558"/>
      <c r="H68" s="558"/>
      <c r="I68" s="562" t="s">
        <v>310</v>
      </c>
      <c r="J68" s="567"/>
      <c r="K68" s="559"/>
      <c r="L68" s="559"/>
      <c r="M68" s="550"/>
      <c r="N68" s="550"/>
    </row>
    <row r="69" spans="1:14" ht="20.25" customHeight="1">
      <c r="A69" s="558"/>
      <c r="B69" s="558"/>
      <c r="C69" s="558"/>
      <c r="D69" s="563" t="s">
        <v>358</v>
      </c>
      <c r="E69" s="612"/>
      <c r="F69" s="613" t="str">
        <f>H20&amp;"　保険者機能強化推進交付金"</f>
        <v>令和7年度　保険者機能強化推進交付金</v>
      </c>
      <c r="G69" s="612"/>
      <c r="H69" s="612"/>
      <c r="I69" s="565">
        <v>0</v>
      </c>
      <c r="J69" s="558"/>
      <c r="K69" s="559"/>
      <c r="L69" s="559"/>
      <c r="M69" s="550"/>
      <c r="N69" s="550"/>
    </row>
    <row r="70" spans="1:14" ht="20.25" customHeight="1">
      <c r="A70" s="558"/>
      <c r="B70" s="558"/>
      <c r="C70" s="558"/>
      <c r="D70" s="558"/>
      <c r="E70" s="558"/>
      <c r="F70" s="558"/>
      <c r="G70" s="558"/>
      <c r="H70" s="558"/>
      <c r="I70" s="558"/>
      <c r="J70" s="558"/>
      <c r="K70" s="559"/>
      <c r="L70" s="559"/>
      <c r="M70" s="550"/>
      <c r="N70" s="550"/>
    </row>
    <row r="71" spans="1:14" ht="20.25" customHeight="1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9"/>
      <c r="L71" s="559"/>
      <c r="M71" s="550"/>
      <c r="N71" s="550"/>
    </row>
    <row r="72" spans="1:14" ht="20.25" customHeight="1">
      <c r="A72" s="558"/>
      <c r="B72" s="558"/>
      <c r="C72" s="558" t="s">
        <v>464</v>
      </c>
      <c r="D72" s="558"/>
      <c r="E72" s="558"/>
      <c r="F72" s="558"/>
      <c r="G72" s="567"/>
      <c r="H72" s="558"/>
      <c r="I72" s="558"/>
      <c r="J72" s="558"/>
      <c r="K72" s="559"/>
      <c r="L72" s="559"/>
      <c r="M72" s="550"/>
      <c r="N72" s="550"/>
    </row>
    <row r="73" spans="1:14" ht="20.25" customHeight="1">
      <c r="A73" s="558"/>
      <c r="B73" s="558"/>
      <c r="C73" s="558"/>
      <c r="D73" s="558"/>
      <c r="E73" s="558"/>
      <c r="F73" s="558"/>
      <c r="G73" s="558"/>
      <c r="H73" s="558"/>
      <c r="I73" s="562" t="s">
        <v>310</v>
      </c>
      <c r="J73" s="558"/>
      <c r="K73" s="559"/>
      <c r="L73" s="559"/>
      <c r="M73" s="550"/>
      <c r="N73" s="550"/>
    </row>
    <row r="74" spans="1:14" ht="20.25" customHeight="1">
      <c r="A74" s="558"/>
      <c r="B74" s="558"/>
      <c r="C74" s="558"/>
      <c r="D74" s="563" t="s">
        <v>361</v>
      </c>
      <c r="E74" s="612"/>
      <c r="F74" s="613" t="str">
        <f>H20&amp;"　保険者努力支援交付金"</f>
        <v>令和7年度　保険者努力支援交付金</v>
      </c>
      <c r="G74" s="612"/>
      <c r="H74" s="612"/>
      <c r="I74" s="565">
        <v>0</v>
      </c>
      <c r="J74" s="558"/>
      <c r="K74" s="559"/>
      <c r="L74" s="559"/>
      <c r="M74" s="550"/>
      <c r="N74" s="550"/>
    </row>
    <row r="75" spans="1:14" ht="20.25" customHeight="1">
      <c r="A75" s="558"/>
      <c r="B75" s="558"/>
      <c r="C75" s="558"/>
      <c r="D75" s="558"/>
      <c r="E75" s="558"/>
      <c r="F75" s="558"/>
      <c r="G75" s="558"/>
      <c r="H75" s="558"/>
      <c r="I75" s="558"/>
      <c r="J75" s="558"/>
      <c r="K75" s="559"/>
      <c r="L75" s="559"/>
      <c r="M75" s="550"/>
      <c r="N75" s="550"/>
    </row>
    <row r="76" spans="1:14" ht="20.25" customHeight="1">
      <c r="A76" s="558"/>
      <c r="B76" s="558"/>
      <c r="C76" s="558"/>
      <c r="D76" s="558"/>
      <c r="E76" s="558"/>
      <c r="F76" s="560"/>
      <c r="G76" s="567"/>
      <c r="H76" s="558"/>
      <c r="I76" s="558"/>
      <c r="J76" s="558"/>
      <c r="K76" s="559"/>
      <c r="L76" s="559"/>
      <c r="M76" s="550"/>
      <c r="N76" s="550"/>
    </row>
    <row r="77" spans="1:14" ht="20.25" customHeight="1">
      <c r="A77" s="558"/>
      <c r="B77" s="558"/>
      <c r="C77" s="558" t="s">
        <v>465</v>
      </c>
      <c r="D77" s="558"/>
      <c r="E77" s="558"/>
      <c r="F77" s="560"/>
      <c r="G77" s="567"/>
      <c r="H77" s="558"/>
      <c r="I77" s="558"/>
      <c r="J77" s="558"/>
      <c r="K77" s="559"/>
      <c r="L77" s="559"/>
      <c r="M77" s="550"/>
      <c r="N77" s="550"/>
    </row>
    <row r="78" spans="1:14" ht="20.25" customHeight="1">
      <c r="A78" s="558"/>
      <c r="B78" s="558"/>
      <c r="C78" s="558"/>
      <c r="D78" s="558" t="s">
        <v>466</v>
      </c>
      <c r="E78" s="558"/>
      <c r="F78" s="560"/>
      <c r="G78" s="567"/>
      <c r="H78" s="558"/>
      <c r="I78" s="558"/>
      <c r="J78" s="558"/>
      <c r="K78" s="559"/>
      <c r="L78" s="559"/>
      <c r="M78" s="550"/>
      <c r="N78" s="550"/>
    </row>
    <row r="79" spans="1:14" ht="20.25" customHeight="1">
      <c r="A79" s="558"/>
      <c r="B79" s="558"/>
      <c r="C79" s="558"/>
      <c r="D79" s="558"/>
      <c r="E79" s="558"/>
      <c r="F79" s="560"/>
      <c r="G79" s="567"/>
      <c r="H79" s="558"/>
      <c r="I79" s="562" t="s">
        <v>310</v>
      </c>
      <c r="J79" s="558"/>
      <c r="K79" s="559"/>
      <c r="L79" s="559"/>
      <c r="M79" s="550"/>
      <c r="N79" s="550"/>
    </row>
    <row r="80" spans="1:14" ht="20.25" customHeight="1">
      <c r="A80" s="558"/>
      <c r="B80" s="558"/>
      <c r="C80" s="558"/>
      <c r="D80" s="570"/>
      <c r="E80" s="571" t="s">
        <v>109</v>
      </c>
      <c r="F80" s="571"/>
      <c r="G80" s="571"/>
      <c r="H80" s="571"/>
      <c r="I80" s="595">
        <v>0</v>
      </c>
      <c r="J80" s="558"/>
      <c r="K80" s="559"/>
      <c r="L80" s="559"/>
      <c r="M80" s="550"/>
      <c r="N80" s="550"/>
    </row>
    <row r="81" spans="1:14" ht="20.25" customHeight="1">
      <c r="A81" s="558"/>
      <c r="B81" s="558"/>
      <c r="C81" s="558"/>
      <c r="D81" s="574"/>
      <c r="E81" s="575" t="s">
        <v>467</v>
      </c>
      <c r="F81" s="614"/>
      <c r="G81" s="615"/>
      <c r="H81" s="615"/>
      <c r="I81" s="584">
        <v>0</v>
      </c>
      <c r="J81" s="558"/>
      <c r="K81" s="559"/>
      <c r="L81" s="559"/>
      <c r="M81" s="550"/>
      <c r="N81" s="550"/>
    </row>
    <row r="82" spans="1:14" ht="20.25" customHeight="1">
      <c r="A82" s="558"/>
      <c r="B82" s="558"/>
      <c r="C82" s="558"/>
      <c r="D82" s="579"/>
      <c r="E82" s="604" t="s">
        <v>468</v>
      </c>
      <c r="F82" s="580" t="str">
        <f>H20&amp;"　当初（変更）交付額"</f>
        <v>令和7年度　当初（変更）交付額</v>
      </c>
      <c r="G82" s="581"/>
      <c r="H82" s="607"/>
      <c r="I82" s="584">
        <v>0</v>
      </c>
      <c r="J82" s="558"/>
      <c r="K82" s="559"/>
      <c r="L82" s="559"/>
      <c r="M82" s="550"/>
      <c r="N82" s="550"/>
    </row>
    <row r="83" spans="1:14" ht="20.25" customHeight="1">
      <c r="A83" s="558"/>
      <c r="B83" s="558"/>
      <c r="C83" s="558"/>
      <c r="D83" s="579"/>
      <c r="E83" s="585"/>
      <c r="F83" s="580" t="str">
        <f>H21&amp;"　確定に伴う精算交付額（追加交付額）【不足額】"</f>
        <v>令和6年度　確定に伴う精算交付額（追加交付額）【不足額】</v>
      </c>
      <c r="G83" s="581"/>
      <c r="H83" s="581"/>
      <c r="I83" s="584">
        <v>0</v>
      </c>
      <c r="J83" s="558"/>
      <c r="K83" s="559"/>
      <c r="L83" s="559"/>
      <c r="M83" s="550"/>
      <c r="N83" s="550"/>
    </row>
    <row r="84" spans="1:14" ht="20.25" customHeight="1">
      <c r="A84" s="558"/>
      <c r="B84" s="558"/>
      <c r="C84" s="558"/>
      <c r="D84" s="588"/>
      <c r="E84" s="590"/>
      <c r="F84" s="591" t="str">
        <f>H21&amp;"　確定に伴う返還額【超過額】"</f>
        <v>令和6年度　確定に伴う返還額【超過額】</v>
      </c>
      <c r="G84" s="600"/>
      <c r="H84" s="600"/>
      <c r="I84" s="592">
        <v>0</v>
      </c>
      <c r="J84" s="558"/>
      <c r="K84" s="559"/>
      <c r="L84" s="559"/>
      <c r="M84" s="550"/>
      <c r="N84" s="550"/>
    </row>
    <row r="85" spans="1:14" ht="20.25" customHeight="1">
      <c r="A85" s="558"/>
      <c r="B85" s="558"/>
      <c r="C85" s="558"/>
      <c r="D85" s="558"/>
      <c r="E85" s="558"/>
      <c r="F85" s="560"/>
      <c r="G85" s="567"/>
      <c r="H85" s="558"/>
      <c r="I85" s="567"/>
      <c r="J85" s="558"/>
      <c r="K85" s="559"/>
      <c r="L85" s="559"/>
      <c r="M85" s="550"/>
      <c r="N85" s="550"/>
    </row>
    <row r="86" spans="1:14" ht="20.25" customHeight="1">
      <c r="A86" s="558"/>
      <c r="B86" s="558"/>
      <c r="C86" s="558"/>
      <c r="D86" s="558"/>
      <c r="E86" s="558"/>
      <c r="F86" s="560"/>
      <c r="G86" s="567"/>
      <c r="H86" s="558"/>
      <c r="I86" s="558"/>
      <c r="J86" s="558"/>
      <c r="K86" s="559"/>
      <c r="L86" s="559"/>
      <c r="M86" s="550"/>
      <c r="N86" s="550"/>
    </row>
    <row r="87" spans="1:14" ht="20.25" customHeight="1">
      <c r="A87" s="558"/>
      <c r="B87" s="558"/>
      <c r="C87" s="558" t="s">
        <v>469</v>
      </c>
      <c r="D87" s="558"/>
      <c r="E87" s="558"/>
      <c r="F87" s="560"/>
      <c r="G87" s="567"/>
      <c r="H87" s="558"/>
      <c r="I87" s="558"/>
      <c r="J87" s="558"/>
      <c r="K87" s="559"/>
      <c r="L87" s="559"/>
      <c r="M87" s="550"/>
      <c r="N87" s="550"/>
    </row>
    <row r="88" spans="1:14" ht="20.25" customHeight="1">
      <c r="A88" s="558"/>
      <c r="B88" s="558"/>
      <c r="C88" s="558"/>
      <c r="D88" s="558" t="s">
        <v>466</v>
      </c>
      <c r="E88" s="558"/>
      <c r="F88" s="560"/>
      <c r="G88" s="567"/>
      <c r="H88" s="558"/>
      <c r="I88" s="558"/>
      <c r="J88" s="558"/>
      <c r="K88" s="559"/>
      <c r="L88" s="559"/>
      <c r="M88" s="550"/>
      <c r="N88" s="550"/>
    </row>
    <row r="89" spans="1:14" ht="20.25" customHeight="1">
      <c r="A89" s="558"/>
      <c r="B89" s="558"/>
      <c r="C89" s="558"/>
      <c r="D89" s="558"/>
      <c r="E89" s="558"/>
      <c r="F89" s="560"/>
      <c r="G89" s="567"/>
      <c r="H89" s="558"/>
      <c r="I89" s="562" t="s">
        <v>310</v>
      </c>
      <c r="J89" s="558"/>
      <c r="K89" s="559"/>
      <c r="L89" s="559"/>
      <c r="M89" s="550"/>
      <c r="N89" s="550"/>
    </row>
    <row r="90" spans="1:14" ht="20.25" customHeight="1">
      <c r="A90" s="558"/>
      <c r="B90" s="558"/>
      <c r="C90" s="558"/>
      <c r="D90" s="570"/>
      <c r="E90" s="571" t="s">
        <v>109</v>
      </c>
      <c r="F90" s="571"/>
      <c r="G90" s="571"/>
      <c r="H90" s="571"/>
      <c r="I90" s="595">
        <v>0</v>
      </c>
      <c r="J90" s="558"/>
      <c r="K90" s="559"/>
      <c r="L90" s="559"/>
      <c r="M90" s="550"/>
      <c r="N90" s="550"/>
    </row>
    <row r="91" spans="1:14" ht="20.25" customHeight="1">
      <c r="A91" s="558"/>
      <c r="B91" s="558"/>
      <c r="C91" s="558"/>
      <c r="D91" s="574"/>
      <c r="E91" s="575" t="s">
        <v>467</v>
      </c>
      <c r="F91" s="614"/>
      <c r="G91" s="615"/>
      <c r="H91" s="615"/>
      <c r="I91" s="584">
        <v>0</v>
      </c>
      <c r="J91" s="558"/>
      <c r="K91" s="559"/>
      <c r="L91" s="559"/>
      <c r="M91" s="550"/>
      <c r="N91" s="550"/>
    </row>
    <row r="92" spans="1:14" ht="20.25" customHeight="1">
      <c r="A92" s="558"/>
      <c r="B92" s="558"/>
      <c r="C92" s="558"/>
      <c r="D92" s="579"/>
      <c r="E92" s="604" t="s">
        <v>470</v>
      </c>
      <c r="F92" s="580" t="str">
        <f>H20&amp;"　当初（変更）交付額"</f>
        <v>令和7年度　当初（変更）交付額</v>
      </c>
      <c r="G92" s="581"/>
      <c r="H92" s="607"/>
      <c r="I92" s="584">
        <v>0</v>
      </c>
      <c r="J92" s="558"/>
      <c r="K92" s="559"/>
      <c r="L92" s="559"/>
      <c r="M92" s="550"/>
      <c r="N92" s="550"/>
    </row>
    <row r="93" spans="1:14" ht="20.25" customHeight="1">
      <c r="A93" s="558"/>
      <c r="B93" s="558"/>
      <c r="C93" s="558"/>
      <c r="D93" s="579"/>
      <c r="E93" s="585"/>
      <c r="F93" s="580" t="str">
        <f>H21&amp;"　確定に伴う精算交付額（追加交付額）【不足額】"</f>
        <v>令和6年度　確定に伴う精算交付額（追加交付額）【不足額】</v>
      </c>
      <c r="G93" s="581"/>
      <c r="H93" s="581"/>
      <c r="I93" s="616">
        <v>0</v>
      </c>
      <c r="J93" s="558"/>
      <c r="K93" s="559"/>
      <c r="L93" s="559"/>
      <c r="M93" s="550"/>
      <c r="N93" s="550"/>
    </row>
    <row r="94" spans="1:14" ht="20.25" customHeight="1">
      <c r="A94" s="558"/>
      <c r="B94" s="558"/>
      <c r="C94" s="558"/>
      <c r="D94" s="588"/>
      <c r="E94" s="590"/>
      <c r="F94" s="591" t="str">
        <f>H21&amp;"　確定に伴う返還額【超過額】"</f>
        <v>令和6年度　確定に伴う返還額【超過額】</v>
      </c>
      <c r="G94" s="600"/>
      <c r="H94" s="600"/>
      <c r="I94" s="592">
        <v>0</v>
      </c>
      <c r="J94" s="558"/>
      <c r="K94" s="559"/>
      <c r="L94" s="559"/>
      <c r="M94" s="550"/>
      <c r="N94" s="550"/>
    </row>
    <row r="95" spans="1:14" ht="20.25" customHeight="1">
      <c r="A95" s="558"/>
      <c r="B95" s="558"/>
      <c r="C95" s="558"/>
      <c r="D95" s="558"/>
      <c r="E95" s="558"/>
      <c r="F95" s="560"/>
      <c r="G95" s="567"/>
      <c r="H95" s="558"/>
      <c r="I95" s="567"/>
      <c r="J95" s="558"/>
      <c r="K95" s="559"/>
      <c r="L95" s="559"/>
      <c r="M95" s="550"/>
      <c r="N95" s="550"/>
    </row>
    <row r="96" spans="1:14" ht="20.25" customHeight="1">
      <c r="A96" s="558"/>
      <c r="B96" s="558"/>
      <c r="C96" s="558"/>
      <c r="D96" s="558"/>
      <c r="E96" s="558"/>
      <c r="F96" s="560"/>
      <c r="G96" s="567"/>
      <c r="H96" s="558"/>
      <c r="I96" s="558"/>
      <c r="J96" s="567"/>
      <c r="K96" s="559"/>
      <c r="L96" s="559"/>
      <c r="M96" s="550"/>
      <c r="N96" s="550"/>
    </row>
    <row r="97" spans="1:14" ht="20.25" customHeight="1">
      <c r="A97" s="558"/>
      <c r="B97" s="560" t="s">
        <v>471</v>
      </c>
      <c r="C97" s="558"/>
      <c r="D97" s="558"/>
      <c r="E97" s="558"/>
      <c r="F97" s="560"/>
      <c r="G97" s="567"/>
      <c r="H97" s="558"/>
      <c r="I97" s="558"/>
      <c r="J97" s="567"/>
      <c r="K97" s="559"/>
      <c r="L97" s="559"/>
      <c r="M97" s="550"/>
      <c r="N97" s="550"/>
    </row>
    <row r="98" spans="1:14" ht="20.25" customHeight="1">
      <c r="A98" s="558"/>
      <c r="B98" s="558"/>
      <c r="C98" s="558" t="s">
        <v>472</v>
      </c>
      <c r="D98" s="558"/>
      <c r="E98" s="558"/>
      <c r="F98" s="560"/>
      <c r="G98" s="567"/>
      <c r="H98" s="558"/>
      <c r="I98" s="558"/>
      <c r="J98" s="567"/>
      <c r="K98" s="559"/>
      <c r="L98" s="559"/>
      <c r="M98" s="550"/>
      <c r="N98" s="550"/>
    </row>
    <row r="99" spans="1:14" ht="20.25" customHeight="1">
      <c r="A99" s="558"/>
      <c r="B99" s="558"/>
      <c r="C99" s="558"/>
      <c r="D99" s="558"/>
      <c r="E99" s="558"/>
      <c r="F99" s="560"/>
      <c r="G99" s="567"/>
      <c r="H99" s="558"/>
      <c r="I99" s="558"/>
      <c r="J99" s="562" t="s">
        <v>310</v>
      </c>
      <c r="K99" s="559"/>
      <c r="L99" s="559"/>
      <c r="M99" s="550"/>
      <c r="N99" s="550"/>
    </row>
    <row r="100" spans="1:14" ht="20.25" customHeight="1">
      <c r="A100" s="558"/>
      <c r="B100" s="558"/>
      <c r="C100" s="558"/>
      <c r="D100" s="558"/>
      <c r="E100" s="558"/>
      <c r="F100" s="558"/>
      <c r="G100" s="558"/>
      <c r="H100" s="558"/>
      <c r="I100" s="617" t="s">
        <v>473</v>
      </c>
      <c r="J100" s="617" t="s">
        <v>426</v>
      </c>
      <c r="K100" s="559"/>
      <c r="L100" s="559"/>
      <c r="M100" s="550"/>
      <c r="N100" s="550"/>
    </row>
    <row r="101" spans="1:14" ht="20.25" customHeight="1">
      <c r="A101" s="558"/>
      <c r="B101" s="558"/>
      <c r="C101" s="558"/>
      <c r="D101" s="593" t="s">
        <v>109</v>
      </c>
      <c r="E101" s="594"/>
      <c r="F101" s="594"/>
      <c r="G101" s="594"/>
      <c r="H101" s="594"/>
      <c r="I101" s="595">
        <v>0</v>
      </c>
      <c r="J101" s="595">
        <v>0</v>
      </c>
      <c r="K101" s="558"/>
      <c r="L101" s="558"/>
      <c r="M101" s="550"/>
      <c r="N101" s="550"/>
    </row>
    <row r="102" spans="1:14" ht="20.25" customHeight="1">
      <c r="A102" s="558"/>
      <c r="B102" s="558"/>
      <c r="C102" s="558"/>
      <c r="D102" s="579"/>
      <c r="E102" s="576" t="s">
        <v>444</v>
      </c>
      <c r="F102" s="586" t="str">
        <f>H21&amp;"　確定に伴う精算交付額（追加交付額）"</f>
        <v>令和6年度　確定に伴う精算交付額（追加交付額）</v>
      </c>
      <c r="G102" s="587"/>
      <c r="H102" s="608"/>
      <c r="I102" s="618">
        <v>0</v>
      </c>
      <c r="J102" s="619"/>
      <c r="K102" s="558"/>
      <c r="L102" s="558"/>
      <c r="M102" s="550"/>
      <c r="N102" s="550"/>
    </row>
    <row r="103" spans="1:14" ht="20.25" customHeight="1">
      <c r="A103" s="558"/>
      <c r="B103" s="558"/>
      <c r="C103" s="558"/>
      <c r="D103" s="579"/>
      <c r="E103" s="576"/>
      <c r="F103" s="580" t="s">
        <v>474</v>
      </c>
      <c r="G103" s="581"/>
      <c r="H103" s="583" t="str">
        <f>H22</f>
        <v>令和5年度</v>
      </c>
      <c r="I103" s="620">
        <v>0</v>
      </c>
      <c r="J103" s="621"/>
      <c r="K103" s="558"/>
      <c r="L103" s="558"/>
      <c r="M103" s="550"/>
      <c r="N103" s="550"/>
    </row>
    <row r="104" spans="1:14" ht="20.25" customHeight="1">
      <c r="A104" s="558"/>
      <c r="B104" s="558"/>
      <c r="C104" s="558"/>
      <c r="D104" s="579"/>
      <c r="E104" s="576"/>
      <c r="F104" s="585"/>
      <c r="G104" s="576"/>
      <c r="H104" s="583" t="str">
        <f>H23</f>
        <v>令和4年度</v>
      </c>
      <c r="I104" s="620">
        <v>0</v>
      </c>
      <c r="J104" s="621"/>
      <c r="K104" s="558"/>
      <c r="L104" s="558"/>
      <c r="M104" s="550"/>
      <c r="N104" s="550"/>
    </row>
    <row r="105" spans="1:14" ht="20.25" customHeight="1">
      <c r="A105" s="558"/>
      <c r="B105" s="558"/>
      <c r="C105" s="558"/>
      <c r="D105" s="579"/>
      <c r="E105" s="576"/>
      <c r="F105" s="585"/>
      <c r="G105" s="576"/>
      <c r="H105" s="583" t="str">
        <f>H24</f>
        <v>令和3年度</v>
      </c>
      <c r="I105" s="620">
        <v>0</v>
      </c>
      <c r="J105" s="621"/>
      <c r="K105" s="558"/>
      <c r="L105" s="558"/>
      <c r="M105" s="550"/>
      <c r="N105" s="550"/>
    </row>
    <row r="106" spans="1:14" ht="20.25" customHeight="1">
      <c r="A106" s="558"/>
      <c r="B106" s="558"/>
      <c r="C106" s="558"/>
      <c r="D106" s="579"/>
      <c r="E106" s="576"/>
      <c r="F106" s="585"/>
      <c r="G106" s="576"/>
      <c r="H106" s="583" t="str">
        <f>H25</f>
        <v>令和2年度</v>
      </c>
      <c r="I106" s="620">
        <v>0</v>
      </c>
      <c r="J106" s="621"/>
      <c r="K106" s="558"/>
      <c r="L106" s="558"/>
      <c r="M106" s="550"/>
      <c r="N106" s="550"/>
    </row>
    <row r="107" spans="1:14" ht="20.25" customHeight="1">
      <c r="A107" s="558"/>
      <c r="B107" s="558"/>
      <c r="C107" s="558"/>
      <c r="D107" s="579"/>
      <c r="E107" s="576"/>
      <c r="F107" s="586"/>
      <c r="G107" s="587"/>
      <c r="H107" s="583" t="str">
        <f>H26</f>
        <v>令和元年度</v>
      </c>
      <c r="I107" s="620">
        <v>0</v>
      </c>
      <c r="J107" s="621"/>
      <c r="K107" s="558"/>
      <c r="L107" s="558"/>
      <c r="M107" s="550"/>
      <c r="N107" s="550"/>
    </row>
    <row r="108" spans="1:14" ht="20.25" customHeight="1">
      <c r="A108" s="558"/>
      <c r="B108" s="558"/>
      <c r="C108" s="558"/>
      <c r="D108" s="579"/>
      <c r="E108" s="576"/>
      <c r="F108" s="585" t="str">
        <f>H21&amp;"　確定に伴う返還額"</f>
        <v>令和6年度　確定に伴う返還額</v>
      </c>
      <c r="G108" s="576"/>
      <c r="H108" s="608"/>
      <c r="I108" s="619"/>
      <c r="J108" s="577">
        <v>0</v>
      </c>
      <c r="K108" s="558"/>
      <c r="L108" s="558"/>
      <c r="M108" s="550"/>
      <c r="N108" s="550"/>
    </row>
    <row r="109" spans="1:14" ht="20.25" customHeight="1">
      <c r="A109" s="558"/>
      <c r="B109" s="558"/>
      <c r="C109" s="558"/>
      <c r="D109" s="579"/>
      <c r="E109" s="576"/>
      <c r="F109" s="580" t="s">
        <v>453</v>
      </c>
      <c r="G109" s="581"/>
      <c r="H109" s="583" t="str">
        <f>H22</f>
        <v>令和5年度</v>
      </c>
      <c r="I109" s="621"/>
      <c r="J109" s="584">
        <v>0</v>
      </c>
      <c r="K109" s="558"/>
      <c r="L109" s="558"/>
      <c r="M109" s="550"/>
      <c r="N109" s="550"/>
    </row>
    <row r="110" spans="1:14" ht="20.25" customHeight="1">
      <c r="A110" s="558"/>
      <c r="B110" s="558"/>
      <c r="C110" s="558"/>
      <c r="D110" s="579"/>
      <c r="E110" s="576"/>
      <c r="F110" s="585"/>
      <c r="G110" s="576"/>
      <c r="H110" s="583" t="str">
        <f>H23</f>
        <v>令和4年度</v>
      </c>
      <c r="I110" s="621"/>
      <c r="J110" s="584">
        <v>0</v>
      </c>
      <c r="K110" s="558"/>
      <c r="L110" s="558"/>
      <c r="M110" s="550"/>
      <c r="N110" s="550"/>
    </row>
    <row r="111" spans="1:14" ht="20.25" customHeight="1">
      <c r="A111" s="558"/>
      <c r="B111" s="558"/>
      <c r="C111" s="558"/>
      <c r="D111" s="579"/>
      <c r="E111" s="576"/>
      <c r="F111" s="585"/>
      <c r="G111" s="576"/>
      <c r="H111" s="583" t="str">
        <f>H24</f>
        <v>令和3年度</v>
      </c>
      <c r="I111" s="621"/>
      <c r="J111" s="584">
        <v>0</v>
      </c>
      <c r="K111" s="558"/>
      <c r="L111" s="558"/>
      <c r="M111" s="550"/>
      <c r="N111" s="550"/>
    </row>
    <row r="112" spans="1:14" ht="20.25" customHeight="1">
      <c r="A112" s="558"/>
      <c r="B112" s="558"/>
      <c r="C112" s="558"/>
      <c r="D112" s="579"/>
      <c r="E112" s="576"/>
      <c r="F112" s="585"/>
      <c r="G112" s="576"/>
      <c r="H112" s="583" t="str">
        <f>H25</f>
        <v>令和2年度</v>
      </c>
      <c r="I112" s="621"/>
      <c r="J112" s="584">
        <v>0</v>
      </c>
      <c r="K112" s="558"/>
      <c r="L112" s="558"/>
      <c r="M112" s="550"/>
      <c r="N112" s="550"/>
    </row>
    <row r="113" spans="1:14" ht="20.25" customHeight="1">
      <c r="A113" s="558"/>
      <c r="B113" s="558"/>
      <c r="C113" s="558"/>
      <c r="D113" s="579"/>
      <c r="E113" s="589"/>
      <c r="F113" s="590"/>
      <c r="G113" s="589"/>
      <c r="H113" s="591" t="str">
        <f>H26</f>
        <v>令和元年度</v>
      </c>
      <c r="I113" s="622"/>
      <c r="J113" s="592">
        <v>0</v>
      </c>
      <c r="K113" s="558"/>
      <c r="L113" s="558"/>
      <c r="M113" s="550"/>
      <c r="N113" s="550"/>
    </row>
    <row r="114" spans="1:14" ht="20.25" customHeight="1">
      <c r="A114" s="558"/>
      <c r="B114" s="558"/>
      <c r="C114" s="558"/>
      <c r="D114" s="623"/>
      <c r="E114" s="558"/>
      <c r="F114" s="558"/>
      <c r="G114" s="567"/>
      <c r="H114" s="558"/>
      <c r="I114" s="558"/>
      <c r="J114" s="551"/>
      <c r="K114" s="558"/>
      <c r="L114" s="558"/>
      <c r="M114" s="550"/>
      <c r="N114" s="550"/>
    </row>
    <row r="115" spans="1:14" ht="20.25" customHeight="1">
      <c r="A115" s="558"/>
      <c r="B115" s="558"/>
      <c r="C115" s="558"/>
      <c r="D115" s="558"/>
      <c r="E115" s="558"/>
      <c r="F115" s="558"/>
      <c r="G115" s="567"/>
      <c r="H115" s="558"/>
      <c r="I115" s="558"/>
      <c r="J115" s="551"/>
      <c r="K115" s="558"/>
      <c r="L115" s="558"/>
      <c r="M115" s="550"/>
      <c r="N115" s="550"/>
    </row>
    <row r="116" spans="1:14" ht="20.25" customHeight="1">
      <c r="A116" s="558"/>
      <c r="B116" s="558"/>
      <c r="C116" s="558" t="s">
        <v>475</v>
      </c>
      <c r="D116" s="558"/>
      <c r="E116" s="558"/>
      <c r="F116" s="558"/>
      <c r="G116" s="567"/>
      <c r="H116" s="558"/>
      <c r="I116" s="558"/>
      <c r="J116" s="551"/>
      <c r="K116" s="558"/>
      <c r="L116" s="558"/>
      <c r="M116" s="550"/>
      <c r="N116" s="550"/>
    </row>
    <row r="117" spans="1:14" ht="20.25" customHeight="1">
      <c r="A117" s="558"/>
      <c r="B117" s="558"/>
      <c r="C117" s="558"/>
      <c r="D117" s="558"/>
      <c r="E117" s="558"/>
      <c r="F117" s="558"/>
      <c r="G117" s="567"/>
      <c r="H117" s="558"/>
      <c r="I117" s="558"/>
      <c r="J117" s="562" t="s">
        <v>310</v>
      </c>
      <c r="K117" s="558"/>
      <c r="L117" s="558"/>
      <c r="M117" s="550"/>
      <c r="N117" s="550"/>
    </row>
    <row r="118" spans="1:14" ht="20.25" customHeight="1">
      <c r="A118" s="558"/>
      <c r="B118" s="558"/>
      <c r="C118" s="558"/>
      <c r="D118" s="558"/>
      <c r="E118" s="558"/>
      <c r="F118" s="558"/>
      <c r="G118" s="567"/>
      <c r="H118" s="558"/>
      <c r="I118" s="617" t="s">
        <v>473</v>
      </c>
      <c r="J118" s="617" t="s">
        <v>426</v>
      </c>
      <c r="K118" s="558"/>
      <c r="L118" s="558"/>
      <c r="M118" s="550"/>
      <c r="N118" s="550"/>
    </row>
    <row r="119" spans="1:14" ht="20.25" customHeight="1">
      <c r="A119" s="558"/>
      <c r="B119" s="558"/>
      <c r="C119" s="558"/>
      <c r="D119" s="593" t="s">
        <v>109</v>
      </c>
      <c r="E119" s="594"/>
      <c r="F119" s="594"/>
      <c r="G119" s="594"/>
      <c r="H119" s="594"/>
      <c r="I119" s="624"/>
      <c r="J119" s="595">
        <v>0</v>
      </c>
      <c r="K119" s="558"/>
      <c r="L119" s="558"/>
      <c r="M119" s="550"/>
      <c r="N119" s="550"/>
    </row>
    <row r="120" spans="1:14" ht="20.25" customHeight="1">
      <c r="A120" s="558"/>
      <c r="B120" s="558"/>
      <c r="C120" s="558"/>
      <c r="D120" s="579"/>
      <c r="E120" s="610" t="s">
        <v>476</v>
      </c>
      <c r="F120" s="583" t="str">
        <f>H21&amp;"　確定に伴う返還額"</f>
        <v>令和6年度　確定に伴う返還額</v>
      </c>
      <c r="G120" s="607"/>
      <c r="H120" s="608"/>
      <c r="I120" s="621"/>
      <c r="J120" s="584">
        <v>0</v>
      </c>
      <c r="K120" s="558"/>
      <c r="L120" s="558"/>
      <c r="M120" s="550"/>
      <c r="N120" s="550"/>
    </row>
    <row r="121" spans="1:14" ht="20.25" customHeight="1">
      <c r="A121" s="558"/>
      <c r="B121" s="558"/>
      <c r="C121" s="558"/>
      <c r="D121" s="579"/>
      <c r="E121" s="576"/>
      <c r="F121" s="585" t="s">
        <v>453</v>
      </c>
      <c r="G121" s="610"/>
      <c r="H121" s="596" t="str">
        <f>H22</f>
        <v>令和5年度</v>
      </c>
      <c r="I121" s="619"/>
      <c r="J121" s="577">
        <v>0</v>
      </c>
      <c r="K121" s="558"/>
      <c r="L121" s="558"/>
      <c r="M121" s="550"/>
      <c r="N121" s="550"/>
    </row>
    <row r="122" spans="1:14" ht="20.25" customHeight="1">
      <c r="A122" s="558"/>
      <c r="B122" s="558"/>
      <c r="C122" s="558"/>
      <c r="D122" s="579"/>
      <c r="E122" s="576"/>
      <c r="F122" s="585"/>
      <c r="G122" s="625"/>
      <c r="H122" s="626" t="str">
        <f>H23</f>
        <v>令和4年度</v>
      </c>
      <c r="I122" s="627"/>
      <c r="J122" s="628">
        <v>0</v>
      </c>
      <c r="K122" s="629"/>
      <c r="L122" s="629"/>
      <c r="M122" s="630"/>
      <c r="N122" s="550"/>
    </row>
    <row r="123" spans="1:14" ht="20.25" customHeight="1">
      <c r="A123" s="558"/>
      <c r="B123" s="558"/>
      <c r="C123" s="558"/>
      <c r="D123" s="579"/>
      <c r="E123" s="576"/>
      <c r="F123" s="585"/>
      <c r="G123" s="625"/>
      <c r="H123" s="626" t="str">
        <f>H24</f>
        <v>令和3年度</v>
      </c>
      <c r="I123" s="627"/>
      <c r="J123" s="628">
        <v>0</v>
      </c>
      <c r="K123" s="629"/>
      <c r="L123" s="629"/>
      <c r="M123" s="630"/>
      <c r="N123" s="550"/>
    </row>
    <row r="124" spans="1:14" ht="20.25" customHeight="1">
      <c r="A124" s="558"/>
      <c r="B124" s="558"/>
      <c r="C124" s="558"/>
      <c r="D124" s="579"/>
      <c r="E124" s="576"/>
      <c r="F124" s="585"/>
      <c r="G124" s="625"/>
      <c r="H124" s="626" t="str">
        <f>H25</f>
        <v>令和2年度</v>
      </c>
      <c r="I124" s="627"/>
      <c r="J124" s="628">
        <v>0</v>
      </c>
      <c r="K124" s="629"/>
      <c r="L124" s="629"/>
      <c r="M124" s="630"/>
      <c r="N124" s="550"/>
    </row>
    <row r="125" spans="1:14" ht="20.25" customHeight="1">
      <c r="A125" s="558"/>
      <c r="B125" s="558"/>
      <c r="C125" s="558"/>
      <c r="D125" s="579"/>
      <c r="E125" s="576"/>
      <c r="F125" s="583" t="str">
        <f>H21&amp;"　会計検査院指摘に伴う返還額"</f>
        <v>令和6年度　会計検査院指摘に伴う返還額</v>
      </c>
      <c r="G125" s="631"/>
      <c r="H125" s="626"/>
      <c r="I125" s="632"/>
      <c r="J125" s="633">
        <v>0</v>
      </c>
      <c r="K125" s="629"/>
      <c r="L125" s="629"/>
      <c r="M125" s="630"/>
      <c r="N125" s="550"/>
    </row>
    <row r="126" spans="1:14" ht="20.25" customHeight="1">
      <c r="A126" s="558"/>
      <c r="B126" s="558"/>
      <c r="C126" s="558"/>
      <c r="D126" s="579"/>
      <c r="E126" s="576"/>
      <c r="F126" s="585" t="s">
        <v>477</v>
      </c>
      <c r="G126" s="625"/>
      <c r="H126" s="634" t="str">
        <f>H22</f>
        <v>令和5年度</v>
      </c>
      <c r="I126" s="627"/>
      <c r="J126" s="628">
        <v>0</v>
      </c>
      <c r="K126" s="629"/>
      <c r="L126" s="629"/>
      <c r="M126" s="630"/>
      <c r="N126" s="550"/>
    </row>
    <row r="127" spans="1:14" ht="20.25" customHeight="1">
      <c r="A127" s="558"/>
      <c r="B127" s="558"/>
      <c r="C127" s="558"/>
      <c r="D127" s="579"/>
      <c r="E127" s="576"/>
      <c r="F127" s="585"/>
      <c r="G127" s="625"/>
      <c r="H127" s="626" t="str">
        <f>H23</f>
        <v>令和4年度</v>
      </c>
      <c r="I127" s="627"/>
      <c r="J127" s="628">
        <v>0</v>
      </c>
      <c r="K127" s="629"/>
      <c r="L127" s="629"/>
      <c r="M127" s="630"/>
      <c r="N127" s="550"/>
    </row>
    <row r="128" spans="1:14" ht="20.25" customHeight="1">
      <c r="A128" s="558"/>
      <c r="B128" s="558"/>
      <c r="C128" s="558"/>
      <c r="D128" s="579"/>
      <c r="E128" s="576"/>
      <c r="F128" s="585"/>
      <c r="G128" s="625"/>
      <c r="H128" s="626" t="str">
        <f>H24</f>
        <v>令和3年度</v>
      </c>
      <c r="I128" s="627"/>
      <c r="J128" s="628">
        <v>0</v>
      </c>
      <c r="K128" s="629"/>
      <c r="L128" s="629"/>
      <c r="M128" s="630"/>
      <c r="N128" s="550"/>
    </row>
    <row r="129" spans="1:14" ht="20.25" customHeight="1">
      <c r="A129" s="558"/>
      <c r="B129" s="558"/>
      <c r="C129" s="558"/>
      <c r="D129" s="588"/>
      <c r="E129" s="589"/>
      <c r="F129" s="590"/>
      <c r="G129" s="635"/>
      <c r="H129" s="636" t="str">
        <f>H25</f>
        <v>令和2年度</v>
      </c>
      <c r="I129" s="637"/>
      <c r="J129" s="638">
        <v>0</v>
      </c>
      <c r="K129" s="629"/>
      <c r="L129" s="629"/>
      <c r="M129" s="630"/>
      <c r="N129" s="550"/>
    </row>
    <row r="130" spans="1:14" ht="20.25" customHeight="1">
      <c r="A130" s="558"/>
      <c r="B130" s="558"/>
      <c r="C130" s="558"/>
      <c r="D130" s="558"/>
      <c r="E130" s="558"/>
      <c r="F130" s="558"/>
      <c r="G130" s="639"/>
      <c r="H130" s="629"/>
      <c r="I130" s="629"/>
      <c r="J130" s="640"/>
      <c r="K130" s="629"/>
      <c r="L130" s="629"/>
      <c r="M130" s="630"/>
      <c r="N130" s="550"/>
    </row>
    <row r="131" spans="1:14" ht="20.25" customHeight="1">
      <c r="A131" s="558"/>
      <c r="B131" s="558"/>
      <c r="C131" s="558"/>
      <c r="D131" s="558"/>
      <c r="E131" s="558"/>
      <c r="F131" s="558"/>
      <c r="G131" s="639"/>
      <c r="H131" s="629"/>
      <c r="I131" s="629"/>
      <c r="J131" s="640"/>
      <c r="K131" s="629"/>
      <c r="L131" s="629"/>
      <c r="M131" s="630"/>
      <c r="N131" s="550"/>
    </row>
    <row r="132" spans="1:14" ht="20.25" customHeight="1">
      <c r="A132" s="558"/>
      <c r="B132" s="558"/>
      <c r="C132" s="558" t="s">
        <v>478</v>
      </c>
      <c r="D132" s="558"/>
      <c r="E132" s="558"/>
      <c r="F132" s="558"/>
      <c r="G132" s="639"/>
      <c r="H132" s="629"/>
      <c r="I132" s="629"/>
      <c r="J132" s="640"/>
      <c r="K132" s="629"/>
      <c r="L132" s="629"/>
      <c r="M132" s="630"/>
      <c r="N132" s="550"/>
    </row>
    <row r="133" spans="1:14" ht="20.25" customHeight="1">
      <c r="A133" s="558"/>
      <c r="B133" s="558"/>
      <c r="C133" s="558"/>
      <c r="D133" s="558"/>
      <c r="E133" s="558"/>
      <c r="F133" s="558"/>
      <c r="G133" s="639"/>
      <c r="H133" s="629"/>
      <c r="I133" s="629"/>
      <c r="J133" s="641" t="s">
        <v>310</v>
      </c>
      <c r="K133" s="629"/>
      <c r="L133" s="629"/>
      <c r="M133" s="630"/>
      <c r="N133" s="550"/>
    </row>
    <row r="134" spans="1:14" ht="20.25" customHeight="1">
      <c r="A134" s="558"/>
      <c r="B134" s="558"/>
      <c r="C134" s="558"/>
      <c r="D134" s="558"/>
      <c r="E134" s="558"/>
      <c r="F134" s="558"/>
      <c r="G134" s="639"/>
      <c r="H134" s="629"/>
      <c r="I134" s="642" t="s">
        <v>473</v>
      </c>
      <c r="J134" s="642" t="s">
        <v>426</v>
      </c>
      <c r="K134" s="629"/>
      <c r="L134" s="629"/>
      <c r="M134" s="630"/>
      <c r="N134" s="550"/>
    </row>
    <row r="135" spans="1:14" ht="20.25" customHeight="1">
      <c r="A135" s="558"/>
      <c r="B135" s="558"/>
      <c r="C135" s="558"/>
      <c r="D135" s="593" t="s">
        <v>109</v>
      </c>
      <c r="E135" s="594"/>
      <c r="F135" s="594"/>
      <c r="G135" s="643"/>
      <c r="H135" s="643"/>
      <c r="I135" s="644">
        <v>0</v>
      </c>
      <c r="J135" s="644">
        <v>0</v>
      </c>
      <c r="K135" s="629"/>
      <c r="L135" s="629"/>
      <c r="M135" s="630"/>
      <c r="N135" s="550"/>
    </row>
    <row r="136" spans="1:14" ht="20.25" customHeight="1">
      <c r="A136" s="558"/>
      <c r="B136" s="558"/>
      <c r="C136" s="558"/>
      <c r="D136" s="579"/>
      <c r="E136" s="610" t="s">
        <v>458</v>
      </c>
      <c r="F136" s="585" t="str">
        <f>H21&amp;"　確定に伴う精算交付額（追加交付額）"</f>
        <v>令和6年度　確定に伴う精算交付額（追加交付額）</v>
      </c>
      <c r="G136" s="645"/>
      <c r="H136" s="626"/>
      <c r="I136" s="633">
        <v>0</v>
      </c>
      <c r="J136" s="627"/>
      <c r="K136" s="629"/>
      <c r="L136" s="629"/>
      <c r="M136" s="630"/>
      <c r="N136" s="550"/>
    </row>
    <row r="137" spans="1:14" ht="20.25" customHeight="1">
      <c r="A137" s="558"/>
      <c r="B137" s="558"/>
      <c r="C137" s="558"/>
      <c r="D137" s="579"/>
      <c r="E137" s="576"/>
      <c r="F137" s="580" t="s">
        <v>474</v>
      </c>
      <c r="G137" s="646"/>
      <c r="H137" s="647" t="str">
        <f>H22</f>
        <v>令和5年度</v>
      </c>
      <c r="I137" s="633">
        <v>0</v>
      </c>
      <c r="J137" s="632"/>
      <c r="K137" s="629"/>
      <c r="L137" s="629"/>
      <c r="M137" s="630"/>
      <c r="N137" s="550"/>
    </row>
    <row r="138" spans="1:14" ht="20.25" customHeight="1">
      <c r="A138" s="558"/>
      <c r="B138" s="558"/>
      <c r="C138" s="558"/>
      <c r="D138" s="579"/>
      <c r="E138" s="576"/>
      <c r="F138" s="585"/>
      <c r="G138" s="648"/>
      <c r="H138" s="647" t="str">
        <f>H23</f>
        <v>令和4年度</v>
      </c>
      <c r="I138" s="633">
        <v>0</v>
      </c>
      <c r="J138" s="632"/>
      <c r="K138" s="629"/>
      <c r="L138" s="629"/>
      <c r="M138" s="630"/>
      <c r="N138" s="550"/>
    </row>
    <row r="139" spans="1:14" ht="20.25" customHeight="1">
      <c r="A139" s="558"/>
      <c r="B139" s="558"/>
      <c r="C139" s="558"/>
      <c r="D139" s="579"/>
      <c r="E139" s="576"/>
      <c r="F139" s="585"/>
      <c r="G139" s="648"/>
      <c r="H139" s="647" t="str">
        <f>H24</f>
        <v>令和3年度</v>
      </c>
      <c r="I139" s="633">
        <v>0</v>
      </c>
      <c r="J139" s="632"/>
      <c r="K139" s="629"/>
      <c r="L139" s="629"/>
      <c r="M139" s="630"/>
      <c r="N139" s="550"/>
    </row>
    <row r="140" spans="1:14" ht="20.25" customHeight="1">
      <c r="A140" s="558"/>
      <c r="B140" s="558"/>
      <c r="C140" s="558"/>
      <c r="D140" s="579"/>
      <c r="E140" s="576"/>
      <c r="F140" s="585"/>
      <c r="G140" s="648"/>
      <c r="H140" s="647" t="str">
        <f>H25</f>
        <v>令和2年度</v>
      </c>
      <c r="I140" s="633">
        <v>0</v>
      </c>
      <c r="J140" s="632"/>
      <c r="K140" s="629"/>
      <c r="L140" s="629"/>
      <c r="M140" s="630"/>
      <c r="N140" s="550"/>
    </row>
    <row r="141" spans="1:14" ht="20.25" customHeight="1">
      <c r="A141" s="558"/>
      <c r="B141" s="558"/>
      <c r="C141" s="558"/>
      <c r="D141" s="579"/>
      <c r="E141" s="576"/>
      <c r="F141" s="586"/>
      <c r="G141" s="645"/>
      <c r="H141" s="647" t="str">
        <f>H26</f>
        <v>令和元年度</v>
      </c>
      <c r="I141" s="633">
        <v>0</v>
      </c>
      <c r="J141" s="632"/>
      <c r="K141" s="629"/>
      <c r="L141" s="629"/>
      <c r="M141" s="630"/>
      <c r="N141" s="550"/>
    </row>
    <row r="142" spans="1:14" ht="20.25" customHeight="1">
      <c r="A142" s="558"/>
      <c r="B142" s="558"/>
      <c r="C142" s="558"/>
      <c r="D142" s="579"/>
      <c r="E142" s="576"/>
      <c r="F142" s="585" t="str">
        <f>H21&amp;"　確定に伴う返還額"</f>
        <v>令和6年度　確定に伴う返還額</v>
      </c>
      <c r="G142" s="648"/>
      <c r="H142" s="626"/>
      <c r="I142" s="627"/>
      <c r="J142" s="628">
        <v>0</v>
      </c>
      <c r="K142" s="629"/>
      <c r="L142" s="629"/>
      <c r="M142" s="630"/>
      <c r="N142" s="550"/>
    </row>
    <row r="143" spans="1:14" ht="20.25" customHeight="1">
      <c r="A143" s="558"/>
      <c r="B143" s="558"/>
      <c r="C143" s="558"/>
      <c r="D143" s="579"/>
      <c r="E143" s="576"/>
      <c r="F143" s="580" t="s">
        <v>453</v>
      </c>
      <c r="G143" s="646"/>
      <c r="H143" s="647" t="str">
        <f>H22</f>
        <v>令和5年度</v>
      </c>
      <c r="I143" s="632"/>
      <c r="J143" s="628">
        <v>0</v>
      </c>
      <c r="K143" s="629"/>
      <c r="L143" s="629"/>
      <c r="M143" s="630"/>
      <c r="N143" s="550"/>
    </row>
    <row r="144" spans="1:14" ht="20.25" customHeight="1">
      <c r="A144" s="558"/>
      <c r="B144" s="558"/>
      <c r="C144" s="558"/>
      <c r="D144" s="579"/>
      <c r="E144" s="576"/>
      <c r="F144" s="585"/>
      <c r="G144" s="648"/>
      <c r="H144" s="647" t="str">
        <f>H23</f>
        <v>令和4年度</v>
      </c>
      <c r="I144" s="632"/>
      <c r="J144" s="628">
        <v>0</v>
      </c>
      <c r="K144" s="629"/>
      <c r="L144" s="629"/>
      <c r="M144" s="630"/>
      <c r="N144" s="550"/>
    </row>
    <row r="145" spans="1:14" ht="20.25" customHeight="1">
      <c r="A145" s="558"/>
      <c r="B145" s="558"/>
      <c r="C145" s="558"/>
      <c r="D145" s="579"/>
      <c r="E145" s="576"/>
      <c r="F145" s="585"/>
      <c r="G145" s="648"/>
      <c r="H145" s="647" t="str">
        <f>H24</f>
        <v>令和3年度</v>
      </c>
      <c r="I145" s="632"/>
      <c r="J145" s="628">
        <v>0</v>
      </c>
      <c r="K145" s="629"/>
      <c r="L145" s="629"/>
      <c r="M145" s="630"/>
      <c r="N145" s="550"/>
    </row>
    <row r="146" spans="1:14" ht="20.25" customHeight="1">
      <c r="A146" s="558"/>
      <c r="B146" s="558"/>
      <c r="C146" s="558"/>
      <c r="D146" s="579"/>
      <c r="E146" s="576"/>
      <c r="F146" s="585"/>
      <c r="G146" s="648"/>
      <c r="H146" s="647" t="str">
        <f>H25</f>
        <v>令和2年度</v>
      </c>
      <c r="I146" s="632"/>
      <c r="J146" s="628">
        <v>0</v>
      </c>
      <c r="K146" s="629"/>
      <c r="L146" s="629"/>
      <c r="M146" s="630"/>
      <c r="N146" s="550"/>
    </row>
    <row r="147" spans="1:14" ht="20.25" customHeight="1">
      <c r="A147" s="558"/>
      <c r="B147" s="558"/>
      <c r="C147" s="558"/>
      <c r="D147" s="588"/>
      <c r="E147" s="589"/>
      <c r="F147" s="590"/>
      <c r="G147" s="649"/>
      <c r="H147" s="650" t="str">
        <f>H26</f>
        <v>令和元年度</v>
      </c>
      <c r="I147" s="637"/>
      <c r="J147" s="638">
        <v>0</v>
      </c>
      <c r="K147" s="629"/>
      <c r="L147" s="629"/>
      <c r="M147" s="630"/>
      <c r="N147" s="550"/>
    </row>
    <row r="148" spans="1:14" ht="20.25" customHeight="1">
      <c r="A148" s="558"/>
      <c r="B148" s="558"/>
      <c r="C148" s="558"/>
      <c r="D148" s="558"/>
      <c r="E148" s="558"/>
      <c r="F148" s="558"/>
      <c r="G148" s="629"/>
      <c r="H148" s="629"/>
      <c r="I148" s="629"/>
      <c r="J148" s="640"/>
      <c r="K148" s="629"/>
      <c r="L148" s="629"/>
      <c r="M148" s="630"/>
      <c r="N148" s="550"/>
    </row>
    <row r="149" spans="1:14" ht="20.25" customHeight="1">
      <c r="A149" s="558"/>
      <c r="B149" s="558"/>
      <c r="C149" s="558"/>
      <c r="D149" s="558"/>
      <c r="E149" s="558"/>
      <c r="F149" s="558"/>
      <c r="G149" s="639"/>
      <c r="H149" s="629"/>
      <c r="I149" s="629"/>
      <c r="J149" s="640"/>
      <c r="K149" s="629"/>
      <c r="L149" s="629"/>
      <c r="M149" s="630"/>
      <c r="N149" s="550"/>
    </row>
    <row r="150" spans="1:14" ht="20.25" customHeight="1">
      <c r="A150" s="558"/>
      <c r="B150" s="558"/>
      <c r="C150" s="558" t="s">
        <v>479</v>
      </c>
      <c r="D150" s="558"/>
      <c r="E150" s="558"/>
      <c r="F150" s="558"/>
      <c r="G150" s="639"/>
      <c r="H150" s="629"/>
      <c r="I150" s="629"/>
      <c r="J150" s="640"/>
      <c r="K150" s="629"/>
      <c r="L150" s="629"/>
      <c r="M150" s="630"/>
      <c r="N150" s="550"/>
    </row>
    <row r="151" spans="1:14" ht="20.25" customHeight="1">
      <c r="A151" s="558"/>
      <c r="B151" s="558"/>
      <c r="C151" s="558"/>
      <c r="D151" s="558"/>
      <c r="E151" s="558"/>
      <c r="F151" s="558"/>
      <c r="G151" s="639"/>
      <c r="H151" s="629"/>
      <c r="I151" s="629"/>
      <c r="J151" s="641" t="s">
        <v>310</v>
      </c>
      <c r="K151" s="629"/>
      <c r="L151" s="629"/>
      <c r="M151" s="630"/>
      <c r="N151" s="550"/>
    </row>
    <row r="152" spans="1:14" ht="20.25" customHeight="1">
      <c r="A152" s="558"/>
      <c r="B152" s="558"/>
      <c r="C152" s="558"/>
      <c r="D152" s="558"/>
      <c r="E152" s="558"/>
      <c r="F152" s="558"/>
      <c r="G152" s="629"/>
      <c r="H152" s="629"/>
      <c r="I152" s="642" t="s">
        <v>473</v>
      </c>
      <c r="J152" s="651" t="s">
        <v>426</v>
      </c>
      <c r="K152" s="629"/>
      <c r="L152" s="629"/>
      <c r="M152" s="630"/>
      <c r="N152" s="550"/>
    </row>
    <row r="153" spans="1:14" ht="20.25" customHeight="1">
      <c r="A153" s="558"/>
      <c r="B153" s="558"/>
      <c r="C153" s="558"/>
      <c r="D153" s="593" t="s">
        <v>468</v>
      </c>
      <c r="E153" s="652"/>
      <c r="F153" s="653" t="str">
        <f>H21&amp;"　確定に伴う精算交付額（追加交付額）【不足額】"</f>
        <v>令和6年度　確定に伴う精算交付額（追加交付額）【不足額】</v>
      </c>
      <c r="G153" s="654"/>
      <c r="H153" s="655"/>
      <c r="I153" s="656">
        <v>0</v>
      </c>
      <c r="J153" s="627"/>
      <c r="K153" s="629"/>
      <c r="L153" s="629"/>
      <c r="M153" s="630"/>
      <c r="N153" s="550"/>
    </row>
    <row r="154" spans="1:14" ht="20.25" customHeight="1">
      <c r="A154" s="558"/>
      <c r="B154" s="558"/>
      <c r="C154" s="558"/>
      <c r="D154" s="598"/>
      <c r="E154" s="589"/>
      <c r="F154" s="590" t="str">
        <f>H21&amp;"　確定に伴う返還額【超過額】"</f>
        <v>令和6年度　確定に伴う返還額【超過額】</v>
      </c>
      <c r="G154" s="649"/>
      <c r="H154" s="657"/>
      <c r="I154" s="637"/>
      <c r="J154" s="638">
        <v>0</v>
      </c>
      <c r="K154" s="629"/>
      <c r="L154" s="629"/>
      <c r="M154" s="630"/>
      <c r="N154" s="550"/>
    </row>
    <row r="155" spans="1:14" ht="20.25" customHeight="1">
      <c r="A155" s="558"/>
      <c r="B155" s="558"/>
      <c r="C155" s="558"/>
      <c r="D155" s="558"/>
      <c r="E155" s="558"/>
      <c r="F155" s="558"/>
      <c r="G155" s="639"/>
      <c r="H155" s="629"/>
      <c r="I155" s="629"/>
      <c r="J155" s="640"/>
      <c r="K155" s="629"/>
      <c r="L155" s="629"/>
      <c r="M155" s="630"/>
      <c r="N155" s="550"/>
    </row>
    <row r="156" spans="1:14" ht="20.25" customHeight="1">
      <c r="A156" s="558"/>
      <c r="B156" s="558"/>
      <c r="C156" s="558"/>
      <c r="D156" s="558"/>
      <c r="E156" s="558"/>
      <c r="F156" s="558"/>
      <c r="G156" s="639"/>
      <c r="H156" s="629"/>
      <c r="I156" s="629"/>
      <c r="J156" s="640"/>
      <c r="K156" s="629"/>
      <c r="L156" s="629"/>
      <c r="M156" s="630"/>
      <c r="N156" s="550"/>
    </row>
    <row r="157" spans="1:14" ht="20.25" customHeight="1">
      <c r="A157" s="558"/>
      <c r="B157" s="558"/>
      <c r="C157" s="558" t="s">
        <v>480</v>
      </c>
      <c r="D157" s="558"/>
      <c r="E157" s="558"/>
      <c r="F157" s="558"/>
      <c r="G157" s="639"/>
      <c r="H157" s="629"/>
      <c r="I157" s="629"/>
      <c r="J157" s="640"/>
      <c r="K157" s="629"/>
      <c r="L157" s="629"/>
      <c r="M157" s="630"/>
      <c r="N157" s="550"/>
    </row>
    <row r="158" spans="1:14" ht="20.25" customHeight="1">
      <c r="A158" s="558"/>
      <c r="B158" s="558"/>
      <c r="C158" s="558"/>
      <c r="D158" s="558"/>
      <c r="E158" s="558"/>
      <c r="F158" s="558"/>
      <c r="G158" s="639"/>
      <c r="H158" s="629"/>
      <c r="I158" s="629"/>
      <c r="J158" s="641" t="s">
        <v>310</v>
      </c>
      <c r="K158" s="629"/>
      <c r="L158" s="629"/>
      <c r="M158" s="630"/>
      <c r="N158" s="550"/>
    </row>
    <row r="159" spans="1:14" ht="20.25" customHeight="1">
      <c r="A159" s="558"/>
      <c r="B159" s="558"/>
      <c r="C159" s="558"/>
      <c r="D159" s="558"/>
      <c r="E159" s="558"/>
      <c r="F159" s="558"/>
      <c r="G159" s="629"/>
      <c r="H159" s="629"/>
      <c r="I159" s="642" t="s">
        <v>473</v>
      </c>
      <c r="J159" s="651" t="s">
        <v>426</v>
      </c>
      <c r="K159" s="629"/>
      <c r="L159" s="629"/>
      <c r="M159" s="630"/>
      <c r="N159" s="550"/>
    </row>
    <row r="160" spans="1:14" ht="20.25" customHeight="1">
      <c r="A160" s="558"/>
      <c r="B160" s="558"/>
      <c r="C160" s="558"/>
      <c r="D160" s="593" t="s">
        <v>470</v>
      </c>
      <c r="E160" s="652"/>
      <c r="F160" s="653" t="str">
        <f>H21&amp;"　確定に伴う精算交付額（追加交付額）【不足額】"</f>
        <v>令和6年度　確定に伴う精算交付額（追加交付額）【不足額】</v>
      </c>
      <c r="G160" s="654"/>
      <c r="H160" s="655"/>
      <c r="I160" s="656">
        <v>0</v>
      </c>
      <c r="J160" s="627"/>
      <c r="K160" s="629"/>
      <c r="L160" s="629"/>
      <c r="M160" s="630"/>
      <c r="N160" s="550"/>
    </row>
    <row r="161" spans="1:14" ht="20.25" customHeight="1">
      <c r="A161" s="558"/>
      <c r="B161" s="558"/>
      <c r="C161" s="558"/>
      <c r="D161" s="598"/>
      <c r="E161" s="589"/>
      <c r="F161" s="590" t="str">
        <f>H21&amp;"　確定に伴う返還額【超過額】"</f>
        <v>令和6年度　確定に伴う返還額【超過額】</v>
      </c>
      <c r="G161" s="649"/>
      <c r="H161" s="657"/>
      <c r="I161" s="637"/>
      <c r="J161" s="638">
        <v>0</v>
      </c>
      <c r="K161" s="629"/>
      <c r="L161" s="629"/>
      <c r="M161" s="630"/>
      <c r="N161" s="550"/>
    </row>
    <row r="162" spans="1:14" ht="20.25" customHeight="1">
      <c r="A162" s="558"/>
      <c r="B162" s="558"/>
      <c r="C162" s="558"/>
      <c r="D162" s="558"/>
      <c r="E162" s="558"/>
      <c r="F162" s="558"/>
      <c r="G162" s="639"/>
      <c r="H162" s="629"/>
      <c r="I162" s="629"/>
      <c r="J162" s="640"/>
      <c r="K162" s="629"/>
      <c r="L162" s="629"/>
      <c r="M162" s="630"/>
      <c r="N162" s="550"/>
    </row>
    <row r="163" spans="1:14" ht="20.25" customHeight="1">
      <c r="A163" s="558"/>
      <c r="B163" s="558"/>
      <c r="C163" s="558"/>
      <c r="D163" s="558"/>
      <c r="E163" s="558"/>
      <c r="F163" s="560"/>
      <c r="G163" s="639"/>
      <c r="H163" s="629"/>
      <c r="I163" s="629"/>
      <c r="J163" s="629"/>
      <c r="K163" s="629"/>
      <c r="L163" s="629"/>
      <c r="M163" s="630"/>
      <c r="N163" s="550"/>
    </row>
    <row r="164" spans="1:14" ht="20.25" customHeight="1">
      <c r="A164" s="558"/>
      <c r="B164" s="558"/>
      <c r="C164" s="558" t="s">
        <v>481</v>
      </c>
      <c r="D164" s="558"/>
      <c r="E164" s="558"/>
      <c r="F164" s="558"/>
      <c r="G164" s="639"/>
      <c r="H164" s="629"/>
      <c r="I164" s="629"/>
      <c r="J164" s="629"/>
      <c r="K164" s="629"/>
      <c r="L164" s="629"/>
      <c r="M164" s="630"/>
      <c r="N164" s="550"/>
    </row>
    <row r="165" spans="1:14" ht="20.25" customHeight="1">
      <c r="A165" s="558"/>
      <c r="B165" s="558"/>
      <c r="C165" s="558"/>
      <c r="D165" s="558"/>
      <c r="E165" s="558"/>
      <c r="F165" s="558"/>
      <c r="G165" s="639"/>
      <c r="H165" s="629"/>
      <c r="I165" s="629"/>
      <c r="J165" s="641" t="s">
        <v>310</v>
      </c>
      <c r="K165" s="629"/>
      <c r="L165" s="629"/>
      <c r="M165" s="630"/>
      <c r="N165" s="550"/>
    </row>
    <row r="166" spans="1:14" ht="20.25" customHeight="1">
      <c r="A166" s="558"/>
      <c r="B166" s="558"/>
      <c r="C166" s="558"/>
      <c r="D166" s="558"/>
      <c r="E166" s="558"/>
      <c r="F166" s="558"/>
      <c r="G166" s="629"/>
      <c r="H166" s="629"/>
      <c r="I166" s="642" t="s">
        <v>473</v>
      </c>
      <c r="J166" s="651" t="s">
        <v>426</v>
      </c>
      <c r="K166" s="629"/>
      <c r="L166" s="629"/>
      <c r="M166" s="630"/>
      <c r="N166" s="550"/>
    </row>
    <row r="167" spans="1:14" ht="20.25" customHeight="1">
      <c r="A167" s="558"/>
      <c r="B167" s="558"/>
      <c r="C167" s="558"/>
      <c r="D167" s="593" t="s">
        <v>468</v>
      </c>
      <c r="E167" s="652"/>
      <c r="F167" s="653" t="str">
        <f>H20&amp;"　確定に伴う精算交付額（追加交付額）【不足額】"</f>
        <v>令和7年度　確定に伴う精算交付額（追加交付額）【不足額】</v>
      </c>
      <c r="G167" s="654"/>
      <c r="H167" s="655"/>
      <c r="I167" s="656">
        <v>0</v>
      </c>
      <c r="J167" s="627"/>
      <c r="K167" s="629"/>
      <c r="L167" s="629"/>
      <c r="M167" s="630"/>
      <c r="N167" s="550"/>
    </row>
    <row r="168" spans="1:14" ht="20.25" customHeight="1">
      <c r="A168" s="558"/>
      <c r="B168" s="558"/>
      <c r="C168" s="558"/>
      <c r="D168" s="598"/>
      <c r="E168" s="589"/>
      <c r="F168" s="590" t="str">
        <f>H20&amp;"　確定に伴う返還額【超過額】"</f>
        <v>令和7年度　確定に伴う返還額【超過額】</v>
      </c>
      <c r="G168" s="649"/>
      <c r="H168" s="657"/>
      <c r="I168" s="637"/>
      <c r="J168" s="638">
        <v>0</v>
      </c>
      <c r="K168" s="629"/>
      <c r="L168" s="629"/>
      <c r="M168" s="630"/>
      <c r="N168" s="550"/>
    </row>
    <row r="169" spans="1:14" ht="20.25" customHeight="1">
      <c r="A169" s="558"/>
      <c r="B169" s="558"/>
      <c r="C169" s="558"/>
      <c r="D169" s="558"/>
      <c r="E169" s="558"/>
      <c r="F169" s="567"/>
      <c r="G169" s="639"/>
      <c r="H169" s="639"/>
      <c r="I169" s="639"/>
      <c r="J169" s="639"/>
      <c r="K169" s="629"/>
      <c r="L169" s="629"/>
      <c r="M169" s="630"/>
      <c r="N169" s="550"/>
    </row>
    <row r="170" spans="1:14" ht="20.25" customHeight="1">
      <c r="A170" s="558"/>
      <c r="B170" s="558"/>
      <c r="C170" s="558"/>
      <c r="D170" s="558"/>
      <c r="E170" s="558"/>
      <c r="F170" s="567"/>
      <c r="G170" s="639"/>
      <c r="H170" s="639"/>
      <c r="I170" s="639"/>
      <c r="J170" s="639"/>
      <c r="K170" s="629"/>
      <c r="L170" s="629"/>
      <c r="M170" s="630"/>
      <c r="N170" s="550"/>
    </row>
    <row r="171" spans="1:14" ht="20.25" customHeight="1">
      <c r="A171" s="558"/>
      <c r="B171" s="558"/>
      <c r="C171" s="558" t="s">
        <v>482</v>
      </c>
      <c r="D171" s="558"/>
      <c r="E171" s="558"/>
      <c r="F171" s="560"/>
      <c r="G171" s="639"/>
      <c r="H171" s="629"/>
      <c r="I171" s="629"/>
      <c r="J171" s="629"/>
      <c r="K171" s="629"/>
      <c r="L171" s="629"/>
      <c r="M171" s="630"/>
      <c r="N171" s="550"/>
    </row>
    <row r="172" spans="1:14" ht="20.25" customHeight="1">
      <c r="A172" s="558"/>
      <c r="B172" s="558"/>
      <c r="C172" s="558"/>
      <c r="D172" s="558"/>
      <c r="E172" s="558"/>
      <c r="F172" s="560"/>
      <c r="G172" s="639"/>
      <c r="H172" s="629"/>
      <c r="I172" s="629"/>
      <c r="J172" s="641" t="s">
        <v>310</v>
      </c>
      <c r="K172" s="629"/>
      <c r="L172" s="629"/>
      <c r="M172" s="630"/>
      <c r="N172" s="550"/>
    </row>
    <row r="173" spans="1:14" ht="20.25" customHeight="1">
      <c r="A173" s="558"/>
      <c r="B173" s="558"/>
      <c r="C173" s="558"/>
      <c r="D173" s="558"/>
      <c r="E173" s="558"/>
      <c r="F173" s="560"/>
      <c r="G173" s="639"/>
      <c r="H173" s="629"/>
      <c r="I173" s="642" t="s">
        <v>473</v>
      </c>
      <c r="J173" s="651" t="s">
        <v>426</v>
      </c>
      <c r="K173" s="629"/>
      <c r="L173" s="629"/>
      <c r="M173" s="630"/>
      <c r="N173" s="550"/>
    </row>
    <row r="174" spans="1:14" ht="20.25" customHeight="1">
      <c r="A174" s="558"/>
      <c r="B174" s="558"/>
      <c r="C174" s="558"/>
      <c r="D174" s="593" t="s">
        <v>470</v>
      </c>
      <c r="E174" s="652"/>
      <c r="F174" s="653" t="str">
        <f>H20&amp;"　確定に伴う精算交付額（追加交付額）【不足額】"</f>
        <v>令和7年度　確定に伴う精算交付額（追加交付額）【不足額】</v>
      </c>
      <c r="G174" s="654"/>
      <c r="H174" s="655"/>
      <c r="I174" s="656">
        <v>0</v>
      </c>
      <c r="J174" s="627"/>
      <c r="K174" s="629"/>
      <c r="L174" s="629"/>
      <c r="M174" s="630"/>
      <c r="N174" s="550"/>
    </row>
    <row r="175" spans="1:14" ht="20.25" customHeight="1">
      <c r="A175" s="558"/>
      <c r="B175" s="558"/>
      <c r="C175" s="558"/>
      <c r="D175" s="598"/>
      <c r="E175" s="589"/>
      <c r="F175" s="590" t="str">
        <f>H20&amp;"　確定に伴う返還額【超過額】"</f>
        <v>令和7年度　確定に伴う返還額【超過額】</v>
      </c>
      <c r="G175" s="649"/>
      <c r="H175" s="657"/>
      <c r="I175" s="637"/>
      <c r="J175" s="638">
        <v>0</v>
      </c>
      <c r="K175" s="629"/>
      <c r="L175" s="629"/>
      <c r="M175" s="630"/>
      <c r="N175" s="550"/>
    </row>
    <row r="176" spans="1:14" ht="20.25" customHeight="1">
      <c r="A176" s="558"/>
      <c r="B176" s="558"/>
      <c r="C176" s="558"/>
      <c r="D176" s="558"/>
      <c r="E176" s="558"/>
      <c r="F176" s="558"/>
      <c r="G176" s="629"/>
      <c r="H176" s="629"/>
      <c r="I176" s="629"/>
      <c r="J176" s="629"/>
      <c r="K176" s="658"/>
      <c r="L176" s="658"/>
      <c r="M176" s="630"/>
      <c r="N176" s="550"/>
    </row>
    <row r="177" spans="1:14" ht="18" customHeight="1">
      <c r="A177" s="558"/>
      <c r="B177" s="558"/>
      <c r="C177" s="558"/>
      <c r="D177" s="558"/>
      <c r="E177" s="558"/>
      <c r="F177" s="558"/>
      <c r="G177" s="629"/>
      <c r="H177" s="629"/>
      <c r="I177" s="629"/>
      <c r="J177" s="629"/>
      <c r="K177" s="658"/>
      <c r="L177" s="658"/>
      <c r="M177" s="630"/>
      <c r="N177" s="550"/>
    </row>
    <row r="178" spans="1:14" ht="7.5" customHeight="1">
      <c r="A178" s="558"/>
      <c r="B178" s="558"/>
      <c r="C178" s="558"/>
      <c r="D178" s="558"/>
      <c r="E178" s="558"/>
      <c r="F178" s="558"/>
      <c r="G178" s="629"/>
      <c r="H178" s="629"/>
      <c r="I178" s="629"/>
      <c r="J178" s="629"/>
      <c r="K178" s="658"/>
      <c r="L178" s="658"/>
      <c r="M178" s="630"/>
      <c r="N178" s="550"/>
    </row>
  </sheetData>
  <mergeCells count="4">
    <mergeCell ref="A3:L3"/>
    <mergeCell ref="A4:L4"/>
    <mergeCell ref="C42:J43"/>
    <mergeCell ref="D44:J45"/>
  </mergeCells>
  <phoneticPr fontId="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47</vt:i4>
      </vt:variant>
    </vt:vector>
  </HeadingPairs>
  <TitlesOfParts>
    <vt:vector size="47" baseType="lpstr">
      <vt:lpstr>様式１</vt:lpstr>
      <vt:lpstr>様式１ 所得段階別</vt:lpstr>
      <vt:lpstr>様式１の２</vt:lpstr>
      <vt:lpstr>様式１の３</vt:lpstr>
      <vt:lpstr>様式１の４</vt:lpstr>
      <vt:lpstr>様式１の５ 総数</vt:lpstr>
      <vt:lpstr>様式１の５ ２割負担</vt:lpstr>
      <vt:lpstr>様式１の５ ３割負担</vt:lpstr>
      <vt:lpstr>様式１の６</vt:lpstr>
      <vt:lpstr>様式１の７（１６）居宅介護</vt:lpstr>
      <vt:lpstr>様式１の７（１７）居宅介護</vt:lpstr>
      <vt:lpstr>様式１の７（１８）地域密着型</vt:lpstr>
      <vt:lpstr>様式１の７（１９）地域密着型（２０）施設介護</vt:lpstr>
      <vt:lpstr>様式２（件数）</vt:lpstr>
      <vt:lpstr>様式２（単位数）</vt:lpstr>
      <vt:lpstr>様式２（費用額）</vt:lpstr>
      <vt:lpstr>様式２（給付費）</vt:lpstr>
      <vt:lpstr>様式２（件数）２割負担</vt:lpstr>
      <vt:lpstr>様式２（単位数）２割負担</vt:lpstr>
      <vt:lpstr>様式２（費用額）２割負担</vt:lpstr>
      <vt:lpstr>様式２（給付費）２割負担</vt:lpstr>
      <vt:lpstr>様式２（件数）３割負担</vt:lpstr>
      <vt:lpstr>様式２（単位数）３割負担</vt:lpstr>
      <vt:lpstr>様式２（費用額）３割負担</vt:lpstr>
      <vt:lpstr>様式２（給付費）３割負担</vt:lpstr>
      <vt:lpstr>様式２の２（件数）</vt:lpstr>
      <vt:lpstr>様式２の２（単位数）</vt:lpstr>
      <vt:lpstr>様式２の２（費用額）</vt:lpstr>
      <vt:lpstr>様式２の２（給付費）</vt:lpstr>
      <vt:lpstr>様式２の３（件数）</vt:lpstr>
      <vt:lpstr>様式２の３（単位数）</vt:lpstr>
      <vt:lpstr>様式２の３（費用額）</vt:lpstr>
      <vt:lpstr>様式２の３（給付費）</vt:lpstr>
      <vt:lpstr>様式２の４（件数）</vt:lpstr>
      <vt:lpstr>様式２の４（単位数）</vt:lpstr>
      <vt:lpstr>様式２の４（費用額）</vt:lpstr>
      <vt:lpstr>様式２の４（給付費）</vt:lpstr>
      <vt:lpstr>様式２の５</vt:lpstr>
      <vt:lpstr>様式２の６</vt:lpstr>
      <vt:lpstr>様式２の７(高額介護)</vt:lpstr>
      <vt:lpstr>様式２の７(高額医療合算)</vt:lpstr>
      <vt:lpstr>様式２の８</vt:lpstr>
      <vt:lpstr>様式３</vt:lpstr>
      <vt:lpstr>様式４</vt:lpstr>
      <vt:lpstr>様式４の２</vt:lpstr>
      <vt:lpstr>様式４の３</vt:lpstr>
      <vt:lpstr>経理状況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kawasaki</cp:lastModifiedBy>
  <dcterms:modified xsi:type="dcterms:W3CDTF">2026-07-29T00:39:54Z</dcterms:modified>
</cp:coreProperties>
</file>