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Hokenhukusika\【新】福祉課共有\06 介護保険\介護保険最新情報 介護保険ＰＣ\介護保険PC\村上博②\村上　博①\7 年報・月報●\01介護保険事業報告（月報）\R07\令和７年０９審査分\"/>
    </mc:Choice>
  </mc:AlternateContent>
  <bookViews>
    <workbookView xWindow="0" yWindow="0" windowWidth="23040" windowHeight="10410" tabRatio="791" firstSheet="24" activeTab="31"/>
  </bookViews>
  <sheets>
    <sheet name="様式１" sheetId="1" r:id="rId1"/>
    <sheet name="様式１の２" sheetId="2" r:id="rId2"/>
    <sheet name="様式１の３" sheetId="3" r:id="rId3"/>
    <sheet name="様式１の４" sheetId="4" r:id="rId4"/>
    <sheet name="様式１の６" sheetId="5" r:id="rId5"/>
    <sheet name="様式２（件数）" sheetId="6" r:id="rId6"/>
    <sheet name="様式２（単位数）" sheetId="7" r:id="rId7"/>
    <sheet name="様式２（費用額）" sheetId="8" r:id="rId8"/>
    <sheet name="様式２（給付費）" sheetId="9" r:id="rId9"/>
    <sheet name="様式２（件数）２割負担" sheetId="10" r:id="rId10"/>
    <sheet name="様式２（単位数）２割負担" sheetId="11" r:id="rId11"/>
    <sheet name="様式２（費用額）２割負担" sheetId="12" r:id="rId12"/>
    <sheet name="様式２（給付費）２割負担" sheetId="13" r:id="rId13"/>
    <sheet name="様式２（件数）３割負担" sheetId="14" r:id="rId14"/>
    <sheet name="様式２（単位数）３割負担" sheetId="15" r:id="rId15"/>
    <sheet name="様式２（費用額）３割負担" sheetId="16" r:id="rId16"/>
    <sheet name="様式２（給付費）３割負担" sheetId="17" r:id="rId17"/>
    <sheet name="様式２の２（件数）" sheetId="18" r:id="rId18"/>
    <sheet name="様式２の２（単位数）" sheetId="19" r:id="rId19"/>
    <sheet name="様式２の２（費用額）" sheetId="20" r:id="rId20"/>
    <sheet name="様式２の２（給付費）" sheetId="21" r:id="rId21"/>
    <sheet name="様式２の３（件数）" sheetId="22" r:id="rId22"/>
    <sheet name="様式２の３（単位数）" sheetId="23" r:id="rId23"/>
    <sheet name="様式２の３（費用額）" sheetId="24" r:id="rId24"/>
    <sheet name="様式２の３（給付費）" sheetId="25" r:id="rId25"/>
    <sheet name="様式２の４（件数）" sheetId="26" r:id="rId26"/>
    <sheet name="様式２の４（単位数）" sheetId="27" r:id="rId27"/>
    <sheet name="様式２の４（費用額）" sheetId="28" r:id="rId28"/>
    <sheet name="様式２の４（給付費）" sheetId="29" r:id="rId29"/>
    <sheet name="様式２の５" sheetId="30" r:id="rId30"/>
    <sheet name="様式２の６" sheetId="31" r:id="rId31"/>
    <sheet name="様式２の７" sheetId="32" r:id="rId32"/>
  </sheets>
  <definedNames>
    <definedName name="styleId" localSheetId="0">"H0110"</definedName>
    <definedName name="styleId" localSheetId="1">"H0120"</definedName>
    <definedName name="styleId" localSheetId="2">"H0130"</definedName>
    <definedName name="styleId" localSheetId="3">"H0140"</definedName>
    <definedName name="styleId" localSheetId="4">"H0161"</definedName>
    <definedName name="styleId" localSheetId="8">"H0214"</definedName>
    <definedName name="styleId" localSheetId="12">"H0204"</definedName>
    <definedName name="styleId" localSheetId="16">"H0294"</definedName>
    <definedName name="styleId" localSheetId="5">"H0211"</definedName>
    <definedName name="styleId" localSheetId="9">"H0201"</definedName>
    <definedName name="styleId" localSheetId="13">"H0291"</definedName>
    <definedName name="styleId" localSheetId="6">"H0212"</definedName>
    <definedName name="styleId" localSheetId="10">"H0202"</definedName>
    <definedName name="styleId" localSheetId="14">"H0292"</definedName>
    <definedName name="styleId" localSheetId="7">"H0213"</definedName>
    <definedName name="styleId" localSheetId="11">"H0203"</definedName>
    <definedName name="styleId" localSheetId="15">"H0293"</definedName>
    <definedName name="styleId" localSheetId="20">"H0224"</definedName>
    <definedName name="styleId" localSheetId="17">"H0221"</definedName>
    <definedName name="styleId" localSheetId="18">"H0222"</definedName>
    <definedName name="styleId" localSheetId="19">"H0223"</definedName>
    <definedName name="styleId" localSheetId="24">"H0234"</definedName>
    <definedName name="styleId" localSheetId="21">"H0231"</definedName>
    <definedName name="styleId" localSheetId="22">"H0232"</definedName>
    <definedName name="styleId" localSheetId="23">"H0233"</definedName>
    <definedName name="styleId" localSheetId="28">"H0244"</definedName>
    <definedName name="styleId" localSheetId="25">"H0241"</definedName>
    <definedName name="styleId" localSheetId="26">"H0242"</definedName>
    <definedName name="styleId" localSheetId="27">"H0243"</definedName>
    <definedName name="styleId" localSheetId="29">"H0251"</definedName>
    <definedName name="styleId" localSheetId="30">"H0261"</definedName>
    <definedName name="styleId" localSheetId="31">"H0272"</definedName>
  </definedNames>
  <calcPr calcId="152511" refMode="R1C1"/>
</workbook>
</file>

<file path=xl/calcChain.xml><?xml version="1.0" encoding="utf-8"?>
<calcChain xmlns="http://schemas.openxmlformats.org/spreadsheetml/2006/main">
  <c r="F57" i="32" l="1"/>
  <c r="F85" i="32" s="1"/>
  <c r="F56" i="32"/>
  <c r="F84" i="32" s="1"/>
  <c r="H52" i="32"/>
  <c r="H51" i="32"/>
  <c r="H42" i="32"/>
  <c r="H41" i="32"/>
  <c r="H37" i="32"/>
  <c r="H36" i="32"/>
  <c r="H32" i="32"/>
  <c r="H31" i="32"/>
  <c r="H27" i="32"/>
  <c r="H26" i="32"/>
  <c r="H22" i="32"/>
  <c r="H21" i="32"/>
  <c r="H17" i="32"/>
  <c r="H16" i="32"/>
  <c r="G12" i="32"/>
  <c r="G47" i="32" s="1"/>
  <c r="F12" i="32"/>
  <c r="F47" i="32" s="1"/>
  <c r="G11" i="32"/>
  <c r="G46" i="32" s="1"/>
  <c r="F11" i="32"/>
  <c r="O51" i="31"/>
  <c r="H51" i="31"/>
  <c r="P51" i="31" s="1"/>
  <c r="O50" i="31"/>
  <c r="H50" i="31"/>
  <c r="P50" i="31" s="1"/>
  <c r="O49" i="31"/>
  <c r="H49" i="31"/>
  <c r="O48" i="31"/>
  <c r="H48" i="31"/>
  <c r="P48" i="31" s="1"/>
  <c r="O47" i="31"/>
  <c r="H47" i="31"/>
  <c r="P47" i="31" s="1"/>
  <c r="O46" i="31"/>
  <c r="H46" i="31"/>
  <c r="P46" i="31" s="1"/>
  <c r="O45" i="31"/>
  <c r="H45" i="31"/>
  <c r="O44" i="31"/>
  <c r="H44" i="31"/>
  <c r="H42" i="31" s="1"/>
  <c r="O43" i="31"/>
  <c r="H43" i="31"/>
  <c r="P43" i="31" s="1"/>
  <c r="N42" i="31"/>
  <c r="M42" i="31"/>
  <c r="L42" i="31"/>
  <c r="K42" i="31"/>
  <c r="J42" i="31"/>
  <c r="G42" i="31"/>
  <c r="F42" i="31"/>
  <c r="O41" i="31"/>
  <c r="H41" i="31"/>
  <c r="P41" i="31" s="1"/>
  <c r="O40" i="31"/>
  <c r="H40" i="31"/>
  <c r="O39" i="31"/>
  <c r="H39" i="31"/>
  <c r="P39" i="31" s="1"/>
  <c r="O38" i="31"/>
  <c r="H38" i="31"/>
  <c r="P38" i="31" s="1"/>
  <c r="O37" i="31"/>
  <c r="H37" i="31"/>
  <c r="P37" i="31" s="1"/>
  <c r="O36" i="31"/>
  <c r="H36" i="31"/>
  <c r="O35" i="31"/>
  <c r="H35" i="31"/>
  <c r="P35" i="31" s="1"/>
  <c r="O34" i="31"/>
  <c r="H34" i="31"/>
  <c r="P34" i="31" s="1"/>
  <c r="O33" i="31"/>
  <c r="H33" i="31"/>
  <c r="P33" i="31" s="1"/>
  <c r="O32" i="31"/>
  <c r="N32" i="31"/>
  <c r="M32" i="31"/>
  <c r="M52" i="31" s="1"/>
  <c r="L32" i="31"/>
  <c r="K32" i="31"/>
  <c r="K52" i="31" s="1"/>
  <c r="J32" i="31"/>
  <c r="H32" i="31"/>
  <c r="H52" i="31" s="1"/>
  <c r="G32" i="31"/>
  <c r="G52" i="31" s="1"/>
  <c r="F32" i="31"/>
  <c r="F52" i="31" s="1"/>
  <c r="O30" i="31"/>
  <c r="H30" i="31"/>
  <c r="P30" i="31" s="1"/>
  <c r="O29" i="31"/>
  <c r="H29" i="31"/>
  <c r="P29" i="31" s="1"/>
  <c r="O28" i="31"/>
  <c r="H28" i="31"/>
  <c r="O27" i="31"/>
  <c r="H27" i="31"/>
  <c r="P27" i="31" s="1"/>
  <c r="O26" i="31"/>
  <c r="H26" i="31"/>
  <c r="P26" i="31" s="1"/>
  <c r="O25" i="31"/>
  <c r="H25" i="31"/>
  <c r="P25" i="31" s="1"/>
  <c r="O24" i="31"/>
  <c r="H24" i="31"/>
  <c r="O23" i="31"/>
  <c r="H23" i="31"/>
  <c r="H21" i="31" s="1"/>
  <c r="O22" i="31"/>
  <c r="H22" i="31"/>
  <c r="P22" i="31" s="1"/>
  <c r="N21" i="31"/>
  <c r="M21" i="31"/>
  <c r="L21" i="31"/>
  <c r="K21" i="31"/>
  <c r="J21" i="31"/>
  <c r="G21" i="31"/>
  <c r="F21" i="31"/>
  <c r="O20" i="31"/>
  <c r="H20" i="31"/>
  <c r="P20" i="31" s="1"/>
  <c r="O19" i="31"/>
  <c r="H19" i="31"/>
  <c r="O18" i="31"/>
  <c r="H18" i="31"/>
  <c r="P18" i="31" s="1"/>
  <c r="O17" i="31"/>
  <c r="H17" i="31"/>
  <c r="P17" i="31" s="1"/>
  <c r="O16" i="31"/>
  <c r="H16" i="31"/>
  <c r="P16" i="31" s="1"/>
  <c r="O15" i="31"/>
  <c r="H15" i="31"/>
  <c r="O14" i="31"/>
  <c r="H14" i="31"/>
  <c r="P14" i="31" s="1"/>
  <c r="O13" i="31"/>
  <c r="H13" i="31"/>
  <c r="P13" i="31" s="1"/>
  <c r="O12" i="31"/>
  <c r="H12" i="31"/>
  <c r="P12" i="31" s="1"/>
  <c r="O11" i="31"/>
  <c r="N11" i="31"/>
  <c r="M11" i="31"/>
  <c r="L11" i="31"/>
  <c r="K11" i="31"/>
  <c r="J11" i="31"/>
  <c r="H11" i="31"/>
  <c r="G11" i="31"/>
  <c r="F11" i="31"/>
  <c r="M52" i="30"/>
  <c r="O51" i="30"/>
  <c r="H51" i="30"/>
  <c r="O50" i="30"/>
  <c r="H50" i="30"/>
  <c r="P50" i="30" s="1"/>
  <c r="O49" i="30"/>
  <c r="H49" i="30"/>
  <c r="P49" i="30" s="1"/>
  <c r="O48" i="30"/>
  <c r="H48" i="30"/>
  <c r="P48" i="30" s="1"/>
  <c r="O47" i="30"/>
  <c r="H47" i="30"/>
  <c r="O46" i="30"/>
  <c r="H46" i="30"/>
  <c r="P46" i="30" s="1"/>
  <c r="O45" i="30"/>
  <c r="H45" i="30"/>
  <c r="P45" i="30" s="1"/>
  <c r="O44" i="30"/>
  <c r="H44" i="30"/>
  <c r="O43" i="30"/>
  <c r="H43" i="30"/>
  <c r="N42" i="30"/>
  <c r="M42" i="30"/>
  <c r="L42" i="30"/>
  <c r="K42" i="30"/>
  <c r="J42" i="30"/>
  <c r="G42" i="30"/>
  <c r="F42" i="30"/>
  <c r="O41" i="30"/>
  <c r="H41" i="30"/>
  <c r="P41" i="30" s="1"/>
  <c r="O40" i="30"/>
  <c r="H40" i="30"/>
  <c r="P40" i="30" s="1"/>
  <c r="O39" i="30"/>
  <c r="H39" i="30"/>
  <c r="P39" i="30" s="1"/>
  <c r="O38" i="30"/>
  <c r="H38" i="30"/>
  <c r="O37" i="30"/>
  <c r="H37" i="30"/>
  <c r="P37" i="30" s="1"/>
  <c r="O36" i="30"/>
  <c r="H36" i="30"/>
  <c r="P36" i="30" s="1"/>
  <c r="O35" i="30"/>
  <c r="H35" i="30"/>
  <c r="P35" i="30" s="1"/>
  <c r="O34" i="30"/>
  <c r="H34" i="30"/>
  <c r="O33" i="30"/>
  <c r="H33" i="30"/>
  <c r="N32" i="30"/>
  <c r="N52" i="30" s="1"/>
  <c r="M32" i="30"/>
  <c r="L32" i="30"/>
  <c r="L52" i="30" s="1"/>
  <c r="K32" i="30"/>
  <c r="K52" i="30" s="1"/>
  <c r="J32" i="30"/>
  <c r="J52" i="30" s="1"/>
  <c r="G32" i="30"/>
  <c r="G52" i="30" s="1"/>
  <c r="F32" i="30"/>
  <c r="F52" i="30" s="1"/>
  <c r="O30" i="30"/>
  <c r="H30" i="30"/>
  <c r="O29" i="30"/>
  <c r="H29" i="30"/>
  <c r="P29" i="30" s="1"/>
  <c r="O28" i="30"/>
  <c r="H28" i="30"/>
  <c r="P28" i="30" s="1"/>
  <c r="O27" i="30"/>
  <c r="H27" i="30"/>
  <c r="P27" i="30" s="1"/>
  <c r="O26" i="30"/>
  <c r="H26" i="30"/>
  <c r="O25" i="30"/>
  <c r="H25" i="30"/>
  <c r="P25" i="30" s="1"/>
  <c r="O24" i="30"/>
  <c r="H24" i="30"/>
  <c r="P24" i="30" s="1"/>
  <c r="O23" i="30"/>
  <c r="H23" i="30"/>
  <c r="O22" i="30"/>
  <c r="H22" i="30"/>
  <c r="N21" i="30"/>
  <c r="M21" i="30"/>
  <c r="L21" i="30"/>
  <c r="K21" i="30"/>
  <c r="J21" i="30"/>
  <c r="G21" i="30"/>
  <c r="F21" i="30"/>
  <c r="O20" i="30"/>
  <c r="H20" i="30"/>
  <c r="P20" i="30" s="1"/>
  <c r="O19" i="30"/>
  <c r="H19" i="30"/>
  <c r="P19" i="30" s="1"/>
  <c r="O18" i="30"/>
  <c r="H18" i="30"/>
  <c r="P18" i="30" s="1"/>
  <c r="O17" i="30"/>
  <c r="H17" i="30"/>
  <c r="O16" i="30"/>
  <c r="H16" i="30"/>
  <c r="P16" i="30" s="1"/>
  <c r="O15" i="30"/>
  <c r="H15" i="30"/>
  <c r="P15" i="30" s="1"/>
  <c r="O14" i="30"/>
  <c r="H14" i="30"/>
  <c r="P14" i="30" s="1"/>
  <c r="O13" i="30"/>
  <c r="H13" i="30"/>
  <c r="O12" i="30"/>
  <c r="H12" i="30"/>
  <c r="N11" i="30"/>
  <c r="M11" i="30"/>
  <c r="L11" i="30"/>
  <c r="K11" i="30"/>
  <c r="J11" i="30"/>
  <c r="G11" i="30"/>
  <c r="F11" i="30"/>
  <c r="O51" i="29"/>
  <c r="H51" i="29"/>
  <c r="P51" i="29" s="1"/>
  <c r="O50" i="29"/>
  <c r="H50" i="29"/>
  <c r="P50" i="29" s="1"/>
  <c r="O49" i="29"/>
  <c r="O47" i="29" s="1"/>
  <c r="H49" i="29"/>
  <c r="O48" i="29"/>
  <c r="H48" i="29"/>
  <c r="H47" i="29" s="1"/>
  <c r="N47" i="29"/>
  <c r="M47" i="29"/>
  <c r="L47" i="29"/>
  <c r="K47" i="29"/>
  <c r="J47" i="29"/>
  <c r="G47" i="29"/>
  <c r="F47" i="29"/>
  <c r="O46" i="29"/>
  <c r="H46" i="29"/>
  <c r="O45" i="29"/>
  <c r="H45" i="29"/>
  <c r="P45" i="29" s="1"/>
  <c r="O44" i="29"/>
  <c r="H44" i="29"/>
  <c r="P44" i="29" s="1"/>
  <c r="O43" i="29"/>
  <c r="H43" i="29"/>
  <c r="P43" i="29" s="1"/>
  <c r="O42" i="29"/>
  <c r="H42" i="29"/>
  <c r="O41" i="29"/>
  <c r="H41" i="29"/>
  <c r="P41" i="29" s="1"/>
  <c r="O40" i="29"/>
  <c r="H40" i="29"/>
  <c r="P40" i="29" s="1"/>
  <c r="O39" i="29"/>
  <c r="H39" i="29"/>
  <c r="P39" i="29" s="1"/>
  <c r="O38" i="29"/>
  <c r="H38" i="29"/>
  <c r="O37" i="29"/>
  <c r="H37" i="29"/>
  <c r="P37" i="29" s="1"/>
  <c r="O36" i="29"/>
  <c r="H36" i="29"/>
  <c r="P36" i="29" s="1"/>
  <c r="O35" i="29"/>
  <c r="H35" i="29"/>
  <c r="O34" i="29"/>
  <c r="H34" i="29"/>
  <c r="N33" i="29"/>
  <c r="M33" i="29"/>
  <c r="L33" i="29"/>
  <c r="K33" i="29"/>
  <c r="J33" i="29"/>
  <c r="G33" i="29"/>
  <c r="F33" i="29"/>
  <c r="O32" i="29"/>
  <c r="H32" i="29"/>
  <c r="P32" i="29" s="1"/>
  <c r="O31" i="29"/>
  <c r="H31" i="29"/>
  <c r="P31" i="29" s="1"/>
  <c r="O30" i="29"/>
  <c r="H30" i="29"/>
  <c r="P30" i="29" s="1"/>
  <c r="O29" i="29"/>
  <c r="H29" i="29"/>
  <c r="O28" i="29"/>
  <c r="H28" i="29"/>
  <c r="H26" i="29" s="1"/>
  <c r="O27" i="29"/>
  <c r="H27" i="29"/>
  <c r="P27" i="29" s="1"/>
  <c r="N26" i="29"/>
  <c r="M26" i="29"/>
  <c r="L26" i="29"/>
  <c r="K26" i="29"/>
  <c r="J26" i="29"/>
  <c r="G26" i="29"/>
  <c r="F26" i="29"/>
  <c r="O25" i="29"/>
  <c r="H25" i="29"/>
  <c r="O24" i="29"/>
  <c r="H24" i="29"/>
  <c r="P24" i="29" s="1"/>
  <c r="O23" i="29"/>
  <c r="H23" i="29"/>
  <c r="P23" i="29" s="1"/>
  <c r="O22" i="29"/>
  <c r="H22" i="29"/>
  <c r="P22" i="29" s="1"/>
  <c r="O21" i="29"/>
  <c r="N21" i="29"/>
  <c r="M21" i="29"/>
  <c r="L21" i="29"/>
  <c r="K21" i="29"/>
  <c r="J21" i="29"/>
  <c r="H21" i="29"/>
  <c r="G21" i="29"/>
  <c r="F21" i="29"/>
  <c r="O20" i="29"/>
  <c r="H20" i="29"/>
  <c r="P20" i="29" s="1"/>
  <c r="O19" i="29"/>
  <c r="H19" i="29"/>
  <c r="P19" i="29" s="1"/>
  <c r="P18" i="29" s="1"/>
  <c r="O18" i="29"/>
  <c r="N18" i="29"/>
  <c r="M18" i="29"/>
  <c r="L18" i="29"/>
  <c r="K18" i="29"/>
  <c r="J18" i="29"/>
  <c r="H18" i="29"/>
  <c r="G18" i="29"/>
  <c r="F18" i="29"/>
  <c r="O17" i="29"/>
  <c r="H17" i="29"/>
  <c r="P17" i="29" s="1"/>
  <c r="O16" i="29"/>
  <c r="H16" i="29"/>
  <c r="P16" i="29" s="1"/>
  <c r="O15" i="29"/>
  <c r="H15" i="29"/>
  <c r="O14" i="29"/>
  <c r="H14" i="29"/>
  <c r="H12" i="29" s="1"/>
  <c r="H11" i="29" s="1"/>
  <c r="O13" i="29"/>
  <c r="H13" i="29"/>
  <c r="P13" i="29" s="1"/>
  <c r="N12" i="29"/>
  <c r="M12" i="29"/>
  <c r="L12" i="29"/>
  <c r="L11" i="29" s="1"/>
  <c r="L52" i="29" s="1"/>
  <c r="K12" i="29"/>
  <c r="J12" i="29"/>
  <c r="G12" i="29"/>
  <c r="F12" i="29"/>
  <c r="N11" i="29"/>
  <c r="N52" i="29" s="1"/>
  <c r="J11" i="29"/>
  <c r="J52" i="29" s="1"/>
  <c r="G11" i="29"/>
  <c r="G52" i="29" s="1"/>
  <c r="L52" i="28"/>
  <c r="O51" i="28"/>
  <c r="H51" i="28"/>
  <c r="P51" i="28" s="1"/>
  <c r="O50" i="28"/>
  <c r="H50" i="28"/>
  <c r="O49" i="28"/>
  <c r="H49" i="28"/>
  <c r="H47" i="28" s="1"/>
  <c r="O48" i="28"/>
  <c r="H48" i="28"/>
  <c r="P48" i="28" s="1"/>
  <c r="N47" i="28"/>
  <c r="M47" i="28"/>
  <c r="L47" i="28"/>
  <c r="K47" i="28"/>
  <c r="J47" i="28"/>
  <c r="G47" i="28"/>
  <c r="F47" i="28"/>
  <c r="O46" i="28"/>
  <c r="H46" i="28"/>
  <c r="P46" i="28" s="1"/>
  <c r="O45" i="28"/>
  <c r="H45" i="28"/>
  <c r="O44" i="28"/>
  <c r="H44" i="28"/>
  <c r="P44" i="28" s="1"/>
  <c r="O43" i="28"/>
  <c r="H43" i="28"/>
  <c r="P43" i="28" s="1"/>
  <c r="O42" i="28"/>
  <c r="H42" i="28"/>
  <c r="P42" i="28" s="1"/>
  <c r="O41" i="28"/>
  <c r="H41" i="28"/>
  <c r="O40" i="28"/>
  <c r="H40" i="28"/>
  <c r="P40" i="28" s="1"/>
  <c r="O39" i="28"/>
  <c r="H39" i="28"/>
  <c r="P39" i="28" s="1"/>
  <c r="O38" i="28"/>
  <c r="H38" i="28"/>
  <c r="P38" i="28" s="1"/>
  <c r="O37" i="28"/>
  <c r="H37" i="28"/>
  <c r="O36" i="28"/>
  <c r="H36" i="28"/>
  <c r="O35" i="28"/>
  <c r="H35" i="28"/>
  <c r="P35" i="28" s="1"/>
  <c r="O34" i="28"/>
  <c r="H34" i="28"/>
  <c r="P34" i="28" s="1"/>
  <c r="N33" i="28"/>
  <c r="M33" i="28"/>
  <c r="L33" i="28"/>
  <c r="K33" i="28"/>
  <c r="J33" i="28"/>
  <c r="G33" i="28"/>
  <c r="F33" i="28"/>
  <c r="O32" i="28"/>
  <c r="H32" i="28"/>
  <c r="P32" i="28" s="1"/>
  <c r="O31" i="28"/>
  <c r="H31" i="28"/>
  <c r="P31" i="28" s="1"/>
  <c r="O30" i="28"/>
  <c r="H30" i="28"/>
  <c r="O29" i="28"/>
  <c r="H29" i="28"/>
  <c r="H26" i="28" s="1"/>
  <c r="O28" i="28"/>
  <c r="H28" i="28"/>
  <c r="P28" i="28" s="1"/>
  <c r="O27" i="28"/>
  <c r="H27" i="28"/>
  <c r="P27" i="28" s="1"/>
  <c r="O26" i="28"/>
  <c r="N26" i="28"/>
  <c r="M26" i="28"/>
  <c r="L26" i="28"/>
  <c r="K26" i="28"/>
  <c r="J26" i="28"/>
  <c r="G26" i="28"/>
  <c r="F26" i="28"/>
  <c r="O25" i="28"/>
  <c r="H25" i="28"/>
  <c r="P25" i="28" s="1"/>
  <c r="O24" i="28"/>
  <c r="H24" i="28"/>
  <c r="P24" i="28" s="1"/>
  <c r="O23" i="28"/>
  <c r="O21" i="28" s="1"/>
  <c r="H23" i="28"/>
  <c r="O22" i="28"/>
  <c r="H22" i="28"/>
  <c r="H21" i="28" s="1"/>
  <c r="N21" i="28"/>
  <c r="M21" i="28"/>
  <c r="L21" i="28"/>
  <c r="K21" i="28"/>
  <c r="J21" i="28"/>
  <c r="G21" i="28"/>
  <c r="F21" i="28"/>
  <c r="O20" i="28"/>
  <c r="O18" i="28" s="1"/>
  <c r="H20" i="28"/>
  <c r="O19" i="28"/>
  <c r="H19" i="28"/>
  <c r="H18" i="28" s="1"/>
  <c r="N18" i="28"/>
  <c r="M18" i="28"/>
  <c r="L18" i="28"/>
  <c r="K18" i="28"/>
  <c r="J18" i="28"/>
  <c r="G18" i="28"/>
  <c r="F18" i="28"/>
  <c r="O17" i="28"/>
  <c r="H17" i="28"/>
  <c r="O16" i="28"/>
  <c r="H16" i="28"/>
  <c r="P16" i="28" s="1"/>
  <c r="O15" i="28"/>
  <c r="H15" i="28"/>
  <c r="P15" i="28" s="1"/>
  <c r="O14" i="28"/>
  <c r="H14" i="28"/>
  <c r="O13" i="28"/>
  <c r="H13" i="28"/>
  <c r="N12" i="28"/>
  <c r="M12" i="28"/>
  <c r="L12" i="28"/>
  <c r="K12" i="28"/>
  <c r="J12" i="28"/>
  <c r="G12" i="28"/>
  <c r="F12" i="28"/>
  <c r="N11" i="28"/>
  <c r="N52" i="28" s="1"/>
  <c r="L11" i="28"/>
  <c r="J11" i="28"/>
  <c r="J52" i="28" s="1"/>
  <c r="G11" i="28"/>
  <c r="G52" i="28" s="1"/>
  <c r="O49" i="27"/>
  <c r="H49" i="27"/>
  <c r="P49" i="27" s="1"/>
  <c r="O48" i="27"/>
  <c r="H48" i="27"/>
  <c r="P48" i="27" s="1"/>
  <c r="O47" i="27"/>
  <c r="H47" i="27"/>
  <c r="O46" i="27"/>
  <c r="O45" i="27" s="1"/>
  <c r="H46" i="27"/>
  <c r="N45" i="27"/>
  <c r="M45" i="27"/>
  <c r="L45" i="27"/>
  <c r="K45" i="27"/>
  <c r="J45" i="27"/>
  <c r="G45" i="27"/>
  <c r="F45" i="27"/>
  <c r="O44" i="27"/>
  <c r="H44" i="27"/>
  <c r="P44" i="27" s="1"/>
  <c r="O43" i="27"/>
  <c r="H43" i="27"/>
  <c r="P43" i="27" s="1"/>
  <c r="O42" i="27"/>
  <c r="H42" i="27"/>
  <c r="P42" i="27" s="1"/>
  <c r="O41" i="27"/>
  <c r="H41" i="27"/>
  <c r="O40" i="27"/>
  <c r="H40" i="27"/>
  <c r="P40" i="27" s="1"/>
  <c r="O39" i="27"/>
  <c r="H39" i="27"/>
  <c r="P39" i="27" s="1"/>
  <c r="O38" i="27"/>
  <c r="H38" i="27"/>
  <c r="P38" i="27" s="1"/>
  <c r="O37" i="27"/>
  <c r="H37" i="27"/>
  <c r="O36" i="27"/>
  <c r="H36" i="27"/>
  <c r="P36" i="27" s="1"/>
  <c r="O35" i="27"/>
  <c r="H35" i="27"/>
  <c r="P35" i="27" s="1"/>
  <c r="O34" i="27"/>
  <c r="H34" i="27"/>
  <c r="P34" i="27" s="1"/>
  <c r="O33" i="27"/>
  <c r="O31" i="27" s="1"/>
  <c r="H33" i="27"/>
  <c r="O32" i="27"/>
  <c r="H32" i="27"/>
  <c r="H31" i="27" s="1"/>
  <c r="N31" i="27"/>
  <c r="M31" i="27"/>
  <c r="L31" i="27"/>
  <c r="K31" i="27"/>
  <c r="J31" i="27"/>
  <c r="G31" i="27"/>
  <c r="F31" i="27"/>
  <c r="O30" i="27"/>
  <c r="H30" i="27"/>
  <c r="O29" i="27"/>
  <c r="H29" i="27"/>
  <c r="P29" i="27" s="1"/>
  <c r="O28" i="27"/>
  <c r="H28" i="27"/>
  <c r="P28" i="27" s="1"/>
  <c r="O27" i="27"/>
  <c r="H27" i="27"/>
  <c r="P27" i="27" s="1"/>
  <c r="P26" i="27" s="1"/>
  <c r="O26" i="27"/>
  <c r="N26" i="27"/>
  <c r="M26" i="27"/>
  <c r="L26" i="27"/>
  <c r="K26" i="27"/>
  <c r="J26" i="27"/>
  <c r="H26" i="27"/>
  <c r="G26" i="27"/>
  <c r="F26" i="27"/>
  <c r="O25" i="27"/>
  <c r="H25" i="27"/>
  <c r="P25" i="27" s="1"/>
  <c r="O24" i="27"/>
  <c r="H24" i="27"/>
  <c r="P24" i="27" s="1"/>
  <c r="O23" i="27"/>
  <c r="O21" i="27" s="1"/>
  <c r="H23" i="27"/>
  <c r="O22" i="27"/>
  <c r="H22" i="27"/>
  <c r="P22" i="27" s="1"/>
  <c r="N21" i="27"/>
  <c r="M21" i="27"/>
  <c r="L21" i="27"/>
  <c r="K21" i="27"/>
  <c r="J21" i="27"/>
  <c r="H21" i="27"/>
  <c r="G21" i="27"/>
  <c r="F21" i="27"/>
  <c r="O20" i="27"/>
  <c r="H20" i="27"/>
  <c r="P20" i="27" s="1"/>
  <c r="O19" i="27"/>
  <c r="H19" i="27"/>
  <c r="P19" i="27" s="1"/>
  <c r="P18" i="27" s="1"/>
  <c r="O18" i="27"/>
  <c r="N18" i="27"/>
  <c r="M18" i="27"/>
  <c r="L18" i="27"/>
  <c r="K18" i="27"/>
  <c r="J18" i="27"/>
  <c r="H18" i="27"/>
  <c r="G18" i="27"/>
  <c r="F18" i="27"/>
  <c r="O17" i="27"/>
  <c r="H17" i="27"/>
  <c r="P17" i="27" s="1"/>
  <c r="O16" i="27"/>
  <c r="H16" i="27"/>
  <c r="P16" i="27" s="1"/>
  <c r="O15" i="27"/>
  <c r="H15" i="27"/>
  <c r="O14" i="27"/>
  <c r="H14" i="27"/>
  <c r="H12" i="27" s="1"/>
  <c r="H11" i="27" s="1"/>
  <c r="O13" i="27"/>
  <c r="H13" i="27"/>
  <c r="P13" i="27" s="1"/>
  <c r="N12" i="27"/>
  <c r="M12" i="27"/>
  <c r="L12" i="27"/>
  <c r="L11" i="27" s="1"/>
  <c r="L50" i="27" s="1"/>
  <c r="K12" i="27"/>
  <c r="J12" i="27"/>
  <c r="G12" i="27"/>
  <c r="F12" i="27"/>
  <c r="N11" i="27"/>
  <c r="N50" i="27" s="1"/>
  <c r="J11" i="27"/>
  <c r="J50" i="27" s="1"/>
  <c r="G11" i="27"/>
  <c r="G50" i="27" s="1"/>
  <c r="O51" i="26"/>
  <c r="H51" i="26"/>
  <c r="P51" i="26" s="1"/>
  <c r="O50" i="26"/>
  <c r="H50" i="26"/>
  <c r="O49" i="26"/>
  <c r="H49" i="26"/>
  <c r="H47" i="26" s="1"/>
  <c r="O48" i="26"/>
  <c r="H48" i="26"/>
  <c r="P48" i="26" s="1"/>
  <c r="N47" i="26"/>
  <c r="M47" i="26"/>
  <c r="L47" i="26"/>
  <c r="K47" i="26"/>
  <c r="J47" i="26"/>
  <c r="G47" i="26"/>
  <c r="F47" i="26"/>
  <c r="O46" i="26"/>
  <c r="H46" i="26"/>
  <c r="P46" i="26" s="1"/>
  <c r="O45" i="26"/>
  <c r="H45" i="26"/>
  <c r="O44" i="26"/>
  <c r="H44" i="26"/>
  <c r="P44" i="26" s="1"/>
  <c r="O43" i="26"/>
  <c r="H43" i="26"/>
  <c r="P43" i="26" s="1"/>
  <c r="O42" i="26"/>
  <c r="H42" i="26"/>
  <c r="P42" i="26" s="1"/>
  <c r="O41" i="26"/>
  <c r="H41" i="26"/>
  <c r="P41" i="26" s="1"/>
  <c r="O40" i="26"/>
  <c r="H40" i="26"/>
  <c r="O39" i="26"/>
  <c r="H39" i="26"/>
  <c r="P39" i="26" s="1"/>
  <c r="O38" i="26"/>
  <c r="H38" i="26"/>
  <c r="P38" i="26" s="1"/>
  <c r="O37" i="26"/>
  <c r="H37" i="26"/>
  <c r="P37" i="26" s="1"/>
  <c r="O36" i="26"/>
  <c r="H36" i="26"/>
  <c r="O35" i="26"/>
  <c r="H35" i="26"/>
  <c r="O34" i="26"/>
  <c r="H34" i="26"/>
  <c r="P34" i="26" s="1"/>
  <c r="N33" i="26"/>
  <c r="M33" i="26"/>
  <c r="L33" i="26"/>
  <c r="K33" i="26"/>
  <c r="J33" i="26"/>
  <c r="G33" i="26"/>
  <c r="F33" i="26"/>
  <c r="O32" i="26"/>
  <c r="H32" i="26"/>
  <c r="P32" i="26" s="1"/>
  <c r="O31" i="26"/>
  <c r="H31" i="26"/>
  <c r="O30" i="26"/>
  <c r="H30" i="26"/>
  <c r="P30" i="26" s="1"/>
  <c r="O29" i="26"/>
  <c r="H29" i="26"/>
  <c r="P29" i="26" s="1"/>
  <c r="O28" i="26"/>
  <c r="H28" i="26"/>
  <c r="H26" i="26" s="1"/>
  <c r="O27" i="26"/>
  <c r="O26" i="26" s="1"/>
  <c r="H27" i="26"/>
  <c r="N26" i="26"/>
  <c r="M26" i="26"/>
  <c r="L26" i="26"/>
  <c r="K26" i="26"/>
  <c r="J26" i="26"/>
  <c r="G26" i="26"/>
  <c r="F26" i="26"/>
  <c r="O25" i="26"/>
  <c r="H25" i="26"/>
  <c r="P25" i="26" s="1"/>
  <c r="O24" i="26"/>
  <c r="H24" i="26"/>
  <c r="P24" i="26" s="1"/>
  <c r="O23" i="26"/>
  <c r="H23" i="26"/>
  <c r="O22" i="26"/>
  <c r="O21" i="26" s="1"/>
  <c r="H22" i="26"/>
  <c r="N21" i="26"/>
  <c r="M21" i="26"/>
  <c r="L21" i="26"/>
  <c r="K21" i="26"/>
  <c r="J21" i="26"/>
  <c r="G21" i="26"/>
  <c r="F21" i="26"/>
  <c r="O20" i="26"/>
  <c r="H20" i="26"/>
  <c r="H18" i="26" s="1"/>
  <c r="O19" i="26"/>
  <c r="O18" i="26" s="1"/>
  <c r="H19" i="26"/>
  <c r="P19" i="26" s="1"/>
  <c r="N18" i="26"/>
  <c r="N11" i="26" s="1"/>
  <c r="N52" i="26" s="1"/>
  <c r="M18" i="26"/>
  <c r="L18" i="26"/>
  <c r="L11" i="26" s="1"/>
  <c r="L52" i="26" s="1"/>
  <c r="K18" i="26"/>
  <c r="J18" i="26"/>
  <c r="J11" i="26" s="1"/>
  <c r="J52" i="26" s="1"/>
  <c r="G18" i="26"/>
  <c r="F18" i="26"/>
  <c r="O17" i="26"/>
  <c r="H17" i="26"/>
  <c r="P17" i="26" s="1"/>
  <c r="O16" i="26"/>
  <c r="H16" i="26"/>
  <c r="O15" i="26"/>
  <c r="H15" i="26"/>
  <c r="P15" i="26" s="1"/>
  <c r="O14" i="26"/>
  <c r="H14" i="26"/>
  <c r="P14" i="26" s="1"/>
  <c r="O13" i="26"/>
  <c r="H13" i="26"/>
  <c r="P13" i="26" s="1"/>
  <c r="O12" i="26"/>
  <c r="O11" i="26" s="1"/>
  <c r="N12" i="26"/>
  <c r="M12" i="26"/>
  <c r="M11" i="26" s="1"/>
  <c r="M52" i="26" s="1"/>
  <c r="L12" i="26"/>
  <c r="K12" i="26"/>
  <c r="K11" i="26" s="1"/>
  <c r="K52" i="26" s="1"/>
  <c r="J12" i="26"/>
  <c r="H12" i="26"/>
  <c r="G12" i="26"/>
  <c r="F12" i="26"/>
  <c r="F11" i="26" s="1"/>
  <c r="F52" i="26" s="1"/>
  <c r="K52" i="25"/>
  <c r="O51" i="25"/>
  <c r="H51" i="25"/>
  <c r="P51" i="25" s="1"/>
  <c r="O50" i="25"/>
  <c r="H50" i="25"/>
  <c r="P50" i="25" s="1"/>
  <c r="O49" i="25"/>
  <c r="O47" i="25" s="1"/>
  <c r="H49" i="25"/>
  <c r="O48" i="25"/>
  <c r="H48" i="25"/>
  <c r="H47" i="25" s="1"/>
  <c r="N47" i="25"/>
  <c r="M47" i="25"/>
  <c r="L47" i="25"/>
  <c r="K47" i="25"/>
  <c r="J47" i="25"/>
  <c r="G47" i="25"/>
  <c r="F47" i="25"/>
  <c r="O46" i="25"/>
  <c r="H46" i="25"/>
  <c r="O45" i="25"/>
  <c r="H45" i="25"/>
  <c r="P45" i="25" s="1"/>
  <c r="O44" i="25"/>
  <c r="H44" i="25"/>
  <c r="P44" i="25" s="1"/>
  <c r="O43" i="25"/>
  <c r="H43" i="25"/>
  <c r="P43" i="25" s="1"/>
  <c r="O42" i="25"/>
  <c r="H42" i="25"/>
  <c r="O41" i="25"/>
  <c r="H41" i="25"/>
  <c r="P41" i="25" s="1"/>
  <c r="O40" i="25"/>
  <c r="H40" i="25"/>
  <c r="P40" i="25" s="1"/>
  <c r="O39" i="25"/>
  <c r="H39" i="25"/>
  <c r="P39" i="25" s="1"/>
  <c r="O38" i="25"/>
  <c r="H38" i="25"/>
  <c r="O37" i="25"/>
  <c r="H37" i="25"/>
  <c r="P37" i="25" s="1"/>
  <c r="O36" i="25"/>
  <c r="H36" i="25"/>
  <c r="P36" i="25" s="1"/>
  <c r="O35" i="25"/>
  <c r="H35" i="25"/>
  <c r="O34" i="25"/>
  <c r="H34" i="25"/>
  <c r="N33" i="25"/>
  <c r="M33" i="25"/>
  <c r="L33" i="25"/>
  <c r="K33" i="25"/>
  <c r="J33" i="25"/>
  <c r="G33" i="25"/>
  <c r="F33" i="25"/>
  <c r="O32" i="25"/>
  <c r="H32" i="25"/>
  <c r="P32" i="25" s="1"/>
  <c r="O31" i="25"/>
  <c r="H31" i="25"/>
  <c r="P31" i="25" s="1"/>
  <c r="O30" i="25"/>
  <c r="H30" i="25"/>
  <c r="P30" i="25" s="1"/>
  <c r="O29" i="25"/>
  <c r="H29" i="25"/>
  <c r="O28" i="25"/>
  <c r="H28" i="25"/>
  <c r="H26" i="25" s="1"/>
  <c r="O27" i="25"/>
  <c r="H27" i="25"/>
  <c r="P27" i="25" s="1"/>
  <c r="N26" i="25"/>
  <c r="M26" i="25"/>
  <c r="L26" i="25"/>
  <c r="K26" i="25"/>
  <c r="J26" i="25"/>
  <c r="G26" i="25"/>
  <c r="F26" i="25"/>
  <c r="O25" i="25"/>
  <c r="H25" i="25"/>
  <c r="P25" i="25" s="1"/>
  <c r="O24" i="25"/>
  <c r="H24" i="25"/>
  <c r="O23" i="25"/>
  <c r="H23" i="25"/>
  <c r="H21" i="25" s="1"/>
  <c r="O22" i="25"/>
  <c r="H22" i="25"/>
  <c r="P22" i="25" s="1"/>
  <c r="N21" i="25"/>
  <c r="M21" i="25"/>
  <c r="L21" i="25"/>
  <c r="K21" i="25"/>
  <c r="J21" i="25"/>
  <c r="G21" i="25"/>
  <c r="F21" i="25"/>
  <c r="O20" i="25"/>
  <c r="H20" i="25"/>
  <c r="H18" i="25" s="1"/>
  <c r="O19" i="25"/>
  <c r="O18" i="25" s="1"/>
  <c r="H19" i="25"/>
  <c r="N18" i="25"/>
  <c r="M18" i="25"/>
  <c r="L18" i="25"/>
  <c r="K18" i="25"/>
  <c r="J18" i="25"/>
  <c r="G18" i="25"/>
  <c r="G11" i="25" s="1"/>
  <c r="G52" i="25" s="1"/>
  <c r="F18" i="25"/>
  <c r="O17" i="25"/>
  <c r="H17" i="25"/>
  <c r="P17" i="25" s="1"/>
  <c r="O16" i="25"/>
  <c r="H16" i="25"/>
  <c r="P16" i="25" s="1"/>
  <c r="O15" i="25"/>
  <c r="H15" i="25"/>
  <c r="P15" i="25" s="1"/>
  <c r="O14" i="25"/>
  <c r="O12" i="25" s="1"/>
  <c r="H14" i="25"/>
  <c r="O13" i="25"/>
  <c r="H13" i="25"/>
  <c r="N12" i="25"/>
  <c r="M12" i="25"/>
  <c r="L12" i="25"/>
  <c r="K12" i="25"/>
  <c r="J12" i="25"/>
  <c r="G12" i="25"/>
  <c r="F12" i="25"/>
  <c r="M11" i="25"/>
  <c r="M52" i="25" s="1"/>
  <c r="K11" i="25"/>
  <c r="F11" i="25"/>
  <c r="F52" i="25" s="1"/>
  <c r="O51" i="24"/>
  <c r="H51" i="24"/>
  <c r="O50" i="24"/>
  <c r="H50" i="24"/>
  <c r="P50" i="24" s="1"/>
  <c r="O49" i="24"/>
  <c r="H49" i="24"/>
  <c r="P49" i="24" s="1"/>
  <c r="O48" i="24"/>
  <c r="H48" i="24"/>
  <c r="P48" i="24" s="1"/>
  <c r="O47" i="24"/>
  <c r="N47" i="24"/>
  <c r="M47" i="24"/>
  <c r="L47" i="24"/>
  <c r="K47" i="24"/>
  <c r="J47" i="24"/>
  <c r="H47" i="24"/>
  <c r="G47" i="24"/>
  <c r="F47" i="24"/>
  <c r="O46" i="24"/>
  <c r="H46" i="24"/>
  <c r="P46" i="24" s="1"/>
  <c r="O45" i="24"/>
  <c r="H45" i="24"/>
  <c r="P45" i="24" s="1"/>
  <c r="O44" i="24"/>
  <c r="H44" i="24"/>
  <c r="O43" i="24"/>
  <c r="H43" i="24"/>
  <c r="P43" i="24" s="1"/>
  <c r="O42" i="24"/>
  <c r="H42" i="24"/>
  <c r="P42" i="24" s="1"/>
  <c r="O41" i="24"/>
  <c r="H41" i="24"/>
  <c r="P41" i="24" s="1"/>
  <c r="O40" i="24"/>
  <c r="H40" i="24"/>
  <c r="O39" i="24"/>
  <c r="H39" i="24"/>
  <c r="P39" i="24" s="1"/>
  <c r="O38" i="24"/>
  <c r="H38" i="24"/>
  <c r="P38" i="24" s="1"/>
  <c r="O37" i="24"/>
  <c r="H37" i="24"/>
  <c r="P37" i="24" s="1"/>
  <c r="O36" i="24"/>
  <c r="H36" i="24"/>
  <c r="O35" i="24"/>
  <c r="H35" i="24"/>
  <c r="O34" i="24"/>
  <c r="H34" i="24"/>
  <c r="P34" i="24" s="1"/>
  <c r="N33" i="24"/>
  <c r="M33" i="24"/>
  <c r="L33" i="24"/>
  <c r="K33" i="24"/>
  <c r="J33" i="24"/>
  <c r="G33" i="24"/>
  <c r="F33" i="24"/>
  <c r="O32" i="24"/>
  <c r="H32" i="24"/>
  <c r="P32" i="24" s="1"/>
  <c r="O31" i="24"/>
  <c r="H31" i="24"/>
  <c r="O30" i="24"/>
  <c r="H30" i="24"/>
  <c r="P30" i="24" s="1"/>
  <c r="O29" i="24"/>
  <c r="H29" i="24"/>
  <c r="P29" i="24" s="1"/>
  <c r="O28" i="24"/>
  <c r="H28" i="24"/>
  <c r="H26" i="24" s="1"/>
  <c r="O27" i="24"/>
  <c r="O26" i="24" s="1"/>
  <c r="H27" i="24"/>
  <c r="N26" i="24"/>
  <c r="M26" i="24"/>
  <c r="L26" i="24"/>
  <c r="K26" i="24"/>
  <c r="J26" i="24"/>
  <c r="G26" i="24"/>
  <c r="F26" i="24"/>
  <c r="O25" i="24"/>
  <c r="H25" i="24"/>
  <c r="P25" i="24" s="1"/>
  <c r="O24" i="24"/>
  <c r="H24" i="24"/>
  <c r="P24" i="24" s="1"/>
  <c r="O23" i="24"/>
  <c r="H23" i="24"/>
  <c r="O22" i="24"/>
  <c r="O21" i="24" s="1"/>
  <c r="H22" i="24"/>
  <c r="N21" i="24"/>
  <c r="M21" i="24"/>
  <c r="L21" i="24"/>
  <c r="K21" i="24"/>
  <c r="J21" i="24"/>
  <c r="G21" i="24"/>
  <c r="F21" i="24"/>
  <c r="O20" i="24"/>
  <c r="H20" i="24"/>
  <c r="H18" i="24" s="1"/>
  <c r="O19" i="24"/>
  <c r="O18" i="24" s="1"/>
  <c r="H19" i="24"/>
  <c r="P19" i="24" s="1"/>
  <c r="N18" i="24"/>
  <c r="N11" i="24" s="1"/>
  <c r="N52" i="24" s="1"/>
  <c r="M18" i="24"/>
  <c r="L18" i="24"/>
  <c r="L11" i="24" s="1"/>
  <c r="L52" i="24" s="1"/>
  <c r="K18" i="24"/>
  <c r="J18" i="24"/>
  <c r="J11" i="24" s="1"/>
  <c r="J52" i="24" s="1"/>
  <c r="G18" i="24"/>
  <c r="F18" i="24"/>
  <c r="O17" i="24"/>
  <c r="H17" i="24"/>
  <c r="P17" i="24" s="1"/>
  <c r="O16" i="24"/>
  <c r="H16" i="24"/>
  <c r="O15" i="24"/>
  <c r="H15" i="24"/>
  <c r="P15" i="24" s="1"/>
  <c r="O14" i="24"/>
  <c r="H14" i="24"/>
  <c r="P14" i="24" s="1"/>
  <c r="O13" i="24"/>
  <c r="H13" i="24"/>
  <c r="P13" i="24" s="1"/>
  <c r="O12" i="24"/>
  <c r="O11" i="24" s="1"/>
  <c r="N12" i="24"/>
  <c r="M12" i="24"/>
  <c r="M11" i="24" s="1"/>
  <c r="M52" i="24" s="1"/>
  <c r="L12" i="24"/>
  <c r="K12" i="24"/>
  <c r="K11" i="24" s="1"/>
  <c r="K52" i="24" s="1"/>
  <c r="J12" i="24"/>
  <c r="H12" i="24"/>
  <c r="G12" i="24"/>
  <c r="F12" i="24"/>
  <c r="F11" i="24" s="1"/>
  <c r="F52" i="24" s="1"/>
  <c r="O49" i="23"/>
  <c r="H49" i="23"/>
  <c r="P49" i="23" s="1"/>
  <c r="O48" i="23"/>
  <c r="H48" i="23"/>
  <c r="P48" i="23" s="1"/>
  <c r="O47" i="23"/>
  <c r="O45" i="23" s="1"/>
  <c r="H47" i="23"/>
  <c r="O46" i="23"/>
  <c r="H46" i="23"/>
  <c r="H45" i="23" s="1"/>
  <c r="N45" i="23"/>
  <c r="M45" i="23"/>
  <c r="L45" i="23"/>
  <c r="K45" i="23"/>
  <c r="J45" i="23"/>
  <c r="G45" i="23"/>
  <c r="F45" i="23"/>
  <c r="O44" i="23"/>
  <c r="H44" i="23"/>
  <c r="O43" i="23"/>
  <c r="H43" i="23"/>
  <c r="P43" i="23" s="1"/>
  <c r="O42" i="23"/>
  <c r="H42" i="23"/>
  <c r="P42" i="23" s="1"/>
  <c r="O41" i="23"/>
  <c r="H41" i="23"/>
  <c r="P41" i="23" s="1"/>
  <c r="O40" i="23"/>
  <c r="H40" i="23"/>
  <c r="O39" i="23"/>
  <c r="H39" i="23"/>
  <c r="P39" i="23" s="1"/>
  <c r="O38" i="23"/>
  <c r="H38" i="23"/>
  <c r="P38" i="23" s="1"/>
  <c r="O37" i="23"/>
  <c r="H37" i="23"/>
  <c r="P37" i="23" s="1"/>
  <c r="O36" i="23"/>
  <c r="H36" i="23"/>
  <c r="O35" i="23"/>
  <c r="H35" i="23"/>
  <c r="P35" i="23" s="1"/>
  <c r="O34" i="23"/>
  <c r="H34" i="23"/>
  <c r="P34" i="23" s="1"/>
  <c r="O33" i="23"/>
  <c r="H33" i="23"/>
  <c r="O32" i="23"/>
  <c r="H32" i="23"/>
  <c r="N31" i="23"/>
  <c r="M31" i="23"/>
  <c r="L31" i="23"/>
  <c r="K31" i="23"/>
  <c r="J31" i="23"/>
  <c r="G31" i="23"/>
  <c r="F31" i="23"/>
  <c r="O30" i="23"/>
  <c r="H30" i="23"/>
  <c r="P30" i="23" s="1"/>
  <c r="O29" i="23"/>
  <c r="H29" i="23"/>
  <c r="P29" i="23" s="1"/>
  <c r="O28" i="23"/>
  <c r="H28" i="23"/>
  <c r="P28" i="23" s="1"/>
  <c r="O27" i="23"/>
  <c r="O26" i="23" s="1"/>
  <c r="H27" i="23"/>
  <c r="N26" i="23"/>
  <c r="M26" i="23"/>
  <c r="L26" i="23"/>
  <c r="K26" i="23"/>
  <c r="J26" i="23"/>
  <c r="H26" i="23"/>
  <c r="G26" i="23"/>
  <c r="F26" i="23"/>
  <c r="O25" i="23"/>
  <c r="H25" i="23"/>
  <c r="P25" i="23" s="1"/>
  <c r="O24" i="23"/>
  <c r="H24" i="23"/>
  <c r="O23" i="23"/>
  <c r="H23" i="23"/>
  <c r="H21" i="23" s="1"/>
  <c r="O22" i="23"/>
  <c r="H22" i="23"/>
  <c r="P22" i="23" s="1"/>
  <c r="N21" i="23"/>
  <c r="M21" i="23"/>
  <c r="L21" i="23"/>
  <c r="K21" i="23"/>
  <c r="J21" i="23"/>
  <c r="G21" i="23"/>
  <c r="F21" i="23"/>
  <c r="O20" i="23"/>
  <c r="H20" i="23"/>
  <c r="H18" i="23" s="1"/>
  <c r="O19" i="23"/>
  <c r="O18" i="23" s="1"/>
  <c r="H19" i="23"/>
  <c r="N18" i="23"/>
  <c r="M18" i="23"/>
  <c r="L18" i="23"/>
  <c r="K18" i="23"/>
  <c r="J18" i="23"/>
  <c r="G18" i="23"/>
  <c r="G11" i="23" s="1"/>
  <c r="G50" i="23" s="1"/>
  <c r="F18" i="23"/>
  <c r="O17" i="23"/>
  <c r="H17" i="23"/>
  <c r="P17" i="23" s="1"/>
  <c r="O16" i="23"/>
  <c r="H16" i="23"/>
  <c r="P16" i="23" s="1"/>
  <c r="O15" i="23"/>
  <c r="H15" i="23"/>
  <c r="P15" i="23" s="1"/>
  <c r="O14" i="23"/>
  <c r="O12" i="23" s="1"/>
  <c r="H14" i="23"/>
  <c r="O13" i="23"/>
  <c r="H13" i="23"/>
  <c r="H12" i="23" s="1"/>
  <c r="H11" i="23" s="1"/>
  <c r="N12" i="23"/>
  <c r="M12" i="23"/>
  <c r="L12" i="23"/>
  <c r="K12" i="23"/>
  <c r="J12" i="23"/>
  <c r="G12" i="23"/>
  <c r="F12" i="23"/>
  <c r="M11" i="23"/>
  <c r="M50" i="23" s="1"/>
  <c r="K11" i="23"/>
  <c r="K50" i="23" s="1"/>
  <c r="F11" i="23"/>
  <c r="F50" i="23" s="1"/>
  <c r="O51" i="22"/>
  <c r="O47" i="22" s="1"/>
  <c r="H51" i="22"/>
  <c r="O50" i="22"/>
  <c r="H50" i="22"/>
  <c r="H47" i="22" s="1"/>
  <c r="O49" i="22"/>
  <c r="H49" i="22"/>
  <c r="P49" i="22" s="1"/>
  <c r="O48" i="22"/>
  <c r="H48" i="22"/>
  <c r="P48" i="22" s="1"/>
  <c r="N47" i="22"/>
  <c r="M47" i="22"/>
  <c r="L47" i="22"/>
  <c r="K47" i="22"/>
  <c r="J47" i="22"/>
  <c r="G47" i="22"/>
  <c r="F47" i="22"/>
  <c r="O46" i="22"/>
  <c r="H46" i="22"/>
  <c r="P46" i="22" s="1"/>
  <c r="O45" i="22"/>
  <c r="H45" i="22"/>
  <c r="P45" i="22" s="1"/>
  <c r="O44" i="22"/>
  <c r="H44" i="22"/>
  <c r="O43" i="22"/>
  <c r="H43" i="22"/>
  <c r="P43" i="22" s="1"/>
  <c r="O42" i="22"/>
  <c r="H42" i="22"/>
  <c r="P42" i="22" s="1"/>
  <c r="O41" i="22"/>
  <c r="H41" i="22"/>
  <c r="P41" i="22" s="1"/>
  <c r="O40" i="22"/>
  <c r="H40" i="22"/>
  <c r="O39" i="22"/>
  <c r="H39" i="22"/>
  <c r="P39" i="22" s="1"/>
  <c r="O38" i="22"/>
  <c r="H38" i="22"/>
  <c r="P38" i="22" s="1"/>
  <c r="O37" i="22"/>
  <c r="H37" i="22"/>
  <c r="P37" i="22" s="1"/>
  <c r="O36" i="22"/>
  <c r="H36" i="22"/>
  <c r="O35" i="22"/>
  <c r="H35" i="22"/>
  <c r="H33" i="22" s="1"/>
  <c r="O34" i="22"/>
  <c r="H34" i="22"/>
  <c r="P34" i="22" s="1"/>
  <c r="N33" i="22"/>
  <c r="M33" i="22"/>
  <c r="L33" i="22"/>
  <c r="K33" i="22"/>
  <c r="J33" i="22"/>
  <c r="G33" i="22"/>
  <c r="F33" i="22"/>
  <c r="O32" i="22"/>
  <c r="H32" i="22"/>
  <c r="P32" i="22" s="1"/>
  <c r="O31" i="22"/>
  <c r="H31" i="22"/>
  <c r="O30" i="22"/>
  <c r="H30" i="22"/>
  <c r="P30" i="22" s="1"/>
  <c r="O29" i="22"/>
  <c r="H29" i="22"/>
  <c r="P29" i="22" s="1"/>
  <c r="O28" i="22"/>
  <c r="H28" i="22"/>
  <c r="H26" i="22" s="1"/>
  <c r="O27" i="22"/>
  <c r="O26" i="22" s="1"/>
  <c r="H27" i="22"/>
  <c r="N26" i="22"/>
  <c r="M26" i="22"/>
  <c r="L26" i="22"/>
  <c r="K26" i="22"/>
  <c r="J26" i="22"/>
  <c r="G26" i="22"/>
  <c r="F26" i="22"/>
  <c r="O25" i="22"/>
  <c r="H25" i="22"/>
  <c r="P25" i="22" s="1"/>
  <c r="O24" i="22"/>
  <c r="H24" i="22"/>
  <c r="P24" i="22" s="1"/>
  <c r="O23" i="22"/>
  <c r="H23" i="22"/>
  <c r="O22" i="22"/>
  <c r="O21" i="22" s="1"/>
  <c r="H22" i="22"/>
  <c r="N21" i="22"/>
  <c r="M21" i="22"/>
  <c r="L21" i="22"/>
  <c r="K21" i="22"/>
  <c r="J21" i="22"/>
  <c r="G21" i="22"/>
  <c r="F21" i="22"/>
  <c r="O20" i="22"/>
  <c r="H20" i="22"/>
  <c r="H18" i="22" s="1"/>
  <c r="O19" i="22"/>
  <c r="O18" i="22" s="1"/>
  <c r="H19" i="22"/>
  <c r="P19" i="22" s="1"/>
  <c r="N18" i="22"/>
  <c r="N11" i="22" s="1"/>
  <c r="N52" i="22" s="1"/>
  <c r="M18" i="22"/>
  <c r="L18" i="22"/>
  <c r="L11" i="22" s="1"/>
  <c r="L52" i="22" s="1"/>
  <c r="K18" i="22"/>
  <c r="J18" i="22"/>
  <c r="J11" i="22" s="1"/>
  <c r="J52" i="22" s="1"/>
  <c r="G18" i="22"/>
  <c r="F18" i="22"/>
  <c r="O17" i="22"/>
  <c r="H17" i="22"/>
  <c r="P17" i="22" s="1"/>
  <c r="O16" i="22"/>
  <c r="O12" i="22" s="1"/>
  <c r="O11" i="22" s="1"/>
  <c r="H16" i="22"/>
  <c r="O15" i="22"/>
  <c r="H15" i="22"/>
  <c r="H12" i="22" s="1"/>
  <c r="O14" i="22"/>
  <c r="H14" i="22"/>
  <c r="P14" i="22" s="1"/>
  <c r="O13" i="22"/>
  <c r="H13" i="22"/>
  <c r="P13" i="22" s="1"/>
  <c r="N12" i="22"/>
  <c r="M12" i="22"/>
  <c r="L12" i="22"/>
  <c r="K12" i="22"/>
  <c r="K11" i="22" s="1"/>
  <c r="K52" i="22" s="1"/>
  <c r="J12" i="22"/>
  <c r="G12" i="22"/>
  <c r="F12" i="22"/>
  <c r="F11" i="22" s="1"/>
  <c r="F52" i="22" s="1"/>
  <c r="M11" i="22"/>
  <c r="M52" i="22" s="1"/>
  <c r="O51" i="21"/>
  <c r="H51" i="21"/>
  <c r="P51" i="21" s="1"/>
  <c r="O50" i="21"/>
  <c r="H50" i="21"/>
  <c r="P50" i="21" s="1"/>
  <c r="O49" i="21"/>
  <c r="O47" i="21" s="1"/>
  <c r="H49" i="21"/>
  <c r="O48" i="21"/>
  <c r="H48" i="21"/>
  <c r="H47" i="21" s="1"/>
  <c r="N47" i="21"/>
  <c r="M47" i="21"/>
  <c r="L47" i="21"/>
  <c r="K47" i="21"/>
  <c r="J47" i="21"/>
  <c r="G47" i="21"/>
  <c r="F47" i="21"/>
  <c r="O46" i="21"/>
  <c r="H46" i="21"/>
  <c r="O45" i="21"/>
  <c r="H45" i="21"/>
  <c r="P45" i="21" s="1"/>
  <c r="O44" i="21"/>
  <c r="H44" i="21"/>
  <c r="P44" i="21" s="1"/>
  <c r="O43" i="21"/>
  <c r="H43" i="21"/>
  <c r="P43" i="21" s="1"/>
  <c r="O42" i="21"/>
  <c r="H42" i="21"/>
  <c r="O41" i="21"/>
  <c r="H41" i="21"/>
  <c r="P41" i="21" s="1"/>
  <c r="O40" i="21"/>
  <c r="H40" i="21"/>
  <c r="P40" i="21" s="1"/>
  <c r="O39" i="21"/>
  <c r="H39" i="21"/>
  <c r="P39" i="21" s="1"/>
  <c r="O38" i="21"/>
  <c r="H38" i="21"/>
  <c r="O37" i="21"/>
  <c r="H37" i="21"/>
  <c r="P37" i="21" s="1"/>
  <c r="O36" i="21"/>
  <c r="H36" i="21"/>
  <c r="P36" i="21" s="1"/>
  <c r="O35" i="21"/>
  <c r="H35" i="21"/>
  <c r="O34" i="21"/>
  <c r="O33" i="21" s="1"/>
  <c r="H34" i="21"/>
  <c r="N33" i="21"/>
  <c r="M33" i="21"/>
  <c r="L33" i="21"/>
  <c r="K33" i="21"/>
  <c r="J33" i="21"/>
  <c r="G33" i="21"/>
  <c r="F33" i="21"/>
  <c r="O32" i="21"/>
  <c r="H32" i="21"/>
  <c r="P32" i="21" s="1"/>
  <c r="O31" i="21"/>
  <c r="H31" i="21"/>
  <c r="P31" i="21" s="1"/>
  <c r="O30" i="21"/>
  <c r="H30" i="21"/>
  <c r="P30" i="21" s="1"/>
  <c r="O29" i="21"/>
  <c r="H29" i="21"/>
  <c r="O28" i="21"/>
  <c r="H28" i="21"/>
  <c r="H26" i="21" s="1"/>
  <c r="O27" i="21"/>
  <c r="O26" i="21" s="1"/>
  <c r="H27" i="21"/>
  <c r="N26" i="21"/>
  <c r="M26" i="21"/>
  <c r="L26" i="21"/>
  <c r="K26" i="21"/>
  <c r="J26" i="21"/>
  <c r="G26" i="21"/>
  <c r="F26" i="21"/>
  <c r="O25" i="21"/>
  <c r="H25" i="21"/>
  <c r="P25" i="21" s="1"/>
  <c r="O24" i="21"/>
  <c r="H24" i="21"/>
  <c r="P24" i="21" s="1"/>
  <c r="O23" i="21"/>
  <c r="H23" i="21"/>
  <c r="O22" i="21"/>
  <c r="O21" i="21" s="1"/>
  <c r="H22" i="21"/>
  <c r="N21" i="21"/>
  <c r="M21" i="21"/>
  <c r="L21" i="21"/>
  <c r="K21" i="21"/>
  <c r="J21" i="21"/>
  <c r="G21" i="21"/>
  <c r="F21" i="21"/>
  <c r="O20" i="21"/>
  <c r="H20" i="21"/>
  <c r="H18" i="21" s="1"/>
  <c r="O19" i="21"/>
  <c r="O18" i="21" s="1"/>
  <c r="H19" i="21"/>
  <c r="P19" i="21" s="1"/>
  <c r="N18" i="21"/>
  <c r="N11" i="21" s="1"/>
  <c r="N52" i="21" s="1"/>
  <c r="M18" i="21"/>
  <c r="L18" i="21"/>
  <c r="L11" i="21" s="1"/>
  <c r="L52" i="21" s="1"/>
  <c r="K18" i="21"/>
  <c r="J18" i="21"/>
  <c r="J11" i="21" s="1"/>
  <c r="J52" i="21" s="1"/>
  <c r="G18" i="21"/>
  <c r="F18" i="21"/>
  <c r="O17" i="21"/>
  <c r="H17" i="21"/>
  <c r="P17" i="21" s="1"/>
  <c r="O16" i="21"/>
  <c r="H16" i="21"/>
  <c r="O15" i="21"/>
  <c r="H15" i="21"/>
  <c r="P15" i="21" s="1"/>
  <c r="O14" i="21"/>
  <c r="H14" i="21"/>
  <c r="P14" i="21" s="1"/>
  <c r="O13" i="21"/>
  <c r="H13" i="21"/>
  <c r="P13" i="21" s="1"/>
  <c r="O12" i="21"/>
  <c r="O11" i="21" s="1"/>
  <c r="O52" i="21" s="1"/>
  <c r="N12" i="21"/>
  <c r="M12" i="21"/>
  <c r="L12" i="21"/>
  <c r="K12" i="21"/>
  <c r="K11" i="21" s="1"/>
  <c r="K52" i="21" s="1"/>
  <c r="J12" i="21"/>
  <c r="H12" i="21"/>
  <c r="G12" i="21"/>
  <c r="F12" i="21"/>
  <c r="F11" i="21" s="1"/>
  <c r="F52" i="21" s="1"/>
  <c r="M11" i="21"/>
  <c r="M52" i="21" s="1"/>
  <c r="O51" i="20"/>
  <c r="H51" i="20"/>
  <c r="P51" i="20" s="1"/>
  <c r="O50" i="20"/>
  <c r="H50" i="20"/>
  <c r="P50" i="20" s="1"/>
  <c r="O49" i="20"/>
  <c r="O47" i="20" s="1"/>
  <c r="H49" i="20"/>
  <c r="O48" i="20"/>
  <c r="H48" i="20"/>
  <c r="H47" i="20" s="1"/>
  <c r="N47" i="20"/>
  <c r="M47" i="20"/>
  <c r="L47" i="20"/>
  <c r="K47" i="20"/>
  <c r="J47" i="20"/>
  <c r="G47" i="20"/>
  <c r="F47" i="20"/>
  <c r="O46" i="20"/>
  <c r="H46" i="20"/>
  <c r="O45" i="20"/>
  <c r="H45" i="20"/>
  <c r="P45" i="20" s="1"/>
  <c r="O44" i="20"/>
  <c r="H44" i="20"/>
  <c r="P44" i="20" s="1"/>
  <c r="O43" i="20"/>
  <c r="H43" i="20"/>
  <c r="P43" i="20" s="1"/>
  <c r="O42" i="20"/>
  <c r="H42" i="20"/>
  <c r="O41" i="20"/>
  <c r="H41" i="20"/>
  <c r="P41" i="20" s="1"/>
  <c r="O40" i="20"/>
  <c r="H40" i="20"/>
  <c r="P40" i="20" s="1"/>
  <c r="O39" i="20"/>
  <c r="H39" i="20"/>
  <c r="P39" i="20" s="1"/>
  <c r="O38" i="20"/>
  <c r="H38" i="20"/>
  <c r="O37" i="20"/>
  <c r="H37" i="20"/>
  <c r="P37" i="20" s="1"/>
  <c r="O36" i="20"/>
  <c r="H36" i="20"/>
  <c r="P36" i="20" s="1"/>
  <c r="O35" i="20"/>
  <c r="H35" i="20"/>
  <c r="O34" i="20"/>
  <c r="O33" i="20" s="1"/>
  <c r="H34" i="20"/>
  <c r="N33" i="20"/>
  <c r="M33" i="20"/>
  <c r="L33" i="20"/>
  <c r="K33" i="20"/>
  <c r="J33" i="20"/>
  <c r="G33" i="20"/>
  <c r="F33" i="20"/>
  <c r="O32" i="20"/>
  <c r="H32" i="20"/>
  <c r="P32" i="20" s="1"/>
  <c r="O31" i="20"/>
  <c r="H31" i="20"/>
  <c r="P31" i="20" s="1"/>
  <c r="O30" i="20"/>
  <c r="H30" i="20"/>
  <c r="P30" i="20" s="1"/>
  <c r="O29" i="20"/>
  <c r="H29" i="20"/>
  <c r="O28" i="20"/>
  <c r="H28" i="20"/>
  <c r="H26" i="20" s="1"/>
  <c r="O27" i="20"/>
  <c r="H27" i="20"/>
  <c r="P27" i="20" s="1"/>
  <c r="N26" i="20"/>
  <c r="M26" i="20"/>
  <c r="L26" i="20"/>
  <c r="K26" i="20"/>
  <c r="J26" i="20"/>
  <c r="G26" i="20"/>
  <c r="F26" i="20"/>
  <c r="O25" i="20"/>
  <c r="H25" i="20"/>
  <c r="P25" i="20" s="1"/>
  <c r="O24" i="20"/>
  <c r="H24" i="20"/>
  <c r="O23" i="20"/>
  <c r="H23" i="20"/>
  <c r="H21" i="20" s="1"/>
  <c r="O22" i="20"/>
  <c r="H22" i="20"/>
  <c r="P22" i="20" s="1"/>
  <c r="N21" i="20"/>
  <c r="M21" i="20"/>
  <c r="L21" i="20"/>
  <c r="K21" i="20"/>
  <c r="J21" i="20"/>
  <c r="G21" i="20"/>
  <c r="F21" i="20"/>
  <c r="O20" i="20"/>
  <c r="H20" i="20"/>
  <c r="H18" i="20" s="1"/>
  <c r="O19" i="20"/>
  <c r="O18" i="20" s="1"/>
  <c r="H19" i="20"/>
  <c r="N18" i="20"/>
  <c r="M18" i="20"/>
  <c r="L18" i="20"/>
  <c r="K18" i="20"/>
  <c r="J18" i="20"/>
  <c r="G18" i="20"/>
  <c r="G11" i="20" s="1"/>
  <c r="G52" i="20" s="1"/>
  <c r="F18" i="20"/>
  <c r="O17" i="20"/>
  <c r="H17" i="20"/>
  <c r="P17" i="20" s="1"/>
  <c r="O16" i="20"/>
  <c r="H16" i="20"/>
  <c r="P16" i="20" s="1"/>
  <c r="O15" i="20"/>
  <c r="H15" i="20"/>
  <c r="P15" i="20" s="1"/>
  <c r="O14" i="20"/>
  <c r="O12" i="20" s="1"/>
  <c r="H14" i="20"/>
  <c r="O13" i="20"/>
  <c r="H13" i="20"/>
  <c r="H12" i="20" s="1"/>
  <c r="H11" i="20" s="1"/>
  <c r="N12" i="20"/>
  <c r="M12" i="20"/>
  <c r="L12" i="20"/>
  <c r="K12" i="20"/>
  <c r="J12" i="20"/>
  <c r="G12" i="20"/>
  <c r="F12" i="20"/>
  <c r="M11" i="20"/>
  <c r="M52" i="20" s="1"/>
  <c r="K11" i="20"/>
  <c r="K52" i="20" s="1"/>
  <c r="F11" i="20"/>
  <c r="F52" i="20" s="1"/>
  <c r="O49" i="19"/>
  <c r="H49" i="19"/>
  <c r="O48" i="19"/>
  <c r="H48" i="19"/>
  <c r="P48" i="19" s="1"/>
  <c r="O47" i="19"/>
  <c r="H47" i="19"/>
  <c r="P47" i="19" s="1"/>
  <c r="O46" i="19"/>
  <c r="H46" i="19"/>
  <c r="P46" i="19" s="1"/>
  <c r="O45" i="19"/>
  <c r="N45" i="19"/>
  <c r="M45" i="19"/>
  <c r="L45" i="19"/>
  <c r="K45" i="19"/>
  <c r="J45" i="19"/>
  <c r="H45" i="19"/>
  <c r="G45" i="19"/>
  <c r="F45" i="19"/>
  <c r="O44" i="19"/>
  <c r="H44" i="19"/>
  <c r="P44" i="19" s="1"/>
  <c r="O43" i="19"/>
  <c r="H43" i="19"/>
  <c r="P43" i="19" s="1"/>
  <c r="O42" i="19"/>
  <c r="H42" i="19"/>
  <c r="O41" i="19"/>
  <c r="H41" i="19"/>
  <c r="P41" i="19" s="1"/>
  <c r="O40" i="19"/>
  <c r="H40" i="19"/>
  <c r="P40" i="19" s="1"/>
  <c r="O39" i="19"/>
  <c r="H39" i="19"/>
  <c r="P39" i="19" s="1"/>
  <c r="O38" i="19"/>
  <c r="H38" i="19"/>
  <c r="O37" i="19"/>
  <c r="H37" i="19"/>
  <c r="P37" i="19" s="1"/>
  <c r="O36" i="19"/>
  <c r="H36" i="19"/>
  <c r="P36" i="19" s="1"/>
  <c r="O35" i="19"/>
  <c r="H35" i="19"/>
  <c r="P35" i="19" s="1"/>
  <c r="O34" i="19"/>
  <c r="H34" i="19"/>
  <c r="O33" i="19"/>
  <c r="H33" i="19"/>
  <c r="H31" i="19" s="1"/>
  <c r="O32" i="19"/>
  <c r="H32" i="19"/>
  <c r="P32" i="19" s="1"/>
  <c r="N31" i="19"/>
  <c r="M31" i="19"/>
  <c r="L31" i="19"/>
  <c r="K31" i="19"/>
  <c r="J31" i="19"/>
  <c r="G31" i="19"/>
  <c r="F31" i="19"/>
  <c r="O30" i="19"/>
  <c r="H30" i="19"/>
  <c r="P30" i="19" s="1"/>
  <c r="O29" i="19"/>
  <c r="H29" i="19"/>
  <c r="O28" i="19"/>
  <c r="H28" i="19"/>
  <c r="P28" i="19" s="1"/>
  <c r="O27" i="19"/>
  <c r="O26" i="19" s="1"/>
  <c r="H27" i="19"/>
  <c r="P27" i="19" s="1"/>
  <c r="P26" i="19" s="1"/>
  <c r="N26" i="19"/>
  <c r="M26" i="19"/>
  <c r="L26" i="19"/>
  <c r="K26" i="19"/>
  <c r="J26" i="19"/>
  <c r="H26" i="19"/>
  <c r="G26" i="19"/>
  <c r="F26" i="19"/>
  <c r="O25" i="19"/>
  <c r="H25" i="19"/>
  <c r="P25" i="19" s="1"/>
  <c r="O24" i="19"/>
  <c r="H24" i="19"/>
  <c r="P24" i="19" s="1"/>
  <c r="O23" i="19"/>
  <c r="H23" i="19"/>
  <c r="O22" i="19"/>
  <c r="O21" i="19" s="1"/>
  <c r="H22" i="19"/>
  <c r="N21" i="19"/>
  <c r="M21" i="19"/>
  <c r="L21" i="19"/>
  <c r="K21" i="19"/>
  <c r="J21" i="19"/>
  <c r="G21" i="19"/>
  <c r="F21" i="19"/>
  <c r="O20" i="19"/>
  <c r="H20" i="19"/>
  <c r="H18" i="19" s="1"/>
  <c r="O19" i="19"/>
  <c r="O18" i="19" s="1"/>
  <c r="H19" i="19"/>
  <c r="P19" i="19" s="1"/>
  <c r="N18" i="19"/>
  <c r="N11" i="19" s="1"/>
  <c r="N50" i="19" s="1"/>
  <c r="M18" i="19"/>
  <c r="L18" i="19"/>
  <c r="L11" i="19" s="1"/>
  <c r="L50" i="19" s="1"/>
  <c r="K18" i="19"/>
  <c r="J18" i="19"/>
  <c r="J11" i="19" s="1"/>
  <c r="J50" i="19" s="1"/>
  <c r="G18" i="19"/>
  <c r="F18" i="19"/>
  <c r="O17" i="19"/>
  <c r="H17" i="19"/>
  <c r="P17" i="19" s="1"/>
  <c r="O16" i="19"/>
  <c r="H16" i="19"/>
  <c r="O15" i="19"/>
  <c r="H15" i="19"/>
  <c r="P15" i="19" s="1"/>
  <c r="O14" i="19"/>
  <c r="H14" i="19"/>
  <c r="P14" i="19" s="1"/>
  <c r="O13" i="19"/>
  <c r="H13" i="19"/>
  <c r="P13" i="19" s="1"/>
  <c r="O12" i="19"/>
  <c r="O11" i="19" s="1"/>
  <c r="N12" i="19"/>
  <c r="M12" i="19"/>
  <c r="L12" i="19"/>
  <c r="K12" i="19"/>
  <c r="K11" i="19" s="1"/>
  <c r="K50" i="19" s="1"/>
  <c r="J12" i="19"/>
  <c r="H12" i="19"/>
  <c r="G12" i="19"/>
  <c r="F12" i="19"/>
  <c r="F11" i="19" s="1"/>
  <c r="F50" i="19" s="1"/>
  <c r="M11" i="19"/>
  <c r="M50" i="19" s="1"/>
  <c r="O51" i="18"/>
  <c r="H51" i="18"/>
  <c r="P51" i="18" s="1"/>
  <c r="O50" i="18"/>
  <c r="H50" i="18"/>
  <c r="P50" i="18" s="1"/>
  <c r="O49" i="18"/>
  <c r="O47" i="18" s="1"/>
  <c r="H49" i="18"/>
  <c r="O48" i="18"/>
  <c r="H48" i="18"/>
  <c r="H47" i="18" s="1"/>
  <c r="N47" i="18"/>
  <c r="M47" i="18"/>
  <c r="L47" i="18"/>
  <c r="K47" i="18"/>
  <c r="J47" i="18"/>
  <c r="G47" i="18"/>
  <c r="F47" i="18"/>
  <c r="O46" i="18"/>
  <c r="H46" i="18"/>
  <c r="O45" i="18"/>
  <c r="H45" i="18"/>
  <c r="P45" i="18" s="1"/>
  <c r="O44" i="18"/>
  <c r="H44" i="18"/>
  <c r="P44" i="18" s="1"/>
  <c r="O43" i="18"/>
  <c r="H43" i="18"/>
  <c r="P43" i="18" s="1"/>
  <c r="O42" i="18"/>
  <c r="H42" i="18"/>
  <c r="O41" i="18"/>
  <c r="H41" i="18"/>
  <c r="P41" i="18" s="1"/>
  <c r="O40" i="18"/>
  <c r="H40" i="18"/>
  <c r="P40" i="18" s="1"/>
  <c r="O39" i="18"/>
  <c r="H39" i="18"/>
  <c r="P39" i="18" s="1"/>
  <c r="O38" i="18"/>
  <c r="H38" i="18"/>
  <c r="P38" i="18" s="1"/>
  <c r="O37" i="18"/>
  <c r="H37" i="18"/>
  <c r="P37" i="18" s="1"/>
  <c r="O36" i="18"/>
  <c r="H36" i="18"/>
  <c r="P36" i="18" s="1"/>
  <c r="O35" i="18"/>
  <c r="H35" i="18"/>
  <c r="H33" i="18" s="1"/>
  <c r="O34" i="18"/>
  <c r="O33" i="18" s="1"/>
  <c r="H34" i="18"/>
  <c r="P34" i="18" s="1"/>
  <c r="N33" i="18"/>
  <c r="M33" i="18"/>
  <c r="L33" i="18"/>
  <c r="K33" i="18"/>
  <c r="J33" i="18"/>
  <c r="G33" i="18"/>
  <c r="F33" i="18"/>
  <c r="O32" i="18"/>
  <c r="H32" i="18"/>
  <c r="P32" i="18" s="1"/>
  <c r="O31" i="18"/>
  <c r="H31" i="18"/>
  <c r="P31" i="18" s="1"/>
  <c r="O30" i="18"/>
  <c r="H30" i="18"/>
  <c r="P30" i="18" s="1"/>
  <c r="O29" i="18"/>
  <c r="H29" i="18"/>
  <c r="P29" i="18" s="1"/>
  <c r="O28" i="18"/>
  <c r="H28" i="18"/>
  <c r="H26" i="18" s="1"/>
  <c r="O27" i="18"/>
  <c r="O26" i="18" s="1"/>
  <c r="H27" i="18"/>
  <c r="P27" i="18" s="1"/>
  <c r="N26" i="18"/>
  <c r="M26" i="18"/>
  <c r="L26" i="18"/>
  <c r="K26" i="18"/>
  <c r="J26" i="18"/>
  <c r="G26" i="18"/>
  <c r="F26" i="18"/>
  <c r="O25" i="18"/>
  <c r="H25" i="18"/>
  <c r="P25" i="18" s="1"/>
  <c r="O24" i="18"/>
  <c r="H24" i="18"/>
  <c r="P24" i="18" s="1"/>
  <c r="O23" i="18"/>
  <c r="H23" i="18"/>
  <c r="H21" i="18" s="1"/>
  <c r="O22" i="18"/>
  <c r="O21" i="18" s="1"/>
  <c r="H22" i="18"/>
  <c r="P22" i="18" s="1"/>
  <c r="N21" i="18"/>
  <c r="M21" i="18"/>
  <c r="L21" i="18"/>
  <c r="K21" i="18"/>
  <c r="J21" i="18"/>
  <c r="G21" i="18"/>
  <c r="F21" i="18"/>
  <c r="O20" i="18"/>
  <c r="H20" i="18"/>
  <c r="H18" i="18" s="1"/>
  <c r="H11" i="18" s="1"/>
  <c r="H52" i="18" s="1"/>
  <c r="O19" i="18"/>
  <c r="O18" i="18" s="1"/>
  <c r="H19" i="18"/>
  <c r="P19" i="18" s="1"/>
  <c r="N18" i="18"/>
  <c r="N11" i="18" s="1"/>
  <c r="N52" i="18" s="1"/>
  <c r="M18" i="18"/>
  <c r="L18" i="18"/>
  <c r="L11" i="18" s="1"/>
  <c r="L52" i="18" s="1"/>
  <c r="K18" i="18"/>
  <c r="J18" i="18"/>
  <c r="J11" i="18" s="1"/>
  <c r="J52" i="18" s="1"/>
  <c r="G18" i="18"/>
  <c r="G11" i="18" s="1"/>
  <c r="G52" i="18" s="1"/>
  <c r="F18" i="18"/>
  <c r="O17" i="18"/>
  <c r="H17" i="18"/>
  <c r="P17" i="18" s="1"/>
  <c r="O16" i="18"/>
  <c r="H16" i="18"/>
  <c r="P16" i="18" s="1"/>
  <c r="O15" i="18"/>
  <c r="H15" i="18"/>
  <c r="P15" i="18" s="1"/>
  <c r="O14" i="18"/>
  <c r="H14" i="18"/>
  <c r="P14" i="18" s="1"/>
  <c r="O13" i="18"/>
  <c r="H13" i="18"/>
  <c r="P13" i="18" s="1"/>
  <c r="P12" i="18" s="1"/>
  <c r="O12" i="18"/>
  <c r="N12" i="18"/>
  <c r="M12" i="18"/>
  <c r="L12" i="18"/>
  <c r="K12" i="18"/>
  <c r="J12" i="18"/>
  <c r="H12" i="18"/>
  <c r="G12" i="18"/>
  <c r="F12" i="18"/>
  <c r="M11" i="18"/>
  <c r="M52" i="18" s="1"/>
  <c r="K11" i="18"/>
  <c r="K52" i="18" s="1"/>
  <c r="F11" i="18"/>
  <c r="F52" i="18" s="1"/>
  <c r="O51" i="17"/>
  <c r="H51" i="17"/>
  <c r="P51" i="17" s="1"/>
  <c r="O50" i="17"/>
  <c r="H50" i="17"/>
  <c r="P50" i="17" s="1"/>
  <c r="O49" i="17"/>
  <c r="H49" i="17"/>
  <c r="P49" i="17" s="1"/>
  <c r="O48" i="17"/>
  <c r="H48" i="17"/>
  <c r="P48" i="17" s="1"/>
  <c r="P47" i="17" s="1"/>
  <c r="O47" i="17"/>
  <c r="N47" i="17"/>
  <c r="M47" i="17"/>
  <c r="L47" i="17"/>
  <c r="K47" i="17"/>
  <c r="J47" i="17"/>
  <c r="H47" i="17"/>
  <c r="G47" i="17"/>
  <c r="F47" i="17"/>
  <c r="O46" i="17"/>
  <c r="H46" i="17"/>
  <c r="P46" i="17" s="1"/>
  <c r="O45" i="17"/>
  <c r="H45" i="17"/>
  <c r="P45" i="17" s="1"/>
  <c r="O44" i="17"/>
  <c r="H44" i="17"/>
  <c r="P44" i="17" s="1"/>
  <c r="O43" i="17"/>
  <c r="H43" i="17"/>
  <c r="P43" i="17" s="1"/>
  <c r="O42" i="17"/>
  <c r="H42" i="17"/>
  <c r="P42" i="17" s="1"/>
  <c r="O41" i="17"/>
  <c r="H41" i="17"/>
  <c r="P41" i="17" s="1"/>
  <c r="O40" i="17"/>
  <c r="H40" i="17"/>
  <c r="P40" i="17" s="1"/>
  <c r="O39" i="17"/>
  <c r="H39" i="17"/>
  <c r="P39" i="17" s="1"/>
  <c r="O38" i="17"/>
  <c r="H38" i="17"/>
  <c r="P38" i="17" s="1"/>
  <c r="O37" i="17"/>
  <c r="H37" i="17"/>
  <c r="P37" i="17" s="1"/>
  <c r="O36" i="17"/>
  <c r="H36" i="17"/>
  <c r="P36" i="17" s="1"/>
  <c r="O35" i="17"/>
  <c r="H35" i="17"/>
  <c r="H33" i="17" s="1"/>
  <c r="O34" i="17"/>
  <c r="O33" i="17" s="1"/>
  <c r="H34" i="17"/>
  <c r="P34" i="17" s="1"/>
  <c r="N33" i="17"/>
  <c r="M33" i="17"/>
  <c r="L33" i="17"/>
  <c r="K33" i="17"/>
  <c r="J33" i="17"/>
  <c r="G33" i="17"/>
  <c r="F33" i="17"/>
  <c r="O31" i="17"/>
  <c r="H31" i="17"/>
  <c r="P31" i="17" s="1"/>
  <c r="O30" i="17"/>
  <c r="H30" i="17"/>
  <c r="P30" i="17" s="1"/>
  <c r="O29" i="17"/>
  <c r="H29" i="17"/>
  <c r="P29" i="17" s="1"/>
  <c r="O28" i="17"/>
  <c r="H28" i="17"/>
  <c r="P28" i="17" s="1"/>
  <c r="O27" i="17"/>
  <c r="H27" i="17"/>
  <c r="P27" i="17" s="1"/>
  <c r="P26" i="17" s="1"/>
  <c r="O26" i="17"/>
  <c r="N26" i="17"/>
  <c r="M26" i="17"/>
  <c r="L26" i="17"/>
  <c r="K26" i="17"/>
  <c r="J26" i="17"/>
  <c r="H26" i="17"/>
  <c r="G26" i="17"/>
  <c r="F26" i="17"/>
  <c r="O25" i="17"/>
  <c r="H25" i="17"/>
  <c r="P25" i="17" s="1"/>
  <c r="O24" i="17"/>
  <c r="H24" i="17"/>
  <c r="P24" i="17" s="1"/>
  <c r="O23" i="17"/>
  <c r="H23" i="17"/>
  <c r="P23" i="17" s="1"/>
  <c r="O22" i="17"/>
  <c r="H22" i="17"/>
  <c r="P22" i="17" s="1"/>
  <c r="P21" i="17" s="1"/>
  <c r="O21" i="17"/>
  <c r="N21" i="17"/>
  <c r="M21" i="17"/>
  <c r="L21" i="17"/>
  <c r="K21" i="17"/>
  <c r="J21" i="17"/>
  <c r="H21" i="17"/>
  <c r="G21" i="17"/>
  <c r="F21" i="17"/>
  <c r="O20" i="17"/>
  <c r="H20" i="17"/>
  <c r="P20" i="17" s="1"/>
  <c r="O19" i="17"/>
  <c r="H19" i="17"/>
  <c r="P19" i="17" s="1"/>
  <c r="P18" i="17" s="1"/>
  <c r="O18" i="17"/>
  <c r="N18" i="17"/>
  <c r="M18" i="17"/>
  <c r="M11" i="17" s="1"/>
  <c r="M52" i="17" s="1"/>
  <c r="L18" i="17"/>
  <c r="K18" i="17"/>
  <c r="K11" i="17" s="1"/>
  <c r="K52" i="17" s="1"/>
  <c r="J18" i="17"/>
  <c r="H18" i="17"/>
  <c r="G18" i="17"/>
  <c r="F18" i="17"/>
  <c r="F11" i="17" s="1"/>
  <c r="F52" i="17" s="1"/>
  <c r="O17" i="17"/>
  <c r="H17" i="17"/>
  <c r="P17" i="17" s="1"/>
  <c r="O16" i="17"/>
  <c r="H16" i="17"/>
  <c r="P16" i="17" s="1"/>
  <c r="O15" i="17"/>
  <c r="H15" i="17"/>
  <c r="P15" i="17" s="1"/>
  <c r="O14" i="17"/>
  <c r="H14" i="17"/>
  <c r="H12" i="17" s="1"/>
  <c r="H11" i="17" s="1"/>
  <c r="H52" i="17" s="1"/>
  <c r="O13" i="17"/>
  <c r="O12" i="17" s="1"/>
  <c r="O11" i="17" s="1"/>
  <c r="O52" i="17" s="1"/>
  <c r="H13" i="17"/>
  <c r="P13" i="17" s="1"/>
  <c r="N12" i="17"/>
  <c r="M12" i="17"/>
  <c r="L12" i="17"/>
  <c r="K12" i="17"/>
  <c r="J12" i="17"/>
  <c r="G12" i="17"/>
  <c r="F12" i="17"/>
  <c r="N11" i="17"/>
  <c r="N52" i="17" s="1"/>
  <c r="L11" i="17"/>
  <c r="L52" i="17" s="1"/>
  <c r="J11" i="17"/>
  <c r="J52" i="17" s="1"/>
  <c r="G11" i="17"/>
  <c r="G52" i="17" s="1"/>
  <c r="O51" i="16"/>
  <c r="H51" i="16"/>
  <c r="P51" i="16" s="1"/>
  <c r="O50" i="16"/>
  <c r="H50" i="16"/>
  <c r="P50" i="16" s="1"/>
  <c r="O49" i="16"/>
  <c r="H49" i="16"/>
  <c r="H47" i="16" s="1"/>
  <c r="O48" i="16"/>
  <c r="O47" i="16" s="1"/>
  <c r="H48" i="16"/>
  <c r="P48" i="16" s="1"/>
  <c r="N47" i="16"/>
  <c r="M47" i="16"/>
  <c r="L47" i="16"/>
  <c r="K47" i="16"/>
  <c r="J47" i="16"/>
  <c r="G47" i="16"/>
  <c r="F47" i="16"/>
  <c r="O46" i="16"/>
  <c r="H46" i="16"/>
  <c r="P46" i="16" s="1"/>
  <c r="O45" i="16"/>
  <c r="H45" i="16"/>
  <c r="P45" i="16" s="1"/>
  <c r="O44" i="16"/>
  <c r="H44" i="16"/>
  <c r="P44" i="16" s="1"/>
  <c r="O43" i="16"/>
  <c r="H43" i="16"/>
  <c r="P43" i="16" s="1"/>
  <c r="O42" i="16"/>
  <c r="H42" i="16"/>
  <c r="P42" i="16" s="1"/>
  <c r="O41" i="16"/>
  <c r="H41" i="16"/>
  <c r="P41" i="16" s="1"/>
  <c r="O40" i="16"/>
  <c r="H40" i="16"/>
  <c r="P40" i="16" s="1"/>
  <c r="O39" i="16"/>
  <c r="H39" i="16"/>
  <c r="P39" i="16" s="1"/>
  <c r="O38" i="16"/>
  <c r="H38" i="16"/>
  <c r="P38" i="16" s="1"/>
  <c r="O37" i="16"/>
  <c r="H37" i="16"/>
  <c r="P37" i="16" s="1"/>
  <c r="O36" i="16"/>
  <c r="H36" i="16"/>
  <c r="P36" i="16" s="1"/>
  <c r="O35" i="16"/>
  <c r="H35" i="16"/>
  <c r="P35" i="16" s="1"/>
  <c r="O34" i="16"/>
  <c r="H34" i="16"/>
  <c r="P34" i="16" s="1"/>
  <c r="P33" i="16" s="1"/>
  <c r="O33" i="16"/>
  <c r="N33" i="16"/>
  <c r="M33" i="16"/>
  <c r="L33" i="16"/>
  <c r="K33" i="16"/>
  <c r="J33" i="16"/>
  <c r="H33" i="16"/>
  <c r="G33" i="16"/>
  <c r="F33" i="16"/>
  <c r="O31" i="16"/>
  <c r="H31" i="16"/>
  <c r="P31" i="16" s="1"/>
  <c r="O30" i="16"/>
  <c r="H30" i="16"/>
  <c r="P30" i="16" s="1"/>
  <c r="O29" i="16"/>
  <c r="H29" i="16"/>
  <c r="P29" i="16" s="1"/>
  <c r="O28" i="16"/>
  <c r="H28" i="16"/>
  <c r="H26" i="16" s="1"/>
  <c r="O27" i="16"/>
  <c r="O26" i="16" s="1"/>
  <c r="H27" i="16"/>
  <c r="P27" i="16" s="1"/>
  <c r="N26" i="16"/>
  <c r="M26" i="16"/>
  <c r="L26" i="16"/>
  <c r="K26" i="16"/>
  <c r="J26" i="16"/>
  <c r="G26" i="16"/>
  <c r="F26" i="16"/>
  <c r="O25" i="16"/>
  <c r="H25" i="16"/>
  <c r="P25" i="16" s="1"/>
  <c r="O24" i="16"/>
  <c r="H24" i="16"/>
  <c r="P24" i="16" s="1"/>
  <c r="O23" i="16"/>
  <c r="H23" i="16"/>
  <c r="H21" i="16" s="1"/>
  <c r="O22" i="16"/>
  <c r="O21" i="16" s="1"/>
  <c r="H22" i="16"/>
  <c r="P22" i="16" s="1"/>
  <c r="N21" i="16"/>
  <c r="M21" i="16"/>
  <c r="L21" i="16"/>
  <c r="K21" i="16"/>
  <c r="J21" i="16"/>
  <c r="G21" i="16"/>
  <c r="F21" i="16"/>
  <c r="O20" i="16"/>
  <c r="H20" i="16"/>
  <c r="H18" i="16" s="1"/>
  <c r="O19" i="16"/>
  <c r="O18" i="16" s="1"/>
  <c r="O11" i="16" s="1"/>
  <c r="O52" i="16" s="1"/>
  <c r="H19" i="16"/>
  <c r="P19" i="16" s="1"/>
  <c r="N18" i="16"/>
  <c r="N11" i="16" s="1"/>
  <c r="N52" i="16" s="1"/>
  <c r="M18" i="16"/>
  <c r="L18" i="16"/>
  <c r="L11" i="16" s="1"/>
  <c r="L52" i="16" s="1"/>
  <c r="K18" i="16"/>
  <c r="J18" i="16"/>
  <c r="J11" i="16" s="1"/>
  <c r="J52" i="16" s="1"/>
  <c r="G18" i="16"/>
  <c r="G11" i="16" s="1"/>
  <c r="G52" i="16" s="1"/>
  <c r="F18" i="16"/>
  <c r="O17" i="16"/>
  <c r="H17" i="16"/>
  <c r="P17" i="16" s="1"/>
  <c r="O16" i="16"/>
  <c r="H16" i="16"/>
  <c r="P16" i="16" s="1"/>
  <c r="O15" i="16"/>
  <c r="H15" i="16"/>
  <c r="P15" i="16" s="1"/>
  <c r="O14" i="16"/>
  <c r="H14" i="16"/>
  <c r="P14" i="16" s="1"/>
  <c r="O13" i="16"/>
  <c r="H13" i="16"/>
  <c r="P13" i="16" s="1"/>
  <c r="P12" i="16" s="1"/>
  <c r="O12" i="16"/>
  <c r="N12" i="16"/>
  <c r="M12" i="16"/>
  <c r="L12" i="16"/>
  <c r="K12" i="16"/>
  <c r="J12" i="16"/>
  <c r="H12" i="16"/>
  <c r="G12" i="16"/>
  <c r="F12" i="16"/>
  <c r="M11" i="16"/>
  <c r="M52" i="16" s="1"/>
  <c r="K11" i="16"/>
  <c r="K52" i="16" s="1"/>
  <c r="F11" i="16"/>
  <c r="F52" i="16" s="1"/>
  <c r="O49" i="15"/>
  <c r="H49" i="15"/>
  <c r="P49" i="15" s="1"/>
  <c r="O48" i="15"/>
  <c r="H48" i="15"/>
  <c r="P48" i="15" s="1"/>
  <c r="O47" i="15"/>
  <c r="H47" i="15"/>
  <c r="P47" i="15" s="1"/>
  <c r="O46" i="15"/>
  <c r="H46" i="15"/>
  <c r="P46" i="15" s="1"/>
  <c r="P45" i="15" s="1"/>
  <c r="O45" i="15"/>
  <c r="N45" i="15"/>
  <c r="M45" i="15"/>
  <c r="L45" i="15"/>
  <c r="K45" i="15"/>
  <c r="J45" i="15"/>
  <c r="H45" i="15"/>
  <c r="G45" i="15"/>
  <c r="F45" i="15"/>
  <c r="O44" i="15"/>
  <c r="H44" i="15"/>
  <c r="P44" i="15" s="1"/>
  <c r="O43" i="15"/>
  <c r="H43" i="15"/>
  <c r="P43" i="15" s="1"/>
  <c r="O42" i="15"/>
  <c r="H42" i="15"/>
  <c r="P42" i="15" s="1"/>
  <c r="O41" i="15"/>
  <c r="H41" i="15"/>
  <c r="P41" i="15" s="1"/>
  <c r="O40" i="15"/>
  <c r="H40" i="15"/>
  <c r="P40" i="15" s="1"/>
  <c r="O39" i="15"/>
  <c r="H39" i="15"/>
  <c r="P39" i="15" s="1"/>
  <c r="O38" i="15"/>
  <c r="H38" i="15"/>
  <c r="P38" i="15" s="1"/>
  <c r="O37" i="15"/>
  <c r="H37" i="15"/>
  <c r="P37" i="15" s="1"/>
  <c r="O36" i="15"/>
  <c r="H36" i="15"/>
  <c r="P36" i="15" s="1"/>
  <c r="O35" i="15"/>
  <c r="H35" i="15"/>
  <c r="P35" i="15" s="1"/>
  <c r="O34" i="15"/>
  <c r="H34" i="15"/>
  <c r="P34" i="15" s="1"/>
  <c r="O33" i="15"/>
  <c r="H33" i="15"/>
  <c r="H31" i="15" s="1"/>
  <c r="O32" i="15"/>
  <c r="O31" i="15" s="1"/>
  <c r="H32" i="15"/>
  <c r="P32" i="15" s="1"/>
  <c r="N31" i="15"/>
  <c r="M31" i="15"/>
  <c r="L31" i="15"/>
  <c r="K31" i="15"/>
  <c r="J31" i="15"/>
  <c r="G31" i="15"/>
  <c r="F31" i="15"/>
  <c r="O29" i="15"/>
  <c r="H29" i="15"/>
  <c r="P29" i="15" s="1"/>
  <c r="O28" i="15"/>
  <c r="H28" i="15"/>
  <c r="P28" i="15" s="1"/>
  <c r="O27" i="15"/>
  <c r="H27" i="15"/>
  <c r="P27" i="15" s="1"/>
  <c r="P26" i="15" s="1"/>
  <c r="O26" i="15"/>
  <c r="N26" i="15"/>
  <c r="M26" i="15"/>
  <c r="L26" i="15"/>
  <c r="K26" i="15"/>
  <c r="J26" i="15"/>
  <c r="H26" i="15"/>
  <c r="G26" i="15"/>
  <c r="F26" i="15"/>
  <c r="O25" i="15"/>
  <c r="H25" i="15"/>
  <c r="P25" i="15" s="1"/>
  <c r="O24" i="15"/>
  <c r="H24" i="15"/>
  <c r="P24" i="15" s="1"/>
  <c r="O23" i="15"/>
  <c r="H23" i="15"/>
  <c r="P23" i="15" s="1"/>
  <c r="O22" i="15"/>
  <c r="H22" i="15"/>
  <c r="P22" i="15" s="1"/>
  <c r="P21" i="15" s="1"/>
  <c r="O21" i="15"/>
  <c r="N21" i="15"/>
  <c r="M21" i="15"/>
  <c r="L21" i="15"/>
  <c r="K21" i="15"/>
  <c r="J21" i="15"/>
  <c r="H21" i="15"/>
  <c r="G21" i="15"/>
  <c r="F21" i="15"/>
  <c r="O20" i="15"/>
  <c r="H20" i="15"/>
  <c r="P20" i="15" s="1"/>
  <c r="O19" i="15"/>
  <c r="H19" i="15"/>
  <c r="P19" i="15" s="1"/>
  <c r="P18" i="15" s="1"/>
  <c r="O18" i="15"/>
  <c r="N18" i="15"/>
  <c r="M18" i="15"/>
  <c r="M11" i="15" s="1"/>
  <c r="M50" i="15" s="1"/>
  <c r="L18" i="15"/>
  <c r="K18" i="15"/>
  <c r="K11" i="15" s="1"/>
  <c r="K50" i="15" s="1"/>
  <c r="J18" i="15"/>
  <c r="H18" i="15"/>
  <c r="G18" i="15"/>
  <c r="F18" i="15"/>
  <c r="F11" i="15" s="1"/>
  <c r="F50" i="15" s="1"/>
  <c r="O17" i="15"/>
  <c r="H17" i="15"/>
  <c r="P17" i="15" s="1"/>
  <c r="O16" i="15"/>
  <c r="H16" i="15"/>
  <c r="P16" i="15" s="1"/>
  <c r="O15" i="15"/>
  <c r="H15" i="15"/>
  <c r="P15" i="15" s="1"/>
  <c r="O14" i="15"/>
  <c r="H14" i="15"/>
  <c r="H12" i="15" s="1"/>
  <c r="H11" i="15" s="1"/>
  <c r="H50" i="15" s="1"/>
  <c r="O13" i="15"/>
  <c r="O12" i="15" s="1"/>
  <c r="O11" i="15" s="1"/>
  <c r="O50" i="15" s="1"/>
  <c r="H13" i="15"/>
  <c r="P13" i="15" s="1"/>
  <c r="N12" i="15"/>
  <c r="M12" i="15"/>
  <c r="L12" i="15"/>
  <c r="K12" i="15"/>
  <c r="J12" i="15"/>
  <c r="G12" i="15"/>
  <c r="F12" i="15"/>
  <c r="N11" i="15"/>
  <c r="N50" i="15" s="1"/>
  <c r="L11" i="15"/>
  <c r="L50" i="15" s="1"/>
  <c r="J11" i="15"/>
  <c r="J50" i="15" s="1"/>
  <c r="G11" i="15"/>
  <c r="G50" i="15" s="1"/>
  <c r="O51" i="14"/>
  <c r="H51" i="14"/>
  <c r="P51" i="14" s="1"/>
  <c r="O50" i="14"/>
  <c r="H50" i="14"/>
  <c r="P50" i="14" s="1"/>
  <c r="O49" i="14"/>
  <c r="H49" i="14"/>
  <c r="H47" i="14" s="1"/>
  <c r="O48" i="14"/>
  <c r="O47" i="14" s="1"/>
  <c r="H48" i="14"/>
  <c r="P48" i="14" s="1"/>
  <c r="N47" i="14"/>
  <c r="M47" i="14"/>
  <c r="L47" i="14"/>
  <c r="K47" i="14"/>
  <c r="J47" i="14"/>
  <c r="G47" i="14"/>
  <c r="F47" i="14"/>
  <c r="O46" i="14"/>
  <c r="H46" i="14"/>
  <c r="P46" i="14" s="1"/>
  <c r="O45" i="14"/>
  <c r="H45" i="14"/>
  <c r="P45" i="14" s="1"/>
  <c r="O44" i="14"/>
  <c r="H44" i="14"/>
  <c r="P44" i="14" s="1"/>
  <c r="O43" i="14"/>
  <c r="H43" i="14"/>
  <c r="P43" i="14" s="1"/>
  <c r="O42" i="14"/>
  <c r="H42" i="14"/>
  <c r="P42" i="14" s="1"/>
  <c r="O41" i="14"/>
  <c r="H41" i="14"/>
  <c r="P41" i="14" s="1"/>
  <c r="O40" i="14"/>
  <c r="H40" i="14"/>
  <c r="P40" i="14" s="1"/>
  <c r="O39" i="14"/>
  <c r="H39" i="14"/>
  <c r="P39" i="14" s="1"/>
  <c r="O38" i="14"/>
  <c r="H38" i="14"/>
  <c r="P38" i="14" s="1"/>
  <c r="O37" i="14"/>
  <c r="H37" i="14"/>
  <c r="P37" i="14" s="1"/>
  <c r="O36" i="14"/>
  <c r="H36" i="14"/>
  <c r="P36" i="14" s="1"/>
  <c r="O35" i="14"/>
  <c r="H35" i="14"/>
  <c r="P35" i="14" s="1"/>
  <c r="O34" i="14"/>
  <c r="H34" i="14"/>
  <c r="P34" i="14" s="1"/>
  <c r="P33" i="14" s="1"/>
  <c r="O33" i="14"/>
  <c r="N33" i="14"/>
  <c r="M33" i="14"/>
  <c r="L33" i="14"/>
  <c r="K33" i="14"/>
  <c r="J33" i="14"/>
  <c r="H33" i="14"/>
  <c r="G33" i="14"/>
  <c r="F33" i="14"/>
  <c r="O31" i="14"/>
  <c r="H31" i="14"/>
  <c r="P31" i="14" s="1"/>
  <c r="O30" i="14"/>
  <c r="H30" i="14"/>
  <c r="P30" i="14" s="1"/>
  <c r="O29" i="14"/>
  <c r="H29" i="14"/>
  <c r="P29" i="14" s="1"/>
  <c r="O28" i="14"/>
  <c r="H28" i="14"/>
  <c r="H26" i="14" s="1"/>
  <c r="O27" i="14"/>
  <c r="O26" i="14" s="1"/>
  <c r="H27" i="14"/>
  <c r="P27" i="14" s="1"/>
  <c r="N26" i="14"/>
  <c r="M26" i="14"/>
  <c r="L26" i="14"/>
  <c r="K26" i="14"/>
  <c r="J26" i="14"/>
  <c r="G26" i="14"/>
  <c r="F26" i="14"/>
  <c r="O25" i="14"/>
  <c r="H25" i="14"/>
  <c r="P25" i="14" s="1"/>
  <c r="O24" i="14"/>
  <c r="H24" i="14"/>
  <c r="P24" i="14" s="1"/>
  <c r="O23" i="14"/>
  <c r="H23" i="14"/>
  <c r="H21" i="14" s="1"/>
  <c r="O22" i="14"/>
  <c r="O21" i="14" s="1"/>
  <c r="H22" i="14"/>
  <c r="P22" i="14" s="1"/>
  <c r="N21" i="14"/>
  <c r="M21" i="14"/>
  <c r="L21" i="14"/>
  <c r="K21" i="14"/>
  <c r="J21" i="14"/>
  <c r="G21" i="14"/>
  <c r="F21" i="14"/>
  <c r="O20" i="14"/>
  <c r="H20" i="14"/>
  <c r="H18" i="14" s="1"/>
  <c r="H11" i="14" s="1"/>
  <c r="H52" i="14" s="1"/>
  <c r="O19" i="14"/>
  <c r="O18" i="14" s="1"/>
  <c r="H19" i="14"/>
  <c r="P19" i="14" s="1"/>
  <c r="N18" i="14"/>
  <c r="N11" i="14" s="1"/>
  <c r="N52" i="14" s="1"/>
  <c r="M18" i="14"/>
  <c r="L18" i="14"/>
  <c r="L11" i="14" s="1"/>
  <c r="L52" i="14" s="1"/>
  <c r="K18" i="14"/>
  <c r="J18" i="14"/>
  <c r="J11" i="14" s="1"/>
  <c r="J52" i="14" s="1"/>
  <c r="G18" i="14"/>
  <c r="G11" i="14" s="1"/>
  <c r="G52" i="14" s="1"/>
  <c r="F18" i="14"/>
  <c r="O17" i="14"/>
  <c r="H17" i="14"/>
  <c r="P17" i="14" s="1"/>
  <c r="O16" i="14"/>
  <c r="H16" i="14"/>
  <c r="P16" i="14" s="1"/>
  <c r="O15" i="14"/>
  <c r="H15" i="14"/>
  <c r="P15" i="14" s="1"/>
  <c r="O14" i="14"/>
  <c r="H14" i="14"/>
  <c r="P14" i="14" s="1"/>
  <c r="O13" i="14"/>
  <c r="H13" i="14"/>
  <c r="P13" i="14" s="1"/>
  <c r="P12" i="14" s="1"/>
  <c r="O12" i="14"/>
  <c r="N12" i="14"/>
  <c r="M12" i="14"/>
  <c r="L12" i="14"/>
  <c r="K12" i="14"/>
  <c r="J12" i="14"/>
  <c r="H12" i="14"/>
  <c r="G12" i="14"/>
  <c r="F12" i="14"/>
  <c r="M11" i="14"/>
  <c r="M52" i="14" s="1"/>
  <c r="K11" i="14"/>
  <c r="K52" i="14" s="1"/>
  <c r="F11" i="14"/>
  <c r="F52" i="14" s="1"/>
  <c r="O51" i="13"/>
  <c r="H51" i="13"/>
  <c r="P51" i="13" s="1"/>
  <c r="O50" i="13"/>
  <c r="H50" i="13"/>
  <c r="P50" i="13" s="1"/>
  <c r="O49" i="13"/>
  <c r="H49" i="13"/>
  <c r="P49" i="13" s="1"/>
  <c r="O48" i="13"/>
  <c r="H48" i="13"/>
  <c r="P48" i="13" s="1"/>
  <c r="P47" i="13" s="1"/>
  <c r="O47" i="13"/>
  <c r="N47" i="13"/>
  <c r="M47" i="13"/>
  <c r="L47" i="13"/>
  <c r="K47" i="13"/>
  <c r="J47" i="13"/>
  <c r="H47" i="13"/>
  <c r="G47" i="13"/>
  <c r="F47" i="13"/>
  <c r="O46" i="13"/>
  <c r="H46" i="13"/>
  <c r="P46" i="13" s="1"/>
  <c r="O45" i="13"/>
  <c r="H45" i="13"/>
  <c r="P45" i="13" s="1"/>
  <c r="O44" i="13"/>
  <c r="H44" i="13"/>
  <c r="P44" i="13" s="1"/>
  <c r="O43" i="13"/>
  <c r="H43" i="13"/>
  <c r="P43" i="13" s="1"/>
  <c r="O42" i="13"/>
  <c r="H42" i="13"/>
  <c r="P42" i="13" s="1"/>
  <c r="O41" i="13"/>
  <c r="H41" i="13"/>
  <c r="P41" i="13" s="1"/>
  <c r="O40" i="13"/>
  <c r="H40" i="13"/>
  <c r="P40" i="13" s="1"/>
  <c r="O39" i="13"/>
  <c r="H39" i="13"/>
  <c r="P39" i="13" s="1"/>
  <c r="O38" i="13"/>
  <c r="H38" i="13"/>
  <c r="P38" i="13" s="1"/>
  <c r="O37" i="13"/>
  <c r="H37" i="13"/>
  <c r="P37" i="13" s="1"/>
  <c r="O36" i="13"/>
  <c r="H36" i="13"/>
  <c r="P36" i="13" s="1"/>
  <c r="O35" i="13"/>
  <c r="H35" i="13"/>
  <c r="H33" i="13" s="1"/>
  <c r="O34" i="13"/>
  <c r="O33" i="13" s="1"/>
  <c r="H34" i="13"/>
  <c r="P34" i="13" s="1"/>
  <c r="N33" i="13"/>
  <c r="M33" i="13"/>
  <c r="L33" i="13"/>
  <c r="K33" i="13"/>
  <c r="J33" i="13"/>
  <c r="G33" i="13"/>
  <c r="F33" i="13"/>
  <c r="O31" i="13"/>
  <c r="H31" i="13"/>
  <c r="P31" i="13" s="1"/>
  <c r="O30" i="13"/>
  <c r="H30" i="13"/>
  <c r="P30" i="13" s="1"/>
  <c r="O29" i="13"/>
  <c r="H29" i="13"/>
  <c r="P29" i="13" s="1"/>
  <c r="O28" i="13"/>
  <c r="H28" i="13"/>
  <c r="O27" i="13"/>
  <c r="H27" i="13"/>
  <c r="P27" i="13" s="1"/>
  <c r="O26" i="13"/>
  <c r="N26" i="13"/>
  <c r="M26" i="13"/>
  <c r="L26" i="13"/>
  <c r="K26" i="13"/>
  <c r="J26" i="13"/>
  <c r="H26" i="13"/>
  <c r="G26" i="13"/>
  <c r="F26" i="13"/>
  <c r="O25" i="13"/>
  <c r="H25" i="13"/>
  <c r="P25" i="13" s="1"/>
  <c r="O24" i="13"/>
  <c r="H24" i="13"/>
  <c r="P24" i="13" s="1"/>
  <c r="O23" i="13"/>
  <c r="H23" i="13"/>
  <c r="P23" i="13" s="1"/>
  <c r="O22" i="13"/>
  <c r="H22" i="13"/>
  <c r="P22" i="13" s="1"/>
  <c r="P21" i="13" s="1"/>
  <c r="O21" i="13"/>
  <c r="N21" i="13"/>
  <c r="M21" i="13"/>
  <c r="L21" i="13"/>
  <c r="K21" i="13"/>
  <c r="J21" i="13"/>
  <c r="H21" i="13"/>
  <c r="G21" i="13"/>
  <c r="F21" i="13"/>
  <c r="O20" i="13"/>
  <c r="H20" i="13"/>
  <c r="P20" i="13" s="1"/>
  <c r="O19" i="13"/>
  <c r="H19" i="13"/>
  <c r="P19" i="13" s="1"/>
  <c r="P18" i="13" s="1"/>
  <c r="O18" i="13"/>
  <c r="N18" i="13"/>
  <c r="M18" i="13"/>
  <c r="M11" i="13" s="1"/>
  <c r="M52" i="13" s="1"/>
  <c r="L18" i="13"/>
  <c r="K18" i="13"/>
  <c r="K11" i="13" s="1"/>
  <c r="K52" i="13" s="1"/>
  <c r="J18" i="13"/>
  <c r="H18" i="13"/>
  <c r="G18" i="13"/>
  <c r="F18" i="13"/>
  <c r="F11" i="13" s="1"/>
  <c r="F52" i="13" s="1"/>
  <c r="O17" i="13"/>
  <c r="H17" i="13"/>
  <c r="P17" i="13" s="1"/>
  <c r="O16" i="13"/>
  <c r="H16" i="13"/>
  <c r="P16" i="13" s="1"/>
  <c r="O15" i="13"/>
  <c r="H15" i="13"/>
  <c r="P15" i="13" s="1"/>
  <c r="O14" i="13"/>
  <c r="H14" i="13"/>
  <c r="H12" i="13" s="1"/>
  <c r="H11" i="13" s="1"/>
  <c r="H52" i="13" s="1"/>
  <c r="O13" i="13"/>
  <c r="O12" i="13" s="1"/>
  <c r="O11" i="13" s="1"/>
  <c r="O52" i="13" s="1"/>
  <c r="H13" i="13"/>
  <c r="P13" i="13" s="1"/>
  <c r="N12" i="13"/>
  <c r="M12" i="13"/>
  <c r="L12" i="13"/>
  <c r="K12" i="13"/>
  <c r="J12" i="13"/>
  <c r="G12" i="13"/>
  <c r="F12" i="13"/>
  <c r="N11" i="13"/>
  <c r="N52" i="13" s="1"/>
  <c r="L11" i="13"/>
  <c r="L52" i="13" s="1"/>
  <c r="J11" i="13"/>
  <c r="J52" i="13" s="1"/>
  <c r="G11" i="13"/>
  <c r="G52" i="13" s="1"/>
  <c r="O51" i="12"/>
  <c r="H51" i="12"/>
  <c r="P51" i="12" s="1"/>
  <c r="O50" i="12"/>
  <c r="H50" i="12"/>
  <c r="P50" i="12" s="1"/>
  <c r="O49" i="12"/>
  <c r="H49" i="12"/>
  <c r="H47" i="12" s="1"/>
  <c r="O48" i="12"/>
  <c r="O47" i="12" s="1"/>
  <c r="H48" i="12"/>
  <c r="P48" i="12" s="1"/>
  <c r="N47" i="12"/>
  <c r="M47" i="12"/>
  <c r="L47" i="12"/>
  <c r="K47" i="12"/>
  <c r="J47" i="12"/>
  <c r="G47" i="12"/>
  <c r="F47" i="12"/>
  <c r="O46" i="12"/>
  <c r="H46" i="12"/>
  <c r="P46" i="12" s="1"/>
  <c r="O45" i="12"/>
  <c r="H45" i="12"/>
  <c r="P45" i="12" s="1"/>
  <c r="O44" i="12"/>
  <c r="H44" i="12"/>
  <c r="P44" i="12" s="1"/>
  <c r="O43" i="12"/>
  <c r="H43" i="12"/>
  <c r="P43" i="12" s="1"/>
  <c r="O42" i="12"/>
  <c r="H42" i="12"/>
  <c r="P42" i="12" s="1"/>
  <c r="O41" i="12"/>
  <c r="H41" i="12"/>
  <c r="P41" i="12" s="1"/>
  <c r="O40" i="12"/>
  <c r="H40" i="12"/>
  <c r="P40" i="12" s="1"/>
  <c r="O39" i="12"/>
  <c r="H39" i="12"/>
  <c r="P39" i="12" s="1"/>
  <c r="O38" i="12"/>
  <c r="H38" i="12"/>
  <c r="P38" i="12" s="1"/>
  <c r="O37" i="12"/>
  <c r="H37" i="12"/>
  <c r="P37" i="12" s="1"/>
  <c r="O36" i="12"/>
  <c r="H36" i="12"/>
  <c r="P36" i="12" s="1"/>
  <c r="O35" i="12"/>
  <c r="H35" i="12"/>
  <c r="P35" i="12" s="1"/>
  <c r="O34" i="12"/>
  <c r="H34" i="12"/>
  <c r="P34" i="12" s="1"/>
  <c r="P33" i="12" s="1"/>
  <c r="O33" i="12"/>
  <c r="N33" i="12"/>
  <c r="M33" i="12"/>
  <c r="L33" i="12"/>
  <c r="K33" i="12"/>
  <c r="J33" i="12"/>
  <c r="H33" i="12"/>
  <c r="G33" i="12"/>
  <c r="F33" i="12"/>
  <c r="O31" i="12"/>
  <c r="H31" i="12"/>
  <c r="P31" i="12" s="1"/>
  <c r="O30" i="12"/>
  <c r="H30" i="12"/>
  <c r="P30" i="12" s="1"/>
  <c r="O29" i="12"/>
  <c r="H29" i="12"/>
  <c r="P29" i="12" s="1"/>
  <c r="O28" i="12"/>
  <c r="H28" i="12"/>
  <c r="H26" i="12" s="1"/>
  <c r="O27" i="12"/>
  <c r="O26" i="12" s="1"/>
  <c r="H27" i="12"/>
  <c r="P27" i="12" s="1"/>
  <c r="N26" i="12"/>
  <c r="M26" i="12"/>
  <c r="L26" i="12"/>
  <c r="K26" i="12"/>
  <c r="J26" i="12"/>
  <c r="G26" i="12"/>
  <c r="F26" i="12"/>
  <c r="O25" i="12"/>
  <c r="H25" i="12"/>
  <c r="P25" i="12" s="1"/>
  <c r="O24" i="12"/>
  <c r="H24" i="12"/>
  <c r="P24" i="12" s="1"/>
  <c r="O23" i="12"/>
  <c r="H23" i="12"/>
  <c r="H21" i="12" s="1"/>
  <c r="O22" i="12"/>
  <c r="O21" i="12" s="1"/>
  <c r="H22" i="12"/>
  <c r="P22" i="12" s="1"/>
  <c r="N21" i="12"/>
  <c r="M21" i="12"/>
  <c r="L21" i="12"/>
  <c r="K21" i="12"/>
  <c r="J21" i="12"/>
  <c r="G21" i="12"/>
  <c r="F21" i="12"/>
  <c r="O20" i="12"/>
  <c r="H20" i="12"/>
  <c r="H18" i="12" s="1"/>
  <c r="O19" i="12"/>
  <c r="O18" i="12" s="1"/>
  <c r="O11" i="12" s="1"/>
  <c r="O52" i="12" s="1"/>
  <c r="H19" i="12"/>
  <c r="P19" i="12" s="1"/>
  <c r="N18" i="12"/>
  <c r="N11" i="12" s="1"/>
  <c r="N52" i="12" s="1"/>
  <c r="M18" i="12"/>
  <c r="L18" i="12"/>
  <c r="L11" i="12" s="1"/>
  <c r="L52" i="12" s="1"/>
  <c r="K18" i="12"/>
  <c r="J18" i="12"/>
  <c r="J11" i="12" s="1"/>
  <c r="J52" i="12" s="1"/>
  <c r="G18" i="12"/>
  <c r="G11" i="12" s="1"/>
  <c r="G52" i="12" s="1"/>
  <c r="F18" i="12"/>
  <c r="O17" i="12"/>
  <c r="H17" i="12"/>
  <c r="P17" i="12" s="1"/>
  <c r="O16" i="12"/>
  <c r="H16" i="12"/>
  <c r="P16" i="12" s="1"/>
  <c r="O15" i="12"/>
  <c r="H15" i="12"/>
  <c r="P15" i="12" s="1"/>
  <c r="O14" i="12"/>
  <c r="H14" i="12"/>
  <c r="P14" i="12" s="1"/>
  <c r="O13" i="12"/>
  <c r="H13" i="12"/>
  <c r="P13" i="12" s="1"/>
  <c r="P12" i="12" s="1"/>
  <c r="O12" i="12"/>
  <c r="N12" i="12"/>
  <c r="M12" i="12"/>
  <c r="L12" i="12"/>
  <c r="K12" i="12"/>
  <c r="J12" i="12"/>
  <c r="H12" i="12"/>
  <c r="G12" i="12"/>
  <c r="F12" i="12"/>
  <c r="M11" i="12"/>
  <c r="M52" i="12" s="1"/>
  <c r="K11" i="12"/>
  <c r="K52" i="12" s="1"/>
  <c r="F11" i="12"/>
  <c r="F52" i="12" s="1"/>
  <c r="O49" i="11"/>
  <c r="H49" i="11"/>
  <c r="P49" i="11" s="1"/>
  <c r="O48" i="11"/>
  <c r="H48" i="11"/>
  <c r="P48" i="11" s="1"/>
  <c r="O47" i="11"/>
  <c r="H47" i="11"/>
  <c r="P47" i="11" s="1"/>
  <c r="O46" i="11"/>
  <c r="H46" i="11"/>
  <c r="P46" i="11" s="1"/>
  <c r="P45" i="11" s="1"/>
  <c r="O45" i="11"/>
  <c r="N45" i="11"/>
  <c r="M45" i="11"/>
  <c r="L45" i="11"/>
  <c r="K45" i="11"/>
  <c r="J45" i="11"/>
  <c r="H45" i="11"/>
  <c r="G45" i="11"/>
  <c r="F45" i="11"/>
  <c r="O44" i="11"/>
  <c r="H44" i="11"/>
  <c r="P44" i="11" s="1"/>
  <c r="O43" i="11"/>
  <c r="H43" i="11"/>
  <c r="P43" i="11" s="1"/>
  <c r="O42" i="11"/>
  <c r="H42" i="11"/>
  <c r="P42" i="11" s="1"/>
  <c r="O41" i="11"/>
  <c r="H41" i="11"/>
  <c r="P41" i="11" s="1"/>
  <c r="O40" i="11"/>
  <c r="H40" i="11"/>
  <c r="P40" i="11" s="1"/>
  <c r="O39" i="11"/>
  <c r="H39" i="11"/>
  <c r="P39" i="11" s="1"/>
  <c r="O38" i="11"/>
  <c r="H38" i="11"/>
  <c r="P38" i="11" s="1"/>
  <c r="O37" i="11"/>
  <c r="H37" i="11"/>
  <c r="P37" i="11" s="1"/>
  <c r="O36" i="11"/>
  <c r="H36" i="11"/>
  <c r="P36" i="11" s="1"/>
  <c r="O35" i="11"/>
  <c r="H35" i="11"/>
  <c r="P35" i="11" s="1"/>
  <c r="O34" i="11"/>
  <c r="H34" i="11"/>
  <c r="P34" i="11" s="1"/>
  <c r="O33" i="11"/>
  <c r="H33" i="11"/>
  <c r="H31" i="11" s="1"/>
  <c r="O32" i="11"/>
  <c r="O31" i="11" s="1"/>
  <c r="H32" i="11"/>
  <c r="P32" i="11" s="1"/>
  <c r="N31" i="11"/>
  <c r="M31" i="11"/>
  <c r="L31" i="11"/>
  <c r="K31" i="11"/>
  <c r="J31" i="11"/>
  <c r="G31" i="11"/>
  <c r="F31" i="11"/>
  <c r="O29" i="11"/>
  <c r="H29" i="11"/>
  <c r="P29" i="11" s="1"/>
  <c r="O28" i="11"/>
  <c r="H28" i="11"/>
  <c r="P28" i="11" s="1"/>
  <c r="O27" i="11"/>
  <c r="H27" i="11"/>
  <c r="P27" i="11" s="1"/>
  <c r="P26" i="11" s="1"/>
  <c r="O26" i="11"/>
  <c r="N26" i="11"/>
  <c r="M26" i="11"/>
  <c r="L26" i="11"/>
  <c r="K26" i="11"/>
  <c r="J26" i="11"/>
  <c r="H26" i="11"/>
  <c r="G26" i="11"/>
  <c r="F26" i="11"/>
  <c r="O25" i="11"/>
  <c r="H25" i="11"/>
  <c r="P25" i="11" s="1"/>
  <c r="O24" i="11"/>
  <c r="H24" i="11"/>
  <c r="P24" i="11" s="1"/>
  <c r="O23" i="11"/>
  <c r="H23" i="11"/>
  <c r="P23" i="11" s="1"/>
  <c r="O22" i="11"/>
  <c r="H22" i="11"/>
  <c r="P22" i="11" s="1"/>
  <c r="P21" i="11" s="1"/>
  <c r="O21" i="11"/>
  <c r="N21" i="11"/>
  <c r="M21" i="11"/>
  <c r="L21" i="11"/>
  <c r="K21" i="11"/>
  <c r="J21" i="11"/>
  <c r="H21" i="11"/>
  <c r="G21" i="11"/>
  <c r="F21" i="11"/>
  <c r="O20" i="11"/>
  <c r="H20" i="11"/>
  <c r="P20" i="11" s="1"/>
  <c r="O19" i="11"/>
  <c r="H19" i="11"/>
  <c r="P19" i="11" s="1"/>
  <c r="P18" i="11" s="1"/>
  <c r="O18" i="11"/>
  <c r="N18" i="11"/>
  <c r="M18" i="11"/>
  <c r="M11" i="11" s="1"/>
  <c r="M50" i="11" s="1"/>
  <c r="L18" i="11"/>
  <c r="K18" i="11"/>
  <c r="K11" i="11" s="1"/>
  <c r="K50" i="11" s="1"/>
  <c r="J18" i="11"/>
  <c r="H18" i="11"/>
  <c r="G18" i="11"/>
  <c r="F18" i="11"/>
  <c r="F11" i="11" s="1"/>
  <c r="F50" i="11" s="1"/>
  <c r="O17" i="11"/>
  <c r="H17" i="11"/>
  <c r="P17" i="11" s="1"/>
  <c r="O16" i="11"/>
  <c r="H16" i="11"/>
  <c r="P16" i="11" s="1"/>
  <c r="O15" i="11"/>
  <c r="H15" i="11"/>
  <c r="P15" i="11" s="1"/>
  <c r="O14" i="11"/>
  <c r="H14" i="11"/>
  <c r="H12" i="11" s="1"/>
  <c r="H11" i="11" s="1"/>
  <c r="H50" i="11" s="1"/>
  <c r="O13" i="11"/>
  <c r="O12" i="11" s="1"/>
  <c r="O11" i="11" s="1"/>
  <c r="O50" i="11" s="1"/>
  <c r="H13" i="11"/>
  <c r="P13" i="11" s="1"/>
  <c r="N12" i="11"/>
  <c r="M12" i="11"/>
  <c r="L12" i="11"/>
  <c r="K12" i="11"/>
  <c r="J12" i="11"/>
  <c r="G12" i="11"/>
  <c r="F12" i="11"/>
  <c r="N11" i="11"/>
  <c r="N50" i="11" s="1"/>
  <c r="L11" i="11"/>
  <c r="L50" i="11" s="1"/>
  <c r="J11" i="11"/>
  <c r="J50" i="11" s="1"/>
  <c r="G11" i="11"/>
  <c r="G50" i="11" s="1"/>
  <c r="O51" i="10"/>
  <c r="H51" i="10"/>
  <c r="P51" i="10" s="1"/>
  <c r="O50" i="10"/>
  <c r="H50" i="10"/>
  <c r="P50" i="10" s="1"/>
  <c r="O49" i="10"/>
  <c r="H49" i="10"/>
  <c r="H47" i="10" s="1"/>
  <c r="O48" i="10"/>
  <c r="O47" i="10" s="1"/>
  <c r="H48" i="10"/>
  <c r="P48" i="10" s="1"/>
  <c r="N47" i="10"/>
  <c r="M47" i="10"/>
  <c r="L47" i="10"/>
  <c r="K47" i="10"/>
  <c r="J47" i="10"/>
  <c r="G47" i="10"/>
  <c r="F47" i="10"/>
  <c r="O46" i="10"/>
  <c r="H46" i="10"/>
  <c r="P46" i="10" s="1"/>
  <c r="O45" i="10"/>
  <c r="H45" i="10"/>
  <c r="P45" i="10" s="1"/>
  <c r="O44" i="10"/>
  <c r="H44" i="10"/>
  <c r="P44" i="10" s="1"/>
  <c r="O43" i="10"/>
  <c r="H43" i="10"/>
  <c r="P43" i="10" s="1"/>
  <c r="O42" i="10"/>
  <c r="H42" i="10"/>
  <c r="P42" i="10" s="1"/>
  <c r="O41" i="10"/>
  <c r="H41" i="10"/>
  <c r="P41" i="10" s="1"/>
  <c r="O40" i="10"/>
  <c r="H40" i="10"/>
  <c r="P40" i="10" s="1"/>
  <c r="O39" i="10"/>
  <c r="H39" i="10"/>
  <c r="P39" i="10" s="1"/>
  <c r="O38" i="10"/>
  <c r="H38" i="10"/>
  <c r="P38" i="10" s="1"/>
  <c r="O37" i="10"/>
  <c r="H37" i="10"/>
  <c r="P37" i="10" s="1"/>
  <c r="O36" i="10"/>
  <c r="H36" i="10"/>
  <c r="P36" i="10" s="1"/>
  <c r="O35" i="10"/>
  <c r="H35" i="10"/>
  <c r="P35" i="10" s="1"/>
  <c r="O34" i="10"/>
  <c r="H34" i="10"/>
  <c r="P34" i="10" s="1"/>
  <c r="P33" i="10" s="1"/>
  <c r="O33" i="10"/>
  <c r="N33" i="10"/>
  <c r="M33" i="10"/>
  <c r="L33" i="10"/>
  <c r="K33" i="10"/>
  <c r="J33" i="10"/>
  <c r="H33" i="10"/>
  <c r="G33" i="10"/>
  <c r="F33" i="10"/>
  <c r="O31" i="10"/>
  <c r="H31" i="10"/>
  <c r="P31" i="10" s="1"/>
  <c r="O30" i="10"/>
  <c r="H30" i="10"/>
  <c r="P30" i="10" s="1"/>
  <c r="O29" i="10"/>
  <c r="H29" i="10"/>
  <c r="P29" i="10" s="1"/>
  <c r="O28" i="10"/>
  <c r="H28" i="10"/>
  <c r="H26" i="10" s="1"/>
  <c r="O27" i="10"/>
  <c r="O26" i="10" s="1"/>
  <c r="H27" i="10"/>
  <c r="P27" i="10" s="1"/>
  <c r="N26" i="10"/>
  <c r="M26" i="10"/>
  <c r="L26" i="10"/>
  <c r="K26" i="10"/>
  <c r="J26" i="10"/>
  <c r="G26" i="10"/>
  <c r="F26" i="10"/>
  <c r="O25" i="10"/>
  <c r="H25" i="10"/>
  <c r="P25" i="10" s="1"/>
  <c r="O24" i="10"/>
  <c r="H24" i="10"/>
  <c r="P24" i="10" s="1"/>
  <c r="O23" i="10"/>
  <c r="H23" i="10"/>
  <c r="H21" i="10" s="1"/>
  <c r="O22" i="10"/>
  <c r="O21" i="10" s="1"/>
  <c r="H22" i="10"/>
  <c r="P22" i="10" s="1"/>
  <c r="N21" i="10"/>
  <c r="M21" i="10"/>
  <c r="L21" i="10"/>
  <c r="K21" i="10"/>
  <c r="J21" i="10"/>
  <c r="G21" i="10"/>
  <c r="F21" i="10"/>
  <c r="O20" i="10"/>
  <c r="H20" i="10"/>
  <c r="H18" i="10" s="1"/>
  <c r="H11" i="10" s="1"/>
  <c r="H52" i="10" s="1"/>
  <c r="O19" i="10"/>
  <c r="O18" i="10" s="1"/>
  <c r="H19" i="10"/>
  <c r="P19" i="10" s="1"/>
  <c r="N18" i="10"/>
  <c r="N11" i="10" s="1"/>
  <c r="N52" i="10" s="1"/>
  <c r="M18" i="10"/>
  <c r="L18" i="10"/>
  <c r="L11" i="10" s="1"/>
  <c r="L52" i="10" s="1"/>
  <c r="K18" i="10"/>
  <c r="J18" i="10"/>
  <c r="J11" i="10" s="1"/>
  <c r="J52" i="10" s="1"/>
  <c r="G18" i="10"/>
  <c r="G11" i="10" s="1"/>
  <c r="G52" i="10" s="1"/>
  <c r="F18" i="10"/>
  <c r="O17" i="10"/>
  <c r="H17" i="10"/>
  <c r="P17" i="10" s="1"/>
  <c r="O16" i="10"/>
  <c r="H16" i="10"/>
  <c r="P16" i="10" s="1"/>
  <c r="O15" i="10"/>
  <c r="H15" i="10"/>
  <c r="P15" i="10" s="1"/>
  <c r="O14" i="10"/>
  <c r="H14" i="10"/>
  <c r="P14" i="10" s="1"/>
  <c r="O13" i="10"/>
  <c r="H13" i="10"/>
  <c r="P13" i="10" s="1"/>
  <c r="P12" i="10" s="1"/>
  <c r="O12" i="10"/>
  <c r="N12" i="10"/>
  <c r="M12" i="10"/>
  <c r="L12" i="10"/>
  <c r="K12" i="10"/>
  <c r="J12" i="10"/>
  <c r="H12" i="10"/>
  <c r="G12" i="10"/>
  <c r="F12" i="10"/>
  <c r="M11" i="10"/>
  <c r="M52" i="10" s="1"/>
  <c r="K11" i="10"/>
  <c r="K52" i="10" s="1"/>
  <c r="F11" i="10"/>
  <c r="F52" i="10" s="1"/>
  <c r="O51" i="9"/>
  <c r="H51" i="9"/>
  <c r="P51" i="9" s="1"/>
  <c r="O50" i="9"/>
  <c r="H50" i="9"/>
  <c r="P50" i="9" s="1"/>
  <c r="O49" i="9"/>
  <c r="H49" i="9"/>
  <c r="P49" i="9" s="1"/>
  <c r="O48" i="9"/>
  <c r="H48" i="9"/>
  <c r="P48" i="9" s="1"/>
  <c r="P47" i="9" s="1"/>
  <c r="O47" i="9"/>
  <c r="N47" i="9"/>
  <c r="M47" i="9"/>
  <c r="L47" i="9"/>
  <c r="K47" i="9"/>
  <c r="J47" i="9"/>
  <c r="H47" i="9"/>
  <c r="G47" i="9"/>
  <c r="F47" i="9"/>
  <c r="O46" i="9"/>
  <c r="H46" i="9"/>
  <c r="P46" i="9" s="1"/>
  <c r="O45" i="9"/>
  <c r="H45" i="9"/>
  <c r="P45" i="9" s="1"/>
  <c r="O44" i="9"/>
  <c r="H44" i="9"/>
  <c r="P44" i="9" s="1"/>
  <c r="O43" i="9"/>
  <c r="H43" i="9"/>
  <c r="P43" i="9" s="1"/>
  <c r="O42" i="9"/>
  <c r="H42" i="9"/>
  <c r="P42" i="9" s="1"/>
  <c r="O41" i="9"/>
  <c r="H41" i="9"/>
  <c r="P41" i="9" s="1"/>
  <c r="O40" i="9"/>
  <c r="H40" i="9"/>
  <c r="P40" i="9" s="1"/>
  <c r="O39" i="9"/>
  <c r="H39" i="9"/>
  <c r="P39" i="9" s="1"/>
  <c r="O38" i="9"/>
  <c r="H38" i="9"/>
  <c r="P38" i="9" s="1"/>
  <c r="O37" i="9"/>
  <c r="H37" i="9"/>
  <c r="P37" i="9" s="1"/>
  <c r="O36" i="9"/>
  <c r="H36" i="9"/>
  <c r="P36" i="9" s="1"/>
  <c r="O35" i="9"/>
  <c r="H35" i="9"/>
  <c r="H33" i="9" s="1"/>
  <c r="O34" i="9"/>
  <c r="O33" i="9" s="1"/>
  <c r="H34" i="9"/>
  <c r="P34" i="9" s="1"/>
  <c r="N33" i="9"/>
  <c r="M33" i="9"/>
  <c r="L33" i="9"/>
  <c r="K33" i="9"/>
  <c r="J33" i="9"/>
  <c r="G33" i="9"/>
  <c r="F33" i="9"/>
  <c r="O32" i="9"/>
  <c r="H32" i="9"/>
  <c r="P32" i="9" s="1"/>
  <c r="O31" i="9"/>
  <c r="H31" i="9"/>
  <c r="P31" i="9" s="1"/>
  <c r="O30" i="9"/>
  <c r="H30" i="9"/>
  <c r="P30" i="9" s="1"/>
  <c r="O29" i="9"/>
  <c r="H29" i="9"/>
  <c r="O28" i="9"/>
  <c r="H28" i="9"/>
  <c r="H26" i="9" s="1"/>
  <c r="O27" i="9"/>
  <c r="O26" i="9" s="1"/>
  <c r="H27" i="9"/>
  <c r="P27" i="9" s="1"/>
  <c r="N26" i="9"/>
  <c r="M26" i="9"/>
  <c r="L26" i="9"/>
  <c r="K26" i="9"/>
  <c r="J26" i="9"/>
  <c r="G26" i="9"/>
  <c r="F26" i="9"/>
  <c r="O25" i="9"/>
  <c r="H25" i="9"/>
  <c r="P25" i="9" s="1"/>
  <c r="O24" i="9"/>
  <c r="H24" i="9"/>
  <c r="P24" i="9" s="1"/>
  <c r="O23" i="9"/>
  <c r="H23" i="9"/>
  <c r="H21" i="9" s="1"/>
  <c r="O22" i="9"/>
  <c r="O21" i="9" s="1"/>
  <c r="H22" i="9"/>
  <c r="P22" i="9" s="1"/>
  <c r="N21" i="9"/>
  <c r="M21" i="9"/>
  <c r="L21" i="9"/>
  <c r="K21" i="9"/>
  <c r="J21" i="9"/>
  <c r="G21" i="9"/>
  <c r="F21" i="9"/>
  <c r="O20" i="9"/>
  <c r="H20" i="9"/>
  <c r="H18" i="9" s="1"/>
  <c r="O19" i="9"/>
  <c r="O18" i="9" s="1"/>
  <c r="O11" i="9" s="1"/>
  <c r="O52" i="9" s="1"/>
  <c r="H19" i="9"/>
  <c r="P19" i="9" s="1"/>
  <c r="N18" i="9"/>
  <c r="N11" i="9" s="1"/>
  <c r="N52" i="9" s="1"/>
  <c r="M18" i="9"/>
  <c r="L18" i="9"/>
  <c r="L11" i="9" s="1"/>
  <c r="L52" i="9" s="1"/>
  <c r="K18" i="9"/>
  <c r="J18" i="9"/>
  <c r="J11" i="9" s="1"/>
  <c r="J52" i="9" s="1"/>
  <c r="G18" i="9"/>
  <c r="G11" i="9" s="1"/>
  <c r="G52" i="9" s="1"/>
  <c r="F18" i="9"/>
  <c r="O17" i="9"/>
  <c r="H17" i="9"/>
  <c r="P17" i="9" s="1"/>
  <c r="O16" i="9"/>
  <c r="H16" i="9"/>
  <c r="P16" i="9" s="1"/>
  <c r="O15" i="9"/>
  <c r="H15" i="9"/>
  <c r="P15" i="9" s="1"/>
  <c r="O14" i="9"/>
  <c r="H14" i="9"/>
  <c r="P14" i="9" s="1"/>
  <c r="O13" i="9"/>
  <c r="H13" i="9"/>
  <c r="P13" i="9" s="1"/>
  <c r="P12" i="9" s="1"/>
  <c r="O12" i="9"/>
  <c r="N12" i="9"/>
  <c r="M12" i="9"/>
  <c r="L12" i="9"/>
  <c r="K12" i="9"/>
  <c r="J12" i="9"/>
  <c r="H12" i="9"/>
  <c r="G12" i="9"/>
  <c r="F12" i="9"/>
  <c r="M11" i="9"/>
  <c r="M52" i="9" s="1"/>
  <c r="K11" i="9"/>
  <c r="K52" i="9" s="1"/>
  <c r="F11" i="9"/>
  <c r="F52" i="9" s="1"/>
  <c r="O51" i="8"/>
  <c r="H51" i="8"/>
  <c r="P51" i="8" s="1"/>
  <c r="O50" i="8"/>
  <c r="H50" i="8"/>
  <c r="P50" i="8" s="1"/>
  <c r="O49" i="8"/>
  <c r="O47" i="8" s="1"/>
  <c r="H49" i="8"/>
  <c r="O48" i="8"/>
  <c r="H48" i="8"/>
  <c r="P48" i="8" s="1"/>
  <c r="N47" i="8"/>
  <c r="M47" i="8"/>
  <c r="L47" i="8"/>
  <c r="K47" i="8"/>
  <c r="J47" i="8"/>
  <c r="G47" i="8"/>
  <c r="F47" i="8"/>
  <c r="O46" i="8"/>
  <c r="H46" i="8"/>
  <c r="O45" i="8"/>
  <c r="H45" i="8"/>
  <c r="P45" i="8" s="1"/>
  <c r="O44" i="8"/>
  <c r="H44" i="8"/>
  <c r="P44" i="8" s="1"/>
  <c r="O43" i="8"/>
  <c r="H43" i="8"/>
  <c r="P43" i="8" s="1"/>
  <c r="O42" i="8"/>
  <c r="H42" i="8"/>
  <c r="O41" i="8"/>
  <c r="H41" i="8"/>
  <c r="P41" i="8" s="1"/>
  <c r="O40" i="8"/>
  <c r="H40" i="8"/>
  <c r="P40" i="8" s="1"/>
  <c r="O39" i="8"/>
  <c r="H39" i="8"/>
  <c r="P39" i="8" s="1"/>
  <c r="O38" i="8"/>
  <c r="H38" i="8"/>
  <c r="O37" i="8"/>
  <c r="H37" i="8"/>
  <c r="P37" i="8" s="1"/>
  <c r="O36" i="8"/>
  <c r="H36" i="8"/>
  <c r="P36" i="8" s="1"/>
  <c r="O35" i="8"/>
  <c r="H35" i="8"/>
  <c r="O34" i="8"/>
  <c r="O33" i="8" s="1"/>
  <c r="H34" i="8"/>
  <c r="N33" i="8"/>
  <c r="M33" i="8"/>
  <c r="L33" i="8"/>
  <c r="K33" i="8"/>
  <c r="J33" i="8"/>
  <c r="G33" i="8"/>
  <c r="F33" i="8"/>
  <c r="O32" i="8"/>
  <c r="H32" i="8"/>
  <c r="P32" i="8" s="1"/>
  <c r="O31" i="8"/>
  <c r="H31" i="8"/>
  <c r="P31" i="8" s="1"/>
  <c r="O30" i="8"/>
  <c r="H30" i="8"/>
  <c r="P30" i="8" s="1"/>
  <c r="O29" i="8"/>
  <c r="H29" i="8"/>
  <c r="O28" i="8"/>
  <c r="H28" i="8"/>
  <c r="H26" i="8" s="1"/>
  <c r="O27" i="8"/>
  <c r="H27" i="8"/>
  <c r="P27" i="8" s="1"/>
  <c r="N26" i="8"/>
  <c r="M26" i="8"/>
  <c r="L26" i="8"/>
  <c r="K26" i="8"/>
  <c r="J26" i="8"/>
  <c r="G26" i="8"/>
  <c r="F26" i="8"/>
  <c r="O25" i="8"/>
  <c r="H25" i="8"/>
  <c r="P25" i="8" s="1"/>
  <c r="O24" i="8"/>
  <c r="H24" i="8"/>
  <c r="O23" i="8"/>
  <c r="H23" i="8"/>
  <c r="H21" i="8" s="1"/>
  <c r="O22" i="8"/>
  <c r="H22" i="8"/>
  <c r="P22" i="8" s="1"/>
  <c r="N21" i="8"/>
  <c r="M21" i="8"/>
  <c r="L21" i="8"/>
  <c r="K21" i="8"/>
  <c r="J21" i="8"/>
  <c r="G21" i="8"/>
  <c r="F21" i="8"/>
  <c r="O20" i="8"/>
  <c r="H20" i="8"/>
  <c r="H18" i="8" s="1"/>
  <c r="O19" i="8"/>
  <c r="O18" i="8" s="1"/>
  <c r="H19" i="8"/>
  <c r="N18" i="8"/>
  <c r="M18" i="8"/>
  <c r="L18" i="8"/>
  <c r="K18" i="8"/>
  <c r="J18" i="8"/>
  <c r="G18" i="8"/>
  <c r="G11" i="8" s="1"/>
  <c r="G52" i="8" s="1"/>
  <c r="F18" i="8"/>
  <c r="O17" i="8"/>
  <c r="H17" i="8"/>
  <c r="P17" i="8" s="1"/>
  <c r="O16" i="8"/>
  <c r="H16" i="8"/>
  <c r="P16" i="8" s="1"/>
  <c r="O15" i="8"/>
  <c r="H15" i="8"/>
  <c r="P15" i="8" s="1"/>
  <c r="O14" i="8"/>
  <c r="O12" i="8" s="1"/>
  <c r="H14" i="8"/>
  <c r="O13" i="8"/>
  <c r="H13" i="8"/>
  <c r="P13" i="8" s="1"/>
  <c r="N12" i="8"/>
  <c r="M12" i="8"/>
  <c r="L12" i="8"/>
  <c r="K12" i="8"/>
  <c r="J12" i="8"/>
  <c r="G12" i="8"/>
  <c r="F12" i="8"/>
  <c r="M11" i="8"/>
  <c r="M52" i="8" s="1"/>
  <c r="K11" i="8"/>
  <c r="K52" i="8" s="1"/>
  <c r="F11" i="8"/>
  <c r="F52" i="8" s="1"/>
  <c r="O49" i="7"/>
  <c r="H49" i="7"/>
  <c r="O48" i="7"/>
  <c r="H48" i="7"/>
  <c r="P48" i="7" s="1"/>
  <c r="O47" i="7"/>
  <c r="H47" i="7"/>
  <c r="P47" i="7" s="1"/>
  <c r="O46" i="7"/>
  <c r="H46" i="7"/>
  <c r="P46" i="7" s="1"/>
  <c r="O45" i="7"/>
  <c r="N45" i="7"/>
  <c r="M45" i="7"/>
  <c r="L45" i="7"/>
  <c r="K45" i="7"/>
  <c r="J45" i="7"/>
  <c r="H45" i="7"/>
  <c r="G45" i="7"/>
  <c r="F45" i="7"/>
  <c r="O44" i="7"/>
  <c r="H44" i="7"/>
  <c r="P44" i="7" s="1"/>
  <c r="O43" i="7"/>
  <c r="H43" i="7"/>
  <c r="P43" i="7" s="1"/>
  <c r="O42" i="7"/>
  <c r="H42" i="7"/>
  <c r="O41" i="7"/>
  <c r="H41" i="7"/>
  <c r="P41" i="7" s="1"/>
  <c r="O40" i="7"/>
  <c r="H40" i="7"/>
  <c r="P40" i="7" s="1"/>
  <c r="O39" i="7"/>
  <c r="H39" i="7"/>
  <c r="P39" i="7" s="1"/>
  <c r="O38" i="7"/>
  <c r="H38" i="7"/>
  <c r="O37" i="7"/>
  <c r="H37" i="7"/>
  <c r="P37" i="7" s="1"/>
  <c r="O36" i="7"/>
  <c r="H36" i="7"/>
  <c r="P36" i="7" s="1"/>
  <c r="O35" i="7"/>
  <c r="H35" i="7"/>
  <c r="P35" i="7" s="1"/>
  <c r="O34" i="7"/>
  <c r="H34" i="7"/>
  <c r="O33" i="7"/>
  <c r="H33" i="7"/>
  <c r="H31" i="7" s="1"/>
  <c r="O32" i="7"/>
  <c r="H32" i="7"/>
  <c r="P32" i="7" s="1"/>
  <c r="N31" i="7"/>
  <c r="M31" i="7"/>
  <c r="L31" i="7"/>
  <c r="K31" i="7"/>
  <c r="J31" i="7"/>
  <c r="G31" i="7"/>
  <c r="F31" i="7"/>
  <c r="O30" i="7"/>
  <c r="H30" i="7"/>
  <c r="P30" i="7" s="1"/>
  <c r="O29" i="7"/>
  <c r="H29" i="7"/>
  <c r="O28" i="7"/>
  <c r="H28" i="7"/>
  <c r="P28" i="7" s="1"/>
  <c r="O27" i="7"/>
  <c r="O26" i="7" s="1"/>
  <c r="H27" i="7"/>
  <c r="P27" i="7" s="1"/>
  <c r="P26" i="7" s="1"/>
  <c r="N26" i="7"/>
  <c r="M26" i="7"/>
  <c r="L26" i="7"/>
  <c r="K26" i="7"/>
  <c r="J26" i="7"/>
  <c r="H26" i="7"/>
  <c r="G26" i="7"/>
  <c r="F26" i="7"/>
  <c r="O25" i="7"/>
  <c r="H25" i="7"/>
  <c r="P25" i="7" s="1"/>
  <c r="O24" i="7"/>
  <c r="H24" i="7"/>
  <c r="P24" i="7" s="1"/>
  <c r="O23" i="7"/>
  <c r="H23" i="7"/>
  <c r="O22" i="7"/>
  <c r="O21" i="7" s="1"/>
  <c r="H22" i="7"/>
  <c r="N21" i="7"/>
  <c r="M21" i="7"/>
  <c r="L21" i="7"/>
  <c r="K21" i="7"/>
  <c r="J21" i="7"/>
  <c r="G21" i="7"/>
  <c r="F21" i="7"/>
  <c r="O20" i="7"/>
  <c r="H20" i="7"/>
  <c r="H18" i="7" s="1"/>
  <c r="O19" i="7"/>
  <c r="O18" i="7" s="1"/>
  <c r="H19" i="7"/>
  <c r="P19" i="7" s="1"/>
  <c r="N18" i="7"/>
  <c r="N11" i="7" s="1"/>
  <c r="N50" i="7" s="1"/>
  <c r="M18" i="7"/>
  <c r="L18" i="7"/>
  <c r="L11" i="7" s="1"/>
  <c r="L50" i="7" s="1"/>
  <c r="K18" i="7"/>
  <c r="J18" i="7"/>
  <c r="J11" i="7" s="1"/>
  <c r="J50" i="7" s="1"/>
  <c r="G18" i="7"/>
  <c r="F18" i="7"/>
  <c r="O17" i="7"/>
  <c r="H17" i="7"/>
  <c r="P17" i="7" s="1"/>
  <c r="O16" i="7"/>
  <c r="H16" i="7"/>
  <c r="O15" i="7"/>
  <c r="H15" i="7"/>
  <c r="P15" i="7" s="1"/>
  <c r="O14" i="7"/>
  <c r="H14" i="7"/>
  <c r="P14" i="7" s="1"/>
  <c r="O13" i="7"/>
  <c r="H13" i="7"/>
  <c r="P13" i="7" s="1"/>
  <c r="O12" i="7"/>
  <c r="O11" i="7" s="1"/>
  <c r="N12" i="7"/>
  <c r="M12" i="7"/>
  <c r="L12" i="7"/>
  <c r="K12" i="7"/>
  <c r="K11" i="7" s="1"/>
  <c r="K50" i="7" s="1"/>
  <c r="J12" i="7"/>
  <c r="H12" i="7"/>
  <c r="G12" i="7"/>
  <c r="F12" i="7"/>
  <c r="F11" i="7" s="1"/>
  <c r="F50" i="7" s="1"/>
  <c r="M11" i="7"/>
  <c r="M50" i="7" s="1"/>
  <c r="O51" i="6"/>
  <c r="H51" i="6"/>
  <c r="P51" i="6" s="1"/>
  <c r="O50" i="6"/>
  <c r="H50" i="6"/>
  <c r="P50" i="6" s="1"/>
  <c r="O49" i="6"/>
  <c r="O47" i="6" s="1"/>
  <c r="H49" i="6"/>
  <c r="O48" i="6"/>
  <c r="H48" i="6"/>
  <c r="H47" i="6" s="1"/>
  <c r="N47" i="6"/>
  <c r="M47" i="6"/>
  <c r="L47" i="6"/>
  <c r="K47" i="6"/>
  <c r="J47" i="6"/>
  <c r="G47" i="6"/>
  <c r="F47" i="6"/>
  <c r="O46" i="6"/>
  <c r="H46" i="6"/>
  <c r="O45" i="6"/>
  <c r="H45" i="6"/>
  <c r="P45" i="6" s="1"/>
  <c r="O44" i="6"/>
  <c r="H44" i="6"/>
  <c r="P44" i="6" s="1"/>
  <c r="O43" i="6"/>
  <c r="H43" i="6"/>
  <c r="P43" i="6" s="1"/>
  <c r="O42" i="6"/>
  <c r="H42" i="6"/>
  <c r="O41" i="6"/>
  <c r="H41" i="6"/>
  <c r="P41" i="6" s="1"/>
  <c r="O40" i="6"/>
  <c r="H40" i="6"/>
  <c r="P40" i="6" s="1"/>
  <c r="O39" i="6"/>
  <c r="H39" i="6"/>
  <c r="P39" i="6" s="1"/>
  <c r="O38" i="6"/>
  <c r="H38" i="6"/>
  <c r="O37" i="6"/>
  <c r="H37" i="6"/>
  <c r="P37" i="6" s="1"/>
  <c r="O36" i="6"/>
  <c r="H36" i="6"/>
  <c r="P36" i="6" s="1"/>
  <c r="O35" i="6"/>
  <c r="H35" i="6"/>
  <c r="O34" i="6"/>
  <c r="O33" i="6" s="1"/>
  <c r="H34" i="6"/>
  <c r="N33" i="6"/>
  <c r="M33" i="6"/>
  <c r="L33" i="6"/>
  <c r="K33" i="6"/>
  <c r="J33" i="6"/>
  <c r="G33" i="6"/>
  <c r="F33" i="6"/>
  <c r="O32" i="6"/>
  <c r="H32" i="6"/>
  <c r="P32" i="6" s="1"/>
  <c r="O31" i="6"/>
  <c r="H31" i="6"/>
  <c r="P31" i="6" s="1"/>
  <c r="O30" i="6"/>
  <c r="H30" i="6"/>
  <c r="P30" i="6" s="1"/>
  <c r="O29" i="6"/>
  <c r="H29" i="6"/>
  <c r="O28" i="6"/>
  <c r="H28" i="6"/>
  <c r="H26" i="6" s="1"/>
  <c r="O27" i="6"/>
  <c r="H27" i="6"/>
  <c r="P27" i="6" s="1"/>
  <c r="N26" i="6"/>
  <c r="M26" i="6"/>
  <c r="L26" i="6"/>
  <c r="K26" i="6"/>
  <c r="K11" i="6" s="1"/>
  <c r="K52" i="6" s="1"/>
  <c r="J26" i="6"/>
  <c r="G26" i="6"/>
  <c r="F26" i="6"/>
  <c r="O25" i="6"/>
  <c r="H25" i="6"/>
  <c r="P25" i="6" s="1"/>
  <c r="O24" i="6"/>
  <c r="H24" i="6"/>
  <c r="O23" i="6"/>
  <c r="H23" i="6"/>
  <c r="H21" i="6" s="1"/>
  <c r="O22" i="6"/>
  <c r="H22" i="6"/>
  <c r="P22" i="6" s="1"/>
  <c r="N21" i="6"/>
  <c r="M21" i="6"/>
  <c r="L21" i="6"/>
  <c r="K21" i="6"/>
  <c r="J21" i="6"/>
  <c r="G21" i="6"/>
  <c r="F21" i="6"/>
  <c r="O20" i="6"/>
  <c r="H20" i="6"/>
  <c r="H18" i="6" s="1"/>
  <c r="O19" i="6"/>
  <c r="O18" i="6" s="1"/>
  <c r="H19" i="6"/>
  <c r="N18" i="6"/>
  <c r="M18" i="6"/>
  <c r="L18" i="6"/>
  <c r="K18" i="6"/>
  <c r="J18" i="6"/>
  <c r="G18" i="6"/>
  <c r="G11" i="6" s="1"/>
  <c r="G52" i="6" s="1"/>
  <c r="F18" i="6"/>
  <c r="O17" i="6"/>
  <c r="H17" i="6"/>
  <c r="P17" i="6" s="1"/>
  <c r="O16" i="6"/>
  <c r="H16" i="6"/>
  <c r="P16" i="6" s="1"/>
  <c r="O15" i="6"/>
  <c r="H15" i="6"/>
  <c r="P15" i="6" s="1"/>
  <c r="O14" i="6"/>
  <c r="O12" i="6" s="1"/>
  <c r="H14" i="6"/>
  <c r="P13" i="6"/>
  <c r="O13" i="6"/>
  <c r="H13" i="6"/>
  <c r="H12" i="6" s="1"/>
  <c r="H11" i="6" s="1"/>
  <c r="N12" i="6"/>
  <c r="M12" i="6"/>
  <c r="L12" i="6"/>
  <c r="K12" i="6"/>
  <c r="J12" i="6"/>
  <c r="G12" i="6"/>
  <c r="F12" i="6"/>
  <c r="M11" i="6"/>
  <c r="M52" i="6" s="1"/>
  <c r="F11" i="6"/>
  <c r="F52" i="6" s="1"/>
  <c r="L38" i="5"/>
  <c r="F38" i="5"/>
  <c r="L37" i="5"/>
  <c r="F37" i="5"/>
  <c r="F35" i="5" s="1"/>
  <c r="L36" i="5"/>
  <c r="L35" i="5" s="1"/>
  <c r="F36" i="5"/>
  <c r="M35" i="5"/>
  <c r="K35" i="5"/>
  <c r="J35" i="5"/>
  <c r="I35" i="5"/>
  <c r="H35" i="5"/>
  <c r="G35" i="5"/>
  <c r="E35" i="5"/>
  <c r="D35" i="5"/>
  <c r="L34" i="5"/>
  <c r="F34" i="5"/>
  <c r="F32" i="5" s="1"/>
  <c r="M32" i="5" s="1"/>
  <c r="L33" i="5"/>
  <c r="L32" i="5" s="1"/>
  <c r="F33" i="5"/>
  <c r="M33" i="5" s="1"/>
  <c r="K32" i="5"/>
  <c r="J32" i="5"/>
  <c r="I32" i="5"/>
  <c r="H32" i="5"/>
  <c r="G32" i="5"/>
  <c r="E32" i="5"/>
  <c r="D32" i="5"/>
  <c r="L31" i="5"/>
  <c r="F31" i="5"/>
  <c r="F29" i="5" s="1"/>
  <c r="L30" i="5"/>
  <c r="L29" i="5" s="1"/>
  <c r="M29" i="5" s="1"/>
  <c r="F30" i="5"/>
  <c r="K29" i="5"/>
  <c r="J29" i="5"/>
  <c r="I29" i="5"/>
  <c r="H29" i="5"/>
  <c r="G29" i="5"/>
  <c r="E29" i="5"/>
  <c r="D29" i="5"/>
  <c r="L28" i="5"/>
  <c r="F28" i="5"/>
  <c r="F26" i="5" s="1"/>
  <c r="L27" i="5"/>
  <c r="L26" i="5" s="1"/>
  <c r="F27" i="5"/>
  <c r="K26" i="5"/>
  <c r="J26" i="5"/>
  <c r="I26" i="5"/>
  <c r="H26" i="5"/>
  <c r="G26" i="5"/>
  <c r="E26" i="5"/>
  <c r="D26" i="5"/>
  <c r="L21" i="5"/>
  <c r="K21" i="5"/>
  <c r="J21" i="5"/>
  <c r="I21" i="5"/>
  <c r="H21" i="5"/>
  <c r="E21" i="5"/>
  <c r="D21" i="5"/>
  <c r="F21" i="5" s="1"/>
  <c r="M20" i="5"/>
  <c r="F20" i="5"/>
  <c r="N20" i="5" s="1"/>
  <c r="M19" i="5"/>
  <c r="M21" i="5" s="1"/>
  <c r="F19" i="5"/>
  <c r="L14" i="5"/>
  <c r="K14" i="5"/>
  <c r="J14" i="5"/>
  <c r="I14" i="5"/>
  <c r="H14" i="5"/>
  <c r="E14" i="5"/>
  <c r="D14" i="5"/>
  <c r="M13" i="5"/>
  <c r="F13" i="5"/>
  <c r="M12" i="5"/>
  <c r="M14" i="5" s="1"/>
  <c r="F12" i="5"/>
  <c r="F17" i="4"/>
  <c r="F16" i="4"/>
  <c r="F15" i="4"/>
  <c r="F14" i="4"/>
  <c r="F13" i="4"/>
  <c r="F12" i="4"/>
  <c r="F11" i="4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P12" i="3"/>
  <c r="Q21" i="2"/>
  <c r="P21" i="2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P12" i="2"/>
  <c r="I24" i="1"/>
  <c r="I22" i="1"/>
  <c r="G17" i="1"/>
  <c r="D17" i="1"/>
  <c r="P28" i="13" l="1"/>
  <c r="P26" i="13" s="1"/>
  <c r="P29" i="9"/>
  <c r="H11" i="32"/>
  <c r="H46" i="32" s="1"/>
  <c r="F46" i="32"/>
  <c r="M38" i="5"/>
  <c r="M27" i="5"/>
  <c r="M26" i="5"/>
  <c r="N21" i="5"/>
  <c r="N13" i="5"/>
  <c r="N12" i="5"/>
  <c r="M34" i="5"/>
  <c r="P28" i="6"/>
  <c r="P48" i="6"/>
  <c r="P20" i="7"/>
  <c r="P18" i="7" s="1"/>
  <c r="H17" i="1"/>
  <c r="F14" i="5"/>
  <c r="N14" i="5" s="1"/>
  <c r="N19" i="5"/>
  <c r="M30" i="5"/>
  <c r="M31" i="5"/>
  <c r="M36" i="5"/>
  <c r="M37" i="5"/>
  <c r="P14" i="6"/>
  <c r="J11" i="6"/>
  <c r="J52" i="6" s="1"/>
  <c r="L11" i="6"/>
  <c r="L52" i="6" s="1"/>
  <c r="N11" i="6"/>
  <c r="N52" i="6" s="1"/>
  <c r="P19" i="6"/>
  <c r="P20" i="6"/>
  <c r="O21" i="6"/>
  <c r="P24" i="6"/>
  <c r="O26" i="6"/>
  <c r="P29" i="6"/>
  <c r="P34" i="6"/>
  <c r="H33" i="6"/>
  <c r="H52" i="6" s="1"/>
  <c r="P35" i="6"/>
  <c r="P38" i="6"/>
  <c r="P42" i="6"/>
  <c r="P46" i="6"/>
  <c r="P49" i="6"/>
  <c r="P16" i="7"/>
  <c r="P12" i="7" s="1"/>
  <c r="G11" i="7"/>
  <c r="G50" i="7" s="1"/>
  <c r="P22" i="7"/>
  <c r="H21" i="7"/>
  <c r="H11" i="7" s="1"/>
  <c r="H50" i="7" s="1"/>
  <c r="P23" i="7"/>
  <c r="P29" i="7"/>
  <c r="O31" i="7"/>
  <c r="O50" i="7" s="1"/>
  <c r="P34" i="7"/>
  <c r="P38" i="7"/>
  <c r="P42" i="7"/>
  <c r="P49" i="7"/>
  <c r="P45" i="7" s="1"/>
  <c r="H12" i="8"/>
  <c r="H11" i="8" s="1"/>
  <c r="P14" i="8"/>
  <c r="P12" i="8" s="1"/>
  <c r="J11" i="8"/>
  <c r="J52" i="8" s="1"/>
  <c r="L11" i="8"/>
  <c r="L52" i="8" s="1"/>
  <c r="N11" i="8"/>
  <c r="N52" i="8" s="1"/>
  <c r="P19" i="8"/>
  <c r="P18" i="8" s="1"/>
  <c r="P20" i="8"/>
  <c r="O21" i="8"/>
  <c r="P24" i="8"/>
  <c r="O26" i="8"/>
  <c r="P29" i="8"/>
  <c r="P34" i="8"/>
  <c r="H33" i="8"/>
  <c r="P35" i="8"/>
  <c r="P38" i="8"/>
  <c r="P42" i="8"/>
  <c r="P46" i="8"/>
  <c r="H47" i="8"/>
  <c r="P49" i="8"/>
  <c r="P47" i="8" s="1"/>
  <c r="P18" i="9"/>
  <c r="H11" i="9"/>
  <c r="H52" i="9" s="1"/>
  <c r="O11" i="10"/>
  <c r="O52" i="10" s="1"/>
  <c r="P12" i="11"/>
  <c r="P11" i="11" s="1"/>
  <c r="P18" i="12"/>
  <c r="H11" i="12"/>
  <c r="H52" i="12" s="1"/>
  <c r="O11" i="14"/>
  <c r="O52" i="14" s="1"/>
  <c r="H11" i="16"/>
  <c r="H52" i="16" s="1"/>
  <c r="O11" i="18"/>
  <c r="O52" i="18" s="1"/>
  <c r="M28" i="5"/>
  <c r="P12" i="6"/>
  <c r="P23" i="6"/>
  <c r="P21" i="6" s="1"/>
  <c r="P33" i="7"/>
  <c r="P31" i="7" s="1"/>
  <c r="P23" i="8"/>
  <c r="P21" i="8" s="1"/>
  <c r="P28" i="8"/>
  <c r="P18" i="10"/>
  <c r="P26" i="14"/>
  <c r="P12" i="17"/>
  <c r="P11" i="17" s="1"/>
  <c r="P18" i="18"/>
  <c r="P20" i="9"/>
  <c r="P23" i="9"/>
  <c r="P21" i="9" s="1"/>
  <c r="P28" i="9"/>
  <c r="P26" i="9" s="1"/>
  <c r="P35" i="9"/>
  <c r="P33" i="9" s="1"/>
  <c r="P20" i="10"/>
  <c r="P23" i="10"/>
  <c r="P21" i="10" s="1"/>
  <c r="P28" i="10"/>
  <c r="P26" i="10" s="1"/>
  <c r="P49" i="10"/>
  <c r="P47" i="10" s="1"/>
  <c r="P14" i="11"/>
  <c r="P33" i="11"/>
  <c r="P31" i="11" s="1"/>
  <c r="P20" i="12"/>
  <c r="P23" i="12"/>
  <c r="P21" i="12" s="1"/>
  <c r="P28" i="12"/>
  <c r="P26" i="12" s="1"/>
  <c r="P49" i="12"/>
  <c r="P47" i="12" s="1"/>
  <c r="P14" i="13"/>
  <c r="P12" i="13" s="1"/>
  <c r="P35" i="13"/>
  <c r="P33" i="13" s="1"/>
  <c r="P20" i="14"/>
  <c r="P18" i="14" s="1"/>
  <c r="P23" i="14"/>
  <c r="P21" i="14" s="1"/>
  <c r="P28" i="14"/>
  <c r="P49" i="14"/>
  <c r="P47" i="14" s="1"/>
  <c r="P14" i="15"/>
  <c r="P12" i="15" s="1"/>
  <c r="P11" i="15" s="1"/>
  <c r="P33" i="15"/>
  <c r="P31" i="15" s="1"/>
  <c r="P20" i="16"/>
  <c r="P18" i="16" s="1"/>
  <c r="P23" i="16"/>
  <c r="P21" i="16" s="1"/>
  <c r="P28" i="16"/>
  <c r="P26" i="16" s="1"/>
  <c r="P49" i="16"/>
  <c r="P47" i="16" s="1"/>
  <c r="P14" i="17"/>
  <c r="P35" i="17"/>
  <c r="P33" i="17" s="1"/>
  <c r="P20" i="18"/>
  <c r="P23" i="18"/>
  <c r="P21" i="18" s="1"/>
  <c r="P28" i="18"/>
  <c r="P26" i="18" s="1"/>
  <c r="P35" i="18"/>
  <c r="P33" i="18" s="1"/>
  <c r="P48" i="18"/>
  <c r="P20" i="19"/>
  <c r="P18" i="19" s="1"/>
  <c r="P33" i="19"/>
  <c r="P31" i="19" s="1"/>
  <c r="P13" i="20"/>
  <c r="P12" i="20" s="1"/>
  <c r="P23" i="20"/>
  <c r="P21" i="20" s="1"/>
  <c r="P28" i="20"/>
  <c r="P26" i="20" s="1"/>
  <c r="P48" i="20"/>
  <c r="P20" i="21"/>
  <c r="P18" i="21" s="1"/>
  <c r="P15" i="22"/>
  <c r="P12" i="22" s="1"/>
  <c r="P20" i="22"/>
  <c r="P18" i="22" s="1"/>
  <c r="P35" i="22"/>
  <c r="P33" i="22" s="1"/>
  <c r="P50" i="22"/>
  <c r="P47" i="22" s="1"/>
  <c r="P13" i="23"/>
  <c r="P46" i="23"/>
  <c r="P23" i="25"/>
  <c r="P21" i="25" s="1"/>
  <c r="P28" i="25"/>
  <c r="P26" i="25" s="1"/>
  <c r="P48" i="25"/>
  <c r="P42" i="18"/>
  <c r="P46" i="18"/>
  <c r="P49" i="18"/>
  <c r="P16" i="19"/>
  <c r="P12" i="19" s="1"/>
  <c r="G11" i="19"/>
  <c r="G50" i="19" s="1"/>
  <c r="P22" i="19"/>
  <c r="H21" i="19"/>
  <c r="H11" i="19" s="1"/>
  <c r="H50" i="19" s="1"/>
  <c r="P23" i="19"/>
  <c r="P29" i="19"/>
  <c r="O31" i="19"/>
  <c r="O50" i="19" s="1"/>
  <c r="P34" i="19"/>
  <c r="P38" i="19"/>
  <c r="P42" i="19"/>
  <c r="P49" i="19"/>
  <c r="P45" i="19" s="1"/>
  <c r="P14" i="20"/>
  <c r="J11" i="20"/>
  <c r="J52" i="20" s="1"/>
  <c r="L11" i="20"/>
  <c r="L52" i="20" s="1"/>
  <c r="N11" i="20"/>
  <c r="N52" i="20" s="1"/>
  <c r="P19" i="20"/>
  <c r="P20" i="20"/>
  <c r="O21" i="20"/>
  <c r="O11" i="20" s="1"/>
  <c r="O52" i="20" s="1"/>
  <c r="P24" i="20"/>
  <c r="O26" i="20"/>
  <c r="P29" i="20"/>
  <c r="P34" i="20"/>
  <c r="H33" i="20"/>
  <c r="H52" i="20" s="1"/>
  <c r="P35" i="20"/>
  <c r="P38" i="20"/>
  <c r="P42" i="20"/>
  <c r="P46" i="20"/>
  <c r="P49" i="20"/>
  <c r="P16" i="21"/>
  <c r="P12" i="21" s="1"/>
  <c r="G11" i="21"/>
  <c r="G52" i="21" s="1"/>
  <c r="P22" i="21"/>
  <c r="H21" i="21"/>
  <c r="H11" i="21" s="1"/>
  <c r="P23" i="21"/>
  <c r="P27" i="21"/>
  <c r="P28" i="21"/>
  <c r="P48" i="21"/>
  <c r="P21" i="23"/>
  <c r="P23" i="23"/>
  <c r="O31" i="23"/>
  <c r="P18" i="24"/>
  <c r="P20" i="24"/>
  <c r="H33" i="24"/>
  <c r="P35" i="24"/>
  <c r="P33" i="24" s="1"/>
  <c r="H12" i="25"/>
  <c r="H11" i="25" s="1"/>
  <c r="P13" i="25"/>
  <c r="O33" i="25"/>
  <c r="P18" i="26"/>
  <c r="P20" i="26"/>
  <c r="H33" i="26"/>
  <c r="P35" i="26"/>
  <c r="P33" i="26" s="1"/>
  <c r="P49" i="26"/>
  <c r="P47" i="26" s="1"/>
  <c r="P14" i="27"/>
  <c r="P12" i="27" s="1"/>
  <c r="P11" i="27" s="1"/>
  <c r="P32" i="27"/>
  <c r="P19" i="28"/>
  <c r="P22" i="28"/>
  <c r="P49" i="28"/>
  <c r="P47" i="28" s="1"/>
  <c r="P14" i="29"/>
  <c r="P12" i="29" s="1"/>
  <c r="P29" i="21"/>
  <c r="P34" i="21"/>
  <c r="H33" i="21"/>
  <c r="P35" i="21"/>
  <c r="P38" i="21"/>
  <c r="P42" i="21"/>
  <c r="P46" i="21"/>
  <c r="P49" i="21"/>
  <c r="P16" i="22"/>
  <c r="G11" i="22"/>
  <c r="G52" i="22" s="1"/>
  <c r="P22" i="22"/>
  <c r="H21" i="22"/>
  <c r="H11" i="22" s="1"/>
  <c r="H52" i="22" s="1"/>
  <c r="P23" i="22"/>
  <c r="P27" i="22"/>
  <c r="P26" i="22" s="1"/>
  <c r="P28" i="22"/>
  <c r="P31" i="22"/>
  <c r="O33" i="22"/>
  <c r="O52" i="22" s="1"/>
  <c r="P36" i="22"/>
  <c r="P40" i="22"/>
  <c r="P44" i="22"/>
  <c r="P51" i="22"/>
  <c r="P14" i="23"/>
  <c r="J11" i="23"/>
  <c r="J50" i="23" s="1"/>
  <c r="L11" i="23"/>
  <c r="L50" i="23" s="1"/>
  <c r="N11" i="23"/>
  <c r="N50" i="23" s="1"/>
  <c r="P19" i="23"/>
  <c r="P18" i="23" s="1"/>
  <c r="P20" i="23"/>
  <c r="O21" i="23"/>
  <c r="O11" i="23" s="1"/>
  <c r="O50" i="23" s="1"/>
  <c r="P24" i="23"/>
  <c r="P27" i="23"/>
  <c r="P26" i="23" s="1"/>
  <c r="P32" i="23"/>
  <c r="H31" i="23"/>
  <c r="H50" i="23" s="1"/>
  <c r="P33" i="23"/>
  <c r="P36" i="23"/>
  <c r="P40" i="23"/>
  <c r="P44" i="23"/>
  <c r="P47" i="23"/>
  <c r="P16" i="24"/>
  <c r="P12" i="24" s="1"/>
  <c r="G11" i="24"/>
  <c r="G52" i="24" s="1"/>
  <c r="P22" i="24"/>
  <c r="H21" i="24"/>
  <c r="H11" i="24" s="1"/>
  <c r="H52" i="24" s="1"/>
  <c r="P23" i="24"/>
  <c r="P27" i="24"/>
  <c r="P28" i="24"/>
  <c r="P31" i="24"/>
  <c r="O33" i="24"/>
  <c r="O52" i="24" s="1"/>
  <c r="P36" i="24"/>
  <c r="P40" i="24"/>
  <c r="P44" i="24"/>
  <c r="P51" i="24"/>
  <c r="P47" i="24" s="1"/>
  <c r="P14" i="25"/>
  <c r="J11" i="25"/>
  <c r="J52" i="25" s="1"/>
  <c r="L11" i="25"/>
  <c r="L52" i="25" s="1"/>
  <c r="N11" i="25"/>
  <c r="N52" i="25" s="1"/>
  <c r="P19" i="25"/>
  <c r="P20" i="25"/>
  <c r="O21" i="25"/>
  <c r="O11" i="25" s="1"/>
  <c r="O52" i="25" s="1"/>
  <c r="P24" i="25"/>
  <c r="O26" i="25"/>
  <c r="P29" i="25"/>
  <c r="P34" i="25"/>
  <c r="H33" i="25"/>
  <c r="P35" i="25"/>
  <c r="P38" i="25"/>
  <c r="P42" i="25"/>
  <c r="P46" i="25"/>
  <c r="P49" i="25"/>
  <c r="P16" i="26"/>
  <c r="P12" i="26" s="1"/>
  <c r="G11" i="26"/>
  <c r="G52" i="26" s="1"/>
  <c r="P22" i="26"/>
  <c r="H21" i="26"/>
  <c r="H11" i="26" s="1"/>
  <c r="H52" i="26" s="1"/>
  <c r="P23" i="26"/>
  <c r="P27" i="26"/>
  <c r="P28" i="26"/>
  <c r="P31" i="26"/>
  <c r="O33" i="26"/>
  <c r="O52" i="26" s="1"/>
  <c r="P36" i="26"/>
  <c r="P40" i="26"/>
  <c r="F11" i="27"/>
  <c r="F50" i="27" s="1"/>
  <c r="K11" i="27"/>
  <c r="K50" i="27" s="1"/>
  <c r="M11" i="27"/>
  <c r="M50" i="27" s="1"/>
  <c r="P26" i="28"/>
  <c r="P29" i="28"/>
  <c r="H33" i="28"/>
  <c r="P36" i="28"/>
  <c r="P33" i="28" s="1"/>
  <c r="O33" i="28"/>
  <c r="P48" i="29"/>
  <c r="P45" i="26"/>
  <c r="O47" i="26"/>
  <c r="P50" i="26"/>
  <c r="O12" i="27"/>
  <c r="O11" i="27" s="1"/>
  <c r="O50" i="27" s="1"/>
  <c r="P15" i="27"/>
  <c r="O12" i="28"/>
  <c r="O11" i="28" s="1"/>
  <c r="F11" i="29"/>
  <c r="F52" i="29" s="1"/>
  <c r="K11" i="29"/>
  <c r="K52" i="29" s="1"/>
  <c r="M11" i="29"/>
  <c r="M52" i="29" s="1"/>
  <c r="P28" i="29"/>
  <c r="P26" i="29" s="1"/>
  <c r="P23" i="31"/>
  <c r="P21" i="31" s="1"/>
  <c r="P44" i="31"/>
  <c r="P42" i="31" s="1"/>
  <c r="P23" i="27"/>
  <c r="P21" i="27" s="1"/>
  <c r="P30" i="27"/>
  <c r="P33" i="27"/>
  <c r="P37" i="27"/>
  <c r="P41" i="27"/>
  <c r="P46" i="27"/>
  <c r="H45" i="27"/>
  <c r="H50" i="27" s="1"/>
  <c r="P47" i="27"/>
  <c r="P13" i="28"/>
  <c r="H12" i="28"/>
  <c r="H11" i="28" s="1"/>
  <c r="H52" i="28" s="1"/>
  <c r="P14" i="28"/>
  <c r="P17" i="28"/>
  <c r="F11" i="28"/>
  <c r="F52" i="28" s="1"/>
  <c r="K11" i="28"/>
  <c r="K52" i="28" s="1"/>
  <c r="M11" i="28"/>
  <c r="M52" i="28" s="1"/>
  <c r="P20" i="28"/>
  <c r="P23" i="28"/>
  <c r="P30" i="28"/>
  <c r="P37" i="28"/>
  <c r="P41" i="28"/>
  <c r="P45" i="28"/>
  <c r="O47" i="28"/>
  <c r="P50" i="28"/>
  <c r="O12" i="29"/>
  <c r="P15" i="29"/>
  <c r="P25" i="29"/>
  <c r="P21" i="29" s="1"/>
  <c r="O33" i="29"/>
  <c r="H11" i="30"/>
  <c r="P12" i="30"/>
  <c r="O11" i="30"/>
  <c r="O21" i="30"/>
  <c r="H32" i="30"/>
  <c r="H52" i="30" s="1"/>
  <c r="P33" i="30"/>
  <c r="O32" i="30"/>
  <c r="O52" i="30" s="1"/>
  <c r="O42" i="30"/>
  <c r="O26" i="29"/>
  <c r="P29" i="29"/>
  <c r="P34" i="29"/>
  <c r="H33" i="29"/>
  <c r="H52" i="29" s="1"/>
  <c r="P35" i="29"/>
  <c r="P38" i="29"/>
  <c r="P42" i="29"/>
  <c r="P46" i="29"/>
  <c r="P49" i="29"/>
  <c r="P13" i="30"/>
  <c r="P17" i="30"/>
  <c r="P22" i="30"/>
  <c r="H21" i="30"/>
  <c r="P23" i="30"/>
  <c r="P26" i="30"/>
  <c r="P30" i="30"/>
  <c r="P34" i="30"/>
  <c r="P38" i="30"/>
  <c r="P43" i="30"/>
  <c r="H42" i="30"/>
  <c r="P44" i="30"/>
  <c r="P47" i="30"/>
  <c r="P51" i="30"/>
  <c r="P15" i="31"/>
  <c r="P19" i="31"/>
  <c r="P11" i="31" s="1"/>
  <c r="O21" i="31"/>
  <c r="P24" i="31"/>
  <c r="P28" i="31"/>
  <c r="J52" i="31"/>
  <c r="L52" i="31"/>
  <c r="N52" i="31"/>
  <c r="P36" i="31"/>
  <c r="P32" i="31" s="1"/>
  <c r="P40" i="31"/>
  <c r="O42" i="31"/>
  <c r="O52" i="31" s="1"/>
  <c r="P45" i="31"/>
  <c r="P49" i="31"/>
  <c r="H12" i="32"/>
  <c r="H47" i="32" s="1"/>
  <c r="P11" i="13" l="1"/>
  <c r="P26" i="8"/>
  <c r="O11" i="8"/>
  <c r="O52" i="8" s="1"/>
  <c r="P26" i="6"/>
  <c r="P11" i="6" s="1"/>
  <c r="P52" i="6" s="1"/>
  <c r="O11" i="6"/>
  <c r="O52" i="6" s="1"/>
  <c r="P52" i="31"/>
  <c r="P11" i="29"/>
  <c r="P11" i="16"/>
  <c r="P52" i="16" s="1"/>
  <c r="P50" i="15"/>
  <c r="P11" i="14"/>
  <c r="P52" i="14" s="1"/>
  <c r="P52" i="13"/>
  <c r="P11" i="10"/>
  <c r="P52" i="10" s="1"/>
  <c r="P11" i="12"/>
  <c r="P52" i="12" s="1"/>
  <c r="P11" i="18"/>
  <c r="P11" i="9"/>
  <c r="P52" i="9" s="1"/>
  <c r="P11" i="8"/>
  <c r="P11" i="7"/>
  <c r="P50" i="7" s="1"/>
  <c r="P42" i="30"/>
  <c r="P33" i="29"/>
  <c r="O11" i="29"/>
  <c r="O52" i="29" s="1"/>
  <c r="P45" i="27"/>
  <c r="P21" i="26"/>
  <c r="P11" i="26" s="1"/>
  <c r="P52" i="26" s="1"/>
  <c r="P21" i="30"/>
  <c r="P32" i="30"/>
  <c r="P52" i="30" s="1"/>
  <c r="P11" i="30"/>
  <c r="P12" i="28"/>
  <c r="P26" i="26"/>
  <c r="P33" i="25"/>
  <c r="P18" i="25"/>
  <c r="P26" i="24"/>
  <c r="P31" i="23"/>
  <c r="P21" i="22"/>
  <c r="P11" i="22" s="1"/>
  <c r="P52" i="22" s="1"/>
  <c r="P18" i="28"/>
  <c r="P12" i="25"/>
  <c r="P47" i="21"/>
  <c r="P26" i="21"/>
  <c r="H52" i="21"/>
  <c r="P33" i="20"/>
  <c r="P18" i="20"/>
  <c r="P47" i="25"/>
  <c r="P45" i="23"/>
  <c r="P47" i="20"/>
  <c r="P47" i="18"/>
  <c r="H52" i="8"/>
  <c r="P33" i="6"/>
  <c r="P18" i="6"/>
  <c r="O52" i="28"/>
  <c r="P47" i="29"/>
  <c r="P21" i="24"/>
  <c r="P11" i="24" s="1"/>
  <c r="P52" i="24" s="1"/>
  <c r="P33" i="21"/>
  <c r="P21" i="28"/>
  <c r="P31" i="27"/>
  <c r="P50" i="27" s="1"/>
  <c r="H52" i="25"/>
  <c r="P21" i="21"/>
  <c r="P11" i="21" s="1"/>
  <c r="P52" i="21" s="1"/>
  <c r="P21" i="19"/>
  <c r="P11" i="19" s="1"/>
  <c r="P50" i="19" s="1"/>
  <c r="P12" i="23"/>
  <c r="P11" i="23" s="1"/>
  <c r="P11" i="20"/>
  <c r="P52" i="20" s="1"/>
  <c r="P52" i="17"/>
  <c r="P50" i="11"/>
  <c r="P33" i="8"/>
  <c r="P21" i="7"/>
  <c r="P47" i="6"/>
  <c r="P52" i="29" l="1"/>
  <c r="P50" i="23"/>
  <c r="P11" i="25"/>
  <c r="P52" i="25" s="1"/>
  <c r="P11" i="28"/>
  <c r="P52" i="28" s="1"/>
  <c r="P52" i="8"/>
  <c r="P52" i="18"/>
</calcChain>
</file>

<file path=xl/sharedStrings.xml><?xml version="1.0" encoding="utf-8"?>
<sst xmlns="http://schemas.openxmlformats.org/spreadsheetml/2006/main" count="2040" uniqueCount="173">
  <si>
    <t>（様式１）</t>
  </si>
  <si>
    <t>介護保険事業状況報告</t>
  </si>
  <si>
    <t>保険者番号：</t>
  </si>
  <si>
    <t>保険者名：</t>
  </si>
  <si>
    <t xml:space="preserve"> </t>
  </si>
  <si>
    <t>１．一般状況</t>
  </si>
  <si>
    <t>(1) 第１号被保険者数</t>
  </si>
  <si>
    <t>年齢区分</t>
  </si>
  <si>
    <t>前月末現在</t>
  </si>
  <si>
    <t>当月中増</t>
  </si>
  <si>
    <t>当月中減</t>
  </si>
  <si>
    <t>当月末現在</t>
  </si>
  <si>
    <t>65歳以上75歳未満</t>
  </si>
  <si>
    <t>75歳以上85歳未満</t>
  </si>
  <si>
    <t>85歳以上</t>
  </si>
  <si>
    <t>(再掲)外国人被保険者</t>
  </si>
  <si>
    <t>(再掲)住所地特例被保険者</t>
  </si>
  <si>
    <t>計</t>
  </si>
  <si>
    <t>(2) 第１号被保険者増減内訳</t>
  </si>
  <si>
    <t>転入</t>
  </si>
  <si>
    <t>職権復活</t>
  </si>
  <si>
    <t>65歳到達</t>
  </si>
  <si>
    <t>適用除外
非該当</t>
  </si>
  <si>
    <t>その他</t>
  </si>
  <si>
    <t>転出</t>
  </si>
  <si>
    <t>職権喪失</t>
  </si>
  <si>
    <t>死亡</t>
  </si>
  <si>
    <t>適用除外_x000D_
該当</t>
  </si>
  <si>
    <t>（様式１の２）</t>
  </si>
  <si>
    <t>１．一般状況(続き)</t>
  </si>
  <si>
    <t>(3) 食費・居住費に係る負担限度額認定(総数)</t>
  </si>
  <si>
    <t>介護老人福祉施設</t>
  </si>
  <si>
    <t>介護老人保健施設</t>
  </si>
  <si>
    <t>介護療養型医療施設</t>
  </si>
  <si>
    <t>介護医療院</t>
  </si>
  <si>
    <t>地域密着型介護老人福祉施設_x000D_
入所者生活介護</t>
  </si>
  <si>
    <t>合計</t>
  </si>
  <si>
    <t>申請件数</t>
  </si>
  <si>
    <t>食費</t>
  </si>
  <si>
    <t>居住費</t>
  </si>
  <si>
    <t>(居住費)_x000D_
滞在費</t>
  </si>
  <si>
    <t>利用者負担第三段階②
　認定件数</t>
  </si>
  <si>
    <t>　認定件数(当該月末現在)</t>
  </si>
  <si>
    <t>利用者負担第三段階①
　認定件数</t>
  </si>
  <si>
    <t>利用者負担第二段階
　認定件数</t>
  </si>
  <si>
    <t>利用者負担第一段階
　認定件数</t>
  </si>
  <si>
    <t>(4) 利用者負担減額・免除認定(総数)</t>
  </si>
  <si>
    <t>利用者負担</t>
  </si>
  <si>
    <t>減額
　認定件数</t>
  </si>
  <si>
    <t>免除
　認定件数</t>
  </si>
  <si>
    <t>(5) 介護老人福祉施設旧措置入所者に係る減額・免除認定(総数)</t>
  </si>
  <si>
    <t>特定負担限度額</t>
  </si>
  <si>
    <t>利用者負担第三段階
　認定件数</t>
  </si>
  <si>
    <t>　認定件数
(当該月末現在)</t>
  </si>
  <si>
    <t>老福受給者等
　認定件数</t>
  </si>
  <si>
    <t>（様式１の３）</t>
  </si>
  <si>
    <t>(6) 食費・居住費に係る負担限度額認定(再掲：第２号被保険者分)</t>
  </si>
  <si>
    <t>(7) 利用者負担減額・免除認定(再掲：第２号被保険者分)</t>
  </si>
  <si>
    <t>(8) 介護老人福祉施設旧措置入所者に係る減額・免除認定(再掲：第２号被保険者分)</t>
  </si>
  <si>
    <t>（様式１の４）</t>
  </si>
  <si>
    <t>(9) 利用者負担第４段階における食費・居住費の特例減額措置</t>
  </si>
  <si>
    <t>第１号被保険者</t>
  </si>
  <si>
    <t>第２号被保険者</t>
  </si>
  <si>
    <t>食費のみ減額
　  認定件数</t>
  </si>
  <si>
    <t>　  認定件数(当該月末現在)</t>
  </si>
  <si>
    <t>居住費のみ減額
　  認定件数</t>
  </si>
  <si>
    <t>食費及び居住費の減額
　  認定件数</t>
  </si>
  <si>
    <t>（様式１の６）</t>
  </si>
  <si>
    <t>(11) 居宅(介護予防)サービス受給者数</t>
  </si>
  <si>
    <t>要支援１</t>
  </si>
  <si>
    <t>要支援２</t>
  </si>
  <si>
    <t>経過的要介護</t>
  </si>
  <si>
    <t>要介護１</t>
  </si>
  <si>
    <t>要介護２</t>
  </si>
  <si>
    <t>要介護３</t>
  </si>
  <si>
    <t>要介護４</t>
  </si>
  <si>
    <t>要介護５</t>
  </si>
  <si>
    <t>総　　数</t>
  </si>
  <si>
    <t>(12) 地域密着型(介護予防)サービス受給者数</t>
  </si>
  <si>
    <t>(13) 施設介護サービス受給者数</t>
  </si>
  <si>
    <t xml:space="preserve">介護療養型医療施設
</t>
  </si>
  <si>
    <t>（様式２）</t>
  </si>
  <si>
    <t>２．保険給付決定状況</t>
  </si>
  <si>
    <t>(1) 介護給付・予防給付</t>
  </si>
  <si>
    <t>①－１ 総  数</t>
  </si>
  <si>
    <t>ア 件数</t>
  </si>
  <si>
    <t>種類</t>
  </si>
  <si>
    <t>居宅（介護予防）サービス</t>
  </si>
  <si>
    <t>訪問サービス</t>
  </si>
  <si>
    <t>訪問介護</t>
  </si>
  <si>
    <t>訪問入浴介護</t>
  </si>
  <si>
    <t>訪問看護</t>
  </si>
  <si>
    <t>訪問リハビリテーション</t>
  </si>
  <si>
    <t>居宅療養管理指導</t>
  </si>
  <si>
    <t>通所サービス</t>
  </si>
  <si>
    <t>通所介護</t>
  </si>
  <si>
    <t>通所リハビリテーション</t>
  </si>
  <si>
    <t>短期入所サービス</t>
  </si>
  <si>
    <t>短期入所生活介護</t>
  </si>
  <si>
    <t>短期入所療養介護（介護老人保健施設）</t>
  </si>
  <si>
    <t>短期入所療養介護（病院等）</t>
  </si>
  <si>
    <t>短期入所療養介護（介護医療院）</t>
  </si>
  <si>
    <t>福祉用具・住宅改修サービス</t>
  </si>
  <si>
    <t>福祉用具貸与</t>
  </si>
  <si>
    <t>特定福祉用具販売</t>
  </si>
  <si>
    <t>住宅改修</t>
  </si>
  <si>
    <t>特定施設入居者生活介護（短期利用以外）</t>
  </si>
  <si>
    <t>特定施設入居者生活介護（短期利用）</t>
  </si>
  <si>
    <t>介護予防支援・居宅介護支援</t>
  </si>
  <si>
    <t>地域密着型（介護予防）サービス</t>
  </si>
  <si>
    <t>定期巡回・随時対応型訪問介護看護</t>
  </si>
  <si>
    <t>夜間対応型訪問介護</t>
  </si>
  <si>
    <t>地域密着型通所介護</t>
  </si>
  <si>
    <t>認知症対応型通所介護</t>
  </si>
  <si>
    <t>小規模多機能型居宅介護（短期利用以外）</t>
  </si>
  <si>
    <t>小規模多機能型居宅介護（短期利用）</t>
  </si>
  <si>
    <t>認知症対応型共同生活介護（短期利用以外）</t>
  </si>
  <si>
    <t>認知症対応型共同生活介護（短期利用）</t>
  </si>
  <si>
    <t>地域密着型特定施設入居者生活介護（短期利用以外）</t>
  </si>
  <si>
    <t>地域密着型特定施設入居者生活介護（短期利用）</t>
  </si>
  <si>
    <t>地域密着型介護老人福祉施設入所者生活介護</t>
  </si>
  <si>
    <t>複合型サービス(看護小規模多機能型居宅介護)（短期利用以外）</t>
  </si>
  <si>
    <t>複合型サービス(看護小規模多機能型居宅介護)（短期利用）</t>
  </si>
  <si>
    <t>施設サービス</t>
  </si>
  <si>
    <t xml:space="preserve">介護医療院 </t>
  </si>
  <si>
    <t>総計</t>
  </si>
  <si>
    <t>イ 単位数</t>
  </si>
  <si>
    <t>ウ 費用額</t>
  </si>
  <si>
    <t>エ 給付費</t>
  </si>
  <si>
    <t>①-２ 総　数（再掲：第１号被保険者の２割負担対象者分）</t>
  </si>
  <si>
    <t>①-３ 総　数（再掲：第１号被保険者の３割負担対象者分）</t>
  </si>
  <si>
    <t xml:space="preserve">特定福祉用具販売
</t>
  </si>
  <si>
    <t>（様式２の２）</t>
  </si>
  <si>
    <t>② 第２号被保険者分（再掲）</t>
  </si>
  <si>
    <t>（様式２の３）</t>
  </si>
  <si>
    <t>③ 総  数（再掲：介護給付、介護予防給付の特例分）</t>
  </si>
  <si>
    <t>（様式２の４）</t>
  </si>
  <si>
    <t>④ 第２号被保険者分（再掲：介護給付、介護予防給付の特例分）</t>
  </si>
  <si>
    <t>（様式２の５）</t>
  </si>
  <si>
    <t>(2) 特定入所者介護（介護予防）サービス費（別掲）</t>
  </si>
  <si>
    <t>① 総数</t>
  </si>
  <si>
    <t>ア　件数</t>
  </si>
  <si>
    <t>居住費（滞在費）</t>
  </si>
  <si>
    <t>イ　給付費</t>
  </si>
  <si>
    <t>（様式２の６)</t>
  </si>
  <si>
    <t>② 第２号被保険者数（再掲）</t>
  </si>
  <si>
    <t>（様式２の７)</t>
  </si>
  <si>
    <t>２．保険給付決定状況（続き）</t>
  </si>
  <si>
    <t>(3)-1 高額介護(介護予防)サービス費 (各月)</t>
  </si>
  <si>
    <t>ア 利用者負担第四段階</t>
  </si>
  <si>
    <t>世帯合算</t>
  </si>
  <si>
    <t>件　　　数</t>
  </si>
  <si>
    <t>給　付　費</t>
  </si>
  <si>
    <t>（ア）利用者負担第四段階（現役並み所得者Ⅲ）</t>
  </si>
  <si>
    <t>（イ）利用者負担第四段階（現役並み所得者Ⅱ）</t>
  </si>
  <si>
    <t>（ウ）利用者負担第四段階（現役並み所得者Ⅰ、一般）</t>
  </si>
  <si>
    <t xml:space="preserve">イ 利用者負担第三段階 </t>
  </si>
  <si>
    <t>ウ 利用者負担第二段階</t>
  </si>
  <si>
    <t>エ 利用者負担第一段階</t>
  </si>
  <si>
    <t>オ 合計</t>
  </si>
  <si>
    <t>(3)-2 高額介護(介護予防)サービス費 (年間上限)</t>
  </si>
  <si>
    <t>(4) 高額医療合算介護(介護予防)サービス費</t>
  </si>
  <si>
    <t>ア 現役並み所得者（上位所得者）（総数）</t>
  </si>
  <si>
    <t>（ア）現役並み所得者（上位所得者）（再掲：現役並み所得者Ⅲ）</t>
  </si>
  <si>
    <t>（イ）現役並み所得者（上位所得者）（再掲：現役並み所得者Ⅱ）</t>
  </si>
  <si>
    <t>（ウ）現役並み所得者（上位所得者）（再掲：現役並み所得者Ⅰ）</t>
  </si>
  <si>
    <t>イ 一般</t>
  </si>
  <si>
    <t>ウ 低所得者Ⅱ</t>
  </si>
  <si>
    <t>エ 低所得者Ⅰ</t>
  </si>
  <si>
    <t>04324</t>
    <phoneticPr fontId="14"/>
  </si>
  <si>
    <t>川崎町</t>
    <rPh sb="0" eb="3">
      <t>カワサキマチ</t>
    </rPh>
    <phoneticPr fontId="14"/>
  </si>
  <si>
    <t>０４３２４</t>
    <phoneticPr fontId="14"/>
  </si>
  <si>
    <t>(令和7年８月分)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</si>
</sst>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5">
    <font>
      <sz val="11"/>
      <color rgb="FF000000"/>
      <name val="ＭＳ Ｐゴシック"/>
    </font>
    <font>
      <sz val="11"/>
      <color indexed="0"/>
      <name val="Calibri"/>
      <family val="2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4"/>
      <name val="ＭＳ ゴシック"/>
      <family val="3"/>
      <charset val="128"/>
    </font>
    <font>
      <sz val="12"/>
      <name val="ＭＳ ゴシック"/>
      <family val="3"/>
      <charset val="128"/>
    </font>
    <font>
      <b/>
      <sz val="8"/>
      <name val="ＭＳ ゴシック"/>
      <family val="3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12"/>
      <name val="MS Gothic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6FFFF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C0C0C0"/>
      </patternFill>
    </fill>
  </fills>
  <borders count="1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hair">
        <color rgb="FF000000"/>
      </top>
      <bottom/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/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 diagonalUp="1">
      <left style="double">
        <color theme="1"/>
      </left>
      <right style="thin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medium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hair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hair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medium">
        <color theme="1"/>
      </bottom>
      <diagonal style="thin">
        <color theme="1"/>
      </diagonal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/>
      <diagonal/>
    </border>
    <border diagonalUp="1">
      <left style="double">
        <color theme="1"/>
      </left>
      <right style="thin">
        <color theme="1"/>
      </right>
      <top style="hair">
        <color theme="1"/>
      </top>
      <bottom/>
      <diagonal style="thin">
        <color theme="1"/>
      </diagonal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 diagonalUp="1">
      <left style="double">
        <color theme="1"/>
      </left>
      <right style="thin">
        <color theme="1"/>
      </right>
      <top style="thin">
        <color rgb="FF000000"/>
      </top>
      <bottom style="hair">
        <color theme="1"/>
      </bottom>
      <diagonal style="thin">
        <color theme="1"/>
      </diagonal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 diagonalUp="1">
      <left style="thin">
        <color theme="1"/>
      </left>
      <right style="thin">
        <color theme="1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medium">
        <color rgb="FF000000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thin">
        <color theme="1"/>
      </bottom>
      <diagonal style="thin">
        <color theme="1"/>
      </diagonal>
    </border>
    <border>
      <left style="medium">
        <color rgb="FF000000"/>
      </left>
      <right/>
      <top style="thin">
        <color theme="1"/>
      </top>
      <bottom/>
      <diagonal/>
    </border>
  </borders>
  <cellStyleXfs count="2">
    <xf numFmtId="0" fontId="0" fillId="0" borderId="0"/>
    <xf numFmtId="0" fontId="2" fillId="0" borderId="0"/>
  </cellStyleXfs>
  <cellXfs count="327">
    <xf numFmtId="0" fontId="0" fillId="0" borderId="0" xfId="0" applyFont="1"/>
    <xf numFmtId="0" fontId="2" fillId="0" borderId="0" xfId="1" applyFont="1"/>
    <xf numFmtId="0" fontId="4" fillId="0" borderId="0" xfId="0" applyNumberFormat="1" applyFont="1" applyAlignment="1">
      <alignment vertical="center"/>
    </xf>
    <xf numFmtId="176" fontId="3" fillId="2" borderId="44" xfId="0" applyNumberFormat="1" applyFont="1" applyFill="1" applyBorder="1" applyAlignment="1">
      <alignment vertical="center"/>
    </xf>
    <xf numFmtId="0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47" xfId="0" applyFont="1" applyBorder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68" xfId="0" applyFont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49" fontId="9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/>
    <xf numFmtId="0" fontId="3" fillId="2" borderId="0" xfId="0" applyFont="1" applyFill="1"/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41" xfId="0" applyNumberFormat="1" applyFont="1" applyBorder="1" applyAlignment="1">
      <alignment vertical="center"/>
    </xf>
    <xf numFmtId="0" fontId="3" fillId="0" borderId="90" xfId="0" applyNumberFormat="1" applyFont="1" applyBorder="1" applyAlignment="1">
      <alignment vertical="center"/>
    </xf>
    <xf numFmtId="0" fontId="3" fillId="0" borderId="99" xfId="0" applyNumberFormat="1" applyFont="1" applyBorder="1" applyAlignment="1">
      <alignment vertical="center"/>
    </xf>
    <xf numFmtId="0" fontId="3" fillId="0" borderId="104" xfId="0" applyNumberFormat="1" applyFont="1" applyBorder="1" applyAlignment="1">
      <alignment vertical="center"/>
    </xf>
    <xf numFmtId="0" fontId="3" fillId="0" borderId="106" xfId="0" applyNumberFormat="1" applyFont="1" applyBorder="1" applyAlignment="1">
      <alignment vertical="center"/>
    </xf>
    <xf numFmtId="0" fontId="8" fillId="0" borderId="0" xfId="0" applyNumberFormat="1" applyFont="1" applyAlignment="1">
      <alignment vertical="center"/>
    </xf>
    <xf numFmtId="0" fontId="4" fillId="0" borderId="0" xfId="0" applyNumberFormat="1" applyFont="1" applyAlignment="1" applyProtection="1">
      <alignment vertical="center"/>
      <protection locked="0"/>
    </xf>
    <xf numFmtId="0" fontId="12" fillId="0" borderId="39" xfId="0" applyFont="1" applyBorder="1" applyAlignment="1">
      <alignment horizontal="right" vertical="center" shrinkToFit="1"/>
    </xf>
    <xf numFmtId="49" fontId="12" fillId="0" borderId="39" xfId="0" applyNumberFormat="1" applyFont="1" applyBorder="1" applyAlignment="1">
      <alignment horizontal="left" vertical="center" shrinkToFit="1"/>
    </xf>
    <xf numFmtId="0" fontId="12" fillId="0" borderId="40" xfId="0" applyFont="1" applyBorder="1" applyAlignment="1">
      <alignment horizontal="right" vertical="center"/>
    </xf>
    <xf numFmtId="0" fontId="12" fillId="0" borderId="40" xfId="0" applyFont="1" applyBorder="1" applyAlignment="1">
      <alignment horizontal="left" vertical="center"/>
    </xf>
    <xf numFmtId="0" fontId="4" fillId="0" borderId="41" xfId="0" applyNumberFormat="1" applyFont="1" applyBorder="1" applyAlignment="1">
      <alignment horizontal="center" vertical="center"/>
    </xf>
    <xf numFmtId="0" fontId="4" fillId="0" borderId="42" xfId="0" applyNumberFormat="1" applyFont="1" applyBorder="1" applyAlignment="1">
      <alignment horizontal="center" vertical="center"/>
    </xf>
    <xf numFmtId="0" fontId="4" fillId="0" borderId="36" xfId="0" applyNumberFormat="1" applyFont="1" applyBorder="1" applyAlignment="1">
      <alignment horizontal="center" vertical="center"/>
    </xf>
    <xf numFmtId="0" fontId="4" fillId="0" borderId="43" xfId="0" applyNumberFormat="1" applyFont="1" applyBorder="1" applyAlignment="1">
      <alignment horizontal="center" vertical="center"/>
    </xf>
    <xf numFmtId="3" fontId="8" fillId="5" borderId="35" xfId="0" applyNumberFormat="1" applyFont="1" applyFill="1" applyBorder="1" applyAlignment="1" applyProtection="1">
      <alignment vertical="center" shrinkToFit="1"/>
      <protection locked="0"/>
    </xf>
    <xf numFmtId="3" fontId="8" fillId="5" borderId="46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NumberFormat="1" applyFont="1" applyBorder="1" applyAlignment="1">
      <alignment horizontal="center" vertical="center"/>
    </xf>
    <xf numFmtId="3" fontId="8" fillId="4" borderId="6" xfId="0" applyNumberFormat="1" applyFont="1" applyFill="1" applyBorder="1" applyAlignment="1">
      <alignment vertical="center" shrinkToFit="1"/>
    </xf>
    <xf numFmtId="3" fontId="8" fillId="4" borderId="12" xfId="0" applyNumberFormat="1" applyFont="1" applyFill="1" applyBorder="1" applyAlignment="1">
      <alignment vertical="center" shrinkToFit="1"/>
    </xf>
    <xf numFmtId="0" fontId="4" fillId="0" borderId="42" xfId="0" applyNumberFormat="1" applyFont="1" applyBorder="1" applyAlignment="1">
      <alignment horizontal="center" vertical="center" wrapText="1"/>
    </xf>
    <xf numFmtId="3" fontId="8" fillId="4" borderId="46" xfId="0" applyNumberFormat="1" applyFont="1" applyFill="1" applyBorder="1" applyAlignment="1">
      <alignment vertical="center" shrinkToFit="1"/>
    </xf>
    <xf numFmtId="0" fontId="4" fillId="0" borderId="35" xfId="0" applyNumberFormat="1" applyFont="1" applyBorder="1" applyAlignment="1">
      <alignment horizontal="center" vertical="center"/>
    </xf>
    <xf numFmtId="0" fontId="4" fillId="0" borderId="35" xfId="0" applyNumberFormat="1" applyFont="1" applyBorder="1" applyAlignment="1">
      <alignment horizontal="center" vertical="center" wrapText="1"/>
    </xf>
    <xf numFmtId="0" fontId="4" fillId="0" borderId="46" xfId="0" applyNumberFormat="1" applyFont="1" applyBorder="1" applyAlignment="1">
      <alignment horizontal="center" vertical="center"/>
    </xf>
    <xf numFmtId="3" fontId="8" fillId="5" borderId="6" xfId="0" applyNumberFormat="1" applyFont="1" applyFill="1" applyBorder="1" applyAlignment="1" applyProtection="1">
      <alignment vertical="center" shrinkToFit="1"/>
      <protection locked="0"/>
    </xf>
    <xf numFmtId="49" fontId="8" fillId="0" borderId="0" xfId="0" applyNumberFormat="1" applyFont="1" applyAlignment="1">
      <alignment vertical="center"/>
    </xf>
    <xf numFmtId="0" fontId="2" fillId="0" borderId="0" xfId="0" applyFont="1" applyProtection="1">
      <protection locked="0"/>
    </xf>
    <xf numFmtId="49" fontId="12" fillId="0" borderId="39" xfId="0" applyNumberFormat="1" applyFont="1" applyBorder="1" applyAlignment="1">
      <alignment horizontal="left" vertical="center"/>
    </xf>
    <xf numFmtId="0" fontId="12" fillId="0" borderId="40" xfId="0" applyFont="1" applyBorder="1" applyAlignment="1">
      <alignment horizontal="right" vertical="center" wrapText="1"/>
    </xf>
    <xf numFmtId="0" fontId="4" fillId="0" borderId="72" xfId="0" applyNumberFormat="1" applyFont="1" applyBorder="1" applyAlignment="1">
      <alignment vertical="center"/>
    </xf>
    <xf numFmtId="0" fontId="4" fillId="0" borderId="99" xfId="0" applyNumberFormat="1" applyFont="1" applyBorder="1" applyAlignment="1">
      <alignment vertical="center"/>
    </xf>
    <xf numFmtId="176" fontId="4" fillId="0" borderId="100" xfId="0" applyNumberFormat="1" applyFont="1" applyBorder="1" applyAlignment="1">
      <alignment horizontal="center" vertical="center"/>
    </xf>
    <xf numFmtId="176" fontId="4" fillId="0" borderId="101" xfId="0" applyNumberFormat="1" applyFont="1" applyBorder="1" applyAlignment="1">
      <alignment horizontal="center" vertical="center"/>
    </xf>
    <xf numFmtId="176" fontId="4" fillId="0" borderId="101" xfId="0" applyNumberFormat="1" applyFont="1" applyBorder="1" applyAlignment="1">
      <alignment horizontal="center" vertical="center" wrapText="1"/>
    </xf>
    <xf numFmtId="176" fontId="4" fillId="0" borderId="102" xfId="0" applyNumberFormat="1" applyFont="1" applyBorder="1" applyAlignment="1">
      <alignment horizontal="center" vertical="center" wrapText="1"/>
    </xf>
    <xf numFmtId="0" fontId="4" fillId="0" borderId="103" xfId="0" applyNumberFormat="1" applyFont="1" applyBorder="1" applyAlignment="1">
      <alignment vertical="center" wrapText="1"/>
    </xf>
    <xf numFmtId="176" fontId="8" fillId="2" borderId="1" xfId="0" applyNumberFormat="1" applyFont="1" applyFill="1" applyBorder="1" applyAlignment="1" applyProtection="1">
      <alignment vertical="center" shrinkToFit="1"/>
      <protection locked="0"/>
    </xf>
    <xf numFmtId="176" fontId="8" fillId="2" borderId="2" xfId="0" applyNumberFormat="1" applyFont="1" applyFill="1" applyBorder="1" applyAlignment="1" applyProtection="1">
      <alignment vertical="center" shrinkToFit="1"/>
      <protection locked="0"/>
    </xf>
    <xf numFmtId="176" fontId="8" fillId="4" borderId="2" xfId="0" applyNumberFormat="1" applyFont="1" applyFill="1" applyBorder="1" applyAlignment="1">
      <alignment vertical="center" shrinkToFit="1"/>
    </xf>
    <xf numFmtId="176" fontId="8" fillId="4" borderId="9" xfId="0" applyNumberFormat="1" applyFont="1" applyFill="1" applyBorder="1" applyAlignment="1">
      <alignment vertical="center" shrinkToFit="1"/>
    </xf>
    <xf numFmtId="0" fontId="4" fillId="0" borderId="97" xfId="0" applyNumberFormat="1" applyFont="1" applyBorder="1" applyAlignment="1">
      <alignment vertical="center" wrapText="1"/>
    </xf>
    <xf numFmtId="176" fontId="8" fillId="2" borderId="3" xfId="0" applyNumberFormat="1" applyFont="1" applyFill="1" applyBorder="1" applyAlignment="1" applyProtection="1">
      <alignment vertical="center" shrinkToFit="1"/>
      <protection locked="0"/>
    </xf>
    <xf numFmtId="176" fontId="8" fillId="2" borderId="4" xfId="0" applyNumberFormat="1" applyFont="1" applyFill="1" applyBorder="1" applyAlignment="1" applyProtection="1">
      <alignment vertical="center" shrinkToFit="1"/>
      <protection locked="0"/>
    </xf>
    <xf numFmtId="176" fontId="8" fillId="4" borderId="4" xfId="0" applyNumberFormat="1" applyFont="1" applyFill="1" applyBorder="1" applyAlignment="1">
      <alignment vertical="center" shrinkToFit="1"/>
    </xf>
    <xf numFmtId="176" fontId="8" fillId="4" borderId="11" xfId="0" applyNumberFormat="1" applyFont="1" applyFill="1" applyBorder="1" applyAlignment="1">
      <alignment vertical="center" shrinkToFit="1"/>
    </xf>
    <xf numFmtId="0" fontId="0" fillId="0" borderId="0" xfId="0" applyFont="1"/>
    <xf numFmtId="0" fontId="4" fillId="0" borderId="0" xfId="0" applyNumberFormat="1" applyFont="1" applyAlignment="1">
      <alignment vertical="center"/>
    </xf>
    <xf numFmtId="0" fontId="2" fillId="0" borderId="0" xfId="0" applyFont="1"/>
    <xf numFmtId="176" fontId="8" fillId="2" borderId="5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NumberFormat="1" applyFont="1" applyBorder="1" applyAlignment="1">
      <alignment vertical="center" wrapText="1"/>
    </xf>
    <xf numFmtId="176" fontId="8" fillId="2" borderId="6" xfId="0" applyNumberFormat="1" applyFont="1" applyFill="1" applyBorder="1" applyAlignment="1" applyProtection="1">
      <alignment vertical="center" shrinkToFit="1"/>
      <protection locked="0"/>
    </xf>
    <xf numFmtId="176" fontId="8" fillId="2" borderId="7" xfId="0" applyNumberFormat="1" applyFont="1" applyFill="1" applyBorder="1" applyAlignment="1" applyProtection="1">
      <alignment vertical="center" shrinkToFit="1"/>
      <protection locked="0"/>
    </xf>
    <xf numFmtId="176" fontId="8" fillId="4" borderId="6" xfId="0" applyNumberFormat="1" applyFont="1" applyFill="1" applyBorder="1" applyAlignment="1">
      <alignment vertical="center" shrinkToFit="1"/>
    </xf>
    <xf numFmtId="176" fontId="8" fillId="4" borderId="12" xfId="0" applyNumberFormat="1" applyFont="1" applyFill="1" applyBorder="1" applyAlignment="1">
      <alignment vertical="center" shrinkToFit="1"/>
    </xf>
    <xf numFmtId="0" fontId="1" fillId="0" borderId="0" xfId="0" applyFont="1" applyAlignment="1">
      <alignment horizontal="left" vertical="top"/>
    </xf>
    <xf numFmtId="0" fontId="4" fillId="0" borderId="72" xfId="0" applyNumberFormat="1" applyFont="1" applyBorder="1" applyAlignment="1">
      <alignment vertical="center" wrapText="1"/>
    </xf>
    <xf numFmtId="176" fontId="8" fillId="2" borderId="8" xfId="0" applyNumberFormat="1" applyFont="1" applyFill="1" applyBorder="1" applyAlignment="1" applyProtection="1">
      <alignment vertical="center" shrinkToFit="1"/>
      <protection locked="0"/>
    </xf>
    <xf numFmtId="176" fontId="8" fillId="2" borderId="9" xfId="0" applyNumberFormat="1" applyFont="1" applyFill="1" applyBorder="1" applyAlignment="1" applyProtection="1">
      <alignment vertical="center" shrinkToFit="1"/>
      <protection locked="0"/>
    </xf>
    <xf numFmtId="176" fontId="8" fillId="2" borderId="10" xfId="0" applyNumberFormat="1" applyFont="1" applyFill="1" applyBorder="1" applyAlignment="1" applyProtection="1">
      <alignment vertical="center" shrinkToFit="1"/>
      <protection locked="0"/>
    </xf>
    <xf numFmtId="176" fontId="8" fillId="2" borderId="11" xfId="0" applyNumberFormat="1" applyFont="1" applyFill="1" applyBorder="1" applyAlignment="1" applyProtection="1">
      <alignment vertical="center" shrinkToFit="1"/>
      <protection locked="0"/>
    </xf>
    <xf numFmtId="176" fontId="8" fillId="2" borderId="12" xfId="0" applyNumberFormat="1" applyFont="1" applyFill="1" applyBorder="1" applyAlignment="1" applyProtection="1">
      <alignment vertical="center" shrinkToFit="1"/>
      <protection locked="0"/>
    </xf>
    <xf numFmtId="0" fontId="4" fillId="0" borderId="105" xfId="0" applyNumberFormat="1" applyFont="1" applyBorder="1" applyAlignment="1">
      <alignment vertical="center"/>
    </xf>
    <xf numFmtId="176" fontId="4" fillId="0" borderId="2" xfId="0" applyNumberFormat="1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0" fontId="4" fillId="0" borderId="107" xfId="0" applyNumberFormat="1" applyFont="1" applyBorder="1" applyAlignment="1">
      <alignment vertical="center" wrapText="1"/>
    </xf>
    <xf numFmtId="176" fontId="8" fillId="2" borderId="13" xfId="0" applyNumberFormat="1" applyFont="1" applyFill="1" applyBorder="1" applyAlignment="1" applyProtection="1">
      <alignment vertical="center" shrinkToFit="1"/>
      <protection locked="0"/>
    </xf>
    <xf numFmtId="0" fontId="4" fillId="0" borderId="98" xfId="0" applyNumberFormat="1" applyFont="1" applyBorder="1" applyAlignment="1">
      <alignment vertical="center" wrapText="1"/>
    </xf>
    <xf numFmtId="176" fontId="8" fillId="2" borderId="14" xfId="0" applyNumberFormat="1" applyFont="1" applyFill="1" applyBorder="1" applyAlignment="1" applyProtection="1">
      <alignment vertical="center" shrinkToFit="1"/>
      <protection locked="0"/>
    </xf>
    <xf numFmtId="0" fontId="4" fillId="0" borderId="105" xfId="0" applyNumberFormat="1" applyFont="1" applyBorder="1" applyAlignment="1">
      <alignment vertical="center" wrapText="1"/>
    </xf>
    <xf numFmtId="0" fontId="4" fillId="0" borderId="108" xfId="0" applyNumberFormat="1" applyFont="1" applyBorder="1" applyAlignment="1">
      <alignment vertical="center" wrapText="1"/>
    </xf>
    <xf numFmtId="0" fontId="4" fillId="0" borderId="70" xfId="0" applyNumberFormat="1" applyFont="1" applyBorder="1" applyAlignment="1">
      <alignment vertical="center" wrapText="1"/>
    </xf>
    <xf numFmtId="0" fontId="4" fillId="0" borderId="86" xfId="0" applyNumberFormat="1" applyFont="1" applyBorder="1" applyAlignment="1">
      <alignment vertical="center" wrapText="1"/>
    </xf>
    <xf numFmtId="176" fontId="8" fillId="2" borderId="15" xfId="0" applyNumberFormat="1" applyFont="1" applyFill="1" applyBorder="1" applyAlignment="1" applyProtection="1">
      <alignment vertical="center" shrinkToFit="1"/>
      <protection locked="0"/>
    </xf>
    <xf numFmtId="0" fontId="8" fillId="0" borderId="0" xfId="0" applyFont="1" applyAlignment="1">
      <alignment vertical="center"/>
    </xf>
    <xf numFmtId="176" fontId="8" fillId="4" borderId="1" xfId="0" applyNumberFormat="1" applyFont="1" applyFill="1" applyBorder="1" applyAlignment="1">
      <alignment vertical="center" shrinkToFit="1"/>
    </xf>
    <xf numFmtId="176" fontId="8" fillId="4" borderId="14" xfId="0" applyNumberFormat="1" applyFont="1" applyFill="1" applyBorder="1" applyAlignment="1">
      <alignment vertical="center" shrinkToFit="1"/>
    </xf>
    <xf numFmtId="0" fontId="4" fillId="0" borderId="0" xfId="0" applyNumberFormat="1" applyFont="1" applyAlignment="1">
      <alignment horizontal="left" vertical="center"/>
    </xf>
    <xf numFmtId="0" fontId="4" fillId="0" borderId="98" xfId="0" applyNumberFormat="1" applyFont="1" applyBorder="1" applyAlignment="1">
      <alignment vertical="center" wrapText="1"/>
    </xf>
    <xf numFmtId="0" fontId="4" fillId="0" borderId="0" xfId="0" applyNumberFormat="1" applyFont="1" applyAlignment="1" applyProtection="1">
      <alignment vertical="center"/>
      <protection locked="0"/>
    </xf>
    <xf numFmtId="176" fontId="8" fillId="4" borderId="10" xfId="0" applyNumberFormat="1" applyFont="1" applyFill="1" applyBorder="1" applyAlignment="1">
      <alignment vertical="center" shrinkToFit="1"/>
    </xf>
    <xf numFmtId="0" fontId="8" fillId="5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4" fillId="2" borderId="92" xfId="0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3" fillId="2" borderId="47" xfId="0" applyFont="1" applyFill="1" applyBorder="1"/>
    <xf numFmtId="0" fontId="4" fillId="2" borderId="67" xfId="0" applyFont="1" applyFill="1" applyBorder="1" applyAlignment="1">
      <alignment horizontal="center" vertical="center"/>
    </xf>
    <xf numFmtId="176" fontId="8" fillId="2" borderId="14" xfId="0" applyNumberFormat="1" applyFont="1" applyFill="1" applyBorder="1" applyAlignment="1" applyProtection="1">
      <alignment horizontal="right" vertical="center" shrinkToFit="1"/>
      <protection locked="0"/>
    </xf>
    <xf numFmtId="176" fontId="8" fillId="4" borderId="14" xfId="0" applyNumberFormat="1" applyFont="1" applyFill="1" applyBorder="1" applyAlignment="1">
      <alignment horizontal="right" vertical="center" shrinkToFit="1"/>
    </xf>
    <xf numFmtId="0" fontId="8" fillId="2" borderId="118" xfId="0" applyFont="1" applyFill="1" applyBorder="1" applyAlignment="1">
      <alignment vertical="center" shrinkToFit="1"/>
    </xf>
    <xf numFmtId="176" fontId="8" fillId="4" borderId="87" xfId="0" applyNumberFormat="1" applyFont="1" applyFill="1" applyBorder="1" applyAlignment="1">
      <alignment horizontal="right" vertical="center" shrinkToFit="1"/>
    </xf>
    <xf numFmtId="176" fontId="8" fillId="4" borderId="85" xfId="0" applyNumberFormat="1" applyFont="1" applyFill="1" applyBorder="1" applyAlignment="1">
      <alignment horizontal="right" vertical="center" shrinkToFit="1"/>
    </xf>
    <xf numFmtId="0" fontId="4" fillId="2" borderId="88" xfId="0" applyFont="1" applyFill="1" applyBorder="1" applyAlignment="1">
      <alignment horizontal="center" vertical="center"/>
    </xf>
    <xf numFmtId="176" fontId="8" fillId="4" borderId="20" xfId="0" applyNumberFormat="1" applyFont="1" applyFill="1" applyBorder="1" applyAlignment="1">
      <alignment horizontal="right" vertical="center" shrinkToFit="1"/>
    </xf>
    <xf numFmtId="176" fontId="8" fillId="4" borderId="69" xfId="0" applyNumberFormat="1" applyFont="1" applyFill="1" applyBorder="1" applyAlignment="1">
      <alignment horizontal="right" vertical="center" shrinkToFit="1"/>
    </xf>
    <xf numFmtId="0" fontId="8" fillId="4" borderId="119" xfId="0" applyFont="1" applyFill="1" applyBorder="1" applyAlignment="1">
      <alignment vertical="center" shrinkToFit="1"/>
    </xf>
    <xf numFmtId="176" fontId="8" fillId="4" borderId="7" xfId="0" applyNumberFormat="1" applyFont="1" applyFill="1" applyBorder="1" applyAlignment="1">
      <alignment horizontal="right" vertical="center" shrinkToFit="1"/>
    </xf>
    <xf numFmtId="176" fontId="8" fillId="4" borderId="71" xfId="0" applyNumberFormat="1" applyFont="1" applyFill="1" applyBorder="1" applyAlignment="1">
      <alignment horizontal="right" vertical="center" shrinkToFit="1"/>
    </xf>
    <xf numFmtId="0" fontId="12" fillId="2" borderId="0" xfId="0" applyFont="1" applyFill="1" applyAlignment="1">
      <alignment vertical="center"/>
    </xf>
    <xf numFmtId="0" fontId="4" fillId="2" borderId="93" xfId="0" applyFont="1" applyFill="1" applyBorder="1" applyAlignment="1">
      <alignment horizontal="center" vertical="center"/>
    </xf>
    <xf numFmtId="0" fontId="8" fillId="2" borderId="120" xfId="0" applyFont="1" applyFill="1" applyBorder="1" applyAlignment="1">
      <alignment vertical="center" shrinkToFit="1"/>
    </xf>
    <xf numFmtId="0" fontId="8" fillId="2" borderId="121" xfId="0" applyFont="1" applyFill="1" applyBorder="1" applyAlignment="1">
      <alignment vertical="center" shrinkToFit="1"/>
    </xf>
    <xf numFmtId="0" fontId="8" fillId="4" borderId="122" xfId="0" applyFont="1" applyFill="1" applyBorder="1" applyAlignment="1">
      <alignment vertical="center" shrinkToFit="1"/>
    </xf>
    <xf numFmtId="176" fontId="8" fillId="4" borderId="89" xfId="0" applyNumberFormat="1" applyFont="1" applyFill="1" applyBorder="1" applyAlignment="1">
      <alignment horizontal="right" vertical="center" shrinkToFit="1"/>
    </xf>
    <xf numFmtId="0" fontId="4" fillId="2" borderId="124" xfId="0" applyFont="1" applyFill="1" applyBorder="1" applyAlignment="1">
      <alignment horizontal="center" vertical="center"/>
    </xf>
    <xf numFmtId="0" fontId="4" fillId="2" borderId="125" xfId="0" applyFont="1" applyFill="1" applyBorder="1" applyAlignment="1">
      <alignment horizontal="center" vertical="center"/>
    </xf>
    <xf numFmtId="0" fontId="4" fillId="2" borderId="126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vertical="center"/>
    </xf>
    <xf numFmtId="0" fontId="4" fillId="2" borderId="90" xfId="0" applyFont="1" applyFill="1" applyBorder="1" applyAlignment="1">
      <alignment horizontal="left" vertical="center"/>
    </xf>
    <xf numFmtId="176" fontId="8" fillId="4" borderId="42" xfId="0" applyNumberFormat="1" applyFont="1" applyFill="1" applyBorder="1" applyAlignment="1">
      <alignment horizontal="right" vertical="center" shrinkToFit="1"/>
    </xf>
    <xf numFmtId="176" fontId="8" fillId="4" borderId="91" xfId="0" applyNumberFormat="1" applyFont="1" applyFill="1" applyBorder="1" applyAlignment="1">
      <alignment horizontal="right" vertical="center" shrinkToFit="1"/>
    </xf>
    <xf numFmtId="176" fontId="8" fillId="4" borderId="92" xfId="0" applyNumberFormat="1" applyFont="1" applyFill="1" applyBorder="1" applyAlignment="1">
      <alignment horizontal="right" vertical="center" shrinkToFit="1"/>
    </xf>
    <xf numFmtId="176" fontId="8" fillId="4" borderId="93" xfId="0" applyNumberFormat="1" applyFont="1" applyFill="1" applyBorder="1" applyAlignment="1">
      <alignment horizontal="right" vertical="center" shrinkToFit="1"/>
    </xf>
    <xf numFmtId="176" fontId="8" fillId="4" borderId="94" xfId="0" applyNumberFormat="1" applyFont="1" applyFill="1" applyBorder="1" applyAlignment="1">
      <alignment horizontal="right" vertical="center" shrinkToFit="1"/>
    </xf>
    <xf numFmtId="0" fontId="4" fillId="2" borderId="67" xfId="0" applyFont="1" applyFill="1" applyBorder="1" applyAlignment="1">
      <alignment horizontal="left" vertical="center" indent="1"/>
    </xf>
    <xf numFmtId="176" fontId="8" fillId="2" borderId="5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7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8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9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6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20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21" xfId="0" applyNumberFormat="1" applyFont="1" applyFill="1" applyBorder="1" applyAlignment="1" applyProtection="1">
      <alignment horizontal="right" vertical="center" shrinkToFit="1"/>
      <protection locked="0"/>
    </xf>
    <xf numFmtId="176" fontId="8" fillId="4" borderId="95" xfId="0" applyNumberFormat="1" applyFont="1" applyFill="1" applyBorder="1" applyAlignment="1">
      <alignment horizontal="right" vertical="center" shrinkToFit="1"/>
    </xf>
    <xf numFmtId="0" fontId="4" fillId="2" borderId="88" xfId="0" applyFont="1" applyFill="1" applyBorder="1" applyAlignment="1">
      <alignment horizontal="left" vertical="center" indent="1"/>
    </xf>
    <xf numFmtId="0" fontId="4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42" xfId="0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/>
    </xf>
    <xf numFmtId="0" fontId="1" fillId="0" borderId="47" xfId="0" applyFont="1" applyBorder="1" applyAlignment="1">
      <alignment vertical="top"/>
    </xf>
    <xf numFmtId="0" fontId="4" fillId="0" borderId="72" xfId="0" applyFont="1" applyBorder="1" applyAlignment="1">
      <alignment vertical="center"/>
    </xf>
    <xf numFmtId="0" fontId="4" fillId="0" borderId="73" xfId="0" applyFont="1" applyBorder="1" applyAlignment="1">
      <alignment vertical="center"/>
    </xf>
    <xf numFmtId="176" fontId="8" fillId="4" borderId="74" xfId="0" applyNumberFormat="1" applyFont="1" applyFill="1" applyBorder="1" applyAlignment="1">
      <alignment vertical="center" shrinkToFit="1"/>
    </xf>
    <xf numFmtId="176" fontId="8" fillId="4" borderId="75" xfId="0" applyNumberFormat="1" applyFont="1" applyFill="1" applyBorder="1" applyAlignment="1">
      <alignment vertical="center" shrinkToFit="1"/>
    </xf>
    <xf numFmtId="176" fontId="8" fillId="4" borderId="52" xfId="0" applyNumberFormat="1" applyFont="1" applyFill="1" applyBorder="1" applyAlignment="1">
      <alignment vertical="center" shrinkToFit="1"/>
    </xf>
    <xf numFmtId="0" fontId="8" fillId="4" borderId="120" xfId="0" applyFont="1" applyFill="1" applyBorder="1" applyAlignment="1">
      <alignment vertical="center" shrinkToFit="1"/>
    </xf>
    <xf numFmtId="176" fontId="8" fillId="4" borderId="53" xfId="0" applyNumberFormat="1" applyFont="1" applyFill="1" applyBorder="1" applyAlignment="1">
      <alignment vertical="center" shrinkToFit="1"/>
    </xf>
    <xf numFmtId="0" fontId="4" fillId="0" borderId="47" xfId="0" applyFont="1" applyBorder="1" applyAlignment="1">
      <alignment vertical="center"/>
    </xf>
    <xf numFmtId="0" fontId="4" fillId="0" borderId="60" xfId="0" applyFont="1" applyBorder="1" applyAlignment="1">
      <alignment vertical="center"/>
    </xf>
    <xf numFmtId="0" fontId="4" fillId="0" borderId="0" xfId="0" applyFont="1" applyAlignment="1">
      <alignment vertical="center"/>
    </xf>
    <xf numFmtId="176" fontId="8" fillId="4" borderId="22" xfId="0" applyNumberFormat="1" applyFont="1" applyFill="1" applyBorder="1" applyAlignment="1">
      <alignment vertical="center" shrinkToFit="1"/>
    </xf>
    <xf numFmtId="176" fontId="8" fillId="4" borderId="23" xfId="0" applyNumberFormat="1" applyFont="1" applyFill="1" applyBorder="1" applyAlignment="1">
      <alignment vertical="center" shrinkToFit="1"/>
    </xf>
    <xf numFmtId="176" fontId="8" fillId="4" borderId="65" xfId="0" applyNumberFormat="1" applyFont="1" applyFill="1" applyBorder="1" applyAlignment="1">
      <alignment vertical="center" shrinkToFit="1"/>
    </xf>
    <xf numFmtId="0" fontId="8" fillId="4" borderId="121" xfId="0" applyFont="1" applyFill="1" applyBorder="1" applyAlignment="1">
      <alignment vertical="center" shrinkToFit="1"/>
    </xf>
    <xf numFmtId="176" fontId="8" fillId="4" borderId="66" xfId="0" applyNumberFormat="1" applyFont="1" applyFill="1" applyBorder="1" applyAlignment="1">
      <alignment vertical="center" shrinkToFit="1"/>
    </xf>
    <xf numFmtId="0" fontId="4" fillId="0" borderId="76" xfId="0" applyFont="1" applyBorder="1" applyAlignment="1">
      <alignment vertical="center"/>
    </xf>
    <xf numFmtId="0" fontId="4" fillId="0" borderId="54" xfId="0" applyFont="1" applyBorder="1" applyAlignment="1">
      <alignment vertical="center" shrinkToFit="1"/>
    </xf>
    <xf numFmtId="176" fontId="8" fillId="2" borderId="22" xfId="0" applyNumberFormat="1" applyFont="1" applyFill="1" applyBorder="1" applyAlignment="1" applyProtection="1">
      <alignment vertical="center" shrinkToFit="1"/>
      <protection locked="0"/>
    </xf>
    <xf numFmtId="176" fontId="8" fillId="2" borderId="23" xfId="0" applyNumberFormat="1" applyFont="1" applyFill="1" applyBorder="1" applyAlignment="1" applyProtection="1">
      <alignment vertical="center" shrinkToFit="1"/>
      <protection locked="0"/>
    </xf>
    <xf numFmtId="0" fontId="8" fillId="0" borderId="121" xfId="0" applyFont="1" applyBorder="1" applyAlignment="1">
      <alignment vertical="center" shrinkToFit="1"/>
    </xf>
    <xf numFmtId="0" fontId="4" fillId="0" borderId="32" xfId="0" applyFont="1" applyBorder="1" applyAlignment="1">
      <alignment vertical="center"/>
    </xf>
    <xf numFmtId="0" fontId="4" fillId="0" borderId="77" xfId="0" applyFont="1" applyBorder="1" applyAlignment="1">
      <alignment vertical="center" shrinkToFit="1"/>
    </xf>
    <xf numFmtId="0" fontId="4" fillId="0" borderId="77" xfId="0" applyFont="1" applyBorder="1" applyAlignment="1">
      <alignment vertical="center"/>
    </xf>
    <xf numFmtId="0" fontId="4" fillId="0" borderId="78" xfId="0" applyFont="1" applyBorder="1" applyAlignment="1">
      <alignment vertical="center" shrinkToFit="1"/>
    </xf>
    <xf numFmtId="176" fontId="8" fillId="2" borderId="22" xfId="0" applyNumberFormat="1" applyFont="1" applyFill="1" applyBorder="1" applyAlignment="1" applyProtection="1">
      <alignment vertical="center" shrinkToFit="1"/>
      <protection locked="0"/>
    </xf>
    <xf numFmtId="176" fontId="8" fillId="2" borderId="23" xfId="0" applyNumberFormat="1" applyFont="1" applyFill="1" applyBorder="1" applyAlignment="1" applyProtection="1">
      <alignment vertical="center" shrinkToFit="1"/>
      <protection locked="0"/>
    </xf>
    <xf numFmtId="0" fontId="4" fillId="0" borderId="79" xfId="0" applyFont="1" applyBorder="1" applyAlignment="1">
      <alignment vertical="center"/>
    </xf>
    <xf numFmtId="176" fontId="8" fillId="3" borderId="22" xfId="0" applyNumberFormat="1" applyFont="1" applyFill="1" applyBorder="1" applyAlignment="1" applyProtection="1">
      <alignment vertical="center" shrinkToFit="1"/>
      <protection locked="0"/>
    </xf>
    <xf numFmtId="176" fontId="8" fillId="3" borderId="23" xfId="0" applyNumberFormat="1" applyFont="1" applyFill="1" applyBorder="1" applyAlignment="1" applyProtection="1">
      <alignment vertical="center" shrinkToFit="1"/>
      <protection locked="0"/>
    </xf>
    <xf numFmtId="0" fontId="8" fillId="3" borderId="121" xfId="0" applyFont="1" applyFill="1" applyBorder="1" applyAlignment="1">
      <alignment vertical="center" shrinkToFit="1"/>
    </xf>
    <xf numFmtId="0" fontId="4" fillId="0" borderId="80" xfId="0" applyFont="1" applyBorder="1" applyAlignment="1">
      <alignment vertical="center"/>
    </xf>
    <xf numFmtId="176" fontId="8" fillId="3" borderId="22" xfId="0" applyNumberFormat="1" applyFont="1" applyFill="1" applyBorder="1" applyAlignment="1" applyProtection="1">
      <alignment vertical="center" shrinkToFit="1"/>
      <protection locked="0"/>
    </xf>
    <xf numFmtId="176" fontId="8" fillId="3" borderId="23" xfId="0" applyNumberFormat="1" applyFont="1" applyFill="1" applyBorder="1" applyAlignment="1" applyProtection="1">
      <alignment vertical="center" shrinkToFit="1"/>
      <protection locked="0"/>
    </xf>
    <xf numFmtId="0" fontId="4" fillId="0" borderId="0" xfId="0" applyFont="1" applyAlignment="1">
      <alignment vertical="center"/>
    </xf>
    <xf numFmtId="0" fontId="4" fillId="0" borderId="28" xfId="0" applyFont="1" applyBorder="1" applyAlignment="1">
      <alignment vertical="center"/>
    </xf>
    <xf numFmtId="0" fontId="8" fillId="0" borderId="127" xfId="0" applyFont="1" applyBorder="1" applyAlignment="1">
      <alignment vertical="center" shrinkToFit="1"/>
    </xf>
    <xf numFmtId="176" fontId="8" fillId="2" borderId="29" xfId="0" applyNumberFormat="1" applyFont="1" applyFill="1" applyBorder="1" applyAlignment="1" applyProtection="1">
      <alignment vertical="center" shrinkToFit="1"/>
      <protection locked="0"/>
    </xf>
    <xf numFmtId="176" fontId="8" fillId="2" borderId="30" xfId="0" applyNumberFormat="1" applyFont="1" applyFill="1" applyBorder="1" applyAlignment="1" applyProtection="1">
      <alignment vertical="center" shrinkToFit="1"/>
      <protection locked="0"/>
    </xf>
    <xf numFmtId="176" fontId="8" fillId="4" borderId="128" xfId="0" applyNumberFormat="1" applyFont="1" applyFill="1" applyBorder="1" applyAlignment="1">
      <alignment vertical="center" shrinkToFit="1"/>
    </xf>
    <xf numFmtId="176" fontId="8" fillId="4" borderId="29" xfId="0" applyNumberFormat="1" applyFont="1" applyFill="1" applyBorder="1" applyAlignment="1">
      <alignment vertical="center" shrinkToFit="1"/>
    </xf>
    <xf numFmtId="176" fontId="8" fillId="4" borderId="129" xfId="0" applyNumberFormat="1" applyFont="1" applyFill="1" applyBorder="1" applyAlignment="1">
      <alignment vertical="center" shrinkToFit="1"/>
    </xf>
    <xf numFmtId="0" fontId="4" fillId="0" borderId="50" xfId="0" applyFont="1" applyBorder="1" applyAlignment="1">
      <alignment vertical="center"/>
    </xf>
    <xf numFmtId="0" fontId="4" fillId="0" borderId="130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176" fontId="8" fillId="2" borderId="49" xfId="0" applyNumberFormat="1" applyFont="1" applyFill="1" applyBorder="1" applyAlignment="1" applyProtection="1">
      <alignment vertical="center" shrinkToFit="1"/>
      <protection locked="0"/>
    </xf>
    <xf numFmtId="176" fontId="8" fillId="2" borderId="35" xfId="0" applyNumberFormat="1" applyFont="1" applyFill="1" applyBorder="1" applyAlignment="1" applyProtection="1">
      <alignment vertical="center" shrinkToFit="1"/>
      <protection locked="0"/>
    </xf>
    <xf numFmtId="176" fontId="8" fillId="4" borderId="48" xfId="0" applyNumberFormat="1" applyFont="1" applyFill="1" applyBorder="1" applyAlignment="1">
      <alignment vertical="center" shrinkToFit="1"/>
    </xf>
    <xf numFmtId="0" fontId="8" fillId="0" borderId="131" xfId="0" applyFont="1" applyBorder="1" applyAlignment="1">
      <alignment vertical="center" shrinkToFit="1"/>
    </xf>
    <xf numFmtId="176" fontId="8" fillId="4" borderId="85" xfId="0" applyNumberFormat="1" applyFont="1" applyFill="1" applyBorder="1" applyAlignment="1">
      <alignment vertical="center" shrinkToFit="1"/>
    </xf>
    <xf numFmtId="0" fontId="4" fillId="0" borderId="81" xfId="0" applyFont="1" applyBorder="1" applyAlignment="1">
      <alignment vertical="center"/>
    </xf>
    <xf numFmtId="0" fontId="4" fillId="0" borderId="64" xfId="0" applyFont="1" applyBorder="1" applyAlignment="1">
      <alignment vertical="center"/>
    </xf>
    <xf numFmtId="0" fontId="8" fillId="4" borderId="120" xfId="0" applyFont="1" applyFill="1" applyBorder="1" applyAlignment="1">
      <alignment vertical="center" shrinkToFit="1"/>
    </xf>
    <xf numFmtId="0" fontId="4" fillId="0" borderId="82" xfId="0" applyFont="1" applyBorder="1" applyAlignment="1">
      <alignment vertical="center"/>
    </xf>
    <xf numFmtId="176" fontId="8" fillId="2" borderId="26" xfId="0" applyNumberFormat="1" applyFont="1" applyFill="1" applyBorder="1" applyAlignment="1" applyProtection="1">
      <alignment vertical="center" shrinkToFit="1"/>
      <protection locked="0"/>
    </xf>
    <xf numFmtId="176" fontId="8" fillId="2" borderId="27" xfId="0" applyNumberFormat="1" applyFont="1" applyFill="1" applyBorder="1" applyAlignment="1" applyProtection="1">
      <alignment vertical="center" shrinkToFit="1"/>
      <protection locked="0"/>
    </xf>
    <xf numFmtId="176" fontId="8" fillId="4" borderId="55" xfId="0" applyNumberFormat="1" applyFont="1" applyFill="1" applyBorder="1" applyAlignment="1">
      <alignment vertical="center" shrinkToFit="1"/>
    </xf>
    <xf numFmtId="0" fontId="8" fillId="0" borderId="121" xfId="0" applyFont="1" applyBorder="1" applyAlignment="1">
      <alignment vertical="center" shrinkToFit="1"/>
    </xf>
    <xf numFmtId="176" fontId="8" fillId="4" borderId="26" xfId="0" applyNumberFormat="1" applyFont="1" applyFill="1" applyBorder="1" applyAlignment="1">
      <alignment vertical="center" shrinkToFit="1"/>
    </xf>
    <xf numFmtId="176" fontId="8" fillId="4" borderId="56" xfId="0" applyNumberFormat="1" applyFont="1" applyFill="1" applyBorder="1" applyAlignment="1">
      <alignment vertical="center" shrinkToFit="1"/>
    </xf>
    <xf numFmtId="0" fontId="4" fillId="0" borderId="54" xfId="0" applyFont="1" applyBorder="1" applyAlignment="1">
      <alignment vertical="center"/>
    </xf>
    <xf numFmtId="0" fontId="4" fillId="0" borderId="132" xfId="0" applyFont="1" applyBorder="1" applyAlignment="1">
      <alignment vertical="center"/>
    </xf>
    <xf numFmtId="0" fontId="4" fillId="0" borderId="67" xfId="0" applyFont="1" applyBorder="1" applyAlignment="1">
      <alignment vertical="center"/>
    </xf>
    <xf numFmtId="176" fontId="8" fillId="4" borderId="87" xfId="0" applyNumberFormat="1" applyFont="1" applyFill="1" applyBorder="1" applyAlignment="1">
      <alignment vertical="center" shrinkToFit="1"/>
    </xf>
    <xf numFmtId="0" fontId="4" fillId="0" borderId="78" xfId="0" applyFont="1" applyBorder="1" applyAlignment="1">
      <alignment vertical="center"/>
    </xf>
    <xf numFmtId="0" fontId="4" fillId="0" borderId="83" xfId="0" applyFont="1" applyBorder="1" applyAlignment="1">
      <alignment vertical="center"/>
    </xf>
    <xf numFmtId="0" fontId="4" fillId="0" borderId="84" xfId="0" applyFont="1" applyBorder="1" applyAlignment="1">
      <alignment vertical="center"/>
    </xf>
    <xf numFmtId="176" fontId="8" fillId="2" borderId="24" xfId="0" applyNumberFormat="1" applyFont="1" applyFill="1" applyBorder="1" applyAlignment="1" applyProtection="1">
      <alignment vertical="center" shrinkToFit="1"/>
      <protection locked="0"/>
    </xf>
    <xf numFmtId="176" fontId="8" fillId="2" borderId="25" xfId="0" applyNumberFormat="1" applyFont="1" applyFill="1" applyBorder="1" applyAlignment="1" applyProtection="1">
      <alignment vertical="center" shrinkToFit="1"/>
      <protection locked="0"/>
    </xf>
    <xf numFmtId="176" fontId="8" fillId="4" borderId="62" xfId="0" applyNumberFormat="1" applyFont="1" applyFill="1" applyBorder="1" applyAlignment="1">
      <alignment vertical="center" shrinkToFit="1"/>
    </xf>
    <xf numFmtId="176" fontId="8" fillId="4" borderId="24" xfId="0" applyNumberFormat="1" applyFont="1" applyFill="1" applyBorder="1" applyAlignment="1">
      <alignment vertical="center" shrinkToFit="1"/>
    </xf>
    <xf numFmtId="176" fontId="8" fillId="4" borderId="63" xfId="0" applyNumberFormat="1" applyFont="1" applyFill="1" applyBorder="1" applyAlignment="1">
      <alignment vertical="center" shrinkToFit="1"/>
    </xf>
    <xf numFmtId="176" fontId="8" fillId="4" borderId="7" xfId="0" applyNumberFormat="1" applyFont="1" applyFill="1" applyBorder="1" applyAlignment="1">
      <alignment vertical="center" shrinkToFit="1"/>
    </xf>
    <xf numFmtId="0" fontId="8" fillId="4" borderId="119" xfId="0" applyFont="1" applyFill="1" applyBorder="1" applyAlignment="1">
      <alignment vertical="center" shrinkToFit="1"/>
    </xf>
    <xf numFmtId="176" fontId="8" fillId="4" borderId="71" xfId="0" applyNumberFormat="1" applyFont="1" applyFill="1" applyBorder="1" applyAlignment="1">
      <alignment vertical="center" shrinkToFit="1"/>
    </xf>
    <xf numFmtId="0" fontId="0" fillId="0" borderId="0" xfId="0" applyFont="1" applyProtection="1">
      <protection locked="0"/>
    </xf>
    <xf numFmtId="176" fontId="8" fillId="0" borderId="22" xfId="0" applyNumberFormat="1" applyFont="1" applyBorder="1" applyAlignment="1" applyProtection="1">
      <alignment vertical="center" shrinkToFit="1"/>
      <protection locked="0"/>
    </xf>
    <xf numFmtId="176" fontId="8" fillId="0" borderId="23" xfId="0" applyNumberFormat="1" applyFont="1" applyBorder="1" applyAlignment="1" applyProtection="1">
      <alignment vertical="center" shrinkToFit="1"/>
      <protection locked="0"/>
    </xf>
    <xf numFmtId="176" fontId="8" fillId="4" borderId="73" xfId="0" applyNumberFormat="1" applyFont="1" applyFill="1" applyBorder="1" applyAlignment="1">
      <alignment vertical="center" shrinkToFit="1"/>
    </xf>
    <xf numFmtId="176" fontId="8" fillId="2" borderId="28" xfId="0" applyNumberFormat="1" applyFont="1" applyFill="1" applyBorder="1" applyAlignment="1" applyProtection="1">
      <alignment vertical="center" shrinkToFit="1"/>
      <protection locked="0"/>
    </xf>
    <xf numFmtId="176" fontId="8" fillId="2" borderId="0" xfId="0" applyNumberFormat="1" applyFont="1" applyFill="1" applyAlignment="1" applyProtection="1">
      <alignment vertical="center" shrinkToFit="1"/>
      <protection locked="0"/>
    </xf>
    <xf numFmtId="176" fontId="8" fillId="2" borderId="32" xfId="0" applyNumberFormat="1" applyFont="1" applyFill="1" applyBorder="1" applyAlignment="1" applyProtection="1">
      <alignment vertical="center" shrinkToFit="1"/>
      <protection locked="0"/>
    </xf>
    <xf numFmtId="176" fontId="8" fillId="2" borderId="39" xfId="0" applyNumberFormat="1" applyFont="1" applyFill="1" applyBorder="1" applyAlignment="1" applyProtection="1">
      <alignment vertical="center" shrinkToFit="1"/>
      <protection locked="0"/>
    </xf>
    <xf numFmtId="176" fontId="8" fillId="4" borderId="70" xfId="0" applyNumberFormat="1" applyFont="1" applyFill="1" applyBorder="1" applyAlignment="1">
      <alignment vertical="center" shrinkToFit="1"/>
    </xf>
    <xf numFmtId="176" fontId="8" fillId="4" borderId="69" xfId="0" applyNumberFormat="1" applyFont="1" applyFill="1" applyBorder="1" applyAlignment="1">
      <alignment vertical="center" shrinkToFit="1"/>
    </xf>
    <xf numFmtId="176" fontId="8" fillId="4" borderId="134" xfId="0" applyNumberFormat="1" applyFont="1" applyFill="1" applyBorder="1" applyAlignment="1">
      <alignment vertical="center" shrinkToFit="1"/>
    </xf>
    <xf numFmtId="0" fontId="4" fillId="0" borderId="135" xfId="0" applyFont="1" applyBorder="1" applyAlignment="1">
      <alignment vertical="center"/>
    </xf>
    <xf numFmtId="0" fontId="4" fillId="4" borderId="135" xfId="0" applyFont="1" applyFill="1" applyBorder="1" applyAlignment="1">
      <alignment vertical="center"/>
    </xf>
    <xf numFmtId="0" fontId="4" fillId="0" borderId="136" xfId="0" applyFont="1" applyBorder="1" applyAlignment="1">
      <alignment vertical="center"/>
    </xf>
    <xf numFmtId="0" fontId="4" fillId="4" borderId="137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4" fillId="0" borderId="92" xfId="0" applyFont="1" applyBorder="1" applyAlignment="1">
      <alignment horizontal="center" vertical="center"/>
    </xf>
    <xf numFmtId="0" fontId="4" fillId="0" borderId="40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176" fontId="8" fillId="4" borderId="27" xfId="0" applyNumberFormat="1" applyFont="1" applyFill="1" applyBorder="1" applyAlignment="1">
      <alignment vertical="center" shrinkToFit="1"/>
    </xf>
    <xf numFmtId="176" fontId="8" fillId="4" borderId="28" xfId="0" applyNumberFormat="1" applyFont="1" applyFill="1" applyBorder="1" applyAlignment="1">
      <alignment vertical="center" shrinkToFit="1"/>
    </xf>
    <xf numFmtId="0" fontId="4" fillId="0" borderId="29" xfId="0" applyFont="1" applyBorder="1" applyAlignment="1">
      <alignment vertical="center"/>
    </xf>
    <xf numFmtId="0" fontId="4" fillId="0" borderId="57" xfId="0" applyFont="1" applyBorder="1" applyAlignment="1">
      <alignment vertical="center"/>
    </xf>
    <xf numFmtId="176" fontId="8" fillId="2" borderId="33" xfId="0" applyNumberFormat="1" applyFont="1" applyFill="1" applyBorder="1" applyAlignment="1" applyProtection="1">
      <alignment vertical="center" shrinkToFit="1"/>
      <protection locked="0"/>
    </xf>
    <xf numFmtId="176" fontId="8" fillId="4" borderId="58" xfId="0" applyNumberFormat="1" applyFont="1" applyFill="1" applyBorder="1" applyAlignment="1">
      <alignment vertical="center" shrinkToFit="1"/>
    </xf>
    <xf numFmtId="176" fontId="8" fillId="2" borderId="34" xfId="0" applyNumberFormat="1" applyFont="1" applyFill="1" applyBorder="1" applyAlignment="1" applyProtection="1">
      <alignment vertical="center" shrinkToFit="1"/>
      <protection locked="0"/>
    </xf>
    <xf numFmtId="176" fontId="8" fillId="4" borderId="59" xfId="0" applyNumberFormat="1" applyFont="1" applyFill="1" applyBorder="1" applyAlignment="1">
      <alignment vertical="center" shrinkToFit="1"/>
    </xf>
    <xf numFmtId="0" fontId="4" fillId="0" borderId="60" xfId="0" applyFont="1" applyBorder="1" applyAlignment="1">
      <alignment vertical="center" shrinkToFit="1"/>
    </xf>
    <xf numFmtId="0" fontId="4" fillId="0" borderId="14" xfId="0" applyFont="1" applyBorder="1" applyAlignment="1">
      <alignment vertical="center"/>
    </xf>
    <xf numFmtId="0" fontId="4" fillId="0" borderId="61" xfId="0" applyFont="1" applyBorder="1" applyAlignment="1">
      <alignment vertical="center" shrinkToFit="1"/>
    </xf>
    <xf numFmtId="176" fontId="8" fillId="2" borderId="31" xfId="0" applyNumberFormat="1" applyFont="1" applyFill="1" applyBorder="1" applyAlignment="1" applyProtection="1">
      <alignment vertical="center" shrinkToFit="1"/>
      <protection locked="0"/>
    </xf>
    <xf numFmtId="0" fontId="4" fillId="0" borderId="33" xfId="0" applyFont="1" applyBorder="1" applyAlignment="1">
      <alignment vertical="center"/>
    </xf>
    <xf numFmtId="0" fontId="4" fillId="0" borderId="64" xfId="0" applyFont="1" applyBorder="1" applyAlignment="1">
      <alignment vertical="center" wrapText="1"/>
    </xf>
    <xf numFmtId="0" fontId="8" fillId="0" borderId="138" xfId="0" applyFont="1" applyBorder="1" applyAlignment="1">
      <alignment vertical="center" shrinkToFit="1"/>
    </xf>
    <xf numFmtId="0" fontId="4" fillId="0" borderId="139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39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4" fillId="0" borderId="36" xfId="0" applyFont="1" applyBorder="1" applyAlignment="1">
      <alignment horizontal="center" vertical="center"/>
    </xf>
    <xf numFmtId="176" fontId="8" fillId="4" borderId="35" xfId="0" applyNumberFormat="1" applyFont="1" applyFill="1" applyBorder="1" applyAlignment="1">
      <alignment vertical="center" shrinkToFit="1"/>
    </xf>
    <xf numFmtId="176" fontId="8" fillId="4" borderId="46" xfId="0" applyNumberFormat="1" applyFont="1" applyFill="1" applyBorder="1" applyAlignment="1">
      <alignment vertical="center" shrinkToFit="1"/>
    </xf>
    <xf numFmtId="176" fontId="3" fillId="0" borderId="0" xfId="0" applyNumberFormat="1" applyFont="1" applyAlignment="1">
      <alignment vertical="center"/>
    </xf>
    <xf numFmtId="176" fontId="8" fillId="4" borderId="6" xfId="0" applyNumberFormat="1" applyFont="1" applyFill="1" applyBorder="1" applyAlignment="1">
      <alignment vertical="center" shrinkToFit="1"/>
    </xf>
    <xf numFmtId="176" fontId="3" fillId="0" borderId="0" xfId="0" applyNumberFormat="1" applyFont="1" applyAlignment="1">
      <alignment vertical="center"/>
    </xf>
    <xf numFmtId="176" fontId="8" fillId="4" borderId="35" xfId="0" applyNumberFormat="1" applyFont="1" applyFill="1" applyBorder="1" applyAlignment="1">
      <alignment vertical="center" shrinkToFit="1"/>
    </xf>
    <xf numFmtId="0" fontId="4" fillId="0" borderId="0" xfId="0" applyFont="1" applyAlignment="1">
      <alignment vertical="center"/>
    </xf>
    <xf numFmtId="176" fontId="8" fillId="4" borderId="36" xfId="0" applyNumberFormat="1" applyFont="1" applyFill="1" applyBorder="1" applyAlignment="1">
      <alignment vertical="center" shrinkToFit="1"/>
    </xf>
    <xf numFmtId="0" fontId="4" fillId="0" borderId="41" xfId="0" applyFont="1" applyBorder="1" applyAlignment="1">
      <alignment horizontal="center" vertical="center"/>
    </xf>
    <xf numFmtId="176" fontId="8" fillId="2" borderId="36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Font="1" applyBorder="1" applyAlignment="1">
      <alignment horizontal="center" vertical="center"/>
    </xf>
    <xf numFmtId="0" fontId="4" fillId="0" borderId="86" xfId="0" applyNumberFormat="1" applyFont="1" applyBorder="1" applyAlignment="1">
      <alignment horizontal="center" vertical="center"/>
    </xf>
    <xf numFmtId="0" fontId="4" fillId="0" borderId="109" xfId="0" applyNumberFormat="1" applyFont="1" applyBorder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4" fillId="0" borderId="110" xfId="0" applyNumberFormat="1" applyFont="1" applyBorder="1" applyAlignment="1">
      <alignment horizontal="center" vertical="center"/>
    </xf>
    <xf numFmtId="0" fontId="4" fillId="0" borderId="98" xfId="0" applyNumberFormat="1" applyFont="1" applyBorder="1" applyAlignment="1">
      <alignment horizontal="center" vertical="center"/>
    </xf>
    <xf numFmtId="176" fontId="8" fillId="2" borderId="4" xfId="0" applyNumberFormat="1" applyFont="1" applyFill="1" applyBorder="1" applyAlignment="1" applyProtection="1">
      <alignment horizontal="right" vertical="center" shrinkToFit="1"/>
      <protection locked="0"/>
    </xf>
    <xf numFmtId="176" fontId="8" fillId="0" borderId="112" xfId="0" applyNumberFormat="1" applyFont="1" applyBorder="1" applyAlignment="1" applyProtection="1">
      <alignment horizontal="right" vertical="center" shrinkToFit="1"/>
      <protection locked="0"/>
    </xf>
    <xf numFmtId="176" fontId="8" fillId="0" borderId="111" xfId="0" applyNumberFormat="1" applyFont="1" applyBorder="1" applyAlignment="1" applyProtection="1">
      <alignment horizontal="right" vertical="center" shrinkToFit="1"/>
      <protection locked="0"/>
    </xf>
    <xf numFmtId="176" fontId="8" fillId="4" borderId="4" xfId="0" applyNumberFormat="1" applyFont="1" applyFill="1" applyBorder="1" applyAlignment="1">
      <alignment horizontal="right" vertical="center" shrinkToFit="1"/>
    </xf>
    <xf numFmtId="176" fontId="8" fillId="4" borderId="112" xfId="0" applyNumberFormat="1" applyFont="1" applyFill="1" applyBorder="1" applyAlignment="1">
      <alignment horizontal="right" vertical="center" shrinkToFit="1"/>
    </xf>
    <xf numFmtId="0" fontId="4" fillId="0" borderId="42" xfId="0" applyNumberFormat="1" applyFont="1" applyBorder="1" applyAlignment="1">
      <alignment horizontal="center" vertical="center"/>
    </xf>
    <xf numFmtId="0" fontId="4" fillId="0" borderId="42" xfId="0" applyNumberFormat="1" applyFont="1" applyBorder="1" applyAlignment="1">
      <alignment horizontal="left" vertical="center"/>
    </xf>
    <xf numFmtId="0" fontId="4" fillId="0" borderId="92" xfId="0" applyNumberFormat="1" applyFont="1" applyBorder="1" applyAlignment="1">
      <alignment horizontal="center" vertical="center"/>
    </xf>
    <xf numFmtId="0" fontId="4" fillId="0" borderId="36" xfId="0" applyNumberFormat="1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4" fillId="0" borderId="42" xfId="0" applyNumberFormat="1" applyFont="1" applyBorder="1" applyAlignment="1">
      <alignment horizontal="center" vertical="center" wrapText="1"/>
    </xf>
    <xf numFmtId="0" fontId="4" fillId="0" borderId="92" xfId="0" applyNumberFormat="1" applyFont="1" applyBorder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3" fillId="2" borderId="123" xfId="0" applyFont="1" applyFill="1" applyBorder="1" applyAlignment="1">
      <alignment horizontal="center" vertical="center"/>
    </xf>
    <xf numFmtId="0" fontId="4" fillId="2" borderId="113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4" fillId="2" borderId="91" xfId="0" applyFont="1" applyFill="1" applyBorder="1" applyAlignment="1">
      <alignment horizontal="center" vertical="center"/>
    </xf>
    <xf numFmtId="0" fontId="4" fillId="0" borderId="54" xfId="0" applyFont="1" applyBorder="1" applyAlignment="1">
      <alignment horizontal="left" vertical="center" shrinkToFit="1"/>
    </xf>
    <xf numFmtId="0" fontId="4" fillId="0" borderId="116" xfId="0" applyFont="1" applyBorder="1" applyAlignment="1">
      <alignment horizontal="left" vertical="center" shrinkToFit="1"/>
    </xf>
    <xf numFmtId="0" fontId="6" fillId="0" borderId="116" xfId="0" applyFont="1" applyBorder="1" applyAlignment="1">
      <alignment horizontal="left" vertical="center" shrinkToFit="1"/>
    </xf>
    <xf numFmtId="0" fontId="4" fillId="0" borderId="114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33" xfId="0" applyFont="1" applyBorder="1" applyAlignment="1">
      <alignment horizontal="left" vertical="center" shrinkToFit="1"/>
    </xf>
    <xf numFmtId="0" fontId="6" fillId="0" borderId="115" xfId="0" applyFont="1" applyBorder="1" applyAlignment="1">
      <alignment horizontal="left" vertical="center" shrinkToFit="1"/>
    </xf>
    <xf numFmtId="0" fontId="4" fillId="0" borderId="91" xfId="0" applyFont="1" applyBorder="1" applyAlignment="1">
      <alignment horizontal="center" vertical="center"/>
    </xf>
    <xf numFmtId="0" fontId="4" fillId="0" borderId="90" xfId="0" applyFont="1" applyBorder="1" applyAlignment="1">
      <alignment horizontal="center" vertical="center"/>
    </xf>
    <xf numFmtId="0" fontId="4" fillId="0" borderId="10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0" fontId="4" fillId="0" borderId="115" xfId="0" applyFont="1" applyBorder="1" applyAlignment="1">
      <alignment horizontal="left" vertical="center" shrinkToFit="1"/>
    </xf>
    <xf numFmtId="0" fontId="4" fillId="0" borderId="5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J25"/>
  <sheetViews>
    <sheetView showGridLines="0" zoomScaleNormal="100" workbookViewId="0">
      <selection activeCell="A5" sqref="A5"/>
    </sheetView>
  </sheetViews>
  <sheetFormatPr defaultColWidth="10" defaultRowHeight="0" customHeight="1" zeroHeight="1"/>
  <cols>
    <col min="1" max="2" width="4.25" style="2" customWidth="1"/>
    <col min="3" max="3" width="26" style="2" customWidth="1"/>
    <col min="4" max="9" width="16" style="2" customWidth="1"/>
    <col min="10" max="10" width="4.5" style="1" customWidth="1"/>
  </cols>
  <sheetData>
    <row r="1" spans="1:10" ht="18" customHeight="1">
      <c r="A1" s="37" t="s">
        <v>0</v>
      </c>
      <c r="J1" s="38"/>
    </row>
    <row r="2" spans="1:10" ht="18" customHeight="1">
      <c r="J2" s="38"/>
    </row>
    <row r="3" spans="1:10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</row>
    <row r="4" spans="1:10" ht="18" customHeight="1">
      <c r="A4" s="292" t="s">
        <v>172</v>
      </c>
      <c r="B4" s="292"/>
      <c r="C4" s="292"/>
      <c r="D4" s="292"/>
      <c r="E4" s="292"/>
      <c r="F4" s="292"/>
      <c r="G4" s="292"/>
      <c r="H4" s="292"/>
      <c r="I4" s="292"/>
      <c r="J4" s="292"/>
    </row>
    <row r="5" spans="1:10" ht="18" customHeight="1">
      <c r="H5" s="39" t="s">
        <v>2</v>
      </c>
      <c r="I5" s="40" t="s">
        <v>169</v>
      </c>
    </row>
    <row r="6" spans="1:10" ht="18" customHeight="1">
      <c r="H6" s="41" t="s">
        <v>3</v>
      </c>
      <c r="I6" s="42" t="s">
        <v>170</v>
      </c>
      <c r="J6" s="1" t="s">
        <v>4</v>
      </c>
    </row>
    <row r="7" spans="1:10" ht="18" customHeight="1">
      <c r="B7" s="37" t="s">
        <v>5</v>
      </c>
    </row>
    <row r="8" spans="1:10" ht="12" customHeight="1"/>
    <row r="9" spans="1:10" ht="18" customHeight="1">
      <c r="B9" s="37" t="s">
        <v>6</v>
      </c>
    </row>
    <row r="10" spans="1:10" ht="12" customHeight="1"/>
    <row r="11" spans="1:10" ht="24.75" customHeight="1">
      <c r="C11" s="43" t="s">
        <v>7</v>
      </c>
      <c r="D11" s="44" t="s">
        <v>8</v>
      </c>
      <c r="E11" s="44" t="s">
        <v>9</v>
      </c>
      <c r="F11" s="44" t="s">
        <v>10</v>
      </c>
      <c r="G11" s="45" t="s">
        <v>11</v>
      </c>
    </row>
    <row r="12" spans="1:10" ht="24.75" customHeight="1">
      <c r="C12" s="46" t="s">
        <v>12</v>
      </c>
      <c r="D12" s="47">
        <v>1576</v>
      </c>
      <c r="E12" s="3"/>
      <c r="F12" s="3"/>
      <c r="G12" s="48">
        <v>1563</v>
      </c>
    </row>
    <row r="13" spans="1:10" ht="24.75" customHeight="1">
      <c r="C13" s="46" t="s">
        <v>13</v>
      </c>
      <c r="D13" s="47">
        <v>1071</v>
      </c>
      <c r="E13" s="3"/>
      <c r="F13" s="3"/>
      <c r="G13" s="48">
        <v>1085</v>
      </c>
    </row>
    <row r="14" spans="1:10" ht="24.75" customHeight="1">
      <c r="C14" s="46" t="s">
        <v>14</v>
      </c>
      <c r="D14" s="47">
        <v>607</v>
      </c>
      <c r="E14" s="3"/>
      <c r="F14" s="3"/>
      <c r="G14" s="48">
        <v>605</v>
      </c>
    </row>
    <row r="15" spans="1:10" ht="24.75" customHeight="1">
      <c r="C15" s="46" t="s">
        <v>15</v>
      </c>
      <c r="D15" s="47">
        <v>9</v>
      </c>
      <c r="E15" s="3"/>
      <c r="F15" s="3"/>
      <c r="G15" s="48">
        <v>10</v>
      </c>
    </row>
    <row r="16" spans="1:10" ht="24.75" customHeight="1">
      <c r="C16" s="46" t="s">
        <v>16</v>
      </c>
      <c r="D16" s="47">
        <v>24</v>
      </c>
      <c r="E16" s="3"/>
      <c r="F16" s="3"/>
      <c r="G16" s="48">
        <v>26</v>
      </c>
    </row>
    <row r="17" spans="2:9" ht="24.75" customHeight="1">
      <c r="C17" s="49" t="s">
        <v>17</v>
      </c>
      <c r="D17" s="50">
        <f>SUM(D12:D14)</f>
        <v>3254</v>
      </c>
      <c r="E17" s="50">
        <v>15</v>
      </c>
      <c r="F17" s="50">
        <v>16</v>
      </c>
      <c r="G17" s="51">
        <f>SUM(G12:G14)</f>
        <v>3253</v>
      </c>
      <c r="H17" s="4" t="str">
        <f>IF(D17+E17-F17=G17,"","合計欄に注意")</f>
        <v/>
      </c>
    </row>
    <row r="18" spans="2:9" ht="12" customHeight="1"/>
    <row r="19" spans="2:9" ht="18" customHeight="1">
      <c r="B19" s="37" t="s">
        <v>18</v>
      </c>
    </row>
    <row r="20" spans="2:9" ht="12" customHeight="1"/>
    <row r="21" spans="2:9" ht="24.75" customHeight="1">
      <c r="C21" s="293" t="s">
        <v>9</v>
      </c>
      <c r="D21" s="44" t="s">
        <v>19</v>
      </c>
      <c r="E21" s="44" t="s">
        <v>20</v>
      </c>
      <c r="F21" s="44" t="s">
        <v>21</v>
      </c>
      <c r="G21" s="52" t="s">
        <v>22</v>
      </c>
      <c r="H21" s="44" t="s">
        <v>23</v>
      </c>
      <c r="I21" s="45" t="s">
        <v>17</v>
      </c>
    </row>
    <row r="22" spans="2:9" ht="24.75" customHeight="1">
      <c r="C22" s="294"/>
      <c r="D22" s="47">
        <v>2</v>
      </c>
      <c r="E22" s="47">
        <v>0</v>
      </c>
      <c r="F22" s="47">
        <v>10</v>
      </c>
      <c r="G22" s="47">
        <v>0</v>
      </c>
      <c r="H22" s="47">
        <v>3</v>
      </c>
      <c r="I22" s="53">
        <f>SUM(D22:H22)</f>
        <v>15</v>
      </c>
    </row>
    <row r="23" spans="2:9" ht="24.75" customHeight="1">
      <c r="C23" s="290" t="s">
        <v>10</v>
      </c>
      <c r="D23" s="54" t="s">
        <v>24</v>
      </c>
      <c r="E23" s="54" t="s">
        <v>25</v>
      </c>
      <c r="F23" s="54" t="s">
        <v>26</v>
      </c>
      <c r="G23" s="55" t="s">
        <v>27</v>
      </c>
      <c r="H23" s="54" t="s">
        <v>23</v>
      </c>
      <c r="I23" s="56" t="s">
        <v>17</v>
      </c>
    </row>
    <row r="24" spans="2:9" ht="24.75" customHeight="1">
      <c r="C24" s="291"/>
      <c r="D24" s="57">
        <v>5</v>
      </c>
      <c r="E24" s="57">
        <v>1</v>
      </c>
      <c r="F24" s="57">
        <v>10</v>
      </c>
      <c r="G24" s="57">
        <v>0</v>
      </c>
      <c r="H24" s="57">
        <v>0</v>
      </c>
      <c r="I24" s="51">
        <f>SUM(D24:H24)</f>
        <v>16</v>
      </c>
    </row>
    <row r="25" spans="2:9" ht="12" customHeight="1"/>
  </sheetData>
  <sheetProtection selectLockedCells="1" selectUnlockedCells="1"/>
  <mergeCells count="4">
    <mergeCell ref="C23:C24"/>
    <mergeCell ref="A3:J3"/>
    <mergeCell ref="A4:J4"/>
    <mergeCell ref="C21:C22"/>
  </mergeCells>
  <phoneticPr fontId="14"/>
  <pageMargins left="0.7" right="0.7" top="0.75" bottom="0.75" header="0.3" footer="0.3"/>
  <pageSetup paperSize="9" scale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43"/>
  <sheetViews>
    <sheetView showGridLines="0" topLeftCell="H1" zoomScaleNormal="100" workbookViewId="0">
      <selection activeCell="N13" sqref="N13"/>
    </sheetView>
  </sheetViews>
  <sheetFormatPr defaultColWidth="10" defaultRowHeight="0" customHeight="1" zeroHeight="1"/>
  <cols>
    <col min="1" max="2" width="4.25" style="2" customWidth="1"/>
    <col min="3" max="3" width="26" style="2" customWidth="1"/>
    <col min="4" max="17" width="16" style="2" customWidth="1"/>
    <col min="18" max="18" width="4.5" style="1" customWidth="1"/>
  </cols>
  <sheetData>
    <row r="1" spans="1:18" ht="18" customHeight="1">
      <c r="A1" s="58" t="s">
        <v>28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  <c r="R1" s="59"/>
    </row>
    <row r="2" spans="1:18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"/>
      <c r="R2" s="59"/>
    </row>
    <row r="3" spans="1:18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</row>
    <row r="4" spans="1:18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  <c r="R4" s="304"/>
    </row>
    <row r="5" spans="1:18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"/>
      <c r="O5" s="1"/>
      <c r="P5" s="39" t="s">
        <v>2</v>
      </c>
      <c r="Q5" s="60" t="s">
        <v>171</v>
      </c>
    </row>
    <row r="6" spans="1:18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"/>
      <c r="O6" s="1"/>
      <c r="P6" s="61" t="s">
        <v>3</v>
      </c>
      <c r="Q6" s="42" t="s">
        <v>170</v>
      </c>
      <c r="R6" s="1" t="s">
        <v>4</v>
      </c>
    </row>
    <row r="7" spans="1:18" ht="18" customHeight="1">
      <c r="B7" s="37" t="s">
        <v>29</v>
      </c>
    </row>
    <row r="8" spans="1:18" ht="12" customHeight="1"/>
    <row r="9" spans="1:18" ht="18" customHeight="1">
      <c r="B9" s="37" t="s">
        <v>30</v>
      </c>
    </row>
    <row r="10" spans="1:18" ht="12" customHeight="1"/>
    <row r="11" spans="1:18" ht="24.75" customHeight="1">
      <c r="C11" s="33"/>
      <c r="D11" s="300" t="s">
        <v>31</v>
      </c>
      <c r="E11" s="301"/>
      <c r="F11" s="300" t="s">
        <v>32</v>
      </c>
      <c r="G11" s="301"/>
      <c r="H11" s="300" t="s">
        <v>33</v>
      </c>
      <c r="I11" s="301"/>
      <c r="J11" s="300" t="s">
        <v>34</v>
      </c>
      <c r="K11" s="301"/>
      <c r="L11" s="305" t="s">
        <v>35</v>
      </c>
      <c r="M11" s="306"/>
      <c r="N11" s="302" t="s">
        <v>23</v>
      </c>
      <c r="O11" s="306"/>
      <c r="P11" s="302" t="s">
        <v>36</v>
      </c>
      <c r="Q11" s="303"/>
    </row>
    <row r="12" spans="1:18" ht="24.75" customHeight="1">
      <c r="C12" s="62" t="s">
        <v>37</v>
      </c>
      <c r="D12" s="295">
        <v>2</v>
      </c>
      <c r="E12" s="297"/>
      <c r="F12" s="295">
        <v>4</v>
      </c>
      <c r="G12" s="297"/>
      <c r="H12" s="295">
        <v>0</v>
      </c>
      <c r="I12" s="297"/>
      <c r="J12" s="295">
        <v>0</v>
      </c>
      <c r="K12" s="297"/>
      <c r="L12" s="295">
        <v>1</v>
      </c>
      <c r="M12" s="297"/>
      <c r="N12" s="295">
        <v>6</v>
      </c>
      <c r="O12" s="297"/>
      <c r="P12" s="298">
        <f>SUM(D12:O12)</f>
        <v>13</v>
      </c>
      <c r="Q12" s="299"/>
    </row>
    <row r="13" spans="1:18" ht="24.75" customHeight="1">
      <c r="C13" s="63"/>
      <c r="D13" s="64" t="s">
        <v>38</v>
      </c>
      <c r="E13" s="64" t="s">
        <v>39</v>
      </c>
      <c r="F13" s="64" t="s">
        <v>38</v>
      </c>
      <c r="G13" s="64" t="s">
        <v>39</v>
      </c>
      <c r="H13" s="65" t="s">
        <v>38</v>
      </c>
      <c r="I13" s="65" t="s">
        <v>39</v>
      </c>
      <c r="J13" s="65" t="s">
        <v>38</v>
      </c>
      <c r="K13" s="65" t="s">
        <v>39</v>
      </c>
      <c r="L13" s="65" t="s">
        <v>38</v>
      </c>
      <c r="M13" s="65" t="s">
        <v>39</v>
      </c>
      <c r="N13" s="65" t="s">
        <v>38</v>
      </c>
      <c r="O13" s="66" t="s">
        <v>40</v>
      </c>
      <c r="P13" s="65" t="s">
        <v>38</v>
      </c>
      <c r="Q13" s="67" t="s">
        <v>40</v>
      </c>
    </row>
    <row r="14" spans="1:18" ht="24.75" customHeight="1">
      <c r="C14" s="68" t="s">
        <v>41</v>
      </c>
      <c r="D14" s="69">
        <v>4</v>
      </c>
      <c r="E14" s="69">
        <v>4</v>
      </c>
      <c r="F14" s="69">
        <v>3</v>
      </c>
      <c r="G14" s="69">
        <v>3</v>
      </c>
      <c r="H14" s="70">
        <v>0</v>
      </c>
      <c r="I14" s="70">
        <v>0</v>
      </c>
      <c r="J14" s="70">
        <v>0</v>
      </c>
      <c r="K14" s="70">
        <v>0</v>
      </c>
      <c r="L14" s="70">
        <v>2</v>
      </c>
      <c r="M14" s="70">
        <v>2</v>
      </c>
      <c r="N14" s="70">
        <v>2</v>
      </c>
      <c r="O14" s="70">
        <v>2</v>
      </c>
      <c r="P14" s="71">
        <f t="shared" ref="P14:Q21" si="0">SUM(D14,F14,H14,L14,N14,J14)</f>
        <v>11</v>
      </c>
      <c r="Q14" s="72">
        <f t="shared" si="0"/>
        <v>11</v>
      </c>
    </row>
    <row r="15" spans="1:18" ht="24.75" customHeight="1">
      <c r="C15" s="73" t="s">
        <v>42</v>
      </c>
      <c r="D15" s="74">
        <v>7</v>
      </c>
      <c r="E15" s="74">
        <v>7</v>
      </c>
      <c r="F15" s="74">
        <v>6</v>
      </c>
      <c r="G15" s="74">
        <v>6</v>
      </c>
      <c r="H15" s="75">
        <v>0</v>
      </c>
      <c r="I15" s="75">
        <v>0</v>
      </c>
      <c r="J15" s="75">
        <v>0</v>
      </c>
      <c r="K15" s="75">
        <v>0</v>
      </c>
      <c r="L15" s="75">
        <v>4</v>
      </c>
      <c r="M15" s="75">
        <v>4</v>
      </c>
      <c r="N15" s="75">
        <v>2</v>
      </c>
      <c r="O15" s="75">
        <v>2</v>
      </c>
      <c r="P15" s="76">
        <f t="shared" si="0"/>
        <v>19</v>
      </c>
      <c r="Q15" s="77">
        <f t="shared" si="0"/>
        <v>19</v>
      </c>
    </row>
    <row r="16" spans="1:18" s="78" customFormat="1" ht="24.75" customHeight="1">
      <c r="A16" s="79"/>
      <c r="B16" s="79"/>
      <c r="C16" s="68" t="s">
        <v>43</v>
      </c>
      <c r="D16" s="69">
        <v>8</v>
      </c>
      <c r="E16" s="69">
        <v>8</v>
      </c>
      <c r="F16" s="69">
        <v>5</v>
      </c>
      <c r="G16" s="69">
        <v>5</v>
      </c>
      <c r="H16" s="70">
        <v>0</v>
      </c>
      <c r="I16" s="70">
        <v>0</v>
      </c>
      <c r="J16" s="70">
        <v>0</v>
      </c>
      <c r="K16" s="70">
        <v>0</v>
      </c>
      <c r="L16" s="70">
        <v>4</v>
      </c>
      <c r="M16" s="70">
        <v>4</v>
      </c>
      <c r="N16" s="70">
        <v>5</v>
      </c>
      <c r="O16" s="70">
        <v>5</v>
      </c>
      <c r="P16" s="71">
        <f t="shared" si="0"/>
        <v>22</v>
      </c>
      <c r="Q16" s="72">
        <f t="shared" si="0"/>
        <v>22</v>
      </c>
      <c r="R16" s="80"/>
    </row>
    <row r="17" spans="1:18" s="78" customFormat="1" ht="24.75" customHeight="1">
      <c r="A17" s="79"/>
      <c r="B17" s="79"/>
      <c r="C17" s="73" t="s">
        <v>42</v>
      </c>
      <c r="D17" s="74">
        <v>15</v>
      </c>
      <c r="E17" s="74">
        <v>15</v>
      </c>
      <c r="F17" s="74">
        <v>7</v>
      </c>
      <c r="G17" s="74">
        <v>7</v>
      </c>
      <c r="H17" s="74">
        <v>0</v>
      </c>
      <c r="I17" s="74">
        <v>0</v>
      </c>
      <c r="J17" s="74">
        <v>0</v>
      </c>
      <c r="K17" s="74">
        <v>0</v>
      </c>
      <c r="L17" s="74">
        <v>10</v>
      </c>
      <c r="M17" s="74">
        <v>10</v>
      </c>
      <c r="N17" s="74">
        <v>8</v>
      </c>
      <c r="O17" s="74">
        <v>8</v>
      </c>
      <c r="P17" s="76">
        <f t="shared" si="0"/>
        <v>40</v>
      </c>
      <c r="Q17" s="77">
        <f t="shared" si="0"/>
        <v>40</v>
      </c>
      <c r="R17" s="80"/>
    </row>
    <row r="18" spans="1:18" ht="24.75" customHeight="1">
      <c r="C18" s="68" t="s">
        <v>44</v>
      </c>
      <c r="D18" s="69">
        <v>4</v>
      </c>
      <c r="E18" s="69">
        <v>4</v>
      </c>
      <c r="F18" s="69">
        <v>1</v>
      </c>
      <c r="G18" s="69">
        <v>1</v>
      </c>
      <c r="H18" s="70">
        <v>0</v>
      </c>
      <c r="I18" s="70">
        <v>0</v>
      </c>
      <c r="J18" s="70">
        <v>0</v>
      </c>
      <c r="K18" s="70">
        <v>0</v>
      </c>
      <c r="L18" s="70">
        <v>4</v>
      </c>
      <c r="M18" s="70">
        <v>4</v>
      </c>
      <c r="N18" s="70">
        <v>10</v>
      </c>
      <c r="O18" s="70">
        <v>10</v>
      </c>
      <c r="P18" s="71">
        <f t="shared" si="0"/>
        <v>19</v>
      </c>
      <c r="Q18" s="72">
        <f t="shared" si="0"/>
        <v>19</v>
      </c>
    </row>
    <row r="19" spans="1:18" ht="24.75" customHeight="1">
      <c r="C19" s="73" t="s">
        <v>42</v>
      </c>
      <c r="D19" s="74">
        <v>20</v>
      </c>
      <c r="E19" s="74">
        <v>20</v>
      </c>
      <c r="F19" s="74">
        <v>4</v>
      </c>
      <c r="G19" s="74">
        <v>4</v>
      </c>
      <c r="H19" s="75">
        <v>0</v>
      </c>
      <c r="I19" s="75">
        <v>0</v>
      </c>
      <c r="J19" s="75">
        <v>0</v>
      </c>
      <c r="K19" s="75">
        <v>0</v>
      </c>
      <c r="L19" s="75">
        <v>7</v>
      </c>
      <c r="M19" s="75">
        <v>7</v>
      </c>
      <c r="N19" s="75">
        <v>18</v>
      </c>
      <c r="O19" s="75">
        <v>18</v>
      </c>
      <c r="P19" s="76">
        <f t="shared" si="0"/>
        <v>49</v>
      </c>
      <c r="Q19" s="77">
        <f t="shared" si="0"/>
        <v>49</v>
      </c>
    </row>
    <row r="20" spans="1:18" ht="24.75" customHeight="1">
      <c r="C20" s="68" t="s">
        <v>45</v>
      </c>
      <c r="D20" s="81">
        <v>1</v>
      </c>
      <c r="E20" s="81">
        <v>1</v>
      </c>
      <c r="F20" s="81">
        <v>1</v>
      </c>
      <c r="G20" s="81">
        <v>1</v>
      </c>
      <c r="H20" s="81">
        <v>0</v>
      </c>
      <c r="I20" s="81">
        <v>0</v>
      </c>
      <c r="J20" s="81">
        <v>0</v>
      </c>
      <c r="K20" s="81">
        <v>0</v>
      </c>
      <c r="L20" s="81">
        <v>0</v>
      </c>
      <c r="M20" s="81">
        <v>0</v>
      </c>
      <c r="N20" s="81">
        <v>0</v>
      </c>
      <c r="O20" s="81">
        <v>0</v>
      </c>
      <c r="P20" s="71">
        <f t="shared" si="0"/>
        <v>2</v>
      </c>
      <c r="Q20" s="72">
        <f t="shared" si="0"/>
        <v>2</v>
      </c>
    </row>
    <row r="21" spans="1:18" ht="24.75" customHeight="1">
      <c r="C21" s="82" t="s">
        <v>42</v>
      </c>
      <c r="D21" s="83">
        <v>6</v>
      </c>
      <c r="E21" s="83">
        <v>6</v>
      </c>
      <c r="F21" s="83">
        <v>2</v>
      </c>
      <c r="G21" s="83">
        <v>2</v>
      </c>
      <c r="H21" s="84">
        <v>0</v>
      </c>
      <c r="I21" s="84">
        <v>0</v>
      </c>
      <c r="J21" s="84">
        <v>0</v>
      </c>
      <c r="K21" s="84">
        <v>0</v>
      </c>
      <c r="L21" s="84">
        <v>0</v>
      </c>
      <c r="M21" s="84">
        <v>0</v>
      </c>
      <c r="N21" s="84">
        <v>1</v>
      </c>
      <c r="O21" s="84">
        <v>1</v>
      </c>
      <c r="P21" s="85">
        <f t="shared" si="0"/>
        <v>9</v>
      </c>
      <c r="Q21" s="86">
        <f t="shared" si="0"/>
        <v>9</v>
      </c>
    </row>
    <row r="22" spans="1:18" ht="18" customHeight="1">
      <c r="Q22" s="87"/>
    </row>
    <row r="23" spans="1:18" ht="18" customHeight="1">
      <c r="B23" s="37" t="s">
        <v>46</v>
      </c>
    </row>
    <row r="24" spans="1:18" ht="12" customHeight="1"/>
    <row r="25" spans="1:18" ht="24.75" customHeight="1">
      <c r="C25" s="33"/>
      <c r="D25" s="45" t="s">
        <v>47</v>
      </c>
    </row>
    <row r="26" spans="1:18" ht="24.75" customHeight="1">
      <c r="C26" s="88" t="s">
        <v>37</v>
      </c>
      <c r="D26" s="89">
        <v>0</v>
      </c>
    </row>
    <row r="27" spans="1:18" ht="24.75" customHeight="1">
      <c r="C27" s="68" t="s">
        <v>48</v>
      </c>
      <c r="D27" s="90">
        <v>0</v>
      </c>
    </row>
    <row r="28" spans="1:18" ht="24.75" customHeight="1">
      <c r="C28" s="73" t="s">
        <v>42</v>
      </c>
      <c r="D28" s="91">
        <v>0</v>
      </c>
    </row>
    <row r="29" spans="1:18" ht="24.75" customHeight="1">
      <c r="C29" s="68" t="s">
        <v>49</v>
      </c>
      <c r="D29" s="92">
        <v>0</v>
      </c>
    </row>
    <row r="30" spans="1:18" ht="24.75" customHeight="1">
      <c r="C30" s="82" t="s">
        <v>42</v>
      </c>
      <c r="D30" s="93">
        <v>0</v>
      </c>
    </row>
    <row r="31" spans="1:18" ht="12" customHeight="1"/>
    <row r="32" spans="1:18" ht="18" customHeight="1">
      <c r="B32" s="37" t="s">
        <v>50</v>
      </c>
    </row>
    <row r="33" spans="3:7" ht="12" customHeight="1"/>
    <row r="34" spans="3:7" ht="24.75" customHeight="1">
      <c r="C34" s="33"/>
      <c r="D34" s="302" t="s">
        <v>51</v>
      </c>
      <c r="E34" s="303"/>
      <c r="F34" s="35"/>
      <c r="G34" s="45" t="s">
        <v>47</v>
      </c>
    </row>
    <row r="35" spans="3:7" ht="24.75" customHeight="1">
      <c r="C35" s="62" t="s">
        <v>37</v>
      </c>
      <c r="D35" s="295">
        <v>0</v>
      </c>
      <c r="E35" s="296"/>
      <c r="F35" s="94" t="s">
        <v>37</v>
      </c>
      <c r="G35" s="89">
        <v>0</v>
      </c>
    </row>
    <row r="36" spans="3:7" ht="24.75" customHeight="1">
      <c r="C36" s="36"/>
      <c r="D36" s="95" t="s">
        <v>38</v>
      </c>
      <c r="E36" s="96" t="s">
        <v>39</v>
      </c>
      <c r="F36" s="97" t="s">
        <v>48</v>
      </c>
      <c r="G36" s="98">
        <v>0</v>
      </c>
    </row>
    <row r="37" spans="3:7" ht="24.75" customHeight="1">
      <c r="C37" s="99" t="s">
        <v>52</v>
      </c>
      <c r="D37" s="100">
        <v>0</v>
      </c>
      <c r="E37" s="92">
        <v>0</v>
      </c>
      <c r="F37" s="101" t="s">
        <v>53</v>
      </c>
      <c r="G37" s="91">
        <v>0</v>
      </c>
    </row>
    <row r="38" spans="3:7" ht="24.75" customHeight="1">
      <c r="C38" s="73" t="s">
        <v>42</v>
      </c>
      <c r="D38" s="75">
        <v>0</v>
      </c>
      <c r="E38" s="91">
        <v>0</v>
      </c>
      <c r="F38" s="102" t="s">
        <v>49</v>
      </c>
      <c r="G38" s="92">
        <v>0</v>
      </c>
    </row>
    <row r="39" spans="3:7" ht="24.75" customHeight="1">
      <c r="C39" s="68" t="s">
        <v>44</v>
      </c>
      <c r="D39" s="100">
        <v>0</v>
      </c>
      <c r="E39" s="92">
        <v>0</v>
      </c>
      <c r="F39" s="103" t="s">
        <v>53</v>
      </c>
      <c r="G39" s="93">
        <v>0</v>
      </c>
    </row>
    <row r="40" spans="3:7" ht="24.75" customHeight="1">
      <c r="C40" s="104" t="s">
        <v>42</v>
      </c>
      <c r="D40" s="105">
        <v>0</v>
      </c>
      <c r="E40" s="91">
        <v>0</v>
      </c>
    </row>
    <row r="41" spans="3:7" ht="24.75" customHeight="1">
      <c r="C41" s="68" t="s">
        <v>54</v>
      </c>
      <c r="D41" s="70">
        <v>0</v>
      </c>
      <c r="E41" s="92">
        <v>0</v>
      </c>
    </row>
    <row r="42" spans="3:7" ht="24.75" customHeight="1">
      <c r="C42" s="82" t="s">
        <v>42</v>
      </c>
      <c r="D42" s="84">
        <v>0</v>
      </c>
      <c r="E42" s="93">
        <v>0</v>
      </c>
    </row>
    <row r="43" spans="3:7" ht="12" customHeight="1"/>
  </sheetData>
  <sheetProtection selectLockedCells="1" selectUnlockedCells="1"/>
  <mergeCells count="18">
    <mergeCell ref="A3:R3"/>
    <mergeCell ref="A4:R4"/>
    <mergeCell ref="H11:I11"/>
    <mergeCell ref="J11:K11"/>
    <mergeCell ref="L11:M11"/>
    <mergeCell ref="N11:O11"/>
    <mergeCell ref="P11:Q11"/>
    <mergeCell ref="D35:E35"/>
    <mergeCell ref="N12:O12"/>
    <mergeCell ref="P12:Q12"/>
    <mergeCell ref="D11:E11"/>
    <mergeCell ref="F11:G11"/>
    <mergeCell ref="D34:E34"/>
    <mergeCell ref="D12:E12"/>
    <mergeCell ref="F12:G12"/>
    <mergeCell ref="H12:I12"/>
    <mergeCell ref="J12:K12"/>
    <mergeCell ref="L12:M12"/>
  </mergeCells>
  <phoneticPr fontId="14"/>
  <pageMargins left="0.7" right="0.7" top="0.75" bottom="0.75" header="0.3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3"/>
  <sheetViews>
    <sheetView showGridLines="0" zoomScale="90" zoomScaleNormal="90" workbookViewId="0">
      <selection activeCell="A5" sqref="A5"/>
    </sheetView>
  </sheetViews>
  <sheetFormatPr defaultColWidth="10" defaultRowHeight="0" customHeight="1" zeroHeight="1"/>
  <cols>
    <col min="1" max="2" width="4.25" style="2" customWidth="1"/>
    <col min="3" max="3" width="26" style="2" customWidth="1"/>
    <col min="4" max="17" width="16" style="2" customWidth="1"/>
    <col min="18" max="18" width="4.5" style="1" customWidth="1"/>
  </cols>
  <sheetData>
    <row r="1" spans="1:18" ht="18" customHeight="1">
      <c r="A1" s="106" t="s">
        <v>55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  <c r="R1" s="59"/>
    </row>
    <row r="2" spans="1:18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"/>
      <c r="R2" s="59"/>
    </row>
    <row r="3" spans="1:18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</row>
    <row r="4" spans="1:18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  <c r="R4" s="304"/>
    </row>
    <row r="5" spans="1:18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"/>
      <c r="O5" s="1"/>
      <c r="P5" s="39" t="s">
        <v>2</v>
      </c>
      <c r="Q5" s="60" t="s">
        <v>171</v>
      </c>
    </row>
    <row r="6" spans="1:18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"/>
      <c r="O6" s="1"/>
      <c r="P6" s="61" t="s">
        <v>3</v>
      </c>
      <c r="Q6" s="42" t="s">
        <v>170</v>
      </c>
      <c r="R6" s="1" t="s">
        <v>4</v>
      </c>
    </row>
    <row r="7" spans="1:18" ht="18" customHeight="1">
      <c r="B7" s="37" t="s">
        <v>29</v>
      </c>
    </row>
    <row r="8" spans="1:18" ht="12" customHeight="1"/>
    <row r="9" spans="1:18" ht="18" customHeight="1">
      <c r="B9" s="37" t="s">
        <v>56</v>
      </c>
    </row>
    <row r="10" spans="1:18" ht="12" customHeight="1"/>
    <row r="11" spans="1:18" ht="24.75" customHeight="1">
      <c r="C11" s="33"/>
      <c r="D11" s="300" t="s">
        <v>31</v>
      </c>
      <c r="E11" s="301"/>
      <c r="F11" s="300" t="s">
        <v>32</v>
      </c>
      <c r="G11" s="301"/>
      <c r="H11" s="300" t="s">
        <v>33</v>
      </c>
      <c r="I11" s="301"/>
      <c r="J11" s="300" t="s">
        <v>34</v>
      </c>
      <c r="K11" s="301"/>
      <c r="L11" s="305" t="s">
        <v>35</v>
      </c>
      <c r="M11" s="306"/>
      <c r="N11" s="302" t="s">
        <v>23</v>
      </c>
      <c r="O11" s="306"/>
      <c r="P11" s="302" t="s">
        <v>36</v>
      </c>
      <c r="Q11" s="303"/>
    </row>
    <row r="12" spans="1:18" ht="24.75" customHeight="1">
      <c r="C12" s="62" t="s">
        <v>37</v>
      </c>
      <c r="D12" s="295">
        <v>0</v>
      </c>
      <c r="E12" s="297"/>
      <c r="F12" s="295">
        <v>0</v>
      </c>
      <c r="G12" s="297"/>
      <c r="H12" s="295">
        <v>0</v>
      </c>
      <c r="I12" s="297"/>
      <c r="J12" s="295">
        <v>0</v>
      </c>
      <c r="K12" s="297"/>
      <c r="L12" s="295">
        <v>0</v>
      </c>
      <c r="M12" s="297"/>
      <c r="N12" s="295">
        <v>0</v>
      </c>
      <c r="O12" s="297"/>
      <c r="P12" s="298">
        <f>SUM(D12:O12)</f>
        <v>0</v>
      </c>
      <c r="Q12" s="299"/>
    </row>
    <row r="13" spans="1:18" ht="24.75" customHeight="1">
      <c r="C13" s="34"/>
      <c r="D13" s="64" t="s">
        <v>38</v>
      </c>
      <c r="E13" s="64" t="s">
        <v>39</v>
      </c>
      <c r="F13" s="64" t="s">
        <v>38</v>
      </c>
      <c r="G13" s="64" t="s">
        <v>39</v>
      </c>
      <c r="H13" s="65" t="s">
        <v>38</v>
      </c>
      <c r="I13" s="65" t="s">
        <v>39</v>
      </c>
      <c r="J13" s="65" t="s">
        <v>38</v>
      </c>
      <c r="K13" s="65" t="s">
        <v>39</v>
      </c>
      <c r="L13" s="65" t="s">
        <v>38</v>
      </c>
      <c r="M13" s="65" t="s">
        <v>39</v>
      </c>
      <c r="N13" s="65" t="s">
        <v>38</v>
      </c>
      <c r="O13" s="66" t="s">
        <v>40</v>
      </c>
      <c r="P13" s="65" t="s">
        <v>38</v>
      </c>
      <c r="Q13" s="67" t="s">
        <v>40</v>
      </c>
    </row>
    <row r="14" spans="1:18" ht="24.75" customHeight="1">
      <c r="C14" s="68" t="s">
        <v>41</v>
      </c>
      <c r="D14" s="69">
        <v>0</v>
      </c>
      <c r="E14" s="69">
        <v>0</v>
      </c>
      <c r="F14" s="69">
        <v>0</v>
      </c>
      <c r="G14" s="69">
        <v>0</v>
      </c>
      <c r="H14" s="70">
        <v>0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0">
        <v>1</v>
      </c>
      <c r="O14" s="70">
        <v>1</v>
      </c>
      <c r="P14" s="107">
        <f t="shared" ref="P14:Q21" si="0">SUM(D14,F14,H14,L14,N14,J14)</f>
        <v>1</v>
      </c>
      <c r="Q14" s="72">
        <f t="shared" si="0"/>
        <v>1</v>
      </c>
    </row>
    <row r="15" spans="1:18" ht="24.75" customHeight="1">
      <c r="C15" s="73" t="s">
        <v>42</v>
      </c>
      <c r="D15" s="74">
        <v>0</v>
      </c>
      <c r="E15" s="74">
        <v>0</v>
      </c>
      <c r="F15" s="74">
        <v>0</v>
      </c>
      <c r="G15" s="74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1</v>
      </c>
      <c r="O15" s="75">
        <v>1</v>
      </c>
      <c r="P15" s="108">
        <f t="shared" si="0"/>
        <v>1</v>
      </c>
      <c r="Q15" s="77">
        <f t="shared" si="0"/>
        <v>1</v>
      </c>
    </row>
    <row r="16" spans="1:18" s="78" customFormat="1" ht="24.75" customHeight="1">
      <c r="A16" s="79"/>
      <c r="B16" s="79"/>
      <c r="C16" s="68" t="s">
        <v>43</v>
      </c>
      <c r="D16" s="69">
        <v>0</v>
      </c>
      <c r="E16" s="69">
        <v>0</v>
      </c>
      <c r="F16" s="69">
        <v>0</v>
      </c>
      <c r="G16" s="69">
        <v>0</v>
      </c>
      <c r="H16" s="69">
        <v>0</v>
      </c>
      <c r="I16" s="69">
        <v>0</v>
      </c>
      <c r="J16" s="69">
        <v>0</v>
      </c>
      <c r="K16" s="69">
        <v>0</v>
      </c>
      <c r="L16" s="69">
        <v>0</v>
      </c>
      <c r="M16" s="69">
        <v>0</v>
      </c>
      <c r="N16" s="69">
        <v>0</v>
      </c>
      <c r="O16" s="69">
        <v>0</v>
      </c>
      <c r="P16" s="107">
        <f t="shared" si="0"/>
        <v>0</v>
      </c>
      <c r="Q16" s="72">
        <f t="shared" si="0"/>
        <v>0</v>
      </c>
      <c r="R16" s="80"/>
    </row>
    <row r="17" spans="1:18" s="78" customFormat="1" ht="24.75" customHeight="1">
      <c r="A17" s="79"/>
      <c r="B17" s="79"/>
      <c r="C17" s="73" t="s">
        <v>42</v>
      </c>
      <c r="D17" s="74">
        <v>0</v>
      </c>
      <c r="E17" s="74">
        <v>0</v>
      </c>
      <c r="F17" s="74">
        <v>0</v>
      </c>
      <c r="G17" s="74">
        <v>0</v>
      </c>
      <c r="H17" s="74">
        <v>0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108">
        <f t="shared" si="0"/>
        <v>0</v>
      </c>
      <c r="Q17" s="77">
        <f t="shared" si="0"/>
        <v>0</v>
      </c>
      <c r="R17" s="80"/>
    </row>
    <row r="18" spans="1:18" ht="24.75" customHeight="1">
      <c r="C18" s="68" t="s">
        <v>44</v>
      </c>
      <c r="D18" s="69">
        <v>0</v>
      </c>
      <c r="E18" s="69">
        <v>0</v>
      </c>
      <c r="F18" s="69">
        <v>0</v>
      </c>
      <c r="G18" s="69">
        <v>0</v>
      </c>
      <c r="H18" s="70">
        <v>0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107">
        <f t="shared" si="0"/>
        <v>0</v>
      </c>
      <c r="Q18" s="72">
        <f t="shared" si="0"/>
        <v>0</v>
      </c>
    </row>
    <row r="19" spans="1:18" ht="24.75" customHeight="1">
      <c r="C19" s="73" t="s">
        <v>42</v>
      </c>
      <c r="D19" s="74">
        <v>0</v>
      </c>
      <c r="E19" s="74">
        <v>0</v>
      </c>
      <c r="F19" s="74">
        <v>0</v>
      </c>
      <c r="G19" s="74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108">
        <f t="shared" si="0"/>
        <v>0</v>
      </c>
      <c r="Q19" s="77">
        <f t="shared" si="0"/>
        <v>0</v>
      </c>
    </row>
    <row r="20" spans="1:18" ht="24.75" customHeight="1">
      <c r="C20" s="68" t="s">
        <v>45</v>
      </c>
      <c r="D20" s="81">
        <v>0</v>
      </c>
      <c r="E20" s="81">
        <v>0</v>
      </c>
      <c r="F20" s="81">
        <v>0</v>
      </c>
      <c r="G20" s="81">
        <v>0</v>
      </c>
      <c r="H20" s="100">
        <v>0</v>
      </c>
      <c r="I20" s="100">
        <v>0</v>
      </c>
      <c r="J20" s="100">
        <v>0</v>
      </c>
      <c r="K20" s="100">
        <v>0</v>
      </c>
      <c r="L20" s="100">
        <v>0</v>
      </c>
      <c r="M20" s="100">
        <v>0</v>
      </c>
      <c r="N20" s="100">
        <v>0</v>
      </c>
      <c r="O20" s="100">
        <v>0</v>
      </c>
      <c r="P20" s="107">
        <f t="shared" si="0"/>
        <v>0</v>
      </c>
      <c r="Q20" s="72">
        <f t="shared" si="0"/>
        <v>0</v>
      </c>
    </row>
    <row r="21" spans="1:18" ht="24.75" customHeight="1">
      <c r="C21" s="82" t="s">
        <v>42</v>
      </c>
      <c r="D21" s="83">
        <v>0</v>
      </c>
      <c r="E21" s="83">
        <v>0</v>
      </c>
      <c r="F21" s="83">
        <v>0</v>
      </c>
      <c r="G21" s="83">
        <v>0</v>
      </c>
      <c r="H21" s="84">
        <v>0</v>
      </c>
      <c r="I21" s="84">
        <v>0</v>
      </c>
      <c r="J21" s="84">
        <v>0</v>
      </c>
      <c r="K21" s="84">
        <v>0</v>
      </c>
      <c r="L21" s="84">
        <v>0</v>
      </c>
      <c r="M21" s="84">
        <v>0</v>
      </c>
      <c r="N21" s="84">
        <v>0</v>
      </c>
      <c r="O21" s="84">
        <v>0</v>
      </c>
      <c r="P21" s="85">
        <f t="shared" si="0"/>
        <v>0</v>
      </c>
      <c r="Q21" s="86">
        <f t="shared" si="0"/>
        <v>0</v>
      </c>
    </row>
    <row r="22" spans="1:18" ht="18" customHeight="1">
      <c r="Q22" s="109"/>
    </row>
    <row r="23" spans="1:18" ht="18" customHeight="1">
      <c r="B23" s="37" t="s">
        <v>57</v>
      </c>
    </row>
    <row r="24" spans="1:18" ht="12" customHeight="1"/>
    <row r="25" spans="1:18" ht="24.75" customHeight="1">
      <c r="C25" s="33"/>
      <c r="D25" s="45" t="s">
        <v>47</v>
      </c>
    </row>
    <row r="26" spans="1:18" ht="24.75" customHeight="1">
      <c r="C26" s="88" t="s">
        <v>37</v>
      </c>
      <c r="D26" s="89">
        <v>0</v>
      </c>
    </row>
    <row r="27" spans="1:18" ht="24.75" customHeight="1">
      <c r="C27" s="68" t="s">
        <v>48</v>
      </c>
      <c r="D27" s="90">
        <v>0</v>
      </c>
    </row>
    <row r="28" spans="1:18" ht="24.75" customHeight="1">
      <c r="C28" s="73" t="s">
        <v>42</v>
      </c>
      <c r="D28" s="91">
        <v>0</v>
      </c>
    </row>
    <row r="29" spans="1:18" ht="24.75" customHeight="1">
      <c r="C29" s="68" t="s">
        <v>49</v>
      </c>
      <c r="D29" s="92">
        <v>0</v>
      </c>
    </row>
    <row r="30" spans="1:18" ht="24.75" customHeight="1">
      <c r="C30" s="82" t="s">
        <v>42</v>
      </c>
      <c r="D30" s="93">
        <v>0</v>
      </c>
    </row>
    <row r="31" spans="1:18" ht="12" customHeight="1"/>
    <row r="32" spans="1:18" ht="18" customHeight="1">
      <c r="B32" s="37" t="s">
        <v>58</v>
      </c>
    </row>
    <row r="33" spans="3:7" ht="12" customHeight="1"/>
    <row r="34" spans="3:7" ht="24.75" customHeight="1">
      <c r="C34" s="33"/>
      <c r="D34" s="302" t="s">
        <v>51</v>
      </c>
      <c r="E34" s="303"/>
      <c r="F34" s="35"/>
      <c r="G34" s="45" t="s">
        <v>47</v>
      </c>
    </row>
    <row r="35" spans="3:7" ht="24.75" customHeight="1">
      <c r="C35" s="62" t="s">
        <v>37</v>
      </c>
      <c r="D35" s="295">
        <v>0</v>
      </c>
      <c r="E35" s="296"/>
      <c r="F35" s="94" t="s">
        <v>37</v>
      </c>
      <c r="G35" s="89">
        <v>0</v>
      </c>
    </row>
    <row r="36" spans="3:7" ht="24.75" customHeight="1">
      <c r="C36" s="36"/>
      <c r="D36" s="95" t="s">
        <v>38</v>
      </c>
      <c r="E36" s="96" t="s">
        <v>39</v>
      </c>
      <c r="F36" s="97" t="s">
        <v>48</v>
      </c>
      <c r="G36" s="98">
        <v>0</v>
      </c>
    </row>
    <row r="37" spans="3:7" ht="24.75" customHeight="1">
      <c r="C37" s="110" t="s">
        <v>52</v>
      </c>
      <c r="D37" s="100">
        <v>0</v>
      </c>
      <c r="E37" s="92">
        <v>0</v>
      </c>
      <c r="F37" s="101" t="s">
        <v>53</v>
      </c>
      <c r="G37" s="91">
        <v>0</v>
      </c>
    </row>
    <row r="38" spans="3:7" ht="24.75" customHeight="1">
      <c r="C38" s="73" t="s">
        <v>42</v>
      </c>
      <c r="D38" s="75">
        <v>0</v>
      </c>
      <c r="E38" s="91">
        <v>0</v>
      </c>
      <c r="F38" s="102" t="s">
        <v>49</v>
      </c>
      <c r="G38" s="92">
        <v>0</v>
      </c>
    </row>
    <row r="39" spans="3:7" ht="24.75" customHeight="1">
      <c r="C39" s="68" t="s">
        <v>44</v>
      </c>
      <c r="D39" s="100">
        <v>0</v>
      </c>
      <c r="E39" s="92">
        <v>0</v>
      </c>
      <c r="F39" s="103" t="s">
        <v>53</v>
      </c>
      <c r="G39" s="93">
        <v>0</v>
      </c>
    </row>
    <row r="40" spans="3:7" ht="24.75" customHeight="1">
      <c r="C40" s="104" t="s">
        <v>42</v>
      </c>
      <c r="D40" s="105">
        <v>0</v>
      </c>
      <c r="E40" s="91">
        <v>0</v>
      </c>
    </row>
    <row r="41" spans="3:7" ht="24.75" customHeight="1">
      <c r="C41" s="68" t="s">
        <v>54</v>
      </c>
      <c r="D41" s="70">
        <v>0</v>
      </c>
      <c r="E41" s="92">
        <v>0</v>
      </c>
    </row>
    <row r="42" spans="3:7" ht="24.75" customHeight="1">
      <c r="C42" s="82" t="s">
        <v>42</v>
      </c>
      <c r="D42" s="84">
        <v>0</v>
      </c>
      <c r="E42" s="93">
        <v>0</v>
      </c>
    </row>
    <row r="43" spans="3:7" ht="12" customHeight="1"/>
  </sheetData>
  <sheetProtection selectLockedCells="1" selectUnlockedCells="1"/>
  <mergeCells count="18">
    <mergeCell ref="N12:O12"/>
    <mergeCell ref="P12:Q12"/>
    <mergeCell ref="D11:E11"/>
    <mergeCell ref="F11:G11"/>
    <mergeCell ref="J12:K12"/>
    <mergeCell ref="L12:M12"/>
    <mergeCell ref="A3:R3"/>
    <mergeCell ref="A4:R4"/>
    <mergeCell ref="N11:O11"/>
    <mergeCell ref="P11:Q11"/>
    <mergeCell ref="H11:I11"/>
    <mergeCell ref="J11:K11"/>
    <mergeCell ref="L11:M11"/>
    <mergeCell ref="D35:E35"/>
    <mergeCell ref="D34:E34"/>
    <mergeCell ref="D12:E12"/>
    <mergeCell ref="F12:G12"/>
    <mergeCell ref="H12:I12"/>
  </mergeCells>
  <phoneticPr fontId="14"/>
  <pageMargins left="0.7" right="0.7" top="0.75" bottom="0.75" header="0.3" footer="0.3"/>
  <pageSetup paperSize="9"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8"/>
  <sheetViews>
    <sheetView showGridLines="0" zoomScaleNormal="100" workbookViewId="0">
      <selection activeCell="A5" sqref="A5"/>
    </sheetView>
  </sheetViews>
  <sheetFormatPr defaultColWidth="10" defaultRowHeight="0" customHeight="1" zeroHeight="1"/>
  <cols>
    <col min="1" max="2" width="4.25" style="2" customWidth="1"/>
    <col min="3" max="3" width="26.5" style="2" customWidth="1"/>
    <col min="4" max="6" width="16" style="2" customWidth="1"/>
    <col min="7" max="7" width="4.5" style="2" customWidth="1"/>
  </cols>
  <sheetData>
    <row r="1" spans="1:7" ht="18" customHeight="1">
      <c r="A1" s="37" t="s">
        <v>59</v>
      </c>
      <c r="G1" s="111"/>
    </row>
    <row r="2" spans="1:7" ht="18" customHeight="1">
      <c r="G2" s="111"/>
    </row>
    <row r="3" spans="1:7" ht="18" customHeight="1">
      <c r="A3" s="292" t="s">
        <v>1</v>
      </c>
      <c r="B3" s="292"/>
      <c r="C3" s="292"/>
      <c r="D3" s="292"/>
      <c r="E3" s="292"/>
      <c r="F3" s="292"/>
      <c r="G3" s="292"/>
    </row>
    <row r="4" spans="1:7" ht="18" customHeight="1">
      <c r="A4" s="292" t="s">
        <v>172</v>
      </c>
      <c r="B4" s="292"/>
      <c r="C4" s="292"/>
      <c r="D4" s="292"/>
      <c r="E4" s="292"/>
      <c r="F4" s="292"/>
      <c r="G4" s="292"/>
    </row>
    <row r="5" spans="1:7" ht="18" customHeight="1">
      <c r="E5" s="39" t="s">
        <v>2</v>
      </c>
      <c r="F5" s="60" t="s">
        <v>171</v>
      </c>
    </row>
    <row r="6" spans="1:7" ht="18" customHeight="1">
      <c r="E6" s="41" t="s">
        <v>3</v>
      </c>
      <c r="F6" s="42" t="s">
        <v>170</v>
      </c>
      <c r="G6" s="2" t="s">
        <v>4</v>
      </c>
    </row>
    <row r="7" spans="1:7" ht="18" customHeight="1">
      <c r="B7" s="37" t="s">
        <v>29</v>
      </c>
    </row>
    <row r="8" spans="1:7" ht="18" customHeight="1">
      <c r="B8" s="37" t="s">
        <v>60</v>
      </c>
    </row>
    <row r="9" spans="1:7" ht="12" customHeight="1"/>
    <row r="10" spans="1:7" ht="24" customHeight="1">
      <c r="C10" s="32"/>
      <c r="D10" s="44" t="s">
        <v>61</v>
      </c>
      <c r="E10" s="44" t="s">
        <v>62</v>
      </c>
      <c r="F10" s="45" t="s">
        <v>36</v>
      </c>
    </row>
    <row r="11" spans="1:7" ht="24" customHeight="1">
      <c r="C11" s="73" t="s">
        <v>37</v>
      </c>
      <c r="D11" s="74">
        <v>0</v>
      </c>
      <c r="E11" s="74">
        <v>0</v>
      </c>
      <c r="F11" s="112">
        <f t="shared" ref="F11:F17" si="0">SUM(D11:E11)</f>
        <v>0</v>
      </c>
    </row>
    <row r="12" spans="1:7" ht="24" customHeight="1">
      <c r="C12" s="99" t="s">
        <v>63</v>
      </c>
      <c r="D12" s="81">
        <v>0</v>
      </c>
      <c r="E12" s="81">
        <v>0</v>
      </c>
      <c r="F12" s="77">
        <f t="shared" si="0"/>
        <v>0</v>
      </c>
    </row>
    <row r="13" spans="1:7" ht="24" customHeight="1">
      <c r="C13" s="73" t="s">
        <v>64</v>
      </c>
      <c r="D13" s="74">
        <v>0</v>
      </c>
      <c r="E13" s="74">
        <v>0</v>
      </c>
      <c r="F13" s="112">
        <f t="shared" si="0"/>
        <v>0</v>
      </c>
    </row>
    <row r="14" spans="1:7" ht="24" customHeight="1">
      <c r="C14" s="99" t="s">
        <v>65</v>
      </c>
      <c r="D14" s="81">
        <v>0</v>
      </c>
      <c r="E14" s="81">
        <v>0</v>
      </c>
      <c r="F14" s="77">
        <f t="shared" si="0"/>
        <v>0</v>
      </c>
    </row>
    <row r="15" spans="1:7" ht="24" customHeight="1">
      <c r="C15" s="73" t="s">
        <v>64</v>
      </c>
      <c r="D15" s="74">
        <v>0</v>
      </c>
      <c r="E15" s="74">
        <v>0</v>
      </c>
      <c r="F15" s="112">
        <f t="shared" si="0"/>
        <v>0</v>
      </c>
    </row>
    <row r="16" spans="1:7" ht="24" customHeight="1">
      <c r="C16" s="99" t="s">
        <v>66</v>
      </c>
      <c r="D16" s="81">
        <v>0</v>
      </c>
      <c r="E16" s="81">
        <v>0</v>
      </c>
      <c r="F16" s="77">
        <f t="shared" si="0"/>
        <v>0</v>
      </c>
    </row>
    <row r="17" spans="3:6" ht="24" customHeight="1">
      <c r="C17" s="82" t="s">
        <v>64</v>
      </c>
      <c r="D17" s="83">
        <v>0</v>
      </c>
      <c r="E17" s="83">
        <v>0</v>
      </c>
      <c r="F17" s="86">
        <f t="shared" si="0"/>
        <v>0</v>
      </c>
    </row>
    <row r="18" spans="3:6" ht="12" customHeight="1"/>
  </sheetData>
  <sheetProtection selectLockedCells="1" selectUnlockedCells="1"/>
  <mergeCells count="2">
    <mergeCell ref="A3:G3"/>
    <mergeCell ref="A4:G4"/>
  </mergeCells>
  <phoneticPr fontId="14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9"/>
  <sheetViews>
    <sheetView showGridLines="0" zoomScaleNormal="100" workbookViewId="0">
      <selection activeCell="K38" sqref="K38"/>
    </sheetView>
  </sheetViews>
  <sheetFormatPr defaultColWidth="10" defaultRowHeight="12" customHeight="1"/>
  <cols>
    <col min="1" max="1" width="3.125" style="24" customWidth="1"/>
    <col min="2" max="2" width="2.5" style="24" customWidth="1"/>
    <col min="3" max="3" width="23.125" style="24" customWidth="1"/>
    <col min="4" max="14" width="16" style="24" customWidth="1"/>
    <col min="15" max="15" width="4.5" style="24" customWidth="1"/>
  </cols>
  <sheetData>
    <row r="1" spans="1:15" s="27" customFormat="1" ht="18" customHeight="1">
      <c r="A1" s="113" t="s">
        <v>67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s="27" customFormat="1" ht="18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5" s="27" customFormat="1" ht="18" customHeight="1">
      <c r="A3" s="307" t="s">
        <v>1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</row>
    <row r="4" spans="1:15" s="27" customFormat="1" ht="18" customHeight="1">
      <c r="A4" s="307" t="s">
        <v>172</v>
      </c>
      <c r="B4" s="307"/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</row>
    <row r="5" spans="1:15" s="27" customFormat="1" ht="18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39" t="s">
        <v>2</v>
      </c>
      <c r="N5" s="60" t="s">
        <v>171</v>
      </c>
    </row>
    <row r="6" spans="1:15" s="27" customFormat="1" ht="18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41" t="s">
        <v>3</v>
      </c>
      <c r="N6" s="42" t="s">
        <v>170</v>
      </c>
      <c r="O6" s="27" t="s">
        <v>4</v>
      </c>
    </row>
    <row r="7" spans="1:15" ht="18" customHeight="1">
      <c r="A7" s="19"/>
      <c r="B7" s="114" t="s">
        <v>29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spans="1:15" ht="12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1:15" ht="18" customHeight="1">
      <c r="A9" s="19"/>
      <c r="B9" s="114" t="s">
        <v>68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0" spans="1:15" s="21" customFormat="1" ht="12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5" s="21" customFormat="1" ht="18" customHeight="1">
      <c r="A11" s="20"/>
      <c r="B11" s="20"/>
      <c r="C11" s="310"/>
      <c r="D11" s="115" t="s">
        <v>69</v>
      </c>
      <c r="E11" s="115" t="s">
        <v>70</v>
      </c>
      <c r="F11" s="115" t="s">
        <v>17</v>
      </c>
      <c r="G11" s="116" t="s">
        <v>71</v>
      </c>
      <c r="H11" s="117" t="s">
        <v>72</v>
      </c>
      <c r="I11" s="115" t="s">
        <v>73</v>
      </c>
      <c r="J11" s="115" t="s">
        <v>74</v>
      </c>
      <c r="K11" s="115" t="s">
        <v>75</v>
      </c>
      <c r="L11" s="115" t="s">
        <v>76</v>
      </c>
      <c r="M11" s="115" t="s">
        <v>17</v>
      </c>
      <c r="N11" s="311" t="s">
        <v>36</v>
      </c>
      <c r="O11" s="118"/>
    </row>
    <row r="12" spans="1:15" s="21" customFormat="1" ht="18" customHeight="1">
      <c r="A12" s="22"/>
      <c r="B12" s="23"/>
      <c r="C12" s="119" t="s">
        <v>61</v>
      </c>
      <c r="D12" s="120">
        <v>14</v>
      </c>
      <c r="E12" s="120">
        <v>44</v>
      </c>
      <c r="F12" s="121">
        <f>SUM(D12:E12)</f>
        <v>58</v>
      </c>
      <c r="G12" s="122"/>
      <c r="H12" s="120">
        <v>41</v>
      </c>
      <c r="I12" s="120">
        <v>84</v>
      </c>
      <c r="J12" s="120">
        <v>72</v>
      </c>
      <c r="K12" s="120">
        <v>22</v>
      </c>
      <c r="L12" s="120">
        <v>13</v>
      </c>
      <c r="M12" s="121">
        <f>SUM(G12:L12)</f>
        <v>232</v>
      </c>
      <c r="N12" s="123">
        <f>F12+M12</f>
        <v>290</v>
      </c>
      <c r="O12" s="28"/>
    </row>
    <row r="13" spans="1:15" s="21" customFormat="1" ht="18" customHeight="1">
      <c r="A13" s="22"/>
      <c r="B13" s="23"/>
      <c r="C13" s="119" t="s">
        <v>62</v>
      </c>
      <c r="D13" s="120">
        <v>0</v>
      </c>
      <c r="E13" s="120">
        <v>1</v>
      </c>
      <c r="F13" s="121">
        <f>SUM(D13:E13)</f>
        <v>1</v>
      </c>
      <c r="G13" s="122"/>
      <c r="H13" s="120">
        <v>0</v>
      </c>
      <c r="I13" s="120">
        <v>2</v>
      </c>
      <c r="J13" s="120">
        <v>0</v>
      </c>
      <c r="K13" s="120">
        <v>0</v>
      </c>
      <c r="L13" s="120">
        <v>1</v>
      </c>
      <c r="M13" s="121">
        <f>SUM(G13:L13)</f>
        <v>3</v>
      </c>
      <c r="N13" s="124">
        <f>F13+M13</f>
        <v>4</v>
      </c>
      <c r="O13" s="28"/>
    </row>
    <row r="14" spans="1:15" s="21" customFormat="1" ht="18" customHeight="1">
      <c r="A14" s="22"/>
      <c r="B14" s="23"/>
      <c r="C14" s="125" t="s">
        <v>77</v>
      </c>
      <c r="D14" s="126">
        <f>SUM(D12:D13)</f>
        <v>14</v>
      </c>
      <c r="E14" s="126">
        <f>SUM(E12:E13)</f>
        <v>45</v>
      </c>
      <c r="F14" s="127">
        <f>SUM(D14:E14)</f>
        <v>59</v>
      </c>
      <c r="G14" s="128"/>
      <c r="H14" s="129">
        <f t="shared" ref="H14:M14" si="0">SUM(H12:H13)</f>
        <v>41</v>
      </c>
      <c r="I14" s="129">
        <f t="shared" si="0"/>
        <v>86</v>
      </c>
      <c r="J14" s="129">
        <f t="shared" si="0"/>
        <v>72</v>
      </c>
      <c r="K14" s="129">
        <f t="shared" si="0"/>
        <v>22</v>
      </c>
      <c r="L14" s="129">
        <f t="shared" si="0"/>
        <v>14</v>
      </c>
      <c r="M14" s="127">
        <f t="shared" si="0"/>
        <v>235</v>
      </c>
      <c r="N14" s="130">
        <f>F14+M14</f>
        <v>294</v>
      </c>
      <c r="O14" s="28"/>
    </row>
    <row r="15" spans="1:15" s="21" customFormat="1" ht="12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spans="1:15" s="25" customFormat="1" ht="18" customHeight="1">
      <c r="A16" s="29"/>
      <c r="B16" s="131" t="s">
        <v>78</v>
      </c>
      <c r="C16" s="30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s="21" customFormat="1" ht="12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 spans="1:15" s="21" customFormat="1" ht="18" customHeight="1">
      <c r="A18" s="20"/>
      <c r="B18" s="20"/>
      <c r="C18" s="310"/>
      <c r="D18" s="115" t="s">
        <v>69</v>
      </c>
      <c r="E18" s="115" t="s">
        <v>70</v>
      </c>
      <c r="F18" s="115" t="s">
        <v>17</v>
      </c>
      <c r="G18" s="116" t="s">
        <v>71</v>
      </c>
      <c r="H18" s="117" t="s">
        <v>72</v>
      </c>
      <c r="I18" s="115" t="s">
        <v>73</v>
      </c>
      <c r="J18" s="115" t="s">
        <v>74</v>
      </c>
      <c r="K18" s="115" t="s">
        <v>75</v>
      </c>
      <c r="L18" s="115" t="s">
        <v>76</v>
      </c>
      <c r="M18" s="132" t="s">
        <v>17</v>
      </c>
      <c r="N18" s="311" t="s">
        <v>36</v>
      </c>
      <c r="O18" s="118"/>
    </row>
    <row r="19" spans="1:15" s="21" customFormat="1" ht="18" customHeight="1">
      <c r="A19" s="22"/>
      <c r="B19" s="23"/>
      <c r="C19" s="119" t="s">
        <v>61</v>
      </c>
      <c r="D19" s="120">
        <v>0</v>
      </c>
      <c r="E19" s="120">
        <v>0</v>
      </c>
      <c r="F19" s="121">
        <f>SUM(D19:E19)</f>
        <v>0</v>
      </c>
      <c r="G19" s="133"/>
      <c r="H19" s="120">
        <v>8</v>
      </c>
      <c r="I19" s="120">
        <v>12</v>
      </c>
      <c r="J19" s="120">
        <v>16</v>
      </c>
      <c r="K19" s="120">
        <v>10</v>
      </c>
      <c r="L19" s="120">
        <v>7</v>
      </c>
      <c r="M19" s="121">
        <f>SUM(G19:L19)</f>
        <v>53</v>
      </c>
      <c r="N19" s="123">
        <f>F19+M19</f>
        <v>53</v>
      </c>
      <c r="O19" s="28"/>
    </row>
    <row r="20" spans="1:15" s="21" customFormat="1" ht="18" customHeight="1">
      <c r="A20" s="22"/>
      <c r="B20" s="23"/>
      <c r="C20" s="119" t="s">
        <v>62</v>
      </c>
      <c r="D20" s="120">
        <v>0</v>
      </c>
      <c r="E20" s="120">
        <v>0</v>
      </c>
      <c r="F20" s="121">
        <f>SUM(D20:E20)</f>
        <v>0</v>
      </c>
      <c r="G20" s="134"/>
      <c r="H20" s="120">
        <v>0</v>
      </c>
      <c r="I20" s="120">
        <v>0</v>
      </c>
      <c r="J20" s="120">
        <v>0</v>
      </c>
      <c r="K20" s="120">
        <v>0</v>
      </c>
      <c r="L20" s="120">
        <v>0</v>
      </c>
      <c r="M20" s="121">
        <f>SUM(G20:L20)</f>
        <v>0</v>
      </c>
      <c r="N20" s="123">
        <f>F20+M20</f>
        <v>0</v>
      </c>
      <c r="O20" s="28"/>
    </row>
    <row r="21" spans="1:15" s="21" customFormat="1" ht="18" customHeight="1">
      <c r="A21" s="20"/>
      <c r="B21" s="20"/>
      <c r="C21" s="125" t="s">
        <v>77</v>
      </c>
      <c r="D21" s="126">
        <f>SUM(D19:D20)</f>
        <v>0</v>
      </c>
      <c r="E21" s="126">
        <f>SUM(E19:E20)</f>
        <v>0</v>
      </c>
      <c r="F21" s="126">
        <f>SUM(D21:E21)</f>
        <v>0</v>
      </c>
      <c r="G21" s="135"/>
      <c r="H21" s="126">
        <f t="shared" ref="H21:M21" si="1">SUM(H19:H20)</f>
        <v>8</v>
      </c>
      <c r="I21" s="126">
        <f t="shared" si="1"/>
        <v>12</v>
      </c>
      <c r="J21" s="126">
        <f t="shared" si="1"/>
        <v>16</v>
      </c>
      <c r="K21" s="126">
        <f t="shared" si="1"/>
        <v>10</v>
      </c>
      <c r="L21" s="126">
        <f t="shared" si="1"/>
        <v>7</v>
      </c>
      <c r="M21" s="126">
        <f t="shared" si="1"/>
        <v>53</v>
      </c>
      <c r="N21" s="136">
        <f>F21+M21</f>
        <v>53</v>
      </c>
      <c r="O21" s="28"/>
    </row>
    <row r="22" spans="1:15" s="21" customFormat="1" ht="12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</row>
    <row r="23" spans="1:15" s="25" customFormat="1" ht="18" customHeight="1">
      <c r="A23" s="29"/>
      <c r="B23" s="131" t="s">
        <v>79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s="21" customFormat="1" ht="12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  <row r="25" spans="1:15" s="21" customFormat="1" ht="18" customHeight="1">
      <c r="A25" s="20"/>
      <c r="B25" s="20"/>
      <c r="C25" s="308"/>
      <c r="D25" s="137" t="s">
        <v>69</v>
      </c>
      <c r="E25" s="137" t="s">
        <v>70</v>
      </c>
      <c r="F25" s="137" t="s">
        <v>17</v>
      </c>
      <c r="G25" s="138" t="s">
        <v>72</v>
      </c>
      <c r="H25" s="137" t="s">
        <v>73</v>
      </c>
      <c r="I25" s="137" t="s">
        <v>74</v>
      </c>
      <c r="J25" s="137" t="s">
        <v>75</v>
      </c>
      <c r="K25" s="137" t="s">
        <v>76</v>
      </c>
      <c r="L25" s="139" t="s">
        <v>17</v>
      </c>
      <c r="M25" s="309" t="s">
        <v>36</v>
      </c>
      <c r="N25" s="140"/>
      <c r="O25" s="20"/>
    </row>
    <row r="26" spans="1:15" s="21" customFormat="1" ht="18" customHeight="1">
      <c r="A26" s="20"/>
      <c r="B26" s="20"/>
      <c r="C26" s="141" t="s">
        <v>31</v>
      </c>
      <c r="D26" s="142">
        <f t="shared" ref="D26:L26" si="2">SUM(D27:D28)</f>
        <v>0</v>
      </c>
      <c r="E26" s="142">
        <f t="shared" si="2"/>
        <v>0</v>
      </c>
      <c r="F26" s="142">
        <f t="shared" si="2"/>
        <v>0</v>
      </c>
      <c r="G26" s="143">
        <f t="shared" si="2"/>
        <v>1</v>
      </c>
      <c r="H26" s="144">
        <f t="shared" si="2"/>
        <v>3</v>
      </c>
      <c r="I26" s="144">
        <f t="shared" si="2"/>
        <v>25</v>
      </c>
      <c r="J26" s="144">
        <f t="shared" si="2"/>
        <v>18</v>
      </c>
      <c r="K26" s="144">
        <f t="shared" si="2"/>
        <v>22</v>
      </c>
      <c r="L26" s="145">
        <f t="shared" si="2"/>
        <v>69</v>
      </c>
      <c r="M26" s="146">
        <f t="shared" ref="M26:M38" si="3">F26+L26</f>
        <v>69</v>
      </c>
      <c r="N26" s="20"/>
      <c r="O26" s="20"/>
    </row>
    <row r="27" spans="1:15" s="21" customFormat="1" ht="18" customHeight="1">
      <c r="A27" s="22"/>
      <c r="B27" s="23"/>
      <c r="C27" s="147" t="s">
        <v>61</v>
      </c>
      <c r="D27" s="148">
        <v>0</v>
      </c>
      <c r="E27" s="148">
        <v>0</v>
      </c>
      <c r="F27" s="121">
        <f>SUM(D27:E27)</f>
        <v>0</v>
      </c>
      <c r="G27" s="149">
        <v>1</v>
      </c>
      <c r="H27" s="148">
        <v>3</v>
      </c>
      <c r="I27" s="148">
        <v>25</v>
      </c>
      <c r="J27" s="148">
        <v>18</v>
      </c>
      <c r="K27" s="148">
        <v>22</v>
      </c>
      <c r="L27" s="121">
        <f>SUM(G27:K27)</f>
        <v>69</v>
      </c>
      <c r="M27" s="124">
        <f t="shared" si="3"/>
        <v>69</v>
      </c>
      <c r="N27" s="20"/>
      <c r="O27" s="31"/>
    </row>
    <row r="28" spans="1:15" s="21" customFormat="1" ht="18" customHeight="1">
      <c r="A28" s="22"/>
      <c r="B28" s="23"/>
      <c r="C28" s="147" t="s">
        <v>62</v>
      </c>
      <c r="D28" s="150">
        <v>0</v>
      </c>
      <c r="E28" s="150">
        <v>0</v>
      </c>
      <c r="F28" s="121">
        <f>SUM(D28:E28)</f>
        <v>0</v>
      </c>
      <c r="G28" s="151">
        <v>0</v>
      </c>
      <c r="H28" s="150">
        <v>0</v>
      </c>
      <c r="I28" s="150">
        <v>0</v>
      </c>
      <c r="J28" s="150">
        <v>0</v>
      </c>
      <c r="K28" s="150">
        <v>0</v>
      </c>
      <c r="L28" s="121">
        <f>SUM(G28:K28)</f>
        <v>0</v>
      </c>
      <c r="M28" s="130">
        <f t="shared" si="3"/>
        <v>0</v>
      </c>
      <c r="N28" s="20"/>
      <c r="O28" s="20"/>
    </row>
    <row r="29" spans="1:15" s="21" customFormat="1" ht="18" customHeight="1">
      <c r="A29" s="20"/>
      <c r="B29" s="20"/>
      <c r="C29" s="141" t="s">
        <v>32</v>
      </c>
      <c r="D29" s="144">
        <f t="shared" ref="D29:L29" si="4">SUM(D30:D31)</f>
        <v>0</v>
      </c>
      <c r="E29" s="144">
        <f t="shared" si="4"/>
        <v>0</v>
      </c>
      <c r="F29" s="144">
        <f t="shared" si="4"/>
        <v>0</v>
      </c>
      <c r="G29" s="143">
        <f t="shared" si="4"/>
        <v>3</v>
      </c>
      <c r="H29" s="144">
        <f t="shared" si="4"/>
        <v>13</v>
      </c>
      <c r="I29" s="144">
        <f t="shared" si="4"/>
        <v>18</v>
      </c>
      <c r="J29" s="144">
        <f t="shared" si="4"/>
        <v>22</v>
      </c>
      <c r="K29" s="144">
        <f t="shared" si="4"/>
        <v>9</v>
      </c>
      <c r="L29" s="144">
        <f t="shared" si="4"/>
        <v>65</v>
      </c>
      <c r="M29" s="123">
        <f t="shared" si="3"/>
        <v>65</v>
      </c>
      <c r="N29" s="20"/>
      <c r="O29" s="20"/>
    </row>
    <row r="30" spans="1:15" s="21" customFormat="1" ht="18" customHeight="1">
      <c r="A30" s="22"/>
      <c r="B30" s="23"/>
      <c r="C30" s="147" t="s">
        <v>61</v>
      </c>
      <c r="D30" s="120">
        <v>0</v>
      </c>
      <c r="E30" s="120">
        <v>0</v>
      </c>
      <c r="F30" s="121">
        <f>SUM(D30:E30)</f>
        <v>0</v>
      </c>
      <c r="G30" s="152">
        <v>3</v>
      </c>
      <c r="H30" s="120">
        <v>13</v>
      </c>
      <c r="I30" s="120">
        <v>17</v>
      </c>
      <c r="J30" s="120">
        <v>22</v>
      </c>
      <c r="K30" s="120">
        <v>9</v>
      </c>
      <c r="L30" s="121">
        <f>SUM(G30:K30)</f>
        <v>64</v>
      </c>
      <c r="M30" s="123">
        <f t="shared" si="3"/>
        <v>64</v>
      </c>
      <c r="N30" s="20"/>
      <c r="O30" s="20"/>
    </row>
    <row r="31" spans="1:15" s="21" customFormat="1" ht="18" customHeight="1">
      <c r="A31" s="22"/>
      <c r="B31" s="23"/>
      <c r="C31" s="147" t="s">
        <v>62</v>
      </c>
      <c r="D31" s="153">
        <v>0</v>
      </c>
      <c r="E31" s="153">
        <v>0</v>
      </c>
      <c r="F31" s="126">
        <f>SUM(D31:E31)</f>
        <v>0</v>
      </c>
      <c r="G31" s="154">
        <v>0</v>
      </c>
      <c r="H31" s="153">
        <v>0</v>
      </c>
      <c r="I31" s="153">
        <v>1</v>
      </c>
      <c r="J31" s="153">
        <v>0</v>
      </c>
      <c r="K31" s="153">
        <v>0</v>
      </c>
      <c r="L31" s="126">
        <f>SUM(G31:K31)</f>
        <v>1</v>
      </c>
      <c r="M31" s="136">
        <f t="shared" si="3"/>
        <v>1</v>
      </c>
      <c r="N31" s="20"/>
      <c r="O31" s="20"/>
    </row>
    <row r="32" spans="1:15" s="21" customFormat="1" ht="18" customHeight="1">
      <c r="A32" s="20"/>
      <c r="B32" s="20"/>
      <c r="C32" s="141" t="s">
        <v>80</v>
      </c>
      <c r="D32" s="144">
        <f t="shared" ref="D32:L32" si="5">SUM(D33:D34)</f>
        <v>0</v>
      </c>
      <c r="E32" s="144">
        <f t="shared" si="5"/>
        <v>0</v>
      </c>
      <c r="F32" s="144">
        <f t="shared" si="5"/>
        <v>0</v>
      </c>
      <c r="G32" s="143">
        <f t="shared" si="5"/>
        <v>0</v>
      </c>
      <c r="H32" s="144">
        <f t="shared" si="5"/>
        <v>0</v>
      </c>
      <c r="I32" s="144">
        <f t="shared" si="5"/>
        <v>0</v>
      </c>
      <c r="J32" s="144">
        <f t="shared" si="5"/>
        <v>0</v>
      </c>
      <c r="K32" s="144">
        <f t="shared" si="5"/>
        <v>0</v>
      </c>
      <c r="L32" s="144">
        <f t="shared" si="5"/>
        <v>0</v>
      </c>
      <c r="M32" s="155">
        <f t="shared" si="3"/>
        <v>0</v>
      </c>
      <c r="N32" s="20"/>
      <c r="O32" s="20"/>
    </row>
    <row r="33" spans="1:15" s="21" customFormat="1" ht="18" customHeight="1">
      <c r="A33" s="22"/>
      <c r="B33" s="23"/>
      <c r="C33" s="147" t="s">
        <v>61</v>
      </c>
      <c r="D33" s="120">
        <v>0</v>
      </c>
      <c r="E33" s="120">
        <v>0</v>
      </c>
      <c r="F33" s="121">
        <f>SUM(D33:E33)</f>
        <v>0</v>
      </c>
      <c r="G33" s="152">
        <v>0</v>
      </c>
      <c r="H33" s="120">
        <v>0</v>
      </c>
      <c r="I33" s="120">
        <v>0</v>
      </c>
      <c r="J33" s="120">
        <v>0</v>
      </c>
      <c r="K33" s="120">
        <v>0</v>
      </c>
      <c r="L33" s="121">
        <f>SUM(G33:K33)</f>
        <v>0</v>
      </c>
      <c r="M33" s="123">
        <f t="shared" si="3"/>
        <v>0</v>
      </c>
      <c r="N33" s="20"/>
      <c r="O33" s="20"/>
    </row>
    <row r="34" spans="1:15" s="21" customFormat="1" ht="18" customHeight="1">
      <c r="A34" s="22"/>
      <c r="B34" s="23"/>
      <c r="C34" s="156" t="s">
        <v>62</v>
      </c>
      <c r="D34" s="153">
        <v>0</v>
      </c>
      <c r="E34" s="153">
        <v>0</v>
      </c>
      <c r="F34" s="126">
        <f>SUM(D34:E34)</f>
        <v>0</v>
      </c>
      <c r="G34" s="154">
        <v>0</v>
      </c>
      <c r="H34" s="153">
        <v>0</v>
      </c>
      <c r="I34" s="153">
        <v>0</v>
      </c>
      <c r="J34" s="153">
        <v>0</v>
      </c>
      <c r="K34" s="153">
        <v>0</v>
      </c>
      <c r="L34" s="126">
        <f>SUM(G34:K34)</f>
        <v>0</v>
      </c>
      <c r="M34" s="136">
        <f t="shared" si="3"/>
        <v>0</v>
      </c>
      <c r="N34" s="20"/>
      <c r="O34" s="20"/>
    </row>
    <row r="35" spans="1:15" s="21" customFormat="1" ht="18" customHeight="1">
      <c r="A35" s="22"/>
      <c r="B35" s="23"/>
      <c r="C35" s="141" t="s">
        <v>34</v>
      </c>
      <c r="D35" s="144">
        <f t="shared" ref="D35:L35" si="6">SUM(D36:D37)</f>
        <v>0</v>
      </c>
      <c r="E35" s="144">
        <f t="shared" si="6"/>
        <v>0</v>
      </c>
      <c r="F35" s="144">
        <f t="shared" si="6"/>
        <v>0</v>
      </c>
      <c r="G35" s="143">
        <f t="shared" si="6"/>
        <v>0</v>
      </c>
      <c r="H35" s="144">
        <f t="shared" si="6"/>
        <v>0</v>
      </c>
      <c r="I35" s="144">
        <f t="shared" si="6"/>
        <v>0</v>
      </c>
      <c r="J35" s="144">
        <f t="shared" si="6"/>
        <v>0</v>
      </c>
      <c r="K35" s="144">
        <f t="shared" si="6"/>
        <v>0</v>
      </c>
      <c r="L35" s="144">
        <f t="shared" si="6"/>
        <v>0</v>
      </c>
      <c r="M35" s="155">
        <f t="shared" si="3"/>
        <v>0</v>
      </c>
      <c r="N35" s="20"/>
      <c r="O35" s="20"/>
    </row>
    <row r="36" spans="1:15" s="21" customFormat="1" ht="18" customHeight="1">
      <c r="A36" s="22"/>
      <c r="B36" s="23"/>
      <c r="C36" s="147" t="s">
        <v>61</v>
      </c>
      <c r="D36" s="120">
        <v>0</v>
      </c>
      <c r="E36" s="120">
        <v>0</v>
      </c>
      <c r="F36" s="121">
        <f>SUM(D36:E36)</f>
        <v>0</v>
      </c>
      <c r="G36" s="152">
        <v>0</v>
      </c>
      <c r="H36" s="120">
        <v>0</v>
      </c>
      <c r="I36" s="120">
        <v>0</v>
      </c>
      <c r="J36" s="120">
        <v>0</v>
      </c>
      <c r="K36" s="120">
        <v>0</v>
      </c>
      <c r="L36" s="121">
        <f>SUM(G36:K36)</f>
        <v>0</v>
      </c>
      <c r="M36" s="123">
        <f t="shared" si="3"/>
        <v>0</v>
      </c>
      <c r="N36" s="20"/>
      <c r="O36" s="20"/>
    </row>
    <row r="37" spans="1:15" s="21" customFormat="1" ht="18" customHeight="1">
      <c r="A37" s="22"/>
      <c r="B37" s="23"/>
      <c r="C37" s="156" t="s">
        <v>62</v>
      </c>
      <c r="D37" s="153">
        <v>0</v>
      </c>
      <c r="E37" s="153">
        <v>0</v>
      </c>
      <c r="F37" s="126">
        <f>SUM(D37:E37)</f>
        <v>0</v>
      </c>
      <c r="G37" s="154">
        <v>0</v>
      </c>
      <c r="H37" s="153">
        <v>0</v>
      </c>
      <c r="I37" s="153">
        <v>0</v>
      </c>
      <c r="J37" s="153">
        <v>0</v>
      </c>
      <c r="K37" s="153">
        <v>0</v>
      </c>
      <c r="L37" s="126">
        <f>SUM(G37:K37)</f>
        <v>0</v>
      </c>
      <c r="M37" s="136">
        <f t="shared" si="3"/>
        <v>0</v>
      </c>
      <c r="N37" s="20"/>
      <c r="O37" s="20"/>
    </row>
    <row r="38" spans="1:15" s="21" customFormat="1" ht="18" customHeight="1">
      <c r="A38" s="20"/>
      <c r="B38" s="20"/>
      <c r="C38" s="125" t="s">
        <v>77</v>
      </c>
      <c r="D38" s="153">
        <v>0</v>
      </c>
      <c r="E38" s="153">
        <v>0</v>
      </c>
      <c r="F38" s="126">
        <f>SUM(D38:E38)</f>
        <v>0</v>
      </c>
      <c r="G38" s="154">
        <v>4</v>
      </c>
      <c r="H38" s="153">
        <v>16</v>
      </c>
      <c r="I38" s="153">
        <v>43</v>
      </c>
      <c r="J38" s="153">
        <v>40</v>
      </c>
      <c r="K38" s="153">
        <v>31</v>
      </c>
      <c r="L38" s="126">
        <f>SUM(G38:K38)</f>
        <v>134</v>
      </c>
      <c r="M38" s="136">
        <f t="shared" si="3"/>
        <v>134</v>
      </c>
      <c r="N38" s="20"/>
      <c r="O38" s="20"/>
    </row>
    <row r="39" spans="1:15" s="21" customFormat="1" ht="18" customHeight="1">
      <c r="A39" s="20"/>
      <c r="B39" s="20"/>
      <c r="C39" s="109"/>
      <c r="D39" s="20"/>
      <c r="E39" s="20"/>
      <c r="F39" s="20"/>
      <c r="G39" s="20"/>
      <c r="H39" s="20"/>
      <c r="I39" s="20"/>
      <c r="J39" s="20"/>
      <c r="K39" s="20"/>
      <c r="L39" s="20"/>
      <c r="M39" s="157"/>
      <c r="N39" s="20"/>
      <c r="O39" s="20"/>
    </row>
  </sheetData>
  <sheetProtection selectLockedCells="1" selectUnlockedCells="1"/>
  <mergeCells count="8">
    <mergeCell ref="A3:O3"/>
    <mergeCell ref="A4:O4"/>
    <mergeCell ref="C25"/>
    <mergeCell ref="M25"/>
    <mergeCell ref="C11"/>
    <mergeCell ref="N11"/>
    <mergeCell ref="C18"/>
    <mergeCell ref="N18"/>
  </mergeCells>
  <phoneticPr fontId="14"/>
  <pageMargins left="0.7" right="0.7" top="0.75" bottom="0.75" header="0.3" footer="0.3"/>
  <pageSetup paperSize="9" scale="6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zoomScale="75" zoomScaleNormal="75" workbookViewId="0">
      <selection activeCell="G30" sqref="G30"/>
    </sheetView>
  </sheetViews>
  <sheetFormatPr defaultColWidth="10" defaultRowHeight="12" customHeight="1"/>
  <cols>
    <col min="1" max="4" width="4.25" style="8" customWidth="1"/>
    <col min="5" max="5" width="37.5" style="8" customWidth="1"/>
    <col min="6" max="8" width="16" style="8" customWidth="1"/>
    <col min="9" max="9" width="13.875" style="8" customWidth="1"/>
    <col min="10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C5" s="158"/>
      <c r="D5" s="158"/>
      <c r="E5" s="158"/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C6" s="158"/>
      <c r="D6" s="158"/>
      <c r="E6" s="158"/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84</v>
      </c>
      <c r="D7" s="158"/>
      <c r="E7" s="158"/>
    </row>
    <row r="8" spans="1:17" ht="18" customHeight="1">
      <c r="B8" s="158"/>
      <c r="C8" s="106" t="s">
        <v>85</v>
      </c>
      <c r="D8" s="158"/>
      <c r="E8" s="158"/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1</v>
      </c>
      <c r="H11" s="168">
        <f>SUM(H12,H18,H21,H26,H30,H31)</f>
        <v>1</v>
      </c>
      <c r="I11" s="169"/>
      <c r="J11" s="167">
        <f>SUM(J12,J18,J21,J26,J30,J31)</f>
        <v>1</v>
      </c>
      <c r="K11" s="167">
        <f>SUM(K12,K18,K21,K26,K30,K31)</f>
        <v>3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1</v>
      </c>
      <c r="O11" s="166">
        <f>O12+O18+O21+O26+O30+O31</f>
        <v>5</v>
      </c>
      <c r="P11" s="170">
        <f>P12+P18+P21+P26+P30+P31</f>
        <v>6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1</v>
      </c>
      <c r="H26" s="176">
        <f>SUM(H27:H29)</f>
        <v>1</v>
      </c>
      <c r="I26" s="177"/>
      <c r="J26" s="175">
        <f t="shared" ref="J26:P26" si="3">SUM(J27:J29)</f>
        <v>1</v>
      </c>
      <c r="K26" s="174">
        <f t="shared" si="3"/>
        <v>3</v>
      </c>
      <c r="L26" s="174">
        <f t="shared" si="3"/>
        <v>0</v>
      </c>
      <c r="M26" s="174">
        <f t="shared" si="3"/>
        <v>0</v>
      </c>
      <c r="N26" s="175">
        <f t="shared" si="3"/>
        <v>1</v>
      </c>
      <c r="O26" s="174">
        <f t="shared" si="3"/>
        <v>5</v>
      </c>
      <c r="P26" s="178">
        <f t="shared" si="3"/>
        <v>6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2</v>
      </c>
      <c r="L28" s="191">
        <v>0</v>
      </c>
      <c r="M28" s="191">
        <v>0</v>
      </c>
      <c r="N28" s="192">
        <v>1</v>
      </c>
      <c r="O28" s="174">
        <f t="shared" si="5"/>
        <v>3</v>
      </c>
      <c r="P28" s="178">
        <f t="shared" si="6"/>
        <v>3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1</v>
      </c>
      <c r="H29" s="176">
        <f t="shared" si="4"/>
        <v>1</v>
      </c>
      <c r="I29" s="193"/>
      <c r="J29" s="196">
        <v>1</v>
      </c>
      <c r="K29" s="195">
        <v>1</v>
      </c>
      <c r="L29" s="195">
        <v>0</v>
      </c>
      <c r="M29" s="195">
        <v>0</v>
      </c>
      <c r="N29" s="196">
        <v>0</v>
      </c>
      <c r="O29" s="174">
        <f t="shared" si="5"/>
        <v>2</v>
      </c>
      <c r="P29" s="178">
        <f t="shared" si="6"/>
        <v>3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199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200">
        <v>0</v>
      </c>
      <c r="G31" s="201">
        <v>0</v>
      </c>
      <c r="H31" s="202">
        <f t="shared" si="4"/>
        <v>0</v>
      </c>
      <c r="I31" s="199"/>
      <c r="J31" s="201">
        <v>0</v>
      </c>
      <c r="K31" s="200">
        <v>0</v>
      </c>
      <c r="L31" s="200">
        <v>0</v>
      </c>
      <c r="M31" s="200">
        <v>0</v>
      </c>
      <c r="N31" s="201">
        <v>0</v>
      </c>
      <c r="O31" s="203">
        <f t="shared" si="5"/>
        <v>0</v>
      </c>
      <c r="P31" s="204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1</v>
      </c>
      <c r="H52" s="235">
        <f>SUM(H11,H32,H33,H47)</f>
        <v>1</v>
      </c>
      <c r="I52" s="236"/>
      <c r="J52" s="235">
        <f>SUM(J11,J32,J33,J47)</f>
        <v>1</v>
      </c>
      <c r="K52" s="235">
        <f>SUM(K11,K32,K33,K47)</f>
        <v>3</v>
      </c>
      <c r="L52" s="235">
        <f>SUM(L11,L32,L33,L47)</f>
        <v>0</v>
      </c>
      <c r="M52" s="235">
        <f>SUM(M11,M32,M33,M47)</f>
        <v>0</v>
      </c>
      <c r="N52" s="235">
        <f>SUM(N11,N32,N33,N47)</f>
        <v>1</v>
      </c>
      <c r="O52" s="235">
        <f>O11+O32+O33+O47</f>
        <v>5</v>
      </c>
      <c r="P52" s="237">
        <f>P11+P32+P33+P47</f>
        <v>6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A4:Q4"/>
    <mergeCell ref="P10"/>
    <mergeCell ref="C10:E10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84</v>
      </c>
    </row>
    <row r="8" spans="1:17" ht="18" customHeight="1">
      <c r="B8" s="158"/>
      <c r="C8" s="106" t="s">
        <v>126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6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2" t="s">
        <v>118</v>
      </c>
      <c r="E40" s="313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2" t="s">
        <v>119</v>
      </c>
      <c r="E41" s="313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2" t="s">
        <v>120</v>
      </c>
      <c r="E42" s="313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2" t="s">
        <v>121</v>
      </c>
      <c r="E43" s="313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18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5" t="s">
        <v>125</v>
      </c>
      <c r="D50" s="316"/>
      <c r="E50" s="317"/>
      <c r="F50" s="235">
        <f>F11+F30+F31+F45</f>
        <v>0</v>
      </c>
      <c r="G50" s="235">
        <f>G11+G30+G31+G45</f>
        <v>0</v>
      </c>
      <c r="H50" s="235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23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2" customHeight="1">
      <c r="A51" s="197"/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A3:Q3"/>
    <mergeCell ref="C10:E10"/>
    <mergeCell ref="P10"/>
    <mergeCell ref="A4:Q4"/>
    <mergeCell ref="D42:E42"/>
    <mergeCell ref="C50:E50"/>
    <mergeCell ref="D44:E44"/>
    <mergeCell ref="D43:E43"/>
    <mergeCell ref="D40:E40"/>
    <mergeCell ref="D41:E41"/>
  </mergeCells>
  <phoneticPr fontId="14"/>
  <pageMargins left="0.7" right="0.7" top="0.75" bottom="0.75" header="0.3" footer="0.3"/>
  <pageSetup paperSize="9" scale="5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zoomScale="75" zoomScaleNormal="75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84</v>
      </c>
    </row>
    <row r="8" spans="1:17" ht="18" customHeight="1">
      <c r="C8" s="106" t="s">
        <v>127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200000</v>
      </c>
      <c r="H11" s="168">
        <f>SUM(H12,H18,H21,H26,H30,H31)</f>
        <v>200000</v>
      </c>
      <c r="I11" s="169"/>
      <c r="J11" s="167">
        <f>SUM(J12,J18,J21,J26,J30,J31)</f>
        <v>80000</v>
      </c>
      <c r="K11" s="167">
        <f>SUM(K12,K18,K21,K26,K30,K31)</f>
        <v>286890</v>
      </c>
      <c r="L11" s="167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366890</v>
      </c>
      <c r="P11" s="170">
        <f>P12+P18+P21+P26+P30+P31</f>
        <v>566890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200000</v>
      </c>
      <c r="H26" s="176">
        <f>SUM(H27:H29)</f>
        <v>200000</v>
      </c>
      <c r="I26" s="177"/>
      <c r="J26" s="175">
        <f t="shared" ref="J26:P26" si="3">SUM(J27:J29)</f>
        <v>80000</v>
      </c>
      <c r="K26" s="174">
        <f t="shared" si="3"/>
        <v>286890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366890</v>
      </c>
      <c r="P26" s="178">
        <f t="shared" si="3"/>
        <v>566890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86890</v>
      </c>
      <c r="L28" s="191">
        <v>0</v>
      </c>
      <c r="M28" s="191">
        <v>0</v>
      </c>
      <c r="N28" s="192">
        <v>0</v>
      </c>
      <c r="O28" s="174">
        <f t="shared" si="5"/>
        <v>86890</v>
      </c>
      <c r="P28" s="178">
        <f t="shared" si="6"/>
        <v>86890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200000</v>
      </c>
      <c r="H29" s="176">
        <f t="shared" si="4"/>
        <v>200000</v>
      </c>
      <c r="I29" s="193"/>
      <c r="J29" s="196">
        <v>80000</v>
      </c>
      <c r="K29" s="195">
        <v>200000</v>
      </c>
      <c r="L29" s="195">
        <v>0</v>
      </c>
      <c r="M29" s="195">
        <v>0</v>
      </c>
      <c r="N29" s="196">
        <v>0</v>
      </c>
      <c r="O29" s="174">
        <f t="shared" si="5"/>
        <v>280000</v>
      </c>
      <c r="P29" s="178">
        <f t="shared" si="6"/>
        <v>480000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200000</v>
      </c>
      <c r="H52" s="247">
        <f>SUM(H11,H32,H33,H47)</f>
        <v>200000</v>
      </c>
      <c r="I52" s="236"/>
      <c r="J52" s="235">
        <f>SUM(J11,J32,J33,J47)</f>
        <v>80000</v>
      </c>
      <c r="K52" s="235">
        <f>SUM(K11,K32,K33,K47)</f>
        <v>286890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366890</v>
      </c>
      <c r="P52" s="237">
        <f>P11+P32+P33+P47</f>
        <v>566890</v>
      </c>
      <c r="Q52" s="80"/>
    </row>
    <row r="53" spans="1:17" ht="12" customHeight="1">
      <c r="A53" s="197"/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topLeftCell="E1" zoomScale="75" zoomScaleNormal="75" workbookViewId="0">
      <selection activeCell="K28" sqref="K28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84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180000</v>
      </c>
      <c r="H11" s="166">
        <f>SUM(H12,H18,H21,H26,H30,H31)</f>
        <v>180000</v>
      </c>
      <c r="I11" s="169"/>
      <c r="J11" s="167">
        <f t="shared" ref="J11:P11" si="0">SUM(J12,J18,J21,J26,J30,J31)</f>
        <v>72000</v>
      </c>
      <c r="K11" s="167">
        <f t="shared" si="0"/>
        <v>258201</v>
      </c>
      <c r="L11" s="167">
        <f t="shared" si="0"/>
        <v>0</v>
      </c>
      <c r="M11" s="167">
        <f t="shared" si="0"/>
        <v>0</v>
      </c>
      <c r="N11" s="167">
        <f t="shared" si="0"/>
        <v>0</v>
      </c>
      <c r="O11" s="166">
        <f t="shared" si="0"/>
        <v>330201</v>
      </c>
      <c r="P11" s="170">
        <f t="shared" si="0"/>
        <v>510201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180000</v>
      </c>
      <c r="H26" s="176">
        <f>SUM(H27:H29)</f>
        <v>180000</v>
      </c>
      <c r="I26" s="177"/>
      <c r="J26" s="175">
        <f t="shared" ref="J26:P26" si="4">SUM(J27:J29)</f>
        <v>72000</v>
      </c>
      <c r="K26" s="174">
        <f t="shared" si="4"/>
        <v>258201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330201</v>
      </c>
      <c r="P26" s="178">
        <f t="shared" si="4"/>
        <v>510201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5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6">SUM(I27:N27)</f>
        <v>0</v>
      </c>
      <c r="P27" s="178">
        <f t="shared" ref="P27:P32" si="7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5"/>
        <v>0</v>
      </c>
      <c r="I28" s="193"/>
      <c r="J28" s="192">
        <v>0</v>
      </c>
      <c r="K28" s="191">
        <v>78201</v>
      </c>
      <c r="L28" s="191">
        <v>0</v>
      </c>
      <c r="M28" s="191">
        <v>0</v>
      </c>
      <c r="N28" s="192">
        <v>0</v>
      </c>
      <c r="O28" s="174">
        <f t="shared" si="6"/>
        <v>78201</v>
      </c>
      <c r="P28" s="178">
        <f t="shared" si="7"/>
        <v>78201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180000</v>
      </c>
      <c r="H29" s="176">
        <f t="shared" si="5"/>
        <v>180000</v>
      </c>
      <c r="I29" s="193"/>
      <c r="J29" s="196">
        <v>72000</v>
      </c>
      <c r="K29" s="195">
        <v>180000</v>
      </c>
      <c r="L29" s="195">
        <v>0</v>
      </c>
      <c r="M29" s="195">
        <v>0</v>
      </c>
      <c r="N29" s="196">
        <v>0</v>
      </c>
      <c r="O29" s="174">
        <f t="shared" si="6"/>
        <v>252000</v>
      </c>
      <c r="P29" s="178">
        <f t="shared" si="7"/>
        <v>432000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5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6"/>
        <v>0</v>
      </c>
      <c r="P30" s="178">
        <f t="shared" si="7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5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6"/>
        <v>0</v>
      </c>
      <c r="P31" s="178">
        <f t="shared" si="7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5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6"/>
        <v>0</v>
      </c>
      <c r="P32" s="212">
        <f t="shared" si="7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8">SUM(J34:J46)</f>
        <v>0</v>
      </c>
      <c r="K33" s="166">
        <f t="shared" si="8"/>
        <v>0</v>
      </c>
      <c r="L33" s="166">
        <f t="shared" si="8"/>
        <v>0</v>
      </c>
      <c r="M33" s="166">
        <f t="shared" si="8"/>
        <v>0</v>
      </c>
      <c r="N33" s="167">
        <f t="shared" si="8"/>
        <v>0</v>
      </c>
      <c r="O33" s="166">
        <f t="shared" si="8"/>
        <v>0</v>
      </c>
      <c r="P33" s="170">
        <f t="shared" si="8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9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10">SUM(I34:N34)</f>
        <v>0</v>
      </c>
      <c r="P34" s="222">
        <f t="shared" ref="P34:P46" si="11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9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10"/>
        <v>0</v>
      </c>
      <c r="P35" s="178">
        <f t="shared" si="11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9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10"/>
        <v>0</v>
      </c>
      <c r="P36" s="178">
        <f t="shared" si="11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9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10"/>
        <v>0</v>
      </c>
      <c r="P37" s="178">
        <f t="shared" si="11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9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10"/>
        <v>0</v>
      </c>
      <c r="P38" s="178">
        <f t="shared" si="11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9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10"/>
        <v>0</v>
      </c>
      <c r="P39" s="178">
        <f t="shared" si="11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9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10"/>
        <v>0</v>
      </c>
      <c r="P40" s="178">
        <f t="shared" si="11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9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10"/>
        <v>0</v>
      </c>
      <c r="P41" s="178">
        <f t="shared" si="11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9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10"/>
        <v>0</v>
      </c>
      <c r="P42" s="178">
        <f t="shared" si="11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9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10"/>
        <v>0</v>
      </c>
      <c r="P43" s="178">
        <f t="shared" si="11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9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10"/>
        <v>0</v>
      </c>
      <c r="P44" s="222">
        <f t="shared" si="11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8">
        <v>0</v>
      </c>
      <c r="G45" s="218">
        <v>0</v>
      </c>
      <c r="H45" s="176">
        <f t="shared" si="9"/>
        <v>0</v>
      </c>
      <c r="I45" s="220"/>
      <c r="J45" s="218">
        <v>0</v>
      </c>
      <c r="K45" s="218">
        <v>0</v>
      </c>
      <c r="L45" s="218">
        <v>0</v>
      </c>
      <c r="M45" s="218">
        <v>0</v>
      </c>
      <c r="N45" s="218">
        <v>0</v>
      </c>
      <c r="O45" s="221">
        <f t="shared" si="10"/>
        <v>0</v>
      </c>
      <c r="P45" s="248">
        <f t="shared" si="11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9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10"/>
        <v>0</v>
      </c>
      <c r="P46" s="226">
        <f t="shared" si="11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2">SUM(J48:J51)</f>
        <v>0</v>
      </c>
      <c r="K47" s="166">
        <f t="shared" si="12"/>
        <v>0</v>
      </c>
      <c r="L47" s="166">
        <f t="shared" si="12"/>
        <v>0</v>
      </c>
      <c r="M47" s="166">
        <f t="shared" si="12"/>
        <v>0</v>
      </c>
      <c r="N47" s="167">
        <f t="shared" si="12"/>
        <v>0</v>
      </c>
      <c r="O47" s="166">
        <f t="shared" si="12"/>
        <v>0</v>
      </c>
      <c r="P47" s="170">
        <f t="shared" si="12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180000</v>
      </c>
      <c r="H52" s="247">
        <f>SUM(H11,H32,H33,H47)</f>
        <v>180000</v>
      </c>
      <c r="I52" s="236"/>
      <c r="J52" s="235">
        <f>SUM(J11,J32,J33,J47)</f>
        <v>72000</v>
      </c>
      <c r="K52" s="235">
        <f>SUM(K11,K32,K33,K47)</f>
        <v>258201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330201</v>
      </c>
      <c r="P52" s="237">
        <f>P11+P32+P33+P47</f>
        <v>510201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C5" s="158"/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C6" s="158"/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129</v>
      </c>
    </row>
    <row r="8" spans="1:17" ht="18" customHeight="1">
      <c r="B8" s="158"/>
      <c r="C8" s="106" t="s">
        <v>85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1</v>
      </c>
      <c r="L11" s="167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1</v>
      </c>
      <c r="P11" s="170">
        <f>P12+P18+P21+P26+P30+P31</f>
        <v>1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1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1</v>
      </c>
      <c r="P26" s="178">
        <f t="shared" si="3"/>
        <v>1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1</v>
      </c>
      <c r="L28" s="191">
        <v>0</v>
      </c>
      <c r="M28" s="191">
        <v>0</v>
      </c>
      <c r="N28" s="192">
        <v>0</v>
      </c>
      <c r="O28" s="174">
        <f>SUM(I28:N28)</f>
        <v>1</v>
      </c>
      <c r="P28" s="178">
        <f>H28+O28</f>
        <v>1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35">
        <f>SUM(H11,H32,H33,H47)</f>
        <v>0</v>
      </c>
      <c r="I52" s="236"/>
      <c r="J52" s="235">
        <f>SUM(J11,J32,J33,J47)</f>
        <v>0</v>
      </c>
      <c r="K52" s="235">
        <f>SUM(K11,K32,K33,K47)</f>
        <v>1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1</v>
      </c>
      <c r="P52" s="237">
        <f>P11+P32+P33+P47</f>
        <v>1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106" t="s">
        <v>126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6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49"/>
      <c r="G30" s="249"/>
      <c r="H30" s="250"/>
      <c r="I30" s="251"/>
      <c r="J30" s="249"/>
      <c r="K30" s="249"/>
      <c r="L30" s="249"/>
      <c r="M30" s="249"/>
      <c r="N30" s="249"/>
      <c r="O30" s="250"/>
      <c r="P30" s="252"/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74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2" t="s">
        <v>118</v>
      </c>
      <c r="E40" s="313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2" t="s">
        <v>119</v>
      </c>
      <c r="E41" s="313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2" t="s">
        <v>120</v>
      </c>
      <c r="E42" s="313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2" t="s">
        <v>121</v>
      </c>
      <c r="E43" s="313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18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5" t="s">
        <v>125</v>
      </c>
      <c r="D50" s="316"/>
      <c r="E50" s="317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23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A3:Q3"/>
    <mergeCell ref="A4:Q4"/>
    <mergeCell ref="C10:E10"/>
    <mergeCell ref="P10"/>
    <mergeCell ref="D42:E42"/>
    <mergeCell ref="C50:E50"/>
    <mergeCell ref="D44:E44"/>
    <mergeCell ref="D43:E43"/>
    <mergeCell ref="D40:E40"/>
    <mergeCell ref="D41:E41"/>
  </mergeCells>
  <phoneticPr fontId="14"/>
  <pageMargins left="0.7" right="0.7" top="0.75" bottom="0.75" header="0.3" footer="0.3"/>
  <pageSetup paperSize="9" scale="5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253" t="s">
        <v>127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7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35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A4:Q4"/>
    <mergeCell ref="C10:E10"/>
    <mergeCell ref="P10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zoomScaleNormal="100" workbookViewId="0">
      <selection activeCell="K29" sqref="K29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253" t="s">
        <v>128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 t="shared" ref="J11:P11" si="0">SUM(J12,J18,J21,J26,J30,J31)</f>
        <v>0</v>
      </c>
      <c r="K11" s="167">
        <f t="shared" si="0"/>
        <v>0</v>
      </c>
      <c r="L11" s="166">
        <f t="shared" si="0"/>
        <v>0</v>
      </c>
      <c r="M11" s="167">
        <f t="shared" si="0"/>
        <v>0</v>
      </c>
      <c r="N11" s="167">
        <f t="shared" si="0"/>
        <v>0</v>
      </c>
      <c r="O11" s="166">
        <f t="shared" si="0"/>
        <v>0</v>
      </c>
      <c r="P11" s="170">
        <f t="shared" si="0"/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4">SUM(J27:J29)</f>
        <v>0</v>
      </c>
      <c r="K26" s="174">
        <f t="shared" si="4"/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5">SUM(J34:J46)</f>
        <v>0</v>
      </c>
      <c r="K33" s="166">
        <f t="shared" si="5"/>
        <v>0</v>
      </c>
      <c r="L33" s="166">
        <f t="shared" si="5"/>
        <v>0</v>
      </c>
      <c r="M33" s="166">
        <f t="shared" si="5"/>
        <v>0</v>
      </c>
      <c r="N33" s="167">
        <f t="shared" si="5"/>
        <v>0</v>
      </c>
      <c r="O33" s="166">
        <f t="shared" si="5"/>
        <v>0</v>
      </c>
      <c r="P33" s="170">
        <f t="shared" si="5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6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7">SUM(I34:N34)</f>
        <v>0</v>
      </c>
      <c r="P34" s="222">
        <f t="shared" ref="P34:P46" si="8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6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6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6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6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6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  <c r="Q40" s="80"/>
    </row>
    <row r="41" spans="1:17" s="78" customFormat="1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6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6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7"/>
        <v>0</v>
      </c>
      <c r="P42" s="178">
        <f t="shared" si="8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6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7"/>
        <v>0</v>
      </c>
      <c r="P43" s="178">
        <f t="shared" si="8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6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7"/>
        <v>0</v>
      </c>
      <c r="P44" s="222">
        <f t="shared" si="8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6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7"/>
        <v>0</v>
      </c>
      <c r="P45" s="222">
        <f t="shared" si="8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6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7"/>
        <v>0</v>
      </c>
      <c r="P46" s="226">
        <f t="shared" si="8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9">SUM(J48:J51)</f>
        <v>0</v>
      </c>
      <c r="K47" s="166">
        <f t="shared" si="9"/>
        <v>0</v>
      </c>
      <c r="L47" s="166">
        <f t="shared" si="9"/>
        <v>0</v>
      </c>
      <c r="M47" s="166">
        <f t="shared" si="9"/>
        <v>0</v>
      </c>
      <c r="N47" s="167">
        <f t="shared" si="9"/>
        <v>0</v>
      </c>
      <c r="O47" s="166">
        <f t="shared" si="9"/>
        <v>0</v>
      </c>
      <c r="P47" s="170">
        <f t="shared" si="9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7.25" customHeight="1"/>
  </sheetData>
  <mergeCells count="11">
    <mergeCell ref="A3:Q3"/>
    <mergeCell ref="A4:Q4"/>
    <mergeCell ref="C10:E10"/>
    <mergeCell ref="P10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106" t="s">
        <v>85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131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A4:Q4"/>
    <mergeCell ref="C10:E10"/>
    <mergeCell ref="P10"/>
    <mergeCell ref="D34:E34"/>
    <mergeCell ref="D43:E43"/>
    <mergeCell ref="D44:E44"/>
    <mergeCell ref="D42:E42"/>
    <mergeCell ref="D46:E46"/>
    <mergeCell ref="C52:E52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106" t="s">
        <v>126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49"/>
      <c r="G30" s="249"/>
      <c r="H30" s="250"/>
      <c r="I30" s="251"/>
      <c r="J30" s="249"/>
      <c r="K30" s="249"/>
      <c r="L30" s="249"/>
      <c r="M30" s="249"/>
      <c r="N30" s="249"/>
      <c r="O30" s="250"/>
      <c r="P30" s="252"/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74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2" t="s">
        <v>118</v>
      </c>
      <c r="E40" s="313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2" t="s">
        <v>119</v>
      </c>
      <c r="E41" s="313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2" t="s">
        <v>120</v>
      </c>
      <c r="E42" s="313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2" t="s">
        <v>121</v>
      </c>
      <c r="E43" s="313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18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5" t="s">
        <v>125</v>
      </c>
      <c r="D50" s="316"/>
      <c r="E50" s="317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A3:Q3"/>
    <mergeCell ref="A4:Q4"/>
    <mergeCell ref="C10:E10"/>
    <mergeCell ref="P10"/>
    <mergeCell ref="D42:E42"/>
    <mergeCell ref="D44:E44"/>
    <mergeCell ref="C50:E50"/>
    <mergeCell ref="D43:E43"/>
    <mergeCell ref="D40:E40"/>
    <mergeCell ref="D41:E41"/>
  </mergeCells>
  <phoneticPr fontId="14"/>
  <pageMargins left="0.7" right="0.7" top="0.75" bottom="0.75" header="0.3" footer="0.3"/>
  <pageSetup paperSize="9" scale="56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H20" sqref="H20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253" t="s">
        <v>127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A4:Q4"/>
    <mergeCell ref="C10:E10"/>
    <mergeCell ref="P10"/>
    <mergeCell ref="D34:E34"/>
    <mergeCell ref="D43:E43"/>
    <mergeCell ref="D44:E44"/>
    <mergeCell ref="D42:E42"/>
    <mergeCell ref="D46:E46"/>
    <mergeCell ref="C52:E52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H25" sqref="H2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253" t="s">
        <v>128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A4:Q4"/>
    <mergeCell ref="C10:E10"/>
    <mergeCell ref="P10"/>
    <mergeCell ref="D34:E34"/>
    <mergeCell ref="D43:E43"/>
    <mergeCell ref="D44:E44"/>
    <mergeCell ref="D42:E42"/>
    <mergeCell ref="D46:E46"/>
    <mergeCell ref="C52:E52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85</v>
      </c>
    </row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132</v>
      </c>
      <c r="Q1" s="238"/>
    </row>
    <row r="2" spans="1:17" ht="18" customHeight="1">
      <c r="Q2" s="238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2" t="s">
        <v>118</v>
      </c>
      <c r="E40" s="313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2" t="s">
        <v>119</v>
      </c>
      <c r="E41" s="313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2" t="s">
        <v>120</v>
      </c>
      <c r="E42" s="313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2" t="s">
        <v>121</v>
      </c>
      <c r="E43" s="313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18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5" t="s">
        <v>125</v>
      </c>
      <c r="D50" s="316"/>
      <c r="E50" s="317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A3:Q3"/>
    <mergeCell ref="C10:E10"/>
    <mergeCell ref="P10"/>
    <mergeCell ref="A4:Q4"/>
    <mergeCell ref="D42:E42"/>
    <mergeCell ref="C50:E50"/>
    <mergeCell ref="D44:E44"/>
    <mergeCell ref="D43:E43"/>
    <mergeCell ref="D40:E40"/>
    <mergeCell ref="D41:E41"/>
  </mergeCells>
  <phoneticPr fontId="14"/>
  <pageMargins left="0.7" right="0.7" top="0.75" bottom="0.75" header="0.3" footer="0.3"/>
  <pageSetup paperSize="9" scale="5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pageMargins left="0.7" right="0.7" top="0.75" bottom="0.75" header="0.3" footer="0.3"/>
  <pageSetup paperSize="9" scale="56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85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A4:Q4"/>
    <mergeCell ref="C10:E10"/>
    <mergeCell ref="P10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134</v>
      </c>
      <c r="Q1" s="238"/>
    </row>
    <row r="2" spans="1:17" ht="18" customHeight="1">
      <c r="Q2" s="238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2" t="s">
        <v>118</v>
      </c>
      <c r="E40" s="313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2" t="s">
        <v>119</v>
      </c>
      <c r="E41" s="313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2" t="s">
        <v>120</v>
      </c>
      <c r="E42" s="313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2" t="s">
        <v>121</v>
      </c>
      <c r="E43" s="313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18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5" t="s">
        <v>125</v>
      </c>
      <c r="D50" s="316"/>
      <c r="E50" s="317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A3:Q3"/>
    <mergeCell ref="C10:E10"/>
    <mergeCell ref="P10"/>
    <mergeCell ref="A4:Q4"/>
    <mergeCell ref="D42:E42"/>
    <mergeCell ref="C50:E50"/>
    <mergeCell ref="D44:E44"/>
    <mergeCell ref="D43:E43"/>
    <mergeCell ref="D40:E40"/>
    <mergeCell ref="D41:E41"/>
  </mergeCells>
  <phoneticPr fontId="14"/>
  <pageMargins left="0.7" right="0.7" top="0.75" bottom="0.75" header="0.3" footer="0.3"/>
  <pageSetup paperSize="9" scale="56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80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85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  <c r="Q28" s="80"/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80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80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80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80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80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80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80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  <c r="Q36" s="80"/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80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  <c r="Q38" s="80"/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80"/>
    </row>
    <row r="40" spans="1:17" s="78" customFormat="1" ht="18" customHeight="1">
      <c r="A40" s="197"/>
      <c r="B40" s="197"/>
      <c r="C40" s="171"/>
      <c r="D40" s="312" t="s">
        <v>118</v>
      </c>
      <c r="E40" s="313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  <c r="Q40" s="80"/>
    </row>
    <row r="41" spans="1:17" ht="18" customHeight="1">
      <c r="A41" s="197"/>
      <c r="B41" s="197"/>
      <c r="C41" s="171"/>
      <c r="D41" s="312" t="s">
        <v>119</v>
      </c>
      <c r="E41" s="313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80"/>
    </row>
    <row r="42" spans="1:17" ht="18" customHeight="1">
      <c r="A42" s="197"/>
      <c r="B42" s="197"/>
      <c r="C42" s="171"/>
      <c r="D42" s="312" t="s">
        <v>120</v>
      </c>
      <c r="E42" s="313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80"/>
    </row>
    <row r="43" spans="1:17" s="78" customFormat="1" ht="18" customHeight="1">
      <c r="A43" s="197"/>
      <c r="B43" s="197"/>
      <c r="C43" s="224"/>
      <c r="D43" s="312" t="s">
        <v>121</v>
      </c>
      <c r="E43" s="313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  <c r="Q43" s="80"/>
    </row>
    <row r="44" spans="1:17" ht="18" customHeight="1">
      <c r="A44" s="197"/>
      <c r="B44" s="197"/>
      <c r="C44" s="225"/>
      <c r="D44" s="318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80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80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80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80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80"/>
    </row>
    <row r="50" spans="1:17" ht="18" customHeight="1">
      <c r="A50" s="197"/>
      <c r="B50" s="197"/>
      <c r="C50" s="315" t="s">
        <v>125</v>
      </c>
      <c r="D50" s="316"/>
      <c r="E50" s="317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80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80"/>
    </row>
  </sheetData>
  <mergeCells count="10">
    <mergeCell ref="A3:Q3"/>
    <mergeCell ref="C10:E10"/>
    <mergeCell ref="P10"/>
    <mergeCell ref="A4:Q4"/>
    <mergeCell ref="D42:E42"/>
    <mergeCell ref="C50:E50"/>
    <mergeCell ref="D44:E44"/>
    <mergeCell ref="D43:E43"/>
    <mergeCell ref="D40:E40"/>
    <mergeCell ref="D41:E41"/>
  </mergeCells>
  <phoneticPr fontId="14"/>
  <pageMargins left="0.7" right="0.7" top="0.75" bottom="0.75" header="0.3" footer="0.3"/>
  <pageSetup paperSize="9" scale="56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21" t="s">
        <v>86</v>
      </c>
      <c r="D10" s="322"/>
      <c r="E10" s="323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20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2" t="s">
        <v>110</v>
      </c>
      <c r="E34" s="314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2" t="s">
        <v>118</v>
      </c>
      <c r="E42" s="313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2" t="s">
        <v>119</v>
      </c>
      <c r="E43" s="313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2" t="s">
        <v>120</v>
      </c>
      <c r="E44" s="314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2" t="s">
        <v>121</v>
      </c>
      <c r="E45" s="314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18" t="s">
        <v>122</v>
      </c>
      <c r="E46" s="319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5" t="s">
        <v>125</v>
      </c>
      <c r="D52" s="316"/>
      <c r="E52" s="317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A3:Q3"/>
    <mergeCell ref="C10:E10"/>
    <mergeCell ref="P10"/>
    <mergeCell ref="A4:Q4"/>
    <mergeCell ref="D34:E34"/>
    <mergeCell ref="D43:E43"/>
    <mergeCell ref="D44:E44"/>
    <mergeCell ref="D42:E42"/>
    <mergeCell ref="C52:E52"/>
    <mergeCell ref="D46:E46"/>
    <mergeCell ref="D45:E45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9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138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139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140</v>
      </c>
    </row>
    <row r="9" spans="1:17" ht="16.5" customHeight="1">
      <c r="C9" s="321" t="s">
        <v>86</v>
      </c>
      <c r="D9" s="322"/>
      <c r="E9" s="323"/>
      <c r="F9" s="160" t="s">
        <v>69</v>
      </c>
      <c r="G9" s="160" t="s">
        <v>70</v>
      </c>
      <c r="H9" s="161" t="s">
        <v>17</v>
      </c>
      <c r="I9" s="162" t="s">
        <v>71</v>
      </c>
      <c r="J9" s="160" t="s">
        <v>72</v>
      </c>
      <c r="K9" s="160" t="s">
        <v>73</v>
      </c>
      <c r="L9" s="160" t="s">
        <v>74</v>
      </c>
      <c r="M9" s="160" t="s">
        <v>75</v>
      </c>
      <c r="N9" s="160" t="s">
        <v>76</v>
      </c>
      <c r="O9" s="254" t="s">
        <v>17</v>
      </c>
      <c r="P9" s="320" t="s">
        <v>36</v>
      </c>
      <c r="Q9" s="163"/>
    </row>
    <row r="10" spans="1:17" ht="16.5" customHeight="1">
      <c r="C10" s="164" t="s">
        <v>141</v>
      </c>
      <c r="D10" s="207"/>
      <c r="E10" s="25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6"/>
    </row>
    <row r="11" spans="1:17" ht="16.5" customHeight="1">
      <c r="C11" s="171"/>
      <c r="D11" s="256" t="s">
        <v>38</v>
      </c>
      <c r="E11" s="257"/>
      <c r="F11" s="258">
        <f>SUM(F12:F20)</f>
        <v>0</v>
      </c>
      <c r="G11" s="221">
        <f>SUM(G12:G20)</f>
        <v>0</v>
      </c>
      <c r="H11" s="168">
        <f>SUM(H12:H20)</f>
        <v>0</v>
      </c>
      <c r="I11" s="169"/>
      <c r="J11" s="259">
        <f t="shared" ref="J11:P11" si="0">SUM(J12:J20)</f>
        <v>0</v>
      </c>
      <c r="K11" s="221">
        <f t="shared" si="0"/>
        <v>0</v>
      </c>
      <c r="L11" s="221">
        <f t="shared" si="0"/>
        <v>0</v>
      </c>
      <c r="M11" s="221">
        <f t="shared" si="0"/>
        <v>0</v>
      </c>
      <c r="N11" s="221">
        <f t="shared" si="0"/>
        <v>0</v>
      </c>
      <c r="O11" s="168">
        <f t="shared" si="0"/>
        <v>0</v>
      </c>
      <c r="P11" s="170">
        <f t="shared" si="0"/>
        <v>0</v>
      </c>
    </row>
    <row r="12" spans="1:17" ht="16.5" customHeight="1">
      <c r="C12" s="171"/>
      <c r="D12" s="260"/>
      <c r="E12" s="180" t="s">
        <v>31</v>
      </c>
      <c r="F12" s="218">
        <v>0</v>
      </c>
      <c r="G12" s="218">
        <v>0</v>
      </c>
      <c r="H12" s="219">
        <f t="shared" ref="H12:H20" si="1">SUM(F12:G12)</f>
        <v>0</v>
      </c>
      <c r="I12" s="183"/>
      <c r="J12" s="244">
        <v>0</v>
      </c>
      <c r="K12" s="217">
        <v>0</v>
      </c>
      <c r="L12" s="217">
        <v>0</v>
      </c>
      <c r="M12" s="217">
        <v>0</v>
      </c>
      <c r="N12" s="217">
        <v>0</v>
      </c>
      <c r="O12" s="219">
        <f t="shared" ref="O12:O20" si="2">SUM(I12:N12)</f>
        <v>0</v>
      </c>
      <c r="P12" s="222">
        <f t="shared" ref="P12:P20" si="3">H12+O12</f>
        <v>0</v>
      </c>
    </row>
    <row r="13" spans="1:17" ht="16.5" customHeight="1">
      <c r="C13" s="171"/>
      <c r="D13" s="261"/>
      <c r="E13" s="180" t="s">
        <v>32</v>
      </c>
      <c r="F13" s="218">
        <v>0</v>
      </c>
      <c r="G13" s="218">
        <v>0</v>
      </c>
      <c r="H13" s="219">
        <f t="shared" si="1"/>
        <v>0</v>
      </c>
      <c r="I13" s="183"/>
      <c r="J13" s="244">
        <v>0</v>
      </c>
      <c r="K13" s="217">
        <v>0</v>
      </c>
      <c r="L13" s="217">
        <v>0</v>
      </c>
      <c r="M13" s="217">
        <v>0</v>
      </c>
      <c r="N13" s="217">
        <v>0</v>
      </c>
      <c r="O13" s="219">
        <f t="shared" si="2"/>
        <v>0</v>
      </c>
      <c r="P13" s="222">
        <f t="shared" si="3"/>
        <v>0</v>
      </c>
    </row>
    <row r="14" spans="1:17" ht="16.5" customHeight="1">
      <c r="C14" s="171"/>
      <c r="D14" s="260"/>
      <c r="E14" s="180" t="s">
        <v>33</v>
      </c>
      <c r="F14" s="218">
        <v>0</v>
      </c>
      <c r="G14" s="218">
        <v>0</v>
      </c>
      <c r="H14" s="219">
        <f t="shared" si="1"/>
        <v>0</v>
      </c>
      <c r="I14" s="183"/>
      <c r="J14" s="244">
        <v>0</v>
      </c>
      <c r="K14" s="217">
        <v>0</v>
      </c>
      <c r="L14" s="217">
        <v>0</v>
      </c>
      <c r="M14" s="217">
        <v>0</v>
      </c>
      <c r="N14" s="217">
        <v>0</v>
      </c>
      <c r="O14" s="219">
        <f t="shared" si="2"/>
        <v>0</v>
      </c>
      <c r="P14" s="222">
        <f t="shared" si="3"/>
        <v>0</v>
      </c>
    </row>
    <row r="15" spans="1:17" ht="16.5" customHeight="1">
      <c r="C15" s="171"/>
      <c r="D15" s="260"/>
      <c r="E15" s="180" t="s">
        <v>34</v>
      </c>
      <c r="F15" s="218">
        <v>0</v>
      </c>
      <c r="G15" s="218">
        <v>0</v>
      </c>
      <c r="H15" s="219">
        <f t="shared" si="1"/>
        <v>0</v>
      </c>
      <c r="I15" s="183"/>
      <c r="J15" s="244">
        <v>0</v>
      </c>
      <c r="K15" s="217">
        <v>0</v>
      </c>
      <c r="L15" s="217">
        <v>0</v>
      </c>
      <c r="M15" s="217">
        <v>0</v>
      </c>
      <c r="N15" s="217">
        <v>0</v>
      </c>
      <c r="O15" s="219">
        <f t="shared" si="2"/>
        <v>0</v>
      </c>
      <c r="P15" s="222">
        <f t="shared" si="3"/>
        <v>0</v>
      </c>
    </row>
    <row r="16" spans="1:17" ht="16.5" customHeight="1">
      <c r="C16" s="171"/>
      <c r="D16" s="260"/>
      <c r="E16" s="180" t="s">
        <v>120</v>
      </c>
      <c r="F16" s="218">
        <v>0</v>
      </c>
      <c r="G16" s="218">
        <v>0</v>
      </c>
      <c r="H16" s="219">
        <f t="shared" si="1"/>
        <v>0</v>
      </c>
      <c r="I16" s="183"/>
      <c r="J16" s="244">
        <v>0</v>
      </c>
      <c r="K16" s="217">
        <v>0</v>
      </c>
      <c r="L16" s="217">
        <v>0</v>
      </c>
      <c r="M16" s="217">
        <v>0</v>
      </c>
      <c r="N16" s="217">
        <v>0</v>
      </c>
      <c r="O16" s="219">
        <f t="shared" si="2"/>
        <v>0</v>
      </c>
      <c r="P16" s="222">
        <f t="shared" si="3"/>
        <v>0</v>
      </c>
    </row>
    <row r="17" spans="3:16" ht="16.5" customHeight="1">
      <c r="C17" s="171"/>
      <c r="D17" s="260"/>
      <c r="E17" s="180" t="s">
        <v>98</v>
      </c>
      <c r="F17" s="217">
        <v>0</v>
      </c>
      <c r="G17" s="217">
        <v>0</v>
      </c>
      <c r="H17" s="219">
        <f t="shared" si="1"/>
        <v>0</v>
      </c>
      <c r="I17" s="183"/>
      <c r="J17" s="244">
        <v>0</v>
      </c>
      <c r="K17" s="217">
        <v>0</v>
      </c>
      <c r="L17" s="217">
        <v>0</v>
      </c>
      <c r="M17" s="217">
        <v>0</v>
      </c>
      <c r="N17" s="217">
        <v>0</v>
      </c>
      <c r="O17" s="219">
        <f t="shared" si="2"/>
        <v>0</v>
      </c>
      <c r="P17" s="222">
        <f t="shared" si="3"/>
        <v>0</v>
      </c>
    </row>
    <row r="18" spans="3:16" ht="16.5" customHeight="1">
      <c r="C18" s="171"/>
      <c r="D18" s="260"/>
      <c r="E18" s="180" t="s">
        <v>99</v>
      </c>
      <c r="F18" s="262">
        <v>0</v>
      </c>
      <c r="G18" s="262">
        <v>0</v>
      </c>
      <c r="H18" s="263">
        <f t="shared" si="1"/>
        <v>0</v>
      </c>
      <c r="I18" s="183"/>
      <c r="J18" s="264">
        <v>0</v>
      </c>
      <c r="K18" s="262">
        <v>0</v>
      </c>
      <c r="L18" s="262">
        <v>0</v>
      </c>
      <c r="M18" s="262">
        <v>0</v>
      </c>
      <c r="N18" s="262">
        <v>0</v>
      </c>
      <c r="O18" s="263">
        <f t="shared" si="2"/>
        <v>0</v>
      </c>
      <c r="P18" s="265">
        <f t="shared" si="3"/>
        <v>0</v>
      </c>
    </row>
    <row r="19" spans="3:16" ht="16.5" customHeight="1">
      <c r="C19" s="171"/>
      <c r="D19" s="260"/>
      <c r="E19" s="266" t="s">
        <v>100</v>
      </c>
      <c r="F19" s="262">
        <v>0</v>
      </c>
      <c r="G19" s="262">
        <v>0</v>
      </c>
      <c r="H19" s="263">
        <f t="shared" si="1"/>
        <v>0</v>
      </c>
      <c r="I19" s="183"/>
      <c r="J19" s="264">
        <v>0</v>
      </c>
      <c r="K19" s="262">
        <v>0</v>
      </c>
      <c r="L19" s="262">
        <v>0</v>
      </c>
      <c r="M19" s="262">
        <v>0</v>
      </c>
      <c r="N19" s="262">
        <v>0</v>
      </c>
      <c r="O19" s="263">
        <f t="shared" si="2"/>
        <v>0</v>
      </c>
      <c r="P19" s="265">
        <f t="shared" si="3"/>
        <v>0</v>
      </c>
    </row>
    <row r="20" spans="3:16" ht="16.5" customHeight="1">
      <c r="C20" s="171"/>
      <c r="D20" s="267"/>
      <c r="E20" s="268" t="s">
        <v>101</v>
      </c>
      <c r="F20" s="230">
        <v>0</v>
      </c>
      <c r="G20" s="230">
        <v>0</v>
      </c>
      <c r="H20" s="232">
        <f t="shared" si="1"/>
        <v>0</v>
      </c>
      <c r="I20" s="183"/>
      <c r="J20" s="269">
        <v>0</v>
      </c>
      <c r="K20" s="230">
        <v>0</v>
      </c>
      <c r="L20" s="230">
        <v>0</v>
      </c>
      <c r="M20" s="230">
        <v>0</v>
      </c>
      <c r="N20" s="230">
        <v>0</v>
      </c>
      <c r="O20" s="232">
        <f t="shared" si="2"/>
        <v>0</v>
      </c>
      <c r="P20" s="234">
        <f t="shared" si="3"/>
        <v>0</v>
      </c>
    </row>
    <row r="21" spans="3:16" ht="16.5" customHeight="1">
      <c r="C21" s="171"/>
      <c r="D21" s="270" t="s">
        <v>142</v>
      </c>
      <c r="E21" s="271"/>
      <c r="F21" s="174">
        <f>SUM(F22:F30)</f>
        <v>0</v>
      </c>
      <c r="G21" s="174">
        <f>SUM(G22:G30)</f>
        <v>0</v>
      </c>
      <c r="H21" s="176">
        <f>SUM(H22:H30)</f>
        <v>0</v>
      </c>
      <c r="I21" s="169"/>
      <c r="J21" s="259">
        <f t="shared" ref="J21:P21" si="4">SUM(J22:J30)</f>
        <v>0</v>
      </c>
      <c r="K21" s="174">
        <f t="shared" si="4"/>
        <v>0</v>
      </c>
      <c r="L21" s="174">
        <f t="shared" si="4"/>
        <v>0</v>
      </c>
      <c r="M21" s="174">
        <f t="shared" si="4"/>
        <v>0</v>
      </c>
      <c r="N21" s="174">
        <f t="shared" si="4"/>
        <v>0</v>
      </c>
      <c r="O21" s="176">
        <f t="shared" si="4"/>
        <v>0</v>
      </c>
      <c r="P21" s="178">
        <f t="shared" si="4"/>
        <v>0</v>
      </c>
    </row>
    <row r="22" spans="3:16" ht="16.5" customHeight="1">
      <c r="C22" s="171"/>
      <c r="D22" s="260"/>
      <c r="E22" s="180" t="s">
        <v>31</v>
      </c>
      <c r="F22" s="218">
        <v>0</v>
      </c>
      <c r="G22" s="218">
        <v>0</v>
      </c>
      <c r="H22" s="219">
        <f t="shared" ref="H22:H30" si="5">SUM(F22:G22)</f>
        <v>0</v>
      </c>
      <c r="I22" s="183"/>
      <c r="J22" s="244">
        <v>0</v>
      </c>
      <c r="K22" s="217">
        <v>0</v>
      </c>
      <c r="L22" s="217">
        <v>0</v>
      </c>
      <c r="M22" s="217">
        <v>0</v>
      </c>
      <c r="N22" s="217">
        <v>0</v>
      </c>
      <c r="O22" s="219">
        <f t="shared" ref="O22:O30" si="6">SUM(I22:N22)</f>
        <v>0</v>
      </c>
      <c r="P22" s="222">
        <f t="shared" ref="P22:P30" si="7">H22+O22</f>
        <v>0</v>
      </c>
    </row>
    <row r="23" spans="3:16" ht="16.5" customHeight="1">
      <c r="C23" s="171"/>
      <c r="D23" s="261"/>
      <c r="E23" s="180" t="s">
        <v>32</v>
      </c>
      <c r="F23" s="218">
        <v>0</v>
      </c>
      <c r="G23" s="218">
        <v>0</v>
      </c>
      <c r="H23" s="219">
        <f t="shared" si="5"/>
        <v>0</v>
      </c>
      <c r="I23" s="183"/>
      <c r="J23" s="244">
        <v>0</v>
      </c>
      <c r="K23" s="217">
        <v>0</v>
      </c>
      <c r="L23" s="217">
        <v>0</v>
      </c>
      <c r="M23" s="217">
        <v>0</v>
      </c>
      <c r="N23" s="217">
        <v>0</v>
      </c>
      <c r="O23" s="219">
        <f t="shared" si="6"/>
        <v>0</v>
      </c>
      <c r="P23" s="222">
        <f t="shared" si="7"/>
        <v>0</v>
      </c>
    </row>
    <row r="24" spans="3:16" ht="16.5" customHeight="1">
      <c r="C24" s="171"/>
      <c r="D24" s="260"/>
      <c r="E24" s="180" t="s">
        <v>33</v>
      </c>
      <c r="F24" s="218">
        <v>0</v>
      </c>
      <c r="G24" s="218">
        <v>0</v>
      </c>
      <c r="H24" s="219">
        <f t="shared" si="5"/>
        <v>0</v>
      </c>
      <c r="I24" s="183"/>
      <c r="J24" s="244">
        <v>0</v>
      </c>
      <c r="K24" s="217">
        <v>0</v>
      </c>
      <c r="L24" s="217">
        <v>0</v>
      </c>
      <c r="M24" s="217">
        <v>0</v>
      </c>
      <c r="N24" s="217">
        <v>0</v>
      </c>
      <c r="O24" s="219">
        <f t="shared" si="6"/>
        <v>0</v>
      </c>
      <c r="P24" s="222">
        <f t="shared" si="7"/>
        <v>0</v>
      </c>
    </row>
    <row r="25" spans="3:16" ht="16.5" customHeight="1">
      <c r="C25" s="171"/>
      <c r="D25" s="260"/>
      <c r="E25" s="180" t="s">
        <v>34</v>
      </c>
      <c r="F25" s="218">
        <v>0</v>
      </c>
      <c r="G25" s="218">
        <v>0</v>
      </c>
      <c r="H25" s="219">
        <f t="shared" si="5"/>
        <v>0</v>
      </c>
      <c r="I25" s="183"/>
      <c r="J25" s="244">
        <v>0</v>
      </c>
      <c r="K25" s="217">
        <v>0</v>
      </c>
      <c r="L25" s="217">
        <v>0</v>
      </c>
      <c r="M25" s="217">
        <v>0</v>
      </c>
      <c r="N25" s="217">
        <v>0</v>
      </c>
      <c r="O25" s="219">
        <f t="shared" si="6"/>
        <v>0</v>
      </c>
      <c r="P25" s="222">
        <f t="shared" si="7"/>
        <v>0</v>
      </c>
    </row>
    <row r="26" spans="3:16" ht="16.5" customHeight="1">
      <c r="C26" s="171"/>
      <c r="D26" s="260"/>
      <c r="E26" s="180" t="s">
        <v>120</v>
      </c>
      <c r="F26" s="218">
        <v>0</v>
      </c>
      <c r="G26" s="218">
        <v>0</v>
      </c>
      <c r="H26" s="219">
        <f t="shared" si="5"/>
        <v>0</v>
      </c>
      <c r="I26" s="183"/>
      <c r="J26" s="244">
        <v>0</v>
      </c>
      <c r="K26" s="217">
        <v>0</v>
      </c>
      <c r="L26" s="217">
        <v>0</v>
      </c>
      <c r="M26" s="217">
        <v>0</v>
      </c>
      <c r="N26" s="217">
        <v>0</v>
      </c>
      <c r="O26" s="219">
        <f t="shared" si="6"/>
        <v>0</v>
      </c>
      <c r="P26" s="222">
        <f t="shared" si="7"/>
        <v>0</v>
      </c>
    </row>
    <row r="27" spans="3:16" ht="16.5" customHeight="1">
      <c r="C27" s="171"/>
      <c r="D27" s="260"/>
      <c r="E27" s="180" t="s">
        <v>98</v>
      </c>
      <c r="F27" s="217">
        <v>0</v>
      </c>
      <c r="G27" s="217">
        <v>0</v>
      </c>
      <c r="H27" s="219">
        <f t="shared" si="5"/>
        <v>0</v>
      </c>
      <c r="I27" s="183"/>
      <c r="J27" s="244">
        <v>0</v>
      </c>
      <c r="K27" s="217">
        <v>0</v>
      </c>
      <c r="L27" s="217">
        <v>0</v>
      </c>
      <c r="M27" s="217">
        <v>0</v>
      </c>
      <c r="N27" s="217">
        <v>0</v>
      </c>
      <c r="O27" s="219">
        <f t="shared" si="6"/>
        <v>0</v>
      </c>
      <c r="P27" s="222">
        <f t="shared" si="7"/>
        <v>0</v>
      </c>
    </row>
    <row r="28" spans="3:16" ht="16.5" customHeight="1">
      <c r="C28" s="171"/>
      <c r="D28" s="260"/>
      <c r="E28" s="180" t="s">
        <v>99</v>
      </c>
      <c r="F28" s="262">
        <v>0</v>
      </c>
      <c r="G28" s="262">
        <v>0</v>
      </c>
      <c r="H28" s="263">
        <f t="shared" si="5"/>
        <v>0</v>
      </c>
      <c r="I28" s="183"/>
      <c r="J28" s="264">
        <v>0</v>
      </c>
      <c r="K28" s="262">
        <v>0</v>
      </c>
      <c r="L28" s="262">
        <v>0</v>
      </c>
      <c r="M28" s="262">
        <v>0</v>
      </c>
      <c r="N28" s="262">
        <v>0</v>
      </c>
      <c r="O28" s="263">
        <f t="shared" si="6"/>
        <v>0</v>
      </c>
      <c r="P28" s="265">
        <f t="shared" si="7"/>
        <v>0</v>
      </c>
    </row>
    <row r="29" spans="3:16" ht="16.5" customHeight="1">
      <c r="C29" s="171"/>
      <c r="D29" s="260"/>
      <c r="E29" s="266" t="s">
        <v>100</v>
      </c>
      <c r="F29" s="262">
        <v>0</v>
      </c>
      <c r="G29" s="262">
        <v>0</v>
      </c>
      <c r="H29" s="263">
        <f t="shared" si="5"/>
        <v>0</v>
      </c>
      <c r="I29" s="183"/>
      <c r="J29" s="264">
        <v>0</v>
      </c>
      <c r="K29" s="262">
        <v>0</v>
      </c>
      <c r="L29" s="262">
        <v>0</v>
      </c>
      <c r="M29" s="262">
        <v>0</v>
      </c>
      <c r="N29" s="262">
        <v>0</v>
      </c>
      <c r="O29" s="263">
        <f t="shared" si="6"/>
        <v>0</v>
      </c>
      <c r="P29" s="265">
        <f t="shared" si="7"/>
        <v>0</v>
      </c>
    </row>
    <row r="30" spans="3:16" ht="16.5" customHeight="1">
      <c r="C30" s="171"/>
      <c r="D30" s="267"/>
      <c r="E30" s="268" t="s">
        <v>101</v>
      </c>
      <c r="F30" s="230">
        <v>0</v>
      </c>
      <c r="G30" s="230">
        <v>0</v>
      </c>
      <c r="H30" s="232">
        <f t="shared" si="5"/>
        <v>0</v>
      </c>
      <c r="I30" s="272"/>
      <c r="J30" s="269">
        <v>0</v>
      </c>
      <c r="K30" s="230">
        <v>0</v>
      </c>
      <c r="L30" s="230">
        <v>0</v>
      </c>
      <c r="M30" s="230">
        <v>0</v>
      </c>
      <c r="N30" s="230">
        <v>0</v>
      </c>
      <c r="O30" s="232">
        <f t="shared" si="6"/>
        <v>0</v>
      </c>
      <c r="P30" s="234">
        <f t="shared" si="7"/>
        <v>0</v>
      </c>
    </row>
    <row r="31" spans="3:16" ht="16.5" customHeight="1">
      <c r="C31" s="273" t="s">
        <v>143</v>
      </c>
      <c r="D31" s="274"/>
      <c r="E31" s="275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/>
    </row>
    <row r="32" spans="3:16" ht="16.5" customHeight="1">
      <c r="C32" s="171"/>
      <c r="D32" s="256" t="s">
        <v>38</v>
      </c>
      <c r="E32" s="257"/>
      <c r="F32" s="258">
        <f>SUM(F33:F41)</f>
        <v>0</v>
      </c>
      <c r="G32" s="221">
        <f>SUM(G33:G41)</f>
        <v>0</v>
      </c>
      <c r="H32" s="168">
        <f>SUM(H33:H41)</f>
        <v>0</v>
      </c>
      <c r="I32" s="169"/>
      <c r="J32" s="259">
        <f t="shared" ref="J32:P32" si="8">SUM(J33:J41)</f>
        <v>0</v>
      </c>
      <c r="K32" s="221">
        <f t="shared" si="8"/>
        <v>0</v>
      </c>
      <c r="L32" s="221">
        <f t="shared" si="8"/>
        <v>0</v>
      </c>
      <c r="M32" s="221">
        <f t="shared" si="8"/>
        <v>0</v>
      </c>
      <c r="N32" s="221">
        <f t="shared" si="8"/>
        <v>0</v>
      </c>
      <c r="O32" s="168">
        <f t="shared" si="8"/>
        <v>0</v>
      </c>
      <c r="P32" s="170">
        <f t="shared" si="8"/>
        <v>0</v>
      </c>
    </row>
    <row r="33" spans="3:16" ht="16.5" customHeight="1">
      <c r="C33" s="171"/>
      <c r="D33" s="260"/>
      <c r="E33" s="180" t="s">
        <v>31</v>
      </c>
      <c r="F33" s="218">
        <v>0</v>
      </c>
      <c r="G33" s="218">
        <v>0</v>
      </c>
      <c r="H33" s="219">
        <f t="shared" ref="H33:H41" si="9">SUM(F33:G33)</f>
        <v>0</v>
      </c>
      <c r="I33" s="183"/>
      <c r="J33" s="244">
        <v>0</v>
      </c>
      <c r="K33" s="217">
        <v>0</v>
      </c>
      <c r="L33" s="217">
        <v>0</v>
      </c>
      <c r="M33" s="217">
        <v>0</v>
      </c>
      <c r="N33" s="217">
        <v>0</v>
      </c>
      <c r="O33" s="219">
        <f t="shared" ref="O33:O41" si="10">SUM(I33:N33)</f>
        <v>0</v>
      </c>
      <c r="P33" s="222">
        <f t="shared" ref="P33:P41" si="11">H33+O33</f>
        <v>0</v>
      </c>
    </row>
    <row r="34" spans="3:16" ht="16.5" customHeight="1">
      <c r="C34" s="171"/>
      <c r="D34" s="261"/>
      <c r="E34" s="180" t="s">
        <v>32</v>
      </c>
      <c r="F34" s="218">
        <v>0</v>
      </c>
      <c r="G34" s="218">
        <v>0</v>
      </c>
      <c r="H34" s="219">
        <f t="shared" si="9"/>
        <v>0</v>
      </c>
      <c r="I34" s="183"/>
      <c r="J34" s="244">
        <v>0</v>
      </c>
      <c r="K34" s="217">
        <v>0</v>
      </c>
      <c r="L34" s="217">
        <v>0</v>
      </c>
      <c r="M34" s="217">
        <v>0</v>
      </c>
      <c r="N34" s="217">
        <v>0</v>
      </c>
      <c r="O34" s="219">
        <f t="shared" si="10"/>
        <v>0</v>
      </c>
      <c r="P34" s="222">
        <f t="shared" si="11"/>
        <v>0</v>
      </c>
    </row>
    <row r="35" spans="3:16" ht="16.5" customHeight="1">
      <c r="C35" s="171"/>
      <c r="D35" s="260"/>
      <c r="E35" s="180" t="s">
        <v>33</v>
      </c>
      <c r="F35" s="218">
        <v>0</v>
      </c>
      <c r="G35" s="218">
        <v>0</v>
      </c>
      <c r="H35" s="219">
        <f t="shared" si="9"/>
        <v>0</v>
      </c>
      <c r="I35" s="183"/>
      <c r="J35" s="244">
        <v>0</v>
      </c>
      <c r="K35" s="217">
        <v>0</v>
      </c>
      <c r="L35" s="217">
        <v>0</v>
      </c>
      <c r="M35" s="217">
        <v>0</v>
      </c>
      <c r="N35" s="217">
        <v>0</v>
      </c>
      <c r="O35" s="219">
        <f t="shared" si="10"/>
        <v>0</v>
      </c>
      <c r="P35" s="222">
        <f t="shared" si="11"/>
        <v>0</v>
      </c>
    </row>
    <row r="36" spans="3:16" ht="16.5" customHeight="1">
      <c r="C36" s="171"/>
      <c r="D36" s="260"/>
      <c r="E36" s="180" t="s">
        <v>34</v>
      </c>
      <c r="F36" s="218">
        <v>0</v>
      </c>
      <c r="G36" s="218">
        <v>0</v>
      </c>
      <c r="H36" s="219">
        <f t="shared" si="9"/>
        <v>0</v>
      </c>
      <c r="I36" s="183"/>
      <c r="J36" s="244">
        <v>0</v>
      </c>
      <c r="K36" s="217">
        <v>0</v>
      </c>
      <c r="L36" s="217">
        <v>0</v>
      </c>
      <c r="M36" s="217">
        <v>0</v>
      </c>
      <c r="N36" s="217">
        <v>0</v>
      </c>
      <c r="O36" s="219">
        <f t="shared" si="10"/>
        <v>0</v>
      </c>
      <c r="P36" s="222">
        <f t="shared" si="11"/>
        <v>0</v>
      </c>
    </row>
    <row r="37" spans="3:16" ht="16.5" customHeight="1">
      <c r="C37" s="171"/>
      <c r="D37" s="260"/>
      <c r="E37" s="180" t="s">
        <v>120</v>
      </c>
      <c r="F37" s="218">
        <v>0</v>
      </c>
      <c r="G37" s="218">
        <v>0</v>
      </c>
      <c r="H37" s="219">
        <f t="shared" si="9"/>
        <v>0</v>
      </c>
      <c r="I37" s="183"/>
      <c r="J37" s="244">
        <v>0</v>
      </c>
      <c r="K37" s="217">
        <v>0</v>
      </c>
      <c r="L37" s="217">
        <v>0</v>
      </c>
      <c r="M37" s="217">
        <v>0</v>
      </c>
      <c r="N37" s="217">
        <v>0</v>
      </c>
      <c r="O37" s="219">
        <f t="shared" si="10"/>
        <v>0</v>
      </c>
      <c r="P37" s="222">
        <f t="shared" si="11"/>
        <v>0</v>
      </c>
    </row>
    <row r="38" spans="3:16" ht="16.5" customHeight="1">
      <c r="C38" s="171"/>
      <c r="D38" s="260"/>
      <c r="E38" s="180" t="s">
        <v>98</v>
      </c>
      <c r="F38" s="217">
        <v>0</v>
      </c>
      <c r="G38" s="217">
        <v>0</v>
      </c>
      <c r="H38" s="219">
        <f t="shared" si="9"/>
        <v>0</v>
      </c>
      <c r="I38" s="183"/>
      <c r="J38" s="244">
        <v>0</v>
      </c>
      <c r="K38" s="217">
        <v>0</v>
      </c>
      <c r="L38" s="217">
        <v>0</v>
      </c>
      <c r="M38" s="217">
        <v>0</v>
      </c>
      <c r="N38" s="217">
        <v>0</v>
      </c>
      <c r="O38" s="219">
        <f t="shared" si="10"/>
        <v>0</v>
      </c>
      <c r="P38" s="222">
        <f t="shared" si="11"/>
        <v>0</v>
      </c>
    </row>
    <row r="39" spans="3:16" ht="16.5" customHeight="1">
      <c r="C39" s="171"/>
      <c r="D39" s="260"/>
      <c r="E39" s="180" t="s">
        <v>99</v>
      </c>
      <c r="F39" s="262">
        <v>0</v>
      </c>
      <c r="G39" s="262">
        <v>0</v>
      </c>
      <c r="H39" s="263">
        <f t="shared" si="9"/>
        <v>0</v>
      </c>
      <c r="I39" s="183"/>
      <c r="J39" s="264">
        <v>0</v>
      </c>
      <c r="K39" s="262">
        <v>0</v>
      </c>
      <c r="L39" s="262">
        <v>0</v>
      </c>
      <c r="M39" s="262">
        <v>0</v>
      </c>
      <c r="N39" s="262">
        <v>0</v>
      </c>
      <c r="O39" s="263">
        <f t="shared" si="10"/>
        <v>0</v>
      </c>
      <c r="P39" s="265">
        <f t="shared" si="11"/>
        <v>0</v>
      </c>
    </row>
    <row r="40" spans="3:16" ht="16.5" customHeight="1">
      <c r="C40" s="171"/>
      <c r="D40" s="260"/>
      <c r="E40" s="266" t="s">
        <v>100</v>
      </c>
      <c r="F40" s="262">
        <v>0</v>
      </c>
      <c r="G40" s="262">
        <v>0</v>
      </c>
      <c r="H40" s="263">
        <f t="shared" si="9"/>
        <v>0</v>
      </c>
      <c r="I40" s="183"/>
      <c r="J40" s="264">
        <v>0</v>
      </c>
      <c r="K40" s="262">
        <v>0</v>
      </c>
      <c r="L40" s="262">
        <v>0</v>
      </c>
      <c r="M40" s="262">
        <v>0</v>
      </c>
      <c r="N40" s="262">
        <v>0</v>
      </c>
      <c r="O40" s="263">
        <f t="shared" si="10"/>
        <v>0</v>
      </c>
      <c r="P40" s="265">
        <f t="shared" si="11"/>
        <v>0</v>
      </c>
    </row>
    <row r="41" spans="3:16" ht="16.5" customHeight="1">
      <c r="C41" s="171"/>
      <c r="D41" s="267"/>
      <c r="E41" s="268" t="s">
        <v>101</v>
      </c>
      <c r="F41" s="230">
        <v>0</v>
      </c>
      <c r="G41" s="230">
        <v>0</v>
      </c>
      <c r="H41" s="232">
        <f t="shared" si="9"/>
        <v>0</v>
      </c>
      <c r="I41" s="183"/>
      <c r="J41" s="269">
        <v>0</v>
      </c>
      <c r="K41" s="230">
        <v>0</v>
      </c>
      <c r="L41" s="230">
        <v>0</v>
      </c>
      <c r="M41" s="230">
        <v>0</v>
      </c>
      <c r="N41" s="230">
        <v>0</v>
      </c>
      <c r="O41" s="232">
        <f t="shared" si="10"/>
        <v>0</v>
      </c>
      <c r="P41" s="234">
        <f t="shared" si="11"/>
        <v>0</v>
      </c>
    </row>
    <row r="42" spans="3:16" ht="16.5" customHeight="1">
      <c r="C42" s="171"/>
      <c r="D42" s="270" t="s">
        <v>142</v>
      </c>
      <c r="E42" s="271"/>
      <c r="F42" s="174">
        <f>SUM(F43:F51)</f>
        <v>0</v>
      </c>
      <c r="G42" s="174">
        <f>SUM(G43:G51)</f>
        <v>0</v>
      </c>
      <c r="H42" s="176">
        <f>SUM(H43:H51)</f>
        <v>0</v>
      </c>
      <c r="I42" s="169"/>
      <c r="J42" s="259">
        <f t="shared" ref="J42:P42" si="12">SUM(J43:J51)</f>
        <v>0</v>
      </c>
      <c r="K42" s="174">
        <f t="shared" si="12"/>
        <v>0</v>
      </c>
      <c r="L42" s="174">
        <f t="shared" si="12"/>
        <v>0</v>
      </c>
      <c r="M42" s="174">
        <f t="shared" si="12"/>
        <v>0</v>
      </c>
      <c r="N42" s="174">
        <f t="shared" si="12"/>
        <v>0</v>
      </c>
      <c r="O42" s="176">
        <f t="shared" si="12"/>
        <v>0</v>
      </c>
      <c r="P42" s="178">
        <f t="shared" si="12"/>
        <v>0</v>
      </c>
    </row>
    <row r="43" spans="3:16" ht="16.5" customHeight="1">
      <c r="C43" s="171"/>
      <c r="D43" s="260"/>
      <c r="E43" s="180" t="s">
        <v>31</v>
      </c>
      <c r="F43" s="218">
        <v>0</v>
      </c>
      <c r="G43" s="218">
        <v>0</v>
      </c>
      <c r="H43" s="219">
        <f t="shared" ref="H43:H51" si="13">SUM(F43:G43)</f>
        <v>0</v>
      </c>
      <c r="I43" s="183"/>
      <c r="J43" s="244">
        <v>0</v>
      </c>
      <c r="K43" s="217">
        <v>0</v>
      </c>
      <c r="L43" s="217">
        <v>0</v>
      </c>
      <c r="M43" s="217">
        <v>0</v>
      </c>
      <c r="N43" s="217">
        <v>0</v>
      </c>
      <c r="O43" s="219">
        <f t="shared" ref="O43:O51" si="14">SUM(I43:N43)</f>
        <v>0</v>
      </c>
      <c r="P43" s="222">
        <f t="shared" ref="P43:P51" si="15">H43+O43</f>
        <v>0</v>
      </c>
    </row>
    <row r="44" spans="3:16" ht="16.5" customHeight="1">
      <c r="C44" s="171"/>
      <c r="D44" s="261"/>
      <c r="E44" s="180" t="s">
        <v>32</v>
      </c>
      <c r="F44" s="218">
        <v>0</v>
      </c>
      <c r="G44" s="218">
        <v>0</v>
      </c>
      <c r="H44" s="219">
        <f t="shared" si="13"/>
        <v>0</v>
      </c>
      <c r="I44" s="183"/>
      <c r="J44" s="244">
        <v>0</v>
      </c>
      <c r="K44" s="217">
        <v>0</v>
      </c>
      <c r="L44" s="217">
        <v>0</v>
      </c>
      <c r="M44" s="217">
        <v>0</v>
      </c>
      <c r="N44" s="217">
        <v>0</v>
      </c>
      <c r="O44" s="219">
        <f t="shared" si="14"/>
        <v>0</v>
      </c>
      <c r="P44" s="222">
        <f t="shared" si="15"/>
        <v>0</v>
      </c>
    </row>
    <row r="45" spans="3:16" ht="16.5" customHeight="1">
      <c r="C45" s="171"/>
      <c r="D45" s="260"/>
      <c r="E45" s="180" t="s">
        <v>33</v>
      </c>
      <c r="F45" s="218">
        <v>0</v>
      </c>
      <c r="G45" s="218">
        <v>0</v>
      </c>
      <c r="H45" s="219">
        <f t="shared" si="13"/>
        <v>0</v>
      </c>
      <c r="I45" s="183"/>
      <c r="J45" s="244">
        <v>0</v>
      </c>
      <c r="K45" s="217">
        <v>0</v>
      </c>
      <c r="L45" s="217">
        <v>0</v>
      </c>
      <c r="M45" s="217">
        <v>0</v>
      </c>
      <c r="N45" s="217">
        <v>0</v>
      </c>
      <c r="O45" s="219">
        <f t="shared" si="14"/>
        <v>0</v>
      </c>
      <c r="P45" s="222">
        <f t="shared" si="15"/>
        <v>0</v>
      </c>
    </row>
    <row r="46" spans="3:16" ht="16.5" customHeight="1">
      <c r="C46" s="171"/>
      <c r="D46" s="260"/>
      <c r="E46" s="180" t="s">
        <v>34</v>
      </c>
      <c r="F46" s="218">
        <v>0</v>
      </c>
      <c r="G46" s="218">
        <v>0</v>
      </c>
      <c r="H46" s="219">
        <f t="shared" si="13"/>
        <v>0</v>
      </c>
      <c r="I46" s="183"/>
      <c r="J46" s="244">
        <v>0</v>
      </c>
      <c r="K46" s="217">
        <v>0</v>
      </c>
      <c r="L46" s="217">
        <v>0</v>
      </c>
      <c r="M46" s="217">
        <v>0</v>
      </c>
      <c r="N46" s="217">
        <v>0</v>
      </c>
      <c r="O46" s="219">
        <f t="shared" si="14"/>
        <v>0</v>
      </c>
      <c r="P46" s="222">
        <f t="shared" si="15"/>
        <v>0</v>
      </c>
    </row>
    <row r="47" spans="3:16" ht="16.5" customHeight="1">
      <c r="C47" s="171"/>
      <c r="D47" s="260"/>
      <c r="E47" s="180" t="s">
        <v>120</v>
      </c>
      <c r="F47" s="218">
        <v>0</v>
      </c>
      <c r="G47" s="218">
        <v>0</v>
      </c>
      <c r="H47" s="219">
        <f t="shared" si="13"/>
        <v>0</v>
      </c>
      <c r="I47" s="183"/>
      <c r="J47" s="244">
        <v>0</v>
      </c>
      <c r="K47" s="217">
        <v>0</v>
      </c>
      <c r="L47" s="217">
        <v>0</v>
      </c>
      <c r="M47" s="217">
        <v>0</v>
      </c>
      <c r="N47" s="217">
        <v>0</v>
      </c>
      <c r="O47" s="219">
        <f t="shared" si="14"/>
        <v>0</v>
      </c>
      <c r="P47" s="222">
        <f t="shared" si="15"/>
        <v>0</v>
      </c>
    </row>
    <row r="48" spans="3:16" ht="16.5" customHeight="1">
      <c r="C48" s="171"/>
      <c r="D48" s="260"/>
      <c r="E48" s="180" t="s">
        <v>98</v>
      </c>
      <c r="F48" s="217">
        <v>0</v>
      </c>
      <c r="G48" s="217">
        <v>0</v>
      </c>
      <c r="H48" s="219">
        <f t="shared" si="13"/>
        <v>0</v>
      </c>
      <c r="I48" s="183"/>
      <c r="J48" s="244">
        <v>0</v>
      </c>
      <c r="K48" s="217">
        <v>0</v>
      </c>
      <c r="L48" s="217">
        <v>0</v>
      </c>
      <c r="M48" s="217">
        <v>0</v>
      </c>
      <c r="N48" s="217">
        <v>0</v>
      </c>
      <c r="O48" s="219">
        <f t="shared" si="14"/>
        <v>0</v>
      </c>
      <c r="P48" s="222">
        <f t="shared" si="15"/>
        <v>0</v>
      </c>
    </row>
    <row r="49" spans="3:16" ht="16.5" customHeight="1">
      <c r="C49" s="171"/>
      <c r="D49" s="261"/>
      <c r="E49" s="180" t="s">
        <v>99</v>
      </c>
      <c r="F49" s="217">
        <v>0</v>
      </c>
      <c r="G49" s="217">
        <v>0</v>
      </c>
      <c r="H49" s="219">
        <f t="shared" si="13"/>
        <v>0</v>
      </c>
      <c r="I49" s="183"/>
      <c r="J49" s="244">
        <v>0</v>
      </c>
      <c r="K49" s="217">
        <v>0</v>
      </c>
      <c r="L49" s="217">
        <v>0</v>
      </c>
      <c r="M49" s="217">
        <v>0</v>
      </c>
      <c r="N49" s="217">
        <v>0</v>
      </c>
      <c r="O49" s="219">
        <f t="shared" si="14"/>
        <v>0</v>
      </c>
      <c r="P49" s="222">
        <f t="shared" si="15"/>
        <v>0</v>
      </c>
    </row>
    <row r="50" spans="3:16" ht="16.5" customHeight="1">
      <c r="C50" s="171"/>
      <c r="D50" s="260"/>
      <c r="E50" s="266" t="s">
        <v>100</v>
      </c>
      <c r="F50" s="262">
        <v>0</v>
      </c>
      <c r="G50" s="262">
        <v>0</v>
      </c>
      <c r="H50" s="263">
        <f t="shared" si="13"/>
        <v>0</v>
      </c>
      <c r="I50" s="183"/>
      <c r="J50" s="264">
        <v>0</v>
      </c>
      <c r="K50" s="262">
        <v>0</v>
      </c>
      <c r="L50" s="262">
        <v>0</v>
      </c>
      <c r="M50" s="262">
        <v>0</v>
      </c>
      <c r="N50" s="262">
        <v>0</v>
      </c>
      <c r="O50" s="263">
        <f t="shared" si="14"/>
        <v>0</v>
      </c>
      <c r="P50" s="265">
        <f t="shared" si="15"/>
        <v>0</v>
      </c>
    </row>
    <row r="51" spans="3:16" ht="16.5" customHeight="1">
      <c r="C51" s="171"/>
      <c r="D51" s="267"/>
      <c r="E51" s="268" t="s">
        <v>101</v>
      </c>
      <c r="F51" s="230">
        <v>0</v>
      </c>
      <c r="G51" s="230">
        <v>0</v>
      </c>
      <c r="H51" s="232">
        <f t="shared" si="13"/>
        <v>0</v>
      </c>
      <c r="I51" s="183"/>
      <c r="J51" s="269">
        <v>0</v>
      </c>
      <c r="K51" s="230">
        <v>0</v>
      </c>
      <c r="L51" s="230">
        <v>0</v>
      </c>
      <c r="M51" s="230">
        <v>0</v>
      </c>
      <c r="N51" s="230">
        <v>0</v>
      </c>
      <c r="O51" s="232">
        <f t="shared" si="14"/>
        <v>0</v>
      </c>
      <c r="P51" s="234">
        <f t="shared" si="15"/>
        <v>0</v>
      </c>
    </row>
    <row r="52" spans="3:16" ht="16.5" customHeight="1">
      <c r="C52" s="315" t="s">
        <v>125</v>
      </c>
      <c r="D52" s="316"/>
      <c r="E52" s="317"/>
      <c r="F52" s="85">
        <f>F32+F42</f>
        <v>0</v>
      </c>
      <c r="G52" s="235">
        <f>G32+G42</f>
        <v>0</v>
      </c>
      <c r="H52" s="247">
        <f>H32+H42</f>
        <v>0</v>
      </c>
      <c r="I52" s="128"/>
      <c r="J52" s="246">
        <f t="shared" ref="J52:P52" si="16">J32+J42</f>
        <v>0</v>
      </c>
      <c r="K52" s="235">
        <f t="shared" si="16"/>
        <v>0</v>
      </c>
      <c r="L52" s="235">
        <f t="shared" si="16"/>
        <v>0</v>
      </c>
      <c r="M52" s="235">
        <f t="shared" si="16"/>
        <v>0</v>
      </c>
      <c r="N52" s="235">
        <f t="shared" si="16"/>
        <v>0</v>
      </c>
      <c r="O52" s="247">
        <f t="shared" si="16"/>
        <v>0</v>
      </c>
      <c r="P52" s="237">
        <f t="shared" si="16"/>
        <v>0</v>
      </c>
    </row>
    <row r="53" spans="3:16" ht="18" customHeight="1">
      <c r="C53" s="109"/>
    </row>
  </sheetData>
  <sheetProtection selectLockedCells="1" selectUnlockedCells="1"/>
  <mergeCells count="5">
    <mergeCell ref="C52:E52"/>
    <mergeCell ref="A3:Q3"/>
    <mergeCell ref="A4:Q4"/>
    <mergeCell ref="C9:E9"/>
    <mergeCell ref="P9"/>
  </mergeCells>
  <phoneticPr fontId="14"/>
  <pageMargins left="0.7" right="0.7" top="0.75" bottom="0.75" header="0.3" footer="0.3"/>
  <pageSetup paperSize="9" scale="56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9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144</v>
      </c>
      <c r="Q1" s="59"/>
    </row>
    <row r="2" spans="1:17" ht="18" customHeight="1">
      <c r="Q2" s="59"/>
    </row>
    <row r="3" spans="1:17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</row>
    <row r="4" spans="1:17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139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145</v>
      </c>
    </row>
    <row r="8" spans="1:17" ht="12" customHeight="1"/>
    <row r="9" spans="1:17" ht="16.5" customHeight="1">
      <c r="C9" s="321" t="s">
        <v>86</v>
      </c>
      <c r="D9" s="322"/>
      <c r="E9" s="323"/>
      <c r="F9" s="160" t="s">
        <v>69</v>
      </c>
      <c r="G9" s="160" t="s">
        <v>70</v>
      </c>
      <c r="H9" s="161" t="s">
        <v>17</v>
      </c>
      <c r="I9" s="162" t="s">
        <v>71</v>
      </c>
      <c r="J9" s="160" t="s">
        <v>72</v>
      </c>
      <c r="K9" s="160" t="s">
        <v>73</v>
      </c>
      <c r="L9" s="160" t="s">
        <v>74</v>
      </c>
      <c r="M9" s="160" t="s">
        <v>75</v>
      </c>
      <c r="N9" s="160" t="s">
        <v>76</v>
      </c>
      <c r="O9" s="254" t="s">
        <v>17</v>
      </c>
      <c r="P9" s="320" t="s">
        <v>36</v>
      </c>
      <c r="Q9" s="163"/>
    </row>
    <row r="10" spans="1:17" ht="16.5" customHeight="1">
      <c r="C10" s="164" t="s">
        <v>141</v>
      </c>
      <c r="D10" s="207"/>
      <c r="E10" s="25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6"/>
    </row>
    <row r="11" spans="1:17" ht="16.5" customHeight="1">
      <c r="C11" s="171"/>
      <c r="D11" s="256" t="s">
        <v>38</v>
      </c>
      <c r="E11" s="257"/>
      <c r="F11" s="258">
        <f>SUM(F12:F20)</f>
        <v>0</v>
      </c>
      <c r="G11" s="221">
        <f>SUM(G12:G20)</f>
        <v>0</v>
      </c>
      <c r="H11" s="168">
        <f>SUM(H12:H20)</f>
        <v>0</v>
      </c>
      <c r="I11" s="169"/>
      <c r="J11" s="259">
        <f t="shared" ref="J11:P11" si="0">SUM(J12:J20)</f>
        <v>0</v>
      </c>
      <c r="K11" s="221">
        <f t="shared" si="0"/>
        <v>0</v>
      </c>
      <c r="L11" s="221">
        <f t="shared" si="0"/>
        <v>0</v>
      </c>
      <c r="M11" s="221">
        <f t="shared" si="0"/>
        <v>0</v>
      </c>
      <c r="N11" s="221">
        <f t="shared" si="0"/>
        <v>0</v>
      </c>
      <c r="O11" s="168">
        <f t="shared" si="0"/>
        <v>0</v>
      </c>
      <c r="P11" s="170">
        <f t="shared" si="0"/>
        <v>0</v>
      </c>
    </row>
    <row r="12" spans="1:17" ht="16.5" customHeight="1">
      <c r="C12" s="171"/>
      <c r="D12" s="260"/>
      <c r="E12" s="180" t="s">
        <v>31</v>
      </c>
      <c r="F12" s="218">
        <v>0</v>
      </c>
      <c r="G12" s="218">
        <v>0</v>
      </c>
      <c r="H12" s="219">
        <f t="shared" ref="H12:H20" si="1">SUM(F12:G12)</f>
        <v>0</v>
      </c>
      <c r="I12" s="183"/>
      <c r="J12" s="244">
        <v>0</v>
      </c>
      <c r="K12" s="217">
        <v>0</v>
      </c>
      <c r="L12" s="217">
        <v>0</v>
      </c>
      <c r="M12" s="217">
        <v>0</v>
      </c>
      <c r="N12" s="217">
        <v>0</v>
      </c>
      <c r="O12" s="219">
        <f t="shared" ref="O12:O20" si="2">SUM(I12:N12)</f>
        <v>0</v>
      </c>
      <c r="P12" s="222">
        <f t="shared" ref="P12:P20" si="3">H12+O12</f>
        <v>0</v>
      </c>
    </row>
    <row r="13" spans="1:17" ht="16.5" customHeight="1">
      <c r="C13" s="171"/>
      <c r="D13" s="261"/>
      <c r="E13" s="180" t="s">
        <v>32</v>
      </c>
      <c r="F13" s="218">
        <v>0</v>
      </c>
      <c r="G13" s="218">
        <v>0</v>
      </c>
      <c r="H13" s="219">
        <f t="shared" si="1"/>
        <v>0</v>
      </c>
      <c r="I13" s="183"/>
      <c r="J13" s="244">
        <v>0</v>
      </c>
      <c r="K13" s="217">
        <v>0</v>
      </c>
      <c r="L13" s="217">
        <v>0</v>
      </c>
      <c r="M13" s="217">
        <v>0</v>
      </c>
      <c r="N13" s="217">
        <v>0</v>
      </c>
      <c r="O13" s="219">
        <f t="shared" si="2"/>
        <v>0</v>
      </c>
      <c r="P13" s="222">
        <f t="shared" si="3"/>
        <v>0</v>
      </c>
    </row>
    <row r="14" spans="1:17" ht="16.5" customHeight="1">
      <c r="C14" s="171"/>
      <c r="D14" s="260"/>
      <c r="E14" s="180" t="s">
        <v>33</v>
      </c>
      <c r="F14" s="218">
        <v>0</v>
      </c>
      <c r="G14" s="218">
        <v>0</v>
      </c>
      <c r="H14" s="219">
        <f t="shared" si="1"/>
        <v>0</v>
      </c>
      <c r="I14" s="183"/>
      <c r="J14" s="244">
        <v>0</v>
      </c>
      <c r="K14" s="217">
        <v>0</v>
      </c>
      <c r="L14" s="217">
        <v>0</v>
      </c>
      <c r="M14" s="217">
        <v>0</v>
      </c>
      <c r="N14" s="217">
        <v>0</v>
      </c>
      <c r="O14" s="219">
        <f t="shared" si="2"/>
        <v>0</v>
      </c>
      <c r="P14" s="222">
        <f t="shared" si="3"/>
        <v>0</v>
      </c>
    </row>
    <row r="15" spans="1:17" ht="16.5" customHeight="1">
      <c r="C15" s="171"/>
      <c r="D15" s="260"/>
      <c r="E15" s="180" t="s">
        <v>34</v>
      </c>
      <c r="F15" s="218">
        <v>0</v>
      </c>
      <c r="G15" s="218">
        <v>0</v>
      </c>
      <c r="H15" s="219">
        <f t="shared" si="1"/>
        <v>0</v>
      </c>
      <c r="I15" s="183"/>
      <c r="J15" s="244">
        <v>0</v>
      </c>
      <c r="K15" s="217">
        <v>0</v>
      </c>
      <c r="L15" s="217">
        <v>0</v>
      </c>
      <c r="M15" s="217">
        <v>0</v>
      </c>
      <c r="N15" s="217">
        <v>0</v>
      </c>
      <c r="O15" s="219">
        <f t="shared" si="2"/>
        <v>0</v>
      </c>
      <c r="P15" s="222">
        <f t="shared" si="3"/>
        <v>0</v>
      </c>
    </row>
    <row r="16" spans="1:17" ht="16.5" customHeight="1">
      <c r="C16" s="171"/>
      <c r="D16" s="260"/>
      <c r="E16" s="180" t="s">
        <v>120</v>
      </c>
      <c r="F16" s="218">
        <v>0</v>
      </c>
      <c r="G16" s="218">
        <v>0</v>
      </c>
      <c r="H16" s="219">
        <f t="shared" si="1"/>
        <v>0</v>
      </c>
      <c r="I16" s="183"/>
      <c r="J16" s="244">
        <v>0</v>
      </c>
      <c r="K16" s="217">
        <v>0</v>
      </c>
      <c r="L16" s="217">
        <v>0</v>
      </c>
      <c r="M16" s="217">
        <v>0</v>
      </c>
      <c r="N16" s="217">
        <v>0</v>
      </c>
      <c r="O16" s="219">
        <f t="shared" si="2"/>
        <v>0</v>
      </c>
      <c r="P16" s="222">
        <f t="shared" si="3"/>
        <v>0</v>
      </c>
    </row>
    <row r="17" spans="3:16" ht="16.5" customHeight="1">
      <c r="C17" s="171"/>
      <c r="D17" s="260"/>
      <c r="E17" s="180" t="s">
        <v>98</v>
      </c>
      <c r="F17" s="217">
        <v>0</v>
      </c>
      <c r="G17" s="217">
        <v>0</v>
      </c>
      <c r="H17" s="219">
        <f t="shared" si="1"/>
        <v>0</v>
      </c>
      <c r="I17" s="183"/>
      <c r="J17" s="244">
        <v>0</v>
      </c>
      <c r="K17" s="217">
        <v>0</v>
      </c>
      <c r="L17" s="217">
        <v>0</v>
      </c>
      <c r="M17" s="217">
        <v>0</v>
      </c>
      <c r="N17" s="217">
        <v>0</v>
      </c>
      <c r="O17" s="219">
        <f t="shared" si="2"/>
        <v>0</v>
      </c>
      <c r="P17" s="222">
        <f t="shared" si="3"/>
        <v>0</v>
      </c>
    </row>
    <row r="18" spans="3:16" ht="16.5" customHeight="1">
      <c r="C18" s="171"/>
      <c r="D18" s="260"/>
      <c r="E18" s="180" t="s">
        <v>99</v>
      </c>
      <c r="F18" s="262">
        <v>0</v>
      </c>
      <c r="G18" s="262">
        <v>0</v>
      </c>
      <c r="H18" s="263">
        <f t="shared" si="1"/>
        <v>0</v>
      </c>
      <c r="I18" s="183"/>
      <c r="J18" s="264">
        <v>0</v>
      </c>
      <c r="K18" s="262">
        <v>0</v>
      </c>
      <c r="L18" s="262">
        <v>0</v>
      </c>
      <c r="M18" s="262">
        <v>0</v>
      </c>
      <c r="N18" s="262">
        <v>0</v>
      </c>
      <c r="O18" s="263">
        <f t="shared" si="2"/>
        <v>0</v>
      </c>
      <c r="P18" s="265">
        <f t="shared" si="3"/>
        <v>0</v>
      </c>
    </row>
    <row r="19" spans="3:16" ht="16.5" customHeight="1">
      <c r="C19" s="171"/>
      <c r="D19" s="260"/>
      <c r="E19" s="266" t="s">
        <v>100</v>
      </c>
      <c r="F19" s="262">
        <v>0</v>
      </c>
      <c r="G19" s="262">
        <v>0</v>
      </c>
      <c r="H19" s="263">
        <f t="shared" si="1"/>
        <v>0</v>
      </c>
      <c r="I19" s="183"/>
      <c r="J19" s="264">
        <v>0</v>
      </c>
      <c r="K19" s="262">
        <v>0</v>
      </c>
      <c r="L19" s="262">
        <v>0</v>
      </c>
      <c r="M19" s="262">
        <v>0</v>
      </c>
      <c r="N19" s="262">
        <v>0</v>
      </c>
      <c r="O19" s="263">
        <f t="shared" si="2"/>
        <v>0</v>
      </c>
      <c r="P19" s="265">
        <f t="shared" si="3"/>
        <v>0</v>
      </c>
    </row>
    <row r="20" spans="3:16" ht="16.5" customHeight="1">
      <c r="C20" s="171"/>
      <c r="D20" s="267"/>
      <c r="E20" s="268" t="s">
        <v>101</v>
      </c>
      <c r="F20" s="230">
        <v>0</v>
      </c>
      <c r="G20" s="230">
        <v>0</v>
      </c>
      <c r="H20" s="232">
        <f t="shared" si="1"/>
        <v>0</v>
      </c>
      <c r="I20" s="183"/>
      <c r="J20" s="269">
        <v>0</v>
      </c>
      <c r="K20" s="230">
        <v>0</v>
      </c>
      <c r="L20" s="230">
        <v>0</v>
      </c>
      <c r="M20" s="230">
        <v>0</v>
      </c>
      <c r="N20" s="230">
        <v>0</v>
      </c>
      <c r="O20" s="232">
        <f t="shared" si="2"/>
        <v>0</v>
      </c>
      <c r="P20" s="234">
        <f t="shared" si="3"/>
        <v>0</v>
      </c>
    </row>
    <row r="21" spans="3:16" ht="16.5" customHeight="1">
      <c r="C21" s="171"/>
      <c r="D21" s="270" t="s">
        <v>142</v>
      </c>
      <c r="E21" s="271"/>
      <c r="F21" s="174">
        <f>SUM(F22:F30)</f>
        <v>0</v>
      </c>
      <c r="G21" s="174">
        <f>SUM(G22:G30)</f>
        <v>0</v>
      </c>
      <c r="H21" s="176">
        <f>SUM(H22:H30)</f>
        <v>0</v>
      </c>
      <c r="I21" s="169"/>
      <c r="J21" s="259">
        <f t="shared" ref="J21:P21" si="4">SUM(J22:J30)</f>
        <v>0</v>
      </c>
      <c r="K21" s="174">
        <f t="shared" si="4"/>
        <v>0</v>
      </c>
      <c r="L21" s="174">
        <f t="shared" si="4"/>
        <v>0</v>
      </c>
      <c r="M21" s="174">
        <f t="shared" si="4"/>
        <v>0</v>
      </c>
      <c r="N21" s="174">
        <f t="shared" si="4"/>
        <v>0</v>
      </c>
      <c r="O21" s="176">
        <f t="shared" si="4"/>
        <v>0</v>
      </c>
      <c r="P21" s="178">
        <f t="shared" si="4"/>
        <v>0</v>
      </c>
    </row>
    <row r="22" spans="3:16" ht="16.5" customHeight="1">
      <c r="C22" s="171"/>
      <c r="D22" s="260"/>
      <c r="E22" s="180" t="s">
        <v>31</v>
      </c>
      <c r="F22" s="218">
        <v>0</v>
      </c>
      <c r="G22" s="218">
        <v>0</v>
      </c>
      <c r="H22" s="219">
        <f t="shared" ref="H22:H30" si="5">SUM(F22:G22)</f>
        <v>0</v>
      </c>
      <c r="I22" s="183"/>
      <c r="J22" s="244">
        <v>0</v>
      </c>
      <c r="K22" s="217">
        <v>0</v>
      </c>
      <c r="L22" s="217">
        <v>0</v>
      </c>
      <c r="M22" s="217">
        <v>0</v>
      </c>
      <c r="N22" s="217">
        <v>0</v>
      </c>
      <c r="O22" s="219">
        <f t="shared" ref="O22:O30" si="6">SUM(I22:N22)</f>
        <v>0</v>
      </c>
      <c r="P22" s="222">
        <f t="shared" ref="P22:P30" si="7">H22+O22</f>
        <v>0</v>
      </c>
    </row>
    <row r="23" spans="3:16" ht="16.5" customHeight="1">
      <c r="C23" s="171"/>
      <c r="D23" s="261"/>
      <c r="E23" s="180" t="s">
        <v>32</v>
      </c>
      <c r="F23" s="218">
        <v>0</v>
      </c>
      <c r="G23" s="218">
        <v>0</v>
      </c>
      <c r="H23" s="219">
        <f t="shared" si="5"/>
        <v>0</v>
      </c>
      <c r="I23" s="183"/>
      <c r="J23" s="244">
        <v>0</v>
      </c>
      <c r="K23" s="217">
        <v>0</v>
      </c>
      <c r="L23" s="217">
        <v>0</v>
      </c>
      <c r="M23" s="217">
        <v>0</v>
      </c>
      <c r="N23" s="217">
        <v>0</v>
      </c>
      <c r="O23" s="219">
        <f t="shared" si="6"/>
        <v>0</v>
      </c>
      <c r="P23" s="222">
        <f t="shared" si="7"/>
        <v>0</v>
      </c>
    </row>
    <row r="24" spans="3:16" ht="16.5" customHeight="1">
      <c r="C24" s="171"/>
      <c r="D24" s="260"/>
      <c r="E24" s="180" t="s">
        <v>33</v>
      </c>
      <c r="F24" s="218">
        <v>0</v>
      </c>
      <c r="G24" s="218">
        <v>0</v>
      </c>
      <c r="H24" s="219">
        <f t="shared" si="5"/>
        <v>0</v>
      </c>
      <c r="I24" s="183"/>
      <c r="J24" s="244">
        <v>0</v>
      </c>
      <c r="K24" s="217">
        <v>0</v>
      </c>
      <c r="L24" s="217">
        <v>0</v>
      </c>
      <c r="M24" s="217">
        <v>0</v>
      </c>
      <c r="N24" s="217">
        <v>0</v>
      </c>
      <c r="O24" s="219">
        <f t="shared" si="6"/>
        <v>0</v>
      </c>
      <c r="P24" s="222">
        <f t="shared" si="7"/>
        <v>0</v>
      </c>
    </row>
    <row r="25" spans="3:16" ht="16.5" customHeight="1">
      <c r="C25" s="171"/>
      <c r="D25" s="260"/>
      <c r="E25" s="180" t="s">
        <v>34</v>
      </c>
      <c r="F25" s="218">
        <v>0</v>
      </c>
      <c r="G25" s="218">
        <v>0</v>
      </c>
      <c r="H25" s="219">
        <f t="shared" si="5"/>
        <v>0</v>
      </c>
      <c r="I25" s="183"/>
      <c r="J25" s="244">
        <v>0</v>
      </c>
      <c r="K25" s="217">
        <v>0</v>
      </c>
      <c r="L25" s="217">
        <v>0</v>
      </c>
      <c r="M25" s="217">
        <v>0</v>
      </c>
      <c r="N25" s="217">
        <v>0</v>
      </c>
      <c r="O25" s="219">
        <f t="shared" si="6"/>
        <v>0</v>
      </c>
      <c r="P25" s="222">
        <f t="shared" si="7"/>
        <v>0</v>
      </c>
    </row>
    <row r="26" spans="3:16" ht="16.5" customHeight="1">
      <c r="C26" s="171"/>
      <c r="D26" s="260"/>
      <c r="E26" s="180" t="s">
        <v>120</v>
      </c>
      <c r="F26" s="218">
        <v>0</v>
      </c>
      <c r="G26" s="218">
        <v>0</v>
      </c>
      <c r="H26" s="219">
        <f t="shared" si="5"/>
        <v>0</v>
      </c>
      <c r="I26" s="183"/>
      <c r="J26" s="244">
        <v>0</v>
      </c>
      <c r="K26" s="217">
        <v>0</v>
      </c>
      <c r="L26" s="217">
        <v>0</v>
      </c>
      <c r="M26" s="217">
        <v>0</v>
      </c>
      <c r="N26" s="217">
        <v>0</v>
      </c>
      <c r="O26" s="219">
        <f t="shared" si="6"/>
        <v>0</v>
      </c>
      <c r="P26" s="222">
        <f t="shared" si="7"/>
        <v>0</v>
      </c>
    </row>
    <row r="27" spans="3:16" ht="16.5" customHeight="1">
      <c r="C27" s="171"/>
      <c r="D27" s="260"/>
      <c r="E27" s="180" t="s">
        <v>98</v>
      </c>
      <c r="F27" s="217">
        <v>0</v>
      </c>
      <c r="G27" s="217">
        <v>0</v>
      </c>
      <c r="H27" s="219">
        <f t="shared" si="5"/>
        <v>0</v>
      </c>
      <c r="I27" s="183"/>
      <c r="J27" s="244">
        <v>0</v>
      </c>
      <c r="K27" s="217">
        <v>0</v>
      </c>
      <c r="L27" s="217">
        <v>0</v>
      </c>
      <c r="M27" s="217">
        <v>0</v>
      </c>
      <c r="N27" s="217">
        <v>0</v>
      </c>
      <c r="O27" s="219">
        <f t="shared" si="6"/>
        <v>0</v>
      </c>
      <c r="P27" s="222">
        <f t="shared" si="7"/>
        <v>0</v>
      </c>
    </row>
    <row r="28" spans="3:16" ht="16.5" customHeight="1">
      <c r="C28" s="171"/>
      <c r="D28" s="260"/>
      <c r="E28" s="180" t="s">
        <v>99</v>
      </c>
      <c r="F28" s="262">
        <v>0</v>
      </c>
      <c r="G28" s="262">
        <v>0</v>
      </c>
      <c r="H28" s="263">
        <f t="shared" si="5"/>
        <v>0</v>
      </c>
      <c r="I28" s="183"/>
      <c r="J28" s="264">
        <v>0</v>
      </c>
      <c r="K28" s="262">
        <v>0</v>
      </c>
      <c r="L28" s="262">
        <v>0</v>
      </c>
      <c r="M28" s="262">
        <v>0</v>
      </c>
      <c r="N28" s="262">
        <v>0</v>
      </c>
      <c r="O28" s="263">
        <f t="shared" si="6"/>
        <v>0</v>
      </c>
      <c r="P28" s="265">
        <f t="shared" si="7"/>
        <v>0</v>
      </c>
    </row>
    <row r="29" spans="3:16" ht="16.5" customHeight="1">
      <c r="C29" s="171"/>
      <c r="D29" s="260"/>
      <c r="E29" s="266" t="s">
        <v>100</v>
      </c>
      <c r="F29" s="262">
        <v>0</v>
      </c>
      <c r="G29" s="262">
        <v>0</v>
      </c>
      <c r="H29" s="263">
        <f t="shared" si="5"/>
        <v>0</v>
      </c>
      <c r="I29" s="183"/>
      <c r="J29" s="264">
        <v>0</v>
      </c>
      <c r="K29" s="262">
        <v>0</v>
      </c>
      <c r="L29" s="262">
        <v>0</v>
      </c>
      <c r="M29" s="262">
        <v>0</v>
      </c>
      <c r="N29" s="262">
        <v>0</v>
      </c>
      <c r="O29" s="263">
        <f t="shared" si="6"/>
        <v>0</v>
      </c>
      <c r="P29" s="265">
        <f t="shared" si="7"/>
        <v>0</v>
      </c>
    </row>
    <row r="30" spans="3:16" ht="16.5" customHeight="1">
      <c r="C30" s="171"/>
      <c r="D30" s="267"/>
      <c r="E30" s="268" t="s">
        <v>101</v>
      </c>
      <c r="F30" s="230">
        <v>0</v>
      </c>
      <c r="G30" s="230">
        <v>0</v>
      </c>
      <c r="H30" s="232">
        <f t="shared" si="5"/>
        <v>0</v>
      </c>
      <c r="I30" s="272"/>
      <c r="J30" s="269">
        <v>0</v>
      </c>
      <c r="K30" s="230">
        <v>0</v>
      </c>
      <c r="L30" s="230">
        <v>0</v>
      </c>
      <c r="M30" s="230">
        <v>0</v>
      </c>
      <c r="N30" s="230">
        <v>0</v>
      </c>
      <c r="O30" s="232">
        <f t="shared" si="6"/>
        <v>0</v>
      </c>
      <c r="P30" s="234">
        <f t="shared" si="7"/>
        <v>0</v>
      </c>
    </row>
    <row r="31" spans="3:16" ht="16.5" customHeight="1">
      <c r="C31" s="273" t="s">
        <v>143</v>
      </c>
      <c r="D31" s="274"/>
      <c r="E31" s="275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/>
    </row>
    <row r="32" spans="3:16" ht="16.5" customHeight="1">
      <c r="C32" s="171"/>
      <c r="D32" s="256" t="s">
        <v>38</v>
      </c>
      <c r="E32" s="257"/>
      <c r="F32" s="258">
        <f>SUM(F33:F41)</f>
        <v>0</v>
      </c>
      <c r="G32" s="221">
        <f>SUM(G33:G41)</f>
        <v>0</v>
      </c>
      <c r="H32" s="168">
        <f>SUM(H33:H41)</f>
        <v>0</v>
      </c>
      <c r="I32" s="169"/>
      <c r="J32" s="259">
        <f t="shared" ref="J32:P32" si="8">SUM(J33:J41)</f>
        <v>0</v>
      </c>
      <c r="K32" s="221">
        <f t="shared" si="8"/>
        <v>0</v>
      </c>
      <c r="L32" s="221">
        <f t="shared" si="8"/>
        <v>0</v>
      </c>
      <c r="M32" s="221">
        <f t="shared" si="8"/>
        <v>0</v>
      </c>
      <c r="N32" s="221">
        <f t="shared" si="8"/>
        <v>0</v>
      </c>
      <c r="O32" s="168">
        <f t="shared" si="8"/>
        <v>0</v>
      </c>
      <c r="P32" s="170">
        <f t="shared" si="8"/>
        <v>0</v>
      </c>
    </row>
    <row r="33" spans="3:16" ht="16.5" customHeight="1">
      <c r="C33" s="171"/>
      <c r="D33" s="260"/>
      <c r="E33" s="180" t="s">
        <v>31</v>
      </c>
      <c r="F33" s="218">
        <v>0</v>
      </c>
      <c r="G33" s="218">
        <v>0</v>
      </c>
      <c r="H33" s="219">
        <f t="shared" ref="H33:H41" si="9">SUM(F33:G33)</f>
        <v>0</v>
      </c>
      <c r="I33" s="183"/>
      <c r="J33" s="244">
        <v>0</v>
      </c>
      <c r="K33" s="217">
        <v>0</v>
      </c>
      <c r="L33" s="217">
        <v>0</v>
      </c>
      <c r="M33" s="217">
        <v>0</v>
      </c>
      <c r="N33" s="217">
        <v>0</v>
      </c>
      <c r="O33" s="219">
        <f t="shared" ref="O33:O41" si="10">SUM(I33:N33)</f>
        <v>0</v>
      </c>
      <c r="P33" s="222">
        <f t="shared" ref="P33:P41" si="11">H33+O33</f>
        <v>0</v>
      </c>
    </row>
    <row r="34" spans="3:16" ht="16.5" customHeight="1">
      <c r="C34" s="171"/>
      <c r="D34" s="261"/>
      <c r="E34" s="180" t="s">
        <v>32</v>
      </c>
      <c r="F34" s="218">
        <v>0</v>
      </c>
      <c r="G34" s="218">
        <v>0</v>
      </c>
      <c r="H34" s="219">
        <f t="shared" si="9"/>
        <v>0</v>
      </c>
      <c r="I34" s="183"/>
      <c r="J34" s="244">
        <v>0</v>
      </c>
      <c r="K34" s="217">
        <v>0</v>
      </c>
      <c r="L34" s="217">
        <v>0</v>
      </c>
      <c r="M34" s="217">
        <v>0</v>
      </c>
      <c r="N34" s="217">
        <v>0</v>
      </c>
      <c r="O34" s="219">
        <f t="shared" si="10"/>
        <v>0</v>
      </c>
      <c r="P34" s="222">
        <f t="shared" si="11"/>
        <v>0</v>
      </c>
    </row>
    <row r="35" spans="3:16" ht="16.5" customHeight="1">
      <c r="C35" s="171"/>
      <c r="D35" s="260"/>
      <c r="E35" s="180" t="s">
        <v>33</v>
      </c>
      <c r="F35" s="218">
        <v>0</v>
      </c>
      <c r="G35" s="218">
        <v>0</v>
      </c>
      <c r="H35" s="219">
        <f t="shared" si="9"/>
        <v>0</v>
      </c>
      <c r="I35" s="183"/>
      <c r="J35" s="244">
        <v>0</v>
      </c>
      <c r="K35" s="217">
        <v>0</v>
      </c>
      <c r="L35" s="217">
        <v>0</v>
      </c>
      <c r="M35" s="217">
        <v>0</v>
      </c>
      <c r="N35" s="217">
        <v>0</v>
      </c>
      <c r="O35" s="219">
        <f t="shared" si="10"/>
        <v>0</v>
      </c>
      <c r="P35" s="222">
        <f t="shared" si="11"/>
        <v>0</v>
      </c>
    </row>
    <row r="36" spans="3:16" ht="16.5" customHeight="1">
      <c r="C36" s="171"/>
      <c r="D36" s="260"/>
      <c r="E36" s="180" t="s">
        <v>34</v>
      </c>
      <c r="F36" s="218">
        <v>0</v>
      </c>
      <c r="G36" s="218">
        <v>0</v>
      </c>
      <c r="H36" s="219">
        <f t="shared" si="9"/>
        <v>0</v>
      </c>
      <c r="I36" s="183"/>
      <c r="J36" s="244">
        <v>0</v>
      </c>
      <c r="K36" s="217">
        <v>0</v>
      </c>
      <c r="L36" s="217">
        <v>0</v>
      </c>
      <c r="M36" s="217">
        <v>0</v>
      </c>
      <c r="N36" s="217">
        <v>0</v>
      </c>
      <c r="O36" s="219">
        <f t="shared" si="10"/>
        <v>0</v>
      </c>
      <c r="P36" s="222">
        <f t="shared" si="11"/>
        <v>0</v>
      </c>
    </row>
    <row r="37" spans="3:16" ht="16.5" customHeight="1">
      <c r="C37" s="171"/>
      <c r="D37" s="260"/>
      <c r="E37" s="180" t="s">
        <v>120</v>
      </c>
      <c r="F37" s="218">
        <v>0</v>
      </c>
      <c r="G37" s="218">
        <v>0</v>
      </c>
      <c r="H37" s="219">
        <f t="shared" si="9"/>
        <v>0</v>
      </c>
      <c r="I37" s="183"/>
      <c r="J37" s="244">
        <v>0</v>
      </c>
      <c r="K37" s="217">
        <v>0</v>
      </c>
      <c r="L37" s="217">
        <v>0</v>
      </c>
      <c r="M37" s="217">
        <v>0</v>
      </c>
      <c r="N37" s="217">
        <v>0</v>
      </c>
      <c r="O37" s="219">
        <f t="shared" si="10"/>
        <v>0</v>
      </c>
      <c r="P37" s="222">
        <f t="shared" si="11"/>
        <v>0</v>
      </c>
    </row>
    <row r="38" spans="3:16" ht="16.5" customHeight="1">
      <c r="C38" s="171"/>
      <c r="D38" s="260"/>
      <c r="E38" s="180" t="s">
        <v>98</v>
      </c>
      <c r="F38" s="217">
        <v>0</v>
      </c>
      <c r="G38" s="217">
        <v>0</v>
      </c>
      <c r="H38" s="219">
        <f t="shared" si="9"/>
        <v>0</v>
      </c>
      <c r="I38" s="183"/>
      <c r="J38" s="244">
        <v>0</v>
      </c>
      <c r="K38" s="217">
        <v>0</v>
      </c>
      <c r="L38" s="217">
        <v>0</v>
      </c>
      <c r="M38" s="217">
        <v>0</v>
      </c>
      <c r="N38" s="217">
        <v>0</v>
      </c>
      <c r="O38" s="219">
        <f t="shared" si="10"/>
        <v>0</v>
      </c>
      <c r="P38" s="222">
        <f t="shared" si="11"/>
        <v>0</v>
      </c>
    </row>
    <row r="39" spans="3:16" ht="16.5" customHeight="1">
      <c r="C39" s="171"/>
      <c r="D39" s="260"/>
      <c r="E39" s="180" t="s">
        <v>99</v>
      </c>
      <c r="F39" s="262">
        <v>0</v>
      </c>
      <c r="G39" s="262">
        <v>0</v>
      </c>
      <c r="H39" s="263">
        <f t="shared" si="9"/>
        <v>0</v>
      </c>
      <c r="I39" s="183"/>
      <c r="J39" s="264">
        <v>0</v>
      </c>
      <c r="K39" s="262">
        <v>0</v>
      </c>
      <c r="L39" s="262">
        <v>0</v>
      </c>
      <c r="M39" s="262">
        <v>0</v>
      </c>
      <c r="N39" s="262">
        <v>0</v>
      </c>
      <c r="O39" s="263">
        <f t="shared" si="10"/>
        <v>0</v>
      </c>
      <c r="P39" s="265">
        <f t="shared" si="11"/>
        <v>0</v>
      </c>
    </row>
    <row r="40" spans="3:16" ht="16.5" customHeight="1">
      <c r="C40" s="171"/>
      <c r="D40" s="260"/>
      <c r="E40" s="266" t="s">
        <v>100</v>
      </c>
      <c r="F40" s="262">
        <v>0</v>
      </c>
      <c r="G40" s="262">
        <v>0</v>
      </c>
      <c r="H40" s="263">
        <f t="shared" si="9"/>
        <v>0</v>
      </c>
      <c r="I40" s="183"/>
      <c r="J40" s="264">
        <v>0</v>
      </c>
      <c r="K40" s="262">
        <v>0</v>
      </c>
      <c r="L40" s="262">
        <v>0</v>
      </c>
      <c r="M40" s="262">
        <v>0</v>
      </c>
      <c r="N40" s="262">
        <v>0</v>
      </c>
      <c r="O40" s="263">
        <f t="shared" si="10"/>
        <v>0</v>
      </c>
      <c r="P40" s="265">
        <f t="shared" si="11"/>
        <v>0</v>
      </c>
    </row>
    <row r="41" spans="3:16" ht="16.5" customHeight="1">
      <c r="C41" s="171"/>
      <c r="D41" s="267"/>
      <c r="E41" s="268" t="s">
        <v>101</v>
      </c>
      <c r="F41" s="230">
        <v>0</v>
      </c>
      <c r="G41" s="230">
        <v>0</v>
      </c>
      <c r="H41" s="232">
        <f t="shared" si="9"/>
        <v>0</v>
      </c>
      <c r="I41" s="183"/>
      <c r="J41" s="269">
        <v>0</v>
      </c>
      <c r="K41" s="230">
        <v>0</v>
      </c>
      <c r="L41" s="230">
        <v>0</v>
      </c>
      <c r="M41" s="230">
        <v>0</v>
      </c>
      <c r="N41" s="230">
        <v>0</v>
      </c>
      <c r="O41" s="232">
        <f t="shared" si="10"/>
        <v>0</v>
      </c>
      <c r="P41" s="234">
        <f t="shared" si="11"/>
        <v>0</v>
      </c>
    </row>
    <row r="42" spans="3:16" ht="16.5" customHeight="1">
      <c r="C42" s="171"/>
      <c r="D42" s="270" t="s">
        <v>142</v>
      </c>
      <c r="E42" s="271"/>
      <c r="F42" s="174">
        <f>SUM(F43:F51)</f>
        <v>0</v>
      </c>
      <c r="G42" s="174">
        <f>SUM(G43:G51)</f>
        <v>0</v>
      </c>
      <c r="H42" s="176">
        <f>SUM(H43:H51)</f>
        <v>0</v>
      </c>
      <c r="I42" s="169"/>
      <c r="J42" s="259">
        <f t="shared" ref="J42:P42" si="12">SUM(J43:J51)</f>
        <v>0</v>
      </c>
      <c r="K42" s="174">
        <f t="shared" si="12"/>
        <v>0</v>
      </c>
      <c r="L42" s="174">
        <f t="shared" si="12"/>
        <v>0</v>
      </c>
      <c r="M42" s="174">
        <f t="shared" si="12"/>
        <v>0</v>
      </c>
      <c r="N42" s="174">
        <f t="shared" si="12"/>
        <v>0</v>
      </c>
      <c r="O42" s="176">
        <f t="shared" si="12"/>
        <v>0</v>
      </c>
      <c r="P42" s="178">
        <f t="shared" si="12"/>
        <v>0</v>
      </c>
    </row>
    <row r="43" spans="3:16" ht="16.5" customHeight="1">
      <c r="C43" s="171"/>
      <c r="D43" s="260"/>
      <c r="E43" s="180" t="s">
        <v>31</v>
      </c>
      <c r="F43" s="218">
        <v>0</v>
      </c>
      <c r="G43" s="218">
        <v>0</v>
      </c>
      <c r="H43" s="219">
        <f t="shared" ref="H43:H51" si="13">SUM(F43:G43)</f>
        <v>0</v>
      </c>
      <c r="I43" s="183"/>
      <c r="J43" s="244">
        <v>0</v>
      </c>
      <c r="K43" s="217">
        <v>0</v>
      </c>
      <c r="L43" s="217">
        <v>0</v>
      </c>
      <c r="M43" s="217">
        <v>0</v>
      </c>
      <c r="N43" s="217">
        <v>0</v>
      </c>
      <c r="O43" s="219">
        <f t="shared" ref="O43:O51" si="14">SUM(I43:N43)</f>
        <v>0</v>
      </c>
      <c r="P43" s="222">
        <f t="shared" ref="P43:P51" si="15">H43+O43</f>
        <v>0</v>
      </c>
    </row>
    <row r="44" spans="3:16" ht="16.5" customHeight="1">
      <c r="C44" s="171"/>
      <c r="D44" s="261"/>
      <c r="E44" s="180" t="s">
        <v>32</v>
      </c>
      <c r="F44" s="218">
        <v>0</v>
      </c>
      <c r="G44" s="218">
        <v>0</v>
      </c>
      <c r="H44" s="219">
        <f t="shared" si="13"/>
        <v>0</v>
      </c>
      <c r="I44" s="183"/>
      <c r="J44" s="244">
        <v>0</v>
      </c>
      <c r="K44" s="217">
        <v>0</v>
      </c>
      <c r="L44" s="217">
        <v>0</v>
      </c>
      <c r="M44" s="217">
        <v>0</v>
      </c>
      <c r="N44" s="217">
        <v>0</v>
      </c>
      <c r="O44" s="219">
        <f t="shared" si="14"/>
        <v>0</v>
      </c>
      <c r="P44" s="222">
        <f t="shared" si="15"/>
        <v>0</v>
      </c>
    </row>
    <row r="45" spans="3:16" ht="16.5" customHeight="1">
      <c r="C45" s="171"/>
      <c r="D45" s="260"/>
      <c r="E45" s="180" t="s">
        <v>33</v>
      </c>
      <c r="F45" s="218">
        <v>0</v>
      </c>
      <c r="G45" s="218">
        <v>0</v>
      </c>
      <c r="H45" s="219">
        <f t="shared" si="13"/>
        <v>0</v>
      </c>
      <c r="I45" s="183"/>
      <c r="J45" s="244">
        <v>0</v>
      </c>
      <c r="K45" s="217">
        <v>0</v>
      </c>
      <c r="L45" s="217">
        <v>0</v>
      </c>
      <c r="M45" s="217">
        <v>0</v>
      </c>
      <c r="N45" s="217">
        <v>0</v>
      </c>
      <c r="O45" s="219">
        <f t="shared" si="14"/>
        <v>0</v>
      </c>
      <c r="P45" s="222">
        <f t="shared" si="15"/>
        <v>0</v>
      </c>
    </row>
    <row r="46" spans="3:16" ht="16.5" customHeight="1">
      <c r="C46" s="171"/>
      <c r="D46" s="260"/>
      <c r="E46" s="180" t="s">
        <v>34</v>
      </c>
      <c r="F46" s="218">
        <v>0</v>
      </c>
      <c r="G46" s="218">
        <v>0</v>
      </c>
      <c r="H46" s="219">
        <f t="shared" si="13"/>
        <v>0</v>
      </c>
      <c r="I46" s="183"/>
      <c r="J46" s="244">
        <v>0</v>
      </c>
      <c r="K46" s="217">
        <v>0</v>
      </c>
      <c r="L46" s="217">
        <v>0</v>
      </c>
      <c r="M46" s="217">
        <v>0</v>
      </c>
      <c r="N46" s="217">
        <v>0</v>
      </c>
      <c r="O46" s="219">
        <f t="shared" si="14"/>
        <v>0</v>
      </c>
      <c r="P46" s="222">
        <f t="shared" si="15"/>
        <v>0</v>
      </c>
    </row>
    <row r="47" spans="3:16" ht="16.5" customHeight="1">
      <c r="C47" s="171"/>
      <c r="D47" s="260"/>
      <c r="E47" s="180" t="s">
        <v>120</v>
      </c>
      <c r="F47" s="218">
        <v>0</v>
      </c>
      <c r="G47" s="218">
        <v>0</v>
      </c>
      <c r="H47" s="219">
        <f t="shared" si="13"/>
        <v>0</v>
      </c>
      <c r="I47" s="183"/>
      <c r="J47" s="244">
        <v>0</v>
      </c>
      <c r="K47" s="217">
        <v>0</v>
      </c>
      <c r="L47" s="217">
        <v>0</v>
      </c>
      <c r="M47" s="217">
        <v>0</v>
      </c>
      <c r="N47" s="217">
        <v>0</v>
      </c>
      <c r="O47" s="219">
        <f t="shared" si="14"/>
        <v>0</v>
      </c>
      <c r="P47" s="222">
        <f t="shared" si="15"/>
        <v>0</v>
      </c>
    </row>
    <row r="48" spans="3:16" ht="16.5" customHeight="1">
      <c r="C48" s="171"/>
      <c r="D48" s="260"/>
      <c r="E48" s="180" t="s">
        <v>98</v>
      </c>
      <c r="F48" s="217">
        <v>0</v>
      </c>
      <c r="G48" s="217">
        <v>0</v>
      </c>
      <c r="H48" s="219">
        <f t="shared" si="13"/>
        <v>0</v>
      </c>
      <c r="I48" s="183"/>
      <c r="J48" s="244">
        <v>0</v>
      </c>
      <c r="K48" s="217">
        <v>0</v>
      </c>
      <c r="L48" s="217">
        <v>0</v>
      </c>
      <c r="M48" s="217">
        <v>0</v>
      </c>
      <c r="N48" s="217">
        <v>0</v>
      </c>
      <c r="O48" s="219">
        <f t="shared" si="14"/>
        <v>0</v>
      </c>
      <c r="P48" s="222">
        <f t="shared" si="15"/>
        <v>0</v>
      </c>
    </row>
    <row r="49" spans="3:16" ht="16.5" customHeight="1">
      <c r="C49" s="171"/>
      <c r="D49" s="261"/>
      <c r="E49" s="180" t="s">
        <v>99</v>
      </c>
      <c r="F49" s="217">
        <v>0</v>
      </c>
      <c r="G49" s="217">
        <v>0</v>
      </c>
      <c r="H49" s="219">
        <f t="shared" si="13"/>
        <v>0</v>
      </c>
      <c r="I49" s="183"/>
      <c r="J49" s="244">
        <v>0</v>
      </c>
      <c r="K49" s="217">
        <v>0</v>
      </c>
      <c r="L49" s="217">
        <v>0</v>
      </c>
      <c r="M49" s="217">
        <v>0</v>
      </c>
      <c r="N49" s="217">
        <v>0</v>
      </c>
      <c r="O49" s="219">
        <f t="shared" si="14"/>
        <v>0</v>
      </c>
      <c r="P49" s="222">
        <f t="shared" si="15"/>
        <v>0</v>
      </c>
    </row>
    <row r="50" spans="3:16" ht="16.5" customHeight="1">
      <c r="C50" s="171"/>
      <c r="D50" s="260"/>
      <c r="E50" s="266" t="s">
        <v>100</v>
      </c>
      <c r="F50" s="262">
        <v>0</v>
      </c>
      <c r="G50" s="262">
        <v>0</v>
      </c>
      <c r="H50" s="263">
        <f t="shared" si="13"/>
        <v>0</v>
      </c>
      <c r="I50" s="183"/>
      <c r="J50" s="264">
        <v>0</v>
      </c>
      <c r="K50" s="262">
        <v>0</v>
      </c>
      <c r="L50" s="262">
        <v>0</v>
      </c>
      <c r="M50" s="262">
        <v>0</v>
      </c>
      <c r="N50" s="262">
        <v>0</v>
      </c>
      <c r="O50" s="263">
        <f t="shared" si="14"/>
        <v>0</v>
      </c>
      <c r="P50" s="265">
        <f t="shared" si="15"/>
        <v>0</v>
      </c>
    </row>
    <row r="51" spans="3:16" ht="16.5" customHeight="1">
      <c r="C51" s="171"/>
      <c r="D51" s="267"/>
      <c r="E51" s="268" t="s">
        <v>101</v>
      </c>
      <c r="F51" s="230">
        <v>0</v>
      </c>
      <c r="G51" s="230">
        <v>0</v>
      </c>
      <c r="H51" s="232">
        <f t="shared" si="13"/>
        <v>0</v>
      </c>
      <c r="I51" s="183"/>
      <c r="J51" s="269">
        <v>0</v>
      </c>
      <c r="K51" s="230">
        <v>0</v>
      </c>
      <c r="L51" s="230">
        <v>0</v>
      </c>
      <c r="M51" s="230">
        <v>0</v>
      </c>
      <c r="N51" s="230">
        <v>0</v>
      </c>
      <c r="O51" s="232">
        <f t="shared" si="14"/>
        <v>0</v>
      </c>
      <c r="P51" s="234">
        <f t="shared" si="15"/>
        <v>0</v>
      </c>
    </row>
    <row r="52" spans="3:16" ht="16.5" customHeight="1">
      <c r="C52" s="315" t="s">
        <v>125</v>
      </c>
      <c r="D52" s="316"/>
      <c r="E52" s="317"/>
      <c r="F52" s="85">
        <f>F32+F42</f>
        <v>0</v>
      </c>
      <c r="G52" s="235">
        <f>G32+G42</f>
        <v>0</v>
      </c>
      <c r="H52" s="247">
        <f>H32+H42</f>
        <v>0</v>
      </c>
      <c r="I52" s="128"/>
      <c r="J52" s="246">
        <f t="shared" ref="J52:P52" si="16">J32+J42</f>
        <v>0</v>
      </c>
      <c r="K52" s="235">
        <f t="shared" si="16"/>
        <v>0</v>
      </c>
      <c r="L52" s="235">
        <f t="shared" si="16"/>
        <v>0</v>
      </c>
      <c r="M52" s="235">
        <f t="shared" si="16"/>
        <v>0</v>
      </c>
      <c r="N52" s="235">
        <f t="shared" si="16"/>
        <v>0</v>
      </c>
      <c r="O52" s="247">
        <f t="shared" si="16"/>
        <v>0</v>
      </c>
      <c r="P52" s="237">
        <f t="shared" si="16"/>
        <v>0</v>
      </c>
    </row>
    <row r="53" spans="3:16" ht="18" customHeight="1">
      <c r="C53" s="109"/>
    </row>
  </sheetData>
  <sheetProtection selectLockedCells="1" selectUnlockedCells="1"/>
  <mergeCells count="5">
    <mergeCell ref="C52:E52"/>
    <mergeCell ref="A3:Q3"/>
    <mergeCell ref="A4:Q4"/>
    <mergeCell ref="C9:E9"/>
    <mergeCell ref="P9"/>
  </mergeCells>
  <phoneticPr fontId="14"/>
  <pageMargins left="0.7" right="0.7" top="0.75" bottom="0.75" header="0.3" footer="0.3"/>
  <pageSetup paperSize="9" scale="56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showGridLines="0" tabSelected="1" zoomScaleNormal="100" workbookViewId="0">
      <selection activeCell="F82" sqref="F82"/>
    </sheetView>
  </sheetViews>
  <sheetFormatPr defaultColWidth="10" defaultRowHeight="12.75" customHeight="1"/>
  <cols>
    <col min="1" max="4" width="3.25" style="6" customWidth="1"/>
    <col min="5" max="5" width="16" style="6" customWidth="1"/>
    <col min="6" max="7" width="18.125" style="6" customWidth="1"/>
    <col min="8" max="8" width="18.125" style="1" customWidth="1"/>
    <col min="9" max="9" width="16" style="1" customWidth="1"/>
    <col min="10" max="10" width="4.5" customWidth="1"/>
  </cols>
  <sheetData>
    <row r="1" spans="1:10" ht="18" customHeight="1">
      <c r="A1" s="276" t="s">
        <v>146</v>
      </c>
      <c r="B1" s="5"/>
      <c r="H1" s="6"/>
      <c r="I1" s="6"/>
      <c r="J1" s="238"/>
    </row>
    <row r="2" spans="1:10" ht="18" customHeight="1">
      <c r="H2" s="6"/>
      <c r="I2" s="6"/>
      <c r="J2" s="238"/>
    </row>
    <row r="3" spans="1:10" ht="18" customHeight="1">
      <c r="A3" s="304" t="s">
        <v>1</v>
      </c>
      <c r="B3" s="304"/>
      <c r="C3" s="304"/>
      <c r="D3" s="304"/>
      <c r="E3" s="304"/>
      <c r="F3" s="304"/>
      <c r="G3" s="304"/>
      <c r="H3" s="304"/>
      <c r="I3" s="304"/>
      <c r="J3" s="277"/>
    </row>
    <row r="4" spans="1:10" ht="18" customHeight="1">
      <c r="A4" s="304" t="s">
        <v>172</v>
      </c>
      <c r="B4" s="304"/>
      <c r="C4" s="304"/>
      <c r="D4" s="304"/>
      <c r="E4" s="304"/>
      <c r="F4" s="304"/>
      <c r="G4" s="304"/>
      <c r="H4" s="304"/>
      <c r="I4" s="304"/>
      <c r="J4" s="277"/>
    </row>
    <row r="5" spans="1:10" ht="18" customHeight="1">
      <c r="A5" s="7"/>
      <c r="B5" s="7"/>
      <c r="C5" s="7"/>
      <c r="D5" s="7"/>
      <c r="E5" s="7"/>
      <c r="F5" s="7"/>
      <c r="G5" s="1"/>
      <c r="H5" s="39" t="s">
        <v>2</v>
      </c>
      <c r="I5" s="60" t="s">
        <v>171</v>
      </c>
      <c r="J5" s="277"/>
    </row>
    <row r="6" spans="1:10" ht="18" customHeight="1">
      <c r="A6" s="7"/>
      <c r="B6" s="7"/>
      <c r="C6" s="7"/>
      <c r="D6" s="7"/>
      <c r="E6" s="7"/>
      <c r="F6" s="7"/>
      <c r="G6" s="1"/>
      <c r="H6" s="61" t="s">
        <v>3</v>
      </c>
      <c r="I6" s="42" t="s">
        <v>170</v>
      </c>
      <c r="J6" s="277" t="s">
        <v>4</v>
      </c>
    </row>
    <row r="7" spans="1:10" s="8" customFormat="1" ht="18" customHeight="1">
      <c r="B7" s="106" t="s">
        <v>147</v>
      </c>
      <c r="J7" s="277"/>
    </row>
    <row r="8" spans="1:10" s="8" customFormat="1" ht="18" customHeight="1">
      <c r="C8" s="106" t="s">
        <v>148</v>
      </c>
      <c r="E8" s="9"/>
      <c r="J8" s="277"/>
    </row>
    <row r="9" spans="1:10" s="8" customFormat="1" ht="16.5" customHeight="1">
      <c r="D9" s="173" t="s">
        <v>149</v>
      </c>
      <c r="J9" s="277"/>
    </row>
    <row r="10" spans="1:10" s="8" customFormat="1" ht="16.5" customHeight="1">
      <c r="D10" s="321"/>
      <c r="E10" s="323"/>
      <c r="F10" s="160" t="s">
        <v>150</v>
      </c>
      <c r="G10" s="160" t="s">
        <v>23</v>
      </c>
      <c r="H10" s="278" t="s">
        <v>17</v>
      </c>
      <c r="J10" s="277"/>
    </row>
    <row r="11" spans="1:10" s="8" customFormat="1" ht="16.5" customHeight="1">
      <c r="D11" s="325" t="s">
        <v>151</v>
      </c>
      <c r="E11" s="326"/>
      <c r="F11" s="279">
        <f>SUM(F16+F21+F26)</f>
        <v>6</v>
      </c>
      <c r="G11" s="279">
        <f>SUM(G16+G21+G26)</f>
        <v>2</v>
      </c>
      <c r="H11" s="280">
        <f>SUM(F11,G11)</f>
        <v>8</v>
      </c>
      <c r="I11" s="281"/>
      <c r="J11" s="277"/>
    </row>
    <row r="12" spans="1:10" s="8" customFormat="1" ht="16.5" customHeight="1">
      <c r="D12" s="315" t="s">
        <v>152</v>
      </c>
      <c r="E12" s="317"/>
      <c r="F12" s="282">
        <f>SUM(F17+F22+F27)</f>
        <v>29821</v>
      </c>
      <c r="G12" s="282">
        <f>SUM(G17+G22+G27)</f>
        <v>45461</v>
      </c>
      <c r="H12" s="86">
        <f>SUM(F12,G12)</f>
        <v>75282</v>
      </c>
      <c r="I12" s="281"/>
      <c r="J12" s="277"/>
    </row>
    <row r="14" spans="1:10" s="197" customFormat="1" ht="16.5" customHeight="1">
      <c r="D14" s="173" t="s">
        <v>153</v>
      </c>
    </row>
    <row r="15" spans="1:10" s="197" customFormat="1" ht="16.5" customHeight="1">
      <c r="D15" s="321"/>
      <c r="E15" s="323"/>
      <c r="F15" s="160" t="s">
        <v>150</v>
      </c>
      <c r="G15" s="160" t="s">
        <v>23</v>
      </c>
      <c r="H15" s="278" t="s">
        <v>17</v>
      </c>
    </row>
    <row r="16" spans="1:10" s="197" customFormat="1" ht="16.5" customHeight="1">
      <c r="D16" s="325" t="s">
        <v>151</v>
      </c>
      <c r="E16" s="326"/>
      <c r="F16" s="209">
        <v>0</v>
      </c>
      <c r="G16" s="209">
        <v>0</v>
      </c>
      <c r="H16" s="280">
        <f>SUM(F16,G16)</f>
        <v>0</v>
      </c>
      <c r="I16" s="283"/>
    </row>
    <row r="17" spans="4:10" s="197" customFormat="1" ht="16.5" customHeight="1">
      <c r="D17" s="315" t="s">
        <v>152</v>
      </c>
      <c r="E17" s="317"/>
      <c r="F17" s="83">
        <v>0</v>
      </c>
      <c r="G17" s="83">
        <v>0</v>
      </c>
      <c r="H17" s="86">
        <f>SUM(F17,G17)</f>
        <v>0</v>
      </c>
      <c r="I17" s="283"/>
    </row>
    <row r="19" spans="4:10" s="197" customFormat="1" ht="16.5" customHeight="1">
      <c r="D19" s="173" t="s">
        <v>154</v>
      </c>
    </row>
    <row r="20" spans="4:10" s="197" customFormat="1" ht="16.5" customHeight="1">
      <c r="D20" s="321"/>
      <c r="E20" s="323"/>
      <c r="F20" s="160" t="s">
        <v>150</v>
      </c>
      <c r="G20" s="160" t="s">
        <v>23</v>
      </c>
      <c r="H20" s="278" t="s">
        <v>17</v>
      </c>
    </row>
    <row r="21" spans="4:10" s="197" customFormat="1" ht="16.5" customHeight="1">
      <c r="D21" s="325" t="s">
        <v>151</v>
      </c>
      <c r="E21" s="326"/>
      <c r="F21" s="209">
        <v>0</v>
      </c>
      <c r="G21" s="209">
        <v>0</v>
      </c>
      <c r="H21" s="280">
        <f>SUM(F21,G21)</f>
        <v>0</v>
      </c>
      <c r="I21" s="283"/>
    </row>
    <row r="22" spans="4:10" s="197" customFormat="1" ht="16.5" customHeight="1">
      <c r="D22" s="315" t="s">
        <v>152</v>
      </c>
      <c r="E22" s="317"/>
      <c r="F22" s="83">
        <v>0</v>
      </c>
      <c r="G22" s="83">
        <v>0</v>
      </c>
      <c r="H22" s="86">
        <f>SUM(F22,G22)</f>
        <v>0</v>
      </c>
      <c r="I22" s="283"/>
    </row>
    <row r="24" spans="4:10" s="197" customFormat="1" ht="16.5" customHeight="1">
      <c r="D24" s="173" t="s">
        <v>155</v>
      </c>
    </row>
    <row r="25" spans="4:10" s="197" customFormat="1" ht="16.5" customHeight="1">
      <c r="D25" s="321"/>
      <c r="E25" s="323"/>
      <c r="F25" s="160" t="s">
        <v>150</v>
      </c>
      <c r="G25" s="160" t="s">
        <v>23</v>
      </c>
      <c r="H25" s="278" t="s">
        <v>17</v>
      </c>
    </row>
    <row r="26" spans="4:10" s="197" customFormat="1" ht="16.5" customHeight="1">
      <c r="D26" s="325" t="s">
        <v>151</v>
      </c>
      <c r="E26" s="326"/>
      <c r="F26" s="209">
        <v>6</v>
      </c>
      <c r="G26" s="209">
        <v>2</v>
      </c>
      <c r="H26" s="280">
        <f>SUM(F26,G26)</f>
        <v>8</v>
      </c>
      <c r="I26" s="283"/>
    </row>
    <row r="27" spans="4:10" s="197" customFormat="1" ht="16.5" customHeight="1">
      <c r="D27" s="315" t="s">
        <v>152</v>
      </c>
      <c r="E27" s="317"/>
      <c r="F27" s="83">
        <v>29821</v>
      </c>
      <c r="G27" s="83">
        <v>45461</v>
      </c>
      <c r="H27" s="86">
        <f>SUM(F27,G27)</f>
        <v>75282</v>
      </c>
      <c r="I27" s="283"/>
    </row>
    <row r="28" spans="4:10" s="8" customFormat="1" ht="12" customHeight="1">
      <c r="J28" s="277"/>
    </row>
    <row r="29" spans="4:10" s="8" customFormat="1" ht="16.5" customHeight="1">
      <c r="D29" s="173" t="s">
        <v>156</v>
      </c>
      <c r="F29" s="9"/>
      <c r="J29" s="277"/>
    </row>
    <row r="30" spans="4:10" s="8" customFormat="1" ht="16.5" customHeight="1">
      <c r="D30" s="321"/>
      <c r="E30" s="323"/>
      <c r="F30" s="160" t="s">
        <v>150</v>
      </c>
      <c r="G30" s="160" t="s">
        <v>23</v>
      </c>
      <c r="H30" s="278" t="s">
        <v>17</v>
      </c>
      <c r="J30" s="277"/>
    </row>
    <row r="31" spans="4:10" s="8" customFormat="1" ht="16.5" customHeight="1">
      <c r="D31" s="325" t="s">
        <v>151</v>
      </c>
      <c r="E31" s="326"/>
      <c r="F31" s="209">
        <v>17</v>
      </c>
      <c r="G31" s="209">
        <v>59</v>
      </c>
      <c r="H31" s="280">
        <f>SUM(F31,G31)</f>
        <v>76</v>
      </c>
      <c r="I31" s="281"/>
      <c r="J31" s="277"/>
    </row>
    <row r="32" spans="4:10" s="8" customFormat="1" ht="16.5" customHeight="1">
      <c r="D32" s="315" t="s">
        <v>152</v>
      </c>
      <c r="E32" s="317"/>
      <c r="F32" s="83">
        <v>254784</v>
      </c>
      <c r="G32" s="83">
        <v>566167</v>
      </c>
      <c r="H32" s="86">
        <f>SUM(F32,G32)</f>
        <v>820951</v>
      </c>
      <c r="I32" s="281"/>
      <c r="J32" s="277"/>
    </row>
    <row r="33" spans="4:10" s="8" customFormat="1" ht="12" customHeight="1">
      <c r="J33" s="277"/>
    </row>
    <row r="34" spans="4:10" s="8" customFormat="1" ht="16.5" customHeight="1">
      <c r="D34" s="173" t="s">
        <v>157</v>
      </c>
      <c r="F34" s="9"/>
      <c r="J34" s="277"/>
    </row>
    <row r="35" spans="4:10" s="8" customFormat="1" ht="16.5" customHeight="1">
      <c r="D35" s="321"/>
      <c r="E35" s="323"/>
      <c r="F35" s="160" t="s">
        <v>150</v>
      </c>
      <c r="G35" s="160" t="s">
        <v>23</v>
      </c>
      <c r="H35" s="278" t="s">
        <v>17</v>
      </c>
      <c r="J35" s="277"/>
    </row>
    <row r="36" spans="4:10" s="8" customFormat="1" ht="16.5" customHeight="1">
      <c r="D36" s="325" t="s">
        <v>151</v>
      </c>
      <c r="E36" s="326"/>
      <c r="F36" s="209">
        <v>7</v>
      </c>
      <c r="G36" s="209">
        <v>75</v>
      </c>
      <c r="H36" s="280">
        <f>SUM(F36,G36)</f>
        <v>82</v>
      </c>
      <c r="I36" s="281"/>
      <c r="J36" s="277"/>
    </row>
    <row r="37" spans="4:10" s="8" customFormat="1" ht="16.5" customHeight="1">
      <c r="D37" s="315" t="s">
        <v>152</v>
      </c>
      <c r="E37" s="317"/>
      <c r="F37" s="83">
        <v>115134</v>
      </c>
      <c r="G37" s="83">
        <v>1377000</v>
      </c>
      <c r="H37" s="86">
        <f>SUM(F37,G37)</f>
        <v>1492134</v>
      </c>
      <c r="I37" s="281"/>
      <c r="J37" s="277"/>
    </row>
    <row r="38" spans="4:10" s="8" customFormat="1" ht="12" customHeight="1">
      <c r="J38" s="277"/>
    </row>
    <row r="39" spans="4:10" s="8" customFormat="1" ht="16.5" customHeight="1">
      <c r="D39" s="173" t="s">
        <v>158</v>
      </c>
      <c r="J39" s="277"/>
    </row>
    <row r="40" spans="4:10" s="8" customFormat="1" ht="16.5" customHeight="1">
      <c r="D40" s="321"/>
      <c r="E40" s="323"/>
      <c r="F40" s="160" t="s">
        <v>150</v>
      </c>
      <c r="G40" s="160" t="s">
        <v>23</v>
      </c>
      <c r="H40" s="278" t="s">
        <v>17</v>
      </c>
      <c r="J40" s="277"/>
    </row>
    <row r="41" spans="4:10" s="8" customFormat="1" ht="16.5" customHeight="1">
      <c r="D41" s="325" t="s">
        <v>151</v>
      </c>
      <c r="E41" s="326"/>
      <c r="F41" s="209">
        <v>0</v>
      </c>
      <c r="G41" s="209">
        <v>15</v>
      </c>
      <c r="H41" s="280">
        <f>SUM(F41,G41)</f>
        <v>15</v>
      </c>
      <c r="I41" s="281"/>
      <c r="J41" s="277"/>
    </row>
    <row r="42" spans="4:10" s="8" customFormat="1" ht="16.5" customHeight="1">
      <c r="D42" s="315" t="s">
        <v>152</v>
      </c>
      <c r="E42" s="317"/>
      <c r="F42" s="83">
        <v>0</v>
      </c>
      <c r="G42" s="83">
        <v>237537</v>
      </c>
      <c r="H42" s="86">
        <f>SUM(F42,G42)</f>
        <v>237537</v>
      </c>
      <c r="I42" s="281"/>
      <c r="J42" s="277"/>
    </row>
    <row r="43" spans="4:10" s="8" customFormat="1" ht="12" customHeight="1">
      <c r="J43" s="277"/>
    </row>
    <row r="44" spans="4:10" s="8" customFormat="1" ht="16.5" customHeight="1">
      <c r="D44" s="173" t="s">
        <v>159</v>
      </c>
      <c r="J44" s="277"/>
    </row>
    <row r="45" spans="4:10" s="8" customFormat="1" ht="16.5" customHeight="1">
      <c r="D45" s="321"/>
      <c r="E45" s="323"/>
      <c r="F45" s="160" t="s">
        <v>150</v>
      </c>
      <c r="G45" s="160" t="s">
        <v>23</v>
      </c>
      <c r="H45" s="278" t="s">
        <v>17</v>
      </c>
      <c r="J45" s="277"/>
    </row>
    <row r="46" spans="4:10" s="8" customFormat="1" ht="16.5" customHeight="1">
      <c r="D46" s="325" t="s">
        <v>151</v>
      </c>
      <c r="E46" s="326"/>
      <c r="F46" s="284">
        <f t="shared" ref="F46:H47" si="0">SUM(F11,F31,F36,F41)</f>
        <v>30</v>
      </c>
      <c r="G46" s="284">
        <f t="shared" si="0"/>
        <v>151</v>
      </c>
      <c r="H46" s="280">
        <f t="shared" si="0"/>
        <v>181</v>
      </c>
      <c r="I46" s="281"/>
      <c r="J46" s="277"/>
    </row>
    <row r="47" spans="4:10" s="8" customFormat="1" ht="16.5" customHeight="1">
      <c r="D47" s="315" t="s">
        <v>152</v>
      </c>
      <c r="E47" s="317"/>
      <c r="F47" s="85">
        <f t="shared" si="0"/>
        <v>399739</v>
      </c>
      <c r="G47" s="85">
        <f t="shared" si="0"/>
        <v>2226165</v>
      </c>
      <c r="H47" s="86">
        <f t="shared" si="0"/>
        <v>2625904</v>
      </c>
      <c r="I47" s="281"/>
      <c r="J47" s="277"/>
    </row>
    <row r="49" spans="3:10" s="8" customFormat="1" ht="18" customHeight="1">
      <c r="C49" s="106" t="s">
        <v>160</v>
      </c>
      <c r="J49" s="277"/>
    </row>
    <row r="50" spans="3:10" s="8" customFormat="1" ht="16.5" customHeight="1">
      <c r="D50" s="321"/>
      <c r="E50" s="323"/>
      <c r="F50" s="160" t="s">
        <v>150</v>
      </c>
      <c r="G50" s="160" t="s">
        <v>23</v>
      </c>
      <c r="H50" s="278" t="s">
        <v>17</v>
      </c>
      <c r="J50" s="277"/>
    </row>
    <row r="51" spans="3:10" s="8" customFormat="1" ht="16.5" customHeight="1">
      <c r="D51" s="325" t="s">
        <v>151</v>
      </c>
      <c r="E51" s="326"/>
      <c r="F51" s="209">
        <v>0</v>
      </c>
      <c r="G51" s="209">
        <v>0</v>
      </c>
      <c r="H51" s="280">
        <f>SUM(F51,G51)</f>
        <v>0</v>
      </c>
      <c r="I51" s="283"/>
      <c r="J51" s="277"/>
    </row>
    <row r="52" spans="3:10" s="8" customFormat="1" ht="16.5" customHeight="1">
      <c r="D52" s="315" t="s">
        <v>152</v>
      </c>
      <c r="E52" s="317"/>
      <c r="F52" s="83">
        <v>0</v>
      </c>
      <c r="G52" s="83">
        <v>0</v>
      </c>
      <c r="H52" s="86">
        <f>SUM(F52,G52)</f>
        <v>0</v>
      </c>
      <c r="I52" s="283"/>
      <c r="J52" s="277"/>
    </row>
    <row r="53" spans="3:10" s="8" customFormat="1" ht="12" customHeight="1">
      <c r="J53" s="277"/>
    </row>
    <row r="54" spans="3:10" s="8" customFormat="1" ht="18" customHeight="1">
      <c r="C54" s="106" t="s">
        <v>161</v>
      </c>
      <c r="E54" s="9"/>
      <c r="J54" s="277"/>
    </row>
    <row r="55" spans="3:10" s="8" customFormat="1" ht="16.5" customHeight="1">
      <c r="D55" s="285" t="s">
        <v>162</v>
      </c>
      <c r="J55" s="277"/>
    </row>
    <row r="56" spans="3:10" s="8" customFormat="1" ht="16.5" customHeight="1">
      <c r="D56" s="321" t="s">
        <v>151</v>
      </c>
      <c r="E56" s="323"/>
      <c r="F56" s="286">
        <f>SUM(F60,F64,F68)</f>
        <v>0</v>
      </c>
      <c r="J56" s="277"/>
    </row>
    <row r="57" spans="3:10" s="8" customFormat="1" ht="16.5" customHeight="1">
      <c r="D57" s="315" t="s">
        <v>152</v>
      </c>
      <c r="E57" s="317"/>
      <c r="F57" s="86">
        <f>SUM(F61,F65,F69)</f>
        <v>0</v>
      </c>
      <c r="J57" s="277"/>
    </row>
    <row r="58" spans="3:10" s="8" customFormat="1" ht="12" customHeight="1">
      <c r="E58" s="10"/>
      <c r="J58" s="277"/>
    </row>
    <row r="59" spans="3:10" s="8" customFormat="1" ht="16.5" customHeight="1">
      <c r="E59" s="173" t="s">
        <v>163</v>
      </c>
      <c r="J59" s="277"/>
    </row>
    <row r="60" spans="3:10" s="8" customFormat="1" ht="16.5" customHeight="1">
      <c r="E60" s="287" t="s">
        <v>151</v>
      </c>
      <c r="F60" s="288">
        <v>0</v>
      </c>
      <c r="J60" s="277"/>
    </row>
    <row r="61" spans="3:10" s="8" customFormat="1" ht="16.5" customHeight="1">
      <c r="E61" s="289" t="s">
        <v>152</v>
      </c>
      <c r="F61" s="93">
        <v>0</v>
      </c>
      <c r="J61" s="277"/>
    </row>
    <row r="62" spans="3:10" s="8" customFormat="1" ht="12" customHeight="1">
      <c r="E62" s="11"/>
      <c r="F62" s="10"/>
      <c r="J62" s="277"/>
    </row>
    <row r="63" spans="3:10" s="8" customFormat="1" ht="16.5" customHeight="1">
      <c r="E63" s="173" t="s">
        <v>164</v>
      </c>
      <c r="J63" s="277"/>
    </row>
    <row r="64" spans="3:10" s="8" customFormat="1" ht="16.5" customHeight="1">
      <c r="E64" s="287" t="s">
        <v>151</v>
      </c>
      <c r="F64" s="288">
        <v>0</v>
      </c>
      <c r="J64" s="277"/>
    </row>
    <row r="65" spans="4:10" s="8" customFormat="1" ht="16.5" customHeight="1">
      <c r="E65" s="289" t="s">
        <v>152</v>
      </c>
      <c r="F65" s="93">
        <v>0</v>
      </c>
      <c r="J65" s="277"/>
    </row>
    <row r="66" spans="4:10" s="8" customFormat="1" ht="12" customHeight="1">
      <c r="E66" s="11"/>
      <c r="F66" s="10"/>
      <c r="J66" s="277"/>
    </row>
    <row r="67" spans="4:10" s="8" customFormat="1" ht="16.5" customHeight="1">
      <c r="E67" s="173" t="s">
        <v>165</v>
      </c>
      <c r="J67" s="277"/>
    </row>
    <row r="68" spans="4:10" s="8" customFormat="1" ht="16.5" customHeight="1">
      <c r="E68" s="287" t="s">
        <v>151</v>
      </c>
      <c r="F68" s="288">
        <v>0</v>
      </c>
      <c r="J68" s="277"/>
    </row>
    <row r="69" spans="4:10" s="8" customFormat="1" ht="16.5" customHeight="1">
      <c r="E69" s="289" t="s">
        <v>152</v>
      </c>
      <c r="F69" s="93">
        <v>0</v>
      </c>
      <c r="J69" s="277"/>
    </row>
    <row r="70" spans="4:10" s="8" customFormat="1" ht="12" customHeight="1">
      <c r="E70" s="12"/>
      <c r="F70" s="13"/>
      <c r="G70" s="13"/>
      <c r="J70" s="277"/>
    </row>
    <row r="71" spans="4:10" s="8" customFormat="1" ht="16.5" customHeight="1">
      <c r="D71" s="173" t="s">
        <v>166</v>
      </c>
      <c r="F71" s="12"/>
      <c r="G71" s="14"/>
      <c r="H71" s="14"/>
      <c r="J71" s="277"/>
    </row>
    <row r="72" spans="4:10" s="8" customFormat="1" ht="16.5" customHeight="1">
      <c r="D72" s="321" t="s">
        <v>151</v>
      </c>
      <c r="E72" s="323"/>
      <c r="F72" s="288">
        <v>3</v>
      </c>
      <c r="G72" s="14"/>
      <c r="H72" s="14"/>
      <c r="J72" s="277"/>
    </row>
    <row r="73" spans="4:10" s="8" customFormat="1" ht="16.5" customHeight="1">
      <c r="D73" s="315" t="s">
        <v>152</v>
      </c>
      <c r="E73" s="317"/>
      <c r="F73" s="93">
        <v>128200</v>
      </c>
      <c r="J73" s="277"/>
    </row>
    <row r="74" spans="4:10" s="8" customFormat="1" ht="12" customHeight="1">
      <c r="F74" s="12"/>
      <c r="G74" s="13"/>
      <c r="H74" s="13"/>
      <c r="J74" s="277"/>
    </row>
    <row r="75" spans="4:10" s="8" customFormat="1" ht="16.5" customHeight="1">
      <c r="D75" s="173" t="s">
        <v>167</v>
      </c>
      <c r="F75" s="12"/>
      <c r="J75" s="277"/>
    </row>
    <row r="76" spans="4:10" s="8" customFormat="1" ht="16.5" customHeight="1">
      <c r="D76" s="321" t="s">
        <v>151</v>
      </c>
      <c r="E76" s="323"/>
      <c r="F76" s="288">
        <v>10</v>
      </c>
      <c r="J76" s="277"/>
    </row>
    <row r="77" spans="4:10" s="8" customFormat="1" ht="16.5" customHeight="1">
      <c r="D77" s="315" t="s">
        <v>152</v>
      </c>
      <c r="E77" s="317"/>
      <c r="F77" s="93">
        <v>374963</v>
      </c>
      <c r="J77" s="277"/>
    </row>
    <row r="78" spans="4:10" s="8" customFormat="1" ht="12" customHeight="1">
      <c r="E78" s="13"/>
      <c r="F78" s="12"/>
      <c r="J78" s="277"/>
    </row>
    <row r="79" spans="4:10" s="8" customFormat="1" ht="16.5" customHeight="1">
      <c r="D79" s="173" t="s">
        <v>168</v>
      </c>
      <c r="F79" s="12"/>
      <c r="G79" s="13"/>
      <c r="H79" s="13"/>
      <c r="J79" s="277"/>
    </row>
    <row r="80" spans="4:10" s="8" customFormat="1" ht="16.5" customHeight="1">
      <c r="D80" s="321" t="s">
        <v>151</v>
      </c>
      <c r="E80" s="323"/>
      <c r="F80" s="288">
        <v>18</v>
      </c>
      <c r="G80" s="14"/>
      <c r="H80" s="14"/>
      <c r="J80" s="277"/>
    </row>
    <row r="81" spans="4:10" s="8" customFormat="1" ht="16.5" customHeight="1">
      <c r="D81" s="315" t="s">
        <v>152</v>
      </c>
      <c r="E81" s="317"/>
      <c r="F81" s="93">
        <v>380959</v>
      </c>
      <c r="G81" s="14"/>
      <c r="H81" s="14"/>
      <c r="J81" s="277"/>
    </row>
    <row r="82" spans="4:10" s="8" customFormat="1" ht="12" customHeight="1">
      <c r="E82" s="13"/>
      <c r="F82" s="12"/>
      <c r="G82" s="14"/>
      <c r="H82" s="14"/>
      <c r="J82" s="277"/>
    </row>
    <row r="83" spans="4:10" s="8" customFormat="1" ht="16.5" customHeight="1">
      <c r="D83" s="173" t="s">
        <v>159</v>
      </c>
      <c r="F83" s="12"/>
      <c r="G83" s="14"/>
      <c r="H83" s="14"/>
      <c r="J83" s="277"/>
    </row>
    <row r="84" spans="4:10" ht="16.5" customHeight="1">
      <c r="D84" s="321" t="s">
        <v>151</v>
      </c>
      <c r="E84" s="323"/>
      <c r="F84" s="286">
        <f>SUM(F56,F72,F76,F80)</f>
        <v>31</v>
      </c>
      <c r="G84" s="1"/>
      <c r="I84" s="6"/>
      <c r="J84" s="277"/>
    </row>
    <row r="85" spans="4:10" ht="16.5" customHeight="1">
      <c r="D85" s="315" t="s">
        <v>152</v>
      </c>
      <c r="E85" s="317"/>
      <c r="F85" s="86">
        <f>SUM(F57,F73,F77,F81)</f>
        <v>884122</v>
      </c>
      <c r="G85" s="1"/>
      <c r="I85" s="6"/>
      <c r="J85" s="277"/>
    </row>
    <row r="86" spans="4:10" ht="12" customHeight="1">
      <c r="E86" s="1"/>
      <c r="F86" s="1"/>
      <c r="G86" s="1"/>
      <c r="I86" s="6"/>
      <c r="J86" s="277"/>
    </row>
  </sheetData>
  <sheetProtection selectLockedCells="1" selectUnlockedCells="1"/>
  <mergeCells count="39">
    <mergeCell ref="A3:I3"/>
    <mergeCell ref="A4:I4"/>
    <mergeCell ref="D10:E10"/>
    <mergeCell ref="D11:E11"/>
    <mergeCell ref="D12:E12"/>
    <mergeCell ref="D30:E30"/>
    <mergeCell ref="D31:E31"/>
    <mergeCell ref="D32:E32"/>
    <mergeCell ref="D35:E35"/>
    <mergeCell ref="D36:E36"/>
    <mergeCell ref="D37:E37"/>
    <mergeCell ref="D40:E40"/>
    <mergeCell ref="D41:E41"/>
    <mergeCell ref="D42:E42"/>
    <mergeCell ref="D45:E45"/>
    <mergeCell ref="D46:E46"/>
    <mergeCell ref="D47:E47"/>
    <mergeCell ref="D50:E50"/>
    <mergeCell ref="D51:E51"/>
    <mergeCell ref="D52:E52"/>
    <mergeCell ref="D56:E56"/>
    <mergeCell ref="D57:E57"/>
    <mergeCell ref="D72:E72"/>
    <mergeCell ref="D84:E84"/>
    <mergeCell ref="D85:E85"/>
    <mergeCell ref="D73:E73"/>
    <mergeCell ref="D76:E76"/>
    <mergeCell ref="D77:E77"/>
    <mergeCell ref="D80:E80"/>
    <mergeCell ref="D81:E81"/>
    <mergeCell ref="D22:E22"/>
    <mergeCell ref="D25:E25"/>
    <mergeCell ref="D26:E26"/>
    <mergeCell ref="D27:E27"/>
    <mergeCell ref="D15:E15"/>
    <mergeCell ref="D16:E16"/>
    <mergeCell ref="D17:E17"/>
    <mergeCell ref="D20:E20"/>
    <mergeCell ref="D21:E21"/>
  </mergeCells>
  <phoneticPr fontId="14"/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32</vt:i4>
      </vt:variant>
    </vt:vector>
  </HeadingPairs>
  <TitlesOfParts>
    <vt:vector size="32" baseType="lpstr">
      <vt:lpstr>様式１</vt:lpstr>
      <vt:lpstr>様式１の２</vt:lpstr>
      <vt:lpstr>様式１の３</vt:lpstr>
      <vt:lpstr>様式１の４</vt:lpstr>
      <vt:lpstr>様式１の６</vt:lpstr>
      <vt:lpstr>様式２（件数）</vt:lpstr>
      <vt:lpstr>様式２（単位数）</vt:lpstr>
      <vt:lpstr>様式２（費用額）</vt:lpstr>
      <vt:lpstr>様式２（給付費）</vt:lpstr>
      <vt:lpstr>様式２（件数）２割負担</vt:lpstr>
      <vt:lpstr>様式２（単位数）２割負担</vt:lpstr>
      <vt:lpstr>様式２（費用額）２割負担</vt:lpstr>
      <vt:lpstr>様式２（給付費）２割負担</vt:lpstr>
      <vt:lpstr>様式２（件数）３割負担</vt:lpstr>
      <vt:lpstr>様式２（単位数）３割負担</vt:lpstr>
      <vt:lpstr>様式２（費用額）３割負担</vt:lpstr>
      <vt:lpstr>様式２（給付費）３割負担</vt:lpstr>
      <vt:lpstr>様式２の２（件数）</vt:lpstr>
      <vt:lpstr>様式２の２（単位数）</vt:lpstr>
      <vt:lpstr>様式２の２（費用額）</vt:lpstr>
      <vt:lpstr>様式２の２（給付費）</vt:lpstr>
      <vt:lpstr>様式２の３（件数）</vt:lpstr>
      <vt:lpstr>様式２の３（単位数）</vt:lpstr>
      <vt:lpstr>様式２の３（費用額）</vt:lpstr>
      <vt:lpstr>様式２の３（給付費）</vt:lpstr>
      <vt:lpstr>様式２の４（件数）</vt:lpstr>
      <vt:lpstr>様式２の４（単位数）</vt:lpstr>
      <vt:lpstr>様式２の４（費用額）</vt:lpstr>
      <vt:lpstr>様式２の４（給付費）</vt:lpstr>
      <vt:lpstr>様式２の５</vt:lpstr>
      <vt:lpstr>様式２の６</vt:lpstr>
      <vt:lpstr>様式２の７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　ちはる</dc:creator>
  <cp:lastModifiedBy>0380</cp:lastModifiedBy>
  <cp:lastPrinted>2025-09-12T06:42:52Z</cp:lastPrinted>
  <dcterms:created xsi:type="dcterms:W3CDTF">2025-05-29T05:56:54Z</dcterms:created>
  <dcterms:modified xsi:type="dcterms:W3CDTF">2025-09-12T06:43:22Z</dcterms:modified>
</cp:coreProperties>
</file>