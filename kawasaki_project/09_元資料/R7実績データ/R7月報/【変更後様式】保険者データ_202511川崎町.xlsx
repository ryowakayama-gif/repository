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0\Desktop\"/>
    </mc:Choice>
  </mc:AlternateContent>
  <bookViews>
    <workbookView xWindow="0" yWindow="0" windowWidth="23040" windowHeight="10410" tabRatio="791" firstSheet="25" activeTab="31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H27" i="13"/>
  <c r="P27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M11" i="9" s="1"/>
  <c r="M52" i="9" s="1"/>
  <c r="L26" i="9"/>
  <c r="K26" i="9"/>
  <c r="K11" i="9" s="1"/>
  <c r="K52" i="9" s="1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M11" i="8" s="1"/>
  <c r="M52" i="8" s="1"/>
  <c r="L26" i="8"/>
  <c r="K26" i="8"/>
  <c r="K11" i="8" s="1"/>
  <c r="K52" i="8" s="1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8" i="13" l="1"/>
  <c r="P26" i="13" s="1"/>
  <c r="P29" i="9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11" i="13" l="1"/>
  <c r="P26" i="8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<sst xmlns="http://schemas.openxmlformats.org/spreadsheetml/2006/main" count="2040" uniqueCount="173">
  <si>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</si>
  <si>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</si>
  <si>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</si>
  <si>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</si>
  <si>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</si>
  <si>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</si>
  <si>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</si>
  <si>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</si>
  <si>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</si>
  <si>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</si>
  <si>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</si>
  <si>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</si>
  <si>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</si>
  <si>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</si>
  <si>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</si>
  <si>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</si>
  <si>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</si>
  <si>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</si>
  <si>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</si>
  <si>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</si>
  <si>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</si>
  <si>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</si>
  <si>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</si>
  <si>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</si>
  <si>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</si>
  <si>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</si>
  <si>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</si>
  <si>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</si>
  <si>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</si>
  <si>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</si>
  <si>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</si>
  <si>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</si>
  <si>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</si>
  <si>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</si>
  <si>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</si>
  <si>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</si>
  <si>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</si>
  <si>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</si>
  <si>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</si>
  <si>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</si>
  <si>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</si>
  <si>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</si>
  <si>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</si>
  <si>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</si>
  <si>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</si>
  <si>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</si>
  <si>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</si>
  <si>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</si>
  <si>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</si>
  <si>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</si>
  <si>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</si>
  <si>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</si>
  <si>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</si>
  <si>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</si>
  <si>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</si>
  <si>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</si>
  <si>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</si>
  <si>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</si>
  <si>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</si>
  <si>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</si>
  <si>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</si>
  <si>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</si>
  <si>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</si>
  <si>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</si>
  <si>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</si>
  <si>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</si>
  <si>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</si>
  <si>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</si>
  <si>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</si>
  <si>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</si>
  <si>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</si>
  <si>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</si>
  <si>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</si>
  <si>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</si>
  <si>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</si>
  <si>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</si>
  <si>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</si>
  <si>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</si>
  <si>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</si>
  <si>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</si>
  <si>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</si>
  <si>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</si>
  <si>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</si>
  <si>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</si>
  <si>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</si>
  <si>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</si>
  <si>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</si>
  <si>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</si>
  <si>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</si>
  <si>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</si>
  <si>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</si>
  <si>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</si>
  <si>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</si>
  <si>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</si>
  <si>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</si>
  <si>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</si>
  <si>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</si>
  <si>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</si>
  <si>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</si>
  <si>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</si>
  <si>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</si>
  <si>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</si>
  <si>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</si>
  <si>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</si>
  <si>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</si>
  <si>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</si>
  <si>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</si>
  <si>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</si>
  <si>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</si>
  <si>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</si>
  <si>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</si>
  <si>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</si>
  <si>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</si>
  <si>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</si>
  <si>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</si>
  <si>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</si>
  <si>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</si>
  <si>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</si>
  <si>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</si>
  <si>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</si>
  <si>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</si>
  <si>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</si>
  <si>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</si>
  <si>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</si>
  <si>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</si>
  <si>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</si>
  <si>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</si>
  <si>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</si>
  <si>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</si>
  <si>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</si>
  <si>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</si>
  <si>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</si>
  <si>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</si>
  <si>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</si>
  <si>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</si>
  <si>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</si>
  <si>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</si>
  <si>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</si>
  <si>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</si>
  <si>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</si>
  <si>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</si>
  <si>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</si>
  <si>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</si>
  <si>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</si>
  <si>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</si>
  <si>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</si>
  <si>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</si>
  <si>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</si>
  <si>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</si>
  <si>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</si>
  <si>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</si>
  <si>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</si>
  <si>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</si>
  <si>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</si>
  <si>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</si>
  <si>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</si>
  <si>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</si>
  <si>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</si>
  <si>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</si>
  <si>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</si>
  <si>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</si>
  <si>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</si>
  <si>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</si>
  <si>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</si>
  <si>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</si>
  <si>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</si>
  <si>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</si>
  <si>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</si>
  <si>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</si>
  <si>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</si>
  <si>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</si>
  <si>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</si>
  <si>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(令和7年１１月分)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</si>
</sst>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topLeftCell="A13" zoomScaleNormal="100" workbookViewId="0">
      <selection activeCell="F25" sqref="F2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1542</v>
      </c>
      <c r="E12" s="3"/>
      <c r="F12" s="3"/>
      <c r="G12" s="48">
        <v>1541</v>
      </c>
    </row>
    <row r="13" spans="1:10" ht="24.75" customHeight="1">
      <c r="C13" s="46" t="s">
        <v>13</v>
      </c>
      <c r="D13" s="47">
        <v>1110</v>
      </c>
      <c r="E13" s="3"/>
      <c r="F13" s="3"/>
      <c r="G13" s="48">
        <v>1113</v>
      </c>
    </row>
    <row r="14" spans="1:10" ht="24.75" customHeight="1">
      <c r="C14" s="46" t="s">
        <v>14</v>
      </c>
      <c r="D14" s="47">
        <v>596</v>
      </c>
      <c r="E14" s="3"/>
      <c r="F14" s="3"/>
      <c r="G14" s="48">
        <v>592</v>
      </c>
    </row>
    <row r="15" spans="1:10" ht="24.75" customHeight="1">
      <c r="C15" s="46" t="s">
        <v>15</v>
      </c>
      <c r="D15" s="47">
        <v>11</v>
      </c>
      <c r="E15" s="3"/>
      <c r="F15" s="3"/>
      <c r="G15" s="48">
        <v>10</v>
      </c>
    </row>
    <row r="16" spans="1:10" ht="24.75" customHeight="1">
      <c r="C16" s="46" t="s">
        <v>16</v>
      </c>
      <c r="D16" s="47">
        <v>26</v>
      </c>
      <c r="E16" s="3"/>
      <c r="F16" s="3"/>
      <c r="G16" s="48">
        <v>26</v>
      </c>
    </row>
    <row r="17" spans="2:9" ht="24.75" customHeight="1">
      <c r="C17" s="49" t="s">
        <v>17</v>
      </c>
      <c r="D17" s="50">
        <f>SUM(D12:D14)</f>
        <v>3248</v>
      </c>
      <c r="E17" s="50">
        <v>14</v>
      </c>
      <c r="F17" s="50">
        <v>16</v>
      </c>
      <c r="G17" s="51">
        <f>SUM(G12:G14)</f>
        <v>3246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0</v>
      </c>
      <c r="E22" s="47">
        <v>0</v>
      </c>
      <c r="F22" s="47">
        <v>14</v>
      </c>
      <c r="G22" s="47">
        <v>0</v>
      </c>
      <c r="H22" s="47">
        <v>0</v>
      </c>
      <c r="I22" s="53">
        <f>SUM(D22:H22)</f>
        <v>14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4</v>
      </c>
      <c r="E24" s="57">
        <v>0</v>
      </c>
      <c r="F24" s="57">
        <v>12</v>
      </c>
      <c r="G24" s="57">
        <v>0</v>
      </c>
      <c r="H24" s="57">
        <v>0</v>
      </c>
      <c r="I24" s="51">
        <f>SUM(D24:H24)</f>
        <v>16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F4" zoomScale="75" zoomScaleNormal="75" workbookViewId="0">
      <selection activeCell="N25" sqref="N2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2</v>
      </c>
      <c r="O12" s="304"/>
      <c r="P12" s="305">
        <f>SUM(D12:O12)</f>
        <v>2</v>
      </c>
      <c r="Q12" s="306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1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6</v>
      </c>
      <c r="E15" s="74">
        <v>6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7</v>
      </c>
      <c r="O15" s="75">
        <v>7</v>
      </c>
      <c r="P15" s="76">
        <f t="shared" si="0"/>
        <v>23</v>
      </c>
      <c r="Q15" s="77">
        <f t="shared" si="0"/>
        <v>23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1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15</v>
      </c>
      <c r="E17" s="74">
        <v>15</v>
      </c>
      <c r="F17" s="74">
        <v>8</v>
      </c>
      <c r="G17" s="74">
        <v>8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4</v>
      </c>
      <c r="O17" s="74">
        <v>4</v>
      </c>
      <c r="P17" s="76">
        <f t="shared" si="0"/>
        <v>36</v>
      </c>
      <c r="Q17" s="77">
        <f t="shared" si="0"/>
        <v>36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2</v>
      </c>
      <c r="O18" s="70">
        <v>1</v>
      </c>
      <c r="P18" s="71">
        <f t="shared" si="0"/>
        <v>2</v>
      </c>
      <c r="Q18" s="72">
        <f t="shared" si="0"/>
        <v>1</v>
      </c>
    </row>
    <row r="19" spans="1:18" ht="24.75" customHeight="1">
      <c r="C19" s="73" t="s">
        <v>42</v>
      </c>
      <c r="D19" s="74">
        <v>20</v>
      </c>
      <c r="E19" s="74">
        <v>20</v>
      </c>
      <c r="F19" s="74">
        <v>6</v>
      </c>
      <c r="G19" s="74">
        <v>6</v>
      </c>
      <c r="H19" s="75">
        <v>0</v>
      </c>
      <c r="I19" s="75">
        <v>0</v>
      </c>
      <c r="J19" s="75">
        <v>0</v>
      </c>
      <c r="K19" s="75">
        <v>0</v>
      </c>
      <c r="L19" s="75">
        <v>8</v>
      </c>
      <c r="M19" s="75">
        <v>8</v>
      </c>
      <c r="N19" s="75">
        <v>22</v>
      </c>
      <c r="O19" s="75">
        <v>21</v>
      </c>
      <c r="P19" s="76">
        <f t="shared" si="0"/>
        <v>56</v>
      </c>
      <c r="Q19" s="77">
        <f t="shared" si="0"/>
        <v>55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1</v>
      </c>
      <c r="P20" s="71">
        <f t="shared" si="0"/>
        <v>0</v>
      </c>
      <c r="Q20" s="72">
        <f t="shared" si="0"/>
        <v>1</v>
      </c>
    </row>
    <row r="21" spans="1:18" ht="24.75" customHeight="1">
      <c r="C21" s="82" t="s">
        <v>42</v>
      </c>
      <c r="D21" s="83">
        <v>5</v>
      </c>
      <c r="E21" s="83">
        <v>5</v>
      </c>
      <c r="F21" s="83">
        <v>3</v>
      </c>
      <c r="G21" s="83">
        <v>3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2</v>
      </c>
      <c r="O21" s="84">
        <v>3</v>
      </c>
      <c r="P21" s="85">
        <f t="shared" si="0"/>
        <v>10</v>
      </c>
      <c r="Q21" s="86">
        <f t="shared" si="0"/>
        <v>11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topLeftCell="H7" zoomScale="90" zoomScaleNormal="90" workbookViewId="0">
      <selection activeCell="T20" sqref="T20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0</v>
      </c>
      <c r="O12" s="304"/>
      <c r="P12" s="305">
        <f>SUM(D12:O12)</f>
        <v>0</v>
      </c>
      <c r="Q12" s="306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topLeftCell="A4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topLeftCell="F7" zoomScaleNormal="100" workbookViewId="0">
      <selection activeCell="L43" sqref="L43:L44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15</v>
      </c>
      <c r="E12" s="120">
        <v>42</v>
      </c>
      <c r="F12" s="121">
        <f>SUM(D12:E12)</f>
        <v>57</v>
      </c>
      <c r="G12" s="122"/>
      <c r="H12" s="120">
        <v>36</v>
      </c>
      <c r="I12" s="120">
        <v>77</v>
      </c>
      <c r="J12" s="120">
        <v>56</v>
      </c>
      <c r="K12" s="120">
        <v>20</v>
      </c>
      <c r="L12" s="120">
        <v>9</v>
      </c>
      <c r="M12" s="121">
        <f>SUM(G12:L12)</f>
        <v>198</v>
      </c>
      <c r="N12" s="123">
        <f>F12+M12</f>
        <v>255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1</v>
      </c>
      <c r="I13" s="120">
        <v>0</v>
      </c>
      <c r="J13" s="120">
        <v>0</v>
      </c>
      <c r="K13" s="120">
        <v>0</v>
      </c>
      <c r="L13" s="120">
        <v>1</v>
      </c>
      <c r="M13" s="121">
        <f>SUM(G13:L13)</f>
        <v>2</v>
      </c>
      <c r="N13" s="124">
        <f>F13+M13</f>
        <v>3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15</v>
      </c>
      <c r="E14" s="126">
        <f>SUM(E12:E13)</f>
        <v>43</v>
      </c>
      <c r="F14" s="127">
        <f>SUM(D14:E14)</f>
        <v>58</v>
      </c>
      <c r="G14" s="128"/>
      <c r="H14" s="129">
        <f t="shared" ref="H14:M14" si="0">SUM(H12:H13)</f>
        <v>37</v>
      </c>
      <c r="I14" s="129">
        <f t="shared" si="0"/>
        <v>77</v>
      </c>
      <c r="J14" s="129">
        <f t="shared" si="0"/>
        <v>56</v>
      </c>
      <c r="K14" s="129">
        <f t="shared" si="0"/>
        <v>20</v>
      </c>
      <c r="L14" s="129">
        <f t="shared" si="0"/>
        <v>10</v>
      </c>
      <c r="M14" s="127">
        <f t="shared" si="0"/>
        <v>200</v>
      </c>
      <c r="N14" s="130">
        <f>F14+M14</f>
        <v>258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2</v>
      </c>
      <c r="F19" s="121">
        <f>SUM(D19:E19)</f>
        <v>2</v>
      </c>
      <c r="G19" s="133"/>
      <c r="H19" s="120">
        <v>7</v>
      </c>
      <c r="I19" s="120">
        <v>10</v>
      </c>
      <c r="J19" s="120">
        <v>16</v>
      </c>
      <c r="K19" s="120">
        <v>11</v>
      </c>
      <c r="L19" s="120">
        <v>7</v>
      </c>
      <c r="M19" s="121">
        <f>SUM(G19:L19)</f>
        <v>51</v>
      </c>
      <c r="N19" s="123">
        <f>F19+M19</f>
        <v>53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2</v>
      </c>
      <c r="F21" s="126">
        <f>SUM(D21:E21)</f>
        <v>2</v>
      </c>
      <c r="G21" s="135"/>
      <c r="H21" s="126">
        <f t="shared" ref="H21:M21" si="1">SUM(H19:H20)</f>
        <v>7</v>
      </c>
      <c r="I21" s="126">
        <f t="shared" si="1"/>
        <v>10</v>
      </c>
      <c r="J21" s="126">
        <f t="shared" si="1"/>
        <v>16</v>
      </c>
      <c r="K21" s="126">
        <f t="shared" si="1"/>
        <v>11</v>
      </c>
      <c r="L21" s="126">
        <f t="shared" si="1"/>
        <v>7</v>
      </c>
      <c r="M21" s="126">
        <f t="shared" si="1"/>
        <v>51</v>
      </c>
      <c r="N21" s="136">
        <f>F21+M21</f>
        <v>53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4</v>
      </c>
      <c r="I26" s="144">
        <f t="shared" si="2"/>
        <v>24</v>
      </c>
      <c r="J26" s="144">
        <f t="shared" si="2"/>
        <v>18</v>
      </c>
      <c r="K26" s="144">
        <f t="shared" si="2"/>
        <v>20</v>
      </c>
      <c r="L26" s="145">
        <f t="shared" si="2"/>
        <v>67</v>
      </c>
      <c r="M26" s="146">
        <f t="shared" ref="M26:M38" si="3">F26+L26</f>
        <v>67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4</v>
      </c>
      <c r="I27" s="148">
        <v>24</v>
      </c>
      <c r="J27" s="148">
        <v>18</v>
      </c>
      <c r="K27" s="148">
        <v>20</v>
      </c>
      <c r="L27" s="121">
        <f>SUM(G27:K27)</f>
        <v>67</v>
      </c>
      <c r="M27" s="124">
        <f t="shared" si="3"/>
        <v>67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3</v>
      </c>
      <c r="H29" s="144">
        <f t="shared" si="4"/>
        <v>11</v>
      </c>
      <c r="I29" s="144">
        <f t="shared" si="4"/>
        <v>19</v>
      </c>
      <c r="J29" s="144">
        <f t="shared" si="4"/>
        <v>23</v>
      </c>
      <c r="K29" s="144">
        <f t="shared" si="4"/>
        <v>8</v>
      </c>
      <c r="L29" s="144">
        <f t="shared" si="4"/>
        <v>64</v>
      </c>
      <c r="M29" s="123">
        <f t="shared" si="3"/>
        <v>64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3</v>
      </c>
      <c r="H30" s="120">
        <v>11</v>
      </c>
      <c r="I30" s="120">
        <v>18</v>
      </c>
      <c r="J30" s="120">
        <v>23</v>
      </c>
      <c r="K30" s="120">
        <v>8</v>
      </c>
      <c r="L30" s="121">
        <f>SUM(G30:K30)</f>
        <v>63</v>
      </c>
      <c r="M30" s="123">
        <f t="shared" si="3"/>
        <v>63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4</v>
      </c>
      <c r="H38" s="153">
        <v>15</v>
      </c>
      <c r="I38" s="153">
        <v>43</v>
      </c>
      <c r="J38" s="153">
        <v>41</v>
      </c>
      <c r="K38" s="153">
        <v>28</v>
      </c>
      <c r="L38" s="126">
        <f>SUM(G38:K38)</f>
        <v>131</v>
      </c>
      <c r="M38" s="136">
        <f t="shared" si="3"/>
        <v>131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E7" zoomScale="75" zoomScaleNormal="75" workbookViewId="0">
      <selection activeCell="P29" sqref="P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1</v>
      </c>
      <c r="H11" s="168">
        <f>SUM(H12,H18,H21,H26,H30,H31)</f>
        <v>1</v>
      </c>
      <c r="I11" s="169"/>
      <c r="J11" s="167">
        <f>SUM(J12,J18,J21,J26,J30,J31)</f>
        <v>0</v>
      </c>
      <c r="K11" s="167">
        <f>SUM(K12,K18,K21,K26,K30,K31)</f>
        <v>2</v>
      </c>
      <c r="L11" s="166">
        <f>SUM(L12,L18,L21,L26,L30,L31)</f>
        <v>0</v>
      </c>
      <c r="M11" s="167">
        <f>SUM(M12,M18,M21,M26,M30,M31)</f>
        <v>1</v>
      </c>
      <c r="N11" s="167">
        <f>SUM(N12,N18,N21,N26,N30,N31)</f>
        <v>0</v>
      </c>
      <c r="O11" s="166">
        <f>O12+O18+O21+O26+O30+O31</f>
        <v>3</v>
      </c>
      <c r="P11" s="170">
        <f>P12+P18+P21+P26+P30+P31</f>
        <v>4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1</v>
      </c>
      <c r="H26" s="176">
        <f>SUM(H27:H29)</f>
        <v>1</v>
      </c>
      <c r="I26" s="177"/>
      <c r="J26" s="175">
        <f t="shared" ref="J26:P26" si="3">SUM(J27:J29)</f>
        <v>0</v>
      </c>
      <c r="K26" s="174">
        <f t="shared" si="3"/>
        <v>2</v>
      </c>
      <c r="L26" s="174">
        <f t="shared" si="3"/>
        <v>0</v>
      </c>
      <c r="M26" s="174">
        <f t="shared" si="3"/>
        <v>1</v>
      </c>
      <c r="N26" s="175">
        <f t="shared" si="3"/>
        <v>0</v>
      </c>
      <c r="O26" s="174">
        <f t="shared" si="3"/>
        <v>3</v>
      </c>
      <c r="P26" s="178">
        <f t="shared" si="3"/>
        <v>4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1</v>
      </c>
      <c r="N28" s="192">
        <v>0</v>
      </c>
      <c r="O28" s="174">
        <f t="shared" si="5"/>
        <v>1</v>
      </c>
      <c r="P28" s="178">
        <f t="shared" si="6"/>
        <v>1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1</v>
      </c>
      <c r="H29" s="176">
        <f t="shared" si="4"/>
        <v>1</v>
      </c>
      <c r="I29" s="193"/>
      <c r="J29" s="196">
        <v>0</v>
      </c>
      <c r="K29" s="195">
        <v>2</v>
      </c>
      <c r="L29" s="195">
        <v>0</v>
      </c>
      <c r="M29" s="195">
        <v>0</v>
      </c>
      <c r="N29" s="196">
        <v>0</v>
      </c>
      <c r="O29" s="174">
        <f t="shared" si="5"/>
        <v>2</v>
      </c>
      <c r="P29" s="178">
        <f t="shared" si="6"/>
        <v>3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1</v>
      </c>
      <c r="H52" s="235">
        <f>SUM(H11,H32,H33,H47)</f>
        <v>1</v>
      </c>
      <c r="I52" s="236"/>
      <c r="J52" s="235">
        <f>SUM(J11,J32,J33,J47)</f>
        <v>0</v>
      </c>
      <c r="K52" s="235">
        <f>SUM(K11,K32,K33,K47)</f>
        <v>2</v>
      </c>
      <c r="L52" s="235">
        <f>SUM(L11,L32,L33,L47)</f>
        <v>0</v>
      </c>
      <c r="M52" s="235">
        <f>SUM(M11,M32,M33,M47)</f>
        <v>1</v>
      </c>
      <c r="N52" s="235">
        <f>SUM(N11,N32,N33,N47)</f>
        <v>0</v>
      </c>
      <c r="O52" s="235">
        <f>O11+O32+O33+O47</f>
        <v>3</v>
      </c>
      <c r="P52" s="237">
        <f>P11+P32+P33+P47</f>
        <v>4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topLeftCell="A22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="75" zoomScaleNormal="75" workbookViewId="0">
      <selection activeCell="K32" sqref="K32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48000</v>
      </c>
      <c r="H11" s="168">
        <f>SUM(H12,H18,H21,H26,H30,H31)</f>
        <v>48000</v>
      </c>
      <c r="I11" s="169"/>
      <c r="J11" s="167">
        <f>SUM(J12,J18,J21,J26,J30,J31)</f>
        <v>0</v>
      </c>
      <c r="K11" s="167">
        <f>SUM(K12,K18,K21,K26,K30,K31)</f>
        <v>359980</v>
      </c>
      <c r="L11" s="167">
        <f>SUM(L12,L18,L21,L26,L30,L31)</f>
        <v>0</v>
      </c>
      <c r="M11" s="167">
        <f>SUM(M12,M18,M21,M26,M30,M31)</f>
        <v>29260</v>
      </c>
      <c r="N11" s="167">
        <f>SUM(N12,N18,N21,N26,N30,N31)</f>
        <v>0</v>
      </c>
      <c r="O11" s="166">
        <f>O12+O18+O21+O26+O30+O31</f>
        <v>389240</v>
      </c>
      <c r="P11" s="170">
        <f>P12+P18+P21+P26+P30+P31</f>
        <v>437240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48000</v>
      </c>
      <c r="H26" s="176">
        <f>SUM(H27:H29)</f>
        <v>48000</v>
      </c>
      <c r="I26" s="177"/>
      <c r="J26" s="175">
        <f t="shared" ref="J26:P26" si="3">SUM(J27:J29)</f>
        <v>0</v>
      </c>
      <c r="K26" s="174">
        <f t="shared" si="3"/>
        <v>359980</v>
      </c>
      <c r="L26" s="174">
        <f t="shared" si="3"/>
        <v>0</v>
      </c>
      <c r="M26" s="174">
        <f t="shared" si="3"/>
        <v>29260</v>
      </c>
      <c r="N26" s="175">
        <f t="shared" si="3"/>
        <v>0</v>
      </c>
      <c r="O26" s="174">
        <f t="shared" si="3"/>
        <v>389240</v>
      </c>
      <c r="P26" s="178">
        <f t="shared" si="3"/>
        <v>437240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29260</v>
      </c>
      <c r="N28" s="192">
        <v>0</v>
      </c>
      <c r="O28" s="174">
        <f t="shared" si="5"/>
        <v>29260</v>
      </c>
      <c r="P28" s="178">
        <f t="shared" si="6"/>
        <v>29260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48000</v>
      </c>
      <c r="H29" s="176">
        <f t="shared" si="4"/>
        <v>48000</v>
      </c>
      <c r="I29" s="193"/>
      <c r="J29" s="196">
        <v>0</v>
      </c>
      <c r="K29" s="195">
        <v>359980</v>
      </c>
      <c r="L29" s="195">
        <v>0</v>
      </c>
      <c r="M29" s="195">
        <v>0</v>
      </c>
      <c r="N29" s="196">
        <v>0</v>
      </c>
      <c r="O29" s="174">
        <f t="shared" si="5"/>
        <v>359980</v>
      </c>
      <c r="P29" s="178">
        <f t="shared" si="6"/>
        <v>407980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48000</v>
      </c>
      <c r="H52" s="247">
        <f>SUM(H11,H32,H33,H47)</f>
        <v>48000</v>
      </c>
      <c r="I52" s="236"/>
      <c r="J52" s="235">
        <f>SUM(J11,J32,J33,J47)</f>
        <v>0</v>
      </c>
      <c r="K52" s="235">
        <f>SUM(K11,K32,K33,K47)</f>
        <v>359980</v>
      </c>
      <c r="L52" s="235">
        <f>SUM(L11,L32,L33,L47)</f>
        <v>0</v>
      </c>
      <c r="M52" s="235">
        <f>SUM(M11,M32,M33,M47)</f>
        <v>29260</v>
      </c>
      <c r="N52" s="235">
        <f>SUM(N11,N32,N33,N47)</f>
        <v>0</v>
      </c>
      <c r="O52" s="235">
        <f>O11+O32+O33+O47</f>
        <v>389240</v>
      </c>
      <c r="P52" s="237">
        <f>P11+P32+P33+P47</f>
        <v>437240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G1" zoomScale="75" zoomScaleNormal="75" workbookViewId="0">
      <selection activeCell="L31" sqref="L31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43200</v>
      </c>
      <c r="H11" s="166">
        <f>SUM(H12,H18,H21,H26,H30,H31)</f>
        <v>43200</v>
      </c>
      <c r="I11" s="169"/>
      <c r="J11" s="167">
        <f t="shared" ref="J11:P11" si="0">SUM(J12,J18,J21,J26,J30,J31)</f>
        <v>0</v>
      </c>
      <c r="K11" s="167">
        <f t="shared" si="0"/>
        <v>323982</v>
      </c>
      <c r="L11" s="167">
        <f t="shared" si="0"/>
        <v>0</v>
      </c>
      <c r="M11" s="167">
        <f t="shared" si="0"/>
        <v>26334</v>
      </c>
      <c r="N11" s="167">
        <f t="shared" si="0"/>
        <v>0</v>
      </c>
      <c r="O11" s="166">
        <f t="shared" si="0"/>
        <v>350316</v>
      </c>
      <c r="P11" s="170">
        <f t="shared" si="0"/>
        <v>393516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43200</v>
      </c>
      <c r="H26" s="176">
        <f>SUM(H27:H29)</f>
        <v>43200</v>
      </c>
      <c r="I26" s="177"/>
      <c r="J26" s="175">
        <f t="shared" ref="J26:P26" si="4">SUM(J27:J29)</f>
        <v>0</v>
      </c>
      <c r="K26" s="174">
        <f t="shared" si="4"/>
        <v>323982</v>
      </c>
      <c r="L26" s="174">
        <f t="shared" si="4"/>
        <v>0</v>
      </c>
      <c r="M26" s="174">
        <f t="shared" si="4"/>
        <v>26334</v>
      </c>
      <c r="N26" s="175">
        <f t="shared" si="4"/>
        <v>0</v>
      </c>
      <c r="O26" s="174">
        <f t="shared" si="4"/>
        <v>350316</v>
      </c>
      <c r="P26" s="178">
        <f t="shared" si="4"/>
        <v>393516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0</v>
      </c>
      <c r="K28" s="191">
        <v>0</v>
      </c>
      <c r="L28" s="191">
        <v>0</v>
      </c>
      <c r="M28" s="191">
        <v>26334</v>
      </c>
      <c r="N28" s="192">
        <v>0</v>
      </c>
      <c r="O28" s="174">
        <f t="shared" si="6"/>
        <v>26334</v>
      </c>
      <c r="P28" s="178">
        <f t="shared" si="7"/>
        <v>26334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43200</v>
      </c>
      <c r="H29" s="176">
        <f t="shared" si="5"/>
        <v>43200</v>
      </c>
      <c r="I29" s="193"/>
      <c r="J29" s="196">
        <v>0</v>
      </c>
      <c r="K29" s="195">
        <v>323982</v>
      </c>
      <c r="L29" s="195">
        <v>0</v>
      </c>
      <c r="M29" s="195">
        <v>0</v>
      </c>
      <c r="N29" s="196">
        <v>0</v>
      </c>
      <c r="O29" s="174">
        <f t="shared" si="6"/>
        <v>323982</v>
      </c>
      <c r="P29" s="178">
        <f t="shared" si="7"/>
        <v>367182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43200</v>
      </c>
      <c r="H52" s="247">
        <f>SUM(H11,H32,H33,H47)</f>
        <v>43200</v>
      </c>
      <c r="I52" s="236"/>
      <c r="J52" s="235">
        <f>SUM(J11,J32,J33,J47)</f>
        <v>0</v>
      </c>
      <c r="K52" s="235">
        <f>SUM(K11,K32,K33,K47)</f>
        <v>323982</v>
      </c>
      <c r="L52" s="235">
        <f>SUM(L11,L32,L33,L47)</f>
        <v>0</v>
      </c>
      <c r="M52" s="235">
        <f>SUM(M11,M32,M33,M47)</f>
        <v>26334</v>
      </c>
      <c r="N52" s="235">
        <f>SUM(N11,N32,N33,N47)</f>
        <v>0</v>
      </c>
      <c r="O52" s="235">
        <f>O11+O32+O33+O47</f>
        <v>350316</v>
      </c>
      <c r="P52" s="237">
        <f>P11+P32+P33+P47</f>
        <v>393516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H8" sqref="H8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G1" zoomScaleNormal="100" workbookViewId="0">
      <selection activeCell="G9" sqref="G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4" sqref="A4:Q4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tabSelected="1" zoomScaleNormal="100" workbookViewId="0">
      <selection activeCell="G81" sqref="G81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77"/>
    </row>
    <row r="4" spans="1:10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13"/>
      <c r="E10" s="315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7</v>
      </c>
      <c r="G11" s="279">
        <f>SUM(G16+G21+G26)</f>
        <v>3</v>
      </c>
      <c r="H11" s="280">
        <f>SUM(F11,G11)</f>
        <v>10</v>
      </c>
      <c r="I11" s="281"/>
      <c r="J11" s="277"/>
    </row>
    <row r="12" spans="1:10" s="8" customFormat="1" ht="16.5" customHeight="1">
      <c r="D12" s="319" t="s">
        <v>152</v>
      </c>
      <c r="E12" s="321"/>
      <c r="F12" s="282">
        <f>SUM(F17+F22+F27)</f>
        <v>69970</v>
      </c>
      <c r="G12" s="282">
        <f>SUM(G17+G22+G27)</f>
        <v>94009</v>
      </c>
      <c r="H12" s="86">
        <f>SUM(F12,G12)</f>
        <v>163979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13"/>
      <c r="E15" s="315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9" t="s">
        <v>152</v>
      </c>
      <c r="E17" s="321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13"/>
      <c r="E20" s="315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9" t="s">
        <v>152</v>
      </c>
      <c r="E22" s="321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13"/>
      <c r="E25" s="315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7</v>
      </c>
      <c r="G26" s="209">
        <v>3</v>
      </c>
      <c r="H26" s="280">
        <f>SUM(F26,G26)</f>
        <v>10</v>
      </c>
      <c r="I26" s="283"/>
    </row>
    <row r="27" spans="4:10" s="197" customFormat="1" ht="16.5" customHeight="1">
      <c r="D27" s="319" t="s">
        <v>152</v>
      </c>
      <c r="E27" s="321"/>
      <c r="F27" s="83">
        <v>69970</v>
      </c>
      <c r="G27" s="83">
        <v>94009</v>
      </c>
      <c r="H27" s="86">
        <f>SUM(F27,G27)</f>
        <v>163979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13"/>
      <c r="E30" s="315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16</v>
      </c>
      <c r="G31" s="209">
        <v>54</v>
      </c>
      <c r="H31" s="280">
        <f>SUM(F31,G31)</f>
        <v>70</v>
      </c>
      <c r="I31" s="281"/>
      <c r="J31" s="277"/>
    </row>
    <row r="32" spans="4:10" s="8" customFormat="1" ht="16.5" customHeight="1">
      <c r="D32" s="319" t="s">
        <v>152</v>
      </c>
      <c r="E32" s="321"/>
      <c r="F32" s="83">
        <v>236402</v>
      </c>
      <c r="G32" s="83">
        <v>545046</v>
      </c>
      <c r="H32" s="86">
        <f>SUM(F32,G32)</f>
        <v>781448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13"/>
      <c r="E35" s="315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10</v>
      </c>
      <c r="G36" s="209">
        <v>76</v>
      </c>
      <c r="H36" s="280">
        <f>SUM(F36,G36)</f>
        <v>86</v>
      </c>
      <c r="I36" s="281"/>
      <c r="J36" s="277"/>
    </row>
    <row r="37" spans="4:10" s="8" customFormat="1" ht="16.5" customHeight="1">
      <c r="D37" s="319" t="s">
        <v>152</v>
      </c>
      <c r="E37" s="321"/>
      <c r="F37" s="83">
        <v>191638</v>
      </c>
      <c r="G37" s="83">
        <v>1345844</v>
      </c>
      <c r="H37" s="86">
        <f>SUM(F37,G37)</f>
        <v>1537482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13"/>
      <c r="E40" s="315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13</v>
      </c>
      <c r="H41" s="280">
        <f>SUM(F41,G41)</f>
        <v>13</v>
      </c>
      <c r="I41" s="281"/>
      <c r="J41" s="277"/>
    </row>
    <row r="42" spans="4:10" s="8" customFormat="1" ht="16.5" customHeight="1">
      <c r="D42" s="319" t="s">
        <v>152</v>
      </c>
      <c r="E42" s="321"/>
      <c r="F42" s="83">
        <v>0</v>
      </c>
      <c r="G42" s="83">
        <v>205913</v>
      </c>
      <c r="H42" s="86">
        <f>SUM(F42,G42)</f>
        <v>205913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13"/>
      <c r="E45" s="315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33</v>
      </c>
      <c r="G46" s="284">
        <f t="shared" si="0"/>
        <v>146</v>
      </c>
      <c r="H46" s="280">
        <f t="shared" si="0"/>
        <v>179</v>
      </c>
      <c r="I46" s="281"/>
      <c r="J46" s="277"/>
    </row>
    <row r="47" spans="4:10" s="8" customFormat="1" ht="16.5" customHeight="1">
      <c r="D47" s="319" t="s">
        <v>152</v>
      </c>
      <c r="E47" s="321"/>
      <c r="F47" s="85">
        <f t="shared" si="0"/>
        <v>498010</v>
      </c>
      <c r="G47" s="85">
        <f t="shared" si="0"/>
        <v>2190812</v>
      </c>
      <c r="H47" s="86">
        <f t="shared" si="0"/>
        <v>2688822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13"/>
      <c r="E50" s="315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9" t="s">
        <v>152</v>
      </c>
      <c r="E52" s="321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13" t="s">
        <v>151</v>
      </c>
      <c r="E56" s="315"/>
      <c r="F56" s="286">
        <f>SUM(F60,F64,F68)</f>
        <v>0</v>
      </c>
      <c r="J56" s="277"/>
    </row>
    <row r="57" spans="3:10" s="8" customFormat="1" ht="16.5" customHeight="1">
      <c r="D57" s="319" t="s">
        <v>152</v>
      </c>
      <c r="E57" s="321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13" t="s">
        <v>151</v>
      </c>
      <c r="E72" s="315"/>
      <c r="F72" s="288">
        <v>0</v>
      </c>
      <c r="G72" s="14"/>
      <c r="H72" s="14"/>
      <c r="J72" s="277"/>
    </row>
    <row r="73" spans="4:10" s="8" customFormat="1" ht="16.5" customHeight="1">
      <c r="D73" s="319" t="s">
        <v>152</v>
      </c>
      <c r="E73" s="321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13" t="s">
        <v>151</v>
      </c>
      <c r="E76" s="315"/>
      <c r="F76" s="288">
        <v>2</v>
      </c>
      <c r="J76" s="277"/>
    </row>
    <row r="77" spans="4:10" s="8" customFormat="1" ht="16.5" customHeight="1">
      <c r="D77" s="319" t="s">
        <v>152</v>
      </c>
      <c r="E77" s="321"/>
      <c r="F77" s="93">
        <v>83829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13" t="s">
        <v>151</v>
      </c>
      <c r="E80" s="315"/>
      <c r="F80" s="288">
        <v>2</v>
      </c>
      <c r="G80" s="14"/>
      <c r="H80" s="14"/>
      <c r="J80" s="277"/>
    </row>
    <row r="81" spans="4:10" s="8" customFormat="1" ht="16.5" customHeight="1">
      <c r="D81" s="319" t="s">
        <v>152</v>
      </c>
      <c r="E81" s="321"/>
      <c r="F81" s="93">
        <v>19880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13" t="s">
        <v>151</v>
      </c>
      <c r="E84" s="315"/>
      <c r="F84" s="286">
        <f>SUM(F56,F72,F76,F80)</f>
        <v>4</v>
      </c>
      <c r="G84" s="1"/>
      <c r="I84" s="6"/>
      <c r="J84" s="277"/>
    </row>
    <row r="85" spans="4:10" ht="16.5" customHeight="1">
      <c r="D85" s="319" t="s">
        <v>152</v>
      </c>
      <c r="E85" s="321"/>
      <c r="F85" s="86">
        <f>SUM(F57,F73,F77,F81)</f>
        <v>103709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2025-11-14T00:43:20Z</cp:lastPrinted>
  <dcterms:created xsi:type="dcterms:W3CDTF">2025-05-29T05:56:54Z</dcterms:created>
  <dcterms:modified xsi:type="dcterms:W3CDTF">2025-12-12T01:14:55Z</dcterms:modified>
</cp:coreProperties>
</file>