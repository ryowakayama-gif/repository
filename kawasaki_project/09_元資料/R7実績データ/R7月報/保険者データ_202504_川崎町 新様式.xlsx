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kenhukusika\【新】福祉課共有\06 介護保険\介護保険最新情報 介護保険ＰＣ\介護保険PC\村上博②\村上　博①\7 年報・月報●\01介護保険事業報告（月報）\R07\令和７年０５審査分\"/>
    </mc:Choice>
  </mc:AlternateContent>
  <bookViews>
    <workbookView xWindow="0" yWindow="0" windowWidth="20490" windowHeight="6780" tabRatio="818" activeTab="2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databind" localSheetId="0">様式１!$D$12,様式１!$G$12,様式１!$G$13,様式１!$D$13,様式１!$D$14,様式１!$G$14,様式１!$G$16,様式１!$G$15,様式１!$D$15,様式１!$D$16,様式１!$D$22,様式１!$E$22,様式１!$F$22,様式１!$G$22,様式１!$H$22,様式１!$H$24,様式１!$G$24,様式１!$F$24,様式１!$E$24,様式１!$D$17,様式１!$E$17,様式１!$F$17,様式１!$G$17,様式１!$I$22,様式１!$I$24,様式１!$D$24</definedName>
    <definedName name="databind" localSheetId="1">様式１の２!$D$12,様式１の２!$F$12,様式１の２!$H$12,様式１の２!$J$12,様式１の２!$L$12,様式１の２!$N$12,様式１の２!$D$14,様式１の２!$E$14,様式１の２!$F$14,様式１の２!$G$14,様式１の２!$H$14,様式１の２!$I$14,様式１の２!$J$14,様式１の２!$K$14,様式１の２!$L$14,様式１の２!$M$14,様式１の２!$N$14,様式１の２!$O$14,様式１の２!$D$15,様式１の２!$E$15,様式１の２!$F$15,様式１の２!$G$15,様式１の２!$H$15,様式１の２!$I$15,様式１の２!$J$15,様式１の２!$K$15,様式１の２!$L$15,様式１の２!$M$15,様式１の２!$N$15,様式１の２!$O$15,様式１の２!$D$18,様式１の２!$E$18,様式１の２!$F$18,様式１の２!$G$18,様式１の２!$H$18,様式１の２!$I$18,様式１の２!$J$18,様式１の２!$K$18,様式１の２!$L$18,様式１の２!$M$18,様式１の２!$N$18,様式１の２!$O$18,様式１の２!$D$19,様式１の２!$E$19,様式１の２!$F$19,様式１の２!$G$19,様式１の２!$H$19,様式１の２!$I$19,様式１の２!$J$19,様式１の２!$K$19,様式１の２!$L$19,様式１の２!$M$19,様式１の２!$N$19,様式１の２!$O$19,様式１の２!$D$20,様式１の２!$E$20,様式１の２!$F$20,様式１の２!$G$20,様式１の２!$H$20,様式１の２!$I$20,様式１の２!$J$20,様式１の２!$K$20,様式１の２!$L$20,様式１の２!$M$20,様式１の２!$N$20,様式１の２!$O$20,様式１の２!$D$21,様式１の２!$E$21,様式１の２!$F$21,様式１の２!$G$21,様式１の２!$H$21,様式１の２!$I$21,様式１の２!$J$21,様式１の２!$K$21,様式１の２!$L$21,様式１の２!$M$21,様式１の２!$N$21,様式１の２!$O$21,様式１の２!$D$26,様式１の２!$D$27,様式１の２!$D$28,様式１の２!$D$29,様式１の２!$D$30,様式１の２!$D$35,様式１の２!$G$35,様式１の２!$D$37,様式１の２!$E$37,様式１の２!$G$36,様式１の２!$G$37,様式１の２!$D$38,様式１の２!$E$38,様式１の２!$G$38,様式１の２!$D$39,様式１の２!$E$39,様式１の２!$G$39,様式１の２!$D$40,様式１の２!$E$40,様式１の２!$D$41,様式１の２!$E$41,様式１の２!$D$42,様式１の２!$P$12,様式１の２!$P$14,様式１の２!$Q$14,様式１の２!$P$15,様式１の２!$Q$15,様式１の２!$P$18,様式１の２!$Q$18,様式１の２!$P$19,様式１の２!$Q$19,様式１の２!$P$20,様式１の２!$Q$20,様式１の２!$P$21,様式１の２!$Q$21,様式１の２!$E$42,様式１の２!$D$16,様式１の２!$E$16,様式１の２!$F$16,様式１の２!$G$16,様式１の２!$H$16,様式１の２!$I$16,様式１の２!$J$16,様式１の２!$K$16,様式１の２!$L$16,様式１の２!$M$16,様式１の２!$N$16,様式１の２!$O$16,様式１の２!$P$16,様式１の２!$Q$16,様式１の２!$D$17,様式１の２!$E$17,様式１の２!$F$17,様式１の２!$G$17,様式１の２!$H$17,様式１の２!$I$17,様式１の２!$J$17,様式１の２!$K$17,様式１の２!$L$17,様式１の２!$M$17,様式１の２!$N$17,様式１の２!$O$17,様式１の２!$P$17,様式１の２!$Q$17</definedName>
    <definedName name="databind" localSheetId="2">様式１の３!$D$12,様式１の３!$F$12,様式１の３!$H$12,様式１の３!$J$12,様式１の３!$L$12,様式１の３!$N$12,様式１の３!$P$12,様式１の３!$D$14,様式１の３!$E$14,様式１の３!$F$14,様式１の３!$G$14,様式１の３!$H$14,様式１の３!$I$14,様式１の３!$J$14,様式１の３!$K$14,様式１の３!$L$14,様式１の３!$M$14,様式１の３!$N$14,様式１の３!$O$14,様式１の３!$P$14,様式１の３!$Q$14,様式１の３!$D$15,様式１の３!$E$15,様式１の３!$F$15,様式１の３!$G$15,様式１の３!$H$15,様式１の３!$I$15,様式１の３!$J$15,様式１の３!$K$15,様式１の３!$L$15,様式１の３!$M$15,様式１の３!$N$15,様式１の３!$O$15,様式１の３!$P$15,様式１の３!$Q$15,様式１の３!$D$18,様式１の３!$D$19,様式１の３!$D$20,様式１の３!$D$21,様式１の３!$E$18,様式１の３!$E$19,様式１の３!$E$20,様式１の３!$E$21,様式１の３!$F$18,様式１の３!$F$19,様式１の３!$F$20,様式１の３!$F$21,様式１の３!$G$18,様式１の３!$G$19,様式１の３!$G$20,様式１の３!$G$21,様式１の３!$H$18,様式１の３!$H$19,様式１の３!$H$20,様式１の３!$H$21,様式１の３!$I$18,様式１の３!$I$19,様式１の３!$I$20,様式１の３!$I$21,様式１の３!$J$18,様式１の３!$J$19,様式１の３!$J$20,様式１の３!$J$21,様式１の３!$K$18,様式１の３!$K$19,様式１の３!$K$20,様式１の３!$K$21,様式１の３!$L$18,様式１の３!$L$19,様式１の３!$L$20,様式１の３!$L$21,様式１の３!$M$18,様式１の３!$M$19,様式１の３!$M$20,様式１の３!$M$21,様式１の３!$N$18,様式１の３!$N$19,様式１の３!$N$20,様式１の３!$N$21,様式１の３!$O$18,様式１の３!$O$19,様式１の３!$O$20,様式１の３!$O$21,様式１の３!$P$18,様式１の３!$P$19,様式１の３!$P$20,様式１の３!$P$21,様式１の３!$Q$18,様式１の３!$Q$19,様式１の３!$Q$20,様式１の３!$Q$21,様式１の３!$D$26,様式１の３!$D$27,様式１の３!$D$28,様式１の３!$D$29,様式１の３!$D$30,様式１の３!$D$35,様式１の３!$G$35,様式１の３!$D$37,様式１の３!$D$38,様式１の３!$D$39,様式１の３!$D$40,様式１の３!$D$41,様式１の３!$D$42,様式１の３!$E$37,様式１の３!$E$38,様式１の３!$E$39,様式１の３!$E$40,様式１の３!$E$41,様式１の３!$E$42,様式１の３!$G$36,様式１の３!$G$37,様式１の３!$G$38,様式１の３!$G$39,様式１の３!$D$16,様式１の３!$E$16,様式１の３!$F$16,様式１の３!$G$16,様式１の３!$H$16,様式１の３!$I$16,様式１の３!$J$16,様式１の３!$K$16,様式１の３!$L$16,様式１の３!$M$16,様式１の３!$N$16,様式１の３!$O$16,様式１の３!$P$16,様式１の３!$Q$16,様式１の３!$D$17,様式１の３!$E$17,様式１の３!$F$17,様式１の３!$G$17,様式１の３!$H$17,様式１の３!$I$17,様式１の３!$J$17,様式１の３!$K$17,様式１の３!$L$17,様式１の３!$M$17,様式１の３!$N$17,様式１の３!$O$17,様式１の３!$P$17,様式１の３!$Q$17</definedName>
    <definedName name="databind" localSheetId="3">様式１の４!$D$11,様式１の４!$E$11,様式１の４!$F$11,様式１の４!$D$12,様式１の４!$E$12,様式１の４!$F$12,様式１の４!$D$13,様式１の４!$E$13,様式１の４!$F$13,様式１の４!$D$14,様式１の４!$E$14,様式１の４!$F$14,様式１の４!$D$15,様式１の４!$E$15,様式１の４!$F$15,様式１の４!$D$16,様式１の４!$E$16,様式１の４!$F$16,様式１の４!$D$17,様式１の４!$E$17,様式１の４!$F$17</definedName>
    <definedName name="databind" localSheetId="4">様式１の６!$D$13,様式１の６!$E$13,様式１の６!$F$13,様式１の６!$H$13,様式１の６!$I$13,様式１の６!$J$13,様式１の６!$K$13,様式１の６!$L$13,様式１の６!$M$13,様式１の６!$N$13,様式１の６!$D$14,様式１の６!$E$14,様式１の６!$F$14,様式１の６!$H$14,様式１の６!$I$14,様式１の６!$J$14,様式１の６!$K$14,様式１の６!$L$14,様式１の６!$M$14,様式１の６!$N$14,様式１の６!$D$15,様式１の６!$E$15,様式１の６!$F$15,様式１の６!$H$15,様式１の６!$I$15,様式１の６!$J$15,様式１の６!$K$15,様式１の６!$L$15,様式１の６!$M$15,様式１の６!$N$15,様式１の６!$D$21,様式１の６!$E$21,様式１の６!$F$21,様式１の６!$H$21,様式１の６!$I$21,様式１の６!$J$21,様式１の６!$K$21,様式１の６!$L$21,様式１の６!$M$21,様式１の６!$N$21,様式１の６!$D$22,様式１の６!$E$22,様式１の６!$F$22,様式１の６!$H$22,様式１の６!$I$22,様式１の６!$J$22,様式１の６!$K$22,様式１の６!$L$22,様式１の６!$M$22,様式１の６!$N$22,様式１の６!$D$23,様式１の６!$E$23,様式１の６!$F$23,様式１の６!$H$23,様式１の６!$I$23,様式１の６!$J$23,様式１の６!$K$23,様式１の６!$L$23,様式１の６!$M$23,様式１の６!$N$23,様式１の６!$D$29,様式１の６!$E$29,様式１の６!$F$29,様式１の６!$G$29,様式１の６!$H$29,様式１の６!$I$29,様式１の６!$J$29,様式１の６!$K$29,様式１の６!$L$29,様式１の６!$M$29,様式１の６!$D$30,様式１の６!$E$30,様式１の６!$F$30,様式１の６!$G$30,様式１の６!$H$30,様式１の６!$I$30,様式１の６!$J$30,様式１の６!$K$30,様式１の６!$L$30,様式１の６!$M$30,様式１の６!$D$31,様式１の６!$E$31,様式１の６!$F$31,様式１の６!$G$31,様式１の６!$H$31,様式１の６!$I$31,様式１の６!$J$31,様式１の６!$K$31,様式１の６!$L$31,様式１の６!$M$31,様式１の６!$D$32,様式１の６!$E$32,様式１の６!$F$32,様式１の６!$G$32,様式１の６!$H$32,様式１の６!$I$32,様式１の６!$J$32,様式１の６!$K$32,様式１の６!$L$32,様式１の６!$M$32,様式１の６!$D$33,様式１の６!$E$33,様式１の６!$F$33,様式１の６!$G$33,様式１の６!$H$33,様式１の６!$I$33,様式１の６!$J$33,様式１の６!$K$33,様式１の６!$L$33,様式１の６!$M$33,様式１の６!$D$34,様式１の６!$E$34,様式１の６!$F$34,様式１の６!$G$34,様式１の６!$H$34,様式１の６!$I$34,様式１の６!$J$34,様式１の６!$K$34,様式１の６!$L$34,様式１の６!$M$34,様式１の６!$D$35,様式１の６!$E$35,様式１の６!$F$35,様式１の６!$G$35,様式１の６!$H$35,様式１の６!$I$35,様式１の６!$J$35,様式１の６!$K$35,様式１の６!$L$35,様式１の６!$M$35,様式１の６!$D$36,様式１の６!$E$36,様式１の６!$F$36,様式１の６!$G$36,様式１の６!$H$36,様式１の６!$I$36,様式１の６!$J$36,様式１の６!$K$36,様式１の６!$L$36,様式１の６!$M$36,様式１の６!$D$37,様式１の６!$E$37,様式１の６!$F$37,様式１の６!$G$37,様式１の６!$H$37,様式１の６!$I$37,様式１の６!$J$37,様式１の６!$K$37,様式１の６!$L$37,様式１の６!$M$37,様式１の６!$D$39,様式１の６!$E$39,様式１の６!$F$39,様式１の６!$G$39,様式１の６!$H$39,様式１の６!$I$39,様式１の６!$J$39,様式１の６!$K$39,様式１の６!$L$39,様式１の６!$M$39,様式１の６!$D$40,様式１の６!$E$40,様式１の６!$F$40,様式１の６!$G$40,様式１の６!$H$40,様式１の６!$I$40,様式１の６!$J$40,様式１の６!$K$40,様式１の６!$L$40,様式１の６!$M$40,様式１の６!$D$38,様式１の６!$E$38,様式１の６!$F$38,様式１の６!$G$38,様式１の６!$H$38,様式１の６!$I$38,様式１の６!$J$38,様式１の６!$K$38,様式１の６!$L$38,様式１の６!$M$38,様式１の６!$D$41,様式１の６!$E$41,様式１の６!$F$41,様式１の６!$G$41,様式１の６!$H$41,様式１の６!$I$41,様式１の６!$J$41,様式１の６!$K$41,様式１の６!$L$41,様式１の６!$M$41</definedName>
    <definedName name="databind" localSheetId="8">'様式２（給付費）'!$F$11,'様式２（給付費）'!$G$11,'様式２（給付費）'!$H$11,'様式２（給付費）'!$J$11,'様式２（給付費）'!$K$11,'様式２（給付費）'!$L$11,'様式２（給付費）'!$M$11,'様式２（給付費）'!$N$11,'様式２（給付費）'!$O$11,'様式２（給付費）'!$P$11,'様式２（給付費）'!$F$12,'様式２（給付費）'!$G$12,'様式２（給付費）'!$H$12,'様式２（給付費）'!$J$12,'様式２（給付費）'!$K$12,'様式２（給付費）'!$L$12,'様式２（給付費）'!$M$12,'様式２（給付費）'!$N$12,'様式２（給付費）'!$O$12,'様式２（給付費）'!$P$12,'様式２（給付費）'!$F$13,'様式２（給付費）'!$G$13,'様式２（給付費）'!$H$13,'様式２（給付費）'!$J$13,'様式２（給付費）'!$K$13,'様式２（給付費）'!$L$13,'様式２（給付費）'!$M$13,'様式２（給付費）'!$N$13,'様式２（給付費）'!$O$13,'様式２（給付費）'!$P$13,'様式２（給付費）'!$F$14,'様式２（給付費）'!$G$14,'様式２（給付費）'!$H$14,'様式２（給付費）'!$J$14,'様式２（給付費）'!$K$14,'様式２（給付費）'!$L$14,'様式２（給付費）'!$M$14,'様式２（給付費）'!$N$14,'様式２（給付費）'!$O$14,'様式２（給付費）'!$P$14,'様式２（給付費）'!$F$15,'様式２（給付費）'!$G$15,'様式２（給付費）'!$H$15,'様式２（給付費）'!$J$15,'様式２（給付費）'!$K$15,'様式２（給付費）'!$L$15,'様式２（給付費）'!$M$15,'様式２（給付費）'!$N$15,'様式２（給付費）'!$O$15,'様式２（給付費）'!$P$15,'様式２（給付費）'!$F$16,'様式２（給付費）'!$G$16,'様式２（給付費）'!$H$16,'様式２（給付費）'!$J$16,'様式２（給付費）'!$K$16,'様式２（給付費）'!$L$16,'様式２（給付費）'!$M$16,'様式２（給付費）'!$N$16,'様式２（給付費）'!$O$16,'様式２（給付費）'!$P$16,'様式２（給付費）'!$F$17,'様式２（給付費）'!$G$17,'様式２（給付費）'!$H$17,'様式２（給付費）'!$J$17,'様式２（給付費）'!$K$17,'様式２（給付費）'!$L$17,'様式２（給付費）'!$M$17,'様式２（給付費）'!$N$17,'様式２（給付費）'!$O$17,'様式２（給付費）'!$P$17,'様式２（給付費）'!$F$18,'様式２（給付費）'!$G$18,'様式２（給付費）'!$H$18,'様式２（給付費）'!$J$18,'様式２（給付費）'!$K$18,'様式２（給付費）'!$L$18,'様式２（給付費）'!$M$18,'様式２（給付費）'!$N$18,'様式２（給付費）'!$O$18,'様式２（給付費）'!$P$18,'様式２（給付費）'!$F$19,'様式２（給付費）'!$G$19,'様式２（給付費）'!$H$19,'様式２（給付費）'!$J$19,'様式２（給付費）'!$K$19,'様式２（給付費）'!$L$19,'様式２（給付費）'!$M$19,'様式２（給付費）'!$N$19,'様式２（給付費）'!$O$19,'様式２（給付費）'!$P$19,'様式２（給付費）'!$F$20,'様式２（給付費）'!$G$20,'様式２（給付費）'!$H$20,'様式２（給付費）'!$J$20,'様式２（給付費）'!$K$20,'様式２（給付費）'!$L$20,'様式２（給付費）'!$M$20,'様式２（給付費）'!$N$20,'様式２（給付費）'!$O$20,'様式２（給付費）'!$P$20,'様式２（給付費）'!$F$21,'様式２（給付費）'!$G$21,'様式２（給付費）'!$H$21,'様式２（給付費）'!$J$21,'様式２（給付費）'!$L$21,'様式２（給付費）'!$M$21,'様式２（給付費）'!$K$21,'様式２（給付費）'!$N$21,'様式２（給付費）'!$O$21,'様式２（給付費）'!$P$21,'様式２（給付費）'!$F$22,'様式２（給付費）'!$G$22,'様式２（給付費）'!$H$22,'様式２（給付費）'!$J$22,'様式２（給付費）'!$K$22,'様式２（給付費）'!$L$22,'様式２（給付費）'!$N$22,'様式２（給付費）'!$O$22,'様式２（給付費）'!$P$22,'様式２（給付費）'!$M$22,'様式２（給付費）'!$F$23,'様式２（給付費）'!$G$23,'様式２（給付費）'!$H$23,'様式２（給付費）'!$J$23,'様式２（給付費）'!$K$23,'様式２（給付費）'!$L$23,'様式２（給付費）'!$M$23,'様式２（給付費）'!$N$23,'様式２（給付費）'!$O$23,'様式２（給付費）'!$P$23,'様式２（給付費）'!$P$24,'様式２（給付費）'!$O$24,'様式２（給付費）'!$N$24,'様式２（給付費）'!$M$24,'様式２（給付費）'!$L$24,'様式２（給付費）'!$K$24,'様式２（給付費）'!$J$24,'様式２（給付費）'!$H$24,'様式２（給付費）'!$G$24,'様式２（給付費）'!$F$24,'様式２（給付費）'!$F$25,'様式２（給付費）'!$G$25,'様式２（給付費）'!$H$25,'様式２（給付費）'!$J$25,'様式２（給付費）'!$K$25,'様式２（給付費）'!$L$25,'様式２（給付費）'!$M$25,'様式２（給付費）'!$N$25,'様式２（給付費）'!$O$25,'様式２（給付費）'!$P$25,'様式２（給付費）'!$P$26,'様式２（給付費）'!$O$26,'様式２（給付費）'!$N$26,'様式２（給付費）'!$M$26,'様式２（給付費）'!$L$26,'様式２（給付費）'!$K$26,'様式２（給付費）'!$J$26,'様式２（給付費）'!$H$26,'様式２（給付費）'!$G$26,'様式２（給付費）'!$F$26,'様式２（給付費）'!$F$27,'様式２（給付費）'!$G$27,'様式２（給付費）'!$H$27,'様式２（給付費）'!$J$27,'様式２（給付費）'!$K$27,'様式２（給付費）'!$L$27,'様式２（給付費）'!$M$27,'様式２（給付費）'!$N$27,'様式２（給付費）'!$O$27,'様式２（給付費）'!$P$27,'様式２（給付費）'!$P$28,'様式２（給付費）'!$O$28,'様式２（給付費）'!$N$28,'様式２（給付費）'!$M$28,'様式２（給付費）'!$L$28,'様式２（給付費）'!$K$28,'様式２（給付費）'!$J$28,'様式２（給付費）'!$H$28,'様式２（給付費）'!$G$28,'様式２（給付費）'!$F$28,'様式２（給付費）'!$F$29,'様式２（給付費）'!$G$29,'様式２（給付費）'!$H$29,'様式２（給付費）'!$J$29,'様式２（給付費）'!$K$29,'様式２（給付費）'!$L$29,'様式２（給付費）'!$M$29,'様式２（給付費）'!$N$29,'様式２（給付費）'!$O$29,'様式２（給付費）'!$P$29,'様式２（給付費）'!$F$30,'様式２（給付費）'!$G$30,'様式２（給付費）'!$H$30,'様式２（給付費）'!$J$30,'様式２（給付費）'!$K$30,'様式２（給付費）'!$L$30,'様式２（給付費）'!$M$30,'様式２（給付費）'!$N$30,'様式２（給付費）'!$O$30,'様式２（給付費）'!$P$30,'様式２（給付費）'!$P$31,'様式２（給付費）'!$O$31,'様式２（給付費）'!$N$31,'様式２（給付費）'!$M$31,'様式２（給付費）'!$L$31,'様式２（給付費）'!$K$31,'様式２（給付費）'!$J$31,'様式２（給付費）'!$H$31,'様式２（給付費）'!$G$31,'様式２（給付費）'!$F$31,'様式２（給付費）'!$F$32,'様式２（給付費）'!$H$33,'様式２（給付費）'!$G$33,'様式２（給付費）'!$G$32,'様式２（給付費）'!$F$33,'様式２（給付費）'!$H$32,'様式２（給付費）'!$J$32,'様式２（給付費）'!$J$33,'様式２（給付費）'!$K$32,'様式２（給付費）'!$K$33,'様式２（給付費）'!$L$32,'様式２（給付費）'!$L$33,'様式２（給付費）'!$M$32,'様式２（給付費）'!$M$33,'様式２（給付費）'!$N$32,'様式２（給付費）'!$N$33,'様式２（給付費）'!$O$33,'様式２（給付費）'!$O$32,'様式２（給付費）'!$P$32,'様式２（給付費）'!$P$33,'様式２（給付費）'!$F$34,'様式２（給付費）'!$G$34,'様式２（給付費）'!$H$34,'様式２（給付費）'!$J$34,'様式２（給付費）'!$K$34,'様式２（給付費）'!$L$34,'様式２（給付費）'!$M$34,'様式２（給付費）'!$N$34,'様式２（給付費）'!$O$34,'様式２（給付費）'!$P$34,'様式２（給付費）'!$F$35,'様式２（給付費）'!$G$35,'様式２（給付費）'!$H$35,'様式２（給付費）'!$J$35,'様式２（給付費）'!$K$35,'様式２（給付費）'!$L$35,'様式２（給付費）'!$M$35,'様式２（給付費）'!$N$35,'様式２（給付費）'!$O$35,'様式２（給付費）'!$P$35,'様式２（給付費）'!$F$36,'様式２（給付費）'!$G$36,'様式２（給付費）'!$H$36,'様式２（給付費）'!$J$36,'様式２（給付費）'!$K$36,'様式２（給付費）'!$L$36,'様式２（給付費）'!$M$36,'様式２（給付費）'!$N$36,'様式２（給付費）'!$O$36,'様式２（給付費）'!$P$36,'様式２（給付費）'!$F$37,'様式２（給付費）'!$G$37,'様式２（給付費）'!$H$37,'様式２（給付費）'!$J$37,'様式２（給付費）'!$K$37,'様式２（給付費）'!$L$37,'様式２（給付費）'!$M$37,'様式２（給付費）'!$N$37,'様式２（給付費）'!$O$37,'様式２（給付費）'!$P$37,'様式２（給付費）'!$F$38,'様式２（給付費）'!$G$38,'様式２（給付費）'!$H$38,'様式２（給付費）'!$J$38,'様式２（給付費）'!$K$38,'様式２（給付費）'!$L$38,'様式２（給付費）'!$M$38,'様式２（給付費）'!$N$38,'様式２（給付費）'!$O$38,'様式２（給付費）'!$P$38,'様式２（給付費）'!$F$39,'様式２（給付費）'!$G$39,'様式２（給付費）'!$H$39,'様式２（給付費）'!$J$39,'様式２（給付費）'!$K$39,'様式２（給付費）'!$L$39,'様式２（給付費）'!$M$39,'様式２（給付費）'!$N$39,'様式２（給付費）'!$O$39,'様式２（給付費）'!$P$39,'様式２（給付費）'!$F$40,'様式２（給付費）'!$G$40,'様式２（給付費）'!$H$40,'様式２（給付費）'!$J$40,'様式２（給付費）'!$K$40,'様式２（給付費）'!$L$40,'様式２（給付費）'!$M$40,'様式２（給付費）'!$N$40,'様式２（給付費）'!$O$40,'様式２（給付費）'!$P$40,'様式２（給付費）'!$F$41,'様式２（給付費）'!$G$41,'様式２（給付費）'!$H$41,'様式２（給付費）'!$J$41,'様式２（給付費）'!$K$41,'様式２（給付費）'!$L$41,'様式２（給付費）'!$M$41,'様式２（給付費）'!$N$41,'様式２（給付費）'!$O$41,'様式２（給付費）'!$P$41,'様式２（給付費）'!$F$42,'様式２（給付費）'!$G$42,'様式２（給付費）'!$H$42,'様式２（給付費）'!$J$42,'様式２（給付費）'!$K$42,'様式２（給付費）'!$L$42,'様式２（給付費）'!$M$42,'様式２（給付費）'!$N$42,'様式２（給付費）'!$O$42,'様式２（給付費）'!$P$42,'様式２（給付費）'!$F$43,'様式２（給付費）'!$G$43,'様式２（給付費）'!$H$43,'様式２（給付費）'!$J$43,'様式２（給付費）'!$K$43,'様式２（給付費）'!$L$43,'様式２（給付費）'!$M$43,'様式２（給付費）'!$N$43,'様式２（給付費）'!$O$43,'様式２（給付費）'!$P$43,'様式２（給付費）'!$F$44,'様式２（給付費）'!$G$44,'様式２（給付費）'!$H$44,'様式２（給付費）'!$J$44,'様式２（給付費）'!$K$44,'様式２（給付費）'!$L$44,'様式２（給付費）'!$M$44,'様式２（給付費）'!$N$44,'様式２（給付費）'!$O$44,'様式２（給付費）'!$P$44,'様式２（給付費）'!$F$45,'様式２（給付費）'!$G$45,'様式２（給付費）'!$H$45,'様式２（給付費）'!$J$45,'様式２（給付費）'!$K$45,'様式２（給付費）'!$L$45,'様式２（給付費）'!$M$45,'様式２（給付費）'!$N$45,'様式２（給付費）'!$O$45,'様式２（給付費）'!$P$45,'様式２（給付費）'!$F$46,'様式２（給付費）'!$G$46,'様式２（給付費）'!$H$46,'様式２（給付費）'!$J$46,'様式２（給付費）'!$K$46,'様式２（給付費）'!$L$46,'様式２（給付費）'!$M$46,'様式２（給付費）'!$N$46,'様式２（給付費）'!$O$46,'様式２（給付費）'!$P$46,'様式２（給付費）'!$F$47,'様式２（給付費）'!$G$47,'様式２（給付費）'!$H$47,'様式２（給付費）'!$J$47,'様式２（給付費）'!$K$47,'様式２（給付費）'!$L$47,'様式２（給付費）'!$M$47,'様式２（給付費）'!$N$47,'様式２（給付費）'!$O$47,'様式２（給付費）'!$P$47</definedName>
    <definedName name="databind" localSheetId="12">'様式２（給付費）２割負担'!$F$11,'様式２（給付費）２割負担'!$G$11,'様式２（給付費）２割負担'!$H$11,'様式２（給付費）２割負担'!$J$11,'様式２（給付費）２割負担'!$K$11,'様式２（給付費）２割負担'!$L$11,'様式２（給付費）２割負担'!$M$11,'様式２（給付費）２割負担'!$N$11,'様式２（給付費）２割負担'!$O$11,'様式２（給付費）２割負担'!$P$11,'様式２（給付費）２割負担'!$F$12,'様式２（給付費）２割負担'!$G$12,'様式２（給付費）２割負担'!$H$12,'様式２（給付費）２割負担'!$J$12,'様式２（給付費）２割負担'!$K$12,'様式２（給付費）２割負担'!$L$12,'様式２（給付費）２割負担'!$M$12,'様式２（給付費）２割負担'!$N$12,'様式２（給付費）２割負担'!$O$12,'様式２（給付費）２割負担'!$P$12,'様式２（給付費）２割負担'!$G$13,'様式２（給付費）２割負担'!$F$13,'様式２（給付費）２割負担'!$H$13,'様式２（給付費）２割負担'!$J$13,'様式２（給付費）２割負担'!$K$13,'様式２（給付費）２割負担'!$L$13,'様式２（給付費）２割負担'!$M$13,'様式２（給付費）２割負担'!$N$13,'様式２（給付費）２割負担'!$O$13,'様式２（給付費）２割負担'!$P$13,'様式２（給付費）２割負担'!$P$14,'様式２（給付費）２割負担'!$O$14,'様式２（給付費）２割負担'!$N$14,'様式２（給付費）２割負担'!$M$14,'様式２（給付費）２割負担'!$L$14,'様式２（給付費）２割負担'!$K$14,'様式２（給付費）２割負担'!$J$14,'様式２（給付費）２割負担'!$H$14,'様式２（給付費）２割負担'!$G$14,'様式２（給付費）２割負担'!$F$14,'様式２（給付費）２割負担'!$F$15,'様式２（給付費）２割負担'!$G$15,'様式２（給付費）２割負担'!$H$15,'様式２（給付費）２割負担'!$J$15,'様式２（給付費）２割負担'!$K$15,'様式２（給付費）２割負担'!$L$15,'様式２（給付費）２割負担'!$M$15,'様式２（給付費）２割負担'!$N$15,'様式２（給付費）２割負担'!$O$15,'様式２（給付費）２割負担'!$P$15,'様式２（給付費）２割負担'!$F$16,'様式２（給付費）２割負担'!$G$16,'様式２（給付費）２割負担'!$H$16,'様式２（給付費）２割負担'!$J$16,'様式２（給付費）２割負担'!$K$16,'様式２（給付費）２割負担'!$L$16,'様式２（給付費）２割負担'!$M$16,'様式２（給付費）２割負担'!$N$16,'様式２（給付費）２割負担'!$O$16,'様式２（給付費）２割負担'!$P$16,'様式２（給付費）２割負担'!$F$17,'様式２（給付費）２割負担'!$G$17,'様式２（給付費）２割負担'!$H$17,'様式２（給付費）２割負担'!$J$17,'様式２（給付費）２割負担'!$K$17,'様式２（給付費）２割負担'!$L$17,'様式２（給付費）２割負担'!$M$17,'様式２（給付費）２割負担'!$N$17,'様式２（給付費）２割負担'!$O$17,'様式２（給付費）２割負担'!$P$17,'様式２（給付費）２割負担'!$F$18,'様式２（給付費）２割負担'!$G$18,'様式２（給付費）２割負担'!$H$18,'様式２（給付費）２割負担'!$J$18,'様式２（給付費）２割負担'!$K$18,'様式２（給付費）２割負担'!$L$18,'様式２（給付費）２割負担'!$M$18,'様式２（給付費）２割負担'!$N$18,'様式２（給付費）２割負担'!$O$18,'様式２（給付費）２割負担'!$P$18,'様式２（給付費）２割負担'!$F$19,'様式２（給付費）２割負担'!$G$19,'様式２（給付費）２割負担'!$H$19,'様式２（給付費）２割負担'!$J$19,'様式２（給付費）２割負担'!$K$19,'様式２（給付費）２割負担'!$L$19,'様式２（給付費）２割負担'!$M$19,'様式２（給付費）２割負担'!$N$19,'様式２（給付費）２割負担'!$O$19,'様式２（給付費）２割負担'!$P$19,'様式２（給付費）２割負担'!$F$20,'様式２（給付費）２割負担'!$G$20,'様式２（給付費）２割負担'!$H$20,'様式２（給付費）２割負担'!$J$20,'様式２（給付費）２割負担'!$K$20,'様式２（給付費）２割負担'!$L$20,'様式２（給付費）２割負担'!$M$20,'様式２（給付費）２割負担'!$N$20,'様式２（給付費）２割負担'!$O$20,'様式２（給付費）２割負担'!$P$20,'様式２（給付費）２割負担'!$F$21,'様式２（給付費）２割負担'!$G$21,'様式２（給付費）２割負担'!$H$21,'様式２（給付費）２割負担'!$J$21,'様式２（給付費）２割負担'!$K$21,'様式２（給付費）２割負担'!$L$21,'様式２（給付費）２割負担'!$M$21,'様式２（給付費）２割負担'!$N$21,'様式２（給付費）２割負担'!$O$21,'様式２（給付費）２割負担'!$P$21,'様式２（給付費）２割負担'!$F$22,'様式２（給付費）２割負担'!$G$22,'様式２（給付費）２割負担'!$H$22,'様式２（給付費）２割負担'!$J$22,'様式２（給付費）２割負担'!$K$22,'様式２（給付費）２割負担'!$L$22,'様式２（給付費）２割負担'!$M$22,'様式２（給付費）２割負担'!$N$22,'様式２（給付費）２割負担'!$O$22,'様式２（給付費）２割負担'!$P$22,'様式２（給付費）２割負担'!$F$23,'様式２（給付費）２割負担'!$G$23,'様式２（給付費）２割負担'!$H$23,'様式２（給付費）２割負担'!$J$23,'様式２（給付費）２割負担'!$K$23,'様式２（給付費）２割負担'!$L$23,'様式２（給付費）２割負担'!$M$23,'様式２（給付費）２割負担'!$N$23,'様式２（給付費）２割負担'!$O$23,'様式２（給付費）２割負担'!$P$23,'様式２（給付費）２割負担'!$F$24,'様式２（給付費）２割負担'!$G$24,'様式２（給付費）２割負担'!$H$24,'様式２（給付費）２割負担'!$J$24,'様式２（給付費）２割負担'!$K$24,'様式２（給付費）２割負担'!$L$24,'様式２（給付費）２割負担'!$M$24,'様式２（給付費）２割負担'!$N$24,'様式２（給付費）２割負担'!$O$24,'様式２（給付費）２割負担'!$P$24,'様式２（給付費）２割負担'!$F$25,'様式２（給付費）２割負担'!$G$25,'様式２（給付費）２割負担'!$H$25,'様式２（給付費）２割負担'!$J$25,'様式２（給付費）２割負担'!$K$25,'様式２（給付費）２割負担'!$L$25,'様式２（給付費）２割負担'!$M$25,'様式２（給付費）２割負担'!$N$25,'様式２（給付費）２割負担'!$O$25,'様式２（給付費）２割負担'!$P$25,'様式２（給付費）２割負担'!$F$26,'様式２（給付費）２割負担'!$G$26,'様式２（給付費）２割負担'!$H$26,'様式２（給付費）２割負担'!$J$26,'様式２（給付費）２割負担'!$K$26,'様式２（給付費）２割負担'!$L$26,'様式２（給付費）２割負担'!$M$26,'様式２（給付費）２割負担'!$N$26,'様式２（給付費）２割負担'!$O$26,'様式２（給付費）２割負担'!$P$26,'様式２（給付費）２割負担'!$F$27,'様式２（給付費）２割負担'!$G$27,'様式２（給付費）２割負担'!$H$27,'様式２（給付費）２割負担'!$J$27,'様式２（給付費）２割負担'!$K$27,'様式２（給付費）２割負担'!$L$27,'様式２（給付費）２割負担'!$M$27,'様式２（給付費）２割負担'!$N$27,'様式２（給付費）２割負担'!$O$27,'様式２（給付費）２割負担'!$P$27,'様式２（給付費）２割負担'!$F$28,'様式２（給付費）２割負担'!$G$28,'様式２（給付費）２割負担'!$H$28,'様式２（給付費）２割負担'!$J$28,'様式２（給付費）２割負担'!$K$28,'様式２（給付費）２割負担'!$L$28,'様式２（給付費）２割負担'!$M$28,'様式２（給付費）２割負担'!$N$28,'様式２（給付費）２割負担'!$O$28,'様式２（給付費）２割負担'!$P$28,'様式２（給付費）２割負担'!$F$29,'様式２（給付費）２割負担'!$G$29,'様式２（給付費）２割負担'!$H$29,'様式２（給付費）２割負担'!$J$29,'様式２（給付費）２割負担'!$K$29,'様式２（給付費）２割負担'!$L$29,'様式２（給付費）２割負担'!$M$29,'様式２（給付費）２割負担'!$N$29,'様式２（給付費）２割負担'!$O$29,'様式２（給付費）２割負担'!$P$29,'様式２（給付費）２割負担'!$F$30,'様式２（給付費）２割負担'!$G$30,'様式２（給付費）２割負担'!$H$30,'様式２（給付費）２割負担'!$J$30,'様式２（給付費）２割負担'!$K$30,'様式２（給付費）２割負担'!$L$30,'様式２（給付費）２割負担'!$M$30,'様式２（給付費）２割負担'!$N$30,'様式２（給付費）２割負担'!$O$30,'様式２（給付費）２割負担'!$P$30,'様式２（給付費）２割負担'!$F$32,'様式２（給付費）２割負担'!$G$32,'様式２（給付費）２割負担'!$H$32,'様式２（給付費）２割負担'!$J$32,'様式２（給付費）２割負担'!$K$32,'様式２（給付費）２割負担'!$L$32,'様式２（給付費）２割負担'!$M$32,'様式２（給付費）２割負担'!$N$32,'様式２（給付費）２割負担'!$O$32,'様式２（給付費）２割負担'!$P$32,'様式２（給付費）２割負担'!$F$33,'様式２（給付費）２割負担'!$G$33,'様式２（給付費）２割負担'!$H$33,'様式２（給付費）２割負担'!$J$33,'様式２（給付費）２割負担'!$K$33,'様式２（給付費）２割負担'!$L$33,'様式２（給付費）２割負担'!$M$33,'様式２（給付費）２割負担'!$N$33,'様式２（給付費）２割負担'!$O$33,'様式２（給付費）２割負担'!$P$33,'様式２（給付費）２割負担'!$F$34,'様式２（給付費）２割負担'!$G$34,'様式２（給付費）２割負担'!$H$34,'様式２（給付費）２割負担'!$J$34,'様式２（給付費）２割負担'!$K$34,'様式２（給付費）２割負担'!$L$34,'様式２（給付費）２割負担'!$M$34,'様式２（給付費）２割負担'!$N$34,'様式２（給付費）２割負担'!$O$34,'様式２（給付費）２割負担'!$P$34,'様式２（給付費）２割負担'!$F$35,'様式２（給付費）２割負担'!$G$35,'様式２（給付費）２割負担'!$H$35,'様式２（給付費）２割負担'!$J$35,'様式２（給付費）２割負担'!$K$35,'様式２（給付費）２割負担'!$L$35,'様式２（給付費）２割負担'!$M$35,'様式２（給付費）２割負担'!$N$35,'様式２（給付費）２割負担'!$O$35,'様式２（給付費）２割負担'!$P$35,'様式２（給付費）２割負担'!$F$36,'様式２（給付費）２割負担'!$G$36,'様式２（給付費）２割負担'!$H$36,'様式２（給付費）２割負担'!$J$36,'様式２（給付費）２割負担'!$K$36,'様式２（給付費）２割負担'!$L$36,'様式２（給付費）２割負担'!$M$36,'様式２（給付費）２割負担'!$N$36,'様式２（給付費）２割負担'!$O$36,'様式２（給付費）２割負担'!$P$36,'様式２（給付費）２割負担'!$F$37,'様式２（給付費）２割負担'!$G$37,'様式２（給付費）２割負担'!$H$37,'様式２（給付費）２割負担'!$J$37,'様式２（給付費）２割負担'!$K$37,'様式２（給付費）２割負担'!$L$37,'様式２（給付費）２割負担'!$M$37,'様式２（給付費）２割負担'!$N$37,'様式２（給付費）２割負担'!$O$37,'様式２（給付費）２割負担'!$P$37,'様式２（給付費）２割負担'!$F$38,'様式２（給付費）２割負担'!$G$38,'様式２（給付費）２割負担'!$H$38,'様式２（給付費）２割負担'!$J$38,'様式２（給付費）２割負担'!$K$38,'様式２（給付費）２割負担'!$L$38,'様式２（給付費）２割負担'!$M$38,'様式２（給付費）２割負担'!$N$38,'様式２（給付費）２割負担'!$O$38,'様式２（給付費）２割負担'!$P$38,'様式２（給付費）２割負担'!$F$39,'様式２（給付費）２割負担'!$G$39,'様式２（給付費）２割負担'!$H$39,'様式２（給付費）２割負担'!$J$39,'様式２（給付費）２割負担'!$K$39,'様式２（給付費）２割負担'!$L$39,'様式２（給付費）２割負担'!$M$39,'様式２（給付費）２割負担'!$N$39,'様式２（給付費）２割負担'!$O$39,'様式２（給付費）２割負担'!$P$39,'様式２（給付費）２割負担'!$F$40,'様式２（給付費）２割負担'!$G$40,'様式２（給付費）２割負担'!$H$40,'様式２（給付費）２割負担'!$J$40,'様式２（給付費）２割負担'!$K$40,'様式２（給付費）２割負担'!$L$40,'様式２（給付費）２割負担'!$M$40,'様式２（給付費）２割負担'!$N$40,'様式２（給付費）２割負担'!$O$40,'様式２（給付費）２割負担'!$P$40,'様式２（給付費）２割負担'!$F$41,'様式２（給付費）２割負担'!$G$41,'様式２（給付費）２割負担'!$H$41,'様式２（給付費）２割負担'!$J$41,'様式２（給付費）２割負担'!$K$41,'様式２（給付費）２割負担'!$L$41,'様式２（給付費）２割負担'!$M$41,'様式２（給付費）２割負担'!$N$41,'様式２（給付費）２割負担'!$O$41,'様式２（給付費）２割負担'!$P$41,'様式２（給付費）２割負担'!$F$42,'様式２（給付費）２割負担'!$G$42,'様式２（給付費）２割負担'!$H$42,'様式２（給付費）２割負担'!$J$42,'様式２（給付費）２割負担'!$K$42,'様式２（給付費）２割負担'!$L$42,'様式２（給付費）２割負担'!$M$42,'様式２（給付費）２割負担'!$N$42,'様式２（給付費）２割負担'!$O$42,'様式２（給付費）２割負担'!$P$42,'様式２（給付費）２割負担'!$F$43,'様式２（給付費）２割負担'!$G$43,'様式２（給付費）２割負担'!$H$43,'様式２（給付費）２割負担'!$J$43,'様式２（給付費）２割負担'!$K$43,'様式２（給付費）２割負担'!$L$43,'様式２（給付費）２割負担'!$M$43,'様式２（給付費）２割負担'!$N$43,'様式２（給付費）２割負担'!$O$43,'様式２（給付費）２割負担'!$P$43,'様式２（給付費）２割負担'!$F$44,'様式２（給付費）２割負担'!$G$44,'様式２（給付費）２割負担'!$H$44,'様式２（給付費）２割負担'!$J$44,'様式２（給付費）２割負担'!$K$44,'様式２（給付費）２割負担'!$L$44,'様式２（給付費）２割負担'!$M$44,'様式２（給付費）２割負担'!$N$44,'様式２（給付費）２割負担'!$O$44,'様式２（給付費）２割負担'!$P$44,'様式２（給付費）２割負担'!$F$45,'様式２（給付費）２割負担'!$G$45,'様式２（給付費）２割負担'!$H$45,'様式２（給付費）２割負担'!$J$45,'様式２（給付費）２割負担'!$K$45,'様式２（給付費）２割負担'!$L$45,'様式２（給付費）２割負担'!$M$45,'様式２（給付費）２割負担'!$N$45,'様式２（給付費）２割負担'!$O$45,'様式２（給付費）２割負担'!$P$45,'様式２（給付費）２割負担'!$F$46,'様式２（給付費）２割負担'!$G$46,'様式２（給付費）２割負担'!$H$46,'様式２（給付費）２割負担'!$J$46,'様式２（給付費）２割負担'!$K$46,'様式２（給付費）２割負担'!$L$46,'様式２（給付費）２割負担'!$M$46,'様式２（給付費）２割負担'!$N$46,'様式２（給付費）２割負担'!$O$46,'様式２（給付費）２割負担'!$P$46,'様式２（給付費）２割負担'!$F$47,'様式２（給付費）２割負担'!$G$47,'様式２（給付費）２割負担'!$H$47,'様式２（給付費）２割負担'!$J$47,'様式２（給付費）２割負担'!$K$47,'様式２（給付費）２割負担'!$L$47,'様式２（給付費）２割負担'!$M$47,'様式２（給付費）２割負担'!$N$47,'様式２（給付費）２割負担'!$O$47,'様式２（給付費）２割負担'!$P$47</definedName>
    <definedName name="databind" localSheetId="16">'様式２（給付費）３割負担'!$F$11,'様式２（給付費）３割負担'!$G$11,'様式２（給付費）３割負担'!$H$11,'様式２（給付費）３割負担'!$J$11,'様式２（給付費）３割負担'!$K$11,'様式２（給付費）３割負担'!$L$11,'様式２（給付費）３割負担'!$M$11,'様式２（給付費）３割負担'!$N$11,'様式２（給付費）３割負担'!$O$11,'様式２（給付費）３割負担'!$P$11,'様式２（給付費）３割負担'!$F$12,'様式２（給付費）３割負担'!$G$12,'様式２（給付費）３割負担'!$H$12,'様式２（給付費）３割負担'!$J$12,'様式２（給付費）３割負担'!$K$12,'様式２（給付費）３割負担'!$L$12,'様式２（給付費）３割負担'!$M$12,'様式２（給付費）３割負担'!$N$12,'様式２（給付費）３割負担'!$O$12,'様式２（給付費）３割負担'!$P$12,'様式２（給付費）３割負担'!$G$13,'様式２（給付費）３割負担'!$F$13,'様式２（給付費）３割負担'!$H$13,'様式２（給付費）３割負担'!$J$13,'様式２（給付費）３割負担'!$K$13,'様式２（給付費）３割負担'!$L$13,'様式２（給付費）３割負担'!$M$13,'様式２（給付費）３割負担'!$N$13,'様式２（給付費）３割負担'!$O$13,'様式２（給付費）３割負担'!$P$13,'様式２（給付費）３割負担'!$P$14,'様式２（給付費）３割負担'!$O$14,'様式２（給付費）３割負担'!$N$14,'様式２（給付費）３割負担'!$M$14,'様式２（給付費）３割負担'!$L$14,'様式２（給付費）３割負担'!$K$14,'様式２（給付費）３割負担'!$J$14,'様式２（給付費）３割負担'!$H$14,'様式２（給付費）３割負担'!$G$14,'様式２（給付費）３割負担'!$F$14,'様式２（給付費）３割負担'!$F$15,'様式２（給付費）３割負担'!$G$15,'様式２（給付費）３割負担'!$H$15,'様式２（給付費）３割負担'!$J$15,'様式２（給付費）３割負担'!$K$15,'様式２（給付費）３割負担'!$L$15,'様式２（給付費）３割負担'!$M$15,'様式２（給付費）３割負担'!$N$15,'様式２（給付費）３割負担'!$O$15,'様式２（給付費）３割負担'!$P$15,'様式２（給付費）３割負担'!$F$16,'様式２（給付費）３割負担'!$G$16,'様式２（給付費）３割負担'!$H$16,'様式２（給付費）３割負担'!$J$16,'様式２（給付費）３割負担'!$K$16,'様式２（給付費）３割負担'!$L$16,'様式２（給付費）３割負担'!$M$16,'様式２（給付費）３割負担'!$N$16,'様式２（給付費）３割負担'!$O$16,'様式２（給付費）３割負担'!$P$16,'様式２（給付費）３割負担'!$F$17,'様式２（給付費）３割負担'!$G$17,'様式２（給付費）３割負担'!$H$17,'様式２（給付費）３割負担'!$J$17,'様式２（給付費）３割負担'!$K$17,'様式２（給付費）３割負担'!$L$17,'様式２（給付費）３割負担'!$M$17,'様式２（給付費）３割負担'!$N$17,'様式２（給付費）３割負担'!$O$17,'様式２（給付費）３割負担'!$P$17,'様式２（給付費）３割負担'!$F$18,'様式２（給付費）３割負担'!$G$18,'様式２（給付費）３割負担'!$H$18,'様式２（給付費）３割負担'!$J$18,'様式２（給付費）３割負担'!$K$18,'様式２（給付費）３割負担'!$L$18,'様式２（給付費）３割負担'!$M$18,'様式２（給付費）３割負担'!$N$18,'様式２（給付費）３割負担'!$O$18,'様式２（給付費）３割負担'!$P$18,'様式２（給付費）３割負担'!$F$19,'様式２（給付費）３割負担'!$G$19,'様式２（給付費）３割負担'!$H$19,'様式２（給付費）３割負担'!$J$19,'様式２（給付費）３割負担'!$K$19,'様式２（給付費）３割負担'!$L$19,'様式２（給付費）３割負担'!$M$19,'様式２（給付費）３割負担'!$N$19,'様式２（給付費）３割負担'!$O$19,'様式２（給付費）３割負担'!$P$19,'様式２（給付費）３割負担'!$F$20,'様式２（給付費）３割負担'!$G$20,'様式２（給付費）３割負担'!$H$20,'様式２（給付費）３割負担'!$J$20,'様式２（給付費）３割負担'!$K$20,'様式２（給付費）３割負担'!$L$20,'様式２（給付費）３割負担'!$M$20,'様式２（給付費）３割負担'!$N$20,'様式２（給付費）３割負担'!$O$20,'様式２（給付費）３割負担'!$P$20,'様式２（給付費）３割負担'!$F$21,'様式２（給付費）３割負担'!$G$21,'様式２（給付費）３割負担'!$H$21,'様式２（給付費）３割負担'!$J$21,'様式２（給付費）３割負担'!$K$21,'様式２（給付費）３割負担'!$L$21,'様式２（給付費）３割負担'!$M$21,'様式２（給付費）３割負担'!$N$21,'様式２（給付費）３割負担'!$O$21,'様式２（給付費）３割負担'!$P$21,'様式２（給付費）３割負担'!$F$22,'様式２（給付費）３割負担'!$G$22,'様式２（給付費）３割負担'!$H$22,'様式２（給付費）３割負担'!$J$22,'様式２（給付費）３割負担'!$K$22,'様式２（給付費）３割負担'!$L$22,'様式２（給付費）３割負担'!$M$22,'様式２（給付費）３割負担'!$N$22,'様式２（給付費）３割負担'!$O$22,'様式２（給付費）３割負担'!$P$22,'様式２（給付費）３割負担'!$F$23,'様式２（給付費）３割負担'!$G$23,'様式２（給付費）３割負担'!$H$23,'様式２（給付費）３割負担'!$J$23,'様式２（給付費）３割負担'!$K$23,'様式２（給付費）３割負担'!$L$23,'様式２（給付費）３割負担'!$M$23,'様式２（給付費）３割負担'!$N$23,'様式２（給付費）３割負担'!$O$23,'様式２（給付費）３割負担'!$P$23,'様式２（給付費）３割負担'!$F$24,'様式２（給付費）３割負担'!$G$24,'様式２（給付費）３割負担'!$H$24,'様式２（給付費）３割負担'!$J$24,'様式２（給付費）３割負担'!$K$24,'様式２（給付費）３割負担'!$L$24,'様式２（給付費）３割負担'!$M$24,'様式２（給付費）３割負担'!$N$24,'様式２（給付費）３割負担'!$O$24,'様式２（給付費）３割負担'!$P$24,'様式２（給付費）３割負担'!$F$25,'様式２（給付費）３割負担'!$G$25,'様式２（給付費）３割負担'!$H$25,'様式２（給付費）３割負担'!$J$25,'様式２（給付費）３割負担'!$K$25,'様式２（給付費）３割負担'!$L$25,'様式２（給付費）３割負担'!$M$25,'様式２（給付費）３割負担'!$N$25,'様式２（給付費）３割負担'!$O$25,'様式２（給付費）３割負担'!$P$25,'様式２（給付費）３割負担'!$F$26,'様式２（給付費）３割負担'!$G$26,'様式２（給付費）３割負担'!$H$26,'様式２（給付費）３割負担'!$J$26,'様式２（給付費）３割負担'!$K$26,'様式２（給付費）３割負担'!$L$26,'様式２（給付費）３割負担'!$M$26,'様式２（給付費）３割負担'!$N$26,'様式２（給付費）３割負担'!$O$26,'様式２（給付費）３割負担'!$P$26,'様式２（給付費）３割負担'!$F$27,'様式２（給付費）３割負担'!$G$27,'様式２（給付費）３割負担'!$H$27,'様式２（給付費）３割負担'!$J$27,'様式２（給付費）３割負担'!$K$27,'様式２（給付費）３割負担'!$L$27,'様式２（給付費）３割負担'!$M$27,'様式２（給付費）３割負担'!$N$27,'様式２（給付費）３割負担'!$O$27,'様式２（給付費）３割負担'!$P$27,'様式２（給付費）３割負担'!$F$28,'様式２（給付費）３割負担'!$G$28,'様式２（給付費）３割負担'!$H$28,'様式２（給付費）３割負担'!$J$28,'様式２（給付費）３割負担'!$K$28,'様式２（給付費）３割負担'!$L$28,'様式２（給付費）３割負担'!$M$28,'様式２（給付費）３割負担'!$N$28,'様式２（給付費）３割負担'!$O$28,'様式２（給付費）３割負担'!$P$28,'様式２（給付費）３割負担'!$F$29,'様式２（給付費）３割負担'!$G$29,'様式２（給付費）３割負担'!$H$29,'様式２（給付費）３割負担'!$J$29,'様式２（給付費）３割負担'!$K$29,'様式２（給付費）３割負担'!$L$29,'様式２（給付費）３割負担'!$M$29,'様式２（給付費）３割負担'!$N$29,'様式２（給付費）３割負担'!$O$29,'様式２（給付費）３割負担'!$P$29,'様式２（給付費）３割負担'!$F$30,'様式２（給付費）３割負担'!$G$30,'様式２（給付費）３割負担'!$H$30,'様式２（給付費）３割負担'!$J$30,'様式２（給付費）３割負担'!$K$30,'様式２（給付費）３割負担'!$L$30,'様式２（給付費）３割負担'!$M$30,'様式２（給付費）３割負担'!$N$30,'様式２（給付費）３割負担'!$O$30,'様式２（給付費）３割負担'!$P$30,'様式２（給付費）３割負担'!$F$32,'様式２（給付費）３割負担'!$G$32,'様式２（給付費）３割負担'!$H$32,'様式２（給付費）３割負担'!$J$32,'様式２（給付費）３割負担'!$K$32,'様式２（給付費）３割負担'!$L$32,'様式２（給付費）３割負担'!$M$32,'様式２（給付費）３割負担'!$N$32,'様式２（給付費）３割負担'!$O$32,'様式２（給付費）３割負担'!$P$32,'様式２（給付費）３割負担'!$F$33,'様式２（給付費）３割負担'!$G$33,'様式２（給付費）３割負担'!$H$33,'様式２（給付費）３割負担'!$J$33,'様式２（給付費）３割負担'!$K$33,'様式２（給付費）３割負担'!$L$33,'様式２（給付費）３割負担'!$M$33,'様式２（給付費）３割負担'!$N$33,'様式２（給付費）３割負担'!$O$33,'様式２（給付費）３割負担'!$P$33,'様式２（給付費）３割負担'!$F$34,'様式２（給付費）３割負担'!$G$34,'様式２（給付費）３割負担'!$H$34,'様式２（給付費）３割負担'!$J$34,'様式２（給付費）３割負担'!$K$34,'様式２（給付費）３割負担'!$L$34,'様式２（給付費）３割負担'!$M$34,'様式２（給付費）３割負担'!$N$34,'様式２（給付費）３割負担'!$O$34,'様式２（給付費）３割負担'!$P$34,'様式２（給付費）３割負担'!$F$35,'様式２（給付費）３割負担'!$G$35,'様式２（給付費）３割負担'!$H$35,'様式２（給付費）３割負担'!$J$35,'様式２（給付費）３割負担'!$K$35,'様式２（給付費）３割負担'!$L$35,'様式２（給付費）３割負担'!$M$35,'様式２（給付費）３割負担'!$N$35,'様式２（給付費）３割負担'!$O$35,'様式２（給付費）３割負担'!$P$35,'様式２（給付費）３割負担'!$F$36,'様式２（給付費）３割負担'!$G$36,'様式２（給付費）３割負担'!$H$36,'様式２（給付費）３割負担'!$J$36,'様式２（給付費）３割負担'!$K$36,'様式２（給付費）３割負担'!$L$36,'様式２（給付費）３割負担'!$M$36,'様式２（給付費）３割負担'!$N$36,'様式２（給付費）３割負担'!$O$36,'様式２（給付費）３割負担'!$P$36,'様式２（給付費）３割負担'!$F$37,'様式２（給付費）３割負担'!$G$37,'様式２（給付費）３割負担'!$H$37,'様式２（給付費）３割負担'!$J$37,'様式２（給付費）３割負担'!$K$37,'様式２（給付費）３割負担'!$L$37,'様式２（給付費）３割負担'!$M$37,'様式２（給付費）３割負担'!$N$37,'様式２（給付費）３割負担'!$O$37,'様式２（給付費）３割負担'!$P$37,'様式２（給付費）３割負担'!$F$38,'様式２（給付費）３割負担'!$G$38,'様式２（給付費）３割負担'!$H$38,'様式２（給付費）３割負担'!$J$38,'様式２（給付費）３割負担'!$K$38,'様式２（給付費）３割負担'!$L$38,'様式２（給付費）３割負担'!$M$38,'様式２（給付費）３割負担'!$N$38,'様式２（給付費）３割負担'!$O$38,'様式２（給付費）３割負担'!$P$38,'様式２（給付費）３割負担'!$F$39,'様式２（給付費）３割負担'!$G$39,'様式２（給付費）３割負担'!$H$39,'様式２（給付費）３割負担'!$J$39,'様式２（給付費）３割負担'!$K$39,'様式２（給付費）３割負担'!$L$39,'様式２（給付費）３割負担'!$M$39,'様式２（給付費）３割負担'!$N$39,'様式２（給付費）３割負担'!$O$39,'様式２（給付費）３割負担'!$P$39,'様式２（給付費）３割負担'!$F$40,'様式２（給付費）３割負担'!$G$40,'様式２（給付費）３割負担'!$H$40,'様式２（給付費）３割負担'!$J$40,'様式２（給付費）３割負担'!$K$40,'様式２（給付費）３割負担'!$L$40,'様式２（給付費）３割負担'!$M$40,'様式２（給付費）３割負担'!$N$40,'様式２（給付費）３割負担'!$O$40,'様式２（給付費）３割負担'!$P$40,'様式２（給付費）３割負担'!$F$41,'様式２（給付費）３割負担'!$G$41,'様式２（給付費）３割負担'!$H$41,'様式２（給付費）３割負担'!$J$41,'様式２（給付費）３割負担'!$K$41,'様式２（給付費）３割負担'!$L$41,'様式２（給付費）３割負担'!$M$41,'様式２（給付費）３割負担'!$N$41,'様式２（給付費）３割負担'!$O$41,'様式２（給付費）３割負担'!$P$41,'様式２（給付費）３割負担'!$F$42,'様式２（給付費）３割負担'!$G$42,'様式２（給付費）３割負担'!$H$42,'様式２（給付費）３割負担'!$J$42,'様式２（給付費）３割負担'!$K$42,'様式２（給付費）３割負担'!$L$42,'様式２（給付費）３割負担'!$M$42,'様式２（給付費）３割負担'!$N$42,'様式２（給付費）３割負担'!$O$42,'様式２（給付費）３割負担'!$P$42,'様式２（給付費）３割負担'!$F$43,'様式２（給付費）３割負担'!$G$43,'様式２（給付費）３割負担'!$H$43,'様式２（給付費）３割負担'!$J$43,'様式２（給付費）３割負担'!$K$43,'様式２（給付費）３割負担'!$L$43,'様式２（給付費）３割負担'!$M$43,'様式２（給付費）３割負担'!$N$43,'様式２（給付費）３割負担'!$O$43,'様式２（給付費）３割負担'!$P$43,'様式２（給付費）３割負担'!$F$44,'様式２（給付費）３割負担'!$G$44,'様式２（給付費）３割負担'!$H$44,'様式２（給付費）３割負担'!$J$44,'様式２（給付費）３割負担'!$K$44,'様式２（給付費）３割負担'!$L$44,'様式２（給付費）３割負担'!$M$44,'様式２（給付費）３割負担'!$N$44,'様式２（給付費）３割負担'!$O$44,'様式２（給付費）３割負担'!$P$44,'様式２（給付費）３割負担'!$F$45,'様式２（給付費）３割負担'!$G$45,'様式２（給付費）３割負担'!$H$45,'様式２（給付費）３割負担'!$J$45,'様式２（給付費）３割負担'!$K$45,'様式２（給付費）３割負担'!$L$45,'様式２（給付費）３割負担'!$M$45,'様式２（給付費）３割負担'!$N$45,'様式２（給付費）３割負担'!$O$45,'様式２（給付費）３割負担'!$P$45,'様式２（給付費）３割負担'!$F$46,'様式２（給付費）３割負担'!$G$46,'様式２（給付費）３割負担'!$H$46,'様式２（給付費）３割負担'!$J$46,'様式２（給付費）３割負担'!$K$46,'様式２（給付費）３割負担'!$L$46,'様式２（給付費）３割負担'!$M$46,'様式２（給付費）３割負担'!$N$46,'様式２（給付費）３割負担'!$O$46,'様式２（給付費）３割負担'!$P$46,'様式２（給付費）３割負担'!$F$47,'様式２（給付費）３割負担'!$G$47,'様式２（給付費）３割負担'!$H$47,'様式２（給付費）３割負担'!$J$47,'様式２（給付費）３割負担'!$K$47,'様式２（給付費）３割負担'!$L$47,'様式２（給付費）３割負担'!$M$47,'様式２（給付費）３割負担'!$N$47,'様式２（給付費）３割負担'!$O$47,'様式２（給付費）３割負担'!$P$47</definedName>
    <definedName name="databind" localSheetId="5">'様式２（件数）'!$F$11,'様式２（件数）'!$G$11,'様式２（件数）'!$H$11,'様式２（件数）'!$J$11,'様式２（件数）'!$K$11,'様式２（件数）'!$L$11,'様式２（件数）'!$M$11,'様式２（件数）'!$N$11,'様式２（件数）'!$O$11,'様式２（件数）'!$P$11,'様式２（件数）'!$F$12,'様式２（件数）'!$G$12,'様式２（件数）'!$H$12,'様式２（件数）'!$J$12,'様式２（件数）'!$K$12,'様式２（件数）'!$L$12,'様式２（件数）'!$M$12,'様式２（件数）'!$N$12,'様式２（件数）'!$O$12,'様式２（件数）'!$P$12,'様式２（件数）'!$F$13,'様式２（件数）'!$G$13,'様式２（件数）'!$H$13,'様式２（件数）'!$J$13,'様式２（件数）'!$K$13,'様式２（件数）'!$L$13,'様式２（件数）'!$M$13,'様式２（件数）'!$N$13,'様式２（件数）'!$O$13,'様式２（件数）'!$P$13,'様式２（件数）'!$F$14,'様式２（件数）'!$G$14,'様式２（件数）'!$H$14,'様式２（件数）'!$J$14,'様式２（件数）'!$K$14,'様式２（件数）'!$L$14,'様式２（件数）'!$M$14,'様式２（件数）'!$N$14,'様式２（件数）'!$O$14,'様式２（件数）'!$P$14,'様式２（件数）'!$F$15,'様式２（件数）'!$G$15,'様式２（件数）'!$H$15,'様式２（件数）'!$J$15,'様式２（件数）'!$K$15,'様式２（件数）'!$L$15,'様式２（件数）'!$M$15,'様式２（件数）'!$N$15,'様式２（件数）'!$O$15,'様式２（件数）'!$P$15,'様式２（件数）'!$G$16,'様式２（件数）'!$F$16,'様式２（件数）'!$H$16,'様式２（件数）'!$J$16,'様式２（件数）'!$K$16,'様式２（件数）'!$L$16,'様式２（件数）'!$M$16,'様式２（件数）'!$N$16,'様式２（件数）'!$O$16,'様式２（件数）'!$P$16,'様式２（件数）'!$F$17,'様式２（件数）'!$G$17,'様式２（件数）'!$H$17,'様式２（件数）'!$J$17,'様式２（件数）'!$K$17,'様式２（件数）'!$L$17,'様式２（件数）'!$M$17,'様式２（件数）'!$N$17,'様式２（件数）'!$O$17,'様式２（件数）'!$P$17,'様式２（件数）'!$F$18,'様式２（件数）'!$G$18,'様式２（件数）'!$H$18,'様式２（件数）'!$J$18,'様式２（件数）'!$K$18,'様式２（件数）'!$L$18,'様式２（件数）'!$M$18,'様式２（件数）'!$N$18,'様式２（件数）'!$O$18,'様式２（件数）'!$P$18,'様式２（件数）'!$F$19,'様式２（件数）'!$G$19,'様式２（件数）'!$H$19,'様式２（件数）'!$J$19,'様式２（件数）'!$K$19,'様式２（件数）'!$L$19,'様式２（件数）'!$M$19,'様式２（件数）'!$N$19,'様式２（件数）'!$O$19,'様式２（件数）'!$P$19,'様式２（件数）'!$F$20,'様式２（件数）'!$G$20,'様式２（件数）'!$H$20,'様式２（件数）'!$J$20,'様式２（件数）'!$K$20,'様式２（件数）'!$L$20,'様式２（件数）'!$M$20,'様式２（件数）'!$N$20,'様式２（件数）'!$O$20,'様式２（件数）'!$P$20,'様式２（件数）'!$F$21,'様式２（件数）'!$H$21,'様式２（件数）'!$G$21,'様式２（件数）'!$J$21,'様式２（件数）'!$K$21,'様式２（件数）'!$L$21,'様式２（件数）'!$M$21,'様式２（件数）'!$N$21,'様式２（件数）'!$O$21,'様式２（件数）'!$P$21,'様式２（件数）'!$F$22,'様式２（件数）'!$G$22,'様式２（件数）'!$H$22,'様式２（件数）'!$J$22,'様式２（件数）'!$K$22,'様式２（件数）'!$L$22,'様式２（件数）'!$M$22,'様式２（件数）'!$N$22,'様式２（件数）'!$O$22,'様式２（件数）'!$P$22,'様式２（件数）'!$F$23,'様式２（件数）'!$G$23,'様式２（件数）'!$H$23,'様式２（件数）'!$J$23,'様式２（件数）'!$K$23,'様式２（件数）'!$L$23,'様式２（件数）'!$M$23,'様式２（件数）'!$N$23,'様式２（件数）'!$O$23,'様式２（件数）'!$P$23,'様式２（件数）'!$F$24,'様式２（件数）'!$G$24,'様式２（件数）'!$H$24,'様式２（件数）'!$J$24,'様式２（件数）'!$K$24,'様式２（件数）'!$L$24,'様式２（件数）'!$M$24,'様式２（件数）'!$N$24,'様式２（件数）'!$O$24,'様式２（件数）'!$P$24,'様式２（件数）'!$F$25,'様式２（件数）'!$G$25,'様式２（件数）'!$H$25,'様式２（件数）'!$J$25,'様式２（件数）'!$K$25,'様式２（件数）'!$L$25,'様式２（件数）'!$M$25,'様式２（件数）'!$N$25,'様式２（件数）'!$O$25,'様式２（件数）'!$P$25,'様式２（件数）'!$F$26,'様式２（件数）'!$G$26,'様式２（件数）'!$H$26,'様式２（件数）'!$J$26,'様式２（件数）'!$K$26,'様式２（件数）'!$L$26,'様式２（件数）'!$M$26,'様式２（件数）'!$N$26,'様式２（件数）'!$O$26,'様式２（件数）'!$P$26,'様式２（件数）'!$F$27,'様式２（件数）'!$G$27,'様式２（件数）'!$H$27,'様式２（件数）'!$J$27,'様式２（件数）'!$K$27,'様式２（件数）'!$L$27,'様式２（件数）'!$M$27,'様式２（件数）'!$N$27,'様式２（件数）'!$O$27,'様式２（件数）'!$P$27,'様式２（件数）'!$F$28,'様式２（件数）'!$G$28,'様式２（件数）'!$H$28,'様式２（件数）'!$J$28,'様式２（件数）'!$K$28,'様式２（件数）'!$L$28,'様式２（件数）'!$M$28,'様式２（件数）'!$N$28,'様式２（件数）'!$O$28,'様式２（件数）'!$P$28,'様式２（件数）'!$F$29,'様式２（件数）'!$G$29,'様式２（件数）'!$H$29,'様式２（件数）'!$J$29,'様式２（件数）'!$K$29,'様式２（件数）'!$L$29,'様式２（件数）'!$M$29,'様式２（件数）'!$N$29,'様式２（件数）'!$O$29,'様式２（件数）'!$P$29,'様式２（件数）'!$F$30,'様式２（件数）'!$G$30,'様式２（件数）'!$H$30,'様式２（件数）'!$J$30,'様式２（件数）'!$K$30,'様式２（件数）'!$L$30,'様式２（件数）'!$M$30,'様式２（件数）'!$N$30,'様式２（件数）'!$O$30,'様式２（件数）'!$P$30,'様式２（件数）'!$F$31,'様式２（件数）'!$G$31,'様式２（件数）'!$H$31,'様式２（件数）'!$J$31,'様式２（件数）'!$K$31,'様式２（件数）'!$L$31,'様式２（件数）'!$M$31,'様式２（件数）'!$N$31,'様式２（件数）'!$O$31,'様式２（件数）'!$P$31,'様式２（件数）'!$F$32,'様式２（件数）'!$G$32,'様式２（件数）'!$H$32,'様式２（件数）'!$J$32,'様式２（件数）'!$K$32,'様式２（件数）'!$L$32,'様式２（件数）'!$M$32,'様式２（件数）'!$N$32,'様式２（件数）'!$O$32,'様式２（件数）'!$P$32,'様式２（件数）'!$F$33,'様式２（件数）'!$G$33,'様式２（件数）'!$H$33,'様式２（件数）'!$J$33,'様式２（件数）'!$K$33,'様式２（件数）'!$L$33,'様式２（件数）'!$M$33,'様式２（件数）'!$N$33,'様式２（件数）'!$O$33,'様式２（件数）'!$P$33,'様式２（件数）'!$F$34,'様式２（件数）'!$G$34,'様式２（件数）'!$H$34,'様式２（件数）'!$J$34,'様式２（件数）'!$K$34,'様式２（件数）'!$L$34,'様式２（件数）'!$M$34,'様式２（件数）'!$N$34,'様式２（件数）'!$O$34,'様式２（件数）'!$P$34,'様式２（件数）'!$F$35,'様式２（件数）'!$G$35,'様式２（件数）'!$H$35,'様式２（件数）'!$J$35,'様式２（件数）'!$K$35,'様式２（件数）'!$L$35,'様式２（件数）'!$M$35,'様式２（件数）'!$N$35,'様式２（件数）'!$O$35,'様式２（件数）'!$P$35,'様式２（件数）'!$F$36,'様式２（件数）'!$G$36,'様式２（件数）'!$H$36,'様式２（件数）'!$J$36,'様式２（件数）'!$K$36,'様式２（件数）'!$L$36,'様式２（件数）'!$M$36,'様式２（件数）'!$N$36,'様式２（件数）'!$O$36,'様式２（件数）'!$P$36,'様式２（件数）'!$F$37,'様式２（件数）'!$G$37,'様式２（件数）'!$H$37,'様式２（件数）'!$J$37,'様式２（件数）'!$K$37,'様式２（件数）'!$L$37,'様式２（件数）'!$M$37,'様式２（件数）'!$N$37,'様式２（件数）'!$O$37,'様式２（件数）'!$P$37,'様式２（件数）'!$F$38,'様式２（件数）'!$G$38,'様式２（件数）'!$H$38,'様式２（件数）'!$J$38,'様式２（件数）'!$K$38,'様式２（件数）'!$L$38,'様式２（件数）'!$M$38,'様式２（件数）'!$N$38,'様式２（件数）'!$O$38,'様式２（件数）'!$P$38,'様式２（件数）'!$F$39,'様式２（件数）'!$G$39,'様式２（件数）'!$H$39,'様式２（件数）'!$J$39,'様式２（件数）'!$K$39,'様式２（件数）'!$L$39,'様式２（件数）'!$M$39,'様式２（件数）'!$N$39,'様式２（件数）'!$O$39,'様式２（件数）'!$P$39,'様式２（件数）'!$F$40,'様式２（件数）'!$G$40,'様式２（件数）'!$H$40,'様式２（件数）'!$J$40,'様式２（件数）'!$K$40,'様式２（件数）'!$L$40,'様式２（件数）'!$M$40,'様式２（件数）'!$N$40,'様式２（件数）'!$O$40,'様式２（件数）'!$P$40,'様式２（件数）'!$F$41,'様式２（件数）'!$G$41,'様式２（件数）'!$H$41,'様式２（件数）'!$J$41,'様式２（件数）'!$K$41,'様式２（件数）'!$L$41,'様式２（件数）'!$M$41,'様式２（件数）'!$N$41,'様式２（件数）'!$O$41,'様式２（件数）'!$P$41,'様式２（件数）'!$F$42,'様式２（件数）'!$G$42,'様式２（件数）'!$H$42,'様式２（件数）'!$J$42,'様式２（件数）'!$K$42,'様式２（件数）'!$L$42,'様式２（件数）'!$M$42,'様式２（件数）'!$N$42,'様式２（件数）'!$O$42,'様式２（件数）'!$P$42,'様式２（件数）'!$F$43,'様式２（件数）'!$G$43,'様式２（件数）'!$H$43,'様式２（件数）'!$J$43,'様式２（件数）'!$K$43,'様式２（件数）'!$L$43,'様式２（件数）'!$M$43,'様式２（件数）'!$N$43,'様式２（件数）'!$O$43,'様式２（件数）'!$P$43,'様式２（件数）'!$F$44,'様式２（件数）'!$G$44,'様式２（件数）'!$H$44,'様式２（件数）'!$J$44,'様式２（件数）'!$K$44,'様式２（件数）'!$L$44,'様式２（件数）'!$M$44,'様式２（件数）'!$N$44,'様式２（件数）'!$O$44,'様式２（件数）'!$P$44,'様式２（件数）'!$F$45,'様式２（件数）'!$G$45,'様式２（件数）'!$H$45,'様式２（件数）'!$J$45,'様式２（件数）'!$K$45,'様式２（件数）'!$L$45,'様式２（件数）'!$M$45,'様式２（件数）'!$N$45,'様式２（件数）'!$O$45,'様式２（件数）'!$P$45,'様式２（件数）'!$F$46,'様式２（件数）'!$G$46,'様式２（件数）'!$H$46,'様式２（件数）'!$J$46,'様式２（件数）'!$K$46,'様式２（件数）'!$L$46,'様式２（件数）'!$M$46,'様式２（件数）'!$N$46,'様式２（件数）'!$O$46,'様式２（件数）'!$P$46,'様式２（件数）'!$F$47,'様式２（件数）'!$G$47,'様式２（件数）'!$H$47,'様式２（件数）'!$J$47,'様式２（件数）'!$K$47,'様式２（件数）'!$L$47,'様式２（件数）'!$M$47,'様式２（件数）'!$N$47,'様式２（件数）'!$O$47,'様式２（件数）'!$P$47</definedName>
    <definedName name="databind" localSheetId="9">'様式２（件数）２割負担'!$F$11,'様式２（件数）２割負担'!$G$11,'様式２（件数）２割負担'!$H$11,'様式２（件数）２割負担'!$J$11,'様式２（件数）２割負担'!$K$11,'様式２（件数）２割負担'!$L$11,'様式２（件数）２割負担'!$M$11,'様式２（件数）２割負担'!$N$11,'様式２（件数）２割負担'!$O$11,'様式２（件数）２割負担'!$P$11,'様式２（件数）２割負担'!$F$12,'様式２（件数）２割負担'!$G$12,'様式２（件数）２割負担'!$H$12,'様式２（件数）２割負担'!$J$12,'様式２（件数）２割負担'!$K$12,'様式２（件数）２割負担'!$L$12,'様式２（件数）２割負担'!$M$12,'様式２（件数）２割負担'!$N$12,'様式２（件数）２割負担'!$O$12,'様式２（件数）２割負担'!$P$12,'様式２（件数）２割負担'!$F$13,'様式２（件数）２割負担'!$G$13,'様式２（件数）２割負担'!$H$13,'様式２（件数）２割負担'!$J$13,'様式２（件数）２割負担'!$K$13,'様式２（件数）２割負担'!$L$13,'様式２（件数）２割負担'!$M$13,'様式２（件数）２割負担'!$N$13,'様式２（件数）２割負担'!$O$13,'様式２（件数）２割負担'!$P$13,'様式２（件数）２割負担'!$F$14,'様式２（件数）２割負担'!$G$14,'様式２（件数）２割負担'!$H$14,'様式２（件数）２割負担'!$J$14,'様式２（件数）２割負担'!$K$14,'様式２（件数）２割負担'!$L$14,'様式２（件数）２割負担'!$M$14,'様式２（件数）２割負担'!$N$14,'様式２（件数）２割負担'!$O$14,'様式２（件数）２割負担'!$P$14,'様式２（件数）２割負担'!$F$15,'様式２（件数）２割負担'!$G$15,'様式２（件数）２割負担'!$H$15,'様式２（件数）２割負担'!$J$15,'様式２（件数）２割負担'!$K$15,'様式２（件数）２割負担'!$L$15,'様式２（件数）２割負担'!$M$15,'様式２（件数）２割負担'!$N$15,'様式２（件数）２割負担'!$O$15,'様式２（件数）２割負担'!$P$15,'様式２（件数）２割負担'!$F$16,'様式２（件数）２割負担'!$G$16,'様式２（件数）２割負担'!$H$16,'様式２（件数）２割負担'!$J$16,'様式２（件数）２割負担'!$K$16,'様式２（件数）２割負担'!$L$16,'様式２（件数）２割負担'!$M$16,'様式２（件数）２割負担'!$N$16,'様式２（件数）２割負担'!$O$16,'様式２（件数）２割負担'!$P$16,'様式２（件数）２割負担'!$F$17,'様式２（件数）２割負担'!$G$17,'様式２（件数）２割負担'!$H$17,'様式２（件数）２割負担'!$J$17,'様式２（件数）２割負担'!$K$17,'様式２（件数）２割負担'!$L$18,'様式２（件数）２割負担'!$L$17,'様式２（件数）２割負担'!$M$17,'様式２（件数）２割負担'!$N$17,'様式２（件数）２割負担'!$O$17,'様式２（件数）２割負担'!$P$17,'様式２（件数）２割負担'!$F$18,'様式２（件数）２割負担'!$G$18,'様式２（件数）２割負担'!$H$18,'様式２（件数）２割負担'!$J$18,'様式２（件数）２割負担'!$K$18,'様式２（件数）２割負担'!$M$18,'様式２（件数）２割負担'!$N$18,'様式２（件数）２割負担'!$O$18,'様式２（件数）２割負担'!$P$18,'様式２（件数）２割負担'!$F$19,'様式２（件数）２割負担'!$G$19,'様式２（件数）２割負担'!$H$19,'様式２（件数）２割負担'!$J$19,'様式２（件数）２割負担'!$K$19,'様式２（件数）２割負担'!$L$19,'様式２（件数）２割負担'!$M$19,'様式２（件数）２割負担'!$N$19,'様式２（件数）２割負担'!$O$19,'様式２（件数）２割負担'!$P$19,'様式２（件数）２割負担'!$F$20,'様式２（件数）２割負担'!$G$20,'様式２（件数）２割負担'!$H$20,'様式２（件数）２割負担'!$J$20,'様式２（件数）２割負担'!$K$20,'様式２（件数）２割負担'!$L$20,'様式２（件数）２割負担'!$M$20,'様式２（件数）２割負担'!$N$20,'様式２（件数）２割負担'!$O$20,'様式２（件数）２割負担'!$P$20,'様式２（件数）２割負担'!$F$21,'様式２（件数）２割負担'!$H$21,'様式２（件数）２割負担'!$G$21,'様式２（件数）２割負担'!$J$21,'様式２（件数）２割負担'!$K$21,'様式２（件数）２割負担'!$L$21,'様式２（件数）２割負担'!$M$21,'様式２（件数）２割負担'!$N$21,'様式２（件数）２割負担'!$O$21,'様式２（件数）２割負担'!$P$21,'様式２（件数）２割負担'!$F$22,'様式２（件数）２割負担'!$G$22,'様式２（件数）２割負担'!$H$22,'様式２（件数）２割負担'!$J$22,'様式２（件数）２割負担'!$K$22,'様式２（件数）２割負担'!$L$22,'様式２（件数）２割負担'!$M$22,'様式２（件数）２割負担'!$N$22,'様式２（件数）２割負担'!$O$22,'様式２（件数）２割負担'!$P$22,'様式２（件数）２割負担'!$F$23,'様式２（件数）２割負担'!$G$23,'様式２（件数）２割負担'!$H$23,'様式２（件数）２割負担'!$J$23,'様式２（件数）２割負担'!$K$23,'様式２（件数）２割負担'!$L$23,'様式２（件数）２割負担'!$N$23,'様式２（件数）２割負担'!$M$23,'様式２（件数）２割負担'!$O$23,'様式２（件数）２割負担'!$P$23,'様式２（件数）２割負担'!$F$24,'様式２（件数）２割負担'!$G$24,'様式２（件数）２割負担'!$H$24,'様式２（件数）２割負担'!$J$24,'様式２（件数）２割負担'!$K$24,'様式２（件数）２割負担'!$L$24,'様式２（件数）２割負担'!$M$24,'様式２（件数）２割負担'!$N$24,'様式２（件数）２割負担'!$O$24,'様式２（件数）２割負担'!$P$24,'様式２（件数）２割負担'!$F$25,'様式２（件数）２割負担'!$G$25,'様式２（件数）２割負担'!$H$25,'様式２（件数）２割負担'!$J$25,'様式２（件数）２割負担'!$K$25,'様式２（件数）２割負担'!$L$25,'様式２（件数）２割負担'!$M$25,'様式２（件数）２割負担'!$N$25,'様式２（件数）２割負担'!$O$25,'様式２（件数）２割負担'!$P$25,'様式２（件数）２割負担'!$G$26,'様式２（件数）２割負担'!$F$26,'様式２（件数）２割負担'!$H$26,'様式２（件数）２割負担'!$J$26,'様式２（件数）２割負担'!$K$26,'様式２（件数）２割負担'!$L$26,'様式２（件数）２割負担'!$M$26,'様式２（件数）２割負担'!$N$26,'様式２（件数）２割負担'!$O$26,'様式２（件数）２割負担'!$P$26,'様式２（件数）２割負担'!$F$27,'様式２（件数）２割負担'!$G$27,'様式２（件数）２割負担'!$H$27,'様式２（件数）２割負担'!$J$27,'様式２（件数）２割負担'!$K$27,'様式２（件数）２割負担'!$L$27,'様式２（件数）２割負担'!$M$27,'様式２（件数）２割負担'!$N$27,'様式２（件数）２割負担'!$O$27,'様式２（件数）２割負担'!$P$27,'様式２（件数）２割負担'!$F$28,'様式２（件数）２割負担'!$G$28,'様式２（件数）２割負担'!$H$28,'様式２（件数）２割負担'!$J$28,'様式２（件数）２割負担'!$K$28,'様式２（件数）２割負担'!$L$28,'様式２（件数）２割負担'!$M$28,'様式２（件数）２割負担'!$N$28,'様式２（件数）２割負担'!$O$28,'様式２（件数）２割負担'!$P$28,'様式２（件数）２割負担'!$F$29,'様式２（件数）２割負担'!$G$29,'様式２（件数）２割負担'!$H$29,'様式２（件数）２割負担'!$J$29,'様式２（件数）２割負担'!$K$29,'様式２（件数）２割負担'!$L$29,'様式２（件数）２割負担'!$M$29,'様式２（件数）２割負担'!$N$29,'様式２（件数）２割負担'!$O$29,'様式２（件数）２割負担'!$P$29,'様式２（件数）２割負担'!$F$30,'様式２（件数）２割負担'!$G$30,'様式２（件数）２割負担'!$H$30,'様式２（件数）２割負担'!$J$30,'様式２（件数）２割負担'!$K$30,'様式２（件数）２割負担'!$L$30,'様式２（件数）２割負担'!$M$30,'様式２（件数）２割負担'!$N$30,'様式２（件数）２割負担'!$O$30,'様式２（件数）２割負担'!$P$30,'様式２（件数）２割負担'!$F$32,'様式２（件数）２割負担'!$G$32,'様式２（件数）２割負担'!$H$32,'様式２（件数）２割負担'!$J$32,'様式２（件数）２割負担'!$K$32,'様式２（件数）２割負担'!$L$32,'様式２（件数）２割負担'!$M$32,'様式２（件数）２割負担'!$N$32,'様式２（件数）２割負担'!$O$32,'様式２（件数）２割負担'!$P$32,'様式２（件数）２割負担'!$F$33,'様式２（件数）２割負担'!$G$33,'様式２（件数）２割負担'!$H$33,'様式２（件数）２割負担'!$J$33,'様式２（件数）２割負担'!$K$33,'様式２（件数）２割負担'!$L$33,'様式２（件数）２割負担'!$M$33,'様式２（件数）２割負担'!$N$33,'様式２（件数）２割負担'!$O$33,'様式２（件数）２割負担'!$P$33,'様式２（件数）２割負担'!$F$34,'様式２（件数）２割負担'!$G$34,'様式２（件数）２割負担'!$H$34,'様式２（件数）２割負担'!$J$34,'様式２（件数）２割負担'!$K$34,'様式２（件数）２割負担'!$L$34,'様式２（件数）２割負担'!$M$34,'様式２（件数）２割負担'!$N$34,'様式２（件数）２割負担'!$O$34,'様式２（件数）２割負担'!$P$34,'様式２（件数）２割負担'!$F$35,'様式２（件数）２割負担'!$G$35,'様式２（件数）２割負担'!$H$35,'様式２（件数）２割負担'!$J$35,'様式２（件数）２割負担'!$K$35,'様式２（件数）２割負担'!$L$35,'様式２（件数）２割負担'!$M$35,'様式２（件数）２割負担'!$N$35,'様式２（件数）２割負担'!$O$35,'様式２（件数）２割負担'!$P$35,'様式２（件数）２割負担'!$F$36,'様式２（件数）２割負担'!$G$36,'様式２（件数）２割負担'!$H$36,'様式２（件数）２割負担'!$J$36,'様式２（件数）２割負担'!$K$36,'様式２（件数）２割負担'!$L$36,'様式２（件数）２割負担'!$M$36,'様式２（件数）２割負担'!$N$36,'様式２（件数）２割負担'!$O$36,'様式２（件数）２割負担'!$P$36,'様式２（件数）２割負担'!$F$37,'様式２（件数）２割負担'!$G$37,'様式２（件数）２割負担'!$H$37,'様式２（件数）２割負担'!$J$37,'様式２（件数）２割負担'!$K$37,'様式２（件数）２割負担'!$L$37,'様式２（件数）２割負担'!$M$37,'様式２（件数）２割負担'!$N$37,'様式２（件数）２割負担'!$O$37,'様式２（件数）２割負担'!$P$37,'様式２（件数）２割負担'!$F$38,'様式２（件数）２割負担'!$G$38,'様式２（件数）２割負担'!$H$38,'様式２（件数）２割負担'!$J$38,'様式２（件数）２割負担'!$K$38,'様式２（件数）２割負担'!$L$38,'様式２（件数）２割負担'!$M$38,'様式２（件数）２割負担'!$N$38,'様式２（件数）２割負担'!$O$38,'様式２（件数）２割負担'!$P$38,'様式２（件数）２割負担'!$F$39,'様式２（件数）２割負担'!$G$39,'様式２（件数）２割負担'!$H$39,'様式２（件数）２割負担'!$J$39,'様式２（件数）２割負担'!$K$39,'様式２（件数）２割負担'!$L$39,'様式２（件数）２割負担'!$M$39,'様式２（件数）２割負担'!$N$39,'様式２（件数）２割負担'!$O$39,'様式２（件数）２割負担'!$P$39,'様式２（件数）２割負担'!$F$40,'様式２（件数）２割負担'!$G$40,'様式２（件数）２割負担'!$H$40,'様式２（件数）２割負担'!$J$40,'様式２（件数）２割負担'!$K$40,'様式２（件数）２割負担'!$L$40,'様式２（件数）２割負担'!$M$40,'様式２（件数）２割負担'!$N$40,'様式２（件数）２割負担'!$O$40,'様式２（件数）２割負担'!$P$40,'様式２（件数）２割負担'!$F$41,'様式２（件数）２割負担'!$G$41,'様式２（件数）２割負担'!$H$41,'様式２（件数）２割負担'!$J$41,'様式２（件数）２割負担'!$K$41,'様式２（件数）２割負担'!$L$41,'様式２（件数）２割負担'!$M$41,'様式２（件数）２割負担'!$N$41,'様式２（件数）２割負担'!$O$41,'様式２（件数）２割負担'!$P$41,'様式２（件数）２割負担'!$F$42,'様式２（件数）２割負担'!$G$42,'様式２（件数）２割負担'!$H$42,'様式２（件数）２割負担'!$J$42,'様式２（件数）２割負担'!$K$42,'様式２（件数）２割負担'!$L$42,'様式２（件数）２割負担'!$M$42,'様式２（件数）２割負担'!$N$42,'様式２（件数）２割負担'!$O$42,'様式２（件数）２割負担'!$P$42,'様式２（件数）２割負担'!$F$43,'様式２（件数）２割負担'!$G$43,'様式２（件数）２割負担'!$H$43,'様式２（件数）２割負担'!$J$43,'様式２（件数）２割負担'!$K$43,'様式２（件数）２割負担'!$L$43,'様式２（件数）２割負担'!$M$43,'様式２（件数）２割負担'!$N$43,'様式２（件数）２割負担'!$O$43,'様式２（件数）２割負担'!$P$43,'様式２（件数）２割負担'!$F$44,'様式２（件数）２割負担'!$G$44,'様式２（件数）２割負担'!$H$44,'様式２（件数）２割負担'!$J$44,'様式２（件数）２割負担'!$K$44,'様式２（件数）２割負担'!$L$44,'様式２（件数）２割負担'!$M$44,'様式２（件数）２割負担'!$N$44,'様式２（件数）２割負担'!$O$44,'様式２（件数）２割負担'!$P$44,'様式２（件数）２割負担'!$F$45,'様式２（件数）２割負担'!$G$45,'様式２（件数）２割負担'!$H$45,'様式２（件数）２割負担'!$J$45,'様式２（件数）２割負担'!$K$45,'様式２（件数）２割負担'!$L$45,'様式２（件数）２割負担'!$M$45,'様式２（件数）２割負担'!$N$45,'様式２（件数）２割負担'!$O$45,'様式２（件数）２割負担'!$P$45,'様式２（件数）２割負担'!$F$46,'様式２（件数）２割負担'!$G$46,'様式２（件数）２割負担'!$H$46,'様式２（件数）２割負担'!$J$46,'様式２（件数）２割負担'!$K$46,'様式２（件数）２割負担'!$L$46,'様式２（件数）２割負担'!$M$46,'様式２（件数）２割負担'!$N$46,'様式２（件数）２割負担'!$O$46,'様式２（件数）２割負担'!$P$46,'様式２（件数）２割負担'!$F$47,'様式２（件数）２割負担'!$G$47,'様式２（件数）２割負担'!$H$47,'様式２（件数）２割負担'!$J$47,'様式２（件数）２割負担'!$K$47,'様式２（件数）２割負担'!$L$47,'様式２（件数）２割負担'!$M$47,'様式２（件数）２割負担'!$N$47,'様式２（件数）２割負担'!$O$47,'様式２（件数）２割負担'!$P$47</definedName>
    <definedName name="databind" localSheetId="13">'様式２（件数）３割負担'!$F$11,'様式２（件数）３割負担'!$G$11,'様式２（件数）３割負担'!$H$11,'様式２（件数）３割負担'!$J$11,'様式２（件数）３割負担'!$K$11,'様式２（件数）３割負担'!$L$11,'様式２（件数）３割負担'!$M$11,'様式２（件数）３割負担'!$N$11,'様式２（件数）３割負担'!$O$11,'様式２（件数）３割負担'!$P$11,'様式２（件数）３割負担'!$F$12,'様式２（件数）３割負担'!$G$12,'様式２（件数）３割負担'!$H$12,'様式２（件数）３割負担'!$J$12,'様式２（件数）３割負担'!$K$12,'様式２（件数）３割負担'!$L$12,'様式２（件数）３割負担'!$M$12,'様式２（件数）３割負担'!$N$12,'様式２（件数）３割負担'!$O$12,'様式２（件数）３割負担'!$P$12,'様式２（件数）３割負担'!$F$13,'様式２（件数）３割負担'!$G$13,'様式２（件数）３割負担'!$H$13,'様式２（件数）３割負担'!$J$13,'様式２（件数）３割負担'!$K$13,'様式２（件数）３割負担'!$L$13,'様式２（件数）３割負担'!$M$13,'様式２（件数）３割負担'!$N$13,'様式２（件数）３割負担'!$O$13,'様式２（件数）３割負担'!$P$13,'様式２（件数）３割負担'!$F$14,'様式２（件数）３割負担'!$G$14,'様式２（件数）３割負担'!$H$14,'様式２（件数）３割負担'!$J$14,'様式２（件数）３割負担'!$K$14,'様式２（件数）３割負担'!$L$14,'様式２（件数）３割負担'!$M$14,'様式２（件数）３割負担'!$N$14,'様式２（件数）３割負担'!$O$14,'様式２（件数）３割負担'!$P$14,'様式２（件数）３割負担'!$F$15,'様式２（件数）３割負担'!$G$15,'様式２（件数）３割負担'!$H$15,'様式２（件数）３割負担'!$J$15,'様式２（件数）３割負担'!$K$15,'様式２（件数）３割負担'!$L$15,'様式２（件数）３割負担'!$M$15,'様式２（件数）３割負担'!$N$15,'様式２（件数）３割負担'!$O$15,'様式２（件数）３割負担'!$P$15,'様式２（件数）３割負担'!$F$16,'様式２（件数）３割負担'!$G$16,'様式２（件数）３割負担'!$H$16,'様式２（件数）３割負担'!$J$16,'様式２（件数）３割負担'!$K$16,'様式２（件数）３割負担'!$L$16,'様式２（件数）３割負担'!$M$16,'様式２（件数）３割負担'!$N$16,'様式２（件数）３割負担'!$O$16,'様式２（件数）３割負担'!$P$16,'様式２（件数）３割負担'!$F$17,'様式２（件数）３割負担'!$G$17,'様式２（件数）３割負担'!$H$17,'様式２（件数）３割負担'!$J$17,'様式２（件数）３割負担'!$K$17,'様式２（件数）３割負担'!$L$17,'様式２（件数）３割負担'!$M$17,'様式２（件数）３割負担'!$N$17,'様式２（件数）３割負担'!$O$17,'様式２（件数）３割負担'!$P$17,'様式２（件数）３割負担'!$F$18,'様式２（件数）３割負担'!$G$18,'様式２（件数）３割負担'!$H$18,'様式２（件数）３割負担'!$J$18,'様式２（件数）３割負担'!$K$18,'様式２（件数）３割負担'!$L$18,'様式２（件数）３割負担'!$M$18,'様式２（件数）３割負担'!$N$18,'様式２（件数）３割負担'!$O$18,'様式２（件数）３割負担'!$P$18,'様式２（件数）３割負担'!$F$19,'様式２（件数）３割負担'!$G$19,'様式２（件数）３割負担'!$H$19,'様式２（件数）３割負担'!$J$19,'様式２（件数）３割負担'!$K$19,'様式２（件数）３割負担'!$L$19,'様式２（件数）３割負担'!$M$19,'様式２（件数）３割負担'!$N$19,'様式２（件数）３割負担'!$O$19,'様式２（件数）３割負担'!$P$19,'様式２（件数）３割負担'!$F$20,'様式２（件数）３割負担'!$G$20,'様式２（件数）３割負担'!$H$20,'様式２（件数）３割負担'!$J$20,'様式２（件数）３割負担'!$K$20,'様式２（件数）３割負担'!$M$20,'様式２（件数）３割負担'!$L$20,'様式２（件数）３割負担'!$N$20,'様式２（件数）３割負担'!$O$20,'様式２（件数）３割負担'!$P$20,'様式２（件数）３割負担'!$F$21,'様式２（件数）３割負担'!$G$21,'様式２（件数）３割負担'!$H$21,'様式２（件数）３割負担'!$J$21,'様式２（件数）３割負担'!$K$21,'様式２（件数）３割負担'!$L$21,'様式２（件数）３割負担'!$M$21,'様式２（件数）３割負担'!$N$21,'様式２（件数）３割負担'!$O$21,'様式２（件数）３割負担'!$P$21,'様式２（件数）３割負担'!$F$22,'様式２（件数）３割負担'!$G$22,'様式２（件数）３割負担'!$H$22,'様式２（件数）３割負担'!$J$22,'様式２（件数）３割負担'!$K$22,'様式２（件数）３割負担'!$L$22,'様式２（件数）３割負担'!$M$22,'様式２（件数）３割負担'!$N$22,'様式２（件数）３割負担'!$O$22,'様式２（件数）３割負担'!$P$22,'様式２（件数）３割負担'!$F$23,'様式２（件数）３割負担'!$G$23,'様式２（件数）３割負担'!$H$23,'様式２（件数）３割負担'!$J$23,'様式２（件数）３割負担'!$K$23,'様式２（件数）３割負担'!$L$23,'様式２（件数）３割負担'!$M$23,'様式２（件数）３割負担'!$N$23,'様式２（件数）３割負担'!$O$23,'様式２（件数）３割負担'!$P$23,'様式２（件数）３割負担'!$F$24,'様式２（件数）３割負担'!$G$24,'様式２（件数）３割負担'!$H$24,'様式２（件数）３割負担'!$J$24,'様式２（件数）３割負担'!$K$24,'様式２（件数）３割負担'!$L$24,'様式２（件数）３割負担'!$M$24,'様式２（件数）３割負担'!$N$24,'様式２（件数）３割負担'!$O$24,'様式２（件数）３割負担'!$P$24,'様式２（件数）３割負担'!$F$25,'様式２（件数）３割負担'!$G$25,'様式２（件数）３割負担'!$H$25,'様式２（件数）３割負担'!$J$25,'様式２（件数）３割負担'!$K$25,'様式２（件数）３割負担'!$L$25,'様式２（件数）３割負担'!$M$25,'様式２（件数）３割負担'!$N$25,'様式２（件数）３割負担'!$O$25,'様式２（件数）３割負担'!$P$25,'様式２（件数）３割負担'!$F$26,'様式２（件数）３割負担'!$G$26,'様式２（件数）３割負担'!$H$26,'様式２（件数）３割負担'!$J$26,'様式２（件数）３割負担'!$K$26,'様式２（件数）３割負担'!$L$26,'様式２（件数）３割負担'!$M$26,'様式２（件数）３割負担'!$N$26,'様式２（件数）３割負担'!$O$26,'様式２（件数）３割負担'!$P$26,'様式２（件数）３割負担'!$F$27,'様式２（件数）３割負担'!$G$27,'様式２（件数）３割負担'!$H$27,'様式２（件数）３割負担'!$J$27,'様式２（件数）３割負担'!$K$27,'様式２（件数）３割負担'!$L$27,'様式２（件数）３割負担'!$M$27,'様式２（件数）３割負担'!$N$27,'様式２（件数）３割負担'!$O$27,'様式２（件数）３割負担'!$P$27,'様式２（件数）３割負担'!$F$28,'様式２（件数）３割負担'!$G$28,'様式２（件数）３割負担'!$H$28,'様式２（件数）３割負担'!$J$28,'様式２（件数）３割負担'!$K$28,'様式２（件数）３割負担'!$L$28,'様式２（件数）３割負担'!$M$28,'様式２（件数）３割負担'!$N$28,'様式２（件数）３割負担'!$O$28,'様式２（件数）３割負担'!$P$28,'様式２（件数）３割負担'!$F$29,'様式２（件数）３割負担'!$G$29,'様式２（件数）３割負担'!$H$29,'様式２（件数）３割負担'!$J$29,'様式２（件数）３割負担'!$K$29,'様式２（件数）３割負担'!$L$29,'様式２（件数）３割負担'!$M$29,'様式２（件数）３割負担'!$N$29,'様式２（件数）３割負担'!$O$29,'様式２（件数）３割負担'!$P$29,'様式２（件数）３割負担'!$F$30,'様式２（件数）３割負担'!$G$30,'様式２（件数）３割負担'!$H$30,'様式２（件数）３割負担'!$J$30,'様式２（件数）３割負担'!$K$30,'様式２（件数）３割負担'!$L$30,'様式２（件数）３割負担'!$M$30,'様式２（件数）３割負担'!$N$30,'様式２（件数）３割負担'!$O$30,'様式２（件数）３割負担'!$P$30,'様式２（件数）３割負担'!$F$32,'様式２（件数）３割負担'!$G$32,'様式２（件数）３割負担'!$H$32,'様式２（件数）３割負担'!$J$32,'様式２（件数）３割負担'!$K$32,'様式２（件数）３割負担'!$L$32,'様式２（件数）３割負担'!$M$32,'様式２（件数）３割負担'!$N$32,'様式２（件数）３割負担'!$O$32,'様式２（件数）３割負担'!$P$32,'様式２（件数）３割負担'!$F$33,'様式２（件数）３割負担'!$G$33,'様式２（件数）３割負担'!$H$33,'様式２（件数）３割負担'!$J$33,'様式２（件数）３割負担'!$K$33,'様式２（件数）３割負担'!$L$33,'様式２（件数）３割負担'!$M$33,'様式２（件数）３割負担'!$N$33,'様式２（件数）３割負担'!$O$33,'様式２（件数）３割負担'!$P$33,'様式２（件数）３割負担'!$F$34,'様式２（件数）３割負担'!$G$34,'様式２（件数）３割負担'!$H$34,'様式２（件数）３割負担'!$J$34,'様式２（件数）３割負担'!$K$34,'様式２（件数）３割負担'!$L$34,'様式２（件数）３割負担'!$M$34,'様式２（件数）３割負担'!$N$34,'様式２（件数）３割負担'!$O$34,'様式２（件数）３割負担'!$P$34,'様式２（件数）３割負担'!$F$35,'様式２（件数）３割負担'!$G$35,'様式２（件数）３割負担'!$H$35,'様式２（件数）３割負担'!$J$35,'様式２（件数）３割負担'!$K$35,'様式２（件数）３割負担'!$L$35,'様式２（件数）３割負担'!$M$35,'様式２（件数）３割負担'!$N$35,'様式２（件数）３割負担'!$O$35,'様式２（件数）３割負担'!$P$35,'様式２（件数）３割負担'!$F$36,'様式２（件数）３割負担'!$G$36,'様式２（件数）３割負担'!$H$36,'様式２（件数）３割負担'!$J$36,'様式２（件数）３割負担'!$K$36,'様式２（件数）３割負担'!$L$36,'様式２（件数）３割負担'!$M$36,'様式２（件数）３割負担'!$N$36,'様式２（件数）３割負担'!$O$36,'様式２（件数）３割負担'!$P$36,'様式２（件数）３割負担'!$F$37,'様式２（件数）３割負担'!$G$37,'様式２（件数）３割負担'!$H$37,'様式２（件数）３割負担'!$J$37,'様式２（件数）３割負担'!$K$37,'様式２（件数）３割負担'!$L$37,'様式２（件数）３割負担'!$M$37,'様式２（件数）３割負担'!$N$37,'様式２（件数）３割負担'!$O$37,'様式２（件数）３割負担'!$P$37,'様式２（件数）３割負担'!$F$38,'様式２（件数）３割負担'!$G$38,'様式２（件数）３割負担'!$H$38,'様式２（件数）３割負担'!$J$38,'様式２（件数）３割負担'!$K$38,'様式２（件数）３割負担'!$L$38,'様式２（件数）３割負担'!$M$38,'様式２（件数）３割負担'!$N$38,'様式２（件数）３割負担'!$O$38,'様式２（件数）３割負担'!$P$38,'様式２（件数）３割負担'!$F$39,'様式２（件数）３割負担'!$G$39,'様式２（件数）３割負担'!$H$39,'様式２（件数）３割負担'!$J$39,'様式２（件数）３割負担'!$K$39,'様式２（件数）３割負担'!$L$39,'様式２（件数）３割負担'!$M$39,'様式２（件数）３割負担'!$N$39,'様式２（件数）３割負担'!$O$39,'様式２（件数）３割負担'!$P$39,'様式２（件数）３割負担'!$F$40,'様式２（件数）３割負担'!$G$40,'様式２（件数）３割負担'!$H$40,'様式２（件数）３割負担'!$J$40,'様式２（件数）３割負担'!$K$40,'様式２（件数）３割負担'!$L$40,'様式２（件数）３割負担'!$M$40,'様式２（件数）３割負担'!$N$40,'様式２（件数）３割負担'!$O$40,'様式２（件数）３割負担'!$P$40,'様式２（件数）３割負担'!$F$41,'様式２（件数）３割負担'!$G$41,'様式２（件数）３割負担'!$H$41,'様式２（件数）３割負担'!$J$41,'様式２（件数）３割負担'!$K$41,'様式２（件数）３割負担'!$L$41,'様式２（件数）３割負担'!$M$41,'様式２（件数）３割負担'!$N$41,'様式２（件数）３割負担'!$O$41,'様式２（件数）３割負担'!$P$41,'様式２（件数）３割負担'!$F$42,'様式２（件数）３割負担'!$G$42,'様式２（件数）３割負担'!$H$42,'様式２（件数）３割負担'!$J$42,'様式２（件数）３割負担'!$K$42,'様式２（件数）３割負担'!$L$42,'様式２（件数）３割負担'!$M$42,'様式２（件数）３割負担'!$N$42,'様式２（件数）３割負担'!$O$42,'様式２（件数）３割負担'!$P$42,'様式２（件数）３割負担'!$F$43,'様式２（件数）３割負担'!$G$43,'様式２（件数）３割負担'!$H$43,'様式２（件数）３割負担'!$J$43,'様式２（件数）３割負担'!$K$43,'様式２（件数）３割負担'!$L$43,'様式２（件数）３割負担'!$M$43,'様式２（件数）３割負担'!$N$43,'様式２（件数）３割負担'!$O$43,'様式２（件数）３割負担'!$P$43,'様式２（件数）３割負担'!$F$44,'様式２（件数）３割負担'!$G$44,'様式２（件数）３割負担'!$H$44,'様式２（件数）３割負担'!$J$44,'様式２（件数）３割負担'!$K$44,'様式２（件数）３割負担'!$L$44,'様式２（件数）３割負担'!$M$44,'様式２（件数）３割負担'!$N$44,'様式２（件数）３割負担'!$O$44,'様式２（件数）３割負担'!$P$44,'様式２（件数）３割負担'!$F$45,'様式２（件数）３割負担'!$G$45,'様式２（件数）３割負担'!$H$45,'様式２（件数）３割負担'!$J$45,'様式２（件数）３割負担'!$K$45,'様式２（件数）３割負担'!$L$45,'様式２（件数）３割負担'!$M$45,'様式２（件数）３割負担'!$N$45,'様式２（件数）３割負担'!$O$45,'様式２（件数）３割負担'!$P$45,'様式２（件数）３割負担'!$F$46,'様式２（件数）３割負担'!$G$46,'様式２（件数）３割負担'!$H$46,'様式２（件数）３割負担'!$J$46,'様式２（件数）３割負担'!$K$46,'様式２（件数）３割負担'!$L$46,'様式２（件数）３割負担'!$M$46,'様式２（件数）３割負担'!$N$46,'様式２（件数）３割負担'!$O$46,'様式２（件数）３割負担'!$P$46,'様式２（件数）３割負担'!$F$47,'様式２（件数）３割負担'!$G$47,'様式２（件数）３割負担'!$H$47,'様式２（件数）３割負担'!$J$47,'様式２（件数）３割負担'!$K$47,'様式２（件数）３割負担'!$L$47,'様式２（件数）３割負担'!$M$47,'様式２（件数）３割負担'!$N$47,'様式２（件数）３割負担'!$O$47,'様式２（件数）３割負担'!$P$47</definedName>
    <definedName name="databind" localSheetId="6">'様式２（単位数）'!$F$11,'様式２（単位数）'!$G$11,'様式２（単位数）'!$H$11,'様式２（単位数）'!$J$11,'様式２（単位数）'!$K$11,'様式２（単位数）'!$L$11,'様式２（単位数）'!$M$11,'様式２（単位数）'!$N$11,'様式２（単位数）'!$O$11,'様式２（単位数）'!$P$11,'様式２（単位数）'!$F$12,'様式２（単位数）'!$G$12,'様式２（単位数）'!$H$12,'様式２（単位数）'!$J$12,'様式２（単位数）'!$K$12,'様式２（単位数）'!$L$12,'様式２（単位数）'!$M$12,'様式２（単位数）'!$N$12,'様式２（単位数）'!$O$12,'様式２（単位数）'!$P$12,'様式２（単位数）'!$F$13,'様式２（単位数）'!$G$13,'様式２（単位数）'!$H$13,'様式２（単位数）'!$J$13,'様式２（単位数）'!$K$13,'様式２（単位数）'!$L$13,'様式２（単位数）'!$M$13,'様式２（単位数）'!$N$13,'様式２（単位数）'!$O$13,'様式２（単位数）'!$P$13,'様式２（単位数）'!$F$14,'様式２（単位数）'!$G$14,'様式２（単位数）'!$H$14,'様式２（単位数）'!$J$14,'様式２（単位数）'!$K$14,'様式２（単位数）'!$L$14,'様式２（単位数）'!$M$14,'様式２（単位数）'!$N$14,'様式２（単位数）'!$O$14,'様式２（単位数）'!$P$14,'様式２（単位数）'!$F$15,'様式２（単位数）'!$G$15,'様式２（単位数）'!$H$15,'様式２（単位数）'!$J$15,'様式２（単位数）'!$K$15,'様式２（単位数）'!$L$15,'様式２（単位数）'!$M$15,'様式２（単位数）'!$N$15,'様式２（単位数）'!$O$15,'様式２（単位数）'!$P$15,'様式２（単位数）'!$F$16,'様式２（単位数）'!$G$16,'様式２（単位数）'!$H$16,'様式２（単位数）'!$J$16,'様式２（単位数）'!$K$16,'様式２（単位数）'!$L$16,'様式２（単位数）'!$M$16,'様式２（単位数）'!$N$16,'様式２（単位数）'!$O$16,'様式２（単位数）'!$P$16,'様式２（単位数）'!$F$17,'様式２（単位数）'!$G$17,'様式２（単位数）'!$H$17,'様式２（単位数）'!$J$17,'様式２（単位数）'!$K$17,'様式２（単位数）'!$L$17,'様式２（単位数）'!$M$17,'様式２（単位数）'!$N$17,'様式２（単位数）'!$O$17,'様式２（単位数）'!$P$17,'様式２（単位数）'!$F$18,'様式２（単位数）'!$G$18,'様式２（単位数）'!$H$18,'様式２（単位数）'!$J$18,'様式２（単位数）'!$K$18,'様式２（単位数）'!$L$18,'様式２（単位数）'!$M$18,'様式２（単位数）'!$N$18,'様式２（単位数）'!$O$18,'様式２（単位数）'!$P$18,'様式２（単位数）'!$F$19,'様式２（単位数）'!$G$19,'様式２（単位数）'!$H$19,'様式２（単位数）'!$J$19,'様式２（単位数）'!$K$19,'様式２（単位数）'!$L$19,'様式２（単位数）'!$M$19,'様式２（単位数）'!$N$19,'様式２（単位数）'!$O$19,'様式２（単位数）'!$P$19,'様式２（単位数）'!$F$20,'様式２（単位数）'!$G$20,'様式２（単位数）'!$H$20,'様式２（単位数）'!$J$20,'様式２（単位数）'!$K$20,'様式２（単位数）'!$L$20,'様式２（単位数）'!$M$20,'様式２（単位数）'!$N$20,'様式２（単位数）'!$O$20,'様式２（単位数）'!$P$20,'様式２（単位数）'!$F$21,'様式２（単位数）'!$G$21,'様式２（単位数）'!$H$21,'様式２（単位数）'!$J$21,'様式２（単位数）'!$K$21,'様式２（単位数）'!$L$21,'様式２（単位数）'!$M$21,'様式２（単位数）'!$N$21,'様式２（単位数）'!$O$21,'様式２（単位数）'!$P$21,'様式２（単位数）'!$F$22,'様式２（単位数）'!$G$22,'様式２（単位数）'!$H$22,'様式２（単位数）'!$J$22,'様式２（単位数）'!$K$22,'様式２（単位数）'!$L$22,'様式２（単位数）'!$M$22,'様式２（単位数）'!$N$22,'様式２（単位数）'!$O$22,'様式２（単位数）'!$P$22,'様式２（単位数）'!$F$23,'様式２（単位数）'!$G$23,'様式２（単位数）'!$H$23,'様式２（単位数）'!$J$23,'様式２（単位数）'!$K$23,'様式２（単位数）'!$L$23,'様式２（単位数）'!$M$23,'様式２（単位数）'!$N$23,'様式２（単位数）'!$O$23,'様式２（単位数）'!$P$23,'様式２（単位数）'!$F$24,'様式２（単位数）'!$G$24,'様式２（単位数）'!$H$24,'様式２（単位数）'!$J$24,'様式２（単位数）'!$K$24,'様式２（単位数）'!$L$24,'様式２（単位数）'!$M$24,'様式２（単位数）'!$N$24,'様式２（単位数）'!$O$24,'様式２（単位数）'!$P$24,'様式２（単位数）'!$F$25,'様式２（単位数）'!$G$25,'様式２（単位数）'!$H$25,'様式２（単位数）'!$J$25,'様式２（単位数）'!$K$25,'様式２（単位数）'!$L$25,'様式２（単位数）'!$M$25,'様式２（単位数）'!$N$25,'様式２（単位数）'!$O$25,'様式２（単位数）'!$P$25,'様式２（単位数）'!$F$26,'様式２（単位数）'!$G$26,'様式２（単位数）'!$H$26,'様式２（単位数）'!$J$26,'様式２（単位数）'!$K$26,'様式２（単位数）'!$L$26,'様式２（単位数）'!$M$26,'様式２（単位数）'!$N$26,'様式２（単位数）'!$O$26,'様式２（単位数）'!$P$26,'様式２（単位数）'!$F$27,'様式２（単位数）'!$G$27,'様式２（単位数）'!$H$27,'様式２（単位数）'!$J$27,'様式２（単位数）'!$K$27,'様式２（単位数）'!$L$27,'様式２（単位数）'!$M$27,'様式２（単位数）'!$N$27,'様式２（単位数）'!$O$27,'様式２（単位数）'!$P$27,'様式２（単位数）'!$F$28,'様式２（単位数）'!$G$28,'様式２（単位数）'!$H$28,'様式２（単位数）'!$J$28,'様式２（単位数）'!$K$28,'様式２（単位数）'!$L$28,'様式２（単位数）'!$M$28,'様式２（単位数）'!$N$28,'様式２（単位数）'!$O$28,'様式２（単位数）'!$P$28,'様式２（単位数）'!$F$29,'様式２（単位数）'!$G$29,'様式２（単位数）'!$H$29,'様式２（単位数）'!$J$29,'様式２（単位数）'!$K$29,'様式２（単位数）'!$L$29,'様式２（単位数）'!$M$29,'様式２（単位数）'!$N$29,'様式２（単位数）'!$O$29,'様式２（単位数）'!$P$29,'様式２（単位数）'!$F$30,'様式２（単位数）'!$G$30,'様式２（単位数）'!$H$30,'様式２（単位数）'!$J$30,'様式２（単位数）'!$K$30,'様式２（単位数）'!$L$30,'様式２（単位数）'!$M$30,'様式２（単位数）'!$N$30,'様式２（単位数）'!$O$30,'様式２（単位数）'!$P$30,'様式２（単位数）'!$F$31,'様式２（単位数）'!$G$31,'様式２（単位数）'!$H$31,'様式２（単位数）'!$J$31,'様式２（単位数）'!$K$31,'様式２（単位数）'!$L$31,'様式２（単位数）'!$M$31,'様式２（単位数）'!$N$31,'様式２（単位数）'!$O$31,'様式２（単位数）'!$P$31,'様式２（単位数）'!$F$32,'様式２（単位数）'!$G$32,'様式２（単位数）'!$H$32,'様式２（単位数）'!$J$32,'様式２（単位数）'!$K$32,'様式２（単位数）'!$L$32,'様式２（単位数）'!$M$32,'様式２（単位数）'!$N$32,'様式２（単位数）'!$O$32,'様式２（単位数）'!$P$32,'様式２（単位数）'!$F$33,'様式２（単位数）'!$G$33,'様式２（単位数）'!$H$33,'様式２（単位数）'!$J$33,'様式２（単位数）'!$K$33,'様式２（単位数）'!$L$33,'様式２（単位数）'!$M$33,'様式２（単位数）'!$N$33,'様式２（単位数）'!$O$33,'様式２（単位数）'!$P$33,'様式２（単位数）'!$F$34,'様式２（単位数）'!$G$34,'様式２（単位数）'!$H$34,'様式２（単位数）'!$J$34,'様式２（単位数）'!$K$34,'様式２（単位数）'!$L$34,'様式２（単位数）'!$M$34,'様式２（単位数）'!$N$34,'様式２（単位数）'!$O$34,'様式２（単位数）'!$P$34,'様式２（単位数）'!$F$35,'様式２（単位数）'!$G$35,'様式２（単位数）'!$H$35,'様式２（単位数）'!$J$35,'様式２（単位数）'!$K$35,'様式２（単位数）'!$L$35,'様式２（単位数）'!$M$35,'様式２（単位数）'!$N$35,'様式２（単位数）'!$O$35,'様式２（単位数）'!$P$35,'様式２（単位数）'!$F$36,'様式２（単位数）'!$G$36,'様式２（単位数）'!$H$36,'様式２（単位数）'!$J$36,'様式２（単位数）'!$K$36,'様式２（単位数）'!$L$36,'様式２（単位数）'!$M$36,'様式２（単位数）'!$N$36,'様式２（単位数）'!$O$36,'様式２（単位数）'!$P$36,'様式２（単位数）'!$F$37,'様式２（単位数）'!$G$37,'様式２（単位数）'!$H$37,'様式２（単位数）'!$J$37,'様式２（単位数）'!$K$37,'様式２（単位数）'!$L$37,'様式２（単位数）'!$M$37,'様式２（単位数）'!$N$37,'様式２（単位数）'!$O$37,'様式２（単位数）'!$P$37,'様式２（単位数）'!$F$38,'様式２（単位数）'!$G$38,'様式２（単位数）'!$H$38,'様式２（単位数）'!$J$38,'様式２（単位数）'!$K$38,'様式２（単位数）'!$L$38,'様式２（単位数）'!$M$38,'様式２（単位数）'!$N$38,'様式２（単位数）'!$O$38,'様式２（単位数）'!$P$38,'様式２（単位数）'!$F$39,'様式２（単位数）'!$G$39,'様式２（単位数）'!$H$39,'様式２（単位数）'!$J$39,'様式２（単位数）'!$K$39,'様式２（単位数）'!$L$39,'様式２（単位数）'!$M$39,'様式２（単位数）'!$N$39,'様式２（単位数）'!$O$39,'様式２（単位数）'!$P$39,'様式２（単位数）'!$F$40,'様式２（単位数）'!$G$40,'様式２（単位数）'!$H$40,'様式２（単位数）'!$J$40,'様式２（単位数）'!$K$40,'様式２（単位数）'!$L$40,'様式２（単位数）'!$M$40,'様式２（単位数）'!$N$40,'様式２（単位数）'!$O$40,'様式２（単位数）'!$P$40,'様式２（単位数）'!$F$41,'様式２（単位数）'!$G$41,'様式２（単位数）'!$H$41,'様式２（単位数）'!$J$41,'様式２（単位数）'!$K$41,'様式２（単位数）'!$L$41,'様式２（単位数）'!$M$41,'様式２（単位数）'!$N$41,'様式２（単位数）'!$O$41,'様式２（単位数）'!$P$41,'様式２（単位数）'!$F$42,'様式２（単位数）'!$G$42,'様式２（単位数）'!$H$42,'様式２（単位数）'!$J$42,'様式２（単位数）'!$K$42,'様式２（単位数）'!$L$42,'様式２（単位数）'!$M$42,'様式２（単位数）'!$N$42,'様式２（単位数）'!$O$42,'様式２（単位数）'!$P$42,'様式２（単位数）'!$F$43,'様式２（単位数）'!$G$43,'様式２（単位数）'!$H$43,'様式２（単位数）'!$J$43,'様式２（単位数）'!$K$43,'様式２（単位数）'!$L$43,'様式２（単位数）'!$M$43,'様式２（単位数）'!$N$43,'様式２（単位数）'!$O$43,'様式２（単位数）'!$P$43,'様式２（単位数）'!$F$44,'様式２（単位数）'!$G$44,'様式２（単位数）'!$H$44,'様式２（単位数）'!$J$44,'様式２（単位数）'!$K$44,'様式２（単位数）'!$L$44,'様式２（単位数）'!$M$44,'様式２（単位数）'!$N$44,'様式２（単位数）'!$O$44,'様式２（単位数）'!$P$44,'様式２（単位数）'!$F$45,'様式２（単位数）'!$G$45,'様式２（単位数）'!$H$45,'様式２（単位数）'!$J$45,'様式２（単位数）'!$K$45,'様式２（単位数）'!$L$45,'様式２（単位数）'!$M$45,'様式２（単位数）'!$N$45,'様式２（単位数）'!$O$45,'様式２（単位数）'!$P$45</definedName>
    <definedName name="databind" localSheetId="10">'様式２（単位数）２割負担'!$F$11,'様式２（単位数）２割負担'!$G$11,'様式２（単位数）２割負担'!$H$11,'様式２（単位数）２割負担'!$J$11,'様式２（単位数）２割負担'!$K$11,'様式２（単位数）２割負担'!$L$11,'様式２（単位数）２割負担'!$M$11,'様式２（単位数）２割負担'!$N$11,'様式２（単位数）２割負担'!$O$11,'様式２（単位数）２割負担'!$P$11,'様式２（単位数）２割負担'!$F$12,'様式２（単位数）２割負担'!$G$12,'様式２（単位数）２割負担'!$H$12,'様式２（単位数）２割負担'!$J$12,'様式２（単位数）２割負担'!$K$12,'様式２（単位数）２割負担'!$L$12,'様式２（単位数）２割負担'!$M$12,'様式２（単位数）２割負担'!$N$12,'様式２（単位数）２割負担'!$O$12,'様式２（単位数）２割負担'!$P$13,'様式２（単位数）２割負担'!$P$12,'様式２（単位数）２割負担'!$F$13,'様式２（単位数）２割負担'!$G$13,'様式２（単位数）２割負担'!$H$13,'様式２（単位数）２割負担'!$J$13,'様式２（単位数）２割負担'!$K$13,'様式２（単位数）２割負担'!$L$13,'様式２（単位数）２割負担'!$M$13,'様式２（単位数）２割負担'!$N$13,'様式２（単位数）２割負担'!$O$13,'様式２（単位数）２割負担'!$F$14,'様式２（単位数）２割負担'!$G$14,'様式２（単位数）２割負担'!$H$14,'様式２（単位数）２割負担'!$J$14,'様式２（単位数）２割負担'!$K$14,'様式２（単位数）２割負担'!$L$14,'様式２（単位数）２割負担'!$M$14,'様式２（単位数）２割負担'!$N$14,'様式２（単位数）２割負担'!$O$14,'様式２（単位数）２割負担'!$P$14,'様式２（単位数）２割負担'!$F$15,'様式２（単位数）２割負担'!$G$15,'様式２（単位数）２割負担'!$H$15,'様式２（単位数）２割負担'!$J$15,'様式２（単位数）２割負担'!$K$15,'様式２（単位数）２割負担'!$L$15,'様式２（単位数）２割負担'!$M$15,'様式２（単位数）２割負担'!$N$15,'様式２（単位数）２割負担'!$O$15,'様式２（単位数）２割負担'!$P$15,'様式２（単位数）２割負担'!$F$16,'様式２（単位数）２割負担'!$G$16,'様式２（単位数）２割負担'!$H$16,'様式２（単位数）２割負担'!$J$16,'様式２（単位数）２割負担'!$K$16,'様式２（単位数）２割負担'!$L$16,'様式２（単位数）２割負担'!$M$16,'様式２（単位数）２割負担'!$N$16,'様式２（単位数）２割負担'!$O$16,'様式２（単位数）２割負担'!$P$16,'様式２（単位数）２割負担'!$F$17,'様式２（単位数）２割負担'!$G$17,'様式２（単位数）２割負担'!$H$17,'様式２（単位数）２割負担'!$J$17,'様式２（単位数）２割負担'!$K$17,'様式２（単位数）２割負担'!$L$17,'様式２（単位数）２割負担'!$M$17,'様式２（単位数）２割負担'!$N$17,'様式２（単位数）２割負担'!$O$17,'様式２（単位数）２割負担'!$P$17,'様式２（単位数）２割負担'!$F$18,'様式２（単位数）２割負担'!$G$18,'様式２（単位数）２割負担'!$H$18,'様式２（単位数）２割負担'!$J$18,'様式２（単位数）２割負担'!$K$18,'様式２（単位数）２割負担'!$L$18,'様式２（単位数）２割負担'!$M$18,'様式２（単位数）２割負担'!$N$18,'様式２（単位数）２割負担'!$O$18,'様式２（単位数）２割負担'!$P$18,'様式２（単位数）２割負担'!$F$19,'様式２（単位数）２割負担'!$G$19,'様式２（単位数）２割負担'!$H$19,'様式２（単位数）２割負担'!$J$19,'様式２（単位数）２割負担'!$K$19,'様式２（単位数）２割負担'!$L$19,'様式２（単位数）２割負担'!$M$19,'様式２（単位数）２割負担'!$N$19,'様式２（単位数）２割負担'!$O$19,'様式２（単位数）２割負担'!$P$19,'様式２（単位数）２割負担'!$F$20,'様式２（単位数）２割負担'!$G$20,'様式２（単位数）２割負担'!$H$20,'様式２（単位数）２割負担'!$J$20,'様式２（単位数）２割負担'!$K$20,'様式２（単位数）２割負担'!$L$20,'様式２（単位数）２割負担'!$L$20,'様式２（単位数）２割負担'!$M$20,'様式２（単位数）２割負担'!$N$20,'様式２（単位数）２割負担'!$O$20,'様式２（単位数）２割負担'!$P$20,'様式２（単位数）２割負担'!$F$21,'様式２（単位数）２割負担'!$G$21,'様式２（単位数）２割負担'!$H$21,'様式２（単位数）２割負担'!$J$21,'様式２（単位数）２割負担'!$K$21,'様式２（単位数）２割負担'!$L$21,'様式２（単位数）２割負担'!$M$21,'様式２（単位数）２割負担'!$N$21,'様式２（単位数）２割負担'!$O$21,'様式２（単位数）２割負担'!$P$21,'様式２（単位数）２割負担'!$F$22,'様式２（単位数）２割負担'!$G$22,'様式２（単位数）２割負担'!$H$22,'様式２（単位数）２割負担'!$J$22,'様式２（単位数）２割負担'!$K$22,'様式２（単位数）２割負担'!$L$22,'様式２（単位数）２割負担'!$M$22,'様式２（単位数）２割負担'!$N$22,'様式２（単位数）２割負担'!$O$22,'様式２（単位数）２割負担'!$P$22,'様式２（単位数）２割負担'!$F$23,'様式２（単位数）２割負担'!$G$23,'様式２（単位数）２割負担'!$H$23,'様式２（単位数）２割負担'!$J$23,'様式２（単位数）２割負担'!$K$23,'様式２（単位数）２割負担'!$L$23,'様式２（単位数）２割負担'!$M$23,'様式２（単位数）２割負担'!$N$23,'様式２（単位数）２割負担'!$O$23,'様式２（単位数）２割負担'!$P$23,'様式２（単位数）２割負担'!$F$24,'様式２（単位数）２割負担'!$G$24,'様式２（単位数）２割負担'!$H$24,'様式２（単位数）２割負担'!$J$24,'様式２（単位数）２割負担'!$K$24,'様式２（単位数）２割負担'!$L$24,'様式２（単位数）２割負担'!$M$24,'様式２（単位数）２割負担'!$N$24,'様式２（単位数）２割負担'!$O$24,'様式２（単位数）２割負担'!$P$24,'様式２（単位数）２割負担'!$F$25,'様式２（単位数）２割負担'!$G$25,'様式２（単位数）２割負担'!$H$25,'様式２（単位数）２割負担'!$J$25,'様式２（単位数）２割負担'!$K$25,'様式２（単位数）２割負担'!$L$25,'様式２（単位数）２割負担'!$M$25,'様式２（単位数）２割負担'!$N$25,'様式２（単位数）２割負担'!$O$25,'様式２（単位数）２割負担'!$P$25,'様式２（単位数）２割負担'!$F$26,'様式２（単位数）２割負担'!$G$26,'様式２（単位数）２割負担'!$H$26,'様式２（単位数）２割負担'!$J$26,'様式２（単位数）２割負担'!$K$26,'様式２（単位数）２割負担'!$L$26,'様式２（単位数）２割負担'!$M$26,'様式２（単位数）２割負担'!$N$26,'様式２（単位数）２割負担'!$O$26,'様式２（単位数）２割負担'!$P$26,'様式２（単位数）２割負担'!$F$27,'様式２（単位数）２割負担'!$G$27,'様式２（単位数）２割負担'!$H$27,'様式２（単位数）２割負担'!$J$27,'様式２（単位数）２割負担'!$K$27,'様式２（単位数）２割負担'!$L$27,'様式２（単位数）２割負担'!$M$27,'様式２（単位数）２割負担'!$N$27,'様式２（単位数）２割負担'!$O$27,'様式２（単位数）２割負担'!$P$27,'様式２（単位数）２割負担'!$F$28,'様式２（単位数）２割負担'!$G$28,'様式２（単位数）２割負担'!$H$28,'様式２（単位数）２割負担'!$J$28,'様式２（単位数）２割負担'!$K$28,'様式２（単位数）２割負担'!$L$28,'様式２（単位数）２割負担'!$M$28,'様式２（単位数）２割負担'!$N$28,'様式２（単位数）２割負担'!$O$28,'様式２（単位数）２割負担'!$P$28,'様式２（単位数）２割負担'!$F$30,'様式２（単位数）２割負担'!$G$30,'様式２（単位数）２割負担'!$H$30,'様式２（単位数）２割負担'!$J$30,'様式２（単位数）２割負担'!$K$30,'様式２（単位数）２割負担'!$L$30,'様式２（単位数）２割負担'!$M$30,'様式２（単位数）２割負担'!$N$30,'様式２（単位数）２割負担'!$O$30,'様式２（単位数）２割負担'!$P$30,'様式２（単位数）２割負担'!$F$31,'様式２（単位数）２割負担'!$G$31,'様式２（単位数）２割負担'!$H$31,'様式２（単位数）２割負担'!$J$31,'様式２（単位数）２割負担'!$K$31,'様式２（単位数）２割負担'!$L$31,'様式２（単位数）２割負担'!$M$31,'様式２（単位数）２割負担'!$N$31,'様式２（単位数）２割負担'!$O$31,'様式２（単位数）２割負担'!$P$31,'様式２（単位数）２割負担'!$F$32,'様式２（単位数）２割負担'!$G$32,'様式２（単位数）２割負担'!$H$32,'様式２（単位数）２割負担'!$J$32,'様式２（単位数）２割負担'!$K$32,'様式２（単位数）２割負担'!$L$32,'様式２（単位数）２割負担'!$M$32,'様式２（単位数）２割負担'!$N$32,'様式２（単位数）２割負担'!$O$32,'様式２（単位数）２割負担'!$P$32,'様式２（単位数）２割負担'!$F$33,'様式２（単位数）２割負担'!$G$33,'様式２（単位数）２割負担'!$H$33,'様式２（単位数）２割負担'!$J$33,'様式２（単位数）２割負担'!$K$33,'様式２（単位数）２割負担'!$L$33,'様式２（単位数）２割負担'!$M$33,'様式２（単位数）２割負担'!$N$33,'様式２（単位数）２割負担'!$O$33,'様式２（単位数）２割負担'!$P$33,'様式２（単位数）２割負担'!$F$34,'様式２（単位数）２割負担'!$G$34,'様式２（単位数）２割負担'!$H$34,'様式２（単位数）２割負担'!$J$34,'様式２（単位数）２割負担'!$K$34,'様式２（単位数）２割負担'!$L$34,'様式２（単位数）２割負担'!$M$34,'様式２（単位数）２割負担'!$N$34,'様式２（単位数）２割負担'!$O$34,'様式２（単位数）２割負担'!$P$34,'様式２（単位数）２割負担'!$F$35,'様式２（単位数）２割負担'!$G$35,'様式２（単位数）２割負担'!$H$35,'様式２（単位数）２割負担'!$J$35,'様式２（単位数）２割負担'!$K$35,'様式２（単位数）２割負担'!$L$35,'様式２（単位数）２割負担'!$M$35,'様式２（単位数）２割負担'!$N$35,'様式２（単位数）２割負担'!$O$35,'様式２（単位数）２割負担'!$P$35,'様式２（単位数）２割負担'!$F$36,'様式２（単位数）２割負担'!$G$36,'様式２（単位数）２割負担'!$H$36,'様式２（単位数）２割負担'!$J$36,'様式２（単位数）２割負担'!$K$36,'様式２（単位数）２割負担'!$L$36,'様式２（単位数）２割負担'!$M$36,'様式２（単位数）２割負担'!$N$36,'様式２（単位数）２割負担'!$O$36,'様式２（単位数）２割負担'!$P$36,'様式２（単位数）２割負担'!$F$37,'様式２（単位数）２割負担'!$G$37,'様式２（単位数）２割負担'!$H$37,'様式２（単位数）２割負担'!$J$37,'様式２（単位数）２割負担'!$K$37,'様式２（単位数）２割負担'!$L$37,'様式２（単位数）２割負担'!$M$37,'様式２（単位数）２割負担'!$N$37,'様式２（単位数）２割負担'!$O$37,'様式２（単位数）２割負担'!$P$37,'様式２（単位数）２割負担'!$F$38,'様式２（単位数）２割負担'!$G$38,'様式２（単位数）２割負担'!$H$38,'様式２（単位数）２割負担'!$J$38,'様式２（単位数）２割負担'!$K$38,'様式２（単位数）２割負担'!$L$38,'様式２（単位数）２割負担'!$M$38,'様式２（単位数）２割負担'!$N$38,'様式２（単位数）２割負担'!$O$38,'様式２（単位数）２割負担'!$P$38,'様式２（単位数）２割負担'!$F$39,'様式２（単位数）２割負担'!$G$39,'様式２（単位数）２割負担'!$H$39,'様式２（単位数）２割負担'!$J$39,'様式２（単位数）２割負担'!$K$39,'様式２（単位数）２割負担'!$L$39,'様式２（単位数）２割負担'!$M$39,'様式２（単位数）２割負担'!$N$39,'様式２（単位数）２割負担'!$O$39,'様式２（単位数）２割負担'!$P$39,'様式２（単位数）２割負担'!$F$40,'様式２（単位数）２割負担'!$G$40,'様式２（単位数）２割負担'!$H$40,'様式２（単位数）２割負担'!$J$40,'様式２（単位数）２割負担'!$K$40,'様式２（単位数）２割負担'!$L$40,'様式２（単位数）２割負担'!$M$40,'様式２（単位数）２割負担'!$N$40,'様式２（単位数）２割負担'!$O$40,'様式２（単位数）２割負担'!$P$40,'様式２（単位数）２割負担'!$F$41,'様式２（単位数）２割負担'!$G$41,'様式２（単位数）２割負担'!$H$41,'様式２（単位数）２割負担'!$J$41,'様式２（単位数）２割負担'!$K$41,'様式２（単位数）２割負担'!$L$41,'様式２（単位数）２割負担'!$M$41,'様式２（単位数）２割負担'!$N$41,'様式２（単位数）２割負担'!$O$41,'様式２（単位数）２割負担'!$P$41,'様式２（単位数）２割負担'!$F$42,'様式２（単位数）２割負担'!$G$42,'様式２（単位数）２割負担'!$H$42,'様式２（単位数）２割負担'!$J$42,'様式２（単位数）２割負担'!$K$42,'様式２（単位数）２割負担'!$L$42,'様式２（単位数）２割負担'!$M$42,'様式２（単位数）２割負担'!$N$42,'様式２（単位数）２割負担'!$O$42,'様式２（単位数）２割負担'!$P$42,'様式２（単位数）２割負担'!$F$43,'様式２（単位数）２割負担'!$G$43,'様式２（単位数）２割負担'!$H$43,'様式２（単位数）２割負担'!$J$43,'様式２（単位数）２割負担'!$K$43,'様式２（単位数）２割負担'!$L$43,'様式２（単位数）２割負担'!$M$43,'様式２（単位数）２割負担'!$N$43,'様式２（単位数）２割負担'!$O$43,'様式２（単位数）２割負担'!$P$43,'様式２（単位数）２割負担'!$F$44,'様式２（単位数）２割負担'!$G$44,'様式２（単位数）２割負担'!$H$44,'様式２（単位数）２割負担'!$J$44,'様式２（単位数）２割負担'!$K$44,'様式２（単位数）２割負担'!$L$44,'様式２（単位数）２割負担'!$M$44,'様式２（単位数）２割負担'!$N$44,'様式２（単位数）２割負担'!$O$44,'様式２（単位数）２割負担'!$P$44,'様式２（単位数）２割負担'!$F$45,'様式２（単位数）２割負担'!$G$45,'様式２（単位数）２割負担'!$H$45,'様式２（単位数）２割負担'!$J$45,'様式２（単位数）２割負担'!$K$45,'様式２（単位数）２割負担'!$L$45,'様式２（単位数）２割負担'!$M$45,'様式２（単位数）２割負担'!$N$45,'様式２（単位数）２割負担'!$O$45,'様式２（単位数）２割負担'!$P$45</definedName>
    <definedName name="databind" localSheetId="14">'様式２（単位数）３割負担'!$F$11,'様式２（単位数）３割負担'!$G$11,'様式２（単位数）３割負担'!$H$11,'様式２（単位数）３割負担'!$J$11,'様式２（単位数）３割負担'!$K$11,'様式２（単位数）３割負担'!$L$11,'様式２（単位数）３割負担'!$M$11,'様式２（単位数）３割負担'!$N$11,'様式２（単位数）３割負担'!$O$11,'様式２（単位数）３割負担'!$P$11,'様式２（単位数）３割負担'!$F$12,'様式２（単位数）３割負担'!$G$12,'様式２（単位数）３割負担'!$H$12,'様式２（単位数）３割負担'!$J$12,'様式２（単位数）３割負担'!$K$12,'様式２（単位数）３割負担'!$L$12,'様式２（単位数）３割負担'!$M$12,'様式２（単位数）３割負担'!$N$12,'様式２（単位数）３割負担'!$O$12,'様式２（単位数）３割負担'!$P$12,'様式２（単位数）３割負担'!$F$13,'様式２（単位数）３割負担'!$G$13,'様式２（単位数）３割負担'!$H$13,'様式２（単位数）３割負担'!$J$13,'様式２（単位数）３割負担'!$K$13,'様式２（単位数）３割負担'!$L$13,'様式２（単位数）３割負担'!$M$13,'様式２（単位数）３割負担'!$N$13,'様式２（単位数）３割負担'!$O$13,'様式２（単位数）３割負担'!$P$13,'様式２（単位数）３割負担'!$F$14,'様式２（単位数）３割負担'!$G$14,'様式２（単位数）３割負担'!$H$14,'様式２（単位数）３割負担'!$J$14,'様式２（単位数）３割負担'!$K$14,'様式２（単位数）３割負担'!$L$14,'様式２（単位数）３割負担'!$M$14,'様式２（単位数）３割負担'!$N$14,'様式２（単位数）３割負担'!$O$14,'様式２（単位数）３割負担'!$P$14,'様式２（単位数）３割負担'!$F$15,'様式２（単位数）３割負担'!$G$15,'様式２（単位数）３割負担'!$H$15,'様式２（単位数）３割負担'!$J$15,'様式２（単位数）３割負担'!$K$15,'様式２（単位数）３割負担'!$L$15,'様式２（単位数）３割負担'!$M$15,'様式２（単位数）３割負担'!$N$15,'様式２（単位数）３割負担'!$O$15,'様式２（単位数）３割負担'!$P$15,'様式２（単位数）３割負担'!$F$16,'様式２（単位数）３割負担'!$G$16,'様式２（単位数）３割負担'!$H$16,'様式２（単位数）３割負担'!$J$16,'様式２（単位数）３割負担'!$K$16,'様式２（単位数）３割負担'!$L$16,'様式２（単位数）３割負担'!$M$16,'様式２（単位数）３割負担'!$N$16,'様式２（単位数）３割負担'!$O$16,'様式２（単位数）３割負担'!$P$16,'様式２（単位数）３割負担'!$F$17,'様式２（単位数）３割負担'!$G$17,'様式２（単位数）３割負担'!$H$17,'様式２（単位数）３割負担'!$J$17,'様式２（単位数）３割負担'!$K$17,'様式２（単位数）３割負担'!$L$17,'様式２（単位数）３割負担'!$M$17,'様式２（単位数）３割負担'!$N$17,'様式２（単位数）３割負担'!$O$17,'様式２（単位数）３割負担'!$P$17,'様式２（単位数）３割負担'!$G$18,'様式２（単位数）３割負担'!$H$18,'様式２（単位数）３割負担'!$J$18,'様式２（単位数）３割負担'!$K$18,'様式２（単位数）３割負担'!$L$18,'様式２（単位数）３割負担'!$F$18,'様式２（単位数）３割負担'!$M$18,'様式２（単位数）３割負担'!$N$18,'様式２（単位数）３割負担'!$O$18,'様式２（単位数）３割負担'!$P$18,'様式２（単位数）３割負担'!$F$19,'様式２（単位数）３割負担'!$G$19,'様式２（単位数）３割負担'!$H$19,'様式２（単位数）３割負担'!$J$19,'様式２（単位数）３割負担'!$K$19,'様式２（単位数）３割負担'!$L$19,'様式２（単位数）３割負担'!$M$19,'様式２（単位数）３割負担'!$N$19,'様式２（単位数）３割負担'!$O$19,'様式２（単位数）３割負担'!$P$19,'様式２（単位数）３割負担'!$F$20,'様式２（単位数）３割負担'!$G$20,'様式２（単位数）３割負担'!$H$20,'様式２（単位数）３割負担'!$J$20,'様式２（単位数）３割負担'!$K$20,'様式２（単位数）３割負担'!$L$20,'様式２（単位数）３割負担'!$M$20,'様式２（単位数）３割負担'!$N$20,'様式２（単位数）３割負担'!$O$20,'様式２（単位数）３割負担'!$P$20,'様式２（単位数）３割負担'!$F$21,'様式２（単位数）３割負担'!$G$21,'様式２（単位数）３割負担'!$H$21,'様式２（単位数）３割負担'!$J$21,'様式２（単位数）３割負担'!$K$21,'様式２（単位数）３割負担'!$L$21,'様式２（単位数）３割負担'!$M$21,'様式２（単位数）３割負担'!$N$21,'様式２（単位数）３割負担'!$O$21,'様式２（単位数）３割負担'!$P$21,'様式２（単位数）３割負担'!$F$22,'様式２（単位数）３割負担'!$G$22,'様式２（単位数）３割負担'!$H$22,'様式２（単位数）３割負担'!$J$22,'様式２（単位数）３割負担'!$K$22,'様式２（単位数）３割負担'!$M$22,'様式２（単位数）３割負担'!$L$22,'様式２（単位数）３割負担'!$N$22,'様式２（単位数）３割負担'!$O$22,'様式２（単位数）３割負担'!$P$22,'様式２（単位数）３割負担'!$F$23,'様式２（単位数）３割負担'!$G$23,'様式２（単位数）３割負担'!$H$23,'様式２（単位数）３割負担'!$J$23,'様式２（単位数）３割負担'!$K$23,'様式２（単位数）３割負担'!$L$23,'様式２（単位数）３割負担'!$M$23,'様式２（単位数）３割負担'!$N$23,'様式２（単位数）３割負担'!$O$23,'様式２（単位数）３割負担'!$P$23,'様式２（単位数）３割負担'!$F$24,'様式２（単位数）３割負担'!$G$24,'様式２（単位数）３割負担'!$H$24,'様式２（単位数）３割負担'!$J$24,'様式２（単位数）３割負担'!$K$24,'様式２（単位数）３割負担'!$L$24,'様式２（単位数）３割負担'!$M$24,'様式２（単位数）３割負担'!$N$25,'様式２（単位数）３割負担'!$N$24,'様式２（単位数）３割負担'!$O$24,'様式２（単位数）３割負担'!$P$24,'様式２（単位数）３割負担'!$P$25,'様式２（単位数）３割負担'!$O$25,'様式２（単位数）３割負担'!$M$25,'様式２（単位数）３割負担'!$L$25,'様式２（単位数）３割負担'!$K$25,'様式２（単位数）３割負担'!$J$25,'様式２（単位数）３割負担'!$H$25,'様式２（単位数）３割負担'!$G$25,'様式２（単位数）３割負担'!$F$25,'様式２（単位数）３割負担'!$F$26,'様式２（単位数）３割負担'!$G$26,'様式２（単位数）３割負担'!$H$26,'様式２（単位数）３割負担'!$J$26,'様式２（単位数）３割負担'!$K$26,'様式２（単位数）３割負担'!$L$26,'様式２（単位数）３割負担'!$M$26,'様式２（単位数）３割負担'!$N$26,'様式２（単位数）３割負担'!$O$26,'様式２（単位数）３割負担'!$P$26,'様式２（単位数）３割負担'!$F$27,'様式２（単位数）３割負担'!$G$27,'様式２（単位数）３割負担'!$H$27,'様式２（単位数）３割負担'!$J$27,'様式２（単位数）３割負担'!$K$27,'様式２（単位数）３割負担'!$L$27,'様式２（単位数）３割負担'!$M$27,'様式２（単位数）３割負担'!$N$27,'様式２（単位数）３割負担'!$O$28,'様式２（単位数）３割負担'!$P$27,'様式２（単位数）３割負担'!$O$27,'様式２（単位数）３割負担'!$P$28,'様式２（単位数）３割負担'!$N$28,'様式２（単位数）３割負担'!$M$28,'様式２（単位数）３割負担'!$L$28,'様式２（単位数）３割負担'!$K$28,'様式２（単位数）３割負担'!$J$28,'様式２（単位数）３割負担'!$H$28,'様式２（単位数）３割負担'!$G$28,'様式２（単位数）３割負担'!$F$28,'様式２（単位数）３割負担'!$F$30,'様式２（単位数）３割負担'!$G$30,'様式２（単位数）３割負担'!$H$30,'様式２（単位数）３割負担'!$J$30,'様式２（単位数）３割負担'!$K$30,'様式２（単位数）３割負担'!$L$30,'様式２（単位数）３割負担'!$M$30,'様式２（単位数）３割負担'!$N$30,'様式２（単位数）３割負担'!$O$30,'様式２（単位数）３割負担'!$P$30,'様式２（単位数）３割負担'!$F$31,'様式２（単位数）３割負担'!$G$31,'様式２（単位数）３割負担'!$H$31,'様式２（単位数）３割負担'!$J$31,'様式２（単位数）３割負担'!$K$31,'様式２（単位数）３割負担'!$L$31,'様式２（単位数）３割負担'!$M$31,'様式２（単位数）３割負担'!$N$31,'様式２（単位数）３割負担'!$O$31,'様式２（単位数）３割負担'!$F$32,'様式２（単位数）３割負担'!$G$32,'様式２（単位数）３割負担'!$H$32,'様式２（単位数）３割負担'!$J$32,'様式２（単位数）３割負担'!$K$32,'様式２（単位数）３割負担'!$L$32,'様式２（単位数）３割負担'!$M$32,'様式２（単位数）３割負担'!$N$32,'様式２（単位数）３割負担'!$O$32,'様式２（単位数）３割負担'!$P$32,'様式２（単位数）３割負担'!$F$33,'様式２（単位数）３割負担'!$G$33,'様式２（単位数）３割負担'!$H$33,'様式２（単位数）３割負担'!$J$33,'様式２（単位数）３割負担'!$K$33,'様式２（単位数）３割負担'!$L$33,'様式２（単位数）３割負担'!$M$33,'様式２（単位数）３割負担'!$N$33,'様式２（単位数）３割負担'!$O$33,'様式２（単位数）３割負担'!$P$33,'様式２（単位数）３割負担'!$F$34,'様式２（単位数）３割負担'!$G$34,'様式２（単位数）３割負担'!$H$34,'様式２（単位数）３割負担'!$J$34,'様式２（単位数）３割負担'!$K$34,'様式２（単位数）３割負担'!$L$34,'様式２（単位数）３割負担'!$M$34,'様式２（単位数）３割負担'!$N$34,'様式２（単位数）３割負担'!$O$34,'様式２（単位数）３割負担'!$P$34,'様式２（単位数）３割負担'!$F$35,'様式２（単位数）３割負担'!$G$35,'様式２（単位数）３割負担'!$H$35,'様式２（単位数）３割負担'!$J$35,'様式２（単位数）３割負担'!$K$35,'様式２（単位数）３割負担'!$L$35,'様式２（単位数）３割負担'!$M$35,'様式２（単位数）３割負担'!$N$35,'様式２（単位数）３割負担'!$O$35,'様式２（単位数）３割負担'!$P$35,'様式２（単位数）３割負担'!$F$36,'様式２（単位数）３割負担'!$G$36,'様式２（単位数）３割負担'!$H$36,'様式２（単位数）３割負担'!$J$36,'様式２（単位数）３割負担'!$K$36,'様式２（単位数）３割負担'!$L$36,'様式２（単位数）３割負担'!$M$36,'様式２（単位数）３割負担'!$N$36,'様式２（単位数）３割負担'!$O$36,'様式２（単位数）３割負担'!$P$36,'様式２（単位数）３割負担'!$F$37,'様式２（単位数）３割負担'!$G$37,'様式２（単位数）３割負担'!$H$37,'様式２（単位数）３割負担'!$J$37,'様式２（単位数）３割負担'!$K$37,'様式２（単位数）３割負担'!$L$37,'様式２（単位数）３割負担'!$M$37,'様式２（単位数）３割負担'!$N$37,'様式２（単位数）３割負担'!$O$37,'様式２（単位数）３割負担'!$P$37,'様式２（単位数）３割負担'!$F$38,'様式２（単位数）３割負担'!$G$38,'様式２（単位数）３割負担'!$H$38,'様式２（単位数）３割負担'!$J$38,'様式２（単位数）３割負担'!$K$38,'様式２（単位数）３割負担'!$L$38,'様式２（単位数）３割負担'!$M$38,'様式２（単位数）３割負担'!$N$38,'様式２（単位数）３割負担'!$O$38,'様式２（単位数）３割負担'!$P$38,'様式２（単位数）３割負担'!$F$39,'様式２（単位数）３割負担'!$G$39,'様式２（単位数）３割負担'!$H$39,'様式２（単位数）３割負担'!$J$39,'様式２（単位数）３割負担'!$K$39,'様式２（単位数）３割負担'!$L$39,'様式２（単位数）３割負担'!$M$39,'様式２（単位数）３割負担'!$N$39,'様式２（単位数）３割負担'!$O$39,'様式２（単位数）３割負担'!$P$39,'様式２（単位数）３割負担'!$F$40,'様式２（単位数）３割負担'!$G$40,'様式２（単位数）３割負担'!$H$40,'様式２（単位数）３割負担'!$J$40,'様式２（単位数）３割負担'!$K$40,'様式２（単位数）３割負担'!$L$40,'様式２（単位数）３割負担'!$M$40,'様式２（単位数）３割負担'!$N$40,'様式２（単位数）３割負担'!$O$40,'様式２（単位数）３割負担'!$P$40,'様式２（単位数）３割負担'!$F$41,'様式２（単位数）３割負担'!$G$41,'様式２（単位数）３割負担'!$H$41,'様式２（単位数）３割負担'!$J$41,'様式２（単位数）３割負担'!$K$41,'様式２（単位数）３割負担'!$L$41,'様式２（単位数）３割負担'!$M$41,'様式２（単位数）３割負担'!$N$41,'様式２（単位数）３割負担'!$O$41,'様式２（単位数）３割負担'!$P$41,'様式２（単位数）３割負担'!$F$42,'様式２（単位数）３割負担'!$G$42,'様式２（単位数）３割負担'!$H$42,'様式２（単位数）３割負担'!$J$42,'様式２（単位数）３割負担'!$K$42,'様式２（単位数）３割負担'!$L$42,'様式２（単位数）３割負担'!$M$42,'様式２（単位数）３割負担'!$N$42,'様式２（単位数）３割負担'!$O$42,'様式２（単位数）３割負担'!$P$42,'様式２（単位数）３割負担'!$F$43,'様式２（単位数）３割負担'!$G$43,'様式２（単位数）３割負担'!$H$43,'様式２（単位数）３割負担'!$J$43,'様式２（単位数）３割負担'!$K$43,'様式２（単位数）３割負担'!$L$43,'様式２（単位数）３割負担'!$M$43,'様式２（単位数）３割負担'!$N$43,'様式２（単位数）３割負担'!$O$43,'様式２（単位数）３割負担'!$P$43,'様式２（単位数）３割負担'!$F$44,'様式２（単位数）３割負担'!$H$45,'様式２（単位数）３割負担'!$G$44,'様式２（単位数）３割負担'!$H$44,'様式２（単位数）３割負担'!$J$44,'様式２（単位数）３割負担'!$K$44,'様式２（単位数）３割負担'!$L$44,'様式２（単位数）３割負担'!$M$44,'様式２（単位数）３割負担'!$N$44,'様式２（単位数）３割負担'!$O$44,'様式２（単位数）３割負担'!$P$44,'様式２（単位数）３割負担'!$P$45,'様式２（単位数）３割負担'!$O$45,'様式２（単位数）３割負担'!$N$45,'様式２（単位数）３割負担'!$M$45,'様式２（単位数）３割負担'!$L$45,'様式２（単位数）３割負担'!$K$45,'様式２（単位数）３割負担'!$J$45,'様式２（単位数）３割負担'!$G$45,'様式２（単位数）３割負担'!$F$45</definedName>
    <definedName name="databind" localSheetId="7">'様式２（費用額）'!$F$11,'様式２（費用額）'!$G$11,'様式２（費用額）'!$H$11,'様式２（費用額）'!$J$11,'様式２（費用額）'!$K$11,'様式２（費用額）'!$L$11,'様式２（費用額）'!$M$11,'様式２（費用額）'!$N$11,'様式２（費用額）'!$O$11,'様式２（費用額）'!$P$11,'様式２（費用額）'!$F$12,'様式２（費用額）'!$G$12,'様式２（費用額）'!$H$12,'様式２（費用額）'!$J$12,'様式２（費用額）'!$K$12,'様式２（費用額）'!$L$12,'様式２（費用額）'!$M$12,'様式２（費用額）'!$N$12,'様式２（費用額）'!$O$12,'様式２（費用額）'!$P$12,'様式２（費用額）'!$F$13,'様式２（費用額）'!$G$13,'様式２（費用額）'!$H$13,'様式２（費用額）'!$J$13,'様式２（費用額）'!$K$13,'様式２（費用額）'!$L$13,'様式２（費用額）'!$M$13,'様式２（費用額）'!$N$13,'様式２（費用額）'!$O$13,'様式２（費用額）'!$P$13,'様式２（費用額）'!$F$14,'様式２（費用額）'!$G$14,'様式２（費用額）'!$H$14,'様式２（費用額）'!$J$14,'様式２（費用額）'!$K$14,'様式２（費用額）'!$L$14,'様式２（費用額）'!$M$14,'様式２（費用額）'!$N$14,'様式２（費用額）'!$O$14,'様式２（費用額）'!$P$14,'様式２（費用額）'!$F$15,'様式２（費用額）'!$G$15,'様式２（費用額）'!$H$15,'様式２（費用額）'!$J$15,'様式２（費用額）'!$K$15,'様式２（費用額）'!$L$15,'様式２（費用額）'!$M$15,'様式２（費用額）'!$N$15,'様式２（費用額）'!$O$15,'様式２（費用額）'!$P$15,'様式２（費用額）'!$F$16,'様式２（費用額）'!$G$16,'様式２（費用額）'!$H$16,'様式２（費用額）'!$J$16,'様式２（費用額）'!$K$16,'様式２（費用額）'!$L$16,'様式２（費用額）'!$M$16,'様式２（費用額）'!$N$16,'様式２（費用額）'!$O$16,'様式２（費用額）'!$P$16,'様式２（費用額）'!$F$17,'様式２（費用額）'!$G$17,'様式２（費用額）'!$H$17,'様式２（費用額）'!$J$17,'様式２（費用額）'!$K$17,'様式２（費用額）'!$L$17,'様式２（費用額）'!$M$17,'様式２（費用額）'!$N$17,'様式２（費用額）'!$O$17,'様式２（費用額）'!$P$17,'様式２（費用額）'!$F$18,'様式２（費用額）'!$G$18,'様式２（費用額）'!$H$18,'様式２（費用額）'!$J$18,'様式２（費用額）'!$K$18,'様式２（費用額）'!$L$18,'様式２（費用額）'!$M$18,'様式２（費用額）'!$N$18,'様式２（費用額）'!$O$18,'様式２（費用額）'!$P$18,'様式２（費用額）'!$F$19,'様式２（費用額）'!$G$19,'様式２（費用額）'!$H$19,'様式２（費用額）'!$J$19,'様式２（費用額）'!$K$19,'様式２（費用額）'!$L$19,'様式２（費用額）'!$M$19,'様式２（費用額）'!$N$19,'様式２（費用額）'!$O$19,'様式２（費用額）'!$P$19,'様式２（費用額）'!$F$20,'様式２（費用額）'!$G$20,'様式２（費用額）'!$H$20,'様式２（費用額）'!$J$20,'様式２（費用額）'!$K$20,'様式２（費用額）'!$L$20,'様式２（費用額）'!$M$20,'様式２（費用額）'!$N$20,'様式２（費用額）'!$O$20,'様式２（費用額）'!$P$20,'様式２（費用額）'!$F$21,'様式２（費用額）'!$G$21,'様式２（費用額）'!$H$21,'様式２（費用額）'!$J$21,'様式２（費用額）'!$K$21,'様式２（費用額）'!$L$21,'様式２（費用額）'!$M$21,'様式２（費用額）'!$N$21,'様式２（費用額）'!$O$21,'様式２（費用額）'!$P$21,'様式２（費用額）'!$F$22,'様式２（費用額）'!$G$22,'様式２（費用額）'!$H$22,'様式２（費用額）'!$J$22,'様式２（費用額）'!$K$22,'様式２（費用額）'!$L$22,'様式２（費用額）'!$M$22,'様式２（費用額）'!$N$22,'様式２（費用額）'!$O$22,'様式２（費用額）'!$P$22,'様式２（費用額）'!$F$23,'様式２（費用額）'!$G$23,'様式２（費用額）'!$H$23,'様式２（費用額）'!$J$23,'様式２（費用額）'!$K$23,'様式２（費用額）'!$L$23,'様式２（費用額）'!$M$23,'様式２（費用額）'!$N$23,'様式２（費用額）'!$O$23,'様式２（費用額）'!$P$23,'様式２（費用額）'!$F$24,'様式２（費用額）'!$G$24,'様式２（費用額）'!$H$24,'様式２（費用額）'!$J$24,'様式２（費用額）'!$K$24,'様式２（費用額）'!$L$24,'様式２（費用額）'!$M$24,'様式２（費用額）'!$N$24,'様式２（費用額）'!$O$24,'様式２（費用額）'!$P$24,'様式２（費用額）'!$F$25,'様式２（費用額）'!$G$25,'様式２（費用額）'!$H$25,'様式２（費用額）'!$J$25,'様式２（費用額）'!$K$25,'様式２（費用額）'!$L$25,'様式２（費用額）'!$M$25,'様式２（費用額）'!$N$25,'様式２（費用額）'!$O$25,'様式２（費用額）'!$P$25,'様式２（費用額）'!$F$26,'様式２（費用額）'!$G$26,'様式２（費用額）'!$H$26,'様式２（費用額）'!$J$26,'様式２（費用額）'!$K$26,'様式２（費用額）'!$L$26,'様式２（費用額）'!$M$26,'様式２（費用額）'!$N$26,'様式２（費用額）'!$O$26,'様式２（費用額）'!$P$26,'様式２（費用額）'!$F$27,'様式２（費用額）'!$G$27,'様式２（費用額）'!$H$27,'様式２（費用額）'!$J$27,'様式２（費用額）'!$K$27,'様式２（費用額）'!$L$27,'様式２（費用額）'!$M$27,'様式２（費用額）'!$N$27,'様式２（費用額）'!$O$27,'様式２（費用額）'!$P$27,'様式２（費用額）'!$F$28,'様式２（費用額）'!$G$28,'様式２（費用額）'!$H$28,'様式２（費用額）'!$J$28,'様式２（費用額）'!$K$28,'様式２（費用額）'!$L$28,'様式２（費用額）'!$M$28,'様式２（費用額）'!$N$28,'様式２（費用額）'!$O$28,'様式２（費用額）'!$P$28,'様式２（費用額）'!$F$29,'様式２（費用額）'!$G$29,'様式２（費用額）'!$H$29,'様式２（費用額）'!$J$29,'様式２（費用額）'!$K$29,'様式２（費用額）'!$L$29,'様式２（費用額）'!$M$29,'様式２（費用額）'!$N$29,'様式２（費用額）'!$O$29,'様式２（費用額）'!$P$29,'様式２（費用額）'!$F$30,'様式２（費用額）'!$G$30,'様式２（費用額）'!$H$30,'様式２（費用額）'!$J$30,'様式２（費用額）'!$K$30,'様式２（費用額）'!$L$30,'様式２（費用額）'!$M$30,'様式２（費用額）'!$N$30,'様式２（費用額）'!$O$30,'様式２（費用額）'!$P$30,'様式２（費用額）'!$F$31,'様式２（費用額）'!$G$31,'様式２（費用額）'!$H$31,'様式２（費用額）'!$J$31,'様式２（費用額）'!$K$31,'様式２（費用額）'!$L$31,'様式２（費用額）'!$M$31,'様式２（費用額）'!$N$31,'様式２（費用額）'!$O$31,'様式２（費用額）'!$P$31,'様式２（費用額）'!$F$32,'様式２（費用額）'!$G$32,'様式２（費用額）'!$H$32,'様式２（費用額）'!$J$32,'様式２（費用額）'!$K$32,'様式２（費用額）'!$L$32,'様式２（費用額）'!$M$32,'様式２（費用額）'!$N$32,'様式２（費用額）'!$O$32,'様式２（費用額）'!$P$32,'様式２（費用額）'!$F$33,'様式２（費用額）'!$G$33,'様式２（費用額）'!$H$33,'様式２（費用額）'!$J$33,'様式２（費用額）'!$K$33,'様式２（費用額）'!$L$33,'様式２（費用額）'!$M$33,'様式２（費用額）'!$N$33,'様式２（費用額）'!$O$33,'様式２（費用額）'!$P$33,'様式２（費用額）'!$F$34,'様式２（費用額）'!$G$34,'様式２（費用額）'!$H$34,'様式２（費用額）'!$J$34,'様式２（費用額）'!$K$34,'様式２（費用額）'!$L$34,'様式２（費用額）'!$M$34,'様式２（費用額）'!$N$34,'様式２（費用額）'!$O$34,'様式２（費用額）'!$P$34,'様式２（費用額）'!$F$35,'様式２（費用額）'!$G$35,'様式２（費用額）'!$H$35,'様式２（費用額）'!$J$35,'様式２（費用額）'!$K$35,'様式２（費用額）'!$L$35,'様式２（費用額）'!$M$35,'様式２（費用額）'!$N$35,'様式２（費用額）'!$O$35,'様式２（費用額）'!$P$35,'様式２（費用額）'!$F$36,'様式２（費用額）'!$G$36,'様式２（費用額）'!$H$36,'様式２（費用額）'!$J$36,'様式２（費用額）'!$K$36,'様式２（費用額）'!$L$36,'様式２（費用額）'!$M$36,'様式２（費用額）'!$N$36,'様式２（費用額）'!$O$36,'様式２（費用額）'!$P$36,'様式２（費用額）'!$F$37,'様式２（費用額）'!$G$37,'様式２（費用額）'!$H$37,'様式２（費用額）'!$J$37,'様式２（費用額）'!$K$37,'様式２（費用額）'!$L$37,'様式２（費用額）'!$M$37,'様式２（費用額）'!$N$37,'様式２（費用額）'!$O$37,'様式２（費用額）'!$P$37,'様式２（費用額）'!$F$38,'様式２（費用額）'!$G$38,'様式２（費用額）'!$H$38,'様式２（費用額）'!$J$38,'様式２（費用額）'!$K$38,'様式２（費用額）'!$L$38,'様式２（費用額）'!$M$38,'様式２（費用額）'!$N$38,'様式２（費用額）'!$O$38,'様式２（費用額）'!$P$38,'様式２（費用額）'!$F$39,'様式２（費用額）'!$G$39,'様式２（費用額）'!$H$39,'様式２（費用額）'!$J$39,'様式２（費用額）'!$K$39,'様式２（費用額）'!$L$39,'様式２（費用額）'!$M$39,'様式２（費用額）'!$N$39,'様式２（費用額）'!$O$39,'様式２（費用額）'!$P$39,'様式２（費用額）'!$F$40,'様式２（費用額）'!$G$40,'様式２（費用額）'!$H$40,'様式２（費用額）'!$J$40,'様式２（費用額）'!$K$40,'様式２（費用額）'!$L$40,'様式２（費用額）'!$M$40,'様式２（費用額）'!$N$40,'様式２（費用額）'!$O$40,'様式２（費用額）'!$P$40,'様式２（費用額）'!$F$41,'様式２（費用額）'!$G$41,'様式２（費用額）'!$H$41,'様式２（費用額）'!$J$41,'様式２（費用額）'!$K$41,'様式２（費用額）'!$L$41,'様式２（費用額）'!$M$41,'様式２（費用額）'!$N$41,'様式２（費用額）'!$O$41,'様式２（費用額）'!$P$41,'様式２（費用額）'!$F$42,'様式２（費用額）'!$G$42,'様式２（費用額）'!$H$42,'様式２（費用額）'!$J$42,'様式２（費用額）'!$K$42,'様式２（費用額）'!$L$42,'様式２（費用額）'!$M$42,'様式２（費用額）'!$N$42,'様式２（費用額）'!$O$42,'様式２（費用額）'!$P$42,'様式２（費用額）'!$F$43,'様式２（費用額）'!$G$43,'様式２（費用額）'!$H$43,'様式２（費用額）'!$J$43,'様式２（費用額）'!$K$43,'様式２（費用額）'!$L$43,'様式２（費用額）'!$M$43,'様式２（費用額）'!$N$43,'様式２（費用額）'!$O$43,'様式２（費用額）'!$P$43,'様式２（費用額）'!$F$44,'様式２（費用額）'!$G$44,'様式２（費用額）'!$H$44,'様式２（費用額）'!$J$44,'様式２（費用額）'!$K$44,'様式２（費用額）'!$L$44,'様式２（費用額）'!$M$44,'様式２（費用額）'!$N$44,'様式２（費用額）'!$O$44,'様式２（費用額）'!$P$44,'様式２（費用額）'!$F$45,'様式２（費用額）'!$G$45,'様式２（費用額）'!$H$45,'様式２（費用額）'!$J$45,'様式２（費用額）'!$K$45,'様式２（費用額）'!$L$45,'様式２（費用額）'!$M$45,'様式２（費用額）'!$N$45,'様式２（費用額）'!$O$45,'様式２（費用額）'!$P$45,'様式２（費用額）'!$F$46,'様式２（費用額）'!$G$46,'様式２（費用額）'!$H$46,'様式２（費用額）'!$J$46,'様式２（費用額）'!$K$46,'様式２（費用額）'!$L$46,'様式２（費用額）'!$M$46,'様式２（費用額）'!$N$46,'様式２（費用額）'!$O$46,'様式２（費用額）'!$P$46,'様式２（費用額）'!$F$47,'様式２（費用額）'!$G$47,'様式２（費用額）'!$H$47,'様式２（費用額）'!$J$47,'様式２（費用額）'!$K$47,'様式２（費用額）'!$L$47,'様式２（費用額）'!$M$47,'様式２（費用額）'!$N$47,'様式２（費用額）'!$O$47,'様式２（費用額）'!$P$47</definedName>
    <definedName name="databind" localSheetId="11">'様式２（費用額）２割負担'!$F$11,'様式２（費用額）２割負担'!$G$11,'様式２（費用額）２割負担'!$H$11,'様式２（費用額）２割負担'!$J$11,'様式２（費用額）２割負担'!$K$11,'様式２（費用額）２割負担'!$L$11,'様式２（費用額）２割負担'!$M$11,'様式２（費用額）２割負担'!$N$11,'様式２（費用額）２割負担'!$O$11,'様式２（費用額）２割負担'!$P$11,'様式２（費用額）２割負担'!$F$12,'様式２（費用額）２割負担'!$G$12,'様式２（費用額）２割負担'!$H$12,'様式２（費用額）２割負担'!$J$12,'様式２（費用額）２割負担'!$K$12,'様式２（費用額）２割負担'!$L$12,'様式２（費用額）２割負担'!$M$12,'様式２（費用額）２割負担'!$N$12,'様式２（費用額）２割負担'!$O$12,'様式２（費用額）２割負担'!$P$12,'様式２（費用額）２割負担'!$F$13,'様式２（費用額）２割負担'!$G$13,'様式２（費用額）２割負担'!$H$13,'様式２（費用額）２割負担'!$J$13,'様式２（費用額）２割負担'!$K$13,'様式２（費用額）２割負担'!$L$13,'様式２（費用額）２割負担'!$M$13,'様式２（費用額）２割負担'!$N$13,'様式２（費用額）２割負担'!$O$13,'様式２（費用額）２割負担'!$P$13,'様式２（費用額）２割負担'!$F$14,'様式２（費用額）２割負担'!$G$14,'様式２（費用額）２割負担'!$H$14,'様式２（費用額）２割負担'!$J$14,'様式２（費用額）２割負担'!$K$14,'様式２（費用額）２割負担'!$L$14,'様式２（費用額）２割負担'!$M$14,'様式２（費用額）２割負担'!$N$14,'様式２（費用額）２割負担'!$O$14,'様式２（費用額）２割負担'!$P$14,'様式２（費用額）２割負担'!$F$15,'様式２（費用額）２割負担'!$G$15,'様式２（費用額）２割負担'!$H$15,'様式２（費用額）２割負担'!$J$15,'様式２（費用額）２割負担'!$K$15,'様式２（費用額）２割負担'!$L$15,'様式２（費用額）２割負担'!$M$15,'様式２（費用額）２割負担'!$N$15,'様式２（費用額）２割負担'!$O$15,'様式２（費用額）２割負担'!$P$15,'様式２（費用額）２割負担'!$F$16,'様式２（費用額）２割負担'!$G$16,'様式２（費用額）２割負担'!$H$16,'様式２（費用額）２割負担'!$J$16,'様式２（費用額）２割負担'!$K$16,'様式２（費用額）２割負担'!$L$16,'様式２（費用額）２割負担'!$M$16,'様式２（費用額）２割負担'!$N$16,'様式２（費用額）２割負担'!$O$16,'様式２（費用額）２割負担'!$P$16,'様式２（費用額）２割負担'!$F$17,'様式２（費用額）２割負担'!$G$17,'様式２（費用額）２割負担'!$H$17,'様式２（費用額）２割負担'!$J$17,'様式２（費用額）２割負担'!$K$17,'様式２（費用額）２割負担'!$L$17,'様式２（費用額）２割負担'!$M$17,'様式２（費用額）２割負担'!$N$17,'様式２（費用額）２割負担'!$O$17,'様式２（費用額）２割負担'!$P$17,'様式２（費用額）２割負担'!$F$18,'様式２（費用額）２割負担'!$G$18,'様式２（費用額）２割負担'!$H$18,'様式２（費用額）２割負担'!$J$18,'様式２（費用額）２割負担'!$K$18,'様式２（費用額）２割負担'!$L$18,'様式２（費用額）２割負担'!$M$18,'様式２（費用額）２割負担'!$N$18,'様式２（費用額）２割負担'!$O$18,'様式２（費用額）２割負担'!$P$18,'様式２（費用額）２割負担'!$F$19,'様式２（費用額）２割負担'!$G$19,'様式２（費用額）２割負担'!$H$19,'様式２（費用額）２割負担'!$J$19,'様式２（費用額）２割負担'!$K$19,'様式２（費用額）２割負担'!$L$19,'様式２（費用額）２割負担'!$M$19,'様式２（費用額）２割負担'!$N$19,'様式２（費用額）２割負担'!$O$19,'様式２（費用額）２割負担'!$P$19,'様式２（費用額）２割負担'!$F$20,'様式２（費用額）２割負担'!$G$20,'様式２（費用額）２割負担'!$H$20,'様式２（費用額）２割負担'!$J$20,'様式２（費用額）２割負担'!$K$20,'様式２（費用額）２割負担'!$L$20,'様式２（費用額）２割負担'!$M$20,'様式２（費用額）２割負担'!$N$20,'様式２（費用額）２割負担'!$O$20,'様式２（費用額）２割負担'!$P$20,'様式２（費用額）２割負担'!$F$21,'様式２（費用額）２割負担'!$G$21,'様式２（費用額）２割負担'!$H$21,'様式２（費用額）２割負担'!$J$21,'様式２（費用額）２割負担'!$K$21,'様式２（費用額）２割負担'!$L$21,'様式２（費用額）２割負担'!$M$21,'様式２（費用額）２割負担'!$N$21,'様式２（費用額）２割負担'!$O$21,'様式２（費用額）２割負担'!$P$21,'様式２（費用額）２割負担'!$G$22,'様式２（費用額）２割負担'!$F$22,'様式２（費用額）２割負担'!$H$22,'様式２（費用額）２割負担'!$J$22,'様式２（費用額）２割負担'!$K$22,'様式２（費用額）２割負担'!$L$22,'様式２（費用額）２割負担'!$M$22,'様式２（費用額）２割負担'!$N$22,'様式２（費用額）２割負担'!$O$22,'様式２（費用額）２割負担'!$P$22,'様式２（費用額）２割負担'!$F$23,'様式２（費用額）２割負担'!$G$23,'様式２（費用額）２割負担'!$H$23,'様式２（費用額）２割負担'!$J$23,'様式２（費用額）２割負担'!$K$23,'様式２（費用額）２割負担'!$L$23,'様式２（費用額）２割負担'!$M$23,'様式２（費用額）２割負担'!$N$23,'様式２（費用額）２割負担'!$O$23,'様式２（費用額）２割負担'!$P$23,'様式２（費用額）２割負担'!$F$24,'様式２（費用額）２割負担'!$G$24,'様式２（費用額）２割負担'!$H$24,'様式２（費用額）２割負担'!$J$24,'様式２（費用額）２割負担'!$K$24,'様式２（費用額）２割負担'!$L$24,'様式２（費用額）２割負担'!$M$24,'様式２（費用額）２割負担'!$N$24,'様式２（費用額）２割負担'!$O$24,'様式２（費用額）２割負担'!$P$24,'様式２（費用額）２割負担'!$F$25,'様式２（費用額）２割負担'!$G$25,'様式２（費用額）２割負担'!$H$25,'様式２（費用額）２割負担'!$J$25,'様式２（費用額）２割負担'!$K$25,'様式２（費用額）２割負担'!$L$25,'様式２（費用額）２割負担'!$M$25,'様式２（費用額）２割負担'!$N$25,'様式２（費用額）２割負担'!$O$25,'様式２（費用額）２割負担'!$P$25,'様式２（費用額）２割負担'!$F$26,'様式２（費用額）２割負担'!$G$26,'様式２（費用額）２割負担'!$H$26,'様式２（費用額）２割負担'!$J$26,'様式２（費用額）２割負担'!$K$26,'様式２（費用額）２割負担'!$L$26,'様式２（費用額）２割負担'!$M$26,'様式２（費用額）２割負担'!$N$26,'様式２（費用額）２割負担'!$O$26,'様式２（費用額）２割負担'!$P$26,'様式２（費用額）２割負担'!$F$27,'様式２（費用額）２割負担'!$G$27,'様式２（費用額）２割負担'!$H$27,'様式２（費用額）２割負担'!$J$27,'様式２（費用額）２割負担'!$K$27,'様式２（費用額）２割負担'!$L$27,'様式２（費用額）２割負担'!$M$27,'様式２（費用額）２割負担'!$N$27,'様式２（費用額）２割負担'!$O$27,'様式２（費用額）２割負担'!$P$27,'様式２（費用額）２割負担'!$F$28,'様式２（費用額）２割負担'!$G$28,'様式２（費用額）２割負担'!$H$28,'様式２（費用額）２割負担'!$J$28,'様式２（費用額）２割負担'!$K$28,'様式２（費用額）２割負担'!$L$28,'様式２（費用額）２割負担'!$M$28,'様式２（費用額）２割負担'!$N$28,'様式２（費用額）２割負担'!$O$28,'様式２（費用額）２割負担'!$P$28,'様式２（費用額）２割負担'!$F$29,'様式２（費用額）２割負担'!$G$29,'様式２（費用額）２割負担'!$H$29,'様式２（費用額）２割負担'!$J$29,'様式２（費用額）２割負担'!$K$29,'様式２（費用額）２割負担'!$L$29,'様式２（費用額）２割負担'!$M$29,'様式２（費用額）２割負担'!$N$29,'様式２（費用額）２割負担'!$O$29,'様式２（費用額）２割負担'!$P$29,'様式２（費用額）２割負担'!$F$30,'様式２（費用額）２割負担'!$G$30,'様式２（費用額）２割負担'!$H$30,'様式２（費用額）２割負担'!$J$30,'様式２（費用額）２割負担'!$K$30,'様式２（費用額）２割負担'!$L$30,'様式２（費用額）２割負担'!$M$30,'様式２（費用額）２割負担'!$N$30,'様式２（費用額）２割負担'!$O$30,'様式２（費用額）２割負担'!$P$30,'様式２（費用額）２割負担'!$F$32,'様式２（費用額）２割負担'!$G$32,'様式２（費用額）２割負担'!$H$32,'様式２（費用額）２割負担'!$J$32,'様式２（費用額）２割負担'!$K$32,'様式２（費用額）２割負担'!$L$32,'様式２（費用額）２割負担'!$M$32,'様式２（費用額）２割負担'!$N$32,'様式２（費用額）２割負担'!$O$32,'様式２（費用額）２割負担'!$P$32,'様式２（費用額）２割負担'!$F$33,'様式２（費用額）２割負担'!$G$33,'様式２（費用額）２割負担'!$H$33,'様式２（費用額）２割負担'!$J$33,'様式２（費用額）２割負担'!$K$33,'様式２（費用額）２割負担'!$L$33,'様式２（費用額）２割負担'!$M$33,'様式２（費用額）２割負担'!$N$33,'様式２（費用額）２割負担'!$O$33,'様式２（費用額）２割負担'!$P$33,'様式２（費用額）２割負担'!$F$34,'様式２（費用額）２割負担'!$G$34,'様式２（費用額）２割負担'!$H$34,'様式２（費用額）２割負担'!$J$34,'様式２（費用額）２割負担'!$K$34,'様式２（費用額）２割負担'!$L$34,'様式２（費用額）２割負担'!$M$34,'様式２（費用額）２割負担'!$N$34,'様式２（費用額）２割負担'!$O$34,'様式２（費用額）２割負担'!$P$34,'様式２（費用額）２割負担'!$F$35,'様式２（費用額）２割負担'!$G$35,'様式２（費用額）２割負担'!$H$35,'様式２（費用額）２割負担'!$J$35,'様式２（費用額）２割負担'!$K$35,'様式２（費用額）２割負担'!$L$35,'様式２（費用額）２割負担'!$M$35,'様式２（費用額）２割負担'!$N$35,'様式２（費用額）２割負担'!$O$35,'様式２（費用額）２割負担'!$P$35,'様式２（費用額）２割負担'!$F$36,'様式２（費用額）２割負担'!$G$36,'様式２（費用額）２割負担'!$H$36,'様式２（費用額）２割負担'!$J$36,'様式２（費用額）２割負担'!$K$36,'様式２（費用額）２割負担'!$L$36,'様式２（費用額）２割負担'!$M$36,'様式２（費用額）２割負担'!$N$36,'様式２（費用額）２割負担'!$O$36,'様式２（費用額）２割負担'!$P$36,'様式２（費用額）２割負担'!$F$37,'様式２（費用額）２割負担'!$G$37,'様式２（費用額）２割負担'!$H$37,'様式２（費用額）２割負担'!$J$37,'様式２（費用額）２割負担'!$K$37,'様式２（費用額）２割負担'!$L$37,'様式２（費用額）２割負担'!$M$37,'様式２（費用額）２割負担'!$N$37,'様式２（費用額）２割負担'!$O$37,'様式２（費用額）２割負担'!$P$37,'様式２（費用額）２割負担'!$F$38,'様式２（費用額）２割負担'!$G$38,'様式２（費用額）２割負担'!$H$38,'様式２（費用額）２割負担'!$J$38,'様式２（費用額）２割負担'!$K$38,'様式２（費用額）２割負担'!$L$38,'様式２（費用額）２割負担'!$M$38,'様式２（費用額）２割負担'!$N$38,'様式２（費用額）２割負担'!$O$38,'様式２（費用額）２割負担'!$P$38,'様式２（費用額）２割負担'!$F$39,'様式２（費用額）２割負担'!$G$39,'様式２（費用額）２割負担'!$H$39,'様式２（費用額）２割負担'!$J$39,'様式２（費用額）２割負担'!$K$39,'様式２（費用額）２割負担'!$L$39,'様式２（費用額）２割負担'!$M$39,'様式２（費用額）２割負担'!$N$39,'様式２（費用額）２割負担'!$O$39,'様式２（費用額）２割負担'!$P$39,'様式２（費用額）２割負担'!$F$40,'様式２（費用額）２割負担'!$G$40,'様式２（費用額）２割負担'!$H$40,'様式２（費用額）２割負担'!$J$40,'様式２（費用額）２割負担'!$K$40,'様式２（費用額）２割負担'!$L$40,'様式２（費用額）２割負担'!$M$40,'様式２（費用額）２割負担'!$N$40,'様式２（費用額）２割負担'!$O$40,'様式２（費用額）２割負担'!$P$40,'様式２（費用額）２割負担'!$F$41,'様式２（費用額）２割負担'!$G$41,'様式２（費用額）２割負担'!$H$41,'様式２（費用額）２割負担'!$J$41,'様式２（費用額）２割負担'!$K$41,'様式２（費用額）２割負担'!$L$41,'様式２（費用額）２割負担'!$M$41,'様式２（費用額）２割負担'!$N$41,'様式２（費用額）２割負担'!$O$41,'様式２（費用額）２割負担'!$P$41,'様式２（費用額）２割負担'!$F$42,'様式２（費用額）２割負担'!$G$42,'様式２（費用額）２割負担'!$H$42,'様式２（費用額）２割負担'!$J$42,'様式２（費用額）２割負担'!$K$42,'様式２（費用額）２割負担'!$L$42,'様式２（費用額）２割負担'!$M$42,'様式２（費用額）２割負担'!$N$42,'様式２（費用額）２割負担'!$O$42,'様式２（費用額）２割負担'!$P$42,'様式２（費用額）２割負担'!$F$43,'様式２（費用額）２割負担'!$G$43,'様式２（費用額）２割負担'!$H$43,'様式２（費用額）２割負担'!$J$43,'様式２（費用額）２割負担'!$K$43,'様式２（費用額）２割負担'!$L$43,'様式２（費用額）２割負担'!$M$43,'様式２（費用額）２割負担'!$N$43,'様式２（費用額）２割負担'!$O$43,'様式２（費用額）２割負担'!$P$43,'様式２（費用額）２割負担'!$F$44,'様式２（費用額）２割負担'!$G$44,'様式２（費用額）２割負担'!$H$44,'様式２（費用額）２割負担'!$J$44,'様式２（費用額）２割負担'!$K$44,'様式２（費用額）２割負担'!$L$44,'様式２（費用額）２割負担'!$M$44,'様式２（費用額）２割負担'!$N$44,'様式２（費用額）２割負担'!$O$44,'様式２（費用額）２割負担'!$P$44,'様式２（費用額）２割負担'!$F$45,'様式２（費用額）２割負担'!$G$45,'様式２（費用額）２割負担'!$H$45,'様式２（費用額）２割負担'!$J$45,'様式２（費用額）２割負担'!$K$45,'様式２（費用額）２割負担'!$L$45,'様式２（費用額）２割負担'!$M$45,'様式２（費用額）２割負担'!$N$45,'様式２（費用額）２割負担'!$O$45,'様式２（費用額）２割負担'!$P$45,'様式２（費用額）２割負担'!$F$46,'様式２（費用額）２割負担'!$G$46,'様式２（費用額）２割負担'!$H$46,'様式２（費用額）２割負担'!$J$46,'様式２（費用額）２割負担'!$K$46,'様式２（費用額）２割負担'!$L$46,'様式２（費用額）２割負担'!$M$46,'様式２（費用額）２割負担'!$N$46,'様式２（費用額）２割負担'!$O$46,'様式２（費用額）２割負担'!$P$46,'様式２（費用額）２割負担'!$F$47,'様式２（費用額）２割負担'!$G$47,'様式２（費用額）２割負担'!$H$47,'様式２（費用額）２割負担'!$J$47,'様式２（費用額）２割負担'!$K$47,'様式２（費用額）２割負担'!$L$47,'様式２（費用額）２割負担'!$M$47,'様式２（費用額）２割負担'!$N$47,'様式２（費用額）２割負担'!$O$47,'様式２（費用額）２割負担'!$P$47</definedName>
    <definedName name="databind" localSheetId="15">'様式２（費用額）３割負担'!$F$11,'様式２（費用額）３割負担'!$G$11,'様式２（費用額）３割負担'!$H$11,'様式２（費用額）３割負担'!$J$11,'様式２（費用額）３割負担'!$K$11,'様式２（費用額）３割負担'!$L$11,'様式２（費用額）３割負担'!$M$11,'様式２（費用額）３割負担'!$N$11,'様式２（費用額）３割負担'!$O$11,'様式２（費用額）３割負担'!$P$11,'様式２（費用額）３割負担'!$F$12,'様式２（費用額）３割負担'!$G$12,'様式２（費用額）３割負担'!$H$12,'様式２（費用額）３割負担'!$J$12,'様式２（費用額）３割負担'!$K$12,'様式２（費用額）３割負担'!$L$12,'様式２（費用額）３割負担'!$M$12,'様式２（費用額）３割負担'!$N$12,'様式２（費用額）３割負担'!$O$12,'様式２（費用額）３割負担'!$P$12,'様式２（費用額）３割負担'!$G$13,'様式２（費用額）３割負担'!$F$13,'様式２（費用額）３割負担'!$H$13,'様式２（費用額）３割負担'!$J$13,'様式２（費用額）３割負担'!$K$13,'様式２（費用額）３割負担'!$L$13,'様式２（費用額）３割負担'!$M$13,'様式２（費用額）３割負担'!$N$13,'様式２（費用額）３割負担'!$O$13,'様式２（費用額）３割負担'!$P$13,'様式２（費用額）３割負担'!$P$14,'様式２（費用額）３割負担'!$O$14,'様式２（費用額）３割負担'!$N$14,'様式２（費用額）３割負担'!$M$14,'様式２（費用額）３割負担'!$L$14,'様式２（費用額）３割負担'!$K$14,'様式２（費用額）３割負担'!$J$14,'様式２（費用額）３割負担'!$H$14,'様式２（費用額）３割負担'!$G$14,'様式２（費用額）３割負担'!$F$14,'様式２（費用額）３割負担'!$F$15,'様式２（費用額）３割負担'!$G$15,'様式２（費用額）３割負担'!$H$15,'様式２（費用額）３割負担'!$J$15,'様式２（費用額）３割負担'!$K$15,'様式２（費用額）３割負担'!$L$15,'様式２（費用額）３割負担'!$M$15,'様式２（費用額）３割負担'!$N$15,'様式２（費用額）３割負担'!$O$15,'様式２（費用額）３割負担'!$P$15,'様式２（費用額）３割負担'!$F$16,'様式２（費用額）３割負担'!$G$16,'様式２（費用額）３割負担'!$H$16,'様式２（費用額）３割負担'!$J$16,'様式２（費用額）３割負担'!$K$16,'様式２（費用額）３割負担'!$L$16,'様式２（費用額）３割負担'!$M$16,'様式２（費用額）３割負担'!$N$16,'様式２（費用額）３割負担'!$O$16,'様式２（費用額）３割負担'!$P$16,'様式２（費用額）３割負担'!$F$17,'様式２（費用額）３割負担'!$G$17,'様式２（費用額）３割負担'!$H$17,'様式２（費用額）３割負担'!$J$17,'様式２（費用額）３割負担'!$K$17,'様式２（費用額）３割負担'!$L$17,'様式２（費用額）３割負担'!$M$17,'様式２（費用額）３割負担'!$N$17,'様式２（費用額）３割負担'!$O$17,'様式２（費用額）３割負担'!$P$17,'様式２（費用額）３割負担'!$F$18,'様式２（費用額）３割負担'!$G$18,'様式２（費用額）３割負担'!$H$18,'様式２（費用額）３割負担'!$J$18,'様式２（費用額）３割負担'!$K$18,'様式２（費用額）３割負担'!$L$18,'様式２（費用額）３割負担'!$M$18,'様式２（費用額）３割負担'!$N$18,'様式２（費用額）３割負担'!$O$18,'様式２（費用額）３割負担'!$P$18,'様式２（費用額）３割負担'!$F$19,'様式２（費用額）３割負担'!$G$19,'様式２（費用額）３割負担'!$H$19,'様式２（費用額）３割負担'!$J$19,'様式２（費用額）３割負担'!$K$19,'様式２（費用額）３割負担'!$L$19,'様式２（費用額）３割負担'!$M$19,'様式２（費用額）３割負担'!$N$19,'様式２（費用額）３割負担'!$O$19,'様式２（費用額）３割負担'!$P$19,'様式２（費用額）３割負担'!$F$20,'様式２（費用額）３割負担'!$G$20,'様式２（費用額）３割負担'!$H$20,'様式２（費用額）３割負担'!$J$20,'様式２（費用額）３割負担'!$K$20,'様式２（費用額）３割負担'!$L$20,'様式２（費用額）３割負担'!$M$20,'様式２（費用額）３割負担'!$N$20,'様式２（費用額）３割負担'!$O$20,'様式２（費用額）３割負担'!$P$20,'様式２（費用額）３割負担'!$F$21,'様式２（費用額）３割負担'!$G$21,'様式２（費用額）３割負担'!$H$21,'様式２（費用額）３割負担'!$J$21,'様式２（費用額）３割負担'!$K$21,'様式２（費用額）３割負担'!$L$21,'様式２（費用額）３割負担'!$M$21,'様式２（費用額）３割負担'!$N$21,'様式２（費用額）３割負担'!$O$21,'様式２（費用額）３割負担'!$P$21,'様式２（費用額）３割負担'!$F$22,'様式２（費用額）３割負担'!$G$22,'様式２（費用額）３割負担'!$H$22,'様式２（費用額）３割負担'!$J$22,'様式２（費用額）３割負担'!$K$22,'様式２（費用額）３割負担'!$L$22,'様式２（費用額）３割負担'!$M$22,'様式２（費用額）３割負担'!$N$22,'様式２（費用額）３割負担'!$O$22,'様式２（費用額）３割負担'!$P$22,'様式２（費用額）３割負担'!$F$23,'様式２（費用額）３割負担'!$G$23,'様式２（費用額）３割負担'!$H$23,'様式２（費用額）３割負担'!$J$23,'様式２（費用額）３割負担'!$K$23,'様式２（費用額）３割負担'!$L$23,'様式２（費用額）３割負担'!$M$23,'様式２（費用額）３割負担'!$N$23,'様式２（費用額）３割負担'!$O$23,'様式２（費用額）３割負担'!$P$23,'様式２（費用額）３割負担'!$F$24,'様式２（費用額）３割負担'!$G$24,'様式２（費用額）３割負担'!$H$24,'様式２（費用額）３割負担'!$J$24,'様式２（費用額）３割負担'!$K$24,'様式２（費用額）３割負担'!$L$24,'様式２（費用額）３割負担'!$M$24,'様式２（費用額）３割負担'!$N$24,'様式２（費用額）３割負担'!$O$24,'様式２（費用額）３割負担'!$P$24,'様式２（費用額）３割負担'!$F$25,'様式２（費用額）３割負担'!$G$25,'様式２（費用額）３割負担'!$H$25,'様式２（費用額）３割負担'!$J$25,'様式２（費用額）３割負担'!$K$25,'様式２（費用額）３割負担'!$L$25,'様式２（費用額）３割負担'!$M$25,'様式２（費用額）３割負担'!$N$25,'様式２（費用額）３割負担'!$O$25,'様式２（費用額）３割負担'!$P$25,'様式２（費用額）３割負担'!$F$26,'様式２（費用額）３割負担'!$G$26,'様式２（費用額）３割負担'!$H$26,'様式２（費用額）３割負担'!$J$26,'様式２（費用額）３割負担'!$K$26,'様式２（費用額）３割負担'!$L$26,'様式２（費用額）３割負担'!$M$26,'様式２（費用額）３割負担'!$N$26,'様式２（費用額）３割負担'!$O$26,'様式２（費用額）３割負担'!$P$26,'様式２（費用額）３割負担'!$F$27,'様式２（費用額）３割負担'!$G$27,'様式２（費用額）３割負担'!$H$27,'様式２（費用額）３割負担'!$J$27,'様式２（費用額）３割負担'!$K$27,'様式２（費用額）３割負担'!$L$27,'様式２（費用額）３割負担'!$M$27,'様式２（費用額）３割負担'!$N$27,'様式２（費用額）３割負担'!$O$27,'様式２（費用額）３割負担'!$P$27,'様式２（費用額）３割負担'!$F$28,'様式２（費用額）３割負担'!$G$28,'様式２（費用額）３割負担'!$H$28,'様式２（費用額）３割負担'!$J$28,'様式２（費用額）３割負担'!$K$28,'様式２（費用額）３割負担'!$L$28,'様式２（費用額）３割負担'!$M$28,'様式２（費用額）３割負担'!$N$28,'様式２（費用額）３割負担'!$O$28,'様式２（費用額）３割負担'!$P$28,'様式２（費用額）３割負担'!$F$29,'様式２（費用額）３割負担'!$G$29,'様式２（費用額）３割負担'!$H$29,'様式２（費用額）３割負担'!$J$29,'様式２（費用額）３割負担'!$K$29,'様式２（費用額）３割負担'!$L$29,'様式２（費用額）３割負担'!$M$29,'様式２（費用額）３割負担'!$N$29,'様式２（費用額）３割負担'!$O$29,'様式２（費用額）３割負担'!$P$29,'様式２（費用額）３割負担'!$F$30,'様式２（費用額）３割負担'!$G$30,'様式２（費用額）３割負担'!$H$30,'様式２（費用額）３割負担'!$J$30,'様式２（費用額）３割負担'!$K$30,'様式２（費用額）３割負担'!$L$30,'様式２（費用額）３割負担'!$M$30,'様式２（費用額）３割負担'!$N$30,'様式２（費用額）３割負担'!$O$30,'様式２（費用額）３割負担'!$P$30,'様式２（費用額）３割負担'!$F$32,'様式２（費用額）３割負担'!$G$32,'様式２（費用額）３割負担'!$H$32,'様式２（費用額）３割負担'!$J$32,'様式２（費用額）３割負担'!$K$32,'様式２（費用額）３割負担'!$L$32,'様式２（費用額）３割負担'!$M$32,'様式２（費用額）３割負担'!$N$32,'様式２（費用額）３割負担'!$O$32,'様式２（費用額）３割負担'!$P$32,'様式２（費用額）３割負担'!$F$33,'様式２（費用額）３割負担'!$G$33,'様式２（費用額）３割負担'!$H$33,'様式２（費用額）３割負担'!$J$33,'様式２（費用額）３割負担'!$K$33,'様式２（費用額）３割負担'!$L$33,'様式２（費用額）３割負担'!$M$33,'様式２（費用額）３割負担'!$N$33,'様式２（費用額）３割負担'!$O$33,'様式２（費用額）３割負担'!$P$33,'様式２（費用額）３割負担'!$F$34,'様式２（費用額）３割負担'!$G$34,'様式２（費用額）３割負担'!$H$34,'様式２（費用額）３割負担'!$J$34,'様式２（費用額）３割負担'!$K$34,'様式２（費用額）３割負担'!$L$34,'様式２（費用額）３割負担'!$M$34,'様式２（費用額）３割負担'!$N$34,'様式２（費用額）３割負担'!$O$34,'様式２（費用額）３割負担'!$P$34,'様式２（費用額）３割負担'!$F$35,'様式２（費用額）３割負担'!$G$35,'様式２（費用額）３割負担'!$H$35,'様式２（費用額）３割負担'!$J$35,'様式２（費用額）３割負担'!$K$35,'様式２（費用額）３割負担'!$L$35,'様式２（費用額）３割負担'!$M$35,'様式２（費用額）３割負担'!$N$35,'様式２（費用額）３割負担'!$O$35,'様式２（費用額）３割負担'!$P$35,'様式２（費用額）３割負担'!$F$36,'様式２（費用額）３割負担'!$G$36,'様式２（費用額）３割負担'!$H$36,'様式２（費用額）３割負担'!$J$36,'様式２（費用額）３割負担'!$K$36,'様式２（費用額）３割負担'!$L$36,'様式２（費用額）３割負担'!$M$36,'様式２（費用額）３割負担'!$N$36,'様式２（費用額）３割負担'!$O$36,'様式２（費用額）３割負担'!$P$36,'様式２（費用額）３割負担'!$F$37,'様式２（費用額）３割負担'!$G$37,'様式２（費用額）３割負担'!$H$37,'様式２（費用額）３割負担'!$J$37,'様式２（費用額）３割負担'!$K$37,'様式２（費用額）３割負担'!$L$37,'様式２（費用額）３割負担'!$M$37,'様式２（費用額）３割負担'!$N$37,'様式２（費用額）３割負担'!$O$37,'様式２（費用額）３割負担'!$P$37,'様式２（費用額）３割負担'!$F$38,'様式２（費用額）３割負担'!$G$38,'様式２（費用額）３割負担'!$H$38,'様式２（費用額）３割負担'!$J$38,'様式２（費用額）３割負担'!$K$38,'様式２（費用額）３割負担'!$L$38,'様式２（費用額）３割負担'!$M$38,'様式２（費用額）３割負担'!$N$38,'様式２（費用額）３割負担'!$O$38,'様式２（費用額）３割負担'!$P$38,'様式２（費用額）３割負担'!$F$39,'様式２（費用額）３割負担'!$G$39,'様式２（費用額）３割負担'!$H$39,'様式２（費用額）３割負担'!$J$39,'様式２（費用額）３割負担'!$K$39,'様式２（費用額）３割負担'!$L$39,'様式２（費用額）３割負担'!$M$39,'様式２（費用額）３割負担'!$N$39,'様式２（費用額）３割負担'!$O$39,'様式２（費用額）３割負担'!$P$39,'様式２（費用額）３割負担'!$F$40,'様式２（費用額）３割負担'!$G$40,'様式２（費用額）３割負担'!$H$40,'様式２（費用額）３割負担'!$J$40,'様式２（費用額）３割負担'!$K$40,'様式２（費用額）３割負担'!$L$40,'様式２（費用額）３割負担'!$M$40,'様式２（費用額）３割負担'!$N$40,'様式２（費用額）３割負担'!$O$40,'様式２（費用額）３割負担'!$P$40,'様式２（費用額）３割負担'!$F$41,'様式２（費用額）３割負担'!$G$41,'様式２（費用額）３割負担'!$H$41,'様式２（費用額）３割負担'!$J$41,'様式２（費用額）３割負担'!$K$41,'様式２（費用額）３割負担'!$L$41,'様式２（費用額）３割負担'!$M$41,'様式２（費用額）３割負担'!$N$41,'様式２（費用額）３割負担'!$O$41,'様式２（費用額）３割負担'!$P$41,'様式２（費用額）３割負担'!$F$42,'様式２（費用額）３割負担'!$G$42,'様式２（費用額）３割負担'!$H$42,'様式２（費用額）３割負担'!$J$42,'様式２（費用額）３割負担'!$K$42,'様式２（費用額）３割負担'!$L$42,'様式２（費用額）３割負担'!$M$42,'様式２（費用額）３割負担'!$N$42,'様式２（費用額）３割負担'!$O$42,'様式２（費用額）３割負担'!$P$42,'様式２（費用額）３割負担'!$F$43,'様式２（費用額）３割負担'!$G$43,'様式２（費用額）３割負担'!$H$43,'様式２（費用額）３割負担'!$J$43,'様式２（費用額）３割負担'!$K$43,'様式２（費用額）３割負担'!$L$43,'様式２（費用額）３割負担'!$M$43,'様式２（費用額）３割負担'!$N$43,'様式２（費用額）３割負担'!$O$43,'様式２（費用額）３割負担'!$P$43,'様式２（費用額）３割負担'!$F$44,'様式２（費用額）３割負担'!$G$44,'様式２（費用額）３割負担'!$H$44,'様式２（費用額）３割負担'!$J$44,'様式２（費用額）３割負担'!$K$44,'様式２（費用額）３割負担'!$L$44,'様式２（費用額）３割負担'!$M$44,'様式２（費用額）３割負担'!$N$44,'様式２（費用額）３割負担'!$O$44,'様式２（費用額）３割負担'!$P$44,'様式２（費用額）３割負担'!$F$45,'様式２（費用額）３割負担'!$G$45,'様式２（費用額）３割負担'!$H$45,'様式２（費用額）３割負担'!$J$45,'様式２（費用額）３割負担'!$K$45,'様式２（費用額）３割負担'!$L$45,'様式２（費用額）３割負担'!$M$45,'様式２（費用額）３割負担'!$N$45,'様式２（費用額）３割負担'!$O$45,'様式２（費用額）３割負担'!$P$45,'様式２（費用額）３割負担'!$F$46,'様式２（費用額）３割負担'!$G$46,'様式２（費用額）３割負担'!$H$46,'様式２（費用額）３割負担'!$J$46,'様式２（費用額）３割負担'!$K$46,'様式２（費用額）３割負担'!$L$46,'様式２（費用額）３割負担'!$M$46,'様式２（費用額）３割負担'!$N$46,'様式２（費用額）３割負担'!$O$46,'様式２（費用額）３割負担'!$P$46,'様式２（費用額）３割負担'!$F$47,'様式２（費用額）３割負担'!$G$47,'様式２（費用額）３割負担'!$H$47,'様式２（費用額）３割負担'!$J$47,'様式２（費用額）３割負担'!$K$47,'様式２（費用額）３割負担'!$L$47,'様式２（費用額）３割負担'!$M$47,'様式２（費用額）３割負担'!$N$47,'様式２（費用額）３割負担'!$O$47,'様式２（費用額）３割負担'!$P$47</definedName>
    <definedName name="databind" localSheetId="20">'様式２の２（給付費）'!$F$11,'様式２の２（給付費）'!$G$11,'様式２の２（給付費）'!$H$11,'様式２の２（給付費）'!$J$11,'様式２の２（給付費）'!$K$11,'様式２の２（給付費）'!$L$11,'様式２の２（給付費）'!$M$11,'様式２の２（給付費）'!$N$11,'様式２の２（給付費）'!$O$11,'様式２の２（給付費）'!$P$11,'様式２の２（給付費）'!$F$12,'様式２の２（給付費）'!$G$12,'様式２の２（給付費）'!$H$12,'様式２の２（給付費）'!$J$12,'様式２の２（給付費）'!$K$12,'様式２の２（給付費）'!$L$12,'様式２の２（給付費）'!$M$12,'様式２の２（給付費）'!$N$12,'様式２の２（給付費）'!$O$12,'様式２の２（給付費）'!$P$12,'様式２の２（給付費）'!$F$13,'様式２の２（給付費）'!$G$13,'様式２の２（給付費）'!$H$13,'様式２の２（給付費）'!$J$13,'様式２の２（給付費）'!$K$13,'様式２の２（給付費）'!$L$13,'様式２の２（給付費）'!$M$13,'様式２の２（給付費）'!$N$13,'様式２の２（給付費）'!$O$13,'様式２の２（給付費）'!$P$13,'様式２の２（給付費）'!$F$14,'様式２の２（給付費）'!$G$14,'様式２の２（給付費）'!$H$14,'様式２の２（給付費）'!$J$14,'様式２の２（給付費）'!$K$14,'様式２の２（給付費）'!$L$14,'様式２の２（給付費）'!$M$14,'様式２の２（給付費）'!$N$14,'様式２の２（給付費）'!$O$14,'様式２の２（給付費）'!$P$14,'様式２の２（給付費）'!$F$15,'様式２の２（給付費）'!$G$15,'様式２の２（給付費）'!$H$15,'様式２の２（給付費）'!$J$15,'様式２の２（給付費）'!$K$15,'様式２の２（給付費）'!$L$15,'様式２の２（給付費）'!$M$15,'様式２の２（給付費）'!$N$15,'様式２の２（給付費）'!$O$15,'様式２の２（給付費）'!$P$15,'様式２の２（給付費）'!$F$16,'様式２の２（給付費）'!$G$16,'様式２の２（給付費）'!$H$16,'様式２の２（給付費）'!$J$16,'様式２の２（給付費）'!$K$16,'様式２の２（給付費）'!$L$16,'様式２の２（給付費）'!$M$16,'様式２の２（給付費）'!$N$16,'様式２の２（給付費）'!$O$16,'様式２の２（給付費）'!$P$16,'様式２の２（給付費）'!$F$17,'様式２の２（給付費）'!$G$17,'様式２の２（給付費）'!$H$17,'様式２の２（給付費）'!$J$17,'様式２の２（給付費）'!$K$17,'様式２の２（給付費）'!$L$17,'様式２の２（給付費）'!$M$17,'様式２の２（給付費）'!$N$17,'様式２の２（給付費）'!$O$17,'様式２の２（給付費）'!$P$17,'様式２の２（給付費）'!$F$18,'様式２の２（給付費）'!$G$18,'様式２の２（給付費）'!$H$18,'様式２の２（給付費）'!$J$18,'様式２の２（給付費）'!$K$18,'様式２の２（給付費）'!$L$18,'様式２の２（給付費）'!$M$18,'様式２の２（給付費）'!$N$18,'様式２の２（給付費）'!$O$18,'様式２の２（給付費）'!$P$18,'様式２の２（給付費）'!$F$19,'様式２の２（給付費）'!$G$19,'様式２の２（給付費）'!$H$19,'様式２の２（給付費）'!$J$19,'様式２の２（給付費）'!$K$19,'様式２の２（給付費）'!$L$19,'様式２の２（給付費）'!$M$19,'様式２の２（給付費）'!$N$19,'様式２の２（給付費）'!$O$19,'様式２の２（給付費）'!$P$19,'様式２の２（給付費）'!$F$20,'様式２の２（給付費）'!$G$20,'様式２の２（給付費）'!$H$20,'様式２の２（給付費）'!$J$20,'様式２の２（給付費）'!$K$20,'様式２の２（給付費）'!$L$20,'様式２の２（給付費）'!$M$20,'様式２の２（給付費）'!$N$20,'様式２の２（給付費）'!$O$20,'様式２の２（給付費）'!$P$20,'様式２の２（給付費）'!$F$21,'様式２の２（給付費）'!$G$21,'様式２の２（給付費）'!$H$21,'様式２の２（給付費）'!$J$21,'様式２の２（給付費）'!$L$21,'様式２の２（給付費）'!$M$21,'様式２の２（給付費）'!$K$21,'様式２の２（給付費）'!$N$21,'様式２の２（給付費）'!$O$21,'様式２の２（給付費）'!$P$21,'様式２の２（給付費）'!$F$22,'様式２の２（給付費）'!$G$22,'様式２の２（給付費）'!$H$22,'様式２の２（給付費）'!$J$22,'様式２の２（給付費）'!$K$22,'様式２の２（給付費）'!$L$22,'様式２の２（給付費）'!$N$22,'様式２の２（給付費）'!$O$22,'様式２の２（給付費）'!$P$22,'様式２の２（給付費）'!$M$22,'様式２の２（給付費）'!$F$23,'様式２の２（給付費）'!$G$23,'様式２の２（給付費）'!$H$23,'様式２の２（給付費）'!$J$23,'様式２の２（給付費）'!$K$23,'様式２の２（給付費）'!$L$23,'様式２の２（給付費）'!$M$23,'様式２の２（給付費）'!$N$23,'様式２の２（給付費）'!$O$23,'様式２の２（給付費）'!$P$23,'様式２の２（給付費）'!$P$24,'様式２の２（給付費）'!$O$24,'様式２の２（給付費）'!$N$24,'様式２の２（給付費）'!$M$24,'様式２の２（給付費）'!$L$24,'様式２の２（給付費）'!$K$24,'様式２の２（給付費）'!$J$24,'様式２の２（給付費）'!$H$24,'様式２の２（給付費）'!$G$24,'様式２の２（給付費）'!$F$24,'様式２の２（給付費）'!$F$25,'様式２の２（給付費）'!$G$25,'様式２の２（給付費）'!$H$25,'様式２の２（給付費）'!$J$25,'様式２の２（給付費）'!$K$25,'様式２の２（給付費）'!$L$25,'様式２の２（給付費）'!$M$25,'様式２の２（給付費）'!$N$25,'様式２の２（給付費）'!$O$25,'様式２の２（給付費）'!$P$25,'様式２の２（給付費）'!$P$26,'様式２の２（給付費）'!$O$26,'様式２の２（給付費）'!$N$26,'様式２の２（給付費）'!$M$26,'様式２の２（給付費）'!$L$26,'様式２の２（給付費）'!$K$26,'様式２の２（給付費）'!$J$26,'様式２の２（給付費）'!$H$26,'様式２の２（給付費）'!$G$26,'様式２の２（給付費）'!$F$26,'様式２の２（給付費）'!$F$27,'様式２の２（給付費）'!$G$27,'様式２の２（給付費）'!$H$27,'様式２の２（給付費）'!$J$27,'様式２の２（給付費）'!$K$27,'様式２の２（給付費）'!$L$27,'様式２の２（給付費）'!$M$27,'様式２の２（給付費）'!$N$27,'様式２の２（給付費）'!$O$27,'様式２の２（給付費）'!$P$27,'様式２の２（給付費）'!$P$28,'様式２の２（給付費）'!$O$28,'様式２の２（給付費）'!$N$28,'様式２の２（給付費）'!$M$28,'様式２の２（給付費）'!$L$28,'様式２の２（給付費）'!$K$28,'様式２の２（給付費）'!$J$28,'様式２の２（給付費）'!$H$28,'様式２の２（給付費）'!$G$28,'様式２の２（給付費）'!$F$28,'様式２の２（給付費）'!$F$29,'様式２の２（給付費）'!$G$29,'様式２の２（給付費）'!$H$29,'様式２の２（給付費）'!$J$29,'様式２の２（給付費）'!$K$29,'様式２の２（給付費）'!$L$29,'様式２の２（給付費）'!$M$29,'様式２の２（給付費）'!$N$29,'様式２の２（給付費）'!$O$29,'様式２の２（給付費）'!$P$29,'様式２の２（給付費）'!$F$30,'様式２の２（給付費）'!$G$30,'様式２の２（給付費）'!$H$30,'様式２の２（給付費）'!$J$30,'様式２の２（給付費）'!$K$30,'様式２の２（給付費）'!$L$30,'様式２の２（給付費）'!$M$30,'様式２の２（給付費）'!$N$30,'様式２の２（給付費）'!$O$30,'様式２の２（給付費）'!$P$30,'様式２の２（給付費）'!$P$31,'様式２の２（給付費）'!$O$31,'様式２の２（給付費）'!$N$31,'様式２の２（給付費）'!$M$31,'様式２の２（給付費）'!$L$31,'様式２の２（給付費）'!$K$31,'様式２の２（給付費）'!$J$31,'様式２の２（給付費）'!$H$31,'様式２の２（給付費）'!$G$31,'様式２の２（給付費）'!$F$31,'様式２の２（給付費）'!$F$32,'様式２の２（給付費）'!$H$33,'様式２の２（給付費）'!$G$33,'様式２の２（給付費）'!$G$32,'様式２の２（給付費）'!$F$33,'様式２の２（給付費）'!$H$32,'様式２の２（給付費）'!$J$32,'様式２の２（給付費）'!$J$33,'様式２の２（給付費）'!$K$32,'様式２の２（給付費）'!$K$33,'様式２の２（給付費）'!$L$32,'様式２の２（給付費）'!$L$33,'様式２の２（給付費）'!$M$32,'様式２の２（給付費）'!$M$33,'様式２の２（給付費）'!$N$32,'様式２の２（給付費）'!$N$33,'様式２の２（給付費）'!$O$33,'様式２の２（給付費）'!$O$32,'様式２の２（給付費）'!$P$32,'様式２の２（給付費）'!$P$33,'様式２の２（給付費）'!$F$34,'様式２の２（給付費）'!$G$34,'様式２の２（給付費）'!$H$34,'様式２の２（給付費）'!$J$34,'様式２の２（給付費）'!$K$34,'様式２の２（給付費）'!$L$34,'様式２の２（給付費）'!$M$34,'様式２の２（給付費）'!$N$34,'様式２の２（給付費）'!$O$34,'様式２の２（給付費）'!$P$34,'様式２の２（給付費）'!$F$35,'様式２の２（給付費）'!$G$35,'様式２の２（給付費）'!$H$35,'様式２の２（給付費）'!$J$35,'様式２の２（給付費）'!$K$35,'様式２の２（給付費）'!$L$35,'様式２の２（給付費）'!$M$35,'様式２の２（給付費）'!$N$35,'様式２の２（給付費）'!$O$35,'様式２の２（給付費）'!$P$35,'様式２の２（給付費）'!$F$36,'様式２の２（給付費）'!$G$36,'様式２の２（給付費）'!$H$36,'様式２の２（給付費）'!$J$36,'様式２の２（給付費）'!$K$36,'様式２の２（給付費）'!$L$36,'様式２の２（給付費）'!$M$36,'様式２の２（給付費）'!$N$36,'様式２の２（給付費）'!$O$36,'様式２の２（給付費）'!$P$36,'様式２の２（給付費）'!$F$37,'様式２の２（給付費）'!$G$37,'様式２の２（給付費）'!$H$37,'様式２の２（給付費）'!$J$37,'様式２の２（給付費）'!$K$37,'様式２の２（給付費）'!$L$37,'様式２の２（給付費）'!$M$37,'様式２の２（給付費）'!$N$37,'様式２の２（給付費）'!$O$37,'様式２の２（給付費）'!$P$37,'様式２の２（給付費）'!$F$38,'様式２の２（給付費）'!$G$38,'様式２の２（給付費）'!$H$38,'様式２の２（給付費）'!$J$38,'様式２の２（給付費）'!$K$38,'様式２の２（給付費）'!$L$38,'様式２の２（給付費）'!$M$38,'様式２の２（給付費）'!$N$38,'様式２の２（給付費）'!$O$38,'様式２の２（給付費）'!$P$38,'様式２の２（給付費）'!$F$39,'様式２の２（給付費）'!$G$39,'様式２の２（給付費）'!$H$39,'様式２の２（給付費）'!$J$39,'様式２の２（給付費）'!$K$39,'様式２の２（給付費）'!$L$39,'様式２の２（給付費）'!$M$39,'様式２の２（給付費）'!$N$39,'様式２の２（給付費）'!$O$39,'様式２の２（給付費）'!$P$39,'様式２の２（給付費）'!$F$40,'様式２の２（給付費）'!$G$40,'様式２の２（給付費）'!$H$40,'様式２の２（給付費）'!$J$40,'様式２の２（給付費）'!$K$40,'様式２の２（給付費）'!$L$40,'様式２の２（給付費）'!$M$40,'様式２の２（給付費）'!$N$40,'様式２の２（給付費）'!$O$40,'様式２の２（給付費）'!$P$40,'様式２の２（給付費）'!$F$41,'様式２の２（給付費）'!$G$41,'様式２の２（給付費）'!$H$41,'様式２の２（給付費）'!$J$41,'様式２の２（給付費）'!$K$41,'様式２の２（給付費）'!$L$41,'様式２の２（給付費）'!$M$41,'様式２の２（給付費）'!$N$41,'様式２の２（給付費）'!$O$41,'様式２の２（給付費）'!$P$41,'様式２の２（給付費）'!$F$42,'様式２の２（給付費）'!$G$42,'様式２の２（給付費）'!$H$42,'様式２の２（給付費）'!$J$42,'様式２の２（給付費）'!$K$42,'様式２の２（給付費）'!$L$42,'様式２の２（給付費）'!$M$42,'様式２の２（給付費）'!$N$42,'様式２の２（給付費）'!$O$42,'様式２の２（給付費）'!$P$42,'様式２の２（給付費）'!$F$43,'様式２の２（給付費）'!$G$43,'様式２の２（給付費）'!$H$43,'様式２の２（給付費）'!$J$43,'様式２の２（給付費）'!$K$43,'様式２の２（給付費）'!$L$43,'様式２の２（給付費）'!$M$43,'様式２の２（給付費）'!$N$43,'様式２の２（給付費）'!$O$43,'様式２の２（給付費）'!$P$43,'様式２の２（給付費）'!$F$44,'様式２の２（給付費）'!$G$44,'様式２の２（給付費）'!$H$44,'様式２の２（給付費）'!$J$44,'様式２の２（給付費）'!$K$44,'様式２の２（給付費）'!$L$44,'様式２の２（給付費）'!$M$44,'様式２の２（給付費）'!$N$44,'様式２の２（給付費）'!$O$44,'様式２の２（給付費）'!$P$44,'様式２の２（給付費）'!$F$45,'様式２の２（給付費）'!$G$45,'様式２の２（給付費）'!$H$45,'様式２の２（給付費）'!$J$45,'様式２の２（給付費）'!$K$45,'様式２の２（給付費）'!$L$45,'様式２の２（給付費）'!$M$45,'様式２の２（給付費）'!$N$45,'様式２の２（給付費）'!$O$45,'様式２の２（給付費）'!$P$45,'様式２の２（給付費）'!$F$46,'様式２の２（給付費）'!$G$46,'様式２の２（給付費）'!$H$46,'様式２の２（給付費）'!$J$46,'様式２の２（給付費）'!$K$46,'様式２の２（給付費）'!$L$46,'様式２の２（給付費）'!$M$46,'様式２の２（給付費）'!$N$46,'様式２の２（給付費）'!$O$46,'様式２の２（給付費）'!$P$46,'様式２の２（給付費）'!$F$47,'様式２の２（給付費）'!$G$47,'様式２の２（給付費）'!$H$47,'様式２の２（給付費）'!$J$47,'様式２の２（給付費）'!$K$47,'様式２の２（給付費）'!$L$47,'様式２の２（給付費）'!$M$47,'様式２の２（給付費）'!$N$47,'様式２の２（給付費）'!$O$47,'様式２の２（給付費）'!$P$47</definedName>
    <definedName name="databind" localSheetId="17">'様式２の２（件数）'!$F$11,'様式２の２（件数）'!$G$11,'様式２の２（件数）'!$H$11,'様式２の２（件数）'!$J$11,'様式２の２（件数）'!$K$11,'様式２の２（件数）'!$L$11,'様式２の２（件数）'!$M$11,'様式２の２（件数）'!$N$11,'様式２の２（件数）'!$O$11,'様式２の２（件数）'!$P$11,'様式２の２（件数）'!$F$12,'様式２の２（件数）'!$G$12,'様式２の２（件数）'!$H$12,'様式２の２（件数）'!$J$12,'様式２の２（件数）'!$K$12,'様式２の２（件数）'!$L$12,'様式２の２（件数）'!$M$12,'様式２の２（件数）'!$N$12,'様式２の２（件数）'!$O$12,'様式２の２（件数）'!$P$12,'様式２の２（件数）'!$F$13,'様式２の２（件数）'!$G$13,'様式２の２（件数）'!$H$13,'様式２の２（件数）'!$J$13,'様式２の２（件数）'!$K$13,'様式２の２（件数）'!$L$13,'様式２の２（件数）'!$M$13,'様式２の２（件数）'!$N$13,'様式２の２（件数）'!$O$13,'様式２の２（件数）'!$P$13,'様式２の２（件数）'!$F$14,'様式２の２（件数）'!$G$14,'様式２の２（件数）'!$H$14,'様式２の２（件数）'!$J$14,'様式２の２（件数）'!$K$14,'様式２の２（件数）'!$L$14,'様式２の２（件数）'!$M$14,'様式２の２（件数）'!$N$14,'様式２の２（件数）'!$O$14,'様式２の２（件数）'!$P$14,'様式２の２（件数）'!$F$15,'様式２の２（件数）'!$G$15,'様式２の２（件数）'!$H$15,'様式２の２（件数）'!$J$15,'様式２の２（件数）'!$K$15,'様式２の２（件数）'!$L$15,'様式２の２（件数）'!$M$15,'様式２の２（件数）'!$N$15,'様式２の２（件数）'!$O$15,'様式２の２（件数）'!$P$15,'様式２の２（件数）'!$G$16,'様式２の２（件数）'!$F$16,'様式２の２（件数）'!$H$16,'様式２の２（件数）'!$J$16,'様式２の２（件数）'!$K$16,'様式２の２（件数）'!$L$16,'様式２の２（件数）'!$M$16,'様式２の２（件数）'!$N$16,'様式２の２（件数）'!$O$16,'様式２の２（件数）'!$P$16,'様式２の２（件数）'!$F$17,'様式２の２（件数）'!$G$17,'様式２の２（件数）'!$H$17,'様式２の２（件数）'!$J$17,'様式２の２（件数）'!$K$17,'様式２の２（件数）'!$L$17,'様式２の２（件数）'!$M$17,'様式２の２（件数）'!$N$17,'様式２の２（件数）'!$O$17,'様式２の２（件数）'!$P$17,'様式２の２（件数）'!$F$18,'様式２の２（件数）'!$G$18,'様式２の２（件数）'!$H$18,'様式２の２（件数）'!$J$18,'様式２の２（件数）'!$K$18,'様式２の２（件数）'!$L$18,'様式２の２（件数）'!$M$18,'様式２の２（件数）'!$N$18,'様式２の２（件数）'!$O$18,'様式２の２（件数）'!$P$18,'様式２の２（件数）'!$F$19,'様式２の２（件数）'!$G$19,'様式２の２（件数）'!$H$19,'様式２の２（件数）'!$J$19,'様式２の２（件数）'!$K$19,'様式２の２（件数）'!$L$19,'様式２の２（件数）'!$M$19,'様式２の２（件数）'!$N$19,'様式２の２（件数）'!$O$19,'様式２の２（件数）'!$P$19,'様式２の２（件数）'!$F$20,'様式２の２（件数）'!$G$20,'様式２の２（件数）'!$H$20,'様式２の２（件数）'!$J$20,'様式２の２（件数）'!$K$20,'様式２の２（件数）'!$L$20,'様式２の２（件数）'!$M$20,'様式２の２（件数）'!$N$20,'様式２の２（件数）'!$O$20,'様式２の２（件数）'!$P$20,'様式２の２（件数）'!$F$21,'様式２の２（件数）'!$H$21,'様式２の２（件数）'!$G$21,'様式２の２（件数）'!$J$21,'様式２の２（件数）'!$K$21,'様式２の２（件数）'!$L$21,'様式２の２（件数）'!$M$21,'様式２の２（件数）'!$N$21,'様式２の２（件数）'!$O$21,'様式２の２（件数）'!$P$21,'様式２の２（件数）'!$F$22,'様式２の２（件数）'!$G$22,'様式２の２（件数）'!$H$22,'様式２の２（件数）'!$J$22,'様式２の２（件数）'!$K$22,'様式２の２（件数）'!$L$22,'様式２の２（件数）'!$M$22,'様式２の２（件数）'!$N$22,'様式２の２（件数）'!$O$22,'様式２の２（件数）'!$P$22,'様式２の２（件数）'!$F$23,'様式２の２（件数）'!$G$23,'様式２の２（件数）'!$H$23,'様式２の２（件数）'!$J$23,'様式２の２（件数）'!$K$23,'様式２の２（件数）'!$L$23,'様式２の２（件数）'!$M$23,'様式２の２（件数）'!$N$23,'様式２の２（件数）'!$O$23,'様式２の２（件数）'!$P$23,'様式２の２（件数）'!$F$24,'様式２の２（件数）'!$G$24,'様式２の２（件数）'!$H$24,'様式２の２（件数）'!$J$24,'様式２の２（件数）'!$K$24,'様式２の２（件数）'!$L$24,'様式２の２（件数）'!$M$24,'様式２の２（件数）'!$N$24,'様式２の２（件数）'!$O$24,'様式２の２（件数）'!$P$24,'様式２の２（件数）'!$F$25,'様式２の２（件数）'!$G$25,'様式２の２（件数）'!$H$25,'様式２の２（件数）'!$J$25,'様式２の２（件数）'!$K$25,'様式２の２（件数）'!$L$25,'様式２の２（件数）'!$M$25,'様式２の２（件数）'!$N$25,'様式２の２（件数）'!$O$25,'様式２の２（件数）'!$P$25,'様式２の２（件数）'!$F$26,'様式２の２（件数）'!$G$26,'様式２の２（件数）'!$H$26,'様式２の２（件数）'!$J$26,'様式２の２（件数）'!$K$26,'様式２の２（件数）'!$L$26,'様式２の２（件数）'!$M$26,'様式２の２（件数）'!$N$26,'様式２の２（件数）'!$O$26,'様式２の２（件数）'!$P$26,'様式２の２（件数）'!$F$27,'様式２の２（件数）'!$G$27,'様式２の２（件数）'!$H$27,'様式２の２（件数）'!$J$27,'様式２の２（件数）'!$K$27,'様式２の２（件数）'!$L$27,'様式２の２（件数）'!$M$27,'様式２の２（件数）'!$N$27,'様式２の２（件数）'!$O$27,'様式２の２（件数）'!$P$27,'様式２の２（件数）'!$F$28,'様式２の２（件数）'!$G$28,'様式２の２（件数）'!$H$28,'様式２の２（件数）'!$J$28,'様式２の２（件数）'!$K$28,'様式２の２（件数）'!$L$28,'様式２の２（件数）'!$M$28,'様式２の２（件数）'!$N$28,'様式２の２（件数）'!$O$28,'様式２の２（件数）'!$P$28,'様式２の２（件数）'!$F$29,'様式２の２（件数）'!$G$29,'様式２の２（件数）'!$H$29,'様式２の２（件数）'!$J$29,'様式２の２（件数）'!$K$29,'様式２の２（件数）'!$L$29,'様式２の２（件数）'!$M$29,'様式２の２（件数）'!$N$29,'様式２の２（件数）'!$O$29,'様式２の２（件数）'!$P$29,'様式２の２（件数）'!$F$30,'様式２の２（件数）'!$G$30,'様式２の２（件数）'!$H$30,'様式２の２（件数）'!$J$30,'様式２の２（件数）'!$K$30,'様式２の２（件数）'!$L$30,'様式２の２（件数）'!$M$30,'様式２の２（件数）'!$N$30,'様式２の２（件数）'!$O$30,'様式２の２（件数）'!$P$30,'様式２の２（件数）'!$F$31,'様式２の２（件数）'!$G$31,'様式２の２（件数）'!$H$31,'様式２の２（件数）'!$J$31,'様式２の２（件数）'!$K$31,'様式２の２（件数）'!$L$31,'様式２の２（件数）'!$M$31,'様式２の２（件数）'!$N$31,'様式２の２（件数）'!$O$31,'様式２の２（件数）'!$P$31,'様式２の２（件数）'!$F$32,'様式２の２（件数）'!$G$32,'様式２の２（件数）'!$H$32,'様式２の２（件数）'!$J$32,'様式２の２（件数）'!$K$32,'様式２の２（件数）'!$L$32,'様式２の２（件数）'!$M$32,'様式２の２（件数）'!$N$32,'様式２の２（件数）'!$O$32,'様式２の２（件数）'!$P$32,'様式２の２（件数）'!$F$33,'様式２の２（件数）'!$G$33,'様式２の２（件数）'!$H$33,'様式２の２（件数）'!$J$33,'様式２の２（件数）'!$K$33,'様式２の２（件数）'!$L$33,'様式２の２（件数）'!$M$33,'様式２の２（件数）'!$N$33,'様式２の２（件数）'!$O$33,'様式２の２（件数）'!$P$33,'様式２の２（件数）'!$F$34,'様式２の２（件数）'!$G$34,'様式２の２（件数）'!$H$34,'様式２の２（件数）'!$J$34,'様式２の２（件数）'!$K$34,'様式２の２（件数）'!$L$34,'様式２の２（件数）'!$M$34,'様式２の２（件数）'!$N$34,'様式２の２（件数）'!$O$34,'様式２の２（件数）'!$P$34,'様式２の２（件数）'!$F$35,'様式２の２（件数）'!$G$35,'様式２の２（件数）'!$H$35,'様式２の２（件数）'!$J$35,'様式２の２（件数）'!$K$35,'様式２の２（件数）'!$L$35,'様式２の２（件数）'!$M$35,'様式２の２（件数）'!$N$35,'様式２の２（件数）'!$O$35,'様式２の２（件数）'!$P$35,'様式２の２（件数）'!$F$36,'様式２の２（件数）'!$G$36,'様式２の２（件数）'!$H$36,'様式２の２（件数）'!$J$36,'様式２の２（件数）'!$K$36,'様式２の２（件数）'!$L$36,'様式２の２（件数）'!$M$36,'様式２の２（件数）'!$N$36,'様式２の２（件数）'!$O$36,'様式２の２（件数）'!$P$36,'様式２の２（件数）'!$F$37,'様式２の２（件数）'!$G$37,'様式２の２（件数）'!$H$37,'様式２の２（件数）'!$J$37,'様式２の２（件数）'!$K$37,'様式２の２（件数）'!$L$37,'様式２の２（件数）'!$M$37,'様式２の２（件数）'!$N$37,'様式２の２（件数）'!$O$37,'様式２の２（件数）'!$P$37,'様式２の２（件数）'!$F$38,'様式２の２（件数）'!$G$38,'様式２の２（件数）'!$H$38,'様式２の２（件数）'!$J$38,'様式２の２（件数）'!$K$38,'様式２の２（件数）'!$L$38,'様式２の２（件数）'!$M$38,'様式２の２（件数）'!$N$38,'様式２の２（件数）'!$O$38,'様式２の２（件数）'!$P$38,'様式２の２（件数）'!$F$39,'様式２の２（件数）'!$G$39,'様式２の２（件数）'!$H$39,'様式２の２（件数）'!$J$39,'様式２の２（件数）'!$K$39,'様式２の２（件数）'!$L$39,'様式２の２（件数）'!$M$39,'様式２の２（件数）'!$N$39,'様式２の２（件数）'!$O$39,'様式２の２（件数）'!$P$39,'様式２の２（件数）'!$F$40,'様式２の２（件数）'!$G$40,'様式２の２（件数）'!$H$40,'様式２の２（件数）'!$J$40,'様式２の２（件数）'!$K$40,'様式２の２（件数）'!$L$40,'様式２の２（件数）'!$M$40,'様式２の２（件数）'!$N$40,'様式２の２（件数）'!$O$40,'様式２の２（件数）'!$P$40,'様式２の２（件数）'!$F$41,'様式２の２（件数）'!$G$41,'様式２の２（件数）'!$H$41,'様式２の２（件数）'!$J$41,'様式２の２（件数）'!$K$41,'様式２の２（件数）'!$L$41,'様式２の２（件数）'!$M$41,'様式２の２（件数）'!$N$41,'様式２の２（件数）'!$O$41,'様式２の２（件数）'!$P$41,'様式２の２（件数）'!$F$42,'様式２の２（件数）'!$G$42,'様式２の２（件数）'!$H$42,'様式２の２（件数）'!$J$42,'様式２の２（件数）'!$K$42,'様式２の２（件数）'!$L$42,'様式２の２（件数）'!$M$42,'様式２の２（件数）'!$N$42,'様式２の２（件数）'!$O$42,'様式２の２（件数）'!$P$42,'様式２の２（件数）'!$F$43,'様式２の２（件数）'!$G$43,'様式２の２（件数）'!$H$43,'様式２の２（件数）'!$J$43,'様式２の２（件数）'!$K$43,'様式２の２（件数）'!$L$43,'様式２の２（件数）'!$M$43,'様式２の２（件数）'!$N$43,'様式２の２（件数）'!$O$43,'様式２の２（件数）'!$P$43,'様式２の２（件数）'!$F$44,'様式２の２（件数）'!$G$44,'様式２の２（件数）'!$H$44,'様式２の２（件数）'!$J$44,'様式２の２（件数）'!$K$44,'様式２の２（件数）'!$L$44,'様式２の２（件数）'!$M$44,'様式２の２（件数）'!$N$44,'様式２の２（件数）'!$O$44,'様式２の２（件数）'!$P$44,'様式２の２（件数）'!$F$45,'様式２の２（件数）'!$G$45,'様式２の２（件数）'!$H$45,'様式２の２（件数）'!$J$45,'様式２の２（件数）'!$K$45,'様式２の２（件数）'!$L$45,'様式２の２（件数）'!$M$45,'様式２の２（件数）'!$N$45,'様式２の２（件数）'!$O$45,'様式２の２（件数）'!$P$45,'様式２の２（件数）'!$F$46,'様式２の２（件数）'!$G$46,'様式２の２（件数）'!$H$46,'様式２の２（件数）'!$J$46,'様式２の２（件数）'!$K$46,'様式２の２（件数）'!$L$46,'様式２の２（件数）'!$M$46,'様式２の２（件数）'!$N$46,'様式２の２（件数）'!$O$46,'様式２の２（件数）'!$P$46,'様式２の２（件数）'!$F$47,'様式２の２（件数）'!$G$47,'様式２の２（件数）'!$H$47,'様式２の２（件数）'!$J$47,'様式２の２（件数）'!$K$47,'様式２の２（件数）'!$L$47,'様式２の２（件数）'!$M$47,'様式２の２（件数）'!$N$47,'様式２の２（件数）'!$O$47,'様式２の２（件数）'!$P$47</definedName>
    <definedName name="databind" localSheetId="18">'様式２の２（単位数）'!$F$11,'様式２の２（単位数）'!$G$11,'様式２の２（単位数）'!$H$11,'様式２の２（単位数）'!$J$11,'様式２の２（単位数）'!$K$11,'様式２の２（単位数）'!$L$11,'様式２の２（単位数）'!$M$11,'様式２の２（単位数）'!$N$11,'様式２の２（単位数）'!$O$11,'様式２の２（単位数）'!$P$11,'様式２の２（単位数）'!$F$12,'様式２の２（単位数）'!$G$12,'様式２の２（単位数）'!$H$12,'様式２の２（単位数）'!$J$12,'様式２の２（単位数）'!$K$12,'様式２の２（単位数）'!$L$12,'様式２の２（単位数）'!$M$12,'様式２の２（単位数）'!$N$12,'様式２の２（単位数）'!$O$12,'様式２の２（単位数）'!$P$12,'様式２の２（単位数）'!$F$13,'様式２の２（単位数）'!$G$13,'様式２の２（単位数）'!$H$13,'様式２の２（単位数）'!$J$13,'様式２の２（単位数）'!$K$13,'様式２の２（単位数）'!$L$13,'様式２の２（単位数）'!$M$13,'様式２の２（単位数）'!$N$13,'様式２の２（単位数）'!$O$13,'様式２の２（単位数）'!$P$13,'様式２の２（単位数）'!$F$14,'様式２の２（単位数）'!$G$14,'様式２の２（単位数）'!$H$14,'様式２の２（単位数）'!$J$14,'様式２の２（単位数）'!$K$14,'様式２の２（単位数）'!$L$14,'様式２の２（単位数）'!$M$14,'様式２の２（単位数）'!$N$14,'様式２の２（単位数）'!$O$14,'様式２の２（単位数）'!$P$14,'様式２の２（単位数）'!$F$15,'様式２の２（単位数）'!$G$15,'様式２の２（単位数）'!$H$15,'様式２の２（単位数）'!$J$15,'様式２の２（単位数）'!$K$15,'様式２の２（単位数）'!$L$15,'様式２の２（単位数）'!$M$15,'様式２の２（単位数）'!$N$15,'様式２の２（単位数）'!$O$15,'様式２の２（単位数）'!$P$15,'様式２の２（単位数）'!$F$16,'様式２の２（単位数）'!$G$16,'様式２の２（単位数）'!$H$16,'様式２の２（単位数）'!$J$16,'様式２の２（単位数）'!$K$16,'様式２の２（単位数）'!$L$16,'様式２の２（単位数）'!$M$16,'様式２の２（単位数）'!$N$16,'様式２の２（単位数）'!$O$16,'様式２の２（単位数）'!$P$16,'様式２の２（単位数）'!$F$17,'様式２の２（単位数）'!$G$17,'様式２の２（単位数）'!$H$17,'様式２の２（単位数）'!$J$17,'様式２の２（単位数）'!$K$17,'様式２の２（単位数）'!$L$17,'様式２の２（単位数）'!$M$17,'様式２の２（単位数）'!$N$17,'様式２の２（単位数）'!$O$17,'様式２の２（単位数）'!$P$17,'様式２の２（単位数）'!$F$18,'様式２の２（単位数）'!$G$18,'様式２の２（単位数）'!$H$18,'様式２の２（単位数）'!$J$18,'様式２の２（単位数）'!$K$18,'様式２の２（単位数）'!$L$18,'様式２の２（単位数）'!$M$18,'様式２の２（単位数）'!$N$18,'様式２の２（単位数）'!$O$18,'様式２の２（単位数）'!$P$18,'様式２の２（単位数）'!$F$19,'様式２の２（単位数）'!$G$19,'様式２の２（単位数）'!$H$19,'様式２の２（単位数）'!$J$19,'様式２の２（単位数）'!$K$19,'様式２の２（単位数）'!$L$19,'様式２の２（単位数）'!$M$19,'様式２の２（単位数）'!$N$19,'様式２の２（単位数）'!$O$19,'様式２の２（単位数）'!$P$19,'様式２の２（単位数）'!$F$20,'様式２の２（単位数）'!$G$20,'様式２の２（単位数）'!$H$20,'様式２の２（単位数）'!$J$20,'様式２の２（単位数）'!$K$20,'様式２の２（単位数）'!$L$20,'様式２の２（単位数）'!$M$20,'様式２の２（単位数）'!$N$20,'様式２の２（単位数）'!$O$20,'様式２の２（単位数）'!$P$20,'様式２の２（単位数）'!$F$21,'様式２の２（単位数）'!$G$21,'様式２の２（単位数）'!$H$21,'様式２の２（単位数）'!$J$21,'様式２の２（単位数）'!$K$21,'様式２の２（単位数）'!$L$21,'様式２の２（単位数）'!$M$21,'様式２の２（単位数）'!$N$21,'様式２の２（単位数）'!$O$21,'様式２の２（単位数）'!$P$21,'様式２の２（単位数）'!$F$22,'様式２の２（単位数）'!$G$22,'様式２の２（単位数）'!$H$22,'様式２の２（単位数）'!$J$22,'様式２の２（単位数）'!$K$22,'様式２の２（単位数）'!$L$22,'様式２の２（単位数）'!$M$22,'様式２の２（単位数）'!$N$22,'様式２の２（単位数）'!$O$22,'様式２の２（単位数）'!$P$22,'様式２の２（単位数）'!$F$23,'様式２の２（単位数）'!$G$23,'様式２の２（単位数）'!$H$23,'様式２の２（単位数）'!$J$23,'様式２の２（単位数）'!$K$23,'様式２の２（単位数）'!$L$23,'様式２の２（単位数）'!$M$23,'様式２の２（単位数）'!$N$23,'様式２の２（単位数）'!$O$23,'様式２の２（単位数）'!$P$23,'様式２の２（単位数）'!$F$24,'様式２の２（単位数）'!$G$24,'様式２の２（単位数）'!$H$24,'様式２の２（単位数）'!$J$24,'様式２の２（単位数）'!$K$24,'様式２の２（単位数）'!$L$24,'様式２の２（単位数）'!$M$24,'様式２の２（単位数）'!$N$24,'様式２の２（単位数）'!$O$24,'様式２の２（単位数）'!$P$24,'様式２の２（単位数）'!$F$25,'様式２の２（単位数）'!$G$25,'様式２の２（単位数）'!$H$25,'様式２の２（単位数）'!$J$25,'様式２の２（単位数）'!$K$25,'様式２の２（単位数）'!$L$25,'様式２の２（単位数）'!$M$25,'様式２の２（単位数）'!$N$25,'様式２の２（単位数）'!$O$25,'様式２の２（単位数）'!$P$25,'様式２の２（単位数）'!$F$26,'様式２の２（単位数）'!$G$26,'様式２の２（単位数）'!$H$26,'様式２の２（単位数）'!$J$26,'様式２の２（単位数）'!$K$26,'様式２の２（単位数）'!$L$26,'様式２の２（単位数）'!$M$26,'様式２の２（単位数）'!$N$26,'様式２の２（単位数）'!$O$26,'様式２の２（単位数）'!$P$26,'様式２の２（単位数）'!$F$27,'様式２の２（単位数）'!$G$27,'様式２の２（単位数）'!$H$27,'様式２の２（単位数）'!$J$27,'様式２の２（単位数）'!$K$27,'様式２の２（単位数）'!$L$27,'様式２の２（単位数）'!$M$27,'様式２の２（単位数）'!$N$27,'様式２の２（単位数）'!$O$27,'様式２の２（単位数）'!$P$27,'様式２の２（単位数）'!$F$28,'様式２の２（単位数）'!$G$28,'様式２の２（単位数）'!$H$28,'様式２の２（単位数）'!$J$28,'様式２の２（単位数）'!$K$28,'様式２の２（単位数）'!$L$28,'様式２の２（単位数）'!$M$28,'様式２の２（単位数）'!$N$28,'様式２の２（単位数）'!$O$28,'様式２の２（単位数）'!$P$28,'様式２の２（単位数）'!$F$29,'様式２の２（単位数）'!$G$29,'様式２の２（単位数）'!$H$29,'様式２の２（単位数）'!$J$29,'様式２の２（単位数）'!$K$29,'様式２の２（単位数）'!$L$29,'様式２の２（単位数）'!$M$29,'様式２の２（単位数）'!$N$29,'様式２の２（単位数）'!$O$29,'様式２の２（単位数）'!$P$29,'様式２の２（単位数）'!$F$30,'様式２の２（単位数）'!$G$30,'様式２の２（単位数）'!$H$30,'様式２の２（単位数）'!$J$30,'様式２の２（単位数）'!$K$30,'様式２の２（単位数）'!$L$30,'様式２の２（単位数）'!$M$30,'様式２の２（単位数）'!$N$30,'様式２の２（単位数）'!$O$30,'様式２の２（単位数）'!$P$30,'様式２の２（単位数）'!$F$31,'様式２の２（単位数）'!$G$31,'様式２の２（単位数）'!$H$31,'様式２の２（単位数）'!$J$31,'様式２の２（単位数）'!$K$31,'様式２の２（単位数）'!$L$31,'様式２の２（単位数）'!$M$31,'様式２の２（単位数）'!$N$31,'様式２の２（単位数）'!$O$31,'様式２の２（単位数）'!$P$31,'様式２の２（単位数）'!$F$32,'様式２の２（単位数）'!$G$32,'様式２の２（単位数）'!$H$32,'様式２の２（単位数）'!$J$32,'様式２の２（単位数）'!$K$32,'様式２の２（単位数）'!$L$32,'様式２の２（単位数）'!$M$32,'様式２の２（単位数）'!$N$32,'様式２の２（単位数）'!$O$32,'様式２の２（単位数）'!$P$32,'様式２の２（単位数）'!$F$33,'様式２の２（単位数）'!$G$33,'様式２の２（単位数）'!$H$33,'様式２の２（単位数）'!$J$33,'様式２の２（単位数）'!$K$33,'様式２の２（単位数）'!$L$33,'様式２の２（単位数）'!$M$33,'様式２の２（単位数）'!$N$33,'様式２の２（単位数）'!$O$33,'様式２の２（単位数）'!$P$33,'様式２の２（単位数）'!$F$34,'様式２の２（単位数）'!$G$34,'様式２の２（単位数）'!$H$34,'様式２の２（単位数）'!$J$34,'様式２の２（単位数）'!$K$34,'様式２の２（単位数）'!$L$34,'様式２の２（単位数）'!$M$34,'様式２の２（単位数）'!$N$34,'様式２の２（単位数）'!$O$34,'様式２の２（単位数）'!$P$34,'様式２の２（単位数）'!$F$35,'様式２の２（単位数）'!$G$35,'様式２の２（単位数）'!$H$35,'様式２の２（単位数）'!$J$35,'様式２の２（単位数）'!$K$35,'様式２の２（単位数）'!$L$35,'様式２の２（単位数）'!$M$35,'様式２の２（単位数）'!$N$35,'様式２の２（単位数）'!$O$35,'様式２の２（単位数）'!$P$35,'様式２の２（単位数）'!$F$36,'様式２の２（単位数）'!$G$36,'様式２の２（単位数）'!$H$36,'様式２の２（単位数）'!$J$36,'様式２の２（単位数）'!$K$36,'様式２の２（単位数）'!$L$36,'様式２の２（単位数）'!$M$36,'様式２の２（単位数）'!$N$36,'様式２の２（単位数）'!$O$36,'様式２の２（単位数）'!$P$36,'様式２の２（単位数）'!$F$37,'様式２の２（単位数）'!$G$37,'様式２の２（単位数）'!$H$37,'様式２の２（単位数）'!$J$37,'様式２の２（単位数）'!$K$37,'様式２の２（単位数）'!$L$37,'様式２の２（単位数）'!$M$37,'様式２の２（単位数）'!$N$37,'様式２の２（単位数）'!$O$37,'様式２の２（単位数）'!$P$37,'様式２の２（単位数）'!$F$38,'様式２の２（単位数）'!$G$38,'様式２の２（単位数）'!$H$38,'様式２の２（単位数）'!$J$38,'様式２の２（単位数）'!$K$38,'様式２の２（単位数）'!$L$38,'様式２の２（単位数）'!$M$38,'様式２の２（単位数）'!$N$38,'様式２の２（単位数）'!$O$38,'様式２の２（単位数）'!$P$38,'様式２の２（単位数）'!$F$39,'様式２の２（単位数）'!$G$39,'様式２の２（単位数）'!$H$39,'様式２の２（単位数）'!$J$39,'様式２の２（単位数）'!$K$39,'様式２の２（単位数）'!$L$39,'様式２の２（単位数）'!$M$39,'様式２の２（単位数）'!$N$39,'様式２の２（単位数）'!$O$39,'様式２の２（単位数）'!$P$39,'様式２の２（単位数）'!$F$40,'様式２の２（単位数）'!$G$40,'様式２の２（単位数）'!$H$40,'様式２の２（単位数）'!$J$40,'様式２の２（単位数）'!$K$40,'様式２の２（単位数）'!$L$40,'様式２の２（単位数）'!$M$40,'様式２の２（単位数）'!$N$40,'様式２の２（単位数）'!$O$40,'様式２の２（単位数）'!$P$40,'様式２の２（単位数）'!$F$41,'様式２の２（単位数）'!$G$41,'様式２の２（単位数）'!$H$41,'様式２の２（単位数）'!$J$41,'様式２の２（単位数）'!$K$41,'様式２の２（単位数）'!$L$41,'様式２の２（単位数）'!$M$41,'様式２の２（単位数）'!$N$41,'様式２の２（単位数）'!$O$41,'様式２の２（単位数）'!$P$41,'様式２の２（単位数）'!$F$42,'様式２の２（単位数）'!$G$42,'様式２の２（単位数）'!$H$42,'様式２の２（単位数）'!$J$42,'様式２の２（単位数）'!$K$42,'様式２の２（単位数）'!$L$42,'様式２の２（単位数）'!$M$42,'様式２の２（単位数）'!$N$42,'様式２の２（単位数）'!$O$42,'様式２の２（単位数）'!$P$42,'様式２の２（単位数）'!$F$43,'様式２の２（単位数）'!$G$43,'様式２の２（単位数）'!$H$43,'様式２の２（単位数）'!$J$43,'様式２の２（単位数）'!$K$43,'様式２の２（単位数）'!$L$43,'様式２の２（単位数）'!$M$43,'様式２の２（単位数）'!$N$43,'様式２の２（単位数）'!$O$43,'様式２の２（単位数）'!$P$43,'様式２の２（単位数）'!$F$44,'様式２の２（単位数）'!$G$44,'様式２の２（単位数）'!$H$44,'様式２の２（単位数）'!$J$44,'様式２の２（単位数）'!$K$44,'様式２の２（単位数）'!$L$44,'様式２の２（単位数）'!$M$44,'様式２の２（単位数）'!$N$44,'様式２の２（単位数）'!$O$44,'様式２の２（単位数）'!$P$44,'様式２の２（単位数）'!$F$45,'様式２の２（単位数）'!$G$45,'様式２の２（単位数）'!$H$45,'様式２の２（単位数）'!$J$45,'様式２の２（単位数）'!$K$45,'様式２の２（単位数）'!$L$45,'様式２の２（単位数）'!$M$45,'様式２の２（単位数）'!$N$45,'様式２の２（単位数）'!$O$45,'様式２の２（単位数）'!$P$45</definedName>
    <definedName name="databind" localSheetId="19">'様式２の２（費用額）'!$F$11,'様式２の２（費用額）'!$G$11,'様式２の２（費用額）'!$H$11,'様式２の２（費用額）'!$J$11,'様式２の２（費用額）'!$K$11,'様式２の２（費用額）'!$L$11,'様式２の２（費用額）'!$M$11,'様式２の２（費用額）'!$N$11,'様式２の２（費用額）'!$O$11,'様式２の２（費用額）'!$P$11,'様式２の２（費用額）'!$F$12,'様式２の２（費用額）'!$G$12,'様式２の２（費用額）'!$H$12,'様式２の２（費用額）'!$J$12,'様式２の２（費用額）'!$K$12,'様式２の２（費用額）'!$L$12,'様式２の２（費用額）'!$M$12,'様式２の２（費用額）'!$N$12,'様式２の２（費用額）'!$O$12,'様式２の２（費用額）'!$P$12,'様式２の２（費用額）'!$F$13,'様式２の２（費用額）'!$G$13,'様式２の２（費用額）'!$H$13,'様式２の２（費用額）'!$J$13,'様式２の２（費用額）'!$K$13,'様式２の２（費用額）'!$L$13,'様式２の２（費用額）'!$M$13,'様式２の２（費用額）'!$N$13,'様式２の２（費用額）'!$O$13,'様式２の２（費用額）'!$P$13,'様式２の２（費用額）'!$F$14,'様式２の２（費用額）'!$G$14,'様式２の２（費用額）'!$H$14,'様式２の２（費用額）'!$J$14,'様式２の２（費用額）'!$K$14,'様式２の２（費用額）'!$L$14,'様式２の２（費用額）'!$M$14,'様式２の２（費用額）'!$N$14,'様式２の２（費用額）'!$O$14,'様式２の２（費用額）'!$P$14,'様式２の２（費用額）'!$F$15,'様式２の２（費用額）'!$G$15,'様式２の２（費用額）'!$H$15,'様式２の２（費用額）'!$J$15,'様式２の２（費用額）'!$K$15,'様式２の２（費用額）'!$L$15,'様式２の２（費用額）'!$M$15,'様式２の２（費用額）'!$N$15,'様式２の２（費用額）'!$O$15,'様式２の２（費用額）'!$P$15,'様式２の２（費用額）'!$F$16,'様式２の２（費用額）'!$G$16,'様式２の２（費用額）'!$H$16,'様式２の２（費用額）'!$J$16,'様式２の２（費用額）'!$K$16,'様式２の２（費用額）'!$L$16,'様式２の２（費用額）'!$M$16,'様式２の２（費用額）'!$N$16,'様式２の２（費用額）'!$O$16,'様式２の２（費用額）'!$P$16,'様式２の２（費用額）'!$F$17,'様式２の２（費用額）'!$G$17,'様式２の２（費用額）'!$H$17,'様式２の２（費用額）'!$J$17,'様式２の２（費用額）'!$K$17,'様式２の２（費用額）'!$L$17,'様式２の２（費用額）'!$M$17,'様式２の２（費用額）'!$N$17,'様式２の２（費用額）'!$O$17,'様式２の２（費用額）'!$P$17,'様式２の２（費用額）'!$F$18,'様式２の２（費用額）'!$G$18,'様式２の２（費用額）'!$H$18,'様式２の２（費用額）'!$J$18,'様式２の２（費用額）'!$K$18,'様式２の２（費用額）'!$L$18,'様式２の２（費用額）'!$M$18,'様式２の２（費用額）'!$N$18,'様式２の２（費用額）'!$O$18,'様式２の２（費用額）'!$P$18,'様式２の２（費用額）'!$F$19,'様式２の２（費用額）'!$G$19,'様式２の２（費用額）'!$H$19,'様式２の２（費用額）'!$J$19,'様式２の２（費用額）'!$K$19,'様式２の２（費用額）'!$L$19,'様式２の２（費用額）'!$M$19,'様式２の２（費用額）'!$N$19,'様式２の２（費用額）'!$O$19,'様式２の２（費用額）'!$P$19,'様式２の２（費用額）'!$F$20,'様式２の２（費用額）'!$G$20,'様式２の２（費用額）'!$H$20,'様式２の２（費用額）'!$J$20,'様式２の２（費用額）'!$K$20,'様式２の２（費用額）'!$L$20,'様式２の２（費用額）'!$M$20,'様式２の２（費用額）'!$N$20,'様式２の２（費用額）'!$O$20,'様式２の２（費用額）'!$P$20,'様式２の２（費用額）'!$F$21,'様式２の２（費用額）'!$G$21,'様式２の２（費用額）'!$H$21,'様式２の２（費用額）'!$J$21,'様式２の２（費用額）'!$K$21,'様式２の２（費用額）'!$L$21,'様式２の２（費用額）'!$M$21,'様式２の２（費用額）'!$N$21,'様式２の２（費用額）'!$O$21,'様式２の２（費用額）'!$P$21,'様式２の２（費用額）'!$F$22,'様式２の２（費用額）'!$G$22,'様式２の２（費用額）'!$H$22,'様式２の２（費用額）'!$J$22,'様式２の２（費用額）'!$K$22,'様式２の２（費用額）'!$L$22,'様式２の２（費用額）'!$M$22,'様式２の２（費用額）'!$N$22,'様式２の２（費用額）'!$O$22,'様式２の２（費用額）'!$P$22,'様式２の２（費用額）'!$F$23,'様式２の２（費用額）'!$G$23,'様式２の２（費用額）'!$H$23,'様式２の２（費用額）'!$J$23,'様式２の２（費用額）'!$K$23,'様式２の２（費用額）'!$L$23,'様式２の２（費用額）'!$M$23,'様式２の２（費用額）'!$N$23,'様式２の２（費用額）'!$O$23,'様式２の２（費用額）'!$P$23,'様式２の２（費用額）'!$F$24,'様式２の２（費用額）'!$G$24,'様式２の２（費用額）'!$H$24,'様式２の２（費用額）'!$J$24,'様式２の２（費用額）'!$K$24,'様式２の２（費用額）'!$L$24,'様式２の２（費用額）'!$M$24,'様式２の２（費用額）'!$N$24,'様式２の２（費用額）'!$O$24,'様式２の２（費用額）'!$P$24,'様式２の２（費用額）'!$F$25,'様式２の２（費用額）'!$G$25,'様式２の２（費用額）'!$H$25,'様式２の２（費用額）'!$J$25,'様式２の２（費用額）'!$K$25,'様式２の２（費用額）'!$L$25,'様式２の２（費用額）'!$M$25,'様式２の２（費用額）'!$N$25,'様式２の２（費用額）'!$O$25,'様式２の２（費用額）'!$P$25,'様式２の２（費用額）'!$F$26,'様式２の２（費用額）'!$G$26,'様式２の２（費用額）'!$H$26,'様式２の２（費用額）'!$J$26,'様式２の２（費用額）'!$K$26,'様式２の２（費用額）'!$L$26,'様式２の２（費用額）'!$M$26,'様式２の２（費用額）'!$N$26,'様式２の２（費用額）'!$O$26,'様式２の２（費用額）'!$P$26,'様式２の２（費用額）'!$F$27,'様式２の２（費用額）'!$G$27,'様式２の２（費用額）'!$H$27,'様式２の２（費用額）'!$J$27,'様式２の２（費用額）'!$K$27,'様式２の２（費用額）'!$L$27,'様式２の２（費用額）'!$M$27,'様式２の２（費用額）'!$N$27,'様式２の２（費用額）'!$O$27,'様式２の２（費用額）'!$P$27,'様式２の２（費用額）'!$F$28,'様式２の２（費用額）'!$G$28,'様式２の２（費用額）'!$H$28,'様式２の２（費用額）'!$J$28,'様式２の２（費用額）'!$K$28,'様式２の２（費用額）'!$L$28,'様式２の２（費用額）'!$M$28,'様式２の２（費用額）'!$N$28,'様式２の２（費用額）'!$O$28,'様式２の２（費用額）'!$P$28,'様式２の２（費用額）'!$F$29,'様式２の２（費用額）'!$G$29,'様式２の２（費用額）'!$H$29,'様式２の２（費用額）'!$J$29,'様式２の２（費用額）'!$K$29,'様式２の２（費用額）'!$L$29,'様式２の２（費用額）'!$M$29,'様式２の２（費用額）'!$N$29,'様式２の２（費用額）'!$O$29,'様式２の２（費用額）'!$P$29,'様式２の２（費用額）'!$F$30,'様式２の２（費用額）'!$G$30,'様式２の２（費用額）'!$H$30,'様式２の２（費用額）'!$J$30,'様式２の２（費用額）'!$K$30,'様式２の２（費用額）'!$L$30,'様式２の２（費用額）'!$M$30,'様式２の２（費用額）'!$N$30,'様式２の２（費用額）'!$O$30,'様式２の２（費用額）'!$P$30,'様式２の２（費用額）'!$F$31,'様式２の２（費用額）'!$G$31,'様式２の２（費用額）'!$H$31,'様式２の２（費用額）'!$J$31,'様式２の２（費用額）'!$K$31,'様式２の２（費用額）'!$L$31,'様式２の２（費用額）'!$M$31,'様式２の２（費用額）'!$N$31,'様式２の２（費用額）'!$O$31,'様式２の２（費用額）'!$P$31,'様式２の２（費用額）'!$F$32,'様式２の２（費用額）'!$G$32,'様式２の２（費用額）'!$H$32,'様式２の２（費用額）'!$J$32,'様式２の２（費用額）'!$K$32,'様式２の２（費用額）'!$L$32,'様式２の２（費用額）'!$M$32,'様式２の２（費用額）'!$N$32,'様式２の２（費用額）'!$O$32,'様式２の２（費用額）'!$P$32,'様式２の２（費用額）'!$F$33,'様式２の２（費用額）'!$G$33,'様式２の２（費用額）'!$H$33,'様式２の２（費用額）'!$J$33,'様式２の２（費用額）'!$K$33,'様式２の２（費用額）'!$L$33,'様式２の２（費用額）'!$M$33,'様式２の２（費用額）'!$N$33,'様式２の２（費用額）'!$O$33,'様式２の２（費用額）'!$P$33,'様式２の２（費用額）'!$F$34,'様式２の２（費用額）'!$G$34,'様式２の２（費用額）'!$H$34,'様式２の２（費用額）'!$J$34,'様式２の２（費用額）'!$K$34,'様式２の２（費用額）'!$L$34,'様式２の２（費用額）'!$M$34,'様式２の２（費用額）'!$N$34,'様式２の２（費用額）'!$O$34,'様式２の２（費用額）'!$P$34,'様式２の２（費用額）'!$F$35,'様式２の２（費用額）'!$G$35,'様式２の２（費用額）'!$H$35,'様式２の２（費用額）'!$J$35,'様式２の２（費用額）'!$K$35,'様式２の２（費用額）'!$L$35,'様式２の２（費用額）'!$M$35,'様式２の２（費用額）'!$N$35,'様式２の２（費用額）'!$O$35,'様式２の２（費用額）'!$P$35,'様式２の２（費用額）'!$F$36,'様式２の２（費用額）'!$G$36,'様式２の２（費用額）'!$H$36,'様式２の２（費用額）'!$J$36,'様式２の２（費用額）'!$K$36,'様式２の２（費用額）'!$L$36,'様式２の２（費用額）'!$M$36,'様式２の２（費用額）'!$N$36,'様式２の２（費用額）'!$O$36,'様式２の２（費用額）'!$P$36,'様式２の２（費用額）'!$F$37,'様式２の２（費用額）'!$G$37,'様式２の２（費用額）'!$H$37,'様式２の２（費用額）'!$J$37,'様式２の２（費用額）'!$K$37,'様式２の２（費用額）'!$L$37,'様式２の２（費用額）'!$M$37,'様式２の２（費用額）'!$N$37,'様式２の２（費用額）'!$O$37,'様式２の２（費用額）'!$P$37,'様式２の２（費用額）'!$F$38,'様式２の２（費用額）'!$G$38,'様式２の２（費用額）'!$H$38,'様式２の２（費用額）'!$J$38,'様式２の２（費用額）'!$K$38,'様式２の２（費用額）'!$L$38,'様式２の２（費用額）'!$M$38,'様式２の２（費用額）'!$N$38,'様式２の２（費用額）'!$O$38,'様式２の２（費用額）'!$P$38,'様式２の２（費用額）'!$F$39,'様式２の２（費用額）'!$G$39,'様式２の２（費用額）'!$H$39,'様式２の２（費用額）'!$J$39,'様式２の２（費用額）'!$K$39,'様式２の２（費用額）'!$L$39,'様式２の２（費用額）'!$M$39,'様式２の２（費用額）'!$N$39,'様式２の２（費用額）'!$O$39,'様式２の２（費用額）'!$P$39,'様式２の２（費用額）'!$F$40,'様式２の２（費用額）'!$G$40,'様式２の２（費用額）'!$H$40,'様式２の２（費用額）'!$J$40,'様式２の２（費用額）'!$K$40,'様式２の２（費用額）'!$L$40,'様式２の２（費用額）'!$M$40,'様式２の２（費用額）'!$N$40,'様式２の２（費用額）'!$O$40,'様式２の２（費用額）'!$P$40,'様式２の２（費用額）'!$F$41,'様式２の２（費用額）'!$G$41,'様式２の２（費用額）'!$H$41,'様式２の２（費用額）'!$J$41,'様式２の２（費用額）'!$K$41,'様式２の２（費用額）'!$L$41,'様式２の２（費用額）'!$M$41,'様式２の２（費用額）'!$N$41,'様式２の２（費用額）'!$O$41,'様式２の２（費用額）'!$P$41,'様式２の２（費用額）'!$F$42,'様式２の２（費用額）'!$G$42,'様式２の２（費用額）'!$H$42,'様式２の２（費用額）'!$J$42,'様式２の２（費用額）'!$K$42,'様式２の２（費用額）'!$L$42,'様式２の２（費用額）'!$M$42,'様式２の２（費用額）'!$N$42,'様式２の２（費用額）'!$O$42,'様式２の２（費用額）'!$P$42,'様式２の２（費用額）'!$F$43,'様式２の２（費用額）'!$G$43,'様式２の２（費用額）'!$H$43,'様式２の２（費用額）'!$J$43,'様式２の２（費用額）'!$K$43,'様式２の２（費用額）'!$L$43,'様式２の２（費用額）'!$M$43,'様式２の２（費用額）'!$N$43,'様式２の２（費用額）'!$O$43,'様式２の２（費用額）'!$P$43,'様式２の２（費用額）'!$F$44,'様式２の２（費用額）'!$G$44,'様式２の２（費用額）'!$H$44,'様式２の２（費用額）'!$J$44,'様式２の２（費用額）'!$K$44,'様式２の２（費用額）'!$L$44,'様式２の２（費用額）'!$M$44,'様式２の２（費用額）'!$N$44,'様式２の２（費用額）'!$O$44,'様式２の２（費用額）'!$P$44,'様式２の２（費用額）'!$F$45,'様式２の２（費用額）'!$G$45,'様式２の２（費用額）'!$H$45,'様式２の２（費用額）'!$J$45,'様式２の２（費用額）'!$K$45,'様式２の２（費用額）'!$L$45,'様式２の２（費用額）'!$M$45,'様式２の２（費用額）'!$N$45,'様式２の２（費用額）'!$O$45,'様式２の２（費用額）'!$P$45,'様式２の２（費用額）'!$F$46,'様式２の２（費用額）'!$G$46,'様式２の２（費用額）'!$H$46,'様式２の２（費用額）'!$J$46,'様式２の２（費用額）'!$K$46,'様式２の２（費用額）'!$L$46,'様式２の２（費用額）'!$M$46,'様式２の２（費用額）'!$N$46,'様式２の２（費用額）'!$O$46,'様式２の２（費用額）'!$P$46,'様式２の２（費用額）'!$F$47,'様式２の２（費用額）'!$G$47,'様式２の２（費用額）'!$H$47,'様式２の２（費用額）'!$J$47,'様式２の２（費用額）'!$K$47,'様式２の２（費用額）'!$L$47,'様式２の２（費用額）'!$M$47,'様式２の２（費用額）'!$N$47,'様式２の２（費用額）'!$O$47,'様式２の２（費用額）'!$P$47</definedName>
    <definedName name="databind" localSheetId="24">'様式２の３（給付費）'!$F$11,'様式２の３（給付費）'!$G$11,'様式２の３（給付費）'!$H$11,'様式２の３（給付費）'!$J$11,'様式２の３（給付費）'!$K$11,'様式２の３（給付費）'!$L$11,'様式２の３（給付費）'!$M$11,'様式２の３（給付費）'!$N$11,'様式２の３（給付費）'!$O$11,'様式２の３（給付費）'!$P$11,'様式２の３（給付費）'!$F$12,'様式２の３（給付費）'!$G$12,'様式２の３（給付費）'!$H$12,'様式２の３（給付費）'!$J$12,'様式２の３（給付費）'!$K$12,'様式２の３（給付費）'!$L$12,'様式２の３（給付費）'!$M$12,'様式２の３（給付費）'!$N$12,'様式２の３（給付費）'!$O$12,'様式２の３（給付費）'!$P$12,'様式２の３（給付費）'!$F$13,'様式２の３（給付費）'!$G$13,'様式２の３（給付費）'!$H$13,'様式２の３（給付費）'!$J$13,'様式２の３（給付費）'!$K$13,'様式２の３（給付費）'!$L$13,'様式２の３（給付費）'!$M$13,'様式２の３（給付費）'!$N$13,'様式２の３（給付費）'!$O$13,'様式２の３（給付費）'!$P$13,'様式２の３（給付費）'!$F$14,'様式２の３（給付費）'!$G$14,'様式２の３（給付費）'!$H$14,'様式２の３（給付費）'!$J$14,'様式２の３（給付費）'!$K$14,'様式２の３（給付費）'!$L$14,'様式２の３（給付費）'!$M$14,'様式２の３（給付費）'!$N$14,'様式２の３（給付費）'!$O$14,'様式２の３（給付費）'!$P$14,'様式２の３（給付費）'!$F$15,'様式２の３（給付費）'!$G$15,'様式２の３（給付費）'!$H$15,'様式２の３（給付費）'!$J$15,'様式２の３（給付費）'!$K$15,'様式２の３（給付費）'!$L$15,'様式２の３（給付費）'!$M$15,'様式２の３（給付費）'!$N$15,'様式２の３（給付費）'!$O$15,'様式２の３（給付費）'!$P$15,'様式２の３（給付費）'!$F$16,'様式２の３（給付費）'!$G$16,'様式２の３（給付費）'!$H$16,'様式２の３（給付費）'!$J$16,'様式２の３（給付費）'!$K$16,'様式２の３（給付費）'!$L$16,'様式２の３（給付費）'!$M$16,'様式２の３（給付費）'!$N$16,'様式２の３（給付費）'!$O$16,'様式２の３（給付費）'!$P$16,'様式２の３（給付費）'!$F$17,'様式２の３（給付費）'!$G$17,'様式２の３（給付費）'!$H$17,'様式２の３（給付費）'!$J$17,'様式２の３（給付費）'!$K$17,'様式２の３（給付費）'!$L$17,'様式２の３（給付費）'!$M$17,'様式２の３（給付費）'!$N$17,'様式２の３（給付費）'!$O$17,'様式２の３（給付費）'!$P$17,'様式２の３（給付費）'!$F$18,'様式２の３（給付費）'!$G$18,'様式２の３（給付費）'!$H$18,'様式２の３（給付費）'!$J$18,'様式２の３（給付費）'!$K$18,'様式２の３（給付費）'!$L$18,'様式２の３（給付費）'!$M$18,'様式２の３（給付費）'!$N$18,'様式２の３（給付費）'!$O$18,'様式２の３（給付費）'!$P$18,'様式２の３（給付費）'!$F$19,'様式２の３（給付費）'!$G$19,'様式２の３（給付費）'!$H$19,'様式２の３（給付費）'!$J$19,'様式２の３（給付費）'!$K$19,'様式２の３（給付費）'!$L$19,'様式２の３（給付費）'!$M$19,'様式２の３（給付費）'!$N$19,'様式２の３（給付費）'!$O$19,'様式２の３（給付費）'!$P$19,'様式２の３（給付費）'!$F$20,'様式２の３（給付費）'!$G$20,'様式２の３（給付費）'!$H$20,'様式２の３（給付費）'!$J$20,'様式２の３（給付費）'!$K$20,'様式２の３（給付費）'!$L$20,'様式２の３（給付費）'!$M$20,'様式２の３（給付費）'!$N$20,'様式２の３（給付費）'!$O$20,'様式２の３（給付費）'!$P$20,'様式２の３（給付費）'!$F$21,'様式２の３（給付費）'!$G$21,'様式２の３（給付費）'!$H$21,'様式２の３（給付費）'!$J$21,'様式２の３（給付費）'!$L$21,'様式２の３（給付費）'!$M$21,'様式２の３（給付費）'!$K$21,'様式２の３（給付費）'!$N$21,'様式２の３（給付費）'!$O$21,'様式２の３（給付費）'!$P$21,'様式２の３（給付費）'!$F$22,'様式２の３（給付費）'!$G$22,'様式２の３（給付費）'!$H$22,'様式２の３（給付費）'!$J$22,'様式２の３（給付費）'!$K$22,'様式２の３（給付費）'!$L$22,'様式２の３（給付費）'!$N$22,'様式２の３（給付費）'!$O$22,'様式２の３（給付費）'!$P$22,'様式２の３（給付費）'!$M$22,'様式２の３（給付費）'!$F$23,'様式２の３（給付費）'!$G$23,'様式２の３（給付費）'!$H$23,'様式２の３（給付費）'!$J$23,'様式２の３（給付費）'!$K$23,'様式２の３（給付費）'!$L$23,'様式２の３（給付費）'!$M$23,'様式２の３（給付費）'!$N$23,'様式２の３（給付費）'!$O$23,'様式２の３（給付費）'!$P$23,'様式２の３（給付費）'!$P$24,'様式２の３（給付費）'!$O$24,'様式２の３（給付費）'!$N$24,'様式２の３（給付費）'!$M$24,'様式２の３（給付費）'!$L$24,'様式２の３（給付費）'!$K$24,'様式２の３（給付費）'!$J$24,'様式２の３（給付費）'!$H$24,'様式２の３（給付費）'!$G$24,'様式２の３（給付費）'!$F$24,'様式２の３（給付費）'!$F$25,'様式２の３（給付費）'!$G$25,'様式２の３（給付費）'!$H$25,'様式２の３（給付費）'!$J$25,'様式２の３（給付費）'!$K$25,'様式２の３（給付費）'!$L$25,'様式２の３（給付費）'!$M$25,'様式２の３（給付費）'!$N$25,'様式２の３（給付費）'!$O$25,'様式２の３（給付費）'!$P$25,'様式２の３（給付費）'!$P$26,'様式２の３（給付費）'!$O$26,'様式２の３（給付費）'!$N$26,'様式２の３（給付費）'!$M$26,'様式２の３（給付費）'!$L$26,'様式２の３（給付費）'!$K$26,'様式２の３（給付費）'!$J$26,'様式２の３（給付費）'!$H$26,'様式２の３（給付費）'!$G$26,'様式２の３（給付費）'!$F$26,'様式２の３（給付費）'!$F$27,'様式２の３（給付費）'!$G$27,'様式２の３（給付費）'!$H$27,'様式２の３（給付費）'!$J$27,'様式２の３（給付費）'!$K$27,'様式２の３（給付費）'!$L$27,'様式２の３（給付費）'!$M$27,'様式２の３（給付費）'!$N$27,'様式２の３（給付費）'!$O$27,'様式２の３（給付費）'!$P$27,'様式２の３（給付費）'!$P$28,'様式２の３（給付費）'!$O$28,'様式２の３（給付費）'!$N$28,'様式２の３（給付費）'!$M$28,'様式２の３（給付費）'!$L$28,'様式２の３（給付費）'!$K$28,'様式２の３（給付費）'!$J$28,'様式２の３（給付費）'!$H$28,'様式２の３（給付費）'!$G$28,'様式２の３（給付費）'!$F$28,'様式２の３（給付費）'!$F$29,'様式２の３（給付費）'!$G$29,'様式２の３（給付費）'!$H$29,'様式２の３（給付費）'!$J$29,'様式２の３（給付費）'!$K$29,'様式２の３（給付費）'!$L$29,'様式２の３（給付費）'!$M$29,'様式２の３（給付費）'!$N$29,'様式２の３（給付費）'!$O$29,'様式２の３（給付費）'!$P$29,'様式２の３（給付費）'!$F$30,'様式２の３（給付費）'!$G$30,'様式２の３（給付費）'!$H$30,'様式２の３（給付費）'!$J$30,'様式２の３（給付費）'!$K$30,'様式２の３（給付費）'!$L$30,'様式２の３（給付費）'!$M$30,'様式２の３（給付費）'!$N$30,'様式２の３（給付費）'!$O$30,'様式２の３（給付費）'!$P$30,'様式２の３（給付費）'!$P$31,'様式２の３（給付費）'!$O$31,'様式２の３（給付費）'!$N$31,'様式２の３（給付費）'!$M$31,'様式２の３（給付費）'!$L$31,'様式２の３（給付費）'!$K$31,'様式２の３（給付費）'!$J$31,'様式２の３（給付費）'!$H$31,'様式２の３（給付費）'!$G$31,'様式２の３（給付費）'!$F$31,'様式２の３（給付費）'!$F$32,'様式２の３（給付費）'!$H$33,'様式２の３（給付費）'!$G$33,'様式２の３（給付費）'!$G$32,'様式２の３（給付費）'!$F$33,'様式２の３（給付費）'!$H$32,'様式２の３（給付費）'!$J$32,'様式２の３（給付費）'!$J$33,'様式２の３（給付費）'!$K$32,'様式２の３（給付費）'!$K$33,'様式２の３（給付費）'!$L$32,'様式２の３（給付費）'!$L$33,'様式２の３（給付費）'!$M$32,'様式２の３（給付費）'!$M$33,'様式２の３（給付費）'!$N$32,'様式２の３（給付費）'!$N$33,'様式２の３（給付費）'!$O$33,'様式２の３（給付費）'!$O$32,'様式２の３（給付費）'!$P$32,'様式２の３（給付費）'!$P$33,'様式２の３（給付費）'!$F$34,'様式２の３（給付費）'!$G$34,'様式２の３（給付費）'!$H$34,'様式２の３（給付費）'!$J$34,'様式２の３（給付費）'!$K$34,'様式２の３（給付費）'!$L$34,'様式２の３（給付費）'!$M$34,'様式２の３（給付費）'!$N$34,'様式２の３（給付費）'!$O$34,'様式２の３（給付費）'!$P$34,'様式２の３（給付費）'!$F$35,'様式２の３（給付費）'!$G$35,'様式２の３（給付費）'!$H$35,'様式２の３（給付費）'!$J$35,'様式２の３（給付費）'!$K$35,'様式２の３（給付費）'!$L$35,'様式２の３（給付費）'!$M$35,'様式２の３（給付費）'!$N$35,'様式２の３（給付費）'!$O$35,'様式２の３（給付費）'!$P$35,'様式２の３（給付費）'!$F$36,'様式２の３（給付費）'!$G$36,'様式２の３（給付費）'!$H$36,'様式２の３（給付費）'!$J$36,'様式２の３（給付費）'!$K$36,'様式２の３（給付費）'!$L$36,'様式２の３（給付費）'!$M$36,'様式２の３（給付費）'!$N$36,'様式２の３（給付費）'!$O$36,'様式２の３（給付費）'!$P$36,'様式２の３（給付費）'!$F$37,'様式２の３（給付費）'!$G$37,'様式２の３（給付費）'!$H$37,'様式２の３（給付費）'!$J$37,'様式２の３（給付費）'!$K$37,'様式２の３（給付費）'!$L$37,'様式２の３（給付費）'!$M$37,'様式２の３（給付費）'!$N$37,'様式２の３（給付費）'!$O$37,'様式２の３（給付費）'!$P$37,'様式２の３（給付費）'!$F$38,'様式２の３（給付費）'!$G$38,'様式２の３（給付費）'!$H$38,'様式２の３（給付費）'!$J$38,'様式２の３（給付費）'!$K$38,'様式２の３（給付費）'!$L$38,'様式２の３（給付費）'!$M$38,'様式２の３（給付費）'!$N$38,'様式２の３（給付費）'!$O$38,'様式２の３（給付費）'!$P$38,'様式２の３（給付費）'!$F$39,'様式２の３（給付費）'!$G$39,'様式２の３（給付費）'!$H$39,'様式２の３（給付費）'!$J$39,'様式２の３（給付費）'!$K$39,'様式２の３（給付費）'!$L$39,'様式２の３（給付費）'!$M$39,'様式２の３（給付費）'!$N$39,'様式２の３（給付費）'!$O$39,'様式２の３（給付費）'!$P$39,'様式２の３（給付費）'!$F$40,'様式２の３（給付費）'!$G$40,'様式２の３（給付費）'!$H$40,'様式２の３（給付費）'!$J$40,'様式２の３（給付費）'!$K$40,'様式２の３（給付費）'!$L$40,'様式２の３（給付費）'!$M$40,'様式２の３（給付費）'!$N$40,'様式２の３（給付費）'!$O$40,'様式２の３（給付費）'!$P$40,'様式２の３（給付費）'!$F$41,'様式２の３（給付費）'!$G$41,'様式２の３（給付費）'!$H$41,'様式２の３（給付費）'!$J$41,'様式２の３（給付費）'!$K$41,'様式２の３（給付費）'!$L$41,'様式２の３（給付費）'!$M$41,'様式２の３（給付費）'!$N$41,'様式２の３（給付費）'!$O$41,'様式２の３（給付費）'!$P$41,'様式２の３（給付費）'!$F$42,'様式２の３（給付費）'!$G$42,'様式２の３（給付費）'!$H$42,'様式２の３（給付費）'!$J$42,'様式２の３（給付費）'!$K$42,'様式２の３（給付費）'!$L$42,'様式２の３（給付費）'!$M$42,'様式２の３（給付費）'!$N$42,'様式２の３（給付費）'!$O$42,'様式２の３（給付費）'!$P$42,'様式２の３（給付費）'!$F$43,'様式２の３（給付費）'!$G$43,'様式２の３（給付費）'!$H$43,'様式２の３（給付費）'!$J$43,'様式２の３（給付費）'!$K$43,'様式２の３（給付費）'!$L$43,'様式２の３（給付費）'!$M$43,'様式２の３（給付費）'!$N$43,'様式２の３（給付費）'!$O$43,'様式２の３（給付費）'!$P$43,'様式２の３（給付費）'!$F$44,'様式２の３（給付費）'!$G$44,'様式２の３（給付費）'!$H$44,'様式２の３（給付費）'!$J$44,'様式２の３（給付費）'!$K$44,'様式２の３（給付費）'!$L$44,'様式２の３（給付費）'!$M$44,'様式２の３（給付費）'!$N$44,'様式２の３（給付費）'!$O$44,'様式２の３（給付費）'!$P$44,'様式２の３（給付費）'!$F$45,'様式２の３（給付費）'!$G$45,'様式２の３（給付費）'!$H$45,'様式２の３（給付費）'!$J$45,'様式２の３（給付費）'!$K$45,'様式２の３（給付費）'!$L$45,'様式２の３（給付費）'!$M$45,'様式２の３（給付費）'!$N$45,'様式２の３（給付費）'!$O$45,'様式２の３（給付費）'!$P$45,'様式２の３（給付費）'!$F$46,'様式２の３（給付費）'!$G$46,'様式２の３（給付費）'!$H$46,'様式２の３（給付費）'!$J$46,'様式２の３（給付費）'!$K$46,'様式２の３（給付費）'!$L$46,'様式２の３（給付費）'!$M$46,'様式２の３（給付費）'!$N$46,'様式２の３（給付費）'!$O$46,'様式２の３（給付費）'!$P$46,'様式２の３（給付費）'!$F$47,'様式２の３（給付費）'!$G$47,'様式２の３（給付費）'!$H$47,'様式２の３（給付費）'!$J$47,'様式２の３（給付費）'!$K$47,'様式２の３（給付費）'!$L$47,'様式２の３（給付費）'!$M$47,'様式２の３（給付費）'!$N$47,'様式２の３（給付費）'!$O$47,'様式２の３（給付費）'!$P$47</definedName>
    <definedName name="databind" localSheetId="21">'様式２の３（件数）'!$F$11,'様式２の３（件数）'!$G$11,'様式２の３（件数）'!$H$11,'様式２の３（件数）'!$J$11,'様式２の３（件数）'!$K$11,'様式２の３（件数）'!$L$11,'様式２の３（件数）'!$M$11,'様式２の３（件数）'!$N$11,'様式２の３（件数）'!$O$11,'様式２の３（件数）'!$P$11,'様式２の３（件数）'!$F$12,'様式２の３（件数）'!$G$12,'様式２の３（件数）'!$H$12,'様式２の３（件数）'!$J$12,'様式２の３（件数）'!$K$12,'様式２の３（件数）'!$L$12,'様式２の３（件数）'!$M$12,'様式２の３（件数）'!$N$12,'様式２の３（件数）'!$O$12,'様式２の３（件数）'!$P$12,'様式２の３（件数）'!$F$13,'様式２の３（件数）'!$G$13,'様式２の３（件数）'!$H$13,'様式２の３（件数）'!$J$13,'様式２の３（件数）'!$K$13,'様式２の３（件数）'!$L$13,'様式２の３（件数）'!$M$13,'様式２の３（件数）'!$N$13,'様式２の３（件数）'!$O$13,'様式２の３（件数）'!$P$13,'様式２の３（件数）'!$F$14,'様式２の３（件数）'!$G$14,'様式２の３（件数）'!$H$14,'様式２の３（件数）'!$J$14,'様式２の３（件数）'!$K$14,'様式２の３（件数）'!$L$14,'様式２の３（件数）'!$M$14,'様式２の３（件数）'!$N$14,'様式２の３（件数）'!$O$14,'様式２の３（件数）'!$P$14,'様式２の３（件数）'!$F$15,'様式２の３（件数）'!$G$15,'様式２の３（件数）'!$H$15,'様式２の３（件数）'!$J$15,'様式２の３（件数）'!$K$15,'様式２の３（件数）'!$L$15,'様式２の３（件数）'!$M$15,'様式２の３（件数）'!$N$15,'様式２の３（件数）'!$O$15,'様式２の３（件数）'!$P$15,'様式２の３（件数）'!$G$16,'様式２の３（件数）'!$F$16,'様式２の３（件数）'!$H$16,'様式２の３（件数）'!$J$16,'様式２の３（件数）'!$K$16,'様式２の３（件数）'!$L$16,'様式２の３（件数）'!$M$16,'様式２の３（件数）'!$N$16,'様式２の３（件数）'!$O$16,'様式２の３（件数）'!$P$16,'様式２の３（件数）'!$F$17,'様式２の３（件数）'!$G$17,'様式２の３（件数）'!$H$17,'様式２の３（件数）'!$J$17,'様式２の３（件数）'!$K$17,'様式２の３（件数）'!$L$17,'様式２の３（件数）'!$M$17,'様式２の３（件数）'!$N$17,'様式２の３（件数）'!$O$17,'様式２の３（件数）'!$P$17,'様式２の３（件数）'!$F$18,'様式２の３（件数）'!$G$18,'様式２の３（件数）'!$H$18,'様式２の３（件数）'!$J$18,'様式２の３（件数）'!$K$18,'様式２の３（件数）'!$L$18,'様式２の３（件数）'!$M$18,'様式２の３（件数）'!$N$18,'様式２の３（件数）'!$O$18,'様式２の３（件数）'!$P$18,'様式２の３（件数）'!$F$19,'様式２の３（件数）'!$G$19,'様式２の３（件数）'!$H$19,'様式２の３（件数）'!$J$19,'様式２の３（件数）'!$K$19,'様式２の３（件数）'!$L$19,'様式２の３（件数）'!$M$19,'様式２の３（件数）'!$N$19,'様式２の３（件数）'!$O$19,'様式２の３（件数）'!$P$19,'様式２の３（件数）'!$F$20,'様式２の３（件数）'!$G$20,'様式２の３（件数）'!$H$20,'様式２の３（件数）'!$J$20,'様式２の３（件数）'!$K$20,'様式２の３（件数）'!$L$20,'様式２の３（件数）'!$M$20,'様式２の３（件数）'!$N$20,'様式２の３（件数）'!$O$20,'様式２の３（件数）'!$P$20,'様式２の３（件数）'!$F$21,'様式２の３（件数）'!$H$21,'様式２の３（件数）'!$G$21,'様式２の３（件数）'!$J$21,'様式２の３（件数）'!$K$21,'様式２の３（件数）'!$L$21,'様式２の３（件数）'!$M$21,'様式２の３（件数）'!$N$21,'様式２の３（件数）'!$O$21,'様式２の３（件数）'!$P$21,'様式２の３（件数）'!$F$22,'様式２の３（件数）'!$G$22,'様式２の３（件数）'!$H$22,'様式２の３（件数）'!$J$22,'様式２の３（件数）'!$K$22,'様式２の３（件数）'!$L$22,'様式２の３（件数）'!$M$22,'様式２の３（件数）'!$N$22,'様式２の３（件数）'!$O$22,'様式２の３（件数）'!$P$22,'様式２の３（件数）'!$F$23,'様式２の３（件数）'!$G$23,'様式２の３（件数）'!$H$23,'様式２の３（件数）'!$J$23,'様式２の３（件数）'!$K$23,'様式２の３（件数）'!$L$23,'様式２の３（件数）'!$M$23,'様式２の３（件数）'!$N$23,'様式２の３（件数）'!$O$23,'様式２の３（件数）'!$P$23,'様式２の３（件数）'!$F$24,'様式２の３（件数）'!$G$24,'様式２の３（件数）'!$H$24,'様式２の３（件数）'!$J$24,'様式２の３（件数）'!$K$24,'様式２の３（件数）'!$L$24,'様式２の３（件数）'!$M$24,'様式２の３（件数）'!$N$24,'様式２の３（件数）'!$O$24,'様式２の３（件数）'!$P$24,'様式２の３（件数）'!$F$25,'様式２の３（件数）'!$G$25,'様式２の３（件数）'!$H$25,'様式２の３（件数）'!$J$25,'様式２の３（件数）'!$K$25,'様式２の３（件数）'!$L$25,'様式２の３（件数）'!$M$25,'様式２の３（件数）'!$N$25,'様式２の３（件数）'!$O$25,'様式２の３（件数）'!$P$25,'様式２の３（件数）'!$F$26,'様式２の３（件数）'!$G$26,'様式２の３（件数）'!$H$26,'様式２の３（件数）'!$J$26,'様式２の３（件数）'!$K$26,'様式２の３（件数）'!$L$26,'様式２の３（件数）'!$M$26,'様式２の３（件数）'!$N$26,'様式２の３（件数）'!$O$26,'様式２の３（件数）'!$P$26,'様式２の３（件数）'!$F$27,'様式２の３（件数）'!$G$27,'様式２の３（件数）'!$H$27,'様式２の３（件数）'!$J$27,'様式２の３（件数）'!$K$27,'様式２の３（件数）'!$L$27,'様式２の３（件数）'!$M$27,'様式２の３（件数）'!$N$27,'様式２の３（件数）'!$O$27,'様式２の３（件数）'!$P$27,'様式２の３（件数）'!$F$28,'様式２の３（件数）'!$G$28,'様式２の３（件数）'!$H$28,'様式２の３（件数）'!$J$28,'様式２の３（件数）'!$K$28,'様式２の３（件数）'!$L$28,'様式２の３（件数）'!$M$28,'様式２の３（件数）'!$N$28,'様式２の３（件数）'!$O$28,'様式２の３（件数）'!$P$28,'様式２の３（件数）'!$F$29,'様式２の３（件数）'!$G$29,'様式２の３（件数）'!$H$29,'様式２の３（件数）'!$J$29,'様式２の３（件数）'!$K$29,'様式２の３（件数）'!$L$29,'様式２の３（件数）'!$M$29,'様式２の３（件数）'!$N$29,'様式２の３（件数）'!$O$29,'様式２の３（件数）'!$P$29,'様式２の３（件数）'!$F$30,'様式２の３（件数）'!$G$30,'様式２の３（件数）'!$H$30,'様式２の３（件数）'!$J$30,'様式２の３（件数）'!$K$30,'様式２の３（件数）'!$L$30,'様式２の３（件数）'!$M$30,'様式２の３（件数）'!$N$30,'様式２の３（件数）'!$O$30,'様式２の３（件数）'!$P$30,'様式２の３（件数）'!$F$31,'様式２の３（件数）'!$G$31,'様式２の３（件数）'!$H$31,'様式２の３（件数）'!$J$31,'様式２の３（件数）'!$K$31,'様式２の３（件数）'!$L$31,'様式２の３（件数）'!$M$31,'様式２の３（件数）'!$N$31,'様式２の３（件数）'!$O$31,'様式２の３（件数）'!$P$31,'様式２の３（件数）'!$F$32,'様式２の３（件数）'!$G$32,'様式２の３（件数）'!$H$32,'様式２の３（件数）'!$J$32,'様式２の３（件数）'!$K$32,'様式２の３（件数）'!$L$32,'様式２の３（件数）'!$M$32,'様式２の３（件数）'!$N$32,'様式２の３（件数）'!$O$32,'様式２の３（件数）'!$P$32,'様式２の３（件数）'!$F$33,'様式２の３（件数）'!$G$33,'様式２の３（件数）'!$H$33,'様式２の３（件数）'!$J$33,'様式２の３（件数）'!$K$33,'様式２の３（件数）'!$L$33,'様式２の３（件数）'!$M$33,'様式２の３（件数）'!$N$33,'様式２の３（件数）'!$O$33,'様式２の３（件数）'!$P$33,'様式２の３（件数）'!$F$34,'様式２の３（件数）'!$G$34,'様式２の３（件数）'!$H$34,'様式２の３（件数）'!$J$34,'様式２の３（件数）'!$K$34,'様式２の３（件数）'!$L$34,'様式２の３（件数）'!$M$34,'様式２の３（件数）'!$N$34,'様式２の３（件数）'!$O$34,'様式２の３（件数）'!$P$34,'様式２の３（件数）'!$F$35,'様式２の３（件数）'!$G$35,'様式２の３（件数）'!$H$35,'様式２の３（件数）'!$J$35,'様式２の３（件数）'!$K$35,'様式２の３（件数）'!$L$35,'様式２の３（件数）'!$M$35,'様式２の３（件数）'!$N$35,'様式２の３（件数）'!$O$35,'様式２の３（件数）'!$P$35,'様式２の３（件数）'!$F$36,'様式２の３（件数）'!$G$36,'様式２の３（件数）'!$H$36,'様式２の３（件数）'!$J$36,'様式２の３（件数）'!$K$36,'様式２の３（件数）'!$L$36,'様式２の３（件数）'!$M$36,'様式２の３（件数）'!$N$36,'様式２の３（件数）'!$O$36,'様式２の３（件数）'!$P$36,'様式２の３（件数）'!$F$37,'様式２の３（件数）'!$G$37,'様式２の３（件数）'!$H$37,'様式２の３（件数）'!$J$37,'様式２の３（件数）'!$K$37,'様式２の３（件数）'!$L$37,'様式２の３（件数）'!$M$37,'様式２の３（件数）'!$N$37,'様式２の３（件数）'!$O$37,'様式２の３（件数）'!$P$37,'様式２の３（件数）'!$F$38,'様式２の３（件数）'!$G$38,'様式２の３（件数）'!$H$38,'様式２の３（件数）'!$J$38,'様式２の３（件数）'!$K$38,'様式２の３（件数）'!$L$38,'様式２の３（件数）'!$M$38,'様式２の３（件数）'!$N$38,'様式２の３（件数）'!$O$38,'様式２の３（件数）'!$P$38,'様式２の３（件数）'!$F$39,'様式２の３（件数）'!$G$39,'様式２の３（件数）'!$H$39,'様式２の３（件数）'!$J$39,'様式２の３（件数）'!$K$39,'様式２の３（件数）'!$L$39,'様式２の３（件数）'!$M$39,'様式２の３（件数）'!$N$39,'様式２の３（件数）'!$O$39,'様式２の３（件数）'!$P$39,'様式２の３（件数）'!$F$40,'様式２の３（件数）'!$G$40,'様式２の３（件数）'!$H$40,'様式２の３（件数）'!$J$40,'様式２の３（件数）'!$K$40,'様式２の３（件数）'!$L$40,'様式２の３（件数）'!$M$40,'様式２の３（件数）'!$N$40,'様式２の３（件数）'!$O$40,'様式２の３（件数）'!$P$40,'様式２の３（件数）'!$F$41,'様式２の３（件数）'!$G$41,'様式２の３（件数）'!$H$41,'様式２の３（件数）'!$J$41,'様式２の３（件数）'!$K$41,'様式２の３（件数）'!$L$41,'様式２の３（件数）'!$M$41,'様式２の３（件数）'!$N$41,'様式２の３（件数）'!$O$41,'様式２の３（件数）'!$P$41,'様式２の３（件数）'!$F$42,'様式２の３（件数）'!$G$42,'様式２の３（件数）'!$H$42,'様式２の３（件数）'!$J$42,'様式２の３（件数）'!$K$42,'様式２の３（件数）'!$L$42,'様式２の３（件数）'!$M$42,'様式２の３（件数）'!$N$42,'様式２の３（件数）'!$O$42,'様式２の３（件数）'!$P$42,'様式２の３（件数）'!$F$43,'様式２の３（件数）'!$G$43,'様式２の３（件数）'!$H$43,'様式２の３（件数）'!$J$43,'様式２の３（件数）'!$K$43,'様式２の３（件数）'!$L$43,'様式２の３（件数）'!$M$43,'様式２の３（件数）'!$N$43,'様式２の３（件数）'!$O$43,'様式２の３（件数）'!$P$43,'様式２の３（件数）'!$F$44,'様式２の３（件数）'!$G$44,'様式２の３（件数）'!$H$44,'様式２の３（件数）'!$J$44,'様式２の３（件数）'!$K$44,'様式２の３（件数）'!$L$44,'様式２の３（件数）'!$M$44,'様式２の３（件数）'!$N$44,'様式２の３（件数）'!$O$44,'様式２の３（件数）'!$P$44,'様式２の３（件数）'!$F$45,'様式２の３（件数）'!$G$45,'様式２の３（件数）'!$H$45,'様式２の３（件数）'!$J$45,'様式２の３（件数）'!$K$45,'様式２の３（件数）'!$L$45,'様式２の３（件数）'!$M$45,'様式２の３（件数）'!$N$45,'様式２の３（件数）'!$O$45,'様式２の３（件数）'!$P$45,'様式２の３（件数）'!$F$46,'様式２の３（件数）'!$G$46,'様式２の３（件数）'!$H$46,'様式２の３（件数）'!$J$46,'様式２の３（件数）'!$K$46,'様式２の３（件数）'!$L$46,'様式２の３（件数）'!$M$46,'様式２の３（件数）'!$N$46,'様式２の３（件数）'!$O$46,'様式２の３（件数）'!$P$46,'様式２の３（件数）'!$F$47,'様式２の３（件数）'!$G$47,'様式２の３（件数）'!$H$47,'様式２の３（件数）'!$J$47,'様式２の３（件数）'!$K$47,'様式２の３（件数）'!$L$47,'様式２の３（件数）'!$M$47,'様式２の３（件数）'!$N$47,'様式２の３（件数）'!$O$47,'様式２の３（件数）'!$P$47</definedName>
    <definedName name="databind" localSheetId="22">'様式２の３（単位数）'!$F$11,'様式２の３（単位数）'!$G$11,'様式２の３（単位数）'!$H$11,'様式２の３（単位数）'!$J$11,'様式２の３（単位数）'!$K$11,'様式２の３（単位数）'!$L$11,'様式２の３（単位数）'!$M$11,'様式２の３（単位数）'!$N$11,'様式２の３（単位数）'!$O$11,'様式２の３（単位数）'!$P$11,'様式２の３（単位数）'!$F$12,'様式２の３（単位数）'!$G$12,'様式２の３（単位数）'!$H$12,'様式２の３（単位数）'!$J$12,'様式２の３（単位数）'!$K$12,'様式２の３（単位数）'!$L$12,'様式２の３（単位数）'!$M$12,'様式２の３（単位数）'!$N$12,'様式２の３（単位数）'!$O$12,'様式２の３（単位数）'!$P$12,'様式２の３（単位数）'!$F$13,'様式２の３（単位数）'!$G$13,'様式２の３（単位数）'!$H$13,'様式２の３（単位数）'!$J$13,'様式２の３（単位数）'!$K$13,'様式２の３（単位数）'!$L$13,'様式２の３（単位数）'!$M$13,'様式２の３（単位数）'!$N$13,'様式２の３（単位数）'!$O$13,'様式２の３（単位数）'!$P$13,'様式２の３（単位数）'!$F$14,'様式２の３（単位数）'!$G$14,'様式２の３（単位数）'!$H$14,'様式２の３（単位数）'!$J$14,'様式２の３（単位数）'!$K$14,'様式２の３（単位数）'!$L$14,'様式２の３（単位数）'!$M$14,'様式２の３（単位数）'!$N$14,'様式２の３（単位数）'!$O$14,'様式２の３（単位数）'!$P$14,'様式２の３（単位数）'!$F$15,'様式２の３（単位数）'!$G$15,'様式２の３（単位数）'!$H$15,'様式２の３（単位数）'!$J$15,'様式２の３（単位数）'!$K$15,'様式２の３（単位数）'!$L$15,'様式２の３（単位数）'!$M$15,'様式２の３（単位数）'!$N$15,'様式２の３（単位数）'!$O$15,'様式２の３（単位数）'!$P$15,'様式２の３（単位数）'!$F$16,'様式２の３（単位数）'!$G$16,'様式２の３（単位数）'!$H$16,'様式２の３（単位数）'!$J$16,'様式２の３（単位数）'!$K$16,'様式２の３（単位数）'!$L$16,'様式２の３（単位数）'!$M$16,'様式２の３（単位数）'!$N$16,'様式２の３（単位数）'!$O$16,'様式２の３（単位数）'!$P$16,'様式２の３（単位数）'!$F$17,'様式２の３（単位数）'!$G$17,'様式２の３（単位数）'!$H$17,'様式２の３（単位数）'!$J$17,'様式２の３（単位数）'!$K$17,'様式２の３（単位数）'!$L$17,'様式２の３（単位数）'!$M$17,'様式２の３（単位数）'!$N$17,'様式２の３（単位数）'!$O$17,'様式２の３（単位数）'!$P$17,'様式２の３（単位数）'!$F$18,'様式２の３（単位数）'!$G$18,'様式２の３（単位数）'!$H$18,'様式２の３（単位数）'!$J$18,'様式２の３（単位数）'!$K$18,'様式２の３（単位数）'!$L$18,'様式２の３（単位数）'!$M$18,'様式２の３（単位数）'!$N$18,'様式２の３（単位数）'!$O$18,'様式２の３（単位数）'!$P$18,'様式２の３（単位数）'!$F$19,'様式２の３（単位数）'!$G$19,'様式２の３（単位数）'!$H$19,'様式２の３（単位数）'!$J$19,'様式２の３（単位数）'!$K$19,'様式２の３（単位数）'!$L$19,'様式２の３（単位数）'!$M$19,'様式２の３（単位数）'!$N$19,'様式２の３（単位数）'!$O$19,'様式２の３（単位数）'!$P$19,'様式２の３（単位数）'!$F$20,'様式２の３（単位数）'!$G$20,'様式２の３（単位数）'!$H$20,'様式２の３（単位数）'!$J$20,'様式２の３（単位数）'!$K$20,'様式２の３（単位数）'!$L$20,'様式２の３（単位数）'!$M$20,'様式２の３（単位数）'!$N$20,'様式２の３（単位数）'!$O$20,'様式２の３（単位数）'!$P$20,'様式２の３（単位数）'!$F$21,'様式２の３（単位数）'!$G$21,'様式２の３（単位数）'!$H$21,'様式２の３（単位数）'!$J$21,'様式２の３（単位数）'!$K$21,'様式２の３（単位数）'!$L$21,'様式２の３（単位数）'!$M$21,'様式２の３（単位数）'!$N$21,'様式２の３（単位数）'!$O$21,'様式２の３（単位数）'!$P$21,'様式２の３（単位数）'!$F$22,'様式２の３（単位数）'!$G$22,'様式２の３（単位数）'!$H$22,'様式２の３（単位数）'!$J$22,'様式２の３（単位数）'!$K$22,'様式２の３（単位数）'!$L$22,'様式２の３（単位数）'!$M$22,'様式２の３（単位数）'!$N$22,'様式２の３（単位数）'!$O$22,'様式２の３（単位数）'!$P$22,'様式２の３（単位数）'!$F$23,'様式２の３（単位数）'!$G$23,'様式２の３（単位数）'!$H$23,'様式２の３（単位数）'!$J$23,'様式２の３（単位数）'!$K$23,'様式２の３（単位数）'!$L$23,'様式２の３（単位数）'!$M$23,'様式２の３（単位数）'!$N$23,'様式２の３（単位数）'!$O$23,'様式２の３（単位数）'!$P$23,'様式２の３（単位数）'!$F$24,'様式２の３（単位数）'!$G$24,'様式２の３（単位数）'!$H$24,'様式２の３（単位数）'!$J$24,'様式２の３（単位数）'!$K$24,'様式２の３（単位数）'!$L$24,'様式２の３（単位数）'!$M$24,'様式２の３（単位数）'!$N$24,'様式２の３（単位数）'!$O$24,'様式２の３（単位数）'!$P$24,'様式２の３（単位数）'!$F$25,'様式２の３（単位数）'!$G$25,'様式２の３（単位数）'!$H$25,'様式２の３（単位数）'!$J$25,'様式２の３（単位数）'!$K$25,'様式２の３（単位数）'!$L$25,'様式２の３（単位数）'!$M$25,'様式２の３（単位数）'!$N$25,'様式２の３（単位数）'!$O$25,'様式２の３（単位数）'!$P$25,'様式２の３（単位数）'!$F$26,'様式２の３（単位数）'!$G$26,'様式２の３（単位数）'!$H$26,'様式２の３（単位数）'!$J$26,'様式２の３（単位数）'!$K$26,'様式２の３（単位数）'!$L$26,'様式２の３（単位数）'!$M$26,'様式２の３（単位数）'!$N$26,'様式２の３（単位数）'!$O$26,'様式２の３（単位数）'!$P$26,'様式２の３（単位数）'!$F$27,'様式２の３（単位数）'!$G$27,'様式２の３（単位数）'!$H$27,'様式２の３（単位数）'!$J$27,'様式２の３（単位数）'!$K$27,'様式２の３（単位数）'!$L$27,'様式２の３（単位数）'!$M$27,'様式２の３（単位数）'!$N$27,'様式２の３（単位数）'!$O$27,'様式２の３（単位数）'!$P$27,'様式２の３（単位数）'!$F$28,'様式２の３（単位数）'!$G$28,'様式２の３（単位数）'!$H$28,'様式２の３（単位数）'!$J$28,'様式２の３（単位数）'!$K$28,'様式２の３（単位数）'!$L$28,'様式２の３（単位数）'!$M$28,'様式２の３（単位数）'!$N$28,'様式２の３（単位数）'!$O$28,'様式２の３（単位数）'!$P$28,'様式２の３（単位数）'!$F$29,'様式２の３（単位数）'!$G$29,'様式２の３（単位数）'!$H$29,'様式２の３（単位数）'!$J$29,'様式２の３（単位数）'!$K$29,'様式２の３（単位数）'!$L$29,'様式２の３（単位数）'!$M$29,'様式２の３（単位数）'!$N$29,'様式２の３（単位数）'!$O$29,'様式２の３（単位数）'!$P$29,'様式２の３（単位数）'!$F$30,'様式２の３（単位数）'!$G$30,'様式２の３（単位数）'!$H$30,'様式２の３（単位数）'!$J$30,'様式２の３（単位数）'!$K$30,'様式２の３（単位数）'!$L$30,'様式２の３（単位数）'!$M$30,'様式２の３（単位数）'!$N$30,'様式２の３（単位数）'!$O$30,'様式２の３（単位数）'!$P$30,'様式２の３（単位数）'!$F$31,'様式２の３（単位数）'!$G$31,'様式２の３（単位数）'!$H$31,'様式２の３（単位数）'!$J$31,'様式２の３（単位数）'!$K$31,'様式２の３（単位数）'!$L$31,'様式２の３（単位数）'!$M$31,'様式２の３（単位数）'!$N$31,'様式２の３（単位数）'!$O$31,'様式２の３（単位数）'!$P$31,'様式２の３（単位数）'!$F$32,'様式２の３（単位数）'!$G$32,'様式２の３（単位数）'!$H$32,'様式２の３（単位数）'!$J$32,'様式２の３（単位数）'!$K$32,'様式２の３（単位数）'!$L$32,'様式２の３（単位数）'!$M$32,'様式２の３（単位数）'!$N$32,'様式２の３（単位数）'!$O$32,'様式２の３（単位数）'!$P$32,'様式２の３（単位数）'!$F$33,'様式２の３（単位数）'!$G$33,'様式２の３（単位数）'!$H$33,'様式２の３（単位数）'!$J$33,'様式２の３（単位数）'!$K$33,'様式２の３（単位数）'!$L$33,'様式２の３（単位数）'!$M$33,'様式２の３（単位数）'!$N$33,'様式２の３（単位数）'!$O$33,'様式２の３（単位数）'!$P$33,'様式２の３（単位数）'!$F$34,'様式２の３（単位数）'!$G$34,'様式２の３（単位数）'!$H$34,'様式２の３（単位数）'!$J$34,'様式２の３（単位数）'!$K$34,'様式２の３（単位数）'!$L$34,'様式２の３（単位数）'!$M$34,'様式２の３（単位数）'!$N$34,'様式２の３（単位数）'!$O$34,'様式２の３（単位数）'!$P$34,'様式２の３（単位数）'!$F$35,'様式２の３（単位数）'!$G$35,'様式２の３（単位数）'!$H$35,'様式２の３（単位数）'!$J$35,'様式２の３（単位数）'!$K$35,'様式２の３（単位数）'!$L$35,'様式２の３（単位数）'!$M$35,'様式２の３（単位数）'!$N$35,'様式２の３（単位数）'!$O$35,'様式２の３（単位数）'!$P$35,'様式２の３（単位数）'!$F$36,'様式２の３（単位数）'!$G$36,'様式２の３（単位数）'!$H$36,'様式２の３（単位数）'!$J$36,'様式２の３（単位数）'!$K$36,'様式２の３（単位数）'!$L$36,'様式２の３（単位数）'!$M$36,'様式２の３（単位数）'!$N$36,'様式２の３（単位数）'!$O$36,'様式２の３（単位数）'!$P$36,'様式２の３（単位数）'!$F$37,'様式２の３（単位数）'!$G$37,'様式２の３（単位数）'!$H$37,'様式２の３（単位数）'!$J$37,'様式２の３（単位数）'!$K$37,'様式２の３（単位数）'!$L$37,'様式２の３（単位数）'!$M$37,'様式２の３（単位数）'!$N$37,'様式２の３（単位数）'!$O$37,'様式２の３（単位数）'!$P$37,'様式２の３（単位数）'!$F$38,'様式２の３（単位数）'!$G$38,'様式２の３（単位数）'!$H$38,'様式２の３（単位数）'!$J$38,'様式２の３（単位数）'!$K$38,'様式２の３（単位数）'!$L$38,'様式２の３（単位数）'!$M$38,'様式２の３（単位数）'!$N$38,'様式２の３（単位数）'!$O$38,'様式２の３（単位数）'!$P$38,'様式２の３（単位数）'!$F$39,'様式２の３（単位数）'!$G$39,'様式２の３（単位数）'!$H$39,'様式２の３（単位数）'!$J$39,'様式２の３（単位数）'!$K$39,'様式２の３（単位数）'!$L$39,'様式２の３（単位数）'!$M$39,'様式２の３（単位数）'!$N$39,'様式２の３（単位数）'!$O$39,'様式２の３（単位数）'!$P$39,'様式２の３（単位数）'!$F$40,'様式２の３（単位数）'!$G$40,'様式２の３（単位数）'!$H$40,'様式２の３（単位数）'!$J$40,'様式２の３（単位数）'!$K$40,'様式２の３（単位数）'!$L$40,'様式２の３（単位数）'!$M$40,'様式２の３（単位数）'!$N$40,'様式２の３（単位数）'!$O$40,'様式２の３（単位数）'!$P$40,'様式２の３（単位数）'!$F$41,'様式２の３（単位数）'!$G$41,'様式２の３（単位数）'!$H$41,'様式２の３（単位数）'!$J$41,'様式２の３（単位数）'!$K$41,'様式２の３（単位数）'!$L$41,'様式２の３（単位数）'!$M$41,'様式２の３（単位数）'!$N$41,'様式２の３（単位数）'!$O$41,'様式２の３（単位数）'!$P$41,'様式２の３（単位数）'!$F$42,'様式２の３（単位数）'!$G$42,'様式２の３（単位数）'!$H$42,'様式２の３（単位数）'!$J$42,'様式２の３（単位数）'!$K$42,'様式２の３（単位数）'!$L$42,'様式２の３（単位数）'!$M$42,'様式２の３（単位数）'!$N$42,'様式２の３（単位数）'!$O$42,'様式２の３（単位数）'!$P$42,'様式２の３（単位数）'!$F$43,'様式２の３（単位数）'!$G$43,'様式２の３（単位数）'!$H$43,'様式２の３（単位数）'!$J$43,'様式２の３（単位数）'!$K$43,'様式２の３（単位数）'!$L$43,'様式２の３（単位数）'!$M$43,'様式２の３（単位数）'!$N$43,'様式２の３（単位数）'!$O$43,'様式２の３（単位数）'!$P$43,'様式２の３（単位数）'!$F$44,'様式２の３（単位数）'!$G$44,'様式２の３（単位数）'!$H$44,'様式２の３（単位数）'!$J$44,'様式２の３（単位数）'!$K$44,'様式２の３（単位数）'!$L$44,'様式２の３（単位数）'!$M$44,'様式２の３（単位数）'!$N$44,'様式２の３（単位数）'!$O$44,'様式２の３（単位数）'!$P$44,'様式２の３（単位数）'!$F$45,'様式２の３（単位数）'!$G$45,'様式２の３（単位数）'!$H$45,'様式２の３（単位数）'!$J$45,'様式２の３（単位数）'!$K$45,'様式２の３（単位数）'!$L$45,'様式２の３（単位数）'!$M$45,'様式２の３（単位数）'!$N$45,'様式２の３（単位数）'!$O$45,'様式２の３（単位数）'!$P$45</definedName>
    <definedName name="databind" localSheetId="23">'様式２の３（費用額）'!$F$11,'様式２の３（費用額）'!$G$11,'様式２の３（費用額）'!$H$11,'様式２の３（費用額）'!$J$11,'様式２の３（費用額）'!$K$11,'様式２の３（費用額）'!$L$11,'様式２の３（費用額）'!$M$11,'様式２の３（費用額）'!$N$11,'様式２の３（費用額）'!$O$11,'様式２の３（費用額）'!$P$11,'様式２の３（費用額）'!$F$12,'様式２の３（費用額）'!$G$12,'様式２の３（費用額）'!$H$12,'様式２の３（費用額）'!$J$12,'様式２の３（費用額）'!$K$12,'様式２の３（費用額）'!$L$12,'様式２の３（費用額）'!$M$12,'様式２の３（費用額）'!$N$12,'様式２の３（費用額）'!$O$12,'様式２の３（費用額）'!$P$12,'様式２の３（費用額）'!$F$13,'様式２の３（費用額）'!$G$13,'様式２の３（費用額）'!$H$13,'様式２の３（費用額）'!$J$13,'様式２の３（費用額）'!$K$13,'様式２の３（費用額）'!$L$13,'様式２の３（費用額）'!$M$13,'様式２の３（費用額）'!$N$13,'様式２の３（費用額）'!$O$13,'様式２の３（費用額）'!$P$13,'様式２の３（費用額）'!$F$14,'様式２の３（費用額）'!$G$14,'様式２の３（費用額）'!$H$14,'様式２の３（費用額）'!$J$14,'様式２の３（費用額）'!$K$14,'様式２の３（費用額）'!$L$14,'様式２の３（費用額）'!$M$14,'様式２の３（費用額）'!$N$14,'様式２の３（費用額）'!$O$14,'様式２の３（費用額）'!$P$14,'様式２の３（費用額）'!$F$15,'様式２の３（費用額）'!$G$15,'様式２の３（費用額）'!$H$15,'様式２の３（費用額）'!$J$15,'様式２の３（費用額）'!$K$15,'様式２の３（費用額）'!$L$15,'様式２の３（費用額）'!$M$15,'様式２の３（費用額）'!$N$15,'様式２の３（費用額）'!$O$15,'様式２の３（費用額）'!$P$15,'様式２の３（費用額）'!$F$16,'様式２の３（費用額）'!$G$16,'様式２の３（費用額）'!$H$16,'様式２の３（費用額）'!$J$16,'様式２の３（費用額）'!$K$16,'様式２の３（費用額）'!$L$16,'様式２の３（費用額）'!$M$16,'様式２の３（費用額）'!$N$16,'様式２の３（費用額）'!$O$16,'様式２の３（費用額）'!$P$16,'様式２の３（費用額）'!$F$17,'様式２の３（費用額）'!$G$17,'様式２の３（費用額）'!$H$17,'様式２の３（費用額）'!$J$17,'様式２の３（費用額）'!$K$17,'様式２の３（費用額）'!$L$17,'様式２の３（費用額）'!$M$17,'様式２の３（費用額）'!$N$17,'様式２の３（費用額）'!$O$17,'様式２の３（費用額）'!$P$17,'様式２の３（費用額）'!$F$18,'様式２の３（費用額）'!$G$18,'様式２の３（費用額）'!$H$18,'様式２の３（費用額）'!$J$18,'様式２の３（費用額）'!$K$18,'様式２の３（費用額）'!$L$18,'様式２の３（費用額）'!$M$18,'様式２の３（費用額）'!$N$18,'様式２の３（費用額）'!$O$18,'様式２の３（費用額）'!$P$18,'様式２の３（費用額）'!$F$19,'様式２の３（費用額）'!$G$19,'様式２の３（費用額）'!$H$19,'様式２の３（費用額）'!$J$19,'様式２の３（費用額）'!$K$19,'様式２の３（費用額）'!$L$19,'様式２の３（費用額）'!$M$19,'様式２の３（費用額）'!$N$19,'様式２の３（費用額）'!$O$19,'様式２の３（費用額）'!$P$19,'様式２の３（費用額）'!$F$20,'様式２の３（費用額）'!$G$20,'様式２の３（費用額）'!$H$20,'様式２の３（費用額）'!$J$20,'様式２の３（費用額）'!$K$20,'様式２の３（費用額）'!$L$20,'様式２の３（費用額）'!$M$20,'様式２の３（費用額）'!$N$20,'様式２の３（費用額）'!$O$20,'様式２の３（費用額）'!$P$20,'様式２の３（費用額）'!$F$21,'様式２の３（費用額）'!$G$21,'様式２の３（費用額）'!$H$21,'様式２の３（費用額）'!$J$21,'様式２の３（費用額）'!$K$21,'様式２の３（費用額）'!$L$21,'様式２の３（費用額）'!$M$21,'様式２の３（費用額）'!$N$21,'様式２の３（費用額）'!$O$21,'様式２の３（費用額）'!$P$21,'様式２の３（費用額）'!$F$22,'様式２の３（費用額）'!$G$22,'様式２の３（費用額）'!$H$22,'様式２の３（費用額）'!$J$22,'様式２の３（費用額）'!$K$22,'様式２の３（費用額）'!$L$22,'様式２の３（費用額）'!$M$22,'様式２の３（費用額）'!$N$22,'様式２の３（費用額）'!$O$22,'様式２の３（費用額）'!$P$22,'様式２の３（費用額）'!$F$23,'様式２の３（費用額）'!$G$23,'様式２の３（費用額）'!$H$23,'様式２の３（費用額）'!$J$23,'様式２の３（費用額）'!$K$23,'様式２の３（費用額）'!$L$23,'様式２の３（費用額）'!$M$23,'様式２の３（費用額）'!$N$23,'様式２の３（費用額）'!$O$23,'様式２の３（費用額）'!$P$23,'様式２の３（費用額）'!$F$24,'様式２の３（費用額）'!$G$24,'様式２の３（費用額）'!$H$24,'様式２の３（費用額）'!$J$24,'様式２の３（費用額）'!$K$24,'様式２の３（費用額）'!$L$24,'様式２の３（費用額）'!$M$24,'様式２の３（費用額）'!$N$24,'様式２の３（費用額）'!$O$24,'様式２の３（費用額）'!$P$24,'様式２の３（費用額）'!$F$25,'様式２の３（費用額）'!$G$25,'様式２の３（費用額）'!$H$25,'様式２の３（費用額）'!$J$25,'様式２の３（費用額）'!$K$25,'様式２の３（費用額）'!$L$25,'様式２の３（費用額）'!$M$25,'様式２の３（費用額）'!$N$25,'様式２の３（費用額）'!$O$25,'様式２の３（費用額）'!$P$25,'様式２の３（費用額）'!$F$26,'様式２の３（費用額）'!$G$26,'様式２の３（費用額）'!$H$26,'様式２の３（費用額）'!$J$26,'様式２の３（費用額）'!$K$26,'様式２の３（費用額）'!$L$26,'様式２の３（費用額）'!$M$26,'様式２の３（費用額）'!$N$26,'様式２の３（費用額）'!$O$26,'様式２の３（費用額）'!$P$26,'様式２の３（費用額）'!$F$27,'様式２の３（費用額）'!$G$27,'様式２の３（費用額）'!$H$27,'様式２の３（費用額）'!$J$27,'様式２の３（費用額）'!$K$27,'様式２の３（費用額）'!$L$27,'様式２の３（費用額）'!$M$27,'様式２の３（費用額）'!$N$27,'様式２の３（費用額）'!$O$27,'様式２の３（費用額）'!$P$27,'様式２の３（費用額）'!$F$28,'様式２の３（費用額）'!$G$28,'様式２の３（費用額）'!$H$28,'様式２の３（費用額）'!$J$28,'様式２の３（費用額）'!$K$28,'様式２の３（費用額）'!$L$28,'様式２の３（費用額）'!$M$28,'様式２の３（費用額）'!$N$28,'様式２の３（費用額）'!$O$28,'様式２の３（費用額）'!$P$28,'様式２の３（費用額）'!$F$29,'様式２の３（費用額）'!$G$29,'様式２の３（費用額）'!$H$29,'様式２の３（費用額）'!$J$29,'様式２の３（費用額）'!$K$29,'様式２の３（費用額）'!$L$29,'様式２の３（費用額）'!$M$29,'様式２の３（費用額）'!$N$29,'様式２の３（費用額）'!$O$29,'様式２の３（費用額）'!$P$29,'様式２の３（費用額）'!$F$30,'様式２の３（費用額）'!$G$30,'様式２の３（費用額）'!$H$30,'様式２の３（費用額）'!$J$30,'様式２の３（費用額）'!$K$30,'様式２の３（費用額）'!$L$30,'様式２の３（費用額）'!$M$30,'様式２の３（費用額）'!$N$30,'様式２の３（費用額）'!$O$30,'様式２の３（費用額）'!$P$30,'様式２の３（費用額）'!$F$31,'様式２の３（費用額）'!$G$31,'様式２の３（費用額）'!$H$31,'様式２の３（費用額）'!$J$31,'様式２の３（費用額）'!$K$31,'様式２の３（費用額）'!$L$31,'様式２の３（費用額）'!$M$31,'様式２の３（費用額）'!$N$31,'様式２の３（費用額）'!$O$31,'様式２の３（費用額）'!$P$31,'様式２の３（費用額）'!$F$32,'様式２の３（費用額）'!$G$32,'様式２の３（費用額）'!$H$32,'様式２の３（費用額）'!$J$32,'様式２の３（費用額）'!$K$32,'様式２の３（費用額）'!$L$32,'様式２の３（費用額）'!$M$32,'様式２の３（費用額）'!$N$32,'様式２の３（費用額）'!$O$32,'様式２の３（費用額）'!$P$32,'様式２の３（費用額）'!$F$33,'様式２の３（費用額）'!$G$33,'様式２の３（費用額）'!$H$33,'様式２の３（費用額）'!$J$33,'様式２の３（費用額）'!$K$33,'様式２の３（費用額）'!$L$33,'様式２の３（費用額）'!$M$33,'様式２の３（費用額）'!$N$33,'様式２の３（費用額）'!$O$33,'様式２の３（費用額）'!$P$33,'様式２の３（費用額）'!$F$34,'様式２の３（費用額）'!$G$34,'様式２の３（費用額）'!$H$34,'様式２の３（費用額）'!$J$34,'様式２の３（費用額）'!$K$34,'様式２の３（費用額）'!$L$34,'様式２の３（費用額）'!$M$34,'様式２の３（費用額）'!$N$34,'様式２の３（費用額）'!$O$34,'様式２の３（費用額）'!$P$34,'様式２の３（費用額）'!$F$35,'様式２の３（費用額）'!$G$35,'様式２の３（費用額）'!$H$35,'様式２の３（費用額）'!$J$35,'様式２の３（費用額）'!$K$35,'様式２の３（費用額）'!$L$35,'様式２の３（費用額）'!$M$35,'様式２の３（費用額）'!$N$35,'様式２の３（費用額）'!$O$35,'様式２の３（費用額）'!$P$35,'様式２の３（費用額）'!$F$36,'様式２の３（費用額）'!$G$36,'様式２の３（費用額）'!$H$36,'様式２の３（費用額）'!$J$36,'様式２の３（費用額）'!$K$36,'様式２の３（費用額）'!$L$36,'様式２の３（費用額）'!$M$36,'様式２の３（費用額）'!$N$36,'様式２の３（費用額）'!$O$36,'様式２の３（費用額）'!$P$36,'様式２の３（費用額）'!$F$37,'様式２の３（費用額）'!$G$37,'様式２の３（費用額）'!$H$37,'様式２の３（費用額）'!$J$37,'様式２の３（費用額）'!$K$37,'様式２の３（費用額）'!$L$37,'様式２の３（費用額）'!$M$37,'様式２の３（費用額）'!$N$37,'様式２の３（費用額）'!$O$37,'様式２の３（費用額）'!$P$37,'様式２の３（費用額）'!$F$38,'様式２の３（費用額）'!$G$38,'様式２の３（費用額）'!$H$38,'様式２の３（費用額）'!$J$38,'様式２の３（費用額）'!$K$38,'様式２の３（費用額）'!$L$38,'様式２の３（費用額）'!$M$38,'様式２の３（費用額）'!$N$38,'様式２の３（費用額）'!$O$38,'様式２の３（費用額）'!$P$38,'様式２の３（費用額）'!$F$39,'様式２の３（費用額）'!$G$39,'様式２の３（費用額）'!$H$39,'様式２の３（費用額）'!$J$39,'様式２の３（費用額）'!$K$39,'様式２の３（費用額）'!$L$39,'様式２の３（費用額）'!$M$39,'様式２の３（費用額）'!$N$39,'様式２の３（費用額）'!$O$39,'様式２の３（費用額）'!$P$39,'様式２の３（費用額）'!$F$40,'様式２の３（費用額）'!$G$40,'様式２の３（費用額）'!$H$40,'様式２の３（費用額）'!$J$40,'様式２の３（費用額）'!$K$40,'様式２の３（費用額）'!$L$40,'様式２の３（費用額）'!$M$40,'様式２の３（費用額）'!$N$40,'様式２の３（費用額）'!$O$40,'様式２の３（費用額）'!$P$40,'様式２の３（費用額）'!$F$41,'様式２の３（費用額）'!$G$41,'様式２の３（費用額）'!$H$41,'様式２の３（費用額）'!$J$41,'様式２の３（費用額）'!$K$41,'様式２の３（費用額）'!$L$41,'様式２の３（費用額）'!$M$41,'様式２の３（費用額）'!$N$41,'様式２の３（費用額）'!$O$41,'様式２の３（費用額）'!$P$41,'様式２の３（費用額）'!$F$42,'様式２の３（費用額）'!$G$42,'様式２の３（費用額）'!$H$42,'様式２の３（費用額）'!$J$42,'様式２の３（費用額）'!$K$42,'様式２の３（費用額）'!$L$42,'様式２の３（費用額）'!$M$42,'様式２の３（費用額）'!$N$42,'様式２の３（費用額）'!$O$42,'様式２の３（費用額）'!$P$42,'様式２の３（費用額）'!$F$43,'様式２の３（費用額）'!$G$43,'様式２の３（費用額）'!$H$43,'様式２の３（費用額）'!$J$43,'様式２の３（費用額）'!$K$43,'様式２の３（費用額）'!$L$43,'様式２の３（費用額）'!$M$43,'様式２の３（費用額）'!$N$43,'様式２の３（費用額）'!$O$43,'様式２の３（費用額）'!$P$43,'様式２の３（費用額）'!$F$44,'様式２の３（費用額）'!$G$44,'様式２の３（費用額）'!$H$44,'様式２の３（費用額）'!$J$44,'様式２の３（費用額）'!$K$44,'様式２の３（費用額）'!$L$44,'様式２の３（費用額）'!$M$44,'様式２の３（費用額）'!$N$44,'様式２の３（費用額）'!$O$44,'様式２の３（費用額）'!$P$44,'様式２の３（費用額）'!$F$45,'様式２の３（費用額）'!$G$45,'様式２の３（費用額）'!$H$45,'様式２の３（費用額）'!$J$45,'様式２の３（費用額）'!$K$45,'様式２の３（費用額）'!$L$45,'様式２の３（費用額）'!$M$45,'様式２の３（費用額）'!$N$45,'様式２の３（費用額）'!$O$45,'様式２の３（費用額）'!$P$45,'様式２の３（費用額）'!$F$46,'様式２の３（費用額）'!$G$46,'様式２の３（費用額）'!$H$46,'様式２の３（費用額）'!$J$46,'様式２の３（費用額）'!$K$46,'様式２の３（費用額）'!$L$46,'様式２の３（費用額）'!$M$46,'様式２の３（費用額）'!$N$46,'様式２の３（費用額）'!$O$46,'様式２の３（費用額）'!$P$46,'様式２の３（費用額）'!$F$47,'様式２の３（費用額）'!$G$47,'様式２の３（費用額）'!$H$47,'様式２の３（費用額）'!$J$47,'様式２の３（費用額）'!$K$47,'様式２の３（費用額）'!$L$47,'様式２の３（費用額）'!$M$47,'様式２の３（費用額）'!$N$47,'様式２の３（費用額）'!$O$47,'様式２の３（費用額）'!$P$47</definedName>
    <definedName name="databind" localSheetId="28">'様式２の４（給付費）'!$F$11,'様式２の４（給付費）'!$G$11,'様式２の４（給付費）'!$H$11,'様式２の４（給付費）'!$J$11,'様式２の４（給付費）'!$K$11,'様式２の４（給付費）'!$L$11,'様式２の４（給付費）'!$M$11,'様式２の４（給付費）'!$N$11,'様式２の４（給付費）'!$O$11,'様式２の４（給付費）'!$P$11,'様式２の４（給付費）'!$F$12,'様式２の４（給付費）'!$G$12,'様式２の４（給付費）'!$H$12,'様式２の４（給付費）'!$J$12,'様式２の４（給付費）'!$K$12,'様式２の４（給付費）'!$L$12,'様式２の４（給付費）'!$M$12,'様式２の４（給付費）'!$N$12,'様式２の４（給付費）'!$O$12,'様式２の４（給付費）'!$P$12,'様式２の４（給付費）'!$F$13,'様式２の４（給付費）'!$G$13,'様式２の４（給付費）'!$H$13,'様式２の４（給付費）'!$J$13,'様式２の４（給付費）'!$K$13,'様式２の４（給付費）'!$L$13,'様式２の４（給付費）'!$M$13,'様式２の４（給付費）'!$N$13,'様式２の４（給付費）'!$O$13,'様式２の４（給付費）'!$P$13,'様式２の４（給付費）'!$F$14,'様式２の４（給付費）'!$G$14,'様式２の４（給付費）'!$H$14,'様式２の４（給付費）'!$J$14,'様式２の４（給付費）'!$K$14,'様式２の４（給付費）'!$L$14,'様式２の４（給付費）'!$M$14,'様式２の４（給付費）'!$N$14,'様式２の４（給付費）'!$O$14,'様式２の４（給付費）'!$P$14,'様式２の４（給付費）'!$F$15,'様式２の４（給付費）'!$G$15,'様式２の４（給付費）'!$H$15,'様式２の４（給付費）'!$J$15,'様式２の４（給付費）'!$K$15,'様式２の４（給付費）'!$L$15,'様式２の４（給付費）'!$M$15,'様式２の４（給付費）'!$N$15,'様式２の４（給付費）'!$O$15,'様式２の４（給付費）'!$P$15,'様式２の４（給付費）'!$F$16,'様式２の４（給付費）'!$G$16,'様式２の４（給付費）'!$H$16,'様式２の４（給付費）'!$J$16,'様式２の４（給付費）'!$K$16,'様式２の４（給付費）'!$L$16,'様式２の４（給付費）'!$M$16,'様式２の４（給付費）'!$N$16,'様式２の４（給付費）'!$O$16,'様式２の４（給付費）'!$P$16,'様式２の４（給付費）'!$F$17,'様式２の４（給付費）'!$G$17,'様式２の４（給付費）'!$H$17,'様式２の４（給付費）'!$J$17,'様式２の４（給付費）'!$K$17,'様式２の４（給付費）'!$L$17,'様式２の４（給付費）'!$M$17,'様式２の４（給付費）'!$N$17,'様式２の４（給付費）'!$O$17,'様式２の４（給付費）'!$P$17,'様式２の４（給付費）'!$F$18,'様式２の４（給付費）'!$G$18,'様式２の４（給付費）'!$H$18,'様式２の４（給付費）'!$J$18,'様式２の４（給付費）'!$K$18,'様式２の４（給付費）'!$L$18,'様式２の４（給付費）'!$M$18,'様式２の４（給付費）'!$N$18,'様式２の４（給付費）'!$O$18,'様式２の４（給付費）'!$P$18,'様式２の４（給付費）'!$F$19,'様式２の４（給付費）'!$G$19,'様式２の４（給付費）'!$H$19,'様式２の４（給付費）'!$J$19,'様式２の４（給付費）'!$K$19,'様式２の４（給付費）'!$L$19,'様式２の４（給付費）'!$M$19,'様式２の４（給付費）'!$N$19,'様式２の４（給付費）'!$O$19,'様式２の４（給付費）'!$P$19,'様式２の４（給付費）'!$F$20,'様式２の４（給付費）'!$G$20,'様式２の４（給付費）'!$H$20,'様式２の４（給付費）'!$J$20,'様式２の４（給付費）'!$K$20,'様式２の４（給付費）'!$L$20,'様式２の４（給付費）'!$M$20,'様式２の４（給付費）'!$N$20,'様式２の４（給付費）'!$O$20,'様式２の４（給付費）'!$P$20,'様式２の４（給付費）'!$F$21,'様式２の４（給付費）'!$G$21,'様式２の４（給付費）'!$H$21,'様式２の４（給付費）'!$J$21,'様式２の４（給付費）'!$L$21,'様式２の４（給付費）'!$M$21,'様式２の４（給付費）'!$K$21,'様式２の４（給付費）'!$N$21,'様式２の４（給付費）'!$O$21,'様式２の４（給付費）'!$P$21,'様式２の４（給付費）'!$F$22,'様式２の４（給付費）'!$G$22,'様式２の４（給付費）'!$H$22,'様式２の４（給付費）'!$J$22,'様式２の４（給付費）'!$K$22,'様式２の４（給付費）'!$L$22,'様式２の４（給付費）'!$N$22,'様式２の４（給付費）'!$O$22,'様式２の４（給付費）'!$P$22,'様式２の４（給付費）'!$M$22,'様式２の４（給付費）'!$F$23,'様式２の４（給付費）'!$G$23,'様式２の４（給付費）'!$H$23,'様式２の４（給付費）'!$J$23,'様式２の４（給付費）'!$K$23,'様式２の４（給付費）'!$L$23,'様式２の４（給付費）'!$M$23,'様式２の４（給付費）'!$N$23,'様式２の４（給付費）'!$O$23,'様式２の４（給付費）'!$P$23,'様式２の４（給付費）'!$P$24,'様式２の４（給付費）'!$O$24,'様式２の４（給付費）'!$N$24,'様式２の４（給付費）'!$M$24,'様式２の４（給付費）'!$L$24,'様式２の４（給付費）'!$K$24,'様式２の４（給付費）'!$J$24,'様式２の４（給付費）'!$H$24,'様式２の４（給付費）'!$G$24,'様式２の４（給付費）'!$F$24,'様式２の４（給付費）'!$F$25,'様式２の４（給付費）'!$G$25,'様式２の４（給付費）'!$H$25,'様式２の４（給付費）'!$J$25,'様式２の４（給付費）'!$K$25,'様式２の４（給付費）'!$L$25,'様式２の４（給付費）'!$M$25,'様式２の４（給付費）'!$N$25,'様式２の４（給付費）'!$O$25,'様式２の４（給付費）'!$P$25,'様式２の４（給付費）'!$P$26,'様式２の４（給付費）'!$O$26,'様式２の４（給付費）'!$N$26,'様式２の４（給付費）'!$M$26,'様式２の４（給付費）'!$L$26,'様式２の４（給付費）'!$K$26,'様式２の４（給付費）'!$J$26,'様式２の４（給付費）'!$H$26,'様式２の４（給付費）'!$G$26,'様式２の４（給付費）'!$F$26,'様式２の４（給付費）'!$F$27,'様式２の４（給付費）'!$G$27,'様式２の４（給付費）'!$H$27,'様式２の４（給付費）'!$J$27,'様式２の４（給付費）'!$K$27,'様式２の４（給付費）'!$L$27,'様式２の４（給付費）'!$M$27,'様式２の４（給付費）'!$N$27,'様式２の４（給付費）'!$O$27,'様式２の４（給付費）'!$P$27,'様式２の４（給付費）'!$P$28,'様式２の４（給付費）'!$O$28,'様式２の４（給付費）'!$N$28,'様式２の４（給付費）'!$M$28,'様式２の４（給付費）'!$L$28,'様式２の４（給付費）'!$K$28,'様式２の４（給付費）'!$J$28,'様式２の４（給付費）'!$H$28,'様式２の４（給付費）'!$G$28,'様式２の４（給付費）'!$F$28,'様式２の４（給付費）'!$F$29,'様式２の４（給付費）'!$G$29,'様式２の４（給付費）'!$H$29,'様式２の４（給付費）'!$J$29,'様式２の４（給付費）'!$K$29,'様式２の４（給付費）'!$L$29,'様式２の４（給付費）'!$M$29,'様式２の４（給付費）'!$N$29,'様式２の４（給付費）'!$O$29,'様式２の４（給付費）'!$P$29,'様式２の４（給付費）'!$F$30,'様式２の４（給付費）'!$G$30,'様式２の４（給付費）'!$H$30,'様式２の４（給付費）'!$J$30,'様式２の４（給付費）'!$K$30,'様式２の４（給付費）'!$L$30,'様式２の４（給付費）'!$M$30,'様式２の４（給付費）'!$N$30,'様式２の４（給付費）'!$O$30,'様式２の４（給付費）'!$P$30,'様式２の４（給付費）'!$P$31,'様式２の４（給付費）'!$O$31,'様式２の４（給付費）'!$N$31,'様式２の４（給付費）'!$M$31,'様式２の４（給付費）'!$L$31,'様式２の４（給付費）'!$K$31,'様式２の４（給付費）'!$J$31,'様式２の４（給付費）'!$H$31,'様式２の４（給付費）'!$G$31,'様式２の４（給付費）'!$F$31,'様式２の４（給付費）'!$F$32,'様式２の４（給付費）'!$H$33,'様式２の４（給付費）'!$G$33,'様式２の４（給付費）'!$G$32,'様式２の４（給付費）'!$F$33,'様式２の４（給付費）'!$H$32,'様式２の４（給付費）'!$J$32,'様式２の４（給付費）'!$J$33,'様式２の４（給付費）'!$K$32,'様式２の４（給付費）'!$K$33,'様式２の４（給付費）'!$L$32,'様式２の４（給付費）'!$L$33,'様式２の４（給付費）'!$M$32,'様式２の４（給付費）'!$M$33,'様式２の４（給付費）'!$N$32,'様式２の４（給付費）'!$N$33,'様式２の４（給付費）'!$O$33,'様式２の４（給付費）'!$O$32,'様式２の４（給付費）'!$P$32,'様式２の４（給付費）'!$P$33,'様式２の４（給付費）'!$F$34,'様式２の４（給付費）'!$G$34,'様式２の４（給付費）'!$H$34,'様式２の４（給付費）'!$J$34,'様式２の４（給付費）'!$K$34,'様式２の４（給付費）'!$L$34,'様式２の４（給付費）'!$M$34,'様式２の４（給付費）'!$N$34,'様式２の４（給付費）'!$O$34,'様式２の４（給付費）'!$P$34,'様式２の４（給付費）'!$F$35,'様式２の４（給付費）'!$G$35,'様式２の４（給付費）'!$H$35,'様式２の４（給付費）'!$J$35,'様式２の４（給付費）'!$K$35,'様式２の４（給付費）'!$L$35,'様式２の４（給付費）'!$M$35,'様式２の４（給付費）'!$N$35,'様式２の４（給付費）'!$O$35,'様式２の４（給付費）'!$P$35,'様式２の４（給付費）'!$F$36,'様式２の４（給付費）'!$G$36,'様式２の４（給付費）'!$H$36,'様式２の４（給付費）'!$J$36,'様式２の４（給付費）'!$K$36,'様式２の４（給付費）'!$L$36,'様式２の４（給付費）'!$M$36,'様式２の４（給付費）'!$N$36,'様式２の４（給付費）'!$O$36,'様式２の４（給付費）'!$P$36,'様式２の４（給付費）'!$F$37,'様式２の４（給付費）'!$G$37,'様式２の４（給付費）'!$H$37,'様式２の４（給付費）'!$J$37,'様式２の４（給付費）'!$K$37,'様式２の４（給付費）'!$L$37,'様式２の４（給付費）'!$M$37,'様式２の４（給付費）'!$N$37,'様式２の４（給付費）'!$O$37,'様式２の４（給付費）'!$P$37,'様式２の４（給付費）'!$F$38,'様式２の４（給付費）'!$G$38,'様式２の４（給付費）'!$H$38,'様式２の４（給付費）'!$J$38,'様式２の４（給付費）'!$K$38,'様式２の４（給付費）'!$L$38,'様式２の４（給付費）'!$M$38,'様式２の４（給付費）'!$N$38,'様式２の４（給付費）'!$O$38,'様式２の４（給付費）'!$P$38,'様式２の４（給付費）'!$F$39,'様式２の４（給付費）'!$G$39,'様式２の４（給付費）'!$H$39,'様式２の４（給付費）'!$J$39,'様式２の４（給付費）'!$K$39,'様式２の４（給付費）'!$L$39,'様式２の４（給付費）'!$M$39,'様式２の４（給付費）'!$N$39,'様式２の４（給付費）'!$O$39,'様式２の４（給付費）'!$P$39,'様式２の４（給付費）'!$F$40,'様式２の４（給付費）'!$G$40,'様式２の４（給付費）'!$H$40,'様式２の４（給付費）'!$J$40,'様式２の４（給付費）'!$K$40,'様式２の４（給付費）'!$L$40,'様式２の４（給付費）'!$M$40,'様式２の４（給付費）'!$N$40,'様式２の４（給付費）'!$O$40,'様式２の４（給付費）'!$P$40,'様式２の４（給付費）'!$F$41,'様式２の４（給付費）'!$G$41,'様式２の４（給付費）'!$H$41,'様式２の４（給付費）'!$J$41,'様式２の４（給付費）'!$K$41,'様式２の４（給付費）'!$L$41,'様式２の４（給付費）'!$M$41,'様式２の４（給付費）'!$N$41,'様式２の４（給付費）'!$O$41,'様式２の４（給付費）'!$P$41,'様式２の４（給付費）'!$F$42,'様式２の４（給付費）'!$G$42,'様式２の４（給付費）'!$H$42,'様式２の４（給付費）'!$J$42,'様式２の４（給付費）'!$K$42,'様式２の４（給付費）'!$L$42,'様式２の４（給付費）'!$M$42,'様式２の４（給付費）'!$N$42,'様式２の４（給付費）'!$O$42,'様式２の４（給付費）'!$P$42,'様式２の４（給付費）'!$F$43,'様式２の４（給付費）'!$G$43,'様式２の４（給付費）'!$H$43,'様式２の４（給付費）'!$J$43,'様式２の４（給付費）'!$K$43,'様式２の４（給付費）'!$L$43,'様式２の４（給付費）'!$M$43,'様式２の４（給付費）'!$N$43,'様式２の４（給付費）'!$O$43,'様式２の４（給付費）'!$P$43,'様式２の４（給付費）'!$F$44,'様式２の４（給付費）'!$G$44,'様式２の４（給付費）'!$H$44,'様式２の４（給付費）'!$J$44,'様式２の４（給付費）'!$K$44,'様式２の４（給付費）'!$L$44,'様式２の４（給付費）'!$M$44,'様式２の４（給付費）'!$N$44,'様式２の４（給付費）'!$O$44,'様式２の４（給付費）'!$P$44,'様式２の４（給付費）'!$F$45,'様式２の４（給付費）'!$G$45,'様式２の４（給付費）'!$H$45,'様式２の４（給付費）'!$J$45,'様式２の４（給付費）'!$K$45,'様式２の４（給付費）'!$L$45,'様式２の４（給付費）'!$M$45,'様式２の４（給付費）'!$N$45,'様式２の４（給付費）'!$O$45,'様式２の４（給付費）'!$P$45,'様式２の４（給付費）'!$F$46,'様式２の４（給付費）'!$G$46,'様式２の４（給付費）'!$H$46,'様式２の４（給付費）'!$J$46,'様式２の４（給付費）'!$K$46,'様式２の４（給付費）'!$L$46,'様式２の４（給付費）'!$M$46,'様式２の４（給付費）'!$N$46,'様式２の４（給付費）'!$O$46,'様式２の４（給付費）'!$P$46,'様式２の４（給付費）'!$F$47,'様式２の４（給付費）'!$G$47,'様式２の４（給付費）'!$H$47,'様式２の４（給付費）'!$J$47,'様式２の４（給付費）'!$K$47,'様式２の４（給付費）'!$L$47,'様式２の４（給付費）'!$M$47,'様式２の４（給付費）'!$N$47,'様式２の４（給付費）'!$O$47,'様式２の４（給付費）'!$P$47</definedName>
    <definedName name="databind" localSheetId="25">'様式２の４（件数）'!$F$11,'様式２の４（件数）'!$G$11,'様式２の４（件数）'!$H$11,'様式２の４（件数）'!$J$11,'様式２の４（件数）'!$K$11,'様式２の４（件数）'!$L$11,'様式２の４（件数）'!$M$11,'様式２の４（件数）'!$N$11,'様式２の４（件数）'!$O$11,'様式２の４（件数）'!$P$11,'様式２の４（件数）'!$F$12,'様式２の４（件数）'!$G$12,'様式２の４（件数）'!$H$12,'様式２の４（件数）'!$J$12,'様式２の４（件数）'!$K$12,'様式２の４（件数）'!$L$12,'様式２の４（件数）'!$M$12,'様式２の４（件数）'!$N$12,'様式２の４（件数）'!$O$12,'様式２の４（件数）'!$P$12,'様式２の４（件数）'!$F$13,'様式２の４（件数）'!$G$13,'様式２の４（件数）'!$H$13,'様式２の４（件数）'!$J$13,'様式２の４（件数）'!$K$13,'様式２の４（件数）'!$L$13,'様式２の４（件数）'!$M$13,'様式２の４（件数）'!$N$13,'様式２の４（件数）'!$O$13,'様式２の４（件数）'!$P$13,'様式２の４（件数）'!$F$14,'様式２の４（件数）'!$G$14,'様式２の４（件数）'!$H$14,'様式２の４（件数）'!$J$14,'様式２の４（件数）'!$K$14,'様式２の４（件数）'!$L$14,'様式２の４（件数）'!$M$14,'様式２の４（件数）'!$N$14,'様式２の４（件数）'!$O$14,'様式２の４（件数）'!$P$14,'様式２の４（件数）'!$F$15,'様式２の４（件数）'!$G$15,'様式２の４（件数）'!$H$15,'様式２の４（件数）'!$J$15,'様式２の４（件数）'!$K$15,'様式２の４（件数）'!$L$15,'様式２の４（件数）'!$M$15,'様式２の４（件数）'!$N$15,'様式２の４（件数）'!$O$15,'様式２の４（件数）'!$P$15,'様式２の４（件数）'!$G$16,'様式２の４（件数）'!$F$16,'様式２の４（件数）'!$H$16,'様式２の４（件数）'!$J$16,'様式２の４（件数）'!$K$16,'様式２の４（件数）'!$L$16,'様式２の４（件数）'!$M$16,'様式２の４（件数）'!$N$16,'様式２の４（件数）'!$O$16,'様式２の４（件数）'!$P$16,'様式２の４（件数）'!$F$17,'様式２の４（件数）'!$G$17,'様式２の４（件数）'!$H$17,'様式２の４（件数）'!$J$17,'様式２の４（件数）'!$K$17,'様式２の４（件数）'!$L$17,'様式２の４（件数）'!$M$17,'様式２の４（件数）'!$N$17,'様式２の４（件数）'!$O$17,'様式２の４（件数）'!$P$17,'様式２の４（件数）'!$F$18,'様式２の４（件数）'!$G$18,'様式２の４（件数）'!$H$18,'様式２の４（件数）'!$J$18,'様式２の４（件数）'!$K$18,'様式２の４（件数）'!$L$18,'様式２の４（件数）'!$M$18,'様式２の４（件数）'!$N$18,'様式２の４（件数）'!$O$18,'様式２の４（件数）'!$P$18,'様式２の４（件数）'!$F$19,'様式２の４（件数）'!$G$19,'様式２の４（件数）'!$H$19,'様式２の４（件数）'!$J$19,'様式２の４（件数）'!$K$19,'様式２の４（件数）'!$L$19,'様式２の４（件数）'!$M$19,'様式２の４（件数）'!$N$19,'様式２の４（件数）'!$O$19,'様式２の４（件数）'!$P$19,'様式２の４（件数）'!$F$20,'様式２の４（件数）'!$G$20,'様式２の４（件数）'!$H$20,'様式２の４（件数）'!$J$20,'様式２の４（件数）'!$K$20,'様式２の４（件数）'!$L$20,'様式２の４（件数）'!$M$20,'様式２の４（件数）'!$N$20,'様式２の４（件数）'!$O$20,'様式２の４（件数）'!$P$20,'様式２の４（件数）'!$F$21,'様式２の４（件数）'!$H$21,'様式２の４（件数）'!$G$21,'様式２の４（件数）'!$J$21,'様式２の４（件数）'!$K$21,'様式２の４（件数）'!$L$21,'様式２の４（件数）'!$M$21,'様式２の４（件数）'!$N$21,'様式２の４（件数）'!$O$21,'様式２の４（件数）'!$P$21,'様式２の４（件数）'!$F$22,'様式２の４（件数）'!$G$22,'様式２の４（件数）'!$H$22,'様式２の４（件数）'!$J$22,'様式２の４（件数）'!$K$22,'様式２の４（件数）'!$L$22,'様式２の４（件数）'!$M$22,'様式２の４（件数）'!$N$22,'様式２の４（件数）'!$O$22,'様式２の４（件数）'!$P$22,'様式２の４（件数）'!$F$23,'様式２の４（件数）'!$G$23,'様式２の４（件数）'!$H$23,'様式２の４（件数）'!$J$23,'様式２の４（件数）'!$K$23,'様式２の４（件数）'!$L$23,'様式２の４（件数）'!$M$23,'様式２の４（件数）'!$N$23,'様式２の４（件数）'!$O$23,'様式２の４（件数）'!$P$23,'様式２の４（件数）'!$F$24,'様式２の４（件数）'!$G$24,'様式２の４（件数）'!$H$24,'様式２の４（件数）'!$J$24,'様式２の４（件数）'!$K$24,'様式２の４（件数）'!$L$24,'様式２の４（件数）'!$M$24,'様式２の４（件数）'!$N$24,'様式２の４（件数）'!$O$24,'様式２の４（件数）'!$P$24,'様式２の４（件数）'!$F$25,'様式２の４（件数）'!$G$25,'様式２の４（件数）'!$H$25,'様式２の４（件数）'!$J$25,'様式２の４（件数）'!$K$25,'様式２の４（件数）'!$L$25,'様式２の４（件数）'!$M$25,'様式２の４（件数）'!$N$25,'様式２の４（件数）'!$O$25,'様式２の４（件数）'!$P$25,'様式２の４（件数）'!$F$26,'様式２の４（件数）'!$G$26,'様式２の４（件数）'!$H$26,'様式２の４（件数）'!$J$26,'様式２の４（件数）'!$K$26,'様式２の４（件数）'!$L$26,'様式２の４（件数）'!$M$26,'様式２の４（件数）'!$N$26,'様式２の４（件数）'!$O$26,'様式２の４（件数）'!$P$26,'様式２の４（件数）'!$F$27,'様式２の４（件数）'!$G$27,'様式２の４（件数）'!$H$27,'様式２の４（件数）'!$J$27,'様式２の４（件数）'!$K$27,'様式２の４（件数）'!$L$27,'様式２の４（件数）'!$M$27,'様式２の４（件数）'!$N$27,'様式２の４（件数）'!$O$27,'様式２の４（件数）'!$P$27,'様式２の４（件数）'!$F$28,'様式２の４（件数）'!$G$28,'様式２の４（件数）'!$H$28,'様式２の４（件数）'!$J$28,'様式２の４（件数）'!$K$28,'様式２の４（件数）'!$L$28,'様式２の４（件数）'!$M$28,'様式２の４（件数）'!$N$28,'様式２の４（件数）'!$O$28,'様式２の４（件数）'!$P$28,'様式２の４（件数）'!$F$29,'様式２の４（件数）'!$G$29,'様式２の４（件数）'!$H$29,'様式２の４（件数）'!$J$29,'様式２の４（件数）'!$K$29,'様式２の４（件数）'!$L$29,'様式２の４（件数）'!$M$29,'様式２の４（件数）'!$N$29,'様式２の４（件数）'!$O$29,'様式２の４（件数）'!$P$29,'様式２の４（件数）'!$F$30,'様式２の４（件数）'!$G$30,'様式２の４（件数）'!$H$30,'様式２の４（件数）'!$J$30,'様式２の４（件数）'!$K$30,'様式２の４（件数）'!$L$30,'様式２の４（件数）'!$M$30,'様式２の４（件数）'!$N$30,'様式２の４（件数）'!$O$30,'様式２の４（件数）'!$P$30,'様式２の４（件数）'!$F$31,'様式２の４（件数）'!$G$31,'様式２の４（件数）'!$H$31,'様式２の４（件数）'!$J$31,'様式２の４（件数）'!$K$31,'様式２の４（件数）'!$L$31,'様式２の４（件数）'!$M$31,'様式２の４（件数）'!$N$31,'様式２の４（件数）'!$O$31,'様式２の４（件数）'!$P$31,'様式２の４（件数）'!$F$32,'様式２の４（件数）'!$G$32,'様式２の４（件数）'!$H$32,'様式２の４（件数）'!$J$32,'様式２の４（件数）'!$K$32,'様式２の４（件数）'!$L$32,'様式２の４（件数）'!$M$32,'様式２の４（件数）'!$N$32,'様式２の４（件数）'!$O$32,'様式２の４（件数）'!$P$32,'様式２の４（件数）'!$F$33,'様式２の４（件数）'!$G$33,'様式２の４（件数）'!$H$33,'様式２の４（件数）'!$J$33,'様式２の４（件数）'!$K$33,'様式２の４（件数）'!$L$33,'様式２の４（件数）'!$M$33,'様式２の４（件数）'!$N$33,'様式２の４（件数）'!$O$33,'様式２の４（件数）'!$P$33,'様式２の４（件数）'!$F$34,'様式２の４（件数）'!$G$34,'様式２の４（件数）'!$H$34,'様式２の４（件数）'!$J$34,'様式２の４（件数）'!$K$34,'様式２の４（件数）'!$L$34,'様式２の４（件数）'!$M$34,'様式２の４（件数）'!$N$34,'様式２の４（件数）'!$O$34,'様式２の４（件数）'!$P$34,'様式２の４（件数）'!$F$35,'様式２の４（件数）'!$G$35,'様式２の４（件数）'!$H$35,'様式２の４（件数）'!$J$35,'様式２の４（件数）'!$K$35,'様式２の４（件数）'!$L$35,'様式２の４（件数）'!$M$35,'様式２の４（件数）'!$N$35,'様式２の４（件数）'!$O$35,'様式２の４（件数）'!$P$35,'様式２の４（件数）'!$F$36,'様式２の４（件数）'!$G$36,'様式２の４（件数）'!$H$36,'様式２の４（件数）'!$J$36,'様式２の４（件数）'!$K$36,'様式２の４（件数）'!$L$36,'様式２の４（件数）'!$M$36,'様式２の４（件数）'!$N$36,'様式２の４（件数）'!$O$36,'様式２の４（件数）'!$P$36,'様式２の４（件数）'!$F$37,'様式２の４（件数）'!$G$37,'様式２の４（件数）'!$H$37,'様式２の４（件数）'!$J$37,'様式２の４（件数）'!$K$37,'様式２の４（件数）'!$L$37,'様式２の４（件数）'!$M$37,'様式２の４（件数）'!$N$37,'様式２の４（件数）'!$O$37,'様式２の４（件数）'!$P$37,'様式２の４（件数）'!$F$38,'様式２の４（件数）'!$G$38,'様式２の４（件数）'!$H$38,'様式２の４（件数）'!$J$38,'様式２の４（件数）'!$K$38,'様式２の４（件数）'!$L$38,'様式２の４（件数）'!$M$38,'様式２の４（件数）'!$N$38,'様式２の４（件数）'!$O$38,'様式２の４（件数）'!$P$38,'様式２の４（件数）'!$F$39,'様式２の４（件数）'!$G$39,'様式２の４（件数）'!$H$39,'様式２の４（件数）'!$J$39,'様式２の４（件数）'!$K$39,'様式２の４（件数）'!$L$39,'様式２の４（件数）'!$M$39,'様式２の４（件数）'!$N$39,'様式２の４（件数）'!$O$39,'様式２の４（件数）'!$P$39,'様式２の４（件数）'!$F$40,'様式２の４（件数）'!$G$40,'様式２の４（件数）'!$H$40,'様式２の４（件数）'!$J$40,'様式２の４（件数）'!$K$40,'様式２の４（件数）'!$L$40,'様式２の４（件数）'!$M$40,'様式２の４（件数）'!$N$40,'様式２の４（件数）'!$O$40,'様式２の４（件数）'!$P$40,'様式２の４（件数）'!$F$41,'様式２の４（件数）'!$G$41,'様式２の４（件数）'!$H$41,'様式２の４（件数）'!$J$41,'様式２の４（件数）'!$K$41,'様式２の４（件数）'!$L$41,'様式２の４（件数）'!$M$41,'様式２の４（件数）'!$N$41,'様式２の４（件数）'!$O$41,'様式２の４（件数）'!$P$41,'様式２の４（件数）'!$F$42,'様式２の４（件数）'!$G$42,'様式２の４（件数）'!$H$42,'様式２の４（件数）'!$J$42,'様式２の４（件数）'!$K$42,'様式２の４（件数）'!$L$42,'様式２の４（件数）'!$M$42,'様式２の４（件数）'!$N$42,'様式２の４（件数）'!$O$42,'様式２の４（件数）'!$P$42,'様式２の４（件数）'!$F$43,'様式２の４（件数）'!$G$43,'様式２の４（件数）'!$H$43,'様式２の４（件数）'!$J$43,'様式２の４（件数）'!$K$43,'様式２の４（件数）'!$L$43,'様式２の４（件数）'!$M$43,'様式２の４（件数）'!$N$43,'様式２の４（件数）'!$O$43,'様式２の４（件数）'!$P$43,'様式２の４（件数）'!$F$44,'様式２の４（件数）'!$G$44,'様式２の４（件数）'!$H$44,'様式２の４（件数）'!$J$44,'様式２の４（件数）'!$K$44,'様式２の４（件数）'!$L$44,'様式２の４（件数）'!$M$44,'様式２の４（件数）'!$N$44,'様式２の４（件数）'!$O$44,'様式２の４（件数）'!$P$44,'様式２の４（件数）'!$F$45,'様式２の４（件数）'!$G$45,'様式２の４（件数）'!$H$45,'様式２の４（件数）'!$J$45,'様式２の４（件数）'!$K$45,'様式２の４（件数）'!$L$45,'様式２の４（件数）'!$M$45,'様式２の４（件数）'!$N$45,'様式２の４（件数）'!$O$45,'様式２の４（件数）'!$P$45,'様式２の４（件数）'!$F$46,'様式２の４（件数）'!$G$46,'様式２の４（件数）'!$H$46,'様式２の４（件数）'!$J$46,'様式２の４（件数）'!$K$46,'様式２の４（件数）'!$L$46,'様式２の４（件数）'!$M$46,'様式２の４（件数）'!$N$46,'様式２の４（件数）'!$O$46,'様式２の４（件数）'!$P$46,'様式２の４（件数）'!$F$47,'様式２の４（件数）'!$G$47,'様式２の４（件数）'!$H$47,'様式２の４（件数）'!$J$47,'様式２の４（件数）'!$K$47,'様式２の４（件数）'!$L$47,'様式２の４（件数）'!$M$47,'様式２の４（件数）'!$N$47,'様式２の４（件数）'!$O$47,'様式２の４（件数）'!$P$47</definedName>
    <definedName name="databind" localSheetId="26">'様式２の４（単位数）'!$F$11,'様式２の４（単位数）'!$G$11,'様式２の４（単位数）'!$H$11,'様式２の４（単位数）'!$J$11,'様式２の４（単位数）'!$K$11,'様式２の４（単位数）'!$L$11,'様式２の４（単位数）'!$M$11,'様式２の４（単位数）'!$N$11,'様式２の４（単位数）'!$O$11,'様式２の４（単位数）'!$P$11,'様式２の４（単位数）'!$F$12,'様式２の４（単位数）'!$G$12,'様式２の４（単位数）'!$H$12,'様式２の４（単位数）'!$J$12,'様式２の４（単位数）'!$K$12,'様式２の４（単位数）'!$L$12,'様式２の４（単位数）'!$M$12,'様式２の４（単位数）'!$N$12,'様式２の４（単位数）'!$O$12,'様式２の４（単位数）'!$P$12,'様式２の４（単位数）'!$F$13,'様式２の４（単位数）'!$G$13,'様式２の４（単位数）'!$H$13,'様式２の４（単位数）'!$J$13,'様式２の４（単位数）'!$K$13,'様式２の４（単位数）'!$L$13,'様式２の４（単位数）'!$M$13,'様式２の４（単位数）'!$N$13,'様式２の４（単位数）'!$O$13,'様式２の４（単位数）'!$P$13,'様式２の４（単位数）'!$F$14,'様式２の４（単位数）'!$G$14,'様式２の４（単位数）'!$H$14,'様式２の４（単位数）'!$J$14,'様式２の４（単位数）'!$K$14,'様式２の４（単位数）'!$L$14,'様式２の４（単位数）'!$M$14,'様式２の４（単位数）'!$N$14,'様式２の４（単位数）'!$O$14,'様式２の４（単位数）'!$P$14,'様式２の４（単位数）'!$F$15,'様式２の４（単位数）'!$G$15,'様式２の４（単位数）'!$H$15,'様式２の４（単位数）'!$J$15,'様式２の４（単位数）'!$K$15,'様式２の４（単位数）'!$L$15,'様式２の４（単位数）'!$M$15,'様式２の４（単位数）'!$N$15,'様式２の４（単位数）'!$O$15,'様式２の４（単位数）'!$P$15,'様式２の４（単位数）'!$F$16,'様式２の４（単位数）'!$G$16,'様式２の４（単位数）'!$H$16,'様式２の４（単位数）'!$J$16,'様式２の４（単位数）'!$K$16,'様式２の４（単位数）'!$L$16,'様式２の４（単位数）'!$M$16,'様式２の４（単位数）'!$N$16,'様式２の４（単位数）'!$O$16,'様式２の４（単位数）'!$P$16,'様式２の４（単位数）'!$F$17,'様式２の４（単位数）'!$G$17,'様式２の４（単位数）'!$H$17,'様式２の４（単位数）'!$J$17,'様式２の４（単位数）'!$K$17,'様式２の４（単位数）'!$L$17,'様式２の４（単位数）'!$M$17,'様式２の４（単位数）'!$N$17,'様式２の４（単位数）'!$O$17,'様式２の４（単位数）'!$P$17,'様式２の４（単位数）'!$F$18,'様式２の４（単位数）'!$G$18,'様式２の４（単位数）'!$H$18,'様式２の４（単位数）'!$J$18,'様式２の４（単位数）'!$K$18,'様式２の４（単位数）'!$L$18,'様式２の４（単位数）'!$M$18,'様式２の４（単位数）'!$N$18,'様式２の４（単位数）'!$O$18,'様式２の４（単位数）'!$P$18,'様式２の４（単位数）'!$F$19,'様式２の４（単位数）'!$G$19,'様式２の４（単位数）'!$H$19,'様式２の４（単位数）'!$J$19,'様式２の４（単位数）'!$K$19,'様式２の４（単位数）'!$L$19,'様式２の４（単位数）'!$M$19,'様式２の４（単位数）'!$N$19,'様式２の４（単位数）'!$O$19,'様式２の４（単位数）'!$P$19,'様式２の４（単位数）'!$F$20,'様式２の４（単位数）'!$G$20,'様式２の４（単位数）'!$H$20,'様式２の４（単位数）'!$J$20,'様式２の４（単位数）'!$K$20,'様式２の４（単位数）'!$L$20,'様式２の４（単位数）'!$M$20,'様式２の４（単位数）'!$N$20,'様式２の４（単位数）'!$O$20,'様式２の４（単位数）'!$P$20,'様式２の４（単位数）'!$F$21,'様式２の４（単位数）'!$G$21,'様式２の４（単位数）'!$H$21,'様式２の４（単位数）'!$J$21,'様式２の４（単位数）'!$K$21,'様式２の４（単位数）'!$L$21,'様式２の４（単位数）'!$M$21,'様式２の４（単位数）'!$N$21,'様式２の４（単位数）'!$O$21,'様式２の４（単位数）'!$P$21,'様式２の４（単位数）'!$F$22,'様式２の４（単位数）'!$G$22,'様式２の４（単位数）'!$H$22,'様式２の４（単位数）'!$J$22,'様式２の４（単位数）'!$K$22,'様式２の４（単位数）'!$L$22,'様式２の４（単位数）'!$M$22,'様式２の４（単位数）'!$N$22,'様式２の４（単位数）'!$O$22,'様式２の４（単位数）'!$P$22,'様式２の４（単位数）'!$F$23,'様式２の４（単位数）'!$G$23,'様式２の４（単位数）'!$H$23,'様式２の４（単位数）'!$J$23,'様式２の４（単位数）'!$K$23,'様式２の４（単位数）'!$L$23,'様式２の４（単位数）'!$M$23,'様式２の４（単位数）'!$N$23,'様式２の４（単位数）'!$O$23,'様式２の４（単位数）'!$P$23,'様式２の４（単位数）'!$F$24,'様式２の４（単位数）'!$G$24,'様式２の４（単位数）'!$H$24,'様式２の４（単位数）'!$J$24,'様式２の４（単位数）'!$K$24,'様式２の４（単位数）'!$L$24,'様式２の４（単位数）'!$M$24,'様式２の４（単位数）'!$N$24,'様式２の４（単位数）'!$O$24,'様式２の４（単位数）'!$P$24,'様式２の４（単位数）'!$F$25,'様式２の４（単位数）'!$G$25,'様式２の４（単位数）'!$H$25,'様式２の４（単位数）'!$J$25,'様式２の４（単位数）'!$K$25,'様式２の４（単位数）'!$L$25,'様式２の４（単位数）'!$M$25,'様式２の４（単位数）'!$N$25,'様式２の４（単位数）'!$O$25,'様式２の４（単位数）'!$P$25,'様式２の４（単位数）'!$F$26,'様式２の４（単位数）'!$G$26,'様式２の４（単位数）'!$H$26,'様式２の４（単位数）'!$J$26,'様式２の４（単位数）'!$K$26,'様式２の４（単位数）'!$L$26,'様式２の４（単位数）'!$M$26,'様式２の４（単位数）'!$N$26,'様式２の４（単位数）'!$O$26,'様式２の４（単位数）'!$P$26,'様式２の４（単位数）'!$F$27,'様式２の４（単位数）'!$G$27,'様式２の４（単位数）'!$H$27,'様式２の４（単位数）'!$J$27,'様式２の４（単位数）'!$K$27,'様式２の４（単位数）'!$L$27,'様式２の４（単位数）'!$M$27,'様式２の４（単位数）'!$N$27,'様式２の４（単位数）'!$O$27,'様式２の４（単位数）'!$P$27,'様式２の４（単位数）'!$F$28,'様式２の４（単位数）'!$G$28,'様式２の４（単位数）'!$H$28,'様式２の４（単位数）'!$J$28,'様式２の４（単位数）'!$K$28,'様式２の４（単位数）'!$L$28,'様式２の４（単位数）'!$M$28,'様式２の４（単位数）'!$N$28,'様式２の４（単位数）'!$O$28,'様式２の４（単位数）'!$P$28,'様式２の４（単位数）'!$F$29,'様式２の４（単位数）'!$G$29,'様式２の４（単位数）'!$H$29,'様式２の４（単位数）'!$J$29,'様式２の４（単位数）'!$K$29,'様式２の４（単位数）'!$L$29,'様式２の４（単位数）'!$M$29,'様式２の４（単位数）'!$N$29,'様式２の４（単位数）'!$O$29,'様式２の４（単位数）'!$P$29,'様式２の４（単位数）'!$F$30,'様式２の４（単位数）'!$G$30,'様式２の４（単位数）'!$H$30,'様式２の４（単位数）'!$J$30,'様式２の４（単位数）'!$K$30,'様式２の４（単位数）'!$L$30,'様式２の４（単位数）'!$M$30,'様式２の４（単位数）'!$N$30,'様式２の４（単位数）'!$O$30,'様式２の４（単位数）'!$P$30,'様式２の４（単位数）'!$F$31,'様式２の４（単位数）'!$G$31,'様式２の４（単位数）'!$H$31,'様式２の４（単位数）'!$J$31,'様式２の４（単位数）'!$K$31,'様式２の４（単位数）'!$L$31,'様式２の４（単位数）'!$M$31,'様式２の４（単位数）'!$N$31,'様式２の４（単位数）'!$O$31,'様式２の４（単位数）'!$P$31,'様式２の４（単位数）'!$F$32,'様式２の４（単位数）'!$G$32,'様式２の４（単位数）'!$H$32,'様式２の４（単位数）'!$J$32,'様式２の４（単位数）'!$K$32,'様式２の４（単位数）'!$L$32,'様式２の４（単位数）'!$M$32,'様式２の４（単位数）'!$N$32,'様式２の４（単位数）'!$O$32,'様式２の４（単位数）'!$P$32,'様式２の４（単位数）'!$F$33,'様式２の４（単位数）'!$G$33,'様式２の４（単位数）'!$H$33,'様式２の４（単位数）'!$J$33,'様式２の４（単位数）'!$K$33,'様式２の４（単位数）'!$L$33,'様式２の４（単位数）'!$M$33,'様式２の４（単位数）'!$N$33,'様式２の４（単位数）'!$O$33,'様式２の４（単位数）'!$P$33,'様式２の４（単位数）'!$F$34,'様式２の４（単位数）'!$G$34,'様式２の４（単位数）'!$H$34,'様式２の４（単位数）'!$J$34,'様式２の４（単位数）'!$K$34,'様式２の４（単位数）'!$L$34,'様式２の４（単位数）'!$M$34,'様式２の４（単位数）'!$N$34,'様式２の４（単位数）'!$O$34,'様式２の４（単位数）'!$P$34,'様式２の４（単位数）'!$F$35,'様式２の４（単位数）'!$G$35,'様式２の４（単位数）'!$H$35,'様式２の４（単位数）'!$J$35,'様式２の４（単位数）'!$K$35,'様式２の４（単位数）'!$L$35,'様式２の４（単位数）'!$M$35,'様式２の４（単位数）'!$N$35,'様式２の４（単位数）'!$O$35,'様式２の４（単位数）'!$P$35,'様式２の４（単位数）'!$F$36,'様式２の４（単位数）'!$G$36,'様式２の４（単位数）'!$H$36,'様式２の４（単位数）'!$J$36,'様式２の４（単位数）'!$K$36,'様式２の４（単位数）'!$L$36,'様式２の４（単位数）'!$M$36,'様式２の４（単位数）'!$N$36,'様式２の４（単位数）'!$O$36,'様式２の４（単位数）'!$P$36,'様式２の４（単位数）'!$F$37,'様式２の４（単位数）'!$G$37,'様式２の４（単位数）'!$H$37,'様式２の４（単位数）'!$J$37,'様式２の４（単位数）'!$K$37,'様式２の４（単位数）'!$L$37,'様式２の４（単位数）'!$M$37,'様式２の４（単位数）'!$N$37,'様式２の４（単位数）'!$O$37,'様式２の４（単位数）'!$P$37,'様式２の４（単位数）'!$F$38,'様式２の４（単位数）'!$G$38,'様式２の４（単位数）'!$H$38,'様式２の４（単位数）'!$J$38,'様式２の４（単位数）'!$K$38,'様式２の４（単位数）'!$L$38,'様式２の４（単位数）'!$M$38,'様式２の４（単位数）'!$N$38,'様式２の４（単位数）'!$O$38,'様式２の４（単位数）'!$P$38,'様式２の４（単位数）'!$F$39,'様式２の４（単位数）'!$G$39,'様式２の４（単位数）'!$H$39,'様式２の４（単位数）'!$J$39,'様式２の４（単位数）'!$K$39,'様式２の４（単位数）'!$L$39,'様式２の４（単位数）'!$M$39,'様式２の４（単位数）'!$N$39,'様式２の４（単位数）'!$O$39,'様式２の４（単位数）'!$P$39,'様式２の４（単位数）'!$F$40,'様式２の４（単位数）'!$G$40,'様式２の４（単位数）'!$H$40,'様式２の４（単位数）'!$J$40,'様式２の４（単位数）'!$K$40,'様式２の４（単位数）'!$L$40,'様式２の４（単位数）'!$M$40,'様式２の４（単位数）'!$N$40,'様式２の４（単位数）'!$O$40,'様式２の４（単位数）'!$P$40,'様式２の４（単位数）'!$F$41,'様式２の４（単位数）'!$G$41,'様式２の４（単位数）'!$H$41,'様式２の４（単位数）'!$J$41,'様式２の４（単位数）'!$K$41,'様式２の４（単位数）'!$L$41,'様式２の４（単位数）'!$M$41,'様式２の４（単位数）'!$N$41,'様式２の４（単位数）'!$O$41,'様式２の４（単位数）'!$P$41,'様式２の４（単位数）'!$F$42,'様式２の４（単位数）'!$G$42,'様式２の４（単位数）'!$H$42,'様式２の４（単位数）'!$J$42,'様式２の４（単位数）'!$K$42,'様式２の４（単位数）'!$L$42,'様式２の４（単位数）'!$M$42,'様式２の４（単位数）'!$N$42,'様式２の４（単位数）'!$O$42,'様式２の４（単位数）'!$P$42,'様式２の４（単位数）'!$F$43,'様式２の４（単位数）'!$G$43,'様式２の４（単位数）'!$H$43,'様式２の４（単位数）'!$J$43,'様式２の４（単位数）'!$K$43,'様式２の４（単位数）'!$L$43,'様式２の４（単位数）'!$M$43,'様式２の４（単位数）'!$N$43,'様式２の４（単位数）'!$O$43,'様式２の４（単位数）'!$P$43,'様式２の４（単位数）'!$F$44,'様式２の４（単位数）'!$G$44,'様式２の４（単位数）'!$H$44,'様式２の４（単位数）'!$J$44,'様式２の４（単位数）'!$K$44,'様式２の４（単位数）'!$L$44,'様式２の４（単位数）'!$M$44,'様式２の４（単位数）'!$N$44,'様式２の４（単位数）'!$O$44,'様式２の４（単位数）'!$P$44,'様式２の４（単位数）'!$F$45,'様式２の４（単位数）'!$G$45,'様式２の４（単位数）'!$H$45,'様式２の４（単位数）'!$J$45,'様式２の４（単位数）'!$K$45,'様式２の４（単位数）'!$L$45,'様式２の４（単位数）'!$M$45,'様式２の４（単位数）'!$N$45,'様式２の４（単位数）'!$O$45,'様式２の４（単位数）'!$P$45</definedName>
    <definedName name="databind" localSheetId="27">'様式２の４（費用額）'!$F$11,'様式２の４（費用額）'!$G$11,'様式２の４（費用額）'!$H$11,'様式２の４（費用額）'!$J$11,'様式２の４（費用額）'!$K$11,'様式２の４（費用額）'!$L$11,'様式２の４（費用額）'!$M$11,'様式２の４（費用額）'!$N$11,'様式２の４（費用額）'!$O$11,'様式２の４（費用額）'!$P$11,'様式２の４（費用額）'!$F$12,'様式２の４（費用額）'!$G$12,'様式２の４（費用額）'!$H$12,'様式２の４（費用額）'!$J$12,'様式２の４（費用額）'!$K$12,'様式２の４（費用額）'!$L$12,'様式２の４（費用額）'!$M$12,'様式２の４（費用額）'!$N$12,'様式２の４（費用額）'!$O$12,'様式２の４（費用額）'!$P$12,'様式２の４（費用額）'!$F$13,'様式２の４（費用額）'!$G$13,'様式２の４（費用額）'!$H$13,'様式２の４（費用額）'!$J$13,'様式２の４（費用額）'!$K$13,'様式２の４（費用額）'!$L$13,'様式２の４（費用額）'!$M$13,'様式２の４（費用額）'!$N$13,'様式２の４（費用額）'!$O$13,'様式２の４（費用額）'!$P$13,'様式２の４（費用額）'!$F$14,'様式２の４（費用額）'!$G$14,'様式２の４（費用額）'!$H$14,'様式２の４（費用額）'!$J$14,'様式２の４（費用額）'!$K$14,'様式２の４（費用額）'!$L$14,'様式２の４（費用額）'!$M$14,'様式２の４（費用額）'!$N$14,'様式２の４（費用額）'!$O$14,'様式２の４（費用額）'!$P$14,'様式２の４（費用額）'!$F$15,'様式２の４（費用額）'!$G$15,'様式２の４（費用額）'!$H$15,'様式２の４（費用額）'!$J$15,'様式２の４（費用額）'!$K$15,'様式２の４（費用額）'!$L$15,'様式２の４（費用額）'!$M$15,'様式２の４（費用額）'!$N$15,'様式２の４（費用額）'!$O$15,'様式２の４（費用額）'!$P$15,'様式２の４（費用額）'!$F$16,'様式２の４（費用額）'!$G$16,'様式２の４（費用額）'!$H$16,'様式２の４（費用額）'!$J$16,'様式２の４（費用額）'!$K$16,'様式２の４（費用額）'!$L$16,'様式２の４（費用額）'!$M$16,'様式２の４（費用額）'!$N$16,'様式２の４（費用額）'!$O$16,'様式２の４（費用額）'!$P$16,'様式２の４（費用額）'!$F$17,'様式２の４（費用額）'!$G$17,'様式２の４（費用額）'!$H$17,'様式２の４（費用額）'!$J$17,'様式２の４（費用額）'!$K$17,'様式２の４（費用額）'!$L$17,'様式２の４（費用額）'!$M$17,'様式２の４（費用額）'!$N$17,'様式２の４（費用額）'!$O$17,'様式２の４（費用額）'!$P$17,'様式２の４（費用額）'!$F$18,'様式２の４（費用額）'!$G$18,'様式２の４（費用額）'!$H$18,'様式２の４（費用額）'!$J$18,'様式２の４（費用額）'!$K$18,'様式２の４（費用額）'!$L$18,'様式２の４（費用額）'!$M$18,'様式２の４（費用額）'!$N$18,'様式２の４（費用額）'!$O$18,'様式２の４（費用額）'!$P$18,'様式２の４（費用額）'!$F$19,'様式２の４（費用額）'!$G$19,'様式２の４（費用額）'!$H$19,'様式２の４（費用額）'!$J$19,'様式２の４（費用額）'!$K$19,'様式２の４（費用額）'!$L$19,'様式２の４（費用額）'!$M$19,'様式２の４（費用額）'!$N$19,'様式２の４（費用額）'!$O$19,'様式２の４（費用額）'!$P$19,'様式２の４（費用額）'!$F$20,'様式２の４（費用額）'!$G$20,'様式２の４（費用額）'!$H$20,'様式２の４（費用額）'!$J$20,'様式２の４（費用額）'!$K$20,'様式２の４（費用額）'!$L$20,'様式２の４（費用額）'!$M$20,'様式２の４（費用額）'!$N$20,'様式２の４（費用額）'!$O$20,'様式２の４（費用額）'!$P$20,'様式２の４（費用額）'!$F$21,'様式２の４（費用額）'!$G$21,'様式２の４（費用額）'!$H$21,'様式２の４（費用額）'!$J$21,'様式２の４（費用額）'!$K$21,'様式２の４（費用額）'!$L$21,'様式２の４（費用額）'!$M$21,'様式２の４（費用額）'!$N$21,'様式２の４（費用額）'!$O$21,'様式２の４（費用額）'!$P$21,'様式２の４（費用額）'!$F$22,'様式２の４（費用額）'!$G$22,'様式２の４（費用額）'!$H$22,'様式２の４（費用額）'!$J$22,'様式２の４（費用額）'!$K$22,'様式２の４（費用額）'!$L$22,'様式２の４（費用額）'!$M$22,'様式２の４（費用額）'!$N$22,'様式２の４（費用額）'!$O$22,'様式２の４（費用額）'!$P$22,'様式２の４（費用額）'!$F$23,'様式２の４（費用額）'!$G$23,'様式２の４（費用額）'!$H$23,'様式２の４（費用額）'!$J$23,'様式２の４（費用額）'!$K$23,'様式２の４（費用額）'!$L$23,'様式２の４（費用額）'!$M$23,'様式２の４（費用額）'!$N$23,'様式２の４（費用額）'!$O$23,'様式２の４（費用額）'!$P$23,'様式２の４（費用額）'!$F$24,'様式２の４（費用額）'!$G$24,'様式２の４（費用額）'!$H$24,'様式２の４（費用額）'!$J$24,'様式２の４（費用額）'!$K$24,'様式２の４（費用額）'!$L$24,'様式２の４（費用額）'!$M$24,'様式２の４（費用額）'!$N$24,'様式２の４（費用額）'!$O$24,'様式２の４（費用額）'!$P$24,'様式２の４（費用額）'!$F$25,'様式２の４（費用額）'!$G$25,'様式２の４（費用額）'!$H$25,'様式２の４（費用額）'!$J$25,'様式２の４（費用額）'!$K$25,'様式２の４（費用額）'!$L$25,'様式２の４（費用額）'!$M$25,'様式２の４（費用額）'!$N$25,'様式２の４（費用額）'!$O$25,'様式２の４（費用額）'!$P$25,'様式２の４（費用額）'!$F$26,'様式２の４（費用額）'!$G$26,'様式２の４（費用額）'!$H$26,'様式２の４（費用額）'!$J$26,'様式２の４（費用額）'!$K$26,'様式２の４（費用額）'!$L$26,'様式２の４（費用額）'!$M$26,'様式２の４（費用額）'!$N$26,'様式２の４（費用額）'!$O$26,'様式２の４（費用額）'!$P$26,'様式２の４（費用額）'!$F$27,'様式２の４（費用額）'!$G$27,'様式２の４（費用額）'!$H$27,'様式２の４（費用額）'!$J$27,'様式２の４（費用額）'!$K$27,'様式２の４（費用額）'!$L$27,'様式２の４（費用額）'!$M$27,'様式２の４（費用額）'!$N$27,'様式２の４（費用額）'!$O$27,'様式２の４（費用額）'!$P$27,'様式２の４（費用額）'!$F$28,'様式２の４（費用額）'!$G$28,'様式２の４（費用額）'!$H$28,'様式２の４（費用額）'!$J$28,'様式２の４（費用額）'!$K$28,'様式２の４（費用額）'!$L$28,'様式２の４（費用額）'!$M$28,'様式２の４（費用額）'!$N$28,'様式２の４（費用額）'!$O$28,'様式２の４（費用額）'!$P$28,'様式２の４（費用額）'!$F$29,'様式２の４（費用額）'!$G$29,'様式２の４（費用額）'!$H$29,'様式２の４（費用額）'!$J$29,'様式２の４（費用額）'!$K$29,'様式２の４（費用額）'!$L$29,'様式２の４（費用額）'!$M$29,'様式２の４（費用額）'!$N$29,'様式２の４（費用額）'!$O$29,'様式２の４（費用額）'!$P$29,'様式２の４（費用額）'!$F$30,'様式２の４（費用額）'!$G$30,'様式２の４（費用額）'!$H$30,'様式２の４（費用額）'!$J$30,'様式２の４（費用額）'!$K$30,'様式２の４（費用額）'!$L$30,'様式２の４（費用額）'!$M$30,'様式２の４（費用額）'!$N$30,'様式２の４（費用額）'!$O$30,'様式２の４（費用額）'!$P$30,'様式２の４（費用額）'!$F$31,'様式２の４（費用額）'!$G$31,'様式２の４（費用額）'!$H$31,'様式２の４（費用額）'!$J$31,'様式２の４（費用額）'!$K$31,'様式２の４（費用額）'!$L$31,'様式２の４（費用額）'!$M$31,'様式２の４（費用額）'!$N$31,'様式２の４（費用額）'!$O$31,'様式２の４（費用額）'!$P$31,'様式２の４（費用額）'!$F$32,'様式２の４（費用額）'!$G$32,'様式２の４（費用額）'!$H$32,'様式２の４（費用額）'!$J$32,'様式２の４（費用額）'!$K$32,'様式２の４（費用額）'!$L$32,'様式２の４（費用額）'!$M$32,'様式２の４（費用額）'!$N$32,'様式２の４（費用額）'!$O$32,'様式２の４（費用額）'!$P$32,'様式２の４（費用額）'!$F$33,'様式２の４（費用額）'!$G$33,'様式２の４（費用額）'!$H$33,'様式２の４（費用額）'!$J$33,'様式２の４（費用額）'!$K$33,'様式２の４（費用額）'!$L$33,'様式２の４（費用額）'!$M$33,'様式２の４（費用額）'!$N$33,'様式２の４（費用額）'!$O$33,'様式２の４（費用額）'!$P$33,'様式２の４（費用額）'!$F$34,'様式２の４（費用額）'!$G$34,'様式２の４（費用額）'!$H$34,'様式２の４（費用額）'!$J$34,'様式２の４（費用額）'!$K$34,'様式２の４（費用額）'!$L$34,'様式２の４（費用額）'!$M$34,'様式２の４（費用額）'!$N$34,'様式２の４（費用額）'!$O$34,'様式２の４（費用額）'!$P$34,'様式２の４（費用額）'!$F$35,'様式２の４（費用額）'!$G$35,'様式２の４（費用額）'!$H$35,'様式２の４（費用額）'!$J$35,'様式２の４（費用額）'!$K$35,'様式２の４（費用額）'!$L$35,'様式２の４（費用額）'!$M$35,'様式２の４（費用額）'!$N$35,'様式２の４（費用額）'!$O$35,'様式２の４（費用額）'!$P$35,'様式２の４（費用額）'!$F$36,'様式２の４（費用額）'!$G$36,'様式２の４（費用額）'!$H$36,'様式２の４（費用額）'!$J$36,'様式２の４（費用額）'!$K$36,'様式２の４（費用額）'!$L$36,'様式２の４（費用額）'!$M$36,'様式２の４（費用額）'!$N$36,'様式２の４（費用額）'!$O$36,'様式２の４（費用額）'!$P$36,'様式２の４（費用額）'!$F$37,'様式２の４（費用額）'!$G$37,'様式２の４（費用額）'!$H$37,'様式２の４（費用額）'!$J$37,'様式２の４（費用額）'!$K$37,'様式２の４（費用額）'!$L$37,'様式２の４（費用額）'!$M$37,'様式２の４（費用額）'!$N$37,'様式２の４（費用額）'!$O$37,'様式２の４（費用額）'!$P$37,'様式２の４（費用額）'!$F$38,'様式２の４（費用額）'!$G$38,'様式２の４（費用額）'!$H$38,'様式２の４（費用額）'!$J$38,'様式２の４（費用額）'!$K$38,'様式２の４（費用額）'!$L$38,'様式２の４（費用額）'!$M$38,'様式２の４（費用額）'!$N$38,'様式２の４（費用額）'!$O$38,'様式２の４（費用額）'!$P$38,'様式２の４（費用額）'!$F$39,'様式２の４（費用額）'!$G$39,'様式２の４（費用額）'!$H$39,'様式２の４（費用額）'!$J$39,'様式２の４（費用額）'!$K$39,'様式２の４（費用額）'!$L$39,'様式２の４（費用額）'!$M$39,'様式２の４（費用額）'!$N$39,'様式２の４（費用額）'!$O$39,'様式２の４（費用額）'!$P$39,'様式２の４（費用額）'!$F$40,'様式２の４（費用額）'!$G$40,'様式２の４（費用額）'!$H$40,'様式２の４（費用額）'!$J$40,'様式２の４（費用額）'!$K$40,'様式２の４（費用額）'!$L$40,'様式２の４（費用額）'!$M$40,'様式２の４（費用額）'!$N$40,'様式２の４（費用額）'!$O$40,'様式２の４（費用額）'!$P$40,'様式２の４（費用額）'!$F$41,'様式２の４（費用額）'!$G$41,'様式２の４（費用額）'!$H$41,'様式２の４（費用額）'!$J$41,'様式２の４（費用額）'!$K$41,'様式２の４（費用額）'!$L$41,'様式２の４（費用額）'!$M$41,'様式２の４（費用額）'!$N$41,'様式２の４（費用額）'!$O$41,'様式２の４（費用額）'!$P$41,'様式２の４（費用額）'!$F$42,'様式２の４（費用額）'!$G$42,'様式２の４（費用額）'!$H$42,'様式２の４（費用額）'!$J$42,'様式２の４（費用額）'!$K$42,'様式２の４（費用額）'!$L$42,'様式２の４（費用額）'!$M$42,'様式２の４（費用額）'!$N$42,'様式２の４（費用額）'!$O$42,'様式２の４（費用額）'!$P$42,'様式２の４（費用額）'!$F$43,'様式２の４（費用額）'!$G$43,'様式２の４（費用額）'!$H$43,'様式２の４（費用額）'!$J$43,'様式２の４（費用額）'!$K$43,'様式２の４（費用額）'!$L$43,'様式２の４（費用額）'!$M$43,'様式２の４（費用額）'!$N$43,'様式２の４（費用額）'!$O$43,'様式２の４（費用額）'!$P$43,'様式２の４（費用額）'!$F$44,'様式２の４（費用額）'!$G$44,'様式２の４（費用額）'!$H$44,'様式２の４（費用額）'!$J$44,'様式２の４（費用額）'!$K$44,'様式２の４（費用額）'!$L$44,'様式２の４（費用額）'!$M$44,'様式２の４（費用額）'!$N$44,'様式２の４（費用額）'!$O$44,'様式２の４（費用額）'!$P$44,'様式２の４（費用額）'!$F$45,'様式２の４（費用額）'!$G$45,'様式２の４（費用額）'!$H$45,'様式２の４（費用額）'!$J$45,'様式２の４（費用額）'!$K$45,'様式２の４（費用額）'!$L$45,'様式２の４（費用額）'!$M$45,'様式２の４（費用額）'!$N$45,'様式２の４（費用額）'!$O$45,'様式２の４（費用額）'!$P$45,'様式２の４（費用額）'!$F$46,'様式２の４（費用額）'!$G$46,'様式２の４（費用額）'!$H$46,'様式２の４（費用額）'!$J$46,'様式２の４（費用額）'!$K$46,'様式２の４（費用額）'!$L$46,'様式２の４（費用額）'!$M$46,'様式２の４（費用額）'!$N$46,'様式２の４（費用額）'!$O$46,'様式２の４（費用額）'!$P$46,'様式２の４（費用額）'!$F$47,'様式２の４（費用額）'!$G$47,'様式２の４（費用額）'!$H$47,'様式２の４（費用額）'!$J$47,'様式２の４（費用額）'!$K$47,'様式２の４（費用額）'!$L$47,'様式２の４（費用額）'!$M$47,'様式２の４（費用額）'!$N$47,'様式２の４（費用額）'!$O$47,'様式２の４（費用額）'!$P$47</definedName>
    <definedName name="databind" localSheetId="29">様式２の５!$F$11,様式２の５!$G$11,様式２の５!$H$11,様式２の５!$J$11,様式２の５!$K$11,様式２の５!$L$11,様式２の５!$M$11,様式２の５!$N$11,様式２の５!$O$11,様式２の５!$P$11,様式２の５!$F$12,様式２の５!$G$12,様式２の５!$H$12,様式２の５!$J$12,様式２の５!$K$12,様式２の５!$L$12,様式２の５!$M$12,様式２の５!$N$12,様式２の５!$O$12,様式２の５!$P$12,様式２の５!$F$13,様式２の５!$G$13,様式２の５!$H$13,様式２の５!$J$13,様式２の５!$K$13,様式２の５!$L$13,様式２の５!$M$13,様式２の５!$N$13,様式２の５!$O$13,様式２の５!$P$13,様式２の５!$F$14,様式２の５!$G$14,様式２の５!$H$14,様式２の５!$J$14,様式２の５!$K$14,様式２の５!$L$14,様式２の５!$M$14,様式２の５!$N$14,様式２の５!$O$14,様式２の５!$P$14,様式２の５!$F$15,様式２の５!$G$15,様式２の５!$H$15,様式２の５!$J$15,様式２の５!$K$15,様式２の５!$L$15,様式２の５!$M$15,様式２の５!$N$15,様式２の５!$O$15,様式２の５!$P$15,様式２の５!$F$16,様式２の５!$G$16,様式２の５!$H$16,様式２の５!$J$16,様式２の５!$K$16,様式２の５!$L$16,様式２の５!$M$16,様式２の５!$N$16,様式２の５!$O$16,様式２の５!$P$16,様式２の５!$F$17,様式２の５!$G$17,様式２の５!$H$17,様式２の５!$J$17,様式２の５!$K$17,様式２の５!$L$17,様式２の５!$M$17,様式２の５!$N$17,様式２の５!$O$17,様式２の５!$P$17,様式２の５!$F$18,様式２の５!$G$18,様式２の５!$H$18,様式２の５!$J$18,様式２の５!$K$18,様式２の５!$L$18,様式２の５!$M$18,様式２の５!$N$18,様式２の５!$O$18,様式２の５!$P$18,様式２の５!$F$19,様式２の５!$G$19,様式２の５!$H$19,様式２の５!$J$19,様式２の５!$K$19,様式２の５!$L$19,様式２の５!$M$19,様式２の５!$N$19,様式２の５!$O$19,様式２の５!$P$19,様式２の５!$F$20,様式２の５!$G$20,様式２の５!$H$20,様式２の５!$J$20,様式２の５!$K$20,様式２の５!$L$20,様式２の５!$M$20,様式２の５!$N$20,様式２の５!$O$20,様式２の５!$P$20,様式２の５!$F$21,様式２の５!$G$21,様式２の５!$H$21,様式２の５!$J$21,様式２の５!$K$21,様式２の５!$L$21,様式２の５!$M$21,様式２の５!$N$21,様式２の５!$O$21,様式２の５!$P$21,様式２の５!$F$22,様式２の５!$G$22,様式２の５!$H$22,様式２の５!$J$22,様式２の５!$K$22,様式２の５!$L$22,様式２の５!$M$22,様式２の５!$N$22,様式２の５!$O$22,様式２の５!$P$22,様式２の５!$F$23,様式２の５!$G$23,様式２の５!$H$23,様式２の５!$J$23,様式２の５!$K$23,様式２の５!$L$23,様式２の５!$M$23,様式２の５!$N$23,様式２の５!$O$23,様式２の５!$P$23,様式２の５!$F$24,様式２の５!$G$24,様式２の５!$H$24,様式２の５!$J$24,様式２の５!$K$24,様式２の５!$L$24,様式２の５!$M$24,様式２の５!$N$24,様式２の５!$O$24,様式２の５!$P$24,様式２の５!$F$25,様式２の５!$G$25,様式２の５!$H$25,様式２の５!$J$25,様式２の５!$K$25,様式２の５!$L$25,様式２の５!$M$25,様式２の５!$O$25,様式２の５!$N$25,様式２の５!$P$25,様式２の５!$F$26,様式２の５!$G$26,様式２の５!$H$26,様式２の５!$J$26,様式２の５!$K$26,様式２の５!$L$26,様式２の５!$M$26,様式２の５!$N$26,様式２の５!$O$26,様式２の５!$P$26,様式２の５!$F$27,様式２の５!$G$27,様式２の５!$H$27,様式２の５!$J$27,様式２の５!$K$27,様式２の５!$L$27,様式２の５!$M$27,様式２の５!$N$27,様式２の５!$O$27,様式２の５!$P$27,様式２の５!$F$28,様式２の５!$G$28,様式２の５!$H$28,様式２の５!$J$28,様式２の５!$K$28,様式２の５!$L$28,様式２の５!$M$28,様式２の５!$N$28,様式２の５!$O$28,様式２の５!$P$28,様式２の５!$F$29,様式２の５!$G$29,様式２の５!$H$29,様式２の５!$J$29,様式２の５!$K$29,様式２の５!$L$29,様式２の５!$M$29,様式２の５!$N$29,様式２の５!$O$29,様式２の５!$P$29,様式２の５!$F$30,様式２の５!$G$30,様式２の５!$H$30,様式２の５!$J$30,様式２の５!$K$30,様式２の５!$L$30,様式２の５!$M$30,様式２の５!$N$30,様式２の５!$O$30,様式２の５!$P$30,様式２の５!$F$32,様式２の５!$G$32,様式２の５!$H$32,様式２の５!$J$32,様式２の５!$K$32,様式２の５!$L$32,様式２の５!$M$32,様式２の５!$N$32,様式２の５!$O$32,様式２の５!$P$32,様式２の５!$F$33,様式２の５!$G$33,様式２の５!$H$33,様式２の５!$J$33,様式２の５!$K$33,様式２の５!$L$33,様式２の５!$M$33,様式２の５!$N$33,様式２の５!$O$33,様式２の５!$P$33,様式２の５!$F$34,様式２の５!$G$34,様式２の５!$H$34,様式２の５!$J$34,様式２の５!$K$34,様式２の５!$L$34,様式２の５!$M$34,様式２の５!$N$34,様式２の５!$O$34,様式２の５!$P$34,様式２の５!$F$35,様式２の５!$G$35,様式２の５!$H$35,様式２の５!$J$35,様式２の５!$K$35,様式２の５!$L$35,様式２の５!$M$35,様式２の５!$N$35,様式２の５!$O$35,様式２の５!$P$35,様式２の５!$F$36,様式２の５!$G$36,様式２の５!$H$36,様式２の５!$J$36,様式２の５!$K$36,様式２の５!$L$36,様式２の５!$M$36,様式２の５!$N$36,様式２の５!$O$36,様式２の５!$P$36,様式２の５!$F$37,様式２の５!$G$37,様式２の５!$H$37,様式２の５!$J$37,様式２の５!$K$37,様式２の５!$L$37,様式２の５!$M$37,様式２の５!$N$37,様式２の５!$O$37,様式２の５!$P$37,様式２の５!$F$38,様式２の５!$G$38,様式２の５!$H$38,様式２の５!$J$38,様式２の５!$K$38,様式２の５!$L$38,様式２の５!$M$38,様式２の５!$N$38,様式２の５!$O$38,様式２の５!$P$38,様式２の５!$F$39,様式２の５!$G$39,様式２の５!$H$39,様式２の５!$J$39,様式２の５!$K$39,様式２の５!$L$39,様式２の５!$M$39,様式２の５!$N$39,様式２の５!$O$39,様式２の５!$P$39,様式２の５!$F$40,様式２の５!$G$40,様式２の５!$H$40,様式２の５!$J$40,様式２の５!$K$40,様式２の５!$L$40,様式２の５!$M$40,様式２の５!$N$40,様式２の５!$O$40,様式２の５!$P$40,様式２の５!$F$41,様式２の５!$G$41,様式２の５!$H$41,様式２の５!$J$41,様式２の５!$K$41,様式２の５!$L$41,様式２の５!$M$41,様式２の５!$N$41,様式２の５!$O$41,様式２の５!$P$41,様式２の５!$F$42,様式２の５!$G$42,様式２の５!$H$42,様式２の５!$J$42,様式２の５!$K$42,様式２の５!$L$42,様式２の５!$M$42,様式２の５!$N$42,様式２の５!$O$42,様式２の５!$P$42,様式２の５!$F$43,様式２の５!$G$43,様式２の５!$H$43,様式２の５!$J$43,様式２の５!$K$43,様式２の５!$L$43,様式２の５!$M$43,様式２の５!$N$43,様式２の５!$O$43,様式２の５!$P$43,様式２の５!$F$44,様式２の５!$G$45,様式２の５!$G$44,様式２の５!$H$44,様式２の５!$J$44,様式２の５!$K$44,様式２の５!$L$44,様式２の５!$M$44,様式２の５!$N$44,様式２の５!$O$44,様式２の５!$P$44,様式２の５!$F$45,様式２の５!$H$45,様式２の５!$J$45,様式２の５!$K$45,様式２の５!$L$45,様式２の５!$M$45,様式２の５!$N$45,様式２の５!$O$45,様式２の５!$P$45,様式２の５!$F$46,様式２の５!$G$46,様式２の５!$H$46,様式２の５!$J$46,様式２の５!$K$46,様式２の５!$L$46,様式２の５!$M$46,様式２の５!$N$46,様式２の５!$O$46,様式２の５!$P$46,様式２の５!$F$47,様式２の５!$G$47,様式２の５!$H$47,様式２の５!$J$47,様式２の５!$K$47,様式２の５!$L$47,様式２の５!$M$47,様式２の５!$N$47,様式２の５!$O$47,様式２の５!$P$47,様式２の５!$F$48,様式２の５!$G$48,様式２の５!$H$48,様式２の５!$J$48,様式２の５!$K$48,様式２の５!$L$48,様式２の５!$M$48,様式２の５!$N$48,様式２の５!$O$48,様式２の５!$P$48,様式２の５!$F$49,様式２の５!$G$49,様式２の５!$H$49,様式２の５!$J$49,様式２の５!$K$49,様式２の５!$L$49,様式２の５!$M$49,様式２の５!$N$49,様式２の５!$O$49,様式２の５!$P$49,様式２の５!$F$50,様式２の５!$G$50,様式２の５!$H$50,様式２の５!$J$50,様式２の５!$K$50,様式２の５!$L$50,様式２の５!$M$50,様式２の５!$N$50,様式２の５!$O$50,様式２の５!$P$50,様式２の５!$F$51,様式２の５!$G$51,様式２の５!$H$51,様式２の５!$J$51,様式２の５!$K$51,様式２の５!$L$51,様式２の５!$M$51,様式２の５!$N$51,様式２の５!$O$51,様式２の５!$P$51,様式２の５!$F$52,様式２の５!$G$52,様式２の５!$H$52,様式２の５!$J$52,様式２の５!$K$52,様式２の５!$L$52,様式２の５!$M$52,様式２の５!$N$52,様式２の５!$O$52,様式２の５!$P$52</definedName>
    <definedName name="databind" localSheetId="30">様式２の６!$F$11,様式２の６!$G$11,様式２の６!$H$11,様式２の６!$K$11,様式２の６!$J$11,様式２の６!$L$11,様式２の６!$M$11,様式２の６!$N$11,様式２の６!$O$11,様式２の６!$P$11,様式２の６!$F$12,様式２の６!$G$12,様式２の６!$H$12,様式２の６!$J$12,様式２の６!$K$12,様式２の６!$L$12,様式２の６!$M$12,様式２の６!$N$12,様式２の６!$O$12,様式２の６!$P$12,様式２の６!$F$13,様式２の６!$G$13,様式２の６!$H$13,様式２の６!$J$13,様式２の６!$K$13,様式２の６!$L$13,様式２の６!$M$13,様式２の６!$N$13,様式２の６!$O$13,様式２の６!$P$13,様式２の６!$F$14,様式２の６!$G$14,様式２の６!$H$14,様式２の６!$J$14,様式２の６!$K$14,様式２の６!$L$14,様式２の６!$M$14,様式２の６!$N$14,様式２の６!$O$14,様式２の６!$P$14,様式２の６!$F$15,様式２の６!$G$15,様式２の６!$H$15,様式２の６!$J$15,様式２の６!$K$15,様式２の６!$L$15,様式２の６!$M$15,様式２の６!$N$15,様式２の６!$O$15,様式２の６!$P$15,様式２の６!$F$16,様式２の６!$G$16,様式２の６!$H$16,様式２の６!$J$16,様式２の６!$K$16,様式２の６!$L$16,様式２の６!$M$16,様式２の６!$N$16,様式２の６!$O$16,様式２の６!$P$16,様式２の６!$F$17,様式２の６!$G$17,様式２の６!$H$17,様式２の６!$J$17,様式２の６!$K$17,様式２の６!$L$17,様式２の６!$M$17,様式２の６!$N$17,様式２の６!$O$17,様式２の６!$P$17,様式２の６!$F$18,様式２の６!$G$18,様式２の６!$H$18,様式２の６!$J$18,様式２の６!$K$18,様式２の６!$L$18,様式２の６!$M$18,様式２の６!$N$18,様式２の６!$O$18,様式２の６!$P$18,様式２の６!$F$19,様式２の６!$G$19,様式２の６!$H$19,様式２の６!$J$19,様式２の６!$K$19,様式２の６!$L$19,様式２の６!$M$19,様式２の６!$N$19,様式２の６!$O$19,様式２の６!$P$19,様式２の６!$F$20,様式２の６!$G$20,様式２の６!$H$20,様式２の６!$J$20,様式２の６!$K$20,様式２の６!$L$20,様式２の６!$M$20,様式２の６!$N$20,様式２の６!$O$20,様式２の６!$P$20,様式２の６!$F$21,様式２の６!$G$21,様式２の６!$H$21,様式２の６!$J$21,様式２の６!$K$21,様式２の６!$L$21,様式２の６!$M$21,様式２の６!$N$21,様式２の６!$O$21,様式２の６!$P$21,様式２の６!$F$22,様式２の６!$G$22,様式２の６!$H$22,様式２の６!$J$22,様式２の６!$K$22,様式２の６!$L$22,様式２の６!$M$22,様式２の６!$N$22,様式２の６!$O$22,様式２の６!$P$22,様式２の６!$F$23,様式２の６!$G$23,様式２の６!$H$23,様式２の６!$J$23,様式２の６!$K$23,様式２の６!$L$23,様式２の６!$M$23,様式２の６!$N$23,様式２の６!$O$23,様式２の６!$P$23,様式２の６!$F$24,様式２の６!$G$24,様式２の６!$H$24,様式２の６!$J$24,様式２の６!$K$24,様式２の６!$L$24,様式２の６!$M$24,様式２の６!$N$24,様式２の６!$O$24,様式２の６!$P$24,様式２の６!$F$25,様式２の６!$G$25,様式２の６!$H$25,様式２の６!$J$25,様式２の６!$K$25,様式２の６!$L$25,様式２の６!$M$25,様式２の６!$N$25,様式２の６!$O$26,様式２の６!$P$25,様式２の６!$O$25,様式２の６!$F$26,様式２の６!$G$26,様式２の６!$H$26,様式２の６!$J$26,様式２の６!$K$26,様式２の６!$L$26,様式２の６!$M$26,様式２の６!$N$26,様式２の６!$P$26,様式２の６!$F$27,様式２の６!$G$27,様式２の６!$H$27,様式２の６!$J$27,様式２の６!$K$27,様式２の６!$L$27,様式２の６!$M$27,様式２の６!$N$27,様式２の６!$O$27,様式２の６!$P$27,様式２の６!$F$28,様式２の６!$G$29,様式２の６!$G$28,様式２の６!$H$28,様式２の６!$J$28,様式２の６!$K$28,様式２の６!$L$28,様式２の６!$M$28,様式２の６!$N$28,様式２の６!$O$28,様式２の６!$P$28,様式２の６!$F$29,様式２の６!$H$29,様式２の６!$J$29,様式２の６!$K$29,様式２の６!$L$29,様式２の６!$M$29,様式２の６!$N$29,様式２の６!$O$29,様式２の６!$P$29,様式２の６!$F$30,様式２の６!$G$30,様式２の６!$H$30,様式２の６!$J$30,様式２の６!$K$30,様式２の６!$L$30,様式２の６!$M$30,様式２の６!$N$30,様式２の６!$O$30,様式２の６!$P$30,様式２の６!$F$32,様式２の６!$G$32,様式２の６!$H$32,様式２の６!$J$32,様式２の６!$K$32,様式２の６!$L$32,様式２の６!$M$32,様式２の６!$N$32,様式２の６!$O$32,様式２の６!$P$32,様式２の６!$F$33,様式２の６!$G$33,様式２の６!$H$33,様式２の６!$J$33,様式２の６!$K$33,様式２の６!$L$33,様式２の６!$M$33,様式２の６!$N$33,様式２の６!$O$33,様式２の６!$P$33,様式２の６!$F$34,様式２の６!$G$34,様式２の６!$H$34,様式２の６!$J$34,様式２の６!$K$34,様式２の６!$L$34,様式２の６!$M$34,様式２の６!$N$34,様式２の６!$O$34,様式２の６!$P$34,様式２の６!$F$35,様式２の６!$G$35,様式２の６!$H$35,様式２の６!$J$35,様式２の６!$K$35,様式２の６!$L$35,様式２の６!$M$35,様式２の６!$N$35,様式２の６!$O$35,様式２の６!$P$35,様式２の６!$F$36,様式２の６!$G$36,様式２の６!$H$36,様式２の６!$J$36,様式２の６!$K$36,様式２の６!$L$36,様式２の６!$M$36,様式２の６!$N$36,様式２の６!$O$36,様式２の６!$P$36,様式２の６!$F$37,様式２の６!$G$37,様式２の６!$H$37,様式２の６!$J$37,様式２の６!$K$37,様式２の６!$L$37,様式２の６!$M$37,様式２の６!$N$37,様式２の６!$O$37,様式２の６!$P$37,様式２の６!$F$38,様式２の６!$G$38,様式２の６!$H$38,様式２の６!$J$38,様式２の６!$K$38,様式２の６!$L$38,様式２の６!$M$38,様式２の６!$N$38,様式２の６!$O$38,様式２の６!$P$38,様式２の６!$F$39,様式２の６!$G$39,様式２の６!$H$39,様式２の６!$J$39,様式２の６!$K$39,様式２の６!$L$39,様式２の６!$M$39,様式２の６!$N$39,様式２の６!$O$39,様式２の６!$P$39,様式２の６!$F$40,様式２の６!$G$40,様式２の６!$H$40,様式２の６!$J$40,様式２の６!$K$40,様式２の６!$L$40,様式２の６!$M$40,様式２の６!$N$40,様式２の６!$O$40,様式２の６!$P$40,様式２の６!$F$41,様式２の６!$G$41,様式２の６!$H$41,様式２の６!$J$41,様式２の６!$K$41,様式２の６!$L$41,様式２の６!$M$41,様式２の６!$N$41,様式２の６!$O$41,様式２の６!$P$41,様式２の６!$F$42,様式２の６!$G$42,様式２の６!$H$42,様式２の６!$J$42,様式２の６!$K$42,様式２の６!$L$42,様式２の６!$M$42,様式２の６!$N$42,様式２の６!$O$42,様式２の６!$P$42,様式２の６!$F$43,様式２の６!$G$43,様式２の６!$H$43,様式２の６!$J$43,様式２の６!$K$43,様式２の６!$L$43,様式２の６!$M$43,様式２の６!$N$43,様式２の６!$O$43,様式２の６!$P$43,様式２の６!$F$44,様式２の６!$G$44,様式２の６!$H$44,様式２の６!$J$44,様式２の６!$K$44,様式２の６!$L$44,様式２の６!$M$44,様式２の６!$N$44,様式２の６!$O$44,様式２の６!$P$44,様式２の６!$F$45,様式２の６!$G$45,様式２の６!$H$45,様式２の６!$J$45,様式２の６!$K$45,様式２の６!$L$45,様式２の６!$M$45,様式２の６!$N$45,様式２の６!$O$45,様式２の６!$P$45,様式２の６!$F$46,様式２の６!$G$46,様式２の６!$H$46,様式２の６!$J$46,様式２の６!$K$46,様式２の６!$L$46,様式２の６!$M$46,様式２の６!$N$46,様式２の６!$O$46,様式２の６!$P$46,様式２の６!$F$47,様式２の６!$G$47,様式２の６!$H$47,様式２の６!$J$47,様式２の６!$K$47,様式２の６!$L$47,様式２の６!$M$47,様式２の６!$N$47,様式２の６!$O$47,様式２の６!$P$47,様式２の６!$F$48,様式２の６!$G$48,様式２の６!$H$48,様式２の６!$J$48,様式２の６!$K$48,様式２の６!$L$48,様式２の６!$M$48,様式２の６!$N$48,様式２の６!$O$48,様式２の６!$P$48,様式２の６!$F$49,様式２の６!$G$49,様式２の６!$H$49,様式２の６!$J$49,様式２の６!$K$49,様式２の６!$L$49,様式２の６!$M$49,様式２の６!$N$49,様式２の６!$O$49,様式２の６!$P$49,様式２の６!$F$50,様式２の６!$G$50,様式２の６!$H$50,様式２の６!$J$50,様式２の６!$K$50,様式２の６!$L$50,様式２の６!$M$50,様式２の６!$N$50,様式２の６!$O$50,様式２の６!$P$50,様式２の６!$F$51,様式２の６!$G$51,様式２の６!$H$51,様式２の６!$J$51,様式２の６!$K$51,様式２の６!$L$51,様式２の６!$M$51,様式２の６!$N$51,様式２の６!$O$51,様式２の６!$P$51,様式２の６!$F$52,様式２の６!$G$52,様式２の６!$H$52,様式２の６!$J$52,様式２の６!$K$52,様式２の６!$L$52,様式２の６!$M$52,様式２の６!$N$52,様式２の６!$O$52,様式２の６!$P$52</definedName>
    <definedName name="databind" localSheetId="31">様式２の７!$F$11,様式２の７!$G$11,様式２の７!$H$11,様式２の７!$F$12,様式２の７!$G$12,様式２の７!$H$12,様式２の７!$F$16,様式２の７!$G$16,様式２の７!$H$16,様式２の７!$F$17,様式２の７!$G$17,様式２の７!$H$17,様式２の７!$F$21,様式２の７!$G$21,様式２の７!$H$21,様式２の７!$F$22,様式２の７!$G$22,様式２の７!$H$22,様式２の７!$F$26,様式２の７!$G$26,様式２の７!$H$26,様式２の７!$F$27,様式２の７!$G$27,様式２の７!$H$27,様式２の７!$F$31,様式２の７!$G$31,様式２の７!$H$31,様式２の７!$F$32,様式２の７!$G$32,様式２の７!$H$32,様式２の７!$F$36,様式２の７!$G$36,様式２の７!$H$36,様式２の７!$F$37,様式２の７!$G$37,様式２の７!$H$37,様式２の７!$F$41,様式２の７!$G$41,様式２の７!$H$41,様式２の７!$F$42,様式２の７!$G$42,様式２の７!$H$42,様式２の７!$F$46,様式２の７!$G$46,様式２の７!$H$46,様式２の７!$F$47,様式２の７!$G$47,様式２の７!$H$47,様式２の７!$F$51,様式２の７!$G$51,様式２の７!$H$51,様式２の７!$F$52,様式２の７!$G$52,様式２の７!$H$52,様式２の７!$F$56,様式２の７!$F$57,様式２の７!$F$60,様式２の７!$F$61,様式２の７!$F$64,様式２の７!$F$65,様式２の７!$F$68,様式２の７!$F$69,様式２の７!$F$72,様式２の７!$F$73,様式２の７!$F$76,様式２の７!$F$77,様式２の７!$F$80,様式２の７!$F$81,様式２の７!$F$84,様式２の７!$F$85</definedName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41" i="5" l="1"/>
  <c r="P16" i="2" l="1"/>
  <c r="D17" i="1" l="1"/>
  <c r="F11" i="32" l="1"/>
  <c r="G11" i="32"/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46" i="32"/>
  <c r="F46" i="32"/>
  <c r="M52" i="31"/>
  <c r="O51" i="31"/>
  <c r="H51" i="31"/>
  <c r="O50" i="31"/>
  <c r="H50" i="31"/>
  <c r="P50" i="31" s="1"/>
  <c r="O49" i="31"/>
  <c r="H49" i="31"/>
  <c r="P49" i="31" s="1"/>
  <c r="P48" i="31"/>
  <c r="O48" i="31"/>
  <c r="H48" i="31"/>
  <c r="O47" i="31"/>
  <c r="P47" i="31" s="1"/>
  <c r="H47" i="31"/>
  <c r="O46" i="31"/>
  <c r="H46" i="31"/>
  <c r="P46" i="31" s="1"/>
  <c r="O45" i="31"/>
  <c r="H45" i="31"/>
  <c r="P45" i="31" s="1"/>
  <c r="P44" i="31"/>
  <c r="O44" i="31"/>
  <c r="H44" i="31"/>
  <c r="O43" i="31"/>
  <c r="O42" i="31" s="1"/>
  <c r="H43" i="31"/>
  <c r="P43" i="31" s="1"/>
  <c r="N42" i="31"/>
  <c r="M42" i="31"/>
  <c r="L42" i="31"/>
  <c r="K42" i="31"/>
  <c r="J42" i="31"/>
  <c r="J52" i="31" s="1"/>
  <c r="G42" i="31"/>
  <c r="F42" i="31"/>
  <c r="P41" i="31"/>
  <c r="O41" i="31"/>
  <c r="H41" i="31"/>
  <c r="O40" i="31"/>
  <c r="O32" i="31" s="1"/>
  <c r="O52" i="31" s="1"/>
  <c r="H40" i="31"/>
  <c r="P40" i="31" s="1"/>
  <c r="O39" i="31"/>
  <c r="H39" i="31"/>
  <c r="P39" i="31" s="1"/>
  <c r="O38" i="31"/>
  <c r="H38" i="31"/>
  <c r="P38" i="31" s="1"/>
  <c r="P37" i="31"/>
  <c r="O37" i="31"/>
  <c r="H37" i="31"/>
  <c r="O36" i="31"/>
  <c r="P36" i="31" s="1"/>
  <c r="H36" i="31"/>
  <c r="O35" i="31"/>
  <c r="H35" i="31"/>
  <c r="P35" i="31" s="1"/>
  <c r="P34" i="31"/>
  <c r="O34" i="31"/>
  <c r="H34" i="31"/>
  <c r="H32" i="31" s="1"/>
  <c r="P33" i="31"/>
  <c r="O33" i="31"/>
  <c r="H33" i="31"/>
  <c r="N32" i="31"/>
  <c r="N52" i="31" s="1"/>
  <c r="M32" i="31"/>
  <c r="L32" i="31"/>
  <c r="L52" i="31" s="1"/>
  <c r="K32" i="31"/>
  <c r="K52" i="31" s="1"/>
  <c r="J32" i="31"/>
  <c r="G32" i="31"/>
  <c r="G52" i="31" s="1"/>
  <c r="F32" i="31"/>
  <c r="F52" i="31" s="1"/>
  <c r="P30" i="31"/>
  <c r="O30" i="31"/>
  <c r="H30" i="31"/>
  <c r="P29" i="31"/>
  <c r="O29" i="31"/>
  <c r="H29" i="31"/>
  <c r="O28" i="31"/>
  <c r="H28" i="31"/>
  <c r="O27" i="31"/>
  <c r="H27" i="31"/>
  <c r="P27" i="31" s="1"/>
  <c r="O26" i="31"/>
  <c r="H26" i="31"/>
  <c r="P26" i="31" s="1"/>
  <c r="P25" i="31"/>
  <c r="O25" i="31"/>
  <c r="H25" i="31"/>
  <c r="O24" i="31"/>
  <c r="P24" i="31" s="1"/>
  <c r="H24" i="31"/>
  <c r="O23" i="31"/>
  <c r="H23" i="31"/>
  <c r="P22" i="31"/>
  <c r="O22" i="31"/>
  <c r="H22" i="31"/>
  <c r="N21" i="31"/>
  <c r="M21" i="31"/>
  <c r="L21" i="31"/>
  <c r="K21" i="31"/>
  <c r="J21" i="31"/>
  <c r="G21" i="31"/>
  <c r="F21" i="31"/>
  <c r="O20" i="31"/>
  <c r="H20" i="31"/>
  <c r="P20" i="31" s="1"/>
  <c r="P19" i="31"/>
  <c r="O19" i="31"/>
  <c r="H19" i="31"/>
  <c r="P18" i="31"/>
  <c r="O18" i="31"/>
  <c r="H18" i="31"/>
  <c r="O17" i="31"/>
  <c r="H17" i="31"/>
  <c r="P17" i="31" s="1"/>
  <c r="O16" i="31"/>
  <c r="H16" i="31"/>
  <c r="P16" i="31" s="1"/>
  <c r="O15" i="31"/>
  <c r="H15" i="31"/>
  <c r="P15" i="31" s="1"/>
  <c r="P14" i="31"/>
  <c r="O14" i="31"/>
  <c r="H14" i="31"/>
  <c r="O13" i="31"/>
  <c r="P13" i="31" s="1"/>
  <c r="H13" i="31"/>
  <c r="O12" i="31"/>
  <c r="H12" i="31"/>
  <c r="P12" i="31" s="1"/>
  <c r="N11" i="31"/>
  <c r="M11" i="31"/>
  <c r="L11" i="31"/>
  <c r="K11" i="31"/>
  <c r="J11" i="31"/>
  <c r="G11" i="31"/>
  <c r="F11" i="31"/>
  <c r="K52" i="30"/>
  <c r="F52" i="30"/>
  <c r="O51" i="30"/>
  <c r="H51" i="30"/>
  <c r="P51" i="30" s="1"/>
  <c r="P50" i="30"/>
  <c r="O50" i="30"/>
  <c r="H50" i="30"/>
  <c r="O49" i="30"/>
  <c r="P49" i="30" s="1"/>
  <c r="H49" i="30"/>
  <c r="O48" i="30"/>
  <c r="H48" i="30"/>
  <c r="P48" i="30" s="1"/>
  <c r="P47" i="30"/>
  <c r="O47" i="30"/>
  <c r="H47" i="30"/>
  <c r="P46" i="30"/>
  <c r="O46" i="30"/>
  <c r="H46" i="30"/>
  <c r="O45" i="30"/>
  <c r="O42" i="30" s="1"/>
  <c r="H45" i="30"/>
  <c r="P45" i="30" s="1"/>
  <c r="O44" i="30"/>
  <c r="H44" i="30"/>
  <c r="H42" i="30" s="1"/>
  <c r="O43" i="30"/>
  <c r="H43" i="30"/>
  <c r="P43" i="30" s="1"/>
  <c r="N42" i="30"/>
  <c r="M42" i="30"/>
  <c r="L42" i="30"/>
  <c r="K42" i="30"/>
  <c r="J42" i="30"/>
  <c r="G42" i="30"/>
  <c r="G52" i="30" s="1"/>
  <c r="F42" i="30"/>
  <c r="O41" i="30"/>
  <c r="H41" i="30"/>
  <c r="P41" i="30" s="1"/>
  <c r="O40" i="30"/>
  <c r="H40" i="30"/>
  <c r="P40" i="30" s="1"/>
  <c r="P39" i="30"/>
  <c r="O39" i="30"/>
  <c r="H39" i="30"/>
  <c r="O38" i="30"/>
  <c r="P38" i="30" s="1"/>
  <c r="H38" i="30"/>
  <c r="O37" i="30"/>
  <c r="H37" i="30"/>
  <c r="P36" i="30"/>
  <c r="O36" i="30"/>
  <c r="H36" i="30"/>
  <c r="P35" i="30"/>
  <c r="O35" i="30"/>
  <c r="H35" i="30"/>
  <c r="O34" i="30"/>
  <c r="H34" i="30"/>
  <c r="P34" i="30" s="1"/>
  <c r="O33" i="30"/>
  <c r="O32" i="30" s="1"/>
  <c r="O52" i="30" s="1"/>
  <c r="H33" i="30"/>
  <c r="P33" i="30" s="1"/>
  <c r="N32" i="30"/>
  <c r="N52" i="30" s="1"/>
  <c r="M32" i="30"/>
  <c r="M52" i="30" s="1"/>
  <c r="L32" i="30"/>
  <c r="L52" i="30" s="1"/>
  <c r="K32" i="30"/>
  <c r="J32" i="30"/>
  <c r="J52" i="30" s="1"/>
  <c r="G32" i="30"/>
  <c r="F32" i="30"/>
  <c r="O30" i="30"/>
  <c r="H30" i="30"/>
  <c r="O29" i="30"/>
  <c r="H29" i="30"/>
  <c r="P29" i="30" s="1"/>
  <c r="O28" i="30"/>
  <c r="H28" i="30"/>
  <c r="P28" i="30" s="1"/>
  <c r="P27" i="30"/>
  <c r="O27" i="30"/>
  <c r="H27" i="30"/>
  <c r="O26" i="30"/>
  <c r="P26" i="30" s="1"/>
  <c r="H26" i="30"/>
  <c r="O25" i="30"/>
  <c r="H25" i="30"/>
  <c r="P24" i="30"/>
  <c r="O24" i="30"/>
  <c r="H24" i="30"/>
  <c r="P23" i="30"/>
  <c r="O23" i="30"/>
  <c r="H23" i="30"/>
  <c r="O22" i="30"/>
  <c r="H22" i="30"/>
  <c r="N21" i="30"/>
  <c r="M21" i="30"/>
  <c r="L21" i="30"/>
  <c r="K21" i="30"/>
  <c r="J21" i="30"/>
  <c r="G21" i="30"/>
  <c r="F21" i="30"/>
  <c r="P20" i="30"/>
  <c r="O20" i="30"/>
  <c r="H20" i="30"/>
  <c r="O19" i="30"/>
  <c r="O11" i="30" s="1"/>
  <c r="H19" i="30"/>
  <c r="P19" i="30" s="1"/>
  <c r="O18" i="30"/>
  <c r="H18" i="30"/>
  <c r="P18" i="30" s="1"/>
  <c r="O17" i="30"/>
  <c r="H17" i="30"/>
  <c r="P17" i="30" s="1"/>
  <c r="P16" i="30"/>
  <c r="O16" i="30"/>
  <c r="H16" i="30"/>
  <c r="O15" i="30"/>
  <c r="P15" i="30" s="1"/>
  <c r="H15" i="30"/>
  <c r="O14" i="30"/>
  <c r="H14" i="30"/>
  <c r="P14" i="30" s="1"/>
  <c r="P13" i="30"/>
  <c r="O13" i="30"/>
  <c r="H13" i="30"/>
  <c r="H11" i="30" s="1"/>
  <c r="P12" i="30"/>
  <c r="O12" i="30"/>
  <c r="H12" i="30"/>
  <c r="N11" i="30"/>
  <c r="M11" i="30"/>
  <c r="L11" i="30"/>
  <c r="K11" i="30"/>
  <c r="J11" i="30"/>
  <c r="G11" i="30"/>
  <c r="F11" i="30"/>
  <c r="O46" i="29"/>
  <c r="P46" i="29" s="1"/>
  <c r="H46" i="29"/>
  <c r="O45" i="29"/>
  <c r="H45" i="29"/>
  <c r="P45" i="29" s="1"/>
  <c r="P44" i="29"/>
  <c r="O44" i="29"/>
  <c r="H44" i="29"/>
  <c r="H42" i="29" s="1"/>
  <c r="P43" i="29"/>
  <c r="P42" i="29" s="1"/>
  <c r="O43" i="29"/>
  <c r="H43" i="29"/>
  <c r="O42" i="29"/>
  <c r="N42" i="29"/>
  <c r="M42" i="29"/>
  <c r="L42" i="29"/>
  <c r="K42" i="29"/>
  <c r="J42" i="29"/>
  <c r="G42" i="29"/>
  <c r="F42" i="29"/>
  <c r="P41" i="29"/>
  <c r="O41" i="29"/>
  <c r="H41" i="29"/>
  <c r="P40" i="29"/>
  <c r="O40" i="29"/>
  <c r="H40" i="29"/>
  <c r="O39" i="29"/>
  <c r="H39" i="29"/>
  <c r="P39" i="29" s="1"/>
  <c r="O38" i="29"/>
  <c r="H38" i="29"/>
  <c r="P38" i="29" s="1"/>
  <c r="O37" i="29"/>
  <c r="H37" i="29"/>
  <c r="P37" i="29" s="1"/>
  <c r="P36" i="29"/>
  <c r="O36" i="29"/>
  <c r="H36" i="29"/>
  <c r="O35" i="29"/>
  <c r="P35" i="29" s="1"/>
  <c r="H35" i="29"/>
  <c r="O34" i="29"/>
  <c r="H34" i="29"/>
  <c r="P33" i="29"/>
  <c r="O33" i="29"/>
  <c r="O32" i="29" s="1"/>
  <c r="H33" i="29"/>
  <c r="N32" i="29"/>
  <c r="M32" i="29"/>
  <c r="L32" i="29"/>
  <c r="K32" i="29"/>
  <c r="J32" i="29"/>
  <c r="G32" i="29"/>
  <c r="F32" i="29"/>
  <c r="O31" i="29"/>
  <c r="H31" i="29"/>
  <c r="P31" i="29" s="1"/>
  <c r="P30" i="29"/>
  <c r="O30" i="29"/>
  <c r="H30" i="29"/>
  <c r="P29" i="29"/>
  <c r="O29" i="29"/>
  <c r="H29" i="29"/>
  <c r="O28" i="29"/>
  <c r="H28" i="29"/>
  <c r="P28" i="29" s="1"/>
  <c r="O27" i="29"/>
  <c r="O26" i="29" s="1"/>
  <c r="H27" i="29"/>
  <c r="P27" i="29" s="1"/>
  <c r="N26" i="29"/>
  <c r="M26" i="29"/>
  <c r="M11" i="29" s="1"/>
  <c r="M47" i="29" s="1"/>
  <c r="L26" i="29"/>
  <c r="K26" i="29"/>
  <c r="J26" i="29"/>
  <c r="H26" i="29"/>
  <c r="G26" i="29"/>
  <c r="F26" i="29"/>
  <c r="O25" i="29"/>
  <c r="O21" i="29" s="1"/>
  <c r="H25" i="29"/>
  <c r="P25" i="29" s="1"/>
  <c r="O24" i="29"/>
  <c r="H24" i="29"/>
  <c r="P24" i="29" s="1"/>
  <c r="O23" i="29"/>
  <c r="H23" i="29"/>
  <c r="H21" i="29" s="1"/>
  <c r="P22" i="29"/>
  <c r="O22" i="29"/>
  <c r="H22" i="29"/>
  <c r="N21" i="29"/>
  <c r="M21" i="29"/>
  <c r="L21" i="29"/>
  <c r="K21" i="29"/>
  <c r="J21" i="29"/>
  <c r="G21" i="29"/>
  <c r="F21" i="29"/>
  <c r="O20" i="29"/>
  <c r="H20" i="29"/>
  <c r="H18" i="29" s="1"/>
  <c r="P19" i="29"/>
  <c r="O19" i="29"/>
  <c r="H19" i="29"/>
  <c r="O18" i="29"/>
  <c r="N18" i="29"/>
  <c r="M18" i="29"/>
  <c r="L18" i="29"/>
  <c r="K18" i="29"/>
  <c r="J18" i="29"/>
  <c r="G18" i="29"/>
  <c r="F18" i="29"/>
  <c r="F11" i="29" s="1"/>
  <c r="F47" i="29" s="1"/>
  <c r="O17" i="29"/>
  <c r="H17" i="29"/>
  <c r="P17" i="29" s="1"/>
  <c r="P16" i="29"/>
  <c r="O16" i="29"/>
  <c r="H16" i="29"/>
  <c r="O15" i="29"/>
  <c r="P15" i="29" s="1"/>
  <c r="H15" i="29"/>
  <c r="O14" i="29"/>
  <c r="O12" i="29" s="1"/>
  <c r="O11" i="29" s="1"/>
  <c r="H14" i="29"/>
  <c r="P13" i="29"/>
  <c r="O13" i="29"/>
  <c r="H13" i="29"/>
  <c r="N12" i="29"/>
  <c r="M12" i="29"/>
  <c r="L12" i="29"/>
  <c r="L11" i="29" s="1"/>
  <c r="L47" i="29" s="1"/>
  <c r="K12" i="29"/>
  <c r="K11" i="29" s="1"/>
  <c r="K47" i="29" s="1"/>
  <c r="J12" i="29"/>
  <c r="G12" i="29"/>
  <c r="G11" i="29" s="1"/>
  <c r="G47" i="29" s="1"/>
  <c r="F12" i="29"/>
  <c r="N11" i="29"/>
  <c r="N47" i="29" s="1"/>
  <c r="J11" i="29"/>
  <c r="J47" i="29" s="1"/>
  <c r="O46" i="28"/>
  <c r="H46" i="28"/>
  <c r="P46" i="28" s="1"/>
  <c r="O45" i="28"/>
  <c r="H45" i="28"/>
  <c r="P45" i="28" s="1"/>
  <c r="P44" i="28"/>
  <c r="O44" i="28"/>
  <c r="H44" i="28"/>
  <c r="O43" i="28"/>
  <c r="O42" i="28" s="1"/>
  <c r="H43" i="28"/>
  <c r="N42" i="28"/>
  <c r="M42" i="28"/>
  <c r="L42" i="28"/>
  <c r="K42" i="28"/>
  <c r="J42" i="28"/>
  <c r="G42" i="28"/>
  <c r="F42" i="28"/>
  <c r="P41" i="28"/>
  <c r="O41" i="28"/>
  <c r="H41" i="28"/>
  <c r="O40" i="28"/>
  <c r="P40" i="28" s="1"/>
  <c r="H40" i="28"/>
  <c r="O39" i="28"/>
  <c r="H39" i="28"/>
  <c r="P39" i="28" s="1"/>
  <c r="P38" i="28"/>
  <c r="O38" i="28"/>
  <c r="H38" i="28"/>
  <c r="P37" i="28"/>
  <c r="O37" i="28"/>
  <c r="H37" i="28"/>
  <c r="O36" i="28"/>
  <c r="O32" i="28" s="1"/>
  <c r="H36" i="28"/>
  <c r="P36" i="28" s="1"/>
  <c r="O35" i="28"/>
  <c r="H35" i="28"/>
  <c r="P35" i="28" s="1"/>
  <c r="O34" i="28"/>
  <c r="H34" i="28"/>
  <c r="P33" i="28"/>
  <c r="O33" i="28"/>
  <c r="H33" i="28"/>
  <c r="N32" i="28"/>
  <c r="M32" i="28"/>
  <c r="L32" i="28"/>
  <c r="K32" i="28"/>
  <c r="J32" i="28"/>
  <c r="G32" i="28"/>
  <c r="F32" i="28"/>
  <c r="O31" i="28"/>
  <c r="H31" i="28"/>
  <c r="P31" i="28" s="1"/>
  <c r="P30" i="28"/>
  <c r="O30" i="28"/>
  <c r="H30" i="28"/>
  <c r="O29" i="28"/>
  <c r="P29" i="28" s="1"/>
  <c r="H29" i="28"/>
  <c r="O28" i="28"/>
  <c r="O26" i="28" s="1"/>
  <c r="H28" i="28"/>
  <c r="P27" i="28"/>
  <c r="O27" i="28"/>
  <c r="H27" i="28"/>
  <c r="N26" i="28"/>
  <c r="M26" i="28"/>
  <c r="L26" i="28"/>
  <c r="L11" i="28" s="1"/>
  <c r="L47" i="28" s="1"/>
  <c r="K26" i="28"/>
  <c r="J26" i="28"/>
  <c r="G26" i="28"/>
  <c r="F26" i="28"/>
  <c r="O25" i="28"/>
  <c r="H25" i="28"/>
  <c r="P24" i="28"/>
  <c r="O24" i="28"/>
  <c r="H24" i="28"/>
  <c r="P23" i="28"/>
  <c r="O23" i="28"/>
  <c r="H23" i="28"/>
  <c r="O22" i="28"/>
  <c r="O21" i="28" s="1"/>
  <c r="H22" i="28"/>
  <c r="P22" i="28" s="1"/>
  <c r="N21" i="28"/>
  <c r="M21" i="28"/>
  <c r="L21" i="28"/>
  <c r="K21" i="28"/>
  <c r="J21" i="28"/>
  <c r="G21" i="28"/>
  <c r="F21" i="28"/>
  <c r="P20" i="28"/>
  <c r="O20" i="28"/>
  <c r="H20" i="28"/>
  <c r="O19" i="28"/>
  <c r="O18" i="28" s="1"/>
  <c r="H19" i="28"/>
  <c r="N18" i="28"/>
  <c r="N11" i="28" s="1"/>
  <c r="N47" i="28" s="1"/>
  <c r="M18" i="28"/>
  <c r="L18" i="28"/>
  <c r="K18" i="28"/>
  <c r="J18" i="28"/>
  <c r="H18" i="28"/>
  <c r="G18" i="28"/>
  <c r="F18" i="28"/>
  <c r="P17" i="28"/>
  <c r="O17" i="28"/>
  <c r="H17" i="28"/>
  <c r="O16" i="28"/>
  <c r="O12" i="28" s="1"/>
  <c r="O11" i="28" s="1"/>
  <c r="H16" i="28"/>
  <c r="O15" i="28"/>
  <c r="H15" i="28"/>
  <c r="P15" i="28" s="1"/>
  <c r="O14" i="28"/>
  <c r="H14" i="28"/>
  <c r="H12" i="28" s="1"/>
  <c r="P13" i="28"/>
  <c r="O13" i="28"/>
  <c r="H13" i="28"/>
  <c r="N12" i="28"/>
  <c r="M12" i="28"/>
  <c r="L12" i="28"/>
  <c r="K12" i="28"/>
  <c r="K11" i="28" s="1"/>
  <c r="K47" i="28" s="1"/>
  <c r="J12" i="28"/>
  <c r="J11" i="28" s="1"/>
  <c r="J47" i="28" s="1"/>
  <c r="G12" i="28"/>
  <c r="G11" i="28" s="1"/>
  <c r="G47" i="28" s="1"/>
  <c r="F12" i="28"/>
  <c r="F11" i="28" s="1"/>
  <c r="F47" i="28" s="1"/>
  <c r="M11" i="28"/>
  <c r="M47" i="28" s="1"/>
  <c r="P44" i="27"/>
  <c r="O44" i="27"/>
  <c r="H44" i="27"/>
  <c r="P43" i="27"/>
  <c r="O43" i="27"/>
  <c r="H43" i="27"/>
  <c r="O42" i="27"/>
  <c r="H42" i="27"/>
  <c r="P42" i="27" s="1"/>
  <c r="O41" i="27"/>
  <c r="H41" i="27"/>
  <c r="P41" i="27" s="1"/>
  <c r="N40" i="27"/>
  <c r="M40" i="27"/>
  <c r="L40" i="27"/>
  <c r="K40" i="27"/>
  <c r="J40" i="27"/>
  <c r="H40" i="27"/>
  <c r="G40" i="27"/>
  <c r="F40" i="27"/>
  <c r="O39" i="27"/>
  <c r="H39" i="27"/>
  <c r="O38" i="27"/>
  <c r="H38" i="27"/>
  <c r="P38" i="27" s="1"/>
  <c r="O37" i="27"/>
  <c r="H37" i="27"/>
  <c r="P37" i="27" s="1"/>
  <c r="P36" i="27"/>
  <c r="O36" i="27"/>
  <c r="H36" i="27"/>
  <c r="O35" i="27"/>
  <c r="P35" i="27" s="1"/>
  <c r="H35" i="27"/>
  <c r="O34" i="27"/>
  <c r="H34" i="27"/>
  <c r="P33" i="27"/>
  <c r="O33" i="27"/>
  <c r="H33" i="27"/>
  <c r="P32" i="27"/>
  <c r="O32" i="27"/>
  <c r="H32" i="27"/>
  <c r="O31" i="27"/>
  <c r="H31" i="27"/>
  <c r="N30" i="27"/>
  <c r="M30" i="27"/>
  <c r="L30" i="27"/>
  <c r="K30" i="27"/>
  <c r="J30" i="27"/>
  <c r="G30" i="27"/>
  <c r="F30" i="27"/>
  <c r="P29" i="27"/>
  <c r="O29" i="27"/>
  <c r="H29" i="27"/>
  <c r="O28" i="27"/>
  <c r="H28" i="27"/>
  <c r="P28" i="27" s="1"/>
  <c r="O27" i="27"/>
  <c r="O26" i="27" s="1"/>
  <c r="H27" i="27"/>
  <c r="P27" i="27" s="1"/>
  <c r="P26" i="27" s="1"/>
  <c r="N26" i="27"/>
  <c r="M26" i="27"/>
  <c r="M11" i="27" s="1"/>
  <c r="L26" i="27"/>
  <c r="K26" i="27"/>
  <c r="J26" i="27"/>
  <c r="H26" i="27"/>
  <c r="G26" i="27"/>
  <c r="F26" i="27"/>
  <c r="O25" i="27"/>
  <c r="O21" i="27" s="1"/>
  <c r="H25" i="27"/>
  <c r="O24" i="27"/>
  <c r="H24" i="27"/>
  <c r="P24" i="27" s="1"/>
  <c r="O23" i="27"/>
  <c r="H23" i="27"/>
  <c r="H21" i="27" s="1"/>
  <c r="P22" i="27"/>
  <c r="O22" i="27"/>
  <c r="H22" i="27"/>
  <c r="N21" i="27"/>
  <c r="M21" i="27"/>
  <c r="L21" i="27"/>
  <c r="K21" i="27"/>
  <c r="J21" i="27"/>
  <c r="G21" i="27"/>
  <c r="F21" i="27"/>
  <c r="O20" i="27"/>
  <c r="H20" i="27"/>
  <c r="H18" i="27" s="1"/>
  <c r="P19" i="27"/>
  <c r="O19" i="27"/>
  <c r="H19" i="27"/>
  <c r="O18" i="27"/>
  <c r="N18" i="27"/>
  <c r="M18" i="27"/>
  <c r="L18" i="27"/>
  <c r="K18" i="27"/>
  <c r="J18" i="27"/>
  <c r="G18" i="27"/>
  <c r="F18" i="27"/>
  <c r="F11" i="27" s="1"/>
  <c r="F45" i="27" s="1"/>
  <c r="O17" i="27"/>
  <c r="H17" i="27"/>
  <c r="P17" i="27" s="1"/>
  <c r="P16" i="27"/>
  <c r="O16" i="27"/>
  <c r="H16" i="27"/>
  <c r="O15" i="27"/>
  <c r="P15" i="27" s="1"/>
  <c r="H15" i="27"/>
  <c r="O14" i="27"/>
  <c r="H14" i="27"/>
  <c r="P13" i="27"/>
  <c r="O13" i="27"/>
  <c r="O12" i="27" s="1"/>
  <c r="H13" i="27"/>
  <c r="N12" i="27"/>
  <c r="M12" i="27"/>
  <c r="L12" i="27"/>
  <c r="L11" i="27" s="1"/>
  <c r="L45" i="27" s="1"/>
  <c r="K12" i="27"/>
  <c r="J12" i="27"/>
  <c r="G12" i="27"/>
  <c r="G11" i="27" s="1"/>
  <c r="G45" i="27" s="1"/>
  <c r="F12" i="27"/>
  <c r="N11" i="27"/>
  <c r="N45" i="27" s="1"/>
  <c r="J11" i="27"/>
  <c r="O46" i="26"/>
  <c r="H46" i="26"/>
  <c r="P46" i="26" s="1"/>
  <c r="O45" i="26"/>
  <c r="H45" i="26"/>
  <c r="P45" i="26" s="1"/>
  <c r="P44" i="26"/>
  <c r="O44" i="26"/>
  <c r="H44" i="26"/>
  <c r="O43" i="26"/>
  <c r="O42" i="26" s="1"/>
  <c r="H43" i="26"/>
  <c r="N42" i="26"/>
  <c r="M42" i="26"/>
  <c r="L42" i="26"/>
  <c r="K42" i="26"/>
  <c r="J42" i="26"/>
  <c r="G42" i="26"/>
  <c r="F42" i="26"/>
  <c r="P41" i="26"/>
  <c r="O41" i="26"/>
  <c r="H41" i="26"/>
  <c r="O40" i="26"/>
  <c r="P40" i="26" s="1"/>
  <c r="H40" i="26"/>
  <c r="O39" i="26"/>
  <c r="H39" i="26"/>
  <c r="P39" i="26" s="1"/>
  <c r="P38" i="26"/>
  <c r="O38" i="26"/>
  <c r="H38" i="26"/>
  <c r="P37" i="26"/>
  <c r="O37" i="26"/>
  <c r="H37" i="26"/>
  <c r="O36" i="26"/>
  <c r="O32" i="26" s="1"/>
  <c r="H36" i="26"/>
  <c r="P36" i="26" s="1"/>
  <c r="O35" i="26"/>
  <c r="H35" i="26"/>
  <c r="P35" i="26" s="1"/>
  <c r="O34" i="26"/>
  <c r="H34" i="26"/>
  <c r="P34" i="26" s="1"/>
  <c r="P33" i="26"/>
  <c r="O33" i="26"/>
  <c r="H33" i="26"/>
  <c r="N32" i="26"/>
  <c r="M32" i="26"/>
  <c r="L32" i="26"/>
  <c r="K32" i="26"/>
  <c r="J32" i="26"/>
  <c r="G32" i="26"/>
  <c r="F32" i="26"/>
  <c r="O31" i="26"/>
  <c r="H31" i="26"/>
  <c r="P31" i="26" s="1"/>
  <c r="P30" i="26"/>
  <c r="O30" i="26"/>
  <c r="H30" i="26"/>
  <c r="O29" i="26"/>
  <c r="H29" i="26"/>
  <c r="P29" i="26" s="1"/>
  <c r="O28" i="26"/>
  <c r="H28" i="26"/>
  <c r="P27" i="26"/>
  <c r="O27" i="26"/>
  <c r="O26" i="26" s="1"/>
  <c r="H27" i="26"/>
  <c r="N26" i="26"/>
  <c r="M26" i="26"/>
  <c r="L26" i="26"/>
  <c r="L11" i="26" s="1"/>
  <c r="L47" i="26" s="1"/>
  <c r="K26" i="26"/>
  <c r="J26" i="26"/>
  <c r="G26" i="26"/>
  <c r="G11" i="26" s="1"/>
  <c r="G47" i="26" s="1"/>
  <c r="F26" i="26"/>
  <c r="O25" i="26"/>
  <c r="H25" i="26"/>
  <c r="P24" i="26"/>
  <c r="O24" i="26"/>
  <c r="H24" i="26"/>
  <c r="P23" i="26"/>
  <c r="O23" i="26"/>
  <c r="H23" i="26"/>
  <c r="O22" i="26"/>
  <c r="O21" i="26" s="1"/>
  <c r="H22" i="26"/>
  <c r="P22" i="26" s="1"/>
  <c r="N21" i="26"/>
  <c r="M21" i="26"/>
  <c r="L21" i="26"/>
  <c r="K21" i="26"/>
  <c r="J21" i="26"/>
  <c r="G21" i="26"/>
  <c r="F21" i="26"/>
  <c r="P20" i="26"/>
  <c r="O20" i="26"/>
  <c r="H20" i="26"/>
  <c r="O19" i="26"/>
  <c r="O18" i="26" s="1"/>
  <c r="H19" i="26"/>
  <c r="N18" i="26"/>
  <c r="M18" i="26"/>
  <c r="L18" i="26"/>
  <c r="K18" i="26"/>
  <c r="J18" i="26"/>
  <c r="H18" i="26"/>
  <c r="G18" i="26"/>
  <c r="F18" i="26"/>
  <c r="P17" i="26"/>
  <c r="O17" i="26"/>
  <c r="H17" i="26"/>
  <c r="O16" i="26"/>
  <c r="O12" i="26" s="1"/>
  <c r="O11" i="26" s="1"/>
  <c r="O47" i="26" s="1"/>
  <c r="H16" i="26"/>
  <c r="P16" i="26" s="1"/>
  <c r="O15" i="26"/>
  <c r="H15" i="26"/>
  <c r="P15" i="26" s="1"/>
  <c r="P14" i="26"/>
  <c r="O14" i="26"/>
  <c r="H14" i="26"/>
  <c r="P13" i="26"/>
  <c r="O13" i="26"/>
  <c r="H13" i="26"/>
  <c r="N12" i="26"/>
  <c r="N11" i="26" s="1"/>
  <c r="M12" i="26"/>
  <c r="L12" i="26"/>
  <c r="K12" i="26"/>
  <c r="K11" i="26" s="1"/>
  <c r="J12" i="26"/>
  <c r="G12" i="26"/>
  <c r="F12" i="26"/>
  <c r="F11" i="26" s="1"/>
  <c r="F47" i="26" s="1"/>
  <c r="M11" i="26"/>
  <c r="M47" i="26" s="1"/>
  <c r="P46" i="25"/>
  <c r="O46" i="25"/>
  <c r="H46" i="25"/>
  <c r="P45" i="25"/>
  <c r="O45" i="25"/>
  <c r="H45" i="25"/>
  <c r="O44" i="25"/>
  <c r="H44" i="25"/>
  <c r="P44" i="25" s="1"/>
  <c r="O43" i="25"/>
  <c r="H43" i="25"/>
  <c r="P43" i="25" s="1"/>
  <c r="N42" i="25"/>
  <c r="M42" i="25"/>
  <c r="L42" i="25"/>
  <c r="K42" i="25"/>
  <c r="J42" i="25"/>
  <c r="H42" i="25"/>
  <c r="G42" i="25"/>
  <c r="F42" i="25"/>
  <c r="O41" i="25"/>
  <c r="H41" i="25"/>
  <c r="P41" i="25" s="1"/>
  <c r="O40" i="25"/>
  <c r="H40" i="25"/>
  <c r="P40" i="25" s="1"/>
  <c r="O39" i="25"/>
  <c r="H39" i="25"/>
  <c r="P39" i="25" s="1"/>
  <c r="P38" i="25"/>
  <c r="O38" i="25"/>
  <c r="H38" i="25"/>
  <c r="O37" i="25"/>
  <c r="H37" i="25"/>
  <c r="P37" i="25" s="1"/>
  <c r="O36" i="25"/>
  <c r="H36" i="25"/>
  <c r="P35" i="25"/>
  <c r="O35" i="25"/>
  <c r="H35" i="25"/>
  <c r="P34" i="25"/>
  <c r="O34" i="25"/>
  <c r="H34" i="25"/>
  <c r="O33" i="25"/>
  <c r="O32" i="25" s="1"/>
  <c r="H33" i="25"/>
  <c r="N32" i="25"/>
  <c r="M32" i="25"/>
  <c r="L32" i="25"/>
  <c r="K32" i="25"/>
  <c r="J32" i="25"/>
  <c r="G32" i="25"/>
  <c r="F32" i="25"/>
  <c r="P31" i="25"/>
  <c r="O31" i="25"/>
  <c r="H31" i="25"/>
  <c r="O30" i="25"/>
  <c r="H30" i="25"/>
  <c r="P30" i="25" s="1"/>
  <c r="O29" i="25"/>
  <c r="H29" i="25"/>
  <c r="P29" i="25" s="1"/>
  <c r="P28" i="25"/>
  <c r="O28" i="25"/>
  <c r="H28" i="25"/>
  <c r="P27" i="25"/>
  <c r="O27" i="25"/>
  <c r="H27" i="25"/>
  <c r="O26" i="25"/>
  <c r="N26" i="25"/>
  <c r="M26" i="25"/>
  <c r="L26" i="25"/>
  <c r="K26" i="25"/>
  <c r="K11" i="25" s="1"/>
  <c r="K47" i="25" s="1"/>
  <c r="J26" i="25"/>
  <c r="G26" i="25"/>
  <c r="F26" i="25"/>
  <c r="F11" i="25" s="1"/>
  <c r="F47" i="25" s="1"/>
  <c r="P25" i="25"/>
  <c r="O25" i="25"/>
  <c r="H25" i="25"/>
  <c r="P24" i="25"/>
  <c r="O24" i="25"/>
  <c r="H24" i="25"/>
  <c r="O23" i="25"/>
  <c r="O21" i="25" s="1"/>
  <c r="H23" i="25"/>
  <c r="P23" i="25" s="1"/>
  <c r="O22" i="25"/>
  <c r="H22" i="25"/>
  <c r="N21" i="25"/>
  <c r="M21" i="25"/>
  <c r="L21" i="25"/>
  <c r="K21" i="25"/>
  <c r="J21" i="25"/>
  <c r="G21" i="25"/>
  <c r="F21" i="25"/>
  <c r="O20" i="25"/>
  <c r="O18" i="25" s="1"/>
  <c r="H20" i="25"/>
  <c r="P20" i="25" s="1"/>
  <c r="O19" i="25"/>
  <c r="H19" i="25"/>
  <c r="P19" i="25" s="1"/>
  <c r="P18" i="25" s="1"/>
  <c r="N18" i="25"/>
  <c r="M18" i="25"/>
  <c r="L18" i="25"/>
  <c r="K18" i="25"/>
  <c r="J18" i="25"/>
  <c r="H18" i="25"/>
  <c r="G18" i="25"/>
  <c r="F18" i="25"/>
  <c r="O17" i="25"/>
  <c r="H17" i="25"/>
  <c r="P17" i="25" s="1"/>
  <c r="O16" i="25"/>
  <c r="H16" i="25"/>
  <c r="P15" i="25"/>
  <c r="O15" i="25"/>
  <c r="H15" i="25"/>
  <c r="P14" i="25"/>
  <c r="O14" i="25"/>
  <c r="H14" i="25"/>
  <c r="O13" i="25"/>
  <c r="O12" i="25" s="1"/>
  <c r="H13" i="25"/>
  <c r="P13" i="25" s="1"/>
  <c r="N12" i="25"/>
  <c r="N11" i="25" s="1"/>
  <c r="N47" i="25" s="1"/>
  <c r="M12" i="25"/>
  <c r="M11" i="25" s="1"/>
  <c r="M47" i="25" s="1"/>
  <c r="L12" i="25"/>
  <c r="K12" i="25"/>
  <c r="J12" i="25"/>
  <c r="J11" i="25" s="1"/>
  <c r="J47" i="25" s="1"/>
  <c r="G12" i="25"/>
  <c r="F12" i="25"/>
  <c r="L11" i="25"/>
  <c r="L47" i="25" s="1"/>
  <c r="G11" i="25"/>
  <c r="G47" i="25" s="1"/>
  <c r="P46" i="24"/>
  <c r="O46" i="24"/>
  <c r="H46" i="24"/>
  <c r="O45" i="24"/>
  <c r="O42" i="24" s="1"/>
  <c r="H45" i="24"/>
  <c r="P45" i="24" s="1"/>
  <c r="O44" i="24"/>
  <c r="H44" i="24"/>
  <c r="P43" i="24"/>
  <c r="O43" i="24"/>
  <c r="H43" i="24"/>
  <c r="N42" i="24"/>
  <c r="M42" i="24"/>
  <c r="L42" i="24"/>
  <c r="K42" i="24"/>
  <c r="J42" i="24"/>
  <c r="G42" i="24"/>
  <c r="F42" i="24"/>
  <c r="O41" i="24"/>
  <c r="H41" i="24"/>
  <c r="P41" i="24" s="1"/>
  <c r="P40" i="24"/>
  <c r="O40" i="24"/>
  <c r="H40" i="24"/>
  <c r="P39" i="24"/>
  <c r="O39" i="24"/>
  <c r="H39" i="24"/>
  <c r="O38" i="24"/>
  <c r="H38" i="24"/>
  <c r="P38" i="24" s="1"/>
  <c r="O37" i="24"/>
  <c r="H37" i="24"/>
  <c r="P37" i="24" s="1"/>
  <c r="O36" i="24"/>
  <c r="H36" i="24"/>
  <c r="P36" i="24" s="1"/>
  <c r="P35" i="24"/>
  <c r="O35" i="24"/>
  <c r="H35" i="24"/>
  <c r="O34" i="24"/>
  <c r="O32" i="24" s="1"/>
  <c r="H34" i="24"/>
  <c r="P34" i="24" s="1"/>
  <c r="O33" i="24"/>
  <c r="H33" i="24"/>
  <c r="N32" i="24"/>
  <c r="M32" i="24"/>
  <c r="L32" i="24"/>
  <c r="K32" i="24"/>
  <c r="J32" i="24"/>
  <c r="G32" i="24"/>
  <c r="F32" i="24"/>
  <c r="O31" i="24"/>
  <c r="H31" i="24"/>
  <c r="P31" i="24" s="1"/>
  <c r="O30" i="24"/>
  <c r="H30" i="24"/>
  <c r="P30" i="24" s="1"/>
  <c r="P29" i="24"/>
  <c r="O29" i="24"/>
  <c r="H29" i="24"/>
  <c r="P28" i="24"/>
  <c r="O28" i="24"/>
  <c r="H28" i="24"/>
  <c r="O27" i="24"/>
  <c r="O26" i="24" s="1"/>
  <c r="H27" i="24"/>
  <c r="P27" i="24" s="1"/>
  <c r="P26" i="24" s="1"/>
  <c r="N26" i="24"/>
  <c r="N11" i="24" s="1"/>
  <c r="N47" i="24" s="1"/>
  <c r="M26" i="24"/>
  <c r="L26" i="24"/>
  <c r="K26" i="24"/>
  <c r="J26" i="24"/>
  <c r="J11" i="24" s="1"/>
  <c r="J47" i="24" s="1"/>
  <c r="H26" i="24"/>
  <c r="G26" i="24"/>
  <c r="F26" i="24"/>
  <c r="P25" i="24"/>
  <c r="O25" i="24"/>
  <c r="H25" i="24"/>
  <c r="O24" i="24"/>
  <c r="O21" i="24" s="1"/>
  <c r="H24" i="24"/>
  <c r="P24" i="24" s="1"/>
  <c r="O23" i="24"/>
  <c r="H23" i="24"/>
  <c r="H21" i="24" s="1"/>
  <c r="O22" i="24"/>
  <c r="P22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P19" i="24" s="1"/>
  <c r="H19" i="24"/>
  <c r="O18" i="24"/>
  <c r="N18" i="24"/>
  <c r="M18" i="24"/>
  <c r="L18" i="24"/>
  <c r="K18" i="24"/>
  <c r="J18" i="24"/>
  <c r="G18" i="24"/>
  <c r="F18" i="24"/>
  <c r="O17" i="24"/>
  <c r="H17" i="24"/>
  <c r="P17" i="24" s="1"/>
  <c r="O16" i="24"/>
  <c r="P16" i="24" s="1"/>
  <c r="H16" i="24"/>
  <c r="P15" i="24"/>
  <c r="O15" i="24"/>
  <c r="H15" i="24"/>
  <c r="O14" i="24"/>
  <c r="O12" i="24" s="1"/>
  <c r="H14" i="24"/>
  <c r="P14" i="24" s="1"/>
  <c r="O13" i="24"/>
  <c r="H13" i="24"/>
  <c r="P13" i="24" s="1"/>
  <c r="P12" i="24" s="1"/>
  <c r="N12" i="24"/>
  <c r="M12" i="24"/>
  <c r="M11" i="24" s="1"/>
  <c r="M47" i="24" s="1"/>
  <c r="L12" i="24"/>
  <c r="L11" i="24" s="1"/>
  <c r="L47" i="24" s="1"/>
  <c r="K12" i="24"/>
  <c r="J12" i="24"/>
  <c r="H12" i="24"/>
  <c r="H11" i="24" s="1"/>
  <c r="G12" i="24"/>
  <c r="F12" i="24"/>
  <c r="K11" i="24"/>
  <c r="K47" i="24" s="1"/>
  <c r="F11" i="24"/>
  <c r="F47" i="24" s="1"/>
  <c r="M45" i="23"/>
  <c r="O44" i="23"/>
  <c r="O40" i="23" s="1"/>
  <c r="H44" i="23"/>
  <c r="O43" i="23"/>
  <c r="H43" i="23"/>
  <c r="P43" i="23" s="1"/>
  <c r="O42" i="23"/>
  <c r="H42" i="23"/>
  <c r="P42" i="23" s="1"/>
  <c r="P41" i="23"/>
  <c r="O41" i="23"/>
  <c r="H41" i="23"/>
  <c r="N40" i="23"/>
  <c r="M40" i="23"/>
  <c r="L40" i="23"/>
  <c r="K40" i="23"/>
  <c r="J40" i="23"/>
  <c r="G40" i="23"/>
  <c r="F40" i="23"/>
  <c r="O39" i="23"/>
  <c r="P39" i="23" s="1"/>
  <c r="H39" i="23"/>
  <c r="P38" i="23"/>
  <c r="O38" i="23"/>
  <c r="H38" i="23"/>
  <c r="O37" i="23"/>
  <c r="H37" i="23"/>
  <c r="P37" i="23" s="1"/>
  <c r="O36" i="23"/>
  <c r="H36" i="23"/>
  <c r="P36" i="23" s="1"/>
  <c r="P35" i="23"/>
  <c r="O35" i="23"/>
  <c r="H35" i="23"/>
  <c r="P34" i="23"/>
  <c r="O34" i="23"/>
  <c r="H34" i="23"/>
  <c r="O33" i="23"/>
  <c r="O30" i="23" s="1"/>
  <c r="H33" i="23"/>
  <c r="P33" i="23" s="1"/>
  <c r="O32" i="23"/>
  <c r="H32" i="23"/>
  <c r="O31" i="23"/>
  <c r="P31" i="23" s="1"/>
  <c r="H31" i="23"/>
  <c r="N30" i="23"/>
  <c r="M30" i="23"/>
  <c r="L30" i="23"/>
  <c r="K30" i="23"/>
  <c r="J30" i="23"/>
  <c r="G30" i="23"/>
  <c r="F30" i="23"/>
  <c r="O29" i="23"/>
  <c r="H29" i="23"/>
  <c r="P29" i="23" s="1"/>
  <c r="O28" i="23"/>
  <c r="P28" i="23" s="1"/>
  <c r="H28" i="23"/>
  <c r="P27" i="23"/>
  <c r="P26" i="23" s="1"/>
  <c r="O27" i="23"/>
  <c r="H27" i="23"/>
  <c r="O26" i="23"/>
  <c r="N26" i="23"/>
  <c r="M26" i="23"/>
  <c r="L26" i="23"/>
  <c r="K26" i="23"/>
  <c r="K11" i="23" s="1"/>
  <c r="K45" i="23" s="1"/>
  <c r="J26" i="23"/>
  <c r="H26" i="23"/>
  <c r="G26" i="23"/>
  <c r="F26" i="23"/>
  <c r="F11" i="23" s="1"/>
  <c r="F45" i="23" s="1"/>
  <c r="O25" i="23"/>
  <c r="P25" i="23" s="1"/>
  <c r="H25" i="23"/>
  <c r="P24" i="23"/>
  <c r="O24" i="23"/>
  <c r="H24" i="23"/>
  <c r="O23" i="23"/>
  <c r="O21" i="23" s="1"/>
  <c r="H23" i="23"/>
  <c r="P23" i="23" s="1"/>
  <c r="O22" i="23"/>
  <c r="H22" i="23"/>
  <c r="P22" i="23" s="1"/>
  <c r="N21" i="23"/>
  <c r="M21" i="23"/>
  <c r="L21" i="23"/>
  <c r="K21" i="23"/>
  <c r="J21" i="23"/>
  <c r="G21" i="23"/>
  <c r="F21" i="23"/>
  <c r="O20" i="23"/>
  <c r="O18" i="23" s="1"/>
  <c r="H20" i="23"/>
  <c r="P20" i="23" s="1"/>
  <c r="O19" i="23"/>
  <c r="H19" i="23"/>
  <c r="P19" i="23" s="1"/>
  <c r="N18" i="23"/>
  <c r="M18" i="23"/>
  <c r="L18" i="23"/>
  <c r="K18" i="23"/>
  <c r="J18" i="23"/>
  <c r="H18" i="23"/>
  <c r="G18" i="23"/>
  <c r="F18" i="23"/>
  <c r="O17" i="23"/>
  <c r="H17" i="23"/>
  <c r="P17" i="23" s="1"/>
  <c r="O16" i="23"/>
  <c r="H16" i="23"/>
  <c r="P15" i="23"/>
  <c r="O15" i="23"/>
  <c r="H15" i="23"/>
  <c r="P14" i="23"/>
  <c r="O14" i="23"/>
  <c r="H14" i="23"/>
  <c r="O13" i="23"/>
  <c r="O12" i="23" s="1"/>
  <c r="O11" i="23" s="1"/>
  <c r="H13" i="23"/>
  <c r="P13" i="23" s="1"/>
  <c r="N12" i="23"/>
  <c r="N11" i="23" s="1"/>
  <c r="N45" i="23" s="1"/>
  <c r="M12" i="23"/>
  <c r="M11" i="23" s="1"/>
  <c r="L12" i="23"/>
  <c r="K12" i="23"/>
  <c r="J12" i="23"/>
  <c r="J11" i="23" s="1"/>
  <c r="J45" i="23" s="1"/>
  <c r="G12" i="23"/>
  <c r="F12" i="23"/>
  <c r="L11" i="23"/>
  <c r="L45" i="23" s="1"/>
  <c r="G11" i="23"/>
  <c r="G45" i="23" s="1"/>
  <c r="N47" i="22"/>
  <c r="P46" i="22"/>
  <c r="O46" i="22"/>
  <c r="H46" i="22"/>
  <c r="O45" i="22"/>
  <c r="O42" i="22" s="1"/>
  <c r="H45" i="22"/>
  <c r="P45" i="22" s="1"/>
  <c r="O44" i="22"/>
  <c r="H44" i="22"/>
  <c r="P43" i="22"/>
  <c r="O43" i="22"/>
  <c r="H43" i="22"/>
  <c r="N42" i="22"/>
  <c r="M42" i="22"/>
  <c r="L42" i="22"/>
  <c r="K42" i="22"/>
  <c r="J42" i="22"/>
  <c r="G42" i="22"/>
  <c r="F42" i="22"/>
  <c r="O41" i="22"/>
  <c r="H41" i="22"/>
  <c r="P41" i="22" s="1"/>
  <c r="P40" i="22"/>
  <c r="O40" i="22"/>
  <c r="H40" i="22"/>
  <c r="P39" i="22"/>
  <c r="O39" i="22"/>
  <c r="H39" i="22"/>
  <c r="O38" i="22"/>
  <c r="H38" i="22"/>
  <c r="P38" i="22" s="1"/>
  <c r="O37" i="22"/>
  <c r="H37" i="22"/>
  <c r="P37" i="22" s="1"/>
  <c r="P36" i="22"/>
  <c r="O36" i="22"/>
  <c r="H36" i="22"/>
  <c r="P35" i="22"/>
  <c r="O35" i="22"/>
  <c r="H35" i="22"/>
  <c r="O34" i="22"/>
  <c r="O32" i="22" s="1"/>
  <c r="H34" i="22"/>
  <c r="P34" i="22" s="1"/>
  <c r="O33" i="22"/>
  <c r="H33" i="22"/>
  <c r="P33" i="22" s="1"/>
  <c r="N32" i="22"/>
  <c r="M32" i="22"/>
  <c r="L32" i="22"/>
  <c r="K32" i="22"/>
  <c r="J32" i="22"/>
  <c r="G32" i="22"/>
  <c r="F32" i="22"/>
  <c r="O31" i="22"/>
  <c r="O11" i="22" s="1"/>
  <c r="O47" i="22" s="1"/>
  <c r="H31" i="22"/>
  <c r="O30" i="22"/>
  <c r="H30" i="22"/>
  <c r="P30" i="22" s="1"/>
  <c r="P29" i="22"/>
  <c r="O29" i="22"/>
  <c r="H29" i="22"/>
  <c r="P28" i="22"/>
  <c r="O28" i="22"/>
  <c r="H28" i="22"/>
  <c r="O27" i="22"/>
  <c r="O26" i="22" s="1"/>
  <c r="H27" i="22"/>
  <c r="P27" i="22" s="1"/>
  <c r="P26" i="22" s="1"/>
  <c r="N26" i="22"/>
  <c r="M26" i="22"/>
  <c r="L26" i="22"/>
  <c r="K26" i="22"/>
  <c r="J26" i="22"/>
  <c r="H26" i="22"/>
  <c r="G26" i="22"/>
  <c r="F26" i="22"/>
  <c r="P25" i="22"/>
  <c r="O25" i="22"/>
  <c r="H25" i="22"/>
  <c r="O24" i="22"/>
  <c r="H24" i="22"/>
  <c r="P24" i="22" s="1"/>
  <c r="O23" i="22"/>
  <c r="H23" i="22"/>
  <c r="P22" i="22"/>
  <c r="O22" i="22"/>
  <c r="H22" i="22"/>
  <c r="O21" i="22"/>
  <c r="N21" i="22"/>
  <c r="M21" i="22"/>
  <c r="L21" i="22"/>
  <c r="K21" i="22"/>
  <c r="J21" i="22"/>
  <c r="G21" i="22"/>
  <c r="F21" i="22"/>
  <c r="O20" i="22"/>
  <c r="H20" i="22"/>
  <c r="P19" i="22"/>
  <c r="O19" i="22"/>
  <c r="H19" i="22"/>
  <c r="O18" i="22"/>
  <c r="N18" i="22"/>
  <c r="M18" i="22"/>
  <c r="L18" i="22"/>
  <c r="K18" i="22"/>
  <c r="J18" i="22"/>
  <c r="G18" i="22"/>
  <c r="F18" i="22"/>
  <c r="O17" i="22"/>
  <c r="H17" i="22"/>
  <c r="P17" i="22" s="1"/>
  <c r="P16" i="22"/>
  <c r="O16" i="22"/>
  <c r="H16" i="22"/>
  <c r="P15" i="22"/>
  <c r="O15" i="22"/>
  <c r="H15" i="22"/>
  <c r="O14" i="22"/>
  <c r="H14" i="22"/>
  <c r="P14" i="22" s="1"/>
  <c r="P13" i="22"/>
  <c r="O13" i="22"/>
  <c r="H13" i="22"/>
  <c r="O12" i="22"/>
  <c r="N12" i="22"/>
  <c r="M12" i="22"/>
  <c r="L12" i="22"/>
  <c r="K12" i="22"/>
  <c r="K11" i="22" s="1"/>
  <c r="K47" i="22" s="1"/>
  <c r="J12" i="22"/>
  <c r="H12" i="22"/>
  <c r="G12" i="22"/>
  <c r="G11" i="22" s="1"/>
  <c r="G47" i="22" s="1"/>
  <c r="F12" i="22"/>
  <c r="N11" i="22"/>
  <c r="M11" i="22"/>
  <c r="M47" i="22" s="1"/>
  <c r="L11" i="22"/>
  <c r="L47" i="22" s="1"/>
  <c r="F11" i="22"/>
  <c r="F47" i="22" s="1"/>
  <c r="N47" i="21"/>
  <c r="P46" i="21"/>
  <c r="O46" i="21"/>
  <c r="H46" i="21"/>
  <c r="O45" i="21"/>
  <c r="H45" i="21"/>
  <c r="P45" i="21" s="1"/>
  <c r="O44" i="21"/>
  <c r="H44" i="21"/>
  <c r="O43" i="21"/>
  <c r="P43" i="21" s="1"/>
  <c r="H43" i="21"/>
  <c r="N42" i="21"/>
  <c r="M42" i="21"/>
  <c r="L42" i="21"/>
  <c r="K42" i="21"/>
  <c r="J42" i="21"/>
  <c r="G42" i="21"/>
  <c r="F42" i="21"/>
  <c r="O41" i="21"/>
  <c r="H41" i="21"/>
  <c r="O40" i="21"/>
  <c r="H40" i="21"/>
  <c r="P40" i="21" s="1"/>
  <c r="O39" i="21"/>
  <c r="H39" i="21"/>
  <c r="P39" i="21" s="1"/>
  <c r="P38" i="21"/>
  <c r="O38" i="21"/>
  <c r="H38" i="21"/>
  <c r="P37" i="21"/>
  <c r="O37" i="21"/>
  <c r="H37" i="21"/>
  <c r="O36" i="21"/>
  <c r="H36" i="21"/>
  <c r="P36" i="21" s="1"/>
  <c r="P35" i="21"/>
  <c r="O35" i="21"/>
  <c r="H35" i="21"/>
  <c r="O34" i="21"/>
  <c r="H34" i="21"/>
  <c r="P34" i="21" s="1"/>
  <c r="O33" i="21"/>
  <c r="O32" i="21" s="1"/>
  <c r="H33" i="21"/>
  <c r="N32" i="21"/>
  <c r="M32" i="21"/>
  <c r="L32" i="21"/>
  <c r="K32" i="21"/>
  <c r="J32" i="21"/>
  <c r="G32" i="21"/>
  <c r="F32" i="21"/>
  <c r="O31" i="21"/>
  <c r="H31" i="21"/>
  <c r="P31" i="21" s="1"/>
  <c r="O30" i="21"/>
  <c r="H30" i="21"/>
  <c r="P30" i="21" s="1"/>
  <c r="O29" i="21"/>
  <c r="H29" i="21"/>
  <c r="O28" i="21"/>
  <c r="H28" i="21"/>
  <c r="P28" i="21" s="1"/>
  <c r="O27" i="21"/>
  <c r="O26" i="21" s="1"/>
  <c r="H27" i="21"/>
  <c r="N26" i="21"/>
  <c r="M26" i="21"/>
  <c r="L26" i="21"/>
  <c r="K26" i="21"/>
  <c r="K11" i="21" s="1"/>
  <c r="K47" i="21" s="1"/>
  <c r="J26" i="21"/>
  <c r="H26" i="21"/>
  <c r="G26" i="21"/>
  <c r="F26" i="21"/>
  <c r="O25" i="21"/>
  <c r="H25" i="21"/>
  <c r="P25" i="21" s="1"/>
  <c r="O24" i="21"/>
  <c r="H24" i="21"/>
  <c r="P23" i="21"/>
  <c r="O23" i="21"/>
  <c r="H23" i="21"/>
  <c r="O22" i="21"/>
  <c r="H22" i="21"/>
  <c r="P22" i="21" s="1"/>
  <c r="N21" i="21"/>
  <c r="M21" i="21"/>
  <c r="L21" i="21"/>
  <c r="K21" i="21"/>
  <c r="J21" i="21"/>
  <c r="H21" i="21"/>
  <c r="G21" i="21"/>
  <c r="F21" i="21"/>
  <c r="P20" i="21"/>
  <c r="O20" i="21"/>
  <c r="H20" i="21"/>
  <c r="O19" i="21"/>
  <c r="H19" i="21"/>
  <c r="P19" i="21" s="1"/>
  <c r="P18" i="21"/>
  <c r="O18" i="21"/>
  <c r="N18" i="21"/>
  <c r="N11" i="21" s="1"/>
  <c r="M18" i="21"/>
  <c r="L18" i="21"/>
  <c r="K18" i="21"/>
  <c r="J18" i="21"/>
  <c r="H18" i="21"/>
  <c r="G18" i="21"/>
  <c r="G11" i="21" s="1"/>
  <c r="G47" i="21" s="1"/>
  <c r="F18" i="21"/>
  <c r="P17" i="21"/>
  <c r="O17" i="21"/>
  <c r="H17" i="21"/>
  <c r="O16" i="21"/>
  <c r="H16" i="21"/>
  <c r="P16" i="21" s="1"/>
  <c r="P15" i="21"/>
  <c r="O15" i="21"/>
  <c r="H15" i="21"/>
  <c r="O14" i="21"/>
  <c r="H14" i="21"/>
  <c r="P14" i="21" s="1"/>
  <c r="O13" i="21"/>
  <c r="O12" i="21" s="1"/>
  <c r="H13" i="21"/>
  <c r="N12" i="21"/>
  <c r="M12" i="21"/>
  <c r="L12" i="21"/>
  <c r="K12" i="21"/>
  <c r="J12" i="21"/>
  <c r="H12" i="21"/>
  <c r="H11" i="21" s="1"/>
  <c r="G12" i="21"/>
  <c r="F12" i="21"/>
  <c r="F11" i="21" s="1"/>
  <c r="F47" i="21" s="1"/>
  <c r="M11" i="21"/>
  <c r="M47" i="21" s="1"/>
  <c r="L11" i="21"/>
  <c r="O46" i="20"/>
  <c r="P46" i="20" s="1"/>
  <c r="H46" i="20"/>
  <c r="P45" i="20"/>
  <c r="O45" i="20"/>
  <c r="H45" i="20"/>
  <c r="O44" i="20"/>
  <c r="H44" i="20"/>
  <c r="P43" i="20"/>
  <c r="O43" i="20"/>
  <c r="O42" i="20" s="1"/>
  <c r="H43" i="20"/>
  <c r="N42" i="20"/>
  <c r="M42" i="20"/>
  <c r="L42" i="20"/>
  <c r="K42" i="20"/>
  <c r="J42" i="20"/>
  <c r="G42" i="20"/>
  <c r="F42" i="20"/>
  <c r="O41" i="20"/>
  <c r="H41" i="20"/>
  <c r="P41" i="20" s="1"/>
  <c r="P40" i="20"/>
  <c r="O40" i="20"/>
  <c r="H40" i="20"/>
  <c r="P39" i="20"/>
  <c r="O39" i="20"/>
  <c r="H39" i="20"/>
  <c r="O38" i="20"/>
  <c r="H38" i="20"/>
  <c r="P38" i="20" s="1"/>
  <c r="O37" i="20"/>
  <c r="H37" i="20"/>
  <c r="P37" i="20" s="1"/>
  <c r="O36" i="20"/>
  <c r="P36" i="20" s="1"/>
  <c r="H36" i="20"/>
  <c r="O35" i="20"/>
  <c r="P35" i="20" s="1"/>
  <c r="P32" i="20" s="1"/>
  <c r="H35" i="20"/>
  <c r="P34" i="20"/>
  <c r="O34" i="20"/>
  <c r="H34" i="20"/>
  <c r="O33" i="20"/>
  <c r="H33" i="20"/>
  <c r="P33" i="20" s="1"/>
  <c r="N32" i="20"/>
  <c r="M32" i="20"/>
  <c r="L32" i="20"/>
  <c r="K32" i="20"/>
  <c r="J32" i="20"/>
  <c r="G32" i="20"/>
  <c r="F32" i="20"/>
  <c r="P31" i="20"/>
  <c r="O31" i="20"/>
  <c r="H31" i="20"/>
  <c r="O30" i="20"/>
  <c r="H30" i="20"/>
  <c r="P30" i="20" s="1"/>
  <c r="O29" i="20"/>
  <c r="P29" i="20" s="1"/>
  <c r="H29" i="20"/>
  <c r="O28" i="20"/>
  <c r="H28" i="20"/>
  <c r="P28" i="20" s="1"/>
  <c r="O27" i="20"/>
  <c r="O26" i="20" s="1"/>
  <c r="H27" i="20"/>
  <c r="N26" i="20"/>
  <c r="M26" i="20"/>
  <c r="L26" i="20"/>
  <c r="K26" i="20"/>
  <c r="J26" i="20"/>
  <c r="J11" i="20" s="1"/>
  <c r="J47" i="20" s="1"/>
  <c r="G26" i="20"/>
  <c r="F26" i="20"/>
  <c r="O25" i="20"/>
  <c r="H25" i="20"/>
  <c r="P25" i="20" s="1"/>
  <c r="O24" i="20"/>
  <c r="O21" i="20" s="1"/>
  <c r="H24" i="20"/>
  <c r="O23" i="20"/>
  <c r="P23" i="20" s="1"/>
  <c r="H23" i="20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P20" i="20" s="1"/>
  <c r="O19" i="20"/>
  <c r="H19" i="20"/>
  <c r="P19" i="20" s="1"/>
  <c r="P18" i="20" s="1"/>
  <c r="O18" i="20"/>
  <c r="N18" i="20"/>
  <c r="M18" i="20"/>
  <c r="M11" i="20" s="1"/>
  <c r="M47" i="20" s="1"/>
  <c r="L18" i="20"/>
  <c r="K18" i="20"/>
  <c r="J18" i="20"/>
  <c r="H18" i="20"/>
  <c r="G18" i="20"/>
  <c r="F18" i="20"/>
  <c r="F11" i="20" s="1"/>
  <c r="F47" i="20" s="1"/>
  <c r="O17" i="20"/>
  <c r="H17" i="20"/>
  <c r="P17" i="20" s="1"/>
  <c r="O16" i="20"/>
  <c r="H16" i="20"/>
  <c r="P16" i="20" s="1"/>
  <c r="O15" i="20"/>
  <c r="P15" i="20" s="1"/>
  <c r="P12" i="20" s="1"/>
  <c r="H15" i="20"/>
  <c r="P14" i="20"/>
  <c r="O14" i="20"/>
  <c r="H14" i="20"/>
  <c r="O13" i="20"/>
  <c r="H13" i="20"/>
  <c r="P13" i="20" s="1"/>
  <c r="N12" i="20"/>
  <c r="N11" i="20" s="1"/>
  <c r="N47" i="20" s="1"/>
  <c r="M12" i="20"/>
  <c r="L12" i="20"/>
  <c r="K12" i="20"/>
  <c r="J12" i="20"/>
  <c r="G12" i="20"/>
  <c r="G11" i="20" s="1"/>
  <c r="G47" i="20" s="1"/>
  <c r="F12" i="20"/>
  <c r="L11" i="20"/>
  <c r="L47" i="20" s="1"/>
  <c r="K11" i="20"/>
  <c r="M45" i="19"/>
  <c r="L45" i="19"/>
  <c r="O44" i="19"/>
  <c r="H44" i="19"/>
  <c r="O43" i="19"/>
  <c r="H43" i="19"/>
  <c r="P43" i="19" s="1"/>
  <c r="O42" i="19"/>
  <c r="H42" i="19"/>
  <c r="P42" i="19" s="1"/>
  <c r="O41" i="19"/>
  <c r="O40" i="19" s="1"/>
  <c r="H41" i="19"/>
  <c r="N40" i="19"/>
  <c r="M40" i="19"/>
  <c r="L40" i="19"/>
  <c r="K40" i="19"/>
  <c r="J40" i="19"/>
  <c r="G40" i="19"/>
  <c r="F40" i="19"/>
  <c r="O39" i="19"/>
  <c r="H39" i="19"/>
  <c r="P39" i="19" s="1"/>
  <c r="O38" i="19"/>
  <c r="P38" i="19" s="1"/>
  <c r="H38" i="19"/>
  <c r="P37" i="19"/>
  <c r="O37" i="19"/>
  <c r="H37" i="19"/>
  <c r="O36" i="19"/>
  <c r="H36" i="19"/>
  <c r="P36" i="19" s="1"/>
  <c r="P35" i="19"/>
  <c r="O35" i="19"/>
  <c r="H35" i="19"/>
  <c r="O34" i="19"/>
  <c r="H34" i="19"/>
  <c r="P34" i="19" s="1"/>
  <c r="O33" i="19"/>
  <c r="H33" i="19"/>
  <c r="O32" i="19"/>
  <c r="H32" i="19"/>
  <c r="P32" i="19" s="1"/>
  <c r="O31" i="19"/>
  <c r="H31" i="19"/>
  <c r="P31" i="19" s="1"/>
  <c r="N30" i="19"/>
  <c r="M30" i="19"/>
  <c r="L30" i="19"/>
  <c r="K30" i="19"/>
  <c r="J30" i="19"/>
  <c r="G30" i="19"/>
  <c r="F30" i="19"/>
  <c r="O29" i="19"/>
  <c r="H29" i="19"/>
  <c r="P29" i="19" s="1"/>
  <c r="O28" i="19"/>
  <c r="H28" i="19"/>
  <c r="P28" i="19" s="1"/>
  <c r="O27" i="19"/>
  <c r="O26" i="19" s="1"/>
  <c r="H27" i="19"/>
  <c r="N26" i="19"/>
  <c r="M26" i="19"/>
  <c r="L26" i="19"/>
  <c r="K26" i="19"/>
  <c r="J26" i="19"/>
  <c r="H26" i="19"/>
  <c r="G26" i="19"/>
  <c r="F26" i="19"/>
  <c r="O25" i="19"/>
  <c r="H25" i="19"/>
  <c r="P25" i="19" s="1"/>
  <c r="P24" i="19"/>
  <c r="O24" i="19"/>
  <c r="O21" i="19" s="1"/>
  <c r="H24" i="19"/>
  <c r="P23" i="19"/>
  <c r="O23" i="19"/>
  <c r="H23" i="19"/>
  <c r="O22" i="19"/>
  <c r="H22" i="19"/>
  <c r="P22" i="19" s="1"/>
  <c r="P21" i="19"/>
  <c r="N21" i="19"/>
  <c r="M21" i="19"/>
  <c r="L21" i="19"/>
  <c r="K21" i="19"/>
  <c r="J21" i="19"/>
  <c r="H21" i="19"/>
  <c r="G21" i="19"/>
  <c r="F21" i="19"/>
  <c r="P20" i="19"/>
  <c r="O20" i="19"/>
  <c r="H20" i="19"/>
  <c r="O19" i="19"/>
  <c r="H19" i="19"/>
  <c r="P19" i="19" s="1"/>
  <c r="P18" i="19"/>
  <c r="O18" i="19"/>
  <c r="N18" i="19"/>
  <c r="N11" i="19" s="1"/>
  <c r="N45" i="19" s="1"/>
  <c r="M18" i="19"/>
  <c r="L18" i="19"/>
  <c r="K18" i="19"/>
  <c r="J18" i="19"/>
  <c r="H18" i="19"/>
  <c r="G18" i="19"/>
  <c r="G11" i="19" s="1"/>
  <c r="G45" i="19" s="1"/>
  <c r="F18" i="19"/>
  <c r="P17" i="19"/>
  <c r="O17" i="19"/>
  <c r="H17" i="19"/>
  <c r="O16" i="19"/>
  <c r="H16" i="19"/>
  <c r="P16" i="19" s="1"/>
  <c r="P15" i="19"/>
  <c r="O15" i="19"/>
  <c r="H15" i="19"/>
  <c r="O14" i="19"/>
  <c r="H14" i="19"/>
  <c r="P14" i="19" s="1"/>
  <c r="O13" i="19"/>
  <c r="O12" i="19" s="1"/>
  <c r="H13" i="19"/>
  <c r="N12" i="19"/>
  <c r="M12" i="19"/>
  <c r="L12" i="19"/>
  <c r="K12" i="19"/>
  <c r="J12" i="19"/>
  <c r="J11" i="19" s="1"/>
  <c r="G12" i="19"/>
  <c r="F12" i="19"/>
  <c r="F11" i="19" s="1"/>
  <c r="F45" i="19" s="1"/>
  <c r="M11" i="19"/>
  <c r="L11" i="19"/>
  <c r="K11" i="19"/>
  <c r="K45" i="19" s="1"/>
  <c r="M47" i="18"/>
  <c r="O46" i="18"/>
  <c r="O42" i="18" s="1"/>
  <c r="H46" i="18"/>
  <c r="P45" i="18"/>
  <c r="O45" i="18"/>
  <c r="H45" i="18"/>
  <c r="O44" i="18"/>
  <c r="H44" i="18"/>
  <c r="P43" i="18"/>
  <c r="O43" i="18"/>
  <c r="H43" i="18"/>
  <c r="N42" i="18"/>
  <c r="M42" i="18"/>
  <c r="L42" i="18"/>
  <c r="K42" i="18"/>
  <c r="J42" i="18"/>
  <c r="G42" i="18"/>
  <c r="F42" i="18"/>
  <c r="O41" i="18"/>
  <c r="H41" i="18"/>
  <c r="P41" i="18" s="1"/>
  <c r="P40" i="18"/>
  <c r="O40" i="18"/>
  <c r="H40" i="18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P35" i="18"/>
  <c r="O35" i="18"/>
  <c r="H35" i="18"/>
  <c r="O34" i="18"/>
  <c r="H34" i="18"/>
  <c r="P34" i="18" s="1"/>
  <c r="O33" i="18"/>
  <c r="H33" i="18"/>
  <c r="P33" i="18" s="1"/>
  <c r="N32" i="18"/>
  <c r="M32" i="18"/>
  <c r="L32" i="18"/>
  <c r="K32" i="18"/>
  <c r="J32" i="18"/>
  <c r="G32" i="18"/>
  <c r="F32" i="18"/>
  <c r="P31" i="18"/>
  <c r="O31" i="18"/>
  <c r="H31" i="18"/>
  <c r="O30" i="18"/>
  <c r="H30" i="18"/>
  <c r="P30" i="18" s="1"/>
  <c r="O29" i="18"/>
  <c r="P29" i="18" s="1"/>
  <c r="H29" i="18"/>
  <c r="P28" i="18"/>
  <c r="O28" i="18"/>
  <c r="H28" i="18"/>
  <c r="O27" i="18"/>
  <c r="H27" i="18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O23" i="18"/>
  <c r="P23" i="18" s="1"/>
  <c r="H23" i="18"/>
  <c r="O22" i="18"/>
  <c r="P22" i="18" s="1"/>
  <c r="H22" i="18"/>
  <c r="O21" i="18"/>
  <c r="N21" i="18"/>
  <c r="M21" i="18"/>
  <c r="L21" i="18"/>
  <c r="K21" i="18"/>
  <c r="J21" i="18"/>
  <c r="G21" i="18"/>
  <c r="F21" i="18"/>
  <c r="O20" i="18"/>
  <c r="H20" i="18"/>
  <c r="P20" i="18" s="1"/>
  <c r="O19" i="18"/>
  <c r="H19" i="18"/>
  <c r="P19" i="18" s="1"/>
  <c r="P18" i="18" s="1"/>
  <c r="O18" i="18"/>
  <c r="N18" i="18"/>
  <c r="M18" i="18"/>
  <c r="L18" i="18"/>
  <c r="K18" i="18"/>
  <c r="J18" i="18"/>
  <c r="H18" i="18"/>
  <c r="G18" i="18"/>
  <c r="F18" i="18"/>
  <c r="F11" i="18" s="1"/>
  <c r="F47" i="18" s="1"/>
  <c r="O17" i="18"/>
  <c r="H17" i="18"/>
  <c r="P17" i="18" s="1"/>
  <c r="O16" i="18"/>
  <c r="H16" i="18"/>
  <c r="P16" i="18" s="1"/>
  <c r="P15" i="18"/>
  <c r="O15" i="18"/>
  <c r="H15" i="18"/>
  <c r="P14" i="18"/>
  <c r="O14" i="18"/>
  <c r="H14" i="18"/>
  <c r="O13" i="18"/>
  <c r="O12" i="18" s="1"/>
  <c r="H13" i="18"/>
  <c r="P13" i="18" s="1"/>
  <c r="P12" i="18"/>
  <c r="N12" i="18"/>
  <c r="N11" i="18" s="1"/>
  <c r="N47" i="18" s="1"/>
  <c r="M12" i="18"/>
  <c r="L12" i="18"/>
  <c r="K12" i="18"/>
  <c r="J12" i="18"/>
  <c r="H12" i="18"/>
  <c r="G12" i="18"/>
  <c r="F12" i="18"/>
  <c r="M11" i="18"/>
  <c r="L11" i="18"/>
  <c r="K11" i="18"/>
  <c r="K47" i="18" s="1"/>
  <c r="J11" i="18"/>
  <c r="J47" i="18" s="1"/>
  <c r="O46" i="17"/>
  <c r="H46" i="17"/>
  <c r="O45" i="17"/>
  <c r="H45" i="17"/>
  <c r="P45" i="17" s="1"/>
  <c r="O44" i="17"/>
  <c r="H44" i="17"/>
  <c r="P44" i="17" s="1"/>
  <c r="O43" i="17"/>
  <c r="O42" i="17" s="1"/>
  <c r="H43" i="17"/>
  <c r="N42" i="17"/>
  <c r="M42" i="17"/>
  <c r="L42" i="17"/>
  <c r="K42" i="17"/>
  <c r="J42" i="17"/>
  <c r="G42" i="17"/>
  <c r="F42" i="17"/>
  <c r="O41" i="17"/>
  <c r="H41" i="17"/>
  <c r="P41" i="17" s="1"/>
  <c r="P40" i="17"/>
  <c r="O40" i="17"/>
  <c r="H40" i="17"/>
  <c r="O39" i="17"/>
  <c r="H39" i="17"/>
  <c r="P39" i="17" s="1"/>
  <c r="O38" i="17"/>
  <c r="H38" i="17"/>
  <c r="P38" i="17" s="1"/>
  <c r="P37" i="17"/>
  <c r="O37" i="17"/>
  <c r="H37" i="17"/>
  <c r="O36" i="17"/>
  <c r="H36" i="17"/>
  <c r="P36" i="17" s="1"/>
  <c r="O35" i="17"/>
  <c r="H35" i="17"/>
  <c r="O34" i="17"/>
  <c r="H34" i="17"/>
  <c r="P34" i="17" s="1"/>
  <c r="O33" i="17"/>
  <c r="H33" i="17"/>
  <c r="P33" i="17" s="1"/>
  <c r="O32" i="17"/>
  <c r="N32" i="17"/>
  <c r="M32" i="17"/>
  <c r="L32" i="17"/>
  <c r="K32" i="17"/>
  <c r="J32" i="17"/>
  <c r="G32" i="17"/>
  <c r="F32" i="17"/>
  <c r="O30" i="17"/>
  <c r="H30" i="17"/>
  <c r="P30" i="17" s="1"/>
  <c r="O29" i="17"/>
  <c r="H29" i="17"/>
  <c r="P29" i="17" s="1"/>
  <c r="O28" i="17"/>
  <c r="O26" i="17" s="1"/>
  <c r="H28" i="17"/>
  <c r="P27" i="17"/>
  <c r="O27" i="17"/>
  <c r="H27" i="17"/>
  <c r="N26" i="17"/>
  <c r="N11" i="17" s="1"/>
  <c r="N47" i="17" s="1"/>
  <c r="M26" i="17"/>
  <c r="L26" i="17"/>
  <c r="K26" i="17"/>
  <c r="J26" i="17"/>
  <c r="H26" i="17"/>
  <c r="G26" i="17"/>
  <c r="F26" i="17"/>
  <c r="P25" i="17"/>
  <c r="O25" i="17"/>
  <c r="O21" i="17" s="1"/>
  <c r="H25" i="17"/>
  <c r="P24" i="17"/>
  <c r="O24" i="17"/>
  <c r="H24" i="17"/>
  <c r="O23" i="17"/>
  <c r="H23" i="17"/>
  <c r="P22" i="17"/>
  <c r="O22" i="17"/>
  <c r="H22" i="17"/>
  <c r="N21" i="17"/>
  <c r="M21" i="17"/>
  <c r="L21" i="17"/>
  <c r="K21" i="17"/>
  <c r="J21" i="17"/>
  <c r="G21" i="17"/>
  <c r="F21" i="17"/>
  <c r="O20" i="17"/>
  <c r="H20" i="17"/>
  <c r="P19" i="17"/>
  <c r="O19" i="17"/>
  <c r="H19" i="17"/>
  <c r="O18" i="17"/>
  <c r="N18" i="17"/>
  <c r="M18" i="17"/>
  <c r="L18" i="17"/>
  <c r="K18" i="17"/>
  <c r="J18" i="17"/>
  <c r="G18" i="17"/>
  <c r="F18" i="17"/>
  <c r="O17" i="17"/>
  <c r="H17" i="17"/>
  <c r="P17" i="17" s="1"/>
  <c r="P16" i="17"/>
  <c r="O16" i="17"/>
  <c r="H16" i="17"/>
  <c r="O15" i="17"/>
  <c r="H15" i="17"/>
  <c r="P15" i="17" s="1"/>
  <c r="O14" i="17"/>
  <c r="O12" i="17" s="1"/>
  <c r="O11" i="17" s="1"/>
  <c r="O47" i="17" s="1"/>
  <c r="H14" i="17"/>
  <c r="P13" i="17"/>
  <c r="O13" i="17"/>
  <c r="H13" i="17"/>
  <c r="N12" i="17"/>
  <c r="M12" i="17"/>
  <c r="M11" i="17" s="1"/>
  <c r="M47" i="17" s="1"/>
  <c r="L12" i="17"/>
  <c r="K12" i="17"/>
  <c r="K11" i="17" s="1"/>
  <c r="K47" i="17" s="1"/>
  <c r="J12" i="17"/>
  <c r="G12" i="17"/>
  <c r="F12" i="17"/>
  <c r="J11" i="17"/>
  <c r="G11" i="17"/>
  <c r="G47" i="17" s="1"/>
  <c r="F11" i="17"/>
  <c r="F47" i="17" s="1"/>
  <c r="O46" i="16"/>
  <c r="H46" i="16"/>
  <c r="P46" i="16" s="1"/>
  <c r="O45" i="16"/>
  <c r="H45" i="16"/>
  <c r="P44" i="16"/>
  <c r="O44" i="16"/>
  <c r="H44" i="16"/>
  <c r="O43" i="16"/>
  <c r="H43" i="16"/>
  <c r="P43" i="16" s="1"/>
  <c r="O42" i="16"/>
  <c r="N42" i="16"/>
  <c r="M42" i="16"/>
  <c r="L42" i="16"/>
  <c r="K42" i="16"/>
  <c r="J42" i="16"/>
  <c r="G42" i="16"/>
  <c r="F42" i="16"/>
  <c r="P41" i="16"/>
  <c r="O41" i="16"/>
  <c r="H41" i="16"/>
  <c r="O40" i="16"/>
  <c r="H40" i="16"/>
  <c r="P40" i="16" s="1"/>
  <c r="O39" i="16"/>
  <c r="H39" i="16"/>
  <c r="O38" i="16"/>
  <c r="H38" i="16"/>
  <c r="P38" i="16" s="1"/>
  <c r="O37" i="16"/>
  <c r="H37" i="16"/>
  <c r="P37" i="16" s="1"/>
  <c r="P36" i="16"/>
  <c r="O36" i="16"/>
  <c r="H36" i="16"/>
  <c r="O35" i="16"/>
  <c r="H35" i="16"/>
  <c r="P35" i="16" s="1"/>
  <c r="O34" i="16"/>
  <c r="H34" i="16"/>
  <c r="P33" i="16"/>
  <c r="O33" i="16"/>
  <c r="H33" i="16"/>
  <c r="N32" i="16"/>
  <c r="M32" i="16"/>
  <c r="L32" i="16"/>
  <c r="K32" i="16"/>
  <c r="J32" i="16"/>
  <c r="G32" i="16"/>
  <c r="F32" i="16"/>
  <c r="O30" i="16"/>
  <c r="H30" i="16"/>
  <c r="P30" i="16" s="1"/>
  <c r="P29" i="16"/>
  <c r="O29" i="16"/>
  <c r="H29" i="16"/>
  <c r="O28" i="16"/>
  <c r="H28" i="16"/>
  <c r="O27" i="16"/>
  <c r="O26" i="16" s="1"/>
  <c r="H27" i="16"/>
  <c r="N26" i="16"/>
  <c r="M26" i="16"/>
  <c r="L26" i="16"/>
  <c r="L11" i="16" s="1"/>
  <c r="L47" i="16" s="1"/>
  <c r="K26" i="16"/>
  <c r="J26" i="16"/>
  <c r="J11" i="16" s="1"/>
  <c r="J47" i="16" s="1"/>
  <c r="H26" i="16"/>
  <c r="G26" i="16"/>
  <c r="F26" i="16"/>
  <c r="O25" i="16"/>
  <c r="H25" i="16"/>
  <c r="P25" i="16" s="1"/>
  <c r="O24" i="16"/>
  <c r="O21" i="16" s="1"/>
  <c r="H24" i="16"/>
  <c r="O23" i="16"/>
  <c r="H23" i="16"/>
  <c r="P23" i="16" s="1"/>
  <c r="O22" i="16"/>
  <c r="H22" i="16"/>
  <c r="P22" i="16" s="1"/>
  <c r="N21" i="16"/>
  <c r="M21" i="16"/>
  <c r="L21" i="16"/>
  <c r="K21" i="16"/>
  <c r="J21" i="16"/>
  <c r="G21" i="16"/>
  <c r="F21" i="16"/>
  <c r="O20" i="16"/>
  <c r="H20" i="16"/>
  <c r="P20" i="16" s="1"/>
  <c r="O19" i="16"/>
  <c r="H19" i="16"/>
  <c r="P19" i="16" s="1"/>
  <c r="P18" i="16"/>
  <c r="O18" i="16"/>
  <c r="N18" i="16"/>
  <c r="M18" i="16"/>
  <c r="L18" i="16"/>
  <c r="K18" i="16"/>
  <c r="J18" i="16"/>
  <c r="H18" i="16"/>
  <c r="G18" i="16"/>
  <c r="F18" i="16"/>
  <c r="F11" i="16" s="1"/>
  <c r="F47" i="16" s="1"/>
  <c r="O17" i="16"/>
  <c r="H17" i="16"/>
  <c r="P17" i="16" s="1"/>
  <c r="O16" i="16"/>
  <c r="H16" i="16"/>
  <c r="P16" i="16" s="1"/>
  <c r="O15" i="16"/>
  <c r="P15" i="16" s="1"/>
  <c r="H15" i="16"/>
  <c r="O14" i="16"/>
  <c r="O12" i="16" s="1"/>
  <c r="H14" i="16"/>
  <c r="O13" i="16"/>
  <c r="H13" i="16"/>
  <c r="P13" i="16" s="1"/>
  <c r="N12" i="16"/>
  <c r="M12" i="16"/>
  <c r="L12" i="16"/>
  <c r="K12" i="16"/>
  <c r="J12" i="16"/>
  <c r="H12" i="16"/>
  <c r="G12" i="16"/>
  <c r="F12" i="16"/>
  <c r="N11" i="16"/>
  <c r="N47" i="16" s="1"/>
  <c r="M11" i="16"/>
  <c r="M47" i="16" s="1"/>
  <c r="K11" i="16"/>
  <c r="K47" i="16" s="1"/>
  <c r="M45" i="15"/>
  <c r="L45" i="15"/>
  <c r="O44" i="15"/>
  <c r="H44" i="15"/>
  <c r="O43" i="15"/>
  <c r="H43" i="15"/>
  <c r="P43" i="15" s="1"/>
  <c r="O42" i="15"/>
  <c r="H42" i="15"/>
  <c r="P42" i="15" s="1"/>
  <c r="P41" i="15"/>
  <c r="O41" i="15"/>
  <c r="H41" i="15"/>
  <c r="N40" i="15"/>
  <c r="M40" i="15"/>
  <c r="L40" i="15"/>
  <c r="K40" i="15"/>
  <c r="J40" i="15"/>
  <c r="G40" i="15"/>
  <c r="F40" i="15"/>
  <c r="O39" i="15"/>
  <c r="H39" i="15"/>
  <c r="P39" i="15" s="1"/>
  <c r="O38" i="15"/>
  <c r="H38" i="15"/>
  <c r="O37" i="15"/>
  <c r="H37" i="15"/>
  <c r="P37" i="15" s="1"/>
  <c r="O36" i="15"/>
  <c r="H36" i="15"/>
  <c r="P36" i="15" s="1"/>
  <c r="P35" i="15"/>
  <c r="O35" i="15"/>
  <c r="H35" i="15"/>
  <c r="O34" i="15"/>
  <c r="H34" i="15"/>
  <c r="P34" i="15" s="1"/>
  <c r="O33" i="15"/>
  <c r="H33" i="15"/>
  <c r="O32" i="15"/>
  <c r="H32" i="15"/>
  <c r="P32" i="15" s="1"/>
  <c r="P31" i="15"/>
  <c r="O31" i="15"/>
  <c r="H31" i="15"/>
  <c r="N30" i="15"/>
  <c r="M30" i="15"/>
  <c r="L30" i="15"/>
  <c r="K30" i="15"/>
  <c r="J30" i="15"/>
  <c r="G30" i="15"/>
  <c r="F30" i="15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P23" i="15"/>
  <c r="O23" i="15"/>
  <c r="H23" i="15"/>
  <c r="P22" i="15"/>
  <c r="P21" i="15" s="1"/>
  <c r="O22" i="15"/>
  <c r="O21" i="15" s="1"/>
  <c r="H22" i="15"/>
  <c r="N21" i="15"/>
  <c r="M21" i="15"/>
  <c r="L21" i="15"/>
  <c r="K21" i="15"/>
  <c r="J21" i="15"/>
  <c r="H21" i="15"/>
  <c r="G21" i="15"/>
  <c r="F21" i="15"/>
  <c r="P20" i="15"/>
  <c r="O20" i="15"/>
  <c r="H20" i="15"/>
  <c r="P19" i="15"/>
  <c r="O19" i="15"/>
  <c r="O18" i="15" s="1"/>
  <c r="H19" i="15"/>
  <c r="N18" i="15"/>
  <c r="M18" i="15"/>
  <c r="M11" i="15" s="1"/>
  <c r="L18" i="15"/>
  <c r="K18" i="15"/>
  <c r="J18" i="15"/>
  <c r="H18" i="15"/>
  <c r="G18" i="15"/>
  <c r="F18" i="15"/>
  <c r="P17" i="15"/>
  <c r="O17" i="15"/>
  <c r="H17" i="15"/>
  <c r="P16" i="15"/>
  <c r="O16" i="15"/>
  <c r="H16" i="15"/>
  <c r="O15" i="15"/>
  <c r="H15" i="15"/>
  <c r="P14" i="15"/>
  <c r="O14" i="15"/>
  <c r="H14" i="15"/>
  <c r="O13" i="15"/>
  <c r="H13" i="15"/>
  <c r="P13" i="15" s="1"/>
  <c r="O12" i="15"/>
  <c r="N12" i="15"/>
  <c r="M12" i="15"/>
  <c r="L12" i="15"/>
  <c r="K12" i="15"/>
  <c r="J12" i="15"/>
  <c r="G12" i="15"/>
  <c r="F12" i="15"/>
  <c r="L11" i="15"/>
  <c r="K11" i="15"/>
  <c r="K45" i="15" s="1"/>
  <c r="J11" i="15"/>
  <c r="J45" i="15" s="1"/>
  <c r="G11" i="15"/>
  <c r="O46" i="14"/>
  <c r="H46" i="14"/>
  <c r="P46" i="14" s="1"/>
  <c r="O45" i="14"/>
  <c r="P45" i="14" s="1"/>
  <c r="H45" i="14"/>
  <c r="O44" i="14"/>
  <c r="H44" i="14"/>
  <c r="P44" i="14" s="1"/>
  <c r="O43" i="14"/>
  <c r="H43" i="14"/>
  <c r="P43" i="14" s="1"/>
  <c r="N42" i="14"/>
  <c r="M42" i="14"/>
  <c r="L42" i="14"/>
  <c r="K42" i="14"/>
  <c r="J42" i="14"/>
  <c r="H42" i="14"/>
  <c r="G42" i="14"/>
  <c r="F42" i="14"/>
  <c r="O41" i="14"/>
  <c r="H41" i="14"/>
  <c r="P41" i="14" s="1"/>
  <c r="O40" i="14"/>
  <c r="H40" i="14"/>
  <c r="P40" i="14" s="1"/>
  <c r="P39" i="14"/>
  <c r="O39" i="14"/>
  <c r="H39" i="14"/>
  <c r="O38" i="14"/>
  <c r="H38" i="14"/>
  <c r="P38" i="14" s="1"/>
  <c r="O37" i="14"/>
  <c r="H37" i="14"/>
  <c r="O36" i="14"/>
  <c r="H36" i="14"/>
  <c r="P36" i="14" s="1"/>
  <c r="O35" i="14"/>
  <c r="H35" i="14"/>
  <c r="P35" i="14" s="1"/>
  <c r="O34" i="14"/>
  <c r="H34" i="14"/>
  <c r="O33" i="14"/>
  <c r="H33" i="14"/>
  <c r="P33" i="14" s="1"/>
  <c r="N32" i="14"/>
  <c r="M32" i="14"/>
  <c r="L32" i="14"/>
  <c r="K32" i="14"/>
  <c r="J32" i="14"/>
  <c r="G32" i="14"/>
  <c r="F32" i="14"/>
  <c r="P30" i="14"/>
  <c r="O30" i="14"/>
  <c r="H30" i="14"/>
  <c r="O29" i="14"/>
  <c r="H29" i="14"/>
  <c r="P29" i="14" s="1"/>
  <c r="O28" i="14"/>
  <c r="O26" i="14" s="1"/>
  <c r="H28" i="14"/>
  <c r="P27" i="14"/>
  <c r="O27" i="14"/>
  <c r="H27" i="14"/>
  <c r="N26" i="14"/>
  <c r="M26" i="14"/>
  <c r="L26" i="14"/>
  <c r="L11" i="14" s="1"/>
  <c r="L47" i="14" s="1"/>
  <c r="K26" i="14"/>
  <c r="J26" i="14"/>
  <c r="G26" i="14"/>
  <c r="F26" i="14"/>
  <c r="O25" i="14"/>
  <c r="H25" i="14"/>
  <c r="P25" i="14" s="1"/>
  <c r="P24" i="14"/>
  <c r="O24" i="14"/>
  <c r="H24" i="14"/>
  <c r="O23" i="14"/>
  <c r="H23" i="14"/>
  <c r="P23" i="14" s="1"/>
  <c r="O22" i="14"/>
  <c r="O21" i="14" s="1"/>
  <c r="H22" i="14"/>
  <c r="P22" i="14" s="1"/>
  <c r="N21" i="14"/>
  <c r="M21" i="14"/>
  <c r="L21" i="14"/>
  <c r="K21" i="14"/>
  <c r="J21" i="14"/>
  <c r="H21" i="14"/>
  <c r="G21" i="14"/>
  <c r="F21" i="14"/>
  <c r="O20" i="14"/>
  <c r="H20" i="14"/>
  <c r="P20" i="14" s="1"/>
  <c r="O19" i="14"/>
  <c r="O18" i="14" s="1"/>
  <c r="H19" i="14"/>
  <c r="N18" i="14"/>
  <c r="M18" i="14"/>
  <c r="L18" i="14"/>
  <c r="K18" i="14"/>
  <c r="J18" i="14"/>
  <c r="G18" i="14"/>
  <c r="F18" i="14"/>
  <c r="O17" i="14"/>
  <c r="H17" i="14"/>
  <c r="P17" i="14" s="1"/>
  <c r="O16" i="14"/>
  <c r="H16" i="14"/>
  <c r="O15" i="14"/>
  <c r="H15" i="14"/>
  <c r="P15" i="14" s="1"/>
  <c r="O14" i="14"/>
  <c r="P14" i="14" s="1"/>
  <c r="H14" i="14"/>
  <c r="O13" i="14"/>
  <c r="O12" i="14" s="1"/>
  <c r="H13" i="14"/>
  <c r="N12" i="14"/>
  <c r="M12" i="14"/>
  <c r="L12" i="14"/>
  <c r="K12" i="14"/>
  <c r="K11" i="14" s="1"/>
  <c r="K47" i="14" s="1"/>
  <c r="J12" i="14"/>
  <c r="J11" i="14" s="1"/>
  <c r="J47" i="14" s="1"/>
  <c r="G12" i="14"/>
  <c r="F12" i="14"/>
  <c r="N11" i="14"/>
  <c r="N47" i="14" s="1"/>
  <c r="M11" i="14"/>
  <c r="M47" i="14" s="1"/>
  <c r="G11" i="14"/>
  <c r="G47" i="14" s="1"/>
  <c r="F11" i="14"/>
  <c r="F47" i="14" s="1"/>
  <c r="P46" i="13"/>
  <c r="O46" i="13"/>
  <c r="H46" i="13"/>
  <c r="O45" i="13"/>
  <c r="H45" i="13"/>
  <c r="P45" i="13" s="1"/>
  <c r="O44" i="13"/>
  <c r="H44" i="13"/>
  <c r="O43" i="13"/>
  <c r="H43" i="13"/>
  <c r="P43" i="13" s="1"/>
  <c r="N42" i="13"/>
  <c r="M42" i="13"/>
  <c r="L42" i="13"/>
  <c r="K42" i="13"/>
  <c r="J42" i="13"/>
  <c r="G42" i="13"/>
  <c r="F42" i="13"/>
  <c r="O41" i="13"/>
  <c r="H41" i="13"/>
  <c r="P41" i="13" s="1"/>
  <c r="O40" i="13"/>
  <c r="H40" i="13"/>
  <c r="O39" i="13"/>
  <c r="H39" i="13"/>
  <c r="P39" i="13" s="1"/>
  <c r="O38" i="13"/>
  <c r="H38" i="13"/>
  <c r="P38" i="13" s="1"/>
  <c r="P37" i="13"/>
  <c r="O37" i="13"/>
  <c r="H37" i="13"/>
  <c r="O36" i="13"/>
  <c r="O32" i="13" s="1"/>
  <c r="H36" i="13"/>
  <c r="P35" i="13"/>
  <c r="O35" i="13"/>
  <c r="H35" i="13"/>
  <c r="O34" i="13"/>
  <c r="H34" i="13"/>
  <c r="P33" i="13"/>
  <c r="O33" i="13"/>
  <c r="H33" i="13"/>
  <c r="N32" i="13"/>
  <c r="M32" i="13"/>
  <c r="L32" i="13"/>
  <c r="K32" i="13"/>
  <c r="J32" i="13"/>
  <c r="G32" i="13"/>
  <c r="F32" i="13"/>
  <c r="O30" i="13"/>
  <c r="H30" i="13"/>
  <c r="P30" i="13" s="1"/>
  <c r="O29" i="13"/>
  <c r="H29" i="13"/>
  <c r="P29" i="13" s="1"/>
  <c r="O28" i="13"/>
  <c r="H28" i="13"/>
  <c r="O27" i="13"/>
  <c r="O26" i="13" s="1"/>
  <c r="H27" i="13"/>
  <c r="N26" i="13"/>
  <c r="M26" i="13"/>
  <c r="L26" i="13"/>
  <c r="K26" i="13"/>
  <c r="J26" i="13"/>
  <c r="G26" i="13"/>
  <c r="F26" i="13"/>
  <c r="O25" i="13"/>
  <c r="H25" i="13"/>
  <c r="P25" i="13" s="1"/>
  <c r="O24" i="13"/>
  <c r="H24" i="13"/>
  <c r="O23" i="13"/>
  <c r="P23" i="13" s="1"/>
  <c r="H23" i="13"/>
  <c r="P22" i="13"/>
  <c r="O22" i="13"/>
  <c r="H22" i="13"/>
  <c r="O21" i="13"/>
  <c r="N21" i="13"/>
  <c r="M21" i="13"/>
  <c r="L21" i="13"/>
  <c r="K21" i="13"/>
  <c r="J21" i="13"/>
  <c r="G21" i="13"/>
  <c r="F21" i="13"/>
  <c r="O20" i="13"/>
  <c r="H20" i="13"/>
  <c r="P20" i="13" s="1"/>
  <c r="P19" i="13"/>
  <c r="O19" i="13"/>
  <c r="H19" i="13"/>
  <c r="P18" i="13"/>
  <c r="O18" i="13"/>
  <c r="N18" i="13"/>
  <c r="M18" i="13"/>
  <c r="M11" i="13" s="1"/>
  <c r="M47" i="13" s="1"/>
  <c r="L18" i="13"/>
  <c r="K18" i="13"/>
  <c r="J18" i="13"/>
  <c r="H18" i="13"/>
  <c r="G18" i="13"/>
  <c r="F18" i="13"/>
  <c r="F11" i="13" s="1"/>
  <c r="F47" i="13" s="1"/>
  <c r="O17" i="13"/>
  <c r="H17" i="13"/>
  <c r="P17" i="13" s="1"/>
  <c r="P16" i="13"/>
  <c r="O16" i="13"/>
  <c r="H16" i="13"/>
  <c r="P15" i="13"/>
  <c r="O15" i="13"/>
  <c r="H15" i="13"/>
  <c r="P14" i="13"/>
  <c r="O14" i="13"/>
  <c r="H14" i="13"/>
  <c r="O13" i="13"/>
  <c r="H13" i="13"/>
  <c r="P13" i="13" s="1"/>
  <c r="P12" i="13"/>
  <c r="N12" i="13"/>
  <c r="N11" i="13" s="1"/>
  <c r="N47" i="13" s="1"/>
  <c r="M12" i="13"/>
  <c r="L12" i="13"/>
  <c r="L11" i="13" s="1"/>
  <c r="L47" i="13" s="1"/>
  <c r="K12" i="13"/>
  <c r="J12" i="13"/>
  <c r="G12" i="13"/>
  <c r="F12" i="13"/>
  <c r="K11" i="13"/>
  <c r="K47" i="13" s="1"/>
  <c r="J11" i="13"/>
  <c r="J47" i="13" s="1"/>
  <c r="O46" i="12"/>
  <c r="H46" i="12"/>
  <c r="O45" i="12"/>
  <c r="H45" i="12"/>
  <c r="P45" i="12" s="1"/>
  <c r="P44" i="12"/>
  <c r="O44" i="12"/>
  <c r="H44" i="12"/>
  <c r="O43" i="12"/>
  <c r="O42" i="12" s="1"/>
  <c r="H43" i="12"/>
  <c r="N42" i="12"/>
  <c r="M42" i="12"/>
  <c r="L42" i="12"/>
  <c r="K42" i="12"/>
  <c r="J42" i="12"/>
  <c r="G42" i="12"/>
  <c r="F42" i="12"/>
  <c r="P41" i="12"/>
  <c r="O41" i="12"/>
  <c r="H41" i="12"/>
  <c r="O40" i="12"/>
  <c r="O32" i="12" s="1"/>
  <c r="H40" i="12"/>
  <c r="P39" i="12"/>
  <c r="O39" i="12"/>
  <c r="H39" i="12"/>
  <c r="O38" i="12"/>
  <c r="H38" i="12"/>
  <c r="P38" i="12" s="1"/>
  <c r="P37" i="12"/>
  <c r="O37" i="12"/>
  <c r="H37" i="12"/>
  <c r="O36" i="12"/>
  <c r="H36" i="12"/>
  <c r="P36" i="12" s="1"/>
  <c r="O35" i="12"/>
  <c r="H35" i="12"/>
  <c r="O34" i="12"/>
  <c r="H34" i="12"/>
  <c r="P34" i="12" s="1"/>
  <c r="P33" i="12"/>
  <c r="O33" i="12"/>
  <c r="H33" i="12"/>
  <c r="N32" i="12"/>
  <c r="M32" i="12"/>
  <c r="L32" i="12"/>
  <c r="K32" i="12"/>
  <c r="J32" i="12"/>
  <c r="G32" i="12"/>
  <c r="F32" i="12"/>
  <c r="O30" i="12"/>
  <c r="H30" i="12"/>
  <c r="P30" i="12" s="1"/>
  <c r="O29" i="12"/>
  <c r="H29" i="12"/>
  <c r="H26" i="12" s="1"/>
  <c r="O28" i="12"/>
  <c r="P28" i="12" s="1"/>
  <c r="H28" i="12"/>
  <c r="P27" i="12"/>
  <c r="O27" i="12"/>
  <c r="H27" i="12"/>
  <c r="N26" i="12"/>
  <c r="N11" i="12" s="1"/>
  <c r="N47" i="12" s="1"/>
  <c r="M26" i="12"/>
  <c r="L26" i="12"/>
  <c r="K26" i="12"/>
  <c r="J26" i="12"/>
  <c r="G26" i="12"/>
  <c r="F26" i="12"/>
  <c r="O25" i="12"/>
  <c r="O21" i="12" s="1"/>
  <c r="H25" i="12"/>
  <c r="P24" i="12"/>
  <c r="O24" i="12"/>
  <c r="H24" i="12"/>
  <c r="O23" i="12"/>
  <c r="H23" i="12"/>
  <c r="P22" i="12"/>
  <c r="O22" i="12"/>
  <c r="H22" i="12"/>
  <c r="N21" i="12"/>
  <c r="M21" i="12"/>
  <c r="L21" i="12"/>
  <c r="K21" i="12"/>
  <c r="J21" i="12"/>
  <c r="G21" i="12"/>
  <c r="F21" i="12"/>
  <c r="O20" i="12"/>
  <c r="H20" i="12"/>
  <c r="P19" i="12"/>
  <c r="O19" i="12"/>
  <c r="H19" i="12"/>
  <c r="O18" i="12"/>
  <c r="N18" i="12"/>
  <c r="M18" i="12"/>
  <c r="L18" i="12"/>
  <c r="K18" i="12"/>
  <c r="J18" i="12"/>
  <c r="G18" i="12"/>
  <c r="F18" i="12"/>
  <c r="O17" i="12"/>
  <c r="H17" i="12"/>
  <c r="P17" i="12" s="1"/>
  <c r="P16" i="12"/>
  <c r="O16" i="12"/>
  <c r="H16" i="12"/>
  <c r="O15" i="12"/>
  <c r="H15" i="12"/>
  <c r="P15" i="12" s="1"/>
  <c r="O14" i="12"/>
  <c r="H14" i="12"/>
  <c r="O13" i="12"/>
  <c r="P13" i="12" s="1"/>
  <c r="H13" i="12"/>
  <c r="N12" i="12"/>
  <c r="M12" i="12"/>
  <c r="L12" i="12"/>
  <c r="K12" i="12"/>
  <c r="J12" i="12"/>
  <c r="J11" i="12" s="1"/>
  <c r="J47" i="12" s="1"/>
  <c r="G12" i="12"/>
  <c r="G11" i="12" s="1"/>
  <c r="G47" i="12" s="1"/>
  <c r="F12" i="12"/>
  <c r="F11" i="12"/>
  <c r="G45" i="11"/>
  <c r="P44" i="11"/>
  <c r="O44" i="11"/>
  <c r="H44" i="11"/>
  <c r="O43" i="11"/>
  <c r="H43" i="11"/>
  <c r="P43" i="11" s="1"/>
  <c r="P42" i="11"/>
  <c r="O42" i="11"/>
  <c r="H42" i="11"/>
  <c r="H40" i="11" s="1"/>
  <c r="O41" i="11"/>
  <c r="H41" i="11"/>
  <c r="P41" i="11" s="1"/>
  <c r="P40" i="11" s="1"/>
  <c r="O40" i="11"/>
  <c r="N40" i="11"/>
  <c r="M40" i="11"/>
  <c r="L40" i="11"/>
  <c r="K40" i="11"/>
  <c r="J40" i="11"/>
  <c r="G40" i="11"/>
  <c r="F40" i="11"/>
  <c r="P39" i="11"/>
  <c r="O39" i="11"/>
  <c r="H39" i="11"/>
  <c r="O38" i="11"/>
  <c r="H38" i="11"/>
  <c r="P38" i="11" s="1"/>
  <c r="O37" i="11"/>
  <c r="H37" i="11"/>
  <c r="P37" i="11" s="1"/>
  <c r="O36" i="11"/>
  <c r="H36" i="11"/>
  <c r="P36" i="11" s="1"/>
  <c r="P35" i="11"/>
  <c r="O35" i="11"/>
  <c r="H35" i="11"/>
  <c r="O34" i="11"/>
  <c r="O30" i="11" s="1"/>
  <c r="H34" i="11"/>
  <c r="P33" i="11"/>
  <c r="O33" i="11"/>
  <c r="H33" i="11"/>
  <c r="O32" i="11"/>
  <c r="H32" i="11"/>
  <c r="P31" i="11"/>
  <c r="O31" i="11"/>
  <c r="H31" i="11"/>
  <c r="N30" i="11"/>
  <c r="M30" i="11"/>
  <c r="L30" i="11"/>
  <c r="K30" i="11"/>
  <c r="J30" i="11"/>
  <c r="G30" i="11"/>
  <c r="F30" i="11"/>
  <c r="O28" i="11"/>
  <c r="H28" i="11"/>
  <c r="P28" i="11" s="1"/>
  <c r="P27" i="11"/>
  <c r="P26" i="11" s="1"/>
  <c r="O27" i="11"/>
  <c r="H27" i="11"/>
  <c r="O26" i="11"/>
  <c r="N26" i="11"/>
  <c r="M26" i="11"/>
  <c r="L26" i="11"/>
  <c r="L11" i="11" s="1"/>
  <c r="L45" i="11" s="1"/>
  <c r="K26" i="11"/>
  <c r="J26" i="11"/>
  <c r="H26" i="11"/>
  <c r="G26" i="11"/>
  <c r="F26" i="11"/>
  <c r="O25" i="11"/>
  <c r="H25" i="11"/>
  <c r="P25" i="11" s="1"/>
  <c r="P24" i="11"/>
  <c r="O24" i="11"/>
  <c r="H24" i="11"/>
  <c r="O23" i="11"/>
  <c r="H23" i="11"/>
  <c r="P23" i="11" s="1"/>
  <c r="O22" i="11"/>
  <c r="O21" i="11" s="1"/>
  <c r="H22" i="11"/>
  <c r="N21" i="11"/>
  <c r="M21" i="11"/>
  <c r="L21" i="11"/>
  <c r="K21" i="11"/>
  <c r="J21" i="11"/>
  <c r="G21" i="11"/>
  <c r="F21" i="11"/>
  <c r="O20" i="11"/>
  <c r="H20" i="11"/>
  <c r="P20" i="11" s="1"/>
  <c r="O19" i="11"/>
  <c r="O18" i="11" s="1"/>
  <c r="H19" i="11"/>
  <c r="P19" i="11" s="1"/>
  <c r="P18" i="11" s="1"/>
  <c r="N18" i="11"/>
  <c r="M18" i="11"/>
  <c r="L18" i="11"/>
  <c r="K18" i="11"/>
  <c r="J18" i="11"/>
  <c r="G18" i="11"/>
  <c r="F18" i="11"/>
  <c r="F11" i="11" s="1"/>
  <c r="F45" i="11" s="1"/>
  <c r="O17" i="11"/>
  <c r="H17" i="11"/>
  <c r="P17" i="11" s="1"/>
  <c r="O16" i="11"/>
  <c r="H16" i="11"/>
  <c r="O15" i="11"/>
  <c r="H15" i="11"/>
  <c r="P15" i="11" s="1"/>
  <c r="P14" i="11"/>
  <c r="O14" i="11"/>
  <c r="H14" i="11"/>
  <c r="O13" i="11"/>
  <c r="O12" i="11" s="1"/>
  <c r="H13" i="11"/>
  <c r="N12" i="11"/>
  <c r="N11" i="11" s="1"/>
  <c r="N45" i="11" s="1"/>
  <c r="M12" i="11"/>
  <c r="L12" i="11"/>
  <c r="K12" i="11"/>
  <c r="K11" i="11" s="1"/>
  <c r="K45" i="11" s="1"/>
  <c r="J12" i="11"/>
  <c r="G12" i="11"/>
  <c r="G11" i="11" s="1"/>
  <c r="F12" i="11"/>
  <c r="M11" i="11"/>
  <c r="M45" i="11" s="1"/>
  <c r="O46" i="10"/>
  <c r="P46" i="10" s="1"/>
  <c r="H46" i="10"/>
  <c r="O45" i="10"/>
  <c r="H45" i="10"/>
  <c r="P45" i="10" s="1"/>
  <c r="O44" i="10"/>
  <c r="H44" i="10"/>
  <c r="P43" i="10"/>
  <c r="O43" i="10"/>
  <c r="H43" i="10"/>
  <c r="N42" i="10"/>
  <c r="M42" i="10"/>
  <c r="L42" i="10"/>
  <c r="K42" i="10"/>
  <c r="J42" i="10"/>
  <c r="G42" i="10"/>
  <c r="F42" i="10"/>
  <c r="O41" i="10"/>
  <c r="H41" i="10"/>
  <c r="P40" i="10"/>
  <c r="O40" i="10"/>
  <c r="H40" i="10"/>
  <c r="P39" i="10"/>
  <c r="O39" i="10"/>
  <c r="H39" i="10"/>
  <c r="O38" i="10"/>
  <c r="H38" i="10"/>
  <c r="P38" i="10" s="1"/>
  <c r="P37" i="10"/>
  <c r="O37" i="10"/>
  <c r="H37" i="10"/>
  <c r="O36" i="10"/>
  <c r="H36" i="10"/>
  <c r="P36" i="10" s="1"/>
  <c r="P35" i="10"/>
  <c r="O35" i="10"/>
  <c r="H35" i="10"/>
  <c r="O34" i="10"/>
  <c r="P34" i="10" s="1"/>
  <c r="H34" i="10"/>
  <c r="O33" i="10"/>
  <c r="O32" i="10" s="1"/>
  <c r="H33" i="10"/>
  <c r="N32" i="10"/>
  <c r="M32" i="10"/>
  <c r="L32" i="10"/>
  <c r="K32" i="10"/>
  <c r="J32" i="10"/>
  <c r="H32" i="10"/>
  <c r="G32" i="10"/>
  <c r="F32" i="10"/>
  <c r="O30" i="10"/>
  <c r="P30" i="10" s="1"/>
  <c r="H30" i="10"/>
  <c r="O29" i="10"/>
  <c r="H29" i="10"/>
  <c r="O28" i="10"/>
  <c r="P28" i="10" s="1"/>
  <c r="H28" i="10"/>
  <c r="P27" i="10"/>
  <c r="O27" i="10"/>
  <c r="H27" i="10"/>
  <c r="N26" i="10"/>
  <c r="M26" i="10"/>
  <c r="L26" i="10"/>
  <c r="K26" i="10"/>
  <c r="J26" i="10"/>
  <c r="G26" i="10"/>
  <c r="F26" i="10"/>
  <c r="P25" i="10"/>
  <c r="O25" i="10"/>
  <c r="H25" i="10"/>
  <c r="P24" i="10"/>
  <c r="O24" i="10"/>
  <c r="H24" i="10"/>
  <c r="O23" i="10"/>
  <c r="H23" i="10"/>
  <c r="H21" i="10" s="1"/>
  <c r="P22" i="10"/>
  <c r="O22" i="10"/>
  <c r="O21" i="10" s="1"/>
  <c r="H22" i="10"/>
  <c r="N21" i="10"/>
  <c r="M21" i="10"/>
  <c r="L21" i="10"/>
  <c r="K21" i="10"/>
  <c r="J21" i="10"/>
  <c r="G21" i="10"/>
  <c r="F21" i="10"/>
  <c r="O20" i="10"/>
  <c r="H20" i="10"/>
  <c r="H18" i="10" s="1"/>
  <c r="P19" i="10"/>
  <c r="O19" i="10"/>
  <c r="O18" i="10" s="1"/>
  <c r="H19" i="10"/>
  <c r="N18" i="10"/>
  <c r="M18" i="10"/>
  <c r="L18" i="10"/>
  <c r="K18" i="10"/>
  <c r="K11" i="10" s="1"/>
  <c r="J18" i="10"/>
  <c r="G18" i="10"/>
  <c r="F18" i="10"/>
  <c r="O17" i="10"/>
  <c r="H17" i="10"/>
  <c r="P17" i="10" s="1"/>
  <c r="P16" i="10"/>
  <c r="O16" i="10"/>
  <c r="H16" i="10"/>
  <c r="O15" i="10"/>
  <c r="H15" i="10"/>
  <c r="P15" i="10" s="1"/>
  <c r="O14" i="10"/>
  <c r="O12" i="10" s="1"/>
  <c r="H14" i="10"/>
  <c r="H12" i="10" s="1"/>
  <c r="O13" i="10"/>
  <c r="P13" i="10" s="1"/>
  <c r="H13" i="10"/>
  <c r="N12" i="10"/>
  <c r="M12" i="10"/>
  <c r="L12" i="10"/>
  <c r="L11" i="10" s="1"/>
  <c r="L47" i="10" s="1"/>
  <c r="K12" i="10"/>
  <c r="J12" i="10"/>
  <c r="J11" i="10" s="1"/>
  <c r="J47" i="10" s="1"/>
  <c r="G12" i="10"/>
  <c r="F12" i="10"/>
  <c r="G11" i="10"/>
  <c r="G47" i="10" s="1"/>
  <c r="F11" i="10"/>
  <c r="F47" i="10" s="1"/>
  <c r="P46" i="9"/>
  <c r="O46" i="9"/>
  <c r="H46" i="9"/>
  <c r="O45" i="9"/>
  <c r="H45" i="9"/>
  <c r="H42" i="9" s="1"/>
  <c r="P44" i="9"/>
  <c r="O44" i="9"/>
  <c r="H44" i="9"/>
  <c r="O43" i="9"/>
  <c r="H43" i="9"/>
  <c r="P43" i="9" s="1"/>
  <c r="O42" i="9"/>
  <c r="N42" i="9"/>
  <c r="M42" i="9"/>
  <c r="L42" i="9"/>
  <c r="K42" i="9"/>
  <c r="J42" i="9"/>
  <c r="G42" i="9"/>
  <c r="F42" i="9"/>
  <c r="P41" i="9"/>
  <c r="O41" i="9"/>
  <c r="H41" i="9"/>
  <c r="O40" i="9"/>
  <c r="H40" i="9"/>
  <c r="P40" i="9" s="1"/>
  <c r="O39" i="9"/>
  <c r="P39" i="9" s="1"/>
  <c r="H39" i="9"/>
  <c r="O38" i="9"/>
  <c r="H38" i="9"/>
  <c r="P38" i="9" s="1"/>
  <c r="O37" i="9"/>
  <c r="H37" i="9"/>
  <c r="P37" i="9" s="1"/>
  <c r="P36" i="9"/>
  <c r="O36" i="9"/>
  <c r="H36" i="9"/>
  <c r="P35" i="9"/>
  <c r="O35" i="9"/>
  <c r="H35" i="9"/>
  <c r="O34" i="9"/>
  <c r="P34" i="9" s="1"/>
  <c r="H34" i="9"/>
  <c r="P33" i="9"/>
  <c r="O33" i="9"/>
  <c r="O32" i="9" s="1"/>
  <c r="H33" i="9"/>
  <c r="N32" i="9"/>
  <c r="M32" i="9"/>
  <c r="L32" i="9"/>
  <c r="K32" i="9"/>
  <c r="J32" i="9"/>
  <c r="G32" i="9"/>
  <c r="F32" i="9"/>
  <c r="O31" i="9"/>
  <c r="P31" i="9" s="1"/>
  <c r="H31" i="9"/>
  <c r="P30" i="9"/>
  <c r="O30" i="9"/>
  <c r="H30" i="9"/>
  <c r="O29" i="9"/>
  <c r="H29" i="9"/>
  <c r="O28" i="9"/>
  <c r="O26" i="9" s="1"/>
  <c r="H28" i="9"/>
  <c r="O27" i="9"/>
  <c r="H27" i="9"/>
  <c r="P27" i="9" s="1"/>
  <c r="N26" i="9"/>
  <c r="N11" i="9" s="1"/>
  <c r="M26" i="9"/>
  <c r="L26" i="9"/>
  <c r="K26" i="9"/>
  <c r="J26" i="9"/>
  <c r="J11" i="9" s="1"/>
  <c r="J47" i="9" s="1"/>
  <c r="G26" i="9"/>
  <c r="G11" i="9" s="1"/>
  <c r="F26" i="9"/>
  <c r="F11" i="9" s="1"/>
  <c r="F47" i="9" s="1"/>
  <c r="O25" i="9"/>
  <c r="P25" i="9" s="1"/>
  <c r="H25" i="9"/>
  <c r="O24" i="9"/>
  <c r="H24" i="9"/>
  <c r="P24" i="9" s="1"/>
  <c r="O23" i="9"/>
  <c r="H23" i="9"/>
  <c r="P22" i="9"/>
  <c r="O22" i="9"/>
  <c r="H22" i="9"/>
  <c r="N21" i="9"/>
  <c r="M21" i="9"/>
  <c r="L21" i="9"/>
  <c r="K21" i="9"/>
  <c r="J21" i="9"/>
  <c r="G21" i="9"/>
  <c r="F21" i="9"/>
  <c r="O20" i="9"/>
  <c r="H20" i="9"/>
  <c r="P19" i="9"/>
  <c r="O19" i="9"/>
  <c r="O18" i="9" s="1"/>
  <c r="H19" i="9"/>
  <c r="N18" i="9"/>
  <c r="M18" i="9"/>
  <c r="L18" i="9"/>
  <c r="K18" i="9"/>
  <c r="J18" i="9"/>
  <c r="G18" i="9"/>
  <c r="F18" i="9"/>
  <c r="O17" i="9"/>
  <c r="H17" i="9"/>
  <c r="P16" i="9"/>
  <c r="O16" i="9"/>
  <c r="H16" i="9"/>
  <c r="O15" i="9"/>
  <c r="H15" i="9"/>
  <c r="P15" i="9" s="1"/>
  <c r="P14" i="9"/>
  <c r="O14" i="9"/>
  <c r="O12" i="9" s="1"/>
  <c r="H14" i="9"/>
  <c r="H12" i="9" s="1"/>
  <c r="P13" i="9"/>
  <c r="O13" i="9"/>
  <c r="H13" i="9"/>
  <c r="N12" i="9"/>
  <c r="M12" i="9"/>
  <c r="M11" i="9" s="1"/>
  <c r="M47" i="9" s="1"/>
  <c r="L12" i="9"/>
  <c r="L11" i="9" s="1"/>
  <c r="L47" i="9" s="1"/>
  <c r="K12" i="9"/>
  <c r="J12" i="9"/>
  <c r="G12" i="9"/>
  <c r="F12" i="9"/>
  <c r="O46" i="8"/>
  <c r="H46" i="8"/>
  <c r="P46" i="8" s="1"/>
  <c r="O45" i="8"/>
  <c r="O42" i="8" s="1"/>
  <c r="H45" i="8"/>
  <c r="P44" i="8"/>
  <c r="O44" i="8"/>
  <c r="H44" i="8"/>
  <c r="P43" i="8"/>
  <c r="O43" i="8"/>
  <c r="H43" i="8"/>
  <c r="N42" i="8"/>
  <c r="M42" i="8"/>
  <c r="L42" i="8"/>
  <c r="K42" i="8"/>
  <c r="J42" i="8"/>
  <c r="G42" i="8"/>
  <c r="F42" i="8"/>
  <c r="P41" i="8"/>
  <c r="O41" i="8"/>
  <c r="H41" i="8"/>
  <c r="P40" i="8"/>
  <c r="O40" i="8"/>
  <c r="H40" i="8"/>
  <c r="P39" i="8"/>
  <c r="O39" i="8"/>
  <c r="H39" i="8"/>
  <c r="P38" i="8"/>
  <c r="O38" i="8"/>
  <c r="H38" i="8"/>
  <c r="O37" i="8"/>
  <c r="H37" i="8"/>
  <c r="P37" i="8" s="1"/>
  <c r="P36" i="8"/>
  <c r="O36" i="8"/>
  <c r="H36" i="8"/>
  <c r="O35" i="8"/>
  <c r="H35" i="8"/>
  <c r="P35" i="8" s="1"/>
  <c r="O34" i="8"/>
  <c r="H34" i="8"/>
  <c r="P33" i="8"/>
  <c r="O33" i="8"/>
  <c r="O32" i="8" s="1"/>
  <c r="H33" i="8"/>
  <c r="N32" i="8"/>
  <c r="M32" i="8"/>
  <c r="L32" i="8"/>
  <c r="K32" i="8"/>
  <c r="J32" i="8"/>
  <c r="G32" i="8"/>
  <c r="F32" i="8"/>
  <c r="O31" i="8"/>
  <c r="H31" i="8"/>
  <c r="P30" i="8"/>
  <c r="O30" i="8"/>
  <c r="H30" i="8"/>
  <c r="O29" i="8"/>
  <c r="H29" i="8"/>
  <c r="O28" i="8"/>
  <c r="H28" i="8"/>
  <c r="H26" i="8" s="1"/>
  <c r="O27" i="8"/>
  <c r="H27" i="8"/>
  <c r="P27" i="8" s="1"/>
  <c r="N26" i="8"/>
  <c r="M26" i="8"/>
  <c r="L26" i="8"/>
  <c r="K26" i="8"/>
  <c r="J26" i="8"/>
  <c r="G26" i="8"/>
  <c r="G11" i="8" s="1"/>
  <c r="F26" i="8"/>
  <c r="O25" i="8"/>
  <c r="H25" i="8"/>
  <c r="P25" i="8" s="1"/>
  <c r="O24" i="8"/>
  <c r="H24" i="8"/>
  <c r="P24" i="8" s="1"/>
  <c r="O23" i="8"/>
  <c r="H23" i="8"/>
  <c r="O22" i="8"/>
  <c r="H22" i="8"/>
  <c r="N21" i="8"/>
  <c r="M21" i="8"/>
  <c r="L21" i="8"/>
  <c r="K21" i="8"/>
  <c r="J21" i="8"/>
  <c r="G21" i="8"/>
  <c r="F21" i="8"/>
  <c r="O20" i="8"/>
  <c r="H20" i="8"/>
  <c r="P19" i="8"/>
  <c r="O19" i="8"/>
  <c r="O18" i="8" s="1"/>
  <c r="H19" i="8"/>
  <c r="N18" i="8"/>
  <c r="M18" i="8"/>
  <c r="L18" i="8"/>
  <c r="K18" i="8"/>
  <c r="J18" i="8"/>
  <c r="G18" i="8"/>
  <c r="F18" i="8"/>
  <c r="O17" i="8"/>
  <c r="H17" i="8"/>
  <c r="P17" i="8" s="1"/>
  <c r="O16" i="8"/>
  <c r="P16" i="8" s="1"/>
  <c r="H16" i="8"/>
  <c r="O15" i="8"/>
  <c r="H15" i="8"/>
  <c r="P15" i="8" s="1"/>
  <c r="O14" i="8"/>
  <c r="H14" i="8"/>
  <c r="P13" i="8"/>
  <c r="O13" i="8"/>
  <c r="H13" i="8"/>
  <c r="N12" i="8"/>
  <c r="M12" i="8"/>
  <c r="L12" i="8"/>
  <c r="K12" i="8"/>
  <c r="J12" i="8"/>
  <c r="G12" i="8"/>
  <c r="F12" i="8"/>
  <c r="N11" i="8"/>
  <c r="N47" i="8" s="1"/>
  <c r="M11" i="8"/>
  <c r="M47" i="8" s="1"/>
  <c r="F11" i="8"/>
  <c r="F47" i="8" s="1"/>
  <c r="G45" i="7"/>
  <c r="O44" i="7"/>
  <c r="H44" i="7"/>
  <c r="P44" i="7" s="1"/>
  <c r="O43" i="7"/>
  <c r="H43" i="7"/>
  <c r="P43" i="7" s="1"/>
  <c r="P42" i="7"/>
  <c r="O42" i="7"/>
  <c r="H42" i="7"/>
  <c r="H40" i="7" s="1"/>
  <c r="O41" i="7"/>
  <c r="P41" i="7" s="1"/>
  <c r="H41" i="7"/>
  <c r="O40" i="7"/>
  <c r="N40" i="7"/>
  <c r="M40" i="7"/>
  <c r="L40" i="7"/>
  <c r="K40" i="7"/>
  <c r="J40" i="7"/>
  <c r="G40" i="7"/>
  <c r="F40" i="7"/>
  <c r="P39" i="7"/>
  <c r="O39" i="7"/>
  <c r="H39" i="7"/>
  <c r="O38" i="7"/>
  <c r="P38" i="7" s="1"/>
  <c r="H38" i="7"/>
  <c r="O37" i="7"/>
  <c r="H37" i="7"/>
  <c r="P37" i="7" s="1"/>
  <c r="P36" i="7"/>
  <c r="O36" i="7"/>
  <c r="H36" i="7"/>
  <c r="P35" i="7"/>
  <c r="O35" i="7"/>
  <c r="H35" i="7"/>
  <c r="O34" i="7"/>
  <c r="H34" i="7"/>
  <c r="P34" i="7" s="1"/>
  <c r="P33" i="7"/>
  <c r="O33" i="7"/>
  <c r="H33" i="7"/>
  <c r="O32" i="7"/>
  <c r="H32" i="7"/>
  <c r="O31" i="7"/>
  <c r="O30" i="7" s="1"/>
  <c r="H31" i="7"/>
  <c r="N30" i="7"/>
  <c r="M30" i="7"/>
  <c r="L30" i="7"/>
  <c r="K30" i="7"/>
  <c r="J30" i="7"/>
  <c r="G30" i="7"/>
  <c r="F30" i="7"/>
  <c r="O29" i="7"/>
  <c r="H29" i="7"/>
  <c r="P29" i="7" s="1"/>
  <c r="P28" i="7"/>
  <c r="O28" i="7"/>
  <c r="H28" i="7"/>
  <c r="O27" i="7"/>
  <c r="P27" i="7" s="1"/>
  <c r="P26" i="7" s="1"/>
  <c r="H27" i="7"/>
  <c r="O26" i="7"/>
  <c r="N26" i="7"/>
  <c r="N11" i="7" s="1"/>
  <c r="N45" i="7" s="1"/>
  <c r="M26" i="7"/>
  <c r="L26" i="7"/>
  <c r="K26" i="7"/>
  <c r="J26" i="7"/>
  <c r="H26" i="7"/>
  <c r="G26" i="7"/>
  <c r="F26" i="7"/>
  <c r="F11" i="7" s="1"/>
  <c r="F45" i="7" s="1"/>
  <c r="O25" i="7"/>
  <c r="P25" i="7" s="1"/>
  <c r="H25" i="7"/>
  <c r="O24" i="7"/>
  <c r="H24" i="7"/>
  <c r="P24" i="7" s="1"/>
  <c r="O23" i="7"/>
  <c r="H23" i="7"/>
  <c r="P22" i="7"/>
  <c r="O22" i="7"/>
  <c r="H22" i="7"/>
  <c r="N21" i="7"/>
  <c r="M21" i="7"/>
  <c r="L21" i="7"/>
  <c r="K21" i="7"/>
  <c r="J21" i="7"/>
  <c r="G21" i="7"/>
  <c r="F21" i="7"/>
  <c r="O20" i="7"/>
  <c r="H20" i="7"/>
  <c r="P19" i="7"/>
  <c r="O19" i="7"/>
  <c r="H19" i="7"/>
  <c r="N18" i="7"/>
  <c r="M18" i="7"/>
  <c r="L18" i="7"/>
  <c r="K18" i="7"/>
  <c r="J18" i="7"/>
  <c r="G18" i="7"/>
  <c r="F18" i="7"/>
  <c r="O17" i="7"/>
  <c r="H17" i="7"/>
  <c r="P17" i="7" s="1"/>
  <c r="P16" i="7"/>
  <c r="O16" i="7"/>
  <c r="H16" i="7"/>
  <c r="P15" i="7"/>
  <c r="O15" i="7"/>
  <c r="H15" i="7"/>
  <c r="O14" i="7"/>
  <c r="H14" i="7"/>
  <c r="H12" i="7" s="1"/>
  <c r="P13" i="7"/>
  <c r="O13" i="7"/>
  <c r="O12" i="7" s="1"/>
  <c r="H13" i="7"/>
  <c r="N12" i="7"/>
  <c r="M12" i="7"/>
  <c r="L12" i="7"/>
  <c r="K12" i="7"/>
  <c r="J12" i="7"/>
  <c r="J11" i="7" s="1"/>
  <c r="J45" i="7" s="1"/>
  <c r="G12" i="7"/>
  <c r="F12" i="7"/>
  <c r="G11" i="7"/>
  <c r="O46" i="6"/>
  <c r="P46" i="6" s="1"/>
  <c r="H46" i="6"/>
  <c r="O45" i="6"/>
  <c r="H45" i="6"/>
  <c r="P44" i="6"/>
  <c r="O44" i="6"/>
  <c r="H44" i="6"/>
  <c r="O43" i="6"/>
  <c r="H43" i="6"/>
  <c r="P43" i="6" s="1"/>
  <c r="O42" i="6"/>
  <c r="N42" i="6"/>
  <c r="M42" i="6"/>
  <c r="L42" i="6"/>
  <c r="K42" i="6"/>
  <c r="J42" i="6"/>
  <c r="G42" i="6"/>
  <c r="F42" i="6"/>
  <c r="P41" i="6"/>
  <c r="O41" i="6"/>
  <c r="H41" i="6"/>
  <c r="O40" i="6"/>
  <c r="H40" i="6"/>
  <c r="P40" i="6" s="1"/>
  <c r="O39" i="6"/>
  <c r="H39" i="6"/>
  <c r="P39" i="6" s="1"/>
  <c r="P38" i="6"/>
  <c r="O38" i="6"/>
  <c r="H38" i="6"/>
  <c r="O37" i="6"/>
  <c r="H37" i="6"/>
  <c r="P37" i="6" s="1"/>
  <c r="P36" i="6"/>
  <c r="O36" i="6"/>
  <c r="H36" i="6"/>
  <c r="O35" i="6"/>
  <c r="H35" i="6"/>
  <c r="P35" i="6" s="1"/>
  <c r="O34" i="6"/>
  <c r="H34" i="6"/>
  <c r="P33" i="6"/>
  <c r="O33" i="6"/>
  <c r="H33" i="6"/>
  <c r="N32" i="6"/>
  <c r="M32" i="6"/>
  <c r="L32" i="6"/>
  <c r="K32" i="6"/>
  <c r="J32" i="6"/>
  <c r="G32" i="6"/>
  <c r="F32" i="6"/>
  <c r="O31" i="6"/>
  <c r="H31" i="6"/>
  <c r="P31" i="6" s="1"/>
  <c r="P30" i="6"/>
  <c r="O30" i="6"/>
  <c r="H30" i="6"/>
  <c r="O29" i="6"/>
  <c r="H29" i="6"/>
  <c r="O28" i="6"/>
  <c r="H28" i="6"/>
  <c r="H26" i="6" s="1"/>
  <c r="O27" i="6"/>
  <c r="H27" i="6"/>
  <c r="P27" i="6" s="1"/>
  <c r="N26" i="6"/>
  <c r="N11" i="6" s="1"/>
  <c r="N47" i="6" s="1"/>
  <c r="M26" i="6"/>
  <c r="M11" i="6" s="1"/>
  <c r="M47" i="6" s="1"/>
  <c r="L26" i="6"/>
  <c r="K26" i="6"/>
  <c r="J26" i="6"/>
  <c r="G26" i="6"/>
  <c r="F26" i="6"/>
  <c r="O25" i="6"/>
  <c r="H25" i="6"/>
  <c r="P25" i="6" s="1"/>
  <c r="O24" i="6"/>
  <c r="H24" i="6"/>
  <c r="P24" i="6" s="1"/>
  <c r="O23" i="6"/>
  <c r="H23" i="6"/>
  <c r="O22" i="6"/>
  <c r="P22" i="6" s="1"/>
  <c r="H22" i="6"/>
  <c r="N21" i="6"/>
  <c r="M21" i="6"/>
  <c r="L21" i="6"/>
  <c r="K21" i="6"/>
  <c r="J21" i="6"/>
  <c r="G21" i="6"/>
  <c r="F21" i="6"/>
  <c r="O20" i="6"/>
  <c r="H20" i="6"/>
  <c r="P19" i="6"/>
  <c r="O19" i="6"/>
  <c r="O18" i="6" s="1"/>
  <c r="H19" i="6"/>
  <c r="N18" i="6"/>
  <c r="M18" i="6"/>
  <c r="L18" i="6"/>
  <c r="K18" i="6"/>
  <c r="J18" i="6"/>
  <c r="G18" i="6"/>
  <c r="F18" i="6"/>
  <c r="O17" i="6"/>
  <c r="H17" i="6"/>
  <c r="P17" i="6" s="1"/>
  <c r="O16" i="6"/>
  <c r="P16" i="6" s="1"/>
  <c r="H16" i="6"/>
  <c r="P15" i="6"/>
  <c r="O15" i="6"/>
  <c r="H15" i="6"/>
  <c r="O14" i="6"/>
  <c r="H14" i="6"/>
  <c r="P13" i="6"/>
  <c r="O13" i="6"/>
  <c r="H13" i="6"/>
  <c r="N12" i="6"/>
  <c r="M12" i="6"/>
  <c r="L12" i="6"/>
  <c r="K12" i="6"/>
  <c r="J12" i="6"/>
  <c r="G12" i="6"/>
  <c r="F12" i="6"/>
  <c r="G11" i="6"/>
  <c r="G47" i="6" s="1"/>
  <c r="F11" i="6"/>
  <c r="F47" i="6" s="1"/>
  <c r="L41" i="5"/>
  <c r="L40" i="5"/>
  <c r="L38" i="5" s="1"/>
  <c r="M38" i="5" s="1"/>
  <c r="F40" i="5"/>
  <c r="L39" i="5"/>
  <c r="M39" i="5" s="1"/>
  <c r="F39" i="5"/>
  <c r="K38" i="5"/>
  <c r="J38" i="5"/>
  <c r="I38" i="5"/>
  <c r="H38" i="5"/>
  <c r="G38" i="5"/>
  <c r="F38" i="5"/>
  <c r="E38" i="5"/>
  <c r="D38" i="5"/>
  <c r="L37" i="5"/>
  <c r="L35" i="5" s="1"/>
  <c r="F37" i="5"/>
  <c r="F35" i="5" s="1"/>
  <c r="M35" i="5" s="1"/>
  <c r="L36" i="5"/>
  <c r="M36" i="5" s="1"/>
  <c r="F36" i="5"/>
  <c r="K35" i="5"/>
  <c r="J35" i="5"/>
  <c r="I35" i="5"/>
  <c r="H35" i="5"/>
  <c r="G35" i="5"/>
  <c r="E35" i="5"/>
  <c r="D35" i="5"/>
  <c r="L34" i="5"/>
  <c r="F34" i="5"/>
  <c r="F32" i="5" s="1"/>
  <c r="L33" i="5"/>
  <c r="M33" i="5" s="1"/>
  <c r="F33" i="5"/>
  <c r="K32" i="5"/>
  <c r="J32" i="5"/>
  <c r="I32" i="5"/>
  <c r="H32" i="5"/>
  <c r="G32" i="5"/>
  <c r="E32" i="5"/>
  <c r="D32" i="5"/>
  <c r="L31" i="5"/>
  <c r="M31" i="5" s="1"/>
  <c r="F31" i="5"/>
  <c r="F29" i="5" s="1"/>
  <c r="L30" i="5"/>
  <c r="M30" i="5" s="1"/>
  <c r="F30" i="5"/>
  <c r="K29" i="5"/>
  <c r="J29" i="5"/>
  <c r="I29" i="5"/>
  <c r="H29" i="5"/>
  <c r="G29" i="5"/>
  <c r="E29" i="5"/>
  <c r="D29" i="5"/>
  <c r="L23" i="5"/>
  <c r="K23" i="5"/>
  <c r="J23" i="5"/>
  <c r="I23" i="5"/>
  <c r="H23" i="5"/>
  <c r="E23" i="5"/>
  <c r="D23" i="5"/>
  <c r="F23" i="5" s="1"/>
  <c r="M22" i="5"/>
  <c r="F22" i="5"/>
  <c r="N22" i="5" s="1"/>
  <c r="M21" i="5"/>
  <c r="M23" i="5" s="1"/>
  <c r="F21" i="5"/>
  <c r="L15" i="5"/>
  <c r="K15" i="5"/>
  <c r="J15" i="5"/>
  <c r="I15" i="5"/>
  <c r="H15" i="5"/>
  <c r="E15" i="5"/>
  <c r="D15" i="5"/>
  <c r="M14" i="5"/>
  <c r="F14" i="5"/>
  <c r="M13" i="5"/>
  <c r="F13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Q15" i="2"/>
  <c r="P15" i="2"/>
  <c r="Q14" i="2"/>
  <c r="P14" i="2"/>
  <c r="P12" i="2"/>
  <c r="I24" i="1"/>
  <c r="F17" i="1" s="1"/>
  <c r="I22" i="1"/>
  <c r="E17" i="1" s="1"/>
  <c r="G17" i="1"/>
  <c r="P29" i="21" l="1"/>
  <c r="O26" i="18"/>
  <c r="P29" i="12"/>
  <c r="O26" i="10"/>
  <c r="O26" i="12"/>
  <c r="O11" i="10"/>
  <c r="J11" i="6"/>
  <c r="J47" i="6" s="1"/>
  <c r="P28" i="17"/>
  <c r="L11" i="17"/>
  <c r="L47" i="17" s="1"/>
  <c r="P26" i="17"/>
  <c r="O11" i="16"/>
  <c r="P28" i="16"/>
  <c r="P28" i="13"/>
  <c r="K11" i="6"/>
  <c r="K47" i="6" s="1"/>
  <c r="M15" i="5"/>
  <c r="P29" i="8"/>
  <c r="P29" i="6"/>
  <c r="P29" i="9"/>
  <c r="J11" i="8"/>
  <c r="J47" i="8" s="1"/>
  <c r="L11" i="8"/>
  <c r="L47" i="8" s="1"/>
  <c r="P28" i="8"/>
  <c r="G47" i="8"/>
  <c r="M41" i="5"/>
  <c r="L32" i="5"/>
  <c r="M32" i="5" s="1"/>
  <c r="N21" i="5"/>
  <c r="N23" i="5"/>
  <c r="N14" i="5"/>
  <c r="F15" i="5"/>
  <c r="N13" i="5"/>
  <c r="O11" i="9"/>
  <c r="O47" i="9" s="1"/>
  <c r="H11" i="10"/>
  <c r="H17" i="1"/>
  <c r="H42" i="10"/>
  <c r="P44" i="10"/>
  <c r="M37" i="5"/>
  <c r="H18" i="6"/>
  <c r="P20" i="6"/>
  <c r="H18" i="8"/>
  <c r="P20" i="8"/>
  <c r="P18" i="8" s="1"/>
  <c r="P32" i="8"/>
  <c r="N47" i="9"/>
  <c r="P18" i="9"/>
  <c r="P28" i="9"/>
  <c r="P25" i="12"/>
  <c r="P40" i="12"/>
  <c r="P27" i="13"/>
  <c r="P26" i="13" s="1"/>
  <c r="H47" i="21"/>
  <c r="P32" i="31"/>
  <c r="O21" i="21"/>
  <c r="P24" i="21"/>
  <c r="P21" i="21" s="1"/>
  <c r="M34" i="5"/>
  <c r="M40" i="5"/>
  <c r="O21" i="7"/>
  <c r="L29" i="5"/>
  <c r="M29" i="5" s="1"/>
  <c r="H32" i="8"/>
  <c r="P34" i="8"/>
  <c r="P14" i="10"/>
  <c r="H12" i="12"/>
  <c r="P14" i="12"/>
  <c r="P12" i="12" s="1"/>
  <c r="H11" i="7"/>
  <c r="H45" i="7" s="1"/>
  <c r="P40" i="7"/>
  <c r="P45" i="9"/>
  <c r="P42" i="9" s="1"/>
  <c r="K11" i="7"/>
  <c r="K45" i="7" s="1"/>
  <c r="O21" i="8"/>
  <c r="P32" i="9"/>
  <c r="M11" i="10"/>
  <c r="M47" i="10" s="1"/>
  <c r="P35" i="12"/>
  <c r="P32" i="12" s="1"/>
  <c r="H32" i="12"/>
  <c r="G11" i="13"/>
  <c r="G47" i="13" s="1"/>
  <c r="H26" i="13"/>
  <c r="P36" i="13"/>
  <c r="P12" i="6"/>
  <c r="O26" i="6"/>
  <c r="L11" i="7"/>
  <c r="L45" i="7" s="1"/>
  <c r="P14" i="7"/>
  <c r="P12" i="7" s="1"/>
  <c r="P11" i="7" s="1"/>
  <c r="P45" i="7" s="1"/>
  <c r="H30" i="7"/>
  <c r="P32" i="7"/>
  <c r="O12" i="8"/>
  <c r="P22" i="8"/>
  <c r="P21" i="8" s="1"/>
  <c r="O26" i="8"/>
  <c r="O21" i="9"/>
  <c r="H32" i="9"/>
  <c r="N11" i="10"/>
  <c r="N47" i="10" s="1"/>
  <c r="P23" i="10"/>
  <c r="P21" i="10" s="1"/>
  <c r="P41" i="10"/>
  <c r="H12" i="11"/>
  <c r="P16" i="11"/>
  <c r="P22" i="11"/>
  <c r="P21" i="11" s="1"/>
  <c r="P30" i="11"/>
  <c r="P34" i="11"/>
  <c r="P26" i="12"/>
  <c r="H42" i="12"/>
  <c r="P46" i="12"/>
  <c r="H12" i="13"/>
  <c r="H32" i="13"/>
  <c r="P34" i="13"/>
  <c r="P32" i="13" s="1"/>
  <c r="P19" i="14"/>
  <c r="P18" i="14" s="1"/>
  <c r="H18" i="14"/>
  <c r="H26" i="14"/>
  <c r="P28" i="14"/>
  <c r="P26" i="14" s="1"/>
  <c r="O30" i="15"/>
  <c r="P38" i="15"/>
  <c r="P30" i="19"/>
  <c r="P42" i="20"/>
  <c r="P33" i="21"/>
  <c r="H32" i="21"/>
  <c r="H12" i="6"/>
  <c r="P14" i="6"/>
  <c r="H21" i="6"/>
  <c r="P23" i="6"/>
  <c r="P21" i="6" s="1"/>
  <c r="M11" i="7"/>
  <c r="M45" i="7" s="1"/>
  <c r="O18" i="7"/>
  <c r="O11" i="7" s="1"/>
  <c r="O45" i="7" s="1"/>
  <c r="H21" i="8"/>
  <c r="P23" i="8"/>
  <c r="P21" i="9"/>
  <c r="O11" i="11"/>
  <c r="O45" i="11" s="1"/>
  <c r="H30" i="11"/>
  <c r="P32" i="11"/>
  <c r="L11" i="12"/>
  <c r="L47" i="12" s="1"/>
  <c r="P24" i="13"/>
  <c r="P21" i="13" s="1"/>
  <c r="P11" i="13" s="1"/>
  <c r="H21" i="13"/>
  <c r="O32" i="14"/>
  <c r="P34" i="14"/>
  <c r="P42" i="14"/>
  <c r="P18" i="6"/>
  <c r="O11" i="21"/>
  <c r="H32" i="6"/>
  <c r="P34" i="6"/>
  <c r="P32" i="6" s="1"/>
  <c r="H18" i="9"/>
  <c r="P20" i="9"/>
  <c r="P29" i="10"/>
  <c r="P26" i="10" s="1"/>
  <c r="H26" i="10"/>
  <c r="H18" i="11"/>
  <c r="H21" i="12"/>
  <c r="P23" i="12"/>
  <c r="P21" i="12" s="1"/>
  <c r="P27" i="18"/>
  <c r="P26" i="18" s="1"/>
  <c r="H26" i="18"/>
  <c r="H12" i="27"/>
  <c r="H11" i="27" s="1"/>
  <c r="P14" i="27"/>
  <c r="P12" i="27" s="1"/>
  <c r="O21" i="6"/>
  <c r="P45" i="6"/>
  <c r="P42" i="6" s="1"/>
  <c r="H42" i="6"/>
  <c r="H21" i="7"/>
  <c r="P23" i="7"/>
  <c r="P21" i="7" s="1"/>
  <c r="P31" i="7"/>
  <c r="P30" i="7" s="1"/>
  <c r="O12" i="6"/>
  <c r="H12" i="8"/>
  <c r="H11" i="8" s="1"/>
  <c r="P14" i="8"/>
  <c r="P12" i="8" s="1"/>
  <c r="P31" i="8"/>
  <c r="P45" i="8"/>
  <c r="P42" i="8" s="1"/>
  <c r="H42" i="8"/>
  <c r="P17" i="9"/>
  <c r="P12" i="9" s="1"/>
  <c r="H21" i="9"/>
  <c r="P23" i="9"/>
  <c r="K47" i="10"/>
  <c r="O42" i="10"/>
  <c r="O47" i="10" s="1"/>
  <c r="P13" i="11"/>
  <c r="H21" i="11"/>
  <c r="F47" i="12"/>
  <c r="M11" i="12"/>
  <c r="M47" i="12" s="1"/>
  <c r="K11" i="12"/>
  <c r="K47" i="12" s="1"/>
  <c r="H18" i="12"/>
  <c r="P20" i="12"/>
  <c r="P18" i="12" s="1"/>
  <c r="P43" i="12"/>
  <c r="P42" i="12" s="1"/>
  <c r="O12" i="13"/>
  <c r="O11" i="13" s="1"/>
  <c r="P30" i="15"/>
  <c r="P32" i="16"/>
  <c r="P45" i="16"/>
  <c r="H42" i="16"/>
  <c r="P32" i="18"/>
  <c r="P13" i="19"/>
  <c r="P12" i="19" s="1"/>
  <c r="H12" i="19"/>
  <c r="H11" i="19" s="1"/>
  <c r="P27" i="19"/>
  <c r="P26" i="19" s="1"/>
  <c r="P24" i="20"/>
  <c r="P21" i="20" s="1"/>
  <c r="H21" i="20"/>
  <c r="L11" i="6"/>
  <c r="L47" i="6" s="1"/>
  <c r="P28" i="6"/>
  <c r="O32" i="6"/>
  <c r="H18" i="7"/>
  <c r="P20" i="7"/>
  <c r="P18" i="7" s="1"/>
  <c r="K11" i="8"/>
  <c r="K47" i="8" s="1"/>
  <c r="G47" i="9"/>
  <c r="K11" i="9"/>
  <c r="K47" i="9" s="1"/>
  <c r="H26" i="9"/>
  <c r="P12" i="10"/>
  <c r="P20" i="10"/>
  <c r="P18" i="10" s="1"/>
  <c r="P33" i="10"/>
  <c r="P32" i="10" s="1"/>
  <c r="P42" i="10"/>
  <c r="J11" i="11"/>
  <c r="J45" i="11" s="1"/>
  <c r="P15" i="15"/>
  <c r="P12" i="15" s="1"/>
  <c r="P11" i="15" s="1"/>
  <c r="H12" i="15"/>
  <c r="H11" i="15" s="1"/>
  <c r="H45" i="15" s="1"/>
  <c r="O30" i="19"/>
  <c r="P40" i="13"/>
  <c r="N11" i="15"/>
  <c r="N45" i="15" s="1"/>
  <c r="H32" i="16"/>
  <c r="P34" i="16"/>
  <c r="J47" i="17"/>
  <c r="P18" i="17"/>
  <c r="L47" i="18"/>
  <c r="O11" i="19"/>
  <c r="O45" i="19" s="1"/>
  <c r="H40" i="19"/>
  <c r="P44" i="19"/>
  <c r="H42" i="20"/>
  <c r="P44" i="20"/>
  <c r="J11" i="21"/>
  <c r="J47" i="21" s="1"/>
  <c r="P21" i="26"/>
  <c r="H21" i="26"/>
  <c r="P25" i="26"/>
  <c r="O12" i="12"/>
  <c r="O11" i="12" s="1"/>
  <c r="O47" i="12" s="1"/>
  <c r="O11" i="15"/>
  <c r="P18" i="15"/>
  <c r="H40" i="15"/>
  <c r="P44" i="15"/>
  <c r="P40" i="15" s="1"/>
  <c r="P24" i="16"/>
  <c r="P21" i="16" s="1"/>
  <c r="H21" i="16"/>
  <c r="H11" i="16" s="1"/>
  <c r="H47" i="16" s="1"/>
  <c r="H18" i="17"/>
  <c r="P20" i="17"/>
  <c r="P46" i="18"/>
  <c r="P33" i="19"/>
  <c r="H30" i="19"/>
  <c r="H12" i="20"/>
  <c r="O12" i="20"/>
  <c r="O11" i="20" s="1"/>
  <c r="O47" i="20" s="1"/>
  <c r="H32" i="20"/>
  <c r="P41" i="21"/>
  <c r="P31" i="22"/>
  <c r="P30" i="30"/>
  <c r="H12" i="14"/>
  <c r="H11" i="14" s="1"/>
  <c r="H47" i="14" s="1"/>
  <c r="P16" i="14"/>
  <c r="P21" i="14"/>
  <c r="O42" i="14"/>
  <c r="F11" i="15"/>
  <c r="F45" i="15" s="1"/>
  <c r="P42" i="16"/>
  <c r="H42" i="17"/>
  <c r="P46" i="17"/>
  <c r="P24" i="18"/>
  <c r="P21" i="18" s="1"/>
  <c r="P11" i="18" s="1"/>
  <c r="P47" i="18" s="1"/>
  <c r="H21" i="18"/>
  <c r="H42" i="18"/>
  <c r="P44" i="18"/>
  <c r="P42" i="18" s="1"/>
  <c r="J45" i="19"/>
  <c r="P22" i="25"/>
  <c r="P21" i="25" s="1"/>
  <c r="H21" i="25"/>
  <c r="P32" i="30"/>
  <c r="P52" i="30" s="1"/>
  <c r="P33" i="15"/>
  <c r="H30" i="15"/>
  <c r="O40" i="15"/>
  <c r="G11" i="16"/>
  <c r="G47" i="16" s="1"/>
  <c r="P39" i="16"/>
  <c r="G11" i="18"/>
  <c r="G47" i="18" s="1"/>
  <c r="P41" i="19"/>
  <c r="P40" i="19" s="1"/>
  <c r="P27" i="20"/>
  <c r="P26" i="20" s="1"/>
  <c r="O32" i="20"/>
  <c r="L47" i="21"/>
  <c r="H18" i="22"/>
  <c r="P20" i="22"/>
  <c r="P18" i="22" s="1"/>
  <c r="P30" i="23"/>
  <c r="H42" i="24"/>
  <c r="H47" i="24" s="1"/>
  <c r="P44" i="24"/>
  <c r="P42" i="24" s="1"/>
  <c r="H12" i="25"/>
  <c r="P16" i="25"/>
  <c r="P12" i="25" s="1"/>
  <c r="P11" i="25" s="1"/>
  <c r="P47" i="25" s="1"/>
  <c r="O42" i="13"/>
  <c r="O11" i="14"/>
  <c r="P32" i="14"/>
  <c r="G45" i="15"/>
  <c r="P35" i="17"/>
  <c r="P32" i="17" s="1"/>
  <c r="H32" i="17"/>
  <c r="H11" i="18"/>
  <c r="H47" i="18" s="1"/>
  <c r="O11" i="18"/>
  <c r="H42" i="21"/>
  <c r="P44" i="21"/>
  <c r="P42" i="21" s="1"/>
  <c r="P33" i="24"/>
  <c r="P32" i="24" s="1"/>
  <c r="H32" i="24"/>
  <c r="H42" i="13"/>
  <c r="P44" i="13"/>
  <c r="P42" i="13" s="1"/>
  <c r="P13" i="14"/>
  <c r="H32" i="14"/>
  <c r="P37" i="14"/>
  <c r="P27" i="16"/>
  <c r="P26" i="16" s="1"/>
  <c r="O32" i="16"/>
  <c r="H12" i="17"/>
  <c r="H11" i="17" s="1"/>
  <c r="H47" i="17" s="1"/>
  <c r="P14" i="17"/>
  <c r="P12" i="17" s="1"/>
  <c r="P11" i="17" s="1"/>
  <c r="H21" i="17"/>
  <c r="P23" i="17"/>
  <c r="P21" i="17" s="1"/>
  <c r="P43" i="17"/>
  <c r="H32" i="18"/>
  <c r="O32" i="18"/>
  <c r="K47" i="20"/>
  <c r="H26" i="20"/>
  <c r="P13" i="21"/>
  <c r="P12" i="21" s="1"/>
  <c r="P27" i="21"/>
  <c r="P26" i="21" s="1"/>
  <c r="J11" i="22"/>
  <c r="J47" i="22" s="1"/>
  <c r="P12" i="22"/>
  <c r="P39" i="27"/>
  <c r="P32" i="22"/>
  <c r="H42" i="22"/>
  <c r="P44" i="22"/>
  <c r="P42" i="22" s="1"/>
  <c r="O11" i="25"/>
  <c r="P12" i="26"/>
  <c r="K11" i="27"/>
  <c r="K45" i="27" s="1"/>
  <c r="P40" i="27"/>
  <c r="P19" i="28"/>
  <c r="P18" i="28" s="1"/>
  <c r="H26" i="28"/>
  <c r="H11" i="28" s="1"/>
  <c r="H47" i="28" s="1"/>
  <c r="P28" i="28"/>
  <c r="P26" i="28" s="1"/>
  <c r="H32" i="29"/>
  <c r="P34" i="29"/>
  <c r="P32" i="29" s="1"/>
  <c r="P11" i="30"/>
  <c r="O21" i="31"/>
  <c r="H52" i="31"/>
  <c r="O42" i="21"/>
  <c r="P12" i="23"/>
  <c r="P11" i="23" s="1"/>
  <c r="H12" i="23"/>
  <c r="P16" i="23"/>
  <c r="P21" i="23"/>
  <c r="J11" i="26"/>
  <c r="J47" i="26" s="1"/>
  <c r="O40" i="27"/>
  <c r="H32" i="30"/>
  <c r="H52" i="30" s="1"/>
  <c r="P37" i="30"/>
  <c r="H32" i="22"/>
  <c r="O45" i="23"/>
  <c r="P42" i="25"/>
  <c r="K47" i="26"/>
  <c r="P26" i="29"/>
  <c r="H21" i="31"/>
  <c r="P23" i="31"/>
  <c r="H21" i="23"/>
  <c r="G11" i="24"/>
  <c r="G47" i="24" s="1"/>
  <c r="P26" i="25"/>
  <c r="O42" i="25"/>
  <c r="P19" i="26"/>
  <c r="P18" i="26" s="1"/>
  <c r="H26" i="26"/>
  <c r="P28" i="26"/>
  <c r="P26" i="26" s="1"/>
  <c r="J45" i="27"/>
  <c r="P25" i="27"/>
  <c r="M45" i="27"/>
  <c r="P31" i="27"/>
  <c r="H30" i="27"/>
  <c r="P34" i="27"/>
  <c r="P16" i="28"/>
  <c r="H32" i="28"/>
  <c r="P22" i="30"/>
  <c r="P21" i="30" s="1"/>
  <c r="H21" i="30"/>
  <c r="P25" i="30"/>
  <c r="P11" i="31"/>
  <c r="P14" i="16"/>
  <c r="P12" i="16" s="1"/>
  <c r="H30" i="23"/>
  <c r="O30" i="27"/>
  <c r="O47" i="28"/>
  <c r="H21" i="28"/>
  <c r="P25" i="28"/>
  <c r="P21" i="28" s="1"/>
  <c r="H12" i="29"/>
  <c r="H11" i="29" s="1"/>
  <c r="H47" i="29" s="1"/>
  <c r="P14" i="29"/>
  <c r="P12" i="29" s="1"/>
  <c r="O21" i="30"/>
  <c r="O11" i="31"/>
  <c r="P51" i="31"/>
  <c r="P42" i="31" s="1"/>
  <c r="H21" i="22"/>
  <c r="P23" i="22"/>
  <c r="P21" i="22" s="1"/>
  <c r="P18" i="23"/>
  <c r="P44" i="23"/>
  <c r="P40" i="23" s="1"/>
  <c r="O11" i="24"/>
  <c r="O47" i="24" s="1"/>
  <c r="P33" i="25"/>
  <c r="P32" i="25" s="1"/>
  <c r="H32" i="25"/>
  <c r="P36" i="25"/>
  <c r="N47" i="26"/>
  <c r="P32" i="26"/>
  <c r="O11" i="27"/>
  <c r="O45" i="27" s="1"/>
  <c r="O47" i="29"/>
  <c r="H11" i="31"/>
  <c r="P28" i="31"/>
  <c r="H42" i="26"/>
  <c r="P20" i="27"/>
  <c r="P18" i="27" s="1"/>
  <c r="P23" i="27"/>
  <c r="P21" i="27" s="1"/>
  <c r="P14" i="28"/>
  <c r="P12" i="28" s="1"/>
  <c r="P34" i="28"/>
  <c r="P32" i="28" s="1"/>
  <c r="H42" i="28"/>
  <c r="P20" i="29"/>
  <c r="P18" i="29" s="1"/>
  <c r="P23" i="29"/>
  <c r="P21" i="29" s="1"/>
  <c r="P43" i="26"/>
  <c r="P42" i="26" s="1"/>
  <c r="P43" i="28"/>
  <c r="P42" i="28" s="1"/>
  <c r="P32" i="23"/>
  <c r="H40" i="23"/>
  <c r="P20" i="24"/>
  <c r="P18" i="24" s="1"/>
  <c r="P11" i="24" s="1"/>
  <c r="P47" i="24" s="1"/>
  <c r="P23" i="24"/>
  <c r="P21" i="24" s="1"/>
  <c r="H26" i="25"/>
  <c r="H12" i="26"/>
  <c r="H32" i="26"/>
  <c r="P44" i="30"/>
  <c r="P42" i="30" s="1"/>
  <c r="H11" i="32"/>
  <c r="H46" i="32" s="1"/>
  <c r="H42" i="31"/>
  <c r="H12" i="32"/>
  <c r="H47" i="32" s="1"/>
  <c r="P11" i="21" l="1"/>
  <c r="P11" i="20"/>
  <c r="P47" i="20" s="1"/>
  <c r="P11" i="12"/>
  <c r="P47" i="12" s="1"/>
  <c r="N15" i="5"/>
  <c r="O47" i="16"/>
  <c r="P26" i="9"/>
  <c r="P11" i="9" s="1"/>
  <c r="P47" i="9" s="1"/>
  <c r="P26" i="8"/>
  <c r="P11" i="8" s="1"/>
  <c r="P47" i="8" s="1"/>
  <c r="P26" i="6"/>
  <c r="P11" i="6" s="1"/>
  <c r="P47" i="6" s="1"/>
  <c r="O11" i="6"/>
  <c r="O47" i="6" s="1"/>
  <c r="H11" i="9"/>
  <c r="H47" i="9" s="1"/>
  <c r="P11" i="28"/>
  <c r="P47" i="28" s="1"/>
  <c r="P47" i="13"/>
  <c r="P45" i="15"/>
  <c r="P11" i="27"/>
  <c r="P45" i="27" s="1"/>
  <c r="P11" i="16"/>
  <c r="P47" i="16" s="1"/>
  <c r="O47" i="14"/>
  <c r="H11" i="20"/>
  <c r="H47" i="20" s="1"/>
  <c r="H45" i="27"/>
  <c r="H47" i="10"/>
  <c r="P30" i="27"/>
  <c r="H11" i="22"/>
  <c r="H47" i="22" s="1"/>
  <c r="H45" i="19"/>
  <c r="O47" i="13"/>
  <c r="P12" i="11"/>
  <c r="P11" i="11" s="1"/>
  <c r="P45" i="11" s="1"/>
  <c r="H11" i="13"/>
  <c r="H47" i="13" s="1"/>
  <c r="H11" i="11"/>
  <c r="H45" i="11" s="1"/>
  <c r="P11" i="26"/>
  <c r="P47" i="26" s="1"/>
  <c r="P11" i="22"/>
  <c r="P47" i="22" s="1"/>
  <c r="P42" i="17"/>
  <c r="P47" i="17" s="1"/>
  <c r="P11" i="19"/>
  <c r="P45" i="19" s="1"/>
  <c r="O11" i="8"/>
  <c r="O47" i="8" s="1"/>
  <c r="H11" i="12"/>
  <c r="H47" i="12" s="1"/>
  <c r="O47" i="25"/>
  <c r="H11" i="25"/>
  <c r="H47" i="25" s="1"/>
  <c r="O45" i="15"/>
  <c r="O47" i="21"/>
  <c r="H11" i="6"/>
  <c r="H47" i="6" s="1"/>
  <c r="P45" i="23"/>
  <c r="P12" i="14"/>
  <c r="P11" i="14" s="1"/>
  <c r="P47" i="14" s="1"/>
  <c r="P11" i="10"/>
  <c r="P47" i="10" s="1"/>
  <c r="H47" i="8"/>
  <c r="P11" i="29"/>
  <c r="P47" i="29" s="1"/>
  <c r="H11" i="26"/>
  <c r="H47" i="26" s="1"/>
  <c r="P21" i="31"/>
  <c r="H11" i="23"/>
  <c r="H45" i="23" s="1"/>
  <c r="O47" i="18"/>
  <c r="P32" i="21"/>
  <c r="P47" i="21" s="1"/>
  <c r="P52" i="31"/>
</calcChain>
</file>

<file path=xl/sharedStrings.xml><?xml version="1.0" encoding="utf-8"?>
<sst xmlns="http://schemas.openxmlformats.org/spreadsheetml/2006/main" count="1978" uniqueCount="169">
  <si>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</si>
  <si>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</si>
  <si>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</si>
  <si>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</si>
  <si>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</si>
  <si>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</si>
  <si>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</si>
  <si>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</si>
  <si>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</si>
  <si>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</si>
  <si>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</si>
  <si>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</si>
  <si>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</si>
  <si>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</si>
  <si>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</si>
  <si>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</si>
  <si>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</si>
  <si>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</si>
  <si>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</si>
  <si>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</si>
  <si>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</si>
  <si>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</si>
  <si>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</si>
  <si>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</si>
  <si>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</si>
  <si>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</si>
  <si>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</si>
  <si>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</si>
  <si>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</si>
  <si>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</si>
  <si>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</si>
  <si>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</si>
  <si>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</si>
  <si>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</si>
  <si>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</si>
  <si>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</si>
  <si>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</si>
  <si>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</si>
  <si>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</si>
  <si>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</si>
  <si>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</si>
  <si>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</si>
  <si>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</si>
  <si>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</si>
  <si>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</si>
  <si>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</si>
  <si>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</si>
  <si>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</si>
  <si>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</si>
  <si>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</si>
  <si>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</si>
  <si>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</si>
  <si>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</si>
  <si>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</si>
  <si>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</si>
  <si>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</si>
  <si>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</si>
  <si>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</si>
  <si>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</si>
  <si>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</si>
  <si>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</si>
  <si>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</si>
  <si>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</si>
  <si>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</si>
  <si>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</si>
  <si>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</si>
  <si>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</si>
  <si>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</si>
  <si>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居宅介護(介護予防)サービス受給者数</t>
  </si>
  <si>
    <t>予防給付</t>
  </si>
  <si>
    <t>介護給付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</si>
  <si>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</si>
  <si>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</si>
  <si>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</si>
  <si>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</si>
  <si>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</si>
  <si>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</si>
  <si>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</si>
  <si>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</si>
  <si>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</si>
  <si>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</si>
  <si>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</si>
  <si>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</si>
  <si>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</si>
  <si>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</si>
  <si>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</si>
  <si>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</si>
  <si>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</si>
  <si>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</si>
  <si>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</si>
  <si>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</si>
  <si>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</si>
  <si>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</si>
  <si>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</si>
  <si>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</si>
  <si>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</si>
  <si>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</si>
  <si>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</si>
  <si>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</si>
  <si>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</si>
  <si>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</si>
  <si>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短期入所療養介護（介護療養型医療施設等）</t>
  </si>
  <si>
    <t>短期入所療養介護（介護医療院）</t>
  </si>
  <si>
    <t>福祉用具・住宅改修サービス</t>
  </si>
  <si>
    <t>福祉用具貸与</t>
  </si>
  <si>
    <t>福祉用具購入費</t>
  </si>
  <si>
    <t>住宅改修費</t>
  </si>
  <si>
    <t>特定施設入居者生活介護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</si>
  <si>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</si>
  <si>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</si>
  <si>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</si>
  <si>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</si>
  <si>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</si>
  <si>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</si>
  <si>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</t>
  </si>
  <si>
    <t>認知症対応型共同生活介護</t>
  </si>
  <si>
    <t>地域密着型特定施設入居者生活介護</t>
  </si>
  <si>
    <t>地域密着型介護老人福祉施設入所者生活介護</t>
  </si>
  <si>
    <t>複合型サービス(看護小規模多機能型居宅介護)</t>
  </si>
  <si>
    <t>施設サービス</t>
  </si>
  <si>
    <t xml:space="preserve">介護医療院 </t>
  </si>
  <si>
    <t>総計</t>
  </si>
  <si>
    <t>イ 単位数</t>
  </si>
  <si>
    <t>特定施設入所者生活介護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</si>
  <si>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</si>
  <si>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</si>
  <si>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</si>
  <si>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</si>
  <si>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</si>
  <si>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</si>
  <si>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</si>
  <si>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</si>
  <si>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</si>
  <si>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</si>
  <si>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</si>
  <si>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</si>
  <si>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</si>
  <si>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</si>
  <si>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</si>
  <si>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</si>
  <si>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</si>
  <si>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</si>
  <si>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</si>
  <si>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</si>
  <si>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</si>
  <si>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</si>
  <si>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</si>
  <si>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</si>
  <si>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</si>
  <si>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</si>
  <si>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</si>
  <si>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</si>
  <si>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</si>
  <si>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</si>
  <si>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</si>
  <si>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</si>
  <si>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</si>
  <si>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</si>
  <si>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</si>
  <si>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</si>
  <si>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</si>
  <si>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</si>
  <si>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</si>
  <si>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</si>
  <si>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</si>
  <si>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</si>
  <si>
    <t>川崎町</t>
  </si>
  <si>
    <t>(令和7年４月分)</t>
    <phoneticPr fontId="15"/>
  </si>
  <si>
    <t>(令和7年４月分)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</si>
</sst>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6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10"/>
      <name val="丸ｺﾞｼｯｸ体Ca-B(GT)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 diagonalUp="1"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</cellStyleXfs>
  <cellXfs count="334">
    <xf numFmtId="0" fontId="0" fillId="0" borderId="0" xfId="0" applyFont="1"/>
    <xf numFmtId="0" fontId="2" fillId="0" borderId="0" xfId="1" applyFont="1"/>
    <xf numFmtId="0" fontId="5" fillId="0" borderId="0" xfId="0" applyNumberFormat="1" applyFont="1" applyAlignment="1">
      <alignment vertical="center"/>
    </xf>
    <xf numFmtId="176" fontId="4" fillId="2" borderId="45" xfId="0" applyNumberFormat="1" applyFont="1" applyFill="1" applyBorder="1" applyAlignment="1">
      <alignment vertical="center"/>
    </xf>
    <xf numFmtId="0" fontId="6" fillId="0" borderId="0" xfId="0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1" applyFont="1"/>
    <xf numFmtId="0" fontId="8" fillId="0" borderId="0" xfId="3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48" xfId="2" applyFont="1" applyBorder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176" fontId="4" fillId="0" borderId="0" xfId="2" applyNumberFormat="1" applyFont="1" applyAlignment="1">
      <alignment vertical="center"/>
    </xf>
    <xf numFmtId="0" fontId="4" fillId="0" borderId="41" xfId="2" applyFont="1" applyBorder="1" applyAlignment="1">
      <alignment vertical="center"/>
    </xf>
    <xf numFmtId="0" fontId="4" fillId="0" borderId="52" xfId="2" applyFont="1" applyBorder="1" applyAlignment="1">
      <alignment vertical="center"/>
    </xf>
    <xf numFmtId="0" fontId="4" fillId="0" borderId="40" xfId="2" applyFont="1" applyBorder="1" applyAlignment="1">
      <alignment vertical="center"/>
    </xf>
    <xf numFmtId="0" fontId="4" fillId="0" borderId="69" xfId="2" applyFont="1" applyBorder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ont="1" applyFill="1" applyAlignment="1">
      <alignment vertical="center"/>
    </xf>
    <xf numFmtId="0" fontId="4" fillId="6" borderId="0" xfId="3" applyFont="1" applyFill="1" applyAlignment="1">
      <alignment vertical="center"/>
    </xf>
    <xf numFmtId="49" fontId="10" fillId="2" borderId="0" xfId="4" applyNumberFormat="1" applyFont="1" applyFill="1" applyAlignment="1">
      <alignment horizontal="right" vertical="center"/>
    </xf>
    <xf numFmtId="0" fontId="4" fillId="2" borderId="0" xfId="4" applyFont="1" applyFill="1" applyAlignment="1">
      <alignment vertical="center"/>
    </xf>
    <xf numFmtId="0" fontId="5" fillId="6" borderId="0" xfId="3" applyFont="1" applyFill="1" applyAlignment="1">
      <alignment vertical="center"/>
    </xf>
    <xf numFmtId="0" fontId="11" fillId="6" borderId="0" xfId="3" applyFont="1" applyFill="1" applyAlignment="1">
      <alignment vertical="center"/>
    </xf>
    <xf numFmtId="0" fontId="5" fillId="5" borderId="0" xfId="3" applyFont="1" applyFill="1" applyAlignment="1">
      <alignment vertical="center"/>
    </xf>
    <xf numFmtId="0" fontId="2" fillId="5" borderId="0" xfId="0" applyFont="1" applyFill="1"/>
    <xf numFmtId="0" fontId="4" fillId="2" borderId="0" xfId="3" applyFont="1" applyFill="1"/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42" xfId="0" applyNumberFormat="1" applyFont="1" applyBorder="1" applyAlignment="1">
      <alignment vertical="center"/>
    </xf>
    <xf numFmtId="0" fontId="4" fillId="0" borderId="94" xfId="0" applyNumberFormat="1" applyFont="1" applyBorder="1" applyAlignment="1">
      <alignment vertical="center"/>
    </xf>
    <xf numFmtId="0" fontId="4" fillId="0" borderId="102" xfId="0" applyNumberFormat="1" applyFont="1" applyBorder="1" applyAlignment="1">
      <alignment vertical="center"/>
    </xf>
    <xf numFmtId="0" fontId="4" fillId="0" borderId="107" xfId="0" applyNumberFormat="1" applyFont="1" applyBorder="1" applyAlignment="1">
      <alignment vertical="center"/>
    </xf>
    <xf numFmtId="0" fontId="4" fillId="0" borderId="109" xfId="0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5" fillId="0" borderId="0" xfId="0" applyNumberFormat="1" applyFont="1" applyAlignment="1" applyProtection="1">
      <alignment vertical="center"/>
      <protection locked="0"/>
    </xf>
    <xf numFmtId="0" fontId="13" fillId="0" borderId="40" xfId="4" applyFont="1" applyBorder="1" applyAlignment="1">
      <alignment horizontal="right" vertical="center" shrinkToFit="1"/>
    </xf>
    <xf numFmtId="49" fontId="13" fillId="0" borderId="40" xfId="4" applyNumberFormat="1" applyFont="1" applyBorder="1" applyAlignment="1">
      <alignment horizontal="left" vertical="center" shrinkToFit="1"/>
    </xf>
    <xf numFmtId="0" fontId="13" fillId="0" borderId="41" xfId="4" applyFont="1" applyBorder="1" applyAlignment="1">
      <alignment horizontal="right" vertical="center"/>
    </xf>
    <xf numFmtId="0" fontId="13" fillId="0" borderId="41" xfId="4" applyFont="1" applyBorder="1" applyAlignment="1">
      <alignment horizontal="left" vertical="center"/>
    </xf>
    <xf numFmtId="0" fontId="5" fillId="0" borderId="42" xfId="0" applyNumberFormat="1" applyFont="1" applyBorder="1" applyAlignment="1">
      <alignment horizontal="center" vertical="center"/>
    </xf>
    <xf numFmtId="0" fontId="5" fillId="0" borderId="43" xfId="0" applyNumberFormat="1" applyFont="1" applyBorder="1" applyAlignment="1">
      <alignment horizontal="center" vertical="center"/>
    </xf>
    <xf numFmtId="0" fontId="5" fillId="0" borderId="36" xfId="0" applyNumberFormat="1" applyFont="1" applyBorder="1" applyAlignment="1">
      <alignment horizontal="center" vertical="center"/>
    </xf>
    <xf numFmtId="0" fontId="5" fillId="0" borderId="44" xfId="0" applyNumberFormat="1" applyFont="1" applyBorder="1" applyAlignment="1">
      <alignment horizontal="center" vertical="center"/>
    </xf>
    <xf numFmtId="3" fontId="9" fillId="5" borderId="35" xfId="0" applyNumberFormat="1" applyFont="1" applyFill="1" applyBorder="1" applyAlignment="1" applyProtection="1">
      <alignment vertical="center" shrinkToFit="1"/>
      <protection locked="0"/>
    </xf>
    <xf numFmtId="3" fontId="9" fillId="5" borderId="47" xfId="0" applyNumberFormat="1" applyFont="1" applyFill="1" applyBorder="1" applyAlignment="1" applyProtection="1">
      <alignment vertical="center" shrinkToFit="1"/>
      <protection locked="0"/>
    </xf>
    <xf numFmtId="0" fontId="5" fillId="0" borderId="46" xfId="0" applyNumberFormat="1" applyFont="1" applyBorder="1" applyAlignment="1">
      <alignment horizontal="center" vertical="center"/>
    </xf>
    <xf numFmtId="3" fontId="9" fillId="4" borderId="6" xfId="0" applyNumberFormat="1" applyFont="1" applyFill="1" applyBorder="1" applyAlignment="1">
      <alignment vertical="center" shrinkToFit="1"/>
    </xf>
    <xf numFmtId="3" fontId="9" fillId="4" borderId="12" xfId="0" applyNumberFormat="1" applyFont="1" applyFill="1" applyBorder="1" applyAlignment="1">
      <alignment vertical="center" shrinkToFit="1"/>
    </xf>
    <xf numFmtId="0" fontId="5" fillId="0" borderId="43" xfId="0" applyNumberFormat="1" applyFont="1" applyBorder="1" applyAlignment="1">
      <alignment horizontal="center" vertical="center" wrapText="1"/>
    </xf>
    <xf numFmtId="3" fontId="9" fillId="4" borderId="47" xfId="0" applyNumberFormat="1" applyFont="1" applyFill="1" applyBorder="1" applyAlignment="1">
      <alignment vertical="center" shrinkToFit="1"/>
    </xf>
    <xf numFmtId="0" fontId="5" fillId="0" borderId="35" xfId="0" applyNumberFormat="1" applyFont="1" applyBorder="1" applyAlignment="1">
      <alignment horizontal="center" vertical="center"/>
    </xf>
    <xf numFmtId="0" fontId="5" fillId="0" borderId="35" xfId="0" applyNumberFormat="1" applyFont="1" applyBorder="1" applyAlignment="1">
      <alignment horizontal="center" vertical="center" wrapText="1"/>
    </xf>
    <xf numFmtId="0" fontId="5" fillId="0" borderId="47" xfId="0" applyNumberFormat="1" applyFont="1" applyBorder="1" applyAlignment="1">
      <alignment horizontal="center" vertical="center"/>
    </xf>
    <xf numFmtId="3" fontId="9" fillId="5" borderId="6" xfId="0" applyNumberFormat="1" applyFont="1" applyFill="1" applyBorder="1" applyAlignment="1" applyProtection="1">
      <alignment vertical="center" shrinkToFit="1"/>
      <protection locked="0"/>
    </xf>
    <xf numFmtId="49" fontId="9" fillId="0" borderId="0" xfId="2" applyNumberFormat="1" applyFont="1" applyAlignment="1">
      <alignment vertical="center"/>
    </xf>
    <xf numFmtId="0" fontId="2" fillId="0" borderId="0" xfId="0" applyFont="1" applyProtection="1">
      <protection locked="0"/>
    </xf>
    <xf numFmtId="0" fontId="13" fillId="0" borderId="41" xfId="4" applyFont="1" applyBorder="1" applyAlignment="1">
      <alignment horizontal="right" vertical="center" wrapText="1"/>
    </xf>
    <xf numFmtId="0" fontId="5" fillId="0" borderId="73" xfId="0" applyNumberFormat="1" applyFont="1" applyBorder="1" applyAlignment="1">
      <alignment vertical="center"/>
    </xf>
    <xf numFmtId="0" fontId="5" fillId="0" borderId="102" xfId="0" applyNumberFormat="1" applyFont="1" applyBorder="1" applyAlignment="1">
      <alignment vertical="center"/>
    </xf>
    <xf numFmtId="176" fontId="5" fillId="0" borderId="103" xfId="0" applyNumberFormat="1" applyFont="1" applyBorder="1" applyAlignment="1">
      <alignment horizontal="center" vertical="center"/>
    </xf>
    <xf numFmtId="176" fontId="5" fillId="0" borderId="104" xfId="0" applyNumberFormat="1" applyFont="1" applyBorder="1" applyAlignment="1">
      <alignment horizontal="center" vertical="center"/>
    </xf>
    <xf numFmtId="176" fontId="5" fillId="0" borderId="104" xfId="0" applyNumberFormat="1" applyFont="1" applyBorder="1" applyAlignment="1">
      <alignment horizontal="center" vertical="center" wrapText="1"/>
    </xf>
    <xf numFmtId="176" fontId="5" fillId="0" borderId="105" xfId="0" applyNumberFormat="1" applyFont="1" applyBorder="1" applyAlignment="1">
      <alignment horizontal="center" vertical="center" wrapText="1"/>
    </xf>
    <xf numFmtId="0" fontId="5" fillId="0" borderId="106" xfId="0" applyNumberFormat="1" applyFont="1" applyBorder="1" applyAlignment="1">
      <alignment vertical="center" wrapText="1"/>
    </xf>
    <xf numFmtId="176" fontId="9" fillId="2" borderId="1" xfId="0" applyNumberFormat="1" applyFont="1" applyFill="1" applyBorder="1" applyAlignment="1" applyProtection="1">
      <alignment vertical="center" shrinkToFit="1"/>
      <protection locked="0"/>
    </xf>
    <xf numFmtId="176" fontId="9" fillId="2" borderId="2" xfId="0" applyNumberFormat="1" applyFont="1" applyFill="1" applyBorder="1" applyAlignment="1" applyProtection="1">
      <alignment vertical="center" shrinkToFit="1"/>
      <protection locked="0"/>
    </xf>
    <xf numFmtId="176" fontId="9" fillId="4" borderId="2" xfId="0" applyNumberFormat="1" applyFont="1" applyFill="1" applyBorder="1" applyAlignment="1">
      <alignment vertical="center" shrinkToFit="1"/>
    </xf>
    <xf numFmtId="176" fontId="9" fillId="4" borderId="9" xfId="0" applyNumberFormat="1" applyFont="1" applyFill="1" applyBorder="1" applyAlignment="1">
      <alignment vertical="center" shrinkToFit="1"/>
    </xf>
    <xf numFmtId="0" fontId="5" fillId="0" borderId="100" xfId="0" applyNumberFormat="1" applyFont="1" applyBorder="1" applyAlignment="1">
      <alignment vertical="center" wrapText="1"/>
    </xf>
    <xf numFmtId="176" fontId="9" fillId="2" borderId="3" xfId="0" applyNumberFormat="1" applyFont="1" applyFill="1" applyBorder="1" applyAlignment="1" applyProtection="1">
      <alignment vertical="center" shrinkToFit="1"/>
      <protection locked="0"/>
    </xf>
    <xf numFmtId="176" fontId="9" fillId="2" borderId="4" xfId="0" applyNumberFormat="1" applyFont="1" applyFill="1" applyBorder="1" applyAlignment="1" applyProtection="1">
      <alignment vertical="center" shrinkToFit="1"/>
      <protection locked="0"/>
    </xf>
    <xf numFmtId="176" fontId="9" fillId="4" borderId="4" xfId="0" applyNumberFormat="1" applyFont="1" applyFill="1" applyBorder="1" applyAlignment="1">
      <alignment vertical="center" shrinkToFit="1"/>
    </xf>
    <xf numFmtId="176" fontId="9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5" fillId="0" borderId="0" xfId="0" applyNumberFormat="1" applyFont="1" applyAlignment="1">
      <alignment vertical="center"/>
    </xf>
    <xf numFmtId="0" fontId="2" fillId="0" borderId="0" xfId="0" applyFont="1"/>
    <xf numFmtId="176" fontId="9" fillId="2" borderId="5" xfId="0" applyNumberFormat="1" applyFont="1" applyFill="1" applyBorder="1" applyAlignment="1" applyProtection="1">
      <alignment vertical="center" shrinkToFit="1"/>
      <protection locked="0"/>
    </xf>
    <xf numFmtId="0" fontId="5" fillId="0" borderId="46" xfId="0" applyNumberFormat="1" applyFont="1" applyBorder="1" applyAlignment="1">
      <alignment vertical="center" wrapText="1"/>
    </xf>
    <xf numFmtId="176" fontId="9" fillId="2" borderId="6" xfId="0" applyNumberFormat="1" applyFont="1" applyFill="1" applyBorder="1" applyAlignment="1" applyProtection="1">
      <alignment vertical="center" shrinkToFit="1"/>
      <protection locked="0"/>
    </xf>
    <xf numFmtId="176" fontId="9" fillId="2" borderId="7" xfId="0" applyNumberFormat="1" applyFont="1" applyFill="1" applyBorder="1" applyAlignment="1" applyProtection="1">
      <alignment vertical="center" shrinkToFit="1"/>
      <protection locked="0"/>
    </xf>
    <xf numFmtId="176" fontId="9" fillId="4" borderId="6" xfId="0" applyNumberFormat="1" applyFont="1" applyFill="1" applyBorder="1" applyAlignment="1">
      <alignment vertical="center" shrinkToFit="1"/>
    </xf>
    <xf numFmtId="176" fontId="9" fillId="4" borderId="12" xfId="0" applyNumberFormat="1" applyFont="1" applyFill="1" applyBorder="1" applyAlignment="1">
      <alignment vertical="center" shrinkToFit="1"/>
    </xf>
    <xf numFmtId="0" fontId="5" fillId="0" borderId="73" xfId="0" applyNumberFormat="1" applyFont="1" applyBorder="1" applyAlignment="1">
      <alignment vertical="center" wrapText="1"/>
    </xf>
    <xf numFmtId="176" fontId="9" fillId="2" borderId="8" xfId="0" applyNumberFormat="1" applyFont="1" applyFill="1" applyBorder="1" applyAlignment="1" applyProtection="1">
      <alignment vertical="center" shrinkToFit="1"/>
      <protection locked="0"/>
    </xf>
    <xf numFmtId="176" fontId="9" fillId="2" borderId="9" xfId="0" applyNumberFormat="1" applyFont="1" applyFill="1" applyBorder="1" applyAlignment="1" applyProtection="1">
      <alignment vertical="center" shrinkToFit="1"/>
      <protection locked="0"/>
    </xf>
    <xf numFmtId="176" fontId="9" fillId="2" borderId="10" xfId="0" applyNumberFormat="1" applyFont="1" applyFill="1" applyBorder="1" applyAlignment="1" applyProtection="1">
      <alignment vertical="center" shrinkToFit="1"/>
      <protection locked="0"/>
    </xf>
    <xf numFmtId="176" fontId="9" fillId="2" borderId="11" xfId="0" applyNumberFormat="1" applyFont="1" applyFill="1" applyBorder="1" applyAlignment="1" applyProtection="1">
      <alignment vertical="center" shrinkToFit="1"/>
      <protection locked="0"/>
    </xf>
    <xf numFmtId="176" fontId="9" fillId="2" borderId="12" xfId="0" applyNumberFormat="1" applyFont="1" applyFill="1" applyBorder="1" applyAlignment="1" applyProtection="1">
      <alignment vertical="center" shrinkToFit="1"/>
      <protection locked="0"/>
    </xf>
    <xf numFmtId="0" fontId="5" fillId="0" borderId="108" xfId="0" applyNumberFormat="1" applyFont="1" applyBorder="1" applyAlignment="1">
      <alignment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110" xfId="0" applyNumberFormat="1" applyFont="1" applyBorder="1" applyAlignment="1">
      <alignment vertical="center" wrapText="1"/>
    </xf>
    <xf numFmtId="176" fontId="9" fillId="2" borderId="13" xfId="0" applyNumberFormat="1" applyFont="1" applyFill="1" applyBorder="1" applyAlignment="1" applyProtection="1">
      <alignment vertical="center" shrinkToFit="1"/>
      <protection locked="0"/>
    </xf>
    <xf numFmtId="0" fontId="5" fillId="0" borderId="101" xfId="0" applyNumberFormat="1" applyFont="1" applyBorder="1" applyAlignment="1">
      <alignment vertical="center" wrapText="1"/>
    </xf>
    <xf numFmtId="176" fontId="9" fillId="2" borderId="14" xfId="0" applyNumberFormat="1" applyFont="1" applyFill="1" applyBorder="1" applyAlignment="1" applyProtection="1">
      <alignment vertical="center" shrinkToFit="1"/>
      <protection locked="0"/>
    </xf>
    <xf numFmtId="0" fontId="5" fillId="0" borderId="108" xfId="0" applyNumberFormat="1" applyFont="1" applyBorder="1" applyAlignment="1">
      <alignment vertical="center" wrapText="1"/>
    </xf>
    <xf numFmtId="0" fontId="5" fillId="0" borderId="111" xfId="0" applyNumberFormat="1" applyFont="1" applyBorder="1" applyAlignment="1">
      <alignment vertical="center" wrapText="1"/>
    </xf>
    <xf numFmtId="0" fontId="5" fillId="0" borderId="71" xfId="0" applyNumberFormat="1" applyFont="1" applyBorder="1" applyAlignment="1">
      <alignment vertical="center" wrapText="1"/>
    </xf>
    <xf numFmtId="0" fontId="5" fillId="0" borderId="88" xfId="0" applyNumberFormat="1" applyFont="1" applyBorder="1" applyAlignment="1">
      <alignment vertical="center" wrapText="1"/>
    </xf>
    <xf numFmtId="176" fontId="9" fillId="2" borderId="15" xfId="0" applyNumberFormat="1" applyFont="1" applyFill="1" applyBorder="1" applyAlignment="1" applyProtection="1">
      <alignment vertical="center" shrinkToFit="1"/>
      <protection locked="0"/>
    </xf>
    <xf numFmtId="0" fontId="9" fillId="0" borderId="0" xfId="2" applyFont="1" applyAlignment="1">
      <alignment vertical="center"/>
    </xf>
    <xf numFmtId="176" fontId="9" fillId="4" borderId="1" xfId="0" applyNumberFormat="1" applyFont="1" applyFill="1" applyBorder="1" applyAlignment="1">
      <alignment vertical="center" shrinkToFit="1"/>
    </xf>
    <xf numFmtId="176" fontId="9" fillId="4" borderId="14" xfId="0" applyNumberFormat="1" applyFont="1" applyFill="1" applyBorder="1" applyAlignment="1">
      <alignment vertical="center" shrinkToFit="1"/>
    </xf>
    <xf numFmtId="0" fontId="5" fillId="0" borderId="101" xfId="0" applyNumberFormat="1" applyFont="1" applyBorder="1" applyAlignment="1">
      <alignment vertical="center" wrapText="1"/>
    </xf>
    <xf numFmtId="0" fontId="5" fillId="0" borderId="0" xfId="0" applyNumberFormat="1" applyFont="1" applyAlignment="1" applyProtection="1">
      <alignment vertical="center"/>
      <protection locked="0"/>
    </xf>
    <xf numFmtId="176" fontId="9" fillId="4" borderId="10" xfId="0" applyNumberFormat="1" applyFont="1" applyFill="1" applyBorder="1" applyAlignment="1">
      <alignment vertical="center" shrinkToFit="1"/>
    </xf>
    <xf numFmtId="0" fontId="9" fillId="5" borderId="0" xfId="3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5" fillId="2" borderId="50" xfId="3" applyFont="1" applyFill="1" applyBorder="1" applyAlignment="1">
      <alignment horizontal="center" vertical="center"/>
    </xf>
    <xf numFmtId="0" fontId="5" fillId="2" borderId="37" xfId="3" applyFont="1" applyFill="1" applyBorder="1" applyAlignment="1">
      <alignment horizontal="center" vertical="center"/>
    </xf>
    <xf numFmtId="0" fontId="5" fillId="2" borderId="35" xfId="3" applyFont="1" applyFill="1" applyBorder="1" applyAlignment="1">
      <alignment horizontal="center" vertical="center"/>
    </xf>
    <xf numFmtId="0" fontId="5" fillId="2" borderId="68" xfId="3" applyFont="1" applyFill="1" applyBorder="1" applyAlignment="1">
      <alignment horizontal="center" vertical="center"/>
    </xf>
    <xf numFmtId="176" fontId="9" fillId="2" borderId="14" xfId="3" applyNumberFormat="1" applyFont="1" applyFill="1" applyBorder="1" applyAlignment="1" applyProtection="1">
      <alignment horizontal="right" vertical="center" shrinkToFit="1"/>
      <protection locked="0"/>
    </xf>
    <xf numFmtId="176" fontId="9" fillId="4" borderId="14" xfId="3" applyNumberFormat="1" applyFont="1" applyFill="1" applyBorder="1" applyAlignment="1">
      <alignment horizontal="right" vertical="center" shrinkToFit="1"/>
    </xf>
    <xf numFmtId="0" fontId="9" fillId="2" borderId="127" xfId="0" applyFont="1" applyFill="1" applyBorder="1" applyAlignment="1">
      <alignment vertical="center" shrinkToFit="1"/>
    </xf>
    <xf numFmtId="176" fontId="9" fillId="4" borderId="89" xfId="3" applyNumberFormat="1" applyFont="1" applyFill="1" applyBorder="1" applyAlignment="1">
      <alignment horizontal="right" vertical="center" shrinkToFit="1"/>
    </xf>
    <xf numFmtId="176" fontId="9" fillId="4" borderId="87" xfId="3" applyNumberFormat="1" applyFont="1" applyFill="1" applyBorder="1" applyAlignment="1">
      <alignment horizontal="right" vertical="center" shrinkToFit="1"/>
    </xf>
    <xf numFmtId="0" fontId="5" fillId="2" borderId="90" xfId="3" applyFont="1" applyFill="1" applyBorder="1" applyAlignment="1">
      <alignment horizontal="center" vertical="center"/>
    </xf>
    <xf numFmtId="176" fontId="9" fillId="4" borderId="20" xfId="3" applyNumberFormat="1" applyFont="1" applyFill="1" applyBorder="1" applyAlignment="1">
      <alignment horizontal="right" vertical="center" shrinkToFit="1"/>
    </xf>
    <xf numFmtId="176" fontId="9" fillId="4" borderId="70" xfId="3" applyNumberFormat="1" applyFont="1" applyFill="1" applyBorder="1" applyAlignment="1">
      <alignment horizontal="right" vertical="center" shrinkToFit="1"/>
    </xf>
    <xf numFmtId="0" fontId="9" fillId="4" borderId="128" xfId="0" applyFont="1" applyFill="1" applyBorder="1" applyAlignment="1">
      <alignment vertical="center" shrinkToFit="1"/>
    </xf>
    <xf numFmtId="176" fontId="9" fillId="4" borderId="7" xfId="3" applyNumberFormat="1" applyFont="1" applyFill="1" applyBorder="1" applyAlignment="1">
      <alignment horizontal="right" vertical="center" shrinkToFit="1"/>
    </xf>
    <xf numFmtId="176" fontId="9" fillId="4" borderId="72" xfId="3" applyNumberFormat="1" applyFont="1" applyFill="1" applyBorder="1" applyAlignment="1">
      <alignment horizontal="right" vertical="center" shrinkToFit="1"/>
    </xf>
    <xf numFmtId="0" fontId="13" fillId="2" borderId="0" xfId="3" applyFont="1" applyFill="1" applyAlignment="1">
      <alignment vertical="center"/>
    </xf>
    <xf numFmtId="0" fontId="5" fillId="2" borderId="49" xfId="3" applyFont="1" applyFill="1" applyBorder="1" applyAlignment="1">
      <alignment horizontal="center" vertical="center"/>
    </xf>
    <xf numFmtId="0" fontId="9" fillId="2" borderId="129" xfId="0" applyFont="1" applyFill="1" applyBorder="1" applyAlignment="1">
      <alignment vertical="center" shrinkToFit="1"/>
    </xf>
    <xf numFmtId="0" fontId="9" fillId="2" borderId="130" xfId="0" applyFont="1" applyFill="1" applyBorder="1" applyAlignment="1">
      <alignment vertical="center" shrinkToFit="1"/>
    </xf>
    <xf numFmtId="0" fontId="9" fillId="4" borderId="131" xfId="0" applyFont="1" applyFill="1" applyBorder="1" applyAlignment="1">
      <alignment vertical="center" shrinkToFit="1"/>
    </xf>
    <xf numFmtId="176" fontId="9" fillId="4" borderId="91" xfId="3" applyNumberFormat="1" applyFont="1" applyFill="1" applyBorder="1" applyAlignment="1">
      <alignment horizontal="right" vertical="center" shrinkToFit="1"/>
    </xf>
    <xf numFmtId="0" fontId="5" fillId="2" borderId="15" xfId="3" applyFont="1" applyFill="1" applyBorder="1" applyAlignment="1">
      <alignment horizontal="center" vertical="center"/>
    </xf>
    <xf numFmtId="0" fontId="5" fillId="2" borderId="92" xfId="3" applyFont="1" applyFill="1" applyBorder="1" applyAlignment="1">
      <alignment horizontal="center" vertical="center"/>
    </xf>
    <xf numFmtId="0" fontId="5" fillId="2" borderId="93" xfId="3" applyFont="1" applyFill="1" applyBorder="1" applyAlignment="1">
      <alignment horizontal="center" vertical="center"/>
    </xf>
    <xf numFmtId="0" fontId="5" fillId="2" borderId="94" xfId="3" applyFont="1" applyFill="1" applyBorder="1" applyAlignment="1">
      <alignment horizontal="left" vertical="center"/>
    </xf>
    <xf numFmtId="176" fontId="9" fillId="4" borderId="43" xfId="3" applyNumberFormat="1" applyFont="1" applyFill="1" applyBorder="1" applyAlignment="1">
      <alignment horizontal="right" vertical="center" shrinkToFit="1"/>
    </xf>
    <xf numFmtId="176" fontId="9" fillId="4" borderId="95" xfId="3" applyNumberFormat="1" applyFont="1" applyFill="1" applyBorder="1" applyAlignment="1">
      <alignment horizontal="right" vertical="center" shrinkToFit="1"/>
    </xf>
    <xf numFmtId="176" fontId="9" fillId="4" borderId="96" xfId="3" applyNumberFormat="1" applyFont="1" applyFill="1" applyBorder="1" applyAlignment="1">
      <alignment horizontal="right" vertical="center" shrinkToFit="1"/>
    </xf>
    <xf numFmtId="176" fontId="9" fillId="4" borderId="97" xfId="3" applyNumberFormat="1" applyFont="1" applyFill="1" applyBorder="1" applyAlignment="1">
      <alignment horizontal="right" vertical="center" shrinkToFit="1"/>
    </xf>
    <xf numFmtId="176" fontId="9" fillId="4" borderId="98" xfId="3" applyNumberFormat="1" applyFont="1" applyFill="1" applyBorder="1" applyAlignment="1">
      <alignment horizontal="right" vertical="center" shrinkToFit="1"/>
    </xf>
    <xf numFmtId="0" fontId="5" fillId="2" borderId="68" xfId="3" applyFont="1" applyFill="1" applyBorder="1" applyAlignment="1">
      <alignment horizontal="left" vertical="center" indent="1"/>
    </xf>
    <xf numFmtId="176" fontId="9" fillId="2" borderId="5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7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8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9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16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20" xfId="3" applyNumberFormat="1" applyFont="1" applyFill="1" applyBorder="1" applyAlignment="1" applyProtection="1">
      <alignment horizontal="right" vertical="center" shrinkToFit="1"/>
      <protection locked="0"/>
    </xf>
    <xf numFmtId="176" fontId="9" fillId="2" borderId="21" xfId="3" applyNumberFormat="1" applyFont="1" applyFill="1" applyBorder="1" applyAlignment="1" applyProtection="1">
      <alignment horizontal="right" vertical="center" shrinkToFit="1"/>
      <protection locked="0"/>
    </xf>
    <xf numFmtId="176" fontId="9" fillId="4" borderId="99" xfId="3" applyNumberFormat="1" applyFont="1" applyFill="1" applyBorder="1" applyAlignment="1">
      <alignment horizontal="right" vertical="center" shrinkToFit="1"/>
    </xf>
    <xf numFmtId="0" fontId="5" fillId="2" borderId="90" xfId="3" applyFont="1" applyFill="1" applyBorder="1" applyAlignment="1">
      <alignment horizontal="left" vertical="center" indent="1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5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49" xfId="2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73" xfId="2" applyFont="1" applyBorder="1" applyAlignment="1">
      <alignment vertical="center"/>
    </xf>
    <xf numFmtId="0" fontId="5" fillId="0" borderId="74" xfId="2" applyFont="1" applyBorder="1" applyAlignment="1">
      <alignment vertical="center"/>
    </xf>
    <xf numFmtId="176" fontId="9" fillId="4" borderId="75" xfId="2" applyNumberFormat="1" applyFont="1" applyFill="1" applyBorder="1" applyAlignment="1">
      <alignment vertical="center" shrinkToFit="1"/>
    </xf>
    <xf numFmtId="176" fontId="9" fillId="4" borderId="76" xfId="2" applyNumberFormat="1" applyFont="1" applyFill="1" applyBorder="1" applyAlignment="1">
      <alignment vertical="center" shrinkToFit="1"/>
    </xf>
    <xf numFmtId="176" fontId="9" fillId="4" borderId="53" xfId="2" applyNumberFormat="1" applyFont="1" applyFill="1" applyBorder="1" applyAlignment="1">
      <alignment vertical="center" shrinkToFit="1"/>
    </xf>
    <xf numFmtId="0" fontId="9" fillId="4" borderId="129" xfId="0" applyFont="1" applyFill="1" applyBorder="1" applyAlignment="1">
      <alignment vertical="center" shrinkToFit="1"/>
    </xf>
    <xf numFmtId="176" fontId="9" fillId="4" borderId="54" xfId="2" applyNumberFormat="1" applyFont="1" applyFill="1" applyBorder="1" applyAlignment="1">
      <alignment vertical="center" shrinkToFit="1"/>
    </xf>
    <xf numFmtId="0" fontId="5" fillId="0" borderId="48" xfId="2" applyFont="1" applyBorder="1" applyAlignment="1">
      <alignment vertical="center"/>
    </xf>
    <xf numFmtId="0" fontId="5" fillId="0" borderId="61" xfId="2" applyFont="1" applyBorder="1" applyAlignment="1">
      <alignment vertical="center"/>
    </xf>
    <xf numFmtId="0" fontId="5" fillId="0" borderId="0" xfId="2" applyFont="1" applyAlignment="1">
      <alignment vertical="center"/>
    </xf>
    <xf numFmtId="176" fontId="9" fillId="4" borderId="22" xfId="2" applyNumberFormat="1" applyFont="1" applyFill="1" applyBorder="1" applyAlignment="1">
      <alignment vertical="center" shrinkToFit="1"/>
    </xf>
    <xf numFmtId="176" fontId="9" fillId="4" borderId="23" xfId="2" applyNumberFormat="1" applyFont="1" applyFill="1" applyBorder="1" applyAlignment="1">
      <alignment vertical="center" shrinkToFit="1"/>
    </xf>
    <xf numFmtId="176" fontId="9" fillId="4" borderId="66" xfId="2" applyNumberFormat="1" applyFont="1" applyFill="1" applyBorder="1" applyAlignment="1">
      <alignment vertical="center" shrinkToFit="1"/>
    </xf>
    <xf numFmtId="0" fontId="9" fillId="4" borderId="130" xfId="0" applyFont="1" applyFill="1" applyBorder="1" applyAlignment="1">
      <alignment vertical="center" shrinkToFit="1"/>
    </xf>
    <xf numFmtId="176" fontId="9" fillId="4" borderId="67" xfId="2" applyNumberFormat="1" applyFont="1" applyFill="1" applyBorder="1" applyAlignment="1">
      <alignment vertical="center" shrinkToFit="1"/>
    </xf>
    <xf numFmtId="0" fontId="5" fillId="0" borderId="77" xfId="2" applyFont="1" applyBorder="1" applyAlignment="1">
      <alignment vertical="center"/>
    </xf>
    <xf numFmtId="0" fontId="5" fillId="0" borderId="55" xfId="2" applyFont="1" applyBorder="1" applyAlignment="1">
      <alignment vertical="center" shrinkToFit="1"/>
    </xf>
    <xf numFmtId="176" fontId="9" fillId="2" borderId="22" xfId="2" applyNumberFormat="1" applyFont="1" applyFill="1" applyBorder="1" applyAlignment="1" applyProtection="1">
      <alignment vertical="center" shrinkToFit="1"/>
      <protection locked="0"/>
    </xf>
    <xf numFmtId="176" fontId="9" fillId="2" borderId="23" xfId="2" applyNumberFormat="1" applyFont="1" applyFill="1" applyBorder="1" applyAlignment="1" applyProtection="1">
      <alignment vertical="center" shrinkToFit="1"/>
      <protection locked="0"/>
    </xf>
    <xf numFmtId="0" fontId="9" fillId="0" borderId="130" xfId="0" applyFont="1" applyBorder="1" applyAlignment="1">
      <alignment vertical="center" shrinkToFit="1"/>
    </xf>
    <xf numFmtId="0" fontId="5" fillId="0" borderId="32" xfId="2" applyFont="1" applyBorder="1" applyAlignment="1">
      <alignment vertical="center"/>
    </xf>
    <xf numFmtId="0" fontId="5" fillId="0" borderId="78" xfId="2" applyFont="1" applyBorder="1" applyAlignment="1">
      <alignment vertical="center" shrinkToFit="1"/>
    </xf>
    <xf numFmtId="0" fontId="5" fillId="0" borderId="78" xfId="2" applyFont="1" applyBorder="1" applyAlignment="1">
      <alignment vertical="center"/>
    </xf>
    <xf numFmtId="0" fontId="5" fillId="0" borderId="79" xfId="2" applyFont="1" applyBorder="1" applyAlignment="1">
      <alignment vertical="center" shrinkToFit="1"/>
    </xf>
    <xf numFmtId="176" fontId="9" fillId="2" borderId="22" xfId="2" applyNumberFormat="1" applyFont="1" applyFill="1" applyBorder="1" applyAlignment="1" applyProtection="1">
      <alignment vertical="center" shrinkToFit="1"/>
      <protection locked="0"/>
    </xf>
    <xf numFmtId="176" fontId="9" fillId="2" borderId="23" xfId="2" applyNumberFormat="1" applyFont="1" applyFill="1" applyBorder="1" applyAlignment="1" applyProtection="1">
      <alignment vertical="center" shrinkToFit="1"/>
      <protection locked="0"/>
    </xf>
    <xf numFmtId="0" fontId="5" fillId="0" borderId="80" xfId="2" applyFont="1" applyBorder="1" applyAlignment="1">
      <alignment vertical="center"/>
    </xf>
    <xf numFmtId="176" fontId="9" fillId="3" borderId="22" xfId="2" applyNumberFormat="1" applyFont="1" applyFill="1" applyBorder="1" applyAlignment="1" applyProtection="1">
      <alignment vertical="center" shrinkToFit="1"/>
      <protection locked="0"/>
    </xf>
    <xf numFmtId="176" fontId="9" fillId="3" borderId="23" xfId="2" applyNumberFormat="1" applyFont="1" applyFill="1" applyBorder="1" applyAlignment="1" applyProtection="1">
      <alignment vertical="center" shrinkToFit="1"/>
      <protection locked="0"/>
    </xf>
    <xf numFmtId="0" fontId="9" fillId="3" borderId="130" xfId="0" applyFont="1" applyFill="1" applyBorder="1" applyAlignment="1">
      <alignment vertical="center" shrinkToFit="1"/>
    </xf>
    <xf numFmtId="0" fontId="5" fillId="0" borderId="81" xfId="2" applyFont="1" applyBorder="1" applyAlignment="1">
      <alignment vertical="center"/>
    </xf>
    <xf numFmtId="176" fontId="9" fillId="3" borderId="22" xfId="2" applyNumberFormat="1" applyFont="1" applyFill="1" applyBorder="1" applyAlignment="1" applyProtection="1">
      <alignment vertical="center" shrinkToFit="1"/>
      <protection locked="0"/>
    </xf>
    <xf numFmtId="176" fontId="9" fillId="3" borderId="23" xfId="2" applyNumberFormat="1" applyFont="1" applyFill="1" applyBorder="1" applyAlignment="1" applyProtection="1">
      <alignment vertical="center" shrinkToFit="1"/>
      <protection locked="0"/>
    </xf>
    <xf numFmtId="0" fontId="5" fillId="0" borderId="28" xfId="2" applyFont="1" applyBorder="1" applyAlignment="1">
      <alignment vertical="center"/>
    </xf>
    <xf numFmtId="0" fontId="5" fillId="0" borderId="82" xfId="2" applyFont="1" applyBorder="1" applyAlignment="1">
      <alignment vertical="center"/>
    </xf>
    <xf numFmtId="0" fontId="5" fillId="0" borderId="62" xfId="2" applyFont="1" applyBorder="1" applyAlignment="1">
      <alignment vertical="center"/>
    </xf>
    <xf numFmtId="0" fontId="5" fillId="0" borderId="31" xfId="2" applyFont="1" applyBorder="1" applyAlignment="1">
      <alignment vertical="center"/>
    </xf>
    <xf numFmtId="176" fontId="9" fillId="2" borderId="24" xfId="2" applyNumberFormat="1" applyFont="1" applyFill="1" applyBorder="1" applyAlignment="1" applyProtection="1">
      <alignment vertical="center" shrinkToFit="1"/>
      <protection locked="0"/>
    </xf>
    <xf numFmtId="176" fontId="9" fillId="2" borderId="25" xfId="2" applyNumberFormat="1" applyFont="1" applyFill="1" applyBorder="1" applyAlignment="1" applyProtection="1">
      <alignment vertical="center" shrinkToFit="1"/>
      <protection locked="0"/>
    </xf>
    <xf numFmtId="176" fontId="9" fillId="4" borderId="63" xfId="2" applyNumberFormat="1" applyFont="1" applyFill="1" applyBorder="1" applyAlignment="1">
      <alignment vertical="center" shrinkToFit="1"/>
    </xf>
    <xf numFmtId="176" fontId="9" fillId="4" borderId="64" xfId="2" applyNumberFormat="1" applyFont="1" applyFill="1" applyBorder="1" applyAlignment="1">
      <alignment vertical="center" shrinkToFit="1"/>
    </xf>
    <xf numFmtId="0" fontId="5" fillId="0" borderId="83" xfId="2" applyFont="1" applyBorder="1" applyAlignment="1">
      <alignment vertical="center"/>
    </xf>
    <xf numFmtId="0" fontId="5" fillId="0" borderId="65" xfId="2" applyFont="1" applyBorder="1" applyAlignment="1">
      <alignment vertical="center"/>
    </xf>
    <xf numFmtId="0" fontId="5" fillId="0" borderId="84" xfId="2" applyFont="1" applyBorder="1" applyAlignment="1">
      <alignment vertical="center"/>
    </xf>
    <xf numFmtId="176" fontId="9" fillId="2" borderId="26" xfId="2" applyNumberFormat="1" applyFont="1" applyFill="1" applyBorder="1" applyAlignment="1" applyProtection="1">
      <alignment vertical="center" shrinkToFit="1"/>
      <protection locked="0"/>
    </xf>
    <xf numFmtId="176" fontId="9" fillId="2" borderId="27" xfId="2" applyNumberFormat="1" applyFont="1" applyFill="1" applyBorder="1" applyAlignment="1" applyProtection="1">
      <alignment vertical="center" shrinkToFit="1"/>
      <protection locked="0"/>
    </xf>
    <xf numFmtId="176" fontId="9" fillId="4" borderId="56" xfId="2" applyNumberFormat="1" applyFont="1" applyFill="1" applyBorder="1" applyAlignment="1">
      <alignment vertical="center" shrinkToFit="1"/>
    </xf>
    <xf numFmtId="176" fontId="9" fillId="4" borderId="26" xfId="2" applyNumberFormat="1" applyFont="1" applyFill="1" applyBorder="1" applyAlignment="1">
      <alignment vertical="center" shrinkToFit="1"/>
    </xf>
    <xf numFmtId="176" fontId="9" fillId="4" borderId="57" xfId="2" applyNumberFormat="1" applyFont="1" applyFill="1" applyBorder="1" applyAlignment="1">
      <alignment vertical="center" shrinkToFit="1"/>
    </xf>
    <xf numFmtId="0" fontId="5" fillId="0" borderId="55" xfId="2" applyFont="1" applyBorder="1" applyAlignment="1">
      <alignment vertical="center"/>
    </xf>
    <xf numFmtId="0" fontId="5" fillId="0" borderId="68" xfId="2" applyFont="1" applyBorder="1" applyAlignment="1">
      <alignment vertical="center"/>
    </xf>
    <xf numFmtId="176" fontId="9" fillId="4" borderId="24" xfId="2" applyNumberFormat="1" applyFont="1" applyFill="1" applyBorder="1" applyAlignment="1">
      <alignment vertical="center" shrinkToFit="1"/>
    </xf>
    <xf numFmtId="0" fontId="5" fillId="0" borderId="79" xfId="2" applyFont="1" applyBorder="1" applyAlignment="1">
      <alignment vertical="center"/>
    </xf>
    <xf numFmtId="0" fontId="5" fillId="0" borderId="85" xfId="2" applyFont="1" applyBorder="1" applyAlignment="1">
      <alignment vertical="center"/>
    </xf>
    <xf numFmtId="0" fontId="5" fillId="0" borderId="86" xfId="2" applyFont="1" applyBorder="1" applyAlignment="1">
      <alignment vertical="center"/>
    </xf>
    <xf numFmtId="176" fontId="9" fillId="4" borderId="7" xfId="2" applyNumberFormat="1" applyFont="1" applyFill="1" applyBorder="1" applyAlignment="1">
      <alignment vertical="center" shrinkToFit="1"/>
    </xf>
    <xf numFmtId="176" fontId="9" fillId="4" borderId="70" xfId="2" applyNumberFormat="1" applyFont="1" applyFill="1" applyBorder="1" applyAlignment="1">
      <alignment vertical="center" shrinkToFit="1"/>
    </xf>
    <xf numFmtId="176" fontId="9" fillId="4" borderId="72" xfId="2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9" fillId="0" borderId="22" xfId="2" applyNumberFormat="1" applyFont="1" applyBorder="1" applyAlignment="1" applyProtection="1">
      <alignment vertical="center" shrinkToFit="1"/>
      <protection locked="0"/>
    </xf>
    <xf numFmtId="176" fontId="9" fillId="0" borderId="23" xfId="2" applyNumberFormat="1" applyFont="1" applyBorder="1" applyAlignment="1" applyProtection="1">
      <alignment vertical="center" shrinkToFit="1"/>
      <protection locked="0"/>
    </xf>
    <xf numFmtId="176" fontId="9" fillId="4" borderId="74" xfId="2" applyNumberFormat="1" applyFont="1" applyFill="1" applyBorder="1" applyAlignment="1">
      <alignment vertical="center" shrinkToFit="1"/>
    </xf>
    <xf numFmtId="176" fontId="9" fillId="2" borderId="28" xfId="2" applyNumberFormat="1" applyFont="1" applyFill="1" applyBorder="1" applyAlignment="1" applyProtection="1">
      <alignment vertical="center" shrinkToFit="1"/>
      <protection locked="0"/>
    </xf>
    <xf numFmtId="176" fontId="9" fillId="2" borderId="0" xfId="2" applyNumberFormat="1" applyFont="1" applyFill="1" applyAlignment="1" applyProtection="1">
      <alignment vertical="center" shrinkToFit="1"/>
      <protection locked="0"/>
    </xf>
    <xf numFmtId="176" fontId="9" fillId="2" borderId="29" xfId="2" applyNumberFormat="1" applyFont="1" applyFill="1" applyBorder="1" applyAlignment="1" applyProtection="1">
      <alignment vertical="center" shrinkToFit="1"/>
      <protection locked="0"/>
    </xf>
    <xf numFmtId="176" fontId="9" fillId="2" borderId="30" xfId="2" applyNumberFormat="1" applyFont="1" applyFill="1" applyBorder="1" applyAlignment="1" applyProtection="1">
      <alignment vertical="center" shrinkToFit="1"/>
      <protection locked="0"/>
    </xf>
    <xf numFmtId="176" fontId="9" fillId="2" borderId="31" xfId="2" applyNumberFormat="1" applyFont="1" applyFill="1" applyBorder="1" applyAlignment="1" applyProtection="1">
      <alignment vertical="center" shrinkToFit="1"/>
      <protection locked="0"/>
    </xf>
    <xf numFmtId="176" fontId="9" fillId="4" borderId="6" xfId="2" applyNumberFormat="1" applyFont="1" applyFill="1" applyBorder="1" applyAlignment="1">
      <alignment vertical="center" shrinkToFit="1"/>
    </xf>
    <xf numFmtId="176" fontId="9" fillId="4" borderId="71" xfId="2" applyNumberFormat="1" applyFont="1" applyFill="1" applyBorder="1" applyAlignment="1">
      <alignment vertical="center" shrinkToFit="1"/>
    </xf>
    <xf numFmtId="0" fontId="5" fillId="0" borderId="132" xfId="0" applyFont="1" applyBorder="1" applyAlignment="1">
      <alignment vertical="center"/>
    </xf>
    <xf numFmtId="0" fontId="5" fillId="4" borderId="132" xfId="0" applyFont="1" applyFill="1" applyBorder="1" applyAlignment="1">
      <alignment vertical="center"/>
    </xf>
    <xf numFmtId="0" fontId="5" fillId="0" borderId="133" xfId="0" applyFont="1" applyBorder="1" applyAlignment="1">
      <alignment vertical="center"/>
    </xf>
    <xf numFmtId="0" fontId="5" fillId="4" borderId="134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50" xfId="2" applyFont="1" applyBorder="1" applyAlignment="1">
      <alignment horizontal="center" vertical="center"/>
    </xf>
    <xf numFmtId="0" fontId="5" fillId="0" borderId="41" xfId="2" applyFont="1" applyBorder="1" applyAlignment="1">
      <alignment vertical="center"/>
    </xf>
    <xf numFmtId="0" fontId="5" fillId="0" borderId="41" xfId="2" applyFont="1" applyBorder="1" applyAlignment="1">
      <alignment vertical="center" wrapText="1"/>
    </xf>
    <xf numFmtId="0" fontId="5" fillId="0" borderId="15" xfId="2" applyFont="1" applyBorder="1" applyAlignment="1">
      <alignment vertical="center"/>
    </xf>
    <xf numFmtId="0" fontId="5" fillId="0" borderId="0" xfId="2" applyFont="1" applyAlignment="1">
      <alignment vertical="center" wrapText="1"/>
    </xf>
    <xf numFmtId="176" fontId="9" fillId="4" borderId="27" xfId="2" applyNumberFormat="1" applyFont="1" applyFill="1" applyBorder="1" applyAlignment="1">
      <alignment vertical="center" shrinkToFit="1"/>
    </xf>
    <xf numFmtId="176" fontId="9" fillId="4" borderId="28" xfId="2" applyNumberFormat="1" applyFont="1" applyFill="1" applyBorder="1" applyAlignment="1">
      <alignment vertical="center" shrinkToFit="1"/>
    </xf>
    <xf numFmtId="0" fontId="5" fillId="0" borderId="29" xfId="2" applyFont="1" applyBorder="1" applyAlignment="1">
      <alignment vertical="center"/>
    </xf>
    <xf numFmtId="176" fontId="9" fillId="2" borderId="32" xfId="2" applyNumberFormat="1" applyFont="1" applyFill="1" applyBorder="1" applyAlignment="1" applyProtection="1">
      <alignment vertical="center" shrinkToFit="1"/>
      <protection locked="0"/>
    </xf>
    <xf numFmtId="0" fontId="5" fillId="0" borderId="58" xfId="2" applyFont="1" applyBorder="1" applyAlignment="1">
      <alignment vertical="center"/>
    </xf>
    <xf numFmtId="176" fontId="9" fillId="2" borderId="33" xfId="2" applyNumberFormat="1" applyFont="1" applyFill="1" applyBorder="1" applyAlignment="1" applyProtection="1">
      <alignment vertical="center" shrinkToFit="1"/>
      <protection locked="0"/>
    </xf>
    <xf numFmtId="176" fontId="9" fillId="4" borderId="59" xfId="2" applyNumberFormat="1" applyFont="1" applyFill="1" applyBorder="1" applyAlignment="1">
      <alignment vertical="center" shrinkToFit="1"/>
    </xf>
    <xf numFmtId="176" fontId="9" fillId="2" borderId="34" xfId="2" applyNumberFormat="1" applyFont="1" applyFill="1" applyBorder="1" applyAlignment="1" applyProtection="1">
      <alignment vertical="center" shrinkToFit="1"/>
      <protection locked="0"/>
    </xf>
    <xf numFmtId="176" fontId="9" fillId="4" borderId="60" xfId="2" applyNumberFormat="1" applyFont="1" applyFill="1" applyBorder="1" applyAlignment="1">
      <alignment vertical="center" shrinkToFit="1"/>
    </xf>
    <xf numFmtId="0" fontId="5" fillId="0" borderId="61" xfId="2" applyFont="1" applyBorder="1" applyAlignment="1">
      <alignment vertical="center" shrinkToFit="1"/>
    </xf>
    <xf numFmtId="0" fontId="5" fillId="0" borderId="14" xfId="2" applyFont="1" applyBorder="1" applyAlignment="1">
      <alignment vertical="center"/>
    </xf>
    <xf numFmtId="0" fontId="5" fillId="0" borderId="62" xfId="2" applyFont="1" applyBorder="1" applyAlignment="1">
      <alignment vertical="center" shrinkToFit="1"/>
    </xf>
    <xf numFmtId="0" fontId="5" fillId="0" borderId="33" xfId="2" applyFont="1" applyBorder="1" applyAlignment="1">
      <alignment vertical="center"/>
    </xf>
    <xf numFmtId="0" fontId="5" fillId="0" borderId="65" xfId="2" applyFont="1" applyBorder="1" applyAlignment="1">
      <alignment vertical="center" wrapText="1"/>
    </xf>
    <xf numFmtId="0" fontId="9" fillId="0" borderId="133" xfId="0" applyFont="1" applyBorder="1" applyAlignment="1">
      <alignment vertical="center" shrinkToFit="1"/>
    </xf>
    <xf numFmtId="0" fontId="5" fillId="0" borderId="135" xfId="2" applyFont="1" applyBorder="1" applyAlignment="1">
      <alignment vertical="center"/>
    </xf>
    <xf numFmtId="0" fontId="5" fillId="0" borderId="40" xfId="2" applyFont="1" applyBorder="1" applyAlignment="1">
      <alignment vertical="center"/>
    </xf>
    <xf numFmtId="0" fontId="5" fillId="0" borderId="40" xfId="2" applyFont="1" applyBorder="1" applyAlignment="1">
      <alignment vertical="center" wrapText="1"/>
    </xf>
    <xf numFmtId="0" fontId="14" fillId="0" borderId="0" xfId="1" applyFont="1" applyAlignment="1">
      <alignment vertical="center"/>
    </xf>
    <xf numFmtId="0" fontId="1" fillId="0" borderId="0" xfId="0" applyFont="1" applyAlignment="1">
      <alignment vertical="top"/>
    </xf>
    <xf numFmtId="0" fontId="5" fillId="0" borderId="43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176" fontId="9" fillId="4" borderId="35" xfId="2" applyNumberFormat="1" applyFont="1" applyFill="1" applyBorder="1" applyAlignment="1">
      <alignment vertical="center" shrinkToFit="1"/>
    </xf>
    <xf numFmtId="176" fontId="9" fillId="4" borderId="47" xfId="2" applyNumberFormat="1" applyFont="1" applyFill="1" applyBorder="1" applyAlignment="1">
      <alignment vertical="center" shrinkToFit="1"/>
    </xf>
    <xf numFmtId="176" fontId="4" fillId="0" borderId="0" xfId="0" applyNumberFormat="1" applyFont="1" applyAlignment="1">
      <alignment vertical="center"/>
    </xf>
    <xf numFmtId="176" fontId="9" fillId="4" borderId="6" xfId="2" applyNumberFormat="1" applyFont="1" applyFill="1" applyBorder="1" applyAlignment="1">
      <alignment vertical="center" shrinkToFit="1"/>
    </xf>
    <xf numFmtId="176" fontId="9" fillId="4" borderId="12" xfId="2" applyNumberFormat="1" applyFont="1" applyFill="1" applyBorder="1" applyAlignment="1">
      <alignment vertical="center" shrinkToFit="1"/>
    </xf>
    <xf numFmtId="0" fontId="5" fillId="0" borderId="0" xfId="2" applyFont="1" applyAlignment="1">
      <alignment vertical="center"/>
    </xf>
    <xf numFmtId="176" fontId="9" fillId="2" borderId="35" xfId="2" applyNumberFormat="1" applyFont="1" applyFill="1" applyBorder="1" applyAlignment="1" applyProtection="1">
      <alignment vertical="center" shrinkToFit="1"/>
      <protection locked="0"/>
    </xf>
    <xf numFmtId="176" fontId="4" fillId="0" borderId="0" xfId="2" applyNumberFormat="1" applyFont="1" applyAlignment="1">
      <alignment vertical="center"/>
    </xf>
    <xf numFmtId="176" fontId="9" fillId="2" borderId="6" xfId="2" applyNumberFormat="1" applyFont="1" applyFill="1" applyBorder="1" applyAlignment="1" applyProtection="1">
      <alignment vertical="center" shrinkToFit="1"/>
      <protection locked="0"/>
    </xf>
    <xf numFmtId="176" fontId="9" fillId="4" borderId="35" xfId="2" applyNumberFormat="1" applyFont="1" applyFill="1" applyBorder="1" applyAlignment="1">
      <alignment vertical="center" shrinkToFit="1"/>
    </xf>
    <xf numFmtId="0" fontId="5" fillId="0" borderId="0" xfId="0" applyFont="1" applyAlignment="1">
      <alignment vertical="center"/>
    </xf>
    <xf numFmtId="176" fontId="9" fillId="4" borderId="36" xfId="2" applyNumberFormat="1" applyFont="1" applyFill="1" applyBorder="1" applyAlignment="1">
      <alignment vertical="center" shrinkToFit="1"/>
    </xf>
    <xf numFmtId="0" fontId="5" fillId="0" borderId="42" xfId="2" applyFont="1" applyBorder="1" applyAlignment="1">
      <alignment horizontal="center" vertical="center"/>
    </xf>
    <xf numFmtId="176" fontId="9" fillId="2" borderId="36" xfId="2" applyNumberFormat="1" applyFont="1" applyFill="1" applyBorder="1" applyAlignment="1" applyProtection="1">
      <alignment vertical="center" shrinkToFit="1"/>
      <protection locked="0"/>
    </xf>
    <xf numFmtId="0" fontId="5" fillId="0" borderId="46" xfId="2" applyFont="1" applyBorder="1" applyAlignment="1">
      <alignment horizontal="center" vertical="center"/>
    </xf>
    <xf numFmtId="176" fontId="9" fillId="2" borderId="12" xfId="2" applyNumberFormat="1" applyFont="1" applyFill="1" applyBorder="1" applyAlignment="1" applyProtection="1">
      <alignment vertical="center" shrinkToFit="1"/>
      <protection locked="0"/>
    </xf>
    <xf numFmtId="0" fontId="5" fillId="0" borderId="88" xfId="0" applyNumberFormat="1" applyFont="1" applyBorder="1" applyAlignment="1">
      <alignment horizontal="center" vertical="center"/>
    </xf>
    <xf numFmtId="0" fontId="5" fillId="0" borderId="112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5" fillId="0" borderId="113" xfId="0" applyNumberFormat="1" applyFont="1" applyBorder="1" applyAlignment="1">
      <alignment horizontal="center" vertical="center"/>
    </xf>
    <xf numFmtId="0" fontId="5" fillId="0" borderId="101" xfId="0" applyNumberFormat="1" applyFont="1" applyBorder="1" applyAlignment="1">
      <alignment horizontal="center" vertical="center"/>
    </xf>
    <xf numFmtId="176" fontId="9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115" xfId="0" applyNumberFormat="1" applyFont="1" applyBorder="1" applyAlignment="1" applyProtection="1">
      <alignment horizontal="right" vertical="center" shrinkToFit="1"/>
      <protection locked="0"/>
    </xf>
    <xf numFmtId="176" fontId="9" fillId="0" borderId="114" xfId="0" applyNumberFormat="1" applyFont="1" applyBorder="1" applyAlignment="1" applyProtection="1">
      <alignment horizontal="right" vertical="center" shrinkToFit="1"/>
      <protection locked="0"/>
    </xf>
    <xf numFmtId="176" fontId="9" fillId="4" borderId="4" xfId="0" applyNumberFormat="1" applyFont="1" applyFill="1" applyBorder="1" applyAlignment="1">
      <alignment horizontal="right" vertical="center" shrinkToFit="1"/>
    </xf>
    <xf numFmtId="176" fontId="9" fillId="4" borderId="115" xfId="0" applyNumberFormat="1" applyFont="1" applyFill="1" applyBorder="1" applyAlignment="1">
      <alignment horizontal="right" vertical="center" shrinkToFit="1"/>
    </xf>
    <xf numFmtId="0" fontId="5" fillId="0" borderId="43" xfId="0" applyNumberFormat="1" applyFont="1" applyBorder="1" applyAlignment="1">
      <alignment horizontal="center" vertical="center"/>
    </xf>
    <xf numFmtId="0" fontId="5" fillId="0" borderId="43" xfId="0" applyNumberFormat="1" applyFont="1" applyBorder="1" applyAlignment="1">
      <alignment horizontal="left" vertical="center"/>
    </xf>
    <xf numFmtId="0" fontId="5" fillId="0" borderId="96" xfId="0" applyNumberFormat="1" applyFont="1" applyBorder="1" applyAlignment="1">
      <alignment horizontal="center" vertical="center"/>
    </xf>
    <xf numFmtId="0" fontId="5" fillId="0" borderId="36" xfId="0" applyNumberFormat="1" applyFont="1" applyBorder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5" fillId="0" borderId="43" xfId="0" applyNumberFormat="1" applyFont="1" applyBorder="1" applyAlignment="1">
      <alignment horizontal="center" vertical="center" wrapText="1"/>
    </xf>
    <xf numFmtId="0" fontId="5" fillId="0" borderId="96" xfId="0" applyNumberFormat="1" applyFont="1" applyBorder="1" applyAlignment="1">
      <alignment horizontal="left" vertical="center"/>
    </xf>
    <xf numFmtId="0" fontId="8" fillId="5" borderId="0" xfId="3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2" borderId="113" xfId="3" applyFont="1" applyFill="1" applyBorder="1" applyAlignment="1">
      <alignment horizontal="center" vertical="center"/>
    </xf>
    <xf numFmtId="0" fontId="4" fillId="2" borderId="112" xfId="3" applyFont="1" applyFill="1" applyBorder="1" applyAlignment="1">
      <alignment horizontal="center" vertical="center"/>
    </xf>
    <xf numFmtId="0" fontId="5" fillId="2" borderId="96" xfId="3" applyFont="1" applyFill="1" applyBorder="1" applyAlignment="1">
      <alignment horizontal="center" vertical="center"/>
    </xf>
    <xf numFmtId="0" fontId="5" fillId="2" borderId="107" xfId="3" applyFont="1" applyFill="1" applyBorder="1" applyAlignment="1">
      <alignment horizontal="center" vertical="center"/>
    </xf>
    <xf numFmtId="0" fontId="5" fillId="2" borderId="95" xfId="3" applyFont="1" applyFill="1" applyBorder="1" applyAlignment="1">
      <alignment horizontal="center" vertical="center"/>
    </xf>
    <xf numFmtId="0" fontId="5" fillId="2" borderId="116" xfId="3" applyFont="1" applyFill="1" applyBorder="1" applyAlignment="1">
      <alignment horizontal="center" vertical="center"/>
    </xf>
    <xf numFmtId="0" fontId="5" fillId="2" borderId="99" xfId="3" applyFont="1" applyFill="1" applyBorder="1" applyAlignment="1">
      <alignment horizontal="center" vertical="center"/>
    </xf>
    <xf numFmtId="0" fontId="5" fillId="2" borderId="117" xfId="3" applyFont="1" applyFill="1" applyBorder="1" applyAlignment="1">
      <alignment horizontal="center" vertical="center"/>
    </xf>
    <xf numFmtId="0" fontId="4" fillId="2" borderId="101" xfId="3" applyFont="1" applyFill="1" applyBorder="1" applyAlignment="1">
      <alignment horizontal="center" vertical="center"/>
    </xf>
    <xf numFmtId="0" fontId="5" fillId="2" borderId="118" xfId="3" applyFont="1" applyFill="1" applyBorder="1" applyAlignment="1">
      <alignment horizontal="center" vertical="center"/>
    </xf>
    <xf numFmtId="0" fontId="5" fillId="2" borderId="87" xfId="3" applyFont="1" applyFill="1" applyBorder="1" applyAlignment="1">
      <alignment horizontal="center" vertical="center"/>
    </xf>
    <xf numFmtId="0" fontId="5" fillId="2" borderId="119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20" xfId="2" applyFont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5" fillId="0" borderId="89" xfId="2" applyFont="1" applyBorder="1" applyAlignment="1">
      <alignment horizontal="center" vertical="center"/>
    </xf>
    <xf numFmtId="0" fontId="5" fillId="0" borderId="95" xfId="2" applyFont="1" applyBorder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116" xfId="2" applyFont="1" applyBorder="1" applyAlignment="1">
      <alignment horizontal="center" vertical="center"/>
    </xf>
    <xf numFmtId="0" fontId="5" fillId="0" borderId="96" xfId="2" applyFont="1" applyBorder="1" applyAlignment="1">
      <alignment horizontal="center" vertical="center"/>
    </xf>
    <xf numFmtId="0" fontId="5" fillId="0" borderId="121" xfId="2" applyFont="1" applyBorder="1" applyAlignment="1">
      <alignment horizontal="center" vertical="center"/>
    </xf>
    <xf numFmtId="0" fontId="5" fillId="0" borderId="119" xfId="2" applyFont="1" applyBorder="1" applyAlignment="1">
      <alignment horizontal="center" vertical="center"/>
    </xf>
    <xf numFmtId="0" fontId="5" fillId="0" borderId="122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40" xfId="2" applyFont="1" applyBorder="1" applyAlignment="1">
      <alignment horizontal="center" vertical="center"/>
    </xf>
    <xf numFmtId="0" fontId="5" fillId="0" borderId="123" xfId="2" applyFont="1" applyBorder="1" applyAlignment="1">
      <alignment horizontal="center" vertical="center"/>
    </xf>
    <xf numFmtId="0" fontId="5" fillId="0" borderId="55" xfId="2" applyFont="1" applyBorder="1" applyAlignment="1">
      <alignment horizontal="left" vertical="center" shrinkToFit="1"/>
    </xf>
    <xf numFmtId="0" fontId="5" fillId="0" borderId="124" xfId="2" applyFont="1" applyBorder="1" applyAlignment="1">
      <alignment horizontal="left" vertical="center" shrinkToFit="1"/>
    </xf>
    <xf numFmtId="0" fontId="7" fillId="0" borderId="124" xfId="0" applyFont="1" applyBorder="1" applyAlignment="1">
      <alignment horizontal="left" vertical="center" shrinkToFit="1"/>
    </xf>
    <xf numFmtId="0" fontId="5" fillId="0" borderId="62" xfId="2" applyFont="1" applyBorder="1" applyAlignment="1">
      <alignment horizontal="left" vertical="center" shrinkToFit="1"/>
    </xf>
    <xf numFmtId="0" fontId="7" fillId="0" borderId="125" xfId="0" applyFont="1" applyBorder="1" applyAlignment="1">
      <alignment horizontal="left" vertical="center" shrinkToFit="1"/>
    </xf>
    <xf numFmtId="0" fontId="5" fillId="0" borderId="125" xfId="2" applyFont="1" applyBorder="1" applyAlignment="1">
      <alignment horizontal="left" vertical="center" shrinkToFit="1"/>
    </xf>
    <xf numFmtId="0" fontId="5" fillId="0" borderId="120" xfId="0" applyFont="1" applyBorder="1" applyAlignment="1">
      <alignment horizontal="center" vertical="center"/>
    </xf>
    <xf numFmtId="0" fontId="5" fillId="0" borderId="94" xfId="2" applyFont="1" applyBorder="1" applyAlignment="1">
      <alignment horizontal="center" vertical="center"/>
    </xf>
    <xf numFmtId="0" fontId="5" fillId="0" borderId="126" xfId="2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</cellXfs>
  <cellStyles count="5">
    <cellStyle name="標準" xfId="0" builtinId="0"/>
    <cellStyle name="標準 2" xfId="1"/>
    <cellStyle name="標準_06月報新様式（案）" xfId="2"/>
    <cellStyle name="標準_H18年４月～の全様式【月報】改訂" xfId="3"/>
    <cellStyle name="標準_基本設計書_17年度月報本文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"/>
  <sheetViews>
    <sheetView showGridLines="0" workbookViewId="0">
      <selection activeCell="F24" sqref="F24"/>
    </sheetView>
  </sheetViews>
  <sheetFormatPr defaultColWidth="9" defaultRowHeight="0" customHeight="1" zeroHeight="1"/>
  <cols>
    <col min="1" max="2" width="3.75" style="2" customWidth="1"/>
    <col min="3" max="3" width="23.375" style="2" customWidth="1"/>
    <col min="4" max="9" width="14.375" style="2" customWidth="1"/>
    <col min="10" max="10" width="4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77" t="s">
        <v>1</v>
      </c>
      <c r="B3" s="277"/>
      <c r="C3" s="277"/>
      <c r="D3" s="277"/>
      <c r="E3" s="277"/>
      <c r="F3" s="277"/>
      <c r="G3" s="277"/>
      <c r="H3" s="277"/>
      <c r="I3" s="277"/>
      <c r="J3" s="277"/>
    </row>
    <row r="4" spans="1:10" ht="18" customHeight="1">
      <c r="A4" s="277" t="s">
        <v>167</v>
      </c>
      <c r="B4" s="277"/>
      <c r="C4" s="277"/>
      <c r="D4" s="277"/>
      <c r="E4" s="277"/>
      <c r="F4" s="277"/>
      <c r="G4" s="277"/>
      <c r="H4" s="277"/>
      <c r="I4" s="277"/>
      <c r="J4" s="277"/>
    </row>
    <row r="5" spans="1:10" ht="18" customHeight="1">
      <c r="H5" s="39" t="s">
        <v>2</v>
      </c>
      <c r="I5" s="40" t="s">
        <v>165</v>
      </c>
    </row>
    <row r="6" spans="1:10" ht="18" customHeight="1">
      <c r="H6" s="41" t="s">
        <v>3</v>
      </c>
      <c r="I6" s="42" t="s">
        <v>166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1595</v>
      </c>
      <c r="E12" s="3"/>
      <c r="F12" s="3"/>
      <c r="G12" s="48">
        <v>1587</v>
      </c>
    </row>
    <row r="13" spans="1:10" ht="24.75" customHeight="1">
      <c r="C13" s="46" t="s">
        <v>13</v>
      </c>
      <c r="D13" s="47">
        <v>1061</v>
      </c>
      <c r="E13" s="3"/>
      <c r="F13" s="3"/>
      <c r="G13" s="48">
        <v>1066</v>
      </c>
    </row>
    <row r="14" spans="1:10" ht="24.75" customHeight="1">
      <c r="C14" s="46" t="s">
        <v>14</v>
      </c>
      <c r="D14" s="47">
        <v>605</v>
      </c>
      <c r="E14" s="3"/>
      <c r="F14" s="3"/>
      <c r="G14" s="48">
        <v>609</v>
      </c>
    </row>
    <row r="15" spans="1:10" ht="24.75" customHeight="1">
      <c r="C15" s="46" t="s">
        <v>15</v>
      </c>
      <c r="D15" s="47">
        <v>8</v>
      </c>
      <c r="E15" s="3"/>
      <c r="F15" s="3"/>
      <c r="G15" s="48">
        <v>8</v>
      </c>
    </row>
    <row r="16" spans="1:10" ht="24.75" customHeight="1">
      <c r="C16" s="46" t="s">
        <v>16</v>
      </c>
      <c r="D16" s="47">
        <v>26</v>
      </c>
      <c r="E16" s="3"/>
      <c r="F16" s="3"/>
      <c r="G16" s="48">
        <v>26</v>
      </c>
    </row>
    <row r="17" spans="2:9" ht="24.75" customHeight="1">
      <c r="C17" s="49" t="s">
        <v>17</v>
      </c>
      <c r="D17" s="50">
        <f>SUM(D12:D14)</f>
        <v>3261</v>
      </c>
      <c r="E17" s="50">
        <f>I22</f>
        <v>15</v>
      </c>
      <c r="F17" s="50">
        <f>I24</f>
        <v>14</v>
      </c>
      <c r="G17" s="51">
        <f>SUM(G12:G14)</f>
        <v>3262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78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79"/>
      <c r="D22" s="47">
        <v>3</v>
      </c>
      <c r="E22" s="47">
        <v>0</v>
      </c>
      <c r="F22" s="47">
        <v>12</v>
      </c>
      <c r="G22" s="47">
        <v>0</v>
      </c>
      <c r="H22" s="47">
        <v>0</v>
      </c>
      <c r="I22" s="53">
        <f>SUM(D22:H22)</f>
        <v>15</v>
      </c>
    </row>
    <row r="23" spans="2:9" ht="24.75" customHeight="1">
      <c r="C23" s="275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76"/>
      <c r="D24" s="57">
        <v>1</v>
      </c>
      <c r="E24" s="57">
        <v>0</v>
      </c>
      <c r="F24" s="57">
        <v>13</v>
      </c>
      <c r="G24" s="57">
        <v>0</v>
      </c>
      <c r="H24" s="57">
        <v>0</v>
      </c>
      <c r="I24" s="51">
        <f>SUM(D24:H24)</f>
        <v>14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5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G1" workbookViewId="0">
      <selection activeCell="Q24" sqref="Q24"/>
    </sheetView>
  </sheetViews>
  <sheetFormatPr defaultColWidth="9" defaultRowHeight="0" customHeight="1" zeroHeight="1"/>
  <cols>
    <col min="1" max="2" width="3.75" style="2" customWidth="1"/>
    <col min="3" max="3" width="23.375" style="2" customWidth="1"/>
    <col min="4" max="17" width="14.375" style="2" customWidth="1"/>
    <col min="18" max="18" width="4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</row>
    <row r="4" spans="1:18" ht="18" customHeight="1">
      <c r="A4" s="289" t="s">
        <v>167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40" t="s">
        <v>165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0" t="s">
        <v>3</v>
      </c>
      <c r="Q6" s="42" t="s">
        <v>166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85" t="s">
        <v>31</v>
      </c>
      <c r="E11" s="286"/>
      <c r="F11" s="285" t="s">
        <v>32</v>
      </c>
      <c r="G11" s="286"/>
      <c r="H11" s="285" t="s">
        <v>33</v>
      </c>
      <c r="I11" s="286"/>
      <c r="J11" s="285" t="s">
        <v>34</v>
      </c>
      <c r="K11" s="286"/>
      <c r="L11" s="290" t="s">
        <v>35</v>
      </c>
      <c r="M11" s="291"/>
      <c r="N11" s="287" t="s">
        <v>23</v>
      </c>
      <c r="O11" s="291"/>
      <c r="P11" s="287" t="s">
        <v>36</v>
      </c>
      <c r="Q11" s="288"/>
    </row>
    <row r="12" spans="1:18" ht="24.75" customHeight="1">
      <c r="C12" s="61" t="s">
        <v>37</v>
      </c>
      <c r="D12" s="280">
        <v>0</v>
      </c>
      <c r="E12" s="282"/>
      <c r="F12" s="280">
        <v>0</v>
      </c>
      <c r="G12" s="282"/>
      <c r="H12" s="280">
        <v>0</v>
      </c>
      <c r="I12" s="282"/>
      <c r="J12" s="280">
        <v>0</v>
      </c>
      <c r="K12" s="282"/>
      <c r="L12" s="280">
        <v>0</v>
      </c>
      <c r="M12" s="282"/>
      <c r="N12" s="280">
        <v>7</v>
      </c>
      <c r="O12" s="282"/>
      <c r="P12" s="283">
        <f>SUM(D12:O12)</f>
        <v>7</v>
      </c>
      <c r="Q12" s="284"/>
    </row>
    <row r="13" spans="1:18" ht="24.75" customHeight="1">
      <c r="C13" s="62"/>
      <c r="D13" s="63" t="s">
        <v>38</v>
      </c>
      <c r="E13" s="63" t="s">
        <v>39</v>
      </c>
      <c r="F13" s="63" t="s">
        <v>38</v>
      </c>
      <c r="G13" s="63" t="s">
        <v>39</v>
      </c>
      <c r="H13" s="64" t="s">
        <v>38</v>
      </c>
      <c r="I13" s="64" t="s">
        <v>39</v>
      </c>
      <c r="J13" s="64" t="s">
        <v>38</v>
      </c>
      <c r="K13" s="64" t="s">
        <v>39</v>
      </c>
      <c r="L13" s="64" t="s">
        <v>38</v>
      </c>
      <c r="M13" s="64" t="s">
        <v>39</v>
      </c>
      <c r="N13" s="64" t="s">
        <v>38</v>
      </c>
      <c r="O13" s="65" t="s">
        <v>40</v>
      </c>
      <c r="P13" s="64" t="s">
        <v>38</v>
      </c>
      <c r="Q13" s="66" t="s">
        <v>40</v>
      </c>
    </row>
    <row r="14" spans="1:18" ht="24.75" customHeight="1">
      <c r="C14" s="67" t="s">
        <v>41</v>
      </c>
      <c r="D14" s="68">
        <v>0</v>
      </c>
      <c r="E14" s="68">
        <v>0</v>
      </c>
      <c r="F14" s="68">
        <v>0</v>
      </c>
      <c r="G14" s="68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70">
        <f t="shared" ref="P14:Q21" si="0">SUM(D14,F14,H14,L14,N14,J14)</f>
        <v>0</v>
      </c>
      <c r="Q14" s="71">
        <f t="shared" si="0"/>
        <v>0</v>
      </c>
    </row>
    <row r="15" spans="1:18" ht="24.75" customHeight="1">
      <c r="C15" s="72" t="s">
        <v>42</v>
      </c>
      <c r="D15" s="73">
        <v>4</v>
      </c>
      <c r="E15" s="73">
        <v>4</v>
      </c>
      <c r="F15" s="73">
        <v>6</v>
      </c>
      <c r="G15" s="73">
        <v>6</v>
      </c>
      <c r="H15" s="74">
        <v>0</v>
      </c>
      <c r="I15" s="74">
        <v>0</v>
      </c>
      <c r="J15" s="74">
        <v>0</v>
      </c>
      <c r="K15" s="74">
        <v>0</v>
      </c>
      <c r="L15" s="74">
        <v>4</v>
      </c>
      <c r="M15" s="74">
        <v>4</v>
      </c>
      <c r="N15" s="74">
        <v>11</v>
      </c>
      <c r="O15" s="74">
        <v>11</v>
      </c>
      <c r="P15" s="75">
        <f t="shared" si="0"/>
        <v>25</v>
      </c>
      <c r="Q15" s="76">
        <f t="shared" si="0"/>
        <v>25</v>
      </c>
    </row>
    <row r="16" spans="1:18" s="77" customFormat="1" ht="24.75" customHeight="1">
      <c r="A16" s="78"/>
      <c r="B16" s="78"/>
      <c r="C16" s="67" t="s">
        <v>43</v>
      </c>
      <c r="D16" s="68">
        <v>0</v>
      </c>
      <c r="E16" s="68">
        <v>0</v>
      </c>
      <c r="F16" s="68">
        <v>0</v>
      </c>
      <c r="G16" s="68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70">
        <f t="shared" si="0"/>
        <v>0</v>
      </c>
      <c r="Q16" s="71">
        <f t="shared" si="0"/>
        <v>0</v>
      </c>
      <c r="R16" s="79"/>
    </row>
    <row r="17" spans="1:18" s="77" customFormat="1" ht="24.75" customHeight="1">
      <c r="A17" s="78"/>
      <c r="B17" s="78"/>
      <c r="C17" s="72" t="s">
        <v>42</v>
      </c>
      <c r="D17" s="73">
        <v>17</v>
      </c>
      <c r="E17" s="73">
        <v>17</v>
      </c>
      <c r="F17" s="73">
        <v>8</v>
      </c>
      <c r="G17" s="73">
        <v>8</v>
      </c>
      <c r="H17" s="73">
        <v>0</v>
      </c>
      <c r="I17" s="73">
        <v>0</v>
      </c>
      <c r="J17" s="73">
        <v>0</v>
      </c>
      <c r="K17" s="73">
        <v>0</v>
      </c>
      <c r="L17" s="73">
        <v>9</v>
      </c>
      <c r="M17" s="73">
        <v>9</v>
      </c>
      <c r="N17" s="73">
        <v>11</v>
      </c>
      <c r="O17" s="73">
        <v>11</v>
      </c>
      <c r="P17" s="75">
        <f t="shared" si="0"/>
        <v>45</v>
      </c>
      <c r="Q17" s="76">
        <f t="shared" si="0"/>
        <v>45</v>
      </c>
      <c r="R17" s="79"/>
    </row>
    <row r="18" spans="1:18" ht="24.75" customHeight="1">
      <c r="C18" s="67" t="s">
        <v>44</v>
      </c>
      <c r="D18" s="68">
        <v>0</v>
      </c>
      <c r="E18" s="68">
        <v>0</v>
      </c>
      <c r="F18" s="68">
        <v>0</v>
      </c>
      <c r="G18" s="68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7</v>
      </c>
      <c r="O18" s="69">
        <v>7</v>
      </c>
      <c r="P18" s="70">
        <f t="shared" si="0"/>
        <v>7</v>
      </c>
      <c r="Q18" s="71">
        <f t="shared" si="0"/>
        <v>7</v>
      </c>
    </row>
    <row r="19" spans="1:18" ht="24.75" customHeight="1">
      <c r="C19" s="72" t="s">
        <v>42</v>
      </c>
      <c r="D19" s="73">
        <v>16</v>
      </c>
      <c r="E19" s="73">
        <v>16</v>
      </c>
      <c r="F19" s="73">
        <v>6</v>
      </c>
      <c r="G19" s="73">
        <v>6</v>
      </c>
      <c r="H19" s="74">
        <v>0</v>
      </c>
      <c r="I19" s="74">
        <v>0</v>
      </c>
      <c r="J19" s="74">
        <v>0</v>
      </c>
      <c r="K19" s="74">
        <v>0</v>
      </c>
      <c r="L19" s="74">
        <v>8</v>
      </c>
      <c r="M19" s="74">
        <v>8</v>
      </c>
      <c r="N19" s="74">
        <v>21</v>
      </c>
      <c r="O19" s="74">
        <v>21</v>
      </c>
      <c r="P19" s="75">
        <f t="shared" si="0"/>
        <v>51</v>
      </c>
      <c r="Q19" s="76">
        <f t="shared" si="0"/>
        <v>51</v>
      </c>
    </row>
    <row r="20" spans="1:18" ht="24.75" customHeight="1">
      <c r="C20" s="67" t="s">
        <v>45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70">
        <f t="shared" si="0"/>
        <v>0</v>
      </c>
      <c r="Q20" s="71">
        <f t="shared" si="0"/>
        <v>0</v>
      </c>
    </row>
    <row r="21" spans="1:18" ht="24.75" customHeight="1">
      <c r="C21" s="81" t="s">
        <v>42</v>
      </c>
      <c r="D21" s="82">
        <v>4</v>
      </c>
      <c r="E21" s="82">
        <v>4</v>
      </c>
      <c r="F21" s="82">
        <v>2</v>
      </c>
      <c r="G21" s="82">
        <v>2</v>
      </c>
      <c r="H21" s="83">
        <v>0</v>
      </c>
      <c r="I21" s="83">
        <v>0</v>
      </c>
      <c r="J21" s="83">
        <v>0</v>
      </c>
      <c r="K21" s="83">
        <v>0</v>
      </c>
      <c r="L21" s="83">
        <v>2</v>
      </c>
      <c r="M21" s="83">
        <v>2</v>
      </c>
      <c r="N21" s="83">
        <v>2</v>
      </c>
      <c r="O21" s="83">
        <v>2</v>
      </c>
      <c r="P21" s="84">
        <f t="shared" si="0"/>
        <v>10</v>
      </c>
      <c r="Q21" s="85">
        <f t="shared" si="0"/>
        <v>10</v>
      </c>
    </row>
    <row r="22" spans="1:18" ht="12" customHeight="1"/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6" t="s">
        <v>37</v>
      </c>
      <c r="D26" s="87">
        <v>0</v>
      </c>
    </row>
    <row r="27" spans="1:18" ht="24.75" customHeight="1">
      <c r="C27" s="67" t="s">
        <v>48</v>
      </c>
      <c r="D27" s="88">
        <v>0</v>
      </c>
    </row>
    <row r="28" spans="1:18" ht="24.75" customHeight="1">
      <c r="C28" s="72" t="s">
        <v>42</v>
      </c>
      <c r="D28" s="89">
        <v>0</v>
      </c>
    </row>
    <row r="29" spans="1:18" ht="24.75" customHeight="1">
      <c r="C29" s="67" t="s">
        <v>49</v>
      </c>
      <c r="D29" s="90">
        <v>0</v>
      </c>
    </row>
    <row r="30" spans="1:18" ht="24.75" customHeight="1">
      <c r="C30" s="81" t="s">
        <v>42</v>
      </c>
      <c r="D30" s="91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287" t="s">
        <v>51</v>
      </c>
      <c r="E34" s="288"/>
      <c r="F34" s="35"/>
      <c r="G34" s="45" t="s">
        <v>47</v>
      </c>
    </row>
    <row r="35" spans="3:7" ht="24.75" customHeight="1">
      <c r="C35" s="61" t="s">
        <v>37</v>
      </c>
      <c r="D35" s="280">
        <v>0</v>
      </c>
      <c r="E35" s="281"/>
      <c r="F35" s="92" t="s">
        <v>37</v>
      </c>
      <c r="G35" s="87">
        <v>0</v>
      </c>
    </row>
    <row r="36" spans="3:7" ht="24.75" customHeight="1">
      <c r="C36" s="36"/>
      <c r="D36" s="93" t="s">
        <v>38</v>
      </c>
      <c r="E36" s="94" t="s">
        <v>39</v>
      </c>
      <c r="F36" s="95" t="s">
        <v>48</v>
      </c>
      <c r="G36" s="96">
        <v>0</v>
      </c>
    </row>
    <row r="37" spans="3:7" ht="24.75" customHeight="1">
      <c r="C37" s="97" t="s">
        <v>52</v>
      </c>
      <c r="D37" s="98">
        <v>0</v>
      </c>
      <c r="E37" s="90">
        <v>0</v>
      </c>
      <c r="F37" s="99" t="s">
        <v>53</v>
      </c>
      <c r="G37" s="89">
        <v>0</v>
      </c>
    </row>
    <row r="38" spans="3:7" ht="24.75" customHeight="1">
      <c r="C38" s="72" t="s">
        <v>42</v>
      </c>
      <c r="D38" s="74">
        <v>0</v>
      </c>
      <c r="E38" s="89">
        <v>0</v>
      </c>
      <c r="F38" s="100" t="s">
        <v>49</v>
      </c>
      <c r="G38" s="90">
        <v>0</v>
      </c>
    </row>
    <row r="39" spans="3:7" ht="24.75" customHeight="1">
      <c r="C39" s="67" t="s">
        <v>44</v>
      </c>
      <c r="D39" s="98">
        <v>0</v>
      </c>
      <c r="E39" s="90">
        <v>0</v>
      </c>
      <c r="F39" s="101" t="s">
        <v>53</v>
      </c>
      <c r="G39" s="91">
        <v>0</v>
      </c>
    </row>
    <row r="40" spans="3:7" ht="24.75" customHeight="1">
      <c r="C40" s="102" t="s">
        <v>42</v>
      </c>
      <c r="D40" s="103">
        <v>0</v>
      </c>
      <c r="E40" s="89">
        <v>0</v>
      </c>
    </row>
    <row r="41" spans="3:7" ht="24.75" customHeight="1">
      <c r="C41" s="67" t="s">
        <v>54</v>
      </c>
      <c r="D41" s="69">
        <v>0</v>
      </c>
      <c r="E41" s="90">
        <v>0</v>
      </c>
    </row>
    <row r="42" spans="3:7" ht="24.75" customHeight="1">
      <c r="C42" s="81" t="s">
        <v>42</v>
      </c>
      <c r="D42" s="83">
        <v>0</v>
      </c>
      <c r="E42" s="91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5"/>
  <pageMargins left="0.7" right="0.7" top="0.75" bottom="0.75" header="0.3" footer="0.3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tabSelected="1" workbookViewId="0">
      <selection activeCell="A5" sqref="A5"/>
    </sheetView>
  </sheetViews>
  <sheetFormatPr defaultColWidth="9" defaultRowHeight="0" customHeight="1" zeroHeight="1"/>
  <cols>
    <col min="1" max="2" width="3.75" style="2" customWidth="1"/>
    <col min="3" max="3" width="23.375" style="2" customWidth="1"/>
    <col min="4" max="17" width="14.375" style="2" customWidth="1"/>
    <col min="18" max="18" width="4" style="1" customWidth="1"/>
  </cols>
  <sheetData>
    <row r="1" spans="1:18" ht="18" customHeight="1">
      <c r="A1" s="104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</row>
    <row r="4" spans="1:18" ht="18" customHeight="1">
      <c r="A4" s="289" t="s">
        <v>167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40" t="s">
        <v>165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0" t="s">
        <v>3</v>
      </c>
      <c r="Q6" s="42" t="s">
        <v>166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85" t="s">
        <v>31</v>
      </c>
      <c r="E11" s="286"/>
      <c r="F11" s="285" t="s">
        <v>32</v>
      </c>
      <c r="G11" s="286"/>
      <c r="H11" s="285" t="s">
        <v>33</v>
      </c>
      <c r="I11" s="286"/>
      <c r="J11" s="285" t="s">
        <v>34</v>
      </c>
      <c r="K11" s="286"/>
      <c r="L11" s="290" t="s">
        <v>35</v>
      </c>
      <c r="M11" s="291"/>
      <c r="N11" s="287" t="s">
        <v>23</v>
      </c>
      <c r="O11" s="291"/>
      <c r="P11" s="287" t="s">
        <v>36</v>
      </c>
      <c r="Q11" s="288"/>
    </row>
    <row r="12" spans="1:18" ht="24.75" customHeight="1">
      <c r="C12" s="61" t="s">
        <v>37</v>
      </c>
      <c r="D12" s="280">
        <v>0</v>
      </c>
      <c r="E12" s="282"/>
      <c r="F12" s="280">
        <v>0</v>
      </c>
      <c r="G12" s="282"/>
      <c r="H12" s="280">
        <v>0</v>
      </c>
      <c r="I12" s="282"/>
      <c r="J12" s="280">
        <v>0</v>
      </c>
      <c r="K12" s="282"/>
      <c r="L12" s="280">
        <v>0</v>
      </c>
      <c r="M12" s="282"/>
      <c r="N12" s="280">
        <v>0</v>
      </c>
      <c r="O12" s="282"/>
      <c r="P12" s="283">
        <f>SUM(D12:O12)</f>
        <v>0</v>
      </c>
      <c r="Q12" s="284"/>
    </row>
    <row r="13" spans="1:18" ht="24.75" customHeight="1">
      <c r="C13" s="34"/>
      <c r="D13" s="63" t="s">
        <v>38</v>
      </c>
      <c r="E13" s="63" t="s">
        <v>39</v>
      </c>
      <c r="F13" s="63" t="s">
        <v>38</v>
      </c>
      <c r="G13" s="63" t="s">
        <v>39</v>
      </c>
      <c r="H13" s="64" t="s">
        <v>38</v>
      </c>
      <c r="I13" s="64" t="s">
        <v>39</v>
      </c>
      <c r="J13" s="64" t="s">
        <v>38</v>
      </c>
      <c r="K13" s="64" t="s">
        <v>39</v>
      </c>
      <c r="L13" s="64" t="s">
        <v>38</v>
      </c>
      <c r="M13" s="64" t="s">
        <v>39</v>
      </c>
      <c r="N13" s="64" t="s">
        <v>38</v>
      </c>
      <c r="O13" s="65" t="s">
        <v>40</v>
      </c>
      <c r="P13" s="64" t="s">
        <v>38</v>
      </c>
      <c r="Q13" s="66" t="s">
        <v>40</v>
      </c>
    </row>
    <row r="14" spans="1:18" ht="24.75" customHeight="1">
      <c r="C14" s="67" t="s">
        <v>41</v>
      </c>
      <c r="D14" s="68">
        <v>0</v>
      </c>
      <c r="E14" s="68">
        <v>0</v>
      </c>
      <c r="F14" s="68">
        <v>0</v>
      </c>
      <c r="G14" s="68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105">
        <f t="shared" ref="P14:Q21" si="0">SUM(D14,F14,H14,L14,N14,J14)</f>
        <v>0</v>
      </c>
      <c r="Q14" s="71">
        <f t="shared" si="0"/>
        <v>0</v>
      </c>
    </row>
    <row r="15" spans="1:18" ht="24.75" customHeight="1">
      <c r="C15" s="72" t="s">
        <v>42</v>
      </c>
      <c r="D15" s="73">
        <v>0</v>
      </c>
      <c r="E15" s="73">
        <v>0</v>
      </c>
      <c r="F15" s="73">
        <v>0</v>
      </c>
      <c r="G15" s="73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1</v>
      </c>
      <c r="O15" s="74">
        <v>1</v>
      </c>
      <c r="P15" s="106">
        <f t="shared" si="0"/>
        <v>1</v>
      </c>
      <c r="Q15" s="76">
        <f t="shared" si="0"/>
        <v>1</v>
      </c>
    </row>
    <row r="16" spans="1:18" s="77" customFormat="1" ht="24.75" customHeight="1">
      <c r="A16" s="78"/>
      <c r="B16" s="78"/>
      <c r="C16" s="67" t="s">
        <v>43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105">
        <f t="shared" si="0"/>
        <v>0</v>
      </c>
      <c r="Q16" s="71">
        <f t="shared" si="0"/>
        <v>0</v>
      </c>
      <c r="R16" s="79"/>
    </row>
    <row r="17" spans="1:18" s="77" customFormat="1" ht="24.75" customHeight="1">
      <c r="A17" s="78"/>
      <c r="B17" s="78"/>
      <c r="C17" s="72" t="s">
        <v>42</v>
      </c>
      <c r="D17" s="73">
        <v>0</v>
      </c>
      <c r="E17" s="73">
        <v>0</v>
      </c>
      <c r="F17" s="73">
        <v>0</v>
      </c>
      <c r="G17" s="73">
        <v>0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106">
        <f t="shared" si="0"/>
        <v>0</v>
      </c>
      <c r="Q17" s="76">
        <f t="shared" si="0"/>
        <v>0</v>
      </c>
      <c r="R17" s="79"/>
    </row>
    <row r="18" spans="1:18" ht="24.75" customHeight="1">
      <c r="C18" s="67" t="s">
        <v>44</v>
      </c>
      <c r="D18" s="68">
        <v>0</v>
      </c>
      <c r="E18" s="68">
        <v>0</v>
      </c>
      <c r="F18" s="68">
        <v>0</v>
      </c>
      <c r="G18" s="68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105">
        <f t="shared" si="0"/>
        <v>0</v>
      </c>
      <c r="Q18" s="71">
        <f t="shared" si="0"/>
        <v>0</v>
      </c>
    </row>
    <row r="19" spans="1:18" ht="24.75" customHeight="1">
      <c r="C19" s="72" t="s">
        <v>42</v>
      </c>
      <c r="D19" s="73">
        <v>0</v>
      </c>
      <c r="E19" s="73">
        <v>0</v>
      </c>
      <c r="F19" s="73">
        <v>0</v>
      </c>
      <c r="G19" s="73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106">
        <f t="shared" si="0"/>
        <v>0</v>
      </c>
      <c r="Q19" s="76">
        <f t="shared" si="0"/>
        <v>0</v>
      </c>
    </row>
    <row r="20" spans="1:18" ht="24.75" customHeight="1">
      <c r="C20" s="67" t="s">
        <v>45</v>
      </c>
      <c r="D20" s="80">
        <v>0</v>
      </c>
      <c r="E20" s="80">
        <v>0</v>
      </c>
      <c r="F20" s="80">
        <v>0</v>
      </c>
      <c r="G20" s="80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105">
        <f t="shared" si="0"/>
        <v>0</v>
      </c>
      <c r="Q20" s="71">
        <f t="shared" si="0"/>
        <v>0</v>
      </c>
    </row>
    <row r="21" spans="1:18" ht="24.75" customHeight="1">
      <c r="C21" s="81" t="s">
        <v>42</v>
      </c>
      <c r="D21" s="82">
        <v>0</v>
      </c>
      <c r="E21" s="82">
        <v>0</v>
      </c>
      <c r="F21" s="82">
        <v>0</v>
      </c>
      <c r="G21" s="82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4">
        <f t="shared" si="0"/>
        <v>0</v>
      </c>
      <c r="Q21" s="85">
        <f t="shared" si="0"/>
        <v>0</v>
      </c>
    </row>
    <row r="22" spans="1:18" ht="12" customHeight="1"/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6" t="s">
        <v>37</v>
      </c>
      <c r="D26" s="87">
        <v>0</v>
      </c>
    </row>
    <row r="27" spans="1:18" ht="24.75" customHeight="1">
      <c r="C27" s="67" t="s">
        <v>48</v>
      </c>
      <c r="D27" s="88">
        <v>0</v>
      </c>
    </row>
    <row r="28" spans="1:18" ht="24.75" customHeight="1">
      <c r="C28" s="72" t="s">
        <v>42</v>
      </c>
      <c r="D28" s="89">
        <v>0</v>
      </c>
    </row>
    <row r="29" spans="1:18" ht="24.75" customHeight="1">
      <c r="C29" s="67" t="s">
        <v>49</v>
      </c>
      <c r="D29" s="90">
        <v>0</v>
      </c>
    </row>
    <row r="30" spans="1:18" ht="24.75" customHeight="1">
      <c r="C30" s="81" t="s">
        <v>42</v>
      </c>
      <c r="D30" s="91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287" t="s">
        <v>51</v>
      </c>
      <c r="E34" s="288"/>
      <c r="F34" s="35"/>
      <c r="G34" s="45" t="s">
        <v>47</v>
      </c>
    </row>
    <row r="35" spans="3:7" ht="24.75" customHeight="1">
      <c r="C35" s="61" t="s">
        <v>37</v>
      </c>
      <c r="D35" s="280">
        <v>0</v>
      </c>
      <c r="E35" s="281"/>
      <c r="F35" s="92" t="s">
        <v>37</v>
      </c>
      <c r="G35" s="87">
        <v>0</v>
      </c>
    </row>
    <row r="36" spans="3:7" ht="24.75" customHeight="1">
      <c r="C36" s="36"/>
      <c r="D36" s="93" t="s">
        <v>38</v>
      </c>
      <c r="E36" s="94" t="s">
        <v>39</v>
      </c>
      <c r="F36" s="95" t="s">
        <v>48</v>
      </c>
      <c r="G36" s="96">
        <v>0</v>
      </c>
    </row>
    <row r="37" spans="3:7" ht="24.75" customHeight="1">
      <c r="C37" s="107" t="s">
        <v>52</v>
      </c>
      <c r="D37" s="98">
        <v>0</v>
      </c>
      <c r="E37" s="90">
        <v>0</v>
      </c>
      <c r="F37" s="99" t="s">
        <v>53</v>
      </c>
      <c r="G37" s="89">
        <v>0</v>
      </c>
    </row>
    <row r="38" spans="3:7" ht="24.75" customHeight="1">
      <c r="C38" s="72" t="s">
        <v>42</v>
      </c>
      <c r="D38" s="74">
        <v>0</v>
      </c>
      <c r="E38" s="89">
        <v>0</v>
      </c>
      <c r="F38" s="100" t="s">
        <v>49</v>
      </c>
      <c r="G38" s="90">
        <v>0</v>
      </c>
    </row>
    <row r="39" spans="3:7" ht="24.75" customHeight="1">
      <c r="C39" s="67" t="s">
        <v>44</v>
      </c>
      <c r="D39" s="98">
        <v>0</v>
      </c>
      <c r="E39" s="90">
        <v>0</v>
      </c>
      <c r="F39" s="101" t="s">
        <v>53</v>
      </c>
      <c r="G39" s="91">
        <v>0</v>
      </c>
    </row>
    <row r="40" spans="3:7" ht="24.75" customHeight="1">
      <c r="C40" s="102" t="s">
        <v>42</v>
      </c>
      <c r="D40" s="103">
        <v>0</v>
      </c>
      <c r="E40" s="89">
        <v>0</v>
      </c>
    </row>
    <row r="41" spans="3:7" ht="24.75" customHeight="1">
      <c r="C41" s="67" t="s">
        <v>54</v>
      </c>
      <c r="D41" s="69">
        <v>0</v>
      </c>
      <c r="E41" s="90">
        <v>0</v>
      </c>
    </row>
    <row r="42" spans="3:7" ht="24.75" customHeight="1">
      <c r="C42" s="81" t="s">
        <v>42</v>
      </c>
      <c r="D42" s="83">
        <v>0</v>
      </c>
      <c r="E42" s="91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5"/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workbookViewId="0">
      <selection activeCell="A5" sqref="A5"/>
    </sheetView>
  </sheetViews>
  <sheetFormatPr defaultColWidth="9" defaultRowHeight="0" customHeight="1" zeroHeight="1"/>
  <cols>
    <col min="1" max="2" width="3.75" style="2" customWidth="1"/>
    <col min="3" max="3" width="23.875" style="2" customWidth="1"/>
    <col min="4" max="6" width="14.375" style="2" customWidth="1"/>
    <col min="7" max="7" width="4" style="2" customWidth="1"/>
  </cols>
  <sheetData>
    <row r="1" spans="1:7" ht="18" customHeight="1">
      <c r="A1" s="37" t="s">
        <v>59</v>
      </c>
      <c r="G1" s="108"/>
    </row>
    <row r="2" spans="1:7" ht="18" customHeight="1">
      <c r="G2" s="108"/>
    </row>
    <row r="3" spans="1:7" ht="18" customHeight="1">
      <c r="A3" s="277" t="s">
        <v>1</v>
      </c>
      <c r="B3" s="277"/>
      <c r="C3" s="277"/>
      <c r="D3" s="277"/>
      <c r="E3" s="277"/>
      <c r="F3" s="277"/>
      <c r="G3" s="277"/>
    </row>
    <row r="4" spans="1:7" ht="18" customHeight="1">
      <c r="A4" s="277" t="s">
        <v>167</v>
      </c>
      <c r="B4" s="277"/>
      <c r="C4" s="277"/>
      <c r="D4" s="277"/>
      <c r="E4" s="277"/>
      <c r="F4" s="277"/>
      <c r="G4" s="277"/>
    </row>
    <row r="5" spans="1:7" ht="18" customHeight="1">
      <c r="E5" s="39" t="s">
        <v>2</v>
      </c>
      <c r="F5" s="40" t="s">
        <v>165</v>
      </c>
    </row>
    <row r="6" spans="1:7" ht="18" customHeight="1">
      <c r="E6" s="41" t="s">
        <v>3</v>
      </c>
      <c r="F6" s="42" t="s">
        <v>166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2" t="s">
        <v>37</v>
      </c>
      <c r="D11" s="73">
        <v>0</v>
      </c>
      <c r="E11" s="73">
        <v>0</v>
      </c>
      <c r="F11" s="109">
        <f t="shared" ref="F11:F17" si="0">SUM(D11:E11)</f>
        <v>0</v>
      </c>
    </row>
    <row r="12" spans="1:7" ht="24" customHeight="1">
      <c r="C12" s="97" t="s">
        <v>63</v>
      </c>
      <c r="D12" s="80">
        <v>0</v>
      </c>
      <c r="E12" s="80">
        <v>0</v>
      </c>
      <c r="F12" s="76">
        <f t="shared" si="0"/>
        <v>0</v>
      </c>
    </row>
    <row r="13" spans="1:7" ht="24" customHeight="1">
      <c r="C13" s="72" t="s">
        <v>64</v>
      </c>
      <c r="D13" s="73">
        <v>0</v>
      </c>
      <c r="E13" s="73">
        <v>0</v>
      </c>
      <c r="F13" s="109">
        <f t="shared" si="0"/>
        <v>0</v>
      </c>
    </row>
    <row r="14" spans="1:7" ht="24" customHeight="1">
      <c r="C14" s="97" t="s">
        <v>65</v>
      </c>
      <c r="D14" s="80">
        <v>0</v>
      </c>
      <c r="E14" s="80">
        <v>0</v>
      </c>
      <c r="F14" s="76">
        <f t="shared" si="0"/>
        <v>0</v>
      </c>
    </row>
    <row r="15" spans="1:7" ht="24" customHeight="1">
      <c r="C15" s="72" t="s">
        <v>64</v>
      </c>
      <c r="D15" s="73">
        <v>0</v>
      </c>
      <c r="E15" s="73">
        <v>0</v>
      </c>
      <c r="F15" s="109">
        <f t="shared" si="0"/>
        <v>0</v>
      </c>
    </row>
    <row r="16" spans="1:7" ht="24" customHeight="1">
      <c r="C16" s="97" t="s">
        <v>66</v>
      </c>
      <c r="D16" s="80">
        <v>0</v>
      </c>
      <c r="E16" s="80">
        <v>0</v>
      </c>
      <c r="F16" s="76">
        <f t="shared" si="0"/>
        <v>0</v>
      </c>
    </row>
    <row r="17" spans="3:6" ht="24" customHeight="1">
      <c r="C17" s="81" t="s">
        <v>64</v>
      </c>
      <c r="D17" s="82">
        <v>0</v>
      </c>
      <c r="E17" s="82">
        <v>0</v>
      </c>
      <c r="F17" s="85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5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showGridLines="0" zoomScale="75" zoomScaleNormal="75" workbookViewId="0">
      <selection activeCell="A5" sqref="A5"/>
    </sheetView>
  </sheetViews>
  <sheetFormatPr defaultColWidth="9" defaultRowHeight="12" customHeight="1"/>
  <cols>
    <col min="1" max="1" width="2.75" style="24" customWidth="1"/>
    <col min="2" max="2" width="2.25" style="24" customWidth="1"/>
    <col min="3" max="3" width="20.75" style="24" customWidth="1"/>
    <col min="4" max="14" width="14.375" style="24" customWidth="1"/>
    <col min="15" max="15" width="4" style="24" customWidth="1"/>
  </cols>
  <sheetData>
    <row r="1" spans="1:15" s="27" customFormat="1" ht="18" customHeight="1">
      <c r="A1" s="110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</row>
    <row r="4" spans="1:15" s="27" customFormat="1" ht="18" customHeight="1">
      <c r="A4" s="293" t="s">
        <v>168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40" t="s">
        <v>165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166</v>
      </c>
      <c r="O6" s="27" t="s">
        <v>4</v>
      </c>
    </row>
    <row r="7" spans="1:15" ht="18" customHeight="1">
      <c r="A7" s="19"/>
      <c r="B7" s="111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1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294"/>
      <c r="D11" s="296" t="s">
        <v>69</v>
      </c>
      <c r="E11" s="297"/>
      <c r="F11" s="297"/>
      <c r="G11" s="303" t="s">
        <v>70</v>
      </c>
      <c r="H11" s="297"/>
      <c r="I11" s="297"/>
      <c r="J11" s="297"/>
      <c r="K11" s="297"/>
      <c r="L11" s="297"/>
      <c r="M11" s="297"/>
      <c r="N11" s="300" t="s">
        <v>36</v>
      </c>
      <c r="O11" s="20"/>
    </row>
    <row r="12" spans="1:15" s="21" customFormat="1" ht="18" customHeight="1">
      <c r="A12" s="20"/>
      <c r="B12" s="20"/>
      <c r="C12" s="302"/>
      <c r="D12" s="112" t="s">
        <v>71</v>
      </c>
      <c r="E12" s="112" t="s">
        <v>72</v>
      </c>
      <c r="F12" s="112" t="s">
        <v>17</v>
      </c>
      <c r="G12" s="113" t="s">
        <v>73</v>
      </c>
      <c r="H12" s="114" t="s">
        <v>74</v>
      </c>
      <c r="I12" s="112" t="s">
        <v>75</v>
      </c>
      <c r="J12" s="112" t="s">
        <v>76</v>
      </c>
      <c r="K12" s="112" t="s">
        <v>77</v>
      </c>
      <c r="L12" s="112" t="s">
        <v>78</v>
      </c>
      <c r="M12" s="112" t="s">
        <v>17</v>
      </c>
      <c r="N12" s="304"/>
      <c r="O12" s="28"/>
    </row>
    <row r="13" spans="1:15" s="21" customFormat="1" ht="18" customHeight="1">
      <c r="A13" s="22"/>
      <c r="B13" s="23"/>
      <c r="C13" s="115" t="s">
        <v>61</v>
      </c>
      <c r="D13" s="116">
        <v>11</v>
      </c>
      <c r="E13" s="116">
        <v>44</v>
      </c>
      <c r="F13" s="117">
        <f>SUM(D13:E13)</f>
        <v>55</v>
      </c>
      <c r="G13" s="118"/>
      <c r="H13" s="116">
        <v>38</v>
      </c>
      <c r="I13" s="116">
        <v>68</v>
      </c>
      <c r="J13" s="116">
        <v>54</v>
      </c>
      <c r="K13" s="116">
        <v>19</v>
      </c>
      <c r="L13" s="116">
        <v>7</v>
      </c>
      <c r="M13" s="117">
        <f>SUM(G13:L13)</f>
        <v>186</v>
      </c>
      <c r="N13" s="119">
        <f>F13+M13</f>
        <v>241</v>
      </c>
      <c r="O13" s="28"/>
    </row>
    <row r="14" spans="1:15" s="21" customFormat="1" ht="18" customHeight="1">
      <c r="A14" s="22"/>
      <c r="B14" s="23"/>
      <c r="C14" s="115" t="s">
        <v>62</v>
      </c>
      <c r="D14" s="116">
        <v>0</v>
      </c>
      <c r="E14" s="116">
        <v>2</v>
      </c>
      <c r="F14" s="117">
        <f>SUM(D14:E14)</f>
        <v>2</v>
      </c>
      <c r="G14" s="118"/>
      <c r="H14" s="116">
        <v>0</v>
      </c>
      <c r="I14" s="116">
        <v>2</v>
      </c>
      <c r="J14" s="116">
        <v>0</v>
      </c>
      <c r="K14" s="116">
        <v>0</v>
      </c>
      <c r="L14" s="116">
        <v>1</v>
      </c>
      <c r="M14" s="117">
        <f>SUM(G14:L14)</f>
        <v>3</v>
      </c>
      <c r="N14" s="120">
        <f>F14+M14</f>
        <v>5</v>
      </c>
      <c r="O14" s="28"/>
    </row>
    <row r="15" spans="1:15" s="21" customFormat="1" ht="18" customHeight="1">
      <c r="A15" s="22"/>
      <c r="B15" s="23"/>
      <c r="C15" s="121" t="s">
        <v>79</v>
      </c>
      <c r="D15" s="122">
        <f>SUM(D13:D14)</f>
        <v>11</v>
      </c>
      <c r="E15" s="122">
        <f>SUM(E13:E14)</f>
        <v>46</v>
      </c>
      <c r="F15" s="123">
        <f>SUM(D15:E15)</f>
        <v>57</v>
      </c>
      <c r="G15" s="124"/>
      <c r="H15" s="125">
        <f t="shared" ref="H15:M15" si="0">SUM(H13:H14)</f>
        <v>38</v>
      </c>
      <c r="I15" s="125">
        <f t="shared" si="0"/>
        <v>70</v>
      </c>
      <c r="J15" s="125">
        <f t="shared" si="0"/>
        <v>54</v>
      </c>
      <c r="K15" s="125">
        <f t="shared" si="0"/>
        <v>19</v>
      </c>
      <c r="L15" s="125">
        <f t="shared" si="0"/>
        <v>8</v>
      </c>
      <c r="M15" s="123">
        <f t="shared" si="0"/>
        <v>189</v>
      </c>
      <c r="N15" s="126">
        <f>F15+M15</f>
        <v>246</v>
      </c>
      <c r="O15" s="28"/>
    </row>
    <row r="16" spans="1:15" s="21" customFormat="1" ht="12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s="25" customFormat="1" ht="18" customHeight="1">
      <c r="A17" s="29"/>
      <c r="B17" s="127" t="s">
        <v>80</v>
      </c>
      <c r="C17" s="30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s="21" customFormat="1" ht="12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s="21" customFormat="1" ht="18" customHeight="1">
      <c r="A19" s="20"/>
      <c r="B19" s="20"/>
      <c r="C19" s="294"/>
      <c r="D19" s="296" t="s">
        <v>69</v>
      </c>
      <c r="E19" s="297"/>
      <c r="F19" s="297"/>
      <c r="G19" s="303" t="s">
        <v>70</v>
      </c>
      <c r="H19" s="305"/>
      <c r="I19" s="297"/>
      <c r="J19" s="297"/>
      <c r="K19" s="297"/>
      <c r="L19" s="297"/>
      <c r="M19" s="299"/>
      <c r="N19" s="300" t="s">
        <v>36</v>
      </c>
      <c r="O19" s="20"/>
    </row>
    <row r="20" spans="1:15" s="21" customFormat="1" ht="18" customHeight="1">
      <c r="A20" s="20"/>
      <c r="B20" s="20"/>
      <c r="C20" s="302"/>
      <c r="D20" s="112" t="s">
        <v>71</v>
      </c>
      <c r="E20" s="112" t="s">
        <v>72</v>
      </c>
      <c r="F20" s="112" t="s">
        <v>17</v>
      </c>
      <c r="G20" s="113" t="s">
        <v>73</v>
      </c>
      <c r="H20" s="114" t="s">
        <v>74</v>
      </c>
      <c r="I20" s="112" t="s">
        <v>75</v>
      </c>
      <c r="J20" s="112" t="s">
        <v>76</v>
      </c>
      <c r="K20" s="112" t="s">
        <v>77</v>
      </c>
      <c r="L20" s="112" t="s">
        <v>78</v>
      </c>
      <c r="M20" s="128" t="s">
        <v>17</v>
      </c>
      <c r="N20" s="304"/>
      <c r="O20" s="28"/>
    </row>
    <row r="21" spans="1:15" s="21" customFormat="1" ht="18" customHeight="1">
      <c r="A21" s="22"/>
      <c r="B21" s="23"/>
      <c r="C21" s="115" t="s">
        <v>61</v>
      </c>
      <c r="D21" s="116">
        <v>0</v>
      </c>
      <c r="E21" s="116">
        <v>0</v>
      </c>
      <c r="F21" s="117">
        <f>SUM(D21:E21)</f>
        <v>0</v>
      </c>
      <c r="G21" s="129"/>
      <c r="H21" s="116">
        <v>9</v>
      </c>
      <c r="I21" s="116">
        <v>11</v>
      </c>
      <c r="J21" s="116">
        <v>18</v>
      </c>
      <c r="K21" s="116">
        <v>11</v>
      </c>
      <c r="L21" s="116">
        <v>7</v>
      </c>
      <c r="M21" s="117">
        <f>SUM(G21:L21)</f>
        <v>56</v>
      </c>
      <c r="N21" s="119">
        <f>F21+M21</f>
        <v>56</v>
      </c>
      <c r="O21" s="28"/>
    </row>
    <row r="22" spans="1:15" s="21" customFormat="1" ht="18" customHeight="1">
      <c r="A22" s="22"/>
      <c r="B22" s="23"/>
      <c r="C22" s="115" t="s">
        <v>62</v>
      </c>
      <c r="D22" s="116">
        <v>0</v>
      </c>
      <c r="E22" s="116">
        <v>0</v>
      </c>
      <c r="F22" s="117">
        <f>SUM(D22:E22)</f>
        <v>0</v>
      </c>
      <c r="G22" s="130"/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7">
        <f>SUM(G22:L22)</f>
        <v>0</v>
      </c>
      <c r="N22" s="119">
        <f>F22+M22</f>
        <v>0</v>
      </c>
      <c r="O22" s="28"/>
    </row>
    <row r="23" spans="1:15" s="21" customFormat="1" ht="18" customHeight="1">
      <c r="A23" s="20"/>
      <c r="B23" s="20"/>
      <c r="C23" s="121" t="s">
        <v>79</v>
      </c>
      <c r="D23" s="122">
        <f>SUM(D21:D22)</f>
        <v>0</v>
      </c>
      <c r="E23" s="122">
        <f>SUM(E21:E22)</f>
        <v>0</v>
      </c>
      <c r="F23" s="122">
        <f>SUM(D23:E23)</f>
        <v>0</v>
      </c>
      <c r="G23" s="131"/>
      <c r="H23" s="122">
        <f t="shared" ref="H23:M23" si="1">SUM(H21:H22)</f>
        <v>9</v>
      </c>
      <c r="I23" s="122">
        <f t="shared" si="1"/>
        <v>11</v>
      </c>
      <c r="J23" s="122">
        <f t="shared" si="1"/>
        <v>18</v>
      </c>
      <c r="K23" s="122">
        <f t="shared" si="1"/>
        <v>11</v>
      </c>
      <c r="L23" s="122">
        <f t="shared" si="1"/>
        <v>7</v>
      </c>
      <c r="M23" s="122">
        <f t="shared" si="1"/>
        <v>56</v>
      </c>
      <c r="N23" s="132">
        <f>F23+M23</f>
        <v>56</v>
      </c>
      <c r="O23" s="28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5" customFormat="1" ht="18" customHeight="1">
      <c r="A25" s="29"/>
      <c r="B25" s="127" t="s">
        <v>81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s="21" customFormat="1" ht="12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s="21" customFormat="1" ht="18" customHeight="1">
      <c r="A27" s="20"/>
      <c r="B27" s="20"/>
      <c r="C27" s="294"/>
      <c r="D27" s="296" t="s">
        <v>69</v>
      </c>
      <c r="E27" s="297"/>
      <c r="F27" s="297"/>
      <c r="G27" s="298" t="s">
        <v>70</v>
      </c>
      <c r="H27" s="297"/>
      <c r="I27" s="297"/>
      <c r="J27" s="297"/>
      <c r="K27" s="297"/>
      <c r="L27" s="299"/>
      <c r="M27" s="300" t="s">
        <v>36</v>
      </c>
      <c r="N27" s="20"/>
      <c r="O27" s="20"/>
    </row>
    <row r="28" spans="1:15" s="21" customFormat="1" ht="18" customHeight="1">
      <c r="A28" s="20"/>
      <c r="B28" s="20"/>
      <c r="C28" s="295"/>
      <c r="D28" s="133" t="s">
        <v>71</v>
      </c>
      <c r="E28" s="133" t="s">
        <v>72</v>
      </c>
      <c r="F28" s="133" t="s">
        <v>17</v>
      </c>
      <c r="G28" s="134" t="s">
        <v>74</v>
      </c>
      <c r="H28" s="133" t="s">
        <v>75</v>
      </c>
      <c r="I28" s="133" t="s">
        <v>76</v>
      </c>
      <c r="J28" s="133" t="s">
        <v>77</v>
      </c>
      <c r="K28" s="133" t="s">
        <v>78</v>
      </c>
      <c r="L28" s="135" t="s">
        <v>17</v>
      </c>
      <c r="M28" s="301"/>
      <c r="N28" s="20"/>
      <c r="O28" s="20"/>
    </row>
    <row r="29" spans="1:15" s="21" customFormat="1" ht="18" customHeight="1">
      <c r="A29" s="20"/>
      <c r="B29" s="20"/>
      <c r="C29" s="136" t="s">
        <v>31</v>
      </c>
      <c r="D29" s="137">
        <f t="shared" ref="D29:L29" si="2">SUM(D30:D31)</f>
        <v>0</v>
      </c>
      <c r="E29" s="137">
        <f t="shared" si="2"/>
        <v>0</v>
      </c>
      <c r="F29" s="137">
        <f t="shared" si="2"/>
        <v>0</v>
      </c>
      <c r="G29" s="138">
        <f t="shared" si="2"/>
        <v>1</v>
      </c>
      <c r="H29" s="139">
        <f t="shared" si="2"/>
        <v>3</v>
      </c>
      <c r="I29" s="139">
        <f t="shared" si="2"/>
        <v>23</v>
      </c>
      <c r="J29" s="139">
        <f t="shared" si="2"/>
        <v>21</v>
      </c>
      <c r="K29" s="139">
        <f t="shared" si="2"/>
        <v>22</v>
      </c>
      <c r="L29" s="140">
        <f t="shared" si="2"/>
        <v>70</v>
      </c>
      <c r="M29" s="141">
        <f t="shared" ref="M29:M41" si="3">F29+L29</f>
        <v>70</v>
      </c>
      <c r="N29" s="20"/>
      <c r="O29" s="20"/>
    </row>
    <row r="30" spans="1:15" s="21" customFormat="1" ht="18" customHeight="1">
      <c r="A30" s="22"/>
      <c r="B30" s="23"/>
      <c r="C30" s="142" t="s">
        <v>61</v>
      </c>
      <c r="D30" s="143">
        <v>0</v>
      </c>
      <c r="E30" s="143">
        <v>0</v>
      </c>
      <c r="F30" s="117">
        <f>SUM(D30:E30)</f>
        <v>0</v>
      </c>
      <c r="G30" s="144">
        <v>1</v>
      </c>
      <c r="H30" s="143">
        <v>3</v>
      </c>
      <c r="I30" s="143">
        <v>23</v>
      </c>
      <c r="J30" s="143">
        <v>21</v>
      </c>
      <c r="K30" s="143">
        <v>22</v>
      </c>
      <c r="L30" s="117">
        <f>SUM(G30:K30)</f>
        <v>70</v>
      </c>
      <c r="M30" s="120">
        <f t="shared" si="3"/>
        <v>70</v>
      </c>
      <c r="N30" s="20"/>
      <c r="O30" s="31"/>
    </row>
    <row r="31" spans="1:15" s="21" customFormat="1" ht="18" customHeight="1">
      <c r="A31" s="22"/>
      <c r="B31" s="23"/>
      <c r="C31" s="142" t="s">
        <v>62</v>
      </c>
      <c r="D31" s="145">
        <v>0</v>
      </c>
      <c r="E31" s="145">
        <v>0</v>
      </c>
      <c r="F31" s="117">
        <f>SUM(D31:E31)</f>
        <v>0</v>
      </c>
      <c r="G31" s="146">
        <v>0</v>
      </c>
      <c r="H31" s="145">
        <v>0</v>
      </c>
      <c r="I31" s="145">
        <v>0</v>
      </c>
      <c r="J31" s="145">
        <v>0</v>
      </c>
      <c r="K31" s="145">
        <v>0</v>
      </c>
      <c r="L31" s="117">
        <f>SUM(G31:K31)</f>
        <v>0</v>
      </c>
      <c r="M31" s="126">
        <f t="shared" si="3"/>
        <v>0</v>
      </c>
      <c r="N31" s="20"/>
      <c r="O31" s="20"/>
    </row>
    <row r="32" spans="1:15" s="21" customFormat="1" ht="18" customHeight="1">
      <c r="A32" s="20"/>
      <c r="B32" s="20"/>
      <c r="C32" s="136" t="s">
        <v>32</v>
      </c>
      <c r="D32" s="139">
        <f t="shared" ref="D32:L32" si="4">SUM(D33:D34)</f>
        <v>0</v>
      </c>
      <c r="E32" s="139">
        <f t="shared" si="4"/>
        <v>0</v>
      </c>
      <c r="F32" s="139">
        <f t="shared" si="4"/>
        <v>0</v>
      </c>
      <c r="G32" s="138">
        <f t="shared" si="4"/>
        <v>4</v>
      </c>
      <c r="H32" s="139">
        <f t="shared" si="4"/>
        <v>13</v>
      </c>
      <c r="I32" s="139">
        <f t="shared" si="4"/>
        <v>18</v>
      </c>
      <c r="J32" s="139">
        <f t="shared" si="4"/>
        <v>19</v>
      </c>
      <c r="K32" s="139">
        <f t="shared" si="4"/>
        <v>10</v>
      </c>
      <c r="L32" s="139">
        <f t="shared" si="4"/>
        <v>64</v>
      </c>
      <c r="M32" s="119">
        <f t="shared" si="3"/>
        <v>64</v>
      </c>
      <c r="N32" s="20"/>
      <c r="O32" s="20"/>
    </row>
    <row r="33" spans="1:15" s="21" customFormat="1" ht="18" customHeight="1">
      <c r="A33" s="22"/>
      <c r="B33" s="23"/>
      <c r="C33" s="142" t="s">
        <v>61</v>
      </c>
      <c r="D33" s="116">
        <v>0</v>
      </c>
      <c r="E33" s="116">
        <v>0</v>
      </c>
      <c r="F33" s="117">
        <f>SUM(D33:E33)</f>
        <v>0</v>
      </c>
      <c r="G33" s="147">
        <v>4</v>
      </c>
      <c r="H33" s="116">
        <v>13</v>
      </c>
      <c r="I33" s="116">
        <v>17</v>
      </c>
      <c r="J33" s="116">
        <v>19</v>
      </c>
      <c r="K33" s="116">
        <v>10</v>
      </c>
      <c r="L33" s="117">
        <f>SUM(G33:K33)</f>
        <v>63</v>
      </c>
      <c r="M33" s="119">
        <f t="shared" si="3"/>
        <v>63</v>
      </c>
      <c r="N33" s="20"/>
      <c r="O33" s="20"/>
    </row>
    <row r="34" spans="1:15" s="21" customFormat="1" ht="18" customHeight="1">
      <c r="A34" s="22"/>
      <c r="B34" s="23"/>
      <c r="C34" s="142" t="s">
        <v>62</v>
      </c>
      <c r="D34" s="148">
        <v>0</v>
      </c>
      <c r="E34" s="148">
        <v>0</v>
      </c>
      <c r="F34" s="122">
        <f>SUM(D34:E34)</f>
        <v>0</v>
      </c>
      <c r="G34" s="149">
        <v>0</v>
      </c>
      <c r="H34" s="148">
        <v>0</v>
      </c>
      <c r="I34" s="148">
        <v>1</v>
      </c>
      <c r="J34" s="148">
        <v>0</v>
      </c>
      <c r="K34" s="148">
        <v>0</v>
      </c>
      <c r="L34" s="122">
        <f>SUM(G34:K34)</f>
        <v>1</v>
      </c>
      <c r="M34" s="132">
        <f t="shared" si="3"/>
        <v>1</v>
      </c>
      <c r="N34" s="20"/>
      <c r="O34" s="20"/>
    </row>
    <row r="35" spans="1:15" s="21" customFormat="1" ht="18" customHeight="1">
      <c r="A35" s="20"/>
      <c r="B35" s="20"/>
      <c r="C35" s="136" t="s">
        <v>33</v>
      </c>
      <c r="D35" s="139">
        <f t="shared" ref="D35:L35" si="5">SUM(D36:D37)</f>
        <v>0</v>
      </c>
      <c r="E35" s="139">
        <f t="shared" si="5"/>
        <v>0</v>
      </c>
      <c r="F35" s="139">
        <f t="shared" si="5"/>
        <v>0</v>
      </c>
      <c r="G35" s="138">
        <f t="shared" si="5"/>
        <v>0</v>
      </c>
      <c r="H35" s="139">
        <f t="shared" si="5"/>
        <v>0</v>
      </c>
      <c r="I35" s="139">
        <f t="shared" si="5"/>
        <v>0</v>
      </c>
      <c r="J35" s="139">
        <f t="shared" si="5"/>
        <v>0</v>
      </c>
      <c r="K35" s="139">
        <f t="shared" si="5"/>
        <v>0</v>
      </c>
      <c r="L35" s="139">
        <f t="shared" si="5"/>
        <v>0</v>
      </c>
      <c r="M35" s="150">
        <f t="shared" si="3"/>
        <v>0</v>
      </c>
      <c r="N35" s="20"/>
      <c r="O35" s="20"/>
    </row>
    <row r="36" spans="1:15" s="21" customFormat="1" ht="18" customHeight="1">
      <c r="A36" s="22"/>
      <c r="B36" s="23"/>
      <c r="C36" s="142" t="s">
        <v>61</v>
      </c>
      <c r="D36" s="116">
        <v>0</v>
      </c>
      <c r="E36" s="116">
        <v>0</v>
      </c>
      <c r="F36" s="117">
        <f>SUM(D36:E36)</f>
        <v>0</v>
      </c>
      <c r="G36" s="147">
        <v>0</v>
      </c>
      <c r="H36" s="116">
        <v>0</v>
      </c>
      <c r="I36" s="116">
        <v>0</v>
      </c>
      <c r="J36" s="116">
        <v>0</v>
      </c>
      <c r="K36" s="116">
        <v>0</v>
      </c>
      <c r="L36" s="117">
        <f>SUM(G36:K36)</f>
        <v>0</v>
      </c>
      <c r="M36" s="119">
        <f t="shared" si="3"/>
        <v>0</v>
      </c>
      <c r="N36" s="20"/>
      <c r="O36" s="20"/>
    </row>
    <row r="37" spans="1:15" s="21" customFormat="1" ht="18" customHeight="1">
      <c r="A37" s="22"/>
      <c r="B37" s="23"/>
      <c r="C37" s="151" t="s">
        <v>62</v>
      </c>
      <c r="D37" s="148">
        <v>0</v>
      </c>
      <c r="E37" s="148">
        <v>0</v>
      </c>
      <c r="F37" s="122">
        <f>SUM(D37:E37)</f>
        <v>0</v>
      </c>
      <c r="G37" s="149">
        <v>0</v>
      </c>
      <c r="H37" s="148">
        <v>0</v>
      </c>
      <c r="I37" s="148">
        <v>0</v>
      </c>
      <c r="J37" s="148">
        <v>0</v>
      </c>
      <c r="K37" s="148">
        <v>0</v>
      </c>
      <c r="L37" s="122">
        <f>SUM(G37:K37)</f>
        <v>0</v>
      </c>
      <c r="M37" s="132">
        <f t="shared" si="3"/>
        <v>0</v>
      </c>
      <c r="N37" s="20"/>
      <c r="O37" s="20"/>
    </row>
    <row r="38" spans="1:15" s="21" customFormat="1" ht="18" customHeight="1">
      <c r="A38" s="22"/>
      <c r="B38" s="23"/>
      <c r="C38" s="136" t="s">
        <v>34</v>
      </c>
      <c r="D38" s="139">
        <f t="shared" ref="D38:L38" si="6">SUM(D39:D40)</f>
        <v>0</v>
      </c>
      <c r="E38" s="139">
        <f t="shared" si="6"/>
        <v>0</v>
      </c>
      <c r="F38" s="139">
        <f t="shared" si="6"/>
        <v>0</v>
      </c>
      <c r="G38" s="138">
        <f t="shared" si="6"/>
        <v>0</v>
      </c>
      <c r="H38" s="139">
        <f t="shared" si="6"/>
        <v>0</v>
      </c>
      <c r="I38" s="139">
        <f t="shared" si="6"/>
        <v>0</v>
      </c>
      <c r="J38" s="139">
        <f t="shared" si="6"/>
        <v>0</v>
      </c>
      <c r="K38" s="139">
        <f t="shared" si="6"/>
        <v>0</v>
      </c>
      <c r="L38" s="139">
        <f t="shared" si="6"/>
        <v>0</v>
      </c>
      <c r="M38" s="150">
        <f t="shared" si="3"/>
        <v>0</v>
      </c>
      <c r="N38" s="20"/>
      <c r="O38" s="20"/>
    </row>
    <row r="39" spans="1:15" s="21" customFormat="1" ht="18" customHeight="1">
      <c r="A39" s="22"/>
      <c r="B39" s="23"/>
      <c r="C39" s="142" t="s">
        <v>61</v>
      </c>
      <c r="D39" s="116">
        <v>0</v>
      </c>
      <c r="E39" s="116">
        <v>0</v>
      </c>
      <c r="F39" s="117">
        <f>SUM(D39:E39)</f>
        <v>0</v>
      </c>
      <c r="G39" s="147">
        <v>0</v>
      </c>
      <c r="H39" s="116">
        <v>0</v>
      </c>
      <c r="I39" s="116">
        <v>0</v>
      </c>
      <c r="J39" s="116">
        <v>0</v>
      </c>
      <c r="K39" s="116">
        <v>0</v>
      </c>
      <c r="L39" s="117">
        <f>SUM(G39:K39)</f>
        <v>0</v>
      </c>
      <c r="M39" s="119">
        <f t="shared" si="3"/>
        <v>0</v>
      </c>
      <c r="N39" s="20"/>
      <c r="O39" s="20"/>
    </row>
    <row r="40" spans="1:15" s="21" customFormat="1" ht="18" customHeight="1">
      <c r="A40" s="22"/>
      <c r="B40" s="23"/>
      <c r="C40" s="151" t="s">
        <v>62</v>
      </c>
      <c r="D40" s="148">
        <v>0</v>
      </c>
      <c r="E40" s="148">
        <v>0</v>
      </c>
      <c r="F40" s="122">
        <f>SUM(D40:E40)</f>
        <v>0</v>
      </c>
      <c r="G40" s="149">
        <v>0</v>
      </c>
      <c r="H40" s="148">
        <v>0</v>
      </c>
      <c r="I40" s="148">
        <v>0</v>
      </c>
      <c r="J40" s="148">
        <v>0</v>
      </c>
      <c r="K40" s="148">
        <v>0</v>
      </c>
      <c r="L40" s="122">
        <f>SUM(G40:K40)</f>
        <v>0</v>
      </c>
      <c r="M40" s="132">
        <f t="shared" si="3"/>
        <v>0</v>
      </c>
      <c r="N40" s="20"/>
      <c r="O40" s="20"/>
    </row>
    <row r="41" spans="1:15" s="21" customFormat="1" ht="18" customHeight="1">
      <c r="A41" s="20"/>
      <c r="B41" s="20"/>
      <c r="C41" s="121" t="s">
        <v>79</v>
      </c>
      <c r="D41" s="148">
        <v>0</v>
      </c>
      <c r="E41" s="148">
        <v>0</v>
      </c>
      <c r="F41" s="122">
        <f>SUM(D41:E41)</f>
        <v>0</v>
      </c>
      <c r="G41" s="149">
        <v>5</v>
      </c>
      <c r="H41" s="148">
        <v>16</v>
      </c>
      <c r="I41" s="148">
        <v>41</v>
      </c>
      <c r="J41" s="148">
        <v>40</v>
      </c>
      <c r="K41" s="148">
        <v>32</v>
      </c>
      <c r="L41" s="122">
        <f>SUM(G41:K41)</f>
        <v>134</v>
      </c>
      <c r="M41" s="132">
        <f t="shared" si="3"/>
        <v>134</v>
      </c>
      <c r="N41" s="20"/>
      <c r="O41" s="20"/>
    </row>
    <row r="42" spans="1:15" s="21" customFormat="1" ht="12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</sheetData>
  <sheetProtection selectLockedCells="1" selectUnlockedCells="1"/>
  <mergeCells count="14">
    <mergeCell ref="A3:O3"/>
    <mergeCell ref="A4:O4"/>
    <mergeCell ref="C27:C28"/>
    <mergeCell ref="D27:F27"/>
    <mergeCell ref="G27:L27"/>
    <mergeCell ref="M27:M28"/>
    <mergeCell ref="C11:C12"/>
    <mergeCell ref="D11:F11"/>
    <mergeCell ref="G11:M11"/>
    <mergeCell ref="N11:N12"/>
    <mergeCell ref="C19:C20"/>
    <mergeCell ref="D19:F19"/>
    <mergeCell ref="G19:M19"/>
    <mergeCell ref="N19:N20"/>
  </mergeCells>
  <phoneticPr fontId="15"/>
  <pageMargins left="0.7" right="0.7" top="0.7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4" sqref="A4:Q4"/>
    </sheetView>
  </sheetViews>
  <sheetFormatPr defaultColWidth="9" defaultRowHeight="12" customHeight="1"/>
  <cols>
    <col min="1" max="4" width="3.75" style="8" customWidth="1"/>
    <col min="5" max="5" width="33.75" style="8" customWidth="1"/>
    <col min="6" max="8" width="14.375" style="8" customWidth="1"/>
    <col min="9" max="9" width="12.5" style="8" customWidth="1"/>
    <col min="10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C5" s="152"/>
      <c r="D5" s="152"/>
      <c r="E5" s="152"/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C6" s="152"/>
      <c r="D6" s="152"/>
      <c r="E6" s="152"/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B7" s="152"/>
      <c r="C7" s="104" t="s">
        <v>85</v>
      </c>
      <c r="D7" s="152"/>
      <c r="E7" s="152"/>
    </row>
    <row r="8" spans="1:17" ht="18" customHeight="1">
      <c r="B8" s="152"/>
      <c r="C8" s="104" t="s">
        <v>86</v>
      </c>
      <c r="D8" s="152"/>
      <c r="E8" s="152"/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2</v>
      </c>
      <c r="H11" s="162">
        <f>SUM(H12,H18,H21,H26,H30,H31)</f>
        <v>2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1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1</v>
      </c>
      <c r="P11" s="164">
        <f>P12+P18+P21+P26+P30+P31</f>
        <v>3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2</v>
      </c>
      <c r="H26" s="170">
        <f>SUM(H27:H29)</f>
        <v>2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1</v>
      </c>
      <c r="M26" s="168">
        <f t="shared" si="3"/>
        <v>0</v>
      </c>
      <c r="N26" s="169">
        <f t="shared" si="3"/>
        <v>0</v>
      </c>
      <c r="O26" s="168">
        <f t="shared" si="3"/>
        <v>1</v>
      </c>
      <c r="P26" s="172">
        <f t="shared" si="3"/>
        <v>3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1</v>
      </c>
      <c r="H28" s="170">
        <f>SUM(F28:G28)</f>
        <v>1</v>
      </c>
      <c r="I28" s="187"/>
      <c r="J28" s="186">
        <v>0</v>
      </c>
      <c r="K28" s="185">
        <v>0</v>
      </c>
      <c r="L28" s="185">
        <v>1</v>
      </c>
      <c r="M28" s="185">
        <v>0</v>
      </c>
      <c r="N28" s="186">
        <v>0</v>
      </c>
      <c r="O28" s="168">
        <f>SUM(I28:N28)</f>
        <v>1</v>
      </c>
      <c r="P28" s="172">
        <f>H28+O28</f>
        <v>2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1</v>
      </c>
      <c r="H29" s="170">
        <f>SUM(F29:G29)</f>
        <v>1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1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2</v>
      </c>
      <c r="H47" s="214">
        <f>SUM(H11,H32,H42)</f>
        <v>2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1</v>
      </c>
      <c r="M47" s="213">
        <f>SUM(M11,M32,M42)</f>
        <v>0</v>
      </c>
      <c r="N47" s="213">
        <f>SUM(N11,N32,N42)</f>
        <v>0</v>
      </c>
      <c r="O47" s="213">
        <f>O11+O32+O42</f>
        <v>1</v>
      </c>
      <c r="P47" s="215">
        <f>P11+P32+P42</f>
        <v>3</v>
      </c>
    </row>
  </sheetData>
  <sheetProtection selectLockedCells="1" selectUnlockedCells="1"/>
  <mergeCells count="11">
    <mergeCell ref="A3:Q3"/>
    <mergeCell ref="A4:Q4"/>
    <mergeCell ref="C47:E47"/>
    <mergeCell ref="P9:P10"/>
    <mergeCell ref="I9:O9"/>
    <mergeCell ref="F9:H9"/>
    <mergeCell ref="C9:E10"/>
    <mergeCell ref="D39:E39"/>
    <mergeCell ref="D40:E40"/>
    <mergeCell ref="D41:E41"/>
    <mergeCell ref="D33:E33"/>
  </mergeCells>
  <phoneticPr fontId="15"/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82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B7" s="152"/>
      <c r="C7" s="104" t="s">
        <v>85</v>
      </c>
    </row>
    <row r="8" spans="1:17" ht="18" customHeight="1">
      <c r="B8" s="152"/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P9:P10"/>
    <mergeCell ref="I9:O9"/>
    <mergeCell ref="F9:H9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85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205260</v>
      </c>
      <c r="H11" s="162">
        <f>SUM(H12,H18,H21,H26,H30,H31)</f>
        <v>205260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29260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29260</v>
      </c>
      <c r="P11" s="164">
        <f>P12+P18+P21+P26+P30+P31</f>
        <v>234520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205260</v>
      </c>
      <c r="H26" s="170">
        <f>SUM(H27:H29)</f>
        <v>205260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29260</v>
      </c>
      <c r="M26" s="168">
        <f t="shared" si="3"/>
        <v>0</v>
      </c>
      <c r="N26" s="169">
        <f t="shared" si="3"/>
        <v>0</v>
      </c>
      <c r="O26" s="168">
        <f t="shared" si="3"/>
        <v>29260</v>
      </c>
      <c r="P26" s="172">
        <f t="shared" si="3"/>
        <v>234520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29260</v>
      </c>
      <c r="H28" s="170">
        <f>SUM(F28:G28)</f>
        <v>29260</v>
      </c>
      <c r="I28" s="187"/>
      <c r="J28" s="186">
        <v>0</v>
      </c>
      <c r="K28" s="185">
        <v>0</v>
      </c>
      <c r="L28" s="185">
        <v>29260</v>
      </c>
      <c r="M28" s="185">
        <v>0</v>
      </c>
      <c r="N28" s="186">
        <v>0</v>
      </c>
      <c r="O28" s="168">
        <f>SUM(I28:N28)</f>
        <v>29260</v>
      </c>
      <c r="P28" s="172">
        <f>H28+O28</f>
        <v>58520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176000</v>
      </c>
      <c r="H29" s="170">
        <f>SUM(F29:G29)</f>
        <v>176000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176000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205260</v>
      </c>
      <c r="H47" s="214">
        <f>SUM(H11,H32,H42)</f>
        <v>205260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29260</v>
      </c>
      <c r="M47" s="213">
        <f>SUM(M11,M32,M42)</f>
        <v>0</v>
      </c>
      <c r="N47" s="213">
        <f>SUM(N11,N32,N42)</f>
        <v>0</v>
      </c>
      <c r="O47" s="213">
        <f>O11+O32+O42</f>
        <v>29260</v>
      </c>
      <c r="P47" s="215">
        <f>P11+P32+P42</f>
        <v>234520</v>
      </c>
    </row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85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184734</v>
      </c>
      <c r="H11" s="162">
        <f>SUM(H12,H18,H21,H26,H30,H31)</f>
        <v>184734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26334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26334</v>
      </c>
      <c r="P11" s="164">
        <f>P12+P18+P21+P26+P30+P31</f>
        <v>211068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184734</v>
      </c>
      <c r="H26" s="170">
        <f>SUM(H27:H29)</f>
        <v>184734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26334</v>
      </c>
      <c r="M26" s="168">
        <f t="shared" si="3"/>
        <v>0</v>
      </c>
      <c r="N26" s="169">
        <f t="shared" si="3"/>
        <v>0</v>
      </c>
      <c r="O26" s="168">
        <f t="shared" si="3"/>
        <v>26334</v>
      </c>
      <c r="P26" s="172">
        <f t="shared" si="3"/>
        <v>211068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26334</v>
      </c>
      <c r="H28" s="170">
        <f>SUM(F28:G28)</f>
        <v>26334</v>
      </c>
      <c r="I28" s="187"/>
      <c r="J28" s="186">
        <v>0</v>
      </c>
      <c r="K28" s="185">
        <v>0</v>
      </c>
      <c r="L28" s="185">
        <v>26334</v>
      </c>
      <c r="M28" s="185">
        <v>0</v>
      </c>
      <c r="N28" s="186">
        <v>0</v>
      </c>
      <c r="O28" s="168">
        <f>SUM(I28:N28)</f>
        <v>26334</v>
      </c>
      <c r="P28" s="172">
        <f>H28+O28</f>
        <v>52668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158400</v>
      </c>
      <c r="H29" s="170">
        <f>SUM(F29:G29)</f>
        <v>158400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158400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184734</v>
      </c>
      <c r="H47" s="214">
        <f>SUM(H11,H32,H42)</f>
        <v>184734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26334</v>
      </c>
      <c r="M47" s="213">
        <f>SUM(M11,M32,M42)</f>
        <v>0</v>
      </c>
      <c r="N47" s="213">
        <f>SUM(N11,N32,N42)</f>
        <v>0</v>
      </c>
      <c r="O47" s="213">
        <f>O11+O32+O42</f>
        <v>26334</v>
      </c>
      <c r="P47" s="215">
        <f>P11+P32+P42</f>
        <v>211068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C5" s="152"/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C6" s="152"/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B7" s="152"/>
      <c r="C7" s="104" t="s">
        <v>126</v>
      </c>
    </row>
    <row r="8" spans="1:17" ht="18" customHeight="1">
      <c r="B8" s="152"/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82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126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227"/>
      <c r="G29" s="227"/>
      <c r="H29" s="228"/>
      <c r="I29" s="229"/>
      <c r="J29" s="227"/>
      <c r="K29" s="227"/>
      <c r="L29" s="227"/>
      <c r="M29" s="227"/>
      <c r="N29" s="227"/>
      <c r="O29" s="228"/>
      <c r="P29" s="230"/>
    </row>
    <row r="30" spans="3:16" ht="18" customHeight="1">
      <c r="C30" s="158" t="s">
        <v>109</v>
      </c>
      <c r="D30" s="199"/>
      <c r="E30" s="200"/>
      <c r="F30" s="168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</sheetData>
  <sheetProtection selectLockedCells="1" selectUnlockedCells="1"/>
  <mergeCells count="9">
    <mergeCell ref="C45:E45"/>
    <mergeCell ref="D38:E38"/>
    <mergeCell ref="D39:E39"/>
    <mergeCell ref="A3:Q3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126</v>
      </c>
    </row>
    <row r="8" spans="1:17" ht="18" customHeight="1">
      <c r="C8" s="231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D33:E33"/>
    <mergeCell ref="D39:E39"/>
    <mergeCell ref="D40:E40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126</v>
      </c>
    </row>
    <row r="8" spans="1:17" ht="18" customHeight="1">
      <c r="C8" s="231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D33:E33"/>
    <mergeCell ref="D39:E39"/>
    <mergeCell ref="D40:E40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A3:Q3"/>
    <mergeCell ref="A4:Q4"/>
    <mergeCell ref="C9:E10"/>
    <mergeCell ref="F9:H9"/>
    <mergeCell ref="I9:O9"/>
    <mergeCell ref="P9:P10"/>
    <mergeCell ref="D33:E33"/>
    <mergeCell ref="D39:E39"/>
    <mergeCell ref="D40:E40"/>
    <mergeCell ref="D41:E41"/>
    <mergeCell ref="C47:E47"/>
  </mergeCells>
  <phoneticPr fontId="15"/>
  <pageMargins left="0.7" right="0.7" top="0.75" bottom="0.75" header="0.3" footer="0.3"/>
  <pageSetup paperSize="9" scale="6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82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227"/>
      <c r="G29" s="227"/>
      <c r="H29" s="228"/>
      <c r="I29" s="229"/>
      <c r="J29" s="227"/>
      <c r="K29" s="227"/>
      <c r="L29" s="227"/>
      <c r="M29" s="227"/>
      <c r="N29" s="227"/>
      <c r="O29" s="228"/>
      <c r="P29" s="230"/>
    </row>
    <row r="30" spans="3:16" ht="18" customHeight="1">
      <c r="C30" s="158" t="s">
        <v>109</v>
      </c>
      <c r="D30" s="199"/>
      <c r="E30" s="200"/>
      <c r="F30" s="168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</sheetData>
  <sheetProtection selectLockedCells="1" selectUnlockedCells="1"/>
  <mergeCells count="9">
    <mergeCell ref="D38:E38"/>
    <mergeCell ref="D39:E39"/>
    <mergeCell ref="C45:E45"/>
    <mergeCell ref="A3:Q3"/>
    <mergeCell ref="A4:Q4"/>
    <mergeCell ref="C9:E10"/>
    <mergeCell ref="F9:H9"/>
    <mergeCell ref="I9:O9"/>
    <mergeCell ref="P9:P10"/>
  </mergeCells>
  <phoneticPr fontId="15"/>
  <pageMargins left="0.7" right="0.7" top="0.75" bottom="0.75" header="0.3" footer="0.3"/>
  <pageSetup paperSize="9" scale="6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231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A3:Q3"/>
    <mergeCell ref="A4:Q4"/>
    <mergeCell ref="C9:E10"/>
    <mergeCell ref="F9:H9"/>
    <mergeCell ref="I9:O9"/>
    <mergeCell ref="P9:P10"/>
    <mergeCell ref="D33:E33"/>
    <mergeCell ref="D39:E39"/>
    <mergeCell ref="D40:E40"/>
    <mergeCell ref="D41:E41"/>
    <mergeCell ref="C47:E47"/>
  </mergeCells>
  <phoneticPr fontId="15"/>
  <pageMargins left="0.7" right="0.7" top="0.75" bottom="0.75" header="0.3" footer="0.3"/>
  <pageSetup paperSize="9" scale="6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82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127</v>
      </c>
    </row>
    <row r="8" spans="1:17" ht="18" customHeight="1">
      <c r="C8" s="231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227"/>
      <c r="G31" s="227"/>
      <c r="H31" s="228"/>
      <c r="I31" s="229"/>
      <c r="J31" s="227"/>
      <c r="K31" s="227"/>
      <c r="L31" s="227"/>
      <c r="M31" s="227"/>
      <c r="N31" s="227"/>
      <c r="O31" s="228"/>
      <c r="P31" s="230"/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A3:Q3"/>
    <mergeCell ref="A4:Q4"/>
    <mergeCell ref="C9:E10"/>
    <mergeCell ref="F9:H9"/>
    <mergeCell ref="I9:O9"/>
    <mergeCell ref="P9:P10"/>
    <mergeCell ref="D33:E33"/>
    <mergeCell ref="D39:E39"/>
    <mergeCell ref="D40:E40"/>
    <mergeCell ref="D41:E41"/>
    <mergeCell ref="C47:E47"/>
  </mergeCells>
  <phoneticPr fontId="15"/>
  <pageMargins left="0.7" right="0.7" top="0.75" bottom="0.75" header="0.3" footer="0.3"/>
  <pageSetup paperSize="9" scale="6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128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128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  <row r="46" spans="3:16" ht="12" customHeight="1"/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F9:H9"/>
    <mergeCell ref="I9:O9"/>
    <mergeCell ref="P9:P1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128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128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129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A4:Q4"/>
    <mergeCell ref="C9:E10"/>
    <mergeCell ref="F9:H9"/>
    <mergeCell ref="I9:O9"/>
    <mergeCell ref="P9:P10"/>
    <mergeCell ref="D33:E33"/>
    <mergeCell ref="D39:E39"/>
    <mergeCell ref="D40:E40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customWidth="1"/>
  </cols>
  <sheetData>
    <row r="1" spans="1:17" ht="18" customHeight="1">
      <c r="A1" s="104" t="s">
        <v>130</v>
      </c>
      <c r="Q1" s="216"/>
    </row>
    <row r="2" spans="1:17" ht="18" customHeight="1">
      <c r="Q2" s="216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  <row r="46" spans="3:16" ht="12" customHeight="1"/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F9:H9"/>
    <mergeCell ref="I9:O9"/>
    <mergeCell ref="P9:P1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131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86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122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SUM(F12,F18,F21,F26,F28,F29)</f>
        <v>0</v>
      </c>
      <c r="G11" s="160">
        <f>SUM(G12,G18,G21,G26,G28,G29)</f>
        <v>0</v>
      </c>
      <c r="H11" s="162">
        <f>SUM(H12,H18,H21,H26,H28,H29)</f>
        <v>0</v>
      </c>
      <c r="I11" s="163"/>
      <c r="J11" s="160">
        <f t="shared" ref="J11:O11" si="0">SUM(J12,J18,J21,J26,J28,J29)</f>
        <v>0</v>
      </c>
      <c r="K11" s="160">
        <f t="shared" si="0"/>
        <v>0</v>
      </c>
      <c r="L11" s="160">
        <f t="shared" si="0"/>
        <v>0</v>
      </c>
      <c r="M11" s="160">
        <f t="shared" si="0"/>
        <v>0</v>
      </c>
      <c r="N11" s="160">
        <f t="shared" si="0"/>
        <v>0</v>
      </c>
      <c r="O11" s="160">
        <f t="shared" si="0"/>
        <v>0</v>
      </c>
      <c r="P11" s="164">
        <f>P12+P18+P21+P26+P28+P29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1">SUM(J13:J17)</f>
        <v>0</v>
      </c>
      <c r="K12" s="168">
        <f t="shared" si="1"/>
        <v>0</v>
      </c>
      <c r="L12" s="168">
        <f t="shared" si="1"/>
        <v>0</v>
      </c>
      <c r="M12" s="168">
        <f t="shared" si="1"/>
        <v>0</v>
      </c>
      <c r="N12" s="169">
        <f t="shared" si="1"/>
        <v>0</v>
      </c>
      <c r="O12" s="168">
        <f t="shared" si="1"/>
        <v>0</v>
      </c>
      <c r="P12" s="172">
        <f t="shared" si="1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2">SUM(J19:J20)</f>
        <v>0</v>
      </c>
      <c r="K18" s="168">
        <f t="shared" si="2"/>
        <v>0</v>
      </c>
      <c r="L18" s="168">
        <f t="shared" si="2"/>
        <v>0</v>
      </c>
      <c r="M18" s="168">
        <f t="shared" si="2"/>
        <v>0</v>
      </c>
      <c r="N18" s="169">
        <f t="shared" si="2"/>
        <v>0</v>
      </c>
      <c r="O18" s="168">
        <f t="shared" si="2"/>
        <v>0</v>
      </c>
      <c r="P18" s="172">
        <f t="shared" si="2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3">SUM(J22:J25)</f>
        <v>0</v>
      </c>
      <c r="K21" s="168">
        <f t="shared" si="3"/>
        <v>0</v>
      </c>
      <c r="L21" s="168">
        <f t="shared" si="3"/>
        <v>0</v>
      </c>
      <c r="M21" s="168">
        <f t="shared" si="3"/>
        <v>0</v>
      </c>
      <c r="N21" s="169">
        <f t="shared" si="3"/>
        <v>0</v>
      </c>
      <c r="O21" s="168">
        <f t="shared" si="3"/>
        <v>0</v>
      </c>
      <c r="P21" s="172">
        <f t="shared" si="3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SUM(F27)</f>
        <v>0</v>
      </c>
      <c r="G26" s="168">
        <f>SUM(G27)</f>
        <v>0</v>
      </c>
      <c r="H26" s="170">
        <f>H27</f>
        <v>0</v>
      </c>
      <c r="I26" s="171"/>
      <c r="J26" s="169">
        <f>SUM(J27)</f>
        <v>0</v>
      </c>
      <c r="K26" s="168">
        <f t="shared" ref="K26:P26" si="4">K27</f>
        <v>0</v>
      </c>
      <c r="L26" s="168">
        <f t="shared" si="4"/>
        <v>0</v>
      </c>
      <c r="M26" s="168">
        <f t="shared" si="4"/>
        <v>0</v>
      </c>
      <c r="N26" s="169">
        <f t="shared" si="4"/>
        <v>0</v>
      </c>
      <c r="O26" s="168">
        <f t="shared" si="4"/>
        <v>0</v>
      </c>
      <c r="P26" s="172">
        <f t="shared" si="4"/>
        <v>0</v>
      </c>
    </row>
    <row r="27" spans="3:16" ht="18" customHeight="1">
      <c r="C27" s="165"/>
      <c r="D27" s="173"/>
      <c r="E27" s="174" t="s">
        <v>104</v>
      </c>
      <c r="F27" s="217">
        <v>0</v>
      </c>
      <c r="G27" s="218">
        <v>0</v>
      </c>
      <c r="H27" s="170">
        <f>SUM(F27:G27)</f>
        <v>0</v>
      </c>
      <c r="I27" s="177"/>
      <c r="J27" s="218">
        <v>0</v>
      </c>
      <c r="K27" s="217">
        <v>0</v>
      </c>
      <c r="L27" s="217">
        <v>0</v>
      </c>
      <c r="M27" s="217">
        <v>0</v>
      </c>
      <c r="N27" s="218">
        <v>0</v>
      </c>
      <c r="O27" s="168">
        <f>SUM(I27:N27)</f>
        <v>0</v>
      </c>
      <c r="P27" s="172">
        <f>H27+O27</f>
        <v>0</v>
      </c>
    </row>
    <row r="28" spans="3:16" ht="18" customHeight="1">
      <c r="C28" s="201"/>
      <c r="D28" s="207" t="s">
        <v>123</v>
      </c>
      <c r="E28" s="178"/>
      <c r="F28" s="203">
        <v>0</v>
      </c>
      <c r="G28" s="203">
        <v>0</v>
      </c>
      <c r="H28" s="204">
        <f>SUM(F28:G28)</f>
        <v>0</v>
      </c>
      <c r="I28" s="177"/>
      <c r="J28" s="203">
        <v>0</v>
      </c>
      <c r="K28" s="202">
        <v>0</v>
      </c>
      <c r="L28" s="202">
        <v>0</v>
      </c>
      <c r="M28" s="202">
        <v>0</v>
      </c>
      <c r="N28" s="203">
        <v>0</v>
      </c>
      <c r="O28" s="205">
        <f>SUM(I28:N28)</f>
        <v>0</v>
      </c>
      <c r="P28" s="206">
        <f>H28+O28</f>
        <v>0</v>
      </c>
    </row>
    <row r="29" spans="3:16" ht="18" customHeight="1">
      <c r="C29" s="192"/>
      <c r="D29" s="193" t="s">
        <v>108</v>
      </c>
      <c r="E29" s="194"/>
      <c r="F29" s="195">
        <v>0</v>
      </c>
      <c r="G29" s="196">
        <v>0</v>
      </c>
      <c r="H29" s="197">
        <f>SUM(F29:G29)</f>
        <v>0</v>
      </c>
      <c r="I29" s="177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97">
        <f>SUM(I29:N29)</f>
        <v>0</v>
      </c>
      <c r="P29" s="198">
        <f>H29+O29</f>
        <v>0</v>
      </c>
    </row>
    <row r="30" spans="3:16" ht="18" customHeight="1">
      <c r="C30" s="158" t="s">
        <v>109</v>
      </c>
      <c r="D30" s="199"/>
      <c r="E30" s="200"/>
      <c r="F30" s="160">
        <f>SUM(F31:F39)</f>
        <v>0</v>
      </c>
      <c r="G30" s="161">
        <f>SUM(G31:G39)</f>
        <v>0</v>
      </c>
      <c r="H30" s="162">
        <f>SUM(H31:H39)</f>
        <v>0</v>
      </c>
      <c r="I30" s="163"/>
      <c r="J30" s="219">
        <f t="shared" ref="J30:P30" si="5">SUM(J31:J39)</f>
        <v>0</v>
      </c>
      <c r="K30" s="160">
        <f t="shared" si="5"/>
        <v>0</v>
      </c>
      <c r="L30" s="160">
        <f t="shared" si="5"/>
        <v>0</v>
      </c>
      <c r="M30" s="160">
        <f t="shared" si="5"/>
        <v>0</v>
      </c>
      <c r="N30" s="161">
        <f t="shared" si="5"/>
        <v>0</v>
      </c>
      <c r="O30" s="160">
        <f t="shared" si="5"/>
        <v>0</v>
      </c>
      <c r="P30" s="164">
        <f t="shared" si="5"/>
        <v>0</v>
      </c>
    </row>
    <row r="31" spans="3:16" ht="18" customHeight="1">
      <c r="C31" s="201"/>
      <c r="D31" s="207" t="s">
        <v>110</v>
      </c>
      <c r="E31" s="178"/>
      <c r="F31" s="202">
        <v>0</v>
      </c>
      <c r="G31" s="203">
        <v>0</v>
      </c>
      <c r="H31" s="204">
        <f t="shared" ref="H31:H39" si="6">SUM(F31:G31)</f>
        <v>0</v>
      </c>
      <c r="I31" s="177"/>
      <c r="J31" s="203">
        <v>0</v>
      </c>
      <c r="K31" s="202">
        <v>0</v>
      </c>
      <c r="L31" s="202">
        <v>0</v>
      </c>
      <c r="M31" s="202">
        <v>0</v>
      </c>
      <c r="N31" s="203">
        <v>0</v>
      </c>
      <c r="O31" s="205">
        <f t="shared" ref="O31:O39" si="7">SUM(I31:N31)</f>
        <v>0</v>
      </c>
      <c r="P31" s="206">
        <f t="shared" ref="P31:P39" si="8">H31+O31</f>
        <v>0</v>
      </c>
    </row>
    <row r="32" spans="3:16" ht="18" customHeight="1">
      <c r="C32" s="165"/>
      <c r="D32" s="207" t="s">
        <v>111</v>
      </c>
      <c r="E32" s="178"/>
      <c r="F32" s="202">
        <v>0</v>
      </c>
      <c r="G32" s="203">
        <v>0</v>
      </c>
      <c r="H32" s="170">
        <f t="shared" si="6"/>
        <v>0</v>
      </c>
      <c r="I32" s="177"/>
      <c r="J32" s="220">
        <v>0</v>
      </c>
      <c r="K32" s="175">
        <v>0</v>
      </c>
      <c r="L32" s="175">
        <v>0</v>
      </c>
      <c r="M32" s="175">
        <v>0</v>
      </c>
      <c r="N32" s="176">
        <v>0</v>
      </c>
      <c r="O32" s="168">
        <f t="shared" si="7"/>
        <v>0</v>
      </c>
      <c r="P32" s="172">
        <f t="shared" si="8"/>
        <v>0</v>
      </c>
    </row>
    <row r="33" spans="3:16" ht="18" customHeight="1">
      <c r="C33" s="165"/>
      <c r="D33" s="180" t="s">
        <v>112</v>
      </c>
      <c r="E33" s="191"/>
      <c r="F33" s="175">
        <v>0</v>
      </c>
      <c r="G33" s="176">
        <v>0</v>
      </c>
      <c r="H33" s="170">
        <f t="shared" si="6"/>
        <v>0</v>
      </c>
      <c r="I33" s="177"/>
      <c r="J33" s="176">
        <v>0</v>
      </c>
      <c r="K33" s="175">
        <v>0</v>
      </c>
      <c r="L33" s="175">
        <v>0</v>
      </c>
      <c r="M33" s="175">
        <v>0</v>
      </c>
      <c r="N33" s="176">
        <v>0</v>
      </c>
      <c r="O33" s="168">
        <f t="shared" si="7"/>
        <v>0</v>
      </c>
      <c r="P33" s="172">
        <f t="shared" si="8"/>
        <v>0</v>
      </c>
    </row>
    <row r="34" spans="3:16" ht="18" customHeight="1">
      <c r="C34" s="165"/>
      <c r="D34" s="207" t="s">
        <v>113</v>
      </c>
      <c r="E34" s="178"/>
      <c r="F34" s="175">
        <v>0</v>
      </c>
      <c r="G34" s="176">
        <v>0</v>
      </c>
      <c r="H34" s="170">
        <f t="shared" si="6"/>
        <v>0</v>
      </c>
      <c r="I34" s="177"/>
      <c r="J34" s="220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7"/>
        <v>0</v>
      </c>
      <c r="P34" s="172">
        <f t="shared" si="8"/>
        <v>0</v>
      </c>
    </row>
    <row r="35" spans="3:16" ht="18" customHeight="1">
      <c r="C35" s="165"/>
      <c r="D35" s="207" t="s">
        <v>114</v>
      </c>
      <c r="E35" s="178"/>
      <c r="F35" s="175">
        <v>0</v>
      </c>
      <c r="G35" s="176">
        <v>0</v>
      </c>
      <c r="H35" s="170">
        <f t="shared" si="6"/>
        <v>0</v>
      </c>
      <c r="I35" s="177"/>
      <c r="J35" s="220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7"/>
        <v>0</v>
      </c>
      <c r="P35" s="172">
        <f t="shared" si="8"/>
        <v>0</v>
      </c>
    </row>
    <row r="36" spans="3:16" ht="18" customHeight="1">
      <c r="C36" s="165"/>
      <c r="D36" s="207" t="s">
        <v>115</v>
      </c>
      <c r="E36" s="178"/>
      <c r="F36" s="203">
        <v>0</v>
      </c>
      <c r="G36" s="176">
        <v>0</v>
      </c>
      <c r="H36" s="170">
        <f t="shared" si="6"/>
        <v>0</v>
      </c>
      <c r="I36" s="177"/>
      <c r="J36" s="220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7"/>
        <v>0</v>
      </c>
      <c r="P36" s="172">
        <f t="shared" si="8"/>
        <v>0</v>
      </c>
    </row>
    <row r="37" spans="3:16" ht="18" customHeight="1">
      <c r="C37" s="165"/>
      <c r="D37" s="207" t="s">
        <v>116</v>
      </c>
      <c r="E37" s="178"/>
      <c r="F37" s="202">
        <v>0</v>
      </c>
      <c r="G37" s="203">
        <v>0</v>
      </c>
      <c r="H37" s="170">
        <f t="shared" si="6"/>
        <v>0</v>
      </c>
      <c r="I37" s="177"/>
      <c r="J37" s="220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7"/>
        <v>0</v>
      </c>
      <c r="P37" s="172">
        <f t="shared" si="8"/>
        <v>0</v>
      </c>
    </row>
    <row r="38" spans="3:16" ht="18" customHeight="1">
      <c r="C38" s="165"/>
      <c r="D38" s="322" t="s">
        <v>117</v>
      </c>
      <c r="E38" s="323"/>
      <c r="F38" s="175">
        <v>0</v>
      </c>
      <c r="G38" s="175">
        <v>0</v>
      </c>
      <c r="H38" s="170">
        <f t="shared" si="6"/>
        <v>0</v>
      </c>
      <c r="I38" s="177"/>
      <c r="J38" s="221">
        <v>0</v>
      </c>
      <c r="K38" s="222">
        <v>0</v>
      </c>
      <c r="L38" s="222">
        <v>0</v>
      </c>
      <c r="M38" s="222">
        <v>0</v>
      </c>
      <c r="N38" s="223">
        <v>0</v>
      </c>
      <c r="O38" s="168">
        <f t="shared" si="7"/>
        <v>0</v>
      </c>
      <c r="P38" s="172">
        <f t="shared" si="8"/>
        <v>0</v>
      </c>
    </row>
    <row r="39" spans="3:16" ht="18" customHeight="1">
      <c r="C39" s="208"/>
      <c r="D39" s="325" t="s">
        <v>118</v>
      </c>
      <c r="E39" s="327"/>
      <c r="F39" s="175">
        <v>0</v>
      </c>
      <c r="G39" s="175">
        <v>0</v>
      </c>
      <c r="H39" s="170">
        <f t="shared" si="6"/>
        <v>0</v>
      </c>
      <c r="I39" s="177"/>
      <c r="J39" s="224">
        <v>0</v>
      </c>
      <c r="K39" s="195">
        <v>0</v>
      </c>
      <c r="L39" s="195">
        <v>0</v>
      </c>
      <c r="M39" s="195">
        <v>0</v>
      </c>
      <c r="N39" s="196">
        <v>0</v>
      </c>
      <c r="O39" s="209">
        <f t="shared" si="7"/>
        <v>0</v>
      </c>
      <c r="P39" s="198">
        <f t="shared" si="8"/>
        <v>0</v>
      </c>
    </row>
    <row r="40" spans="3:16" ht="18" customHeight="1">
      <c r="C40" s="165" t="s">
        <v>119</v>
      </c>
      <c r="D40" s="167"/>
      <c r="E40" s="167"/>
      <c r="F40" s="161">
        <f>SUM(F41:F44)</f>
        <v>0</v>
      </c>
      <c r="G40" s="161">
        <f>SUM(G41:G44)</f>
        <v>0</v>
      </c>
      <c r="H40" s="162">
        <f>SUM(H41:H44)</f>
        <v>0</v>
      </c>
      <c r="I40" s="163"/>
      <c r="J40" s="219">
        <f t="shared" ref="J40:P40" si="9">SUM(J41:J44)</f>
        <v>0</v>
      </c>
      <c r="K40" s="160">
        <f t="shared" si="9"/>
        <v>0</v>
      </c>
      <c r="L40" s="160">
        <f t="shared" si="9"/>
        <v>0</v>
      </c>
      <c r="M40" s="160">
        <f t="shared" si="9"/>
        <v>0</v>
      </c>
      <c r="N40" s="161">
        <f t="shared" si="9"/>
        <v>0</v>
      </c>
      <c r="O40" s="160">
        <f t="shared" si="9"/>
        <v>0</v>
      </c>
      <c r="P40" s="164">
        <f t="shared" si="9"/>
        <v>0</v>
      </c>
    </row>
    <row r="41" spans="3:16" ht="18" customHeight="1">
      <c r="C41" s="165"/>
      <c r="D41" s="210" t="s">
        <v>31</v>
      </c>
      <c r="E41" s="210"/>
      <c r="F41" s="176">
        <v>0</v>
      </c>
      <c r="G41" s="176">
        <v>0</v>
      </c>
      <c r="H41" s="170">
        <f>SUM(F41:G41)</f>
        <v>0</v>
      </c>
      <c r="I41" s="177"/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68">
        <f>SUM(I41:N41)</f>
        <v>0</v>
      </c>
      <c r="P41" s="172">
        <f>H41+O41</f>
        <v>0</v>
      </c>
    </row>
    <row r="42" spans="3:16" ht="18" customHeight="1">
      <c r="C42" s="165"/>
      <c r="D42" s="210" t="s">
        <v>32</v>
      </c>
      <c r="E42" s="210"/>
      <c r="F42" s="175">
        <v>0</v>
      </c>
      <c r="G42" s="176">
        <v>0</v>
      </c>
      <c r="H42" s="170">
        <f>SUM(F42:G42)</f>
        <v>0</v>
      </c>
      <c r="I42" s="177"/>
      <c r="J42" s="176">
        <v>0</v>
      </c>
      <c r="K42" s="175">
        <v>0</v>
      </c>
      <c r="L42" s="176">
        <v>0</v>
      </c>
      <c r="M42" s="175">
        <v>0</v>
      </c>
      <c r="N42" s="176">
        <v>0</v>
      </c>
      <c r="O42" s="168">
        <f>SUM(I42:N42)</f>
        <v>0</v>
      </c>
      <c r="P42" s="172">
        <f>H42+O42</f>
        <v>0</v>
      </c>
    </row>
    <row r="43" spans="3:16" ht="18" customHeight="1">
      <c r="C43" s="165"/>
      <c r="D43" s="211" t="s">
        <v>33</v>
      </c>
      <c r="E43" s="211"/>
      <c r="F43" s="202">
        <v>0</v>
      </c>
      <c r="G43" s="203">
        <v>0</v>
      </c>
      <c r="H43" s="170">
        <f>SUM(F43:G43)</f>
        <v>0</v>
      </c>
      <c r="I43" s="177"/>
      <c r="J43" s="203">
        <v>0</v>
      </c>
      <c r="K43" s="202">
        <v>0</v>
      </c>
      <c r="L43" s="203">
        <v>0</v>
      </c>
      <c r="M43" s="202">
        <v>0</v>
      </c>
      <c r="N43" s="203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2" t="s">
        <v>120</v>
      </c>
      <c r="E44" s="212"/>
      <c r="F44" s="195">
        <v>0</v>
      </c>
      <c r="G44" s="196">
        <v>0</v>
      </c>
      <c r="H44" s="197">
        <f>SUM(F44:G44)</f>
        <v>0</v>
      </c>
      <c r="I44" s="177"/>
      <c r="J44" s="196">
        <v>0</v>
      </c>
      <c r="K44" s="195">
        <v>0</v>
      </c>
      <c r="L44" s="196">
        <v>0</v>
      </c>
      <c r="M44" s="195">
        <v>0</v>
      </c>
      <c r="N44" s="196">
        <v>0</v>
      </c>
      <c r="O44" s="209">
        <f>SUM(I44:N44)</f>
        <v>0</v>
      </c>
      <c r="P44" s="198">
        <f>H44+O44</f>
        <v>0</v>
      </c>
    </row>
    <row r="45" spans="3:16" ht="18" customHeight="1">
      <c r="C45" s="307" t="s">
        <v>121</v>
      </c>
      <c r="D45" s="308"/>
      <c r="E45" s="309"/>
      <c r="F45" s="213">
        <f>F11+F30+F40</f>
        <v>0</v>
      </c>
      <c r="G45" s="225">
        <f>G11+G30+G40</f>
        <v>0</v>
      </c>
      <c r="H45" s="214">
        <f>H11+H30+H40</f>
        <v>0</v>
      </c>
      <c r="I45" s="124"/>
      <c r="J45" s="226">
        <f t="shared" ref="J45:P45" si="10">J11+J30+J40</f>
        <v>0</v>
      </c>
      <c r="K45" s="213">
        <f t="shared" si="10"/>
        <v>0</v>
      </c>
      <c r="L45" s="213">
        <f t="shared" si="10"/>
        <v>0</v>
      </c>
      <c r="M45" s="213">
        <f t="shared" si="10"/>
        <v>0</v>
      </c>
      <c r="N45" s="225">
        <f t="shared" si="10"/>
        <v>0</v>
      </c>
      <c r="O45" s="213">
        <f t="shared" si="10"/>
        <v>0</v>
      </c>
      <c r="P45" s="215">
        <f t="shared" si="10"/>
        <v>0</v>
      </c>
    </row>
    <row r="46" spans="3:16" ht="12" customHeight="1"/>
  </sheetData>
  <sheetProtection selectLockedCells="1" selectUnlockedCells="1"/>
  <mergeCells count="9">
    <mergeCell ref="C45:E45"/>
    <mergeCell ref="D38:E38"/>
    <mergeCell ref="D39:E39"/>
    <mergeCell ref="A3:Q3"/>
    <mergeCell ref="C9:E10"/>
    <mergeCell ref="F9:H9"/>
    <mergeCell ref="I9:O9"/>
    <mergeCell ref="P9:P10"/>
    <mergeCell ref="A4:Q4"/>
  </mergeCells>
  <phoneticPr fontId="15"/>
  <pageMargins left="0.7" right="0.7" top="0.75" bottom="0.75" header="0.3" footer="0.3"/>
  <pageSetup paperSize="9" scale="6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124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3.7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132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84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133</v>
      </c>
    </row>
    <row r="8" spans="1:17" ht="18" customHeight="1">
      <c r="C8" s="104" t="s">
        <v>125</v>
      </c>
    </row>
    <row r="9" spans="1:17" ht="18" customHeight="1">
      <c r="C9" s="316" t="s">
        <v>87</v>
      </c>
      <c r="D9" s="317"/>
      <c r="E9" s="318"/>
      <c r="F9" s="315" t="s">
        <v>69</v>
      </c>
      <c r="G9" s="313"/>
      <c r="H9" s="314"/>
      <c r="I9" s="312" t="s">
        <v>70</v>
      </c>
      <c r="J9" s="313"/>
      <c r="K9" s="313"/>
      <c r="L9" s="313"/>
      <c r="M9" s="313"/>
      <c r="N9" s="313"/>
      <c r="O9" s="314"/>
      <c r="P9" s="310" t="s">
        <v>36</v>
      </c>
    </row>
    <row r="10" spans="1:17" ht="18" customHeight="1">
      <c r="C10" s="319"/>
      <c r="D10" s="320"/>
      <c r="E10" s="321"/>
      <c r="F10" s="154" t="s">
        <v>71</v>
      </c>
      <c r="G10" s="155" t="s">
        <v>72</v>
      </c>
      <c r="H10" s="156" t="s">
        <v>17</v>
      </c>
      <c r="I10" s="157" t="s">
        <v>73</v>
      </c>
      <c r="J10" s="155" t="s">
        <v>74</v>
      </c>
      <c r="K10" s="154" t="s">
        <v>75</v>
      </c>
      <c r="L10" s="154" t="s">
        <v>76</v>
      </c>
      <c r="M10" s="154" t="s">
        <v>77</v>
      </c>
      <c r="N10" s="155" t="s">
        <v>78</v>
      </c>
      <c r="O10" s="156" t="s">
        <v>17</v>
      </c>
      <c r="P10" s="311"/>
    </row>
    <row r="11" spans="1:17" ht="18" customHeight="1">
      <c r="C11" s="158" t="s">
        <v>88</v>
      </c>
      <c r="D11" s="159"/>
      <c r="E11" s="159"/>
      <c r="F11" s="160">
        <f>SUM(F12,F18,F21,F26,F30,F31)</f>
        <v>0</v>
      </c>
      <c r="G11" s="161">
        <f>SUM(G12,G18,G21,G26,G30,G31)</f>
        <v>0</v>
      </c>
      <c r="H11" s="162">
        <f>SUM(H12,H18,H21,H26,H30,H31)</f>
        <v>0</v>
      </c>
      <c r="I11" s="163"/>
      <c r="J11" s="161">
        <f>SUM(J12,J18,J21,J26,J30,J31)</f>
        <v>0</v>
      </c>
      <c r="K11" s="161">
        <f>SUM(K12,K18,K21,K26,K30,K31)</f>
        <v>0</v>
      </c>
      <c r="L11" s="160">
        <f>SUM(L12,L18,L21,L26,L30,L31)</f>
        <v>0</v>
      </c>
      <c r="M11" s="161">
        <f>SUM(M12,M18,M21,M26,M30,M31)</f>
        <v>0</v>
      </c>
      <c r="N11" s="161">
        <f>SUM(N12,N18,N21,N26,N30,N31)</f>
        <v>0</v>
      </c>
      <c r="O11" s="160">
        <f>O12+O18+O21+O26+O30+O31</f>
        <v>0</v>
      </c>
      <c r="P11" s="164">
        <f>P12+P18+P21+P26+P30+P31</f>
        <v>0</v>
      </c>
    </row>
    <row r="12" spans="1:17" ht="18" customHeight="1">
      <c r="C12" s="165"/>
      <c r="D12" s="166" t="s">
        <v>89</v>
      </c>
      <c r="E12" s="167"/>
      <c r="F12" s="168">
        <f>SUM(F13:F17)</f>
        <v>0</v>
      </c>
      <c r="G12" s="169">
        <f>SUM(G13:G17)</f>
        <v>0</v>
      </c>
      <c r="H12" s="170">
        <f>SUM(H13:H17)</f>
        <v>0</v>
      </c>
      <c r="I12" s="171"/>
      <c r="J12" s="169">
        <f t="shared" ref="J12:P12" si="0">SUM(J13:J17)</f>
        <v>0</v>
      </c>
      <c r="K12" s="168">
        <f t="shared" si="0"/>
        <v>0</v>
      </c>
      <c r="L12" s="168">
        <f t="shared" si="0"/>
        <v>0</v>
      </c>
      <c r="M12" s="168">
        <f t="shared" si="0"/>
        <v>0</v>
      </c>
      <c r="N12" s="169">
        <f t="shared" si="0"/>
        <v>0</v>
      </c>
      <c r="O12" s="168">
        <f t="shared" si="0"/>
        <v>0</v>
      </c>
      <c r="P12" s="172">
        <f t="shared" si="0"/>
        <v>0</v>
      </c>
    </row>
    <row r="13" spans="1:17" ht="18" customHeight="1">
      <c r="C13" s="165"/>
      <c r="D13" s="173"/>
      <c r="E13" s="174" t="s">
        <v>90</v>
      </c>
      <c r="F13" s="175">
        <v>0</v>
      </c>
      <c r="G13" s="176">
        <v>0</v>
      </c>
      <c r="H13" s="170">
        <f>SUM(F13:G13)</f>
        <v>0</v>
      </c>
      <c r="I13" s="177"/>
      <c r="J13" s="176">
        <v>0</v>
      </c>
      <c r="K13" s="175">
        <v>0</v>
      </c>
      <c r="L13" s="175">
        <v>0</v>
      </c>
      <c r="M13" s="175">
        <v>0</v>
      </c>
      <c r="N13" s="176">
        <v>0</v>
      </c>
      <c r="O13" s="168">
        <f>SUM(I13:N13)</f>
        <v>0</v>
      </c>
      <c r="P13" s="172">
        <f>H13+O13</f>
        <v>0</v>
      </c>
    </row>
    <row r="14" spans="1:17" ht="18" customHeight="1">
      <c r="C14" s="165"/>
      <c r="D14" s="173"/>
      <c r="E14" s="174" t="s">
        <v>91</v>
      </c>
      <c r="F14" s="175">
        <v>0</v>
      </c>
      <c r="G14" s="176">
        <v>0</v>
      </c>
      <c r="H14" s="170">
        <f>SUM(F14:G14)</f>
        <v>0</v>
      </c>
      <c r="I14" s="177"/>
      <c r="J14" s="176">
        <v>0</v>
      </c>
      <c r="K14" s="175">
        <v>0</v>
      </c>
      <c r="L14" s="175">
        <v>0</v>
      </c>
      <c r="M14" s="175">
        <v>0</v>
      </c>
      <c r="N14" s="176">
        <v>0</v>
      </c>
      <c r="O14" s="168">
        <f>SUM(I14:N14)</f>
        <v>0</v>
      </c>
      <c r="P14" s="172">
        <f>H14+O14</f>
        <v>0</v>
      </c>
    </row>
    <row r="15" spans="1:17" ht="18" customHeight="1">
      <c r="C15" s="165"/>
      <c r="D15" s="173"/>
      <c r="E15" s="174" t="s">
        <v>92</v>
      </c>
      <c r="F15" s="175">
        <v>0</v>
      </c>
      <c r="G15" s="176">
        <v>0</v>
      </c>
      <c r="H15" s="170">
        <f>SUM(F15:G15)</f>
        <v>0</v>
      </c>
      <c r="I15" s="177"/>
      <c r="J15" s="176">
        <v>0</v>
      </c>
      <c r="K15" s="175">
        <v>0</v>
      </c>
      <c r="L15" s="175">
        <v>0</v>
      </c>
      <c r="M15" s="175">
        <v>0</v>
      </c>
      <c r="N15" s="176">
        <v>0</v>
      </c>
      <c r="O15" s="168">
        <f>SUM(I15:N15)</f>
        <v>0</v>
      </c>
      <c r="P15" s="172">
        <f>H15+O15</f>
        <v>0</v>
      </c>
    </row>
    <row r="16" spans="1:17" ht="18" customHeight="1">
      <c r="C16" s="165"/>
      <c r="D16" s="173"/>
      <c r="E16" s="174" t="s">
        <v>93</v>
      </c>
      <c r="F16" s="175">
        <v>0</v>
      </c>
      <c r="G16" s="176">
        <v>0</v>
      </c>
      <c r="H16" s="170">
        <f>SUM(F16:G16)</f>
        <v>0</v>
      </c>
      <c r="I16" s="177"/>
      <c r="J16" s="176">
        <v>0</v>
      </c>
      <c r="K16" s="175">
        <v>0</v>
      </c>
      <c r="L16" s="175">
        <v>0</v>
      </c>
      <c r="M16" s="175">
        <v>0</v>
      </c>
      <c r="N16" s="176">
        <v>0</v>
      </c>
      <c r="O16" s="168">
        <f>SUM(I16:N16)</f>
        <v>0</v>
      </c>
      <c r="P16" s="172">
        <f>H16+O16</f>
        <v>0</v>
      </c>
    </row>
    <row r="17" spans="3:16" ht="18" customHeight="1">
      <c r="C17" s="165"/>
      <c r="D17" s="173"/>
      <c r="E17" s="174" t="s">
        <v>94</v>
      </c>
      <c r="F17" s="175">
        <v>0</v>
      </c>
      <c r="G17" s="176">
        <v>0</v>
      </c>
      <c r="H17" s="170">
        <f>SUM(F17:G17)</f>
        <v>0</v>
      </c>
      <c r="I17" s="177"/>
      <c r="J17" s="176">
        <v>0</v>
      </c>
      <c r="K17" s="175">
        <v>0</v>
      </c>
      <c r="L17" s="175">
        <v>0</v>
      </c>
      <c r="M17" s="175">
        <v>0</v>
      </c>
      <c r="N17" s="176">
        <v>0</v>
      </c>
      <c r="O17" s="168">
        <f>SUM(I17:N17)</f>
        <v>0</v>
      </c>
      <c r="P17" s="172">
        <f>H17+O17</f>
        <v>0</v>
      </c>
    </row>
    <row r="18" spans="3:16" ht="18" customHeight="1">
      <c r="C18" s="165"/>
      <c r="D18" s="166" t="s">
        <v>95</v>
      </c>
      <c r="E18" s="178"/>
      <c r="F18" s="168">
        <f>SUM(F19:F20)</f>
        <v>0</v>
      </c>
      <c r="G18" s="169">
        <f>SUM(G19:G20)</f>
        <v>0</v>
      </c>
      <c r="H18" s="170">
        <f>SUM(H19:H20)</f>
        <v>0</v>
      </c>
      <c r="I18" s="171"/>
      <c r="J18" s="169">
        <f t="shared" ref="J18:P18" si="1">SUM(J19:J20)</f>
        <v>0</v>
      </c>
      <c r="K18" s="168">
        <f t="shared" si="1"/>
        <v>0</v>
      </c>
      <c r="L18" s="168">
        <f t="shared" si="1"/>
        <v>0</v>
      </c>
      <c r="M18" s="168">
        <f t="shared" si="1"/>
        <v>0</v>
      </c>
      <c r="N18" s="169">
        <f t="shared" si="1"/>
        <v>0</v>
      </c>
      <c r="O18" s="168">
        <f t="shared" si="1"/>
        <v>0</v>
      </c>
      <c r="P18" s="172">
        <f t="shared" si="1"/>
        <v>0</v>
      </c>
    </row>
    <row r="19" spans="3:16" ht="18" customHeight="1">
      <c r="C19" s="165"/>
      <c r="D19" s="173"/>
      <c r="E19" s="179" t="s">
        <v>96</v>
      </c>
      <c r="F19" s="175">
        <v>0</v>
      </c>
      <c r="G19" s="176">
        <v>0</v>
      </c>
      <c r="H19" s="170">
        <f>SUM(F19:G19)</f>
        <v>0</v>
      </c>
      <c r="I19" s="177"/>
      <c r="J19" s="176">
        <v>0</v>
      </c>
      <c r="K19" s="175">
        <v>0</v>
      </c>
      <c r="L19" s="175">
        <v>0</v>
      </c>
      <c r="M19" s="175">
        <v>0</v>
      </c>
      <c r="N19" s="176">
        <v>0</v>
      </c>
      <c r="O19" s="168">
        <f>SUM(I19:N19)</f>
        <v>0</v>
      </c>
      <c r="P19" s="172">
        <f>H19+O19</f>
        <v>0</v>
      </c>
    </row>
    <row r="20" spans="3:16" ht="18" customHeight="1">
      <c r="C20" s="165"/>
      <c r="D20" s="173"/>
      <c r="E20" s="179" t="s">
        <v>97</v>
      </c>
      <c r="F20" s="175">
        <v>0</v>
      </c>
      <c r="G20" s="176">
        <v>0</v>
      </c>
      <c r="H20" s="170">
        <f>SUM(F20:G20)</f>
        <v>0</v>
      </c>
      <c r="I20" s="177"/>
      <c r="J20" s="176">
        <v>0</v>
      </c>
      <c r="K20" s="175">
        <v>0</v>
      </c>
      <c r="L20" s="175">
        <v>0</v>
      </c>
      <c r="M20" s="175">
        <v>0</v>
      </c>
      <c r="N20" s="176">
        <v>0</v>
      </c>
      <c r="O20" s="168">
        <f>SUM(I20:N20)</f>
        <v>0</v>
      </c>
      <c r="P20" s="172">
        <f>H20+O20</f>
        <v>0</v>
      </c>
    </row>
    <row r="21" spans="3:16" ht="18" customHeight="1">
      <c r="C21" s="165"/>
      <c r="D21" s="166" t="s">
        <v>98</v>
      </c>
      <c r="E21" s="167"/>
      <c r="F21" s="168">
        <f>SUM(F22:F25)</f>
        <v>0</v>
      </c>
      <c r="G21" s="169">
        <f>SUM(G22:G25)</f>
        <v>0</v>
      </c>
      <c r="H21" s="170">
        <f>SUM(H22:H25)</f>
        <v>0</v>
      </c>
      <c r="I21" s="171"/>
      <c r="J21" s="169">
        <f t="shared" ref="J21:P21" si="2">SUM(J22:J25)</f>
        <v>0</v>
      </c>
      <c r="K21" s="168">
        <f t="shared" si="2"/>
        <v>0</v>
      </c>
      <c r="L21" s="168">
        <f t="shared" si="2"/>
        <v>0</v>
      </c>
      <c r="M21" s="168">
        <f t="shared" si="2"/>
        <v>0</v>
      </c>
      <c r="N21" s="169">
        <f t="shared" si="2"/>
        <v>0</v>
      </c>
      <c r="O21" s="168">
        <f t="shared" si="2"/>
        <v>0</v>
      </c>
      <c r="P21" s="172">
        <f t="shared" si="2"/>
        <v>0</v>
      </c>
    </row>
    <row r="22" spans="3:16" ht="18" customHeight="1">
      <c r="C22" s="165"/>
      <c r="D22" s="173"/>
      <c r="E22" s="174" t="s">
        <v>99</v>
      </c>
      <c r="F22" s="175">
        <v>0</v>
      </c>
      <c r="G22" s="176">
        <v>0</v>
      </c>
      <c r="H22" s="170">
        <f>SUM(F22:G22)</f>
        <v>0</v>
      </c>
      <c r="I22" s="177"/>
      <c r="J22" s="176">
        <v>0</v>
      </c>
      <c r="K22" s="175">
        <v>0</v>
      </c>
      <c r="L22" s="175">
        <v>0</v>
      </c>
      <c r="M22" s="175">
        <v>0</v>
      </c>
      <c r="N22" s="176">
        <v>0</v>
      </c>
      <c r="O22" s="168">
        <f>SUM(I22:N22)</f>
        <v>0</v>
      </c>
      <c r="P22" s="172">
        <f>H22+O22</f>
        <v>0</v>
      </c>
    </row>
    <row r="23" spans="3:16" ht="18" customHeight="1">
      <c r="C23" s="165"/>
      <c r="D23" s="173"/>
      <c r="E23" s="174" t="s">
        <v>100</v>
      </c>
      <c r="F23" s="175">
        <v>0</v>
      </c>
      <c r="G23" s="176">
        <v>0</v>
      </c>
      <c r="H23" s="170">
        <f>SUM(F23:G23)</f>
        <v>0</v>
      </c>
      <c r="I23" s="177"/>
      <c r="J23" s="176">
        <v>0</v>
      </c>
      <c r="K23" s="175">
        <v>0</v>
      </c>
      <c r="L23" s="175">
        <v>0</v>
      </c>
      <c r="M23" s="175">
        <v>0</v>
      </c>
      <c r="N23" s="176">
        <v>0</v>
      </c>
      <c r="O23" s="168">
        <f>SUM(I23:N23)</f>
        <v>0</v>
      </c>
      <c r="P23" s="172">
        <f>H23+O23</f>
        <v>0</v>
      </c>
    </row>
    <row r="24" spans="3:16" ht="18" customHeight="1">
      <c r="C24" s="165"/>
      <c r="D24" s="173"/>
      <c r="E24" s="174" t="s">
        <v>101</v>
      </c>
      <c r="F24" s="175">
        <v>0</v>
      </c>
      <c r="G24" s="176">
        <v>0</v>
      </c>
      <c r="H24" s="170">
        <f>SUM(F24:G24)</f>
        <v>0</v>
      </c>
      <c r="I24" s="177"/>
      <c r="J24" s="176">
        <v>0</v>
      </c>
      <c r="K24" s="175">
        <v>0</v>
      </c>
      <c r="L24" s="175">
        <v>0</v>
      </c>
      <c r="M24" s="175">
        <v>0</v>
      </c>
      <c r="N24" s="176">
        <v>0</v>
      </c>
      <c r="O24" s="168">
        <f>SUM(I24:N24)</f>
        <v>0</v>
      </c>
      <c r="P24" s="172">
        <f>H24+O24</f>
        <v>0</v>
      </c>
    </row>
    <row r="25" spans="3:16" ht="18" customHeight="1">
      <c r="C25" s="165"/>
      <c r="D25" s="180"/>
      <c r="E25" s="174" t="s">
        <v>102</v>
      </c>
      <c r="F25" s="175">
        <v>0</v>
      </c>
      <c r="G25" s="176">
        <v>0</v>
      </c>
      <c r="H25" s="170">
        <f>SUM(F25:G25)</f>
        <v>0</v>
      </c>
      <c r="I25" s="177"/>
      <c r="J25" s="176">
        <v>0</v>
      </c>
      <c r="K25" s="175">
        <v>0</v>
      </c>
      <c r="L25" s="175">
        <v>0</v>
      </c>
      <c r="M25" s="175">
        <v>0</v>
      </c>
      <c r="N25" s="176">
        <v>0</v>
      </c>
      <c r="O25" s="168">
        <f>SUM(I25:N25)</f>
        <v>0</v>
      </c>
      <c r="P25" s="172">
        <f>H25+O25</f>
        <v>0</v>
      </c>
    </row>
    <row r="26" spans="3:16" ht="18" customHeight="1">
      <c r="C26" s="165"/>
      <c r="D26" s="166" t="s">
        <v>103</v>
      </c>
      <c r="E26" s="167"/>
      <c r="F26" s="168">
        <f>SUM(F27:F29)</f>
        <v>0</v>
      </c>
      <c r="G26" s="169">
        <f>SUM(G27:G29)</f>
        <v>0</v>
      </c>
      <c r="H26" s="170">
        <f>SUM(H27:H29)</f>
        <v>0</v>
      </c>
      <c r="I26" s="171"/>
      <c r="J26" s="169">
        <f t="shared" ref="J26:P26" si="3">SUM(J27:J29)</f>
        <v>0</v>
      </c>
      <c r="K26" s="168">
        <f t="shared" si="3"/>
        <v>0</v>
      </c>
      <c r="L26" s="168">
        <f t="shared" si="3"/>
        <v>0</v>
      </c>
      <c r="M26" s="168">
        <f t="shared" si="3"/>
        <v>0</v>
      </c>
      <c r="N26" s="169">
        <f t="shared" si="3"/>
        <v>0</v>
      </c>
      <c r="O26" s="168">
        <f t="shared" si="3"/>
        <v>0</v>
      </c>
      <c r="P26" s="172">
        <f t="shared" si="3"/>
        <v>0</v>
      </c>
    </row>
    <row r="27" spans="3:16" ht="18" customHeight="1">
      <c r="C27" s="165"/>
      <c r="D27" s="173"/>
      <c r="E27" s="181" t="s">
        <v>104</v>
      </c>
      <c r="F27" s="182">
        <v>0</v>
      </c>
      <c r="G27" s="183">
        <v>0</v>
      </c>
      <c r="H27" s="170">
        <f>SUM(F27:G27)</f>
        <v>0</v>
      </c>
      <c r="I27" s="177"/>
      <c r="J27" s="183">
        <v>0</v>
      </c>
      <c r="K27" s="182">
        <v>0</v>
      </c>
      <c r="L27" s="182">
        <v>0</v>
      </c>
      <c r="M27" s="182">
        <v>0</v>
      </c>
      <c r="N27" s="183">
        <v>0</v>
      </c>
      <c r="O27" s="168">
        <f>SUM(I27:N27)</f>
        <v>0</v>
      </c>
      <c r="P27" s="172">
        <f>H27+O27</f>
        <v>0</v>
      </c>
    </row>
    <row r="28" spans="3:16" ht="18" customHeight="1">
      <c r="C28" s="165"/>
      <c r="D28" s="184"/>
      <c r="E28" s="179" t="s">
        <v>105</v>
      </c>
      <c r="F28" s="185">
        <v>0</v>
      </c>
      <c r="G28" s="186">
        <v>0</v>
      </c>
      <c r="H28" s="170">
        <f>SUM(F28:G28)</f>
        <v>0</v>
      </c>
      <c r="I28" s="187"/>
      <c r="J28" s="186">
        <v>0</v>
      </c>
      <c r="K28" s="185">
        <v>0</v>
      </c>
      <c r="L28" s="185">
        <v>0</v>
      </c>
      <c r="M28" s="185">
        <v>0</v>
      </c>
      <c r="N28" s="186">
        <v>0</v>
      </c>
      <c r="O28" s="168">
        <f>SUM(I28:N28)</f>
        <v>0</v>
      </c>
      <c r="P28" s="172">
        <f>H28+O28</f>
        <v>0</v>
      </c>
    </row>
    <row r="29" spans="3:16" ht="18" customHeight="1">
      <c r="C29" s="165"/>
      <c r="D29" s="188"/>
      <c r="E29" s="174" t="s">
        <v>106</v>
      </c>
      <c r="F29" s="189">
        <v>0</v>
      </c>
      <c r="G29" s="190">
        <v>0</v>
      </c>
      <c r="H29" s="170">
        <f>SUM(F29:G29)</f>
        <v>0</v>
      </c>
      <c r="I29" s="187"/>
      <c r="J29" s="190">
        <v>0</v>
      </c>
      <c r="K29" s="189">
        <v>0</v>
      </c>
      <c r="L29" s="189">
        <v>0</v>
      </c>
      <c r="M29" s="189">
        <v>0</v>
      </c>
      <c r="N29" s="190">
        <v>0</v>
      </c>
      <c r="O29" s="168">
        <f>SUM(I29:N29)</f>
        <v>0</v>
      </c>
      <c r="P29" s="172">
        <f>H29+O29</f>
        <v>0</v>
      </c>
    </row>
    <row r="30" spans="3:16" ht="18" customHeight="1">
      <c r="C30" s="165"/>
      <c r="D30" s="173" t="s">
        <v>107</v>
      </c>
      <c r="E30" s="191"/>
      <c r="F30" s="175">
        <v>0</v>
      </c>
      <c r="G30" s="176">
        <v>0</v>
      </c>
      <c r="H30" s="170">
        <f>SUM(F30:G30)</f>
        <v>0</v>
      </c>
      <c r="I30" s="177"/>
      <c r="J30" s="176">
        <v>0</v>
      </c>
      <c r="K30" s="175">
        <v>0</v>
      </c>
      <c r="L30" s="175">
        <v>0</v>
      </c>
      <c r="M30" s="175">
        <v>0</v>
      </c>
      <c r="N30" s="176">
        <v>0</v>
      </c>
      <c r="O30" s="168">
        <f>SUM(I30:N30)</f>
        <v>0</v>
      </c>
      <c r="P30" s="172">
        <f>H30+O30</f>
        <v>0</v>
      </c>
    </row>
    <row r="31" spans="3:16" ht="18" customHeight="1">
      <c r="C31" s="192"/>
      <c r="D31" s="193" t="s">
        <v>108</v>
      </c>
      <c r="E31" s="194"/>
      <c r="F31" s="195">
        <v>0</v>
      </c>
      <c r="G31" s="196">
        <v>0</v>
      </c>
      <c r="H31" s="197">
        <f>SUM(F31:G31)</f>
        <v>0</v>
      </c>
      <c r="I31" s="177"/>
      <c r="J31" s="196">
        <v>0</v>
      </c>
      <c r="K31" s="195">
        <v>0</v>
      </c>
      <c r="L31" s="195">
        <v>0</v>
      </c>
      <c r="M31" s="195">
        <v>0</v>
      </c>
      <c r="N31" s="196">
        <v>0</v>
      </c>
      <c r="O31" s="197">
        <f>SUM(I31:N31)</f>
        <v>0</v>
      </c>
      <c r="P31" s="198">
        <f>H31+O31</f>
        <v>0</v>
      </c>
    </row>
    <row r="32" spans="3:16" ht="18" customHeight="1">
      <c r="C32" s="158" t="s">
        <v>109</v>
      </c>
      <c r="D32" s="199"/>
      <c r="E32" s="200"/>
      <c r="F32" s="160">
        <f>SUM(F33:F41)</f>
        <v>0</v>
      </c>
      <c r="G32" s="161">
        <f>SUM(G33:G41)</f>
        <v>0</v>
      </c>
      <c r="H32" s="162">
        <f>SUM(H33:H41)</f>
        <v>0</v>
      </c>
      <c r="I32" s="163"/>
      <c r="J32" s="161">
        <f t="shared" ref="J32:P32" si="4">SUM(J33:J41)</f>
        <v>0</v>
      </c>
      <c r="K32" s="160">
        <f t="shared" si="4"/>
        <v>0</v>
      </c>
      <c r="L32" s="160">
        <f t="shared" si="4"/>
        <v>0</v>
      </c>
      <c r="M32" s="160">
        <f t="shared" si="4"/>
        <v>0</v>
      </c>
      <c r="N32" s="161">
        <f t="shared" si="4"/>
        <v>0</v>
      </c>
      <c r="O32" s="160">
        <f t="shared" si="4"/>
        <v>0</v>
      </c>
      <c r="P32" s="164">
        <f t="shared" si="4"/>
        <v>0</v>
      </c>
    </row>
    <row r="33" spans="3:16" ht="18" customHeight="1">
      <c r="C33" s="201"/>
      <c r="D33" s="322" t="s">
        <v>110</v>
      </c>
      <c r="E33" s="324"/>
      <c r="F33" s="202">
        <v>0</v>
      </c>
      <c r="G33" s="203">
        <v>0</v>
      </c>
      <c r="H33" s="204">
        <f t="shared" ref="H33:H41" si="5">SUM(F33:G33)</f>
        <v>0</v>
      </c>
      <c r="I33" s="177"/>
      <c r="J33" s="203">
        <v>0</v>
      </c>
      <c r="K33" s="202">
        <v>0</v>
      </c>
      <c r="L33" s="202">
        <v>0</v>
      </c>
      <c r="M33" s="202">
        <v>0</v>
      </c>
      <c r="N33" s="203">
        <v>0</v>
      </c>
      <c r="O33" s="205">
        <f t="shared" ref="O33:O41" si="6">SUM(I33:N33)</f>
        <v>0</v>
      </c>
      <c r="P33" s="206">
        <f t="shared" ref="P33:P41" si="7">H33+O33</f>
        <v>0</v>
      </c>
    </row>
    <row r="34" spans="3:16" ht="18" customHeight="1">
      <c r="C34" s="165"/>
      <c r="D34" s="180" t="s">
        <v>111</v>
      </c>
      <c r="E34" s="191"/>
      <c r="F34" s="202">
        <v>0</v>
      </c>
      <c r="G34" s="203">
        <v>0</v>
      </c>
      <c r="H34" s="170">
        <f t="shared" si="5"/>
        <v>0</v>
      </c>
      <c r="I34" s="177"/>
      <c r="J34" s="176">
        <v>0</v>
      </c>
      <c r="K34" s="175">
        <v>0</v>
      </c>
      <c r="L34" s="175">
        <v>0</v>
      </c>
      <c r="M34" s="175">
        <v>0</v>
      </c>
      <c r="N34" s="176">
        <v>0</v>
      </c>
      <c r="O34" s="168">
        <f t="shared" si="6"/>
        <v>0</v>
      </c>
      <c r="P34" s="172">
        <f t="shared" si="7"/>
        <v>0</v>
      </c>
    </row>
    <row r="35" spans="3:16" ht="18" customHeight="1">
      <c r="C35" s="165"/>
      <c r="D35" s="180" t="s">
        <v>112</v>
      </c>
      <c r="E35" s="191"/>
      <c r="F35" s="175">
        <v>0</v>
      </c>
      <c r="G35" s="176">
        <v>0</v>
      </c>
      <c r="H35" s="170">
        <f t="shared" si="5"/>
        <v>0</v>
      </c>
      <c r="I35" s="177"/>
      <c r="J35" s="176">
        <v>0</v>
      </c>
      <c r="K35" s="175">
        <v>0</v>
      </c>
      <c r="L35" s="175">
        <v>0</v>
      </c>
      <c r="M35" s="175">
        <v>0</v>
      </c>
      <c r="N35" s="176">
        <v>0</v>
      </c>
      <c r="O35" s="168">
        <f t="shared" si="6"/>
        <v>0</v>
      </c>
      <c r="P35" s="172">
        <f t="shared" si="7"/>
        <v>0</v>
      </c>
    </row>
    <row r="36" spans="3:16" ht="18" customHeight="1">
      <c r="C36" s="165"/>
      <c r="D36" s="207" t="s">
        <v>113</v>
      </c>
      <c r="E36" s="178"/>
      <c r="F36" s="175">
        <v>0</v>
      </c>
      <c r="G36" s="176">
        <v>0</v>
      </c>
      <c r="H36" s="170">
        <f t="shared" si="5"/>
        <v>0</v>
      </c>
      <c r="I36" s="177"/>
      <c r="J36" s="176">
        <v>0</v>
      </c>
      <c r="K36" s="175">
        <v>0</v>
      </c>
      <c r="L36" s="175">
        <v>0</v>
      </c>
      <c r="M36" s="175">
        <v>0</v>
      </c>
      <c r="N36" s="176">
        <v>0</v>
      </c>
      <c r="O36" s="168">
        <f t="shared" si="6"/>
        <v>0</v>
      </c>
      <c r="P36" s="172">
        <f t="shared" si="7"/>
        <v>0</v>
      </c>
    </row>
    <row r="37" spans="3:16" ht="18" customHeight="1">
      <c r="C37" s="165"/>
      <c r="D37" s="207" t="s">
        <v>114</v>
      </c>
      <c r="E37" s="178"/>
      <c r="F37" s="175">
        <v>0</v>
      </c>
      <c r="G37" s="176">
        <v>0</v>
      </c>
      <c r="H37" s="170">
        <f t="shared" si="5"/>
        <v>0</v>
      </c>
      <c r="I37" s="177"/>
      <c r="J37" s="176">
        <v>0</v>
      </c>
      <c r="K37" s="175">
        <v>0</v>
      </c>
      <c r="L37" s="175">
        <v>0</v>
      </c>
      <c r="M37" s="175">
        <v>0</v>
      </c>
      <c r="N37" s="176">
        <v>0</v>
      </c>
      <c r="O37" s="168">
        <f t="shared" si="6"/>
        <v>0</v>
      </c>
      <c r="P37" s="172">
        <f t="shared" si="7"/>
        <v>0</v>
      </c>
    </row>
    <row r="38" spans="3:16" ht="18" customHeight="1">
      <c r="C38" s="165"/>
      <c r="D38" s="207" t="s">
        <v>115</v>
      </c>
      <c r="E38" s="178"/>
      <c r="F38" s="203">
        <v>0</v>
      </c>
      <c r="G38" s="176">
        <v>0</v>
      </c>
      <c r="H38" s="170">
        <f t="shared" si="5"/>
        <v>0</v>
      </c>
      <c r="I38" s="177"/>
      <c r="J38" s="176">
        <v>0</v>
      </c>
      <c r="K38" s="175">
        <v>0</v>
      </c>
      <c r="L38" s="175">
        <v>0</v>
      </c>
      <c r="M38" s="175">
        <v>0</v>
      </c>
      <c r="N38" s="176">
        <v>0</v>
      </c>
      <c r="O38" s="168">
        <f t="shared" si="6"/>
        <v>0</v>
      </c>
      <c r="P38" s="172">
        <f t="shared" si="7"/>
        <v>0</v>
      </c>
    </row>
    <row r="39" spans="3:16" ht="18" customHeight="1">
      <c r="C39" s="165"/>
      <c r="D39" s="322" t="s">
        <v>116</v>
      </c>
      <c r="E39" s="323"/>
      <c r="F39" s="202">
        <v>0</v>
      </c>
      <c r="G39" s="203">
        <v>0</v>
      </c>
      <c r="H39" s="170">
        <f t="shared" si="5"/>
        <v>0</v>
      </c>
      <c r="I39" s="177"/>
      <c r="J39" s="176">
        <v>0</v>
      </c>
      <c r="K39" s="175">
        <v>0</v>
      </c>
      <c r="L39" s="175">
        <v>0</v>
      </c>
      <c r="M39" s="175">
        <v>0</v>
      </c>
      <c r="N39" s="176">
        <v>0</v>
      </c>
      <c r="O39" s="168">
        <f t="shared" si="6"/>
        <v>0</v>
      </c>
      <c r="P39" s="172">
        <f t="shared" si="7"/>
        <v>0</v>
      </c>
    </row>
    <row r="40" spans="3:16" ht="18" customHeight="1">
      <c r="C40" s="201"/>
      <c r="D40" s="322" t="s">
        <v>117</v>
      </c>
      <c r="E40" s="324"/>
      <c r="F40" s="202">
        <v>0</v>
      </c>
      <c r="G40" s="203">
        <v>0</v>
      </c>
      <c r="H40" s="204">
        <f t="shared" si="5"/>
        <v>0</v>
      </c>
      <c r="I40" s="177"/>
      <c r="J40" s="203">
        <v>0</v>
      </c>
      <c r="K40" s="202">
        <v>0</v>
      </c>
      <c r="L40" s="202">
        <v>0</v>
      </c>
      <c r="M40" s="202">
        <v>0</v>
      </c>
      <c r="N40" s="203">
        <v>0</v>
      </c>
      <c r="O40" s="205">
        <f t="shared" si="6"/>
        <v>0</v>
      </c>
      <c r="P40" s="206">
        <f t="shared" si="7"/>
        <v>0</v>
      </c>
    </row>
    <row r="41" spans="3:16" ht="18" customHeight="1">
      <c r="C41" s="208"/>
      <c r="D41" s="325" t="s">
        <v>118</v>
      </c>
      <c r="E41" s="326"/>
      <c r="F41" s="195">
        <v>0</v>
      </c>
      <c r="G41" s="196">
        <v>0</v>
      </c>
      <c r="H41" s="170">
        <f t="shared" si="5"/>
        <v>0</v>
      </c>
      <c r="I41" s="177"/>
      <c r="J41" s="196">
        <v>0</v>
      </c>
      <c r="K41" s="195">
        <v>0</v>
      </c>
      <c r="L41" s="195">
        <v>0</v>
      </c>
      <c r="M41" s="195">
        <v>0</v>
      </c>
      <c r="N41" s="196">
        <v>0</v>
      </c>
      <c r="O41" s="209">
        <f t="shared" si="6"/>
        <v>0</v>
      </c>
      <c r="P41" s="198">
        <f t="shared" si="7"/>
        <v>0</v>
      </c>
    </row>
    <row r="42" spans="3:16" ht="18" customHeight="1">
      <c r="C42" s="165" t="s">
        <v>119</v>
      </c>
      <c r="D42" s="167"/>
      <c r="E42" s="167"/>
      <c r="F42" s="161">
        <f>SUM(F43:F46)</f>
        <v>0</v>
      </c>
      <c r="G42" s="161">
        <f>SUM(G43:G46)</f>
        <v>0</v>
      </c>
      <c r="H42" s="162">
        <f>SUM(H43:H46)</f>
        <v>0</v>
      </c>
      <c r="I42" s="163"/>
      <c r="J42" s="161">
        <f t="shared" ref="J42:P42" si="8">SUM(J43:J46)</f>
        <v>0</v>
      </c>
      <c r="K42" s="160">
        <f t="shared" si="8"/>
        <v>0</v>
      </c>
      <c r="L42" s="160">
        <f t="shared" si="8"/>
        <v>0</v>
      </c>
      <c r="M42" s="160">
        <f t="shared" si="8"/>
        <v>0</v>
      </c>
      <c r="N42" s="161">
        <f t="shared" si="8"/>
        <v>0</v>
      </c>
      <c r="O42" s="160">
        <f t="shared" si="8"/>
        <v>0</v>
      </c>
      <c r="P42" s="164">
        <f t="shared" si="8"/>
        <v>0</v>
      </c>
    </row>
    <row r="43" spans="3:16" ht="18" customHeight="1">
      <c r="C43" s="165"/>
      <c r="D43" s="210" t="s">
        <v>31</v>
      </c>
      <c r="E43" s="210"/>
      <c r="F43" s="176">
        <v>0</v>
      </c>
      <c r="G43" s="176">
        <v>0</v>
      </c>
      <c r="H43" s="170">
        <f>SUM(F43:G43)</f>
        <v>0</v>
      </c>
      <c r="I43" s="177"/>
      <c r="J43" s="176">
        <v>0</v>
      </c>
      <c r="K43" s="175">
        <v>0</v>
      </c>
      <c r="L43" s="175">
        <v>0</v>
      </c>
      <c r="M43" s="175">
        <v>0</v>
      </c>
      <c r="N43" s="176">
        <v>0</v>
      </c>
      <c r="O43" s="168">
        <f>SUM(I43:N43)</f>
        <v>0</v>
      </c>
      <c r="P43" s="172">
        <f>H43+O43</f>
        <v>0</v>
      </c>
    </row>
    <row r="44" spans="3:16" ht="18" customHeight="1">
      <c r="C44" s="165"/>
      <c r="D44" s="210" t="s">
        <v>32</v>
      </c>
      <c r="E44" s="210"/>
      <c r="F44" s="175">
        <v>0</v>
      </c>
      <c r="G44" s="176">
        <v>0</v>
      </c>
      <c r="H44" s="170">
        <f>SUM(F44:G44)</f>
        <v>0</v>
      </c>
      <c r="I44" s="177"/>
      <c r="J44" s="176">
        <v>0</v>
      </c>
      <c r="K44" s="175">
        <v>0</v>
      </c>
      <c r="L44" s="175">
        <v>0</v>
      </c>
      <c r="M44" s="175">
        <v>0</v>
      </c>
      <c r="N44" s="176">
        <v>0</v>
      </c>
      <c r="O44" s="168">
        <f>SUM(I44:N44)</f>
        <v>0</v>
      </c>
      <c r="P44" s="172">
        <f>H44+O44</f>
        <v>0</v>
      </c>
    </row>
    <row r="45" spans="3:16" ht="18" customHeight="1">
      <c r="C45" s="165"/>
      <c r="D45" s="211" t="s">
        <v>33</v>
      </c>
      <c r="E45" s="211"/>
      <c r="F45" s="202">
        <v>0</v>
      </c>
      <c r="G45" s="203">
        <v>0</v>
      </c>
      <c r="H45" s="170">
        <f>SUM(F45:G45)</f>
        <v>0</v>
      </c>
      <c r="I45" s="177"/>
      <c r="J45" s="203">
        <v>0</v>
      </c>
      <c r="K45" s="202">
        <v>0</v>
      </c>
      <c r="L45" s="202">
        <v>0</v>
      </c>
      <c r="M45" s="202">
        <v>0</v>
      </c>
      <c r="N45" s="203">
        <v>0</v>
      </c>
      <c r="O45" s="168">
        <f>SUM(I45:N45)</f>
        <v>0</v>
      </c>
      <c r="P45" s="172">
        <f>H45+O45</f>
        <v>0</v>
      </c>
    </row>
    <row r="46" spans="3:16" ht="18" customHeight="1">
      <c r="C46" s="165"/>
      <c r="D46" s="212" t="s">
        <v>120</v>
      </c>
      <c r="E46" s="212"/>
      <c r="F46" s="195">
        <v>0</v>
      </c>
      <c r="G46" s="196">
        <v>0</v>
      </c>
      <c r="H46" s="197">
        <f>SUM(F46:G46)</f>
        <v>0</v>
      </c>
      <c r="I46" s="177"/>
      <c r="J46" s="196">
        <v>0</v>
      </c>
      <c r="K46" s="195">
        <v>0</v>
      </c>
      <c r="L46" s="195">
        <v>0</v>
      </c>
      <c r="M46" s="195">
        <v>0</v>
      </c>
      <c r="N46" s="196">
        <v>0</v>
      </c>
      <c r="O46" s="209">
        <f>SUM(I46:N46)</f>
        <v>0</v>
      </c>
      <c r="P46" s="198">
        <f>H46+O46</f>
        <v>0</v>
      </c>
    </row>
    <row r="47" spans="3:16" ht="18" customHeight="1">
      <c r="C47" s="307" t="s">
        <v>121</v>
      </c>
      <c r="D47" s="308"/>
      <c r="E47" s="309"/>
      <c r="F47" s="213">
        <f>SUM(F11,F32,F42)</f>
        <v>0</v>
      </c>
      <c r="G47" s="213">
        <f>SUM(G11,G32,G42)</f>
        <v>0</v>
      </c>
      <c r="H47" s="214">
        <f>SUM(H11,H32,H42)</f>
        <v>0</v>
      </c>
      <c r="I47" s="124"/>
      <c r="J47" s="213">
        <f>SUM(J11,J32,J42)</f>
        <v>0</v>
      </c>
      <c r="K47" s="213">
        <f>SUM(K11,K32,K42)</f>
        <v>0</v>
      </c>
      <c r="L47" s="213">
        <f>SUM(L11,L32,L42)</f>
        <v>0</v>
      </c>
      <c r="M47" s="213">
        <f>SUM(M11,M32,M42)</f>
        <v>0</v>
      </c>
      <c r="N47" s="213">
        <f>SUM(N11,N32,N42)</f>
        <v>0</v>
      </c>
      <c r="O47" s="213">
        <f>O11+O32+O42</f>
        <v>0</v>
      </c>
      <c r="P47" s="215">
        <f>P11+P32+P42</f>
        <v>0</v>
      </c>
    </row>
    <row r="48" spans="3:16" ht="12" customHeight="1"/>
  </sheetData>
  <sheetProtection selectLockedCells="1" selectUnlockedCells="1"/>
  <mergeCells count="11">
    <mergeCell ref="C47:E47"/>
    <mergeCell ref="D41:E41"/>
    <mergeCell ref="A3:Q3"/>
    <mergeCell ref="C9:E10"/>
    <mergeCell ref="F9:H9"/>
    <mergeCell ref="I9:O9"/>
    <mergeCell ref="P9:P10"/>
    <mergeCell ref="D33:E33"/>
    <mergeCell ref="D39:E39"/>
    <mergeCell ref="D40:E40"/>
    <mergeCell ref="A4:Q4"/>
  </mergeCells>
  <phoneticPr fontId="15"/>
  <dataValidations count="1">
    <dataValidation allowBlank="1" showInputMessage="1" showErrorMessage="1" sqref="F28"/>
  </dataValidations>
  <pageMargins left="0.7" right="0.7" top="0.75" bottom="0.75" header="0.3" footer="0.3"/>
  <pageSetup paperSize="9" scale="6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2"/>
  <sheetViews>
    <sheetView showGridLines="0" workbookViewId="0">
      <selection activeCell="A5" sqref="A5"/>
    </sheetView>
  </sheetViews>
  <sheetFormatPr defaultColWidth="9" defaultRowHeight="12" customHeight="1"/>
  <cols>
    <col min="1" max="4" width="3.75" style="8" customWidth="1"/>
    <col min="5" max="5" width="35.62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134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135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136</v>
      </c>
    </row>
    <row r="8" spans="1:17" ht="16.5" customHeight="1">
      <c r="C8" s="316" t="s">
        <v>87</v>
      </c>
      <c r="D8" s="317"/>
      <c r="E8" s="318"/>
      <c r="F8" s="315" t="s">
        <v>69</v>
      </c>
      <c r="G8" s="313"/>
      <c r="H8" s="314"/>
      <c r="I8" s="312" t="s">
        <v>70</v>
      </c>
      <c r="J8" s="313"/>
      <c r="K8" s="313"/>
      <c r="L8" s="313"/>
      <c r="M8" s="313"/>
      <c r="N8" s="313"/>
      <c r="O8" s="314"/>
      <c r="P8" s="310" t="s">
        <v>36</v>
      </c>
    </row>
    <row r="9" spans="1:17" ht="16.5" customHeight="1">
      <c r="C9" s="319"/>
      <c r="D9" s="320"/>
      <c r="E9" s="321"/>
      <c r="F9" s="154" t="s">
        <v>71</v>
      </c>
      <c r="G9" s="155" t="s">
        <v>72</v>
      </c>
      <c r="H9" s="156" t="s">
        <v>17</v>
      </c>
      <c r="I9" s="157" t="s">
        <v>73</v>
      </c>
      <c r="J9" s="155" t="s">
        <v>74</v>
      </c>
      <c r="K9" s="154" t="s">
        <v>75</v>
      </c>
      <c r="L9" s="154" t="s">
        <v>76</v>
      </c>
      <c r="M9" s="154" t="s">
        <v>77</v>
      </c>
      <c r="N9" s="155" t="s">
        <v>78</v>
      </c>
      <c r="O9" s="232" t="s">
        <v>17</v>
      </c>
      <c r="P9" s="311"/>
    </row>
    <row r="10" spans="1:17" ht="16.5" customHeight="1">
      <c r="C10" s="158" t="s">
        <v>137</v>
      </c>
      <c r="D10" s="233"/>
      <c r="E10" s="23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65"/>
      <c r="D11" s="235" t="s">
        <v>38</v>
      </c>
      <c r="E11" s="236"/>
      <c r="F11" s="237">
        <f>SUM(F12:F20)</f>
        <v>0</v>
      </c>
      <c r="G11" s="205">
        <f>SUM(G12:G20)</f>
        <v>0</v>
      </c>
      <c r="H11" s="162">
        <f>SUM(H12:H20)</f>
        <v>0</v>
      </c>
      <c r="I11" s="163"/>
      <c r="J11" s="238">
        <f t="shared" ref="J11:P11" si="0">SUM(J12:J20)</f>
        <v>0</v>
      </c>
      <c r="K11" s="205">
        <f t="shared" si="0"/>
        <v>0</v>
      </c>
      <c r="L11" s="205">
        <f t="shared" si="0"/>
        <v>0</v>
      </c>
      <c r="M11" s="205">
        <f t="shared" si="0"/>
        <v>0</v>
      </c>
      <c r="N11" s="205">
        <f t="shared" si="0"/>
        <v>0</v>
      </c>
      <c r="O11" s="162">
        <f t="shared" si="0"/>
        <v>0</v>
      </c>
      <c r="P11" s="164">
        <f t="shared" si="0"/>
        <v>0</v>
      </c>
    </row>
    <row r="12" spans="1:17" ht="16.5" customHeight="1">
      <c r="C12" s="165"/>
      <c r="D12" s="239"/>
      <c r="E12" s="174" t="s">
        <v>31</v>
      </c>
      <c r="F12" s="203">
        <v>0</v>
      </c>
      <c r="G12" s="203">
        <v>0</v>
      </c>
      <c r="H12" s="204">
        <f t="shared" ref="H12:H20" si="1">SUM(F12:G12)</f>
        <v>0</v>
      </c>
      <c r="I12" s="177"/>
      <c r="J12" s="240">
        <v>0</v>
      </c>
      <c r="K12" s="202">
        <v>0</v>
      </c>
      <c r="L12" s="202">
        <v>0</v>
      </c>
      <c r="M12" s="202">
        <v>0</v>
      </c>
      <c r="N12" s="202">
        <v>0</v>
      </c>
      <c r="O12" s="204">
        <f t="shared" ref="O12:O20" si="2">SUM(I12:N12)</f>
        <v>0</v>
      </c>
      <c r="P12" s="206">
        <f t="shared" ref="P12:P20" si="3">H12+O12</f>
        <v>0</v>
      </c>
    </row>
    <row r="13" spans="1:17" ht="16.5" customHeight="1">
      <c r="C13" s="165"/>
      <c r="D13" s="241"/>
      <c r="E13" s="174" t="s">
        <v>32</v>
      </c>
      <c r="F13" s="203">
        <v>0</v>
      </c>
      <c r="G13" s="203">
        <v>0</v>
      </c>
      <c r="H13" s="204">
        <f t="shared" si="1"/>
        <v>0</v>
      </c>
      <c r="I13" s="177"/>
      <c r="J13" s="240">
        <v>0</v>
      </c>
      <c r="K13" s="202">
        <v>0</v>
      </c>
      <c r="L13" s="202">
        <v>0</v>
      </c>
      <c r="M13" s="202">
        <v>0</v>
      </c>
      <c r="N13" s="202">
        <v>0</v>
      </c>
      <c r="O13" s="204">
        <f t="shared" si="2"/>
        <v>0</v>
      </c>
      <c r="P13" s="206">
        <f t="shared" si="3"/>
        <v>0</v>
      </c>
    </row>
    <row r="14" spans="1:17" ht="16.5" customHeight="1">
      <c r="C14" s="165"/>
      <c r="D14" s="239"/>
      <c r="E14" s="174" t="s">
        <v>33</v>
      </c>
      <c r="F14" s="203">
        <v>0</v>
      </c>
      <c r="G14" s="203">
        <v>0</v>
      </c>
      <c r="H14" s="204">
        <f t="shared" si="1"/>
        <v>0</v>
      </c>
      <c r="I14" s="177"/>
      <c r="J14" s="240">
        <v>0</v>
      </c>
      <c r="K14" s="202">
        <v>0</v>
      </c>
      <c r="L14" s="202">
        <v>0</v>
      </c>
      <c r="M14" s="202">
        <v>0</v>
      </c>
      <c r="N14" s="202">
        <v>0</v>
      </c>
      <c r="O14" s="204">
        <f t="shared" si="2"/>
        <v>0</v>
      </c>
      <c r="P14" s="206">
        <f t="shared" si="3"/>
        <v>0</v>
      </c>
    </row>
    <row r="15" spans="1:17" ht="16.5" customHeight="1">
      <c r="C15" s="165"/>
      <c r="D15" s="239"/>
      <c r="E15" s="174" t="s">
        <v>34</v>
      </c>
      <c r="F15" s="203">
        <v>0</v>
      </c>
      <c r="G15" s="203">
        <v>0</v>
      </c>
      <c r="H15" s="204">
        <f t="shared" si="1"/>
        <v>0</v>
      </c>
      <c r="I15" s="177"/>
      <c r="J15" s="240">
        <v>0</v>
      </c>
      <c r="K15" s="202">
        <v>0</v>
      </c>
      <c r="L15" s="202">
        <v>0</v>
      </c>
      <c r="M15" s="202">
        <v>0</v>
      </c>
      <c r="N15" s="202">
        <v>0</v>
      </c>
      <c r="O15" s="204">
        <f t="shared" si="2"/>
        <v>0</v>
      </c>
      <c r="P15" s="206">
        <f t="shared" si="3"/>
        <v>0</v>
      </c>
    </row>
    <row r="16" spans="1:17" ht="16.5" customHeight="1">
      <c r="C16" s="165"/>
      <c r="D16" s="239"/>
      <c r="E16" s="174" t="s">
        <v>117</v>
      </c>
      <c r="F16" s="203">
        <v>0</v>
      </c>
      <c r="G16" s="203">
        <v>0</v>
      </c>
      <c r="H16" s="204">
        <f t="shared" si="1"/>
        <v>0</v>
      </c>
      <c r="I16" s="177"/>
      <c r="J16" s="240">
        <v>0</v>
      </c>
      <c r="K16" s="202">
        <v>0</v>
      </c>
      <c r="L16" s="202">
        <v>0</v>
      </c>
      <c r="M16" s="202">
        <v>0</v>
      </c>
      <c r="N16" s="202">
        <v>0</v>
      </c>
      <c r="O16" s="204">
        <f t="shared" si="2"/>
        <v>0</v>
      </c>
      <c r="P16" s="206">
        <f t="shared" si="3"/>
        <v>0</v>
      </c>
    </row>
    <row r="17" spans="3:16" ht="16.5" customHeight="1">
      <c r="C17" s="165"/>
      <c r="D17" s="239"/>
      <c r="E17" s="174" t="s">
        <v>99</v>
      </c>
      <c r="F17" s="202">
        <v>0</v>
      </c>
      <c r="G17" s="202">
        <v>0</v>
      </c>
      <c r="H17" s="204">
        <f t="shared" si="1"/>
        <v>0</v>
      </c>
      <c r="I17" s="177"/>
      <c r="J17" s="240">
        <v>0</v>
      </c>
      <c r="K17" s="202">
        <v>0</v>
      </c>
      <c r="L17" s="202">
        <v>0</v>
      </c>
      <c r="M17" s="202">
        <v>0</v>
      </c>
      <c r="N17" s="202">
        <v>0</v>
      </c>
      <c r="O17" s="204">
        <f t="shared" si="2"/>
        <v>0</v>
      </c>
      <c r="P17" s="206">
        <f t="shared" si="3"/>
        <v>0</v>
      </c>
    </row>
    <row r="18" spans="3:16" ht="16.5" customHeight="1">
      <c r="C18" s="165"/>
      <c r="D18" s="239"/>
      <c r="E18" s="174" t="s">
        <v>100</v>
      </c>
      <c r="F18" s="242">
        <v>0</v>
      </c>
      <c r="G18" s="242">
        <v>0</v>
      </c>
      <c r="H18" s="243">
        <f t="shared" si="1"/>
        <v>0</v>
      </c>
      <c r="I18" s="177"/>
      <c r="J18" s="244">
        <v>0</v>
      </c>
      <c r="K18" s="242">
        <v>0</v>
      </c>
      <c r="L18" s="242">
        <v>0</v>
      </c>
      <c r="M18" s="242">
        <v>0</v>
      </c>
      <c r="N18" s="242">
        <v>0</v>
      </c>
      <c r="O18" s="243">
        <f t="shared" si="2"/>
        <v>0</v>
      </c>
      <c r="P18" s="245">
        <f t="shared" si="3"/>
        <v>0</v>
      </c>
    </row>
    <row r="19" spans="3:16" ht="16.5" customHeight="1">
      <c r="C19" s="165"/>
      <c r="D19" s="239"/>
      <c r="E19" s="246" t="s">
        <v>101</v>
      </c>
      <c r="F19" s="242">
        <v>0</v>
      </c>
      <c r="G19" s="242">
        <v>0</v>
      </c>
      <c r="H19" s="243">
        <f t="shared" si="1"/>
        <v>0</v>
      </c>
      <c r="I19" s="177"/>
      <c r="J19" s="244">
        <v>0</v>
      </c>
      <c r="K19" s="242">
        <v>0</v>
      </c>
      <c r="L19" s="242">
        <v>0</v>
      </c>
      <c r="M19" s="242">
        <v>0</v>
      </c>
      <c r="N19" s="242">
        <v>0</v>
      </c>
      <c r="O19" s="243">
        <f t="shared" si="2"/>
        <v>0</v>
      </c>
      <c r="P19" s="245">
        <f t="shared" si="3"/>
        <v>0</v>
      </c>
    </row>
    <row r="20" spans="3:16" ht="16.5" customHeight="1">
      <c r="C20" s="165"/>
      <c r="D20" s="247"/>
      <c r="E20" s="248" t="s">
        <v>102</v>
      </c>
      <c r="F20" s="195">
        <v>0</v>
      </c>
      <c r="G20" s="195">
        <v>0</v>
      </c>
      <c r="H20" s="197">
        <f t="shared" si="1"/>
        <v>0</v>
      </c>
      <c r="I20" s="177"/>
      <c r="J20" s="224">
        <v>0</v>
      </c>
      <c r="K20" s="195">
        <v>0</v>
      </c>
      <c r="L20" s="195">
        <v>0</v>
      </c>
      <c r="M20" s="195">
        <v>0</v>
      </c>
      <c r="N20" s="195">
        <v>0</v>
      </c>
      <c r="O20" s="197">
        <f t="shared" si="2"/>
        <v>0</v>
      </c>
      <c r="P20" s="198">
        <f t="shared" si="3"/>
        <v>0</v>
      </c>
    </row>
    <row r="21" spans="3:16" ht="16.5" customHeight="1">
      <c r="C21" s="165"/>
      <c r="D21" s="249" t="s">
        <v>138</v>
      </c>
      <c r="E21" s="250"/>
      <c r="F21" s="168">
        <f>SUM(F22:F30)</f>
        <v>0</v>
      </c>
      <c r="G21" s="168">
        <f>SUM(G22:G30)</f>
        <v>0</v>
      </c>
      <c r="H21" s="170">
        <f>SUM(H22:H30)</f>
        <v>0</v>
      </c>
      <c r="I21" s="163"/>
      <c r="J21" s="238">
        <f t="shared" ref="J21:P21" si="4">SUM(J22:J30)</f>
        <v>0</v>
      </c>
      <c r="K21" s="168">
        <f t="shared" si="4"/>
        <v>0</v>
      </c>
      <c r="L21" s="168">
        <f t="shared" si="4"/>
        <v>0</v>
      </c>
      <c r="M21" s="168">
        <f t="shared" si="4"/>
        <v>0</v>
      </c>
      <c r="N21" s="168">
        <f t="shared" si="4"/>
        <v>0</v>
      </c>
      <c r="O21" s="170">
        <f t="shared" si="4"/>
        <v>0</v>
      </c>
      <c r="P21" s="172">
        <f t="shared" si="4"/>
        <v>0</v>
      </c>
    </row>
    <row r="22" spans="3:16" ht="16.5" customHeight="1">
      <c r="C22" s="165"/>
      <c r="D22" s="239"/>
      <c r="E22" s="174" t="s">
        <v>31</v>
      </c>
      <c r="F22" s="203">
        <v>0</v>
      </c>
      <c r="G22" s="203">
        <v>0</v>
      </c>
      <c r="H22" s="204">
        <f t="shared" ref="H22:H30" si="5">SUM(F22:G22)</f>
        <v>0</v>
      </c>
      <c r="I22" s="177"/>
      <c r="J22" s="240">
        <v>0</v>
      </c>
      <c r="K22" s="202">
        <v>0</v>
      </c>
      <c r="L22" s="202">
        <v>0</v>
      </c>
      <c r="M22" s="202">
        <v>0</v>
      </c>
      <c r="N22" s="202">
        <v>0</v>
      </c>
      <c r="O22" s="204">
        <f t="shared" ref="O22:O30" si="6">SUM(I22:N22)</f>
        <v>0</v>
      </c>
      <c r="P22" s="206">
        <f t="shared" ref="P22:P30" si="7">H22+O22</f>
        <v>0</v>
      </c>
    </row>
    <row r="23" spans="3:16" ht="16.5" customHeight="1">
      <c r="C23" s="165"/>
      <c r="D23" s="241"/>
      <c r="E23" s="174" t="s">
        <v>32</v>
      </c>
      <c r="F23" s="203">
        <v>0</v>
      </c>
      <c r="G23" s="203">
        <v>0</v>
      </c>
      <c r="H23" s="204">
        <f t="shared" si="5"/>
        <v>0</v>
      </c>
      <c r="I23" s="177"/>
      <c r="J23" s="240">
        <v>0</v>
      </c>
      <c r="K23" s="202">
        <v>0</v>
      </c>
      <c r="L23" s="202">
        <v>0</v>
      </c>
      <c r="M23" s="202">
        <v>0</v>
      </c>
      <c r="N23" s="202">
        <v>0</v>
      </c>
      <c r="O23" s="204">
        <f t="shared" si="6"/>
        <v>0</v>
      </c>
      <c r="P23" s="206">
        <f t="shared" si="7"/>
        <v>0</v>
      </c>
    </row>
    <row r="24" spans="3:16" ht="16.5" customHeight="1">
      <c r="C24" s="165"/>
      <c r="D24" s="239"/>
      <c r="E24" s="174" t="s">
        <v>33</v>
      </c>
      <c r="F24" s="203">
        <v>0</v>
      </c>
      <c r="G24" s="203">
        <v>0</v>
      </c>
      <c r="H24" s="204">
        <f t="shared" si="5"/>
        <v>0</v>
      </c>
      <c r="I24" s="177"/>
      <c r="J24" s="240">
        <v>0</v>
      </c>
      <c r="K24" s="202">
        <v>0</v>
      </c>
      <c r="L24" s="202">
        <v>0</v>
      </c>
      <c r="M24" s="202">
        <v>0</v>
      </c>
      <c r="N24" s="202">
        <v>0</v>
      </c>
      <c r="O24" s="204">
        <f t="shared" si="6"/>
        <v>0</v>
      </c>
      <c r="P24" s="206">
        <f t="shared" si="7"/>
        <v>0</v>
      </c>
    </row>
    <row r="25" spans="3:16" ht="16.5" customHeight="1">
      <c r="C25" s="165"/>
      <c r="D25" s="239"/>
      <c r="E25" s="174" t="s">
        <v>34</v>
      </c>
      <c r="F25" s="203">
        <v>0</v>
      </c>
      <c r="G25" s="203">
        <v>0</v>
      </c>
      <c r="H25" s="204">
        <f t="shared" si="5"/>
        <v>0</v>
      </c>
      <c r="I25" s="177"/>
      <c r="J25" s="240">
        <v>0</v>
      </c>
      <c r="K25" s="202">
        <v>0</v>
      </c>
      <c r="L25" s="202">
        <v>0</v>
      </c>
      <c r="M25" s="202">
        <v>0</v>
      </c>
      <c r="N25" s="202">
        <v>0</v>
      </c>
      <c r="O25" s="204">
        <f t="shared" si="6"/>
        <v>0</v>
      </c>
      <c r="P25" s="206">
        <f t="shared" si="7"/>
        <v>0</v>
      </c>
    </row>
    <row r="26" spans="3:16" ht="16.5" customHeight="1">
      <c r="C26" s="165"/>
      <c r="D26" s="239"/>
      <c r="E26" s="174" t="s">
        <v>117</v>
      </c>
      <c r="F26" s="203">
        <v>0</v>
      </c>
      <c r="G26" s="203">
        <v>0</v>
      </c>
      <c r="H26" s="204">
        <f t="shared" si="5"/>
        <v>0</v>
      </c>
      <c r="I26" s="177"/>
      <c r="J26" s="240">
        <v>0</v>
      </c>
      <c r="K26" s="202">
        <v>0</v>
      </c>
      <c r="L26" s="202">
        <v>0</v>
      </c>
      <c r="M26" s="202">
        <v>0</v>
      </c>
      <c r="N26" s="202">
        <v>0</v>
      </c>
      <c r="O26" s="204">
        <f t="shared" si="6"/>
        <v>0</v>
      </c>
      <c r="P26" s="206">
        <f t="shared" si="7"/>
        <v>0</v>
      </c>
    </row>
    <row r="27" spans="3:16" ht="16.5" customHeight="1">
      <c r="C27" s="165"/>
      <c r="D27" s="239"/>
      <c r="E27" s="174" t="s">
        <v>99</v>
      </c>
      <c r="F27" s="202">
        <v>0</v>
      </c>
      <c r="G27" s="202">
        <v>0</v>
      </c>
      <c r="H27" s="204">
        <f t="shared" si="5"/>
        <v>0</v>
      </c>
      <c r="I27" s="177"/>
      <c r="J27" s="240">
        <v>0</v>
      </c>
      <c r="K27" s="202">
        <v>0</v>
      </c>
      <c r="L27" s="202">
        <v>0</v>
      </c>
      <c r="M27" s="202">
        <v>0</v>
      </c>
      <c r="N27" s="202">
        <v>0</v>
      </c>
      <c r="O27" s="204">
        <f t="shared" si="6"/>
        <v>0</v>
      </c>
      <c r="P27" s="206">
        <f t="shared" si="7"/>
        <v>0</v>
      </c>
    </row>
    <row r="28" spans="3:16" ht="16.5" customHeight="1">
      <c r="C28" s="165"/>
      <c r="D28" s="239"/>
      <c r="E28" s="174" t="s">
        <v>100</v>
      </c>
      <c r="F28" s="242">
        <v>0</v>
      </c>
      <c r="G28" s="242">
        <v>0</v>
      </c>
      <c r="H28" s="243">
        <f t="shared" si="5"/>
        <v>0</v>
      </c>
      <c r="I28" s="177"/>
      <c r="J28" s="244">
        <v>0</v>
      </c>
      <c r="K28" s="242">
        <v>0</v>
      </c>
      <c r="L28" s="242">
        <v>0</v>
      </c>
      <c r="M28" s="242">
        <v>0</v>
      </c>
      <c r="N28" s="242">
        <v>0</v>
      </c>
      <c r="O28" s="243">
        <f t="shared" si="6"/>
        <v>0</v>
      </c>
      <c r="P28" s="245">
        <f t="shared" si="7"/>
        <v>0</v>
      </c>
    </row>
    <row r="29" spans="3:16" ht="16.5" customHeight="1">
      <c r="C29" s="165"/>
      <c r="D29" s="239"/>
      <c r="E29" s="246" t="s">
        <v>101</v>
      </c>
      <c r="F29" s="242">
        <v>0</v>
      </c>
      <c r="G29" s="242">
        <v>0</v>
      </c>
      <c r="H29" s="243">
        <f t="shared" si="5"/>
        <v>0</v>
      </c>
      <c r="I29" s="177"/>
      <c r="J29" s="244">
        <v>0</v>
      </c>
      <c r="K29" s="242">
        <v>0</v>
      </c>
      <c r="L29" s="242">
        <v>0</v>
      </c>
      <c r="M29" s="242">
        <v>0</v>
      </c>
      <c r="N29" s="242">
        <v>0</v>
      </c>
      <c r="O29" s="243">
        <f t="shared" si="6"/>
        <v>0</v>
      </c>
      <c r="P29" s="245">
        <f t="shared" si="7"/>
        <v>0</v>
      </c>
    </row>
    <row r="30" spans="3:16" ht="16.5" customHeight="1">
      <c r="C30" s="165"/>
      <c r="D30" s="247"/>
      <c r="E30" s="248" t="s">
        <v>102</v>
      </c>
      <c r="F30" s="195">
        <v>0</v>
      </c>
      <c r="G30" s="195">
        <v>0</v>
      </c>
      <c r="H30" s="197">
        <f t="shared" si="5"/>
        <v>0</v>
      </c>
      <c r="I30" s="251"/>
      <c r="J30" s="224">
        <v>0</v>
      </c>
      <c r="K30" s="195">
        <v>0</v>
      </c>
      <c r="L30" s="195">
        <v>0</v>
      </c>
      <c r="M30" s="195">
        <v>0</v>
      </c>
      <c r="N30" s="195">
        <v>0</v>
      </c>
      <c r="O30" s="197">
        <f t="shared" si="6"/>
        <v>0</v>
      </c>
      <c r="P30" s="198">
        <f t="shared" si="7"/>
        <v>0</v>
      </c>
    </row>
    <row r="31" spans="3:16" ht="16.5" customHeight="1">
      <c r="C31" s="252" t="s">
        <v>139</v>
      </c>
      <c r="D31" s="253"/>
      <c r="E31" s="25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65"/>
      <c r="D32" s="235" t="s">
        <v>38</v>
      </c>
      <c r="E32" s="236"/>
      <c r="F32" s="237">
        <f>SUM(F33:F41)</f>
        <v>0</v>
      </c>
      <c r="G32" s="205">
        <f>SUM(G33:G41)</f>
        <v>0</v>
      </c>
      <c r="H32" s="162">
        <f>SUM(H33:H41)</f>
        <v>0</v>
      </c>
      <c r="I32" s="163"/>
      <c r="J32" s="238">
        <f t="shared" ref="J32:P32" si="8">SUM(J33:J41)</f>
        <v>0</v>
      </c>
      <c r="K32" s="205">
        <f t="shared" si="8"/>
        <v>0</v>
      </c>
      <c r="L32" s="205">
        <f t="shared" si="8"/>
        <v>0</v>
      </c>
      <c r="M32" s="205">
        <f t="shared" si="8"/>
        <v>0</v>
      </c>
      <c r="N32" s="205">
        <f t="shared" si="8"/>
        <v>0</v>
      </c>
      <c r="O32" s="162">
        <f t="shared" si="8"/>
        <v>0</v>
      </c>
      <c r="P32" s="164">
        <f t="shared" si="8"/>
        <v>0</v>
      </c>
    </row>
    <row r="33" spans="3:16" ht="16.5" customHeight="1">
      <c r="C33" s="165"/>
      <c r="D33" s="239"/>
      <c r="E33" s="174" t="s">
        <v>31</v>
      </c>
      <c r="F33" s="203">
        <v>0</v>
      </c>
      <c r="G33" s="203">
        <v>0</v>
      </c>
      <c r="H33" s="204">
        <f t="shared" ref="H33:H41" si="9">SUM(F33:G33)</f>
        <v>0</v>
      </c>
      <c r="I33" s="177"/>
      <c r="J33" s="240">
        <v>0</v>
      </c>
      <c r="K33" s="202">
        <v>0</v>
      </c>
      <c r="L33" s="202">
        <v>0</v>
      </c>
      <c r="M33" s="202">
        <v>0</v>
      </c>
      <c r="N33" s="202">
        <v>0</v>
      </c>
      <c r="O33" s="204">
        <f t="shared" ref="O33:O41" si="10">SUM(I33:N33)</f>
        <v>0</v>
      </c>
      <c r="P33" s="206">
        <f t="shared" ref="P33:P41" si="11">H33+O33</f>
        <v>0</v>
      </c>
    </row>
    <row r="34" spans="3:16" ht="16.5" customHeight="1">
      <c r="C34" s="165"/>
      <c r="D34" s="241"/>
      <c r="E34" s="174" t="s">
        <v>32</v>
      </c>
      <c r="F34" s="203">
        <v>0</v>
      </c>
      <c r="G34" s="203">
        <v>0</v>
      </c>
      <c r="H34" s="204">
        <f t="shared" si="9"/>
        <v>0</v>
      </c>
      <c r="I34" s="177"/>
      <c r="J34" s="240">
        <v>0</v>
      </c>
      <c r="K34" s="202">
        <v>0</v>
      </c>
      <c r="L34" s="202">
        <v>0</v>
      </c>
      <c r="M34" s="202">
        <v>0</v>
      </c>
      <c r="N34" s="202">
        <v>0</v>
      </c>
      <c r="O34" s="204">
        <f t="shared" si="10"/>
        <v>0</v>
      </c>
      <c r="P34" s="206">
        <f t="shared" si="11"/>
        <v>0</v>
      </c>
    </row>
    <row r="35" spans="3:16" ht="16.5" customHeight="1">
      <c r="C35" s="165"/>
      <c r="D35" s="239"/>
      <c r="E35" s="174" t="s">
        <v>33</v>
      </c>
      <c r="F35" s="203">
        <v>0</v>
      </c>
      <c r="G35" s="203">
        <v>0</v>
      </c>
      <c r="H35" s="204">
        <f t="shared" si="9"/>
        <v>0</v>
      </c>
      <c r="I35" s="177"/>
      <c r="J35" s="240">
        <v>0</v>
      </c>
      <c r="K35" s="202">
        <v>0</v>
      </c>
      <c r="L35" s="202">
        <v>0</v>
      </c>
      <c r="M35" s="202">
        <v>0</v>
      </c>
      <c r="N35" s="202">
        <v>0</v>
      </c>
      <c r="O35" s="204">
        <f t="shared" si="10"/>
        <v>0</v>
      </c>
      <c r="P35" s="206">
        <f t="shared" si="11"/>
        <v>0</v>
      </c>
    </row>
    <row r="36" spans="3:16" ht="16.5" customHeight="1">
      <c r="C36" s="165"/>
      <c r="D36" s="239"/>
      <c r="E36" s="174" t="s">
        <v>34</v>
      </c>
      <c r="F36" s="203">
        <v>0</v>
      </c>
      <c r="G36" s="203">
        <v>0</v>
      </c>
      <c r="H36" s="204">
        <f t="shared" si="9"/>
        <v>0</v>
      </c>
      <c r="I36" s="177"/>
      <c r="J36" s="240">
        <v>0</v>
      </c>
      <c r="K36" s="202">
        <v>0</v>
      </c>
      <c r="L36" s="202">
        <v>0</v>
      </c>
      <c r="M36" s="202">
        <v>0</v>
      </c>
      <c r="N36" s="202">
        <v>0</v>
      </c>
      <c r="O36" s="204">
        <f t="shared" si="10"/>
        <v>0</v>
      </c>
      <c r="P36" s="206">
        <f t="shared" si="11"/>
        <v>0</v>
      </c>
    </row>
    <row r="37" spans="3:16" ht="16.5" customHeight="1">
      <c r="C37" s="165"/>
      <c r="D37" s="239"/>
      <c r="E37" s="174" t="s">
        <v>117</v>
      </c>
      <c r="F37" s="203">
        <v>0</v>
      </c>
      <c r="G37" s="203">
        <v>0</v>
      </c>
      <c r="H37" s="204">
        <f t="shared" si="9"/>
        <v>0</v>
      </c>
      <c r="I37" s="177"/>
      <c r="J37" s="240">
        <v>0</v>
      </c>
      <c r="K37" s="202">
        <v>0</v>
      </c>
      <c r="L37" s="202">
        <v>0</v>
      </c>
      <c r="M37" s="202">
        <v>0</v>
      </c>
      <c r="N37" s="202">
        <v>0</v>
      </c>
      <c r="O37" s="204">
        <f t="shared" si="10"/>
        <v>0</v>
      </c>
      <c r="P37" s="206">
        <f t="shared" si="11"/>
        <v>0</v>
      </c>
    </row>
    <row r="38" spans="3:16" ht="16.5" customHeight="1">
      <c r="C38" s="165"/>
      <c r="D38" s="239"/>
      <c r="E38" s="174" t="s">
        <v>99</v>
      </c>
      <c r="F38" s="202">
        <v>0</v>
      </c>
      <c r="G38" s="202">
        <v>0</v>
      </c>
      <c r="H38" s="204">
        <f t="shared" si="9"/>
        <v>0</v>
      </c>
      <c r="I38" s="177"/>
      <c r="J38" s="240">
        <v>0</v>
      </c>
      <c r="K38" s="202">
        <v>0</v>
      </c>
      <c r="L38" s="202">
        <v>0</v>
      </c>
      <c r="M38" s="202">
        <v>0</v>
      </c>
      <c r="N38" s="202">
        <v>0</v>
      </c>
      <c r="O38" s="204">
        <f t="shared" si="10"/>
        <v>0</v>
      </c>
      <c r="P38" s="206">
        <f t="shared" si="11"/>
        <v>0</v>
      </c>
    </row>
    <row r="39" spans="3:16" ht="16.5" customHeight="1">
      <c r="C39" s="165"/>
      <c r="D39" s="239"/>
      <c r="E39" s="174" t="s">
        <v>100</v>
      </c>
      <c r="F39" s="242">
        <v>0</v>
      </c>
      <c r="G39" s="242">
        <v>0</v>
      </c>
      <c r="H39" s="243">
        <f t="shared" si="9"/>
        <v>0</v>
      </c>
      <c r="I39" s="177"/>
      <c r="J39" s="244">
        <v>0</v>
      </c>
      <c r="K39" s="242">
        <v>0</v>
      </c>
      <c r="L39" s="242">
        <v>0</v>
      </c>
      <c r="M39" s="242">
        <v>0</v>
      </c>
      <c r="N39" s="242">
        <v>0</v>
      </c>
      <c r="O39" s="243">
        <f t="shared" si="10"/>
        <v>0</v>
      </c>
      <c r="P39" s="245">
        <f t="shared" si="11"/>
        <v>0</v>
      </c>
    </row>
    <row r="40" spans="3:16" ht="16.5" customHeight="1">
      <c r="C40" s="165"/>
      <c r="D40" s="239"/>
      <c r="E40" s="246" t="s">
        <v>101</v>
      </c>
      <c r="F40" s="242">
        <v>0</v>
      </c>
      <c r="G40" s="242">
        <v>0</v>
      </c>
      <c r="H40" s="243">
        <f t="shared" si="9"/>
        <v>0</v>
      </c>
      <c r="I40" s="177"/>
      <c r="J40" s="244">
        <v>0</v>
      </c>
      <c r="K40" s="242">
        <v>0</v>
      </c>
      <c r="L40" s="242">
        <v>0</v>
      </c>
      <c r="M40" s="242">
        <v>0</v>
      </c>
      <c r="N40" s="242">
        <v>0</v>
      </c>
      <c r="O40" s="243">
        <f t="shared" si="10"/>
        <v>0</v>
      </c>
      <c r="P40" s="245">
        <f t="shared" si="11"/>
        <v>0</v>
      </c>
    </row>
    <row r="41" spans="3:16" ht="16.5" customHeight="1">
      <c r="C41" s="165"/>
      <c r="D41" s="247"/>
      <c r="E41" s="248" t="s">
        <v>102</v>
      </c>
      <c r="F41" s="195">
        <v>0</v>
      </c>
      <c r="G41" s="195">
        <v>0</v>
      </c>
      <c r="H41" s="197">
        <f t="shared" si="9"/>
        <v>0</v>
      </c>
      <c r="I41" s="177"/>
      <c r="J41" s="224">
        <v>0</v>
      </c>
      <c r="K41" s="195">
        <v>0</v>
      </c>
      <c r="L41" s="195">
        <v>0</v>
      </c>
      <c r="M41" s="195">
        <v>0</v>
      </c>
      <c r="N41" s="195">
        <v>0</v>
      </c>
      <c r="O41" s="197">
        <f t="shared" si="10"/>
        <v>0</v>
      </c>
      <c r="P41" s="198">
        <f t="shared" si="11"/>
        <v>0</v>
      </c>
    </row>
    <row r="42" spans="3:16" ht="16.5" customHeight="1">
      <c r="C42" s="165"/>
      <c r="D42" s="249" t="s">
        <v>138</v>
      </c>
      <c r="E42" s="250"/>
      <c r="F42" s="168">
        <f>SUM(F43:F51)</f>
        <v>0</v>
      </c>
      <c r="G42" s="168">
        <f>SUM(G43:G51)</f>
        <v>0</v>
      </c>
      <c r="H42" s="170">
        <f>SUM(H43:H51)</f>
        <v>0</v>
      </c>
      <c r="I42" s="163"/>
      <c r="J42" s="238">
        <f t="shared" ref="J42:P42" si="12">SUM(J43:J51)</f>
        <v>0</v>
      </c>
      <c r="K42" s="168">
        <f t="shared" si="12"/>
        <v>0</v>
      </c>
      <c r="L42" s="168">
        <f t="shared" si="12"/>
        <v>0</v>
      </c>
      <c r="M42" s="168">
        <f t="shared" si="12"/>
        <v>0</v>
      </c>
      <c r="N42" s="168">
        <f t="shared" si="12"/>
        <v>0</v>
      </c>
      <c r="O42" s="170">
        <f t="shared" si="12"/>
        <v>0</v>
      </c>
      <c r="P42" s="172">
        <f t="shared" si="12"/>
        <v>0</v>
      </c>
    </row>
    <row r="43" spans="3:16" ht="16.5" customHeight="1">
      <c r="C43" s="165"/>
      <c r="D43" s="239"/>
      <c r="E43" s="174" t="s">
        <v>31</v>
      </c>
      <c r="F43" s="203">
        <v>0</v>
      </c>
      <c r="G43" s="203">
        <v>0</v>
      </c>
      <c r="H43" s="204">
        <f t="shared" ref="H43:H51" si="13">SUM(F43:G43)</f>
        <v>0</v>
      </c>
      <c r="I43" s="177"/>
      <c r="J43" s="240">
        <v>0</v>
      </c>
      <c r="K43" s="202">
        <v>0</v>
      </c>
      <c r="L43" s="202">
        <v>0</v>
      </c>
      <c r="M43" s="202">
        <v>0</v>
      </c>
      <c r="N43" s="202">
        <v>0</v>
      </c>
      <c r="O43" s="204">
        <f t="shared" ref="O43:O51" si="14">SUM(I43:N43)</f>
        <v>0</v>
      </c>
      <c r="P43" s="206">
        <f t="shared" ref="P43:P51" si="15">H43+O43</f>
        <v>0</v>
      </c>
    </row>
    <row r="44" spans="3:16" ht="16.5" customHeight="1">
      <c r="C44" s="165"/>
      <c r="D44" s="241"/>
      <c r="E44" s="174" t="s">
        <v>32</v>
      </c>
      <c r="F44" s="203">
        <v>0</v>
      </c>
      <c r="G44" s="203">
        <v>0</v>
      </c>
      <c r="H44" s="204">
        <f t="shared" si="13"/>
        <v>0</v>
      </c>
      <c r="I44" s="177"/>
      <c r="J44" s="240">
        <v>0</v>
      </c>
      <c r="K44" s="202">
        <v>0</v>
      </c>
      <c r="L44" s="202">
        <v>0</v>
      </c>
      <c r="M44" s="202">
        <v>0</v>
      </c>
      <c r="N44" s="202">
        <v>0</v>
      </c>
      <c r="O44" s="204">
        <f t="shared" si="14"/>
        <v>0</v>
      </c>
      <c r="P44" s="206">
        <f t="shared" si="15"/>
        <v>0</v>
      </c>
    </row>
    <row r="45" spans="3:16" ht="16.5" customHeight="1">
      <c r="C45" s="165"/>
      <c r="D45" s="239"/>
      <c r="E45" s="174" t="s">
        <v>33</v>
      </c>
      <c r="F45" s="203">
        <v>0</v>
      </c>
      <c r="G45" s="203">
        <v>0</v>
      </c>
      <c r="H45" s="204">
        <f t="shared" si="13"/>
        <v>0</v>
      </c>
      <c r="I45" s="177"/>
      <c r="J45" s="240">
        <v>0</v>
      </c>
      <c r="K45" s="202">
        <v>0</v>
      </c>
      <c r="L45" s="202">
        <v>0</v>
      </c>
      <c r="M45" s="202">
        <v>0</v>
      </c>
      <c r="N45" s="202">
        <v>0</v>
      </c>
      <c r="O45" s="204">
        <f t="shared" si="14"/>
        <v>0</v>
      </c>
      <c r="P45" s="206">
        <f t="shared" si="15"/>
        <v>0</v>
      </c>
    </row>
    <row r="46" spans="3:16" ht="16.5" customHeight="1">
      <c r="C46" s="165"/>
      <c r="D46" s="239"/>
      <c r="E46" s="174" t="s">
        <v>34</v>
      </c>
      <c r="F46" s="203">
        <v>0</v>
      </c>
      <c r="G46" s="203">
        <v>0</v>
      </c>
      <c r="H46" s="204">
        <f t="shared" si="13"/>
        <v>0</v>
      </c>
      <c r="I46" s="177"/>
      <c r="J46" s="240">
        <v>0</v>
      </c>
      <c r="K46" s="202">
        <v>0</v>
      </c>
      <c r="L46" s="202">
        <v>0</v>
      </c>
      <c r="M46" s="202">
        <v>0</v>
      </c>
      <c r="N46" s="202">
        <v>0</v>
      </c>
      <c r="O46" s="204">
        <f t="shared" si="14"/>
        <v>0</v>
      </c>
      <c r="P46" s="206">
        <f t="shared" si="15"/>
        <v>0</v>
      </c>
    </row>
    <row r="47" spans="3:16" ht="16.5" customHeight="1">
      <c r="C47" s="165"/>
      <c r="D47" s="239"/>
      <c r="E47" s="174" t="s">
        <v>117</v>
      </c>
      <c r="F47" s="203">
        <v>0</v>
      </c>
      <c r="G47" s="203">
        <v>0</v>
      </c>
      <c r="H47" s="204">
        <f t="shared" si="13"/>
        <v>0</v>
      </c>
      <c r="I47" s="177"/>
      <c r="J47" s="240">
        <v>0</v>
      </c>
      <c r="K47" s="202">
        <v>0</v>
      </c>
      <c r="L47" s="202">
        <v>0</v>
      </c>
      <c r="M47" s="202">
        <v>0</v>
      </c>
      <c r="N47" s="202">
        <v>0</v>
      </c>
      <c r="O47" s="204">
        <f t="shared" si="14"/>
        <v>0</v>
      </c>
      <c r="P47" s="206">
        <f t="shared" si="15"/>
        <v>0</v>
      </c>
    </row>
    <row r="48" spans="3:16" ht="16.5" customHeight="1">
      <c r="C48" s="165"/>
      <c r="D48" s="239"/>
      <c r="E48" s="174" t="s">
        <v>99</v>
      </c>
      <c r="F48" s="202">
        <v>0</v>
      </c>
      <c r="G48" s="202">
        <v>0</v>
      </c>
      <c r="H48" s="204">
        <f t="shared" si="13"/>
        <v>0</v>
      </c>
      <c r="I48" s="177"/>
      <c r="J48" s="240">
        <v>0</v>
      </c>
      <c r="K48" s="202">
        <v>0</v>
      </c>
      <c r="L48" s="202">
        <v>0</v>
      </c>
      <c r="M48" s="202">
        <v>0</v>
      </c>
      <c r="N48" s="202">
        <v>0</v>
      </c>
      <c r="O48" s="204">
        <f t="shared" si="14"/>
        <v>0</v>
      </c>
      <c r="P48" s="206">
        <f t="shared" si="15"/>
        <v>0</v>
      </c>
    </row>
    <row r="49" spans="3:16" ht="16.5" customHeight="1">
      <c r="C49" s="165"/>
      <c r="D49" s="241"/>
      <c r="E49" s="174" t="s">
        <v>100</v>
      </c>
      <c r="F49" s="202">
        <v>0</v>
      </c>
      <c r="G49" s="202">
        <v>0</v>
      </c>
      <c r="H49" s="204">
        <f t="shared" si="13"/>
        <v>0</v>
      </c>
      <c r="I49" s="177"/>
      <c r="J49" s="240">
        <v>0</v>
      </c>
      <c r="K49" s="202">
        <v>0</v>
      </c>
      <c r="L49" s="202">
        <v>0</v>
      </c>
      <c r="M49" s="202">
        <v>0</v>
      </c>
      <c r="N49" s="202">
        <v>0</v>
      </c>
      <c r="O49" s="204">
        <f t="shared" si="14"/>
        <v>0</v>
      </c>
      <c r="P49" s="206">
        <f t="shared" si="15"/>
        <v>0</v>
      </c>
    </row>
    <row r="50" spans="3:16" ht="16.5" customHeight="1">
      <c r="C50" s="165"/>
      <c r="D50" s="239"/>
      <c r="E50" s="246" t="s">
        <v>101</v>
      </c>
      <c r="F50" s="242">
        <v>0</v>
      </c>
      <c r="G50" s="242">
        <v>0</v>
      </c>
      <c r="H50" s="243">
        <f t="shared" si="13"/>
        <v>0</v>
      </c>
      <c r="I50" s="177"/>
      <c r="J50" s="244">
        <v>0</v>
      </c>
      <c r="K50" s="242">
        <v>0</v>
      </c>
      <c r="L50" s="242">
        <v>0</v>
      </c>
      <c r="M50" s="242">
        <v>0</v>
      </c>
      <c r="N50" s="242">
        <v>0</v>
      </c>
      <c r="O50" s="243">
        <f t="shared" si="14"/>
        <v>0</v>
      </c>
      <c r="P50" s="245">
        <f t="shared" si="15"/>
        <v>0</v>
      </c>
    </row>
    <row r="51" spans="3:16" ht="16.5" customHeight="1">
      <c r="C51" s="165"/>
      <c r="D51" s="247"/>
      <c r="E51" s="248" t="s">
        <v>102</v>
      </c>
      <c r="F51" s="195">
        <v>0</v>
      </c>
      <c r="G51" s="195">
        <v>0</v>
      </c>
      <c r="H51" s="197">
        <f t="shared" si="13"/>
        <v>0</v>
      </c>
      <c r="I51" s="177"/>
      <c r="J51" s="224">
        <v>0</v>
      </c>
      <c r="K51" s="195">
        <v>0</v>
      </c>
      <c r="L51" s="195">
        <v>0</v>
      </c>
      <c r="M51" s="195">
        <v>0</v>
      </c>
      <c r="N51" s="195">
        <v>0</v>
      </c>
      <c r="O51" s="197">
        <f t="shared" si="14"/>
        <v>0</v>
      </c>
      <c r="P51" s="198">
        <f t="shared" si="15"/>
        <v>0</v>
      </c>
    </row>
    <row r="52" spans="3:16" ht="16.5" customHeight="1">
      <c r="C52" s="307" t="s">
        <v>121</v>
      </c>
      <c r="D52" s="308"/>
      <c r="E52" s="309"/>
      <c r="F52" s="225">
        <f>F32+F42</f>
        <v>0</v>
      </c>
      <c r="G52" s="213">
        <f>G32+G42</f>
        <v>0</v>
      </c>
      <c r="H52" s="214">
        <f>H32+H42</f>
        <v>0</v>
      </c>
      <c r="I52" s="124"/>
      <c r="J52" s="226">
        <f t="shared" ref="J52:P52" si="16">J32+J42</f>
        <v>0</v>
      </c>
      <c r="K52" s="213">
        <f t="shared" si="16"/>
        <v>0</v>
      </c>
      <c r="L52" s="213">
        <f t="shared" si="16"/>
        <v>0</v>
      </c>
      <c r="M52" s="213">
        <f t="shared" si="16"/>
        <v>0</v>
      </c>
      <c r="N52" s="213">
        <f t="shared" si="16"/>
        <v>0</v>
      </c>
      <c r="O52" s="214">
        <f t="shared" si="16"/>
        <v>0</v>
      </c>
      <c r="P52" s="215">
        <f t="shared" si="16"/>
        <v>0</v>
      </c>
    </row>
  </sheetData>
  <sheetProtection selectLockedCells="1" selectUnlockedCells="1"/>
  <mergeCells count="7">
    <mergeCell ref="C52:E52"/>
    <mergeCell ref="A3:Q3"/>
    <mergeCell ref="A4:Q4"/>
    <mergeCell ref="C8:E9"/>
    <mergeCell ref="F8:H8"/>
    <mergeCell ref="I8:O8"/>
    <mergeCell ref="P8:P9"/>
  </mergeCells>
  <phoneticPr fontId="15"/>
  <pageMargins left="0.7" right="0.7" top="0.75" bottom="0.75" header="0.3" footer="0.3"/>
  <pageSetup paperSize="9" scale="61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workbookViewId="0">
      <selection activeCell="A5" sqref="A5"/>
    </sheetView>
  </sheetViews>
  <sheetFormatPr defaultColWidth="9" defaultRowHeight="0" customHeight="1" zeroHeight="1"/>
  <cols>
    <col min="1" max="4" width="3.75" style="8" customWidth="1"/>
    <col min="5" max="5" width="35.625" style="8" customWidth="1"/>
    <col min="6" max="16" width="14.375" style="8" customWidth="1"/>
    <col min="17" max="17" width="4" style="1" customWidth="1"/>
  </cols>
  <sheetData>
    <row r="1" spans="1:17" ht="18" customHeight="1">
      <c r="A1" s="104" t="s">
        <v>140</v>
      </c>
      <c r="Q1" s="59"/>
    </row>
    <row r="2" spans="1:17" ht="18" customHeight="1">
      <c r="Q2" s="59"/>
    </row>
    <row r="3" spans="1:17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ht="18" customHeight="1">
      <c r="A4" s="306" t="s">
        <v>168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ht="18" customHeight="1">
      <c r="B5" s="104" t="s">
        <v>83</v>
      </c>
      <c r="N5" s="1"/>
      <c r="O5" s="39" t="s">
        <v>2</v>
      </c>
      <c r="P5" s="40" t="s">
        <v>165</v>
      </c>
      <c r="Q5" s="8"/>
    </row>
    <row r="6" spans="1:17" ht="18" customHeight="1">
      <c r="B6" s="104" t="s">
        <v>135</v>
      </c>
      <c r="N6" s="1"/>
      <c r="O6" s="60" t="s">
        <v>3</v>
      </c>
      <c r="P6" s="42" t="s">
        <v>166</v>
      </c>
      <c r="Q6" s="153" t="s">
        <v>4</v>
      </c>
    </row>
    <row r="7" spans="1:17" ht="18" customHeight="1">
      <c r="C7" s="104" t="s">
        <v>141</v>
      </c>
    </row>
    <row r="8" spans="1:17" ht="16.5" customHeight="1">
      <c r="C8" s="316" t="s">
        <v>87</v>
      </c>
      <c r="D8" s="317"/>
      <c r="E8" s="318"/>
      <c r="F8" s="315" t="s">
        <v>69</v>
      </c>
      <c r="G8" s="313"/>
      <c r="H8" s="314"/>
      <c r="I8" s="312" t="s">
        <v>70</v>
      </c>
      <c r="J8" s="313"/>
      <c r="K8" s="313"/>
      <c r="L8" s="313"/>
      <c r="M8" s="313"/>
      <c r="N8" s="313"/>
      <c r="O8" s="314"/>
      <c r="P8" s="310" t="s">
        <v>36</v>
      </c>
    </row>
    <row r="9" spans="1:17" ht="16.5" customHeight="1">
      <c r="C9" s="319"/>
      <c r="D9" s="320"/>
      <c r="E9" s="321"/>
      <c r="F9" s="154" t="s">
        <v>71</v>
      </c>
      <c r="G9" s="155" t="s">
        <v>72</v>
      </c>
      <c r="H9" s="156" t="s">
        <v>17</v>
      </c>
      <c r="I9" s="157" t="s">
        <v>73</v>
      </c>
      <c r="J9" s="155" t="s">
        <v>74</v>
      </c>
      <c r="K9" s="154" t="s">
        <v>75</v>
      </c>
      <c r="L9" s="154" t="s">
        <v>76</v>
      </c>
      <c r="M9" s="154" t="s">
        <v>77</v>
      </c>
      <c r="N9" s="155" t="s">
        <v>78</v>
      </c>
      <c r="O9" s="232" t="s">
        <v>17</v>
      </c>
      <c r="P9" s="311"/>
    </row>
    <row r="10" spans="1:17" ht="16.5" customHeight="1">
      <c r="C10" s="158" t="s">
        <v>137</v>
      </c>
      <c r="D10" s="233"/>
      <c r="E10" s="23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65"/>
      <c r="D11" s="235" t="s">
        <v>38</v>
      </c>
      <c r="E11" s="236"/>
      <c r="F11" s="237">
        <f>SUM(F12:F20)</f>
        <v>0</v>
      </c>
      <c r="G11" s="205">
        <f>SUM(G12:G20)</f>
        <v>0</v>
      </c>
      <c r="H11" s="162">
        <f>SUM(H12:H20)</f>
        <v>0</v>
      </c>
      <c r="I11" s="163"/>
      <c r="J11" s="238">
        <f t="shared" ref="J11:P11" si="0">SUM(J12:J20)</f>
        <v>0</v>
      </c>
      <c r="K11" s="205">
        <f t="shared" si="0"/>
        <v>0</v>
      </c>
      <c r="L11" s="205">
        <f t="shared" si="0"/>
        <v>0</v>
      </c>
      <c r="M11" s="205">
        <f t="shared" si="0"/>
        <v>0</v>
      </c>
      <c r="N11" s="205">
        <f t="shared" si="0"/>
        <v>0</v>
      </c>
      <c r="O11" s="162">
        <f t="shared" si="0"/>
        <v>0</v>
      </c>
      <c r="P11" s="164">
        <f t="shared" si="0"/>
        <v>0</v>
      </c>
    </row>
    <row r="12" spans="1:17" ht="16.5" customHeight="1">
      <c r="C12" s="165"/>
      <c r="D12" s="239"/>
      <c r="E12" s="174" t="s">
        <v>31</v>
      </c>
      <c r="F12" s="203">
        <v>0</v>
      </c>
      <c r="G12" s="203">
        <v>0</v>
      </c>
      <c r="H12" s="204">
        <f t="shared" ref="H12:H20" si="1">SUM(F12:G12)</f>
        <v>0</v>
      </c>
      <c r="I12" s="177"/>
      <c r="J12" s="240">
        <v>0</v>
      </c>
      <c r="K12" s="202">
        <v>0</v>
      </c>
      <c r="L12" s="202">
        <v>0</v>
      </c>
      <c r="M12" s="202">
        <v>0</v>
      </c>
      <c r="N12" s="202">
        <v>0</v>
      </c>
      <c r="O12" s="204">
        <f t="shared" ref="O12:O20" si="2">SUM(I12:N12)</f>
        <v>0</v>
      </c>
      <c r="P12" s="206">
        <f t="shared" ref="P12:P20" si="3">H12+O12</f>
        <v>0</v>
      </c>
    </row>
    <row r="13" spans="1:17" ht="16.5" customHeight="1">
      <c r="C13" s="165"/>
      <c r="D13" s="241"/>
      <c r="E13" s="174" t="s">
        <v>32</v>
      </c>
      <c r="F13" s="203">
        <v>0</v>
      </c>
      <c r="G13" s="203">
        <v>0</v>
      </c>
      <c r="H13" s="204">
        <f t="shared" si="1"/>
        <v>0</v>
      </c>
      <c r="I13" s="177"/>
      <c r="J13" s="240">
        <v>0</v>
      </c>
      <c r="K13" s="202">
        <v>0</v>
      </c>
      <c r="L13" s="202">
        <v>0</v>
      </c>
      <c r="M13" s="202">
        <v>0</v>
      </c>
      <c r="N13" s="202">
        <v>0</v>
      </c>
      <c r="O13" s="204">
        <f t="shared" si="2"/>
        <v>0</v>
      </c>
      <c r="P13" s="206">
        <f t="shared" si="3"/>
        <v>0</v>
      </c>
    </row>
    <row r="14" spans="1:17" ht="16.5" customHeight="1">
      <c r="C14" s="165"/>
      <c r="D14" s="239"/>
      <c r="E14" s="174" t="s">
        <v>33</v>
      </c>
      <c r="F14" s="203">
        <v>0</v>
      </c>
      <c r="G14" s="203">
        <v>0</v>
      </c>
      <c r="H14" s="204">
        <f t="shared" si="1"/>
        <v>0</v>
      </c>
      <c r="I14" s="177"/>
      <c r="J14" s="240">
        <v>0</v>
      </c>
      <c r="K14" s="202">
        <v>0</v>
      </c>
      <c r="L14" s="202">
        <v>0</v>
      </c>
      <c r="M14" s="202">
        <v>0</v>
      </c>
      <c r="N14" s="202">
        <v>0</v>
      </c>
      <c r="O14" s="204">
        <f t="shared" si="2"/>
        <v>0</v>
      </c>
      <c r="P14" s="206">
        <f t="shared" si="3"/>
        <v>0</v>
      </c>
    </row>
    <row r="15" spans="1:17" ht="16.5" customHeight="1">
      <c r="C15" s="165"/>
      <c r="D15" s="239"/>
      <c r="E15" s="174" t="s">
        <v>34</v>
      </c>
      <c r="F15" s="203">
        <v>0</v>
      </c>
      <c r="G15" s="203">
        <v>0</v>
      </c>
      <c r="H15" s="204">
        <f t="shared" si="1"/>
        <v>0</v>
      </c>
      <c r="I15" s="177"/>
      <c r="J15" s="240">
        <v>0</v>
      </c>
      <c r="K15" s="202">
        <v>0</v>
      </c>
      <c r="L15" s="202">
        <v>0</v>
      </c>
      <c r="M15" s="202">
        <v>0</v>
      </c>
      <c r="N15" s="202">
        <v>0</v>
      </c>
      <c r="O15" s="204">
        <f t="shared" si="2"/>
        <v>0</v>
      </c>
      <c r="P15" s="206">
        <f t="shared" si="3"/>
        <v>0</v>
      </c>
    </row>
    <row r="16" spans="1:17" ht="16.5" customHeight="1">
      <c r="C16" s="165"/>
      <c r="D16" s="239"/>
      <c r="E16" s="174" t="s">
        <v>117</v>
      </c>
      <c r="F16" s="203">
        <v>0</v>
      </c>
      <c r="G16" s="203">
        <v>0</v>
      </c>
      <c r="H16" s="204">
        <f t="shared" si="1"/>
        <v>0</v>
      </c>
      <c r="I16" s="177"/>
      <c r="J16" s="240">
        <v>0</v>
      </c>
      <c r="K16" s="202">
        <v>0</v>
      </c>
      <c r="L16" s="202">
        <v>0</v>
      </c>
      <c r="M16" s="202">
        <v>0</v>
      </c>
      <c r="N16" s="202">
        <v>0</v>
      </c>
      <c r="O16" s="204">
        <f t="shared" si="2"/>
        <v>0</v>
      </c>
      <c r="P16" s="206">
        <f t="shared" si="3"/>
        <v>0</v>
      </c>
    </row>
    <row r="17" spans="3:16" ht="16.5" customHeight="1">
      <c r="C17" s="165"/>
      <c r="D17" s="239"/>
      <c r="E17" s="174" t="s">
        <v>99</v>
      </c>
      <c r="F17" s="202">
        <v>0</v>
      </c>
      <c r="G17" s="202">
        <v>0</v>
      </c>
      <c r="H17" s="204">
        <f t="shared" si="1"/>
        <v>0</v>
      </c>
      <c r="I17" s="177"/>
      <c r="J17" s="240">
        <v>0</v>
      </c>
      <c r="K17" s="202">
        <v>0</v>
      </c>
      <c r="L17" s="202">
        <v>0</v>
      </c>
      <c r="M17" s="202">
        <v>0</v>
      </c>
      <c r="N17" s="202">
        <v>0</v>
      </c>
      <c r="O17" s="204">
        <f t="shared" si="2"/>
        <v>0</v>
      </c>
      <c r="P17" s="206">
        <f t="shared" si="3"/>
        <v>0</v>
      </c>
    </row>
    <row r="18" spans="3:16" ht="16.5" customHeight="1">
      <c r="C18" s="165"/>
      <c r="D18" s="239"/>
      <c r="E18" s="174" t="s">
        <v>100</v>
      </c>
      <c r="F18" s="242">
        <v>0</v>
      </c>
      <c r="G18" s="242">
        <v>0</v>
      </c>
      <c r="H18" s="243">
        <f t="shared" si="1"/>
        <v>0</v>
      </c>
      <c r="I18" s="177"/>
      <c r="J18" s="244">
        <v>0</v>
      </c>
      <c r="K18" s="242">
        <v>0</v>
      </c>
      <c r="L18" s="242">
        <v>0</v>
      </c>
      <c r="M18" s="242">
        <v>0</v>
      </c>
      <c r="N18" s="242">
        <v>0</v>
      </c>
      <c r="O18" s="243">
        <f t="shared" si="2"/>
        <v>0</v>
      </c>
      <c r="P18" s="245">
        <f t="shared" si="3"/>
        <v>0</v>
      </c>
    </row>
    <row r="19" spans="3:16" ht="16.5" customHeight="1">
      <c r="C19" s="165"/>
      <c r="D19" s="239"/>
      <c r="E19" s="246" t="s">
        <v>101</v>
      </c>
      <c r="F19" s="242">
        <v>0</v>
      </c>
      <c r="G19" s="242">
        <v>0</v>
      </c>
      <c r="H19" s="243">
        <f t="shared" si="1"/>
        <v>0</v>
      </c>
      <c r="I19" s="177"/>
      <c r="J19" s="244">
        <v>0</v>
      </c>
      <c r="K19" s="242">
        <v>0</v>
      </c>
      <c r="L19" s="242">
        <v>0</v>
      </c>
      <c r="M19" s="242">
        <v>0</v>
      </c>
      <c r="N19" s="242">
        <v>0</v>
      </c>
      <c r="O19" s="243">
        <f t="shared" si="2"/>
        <v>0</v>
      </c>
      <c r="P19" s="245">
        <f t="shared" si="3"/>
        <v>0</v>
      </c>
    </row>
    <row r="20" spans="3:16" ht="16.5" customHeight="1">
      <c r="C20" s="165"/>
      <c r="D20" s="247"/>
      <c r="E20" s="248" t="s">
        <v>102</v>
      </c>
      <c r="F20" s="195">
        <v>0</v>
      </c>
      <c r="G20" s="195">
        <v>0</v>
      </c>
      <c r="H20" s="197">
        <f t="shared" si="1"/>
        <v>0</v>
      </c>
      <c r="I20" s="177"/>
      <c r="J20" s="224">
        <v>0</v>
      </c>
      <c r="K20" s="195">
        <v>0</v>
      </c>
      <c r="L20" s="195">
        <v>0</v>
      </c>
      <c r="M20" s="195">
        <v>0</v>
      </c>
      <c r="N20" s="195">
        <v>0</v>
      </c>
      <c r="O20" s="197">
        <f t="shared" si="2"/>
        <v>0</v>
      </c>
      <c r="P20" s="198">
        <f t="shared" si="3"/>
        <v>0</v>
      </c>
    </row>
    <row r="21" spans="3:16" ht="16.5" customHeight="1">
      <c r="C21" s="165"/>
      <c r="D21" s="249" t="s">
        <v>138</v>
      </c>
      <c r="E21" s="250"/>
      <c r="F21" s="168">
        <f>SUM(F22:F30)</f>
        <v>0</v>
      </c>
      <c r="G21" s="168">
        <f>SUM(G22:G30)</f>
        <v>0</v>
      </c>
      <c r="H21" s="170">
        <f>SUM(H22:H30)</f>
        <v>0</v>
      </c>
      <c r="I21" s="163"/>
      <c r="J21" s="238">
        <f t="shared" ref="J21:P21" si="4">SUM(J22:J30)</f>
        <v>0</v>
      </c>
      <c r="K21" s="168">
        <f t="shared" si="4"/>
        <v>0</v>
      </c>
      <c r="L21" s="168">
        <f t="shared" si="4"/>
        <v>0</v>
      </c>
      <c r="M21" s="168">
        <f t="shared" si="4"/>
        <v>0</v>
      </c>
      <c r="N21" s="168">
        <f t="shared" si="4"/>
        <v>0</v>
      </c>
      <c r="O21" s="170">
        <f t="shared" si="4"/>
        <v>0</v>
      </c>
      <c r="P21" s="172">
        <f t="shared" si="4"/>
        <v>0</v>
      </c>
    </row>
    <row r="22" spans="3:16" ht="16.5" customHeight="1">
      <c r="C22" s="165"/>
      <c r="D22" s="239"/>
      <c r="E22" s="174" t="s">
        <v>31</v>
      </c>
      <c r="F22" s="203">
        <v>0</v>
      </c>
      <c r="G22" s="203">
        <v>0</v>
      </c>
      <c r="H22" s="204">
        <f t="shared" ref="H22:H30" si="5">SUM(F22:G22)</f>
        <v>0</v>
      </c>
      <c r="I22" s="177"/>
      <c r="J22" s="240">
        <v>0</v>
      </c>
      <c r="K22" s="202">
        <v>0</v>
      </c>
      <c r="L22" s="202">
        <v>0</v>
      </c>
      <c r="M22" s="202">
        <v>0</v>
      </c>
      <c r="N22" s="202">
        <v>0</v>
      </c>
      <c r="O22" s="204">
        <f t="shared" ref="O22:O30" si="6">SUM(I22:N22)</f>
        <v>0</v>
      </c>
      <c r="P22" s="206">
        <f t="shared" ref="P22:P30" si="7">H22+O22</f>
        <v>0</v>
      </c>
    </row>
    <row r="23" spans="3:16" ht="16.5" customHeight="1">
      <c r="C23" s="165"/>
      <c r="D23" s="241"/>
      <c r="E23" s="174" t="s">
        <v>32</v>
      </c>
      <c r="F23" s="203">
        <v>0</v>
      </c>
      <c r="G23" s="203">
        <v>0</v>
      </c>
      <c r="H23" s="204">
        <f t="shared" si="5"/>
        <v>0</v>
      </c>
      <c r="I23" s="177"/>
      <c r="J23" s="240">
        <v>0</v>
      </c>
      <c r="K23" s="202">
        <v>0</v>
      </c>
      <c r="L23" s="202">
        <v>0</v>
      </c>
      <c r="M23" s="202">
        <v>0</v>
      </c>
      <c r="N23" s="202">
        <v>0</v>
      </c>
      <c r="O23" s="204">
        <f t="shared" si="6"/>
        <v>0</v>
      </c>
      <c r="P23" s="206">
        <f t="shared" si="7"/>
        <v>0</v>
      </c>
    </row>
    <row r="24" spans="3:16" ht="16.5" customHeight="1">
      <c r="C24" s="165"/>
      <c r="D24" s="239"/>
      <c r="E24" s="174" t="s">
        <v>33</v>
      </c>
      <c r="F24" s="203">
        <v>0</v>
      </c>
      <c r="G24" s="203">
        <v>0</v>
      </c>
      <c r="H24" s="204">
        <f t="shared" si="5"/>
        <v>0</v>
      </c>
      <c r="I24" s="177"/>
      <c r="J24" s="240">
        <v>0</v>
      </c>
      <c r="K24" s="202">
        <v>0</v>
      </c>
      <c r="L24" s="202">
        <v>0</v>
      </c>
      <c r="M24" s="202">
        <v>0</v>
      </c>
      <c r="N24" s="202">
        <v>0</v>
      </c>
      <c r="O24" s="204">
        <f t="shared" si="6"/>
        <v>0</v>
      </c>
      <c r="P24" s="206">
        <f t="shared" si="7"/>
        <v>0</v>
      </c>
    </row>
    <row r="25" spans="3:16" ht="16.5" customHeight="1">
      <c r="C25" s="165"/>
      <c r="D25" s="239"/>
      <c r="E25" s="174" t="s">
        <v>34</v>
      </c>
      <c r="F25" s="203">
        <v>0</v>
      </c>
      <c r="G25" s="203">
        <v>0</v>
      </c>
      <c r="H25" s="204">
        <f t="shared" si="5"/>
        <v>0</v>
      </c>
      <c r="I25" s="177"/>
      <c r="J25" s="240">
        <v>0</v>
      </c>
      <c r="K25" s="202">
        <v>0</v>
      </c>
      <c r="L25" s="202">
        <v>0</v>
      </c>
      <c r="M25" s="202">
        <v>0</v>
      </c>
      <c r="N25" s="202">
        <v>0</v>
      </c>
      <c r="O25" s="204">
        <f t="shared" si="6"/>
        <v>0</v>
      </c>
      <c r="P25" s="206">
        <f t="shared" si="7"/>
        <v>0</v>
      </c>
    </row>
    <row r="26" spans="3:16" ht="16.5" customHeight="1">
      <c r="C26" s="165"/>
      <c r="D26" s="239"/>
      <c r="E26" s="174" t="s">
        <v>117</v>
      </c>
      <c r="F26" s="203">
        <v>0</v>
      </c>
      <c r="G26" s="203">
        <v>0</v>
      </c>
      <c r="H26" s="204">
        <f t="shared" si="5"/>
        <v>0</v>
      </c>
      <c r="I26" s="177"/>
      <c r="J26" s="240">
        <v>0</v>
      </c>
      <c r="K26" s="202">
        <v>0</v>
      </c>
      <c r="L26" s="202">
        <v>0</v>
      </c>
      <c r="M26" s="202">
        <v>0</v>
      </c>
      <c r="N26" s="202">
        <v>0</v>
      </c>
      <c r="O26" s="204">
        <f t="shared" si="6"/>
        <v>0</v>
      </c>
      <c r="P26" s="206">
        <f t="shared" si="7"/>
        <v>0</v>
      </c>
    </row>
    <row r="27" spans="3:16" ht="16.5" customHeight="1">
      <c r="C27" s="165"/>
      <c r="D27" s="239"/>
      <c r="E27" s="174" t="s">
        <v>99</v>
      </c>
      <c r="F27" s="202">
        <v>0</v>
      </c>
      <c r="G27" s="202">
        <v>0</v>
      </c>
      <c r="H27" s="204">
        <f t="shared" si="5"/>
        <v>0</v>
      </c>
      <c r="I27" s="177"/>
      <c r="J27" s="240">
        <v>0</v>
      </c>
      <c r="K27" s="202">
        <v>0</v>
      </c>
      <c r="L27" s="202">
        <v>0</v>
      </c>
      <c r="M27" s="202">
        <v>0</v>
      </c>
      <c r="N27" s="202">
        <v>0</v>
      </c>
      <c r="O27" s="204">
        <f t="shared" si="6"/>
        <v>0</v>
      </c>
      <c r="P27" s="206">
        <f t="shared" si="7"/>
        <v>0</v>
      </c>
    </row>
    <row r="28" spans="3:16" ht="16.5" customHeight="1">
      <c r="C28" s="165"/>
      <c r="D28" s="239"/>
      <c r="E28" s="174" t="s">
        <v>100</v>
      </c>
      <c r="F28" s="242">
        <v>0</v>
      </c>
      <c r="G28" s="242">
        <v>0</v>
      </c>
      <c r="H28" s="243">
        <f t="shared" si="5"/>
        <v>0</v>
      </c>
      <c r="I28" s="177"/>
      <c r="J28" s="244">
        <v>0</v>
      </c>
      <c r="K28" s="242">
        <v>0</v>
      </c>
      <c r="L28" s="242">
        <v>0</v>
      </c>
      <c r="M28" s="242">
        <v>0</v>
      </c>
      <c r="N28" s="242">
        <v>0</v>
      </c>
      <c r="O28" s="243">
        <f t="shared" si="6"/>
        <v>0</v>
      </c>
      <c r="P28" s="245">
        <f t="shared" si="7"/>
        <v>0</v>
      </c>
    </row>
    <row r="29" spans="3:16" ht="16.5" customHeight="1">
      <c r="C29" s="165"/>
      <c r="D29" s="239"/>
      <c r="E29" s="246" t="s">
        <v>101</v>
      </c>
      <c r="F29" s="242">
        <v>0</v>
      </c>
      <c r="G29" s="242">
        <v>0</v>
      </c>
      <c r="H29" s="243">
        <f t="shared" si="5"/>
        <v>0</v>
      </c>
      <c r="I29" s="177"/>
      <c r="J29" s="244">
        <v>0</v>
      </c>
      <c r="K29" s="242">
        <v>0</v>
      </c>
      <c r="L29" s="242">
        <v>0</v>
      </c>
      <c r="M29" s="242">
        <v>0</v>
      </c>
      <c r="N29" s="242">
        <v>0</v>
      </c>
      <c r="O29" s="243">
        <f t="shared" si="6"/>
        <v>0</v>
      </c>
      <c r="P29" s="245">
        <f t="shared" si="7"/>
        <v>0</v>
      </c>
    </row>
    <row r="30" spans="3:16" ht="16.5" customHeight="1">
      <c r="C30" s="165"/>
      <c r="D30" s="247"/>
      <c r="E30" s="248" t="s">
        <v>102</v>
      </c>
      <c r="F30" s="195">
        <v>0</v>
      </c>
      <c r="G30" s="195">
        <v>0</v>
      </c>
      <c r="H30" s="197">
        <f t="shared" si="5"/>
        <v>0</v>
      </c>
      <c r="I30" s="251"/>
      <c r="J30" s="224">
        <v>0</v>
      </c>
      <c r="K30" s="195">
        <v>0</v>
      </c>
      <c r="L30" s="195">
        <v>0</v>
      </c>
      <c r="M30" s="195">
        <v>0</v>
      </c>
      <c r="N30" s="195">
        <v>0</v>
      </c>
      <c r="O30" s="197">
        <f t="shared" si="6"/>
        <v>0</v>
      </c>
      <c r="P30" s="198">
        <f t="shared" si="7"/>
        <v>0</v>
      </c>
    </row>
    <row r="31" spans="3:16" ht="16.5" customHeight="1">
      <c r="C31" s="252" t="s">
        <v>139</v>
      </c>
      <c r="D31" s="253"/>
      <c r="E31" s="25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65"/>
      <c r="D32" s="235" t="s">
        <v>38</v>
      </c>
      <c r="E32" s="236"/>
      <c r="F32" s="237">
        <f>SUM(F33:F41)</f>
        <v>0</v>
      </c>
      <c r="G32" s="205">
        <f>SUM(G33:G41)</f>
        <v>0</v>
      </c>
      <c r="H32" s="162">
        <f>SUM(H33:H41)</f>
        <v>0</v>
      </c>
      <c r="I32" s="163"/>
      <c r="J32" s="238">
        <f t="shared" ref="J32:P32" si="8">SUM(J33:J41)</f>
        <v>0</v>
      </c>
      <c r="K32" s="205">
        <f t="shared" si="8"/>
        <v>0</v>
      </c>
      <c r="L32" s="205">
        <f t="shared" si="8"/>
        <v>0</v>
      </c>
      <c r="M32" s="205">
        <f t="shared" si="8"/>
        <v>0</v>
      </c>
      <c r="N32" s="205">
        <f t="shared" si="8"/>
        <v>0</v>
      </c>
      <c r="O32" s="162">
        <f t="shared" si="8"/>
        <v>0</v>
      </c>
      <c r="P32" s="164">
        <f t="shared" si="8"/>
        <v>0</v>
      </c>
    </row>
    <row r="33" spans="3:16" ht="16.5" customHeight="1">
      <c r="C33" s="165"/>
      <c r="D33" s="239"/>
      <c r="E33" s="174" t="s">
        <v>31</v>
      </c>
      <c r="F33" s="203">
        <v>0</v>
      </c>
      <c r="G33" s="203">
        <v>0</v>
      </c>
      <c r="H33" s="204">
        <f t="shared" ref="H33:H41" si="9">SUM(F33:G33)</f>
        <v>0</v>
      </c>
      <c r="I33" s="177"/>
      <c r="J33" s="240">
        <v>0</v>
      </c>
      <c r="K33" s="202">
        <v>0</v>
      </c>
      <c r="L33" s="202">
        <v>0</v>
      </c>
      <c r="M33" s="202">
        <v>0</v>
      </c>
      <c r="N33" s="202">
        <v>0</v>
      </c>
      <c r="O33" s="204">
        <f t="shared" ref="O33:O41" si="10">SUM(I33:N33)</f>
        <v>0</v>
      </c>
      <c r="P33" s="206">
        <f t="shared" ref="P33:P41" si="11">H33+O33</f>
        <v>0</v>
      </c>
    </row>
    <row r="34" spans="3:16" ht="16.5" customHeight="1">
      <c r="C34" s="165"/>
      <c r="D34" s="241"/>
      <c r="E34" s="174" t="s">
        <v>32</v>
      </c>
      <c r="F34" s="203">
        <v>0</v>
      </c>
      <c r="G34" s="203">
        <v>0</v>
      </c>
      <c r="H34" s="204">
        <f t="shared" si="9"/>
        <v>0</v>
      </c>
      <c r="I34" s="177"/>
      <c r="J34" s="240">
        <v>0</v>
      </c>
      <c r="K34" s="202">
        <v>0</v>
      </c>
      <c r="L34" s="202">
        <v>0</v>
      </c>
      <c r="M34" s="202">
        <v>0</v>
      </c>
      <c r="N34" s="202">
        <v>0</v>
      </c>
      <c r="O34" s="204">
        <f t="shared" si="10"/>
        <v>0</v>
      </c>
      <c r="P34" s="206">
        <f t="shared" si="11"/>
        <v>0</v>
      </c>
    </row>
    <row r="35" spans="3:16" ht="16.5" customHeight="1">
      <c r="C35" s="165"/>
      <c r="D35" s="239"/>
      <c r="E35" s="174" t="s">
        <v>33</v>
      </c>
      <c r="F35" s="203">
        <v>0</v>
      </c>
      <c r="G35" s="203">
        <v>0</v>
      </c>
      <c r="H35" s="204">
        <f t="shared" si="9"/>
        <v>0</v>
      </c>
      <c r="I35" s="177"/>
      <c r="J35" s="240">
        <v>0</v>
      </c>
      <c r="K35" s="202">
        <v>0</v>
      </c>
      <c r="L35" s="202">
        <v>0</v>
      </c>
      <c r="M35" s="202">
        <v>0</v>
      </c>
      <c r="N35" s="202">
        <v>0</v>
      </c>
      <c r="O35" s="204">
        <f t="shared" si="10"/>
        <v>0</v>
      </c>
      <c r="P35" s="206">
        <f t="shared" si="11"/>
        <v>0</v>
      </c>
    </row>
    <row r="36" spans="3:16" ht="16.5" customHeight="1">
      <c r="C36" s="165"/>
      <c r="D36" s="239"/>
      <c r="E36" s="174" t="s">
        <v>34</v>
      </c>
      <c r="F36" s="203">
        <v>0</v>
      </c>
      <c r="G36" s="203">
        <v>0</v>
      </c>
      <c r="H36" s="204">
        <f t="shared" si="9"/>
        <v>0</v>
      </c>
      <c r="I36" s="177"/>
      <c r="J36" s="240">
        <v>0</v>
      </c>
      <c r="K36" s="202">
        <v>0</v>
      </c>
      <c r="L36" s="202">
        <v>0</v>
      </c>
      <c r="M36" s="202">
        <v>0</v>
      </c>
      <c r="N36" s="202">
        <v>0</v>
      </c>
      <c r="O36" s="204">
        <f t="shared" si="10"/>
        <v>0</v>
      </c>
      <c r="P36" s="206">
        <f t="shared" si="11"/>
        <v>0</v>
      </c>
    </row>
    <row r="37" spans="3:16" ht="16.5" customHeight="1">
      <c r="C37" s="165"/>
      <c r="D37" s="239"/>
      <c r="E37" s="174" t="s">
        <v>117</v>
      </c>
      <c r="F37" s="203">
        <v>0</v>
      </c>
      <c r="G37" s="203">
        <v>0</v>
      </c>
      <c r="H37" s="204">
        <f t="shared" si="9"/>
        <v>0</v>
      </c>
      <c r="I37" s="177"/>
      <c r="J37" s="240">
        <v>0</v>
      </c>
      <c r="K37" s="202">
        <v>0</v>
      </c>
      <c r="L37" s="202">
        <v>0</v>
      </c>
      <c r="M37" s="202">
        <v>0</v>
      </c>
      <c r="N37" s="202">
        <v>0</v>
      </c>
      <c r="O37" s="204">
        <f t="shared" si="10"/>
        <v>0</v>
      </c>
      <c r="P37" s="206">
        <f t="shared" si="11"/>
        <v>0</v>
      </c>
    </row>
    <row r="38" spans="3:16" ht="16.5" customHeight="1">
      <c r="C38" s="165"/>
      <c r="D38" s="239"/>
      <c r="E38" s="174" t="s">
        <v>99</v>
      </c>
      <c r="F38" s="202">
        <v>0</v>
      </c>
      <c r="G38" s="202">
        <v>0</v>
      </c>
      <c r="H38" s="204">
        <f t="shared" si="9"/>
        <v>0</v>
      </c>
      <c r="I38" s="177"/>
      <c r="J38" s="240">
        <v>0</v>
      </c>
      <c r="K38" s="202">
        <v>0</v>
      </c>
      <c r="L38" s="202">
        <v>0</v>
      </c>
      <c r="M38" s="202">
        <v>0</v>
      </c>
      <c r="N38" s="202">
        <v>0</v>
      </c>
      <c r="O38" s="204">
        <f t="shared" si="10"/>
        <v>0</v>
      </c>
      <c r="P38" s="206">
        <f t="shared" si="11"/>
        <v>0</v>
      </c>
    </row>
    <row r="39" spans="3:16" ht="16.5" customHeight="1">
      <c r="C39" s="165"/>
      <c r="D39" s="239"/>
      <c r="E39" s="174" t="s">
        <v>100</v>
      </c>
      <c r="F39" s="242">
        <v>0</v>
      </c>
      <c r="G39" s="242">
        <v>0</v>
      </c>
      <c r="H39" s="243">
        <f t="shared" si="9"/>
        <v>0</v>
      </c>
      <c r="I39" s="177"/>
      <c r="J39" s="244">
        <v>0</v>
      </c>
      <c r="K39" s="242">
        <v>0</v>
      </c>
      <c r="L39" s="242">
        <v>0</v>
      </c>
      <c r="M39" s="242">
        <v>0</v>
      </c>
      <c r="N39" s="242">
        <v>0</v>
      </c>
      <c r="O39" s="243">
        <f t="shared" si="10"/>
        <v>0</v>
      </c>
      <c r="P39" s="245">
        <f t="shared" si="11"/>
        <v>0</v>
      </c>
    </row>
    <row r="40" spans="3:16" ht="16.5" customHeight="1">
      <c r="C40" s="165"/>
      <c r="D40" s="239"/>
      <c r="E40" s="246" t="s">
        <v>101</v>
      </c>
      <c r="F40" s="242">
        <v>0</v>
      </c>
      <c r="G40" s="242">
        <v>0</v>
      </c>
      <c r="H40" s="243">
        <f t="shared" si="9"/>
        <v>0</v>
      </c>
      <c r="I40" s="177"/>
      <c r="J40" s="244">
        <v>0</v>
      </c>
      <c r="K40" s="242">
        <v>0</v>
      </c>
      <c r="L40" s="242">
        <v>0</v>
      </c>
      <c r="M40" s="242">
        <v>0</v>
      </c>
      <c r="N40" s="242">
        <v>0</v>
      </c>
      <c r="O40" s="243">
        <f t="shared" si="10"/>
        <v>0</v>
      </c>
      <c r="P40" s="245">
        <f t="shared" si="11"/>
        <v>0</v>
      </c>
    </row>
    <row r="41" spans="3:16" ht="16.5" customHeight="1">
      <c r="C41" s="165"/>
      <c r="D41" s="247"/>
      <c r="E41" s="248" t="s">
        <v>102</v>
      </c>
      <c r="F41" s="195">
        <v>0</v>
      </c>
      <c r="G41" s="195">
        <v>0</v>
      </c>
      <c r="H41" s="197">
        <f t="shared" si="9"/>
        <v>0</v>
      </c>
      <c r="I41" s="177"/>
      <c r="J41" s="224">
        <v>0</v>
      </c>
      <c r="K41" s="195">
        <v>0</v>
      </c>
      <c r="L41" s="195">
        <v>0</v>
      </c>
      <c r="M41" s="195">
        <v>0</v>
      </c>
      <c r="N41" s="195">
        <v>0</v>
      </c>
      <c r="O41" s="197">
        <f t="shared" si="10"/>
        <v>0</v>
      </c>
      <c r="P41" s="198">
        <f t="shared" si="11"/>
        <v>0</v>
      </c>
    </row>
    <row r="42" spans="3:16" ht="16.5" customHeight="1">
      <c r="C42" s="165"/>
      <c r="D42" s="249" t="s">
        <v>138</v>
      </c>
      <c r="E42" s="250"/>
      <c r="F42" s="168">
        <f>SUM(F43:F51)</f>
        <v>0</v>
      </c>
      <c r="G42" s="168">
        <f>SUM(G43:G51)</f>
        <v>0</v>
      </c>
      <c r="H42" s="170">
        <f>SUM(H43:H51)</f>
        <v>0</v>
      </c>
      <c r="I42" s="163"/>
      <c r="J42" s="238">
        <f t="shared" ref="J42:P42" si="12">SUM(J43:J51)</f>
        <v>0</v>
      </c>
      <c r="K42" s="168">
        <f t="shared" si="12"/>
        <v>0</v>
      </c>
      <c r="L42" s="168">
        <f t="shared" si="12"/>
        <v>0</v>
      </c>
      <c r="M42" s="168">
        <f t="shared" si="12"/>
        <v>0</v>
      </c>
      <c r="N42" s="168">
        <f t="shared" si="12"/>
        <v>0</v>
      </c>
      <c r="O42" s="170">
        <f t="shared" si="12"/>
        <v>0</v>
      </c>
      <c r="P42" s="172">
        <f t="shared" si="12"/>
        <v>0</v>
      </c>
    </row>
    <row r="43" spans="3:16" ht="16.5" customHeight="1">
      <c r="C43" s="165"/>
      <c r="D43" s="239"/>
      <c r="E43" s="174" t="s">
        <v>31</v>
      </c>
      <c r="F43" s="203">
        <v>0</v>
      </c>
      <c r="G43" s="203">
        <v>0</v>
      </c>
      <c r="H43" s="204">
        <f t="shared" ref="H43:H51" si="13">SUM(F43:G43)</f>
        <v>0</v>
      </c>
      <c r="I43" s="177"/>
      <c r="J43" s="240">
        <v>0</v>
      </c>
      <c r="K43" s="202">
        <v>0</v>
      </c>
      <c r="L43" s="202">
        <v>0</v>
      </c>
      <c r="M43" s="202">
        <v>0</v>
      </c>
      <c r="N43" s="202">
        <v>0</v>
      </c>
      <c r="O43" s="204">
        <f t="shared" ref="O43:O51" si="14">SUM(I43:N43)</f>
        <v>0</v>
      </c>
      <c r="P43" s="206">
        <f t="shared" ref="P43:P51" si="15">H43+O43</f>
        <v>0</v>
      </c>
    </row>
    <row r="44" spans="3:16" ht="16.5" customHeight="1">
      <c r="C44" s="165"/>
      <c r="D44" s="241"/>
      <c r="E44" s="174" t="s">
        <v>32</v>
      </c>
      <c r="F44" s="203">
        <v>0</v>
      </c>
      <c r="G44" s="203">
        <v>0</v>
      </c>
      <c r="H44" s="204">
        <f t="shared" si="13"/>
        <v>0</v>
      </c>
      <c r="I44" s="177"/>
      <c r="J44" s="240">
        <v>0</v>
      </c>
      <c r="K44" s="202">
        <v>0</v>
      </c>
      <c r="L44" s="202">
        <v>0</v>
      </c>
      <c r="M44" s="202">
        <v>0</v>
      </c>
      <c r="N44" s="202">
        <v>0</v>
      </c>
      <c r="O44" s="204">
        <f t="shared" si="14"/>
        <v>0</v>
      </c>
      <c r="P44" s="206">
        <f t="shared" si="15"/>
        <v>0</v>
      </c>
    </row>
    <row r="45" spans="3:16" ht="16.5" customHeight="1">
      <c r="C45" s="165"/>
      <c r="D45" s="239"/>
      <c r="E45" s="174" t="s">
        <v>33</v>
      </c>
      <c r="F45" s="203">
        <v>0</v>
      </c>
      <c r="G45" s="203">
        <v>0</v>
      </c>
      <c r="H45" s="204">
        <f t="shared" si="13"/>
        <v>0</v>
      </c>
      <c r="I45" s="177"/>
      <c r="J45" s="240">
        <v>0</v>
      </c>
      <c r="K45" s="202">
        <v>0</v>
      </c>
      <c r="L45" s="202">
        <v>0</v>
      </c>
      <c r="M45" s="202">
        <v>0</v>
      </c>
      <c r="N45" s="202">
        <v>0</v>
      </c>
      <c r="O45" s="204">
        <f t="shared" si="14"/>
        <v>0</v>
      </c>
      <c r="P45" s="206">
        <f t="shared" si="15"/>
        <v>0</v>
      </c>
    </row>
    <row r="46" spans="3:16" ht="16.5" customHeight="1">
      <c r="C46" s="165"/>
      <c r="D46" s="239"/>
      <c r="E46" s="174" t="s">
        <v>34</v>
      </c>
      <c r="F46" s="203">
        <v>0</v>
      </c>
      <c r="G46" s="203">
        <v>0</v>
      </c>
      <c r="H46" s="204">
        <f t="shared" si="13"/>
        <v>0</v>
      </c>
      <c r="I46" s="177"/>
      <c r="J46" s="240">
        <v>0</v>
      </c>
      <c r="K46" s="202">
        <v>0</v>
      </c>
      <c r="L46" s="202">
        <v>0</v>
      </c>
      <c r="M46" s="202">
        <v>0</v>
      </c>
      <c r="N46" s="202">
        <v>0</v>
      </c>
      <c r="O46" s="204">
        <f t="shared" si="14"/>
        <v>0</v>
      </c>
      <c r="P46" s="206">
        <f t="shared" si="15"/>
        <v>0</v>
      </c>
    </row>
    <row r="47" spans="3:16" ht="16.5" customHeight="1">
      <c r="C47" s="165"/>
      <c r="D47" s="239"/>
      <c r="E47" s="174" t="s">
        <v>117</v>
      </c>
      <c r="F47" s="203">
        <v>0</v>
      </c>
      <c r="G47" s="203">
        <v>0</v>
      </c>
      <c r="H47" s="204">
        <f t="shared" si="13"/>
        <v>0</v>
      </c>
      <c r="I47" s="177"/>
      <c r="J47" s="240">
        <v>0</v>
      </c>
      <c r="K47" s="202">
        <v>0</v>
      </c>
      <c r="L47" s="202">
        <v>0</v>
      </c>
      <c r="M47" s="202">
        <v>0</v>
      </c>
      <c r="N47" s="202">
        <v>0</v>
      </c>
      <c r="O47" s="204">
        <f t="shared" si="14"/>
        <v>0</v>
      </c>
      <c r="P47" s="206">
        <f t="shared" si="15"/>
        <v>0</v>
      </c>
    </row>
    <row r="48" spans="3:16" ht="16.5" customHeight="1">
      <c r="C48" s="165"/>
      <c r="D48" s="239"/>
      <c r="E48" s="174" t="s">
        <v>99</v>
      </c>
      <c r="F48" s="202">
        <v>0</v>
      </c>
      <c r="G48" s="202">
        <v>0</v>
      </c>
      <c r="H48" s="204">
        <f t="shared" si="13"/>
        <v>0</v>
      </c>
      <c r="I48" s="177"/>
      <c r="J48" s="240">
        <v>0</v>
      </c>
      <c r="K48" s="202">
        <v>0</v>
      </c>
      <c r="L48" s="202">
        <v>0</v>
      </c>
      <c r="M48" s="202">
        <v>0</v>
      </c>
      <c r="N48" s="202">
        <v>0</v>
      </c>
      <c r="O48" s="204">
        <f t="shared" si="14"/>
        <v>0</v>
      </c>
      <c r="P48" s="206">
        <f t="shared" si="15"/>
        <v>0</v>
      </c>
    </row>
    <row r="49" spans="3:16" ht="16.5" customHeight="1">
      <c r="C49" s="165"/>
      <c r="D49" s="241"/>
      <c r="E49" s="174" t="s">
        <v>100</v>
      </c>
      <c r="F49" s="202">
        <v>0</v>
      </c>
      <c r="G49" s="202">
        <v>0</v>
      </c>
      <c r="H49" s="204">
        <f t="shared" si="13"/>
        <v>0</v>
      </c>
      <c r="I49" s="177"/>
      <c r="J49" s="240">
        <v>0</v>
      </c>
      <c r="K49" s="202">
        <v>0</v>
      </c>
      <c r="L49" s="202">
        <v>0</v>
      </c>
      <c r="M49" s="202">
        <v>0</v>
      </c>
      <c r="N49" s="202">
        <v>0</v>
      </c>
      <c r="O49" s="204">
        <f t="shared" si="14"/>
        <v>0</v>
      </c>
      <c r="P49" s="206">
        <f t="shared" si="15"/>
        <v>0</v>
      </c>
    </row>
    <row r="50" spans="3:16" ht="16.5" customHeight="1">
      <c r="C50" s="165"/>
      <c r="D50" s="239"/>
      <c r="E50" s="246" t="s">
        <v>101</v>
      </c>
      <c r="F50" s="242">
        <v>0</v>
      </c>
      <c r="G50" s="242">
        <v>0</v>
      </c>
      <c r="H50" s="243">
        <f t="shared" si="13"/>
        <v>0</v>
      </c>
      <c r="I50" s="177"/>
      <c r="J50" s="244">
        <v>0</v>
      </c>
      <c r="K50" s="242">
        <v>0</v>
      </c>
      <c r="L50" s="242">
        <v>0</v>
      </c>
      <c r="M50" s="242">
        <v>0</v>
      </c>
      <c r="N50" s="242">
        <v>0</v>
      </c>
      <c r="O50" s="243">
        <f t="shared" si="14"/>
        <v>0</v>
      </c>
      <c r="P50" s="245">
        <f t="shared" si="15"/>
        <v>0</v>
      </c>
    </row>
    <row r="51" spans="3:16" ht="16.5" customHeight="1">
      <c r="C51" s="165"/>
      <c r="D51" s="247"/>
      <c r="E51" s="248" t="s">
        <v>102</v>
      </c>
      <c r="F51" s="195">
        <v>0</v>
      </c>
      <c r="G51" s="195">
        <v>0</v>
      </c>
      <c r="H51" s="197">
        <f t="shared" si="13"/>
        <v>0</v>
      </c>
      <c r="I51" s="177"/>
      <c r="J51" s="224">
        <v>0</v>
      </c>
      <c r="K51" s="195">
        <v>0</v>
      </c>
      <c r="L51" s="195">
        <v>0</v>
      </c>
      <c r="M51" s="195">
        <v>0</v>
      </c>
      <c r="N51" s="195">
        <v>0</v>
      </c>
      <c r="O51" s="197">
        <f t="shared" si="14"/>
        <v>0</v>
      </c>
      <c r="P51" s="198">
        <f t="shared" si="15"/>
        <v>0</v>
      </c>
    </row>
    <row r="52" spans="3:16" ht="16.5" customHeight="1">
      <c r="C52" s="307" t="s">
        <v>121</v>
      </c>
      <c r="D52" s="308"/>
      <c r="E52" s="309"/>
      <c r="F52" s="225">
        <f>F32+F42</f>
        <v>0</v>
      </c>
      <c r="G52" s="213">
        <f>G32+G42</f>
        <v>0</v>
      </c>
      <c r="H52" s="214">
        <f>H32+H42</f>
        <v>0</v>
      </c>
      <c r="I52" s="124"/>
      <c r="J52" s="226">
        <f t="shared" ref="J52:P52" si="16">J32+J42</f>
        <v>0</v>
      </c>
      <c r="K52" s="213">
        <f t="shared" si="16"/>
        <v>0</v>
      </c>
      <c r="L52" s="213">
        <f t="shared" si="16"/>
        <v>0</v>
      </c>
      <c r="M52" s="213">
        <f t="shared" si="16"/>
        <v>0</v>
      </c>
      <c r="N52" s="213">
        <f t="shared" si="16"/>
        <v>0</v>
      </c>
      <c r="O52" s="214">
        <f t="shared" si="16"/>
        <v>0</v>
      </c>
      <c r="P52" s="215">
        <f t="shared" si="16"/>
        <v>0</v>
      </c>
    </row>
    <row r="53" spans="3:16" ht="12" customHeight="1"/>
  </sheetData>
  <sheetProtection selectLockedCells="1" selectUnlockedCells="1"/>
  <mergeCells count="7">
    <mergeCell ref="C52:E52"/>
    <mergeCell ref="A3:Q3"/>
    <mergeCell ref="A4:Q4"/>
    <mergeCell ref="C8:E9"/>
    <mergeCell ref="F8:H8"/>
    <mergeCell ref="I8:O8"/>
    <mergeCell ref="P8:P9"/>
  </mergeCells>
  <phoneticPr fontId="15"/>
  <pageMargins left="0.7" right="0.7" top="0.75" bottom="0.75" header="0.3" footer="0.3"/>
  <pageSetup paperSize="9" scale="6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showGridLines="0" workbookViewId="0">
      <selection activeCell="A5" sqref="A5"/>
    </sheetView>
  </sheetViews>
  <sheetFormatPr defaultColWidth="9" defaultRowHeight="12.75" customHeight="1"/>
  <cols>
    <col min="1" max="4" width="2.875" style="6" customWidth="1"/>
    <col min="5" max="5" width="14.375" style="6" customWidth="1"/>
    <col min="6" max="7" width="16.25" style="6" customWidth="1"/>
    <col min="8" max="8" width="16.25" style="1" customWidth="1"/>
    <col min="9" max="9" width="14.375" style="1" customWidth="1"/>
    <col min="10" max="10" width="4" customWidth="1"/>
  </cols>
  <sheetData>
    <row r="1" spans="1:10" ht="18" customHeight="1">
      <c r="A1" s="255" t="s">
        <v>142</v>
      </c>
      <c r="B1" s="5"/>
      <c r="H1" s="6"/>
      <c r="I1" s="6"/>
      <c r="J1" s="216"/>
    </row>
    <row r="2" spans="1:10" ht="18" customHeight="1">
      <c r="H2" s="6"/>
      <c r="I2" s="6"/>
      <c r="J2" s="216"/>
    </row>
    <row r="3" spans="1:10" ht="18" customHeight="1">
      <c r="A3" s="333" t="s">
        <v>1</v>
      </c>
      <c r="B3" s="333"/>
      <c r="C3" s="333"/>
      <c r="D3" s="333"/>
      <c r="E3" s="333"/>
      <c r="F3" s="333"/>
      <c r="G3" s="333"/>
      <c r="H3" s="333"/>
      <c r="I3" s="333"/>
      <c r="J3" s="256"/>
    </row>
    <row r="4" spans="1:10" ht="18" customHeight="1">
      <c r="A4" s="306" t="s">
        <v>168</v>
      </c>
      <c r="B4" s="333"/>
      <c r="C4" s="333"/>
      <c r="D4" s="333"/>
      <c r="E4" s="333"/>
      <c r="F4" s="333"/>
      <c r="G4" s="333"/>
      <c r="H4" s="333"/>
      <c r="I4" s="333"/>
      <c r="J4" s="256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40" t="s">
        <v>165</v>
      </c>
      <c r="J5" s="256"/>
    </row>
    <row r="6" spans="1:10" ht="18" customHeight="1">
      <c r="A6" s="7"/>
      <c r="B6" s="7"/>
      <c r="C6" s="7"/>
      <c r="D6" s="7"/>
      <c r="E6" s="7"/>
      <c r="F6" s="7"/>
      <c r="G6" s="1"/>
      <c r="H6" s="60" t="s">
        <v>3</v>
      </c>
      <c r="I6" s="42" t="s">
        <v>166</v>
      </c>
      <c r="J6" s="256" t="s">
        <v>4</v>
      </c>
    </row>
    <row r="7" spans="1:10" s="8" customFormat="1" ht="18" customHeight="1">
      <c r="B7" s="104" t="s">
        <v>143</v>
      </c>
      <c r="J7" s="256"/>
    </row>
    <row r="8" spans="1:10" s="8" customFormat="1" ht="18" customHeight="1">
      <c r="C8" s="104" t="s">
        <v>144</v>
      </c>
      <c r="E8" s="9"/>
      <c r="J8" s="256"/>
    </row>
    <row r="9" spans="1:10" s="8" customFormat="1" ht="16.5" customHeight="1">
      <c r="D9" s="167" t="s">
        <v>145</v>
      </c>
      <c r="J9" s="256"/>
    </row>
    <row r="10" spans="1:10" s="8" customFormat="1" ht="16.5" customHeight="1">
      <c r="D10" s="329"/>
      <c r="E10" s="330"/>
      <c r="F10" s="257" t="s">
        <v>146</v>
      </c>
      <c r="G10" s="257" t="s">
        <v>23</v>
      </c>
      <c r="H10" s="258" t="s">
        <v>17</v>
      </c>
      <c r="J10" s="256"/>
    </row>
    <row r="11" spans="1:10" s="8" customFormat="1" ht="16.5" customHeight="1">
      <c r="D11" s="331" t="s">
        <v>147</v>
      </c>
      <c r="E11" s="332"/>
      <c r="F11" s="259">
        <f>SUM(F16+F21+F26)</f>
        <v>4</v>
      </c>
      <c r="G11" s="259">
        <f>SUM(G16+G21+G26)</f>
        <v>4</v>
      </c>
      <c r="H11" s="260">
        <f>SUM(F11,G11)</f>
        <v>8</v>
      </c>
      <c r="I11" s="261"/>
      <c r="J11" s="256"/>
    </row>
    <row r="12" spans="1:10" s="8" customFormat="1" ht="16.5" customHeight="1">
      <c r="D12" s="328" t="s">
        <v>148</v>
      </c>
      <c r="E12" s="309"/>
      <c r="F12" s="262">
        <f>SUM(F17+F22+F27)</f>
        <v>3645</v>
      </c>
      <c r="G12" s="262">
        <f>SUM(G17+G22+G27)</f>
        <v>56339</v>
      </c>
      <c r="H12" s="263">
        <f>SUM(F12,G12)</f>
        <v>59984</v>
      </c>
      <c r="I12" s="261"/>
      <c r="J12" s="256"/>
    </row>
    <row r="14" spans="1:10" s="264" customFormat="1" ht="16.5" customHeight="1">
      <c r="D14" s="167" t="s">
        <v>149</v>
      </c>
    </row>
    <row r="15" spans="1:10" s="264" customFormat="1" ht="16.5" customHeight="1">
      <c r="D15" s="329"/>
      <c r="E15" s="330"/>
      <c r="F15" s="257" t="s">
        <v>146</v>
      </c>
      <c r="G15" s="257" t="s">
        <v>23</v>
      </c>
      <c r="H15" s="258" t="s">
        <v>17</v>
      </c>
    </row>
    <row r="16" spans="1:10" s="264" customFormat="1" ht="16.5" customHeight="1">
      <c r="D16" s="331" t="s">
        <v>147</v>
      </c>
      <c r="E16" s="332"/>
      <c r="F16" s="265">
        <v>0</v>
      </c>
      <c r="G16" s="265">
        <v>0</v>
      </c>
      <c r="H16" s="260">
        <f>SUM(F16,G16)</f>
        <v>0</v>
      </c>
      <c r="I16" s="266"/>
    </row>
    <row r="17" spans="4:10" s="264" customFormat="1" ht="16.5" customHeight="1">
      <c r="D17" s="328" t="s">
        <v>148</v>
      </c>
      <c r="E17" s="309"/>
      <c r="F17" s="267">
        <v>0</v>
      </c>
      <c r="G17" s="267">
        <v>0</v>
      </c>
      <c r="H17" s="263">
        <f>SUM(F17,G17)</f>
        <v>0</v>
      </c>
      <c r="I17" s="266"/>
    </row>
    <row r="19" spans="4:10" s="264" customFormat="1" ht="16.5" customHeight="1">
      <c r="D19" s="167" t="s">
        <v>150</v>
      </c>
    </row>
    <row r="20" spans="4:10" s="264" customFormat="1" ht="16.5" customHeight="1">
      <c r="D20" s="329"/>
      <c r="E20" s="330"/>
      <c r="F20" s="257" t="s">
        <v>146</v>
      </c>
      <c r="G20" s="257" t="s">
        <v>23</v>
      </c>
      <c r="H20" s="258" t="s">
        <v>17</v>
      </c>
    </row>
    <row r="21" spans="4:10" s="264" customFormat="1" ht="16.5" customHeight="1">
      <c r="D21" s="331" t="s">
        <v>147</v>
      </c>
      <c r="E21" s="332"/>
      <c r="F21" s="265">
        <v>0</v>
      </c>
      <c r="G21" s="265">
        <v>0</v>
      </c>
      <c r="H21" s="260">
        <f>SUM(F21,G21)</f>
        <v>0</v>
      </c>
      <c r="I21" s="266"/>
    </row>
    <row r="22" spans="4:10" s="264" customFormat="1" ht="16.5" customHeight="1">
      <c r="D22" s="328" t="s">
        <v>148</v>
      </c>
      <c r="E22" s="309"/>
      <c r="F22" s="267">
        <v>0</v>
      </c>
      <c r="G22" s="267">
        <v>0</v>
      </c>
      <c r="H22" s="263">
        <f>SUM(F22,G22)</f>
        <v>0</v>
      </c>
      <c r="I22" s="266"/>
    </row>
    <row r="24" spans="4:10" s="264" customFormat="1" ht="16.5" customHeight="1">
      <c r="D24" s="167" t="s">
        <v>151</v>
      </c>
    </row>
    <row r="25" spans="4:10" s="264" customFormat="1" ht="16.5" customHeight="1">
      <c r="D25" s="329"/>
      <c r="E25" s="330"/>
      <c r="F25" s="257" t="s">
        <v>146</v>
      </c>
      <c r="G25" s="257" t="s">
        <v>23</v>
      </c>
      <c r="H25" s="258" t="s">
        <v>17</v>
      </c>
    </row>
    <row r="26" spans="4:10" s="264" customFormat="1" ht="16.5" customHeight="1">
      <c r="D26" s="331" t="s">
        <v>147</v>
      </c>
      <c r="E26" s="332"/>
      <c r="F26" s="265">
        <v>4</v>
      </c>
      <c r="G26" s="265">
        <v>4</v>
      </c>
      <c r="H26" s="260">
        <f>SUM(F26,G26)</f>
        <v>8</v>
      </c>
      <c r="I26" s="266"/>
    </row>
    <row r="27" spans="4:10" s="264" customFormat="1" ht="16.5" customHeight="1">
      <c r="D27" s="328" t="s">
        <v>148</v>
      </c>
      <c r="E27" s="309"/>
      <c r="F27" s="267">
        <v>3645</v>
      </c>
      <c r="G27" s="267">
        <v>56339</v>
      </c>
      <c r="H27" s="263">
        <f>SUM(F27,G27)</f>
        <v>59984</v>
      </c>
      <c r="I27" s="266"/>
    </row>
    <row r="28" spans="4:10" s="8" customFormat="1" ht="12" customHeight="1">
      <c r="J28" s="256"/>
    </row>
    <row r="29" spans="4:10" s="8" customFormat="1" ht="16.5" customHeight="1">
      <c r="D29" s="167" t="s">
        <v>152</v>
      </c>
      <c r="F29" s="9"/>
      <c r="J29" s="256"/>
    </row>
    <row r="30" spans="4:10" s="8" customFormat="1" ht="16.5" customHeight="1">
      <c r="D30" s="329"/>
      <c r="E30" s="330"/>
      <c r="F30" s="257" t="s">
        <v>146</v>
      </c>
      <c r="G30" s="257" t="s">
        <v>23</v>
      </c>
      <c r="H30" s="258" t="s">
        <v>17</v>
      </c>
      <c r="J30" s="256"/>
    </row>
    <row r="31" spans="4:10" s="8" customFormat="1" ht="16.5" customHeight="1">
      <c r="D31" s="331" t="s">
        <v>147</v>
      </c>
      <c r="E31" s="332"/>
      <c r="F31" s="265">
        <v>10</v>
      </c>
      <c r="G31" s="265">
        <v>61</v>
      </c>
      <c r="H31" s="260">
        <f>SUM(F31,G31)</f>
        <v>71</v>
      </c>
      <c r="I31" s="261"/>
      <c r="J31" s="256"/>
    </row>
    <row r="32" spans="4:10" s="8" customFormat="1" ht="16.5" customHeight="1">
      <c r="D32" s="328" t="s">
        <v>148</v>
      </c>
      <c r="E32" s="309"/>
      <c r="F32" s="267">
        <v>183832</v>
      </c>
      <c r="G32" s="267">
        <v>610960</v>
      </c>
      <c r="H32" s="263">
        <f>SUM(F32,G32)</f>
        <v>794792</v>
      </c>
      <c r="I32" s="261"/>
      <c r="J32" s="256"/>
    </row>
    <row r="33" spans="4:10" s="8" customFormat="1" ht="12" customHeight="1">
      <c r="J33" s="256"/>
    </row>
    <row r="34" spans="4:10" s="8" customFormat="1" ht="16.5" customHeight="1">
      <c r="D34" s="167" t="s">
        <v>153</v>
      </c>
      <c r="F34" s="9"/>
      <c r="J34" s="256"/>
    </row>
    <row r="35" spans="4:10" s="8" customFormat="1" ht="16.5" customHeight="1">
      <c r="D35" s="329"/>
      <c r="E35" s="330"/>
      <c r="F35" s="257" t="s">
        <v>146</v>
      </c>
      <c r="G35" s="257" t="s">
        <v>23</v>
      </c>
      <c r="H35" s="258" t="s">
        <v>17</v>
      </c>
      <c r="J35" s="256"/>
    </row>
    <row r="36" spans="4:10" s="8" customFormat="1" ht="16.5" customHeight="1">
      <c r="D36" s="331" t="s">
        <v>147</v>
      </c>
      <c r="E36" s="332"/>
      <c r="F36" s="265">
        <v>7</v>
      </c>
      <c r="G36" s="265">
        <v>76</v>
      </c>
      <c r="H36" s="260">
        <f>SUM(F36,G36)</f>
        <v>83</v>
      </c>
      <c r="I36" s="261"/>
      <c r="J36" s="256"/>
    </row>
    <row r="37" spans="4:10" s="8" customFormat="1" ht="16.5" customHeight="1">
      <c r="D37" s="328" t="s">
        <v>148</v>
      </c>
      <c r="E37" s="309"/>
      <c r="F37" s="267">
        <v>109639</v>
      </c>
      <c r="G37" s="267">
        <v>1382157</v>
      </c>
      <c r="H37" s="263">
        <f>SUM(F37,G37)</f>
        <v>1491796</v>
      </c>
      <c r="I37" s="261"/>
      <c r="J37" s="256"/>
    </row>
    <row r="38" spans="4:10" s="8" customFormat="1" ht="12" customHeight="1">
      <c r="J38" s="256"/>
    </row>
    <row r="39" spans="4:10" s="8" customFormat="1" ht="16.5" customHeight="1">
      <c r="D39" s="167" t="s">
        <v>154</v>
      </c>
      <c r="J39" s="256"/>
    </row>
    <row r="40" spans="4:10" s="8" customFormat="1" ht="16.5" customHeight="1">
      <c r="D40" s="329"/>
      <c r="E40" s="330"/>
      <c r="F40" s="257" t="s">
        <v>146</v>
      </c>
      <c r="G40" s="257" t="s">
        <v>23</v>
      </c>
      <c r="H40" s="258" t="s">
        <v>17</v>
      </c>
      <c r="J40" s="256"/>
    </row>
    <row r="41" spans="4:10" s="8" customFormat="1" ht="16.5" customHeight="1">
      <c r="D41" s="331" t="s">
        <v>147</v>
      </c>
      <c r="E41" s="332"/>
      <c r="F41" s="265">
        <v>0</v>
      </c>
      <c r="G41" s="265">
        <v>18</v>
      </c>
      <c r="H41" s="260">
        <f>SUM(F41,G41)</f>
        <v>18</v>
      </c>
      <c r="I41" s="261"/>
      <c r="J41" s="256"/>
    </row>
    <row r="42" spans="4:10" s="8" customFormat="1" ht="16.5" customHeight="1">
      <c r="D42" s="328" t="s">
        <v>148</v>
      </c>
      <c r="E42" s="309"/>
      <c r="F42" s="267">
        <v>0</v>
      </c>
      <c r="G42" s="267">
        <v>232530</v>
      </c>
      <c r="H42" s="263">
        <f>SUM(F42,G42)</f>
        <v>232530</v>
      </c>
      <c r="I42" s="261"/>
      <c r="J42" s="256"/>
    </row>
    <row r="43" spans="4:10" s="8" customFormat="1" ht="12" customHeight="1">
      <c r="J43" s="256"/>
    </row>
    <row r="44" spans="4:10" s="8" customFormat="1" ht="16.5" customHeight="1">
      <c r="D44" s="167" t="s">
        <v>155</v>
      </c>
      <c r="J44" s="256"/>
    </row>
    <row r="45" spans="4:10" s="8" customFormat="1" ht="16.5" customHeight="1">
      <c r="D45" s="329"/>
      <c r="E45" s="330"/>
      <c r="F45" s="257" t="s">
        <v>146</v>
      </c>
      <c r="G45" s="257" t="s">
        <v>23</v>
      </c>
      <c r="H45" s="258" t="s">
        <v>17</v>
      </c>
      <c r="J45" s="256"/>
    </row>
    <row r="46" spans="4:10" s="8" customFormat="1" ht="16.5" customHeight="1">
      <c r="D46" s="331" t="s">
        <v>147</v>
      </c>
      <c r="E46" s="332"/>
      <c r="F46" s="268">
        <f t="shared" ref="F46:H47" si="0">SUM(F11,F31,F36,F41)</f>
        <v>21</v>
      </c>
      <c r="G46" s="268">
        <f t="shared" si="0"/>
        <v>159</v>
      </c>
      <c r="H46" s="260">
        <f t="shared" si="0"/>
        <v>180</v>
      </c>
      <c r="I46" s="261"/>
      <c r="J46" s="256"/>
    </row>
    <row r="47" spans="4:10" s="8" customFormat="1" ht="16.5" customHeight="1">
      <c r="D47" s="328" t="s">
        <v>148</v>
      </c>
      <c r="E47" s="309"/>
      <c r="F47" s="225">
        <f t="shared" si="0"/>
        <v>297116</v>
      </c>
      <c r="G47" s="225">
        <f t="shared" si="0"/>
        <v>2281986</v>
      </c>
      <c r="H47" s="263">
        <f t="shared" si="0"/>
        <v>2579102</v>
      </c>
      <c r="I47" s="261"/>
      <c r="J47" s="256"/>
    </row>
    <row r="49" spans="3:10" s="8" customFormat="1" ht="18" customHeight="1">
      <c r="C49" s="104" t="s">
        <v>156</v>
      </c>
      <c r="J49" s="256"/>
    </row>
    <row r="50" spans="3:10" s="8" customFormat="1" ht="16.5" customHeight="1">
      <c r="D50" s="329"/>
      <c r="E50" s="330"/>
      <c r="F50" s="257" t="s">
        <v>146</v>
      </c>
      <c r="G50" s="257" t="s">
        <v>23</v>
      </c>
      <c r="H50" s="258" t="s">
        <v>17</v>
      </c>
      <c r="J50" s="256"/>
    </row>
    <row r="51" spans="3:10" s="8" customFormat="1" ht="16.5" customHeight="1">
      <c r="D51" s="331" t="s">
        <v>147</v>
      </c>
      <c r="E51" s="332"/>
      <c r="F51" s="265">
        <v>0</v>
      </c>
      <c r="G51" s="265">
        <v>0</v>
      </c>
      <c r="H51" s="260">
        <f>SUM(F51,G51)</f>
        <v>0</v>
      </c>
      <c r="I51" s="266"/>
      <c r="J51" s="256"/>
    </row>
    <row r="52" spans="3:10" s="8" customFormat="1" ht="16.5" customHeight="1">
      <c r="D52" s="328" t="s">
        <v>148</v>
      </c>
      <c r="E52" s="309"/>
      <c r="F52" s="267">
        <v>0</v>
      </c>
      <c r="G52" s="267">
        <v>0</v>
      </c>
      <c r="H52" s="263">
        <f>SUM(F52,G52)</f>
        <v>0</v>
      </c>
      <c r="I52" s="266"/>
      <c r="J52" s="256"/>
    </row>
    <row r="53" spans="3:10" s="8" customFormat="1" ht="12" customHeight="1">
      <c r="J53" s="256"/>
    </row>
    <row r="54" spans="3:10" s="8" customFormat="1" ht="18" customHeight="1">
      <c r="C54" s="104" t="s">
        <v>157</v>
      </c>
      <c r="E54" s="9"/>
      <c r="J54" s="256"/>
    </row>
    <row r="55" spans="3:10" s="8" customFormat="1" ht="16.5" customHeight="1">
      <c r="D55" s="269" t="s">
        <v>158</v>
      </c>
      <c r="J55" s="256"/>
    </row>
    <row r="56" spans="3:10" s="8" customFormat="1" ht="16.5" customHeight="1">
      <c r="D56" s="329" t="s">
        <v>147</v>
      </c>
      <c r="E56" s="330"/>
      <c r="F56" s="270">
        <f>SUM(F60,F64,F68)</f>
        <v>0</v>
      </c>
      <c r="J56" s="256"/>
    </row>
    <row r="57" spans="3:10" s="8" customFormat="1" ht="16.5" customHeight="1">
      <c r="D57" s="307" t="s">
        <v>148</v>
      </c>
      <c r="E57" s="309"/>
      <c r="F57" s="263">
        <f>SUM(F61,F65,F69)</f>
        <v>0</v>
      </c>
      <c r="J57" s="256"/>
    </row>
    <row r="58" spans="3:10" s="8" customFormat="1" ht="12" customHeight="1">
      <c r="E58" s="10"/>
      <c r="J58" s="256"/>
    </row>
    <row r="59" spans="3:10" s="8" customFormat="1" ht="16.5" customHeight="1">
      <c r="E59" s="167" t="s">
        <v>159</v>
      </c>
      <c r="J59" s="256"/>
    </row>
    <row r="60" spans="3:10" s="8" customFormat="1" ht="16.5" customHeight="1">
      <c r="E60" s="271" t="s">
        <v>147</v>
      </c>
      <c r="F60" s="272">
        <v>0</v>
      </c>
      <c r="J60" s="256"/>
    </row>
    <row r="61" spans="3:10" s="8" customFormat="1" ht="16.5" customHeight="1">
      <c r="E61" s="273" t="s">
        <v>148</v>
      </c>
      <c r="F61" s="274">
        <v>0</v>
      </c>
      <c r="J61" s="256"/>
    </row>
    <row r="62" spans="3:10" s="8" customFormat="1" ht="12" customHeight="1">
      <c r="E62" s="11"/>
      <c r="F62" s="10"/>
      <c r="J62" s="256"/>
    </row>
    <row r="63" spans="3:10" s="8" customFormat="1" ht="16.5" customHeight="1">
      <c r="E63" s="167" t="s">
        <v>160</v>
      </c>
      <c r="J63" s="256"/>
    </row>
    <row r="64" spans="3:10" s="8" customFormat="1" ht="16.5" customHeight="1">
      <c r="E64" s="271" t="s">
        <v>147</v>
      </c>
      <c r="F64" s="272">
        <v>0</v>
      </c>
      <c r="J64" s="256"/>
    </row>
    <row r="65" spans="4:10" s="8" customFormat="1" ht="16.5" customHeight="1">
      <c r="E65" s="273" t="s">
        <v>148</v>
      </c>
      <c r="F65" s="274">
        <v>0</v>
      </c>
      <c r="J65" s="256"/>
    </row>
    <row r="66" spans="4:10" s="8" customFormat="1" ht="12" customHeight="1">
      <c r="E66" s="11"/>
      <c r="F66" s="10"/>
      <c r="J66" s="256"/>
    </row>
    <row r="67" spans="4:10" s="8" customFormat="1" ht="16.5" customHeight="1">
      <c r="E67" s="167" t="s">
        <v>161</v>
      </c>
      <c r="J67" s="256"/>
    </row>
    <row r="68" spans="4:10" s="8" customFormat="1" ht="16.5" customHeight="1">
      <c r="E68" s="271" t="s">
        <v>147</v>
      </c>
      <c r="F68" s="272">
        <v>0</v>
      </c>
      <c r="J68" s="256"/>
    </row>
    <row r="69" spans="4:10" s="8" customFormat="1" ht="16.5" customHeight="1">
      <c r="E69" s="273" t="s">
        <v>148</v>
      </c>
      <c r="F69" s="274">
        <v>0</v>
      </c>
      <c r="J69" s="256"/>
    </row>
    <row r="70" spans="4:10" s="8" customFormat="1" ht="12" customHeight="1">
      <c r="E70" s="12"/>
      <c r="F70" s="13"/>
      <c r="G70" s="13"/>
      <c r="J70" s="256"/>
    </row>
    <row r="71" spans="4:10" s="8" customFormat="1" ht="16.5" customHeight="1">
      <c r="D71" s="167" t="s">
        <v>162</v>
      </c>
      <c r="F71" s="12"/>
      <c r="G71" s="14"/>
      <c r="H71" s="14"/>
      <c r="J71" s="256"/>
    </row>
    <row r="72" spans="4:10" s="8" customFormat="1" ht="16.5" customHeight="1">
      <c r="D72" s="329" t="s">
        <v>147</v>
      </c>
      <c r="E72" s="330"/>
      <c r="F72" s="272">
        <v>0</v>
      </c>
      <c r="G72" s="14"/>
      <c r="H72" s="14"/>
      <c r="J72" s="256"/>
    </row>
    <row r="73" spans="4:10" s="8" customFormat="1" ht="16.5" customHeight="1">
      <c r="D73" s="307" t="s">
        <v>148</v>
      </c>
      <c r="E73" s="309"/>
      <c r="F73" s="274">
        <v>0</v>
      </c>
      <c r="J73" s="256"/>
    </row>
    <row r="74" spans="4:10" s="8" customFormat="1" ht="12" customHeight="1">
      <c r="F74" s="12"/>
      <c r="G74" s="13"/>
      <c r="H74" s="13"/>
      <c r="J74" s="256"/>
    </row>
    <row r="75" spans="4:10" s="8" customFormat="1" ht="16.5" customHeight="1">
      <c r="D75" s="167" t="s">
        <v>163</v>
      </c>
      <c r="F75" s="12"/>
      <c r="J75" s="256"/>
    </row>
    <row r="76" spans="4:10" s="8" customFormat="1" ht="16.5" customHeight="1">
      <c r="D76" s="329" t="s">
        <v>147</v>
      </c>
      <c r="E76" s="330"/>
      <c r="F76" s="272">
        <v>0</v>
      </c>
      <c r="J76" s="256"/>
    </row>
    <row r="77" spans="4:10" s="8" customFormat="1" ht="16.5" customHeight="1">
      <c r="D77" s="307" t="s">
        <v>148</v>
      </c>
      <c r="E77" s="309"/>
      <c r="F77" s="274">
        <v>0</v>
      </c>
      <c r="J77" s="256"/>
    </row>
    <row r="78" spans="4:10" s="8" customFormat="1" ht="12" customHeight="1">
      <c r="E78" s="13"/>
      <c r="F78" s="12"/>
      <c r="J78" s="256"/>
    </row>
    <row r="79" spans="4:10" s="8" customFormat="1" ht="16.5" customHeight="1">
      <c r="D79" s="167" t="s">
        <v>164</v>
      </c>
      <c r="F79" s="12"/>
      <c r="G79" s="13"/>
      <c r="H79" s="13"/>
      <c r="J79" s="256"/>
    </row>
    <row r="80" spans="4:10" s="8" customFormat="1" ht="16.5" customHeight="1">
      <c r="D80" s="329" t="s">
        <v>147</v>
      </c>
      <c r="E80" s="330"/>
      <c r="F80" s="272">
        <v>0</v>
      </c>
      <c r="G80" s="14"/>
      <c r="H80" s="14"/>
      <c r="J80" s="256"/>
    </row>
    <row r="81" spans="4:10" s="8" customFormat="1" ht="16.5" customHeight="1">
      <c r="D81" s="307" t="s">
        <v>148</v>
      </c>
      <c r="E81" s="309"/>
      <c r="F81" s="274">
        <v>0</v>
      </c>
      <c r="G81" s="14"/>
      <c r="H81" s="14"/>
      <c r="J81" s="256"/>
    </row>
    <row r="82" spans="4:10" s="8" customFormat="1" ht="12" customHeight="1">
      <c r="E82" s="13"/>
      <c r="F82" s="12"/>
      <c r="G82" s="14"/>
      <c r="H82" s="14"/>
      <c r="J82" s="256"/>
    </row>
    <row r="83" spans="4:10" s="8" customFormat="1" ht="16.5" customHeight="1">
      <c r="D83" s="167" t="s">
        <v>155</v>
      </c>
      <c r="F83" s="12"/>
      <c r="G83" s="14"/>
      <c r="H83" s="14"/>
      <c r="J83" s="256"/>
    </row>
    <row r="84" spans="4:10" ht="16.5" customHeight="1">
      <c r="D84" s="329" t="s">
        <v>147</v>
      </c>
      <c r="E84" s="330"/>
      <c r="F84" s="270">
        <f>SUM(F56,F72,F76,F80)</f>
        <v>0</v>
      </c>
      <c r="G84" s="1"/>
      <c r="I84" s="6"/>
      <c r="J84" s="256"/>
    </row>
    <row r="85" spans="4:10" ht="16.5" customHeight="1">
      <c r="D85" s="307" t="s">
        <v>148</v>
      </c>
      <c r="E85" s="309"/>
      <c r="F85" s="263">
        <f>SUM(F57,F73,F77,F81)</f>
        <v>0</v>
      </c>
      <c r="G85" s="1"/>
      <c r="I85" s="6"/>
      <c r="J85" s="256"/>
    </row>
    <row r="86" spans="4:10" ht="12" customHeight="1">
      <c r="E86" s="1"/>
      <c r="F86" s="1"/>
      <c r="G86" s="1"/>
      <c r="I86" s="6"/>
      <c r="J86" s="256"/>
    </row>
  </sheetData>
  <sheetProtection selectLockedCells="1" selectUnlockedCells="1"/>
  <mergeCells count="39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0:E50"/>
    <mergeCell ref="D51:E51"/>
    <mergeCell ref="D52:E52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5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  <vt:lpstr>様式１!databind</vt:lpstr>
      <vt:lpstr>様式１の２!databind</vt:lpstr>
      <vt:lpstr>様式１の３!databind</vt:lpstr>
      <vt:lpstr>様式１の４!databind</vt:lpstr>
      <vt:lpstr>様式１の６!databind</vt:lpstr>
      <vt:lpstr>'様式２（給付費）'!databind</vt:lpstr>
      <vt:lpstr>'様式２（給付費）２割負担'!databind</vt:lpstr>
      <vt:lpstr>'様式２（給付費）３割負担'!databind</vt:lpstr>
      <vt:lpstr>'様式２（件数）'!databind</vt:lpstr>
      <vt:lpstr>'様式２（件数）２割負担'!databind</vt:lpstr>
      <vt:lpstr>'様式２（件数）３割負担'!databind</vt:lpstr>
      <vt:lpstr>'様式２（単位数）'!databind</vt:lpstr>
      <vt:lpstr>'様式２（単位数）２割負担'!databind</vt:lpstr>
      <vt:lpstr>'様式２（単位数）３割負担'!databind</vt:lpstr>
      <vt:lpstr>'様式２（費用額）'!databind</vt:lpstr>
      <vt:lpstr>'様式２（費用額）２割負担'!databind</vt:lpstr>
      <vt:lpstr>'様式２（費用額）３割負担'!databind</vt:lpstr>
      <vt:lpstr>'様式２の２（給付費）'!databind</vt:lpstr>
      <vt:lpstr>'様式２の２（件数）'!databind</vt:lpstr>
      <vt:lpstr>'様式２の２（単位数）'!databind</vt:lpstr>
      <vt:lpstr>'様式２の２（費用額）'!databind</vt:lpstr>
      <vt:lpstr>'様式２の３（給付費）'!databind</vt:lpstr>
      <vt:lpstr>'様式２の３（件数）'!databind</vt:lpstr>
      <vt:lpstr>'様式２の３（単位数）'!databind</vt:lpstr>
      <vt:lpstr>'様式２の３（費用額）'!databind</vt:lpstr>
      <vt:lpstr>'様式２の４（給付費）'!databind</vt:lpstr>
      <vt:lpstr>'様式２の４（件数）'!databind</vt:lpstr>
      <vt:lpstr>'様式２の４（単位数）'!databind</vt:lpstr>
      <vt:lpstr>'様式２の４（費用額）'!databind</vt:lpstr>
      <vt:lpstr>様式２の５!databind</vt:lpstr>
      <vt:lpstr>様式２の６!databind</vt:lpstr>
      <vt:lpstr>様式２の７!databind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　勝博</dc:creator>
  <cp:lastModifiedBy>0380</cp:lastModifiedBy>
  <cp:lastPrinted>2025-04-11T05:45:49Z</cp:lastPrinted>
  <dcterms:created xsi:type="dcterms:W3CDTF">2021-11-01T06:28:17Z</dcterms:created>
  <dcterms:modified xsi:type="dcterms:W3CDTF">2025-11-12T01:08:03Z</dcterms:modified>
</cp:coreProperties>
</file>