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PC\村上博②\村上　博①\7 年報・月報●\01介護保険事業報告（月報）\R07\令和７年０７審査分\"/>
    </mc:Choice>
  </mc:AlternateContent>
  <bookViews>
    <workbookView xWindow="0" yWindow="0" windowWidth="23040" windowHeight="10410" tabRatio="791" firstSheet="25" activeTab="31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P28" i="13" s="1"/>
  <c r="O27" i="13"/>
  <c r="H27" i="13"/>
  <c r="P27" i="13" s="1"/>
  <c r="P26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P29" i="9" s="1"/>
  <c r="O28" i="9"/>
  <c r="H28" i="9"/>
  <c r="H26" i="9" s="1"/>
  <c r="O27" i="9"/>
  <c r="O26" i="9" s="1"/>
  <c r="H27" i="9"/>
  <c r="P27" i="9" s="1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M11" i="9"/>
  <c r="M52" i="9" s="1"/>
  <c r="K11" i="9"/>
  <c r="K52" i="9" s="1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M11" i="8"/>
  <c r="M52" i="8" s="1"/>
  <c r="K11" i="8"/>
  <c r="K52" i="8" s="1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K11" i="6"/>
  <c r="K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H11" i="32" l="1"/>
  <c r="H46" i="32" s="1"/>
  <c r="F46" i="32"/>
  <c r="M38" i="5"/>
  <c r="M27" i="5"/>
  <c r="M26" i="5"/>
  <c r="N21" i="5"/>
  <c r="N13" i="5"/>
  <c r="N12" i="5"/>
  <c r="M34" i="5"/>
  <c r="P28" i="6"/>
  <c r="P26" i="6" s="1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O11" i="6" s="1"/>
  <c r="O52" i="6" s="1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O11" i="8" s="1"/>
  <c r="O52" i="8" s="1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P26" i="9"/>
  <c r="O11" i="10"/>
  <c r="O52" i="10" s="1"/>
  <c r="P12" i="11"/>
  <c r="P11" i="11" s="1"/>
  <c r="P18" i="12"/>
  <c r="H11" i="12"/>
  <c r="H52" i="12" s="1"/>
  <c r="P26" i="12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26" i="8" s="1"/>
  <c r="P18" i="10"/>
  <c r="P26" i="14"/>
  <c r="P12" i="17"/>
  <c r="P11" i="17" s="1"/>
  <c r="P18" i="18"/>
  <c r="P20" i="9"/>
  <c r="P23" i="9"/>
  <c r="P21" i="9" s="1"/>
  <c r="P28" i="9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49" i="12"/>
  <c r="P47" i="12" s="1"/>
  <c r="P14" i="13"/>
  <c r="P12" i="13" s="1"/>
  <c r="P11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52" i="31" l="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11" i="6"/>
  <c r="P52" i="6" s="1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<sst xmlns="http://schemas.openxmlformats.org/spreadsheetml/2006/main" count="2040" uniqueCount="175">
  <si>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</si>
  <si>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</si>
  <si>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</si>
  <si>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</si>
  <si>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</si>
  <si>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</si>
  <si>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</si>
  <si>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</si>
  <si>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</si>
  <si>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</si>
  <si>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</si>
  <si>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</si>
  <si>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</si>
  <si>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</si>
  <si>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</si>
  <si>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</si>
  <si>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</si>
  <si>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</si>
  <si>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</si>
  <si>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</si>
  <si>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</si>
  <si>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</si>
  <si>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</si>
  <si>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</si>
  <si>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</si>
  <si>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</si>
  <si>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</si>
  <si>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</si>
  <si>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</si>
  <si>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</si>
  <si>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</si>
  <si>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</si>
  <si>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</si>
  <si>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</si>
  <si>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</si>
  <si>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</si>
  <si>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</si>
  <si>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</si>
  <si>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</si>
  <si>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</si>
  <si>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</si>
  <si>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</si>
  <si>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</si>
  <si>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</si>
  <si>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</si>
  <si>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</si>
  <si>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</si>
  <si>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</si>
  <si>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</si>
  <si>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</si>
  <si>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</si>
  <si>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</si>
  <si>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</si>
  <si>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</si>
  <si>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</si>
  <si>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</si>
  <si>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</si>
  <si>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</si>
  <si>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</si>
  <si>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</si>
  <si>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</si>
  <si>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</si>
  <si>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</si>
  <si>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</si>
  <si>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</si>
  <si>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</si>
  <si>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</si>
  <si>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</si>
  <si>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</si>
  <si>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</si>
  <si>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</si>
  <si>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</si>
  <si>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</si>
  <si>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</si>
  <si>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</si>
  <si>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</si>
  <si>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</si>
  <si>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</si>
  <si>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</si>
  <si>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</si>
  <si>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</si>
  <si>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</si>
  <si>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</si>
  <si>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</si>
  <si>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</si>
  <si>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</si>
  <si>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</si>
  <si>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</si>
  <si>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</si>
  <si>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</si>
  <si>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</si>
  <si>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</si>
  <si>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</si>
  <si>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</si>
  <si>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</si>
  <si>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</si>
  <si>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</si>
  <si>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</si>
  <si>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</si>
  <si>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</si>
  <si>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</si>
  <si>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</si>
  <si>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</si>
  <si>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</si>
  <si>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</si>
  <si>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</si>
  <si>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</si>
  <si>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</si>
  <si>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</si>
  <si>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</si>
  <si>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</si>
  <si>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</si>
  <si>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</si>
  <si>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</si>
  <si>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</si>
  <si>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</si>
  <si>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</si>
  <si>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</si>
  <si>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</si>
  <si>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</si>
  <si>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</si>
  <si>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</si>
  <si>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</si>
  <si>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</si>
  <si>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</si>
  <si>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</si>
  <si>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</si>
  <si>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</si>
  <si>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</si>
  <si>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</si>
  <si>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</si>
  <si>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</si>
  <si>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</si>
  <si>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</si>
  <si>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</si>
  <si>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</si>
  <si>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</si>
  <si>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</si>
  <si>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</si>
  <si>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</si>
  <si>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</si>
  <si>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</si>
  <si>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</si>
  <si>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</si>
  <si>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</si>
  <si>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</si>
  <si>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</si>
  <si>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</si>
  <si>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</si>
  <si>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</si>
  <si>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</si>
  <si>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</si>
  <si>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</si>
  <si>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</si>
  <si>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</si>
  <si>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</si>
  <si>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</si>
  <si>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</si>
  <si>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</si>
  <si>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</si>
  <si>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</si>
  <si>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</si>
  <si>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</si>
  <si>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</si>
  <si>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</si>
  <si>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</si>
  <si>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</si>
  <si>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</si>
  <si>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</si>
  <si>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</si>
  <si>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</si>
  <si>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</si>
  <si>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(令和7年６月分)</t>
    <phoneticPr fontId="14"/>
  </si>
  <si>
    <t>(令和7年６月分)</t>
    <phoneticPr fontId="14"/>
  </si>
  <si>
    <t>(令和7年６月分)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</si>
</sst>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zoomScaleNormal="100" workbookViewId="0">
      <selection activeCell="H25" sqref="H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1573</v>
      </c>
      <c r="E12" s="3"/>
      <c r="F12" s="3"/>
      <c r="G12" s="48">
        <v>1569</v>
      </c>
    </row>
    <row r="13" spans="1:10" ht="24.75" customHeight="1">
      <c r="C13" s="46" t="s">
        <v>13</v>
      </c>
      <c r="D13" s="47">
        <v>1068</v>
      </c>
      <c r="E13" s="3"/>
      <c r="F13" s="3"/>
      <c r="G13" s="48">
        <v>1070</v>
      </c>
    </row>
    <row r="14" spans="1:10" ht="24.75" customHeight="1">
      <c r="C14" s="46" t="s">
        <v>14</v>
      </c>
      <c r="D14" s="47">
        <v>607</v>
      </c>
      <c r="E14" s="3"/>
      <c r="F14" s="3"/>
      <c r="G14" s="48">
        <v>605</v>
      </c>
    </row>
    <row r="15" spans="1:10" ht="24.75" customHeight="1">
      <c r="C15" s="46" t="s">
        <v>15</v>
      </c>
      <c r="D15" s="47">
        <v>8</v>
      </c>
      <c r="E15" s="3"/>
      <c r="F15" s="3"/>
      <c r="G15" s="48">
        <v>9</v>
      </c>
    </row>
    <row r="16" spans="1:10" ht="24.75" customHeight="1">
      <c r="C16" s="46" t="s">
        <v>16</v>
      </c>
      <c r="D16" s="47">
        <v>23</v>
      </c>
      <c r="E16" s="3"/>
      <c r="F16" s="3"/>
      <c r="G16" s="48">
        <v>24</v>
      </c>
    </row>
    <row r="17" spans="2:9" ht="24.75" customHeight="1">
      <c r="C17" s="49" t="s">
        <v>17</v>
      </c>
      <c r="D17" s="50">
        <f>SUM(D12:D14)</f>
        <v>3248</v>
      </c>
      <c r="E17" s="50">
        <v>11</v>
      </c>
      <c r="F17" s="50">
        <v>15</v>
      </c>
      <c r="G17" s="51">
        <f>SUM(G12:G14)</f>
        <v>3244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2</v>
      </c>
      <c r="E22" s="47">
        <v>0</v>
      </c>
      <c r="F22" s="47">
        <v>8</v>
      </c>
      <c r="G22" s="47">
        <v>0</v>
      </c>
      <c r="H22" s="47">
        <v>1</v>
      </c>
      <c r="I22" s="53">
        <f>SUM(D22:H22)</f>
        <v>11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3</v>
      </c>
      <c r="E24" s="57">
        <v>0</v>
      </c>
      <c r="F24" s="57">
        <v>12</v>
      </c>
      <c r="G24" s="57">
        <v>0</v>
      </c>
      <c r="H24" s="57">
        <v>0</v>
      </c>
      <c r="I24" s="51">
        <f>SUM(D24:H24)</f>
        <v>15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1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3</v>
      </c>
      <c r="E15" s="74">
        <v>3</v>
      </c>
      <c r="F15" s="74">
        <v>5</v>
      </c>
      <c r="G15" s="74">
        <v>5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8</v>
      </c>
      <c r="O15" s="75">
        <v>8</v>
      </c>
      <c r="P15" s="76">
        <f t="shared" si="0"/>
        <v>20</v>
      </c>
      <c r="Q15" s="77">
        <f t="shared" si="0"/>
        <v>20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1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8</v>
      </c>
      <c r="G17" s="74">
        <v>8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12</v>
      </c>
      <c r="O17" s="74">
        <v>12</v>
      </c>
      <c r="P17" s="76">
        <f t="shared" si="0"/>
        <v>44</v>
      </c>
      <c r="Q17" s="77">
        <f t="shared" si="0"/>
        <v>44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3</v>
      </c>
      <c r="O18" s="70">
        <v>3</v>
      </c>
      <c r="P18" s="71">
        <f t="shared" si="0"/>
        <v>3</v>
      </c>
      <c r="Q18" s="72">
        <f t="shared" si="0"/>
        <v>3</v>
      </c>
    </row>
    <row r="19" spans="1:18" ht="24.75" customHeight="1">
      <c r="C19" s="73" t="s">
        <v>42</v>
      </c>
      <c r="D19" s="74">
        <v>17</v>
      </c>
      <c r="E19" s="74">
        <v>17</v>
      </c>
      <c r="F19" s="74">
        <v>5</v>
      </c>
      <c r="G19" s="74">
        <v>5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24</v>
      </c>
      <c r="O19" s="75">
        <v>24</v>
      </c>
      <c r="P19" s="76">
        <f t="shared" si="0"/>
        <v>54</v>
      </c>
      <c r="Q19" s="77">
        <f t="shared" si="0"/>
        <v>54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71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4</v>
      </c>
      <c r="E21" s="83">
        <v>4</v>
      </c>
      <c r="F21" s="83">
        <v>2</v>
      </c>
      <c r="G21" s="83">
        <v>2</v>
      </c>
      <c r="H21" s="84">
        <v>0</v>
      </c>
      <c r="I21" s="84">
        <v>0</v>
      </c>
      <c r="J21" s="84">
        <v>0</v>
      </c>
      <c r="K21" s="84">
        <v>0</v>
      </c>
      <c r="L21" s="84">
        <v>1</v>
      </c>
      <c r="M21" s="84">
        <v>1</v>
      </c>
      <c r="N21" s="84">
        <v>2</v>
      </c>
      <c r="O21" s="84">
        <v>2</v>
      </c>
      <c r="P21" s="85">
        <f t="shared" si="0"/>
        <v>9</v>
      </c>
      <c r="Q21" s="86">
        <f t="shared" si="0"/>
        <v>9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view="pageBreakPreview" zoomScale="60" zoomScaleNormal="90" workbookViewId="0">
      <selection activeCell="A4" sqref="A4:R4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173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13</v>
      </c>
      <c r="E12" s="120">
        <v>48</v>
      </c>
      <c r="F12" s="121">
        <f>SUM(D12:E12)</f>
        <v>61</v>
      </c>
      <c r="G12" s="122"/>
      <c r="H12" s="120">
        <v>39</v>
      </c>
      <c r="I12" s="120">
        <v>75</v>
      </c>
      <c r="J12" s="120">
        <v>66</v>
      </c>
      <c r="K12" s="120">
        <v>23</v>
      </c>
      <c r="L12" s="120">
        <v>7</v>
      </c>
      <c r="M12" s="121">
        <f>SUM(G12:L12)</f>
        <v>210</v>
      </c>
      <c r="N12" s="123">
        <f>F12+M12</f>
        <v>271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2</v>
      </c>
      <c r="F13" s="121">
        <f>SUM(D13:E13)</f>
        <v>2</v>
      </c>
      <c r="G13" s="122"/>
      <c r="H13" s="120">
        <v>0</v>
      </c>
      <c r="I13" s="120">
        <v>2</v>
      </c>
      <c r="J13" s="120">
        <v>0</v>
      </c>
      <c r="K13" s="120">
        <v>0</v>
      </c>
      <c r="L13" s="120">
        <v>1</v>
      </c>
      <c r="M13" s="121">
        <f>SUM(G13:L13)</f>
        <v>3</v>
      </c>
      <c r="N13" s="124">
        <f>F13+M13</f>
        <v>5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13</v>
      </c>
      <c r="E14" s="126">
        <f>SUM(E12:E13)</f>
        <v>50</v>
      </c>
      <c r="F14" s="127">
        <f>SUM(D14:E14)</f>
        <v>63</v>
      </c>
      <c r="G14" s="128"/>
      <c r="H14" s="129">
        <f t="shared" ref="H14:M14" si="0">SUM(H12:H13)</f>
        <v>39</v>
      </c>
      <c r="I14" s="129">
        <f t="shared" si="0"/>
        <v>77</v>
      </c>
      <c r="J14" s="129">
        <f t="shared" si="0"/>
        <v>66</v>
      </c>
      <c r="K14" s="129">
        <f t="shared" si="0"/>
        <v>23</v>
      </c>
      <c r="L14" s="129">
        <f t="shared" si="0"/>
        <v>8</v>
      </c>
      <c r="M14" s="127">
        <f t="shared" si="0"/>
        <v>213</v>
      </c>
      <c r="N14" s="130">
        <f>F14+M14</f>
        <v>276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0</v>
      </c>
      <c r="F19" s="121">
        <f>SUM(D19:E19)</f>
        <v>0</v>
      </c>
      <c r="G19" s="133"/>
      <c r="H19" s="120">
        <v>9</v>
      </c>
      <c r="I19" s="120">
        <v>11</v>
      </c>
      <c r="J19" s="120">
        <v>17</v>
      </c>
      <c r="K19" s="120">
        <v>12</v>
      </c>
      <c r="L19" s="120">
        <v>7</v>
      </c>
      <c r="M19" s="121">
        <f>SUM(G19:L19)</f>
        <v>56</v>
      </c>
      <c r="N19" s="123">
        <f>F19+M19</f>
        <v>56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0</v>
      </c>
      <c r="F21" s="126">
        <f>SUM(D21:E21)</f>
        <v>0</v>
      </c>
      <c r="G21" s="135"/>
      <c r="H21" s="126">
        <f t="shared" ref="H21:M21" si="1">SUM(H19:H20)</f>
        <v>9</v>
      </c>
      <c r="I21" s="126">
        <f t="shared" si="1"/>
        <v>11</v>
      </c>
      <c r="J21" s="126">
        <f t="shared" si="1"/>
        <v>17</v>
      </c>
      <c r="K21" s="126">
        <f t="shared" si="1"/>
        <v>12</v>
      </c>
      <c r="L21" s="126">
        <f t="shared" si="1"/>
        <v>7</v>
      </c>
      <c r="M21" s="126">
        <f t="shared" si="1"/>
        <v>56</v>
      </c>
      <c r="N21" s="136">
        <f>F21+M21</f>
        <v>56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2</v>
      </c>
      <c r="I26" s="144">
        <f t="shared" si="2"/>
        <v>23</v>
      </c>
      <c r="J26" s="144">
        <f t="shared" si="2"/>
        <v>21</v>
      </c>
      <c r="K26" s="144">
        <f t="shared" si="2"/>
        <v>21</v>
      </c>
      <c r="L26" s="145">
        <f t="shared" si="2"/>
        <v>68</v>
      </c>
      <c r="M26" s="146">
        <f t="shared" ref="M26:M38" si="3">F26+L26</f>
        <v>68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2</v>
      </c>
      <c r="I27" s="148">
        <v>23</v>
      </c>
      <c r="J27" s="148">
        <v>21</v>
      </c>
      <c r="K27" s="148">
        <v>21</v>
      </c>
      <c r="L27" s="121">
        <f>SUM(G27:K27)</f>
        <v>68</v>
      </c>
      <c r="M27" s="124">
        <f t="shared" si="3"/>
        <v>68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5</v>
      </c>
      <c r="H29" s="144">
        <f t="shared" si="4"/>
        <v>13</v>
      </c>
      <c r="I29" s="144">
        <f t="shared" si="4"/>
        <v>17</v>
      </c>
      <c r="J29" s="144">
        <f t="shared" si="4"/>
        <v>22</v>
      </c>
      <c r="K29" s="144">
        <f t="shared" si="4"/>
        <v>9</v>
      </c>
      <c r="L29" s="144">
        <f t="shared" si="4"/>
        <v>66</v>
      </c>
      <c r="M29" s="123">
        <f t="shared" si="3"/>
        <v>66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5</v>
      </c>
      <c r="H30" s="120">
        <v>13</v>
      </c>
      <c r="I30" s="120">
        <v>16</v>
      </c>
      <c r="J30" s="120">
        <v>22</v>
      </c>
      <c r="K30" s="120">
        <v>9</v>
      </c>
      <c r="L30" s="121">
        <f>SUM(G30:K30)</f>
        <v>65</v>
      </c>
      <c r="M30" s="123">
        <f t="shared" si="3"/>
        <v>65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6</v>
      </c>
      <c r="H38" s="153">
        <v>15</v>
      </c>
      <c r="I38" s="153">
        <v>40</v>
      </c>
      <c r="J38" s="153">
        <v>43</v>
      </c>
      <c r="K38" s="153">
        <v>30</v>
      </c>
      <c r="L38" s="126">
        <f>SUM(G38:K38)</f>
        <v>134</v>
      </c>
      <c r="M38" s="136">
        <f t="shared" si="3"/>
        <v>134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7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6"/>
        <v>0</v>
      </c>
      <c r="P28" s="178">
        <f t="shared" si="7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6"/>
        <v>0</v>
      </c>
      <c r="P29" s="178">
        <f t="shared" si="7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4" sqref="A4:Q4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tabSelected="1" zoomScaleNormal="100" workbookViewId="0">
      <selection activeCell="A5" sqref="A5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2</v>
      </c>
      <c r="G11" s="279">
        <f>SUM(G16+G21+G26)</f>
        <v>3</v>
      </c>
      <c r="H11" s="280">
        <f>SUM(F11,G11)</f>
        <v>5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3369</v>
      </c>
      <c r="G12" s="282">
        <f>SUM(G17+G22+G27)</f>
        <v>47528</v>
      </c>
      <c r="H12" s="86">
        <f>SUM(F12,G12)</f>
        <v>50897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2</v>
      </c>
      <c r="G26" s="209">
        <v>3</v>
      </c>
      <c r="H26" s="280">
        <f>SUM(F26,G26)</f>
        <v>5</v>
      </c>
      <c r="I26" s="283"/>
    </row>
    <row r="27" spans="4:10" s="197" customFormat="1" ht="16.5" customHeight="1">
      <c r="D27" s="319" t="s">
        <v>152</v>
      </c>
      <c r="E27" s="321"/>
      <c r="F27" s="83">
        <v>3369</v>
      </c>
      <c r="G27" s="83">
        <v>47528</v>
      </c>
      <c r="H27" s="86">
        <f>SUM(F27,G27)</f>
        <v>50897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15</v>
      </c>
      <c r="G31" s="209">
        <v>60</v>
      </c>
      <c r="H31" s="280">
        <f>SUM(F31,G31)</f>
        <v>75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260411</v>
      </c>
      <c r="G32" s="83">
        <v>608199</v>
      </c>
      <c r="H32" s="86">
        <f>SUM(F32,G32)</f>
        <v>868610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6</v>
      </c>
      <c r="G36" s="209">
        <v>72</v>
      </c>
      <c r="H36" s="280">
        <f>SUM(F36,G36)</f>
        <v>78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100748</v>
      </c>
      <c r="G37" s="83">
        <v>1297322</v>
      </c>
      <c r="H37" s="86">
        <f>SUM(F37,G37)</f>
        <v>1398070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16</v>
      </c>
      <c r="H41" s="280">
        <f>SUM(F41,G41)</f>
        <v>16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266881</v>
      </c>
      <c r="H42" s="86">
        <f>SUM(F42,G42)</f>
        <v>266881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23</v>
      </c>
      <c r="G46" s="284">
        <f t="shared" si="0"/>
        <v>151</v>
      </c>
      <c r="H46" s="280">
        <f t="shared" si="0"/>
        <v>174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364528</v>
      </c>
      <c r="G47" s="85">
        <f t="shared" si="0"/>
        <v>2219930</v>
      </c>
      <c r="H47" s="86">
        <f t="shared" si="0"/>
        <v>2584458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0</v>
      </c>
      <c r="J76" s="277"/>
    </row>
    <row r="77" spans="4:10" s="8" customFormat="1" ht="16.5" customHeight="1">
      <c r="D77" s="319" t="s">
        <v>152</v>
      </c>
      <c r="E77" s="321"/>
      <c r="F77" s="93">
        <v>0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0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0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0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2025-07-14T05:35:03Z</cp:lastPrinted>
  <dcterms:created xsi:type="dcterms:W3CDTF">2025-05-29T05:56:54Z</dcterms:created>
  <dcterms:modified xsi:type="dcterms:W3CDTF">2025-07-15T01:52:54Z</dcterms:modified>
</cp:coreProperties>
</file>