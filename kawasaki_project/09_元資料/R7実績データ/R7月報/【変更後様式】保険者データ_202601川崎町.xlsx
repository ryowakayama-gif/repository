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kenhukusika\【新】福祉課共有\06 介護保険\介護保険最新情報 介護保険ＰＣ\介護保険PC\村上博②\村上　博①\7 年報・月報●\01介護保険事業報告（月報）\R07\令和８年１月審査分\"/>
    </mc:Choice>
  </mc:AlternateContent>
  <bookViews>
    <workbookView xWindow="0" yWindow="0" windowWidth="23040" windowHeight="10410" tabRatio="791" activeTab="32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Sheet1" sheetId="33" r:id="rId32"/>
    <sheet name="様式２の７" sheetId="32" r:id="rId33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2">"H0272"</definedName>
  </definedNames>
  <calcPr calcId="152511" refMode="R1C1"/>
</workbook>
</file>

<file path=xl/calcChain.xml><?xml version="1.0" encoding="utf-8"?>
<calcChain xmlns="http://schemas.openxmlformats.org/spreadsheetml/2006/main"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11" i="32"/>
  <c r="G46" i="32" s="1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H42" i="31" s="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P39" i="31" s="1"/>
  <c r="O38" i="31"/>
  <c r="H38" i="31"/>
  <c r="P38" i="31" s="1"/>
  <c r="O37" i="31"/>
  <c r="H37" i="31"/>
  <c r="P37" i="31" s="1"/>
  <c r="O36" i="31"/>
  <c r="H36" i="31"/>
  <c r="O35" i="31"/>
  <c r="H35" i="31"/>
  <c r="P35" i="31" s="1"/>
  <c r="O34" i="31"/>
  <c r="H34" i="31"/>
  <c r="P34" i="31" s="1"/>
  <c r="O33" i="31"/>
  <c r="H33" i="31"/>
  <c r="P33" i="31" s="1"/>
  <c r="O32" i="31"/>
  <c r="N32" i="31"/>
  <c r="M32" i="31"/>
  <c r="M52" i="31" s="1"/>
  <c r="L32" i="31"/>
  <c r="K32" i="31"/>
  <c r="K52" i="31" s="1"/>
  <c r="J32" i="31"/>
  <c r="H32" i="31"/>
  <c r="H52" i="31" s="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H21" i="31" s="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P20" i="31" s="1"/>
  <c r="O19" i="31"/>
  <c r="H19" i="31"/>
  <c r="O18" i="31"/>
  <c r="H18" i="31"/>
  <c r="P18" i="31" s="1"/>
  <c r="O17" i="31"/>
  <c r="H17" i="31"/>
  <c r="P17" i="31" s="1"/>
  <c r="O16" i="31"/>
  <c r="H16" i="31"/>
  <c r="P16" i="31" s="1"/>
  <c r="O15" i="31"/>
  <c r="H15" i="31"/>
  <c r="O14" i="31"/>
  <c r="H14" i="31"/>
  <c r="P14" i="31" s="1"/>
  <c r="O13" i="31"/>
  <c r="H13" i="31"/>
  <c r="P13" i="31" s="1"/>
  <c r="O12" i="31"/>
  <c r="H12" i="31"/>
  <c r="P12" i="31" s="1"/>
  <c r="O11" i="31"/>
  <c r="N11" i="31"/>
  <c r="M11" i="31"/>
  <c r="L11" i="31"/>
  <c r="K11" i="31"/>
  <c r="J11" i="31"/>
  <c r="H11" i="31"/>
  <c r="G11" i="31"/>
  <c r="F11" i="31"/>
  <c r="M52" i="30"/>
  <c r="O51" i="30"/>
  <c r="H51" i="30"/>
  <c r="O50" i="30"/>
  <c r="H50" i="30"/>
  <c r="P50" i="30" s="1"/>
  <c r="O49" i="30"/>
  <c r="H49" i="30"/>
  <c r="P49" i="30" s="1"/>
  <c r="O48" i="30"/>
  <c r="H48" i="30"/>
  <c r="P48" i="30" s="1"/>
  <c r="O47" i="30"/>
  <c r="H47" i="30"/>
  <c r="O46" i="30"/>
  <c r="H46" i="30"/>
  <c r="P46" i="30" s="1"/>
  <c r="O45" i="30"/>
  <c r="H45" i="30"/>
  <c r="P45" i="30" s="1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N52" i="30" s="1"/>
  <c r="M32" i="30"/>
  <c r="L32" i="30"/>
  <c r="L52" i="30" s="1"/>
  <c r="K32" i="30"/>
  <c r="K52" i="30" s="1"/>
  <c r="J32" i="30"/>
  <c r="J52" i="30" s="1"/>
  <c r="G32" i="30"/>
  <c r="G52" i="30" s="1"/>
  <c r="F32" i="30"/>
  <c r="F52" i="30" s="1"/>
  <c r="O30" i="30"/>
  <c r="H30" i="30"/>
  <c r="O29" i="30"/>
  <c r="H29" i="30"/>
  <c r="P29" i="30" s="1"/>
  <c r="O28" i="30"/>
  <c r="H28" i="30"/>
  <c r="P28" i="30" s="1"/>
  <c r="O27" i="30"/>
  <c r="H27" i="30"/>
  <c r="P27" i="30" s="1"/>
  <c r="O26" i="30"/>
  <c r="H26" i="30"/>
  <c r="O25" i="30"/>
  <c r="H25" i="30"/>
  <c r="P25" i="30" s="1"/>
  <c r="O24" i="30"/>
  <c r="H24" i="30"/>
  <c r="P24" i="30" s="1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P50" i="29" s="1"/>
  <c r="O49" i="29"/>
  <c r="O47" i="29" s="1"/>
  <c r="H49" i="29"/>
  <c r="O48" i="29"/>
  <c r="H48" i="29"/>
  <c r="H47" i="29" s="1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P31" i="29" s="1"/>
  <c r="O30" i="29"/>
  <c r="H30" i="29"/>
  <c r="P30" i="29" s="1"/>
  <c r="O29" i="29"/>
  <c r="H29" i="29"/>
  <c r="O28" i="29"/>
  <c r="H28" i="29"/>
  <c r="H26" i="29" s="1"/>
  <c r="O27" i="29"/>
  <c r="H27" i="29"/>
  <c r="P27" i="29" s="1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H22" i="29"/>
  <c r="P22" i="29" s="1"/>
  <c r="O21" i="29"/>
  <c r="N21" i="29"/>
  <c r="M21" i="29"/>
  <c r="L21" i="29"/>
  <c r="K21" i="29"/>
  <c r="J21" i="29"/>
  <c r="H21" i="29"/>
  <c r="G21" i="29"/>
  <c r="F21" i="29"/>
  <c r="O20" i="29"/>
  <c r="H20" i="29"/>
  <c r="P20" i="29" s="1"/>
  <c r="O19" i="29"/>
  <c r="H19" i="29"/>
  <c r="P19" i="29" s="1"/>
  <c r="P18" i="29" s="1"/>
  <c r="O18" i="29"/>
  <c r="N18" i="29"/>
  <c r="M18" i="29"/>
  <c r="L18" i="29"/>
  <c r="K18" i="29"/>
  <c r="J18" i="29"/>
  <c r="H18" i="29"/>
  <c r="G18" i="29"/>
  <c r="F18" i="29"/>
  <c r="O17" i="29"/>
  <c r="H17" i="29"/>
  <c r="P17" i="29" s="1"/>
  <c r="O16" i="29"/>
  <c r="H16" i="29"/>
  <c r="P16" i="29" s="1"/>
  <c r="O15" i="29"/>
  <c r="H15" i="29"/>
  <c r="O14" i="29"/>
  <c r="H14" i="29"/>
  <c r="H12" i="29" s="1"/>
  <c r="H11" i="29" s="1"/>
  <c r="O13" i="29"/>
  <c r="H13" i="29"/>
  <c r="P13" i="29" s="1"/>
  <c r="N12" i="29"/>
  <c r="M12" i="29"/>
  <c r="L12" i="29"/>
  <c r="L11" i="29" s="1"/>
  <c r="L52" i="29" s="1"/>
  <c r="K12" i="29"/>
  <c r="J12" i="29"/>
  <c r="G12" i="29"/>
  <c r="F12" i="29"/>
  <c r="N11" i="29"/>
  <c r="N52" i="29" s="1"/>
  <c r="J11" i="29"/>
  <c r="J52" i="29" s="1"/>
  <c r="G11" i="29"/>
  <c r="G52" i="29" s="1"/>
  <c r="L52" i="28"/>
  <c r="O51" i="28"/>
  <c r="H51" i="28"/>
  <c r="P51" i="28" s="1"/>
  <c r="O50" i="28"/>
  <c r="H50" i="28"/>
  <c r="O49" i="28"/>
  <c r="H49" i="28"/>
  <c r="H47" i="28" s="1"/>
  <c r="O48" i="28"/>
  <c r="H48" i="28"/>
  <c r="P48" i="28" s="1"/>
  <c r="N47" i="28"/>
  <c r="M47" i="28"/>
  <c r="L47" i="28"/>
  <c r="K47" i="28"/>
  <c r="J47" i="28"/>
  <c r="G47" i="28"/>
  <c r="F47" i="28"/>
  <c r="O46" i="28"/>
  <c r="H46" i="28"/>
  <c r="P46" i="28" s="1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P40" i="28" s="1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P35" i="28" s="1"/>
  <c r="O34" i="28"/>
  <c r="H34" i="28"/>
  <c r="P34" i="28" s="1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H26" i="28" s="1"/>
  <c r="O28" i="28"/>
  <c r="H28" i="28"/>
  <c r="P28" i="28" s="1"/>
  <c r="O27" i="28"/>
  <c r="H27" i="28"/>
  <c r="P27" i="28" s="1"/>
  <c r="O26" i="28"/>
  <c r="N26" i="28"/>
  <c r="M26" i="28"/>
  <c r="L26" i="28"/>
  <c r="K26" i="28"/>
  <c r="J26" i="28"/>
  <c r="G26" i="28"/>
  <c r="F26" i="28"/>
  <c r="O25" i="28"/>
  <c r="H25" i="28"/>
  <c r="P25" i="28" s="1"/>
  <c r="O24" i="28"/>
  <c r="H24" i="28"/>
  <c r="P24" i="28" s="1"/>
  <c r="O23" i="28"/>
  <c r="O21" i="28" s="1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O18" i="28" s="1"/>
  <c r="H20" i="28"/>
  <c r="O19" i="28"/>
  <c r="H19" i="28"/>
  <c r="H18" i="28" s="1"/>
  <c r="N18" i="28"/>
  <c r="M18" i="28"/>
  <c r="L18" i="28"/>
  <c r="K18" i="28"/>
  <c r="J18" i="28"/>
  <c r="G18" i="28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M12" i="28"/>
  <c r="L12" i="28"/>
  <c r="K12" i="28"/>
  <c r="J12" i="28"/>
  <c r="G12" i="28"/>
  <c r="F12" i="28"/>
  <c r="N11" i="28"/>
  <c r="N52" i="28" s="1"/>
  <c r="L11" i="28"/>
  <c r="J11" i="28"/>
  <c r="J52" i="28" s="1"/>
  <c r="G11" i="28"/>
  <c r="G52" i="28" s="1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P44" i="27" s="1"/>
  <c r="O43" i="27"/>
  <c r="H43" i="27"/>
  <c r="P43" i="27" s="1"/>
  <c r="O42" i="27"/>
  <c r="H42" i="27"/>
  <c r="P42" i="27" s="1"/>
  <c r="O41" i="27"/>
  <c r="H41" i="27"/>
  <c r="O40" i="27"/>
  <c r="H40" i="27"/>
  <c r="P40" i="27" s="1"/>
  <c r="O39" i="27"/>
  <c r="H39" i="27"/>
  <c r="P39" i="27" s="1"/>
  <c r="O38" i="27"/>
  <c r="H38" i="27"/>
  <c r="P38" i="27" s="1"/>
  <c r="O37" i="27"/>
  <c r="H37" i="27"/>
  <c r="O36" i="27"/>
  <c r="H36" i="27"/>
  <c r="P36" i="27" s="1"/>
  <c r="O35" i="27"/>
  <c r="H35" i="27"/>
  <c r="P35" i="27" s="1"/>
  <c r="O34" i="27"/>
  <c r="H34" i="27"/>
  <c r="P34" i="27" s="1"/>
  <c r="O33" i="27"/>
  <c r="O31" i="27" s="1"/>
  <c r="H33" i="27"/>
  <c r="O32" i="27"/>
  <c r="H32" i="27"/>
  <c r="H31" i="27" s="1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H27" i="27"/>
  <c r="P27" i="27" s="1"/>
  <c r="P26" i="27" s="1"/>
  <c r="O26" i="27"/>
  <c r="N26" i="27"/>
  <c r="M26" i="27"/>
  <c r="L26" i="27"/>
  <c r="K26" i="27"/>
  <c r="J26" i="27"/>
  <c r="H26" i="27"/>
  <c r="G26" i="27"/>
  <c r="F26" i="27"/>
  <c r="O25" i="27"/>
  <c r="H25" i="27"/>
  <c r="P25" i="27" s="1"/>
  <c r="O24" i="27"/>
  <c r="H24" i="27"/>
  <c r="P24" i="27" s="1"/>
  <c r="O23" i="27"/>
  <c r="O21" i="27" s="1"/>
  <c r="H23" i="27"/>
  <c r="O22" i="27"/>
  <c r="H22" i="27"/>
  <c r="P22" i="27" s="1"/>
  <c r="N21" i="27"/>
  <c r="M21" i="27"/>
  <c r="L21" i="27"/>
  <c r="K21" i="27"/>
  <c r="J21" i="27"/>
  <c r="H21" i="27"/>
  <c r="G21" i="27"/>
  <c r="F21" i="27"/>
  <c r="O20" i="27"/>
  <c r="H20" i="27"/>
  <c r="P20" i="27" s="1"/>
  <c r="O19" i="27"/>
  <c r="H19" i="27"/>
  <c r="P19" i="27" s="1"/>
  <c r="P18" i="27" s="1"/>
  <c r="O18" i="27"/>
  <c r="N18" i="27"/>
  <c r="M18" i="27"/>
  <c r="L18" i="27"/>
  <c r="K18" i="27"/>
  <c r="J18" i="27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H11" i="27" s="1"/>
  <c r="O13" i="27"/>
  <c r="H13" i="27"/>
  <c r="P13" i="27" s="1"/>
  <c r="N12" i="27"/>
  <c r="M12" i="27"/>
  <c r="L12" i="27"/>
  <c r="L11" i="27" s="1"/>
  <c r="L50" i="27" s="1"/>
  <c r="K12" i="27"/>
  <c r="J12" i="27"/>
  <c r="G12" i="27"/>
  <c r="F12" i="27"/>
  <c r="N11" i="27"/>
  <c r="N50" i="27" s="1"/>
  <c r="J11" i="27"/>
  <c r="J50" i="27" s="1"/>
  <c r="G11" i="27"/>
  <c r="G50" i="27" s="1"/>
  <c r="O51" i="26"/>
  <c r="H51" i="26"/>
  <c r="P51" i="26" s="1"/>
  <c r="O50" i="26"/>
  <c r="H50" i="26"/>
  <c r="O49" i="26"/>
  <c r="H49" i="26"/>
  <c r="H47" i="26" s="1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P46" i="26" s="1"/>
  <c r="O45" i="26"/>
  <c r="H45" i="26"/>
  <c r="O44" i="26"/>
  <c r="H44" i="26"/>
  <c r="P44" i="26" s="1"/>
  <c r="O43" i="26"/>
  <c r="H43" i="26"/>
  <c r="P43" i="26" s="1"/>
  <c r="O42" i="26"/>
  <c r="H42" i="26"/>
  <c r="P42" i="26" s="1"/>
  <c r="O41" i="26"/>
  <c r="H41" i="26"/>
  <c r="P41" i="26" s="1"/>
  <c r="O40" i="26"/>
  <c r="H40" i="26"/>
  <c r="O39" i="26"/>
  <c r="H39" i="26"/>
  <c r="P39" i="26" s="1"/>
  <c r="O38" i="26"/>
  <c r="H38" i="26"/>
  <c r="P38" i="26" s="1"/>
  <c r="O37" i="26"/>
  <c r="H37" i="26"/>
  <c r="P37" i="26" s="1"/>
  <c r="O36" i="26"/>
  <c r="H36" i="26"/>
  <c r="O35" i="26"/>
  <c r="H35" i="26"/>
  <c r="O34" i="26"/>
  <c r="H34" i="26"/>
  <c r="P34" i="26" s="1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H26" i="26" s="1"/>
  <c r="O27" i="26"/>
  <c r="O26" i="26" s="1"/>
  <c r="H27" i="26"/>
  <c r="N26" i="26"/>
  <c r="M26" i="26"/>
  <c r="L26" i="26"/>
  <c r="K26" i="26"/>
  <c r="J26" i="26"/>
  <c r="G26" i="26"/>
  <c r="F26" i="26"/>
  <c r="O25" i="26"/>
  <c r="H25" i="26"/>
  <c r="P25" i="26" s="1"/>
  <c r="O24" i="26"/>
  <c r="H24" i="26"/>
  <c r="P24" i="26" s="1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H18" i="26" s="1"/>
  <c r="O19" i="26"/>
  <c r="O18" i="26" s="1"/>
  <c r="H19" i="26"/>
  <c r="P19" i="26" s="1"/>
  <c r="N18" i="26"/>
  <c r="N11" i="26" s="1"/>
  <c r="N52" i="26" s="1"/>
  <c r="M18" i="26"/>
  <c r="L18" i="26"/>
  <c r="L11" i="26" s="1"/>
  <c r="L52" i="26" s="1"/>
  <c r="K18" i="26"/>
  <c r="J18" i="26"/>
  <c r="J11" i="26" s="1"/>
  <c r="J52" i="26" s="1"/>
  <c r="G18" i="26"/>
  <c r="F18" i="26"/>
  <c r="O17" i="26"/>
  <c r="H17" i="26"/>
  <c r="P17" i="26" s="1"/>
  <c r="O16" i="26"/>
  <c r="H16" i="26"/>
  <c r="O15" i="26"/>
  <c r="H15" i="26"/>
  <c r="P15" i="26" s="1"/>
  <c r="O14" i="26"/>
  <c r="H14" i="26"/>
  <c r="P14" i="26" s="1"/>
  <c r="O13" i="26"/>
  <c r="H13" i="26"/>
  <c r="P13" i="26" s="1"/>
  <c r="O12" i="26"/>
  <c r="O11" i="26" s="1"/>
  <c r="N12" i="26"/>
  <c r="M12" i="26"/>
  <c r="M11" i="26" s="1"/>
  <c r="M52" i="26" s="1"/>
  <c r="L12" i="26"/>
  <c r="K12" i="26"/>
  <c r="K11" i="26" s="1"/>
  <c r="K52" i="26" s="1"/>
  <c r="J12" i="26"/>
  <c r="H12" i="26"/>
  <c r="G12" i="26"/>
  <c r="F12" i="26"/>
  <c r="F11" i="26" s="1"/>
  <c r="F52" i="26" s="1"/>
  <c r="K52" i="25"/>
  <c r="O51" i="25"/>
  <c r="H51" i="25"/>
  <c r="P51" i="25" s="1"/>
  <c r="O50" i="25"/>
  <c r="H50" i="25"/>
  <c r="P50" i="25" s="1"/>
  <c r="O49" i="25"/>
  <c r="O47" i="25" s="1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P43" i="25" s="1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P37" i="25" s="1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P32" i="25" s="1"/>
  <c r="O31" i="25"/>
  <c r="H31" i="25"/>
  <c r="P31" i="25" s="1"/>
  <c r="O30" i="25"/>
  <c r="H30" i="25"/>
  <c r="P30" i="25" s="1"/>
  <c r="O29" i="25"/>
  <c r="H29" i="25"/>
  <c r="O28" i="25"/>
  <c r="H28" i="25"/>
  <c r="H26" i="25" s="1"/>
  <c r="O27" i="25"/>
  <c r="H27" i="25"/>
  <c r="P27" i="25" s="1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H21" i="25" s="1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G11" i="25" s="1"/>
  <c r="G52" i="25" s="1"/>
  <c r="F18" i="25"/>
  <c r="O17" i="25"/>
  <c r="H17" i="25"/>
  <c r="P17" i="25" s="1"/>
  <c r="O16" i="25"/>
  <c r="H16" i="25"/>
  <c r="P16" i="25" s="1"/>
  <c r="O15" i="25"/>
  <c r="H15" i="25"/>
  <c r="P15" i="25" s="1"/>
  <c r="O14" i="25"/>
  <c r="O12" i="25" s="1"/>
  <c r="H14" i="25"/>
  <c r="O13" i="25"/>
  <c r="H13" i="25"/>
  <c r="N12" i="25"/>
  <c r="M12" i="25"/>
  <c r="L12" i="25"/>
  <c r="K12" i="25"/>
  <c r="J12" i="25"/>
  <c r="G12" i="25"/>
  <c r="F12" i="25"/>
  <c r="M11" i="25"/>
  <c r="M52" i="25" s="1"/>
  <c r="K11" i="25"/>
  <c r="F11" i="25"/>
  <c r="F52" i="25" s="1"/>
  <c r="O51" i="24"/>
  <c r="H51" i="24"/>
  <c r="O50" i="24"/>
  <c r="H50" i="24"/>
  <c r="P50" i="24" s="1"/>
  <c r="O49" i="24"/>
  <c r="H49" i="24"/>
  <c r="P49" i="24" s="1"/>
  <c r="O48" i="24"/>
  <c r="H48" i="24"/>
  <c r="P48" i="24" s="1"/>
  <c r="O47" i="24"/>
  <c r="N47" i="24"/>
  <c r="M47" i="24"/>
  <c r="L47" i="24"/>
  <c r="K47" i="24"/>
  <c r="J47" i="24"/>
  <c r="H47" i="24"/>
  <c r="G47" i="24"/>
  <c r="F47" i="24"/>
  <c r="O46" i="24"/>
  <c r="H46" i="24"/>
  <c r="P46" i="24" s="1"/>
  <c r="O45" i="24"/>
  <c r="H45" i="24"/>
  <c r="P45" i="24" s="1"/>
  <c r="O44" i="24"/>
  <c r="H44" i="24"/>
  <c r="O43" i="24"/>
  <c r="H43" i="24"/>
  <c r="P43" i="24" s="1"/>
  <c r="O42" i="24"/>
  <c r="H42" i="24"/>
  <c r="P42" i="24" s="1"/>
  <c r="O41" i="24"/>
  <c r="H41" i="24"/>
  <c r="P41" i="24" s="1"/>
  <c r="O40" i="24"/>
  <c r="H40" i="24"/>
  <c r="O39" i="24"/>
  <c r="H39" i="24"/>
  <c r="P39" i="24" s="1"/>
  <c r="O38" i="24"/>
  <c r="H38" i="24"/>
  <c r="P38" i="24" s="1"/>
  <c r="O37" i="24"/>
  <c r="H37" i="24"/>
  <c r="P37" i="24" s="1"/>
  <c r="O36" i="24"/>
  <c r="H36" i="24"/>
  <c r="O35" i="24"/>
  <c r="H35" i="24"/>
  <c r="O34" i="24"/>
  <c r="H34" i="24"/>
  <c r="P34" i="24" s="1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O26" i="24" s="1"/>
  <c r="H27" i="24"/>
  <c r="N26" i="24"/>
  <c r="M26" i="24"/>
  <c r="L26" i="24"/>
  <c r="K26" i="24"/>
  <c r="J26" i="24"/>
  <c r="G26" i="24"/>
  <c r="F26" i="24"/>
  <c r="O25" i="24"/>
  <c r="H25" i="24"/>
  <c r="P25" i="24" s="1"/>
  <c r="O24" i="24"/>
  <c r="H24" i="24"/>
  <c r="P24" i="24" s="1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O18" i="24" s="1"/>
  <c r="H19" i="24"/>
  <c r="P19" i="24" s="1"/>
  <c r="N18" i="24"/>
  <c r="N11" i="24" s="1"/>
  <c r="N52" i="24" s="1"/>
  <c r="M18" i="24"/>
  <c r="L18" i="24"/>
  <c r="L11" i="24" s="1"/>
  <c r="L52" i="24" s="1"/>
  <c r="K18" i="24"/>
  <c r="J18" i="24"/>
  <c r="J11" i="24" s="1"/>
  <c r="J52" i="24" s="1"/>
  <c r="G18" i="24"/>
  <c r="F18" i="24"/>
  <c r="O17" i="24"/>
  <c r="H17" i="24"/>
  <c r="P17" i="24" s="1"/>
  <c r="O16" i="24"/>
  <c r="H16" i="24"/>
  <c r="O15" i="24"/>
  <c r="H15" i="24"/>
  <c r="P15" i="24" s="1"/>
  <c r="O14" i="24"/>
  <c r="H14" i="24"/>
  <c r="P14" i="24" s="1"/>
  <c r="O13" i="24"/>
  <c r="H13" i="24"/>
  <c r="P13" i="24" s="1"/>
  <c r="O12" i="24"/>
  <c r="O11" i="24" s="1"/>
  <c r="N12" i="24"/>
  <c r="M12" i="24"/>
  <c r="M11" i="24" s="1"/>
  <c r="M52" i="24" s="1"/>
  <c r="L12" i="24"/>
  <c r="K12" i="24"/>
  <c r="K11" i="24" s="1"/>
  <c r="K52" i="24" s="1"/>
  <c r="J12" i="24"/>
  <c r="H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O45" i="23" s="1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P43" i="23" s="1"/>
  <c r="O42" i="23"/>
  <c r="H42" i="23"/>
  <c r="P42" i="23" s="1"/>
  <c r="O41" i="23"/>
  <c r="H41" i="23"/>
  <c r="P41" i="23" s="1"/>
  <c r="O40" i="23"/>
  <c r="H40" i="23"/>
  <c r="O39" i="23"/>
  <c r="H39" i="23"/>
  <c r="P39" i="23" s="1"/>
  <c r="O38" i="23"/>
  <c r="H38" i="23"/>
  <c r="P38" i="23" s="1"/>
  <c r="O37" i="23"/>
  <c r="H37" i="23"/>
  <c r="P37" i="23" s="1"/>
  <c r="O36" i="23"/>
  <c r="H36" i="23"/>
  <c r="O35" i="23"/>
  <c r="H35" i="23"/>
  <c r="P35" i="23" s="1"/>
  <c r="O34" i="23"/>
  <c r="H34" i="23"/>
  <c r="P34" i="23" s="1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H21" i="23" s="1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H18" i="23" s="1"/>
  <c r="O19" i="23"/>
  <c r="O18" i="23" s="1"/>
  <c r="H19" i="23"/>
  <c r="N18" i="23"/>
  <c r="M18" i="23"/>
  <c r="L18" i="23"/>
  <c r="K18" i="23"/>
  <c r="J18" i="23"/>
  <c r="G18" i="23"/>
  <c r="G11" i="23" s="1"/>
  <c r="G50" i="23" s="1"/>
  <c r="F18" i="23"/>
  <c r="O17" i="23"/>
  <c r="H17" i="23"/>
  <c r="P17" i="23" s="1"/>
  <c r="O16" i="23"/>
  <c r="H16" i="23"/>
  <c r="P16" i="23" s="1"/>
  <c r="O15" i="23"/>
  <c r="H15" i="23"/>
  <c r="P15" i="23" s="1"/>
  <c r="O14" i="23"/>
  <c r="O12" i="23" s="1"/>
  <c r="H14" i="23"/>
  <c r="O13" i="23"/>
  <c r="H13" i="23"/>
  <c r="H12" i="23" s="1"/>
  <c r="H11" i="23" s="1"/>
  <c r="N12" i="23"/>
  <c r="M12" i="23"/>
  <c r="L12" i="23"/>
  <c r="K12" i="23"/>
  <c r="J12" i="23"/>
  <c r="G12" i="23"/>
  <c r="F12" i="23"/>
  <c r="M11" i="23"/>
  <c r="M50" i="23" s="1"/>
  <c r="K11" i="23"/>
  <c r="K50" i="23" s="1"/>
  <c r="F11" i="23"/>
  <c r="F50" i="23" s="1"/>
  <c r="O51" i="22"/>
  <c r="O47" i="22" s="1"/>
  <c r="H51" i="22"/>
  <c r="O50" i="22"/>
  <c r="H50" i="22"/>
  <c r="H47" i="22" s="1"/>
  <c r="O49" i="22"/>
  <c r="H49" i="22"/>
  <c r="P49" i="22" s="1"/>
  <c r="O48" i="22"/>
  <c r="H48" i="22"/>
  <c r="P48" i="22" s="1"/>
  <c r="N47" i="22"/>
  <c r="M47" i="22"/>
  <c r="L47" i="22"/>
  <c r="K47" i="22"/>
  <c r="J47" i="22"/>
  <c r="G47" i="22"/>
  <c r="F47" i="22"/>
  <c r="O46" i="22"/>
  <c r="H46" i="22"/>
  <c r="P46" i="22" s="1"/>
  <c r="O45" i="22"/>
  <c r="H45" i="22"/>
  <c r="P45" i="22" s="1"/>
  <c r="O44" i="22"/>
  <c r="H44" i="22"/>
  <c r="O43" i="22"/>
  <c r="H43" i="22"/>
  <c r="P43" i="22" s="1"/>
  <c r="O42" i="22"/>
  <c r="H42" i="22"/>
  <c r="P42" i="22" s="1"/>
  <c r="O41" i="22"/>
  <c r="H41" i="22"/>
  <c r="P41" i="22" s="1"/>
  <c r="O40" i="22"/>
  <c r="H40" i="22"/>
  <c r="O39" i="22"/>
  <c r="H39" i="22"/>
  <c r="P39" i="22" s="1"/>
  <c r="O38" i="22"/>
  <c r="H38" i="22"/>
  <c r="P38" i="22" s="1"/>
  <c r="O37" i="22"/>
  <c r="H37" i="22"/>
  <c r="P37" i="22" s="1"/>
  <c r="O36" i="22"/>
  <c r="H36" i="22"/>
  <c r="O35" i="22"/>
  <c r="H35" i="22"/>
  <c r="H33" i="22" s="1"/>
  <c r="O34" i="22"/>
  <c r="H34" i="22"/>
  <c r="P34" i="22" s="1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P29" i="22" s="1"/>
  <c r="O28" i="22"/>
  <c r="H28" i="22"/>
  <c r="H26" i="22" s="1"/>
  <c r="O27" i="22"/>
  <c r="O26" i="22" s="1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P24" i="22" s="1"/>
  <c r="O23" i="22"/>
  <c r="H23" i="22"/>
  <c r="O22" i="22"/>
  <c r="O21" i="22" s="1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O18" i="22" s="1"/>
  <c r="H19" i="22"/>
  <c r="P19" i="22" s="1"/>
  <c r="N18" i="22"/>
  <c r="N11" i="22" s="1"/>
  <c r="N52" i="22" s="1"/>
  <c r="M18" i="22"/>
  <c r="L18" i="22"/>
  <c r="L11" i="22" s="1"/>
  <c r="L52" i="22" s="1"/>
  <c r="K18" i="22"/>
  <c r="J18" i="22"/>
  <c r="J11" i="22" s="1"/>
  <c r="J52" i="22" s="1"/>
  <c r="G18" i="22"/>
  <c r="F18" i="22"/>
  <c r="O17" i="22"/>
  <c r="H17" i="22"/>
  <c r="P17" i="22" s="1"/>
  <c r="O16" i="22"/>
  <c r="O12" i="22" s="1"/>
  <c r="O11" i="22" s="1"/>
  <c r="H16" i="22"/>
  <c r="O15" i="22"/>
  <c r="H15" i="22"/>
  <c r="H12" i="22" s="1"/>
  <c r="O14" i="22"/>
  <c r="H14" i="22"/>
  <c r="P14" i="22" s="1"/>
  <c r="O13" i="22"/>
  <c r="H13" i="22"/>
  <c r="P13" i="22" s="1"/>
  <c r="N12" i="22"/>
  <c r="M12" i="22"/>
  <c r="L12" i="22"/>
  <c r="K12" i="22"/>
  <c r="K11" i="22" s="1"/>
  <c r="K52" i="22" s="1"/>
  <c r="J12" i="22"/>
  <c r="G12" i="22"/>
  <c r="F12" i="22"/>
  <c r="F11" i="22" s="1"/>
  <c r="F52" i="22" s="1"/>
  <c r="M11" i="22"/>
  <c r="M52" i="22" s="1"/>
  <c r="O51" i="21"/>
  <c r="H51" i="21"/>
  <c r="P51" i="21" s="1"/>
  <c r="O50" i="21"/>
  <c r="H50" i="21"/>
  <c r="P50" i="21" s="1"/>
  <c r="O49" i="21"/>
  <c r="O47" i="21" s="1"/>
  <c r="H49" i="21"/>
  <c r="O48" i="21"/>
  <c r="H48" i="21"/>
  <c r="H47" i="21" s="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O33" i="21" s="1"/>
  <c r="H34" i="21"/>
  <c r="N33" i="21"/>
  <c r="M33" i="21"/>
  <c r="L33" i="21"/>
  <c r="K33" i="21"/>
  <c r="J33" i="21"/>
  <c r="G33" i="21"/>
  <c r="F33" i="21"/>
  <c r="O32" i="21"/>
  <c r="H32" i="21"/>
  <c r="P32" i="21" s="1"/>
  <c r="O31" i="21"/>
  <c r="H31" i="21"/>
  <c r="P31" i="21" s="1"/>
  <c r="O30" i="21"/>
  <c r="H30" i="21"/>
  <c r="P30" i="21" s="1"/>
  <c r="O29" i="21"/>
  <c r="H29" i="21"/>
  <c r="O28" i="21"/>
  <c r="H28" i="21"/>
  <c r="H26" i="21" s="1"/>
  <c r="O27" i="21"/>
  <c r="O26" i="21" s="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O21" i="21" s="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P19" i="21" s="1"/>
  <c r="N18" i="21"/>
  <c r="N11" i="21" s="1"/>
  <c r="N52" i="21" s="1"/>
  <c r="M18" i="21"/>
  <c r="L18" i="21"/>
  <c r="L11" i="21" s="1"/>
  <c r="L52" i="21" s="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H13" i="21"/>
  <c r="P13" i="21" s="1"/>
  <c r="O12" i="21"/>
  <c r="O11" i="21" s="1"/>
  <c r="O52" i="21" s="1"/>
  <c r="N12" i="21"/>
  <c r="M12" i="21"/>
  <c r="L12" i="21"/>
  <c r="K12" i="21"/>
  <c r="K11" i="21" s="1"/>
  <c r="K52" i="21" s="1"/>
  <c r="J12" i="21"/>
  <c r="H12" i="21"/>
  <c r="G12" i="21"/>
  <c r="F12" i="21"/>
  <c r="F11" i="21" s="1"/>
  <c r="F52" i="21" s="1"/>
  <c r="M11" i="21"/>
  <c r="M52" i="21" s="1"/>
  <c r="O51" i="20"/>
  <c r="H51" i="20"/>
  <c r="P51" i="20" s="1"/>
  <c r="O50" i="20"/>
  <c r="H50" i="20"/>
  <c r="P50" i="20" s="1"/>
  <c r="O49" i="20"/>
  <c r="O47" i="20" s="1"/>
  <c r="H49" i="20"/>
  <c r="O48" i="20"/>
  <c r="H48" i="20"/>
  <c r="H47" i="20" s="1"/>
  <c r="N47" i="20"/>
  <c r="M47" i="20"/>
  <c r="L47" i="20"/>
  <c r="K47" i="20"/>
  <c r="J47" i="20"/>
  <c r="G47" i="20"/>
  <c r="F47" i="20"/>
  <c r="O46" i="20"/>
  <c r="H46" i="20"/>
  <c r="O45" i="20"/>
  <c r="H45" i="20"/>
  <c r="P45" i="20" s="1"/>
  <c r="O44" i="20"/>
  <c r="H44" i="20"/>
  <c r="P44" i="20" s="1"/>
  <c r="O43" i="20"/>
  <c r="H43" i="20"/>
  <c r="P43" i="20" s="1"/>
  <c r="O42" i="20"/>
  <c r="H42" i="20"/>
  <c r="O41" i="20"/>
  <c r="H41" i="20"/>
  <c r="P41" i="20" s="1"/>
  <c r="O40" i="20"/>
  <c r="H40" i="20"/>
  <c r="P40" i="20" s="1"/>
  <c r="O39" i="20"/>
  <c r="H39" i="20"/>
  <c r="P39" i="20" s="1"/>
  <c r="O38" i="20"/>
  <c r="H38" i="20"/>
  <c r="O37" i="20"/>
  <c r="H37" i="20"/>
  <c r="P37" i="20" s="1"/>
  <c r="O36" i="20"/>
  <c r="H36" i="20"/>
  <c r="P36" i="20" s="1"/>
  <c r="O35" i="20"/>
  <c r="H35" i="20"/>
  <c r="O34" i="20"/>
  <c r="O33" i="20" s="1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H26" i="20" s="1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P25" i="20" s="1"/>
  <c r="O24" i="20"/>
  <c r="H24" i="20"/>
  <c r="O23" i="20"/>
  <c r="H23" i="20"/>
  <c r="H21" i="20" s="1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L18" i="20"/>
  <c r="K18" i="20"/>
  <c r="J18" i="20"/>
  <c r="G18" i="20"/>
  <c r="G11" i="20" s="1"/>
  <c r="G52" i="20" s="1"/>
  <c r="F18" i="20"/>
  <c r="O17" i="20"/>
  <c r="H17" i="20"/>
  <c r="P17" i="20" s="1"/>
  <c r="O16" i="20"/>
  <c r="H16" i="20"/>
  <c r="P16" i="20" s="1"/>
  <c r="O15" i="20"/>
  <c r="H15" i="20"/>
  <c r="P15" i="20" s="1"/>
  <c r="O14" i="20"/>
  <c r="O12" i="20" s="1"/>
  <c r="H14" i="20"/>
  <c r="O13" i="20"/>
  <c r="H13" i="20"/>
  <c r="H12" i="20" s="1"/>
  <c r="H11" i="20" s="1"/>
  <c r="N12" i="20"/>
  <c r="M12" i="20"/>
  <c r="L12" i="20"/>
  <c r="K12" i="20"/>
  <c r="J12" i="20"/>
  <c r="G12" i="20"/>
  <c r="F12" i="20"/>
  <c r="M11" i="20"/>
  <c r="M52" i="20" s="1"/>
  <c r="K11" i="20"/>
  <c r="K52" i="20" s="1"/>
  <c r="F11" i="20"/>
  <c r="F52" i="20" s="1"/>
  <c r="O49" i="19"/>
  <c r="H49" i="19"/>
  <c r="O48" i="19"/>
  <c r="H48" i="19"/>
  <c r="P48" i="19" s="1"/>
  <c r="O47" i="19"/>
  <c r="H47" i="19"/>
  <c r="P47" i="19" s="1"/>
  <c r="O46" i="19"/>
  <c r="H46" i="19"/>
  <c r="P46" i="19" s="1"/>
  <c r="O45" i="19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H31" i="19" s="1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P30" i="19" s="1"/>
  <c r="O29" i="19"/>
  <c r="H29" i="19"/>
  <c r="O28" i="19"/>
  <c r="H28" i="19"/>
  <c r="P28" i="19" s="1"/>
  <c r="O27" i="19"/>
  <c r="O26" i="19" s="1"/>
  <c r="H27" i="19"/>
  <c r="P27" i="19" s="1"/>
  <c r="P26" i="19" s="1"/>
  <c r="N26" i="19"/>
  <c r="M26" i="19"/>
  <c r="L26" i="19"/>
  <c r="K26" i="19"/>
  <c r="J26" i="19"/>
  <c r="H26" i="19"/>
  <c r="G26" i="19"/>
  <c r="F26" i="19"/>
  <c r="O25" i="19"/>
  <c r="H25" i="19"/>
  <c r="P25" i="19" s="1"/>
  <c r="O24" i="19"/>
  <c r="H24" i="19"/>
  <c r="P24" i="19" s="1"/>
  <c r="O23" i="19"/>
  <c r="H23" i="19"/>
  <c r="O22" i="19"/>
  <c r="O21" i="19" s="1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O18" i="19" s="1"/>
  <c r="H19" i="19"/>
  <c r="P19" i="19" s="1"/>
  <c r="N18" i="19"/>
  <c r="N11" i="19" s="1"/>
  <c r="N50" i="19" s="1"/>
  <c r="M18" i="19"/>
  <c r="L18" i="19"/>
  <c r="L11" i="19" s="1"/>
  <c r="L50" i="19" s="1"/>
  <c r="K18" i="19"/>
  <c r="J18" i="19"/>
  <c r="J11" i="19" s="1"/>
  <c r="J50" i="19" s="1"/>
  <c r="G18" i="19"/>
  <c r="F18" i="19"/>
  <c r="O17" i="19"/>
  <c r="H17" i="19"/>
  <c r="P17" i="19" s="1"/>
  <c r="O16" i="19"/>
  <c r="H16" i="19"/>
  <c r="O15" i="19"/>
  <c r="H15" i="19"/>
  <c r="P15" i="19" s="1"/>
  <c r="O14" i="19"/>
  <c r="H14" i="19"/>
  <c r="P14" i="19" s="1"/>
  <c r="O13" i="19"/>
  <c r="H13" i="19"/>
  <c r="P13" i="19" s="1"/>
  <c r="O12" i="19"/>
  <c r="O11" i="19" s="1"/>
  <c r="N12" i="19"/>
  <c r="M12" i="19"/>
  <c r="L12" i="19"/>
  <c r="K12" i="19"/>
  <c r="K11" i="19" s="1"/>
  <c r="K50" i="19" s="1"/>
  <c r="J12" i="19"/>
  <c r="H12" i="19"/>
  <c r="G12" i="19"/>
  <c r="F12" i="19"/>
  <c r="F11" i="19" s="1"/>
  <c r="F50" i="19" s="1"/>
  <c r="M11" i="19"/>
  <c r="M50" i="19" s="1"/>
  <c r="O51" i="18"/>
  <c r="H51" i="18"/>
  <c r="P51" i="18" s="1"/>
  <c r="O50" i="18"/>
  <c r="H50" i="18"/>
  <c r="P50" i="18" s="1"/>
  <c r="O49" i="18"/>
  <c r="O47" i="18" s="1"/>
  <c r="H49" i="18"/>
  <c r="O48" i="18"/>
  <c r="H48" i="18"/>
  <c r="H47" i="18" s="1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P41" i="18" s="1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H33" i="18" s="1"/>
  <c r="O34" i="18"/>
  <c r="O33" i="18" s="1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P31" i="18" s="1"/>
  <c r="O30" i="18"/>
  <c r="H30" i="18"/>
  <c r="P30" i="18" s="1"/>
  <c r="O29" i="18"/>
  <c r="H29" i="18"/>
  <c r="P29" i="18" s="1"/>
  <c r="O28" i="18"/>
  <c r="H28" i="18"/>
  <c r="H26" i="18" s="1"/>
  <c r="O27" i="18"/>
  <c r="O26" i="18" s="1"/>
  <c r="H27" i="18"/>
  <c r="P27" i="18" s="1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P22" i="18" s="1"/>
  <c r="N21" i="18"/>
  <c r="M21" i="18"/>
  <c r="L21" i="18"/>
  <c r="K21" i="18"/>
  <c r="J21" i="18"/>
  <c r="G21" i="18"/>
  <c r="F21" i="18"/>
  <c r="O20" i="18"/>
  <c r="H20" i="18"/>
  <c r="H18" i="18" s="1"/>
  <c r="H11" i="18" s="1"/>
  <c r="H52" i="18" s="1"/>
  <c r="O19" i="18"/>
  <c r="O18" i="18" s="1"/>
  <c r="H19" i="18"/>
  <c r="P19" i="18" s="1"/>
  <c r="N18" i="18"/>
  <c r="N11" i="18" s="1"/>
  <c r="N52" i="18" s="1"/>
  <c r="M18" i="18"/>
  <c r="L18" i="18"/>
  <c r="L11" i="18" s="1"/>
  <c r="L52" i="18" s="1"/>
  <c r="K18" i="18"/>
  <c r="J18" i="18"/>
  <c r="J11" i="18" s="1"/>
  <c r="J52" i="18" s="1"/>
  <c r="G18" i="18"/>
  <c r="G11" i="18" s="1"/>
  <c r="G52" i="18" s="1"/>
  <c r="F18" i="18"/>
  <c r="O17" i="18"/>
  <c r="H17" i="18"/>
  <c r="P17" i="18" s="1"/>
  <c r="O16" i="18"/>
  <c r="H16" i="18"/>
  <c r="P16" i="18" s="1"/>
  <c r="O15" i="18"/>
  <c r="H15" i="18"/>
  <c r="P15" i="18" s="1"/>
  <c r="O14" i="18"/>
  <c r="H14" i="18"/>
  <c r="P14" i="18" s="1"/>
  <c r="O13" i="18"/>
  <c r="H13" i="18"/>
  <c r="P13" i="18" s="1"/>
  <c r="P12" i="18" s="1"/>
  <c r="O12" i="18"/>
  <c r="N12" i="18"/>
  <c r="M12" i="18"/>
  <c r="L12" i="18"/>
  <c r="K12" i="18"/>
  <c r="J12" i="18"/>
  <c r="H12" i="18"/>
  <c r="G12" i="18"/>
  <c r="F12" i="18"/>
  <c r="M11" i="18"/>
  <c r="M52" i="18" s="1"/>
  <c r="K11" i="18"/>
  <c r="K52" i="18" s="1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P48" i="17" s="1"/>
  <c r="P47" i="17" s="1"/>
  <c r="O47" i="17"/>
  <c r="N47" i="17"/>
  <c r="M47" i="17"/>
  <c r="L47" i="17"/>
  <c r="K47" i="17"/>
  <c r="J47" i="17"/>
  <c r="H47" i="17"/>
  <c r="G47" i="17"/>
  <c r="F47" i="17"/>
  <c r="O46" i="17"/>
  <c r="H46" i="17"/>
  <c r="P46" i="17" s="1"/>
  <c r="O45" i="17"/>
  <c r="H45" i="17"/>
  <c r="P45" i="17" s="1"/>
  <c r="O44" i="17"/>
  <c r="H44" i="17"/>
  <c r="P44" i="17" s="1"/>
  <c r="O43" i="17"/>
  <c r="H43" i="17"/>
  <c r="P43" i="17" s="1"/>
  <c r="O42" i="17"/>
  <c r="H42" i="17"/>
  <c r="P42" i="17" s="1"/>
  <c r="O41" i="17"/>
  <c r="H41" i="17"/>
  <c r="P41" i="17" s="1"/>
  <c r="O40" i="17"/>
  <c r="H40" i="17"/>
  <c r="P40" i="17" s="1"/>
  <c r="O39" i="17"/>
  <c r="H39" i="17"/>
  <c r="P39" i="17" s="1"/>
  <c r="O38" i="17"/>
  <c r="H38" i="17"/>
  <c r="P38" i="17" s="1"/>
  <c r="O37" i="17"/>
  <c r="H37" i="17"/>
  <c r="P37" i="17" s="1"/>
  <c r="O36" i="17"/>
  <c r="H36" i="17"/>
  <c r="P36" i="17" s="1"/>
  <c r="O35" i="17"/>
  <c r="H35" i="17"/>
  <c r="H33" i="17" s="1"/>
  <c r="O34" i="17"/>
  <c r="O33" i="17" s="1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P27" i="17" s="1"/>
  <c r="P26" i="17" s="1"/>
  <c r="O26" i="17"/>
  <c r="N26" i="17"/>
  <c r="M26" i="17"/>
  <c r="L26" i="17"/>
  <c r="K26" i="17"/>
  <c r="J26" i="17"/>
  <c r="H26" i="17"/>
  <c r="G26" i="17"/>
  <c r="F26" i="17"/>
  <c r="O25" i="17"/>
  <c r="H25" i="17"/>
  <c r="P25" i="17" s="1"/>
  <c r="O24" i="17"/>
  <c r="H24" i="17"/>
  <c r="P24" i="17" s="1"/>
  <c r="O23" i="17"/>
  <c r="H23" i="17"/>
  <c r="P23" i="17" s="1"/>
  <c r="O22" i="17"/>
  <c r="H22" i="17"/>
  <c r="P22" i="17" s="1"/>
  <c r="P21" i="17" s="1"/>
  <c r="O21" i="17"/>
  <c r="N21" i="17"/>
  <c r="M21" i="17"/>
  <c r="L21" i="17"/>
  <c r="K21" i="17"/>
  <c r="J21" i="17"/>
  <c r="H21" i="17"/>
  <c r="G21" i="17"/>
  <c r="F21" i="17"/>
  <c r="O20" i="17"/>
  <c r="H20" i="17"/>
  <c r="P20" i="17" s="1"/>
  <c r="O19" i="17"/>
  <c r="H19" i="17"/>
  <c r="P19" i="17" s="1"/>
  <c r="P18" i="17" s="1"/>
  <c r="O18" i="17"/>
  <c r="N18" i="17"/>
  <c r="M18" i="17"/>
  <c r="M11" i="17" s="1"/>
  <c r="M52" i="17" s="1"/>
  <c r="L18" i="17"/>
  <c r="K18" i="17"/>
  <c r="K11" i="17" s="1"/>
  <c r="K52" i="17" s="1"/>
  <c r="J18" i="17"/>
  <c r="H18" i="17"/>
  <c r="G18" i="17"/>
  <c r="F18" i="17"/>
  <c r="F11" i="17" s="1"/>
  <c r="F52" i="17" s="1"/>
  <c r="O17" i="17"/>
  <c r="H17" i="17"/>
  <c r="P17" i="17" s="1"/>
  <c r="O16" i="17"/>
  <c r="H16" i="17"/>
  <c r="P16" i="17" s="1"/>
  <c r="O15" i="17"/>
  <c r="H15" i="17"/>
  <c r="P15" i="17" s="1"/>
  <c r="O14" i="17"/>
  <c r="H14" i="17"/>
  <c r="H12" i="17" s="1"/>
  <c r="H11" i="17" s="1"/>
  <c r="H52" i="17" s="1"/>
  <c r="O13" i="17"/>
  <c r="O12" i="17" s="1"/>
  <c r="O11" i="17" s="1"/>
  <c r="O52" i="17" s="1"/>
  <c r="H13" i="17"/>
  <c r="P13" i="17" s="1"/>
  <c r="N12" i="17"/>
  <c r="M12" i="17"/>
  <c r="L12" i="17"/>
  <c r="K12" i="17"/>
  <c r="J12" i="17"/>
  <c r="G12" i="17"/>
  <c r="F12" i="17"/>
  <c r="N11" i="17"/>
  <c r="N52" i="17" s="1"/>
  <c r="L11" i="17"/>
  <c r="L52" i="17" s="1"/>
  <c r="J11" i="17"/>
  <c r="J52" i="17" s="1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P48" i="16" s="1"/>
  <c r="N47" i="16"/>
  <c r="M47" i="16"/>
  <c r="L47" i="16"/>
  <c r="K47" i="16"/>
  <c r="J47" i="16"/>
  <c r="G47" i="16"/>
  <c r="F47" i="16"/>
  <c r="O46" i="16"/>
  <c r="H46" i="16"/>
  <c r="P46" i="16" s="1"/>
  <c r="O45" i="16"/>
  <c r="H45" i="16"/>
  <c r="P45" i="16" s="1"/>
  <c r="O44" i="16"/>
  <c r="H44" i="16"/>
  <c r="P44" i="16" s="1"/>
  <c r="O43" i="16"/>
  <c r="H43" i="16"/>
  <c r="P43" i="16" s="1"/>
  <c r="O42" i="16"/>
  <c r="H42" i="16"/>
  <c r="P42" i="16" s="1"/>
  <c r="O41" i="16"/>
  <c r="H41" i="16"/>
  <c r="P41" i="16" s="1"/>
  <c r="O40" i="16"/>
  <c r="H40" i="16"/>
  <c r="P40" i="16" s="1"/>
  <c r="O39" i="16"/>
  <c r="H39" i="16"/>
  <c r="P39" i="16" s="1"/>
  <c r="O38" i="16"/>
  <c r="H38" i="16"/>
  <c r="P38" i="16" s="1"/>
  <c r="O37" i="16"/>
  <c r="H37" i="16"/>
  <c r="P37" i="16" s="1"/>
  <c r="O36" i="16"/>
  <c r="H36" i="16"/>
  <c r="P36" i="16" s="1"/>
  <c r="O35" i="16"/>
  <c r="H35" i="16"/>
  <c r="P35" i="16" s="1"/>
  <c r="O34" i="16"/>
  <c r="H34" i="16"/>
  <c r="P34" i="16" s="1"/>
  <c r="P33" i="16" s="1"/>
  <c r="O33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H26" i="16" s="1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H21" i="16" s="1"/>
  <c r="O22" i="16"/>
  <c r="O21" i="16" s="1"/>
  <c r="H22" i="16"/>
  <c r="P22" i="16" s="1"/>
  <c r="N21" i="16"/>
  <c r="M21" i="16"/>
  <c r="L21" i="16"/>
  <c r="K21" i="16"/>
  <c r="J21" i="16"/>
  <c r="G21" i="16"/>
  <c r="F21" i="16"/>
  <c r="O20" i="16"/>
  <c r="H20" i="16"/>
  <c r="H18" i="16" s="1"/>
  <c r="O19" i="16"/>
  <c r="O18" i="16" s="1"/>
  <c r="O11" i="16" s="1"/>
  <c r="O52" i="16" s="1"/>
  <c r="H19" i="16"/>
  <c r="P19" i="16" s="1"/>
  <c r="N18" i="16"/>
  <c r="N11" i="16" s="1"/>
  <c r="N52" i="16" s="1"/>
  <c r="M18" i="16"/>
  <c r="L18" i="16"/>
  <c r="L11" i="16" s="1"/>
  <c r="L52" i="16" s="1"/>
  <c r="K18" i="16"/>
  <c r="J18" i="16"/>
  <c r="J11" i="16" s="1"/>
  <c r="J52" i="16" s="1"/>
  <c r="G18" i="16"/>
  <c r="G11" i="16" s="1"/>
  <c r="G52" i="16" s="1"/>
  <c r="F18" i="16"/>
  <c r="O17" i="16"/>
  <c r="H17" i="16"/>
  <c r="P17" i="16" s="1"/>
  <c r="O16" i="16"/>
  <c r="H16" i="16"/>
  <c r="P16" i="16" s="1"/>
  <c r="O15" i="16"/>
  <c r="H15" i="16"/>
  <c r="P15" i="16" s="1"/>
  <c r="O14" i="16"/>
  <c r="H14" i="16"/>
  <c r="P14" i="16" s="1"/>
  <c r="O13" i="16"/>
  <c r="H13" i="16"/>
  <c r="P13" i="16" s="1"/>
  <c r="P12" i="16" s="1"/>
  <c r="O12" i="16"/>
  <c r="N12" i="16"/>
  <c r="M12" i="16"/>
  <c r="L12" i="16"/>
  <c r="K12" i="16"/>
  <c r="J12" i="16"/>
  <c r="H12" i="16"/>
  <c r="G12" i="16"/>
  <c r="F12" i="16"/>
  <c r="M11" i="16"/>
  <c r="M52" i="16" s="1"/>
  <c r="K11" i="16"/>
  <c r="K52" i="16" s="1"/>
  <c r="F11" i="16"/>
  <c r="F52" i="16" s="1"/>
  <c r="O49" i="15"/>
  <c r="H49" i="15"/>
  <c r="P49" i="15" s="1"/>
  <c r="O48" i="15"/>
  <c r="H48" i="15"/>
  <c r="P48" i="15" s="1"/>
  <c r="O47" i="15"/>
  <c r="H47" i="15"/>
  <c r="P47" i="15" s="1"/>
  <c r="O46" i="15"/>
  <c r="H46" i="15"/>
  <c r="P46" i="15" s="1"/>
  <c r="P45" i="15" s="1"/>
  <c r="O45" i="15"/>
  <c r="N45" i="15"/>
  <c r="M45" i="15"/>
  <c r="L45" i="15"/>
  <c r="K45" i="15"/>
  <c r="J45" i="15"/>
  <c r="H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H31" i="15" s="1"/>
  <c r="O32" i="15"/>
  <c r="O31" i="15" s="1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P22" i="15" s="1"/>
  <c r="P21" i="15" s="1"/>
  <c r="O21" i="15"/>
  <c r="N21" i="15"/>
  <c r="M21" i="15"/>
  <c r="L21" i="15"/>
  <c r="K21" i="15"/>
  <c r="J21" i="15"/>
  <c r="H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H18" i="15"/>
  <c r="G18" i="15"/>
  <c r="F18" i="15"/>
  <c r="F11" i="15" s="1"/>
  <c r="F50" i="15" s="1"/>
  <c r="O17" i="15"/>
  <c r="H17" i="15"/>
  <c r="P17" i="15" s="1"/>
  <c r="O16" i="15"/>
  <c r="H16" i="15"/>
  <c r="P16" i="15" s="1"/>
  <c r="O15" i="15"/>
  <c r="H15" i="15"/>
  <c r="P15" i="15" s="1"/>
  <c r="O14" i="15"/>
  <c r="H14" i="15"/>
  <c r="H12" i="15" s="1"/>
  <c r="H11" i="15" s="1"/>
  <c r="H50" i="15" s="1"/>
  <c r="O13" i="15"/>
  <c r="O12" i="15" s="1"/>
  <c r="O11" i="15" s="1"/>
  <c r="O50" i="15" s="1"/>
  <c r="H13" i="15"/>
  <c r="P13" i="15" s="1"/>
  <c r="N12" i="15"/>
  <c r="M12" i="15"/>
  <c r="L12" i="15"/>
  <c r="K12" i="15"/>
  <c r="J12" i="15"/>
  <c r="G12" i="15"/>
  <c r="F12" i="15"/>
  <c r="N11" i="15"/>
  <c r="N50" i="15" s="1"/>
  <c r="L11" i="15"/>
  <c r="L50" i="15" s="1"/>
  <c r="J11" i="15"/>
  <c r="J50" i="15" s="1"/>
  <c r="G11" i="15"/>
  <c r="G50" i="15" s="1"/>
  <c r="O51" i="14"/>
  <c r="H51" i="14"/>
  <c r="P51" i="14" s="1"/>
  <c r="O50" i="14"/>
  <c r="H50" i="14"/>
  <c r="P50" i="14" s="1"/>
  <c r="O49" i="14"/>
  <c r="H49" i="14"/>
  <c r="H47" i="14" s="1"/>
  <c r="O48" i="14"/>
  <c r="O47" i="14" s="1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P34" i="14" s="1"/>
  <c r="P33" i="14" s="1"/>
  <c r="O33" i="14"/>
  <c r="N33" i="14"/>
  <c r="M33" i="14"/>
  <c r="L33" i="14"/>
  <c r="K33" i="14"/>
  <c r="J33" i="14"/>
  <c r="H33" i="14"/>
  <c r="G33" i="14"/>
  <c r="F33" i="14"/>
  <c r="O31" i="14"/>
  <c r="H31" i="14"/>
  <c r="P31" i="14" s="1"/>
  <c r="O30" i="14"/>
  <c r="H30" i="14"/>
  <c r="P30" i="14" s="1"/>
  <c r="O29" i="14"/>
  <c r="H29" i="14"/>
  <c r="P29" i="14" s="1"/>
  <c r="O28" i="14"/>
  <c r="H28" i="14"/>
  <c r="H26" i="14" s="1"/>
  <c r="O27" i="14"/>
  <c r="O26" i="14" s="1"/>
  <c r="H27" i="14"/>
  <c r="P27" i="14" s="1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O21" i="14" s="1"/>
  <c r="H22" i="14"/>
  <c r="P22" i="14" s="1"/>
  <c r="N21" i="14"/>
  <c r="M21" i="14"/>
  <c r="L21" i="14"/>
  <c r="K21" i="14"/>
  <c r="J21" i="14"/>
  <c r="G21" i="14"/>
  <c r="F21" i="14"/>
  <c r="O20" i="14"/>
  <c r="H20" i="14"/>
  <c r="H18" i="14" s="1"/>
  <c r="H11" i="14" s="1"/>
  <c r="H52" i="14" s="1"/>
  <c r="O19" i="14"/>
  <c r="O18" i="14" s="1"/>
  <c r="H19" i="14"/>
  <c r="P19" i="14" s="1"/>
  <c r="N18" i="14"/>
  <c r="N11" i="14" s="1"/>
  <c r="N52" i="14" s="1"/>
  <c r="M18" i="14"/>
  <c r="L18" i="14"/>
  <c r="L11" i="14" s="1"/>
  <c r="L52" i="14" s="1"/>
  <c r="K18" i="14"/>
  <c r="J18" i="14"/>
  <c r="J11" i="14" s="1"/>
  <c r="J52" i="14" s="1"/>
  <c r="G18" i="14"/>
  <c r="G11" i="14" s="1"/>
  <c r="G52" i="14" s="1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P14" i="14" s="1"/>
  <c r="O13" i="14"/>
  <c r="H13" i="14"/>
  <c r="P13" i="14" s="1"/>
  <c r="P12" i="14" s="1"/>
  <c r="O12" i="14"/>
  <c r="N12" i="14"/>
  <c r="M12" i="14"/>
  <c r="L12" i="14"/>
  <c r="K12" i="14"/>
  <c r="J12" i="14"/>
  <c r="H12" i="14"/>
  <c r="G12" i="14"/>
  <c r="F12" i="14"/>
  <c r="M11" i="14"/>
  <c r="M52" i="14" s="1"/>
  <c r="K11" i="14"/>
  <c r="K52" i="14" s="1"/>
  <c r="F11" i="14"/>
  <c r="F52" i="14" s="1"/>
  <c r="O51" i="13"/>
  <c r="H51" i="13"/>
  <c r="P51" i="13" s="1"/>
  <c r="O50" i="13"/>
  <c r="H50" i="13"/>
  <c r="P50" i="13" s="1"/>
  <c r="O49" i="13"/>
  <c r="H49" i="13"/>
  <c r="P49" i="13" s="1"/>
  <c r="O48" i="13"/>
  <c r="H48" i="13"/>
  <c r="P48" i="13" s="1"/>
  <c r="P47" i="13" s="1"/>
  <c r="O47" i="13"/>
  <c r="N47" i="13"/>
  <c r="M47" i="13"/>
  <c r="L47" i="13"/>
  <c r="K47" i="13"/>
  <c r="J47" i="13"/>
  <c r="H47" i="13"/>
  <c r="G47" i="13"/>
  <c r="F47" i="13"/>
  <c r="O46" i="13"/>
  <c r="H46" i="13"/>
  <c r="P46" i="13" s="1"/>
  <c r="O45" i="13"/>
  <c r="H45" i="13"/>
  <c r="P45" i="13" s="1"/>
  <c r="O44" i="13"/>
  <c r="H44" i="13"/>
  <c r="P44" i="13" s="1"/>
  <c r="O43" i="13"/>
  <c r="H43" i="13"/>
  <c r="P43" i="13" s="1"/>
  <c r="O42" i="13"/>
  <c r="H42" i="13"/>
  <c r="P42" i="13" s="1"/>
  <c r="O41" i="13"/>
  <c r="H41" i="13"/>
  <c r="P41" i="13" s="1"/>
  <c r="O40" i="13"/>
  <c r="H40" i="13"/>
  <c r="P40" i="13" s="1"/>
  <c r="O39" i="13"/>
  <c r="H39" i="13"/>
  <c r="P39" i="13" s="1"/>
  <c r="O38" i="13"/>
  <c r="H38" i="13"/>
  <c r="P38" i="13" s="1"/>
  <c r="O37" i="13"/>
  <c r="H37" i="13"/>
  <c r="P37" i="13" s="1"/>
  <c r="O36" i="13"/>
  <c r="H36" i="13"/>
  <c r="P36" i="13" s="1"/>
  <c r="O35" i="13"/>
  <c r="H35" i="13"/>
  <c r="H33" i="13" s="1"/>
  <c r="O34" i="13"/>
  <c r="O33" i="13" s="1"/>
  <c r="H34" i="13"/>
  <c r="P34" i="13" s="1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O27" i="13"/>
  <c r="H27" i="13"/>
  <c r="P27" i="13" s="1"/>
  <c r="O26" i="13"/>
  <c r="N26" i="13"/>
  <c r="M26" i="13"/>
  <c r="L26" i="13"/>
  <c r="K26" i="13"/>
  <c r="J26" i="13"/>
  <c r="H26" i="13"/>
  <c r="G26" i="13"/>
  <c r="F26" i="13"/>
  <c r="O25" i="13"/>
  <c r="H25" i="13"/>
  <c r="P25" i="13" s="1"/>
  <c r="O24" i="13"/>
  <c r="H24" i="13"/>
  <c r="P24" i="13" s="1"/>
  <c r="O23" i="13"/>
  <c r="H23" i="13"/>
  <c r="P23" i="13" s="1"/>
  <c r="O22" i="13"/>
  <c r="H22" i="13"/>
  <c r="P22" i="13" s="1"/>
  <c r="P21" i="13" s="1"/>
  <c r="O21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H19" i="13"/>
  <c r="P19" i="13" s="1"/>
  <c r="P18" i="13" s="1"/>
  <c r="O18" i="13"/>
  <c r="N18" i="13"/>
  <c r="M18" i="13"/>
  <c r="M11" i="13" s="1"/>
  <c r="M52" i="13" s="1"/>
  <c r="L18" i="13"/>
  <c r="K18" i="13"/>
  <c r="K11" i="13" s="1"/>
  <c r="K52" i="13" s="1"/>
  <c r="J18" i="13"/>
  <c r="H18" i="13"/>
  <c r="G18" i="13"/>
  <c r="F18" i="13"/>
  <c r="F11" i="13" s="1"/>
  <c r="F52" i="13" s="1"/>
  <c r="O17" i="13"/>
  <c r="H17" i="13"/>
  <c r="P17" i="13" s="1"/>
  <c r="O16" i="13"/>
  <c r="H16" i="13"/>
  <c r="P16" i="13" s="1"/>
  <c r="O15" i="13"/>
  <c r="H15" i="13"/>
  <c r="P15" i="13" s="1"/>
  <c r="O14" i="13"/>
  <c r="H14" i="13"/>
  <c r="H12" i="13" s="1"/>
  <c r="H11" i="13" s="1"/>
  <c r="H52" i="13" s="1"/>
  <c r="O13" i="13"/>
  <c r="O12" i="13" s="1"/>
  <c r="O11" i="13" s="1"/>
  <c r="O52" i="13" s="1"/>
  <c r="H13" i="13"/>
  <c r="P13" i="13" s="1"/>
  <c r="N12" i="13"/>
  <c r="M12" i="13"/>
  <c r="L12" i="13"/>
  <c r="K12" i="13"/>
  <c r="J12" i="13"/>
  <c r="G12" i="13"/>
  <c r="F12" i="13"/>
  <c r="N11" i="13"/>
  <c r="N52" i="13" s="1"/>
  <c r="L11" i="13"/>
  <c r="L52" i="13" s="1"/>
  <c r="J11" i="13"/>
  <c r="J52" i="13" s="1"/>
  <c r="G11" i="13"/>
  <c r="G52" i="13" s="1"/>
  <c r="O51" i="12"/>
  <c r="H51" i="12"/>
  <c r="P51" i="12" s="1"/>
  <c r="O50" i="12"/>
  <c r="H50" i="12"/>
  <c r="P50" i="12" s="1"/>
  <c r="O49" i="12"/>
  <c r="H49" i="12"/>
  <c r="H47" i="12" s="1"/>
  <c r="O48" i="12"/>
  <c r="O47" i="12" s="1"/>
  <c r="H48" i="12"/>
  <c r="P48" i="12" s="1"/>
  <c r="N47" i="12"/>
  <c r="M47" i="12"/>
  <c r="L47" i="12"/>
  <c r="K47" i="12"/>
  <c r="J47" i="12"/>
  <c r="G47" i="12"/>
  <c r="F47" i="12"/>
  <c r="O46" i="12"/>
  <c r="H46" i="12"/>
  <c r="P46" i="12" s="1"/>
  <c r="O45" i="12"/>
  <c r="H45" i="12"/>
  <c r="P45" i="12" s="1"/>
  <c r="O44" i="12"/>
  <c r="H44" i="12"/>
  <c r="P44" i="12" s="1"/>
  <c r="O43" i="12"/>
  <c r="H43" i="12"/>
  <c r="P43" i="12" s="1"/>
  <c r="O42" i="12"/>
  <c r="H42" i="12"/>
  <c r="P42" i="12" s="1"/>
  <c r="O41" i="12"/>
  <c r="H41" i="12"/>
  <c r="P41" i="12" s="1"/>
  <c r="O40" i="12"/>
  <c r="H40" i="12"/>
  <c r="P40" i="12" s="1"/>
  <c r="O39" i="12"/>
  <c r="H39" i="12"/>
  <c r="P39" i="12" s="1"/>
  <c r="O38" i="12"/>
  <c r="H38" i="12"/>
  <c r="P38" i="12" s="1"/>
  <c r="O37" i="12"/>
  <c r="H37" i="12"/>
  <c r="P37" i="12" s="1"/>
  <c r="O36" i="12"/>
  <c r="H36" i="12"/>
  <c r="P36" i="12" s="1"/>
  <c r="O35" i="12"/>
  <c r="H35" i="12"/>
  <c r="P35" i="12" s="1"/>
  <c r="O34" i="12"/>
  <c r="H34" i="12"/>
  <c r="P34" i="12" s="1"/>
  <c r="P33" i="12" s="1"/>
  <c r="O33" i="12"/>
  <c r="N33" i="12"/>
  <c r="M33" i="12"/>
  <c r="L33" i="12"/>
  <c r="K33" i="12"/>
  <c r="J33" i="12"/>
  <c r="H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P27" i="12" s="1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H21" i="12" s="1"/>
  <c r="O22" i="12"/>
  <c r="O21" i="12" s="1"/>
  <c r="H22" i="12"/>
  <c r="P22" i="12" s="1"/>
  <c r="N21" i="12"/>
  <c r="M21" i="12"/>
  <c r="L21" i="12"/>
  <c r="K21" i="12"/>
  <c r="J21" i="12"/>
  <c r="G21" i="12"/>
  <c r="F21" i="12"/>
  <c r="O20" i="12"/>
  <c r="H20" i="12"/>
  <c r="H18" i="12" s="1"/>
  <c r="O19" i="12"/>
  <c r="O18" i="12" s="1"/>
  <c r="O11" i="12" s="1"/>
  <c r="O52" i="12" s="1"/>
  <c r="H19" i="12"/>
  <c r="P19" i="12" s="1"/>
  <c r="N18" i="12"/>
  <c r="N11" i="12" s="1"/>
  <c r="N52" i="12" s="1"/>
  <c r="M18" i="12"/>
  <c r="L18" i="12"/>
  <c r="L11" i="12" s="1"/>
  <c r="L52" i="12" s="1"/>
  <c r="K18" i="12"/>
  <c r="J18" i="12"/>
  <c r="J11" i="12" s="1"/>
  <c r="J52" i="12" s="1"/>
  <c r="G18" i="12"/>
  <c r="G11" i="12" s="1"/>
  <c r="G52" i="12" s="1"/>
  <c r="F18" i="12"/>
  <c r="O17" i="12"/>
  <c r="H17" i="12"/>
  <c r="P17" i="12" s="1"/>
  <c r="O16" i="12"/>
  <c r="H16" i="12"/>
  <c r="P16" i="12" s="1"/>
  <c r="O15" i="12"/>
  <c r="H15" i="12"/>
  <c r="P15" i="12" s="1"/>
  <c r="O14" i="12"/>
  <c r="H14" i="12"/>
  <c r="P14" i="12" s="1"/>
  <c r="O13" i="12"/>
  <c r="H13" i="12"/>
  <c r="P13" i="12" s="1"/>
  <c r="P12" i="12" s="1"/>
  <c r="O12" i="12"/>
  <c r="N12" i="12"/>
  <c r="M12" i="12"/>
  <c r="L12" i="12"/>
  <c r="K12" i="12"/>
  <c r="J12" i="12"/>
  <c r="H12" i="12"/>
  <c r="G12" i="12"/>
  <c r="F12" i="12"/>
  <c r="M11" i="12"/>
  <c r="M52" i="12" s="1"/>
  <c r="K11" i="12"/>
  <c r="K52" i="12" s="1"/>
  <c r="F11" i="12"/>
  <c r="F52" i="12" s="1"/>
  <c r="O49" i="11"/>
  <c r="H49" i="11"/>
  <c r="P49" i="11" s="1"/>
  <c r="O48" i="11"/>
  <c r="H48" i="11"/>
  <c r="P48" i="11" s="1"/>
  <c r="O47" i="11"/>
  <c r="H47" i="11"/>
  <c r="P47" i="11" s="1"/>
  <c r="O46" i="11"/>
  <c r="H46" i="11"/>
  <c r="P46" i="11" s="1"/>
  <c r="P45" i="11" s="1"/>
  <c r="O45" i="11"/>
  <c r="N45" i="11"/>
  <c r="M45" i="11"/>
  <c r="L45" i="11"/>
  <c r="K45" i="11"/>
  <c r="J45" i="11"/>
  <c r="H45" i="11"/>
  <c r="G45" i="11"/>
  <c r="F45" i="11"/>
  <c r="O44" i="11"/>
  <c r="H44" i="11"/>
  <c r="P44" i="11" s="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P38" i="11" s="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H31" i="11" s="1"/>
  <c r="O32" i="11"/>
  <c r="O31" i="11" s="1"/>
  <c r="H32" i="11"/>
  <c r="P32" i="11" s="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P27" i="11" s="1"/>
  <c r="P26" i="11" s="1"/>
  <c r="O26" i="11"/>
  <c r="N26" i="11"/>
  <c r="M26" i="11"/>
  <c r="L26" i="11"/>
  <c r="K26" i="11"/>
  <c r="J26" i="11"/>
  <c r="H26" i="11"/>
  <c r="G26" i="11"/>
  <c r="F26" i="11"/>
  <c r="O25" i="11"/>
  <c r="H25" i="11"/>
  <c r="P25" i="11" s="1"/>
  <c r="O24" i="11"/>
  <c r="H24" i="11"/>
  <c r="P24" i="11" s="1"/>
  <c r="O23" i="11"/>
  <c r="H23" i="11"/>
  <c r="P23" i="11" s="1"/>
  <c r="O22" i="11"/>
  <c r="H22" i="11"/>
  <c r="P22" i="11" s="1"/>
  <c r="P21" i="11" s="1"/>
  <c r="O21" i="11"/>
  <c r="N21" i="11"/>
  <c r="M21" i="11"/>
  <c r="L21" i="11"/>
  <c r="K21" i="11"/>
  <c r="J21" i="11"/>
  <c r="H21" i="11"/>
  <c r="G21" i="11"/>
  <c r="F21" i="11"/>
  <c r="O20" i="11"/>
  <c r="H20" i="11"/>
  <c r="P20" i="11" s="1"/>
  <c r="O19" i="11"/>
  <c r="H19" i="11"/>
  <c r="P19" i="11" s="1"/>
  <c r="P18" i="11" s="1"/>
  <c r="O18" i="11"/>
  <c r="N18" i="11"/>
  <c r="M18" i="11"/>
  <c r="M11" i="11" s="1"/>
  <c r="M50" i="11" s="1"/>
  <c r="L18" i="11"/>
  <c r="K18" i="11"/>
  <c r="K11" i="11" s="1"/>
  <c r="K50" i="11" s="1"/>
  <c r="J18" i="11"/>
  <c r="H18" i="11"/>
  <c r="G18" i="11"/>
  <c r="F18" i="11"/>
  <c r="F11" i="11" s="1"/>
  <c r="F50" i="11" s="1"/>
  <c r="O17" i="11"/>
  <c r="H17" i="11"/>
  <c r="P17" i="11" s="1"/>
  <c r="O16" i="11"/>
  <c r="H16" i="11"/>
  <c r="P16" i="11" s="1"/>
  <c r="O15" i="11"/>
  <c r="H15" i="11"/>
  <c r="P15" i="11" s="1"/>
  <c r="O14" i="11"/>
  <c r="H14" i="11"/>
  <c r="H12" i="11" s="1"/>
  <c r="H11" i="11" s="1"/>
  <c r="H50" i="11" s="1"/>
  <c r="O13" i="11"/>
  <c r="O12" i="11" s="1"/>
  <c r="O11" i="11" s="1"/>
  <c r="O50" i="11" s="1"/>
  <c r="H13" i="11"/>
  <c r="P13" i="11" s="1"/>
  <c r="N12" i="11"/>
  <c r="M12" i="11"/>
  <c r="L12" i="11"/>
  <c r="K12" i="11"/>
  <c r="J12" i="11"/>
  <c r="G12" i="11"/>
  <c r="F12" i="11"/>
  <c r="N11" i="11"/>
  <c r="N50" i="11" s="1"/>
  <c r="L11" i="11"/>
  <c r="L50" i="11" s="1"/>
  <c r="J11" i="11"/>
  <c r="J50" i="11" s="1"/>
  <c r="G11" i="11"/>
  <c r="G50" i="11" s="1"/>
  <c r="O51" i="10"/>
  <c r="H51" i="10"/>
  <c r="P51" i="10" s="1"/>
  <c r="O50" i="10"/>
  <c r="H50" i="10"/>
  <c r="P50" i="10" s="1"/>
  <c r="O49" i="10"/>
  <c r="H49" i="10"/>
  <c r="H47" i="10" s="1"/>
  <c r="O48" i="10"/>
  <c r="O47" i="10" s="1"/>
  <c r="H48" i="10"/>
  <c r="P48" i="10" s="1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H37" i="10"/>
  <c r="P37" i="10" s="1"/>
  <c r="O36" i="10"/>
  <c r="H36" i="10"/>
  <c r="P36" i="10" s="1"/>
  <c r="O35" i="10"/>
  <c r="H35" i="10"/>
  <c r="P35" i="10" s="1"/>
  <c r="O34" i="10"/>
  <c r="H34" i="10"/>
  <c r="P34" i="10" s="1"/>
  <c r="P33" i="10" s="1"/>
  <c r="O33" i="10"/>
  <c r="N33" i="10"/>
  <c r="M33" i="10"/>
  <c r="L33" i="10"/>
  <c r="K33" i="10"/>
  <c r="J33" i="10"/>
  <c r="H33" i="10"/>
  <c r="G33" i="10"/>
  <c r="F33" i="10"/>
  <c r="O31" i="10"/>
  <c r="H31" i="10"/>
  <c r="P31" i="10" s="1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P27" i="10" s="1"/>
  <c r="N26" i="10"/>
  <c r="M26" i="10"/>
  <c r="L26" i="10"/>
  <c r="K26" i="10"/>
  <c r="J26" i="10"/>
  <c r="G26" i="10"/>
  <c r="F26" i="10"/>
  <c r="O25" i="10"/>
  <c r="H25" i="10"/>
  <c r="P25" i="10" s="1"/>
  <c r="O24" i="10"/>
  <c r="H24" i="10"/>
  <c r="P24" i="10" s="1"/>
  <c r="O23" i="10"/>
  <c r="H23" i="10"/>
  <c r="H21" i="10" s="1"/>
  <c r="O22" i="10"/>
  <c r="O21" i="10" s="1"/>
  <c r="H22" i="10"/>
  <c r="P22" i="10" s="1"/>
  <c r="N21" i="10"/>
  <c r="M21" i="10"/>
  <c r="L21" i="10"/>
  <c r="K21" i="10"/>
  <c r="J21" i="10"/>
  <c r="G21" i="10"/>
  <c r="F21" i="10"/>
  <c r="O20" i="10"/>
  <c r="H20" i="10"/>
  <c r="H18" i="10" s="1"/>
  <c r="H11" i="10" s="1"/>
  <c r="H52" i="10" s="1"/>
  <c r="O19" i="10"/>
  <c r="O18" i="10" s="1"/>
  <c r="H19" i="10"/>
  <c r="P19" i="10" s="1"/>
  <c r="N18" i="10"/>
  <c r="N11" i="10" s="1"/>
  <c r="N52" i="10" s="1"/>
  <c r="M18" i="10"/>
  <c r="L18" i="10"/>
  <c r="L11" i="10" s="1"/>
  <c r="L52" i="10" s="1"/>
  <c r="K18" i="10"/>
  <c r="J18" i="10"/>
  <c r="J11" i="10" s="1"/>
  <c r="J52" i="10" s="1"/>
  <c r="G18" i="10"/>
  <c r="G11" i="10" s="1"/>
  <c r="G52" i="10" s="1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H13" i="10"/>
  <c r="P13" i="10" s="1"/>
  <c r="P12" i="10" s="1"/>
  <c r="O12" i="10"/>
  <c r="N12" i="10"/>
  <c r="M12" i="10"/>
  <c r="L12" i="10"/>
  <c r="K12" i="10"/>
  <c r="J12" i="10"/>
  <c r="H12" i="10"/>
  <c r="G12" i="10"/>
  <c r="F12" i="10"/>
  <c r="M11" i="10"/>
  <c r="M52" i="10" s="1"/>
  <c r="K11" i="10"/>
  <c r="K52" i="10" s="1"/>
  <c r="F11" i="10"/>
  <c r="F52" i="10" s="1"/>
  <c r="O51" i="9"/>
  <c r="H51" i="9"/>
  <c r="P51" i="9" s="1"/>
  <c r="O50" i="9"/>
  <c r="H50" i="9"/>
  <c r="P50" i="9" s="1"/>
  <c r="O49" i="9"/>
  <c r="H49" i="9"/>
  <c r="P49" i="9" s="1"/>
  <c r="O48" i="9"/>
  <c r="H48" i="9"/>
  <c r="P48" i="9" s="1"/>
  <c r="P47" i="9" s="1"/>
  <c r="O47" i="9"/>
  <c r="N47" i="9"/>
  <c r="M47" i="9"/>
  <c r="L47" i="9"/>
  <c r="K47" i="9"/>
  <c r="J47" i="9"/>
  <c r="H47" i="9"/>
  <c r="G47" i="9"/>
  <c r="F47" i="9"/>
  <c r="O46" i="9"/>
  <c r="H46" i="9"/>
  <c r="P46" i="9" s="1"/>
  <c r="O45" i="9"/>
  <c r="H45" i="9"/>
  <c r="P45" i="9" s="1"/>
  <c r="O44" i="9"/>
  <c r="H44" i="9"/>
  <c r="P44" i="9" s="1"/>
  <c r="O43" i="9"/>
  <c r="H43" i="9"/>
  <c r="P43" i="9" s="1"/>
  <c r="O42" i="9"/>
  <c r="H42" i="9"/>
  <c r="P42" i="9" s="1"/>
  <c r="O41" i="9"/>
  <c r="H41" i="9"/>
  <c r="P41" i="9" s="1"/>
  <c r="O40" i="9"/>
  <c r="H40" i="9"/>
  <c r="P40" i="9" s="1"/>
  <c r="O39" i="9"/>
  <c r="H39" i="9"/>
  <c r="P39" i="9" s="1"/>
  <c r="O38" i="9"/>
  <c r="H38" i="9"/>
  <c r="P38" i="9" s="1"/>
  <c r="O37" i="9"/>
  <c r="H37" i="9"/>
  <c r="P37" i="9" s="1"/>
  <c r="O36" i="9"/>
  <c r="H36" i="9"/>
  <c r="P36" i="9" s="1"/>
  <c r="O35" i="9"/>
  <c r="H35" i="9"/>
  <c r="H33" i="9" s="1"/>
  <c r="O34" i="9"/>
  <c r="O33" i="9" s="1"/>
  <c r="H34" i="9"/>
  <c r="P34" i="9" s="1"/>
  <c r="N33" i="9"/>
  <c r="M33" i="9"/>
  <c r="L33" i="9"/>
  <c r="K33" i="9"/>
  <c r="J33" i="9"/>
  <c r="G33" i="9"/>
  <c r="F33" i="9"/>
  <c r="O32" i="9"/>
  <c r="H32" i="9"/>
  <c r="P32" i="9" s="1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O26" i="9" s="1"/>
  <c r="H27" i="9"/>
  <c r="P27" i="9" s="1"/>
  <c r="N26" i="9"/>
  <c r="M26" i="9"/>
  <c r="M11" i="9" s="1"/>
  <c r="M52" i="9" s="1"/>
  <c r="L26" i="9"/>
  <c r="K26" i="9"/>
  <c r="K11" i="9" s="1"/>
  <c r="K52" i="9" s="1"/>
  <c r="J26" i="9"/>
  <c r="G26" i="9"/>
  <c r="F26" i="9"/>
  <c r="O25" i="9"/>
  <c r="H25" i="9"/>
  <c r="P25" i="9" s="1"/>
  <c r="O24" i="9"/>
  <c r="H24" i="9"/>
  <c r="P24" i="9" s="1"/>
  <c r="O23" i="9"/>
  <c r="H23" i="9"/>
  <c r="H21" i="9" s="1"/>
  <c r="O22" i="9"/>
  <c r="O21" i="9" s="1"/>
  <c r="H22" i="9"/>
  <c r="P22" i="9" s="1"/>
  <c r="N21" i="9"/>
  <c r="M21" i="9"/>
  <c r="L21" i="9"/>
  <c r="K21" i="9"/>
  <c r="J21" i="9"/>
  <c r="G21" i="9"/>
  <c r="F21" i="9"/>
  <c r="O20" i="9"/>
  <c r="H20" i="9"/>
  <c r="H18" i="9" s="1"/>
  <c r="O19" i="9"/>
  <c r="O18" i="9" s="1"/>
  <c r="O11" i="9" s="1"/>
  <c r="O52" i="9" s="1"/>
  <c r="H19" i="9"/>
  <c r="P19" i="9" s="1"/>
  <c r="N18" i="9"/>
  <c r="N11" i="9" s="1"/>
  <c r="N52" i="9" s="1"/>
  <c r="M18" i="9"/>
  <c r="L18" i="9"/>
  <c r="L11" i="9" s="1"/>
  <c r="L52" i="9" s="1"/>
  <c r="K18" i="9"/>
  <c r="J18" i="9"/>
  <c r="J11" i="9" s="1"/>
  <c r="J52" i="9" s="1"/>
  <c r="G18" i="9"/>
  <c r="G11" i="9" s="1"/>
  <c r="G52" i="9" s="1"/>
  <c r="F18" i="9"/>
  <c r="O17" i="9"/>
  <c r="H17" i="9"/>
  <c r="P17" i="9" s="1"/>
  <c r="O16" i="9"/>
  <c r="H16" i="9"/>
  <c r="P16" i="9" s="1"/>
  <c r="O15" i="9"/>
  <c r="H15" i="9"/>
  <c r="P15" i="9" s="1"/>
  <c r="O14" i="9"/>
  <c r="H14" i="9"/>
  <c r="P14" i="9" s="1"/>
  <c r="O13" i="9"/>
  <c r="H13" i="9"/>
  <c r="P13" i="9" s="1"/>
  <c r="P12" i="9" s="1"/>
  <c r="O12" i="9"/>
  <c r="N12" i="9"/>
  <c r="M12" i="9"/>
  <c r="L12" i="9"/>
  <c r="K12" i="9"/>
  <c r="J12" i="9"/>
  <c r="H12" i="9"/>
  <c r="G12" i="9"/>
  <c r="F12" i="9"/>
  <c r="F11" i="9"/>
  <c r="F52" i="9" s="1"/>
  <c r="O51" i="8"/>
  <c r="H51" i="8"/>
  <c r="P51" i="8" s="1"/>
  <c r="O50" i="8"/>
  <c r="H50" i="8"/>
  <c r="P50" i="8" s="1"/>
  <c r="O49" i="8"/>
  <c r="O47" i="8" s="1"/>
  <c r="H49" i="8"/>
  <c r="O48" i="8"/>
  <c r="H48" i="8"/>
  <c r="P48" i="8" s="1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O33" i="8" s="1"/>
  <c r="H34" i="8"/>
  <c r="N33" i="8"/>
  <c r="M33" i="8"/>
  <c r="L33" i="8"/>
  <c r="K33" i="8"/>
  <c r="J33" i="8"/>
  <c r="G33" i="8"/>
  <c r="F33" i="8"/>
  <c r="O32" i="8"/>
  <c r="H32" i="8"/>
  <c r="P32" i="8" s="1"/>
  <c r="O31" i="8"/>
  <c r="H31" i="8"/>
  <c r="P31" i="8" s="1"/>
  <c r="O30" i="8"/>
  <c r="H30" i="8"/>
  <c r="P30" i="8" s="1"/>
  <c r="O29" i="8"/>
  <c r="H29" i="8"/>
  <c r="O28" i="8"/>
  <c r="H28" i="8"/>
  <c r="H26" i="8" s="1"/>
  <c r="O27" i="8"/>
  <c r="H27" i="8"/>
  <c r="P27" i="8" s="1"/>
  <c r="N26" i="8"/>
  <c r="M26" i="8"/>
  <c r="M11" i="8" s="1"/>
  <c r="M52" i="8" s="1"/>
  <c r="L26" i="8"/>
  <c r="K26" i="8"/>
  <c r="K11" i="8" s="1"/>
  <c r="K52" i="8" s="1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P22" i="8" s="1"/>
  <c r="N21" i="8"/>
  <c r="M21" i="8"/>
  <c r="L21" i="8"/>
  <c r="K21" i="8"/>
  <c r="J21" i="8"/>
  <c r="G21" i="8"/>
  <c r="F21" i="8"/>
  <c r="O20" i="8"/>
  <c r="H20" i="8"/>
  <c r="H18" i="8" s="1"/>
  <c r="O19" i="8"/>
  <c r="O18" i="8" s="1"/>
  <c r="H19" i="8"/>
  <c r="N18" i="8"/>
  <c r="M18" i="8"/>
  <c r="L18" i="8"/>
  <c r="K18" i="8"/>
  <c r="J18" i="8"/>
  <c r="G18" i="8"/>
  <c r="G11" i="8" s="1"/>
  <c r="G52" i="8" s="1"/>
  <c r="F18" i="8"/>
  <c r="O17" i="8"/>
  <c r="H17" i="8"/>
  <c r="P17" i="8" s="1"/>
  <c r="O16" i="8"/>
  <c r="H16" i="8"/>
  <c r="P16" i="8" s="1"/>
  <c r="O15" i="8"/>
  <c r="H15" i="8"/>
  <c r="P15" i="8" s="1"/>
  <c r="O14" i="8"/>
  <c r="O12" i="8" s="1"/>
  <c r="H14" i="8"/>
  <c r="O13" i="8"/>
  <c r="H13" i="8"/>
  <c r="P13" i="8" s="1"/>
  <c r="N12" i="8"/>
  <c r="M12" i="8"/>
  <c r="L12" i="8"/>
  <c r="K12" i="8"/>
  <c r="J12" i="8"/>
  <c r="G12" i="8"/>
  <c r="F12" i="8"/>
  <c r="F11" i="8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H45" i="7"/>
  <c r="G45" i="7"/>
  <c r="F45" i="7"/>
  <c r="O44" i="7"/>
  <c r="H44" i="7"/>
  <c r="P44" i="7" s="1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P39" i="7" s="1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H31" i="7" s="1"/>
  <c r="O32" i="7"/>
  <c r="H32" i="7"/>
  <c r="P32" i="7" s="1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H26" i="7"/>
  <c r="G26" i="7"/>
  <c r="F26" i="7"/>
  <c r="O25" i="7"/>
  <c r="H25" i="7"/>
  <c r="P25" i="7" s="1"/>
  <c r="O24" i="7"/>
  <c r="H24" i="7"/>
  <c r="P24" i="7" s="1"/>
  <c r="O23" i="7"/>
  <c r="H23" i="7"/>
  <c r="O22" i="7"/>
  <c r="O21" i="7" s="1"/>
  <c r="H22" i="7"/>
  <c r="N21" i="7"/>
  <c r="M21" i="7"/>
  <c r="L21" i="7"/>
  <c r="K21" i="7"/>
  <c r="J21" i="7"/>
  <c r="G21" i="7"/>
  <c r="F21" i="7"/>
  <c r="O20" i="7"/>
  <c r="H20" i="7"/>
  <c r="H18" i="7" s="1"/>
  <c r="O19" i="7"/>
  <c r="O18" i="7" s="1"/>
  <c r="H19" i="7"/>
  <c r="P19" i="7" s="1"/>
  <c r="N18" i="7"/>
  <c r="N11" i="7" s="1"/>
  <c r="N50" i="7" s="1"/>
  <c r="M18" i="7"/>
  <c r="L18" i="7"/>
  <c r="L11" i="7" s="1"/>
  <c r="L50" i="7" s="1"/>
  <c r="K18" i="7"/>
  <c r="J18" i="7"/>
  <c r="J11" i="7" s="1"/>
  <c r="J50" i="7" s="1"/>
  <c r="G18" i="7"/>
  <c r="F18" i="7"/>
  <c r="O17" i="7"/>
  <c r="H17" i="7"/>
  <c r="P17" i="7" s="1"/>
  <c r="O16" i="7"/>
  <c r="H16" i="7"/>
  <c r="O15" i="7"/>
  <c r="H15" i="7"/>
  <c r="P15" i="7" s="1"/>
  <c r="O14" i="7"/>
  <c r="H14" i="7"/>
  <c r="P14" i="7" s="1"/>
  <c r="O13" i="7"/>
  <c r="H13" i="7"/>
  <c r="P13" i="7" s="1"/>
  <c r="O12" i="7"/>
  <c r="O11" i="7" s="1"/>
  <c r="N12" i="7"/>
  <c r="M12" i="7"/>
  <c r="L12" i="7"/>
  <c r="K12" i="7"/>
  <c r="K11" i="7" s="1"/>
  <c r="K50" i="7" s="1"/>
  <c r="J12" i="7"/>
  <c r="H12" i="7"/>
  <c r="G12" i="7"/>
  <c r="F12" i="7"/>
  <c r="F11" i="7" s="1"/>
  <c r="F50" i="7" s="1"/>
  <c r="M11" i="7"/>
  <c r="M50" i="7" s="1"/>
  <c r="O51" i="6"/>
  <c r="H51" i="6"/>
  <c r="P51" i="6" s="1"/>
  <c r="O50" i="6"/>
  <c r="H50" i="6"/>
  <c r="P50" i="6" s="1"/>
  <c r="O49" i="6"/>
  <c r="O47" i="6" s="1"/>
  <c r="H49" i="6"/>
  <c r="O48" i="6"/>
  <c r="H48" i="6"/>
  <c r="H47" i="6" s="1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P41" i="6" s="1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P36" i="6" s="1"/>
  <c r="O35" i="6"/>
  <c r="H35" i="6"/>
  <c r="O34" i="6"/>
  <c r="O33" i="6" s="1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H26" i="6" s="1"/>
  <c r="O27" i="6"/>
  <c r="H27" i="6"/>
  <c r="P27" i="6" s="1"/>
  <c r="N26" i="6"/>
  <c r="M26" i="6"/>
  <c r="L26" i="6"/>
  <c r="K26" i="6"/>
  <c r="K11" i="6" s="1"/>
  <c r="K52" i="6" s="1"/>
  <c r="J26" i="6"/>
  <c r="G26" i="6"/>
  <c r="F26" i="6"/>
  <c r="O25" i="6"/>
  <c r="H25" i="6"/>
  <c r="P25" i="6" s="1"/>
  <c r="O24" i="6"/>
  <c r="H24" i="6"/>
  <c r="O23" i="6"/>
  <c r="H23" i="6"/>
  <c r="H21" i="6" s="1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O18" i="6" s="1"/>
  <c r="H19" i="6"/>
  <c r="N18" i="6"/>
  <c r="M18" i="6"/>
  <c r="L18" i="6"/>
  <c r="K18" i="6"/>
  <c r="J18" i="6"/>
  <c r="G18" i="6"/>
  <c r="G11" i="6" s="1"/>
  <c r="G52" i="6" s="1"/>
  <c r="F18" i="6"/>
  <c r="O17" i="6"/>
  <c r="H17" i="6"/>
  <c r="P17" i="6" s="1"/>
  <c r="O16" i="6"/>
  <c r="H16" i="6"/>
  <c r="P16" i="6" s="1"/>
  <c r="O15" i="6"/>
  <c r="H15" i="6"/>
  <c r="P15" i="6" s="1"/>
  <c r="O14" i="6"/>
  <c r="O12" i="6" s="1"/>
  <c r="H14" i="6"/>
  <c r="P13" i="6"/>
  <c r="O13" i="6"/>
  <c r="H13" i="6"/>
  <c r="H12" i="6" s="1"/>
  <c r="H11" i="6" s="1"/>
  <c r="N12" i="6"/>
  <c r="M12" i="6"/>
  <c r="L12" i="6"/>
  <c r="K12" i="6"/>
  <c r="J12" i="6"/>
  <c r="G12" i="6"/>
  <c r="F12" i="6"/>
  <c r="M11" i="6"/>
  <c r="M52" i="6" s="1"/>
  <c r="F11" i="6"/>
  <c r="F52" i="6" s="1"/>
  <c r="L38" i="5"/>
  <c r="F38" i="5"/>
  <c r="L37" i="5"/>
  <c r="F37" i="5"/>
  <c r="F35" i="5" s="1"/>
  <c r="L36" i="5"/>
  <c r="L35" i="5" s="1"/>
  <c r="F36" i="5"/>
  <c r="M35" i="5"/>
  <c r="K35" i="5"/>
  <c r="J35" i="5"/>
  <c r="I35" i="5"/>
  <c r="H35" i="5"/>
  <c r="G35" i="5"/>
  <c r="E35" i="5"/>
  <c r="D35" i="5"/>
  <c r="L34" i="5"/>
  <c r="F34" i="5"/>
  <c r="F32" i="5" s="1"/>
  <c r="M32" i="5" s="1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F29" i="5" s="1"/>
  <c r="L30" i="5"/>
  <c r="L29" i="5" s="1"/>
  <c r="M29" i="5" s="1"/>
  <c r="F30" i="5"/>
  <c r="K29" i="5"/>
  <c r="J29" i="5"/>
  <c r="I29" i="5"/>
  <c r="H29" i="5"/>
  <c r="G29" i="5"/>
  <c r="E29" i="5"/>
  <c r="D29" i="5"/>
  <c r="L28" i="5"/>
  <c r="F28" i="5"/>
  <c r="F26" i="5" s="1"/>
  <c r="L27" i="5"/>
  <c r="L26" i="5" s="1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F21" i="5" s="1"/>
  <c r="M20" i="5"/>
  <c r="F20" i="5"/>
  <c r="N20" i="5" s="1"/>
  <c r="M19" i="5"/>
  <c r="M21" i="5" s="1"/>
  <c r="F19" i="5"/>
  <c r="L14" i="5"/>
  <c r="K14" i="5"/>
  <c r="J14" i="5"/>
  <c r="I14" i="5"/>
  <c r="H14" i="5"/>
  <c r="E14" i="5"/>
  <c r="D14" i="5"/>
  <c r="M13" i="5"/>
  <c r="F13" i="5"/>
  <c r="M12" i="5"/>
  <c r="M14" i="5" s="1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P28" i="13" l="1"/>
  <c r="P26" i="13" s="1"/>
  <c r="P29" i="9"/>
  <c r="H11" i="32"/>
  <c r="H46" i="32" s="1"/>
  <c r="F46" i="32"/>
  <c r="M38" i="5"/>
  <c r="M27" i="5"/>
  <c r="M26" i="5"/>
  <c r="N21" i="5"/>
  <c r="N13" i="5"/>
  <c r="N12" i="5"/>
  <c r="M34" i="5"/>
  <c r="P28" i="6"/>
  <c r="P48" i="6"/>
  <c r="P20" i="7"/>
  <c r="P18" i="7" s="1"/>
  <c r="H17" i="1"/>
  <c r="F14" i="5"/>
  <c r="N14" i="5" s="1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H52" i="6" s="1"/>
  <c r="P35" i="6"/>
  <c r="P38" i="6"/>
  <c r="P42" i="6"/>
  <c r="P46" i="6"/>
  <c r="P49" i="6"/>
  <c r="P16" i="7"/>
  <c r="P12" i="7" s="1"/>
  <c r="G11" i="7"/>
  <c r="G50" i="7" s="1"/>
  <c r="P22" i="7"/>
  <c r="H21" i="7"/>
  <c r="H11" i="7" s="1"/>
  <c r="H50" i="7" s="1"/>
  <c r="P23" i="7"/>
  <c r="P29" i="7"/>
  <c r="O31" i="7"/>
  <c r="O50" i="7" s="1"/>
  <c r="P34" i="7"/>
  <c r="P38" i="7"/>
  <c r="P42" i="7"/>
  <c r="P49" i="7"/>
  <c r="P45" i="7" s="1"/>
  <c r="H12" i="8"/>
  <c r="H11" i="8" s="1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P47" i="8" s="1"/>
  <c r="P18" i="9"/>
  <c r="H11" i="9"/>
  <c r="H52" i="9" s="1"/>
  <c r="O11" i="10"/>
  <c r="O52" i="10" s="1"/>
  <c r="P12" i="11"/>
  <c r="P11" i="11" s="1"/>
  <c r="P18" i="12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26" i="14"/>
  <c r="P12" i="17"/>
  <c r="P11" i="17" s="1"/>
  <c r="P18" i="18"/>
  <c r="P20" i="9"/>
  <c r="P23" i="9"/>
  <c r="P21" i="9" s="1"/>
  <c r="P28" i="9"/>
  <c r="P26" i="9" s="1"/>
  <c r="P35" i="9"/>
  <c r="P33" i="9" s="1"/>
  <c r="P20" i="10"/>
  <c r="P23" i="10"/>
  <c r="P21" i="10" s="1"/>
  <c r="P28" i="10"/>
  <c r="P26" i="10" s="1"/>
  <c r="P49" i="10"/>
  <c r="P47" i="10" s="1"/>
  <c r="P14" i="11"/>
  <c r="P33" i="11"/>
  <c r="P31" i="11" s="1"/>
  <c r="P20" i="12"/>
  <c r="P23" i="12"/>
  <c r="P21" i="12" s="1"/>
  <c r="P28" i="12"/>
  <c r="P26" i="12" s="1"/>
  <c r="P49" i="12"/>
  <c r="P47" i="12" s="1"/>
  <c r="P14" i="13"/>
  <c r="P12" i="13" s="1"/>
  <c r="P35" i="13"/>
  <c r="P33" i="13" s="1"/>
  <c r="P20" i="14"/>
  <c r="P18" i="14" s="1"/>
  <c r="P23" i="14"/>
  <c r="P21" i="14" s="1"/>
  <c r="P28" i="14"/>
  <c r="P49" i="14"/>
  <c r="P47" i="14" s="1"/>
  <c r="P14" i="15"/>
  <c r="P12" i="15" s="1"/>
  <c r="P11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33" i="17" s="1"/>
  <c r="P20" i="18"/>
  <c r="P23" i="18"/>
  <c r="P21" i="18" s="1"/>
  <c r="P28" i="18"/>
  <c r="P26" i="18" s="1"/>
  <c r="P35" i="18"/>
  <c r="P33" i="18" s="1"/>
  <c r="P48" i="18"/>
  <c r="P20" i="19"/>
  <c r="P18" i="19" s="1"/>
  <c r="P33" i="19"/>
  <c r="P31" i="19" s="1"/>
  <c r="P13" i="20"/>
  <c r="P12" i="20" s="1"/>
  <c r="P23" i="20"/>
  <c r="P21" i="20" s="1"/>
  <c r="P28" i="20"/>
  <c r="P26" i="20" s="1"/>
  <c r="P48" i="20"/>
  <c r="P20" i="21"/>
  <c r="P18" i="21" s="1"/>
  <c r="P15" i="22"/>
  <c r="P12" i="22" s="1"/>
  <c r="P20" i="22"/>
  <c r="P18" i="22" s="1"/>
  <c r="P35" i="22"/>
  <c r="P33" i="22" s="1"/>
  <c r="P50" i="22"/>
  <c r="P47" i="22" s="1"/>
  <c r="P13" i="23"/>
  <c r="P46" i="23"/>
  <c r="P23" i="25"/>
  <c r="P21" i="25" s="1"/>
  <c r="P28" i="25"/>
  <c r="P26" i="25" s="1"/>
  <c r="P48" i="25"/>
  <c r="P42" i="18"/>
  <c r="P46" i="18"/>
  <c r="P49" i="18"/>
  <c r="P16" i="19"/>
  <c r="P12" i="19" s="1"/>
  <c r="G11" i="19"/>
  <c r="G50" i="19" s="1"/>
  <c r="P22" i="19"/>
  <c r="H21" i="19"/>
  <c r="H11" i="19" s="1"/>
  <c r="H50" i="19" s="1"/>
  <c r="P23" i="19"/>
  <c r="P29" i="19"/>
  <c r="O31" i="19"/>
  <c r="O50" i="19" s="1"/>
  <c r="P34" i="19"/>
  <c r="P38" i="19"/>
  <c r="P42" i="19"/>
  <c r="P49" i="19"/>
  <c r="P45" i="19" s="1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H52" i="20" s="1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1" i="23"/>
  <c r="P23" i="23"/>
  <c r="O31" i="23"/>
  <c r="P18" i="24"/>
  <c r="P20" i="24"/>
  <c r="H33" i="24"/>
  <c r="P35" i="24"/>
  <c r="P33" i="24" s="1"/>
  <c r="H12" i="25"/>
  <c r="H11" i="25" s="1"/>
  <c r="P13" i="25"/>
  <c r="O33" i="25"/>
  <c r="P18" i="26"/>
  <c r="P20" i="26"/>
  <c r="H33" i="26"/>
  <c r="P35" i="26"/>
  <c r="P33" i="26" s="1"/>
  <c r="P49" i="26"/>
  <c r="P47" i="26" s="1"/>
  <c r="P14" i="27"/>
  <c r="P12" i="27" s="1"/>
  <c r="P11" i="27" s="1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6" i="22" s="1"/>
  <c r="P28" i="22"/>
  <c r="P31" i="22"/>
  <c r="O33" i="22"/>
  <c r="O52" i="22" s="1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18" i="23" s="1"/>
  <c r="P20" i="23"/>
  <c r="O21" i="23"/>
  <c r="O11" i="23" s="1"/>
  <c r="O50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P12" i="24" s="1"/>
  <c r="G11" i="24"/>
  <c r="G52" i="24" s="1"/>
  <c r="P22" i="24"/>
  <c r="H21" i="24"/>
  <c r="H11" i="24" s="1"/>
  <c r="H52" i="24" s="1"/>
  <c r="P23" i="24"/>
  <c r="P27" i="24"/>
  <c r="P28" i="24"/>
  <c r="P31" i="24"/>
  <c r="O33" i="24"/>
  <c r="O52" i="24" s="1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O11" i="25" s="1"/>
  <c r="O52" i="25" s="1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O52" i="26" s="1"/>
  <c r="P36" i="26"/>
  <c r="P40" i="26"/>
  <c r="F11" i="27"/>
  <c r="F50" i="27" s="1"/>
  <c r="K11" i="27"/>
  <c r="K50" i="27" s="1"/>
  <c r="M11" i="27"/>
  <c r="M50" i="27" s="1"/>
  <c r="P26" i="28"/>
  <c r="P29" i="28"/>
  <c r="H33" i="28"/>
  <c r="P36" i="28"/>
  <c r="P33" i="28" s="1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6" i="29" s="1"/>
  <c r="P23" i="31"/>
  <c r="P21" i="31" s="1"/>
  <c r="P44" i="31"/>
  <c r="P42" i="31" s="1"/>
  <c r="P23" i="27"/>
  <c r="P21" i="27" s="1"/>
  <c r="P30" i="27"/>
  <c r="P33" i="27"/>
  <c r="P37" i="27"/>
  <c r="P41" i="27"/>
  <c r="P46" i="27"/>
  <c r="H45" i="27"/>
  <c r="H50" i="27" s="1"/>
  <c r="P47" i="27"/>
  <c r="P13" i="28"/>
  <c r="H12" i="28"/>
  <c r="H11" i="28" s="1"/>
  <c r="H52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52" i="30" s="1"/>
  <c r="O42" i="30"/>
  <c r="O26" i="29"/>
  <c r="P29" i="29"/>
  <c r="P34" i="29"/>
  <c r="H33" i="29"/>
  <c r="H52" i="29" s="1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P11" i="31" s="1"/>
  <c r="O21" i="31"/>
  <c r="P24" i="31"/>
  <c r="P28" i="31"/>
  <c r="J52" i="31"/>
  <c r="L52" i="31"/>
  <c r="N52" i="31"/>
  <c r="P36" i="31"/>
  <c r="P32" i="31" s="1"/>
  <c r="P40" i="31"/>
  <c r="O42" i="31"/>
  <c r="O52" i="31" s="1"/>
  <c r="P45" i="31"/>
  <c r="P49" i="31"/>
  <c r="H12" i="32"/>
  <c r="H47" i="32" s="1"/>
  <c r="P11" i="13" l="1"/>
  <c r="P26" i="8"/>
  <c r="O11" i="8"/>
  <c r="O52" i="8" s="1"/>
  <c r="P26" i="6"/>
  <c r="P11" i="6" s="1"/>
  <c r="P52" i="6" s="1"/>
  <c r="O11" i="6"/>
  <c r="O52" i="6" s="1"/>
  <c r="P52" i="31"/>
  <c r="P11" i="29"/>
  <c r="P11" i="16"/>
  <c r="P52" i="16" s="1"/>
  <c r="P50" i="15"/>
  <c r="P11" i="14"/>
  <c r="P52" i="14" s="1"/>
  <c r="P52" i="13"/>
  <c r="P11" i="10"/>
  <c r="P52" i="10" s="1"/>
  <c r="P11" i="12"/>
  <c r="P52" i="12" s="1"/>
  <c r="P11" i="18"/>
  <c r="P11" i="9"/>
  <c r="P52" i="9" s="1"/>
  <c r="P11" i="8"/>
  <c r="P11" i="7"/>
  <c r="P50" i="7" s="1"/>
  <c r="P42" i="30"/>
  <c r="P33" i="29"/>
  <c r="O11" i="29"/>
  <c r="O52" i="29" s="1"/>
  <c r="P45" i="27"/>
  <c r="P21" i="26"/>
  <c r="P11" i="26" s="1"/>
  <c r="P52" i="26" s="1"/>
  <c r="P21" i="30"/>
  <c r="P32" i="30"/>
  <c r="P52" i="30" s="1"/>
  <c r="P11" i="30"/>
  <c r="P12" i="28"/>
  <c r="P26" i="26"/>
  <c r="P33" i="25"/>
  <c r="P18" i="25"/>
  <c r="P26" i="24"/>
  <c r="P31" i="23"/>
  <c r="P21" i="22"/>
  <c r="P11" i="22" s="1"/>
  <c r="P52" i="22" s="1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11" i="24" s="1"/>
  <c r="P52" i="24" s="1"/>
  <c r="P33" i="21"/>
  <c r="P21" i="28"/>
  <c r="P31" i="27"/>
  <c r="P50" i="27" s="1"/>
  <c r="H52" i="25"/>
  <c r="P21" i="21"/>
  <c r="P11" i="21" s="1"/>
  <c r="P52" i="21" s="1"/>
  <c r="P21" i="19"/>
  <c r="P11" i="19" s="1"/>
  <c r="P50" i="19" s="1"/>
  <c r="P12" i="23"/>
  <c r="P11" i="23" s="1"/>
  <c r="P11" i="20"/>
  <c r="P52" i="20" s="1"/>
  <c r="P52" i="17"/>
  <c r="P50" i="11"/>
  <c r="P33" i="8"/>
  <c r="P21" i="7"/>
  <c r="P47" i="6"/>
  <c r="P52" i="29" l="1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<sst xmlns="http://schemas.openxmlformats.org/spreadsheetml/2006/main" count="2040" uniqueCount="173">
  <si>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</si>
  <si>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</si>
  <si>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</si>
  <si>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</si>
  <si>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</si>
  <si>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</si>
  <si>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</si>
  <si>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</si>
  <si>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</si>
  <si>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</si>
  <si>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</si>
  <si>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</si>
  <si>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</si>
  <si>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</si>
  <si>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</si>
  <si>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</si>
  <si>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</si>
  <si>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</si>
  <si>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</si>
  <si>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</si>
  <si>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</si>
  <si>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</si>
  <si>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</si>
  <si>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</si>
  <si>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</si>
  <si>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</si>
  <si>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</si>
  <si>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</si>
  <si>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</si>
  <si>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</si>
  <si>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</si>
  <si>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</si>
  <si>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</si>
  <si>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</si>
  <si>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</si>
  <si>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</si>
  <si>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</si>
  <si>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</si>
  <si>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</si>
  <si>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</si>
  <si>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</si>
  <si>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</si>
  <si>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</si>
  <si>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</si>
  <si>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</si>
  <si>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</si>
  <si>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</si>
  <si>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</si>
  <si>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</si>
  <si>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</si>
  <si>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</si>
  <si>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</si>
  <si>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</si>
  <si>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</si>
  <si>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</si>
  <si>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</si>
  <si>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</si>
  <si>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</si>
  <si>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</si>
  <si>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</si>
  <si>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</si>
  <si>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</si>
  <si>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</si>
  <si>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</si>
  <si>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</si>
  <si>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</si>
  <si>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</si>
  <si>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</si>
  <si>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</si>
  <si>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</si>
  <si>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</si>
  <si>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</si>
  <si>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</si>
  <si>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</si>
  <si>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</si>
  <si>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</si>
  <si>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</si>
  <si>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</si>
  <si>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</si>
  <si>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</si>
  <si>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</si>
  <si>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</si>
  <si>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</si>
  <si>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</si>
  <si>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</si>
  <si>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</si>
  <si>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</si>
  <si>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</si>
  <si>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</si>
  <si>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</si>
  <si>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</si>
  <si>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</si>
  <si>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</si>
  <si>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</si>
  <si>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</si>
  <si>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</si>
  <si>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</si>
  <si>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</si>
  <si>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</si>
  <si>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</si>
  <si>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</si>
  <si>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</si>
  <si>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</si>
  <si>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</si>
  <si>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</si>
  <si>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</si>
  <si>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</si>
  <si>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</si>
  <si>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</si>
  <si>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</si>
  <si>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</si>
  <si>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</si>
  <si>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</si>
  <si>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</si>
  <si>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</si>
  <si>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</si>
  <si>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</si>
  <si>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</si>
  <si>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</si>
  <si>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</si>
  <si>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</si>
  <si>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</si>
  <si>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</si>
  <si>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</si>
  <si>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</si>
  <si>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</si>
  <si>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</si>
  <si>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</si>
  <si>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</si>
  <si>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</si>
  <si>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</si>
  <si>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</si>
  <si>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</si>
  <si>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</si>
  <si>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</si>
  <si>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</si>
  <si>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</si>
  <si>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</si>
  <si>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</si>
  <si>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</si>
  <si>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</si>
  <si>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</si>
  <si>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</si>
  <si>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</si>
  <si>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</si>
  <si>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</si>
  <si>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</si>
  <si>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</si>
  <si>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</si>
  <si>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</si>
  <si>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</si>
  <si>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</si>
  <si>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</si>
  <si>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</si>
  <si>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</si>
  <si>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</si>
  <si>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</si>
  <si>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</si>
  <si>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</si>
  <si>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</si>
  <si>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</si>
  <si>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</si>
  <si>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</si>
  <si>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</si>
  <si>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</si>
  <si>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</si>
  <si>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</si>
  <si>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</si>
  <si>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</si>
  <si>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</si>
  <si>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</si>
  <si>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</si>
  <si>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(令和８年１月分)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</si>
</sst>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J25"/>
  <sheetViews>
    <sheetView showGridLines="0" topLeftCell="A16" zoomScaleNormal="100" workbookViewId="0">
      <selection activeCell="F25" sqref="F2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9" width="16" style="2" customWidth="1"/>
    <col min="10" max="10" width="4.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1540</v>
      </c>
      <c r="E12" s="3"/>
      <c r="F12" s="3"/>
      <c r="G12" s="48">
        <v>1524</v>
      </c>
    </row>
    <row r="13" spans="1:10" ht="24.75" customHeight="1">
      <c r="C13" s="46" t="s">
        <v>13</v>
      </c>
      <c r="D13" s="47">
        <v>1112</v>
      </c>
      <c r="E13" s="3"/>
      <c r="F13" s="3"/>
      <c r="G13" s="48">
        <v>1126</v>
      </c>
    </row>
    <row r="14" spans="1:10" ht="24.75" customHeight="1">
      <c r="C14" s="46" t="s">
        <v>14</v>
      </c>
      <c r="D14" s="47">
        <v>595</v>
      </c>
      <c r="E14" s="3"/>
      <c r="F14" s="3"/>
      <c r="G14" s="48">
        <v>596</v>
      </c>
    </row>
    <row r="15" spans="1:10" ht="24.75" customHeight="1">
      <c r="C15" s="46" t="s">
        <v>15</v>
      </c>
      <c r="D15" s="47">
        <v>10</v>
      </c>
      <c r="E15" s="3"/>
      <c r="F15" s="3"/>
      <c r="G15" s="48">
        <v>10</v>
      </c>
    </row>
    <row r="16" spans="1:10" ht="24.75" customHeight="1">
      <c r="C16" s="46" t="s">
        <v>16</v>
      </c>
      <c r="D16" s="47">
        <v>25</v>
      </c>
      <c r="E16" s="3"/>
      <c r="F16" s="3"/>
      <c r="G16" s="48">
        <v>25</v>
      </c>
    </row>
    <row r="17" spans="2:9" ht="24.75" customHeight="1">
      <c r="C17" s="49" t="s">
        <v>17</v>
      </c>
      <c r="D17" s="50">
        <f>SUM(D12:D14)</f>
        <v>3247</v>
      </c>
      <c r="E17" s="50">
        <v>12</v>
      </c>
      <c r="F17" s="50">
        <v>13</v>
      </c>
      <c r="G17" s="51">
        <f>SUM(G12:G14)</f>
        <v>3246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0</v>
      </c>
      <c r="E22" s="47">
        <v>0</v>
      </c>
      <c r="F22" s="47">
        <v>11</v>
      </c>
      <c r="G22" s="47">
        <v>0</v>
      </c>
      <c r="H22" s="47">
        <v>1</v>
      </c>
      <c r="I22" s="53">
        <f>SUM(D22:H22)</f>
        <v>12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2</v>
      </c>
      <c r="E24" s="57">
        <v>0</v>
      </c>
      <c r="F24" s="57">
        <v>11</v>
      </c>
      <c r="G24" s="57">
        <v>0</v>
      </c>
      <c r="H24" s="57">
        <v>0</v>
      </c>
      <c r="I24" s="51">
        <f>SUM(D24:H24)</f>
        <v>13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topLeftCell="G7" zoomScale="75" zoomScaleNormal="75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4</v>
      </c>
      <c r="O12" s="304"/>
      <c r="P12" s="305">
        <f>SUM(D12:O12)</f>
        <v>4</v>
      </c>
      <c r="Q12" s="306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1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6</v>
      </c>
      <c r="E15" s="74">
        <v>6</v>
      </c>
      <c r="F15" s="74">
        <v>6</v>
      </c>
      <c r="G15" s="74">
        <v>6</v>
      </c>
      <c r="H15" s="75">
        <v>0</v>
      </c>
      <c r="I15" s="75">
        <v>0</v>
      </c>
      <c r="J15" s="75">
        <v>0</v>
      </c>
      <c r="K15" s="75">
        <v>0</v>
      </c>
      <c r="L15" s="75">
        <v>4</v>
      </c>
      <c r="M15" s="75">
        <v>4</v>
      </c>
      <c r="N15" s="75">
        <v>8</v>
      </c>
      <c r="O15" s="75">
        <v>8</v>
      </c>
      <c r="P15" s="76">
        <f t="shared" si="0"/>
        <v>24</v>
      </c>
      <c r="Q15" s="77">
        <f t="shared" si="0"/>
        <v>24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2</v>
      </c>
      <c r="O16" s="70">
        <v>2</v>
      </c>
      <c r="P16" s="71">
        <f t="shared" si="0"/>
        <v>2</v>
      </c>
      <c r="Q16" s="72">
        <f t="shared" si="0"/>
        <v>2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14</v>
      </c>
      <c r="E17" s="74">
        <v>14</v>
      </c>
      <c r="F17" s="74">
        <v>7</v>
      </c>
      <c r="G17" s="74">
        <v>7</v>
      </c>
      <c r="H17" s="74">
        <v>0</v>
      </c>
      <c r="I17" s="74">
        <v>0</v>
      </c>
      <c r="J17" s="74">
        <v>0</v>
      </c>
      <c r="K17" s="74">
        <v>0</v>
      </c>
      <c r="L17" s="74">
        <v>9</v>
      </c>
      <c r="M17" s="74">
        <v>9</v>
      </c>
      <c r="N17" s="74">
        <v>9</v>
      </c>
      <c r="O17" s="74">
        <v>9</v>
      </c>
      <c r="P17" s="76">
        <f t="shared" si="0"/>
        <v>39</v>
      </c>
      <c r="Q17" s="77">
        <f t="shared" si="0"/>
        <v>39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1</v>
      </c>
      <c r="G18" s="69">
        <v>1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2</v>
      </c>
      <c r="O18" s="70">
        <v>2</v>
      </c>
      <c r="P18" s="71">
        <f t="shared" si="0"/>
        <v>3</v>
      </c>
      <c r="Q18" s="72">
        <f t="shared" si="0"/>
        <v>3</v>
      </c>
    </row>
    <row r="19" spans="1:18" ht="24.75" customHeight="1">
      <c r="C19" s="73" t="s">
        <v>42</v>
      </c>
      <c r="D19" s="74">
        <v>17</v>
      </c>
      <c r="E19" s="74">
        <v>17</v>
      </c>
      <c r="F19" s="74">
        <v>8</v>
      </c>
      <c r="G19" s="74">
        <v>8</v>
      </c>
      <c r="H19" s="75">
        <v>0</v>
      </c>
      <c r="I19" s="75">
        <v>0</v>
      </c>
      <c r="J19" s="75">
        <v>0</v>
      </c>
      <c r="K19" s="75">
        <v>0</v>
      </c>
      <c r="L19" s="75">
        <v>8</v>
      </c>
      <c r="M19" s="75">
        <v>8</v>
      </c>
      <c r="N19" s="75">
        <v>22</v>
      </c>
      <c r="O19" s="75">
        <v>21</v>
      </c>
      <c r="P19" s="76">
        <f t="shared" si="0"/>
        <v>55</v>
      </c>
      <c r="Q19" s="77">
        <f t="shared" si="0"/>
        <v>54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71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5</v>
      </c>
      <c r="E21" s="83">
        <v>5</v>
      </c>
      <c r="F21" s="83">
        <v>2</v>
      </c>
      <c r="G21" s="83">
        <v>2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3</v>
      </c>
      <c r="O21" s="84">
        <v>4</v>
      </c>
      <c r="P21" s="85">
        <f t="shared" si="0"/>
        <v>10</v>
      </c>
      <c r="Q21" s="86">
        <f t="shared" si="0"/>
        <v>11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14"/>
  <pageMargins left="0.7" right="0.7" top="0.7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topLeftCell="G1" zoomScale="90" zoomScaleNormal="9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0</v>
      </c>
      <c r="O12" s="304"/>
      <c r="P12" s="305">
        <f>SUM(D12:O12)</f>
        <v>0</v>
      </c>
      <c r="Q12" s="306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107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107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108">
        <f t="shared" si="0"/>
        <v>0</v>
      </c>
      <c r="Q19" s="77">
        <f t="shared" si="0"/>
        <v>0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14"/>
  <pageMargins left="0.7" right="0.7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.5" style="2" customWidth="1"/>
    <col min="4" max="6" width="16" style="2" customWidth="1"/>
    <col min="7" max="7" width="4.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172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topLeftCell="D1" zoomScaleNormal="100" workbookViewId="0">
      <selection activeCell="K39" sqref="K39"/>
    </sheetView>
  </sheetViews>
  <sheetFormatPr defaultColWidth="10" defaultRowHeight="12" customHeight="1"/>
  <cols>
    <col min="1" max="1" width="3.125" style="24" customWidth="1"/>
    <col min="2" max="2" width="2.5" style="24" customWidth="1"/>
    <col min="3" max="3" width="23.125" style="24" customWidth="1"/>
    <col min="4" max="14" width="16" style="24" customWidth="1"/>
    <col min="15" max="15" width="4.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172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17</v>
      </c>
      <c r="E12" s="120">
        <v>43</v>
      </c>
      <c r="F12" s="121">
        <f>SUM(D12:E12)</f>
        <v>60</v>
      </c>
      <c r="G12" s="122"/>
      <c r="H12" s="120">
        <v>35</v>
      </c>
      <c r="I12" s="120">
        <v>73</v>
      </c>
      <c r="J12" s="120">
        <v>53</v>
      </c>
      <c r="K12" s="120">
        <v>24</v>
      </c>
      <c r="L12" s="120">
        <v>11</v>
      </c>
      <c r="M12" s="121">
        <f>SUM(G12:L12)</f>
        <v>196</v>
      </c>
      <c r="N12" s="123">
        <f>F12+M12</f>
        <v>256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1</v>
      </c>
      <c r="F13" s="121">
        <f>SUM(D13:E13)</f>
        <v>1</v>
      </c>
      <c r="G13" s="122"/>
      <c r="H13" s="120">
        <v>0</v>
      </c>
      <c r="I13" s="120">
        <v>0</v>
      </c>
      <c r="J13" s="120">
        <v>1</v>
      </c>
      <c r="K13" s="120">
        <v>0</v>
      </c>
      <c r="L13" s="120">
        <v>1</v>
      </c>
      <c r="M13" s="121">
        <f>SUM(G13:L13)</f>
        <v>2</v>
      </c>
      <c r="N13" s="124">
        <f>F13+M13</f>
        <v>3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17</v>
      </c>
      <c r="E14" s="126">
        <f>SUM(E12:E13)</f>
        <v>44</v>
      </c>
      <c r="F14" s="127">
        <f>SUM(D14:E14)</f>
        <v>61</v>
      </c>
      <c r="G14" s="128"/>
      <c r="H14" s="129">
        <f t="shared" ref="H14:M14" si="0">SUM(H12:H13)</f>
        <v>35</v>
      </c>
      <c r="I14" s="129">
        <f t="shared" si="0"/>
        <v>73</v>
      </c>
      <c r="J14" s="129">
        <f t="shared" si="0"/>
        <v>54</v>
      </c>
      <c r="K14" s="129">
        <f t="shared" si="0"/>
        <v>24</v>
      </c>
      <c r="L14" s="129">
        <f t="shared" si="0"/>
        <v>12</v>
      </c>
      <c r="M14" s="127">
        <f t="shared" si="0"/>
        <v>198</v>
      </c>
      <c r="N14" s="130">
        <f>F14+M14</f>
        <v>259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2</v>
      </c>
      <c r="F19" s="121">
        <f>SUM(D19:E19)</f>
        <v>2</v>
      </c>
      <c r="G19" s="133"/>
      <c r="H19" s="120">
        <v>8</v>
      </c>
      <c r="I19" s="120">
        <v>8</v>
      </c>
      <c r="J19" s="120">
        <v>17</v>
      </c>
      <c r="K19" s="120">
        <v>12</v>
      </c>
      <c r="L19" s="120">
        <v>7</v>
      </c>
      <c r="M19" s="121">
        <f>SUM(G19:L19)</f>
        <v>52</v>
      </c>
      <c r="N19" s="123">
        <f>F19+M19</f>
        <v>54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2</v>
      </c>
      <c r="F21" s="126">
        <f>SUM(D21:E21)</f>
        <v>2</v>
      </c>
      <c r="G21" s="135"/>
      <c r="H21" s="126">
        <f t="shared" ref="H21:M21" si="1">SUM(H19:H20)</f>
        <v>8</v>
      </c>
      <c r="I21" s="126">
        <f t="shared" si="1"/>
        <v>8</v>
      </c>
      <c r="J21" s="126">
        <f t="shared" si="1"/>
        <v>17</v>
      </c>
      <c r="K21" s="126">
        <f t="shared" si="1"/>
        <v>12</v>
      </c>
      <c r="L21" s="126">
        <f t="shared" si="1"/>
        <v>7</v>
      </c>
      <c r="M21" s="126">
        <f t="shared" si="1"/>
        <v>52</v>
      </c>
      <c r="N21" s="136">
        <f>F21+M21</f>
        <v>54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1</v>
      </c>
      <c r="H26" s="144">
        <f t="shared" si="2"/>
        <v>3</v>
      </c>
      <c r="I26" s="144">
        <f t="shared" si="2"/>
        <v>24</v>
      </c>
      <c r="J26" s="144">
        <f t="shared" si="2"/>
        <v>21</v>
      </c>
      <c r="K26" s="144">
        <f t="shared" si="2"/>
        <v>20</v>
      </c>
      <c r="L26" s="145">
        <f t="shared" si="2"/>
        <v>69</v>
      </c>
      <c r="M26" s="146">
        <f t="shared" ref="M26:M38" si="3">F26+L26</f>
        <v>69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1</v>
      </c>
      <c r="H27" s="148">
        <v>3</v>
      </c>
      <c r="I27" s="148">
        <v>24</v>
      </c>
      <c r="J27" s="148">
        <v>21</v>
      </c>
      <c r="K27" s="148">
        <v>20</v>
      </c>
      <c r="L27" s="121">
        <f>SUM(G27:K27)</f>
        <v>69</v>
      </c>
      <c r="M27" s="124">
        <f t="shared" si="3"/>
        <v>69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1</v>
      </c>
      <c r="H29" s="144">
        <f t="shared" si="4"/>
        <v>12</v>
      </c>
      <c r="I29" s="144">
        <f t="shared" si="4"/>
        <v>17</v>
      </c>
      <c r="J29" s="144">
        <f t="shared" si="4"/>
        <v>24</v>
      </c>
      <c r="K29" s="144">
        <f t="shared" si="4"/>
        <v>9</v>
      </c>
      <c r="L29" s="144">
        <f t="shared" si="4"/>
        <v>63</v>
      </c>
      <c r="M29" s="123">
        <f t="shared" si="3"/>
        <v>63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1</v>
      </c>
      <c r="H30" s="120">
        <v>12</v>
      </c>
      <c r="I30" s="120">
        <v>16</v>
      </c>
      <c r="J30" s="120">
        <v>24</v>
      </c>
      <c r="K30" s="120">
        <v>9</v>
      </c>
      <c r="L30" s="121">
        <f>SUM(G30:K30)</f>
        <v>62</v>
      </c>
      <c r="M30" s="123">
        <f t="shared" si="3"/>
        <v>62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2</v>
      </c>
      <c r="H38" s="153">
        <v>15</v>
      </c>
      <c r="I38" s="153">
        <v>41</v>
      </c>
      <c r="J38" s="153">
        <v>45</v>
      </c>
      <c r="K38" s="153">
        <v>29</v>
      </c>
      <c r="L38" s="126">
        <f>SUM(G38:K38)</f>
        <v>132</v>
      </c>
      <c r="M38" s="136">
        <f t="shared" si="3"/>
        <v>132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A13" zoomScale="75" zoomScaleNormal="75" workbookViewId="0">
      <selection activeCell="N30" sqref="N30"/>
    </sheetView>
  </sheetViews>
  <sheetFormatPr defaultColWidth="10" defaultRowHeight="12" customHeight="1"/>
  <cols>
    <col min="1" max="4" width="4.25" style="8" customWidth="1"/>
    <col min="5" max="5" width="37.5" style="8" customWidth="1"/>
    <col min="6" max="8" width="16" style="8" customWidth="1"/>
    <col min="9" max="9" width="13.875" style="8" customWidth="1"/>
    <col min="10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1</v>
      </c>
      <c r="K11" s="167">
        <f>SUM(K12,K18,K21,K26,K30,K31)</f>
        <v>1</v>
      </c>
      <c r="L11" s="166">
        <f>SUM(L12,L18,L21,L26,L30,L31)</f>
        <v>1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3</v>
      </c>
      <c r="P11" s="170">
        <f>P12+P18+P21+P26+P30+P31</f>
        <v>3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1</v>
      </c>
      <c r="K26" s="174">
        <f t="shared" si="3"/>
        <v>1</v>
      </c>
      <c r="L26" s="174">
        <f t="shared" si="3"/>
        <v>1</v>
      </c>
      <c r="M26" s="174">
        <f t="shared" si="3"/>
        <v>0</v>
      </c>
      <c r="N26" s="175">
        <f t="shared" si="3"/>
        <v>0</v>
      </c>
      <c r="O26" s="174">
        <f t="shared" si="3"/>
        <v>3</v>
      </c>
      <c r="P26" s="178">
        <f t="shared" si="3"/>
        <v>3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1</v>
      </c>
      <c r="K28" s="191">
        <v>1</v>
      </c>
      <c r="L28" s="191">
        <v>1</v>
      </c>
      <c r="M28" s="191">
        <v>0</v>
      </c>
      <c r="N28" s="192">
        <v>0</v>
      </c>
      <c r="O28" s="174">
        <f t="shared" si="5"/>
        <v>3</v>
      </c>
      <c r="P28" s="178">
        <f t="shared" si="6"/>
        <v>3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1</v>
      </c>
      <c r="K52" s="235">
        <f>SUM(K11,K32,K33,K47)</f>
        <v>1</v>
      </c>
      <c r="L52" s="235">
        <f>SUM(L11,L32,L33,L47)</f>
        <v>1</v>
      </c>
      <c r="M52" s="235">
        <f>SUM(M11,M32,M33,M47)</f>
        <v>0</v>
      </c>
      <c r="N52" s="235">
        <f>SUM(N11,N32,N33,N47)</f>
        <v>0</v>
      </c>
      <c r="O52" s="235">
        <f>O11+O32+O33+O47</f>
        <v>3</v>
      </c>
      <c r="P52" s="237">
        <f>P11+P32+P33+P47</f>
        <v>3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P10"/>
    <mergeCell ref="C10:E10"/>
    <mergeCell ref="D34:E34"/>
  </mergeCells>
  <phoneticPr fontId="14"/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zoomScaleNormal="100" workbookViewId="0">
      <selection activeCell="A6" sqref="A6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H1" zoomScaleNormal="100" workbookViewId="0">
      <selection activeCell="M31" sqref="M31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33900</v>
      </c>
      <c r="K11" s="167">
        <f>SUM(K12,K18,K21,K26,K30,K31)</f>
        <v>33990</v>
      </c>
      <c r="L11" s="167">
        <f>SUM(L12,L18,L21,L26,L30,L31)</f>
        <v>26565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94455</v>
      </c>
      <c r="P11" s="170">
        <f>P12+P18+P21+P26+P30+P31</f>
        <v>94455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33900</v>
      </c>
      <c r="K26" s="174">
        <f t="shared" si="3"/>
        <v>33990</v>
      </c>
      <c r="L26" s="174">
        <f t="shared" si="3"/>
        <v>26565</v>
      </c>
      <c r="M26" s="174">
        <f t="shared" si="3"/>
        <v>0</v>
      </c>
      <c r="N26" s="175">
        <f t="shared" si="3"/>
        <v>0</v>
      </c>
      <c r="O26" s="174">
        <f t="shared" si="3"/>
        <v>94455</v>
      </c>
      <c r="P26" s="178">
        <f t="shared" si="3"/>
        <v>94455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33900</v>
      </c>
      <c r="K28" s="191">
        <v>33990</v>
      </c>
      <c r="L28" s="191">
        <v>26565</v>
      </c>
      <c r="M28" s="191">
        <v>0</v>
      </c>
      <c r="N28" s="192">
        <v>0</v>
      </c>
      <c r="O28" s="174">
        <f t="shared" si="5"/>
        <v>94455</v>
      </c>
      <c r="P28" s="178">
        <f t="shared" si="6"/>
        <v>94455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33900</v>
      </c>
      <c r="K52" s="235">
        <f>SUM(K11,K32,K33,K47)</f>
        <v>33990</v>
      </c>
      <c r="L52" s="235">
        <f>SUM(L11,L32,L33,L47)</f>
        <v>26565</v>
      </c>
      <c r="M52" s="235">
        <f>SUM(M11,M32,M33,M47)</f>
        <v>0</v>
      </c>
      <c r="N52" s="235">
        <f>SUM(N11,N32,N33,N47)</f>
        <v>0</v>
      </c>
      <c r="O52" s="235">
        <f>O11+O32+O33+O47</f>
        <v>94455</v>
      </c>
      <c r="P52" s="237">
        <f>P11+P32+P33+P47</f>
        <v>94455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A13" zoomScale="75" zoomScaleNormal="75" workbookViewId="0">
      <selection activeCell="J28" sqref="J28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30510</v>
      </c>
      <c r="K11" s="167">
        <f t="shared" si="0"/>
        <v>30591</v>
      </c>
      <c r="L11" s="167">
        <f t="shared" si="0"/>
        <v>23908</v>
      </c>
      <c r="M11" s="167">
        <f t="shared" si="0"/>
        <v>0</v>
      </c>
      <c r="N11" s="167">
        <f t="shared" si="0"/>
        <v>0</v>
      </c>
      <c r="O11" s="166">
        <f t="shared" si="0"/>
        <v>85009</v>
      </c>
      <c r="P11" s="170">
        <f t="shared" si="0"/>
        <v>85009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30510</v>
      </c>
      <c r="K26" s="174">
        <f t="shared" si="4"/>
        <v>30591</v>
      </c>
      <c r="L26" s="174">
        <f t="shared" si="4"/>
        <v>23908</v>
      </c>
      <c r="M26" s="174">
        <f t="shared" si="4"/>
        <v>0</v>
      </c>
      <c r="N26" s="175">
        <f t="shared" si="4"/>
        <v>0</v>
      </c>
      <c r="O26" s="174">
        <f t="shared" si="4"/>
        <v>85009</v>
      </c>
      <c r="P26" s="178">
        <f t="shared" si="4"/>
        <v>85009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5"/>
        <v>0</v>
      </c>
      <c r="I28" s="193"/>
      <c r="J28" s="192">
        <v>30510</v>
      </c>
      <c r="K28" s="191">
        <v>30591</v>
      </c>
      <c r="L28" s="191">
        <v>23908</v>
      </c>
      <c r="M28" s="191">
        <v>0</v>
      </c>
      <c r="N28" s="192">
        <v>0</v>
      </c>
      <c r="O28" s="174">
        <f t="shared" si="6"/>
        <v>85009</v>
      </c>
      <c r="P28" s="178">
        <f t="shared" si="7"/>
        <v>85009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5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6"/>
        <v>0</v>
      </c>
      <c r="P29" s="178">
        <f t="shared" si="7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30510</v>
      </c>
      <c r="K52" s="235">
        <f>SUM(K11,K32,K33,K47)</f>
        <v>30591</v>
      </c>
      <c r="L52" s="235">
        <f>SUM(L11,L32,L33,L47)</f>
        <v>23908</v>
      </c>
      <c r="M52" s="235">
        <f>SUM(M11,M32,M33,M47)</f>
        <v>0</v>
      </c>
      <c r="N52" s="235">
        <f>SUM(N11,N32,N33,N47)</f>
        <v>0</v>
      </c>
      <c r="O52" s="235">
        <f>O11+O32+O33+O47</f>
        <v>85009</v>
      </c>
      <c r="P52" s="237">
        <f>P11+P32+P33+P47</f>
        <v>85009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H16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topLeftCell="A10" zoomScale="60" zoomScaleNormal="100" workbookViewId="0">
      <selection activeCell="A6" sqref="A6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G13" zoomScaleNormal="100" workbookViewId="0">
      <selection activeCell="A6" sqref="A6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G13" zoomScaleNormal="100" workbookViewId="0">
      <selection activeCell="A6" sqref="A6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7.25" customHeight="1"/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6" sqref="A6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D44:E44"/>
    <mergeCell ref="C50:E50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topLeftCell="A4" zoomScale="60" zoomScaleNormal="100" workbookViewId="0">
      <selection activeCell="A6" sqref="A6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topLeftCell="A7" zoomScale="60" zoomScaleNormal="100" workbookViewId="0">
      <selection activeCell="A6" sqref="A6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6" sqref="A6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topLeftCell="A4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4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showGridLines="0" tabSelected="1" zoomScaleNormal="100" workbookViewId="0">
      <selection activeCell="A6" sqref="A6"/>
    </sheetView>
  </sheetViews>
  <sheetFormatPr defaultColWidth="10" defaultRowHeight="12.75" customHeight="1"/>
  <cols>
    <col min="1" max="4" width="3.25" style="6" customWidth="1"/>
    <col min="5" max="5" width="16" style="6" customWidth="1"/>
    <col min="6" max="7" width="18.125" style="6" customWidth="1"/>
    <col min="8" max="8" width="18.125" style="1" customWidth="1"/>
    <col min="9" max="9" width="16" style="1" customWidth="1"/>
    <col min="10" max="10" width="4.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77"/>
    </row>
    <row r="4" spans="1:10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13"/>
      <c r="E10" s="315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6</v>
      </c>
      <c r="G11" s="279">
        <f>SUM(G16+G21+G26)</f>
        <v>2</v>
      </c>
      <c r="H11" s="280">
        <f>SUM(F11,G11)</f>
        <v>8</v>
      </c>
      <c r="I11" s="281"/>
      <c r="J11" s="277"/>
    </row>
    <row r="12" spans="1:10" s="8" customFormat="1" ht="16.5" customHeight="1">
      <c r="D12" s="319" t="s">
        <v>152</v>
      </c>
      <c r="E12" s="321"/>
      <c r="F12" s="282">
        <f>SUM(F17+F22+F27)</f>
        <v>59646</v>
      </c>
      <c r="G12" s="282">
        <f>SUM(G17+G22+G27)</f>
        <v>84107</v>
      </c>
      <c r="H12" s="86">
        <f>SUM(F12,G12)</f>
        <v>143753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13"/>
      <c r="E15" s="315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9" t="s">
        <v>152</v>
      </c>
      <c r="E17" s="321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13"/>
      <c r="E20" s="315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9" t="s">
        <v>152</v>
      </c>
      <c r="E22" s="321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13"/>
      <c r="E25" s="315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6</v>
      </c>
      <c r="G26" s="209">
        <v>2</v>
      </c>
      <c r="H26" s="280">
        <f>SUM(F26,G26)</f>
        <v>8</v>
      </c>
      <c r="I26" s="283"/>
    </row>
    <row r="27" spans="4:10" s="197" customFormat="1" ht="16.5" customHeight="1">
      <c r="D27" s="319" t="s">
        <v>152</v>
      </c>
      <c r="E27" s="321"/>
      <c r="F27" s="83">
        <v>59646</v>
      </c>
      <c r="G27" s="83">
        <v>84107</v>
      </c>
      <c r="H27" s="86">
        <f>SUM(F27,G27)</f>
        <v>143753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13"/>
      <c r="E30" s="315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16</v>
      </c>
      <c r="G31" s="209">
        <v>53</v>
      </c>
      <c r="H31" s="280">
        <f>SUM(F31,G31)</f>
        <v>69</v>
      </c>
      <c r="I31" s="281"/>
      <c r="J31" s="277"/>
    </row>
    <row r="32" spans="4:10" s="8" customFormat="1" ht="16.5" customHeight="1">
      <c r="D32" s="319" t="s">
        <v>152</v>
      </c>
      <c r="E32" s="321"/>
      <c r="F32" s="83">
        <v>209811</v>
      </c>
      <c r="G32" s="83">
        <v>534427</v>
      </c>
      <c r="H32" s="86">
        <f>SUM(F32,G32)</f>
        <v>744238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13"/>
      <c r="E35" s="315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11</v>
      </c>
      <c r="G36" s="209">
        <v>75</v>
      </c>
      <c r="H36" s="280">
        <f>SUM(F36,G36)</f>
        <v>86</v>
      </c>
      <c r="I36" s="281"/>
      <c r="J36" s="277"/>
    </row>
    <row r="37" spans="4:10" s="8" customFormat="1" ht="16.5" customHeight="1">
      <c r="D37" s="319" t="s">
        <v>152</v>
      </c>
      <c r="E37" s="321"/>
      <c r="F37" s="83">
        <v>209814</v>
      </c>
      <c r="G37" s="83">
        <v>1334691</v>
      </c>
      <c r="H37" s="86">
        <f>SUM(F37,G37)</f>
        <v>1544505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13"/>
      <c r="E40" s="315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12</v>
      </c>
      <c r="H41" s="280">
        <f>SUM(F41,G41)</f>
        <v>12</v>
      </c>
      <c r="I41" s="281"/>
      <c r="J41" s="277"/>
    </row>
    <row r="42" spans="4:10" s="8" customFormat="1" ht="16.5" customHeight="1">
      <c r="D42" s="319" t="s">
        <v>152</v>
      </c>
      <c r="E42" s="321"/>
      <c r="F42" s="83">
        <v>0</v>
      </c>
      <c r="G42" s="83">
        <v>201933</v>
      </c>
      <c r="H42" s="86">
        <f>SUM(F42,G42)</f>
        <v>201933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13"/>
      <c r="E45" s="315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33</v>
      </c>
      <c r="G46" s="284">
        <f t="shared" si="0"/>
        <v>142</v>
      </c>
      <c r="H46" s="280">
        <f t="shared" si="0"/>
        <v>175</v>
      </c>
      <c r="I46" s="281"/>
      <c r="J46" s="277"/>
    </row>
    <row r="47" spans="4:10" s="8" customFormat="1" ht="16.5" customHeight="1">
      <c r="D47" s="319" t="s">
        <v>152</v>
      </c>
      <c r="E47" s="321"/>
      <c r="F47" s="85">
        <f t="shared" si="0"/>
        <v>479271</v>
      </c>
      <c r="G47" s="85">
        <f t="shared" si="0"/>
        <v>2155158</v>
      </c>
      <c r="H47" s="86">
        <f t="shared" si="0"/>
        <v>2634429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13"/>
      <c r="E50" s="315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9" t="s">
        <v>152</v>
      </c>
      <c r="E52" s="321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13" t="s">
        <v>151</v>
      </c>
      <c r="E56" s="315"/>
      <c r="F56" s="286">
        <f>SUM(F60,F64,F68)</f>
        <v>0</v>
      </c>
      <c r="J56" s="277"/>
    </row>
    <row r="57" spans="3:10" s="8" customFormat="1" ht="16.5" customHeight="1">
      <c r="D57" s="319" t="s">
        <v>152</v>
      </c>
      <c r="E57" s="321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13" t="s">
        <v>151</v>
      </c>
      <c r="E72" s="315"/>
      <c r="F72" s="288">
        <v>0</v>
      </c>
      <c r="G72" s="14"/>
      <c r="H72" s="14"/>
      <c r="J72" s="277"/>
    </row>
    <row r="73" spans="4:10" s="8" customFormat="1" ht="16.5" customHeight="1">
      <c r="D73" s="319" t="s">
        <v>152</v>
      </c>
      <c r="E73" s="321"/>
      <c r="F73" s="93">
        <v>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13" t="s">
        <v>151</v>
      </c>
      <c r="E76" s="315"/>
      <c r="F76" s="288">
        <v>0</v>
      </c>
      <c r="J76" s="277"/>
    </row>
    <row r="77" spans="4:10" s="8" customFormat="1" ht="16.5" customHeight="1">
      <c r="D77" s="319" t="s">
        <v>152</v>
      </c>
      <c r="E77" s="321"/>
      <c r="F77" s="93">
        <v>0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13" t="s">
        <v>151</v>
      </c>
      <c r="E80" s="315"/>
      <c r="F80" s="288">
        <v>1</v>
      </c>
      <c r="G80" s="14"/>
      <c r="H80" s="14"/>
      <c r="J80" s="277"/>
    </row>
    <row r="81" spans="4:10" s="8" customFormat="1" ht="16.5" customHeight="1">
      <c r="D81" s="319" t="s">
        <v>152</v>
      </c>
      <c r="E81" s="321"/>
      <c r="F81" s="93">
        <v>40548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13" t="s">
        <v>151</v>
      </c>
      <c r="E84" s="315"/>
      <c r="F84" s="286">
        <f>SUM(F56,F72,F76,F80)</f>
        <v>1</v>
      </c>
      <c r="G84" s="1"/>
      <c r="I84" s="6"/>
      <c r="J84" s="277"/>
    </row>
    <row r="85" spans="4:10" ht="16.5" customHeight="1">
      <c r="D85" s="319" t="s">
        <v>152</v>
      </c>
      <c r="E85" s="321"/>
      <c r="F85" s="86">
        <f>SUM(F57,F73,F77,F81)</f>
        <v>40548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46:E46"/>
    <mergeCell ref="D47:E47"/>
    <mergeCell ref="D50:E50"/>
    <mergeCell ref="D51:E51"/>
    <mergeCell ref="D52:E52"/>
    <mergeCell ref="D37:E37"/>
    <mergeCell ref="D40:E40"/>
    <mergeCell ref="D41:E41"/>
    <mergeCell ref="D42:E42"/>
    <mergeCell ref="D45:E45"/>
    <mergeCell ref="D30:E30"/>
    <mergeCell ref="D31:E31"/>
    <mergeCell ref="D32:E32"/>
    <mergeCell ref="D35:E35"/>
    <mergeCell ref="D36:E36"/>
    <mergeCell ref="A3:I3"/>
    <mergeCell ref="A4:I4"/>
    <mergeCell ref="D10:E10"/>
    <mergeCell ref="D11:E11"/>
    <mergeCell ref="D12:E12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Sheet1</vt:lpstr>
      <vt:lpstr>様式２の７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0380</cp:lastModifiedBy>
  <cp:lastPrinted>2026-02-13T01:26:16Z</cp:lastPrinted>
  <dcterms:created xsi:type="dcterms:W3CDTF">2025-05-29T05:56:54Z</dcterms:created>
  <dcterms:modified xsi:type="dcterms:W3CDTF">2026-02-13T01:32:46Z</dcterms:modified>
</cp:coreProperties>
</file>