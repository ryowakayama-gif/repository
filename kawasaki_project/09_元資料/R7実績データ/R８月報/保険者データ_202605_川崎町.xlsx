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0.157.11.224\保健福祉課\介護保険\大宮こずえ\7 年報・月報●\01介護保険事業報告（月報）\R08\令和８年０５月審査分\"/>
    </mc:Choice>
  </mc:AlternateContent>
  <xr:revisionPtr revIDLastSave="0" documentId="13_ncr:1_{EE67C775-10F5-4AB5-8AD8-41B311968C1E}" xr6:coauthVersionLast="47" xr6:coauthVersionMax="47" xr10:uidLastSave="{00000000-0000-0000-0000-000000000000}"/>
  <bookViews>
    <workbookView xWindow="-108" yWindow="-108" windowWidth="23256" windowHeight="13896" tabRatio="910" firstSheet="23" activeTab="31" xr2:uid="{00000000-000D-0000-FFFF-FFFF00000000}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0" i="32" l="1"/>
  <c r="F79" i="32"/>
  <c r="F52" i="32"/>
  <c r="F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G11" i="32"/>
  <c r="H11" i="32" s="1"/>
  <c r="F11" i="32"/>
  <c r="F46" i="32" s="1"/>
  <c r="L52" i="31"/>
  <c r="G52" i="31"/>
  <c r="N51" i="31"/>
  <c r="H51" i="31"/>
  <c r="O51" i="31" s="1"/>
  <c r="N50" i="31"/>
  <c r="H50" i="31"/>
  <c r="O50" i="31" s="1"/>
  <c r="N49" i="31"/>
  <c r="H49" i="31"/>
  <c r="O49" i="31" s="1"/>
  <c r="N48" i="31"/>
  <c r="O48" i="31" s="1"/>
  <c r="H48" i="31"/>
  <c r="N47" i="31"/>
  <c r="H47" i="31"/>
  <c r="O47" i="31" s="1"/>
  <c r="N46" i="31"/>
  <c r="H46" i="31"/>
  <c r="O46" i="31" s="1"/>
  <c r="N45" i="31"/>
  <c r="H45" i="31"/>
  <c r="O45" i="31" s="1"/>
  <c r="N44" i="31"/>
  <c r="H44" i="31"/>
  <c r="N43" i="31"/>
  <c r="H43" i="31"/>
  <c r="O43" i="31" s="1"/>
  <c r="M42" i="31"/>
  <c r="L42" i="31"/>
  <c r="K42" i="31"/>
  <c r="J42" i="31"/>
  <c r="I42" i="31"/>
  <c r="H42" i="31"/>
  <c r="G42" i="31"/>
  <c r="F42" i="31"/>
  <c r="F52" i="31" s="1"/>
  <c r="N41" i="31"/>
  <c r="H41" i="31"/>
  <c r="O41" i="31" s="1"/>
  <c r="N40" i="31"/>
  <c r="H40" i="31"/>
  <c r="O40" i="31" s="1"/>
  <c r="N39" i="31"/>
  <c r="H39" i="31"/>
  <c r="O39" i="31" s="1"/>
  <c r="O38" i="31"/>
  <c r="N38" i="31"/>
  <c r="H38" i="31"/>
  <c r="N37" i="31"/>
  <c r="H37" i="31"/>
  <c r="O37" i="31" s="1"/>
  <c r="N36" i="31"/>
  <c r="N32" i="31" s="1"/>
  <c r="H36" i="31"/>
  <c r="N35" i="31"/>
  <c r="H35" i="31"/>
  <c r="O35" i="31" s="1"/>
  <c r="O34" i="31"/>
  <c r="N34" i="31"/>
  <c r="H34" i="31"/>
  <c r="H32" i="31" s="1"/>
  <c r="N33" i="31"/>
  <c r="H33" i="31"/>
  <c r="O33" i="31" s="1"/>
  <c r="M32" i="31"/>
  <c r="M52" i="31" s="1"/>
  <c r="L32" i="31"/>
  <c r="K32" i="31"/>
  <c r="K52" i="31" s="1"/>
  <c r="J32" i="31"/>
  <c r="J52" i="31" s="1"/>
  <c r="I32" i="31"/>
  <c r="I52" i="31" s="1"/>
  <c r="G32" i="31"/>
  <c r="F32" i="31"/>
  <c r="O30" i="31"/>
  <c r="N30" i="31"/>
  <c r="H30" i="31"/>
  <c r="O29" i="31"/>
  <c r="N29" i="31"/>
  <c r="H29" i="31"/>
  <c r="N28" i="31"/>
  <c r="H28" i="31"/>
  <c r="O28" i="31" s="1"/>
  <c r="N27" i="31"/>
  <c r="O27" i="31" s="1"/>
  <c r="H27" i="31"/>
  <c r="O26" i="31"/>
  <c r="N26" i="31"/>
  <c r="H26" i="31"/>
  <c r="O25" i="31"/>
  <c r="N25" i="31"/>
  <c r="H25" i="31"/>
  <c r="N24" i="31"/>
  <c r="H24" i="31"/>
  <c r="N23" i="31"/>
  <c r="O23" i="31" s="1"/>
  <c r="H23" i="31"/>
  <c r="O22" i="31"/>
  <c r="N22" i="31"/>
  <c r="H22" i="31"/>
  <c r="M21" i="31"/>
  <c r="L21" i="31"/>
  <c r="K21" i="31"/>
  <c r="J21" i="31"/>
  <c r="I21" i="31"/>
  <c r="G21" i="31"/>
  <c r="F21" i="31"/>
  <c r="N20" i="31"/>
  <c r="H20" i="31"/>
  <c r="O20" i="31" s="1"/>
  <c r="N19" i="31"/>
  <c r="H19" i="31"/>
  <c r="O19" i="31" s="1"/>
  <c r="N18" i="31"/>
  <c r="O18" i="31" s="1"/>
  <c r="H18" i="31"/>
  <c r="N17" i="31"/>
  <c r="H17" i="31"/>
  <c r="O17" i="31" s="1"/>
  <c r="N16" i="31"/>
  <c r="H16" i="31"/>
  <c r="O16" i="31" s="1"/>
  <c r="N15" i="31"/>
  <c r="H15" i="31"/>
  <c r="O15" i="31" s="1"/>
  <c r="N14" i="31"/>
  <c r="H14" i="31"/>
  <c r="N13" i="31"/>
  <c r="H13" i="31"/>
  <c r="O13" i="31" s="1"/>
  <c r="N12" i="31"/>
  <c r="H12" i="31"/>
  <c r="M11" i="31"/>
  <c r="L11" i="31"/>
  <c r="K11" i="31"/>
  <c r="J11" i="31"/>
  <c r="I11" i="31"/>
  <c r="G11" i="31"/>
  <c r="F11" i="31"/>
  <c r="I52" i="30"/>
  <c r="O51" i="30"/>
  <c r="N51" i="30"/>
  <c r="H51" i="30"/>
  <c r="O50" i="30"/>
  <c r="N50" i="30"/>
  <c r="H50" i="30"/>
  <c r="N49" i="30"/>
  <c r="H49" i="30"/>
  <c r="O49" i="30" s="1"/>
  <c r="N48" i="30"/>
  <c r="O48" i="30" s="1"/>
  <c r="H48" i="30"/>
  <c r="O47" i="30"/>
  <c r="N47" i="30"/>
  <c r="H47" i="30"/>
  <c r="O46" i="30"/>
  <c r="N46" i="30"/>
  <c r="H46" i="30"/>
  <c r="N45" i="30"/>
  <c r="H45" i="30"/>
  <c r="N44" i="30"/>
  <c r="O44" i="30" s="1"/>
  <c r="H44" i="30"/>
  <c r="O43" i="30"/>
  <c r="N43" i="30"/>
  <c r="H43" i="30"/>
  <c r="M42" i="30"/>
  <c r="L42" i="30"/>
  <c r="K42" i="30"/>
  <c r="J42" i="30"/>
  <c r="J52" i="30" s="1"/>
  <c r="I42" i="30"/>
  <c r="G42" i="30"/>
  <c r="F42" i="30"/>
  <c r="N41" i="30"/>
  <c r="H41" i="30"/>
  <c r="O41" i="30" s="1"/>
  <c r="N40" i="30"/>
  <c r="H40" i="30"/>
  <c r="O40" i="30" s="1"/>
  <c r="N39" i="30"/>
  <c r="O39" i="30" s="1"/>
  <c r="H39" i="30"/>
  <c r="N38" i="30"/>
  <c r="H38" i="30"/>
  <c r="O38" i="30" s="1"/>
  <c r="N37" i="30"/>
  <c r="H37" i="30"/>
  <c r="O37" i="30" s="1"/>
  <c r="N36" i="30"/>
  <c r="H36" i="30"/>
  <c r="O36" i="30" s="1"/>
  <c r="N35" i="30"/>
  <c r="H35" i="30"/>
  <c r="N34" i="30"/>
  <c r="H34" i="30"/>
  <c r="O34" i="30" s="1"/>
  <c r="N33" i="30"/>
  <c r="H33" i="30"/>
  <c r="M32" i="30"/>
  <c r="M52" i="30" s="1"/>
  <c r="L32" i="30"/>
  <c r="L52" i="30" s="1"/>
  <c r="K32" i="30"/>
  <c r="K52" i="30" s="1"/>
  <c r="J32" i="30"/>
  <c r="I32" i="30"/>
  <c r="G32" i="30"/>
  <c r="G52" i="30" s="1"/>
  <c r="F32" i="30"/>
  <c r="F52" i="30" s="1"/>
  <c r="N30" i="30"/>
  <c r="H30" i="30"/>
  <c r="N29" i="30"/>
  <c r="H29" i="30"/>
  <c r="O29" i="30" s="1"/>
  <c r="O28" i="30"/>
  <c r="N28" i="30"/>
  <c r="H28" i="30"/>
  <c r="N27" i="30"/>
  <c r="O27" i="30" s="1"/>
  <c r="H27" i="30"/>
  <c r="N26" i="30"/>
  <c r="H26" i="30"/>
  <c r="N25" i="30"/>
  <c r="H25" i="30"/>
  <c r="H21" i="30" s="1"/>
  <c r="O24" i="30"/>
  <c r="N24" i="30"/>
  <c r="H24" i="30"/>
  <c r="N23" i="30"/>
  <c r="O23" i="30" s="1"/>
  <c r="H23" i="30"/>
  <c r="N22" i="30"/>
  <c r="H22" i="30"/>
  <c r="O22" i="30" s="1"/>
  <c r="M21" i="30"/>
  <c r="L21" i="30"/>
  <c r="K21" i="30"/>
  <c r="J21" i="30"/>
  <c r="I21" i="30"/>
  <c r="G21" i="30"/>
  <c r="F21" i="30"/>
  <c r="O20" i="30"/>
  <c r="N20" i="30"/>
  <c r="H20" i="30"/>
  <c r="N19" i="30"/>
  <c r="H19" i="30"/>
  <c r="O19" i="30" s="1"/>
  <c r="N18" i="30"/>
  <c r="O18" i="30" s="1"/>
  <c r="H18" i="30"/>
  <c r="O17" i="30"/>
  <c r="N17" i="30"/>
  <c r="H17" i="30"/>
  <c r="O16" i="30"/>
  <c r="N16" i="30"/>
  <c r="H16" i="30"/>
  <c r="N15" i="30"/>
  <c r="H15" i="30"/>
  <c r="O15" i="30" s="1"/>
  <c r="N14" i="30"/>
  <c r="O14" i="30" s="1"/>
  <c r="H14" i="30"/>
  <c r="O13" i="30"/>
  <c r="N13" i="30"/>
  <c r="H13" i="30"/>
  <c r="O12" i="30"/>
  <c r="N12" i="30"/>
  <c r="H12" i="30"/>
  <c r="H11" i="30" s="1"/>
  <c r="N11" i="30"/>
  <c r="M11" i="30"/>
  <c r="L11" i="30"/>
  <c r="K11" i="30"/>
  <c r="J11" i="30"/>
  <c r="I11" i="30"/>
  <c r="G11" i="30"/>
  <c r="F11" i="30"/>
  <c r="K52" i="29"/>
  <c r="N51" i="29"/>
  <c r="H51" i="29"/>
  <c r="O51" i="29" s="1"/>
  <c r="N50" i="29"/>
  <c r="H50" i="29"/>
  <c r="O50" i="29" s="1"/>
  <c r="O49" i="29"/>
  <c r="N49" i="29"/>
  <c r="H49" i="29"/>
  <c r="H47" i="29" s="1"/>
  <c r="N48" i="29"/>
  <c r="O48" i="29" s="1"/>
  <c r="H48" i="29"/>
  <c r="N47" i="29"/>
  <c r="M47" i="29"/>
  <c r="L47" i="29"/>
  <c r="K47" i="29"/>
  <c r="J47" i="29"/>
  <c r="I47" i="29"/>
  <c r="G47" i="29"/>
  <c r="F47" i="29"/>
  <c r="O46" i="29"/>
  <c r="N46" i="29"/>
  <c r="H46" i="29"/>
  <c r="O45" i="29"/>
  <c r="N45" i="29"/>
  <c r="H45" i="29"/>
  <c r="N44" i="29"/>
  <c r="H44" i="29"/>
  <c r="O44" i="29" s="1"/>
  <c r="N43" i="29"/>
  <c r="O43" i="29" s="1"/>
  <c r="H43" i="29"/>
  <c r="O42" i="29"/>
  <c r="N42" i="29"/>
  <c r="H42" i="29"/>
  <c r="O41" i="29"/>
  <c r="N41" i="29"/>
  <c r="H41" i="29"/>
  <c r="N40" i="29"/>
  <c r="H40" i="29"/>
  <c r="O40" i="29" s="1"/>
  <c r="N39" i="29"/>
  <c r="O39" i="29" s="1"/>
  <c r="H39" i="29"/>
  <c r="O38" i="29"/>
  <c r="N38" i="29"/>
  <c r="H38" i="29"/>
  <c r="O37" i="29"/>
  <c r="N37" i="29"/>
  <c r="H37" i="29"/>
  <c r="N36" i="29"/>
  <c r="H36" i="29"/>
  <c r="N35" i="29"/>
  <c r="O35" i="29" s="1"/>
  <c r="H35" i="29"/>
  <c r="O34" i="29"/>
  <c r="N34" i="29"/>
  <c r="H34" i="29"/>
  <c r="M33" i="29"/>
  <c r="L33" i="29"/>
  <c r="K33" i="29"/>
  <c r="J33" i="29"/>
  <c r="I33" i="29"/>
  <c r="G33" i="29"/>
  <c r="F33" i="29"/>
  <c r="N32" i="29"/>
  <c r="H32" i="29"/>
  <c r="O32" i="29" s="1"/>
  <c r="N31" i="29"/>
  <c r="H31" i="29"/>
  <c r="O31" i="29" s="1"/>
  <c r="N30" i="29"/>
  <c r="O30" i="29" s="1"/>
  <c r="H30" i="29"/>
  <c r="N29" i="29"/>
  <c r="H29" i="29"/>
  <c r="O29" i="29" s="1"/>
  <c r="N28" i="29"/>
  <c r="H28" i="29"/>
  <c r="O28" i="29" s="1"/>
  <c r="N27" i="29"/>
  <c r="H27" i="29"/>
  <c r="H26" i="29" s="1"/>
  <c r="N26" i="29"/>
  <c r="M26" i="29"/>
  <c r="L26" i="29"/>
  <c r="K26" i="29"/>
  <c r="J26" i="29"/>
  <c r="I26" i="29"/>
  <c r="G26" i="29"/>
  <c r="F26" i="29"/>
  <c r="N25" i="29"/>
  <c r="H25" i="29"/>
  <c r="H21" i="29" s="1"/>
  <c r="O24" i="29"/>
  <c r="N24" i="29"/>
  <c r="H24" i="29"/>
  <c r="N23" i="29"/>
  <c r="O23" i="29" s="1"/>
  <c r="H23" i="29"/>
  <c r="N22" i="29"/>
  <c r="N21" i="29" s="1"/>
  <c r="H22" i="29"/>
  <c r="M21" i="29"/>
  <c r="L21" i="29"/>
  <c r="K21" i="29"/>
  <c r="J21" i="29"/>
  <c r="I21" i="29"/>
  <c r="G21" i="29"/>
  <c r="F21" i="29"/>
  <c r="O20" i="29"/>
  <c r="N20" i="29"/>
  <c r="H20" i="29"/>
  <c r="N19" i="29"/>
  <c r="N18" i="29" s="1"/>
  <c r="H19" i="29"/>
  <c r="M18" i="29"/>
  <c r="L18" i="29"/>
  <c r="L11" i="29" s="1"/>
  <c r="L52" i="29" s="1"/>
  <c r="K18" i="29"/>
  <c r="J18" i="29"/>
  <c r="I18" i="29"/>
  <c r="I11" i="29" s="1"/>
  <c r="G18" i="29"/>
  <c r="F18" i="29"/>
  <c r="N17" i="29"/>
  <c r="O17" i="29" s="1"/>
  <c r="H17" i="29"/>
  <c r="N16" i="29"/>
  <c r="H16" i="29"/>
  <c r="O16" i="29" s="1"/>
  <c r="N15" i="29"/>
  <c r="H15" i="29"/>
  <c r="O15" i="29" s="1"/>
  <c r="N14" i="29"/>
  <c r="H14" i="29"/>
  <c r="O14" i="29" s="1"/>
  <c r="N13" i="29"/>
  <c r="H13" i="29"/>
  <c r="H12" i="29" s="1"/>
  <c r="M12" i="29"/>
  <c r="M11" i="29" s="1"/>
  <c r="M52" i="29" s="1"/>
  <c r="L12" i="29"/>
  <c r="K12" i="29"/>
  <c r="J12" i="29"/>
  <c r="J11" i="29" s="1"/>
  <c r="J52" i="29" s="1"/>
  <c r="I12" i="29"/>
  <c r="G12" i="29"/>
  <c r="G11" i="29" s="1"/>
  <c r="G52" i="29" s="1"/>
  <c r="F12" i="29"/>
  <c r="F11" i="29" s="1"/>
  <c r="F52" i="29" s="1"/>
  <c r="K11" i="29"/>
  <c r="M52" i="28"/>
  <c r="N51" i="28"/>
  <c r="H51" i="28"/>
  <c r="O51" i="28" s="1"/>
  <c r="N50" i="28"/>
  <c r="O50" i="28" s="1"/>
  <c r="H50" i="28"/>
  <c r="N49" i="28"/>
  <c r="H49" i="28"/>
  <c r="O49" i="28" s="1"/>
  <c r="N48" i="28"/>
  <c r="N47" i="28" s="1"/>
  <c r="H48" i="28"/>
  <c r="M47" i="28"/>
  <c r="L47" i="28"/>
  <c r="K47" i="28"/>
  <c r="J47" i="28"/>
  <c r="I47" i="28"/>
  <c r="G47" i="28"/>
  <c r="F47" i="28"/>
  <c r="N46" i="28"/>
  <c r="O46" i="28" s="1"/>
  <c r="H46" i="28"/>
  <c r="N45" i="28"/>
  <c r="H45" i="28"/>
  <c r="O45" i="28" s="1"/>
  <c r="O44" i="28"/>
  <c r="N44" i="28"/>
  <c r="H44" i="28"/>
  <c r="N43" i="28"/>
  <c r="O43" i="28" s="1"/>
  <c r="H43" i="28"/>
  <c r="N42" i="28"/>
  <c r="O42" i="28" s="1"/>
  <c r="H42" i="28"/>
  <c r="N41" i="28"/>
  <c r="H41" i="28"/>
  <c r="O41" i="28" s="1"/>
  <c r="O40" i="28"/>
  <c r="N40" i="28"/>
  <c r="H40" i="28"/>
  <c r="N39" i="28"/>
  <c r="O39" i="28" s="1"/>
  <c r="H39" i="28"/>
  <c r="N38" i="28"/>
  <c r="O38" i="28" s="1"/>
  <c r="H38" i="28"/>
  <c r="N37" i="28"/>
  <c r="H37" i="28"/>
  <c r="H33" i="28" s="1"/>
  <c r="O36" i="28"/>
  <c r="N36" i="28"/>
  <c r="H36" i="28"/>
  <c r="N35" i="28"/>
  <c r="O35" i="28" s="1"/>
  <c r="H35" i="28"/>
  <c r="N34" i="28"/>
  <c r="H34" i="28"/>
  <c r="M33" i="28"/>
  <c r="L33" i="28"/>
  <c r="K33" i="28"/>
  <c r="J33" i="28"/>
  <c r="I33" i="28"/>
  <c r="G33" i="28"/>
  <c r="F33" i="28"/>
  <c r="O32" i="28"/>
  <c r="N32" i="28"/>
  <c r="H32" i="28"/>
  <c r="N31" i="28"/>
  <c r="H31" i="28"/>
  <c r="O31" i="28" s="1"/>
  <c r="N30" i="28"/>
  <c r="O30" i="28" s="1"/>
  <c r="H30" i="28"/>
  <c r="O29" i="28"/>
  <c r="N29" i="28"/>
  <c r="H29" i="28"/>
  <c r="O28" i="28"/>
  <c r="N28" i="28"/>
  <c r="H28" i="28"/>
  <c r="N27" i="28"/>
  <c r="N26" i="28" s="1"/>
  <c r="H27" i="28"/>
  <c r="M26" i="28"/>
  <c r="L26" i="28"/>
  <c r="K26" i="28"/>
  <c r="J26" i="28"/>
  <c r="I26" i="28"/>
  <c r="G26" i="28"/>
  <c r="F26" i="28"/>
  <c r="N25" i="28"/>
  <c r="O25" i="28" s="1"/>
  <c r="H25" i="28"/>
  <c r="N24" i="28"/>
  <c r="H24" i="28"/>
  <c r="O24" i="28" s="1"/>
  <c r="N23" i="28"/>
  <c r="H23" i="28"/>
  <c r="O23" i="28" s="1"/>
  <c r="N22" i="28"/>
  <c r="H22" i="28"/>
  <c r="M21" i="28"/>
  <c r="L21" i="28"/>
  <c r="K21" i="28"/>
  <c r="J21" i="28"/>
  <c r="I21" i="28"/>
  <c r="G21" i="28"/>
  <c r="F21" i="28"/>
  <c r="N20" i="28"/>
  <c r="N18" i="28" s="1"/>
  <c r="H20" i="28"/>
  <c r="O20" i="28" s="1"/>
  <c r="O19" i="28"/>
  <c r="N19" i="28"/>
  <c r="H19" i="28"/>
  <c r="M18" i="28"/>
  <c r="L18" i="28"/>
  <c r="K18" i="28"/>
  <c r="K11" i="28" s="1"/>
  <c r="K52" i="28" s="1"/>
  <c r="J18" i="28"/>
  <c r="I18" i="28"/>
  <c r="H18" i="28"/>
  <c r="G18" i="28"/>
  <c r="F18" i="28"/>
  <c r="F11" i="28" s="1"/>
  <c r="F52" i="28" s="1"/>
  <c r="N17" i="28"/>
  <c r="O17" i="28" s="1"/>
  <c r="H17" i="28"/>
  <c r="O16" i="28"/>
  <c r="N16" i="28"/>
  <c r="H16" i="28"/>
  <c r="O15" i="28"/>
  <c r="N15" i="28"/>
  <c r="H15" i="28"/>
  <c r="N14" i="28"/>
  <c r="H14" i="28"/>
  <c r="N13" i="28"/>
  <c r="O13" i="28" s="1"/>
  <c r="H13" i="28"/>
  <c r="M12" i="28"/>
  <c r="L12" i="28"/>
  <c r="L11" i="28" s="1"/>
  <c r="L52" i="28" s="1"/>
  <c r="K12" i="28"/>
  <c r="J12" i="28"/>
  <c r="I12" i="28"/>
  <c r="I11" i="28" s="1"/>
  <c r="I52" i="28" s="1"/>
  <c r="G12" i="28"/>
  <c r="F12" i="28"/>
  <c r="M11" i="28"/>
  <c r="J11" i="28"/>
  <c r="J52" i="28" s="1"/>
  <c r="N49" i="27"/>
  <c r="H49" i="27"/>
  <c r="N48" i="27"/>
  <c r="O48" i="27" s="1"/>
  <c r="H48" i="27"/>
  <c r="O47" i="27"/>
  <c r="N47" i="27"/>
  <c r="H47" i="27"/>
  <c r="O46" i="27"/>
  <c r="N46" i="27"/>
  <c r="H46" i="27"/>
  <c r="N45" i="27"/>
  <c r="M45" i="27"/>
  <c r="L45" i="27"/>
  <c r="K45" i="27"/>
  <c r="J45" i="27"/>
  <c r="I45" i="27"/>
  <c r="G45" i="27"/>
  <c r="F45" i="27"/>
  <c r="N44" i="27"/>
  <c r="H44" i="27"/>
  <c r="O44" i="27" s="1"/>
  <c r="N43" i="27"/>
  <c r="O43" i="27" s="1"/>
  <c r="H43" i="27"/>
  <c r="N42" i="27"/>
  <c r="H42" i="27"/>
  <c r="O42" i="27" s="1"/>
  <c r="N41" i="27"/>
  <c r="H41" i="27"/>
  <c r="O41" i="27" s="1"/>
  <c r="N40" i="27"/>
  <c r="H40" i="27"/>
  <c r="O40" i="27" s="1"/>
  <c r="N39" i="27"/>
  <c r="O39" i="27" s="1"/>
  <c r="H39" i="27"/>
  <c r="N38" i="27"/>
  <c r="H38" i="27"/>
  <c r="O38" i="27" s="1"/>
  <c r="N37" i="27"/>
  <c r="H37" i="27"/>
  <c r="O37" i="27" s="1"/>
  <c r="N36" i="27"/>
  <c r="H36" i="27"/>
  <c r="O36" i="27" s="1"/>
  <c r="N35" i="27"/>
  <c r="O35" i="27" s="1"/>
  <c r="H35" i="27"/>
  <c r="N34" i="27"/>
  <c r="H34" i="27"/>
  <c r="O34" i="27" s="1"/>
  <c r="N33" i="27"/>
  <c r="H33" i="27"/>
  <c r="O33" i="27" s="1"/>
  <c r="N32" i="27"/>
  <c r="H32" i="27"/>
  <c r="M31" i="27"/>
  <c r="L31" i="27"/>
  <c r="K31" i="27"/>
  <c r="J31" i="27"/>
  <c r="I31" i="27"/>
  <c r="G31" i="27"/>
  <c r="F31" i="27"/>
  <c r="N30" i="27"/>
  <c r="H30" i="27"/>
  <c r="O30" i="27" s="1"/>
  <c r="O29" i="27"/>
  <c r="N29" i="27"/>
  <c r="H29" i="27"/>
  <c r="N28" i="27"/>
  <c r="O28" i="27" s="1"/>
  <c r="H28" i="27"/>
  <c r="N27" i="27"/>
  <c r="N26" i="27" s="1"/>
  <c r="H27" i="27"/>
  <c r="O27" i="27" s="1"/>
  <c r="O26" i="27" s="1"/>
  <c r="M26" i="27"/>
  <c r="L26" i="27"/>
  <c r="K26" i="27"/>
  <c r="J26" i="27"/>
  <c r="I26" i="27"/>
  <c r="H26" i="27"/>
  <c r="G26" i="27"/>
  <c r="F26" i="27"/>
  <c r="O25" i="27"/>
  <c r="N25" i="27"/>
  <c r="H25" i="27"/>
  <c r="N24" i="27"/>
  <c r="H24" i="27"/>
  <c r="N23" i="27"/>
  <c r="O23" i="27" s="1"/>
  <c r="H23" i="27"/>
  <c r="O22" i="27"/>
  <c r="N22" i="27"/>
  <c r="H22" i="27"/>
  <c r="M21" i="27"/>
  <c r="L21" i="27"/>
  <c r="L11" i="27" s="1"/>
  <c r="L50" i="27" s="1"/>
  <c r="K21" i="27"/>
  <c r="J21" i="27"/>
  <c r="I21" i="27"/>
  <c r="G21" i="27"/>
  <c r="F21" i="27"/>
  <c r="N20" i="27"/>
  <c r="H20" i="27"/>
  <c r="O20" i="27" s="1"/>
  <c r="N19" i="27"/>
  <c r="H19" i="27"/>
  <c r="N18" i="27"/>
  <c r="M18" i="27"/>
  <c r="L18" i="27"/>
  <c r="K18" i="27"/>
  <c r="J18" i="27"/>
  <c r="J11" i="27" s="1"/>
  <c r="J50" i="27" s="1"/>
  <c r="I18" i="27"/>
  <c r="G18" i="27"/>
  <c r="G11" i="27" s="1"/>
  <c r="G50" i="27" s="1"/>
  <c r="F18" i="27"/>
  <c r="N17" i="27"/>
  <c r="H17" i="27"/>
  <c r="O17" i="27" s="1"/>
  <c r="O16" i="27"/>
  <c r="N16" i="27"/>
  <c r="H16" i="27"/>
  <c r="N15" i="27"/>
  <c r="O15" i="27" s="1"/>
  <c r="H15" i="27"/>
  <c r="N14" i="27"/>
  <c r="H14" i="27"/>
  <c r="O14" i="27" s="1"/>
  <c r="N13" i="27"/>
  <c r="N12" i="27" s="1"/>
  <c r="H13" i="27"/>
  <c r="O13" i="27" s="1"/>
  <c r="O12" i="27" s="1"/>
  <c r="M12" i="27"/>
  <c r="L12" i="27"/>
  <c r="K12" i="27"/>
  <c r="K11" i="27" s="1"/>
  <c r="K50" i="27" s="1"/>
  <c r="J12" i="27"/>
  <c r="I12" i="27"/>
  <c r="H12" i="27"/>
  <c r="G12" i="27"/>
  <c r="F12" i="27"/>
  <c r="M11" i="27"/>
  <c r="M50" i="27" s="1"/>
  <c r="I11" i="27"/>
  <c r="I50" i="27" s="1"/>
  <c r="F11" i="27"/>
  <c r="F50" i="27" s="1"/>
  <c r="K52" i="26"/>
  <c r="N51" i="26"/>
  <c r="H51" i="26"/>
  <c r="O51" i="26" s="1"/>
  <c r="N50" i="26"/>
  <c r="H50" i="26"/>
  <c r="H47" i="26" s="1"/>
  <c r="O49" i="26"/>
  <c r="N49" i="26"/>
  <c r="H49" i="26"/>
  <c r="N48" i="26"/>
  <c r="H48" i="26"/>
  <c r="O48" i="26" s="1"/>
  <c r="N47" i="26"/>
  <c r="M47" i="26"/>
  <c r="L47" i="26"/>
  <c r="K47" i="26"/>
  <c r="J47" i="26"/>
  <c r="I47" i="26"/>
  <c r="G47" i="26"/>
  <c r="F47" i="26"/>
  <c r="O46" i="26"/>
  <c r="N46" i="26"/>
  <c r="H46" i="26"/>
  <c r="O45" i="26"/>
  <c r="N45" i="26"/>
  <c r="H45" i="26"/>
  <c r="N44" i="26"/>
  <c r="H44" i="26"/>
  <c r="O44" i="26" s="1"/>
  <c r="O43" i="26"/>
  <c r="N43" i="26"/>
  <c r="H43" i="26"/>
  <c r="O42" i="26"/>
  <c r="N42" i="26"/>
  <c r="H42" i="26"/>
  <c r="O41" i="26"/>
  <c r="N41" i="26"/>
  <c r="H41" i="26"/>
  <c r="N40" i="26"/>
  <c r="H40" i="26"/>
  <c r="O40" i="26" s="1"/>
  <c r="O39" i="26"/>
  <c r="N39" i="26"/>
  <c r="H39" i="26"/>
  <c r="O38" i="26"/>
  <c r="N38" i="26"/>
  <c r="H38" i="26"/>
  <c r="O37" i="26"/>
  <c r="N37" i="26"/>
  <c r="H37" i="26"/>
  <c r="N36" i="26"/>
  <c r="H36" i="26"/>
  <c r="O35" i="26"/>
  <c r="N35" i="26"/>
  <c r="N33" i="26" s="1"/>
  <c r="H35" i="26"/>
  <c r="O34" i="26"/>
  <c r="N34" i="26"/>
  <c r="H34" i="26"/>
  <c r="M33" i="26"/>
  <c r="L33" i="26"/>
  <c r="K33" i="26"/>
  <c r="J33" i="26"/>
  <c r="I33" i="26"/>
  <c r="G33" i="26"/>
  <c r="F33" i="26"/>
  <c r="N32" i="26"/>
  <c r="H32" i="26"/>
  <c r="O32" i="26" s="1"/>
  <c r="N31" i="26"/>
  <c r="H31" i="26"/>
  <c r="O31" i="26" s="1"/>
  <c r="N30" i="26"/>
  <c r="O30" i="26" s="1"/>
  <c r="H30" i="26"/>
  <c r="N29" i="26"/>
  <c r="H29" i="26"/>
  <c r="O29" i="26" s="1"/>
  <c r="N28" i="26"/>
  <c r="H28" i="26"/>
  <c r="O28" i="26" s="1"/>
  <c r="N27" i="26"/>
  <c r="H27" i="26"/>
  <c r="N26" i="26"/>
  <c r="M26" i="26"/>
  <c r="L26" i="26"/>
  <c r="K26" i="26"/>
  <c r="J26" i="26"/>
  <c r="I26" i="26"/>
  <c r="G26" i="26"/>
  <c r="F26" i="26"/>
  <c r="N25" i="26"/>
  <c r="H25" i="26"/>
  <c r="H21" i="26" s="1"/>
  <c r="O24" i="26"/>
  <c r="N24" i="26"/>
  <c r="H24" i="26"/>
  <c r="N23" i="26"/>
  <c r="O23" i="26" s="1"/>
  <c r="H23" i="26"/>
  <c r="N22" i="26"/>
  <c r="H22" i="26"/>
  <c r="M21" i="26"/>
  <c r="L21" i="26"/>
  <c r="K21" i="26"/>
  <c r="J21" i="26"/>
  <c r="I21" i="26"/>
  <c r="G21" i="26"/>
  <c r="F21" i="26"/>
  <c r="O20" i="26"/>
  <c r="N20" i="26"/>
  <c r="H20" i="26"/>
  <c r="N19" i="26"/>
  <c r="N18" i="26" s="1"/>
  <c r="H19" i="26"/>
  <c r="M18" i="26"/>
  <c r="L18" i="26"/>
  <c r="L11" i="26" s="1"/>
  <c r="L52" i="26" s="1"/>
  <c r="K18" i="26"/>
  <c r="J18" i="26"/>
  <c r="I18" i="26"/>
  <c r="I11" i="26" s="1"/>
  <c r="I52" i="26" s="1"/>
  <c r="G18" i="26"/>
  <c r="F18" i="26"/>
  <c r="N17" i="26"/>
  <c r="O17" i="26" s="1"/>
  <c r="H17" i="26"/>
  <c r="N16" i="26"/>
  <c r="H16" i="26"/>
  <c r="O16" i="26" s="1"/>
  <c r="N15" i="26"/>
  <c r="H15" i="26"/>
  <c r="O15" i="26" s="1"/>
  <c r="N14" i="26"/>
  <c r="H14" i="26"/>
  <c r="O14" i="26" s="1"/>
  <c r="N13" i="26"/>
  <c r="H13" i="26"/>
  <c r="H12" i="26" s="1"/>
  <c r="M12" i="26"/>
  <c r="M11" i="26" s="1"/>
  <c r="M52" i="26" s="1"/>
  <c r="L12" i="26"/>
  <c r="K12" i="26"/>
  <c r="J12" i="26"/>
  <c r="J11" i="26" s="1"/>
  <c r="I12" i="26"/>
  <c r="G12" i="26"/>
  <c r="F12" i="26"/>
  <c r="F11" i="26" s="1"/>
  <c r="F52" i="26" s="1"/>
  <c r="K11" i="26"/>
  <c r="M52" i="25"/>
  <c r="F52" i="25"/>
  <c r="N51" i="25"/>
  <c r="H51" i="25"/>
  <c r="O51" i="25" s="1"/>
  <c r="N50" i="25"/>
  <c r="O50" i="25" s="1"/>
  <c r="H50" i="25"/>
  <c r="N49" i="25"/>
  <c r="H49" i="25"/>
  <c r="O49" i="25" s="1"/>
  <c r="N48" i="25"/>
  <c r="N47" i="25" s="1"/>
  <c r="H48" i="25"/>
  <c r="M47" i="25"/>
  <c r="L47" i="25"/>
  <c r="K47" i="25"/>
  <c r="J47" i="25"/>
  <c r="I47" i="25"/>
  <c r="G47" i="25"/>
  <c r="F47" i="25"/>
  <c r="N46" i="25"/>
  <c r="O46" i="25" s="1"/>
  <c r="H46" i="25"/>
  <c r="N45" i="25"/>
  <c r="H45" i="25"/>
  <c r="O45" i="25" s="1"/>
  <c r="O44" i="25"/>
  <c r="N44" i="25"/>
  <c r="H44" i="25"/>
  <c r="N43" i="25"/>
  <c r="H43" i="25"/>
  <c r="O43" i="25" s="1"/>
  <c r="N42" i="25"/>
  <c r="H42" i="25"/>
  <c r="N41" i="25"/>
  <c r="H41" i="25"/>
  <c r="O41" i="25" s="1"/>
  <c r="O40" i="25"/>
  <c r="N40" i="25"/>
  <c r="H40" i="25"/>
  <c r="N39" i="25"/>
  <c r="H39" i="25"/>
  <c r="O39" i="25" s="1"/>
  <c r="N38" i="25"/>
  <c r="H38" i="25"/>
  <c r="O38" i="25" s="1"/>
  <c r="N37" i="25"/>
  <c r="H37" i="25"/>
  <c r="H33" i="25" s="1"/>
  <c r="O36" i="25"/>
  <c r="N36" i="25"/>
  <c r="H36" i="25"/>
  <c r="N35" i="25"/>
  <c r="H35" i="25"/>
  <c r="O35" i="25" s="1"/>
  <c r="N34" i="25"/>
  <c r="N33" i="25" s="1"/>
  <c r="H34" i="25"/>
  <c r="M33" i="25"/>
  <c r="L33" i="25"/>
  <c r="K33" i="25"/>
  <c r="J33" i="25"/>
  <c r="I33" i="25"/>
  <c r="G33" i="25"/>
  <c r="F33" i="25"/>
  <c r="O32" i="25"/>
  <c r="N32" i="25"/>
  <c r="H32" i="25"/>
  <c r="N31" i="25"/>
  <c r="H31" i="25"/>
  <c r="O31" i="25" s="1"/>
  <c r="O30" i="25"/>
  <c r="N30" i="25"/>
  <c r="H30" i="25"/>
  <c r="O29" i="25"/>
  <c r="N29" i="25"/>
  <c r="H29" i="25"/>
  <c r="O28" i="25"/>
  <c r="N28" i="25"/>
  <c r="H28" i="25"/>
  <c r="N27" i="25"/>
  <c r="N26" i="25" s="1"/>
  <c r="H27" i="25"/>
  <c r="M26" i="25"/>
  <c r="L26" i="25"/>
  <c r="K26" i="25"/>
  <c r="J26" i="25"/>
  <c r="I26" i="25"/>
  <c r="G26" i="25"/>
  <c r="F26" i="25"/>
  <c r="N25" i="25"/>
  <c r="O25" i="25" s="1"/>
  <c r="H25" i="25"/>
  <c r="N24" i="25"/>
  <c r="H24" i="25"/>
  <c r="O24" i="25" s="1"/>
  <c r="N23" i="25"/>
  <c r="H23" i="25"/>
  <c r="O23" i="25" s="1"/>
  <c r="N22" i="25"/>
  <c r="H22" i="25"/>
  <c r="N21" i="25"/>
  <c r="M21" i="25"/>
  <c r="L21" i="25"/>
  <c r="K21" i="25"/>
  <c r="J21" i="25"/>
  <c r="I21" i="25"/>
  <c r="G21" i="25"/>
  <c r="F21" i="25"/>
  <c r="N20" i="25"/>
  <c r="N18" i="25" s="1"/>
  <c r="H20" i="25"/>
  <c r="O20" i="25" s="1"/>
  <c r="O19" i="25"/>
  <c r="N19" i="25"/>
  <c r="H19" i="25"/>
  <c r="M18" i="25"/>
  <c r="L18" i="25"/>
  <c r="K18" i="25"/>
  <c r="K11" i="25" s="1"/>
  <c r="J18" i="25"/>
  <c r="I18" i="25"/>
  <c r="H18" i="25"/>
  <c r="G18" i="25"/>
  <c r="F18" i="25"/>
  <c r="F11" i="25" s="1"/>
  <c r="O17" i="25"/>
  <c r="N17" i="25"/>
  <c r="H17" i="25"/>
  <c r="O16" i="25"/>
  <c r="N16" i="25"/>
  <c r="H16" i="25"/>
  <c r="O15" i="25"/>
  <c r="N15" i="25"/>
  <c r="H15" i="25"/>
  <c r="N14" i="25"/>
  <c r="H14" i="25"/>
  <c r="O13" i="25"/>
  <c r="N13" i="25"/>
  <c r="N12" i="25" s="1"/>
  <c r="H13" i="25"/>
  <c r="M12" i="25"/>
  <c r="L12" i="25"/>
  <c r="L11" i="25" s="1"/>
  <c r="L52" i="25" s="1"/>
  <c r="K12" i="25"/>
  <c r="J12" i="25"/>
  <c r="I12" i="25"/>
  <c r="G12" i="25"/>
  <c r="G11" i="25" s="1"/>
  <c r="G52" i="25" s="1"/>
  <c r="F12" i="25"/>
  <c r="M11" i="25"/>
  <c r="J11" i="25"/>
  <c r="J52" i="25" s="1"/>
  <c r="N51" i="24"/>
  <c r="H51" i="24"/>
  <c r="O51" i="24" s="1"/>
  <c r="O50" i="24"/>
  <c r="N50" i="24"/>
  <c r="H50" i="24"/>
  <c r="N49" i="24"/>
  <c r="H49" i="24"/>
  <c r="O49" i="24" s="1"/>
  <c r="O48" i="24"/>
  <c r="N48" i="24"/>
  <c r="H48" i="24"/>
  <c r="N47" i="24"/>
  <c r="M47" i="24"/>
  <c r="L47" i="24"/>
  <c r="K47" i="24"/>
  <c r="J47" i="24"/>
  <c r="I47" i="24"/>
  <c r="G47" i="24"/>
  <c r="F47" i="24"/>
  <c r="N46" i="24"/>
  <c r="H46" i="24"/>
  <c r="O46" i="24" s="1"/>
  <c r="N45" i="24"/>
  <c r="O45" i="24" s="1"/>
  <c r="H45" i="24"/>
  <c r="N44" i="24"/>
  <c r="H44" i="24"/>
  <c r="O44" i="24" s="1"/>
  <c r="N43" i="24"/>
  <c r="H43" i="24"/>
  <c r="O43" i="24" s="1"/>
  <c r="N42" i="24"/>
  <c r="H42" i="24"/>
  <c r="O42" i="24" s="1"/>
  <c r="N41" i="24"/>
  <c r="O41" i="24" s="1"/>
  <c r="H41" i="24"/>
  <c r="N40" i="24"/>
  <c r="H40" i="24"/>
  <c r="O40" i="24" s="1"/>
  <c r="N39" i="24"/>
  <c r="H39" i="24"/>
  <c r="O39" i="24" s="1"/>
  <c r="N38" i="24"/>
  <c r="H38" i="24"/>
  <c r="O38" i="24" s="1"/>
  <c r="N37" i="24"/>
  <c r="O37" i="24" s="1"/>
  <c r="H37" i="24"/>
  <c r="N36" i="24"/>
  <c r="H36" i="24"/>
  <c r="O36" i="24" s="1"/>
  <c r="N35" i="24"/>
  <c r="H35" i="24"/>
  <c r="O35" i="24" s="1"/>
  <c r="N34" i="24"/>
  <c r="H34" i="24"/>
  <c r="M33" i="24"/>
  <c r="L33" i="24"/>
  <c r="K33" i="24"/>
  <c r="J33" i="24"/>
  <c r="I33" i="24"/>
  <c r="G33" i="24"/>
  <c r="F33" i="24"/>
  <c r="N32" i="24"/>
  <c r="H32" i="24"/>
  <c r="O32" i="24" s="1"/>
  <c r="O31" i="24"/>
  <c r="N31" i="24"/>
  <c r="H31" i="24"/>
  <c r="N30" i="24"/>
  <c r="O30" i="24" s="1"/>
  <c r="H30" i="24"/>
  <c r="N29" i="24"/>
  <c r="O29" i="24" s="1"/>
  <c r="H29" i="24"/>
  <c r="N28" i="24"/>
  <c r="H28" i="24"/>
  <c r="O28" i="24" s="1"/>
  <c r="O27" i="24"/>
  <c r="N27" i="24"/>
  <c r="H27" i="24"/>
  <c r="M26" i="24"/>
  <c r="L26" i="24"/>
  <c r="K26" i="24"/>
  <c r="J26" i="24"/>
  <c r="I26" i="24"/>
  <c r="H26" i="24"/>
  <c r="G26" i="24"/>
  <c r="F26" i="24"/>
  <c r="O25" i="24"/>
  <c r="N25" i="24"/>
  <c r="H25" i="24"/>
  <c r="N24" i="24"/>
  <c r="H24" i="24"/>
  <c r="O24" i="24" s="1"/>
  <c r="O23" i="24"/>
  <c r="N23" i="24"/>
  <c r="H23" i="24"/>
  <c r="O22" i="24"/>
  <c r="O21" i="24" s="1"/>
  <c r="N22" i="24"/>
  <c r="N21" i="24" s="1"/>
  <c r="H22" i="24"/>
  <c r="H21" i="24" s="1"/>
  <c r="M21" i="24"/>
  <c r="L21" i="24"/>
  <c r="K21" i="24"/>
  <c r="J21" i="24"/>
  <c r="I21" i="24"/>
  <c r="G21" i="24"/>
  <c r="F21" i="24"/>
  <c r="N20" i="24"/>
  <c r="H20" i="24"/>
  <c r="N19" i="24"/>
  <c r="H19" i="24"/>
  <c r="O19" i="24" s="1"/>
  <c r="M18" i="24"/>
  <c r="M11" i="24" s="1"/>
  <c r="M52" i="24" s="1"/>
  <c r="L18" i="24"/>
  <c r="K18" i="24"/>
  <c r="J18" i="24"/>
  <c r="I18" i="24"/>
  <c r="H18" i="24"/>
  <c r="G18" i="24"/>
  <c r="F18" i="24"/>
  <c r="N17" i="24"/>
  <c r="H17" i="24"/>
  <c r="O17" i="24" s="1"/>
  <c r="N16" i="24"/>
  <c r="O16" i="24" s="1"/>
  <c r="H16" i="24"/>
  <c r="N15" i="24"/>
  <c r="N12" i="24" s="1"/>
  <c r="H15" i="24"/>
  <c r="H12" i="24" s="1"/>
  <c r="O14" i="24"/>
  <c r="N14" i="24"/>
  <c r="H14" i="24"/>
  <c r="N13" i="24"/>
  <c r="H13" i="24"/>
  <c r="O13" i="24" s="1"/>
  <c r="M12" i="24"/>
  <c r="L12" i="24"/>
  <c r="K12" i="24"/>
  <c r="K11" i="24" s="1"/>
  <c r="K52" i="24" s="1"/>
  <c r="J12" i="24"/>
  <c r="I12" i="24"/>
  <c r="I11" i="24" s="1"/>
  <c r="I52" i="24" s="1"/>
  <c r="G12" i="24"/>
  <c r="F12" i="24"/>
  <c r="L11" i="24"/>
  <c r="L52" i="24" s="1"/>
  <c r="G11" i="24"/>
  <c r="O49" i="23"/>
  <c r="N49" i="23"/>
  <c r="H49" i="23"/>
  <c r="N48" i="23"/>
  <c r="H48" i="23"/>
  <c r="O48" i="23" s="1"/>
  <c r="N47" i="23"/>
  <c r="O47" i="23" s="1"/>
  <c r="H47" i="23"/>
  <c r="N46" i="23"/>
  <c r="N45" i="23" s="1"/>
  <c r="H46" i="23"/>
  <c r="M45" i="23"/>
  <c r="L45" i="23"/>
  <c r="K45" i="23"/>
  <c r="J45" i="23"/>
  <c r="I45" i="23"/>
  <c r="H45" i="23"/>
  <c r="G45" i="23"/>
  <c r="F45" i="23"/>
  <c r="O44" i="23"/>
  <c r="N44" i="23"/>
  <c r="H44" i="23"/>
  <c r="N43" i="23"/>
  <c r="H43" i="23"/>
  <c r="O43" i="23" s="1"/>
  <c r="N42" i="23"/>
  <c r="H42" i="23"/>
  <c r="O42" i="23" s="1"/>
  <c r="O41" i="23"/>
  <c r="N41" i="23"/>
  <c r="H41" i="23"/>
  <c r="N40" i="23"/>
  <c r="H40" i="23"/>
  <c r="O40" i="23" s="1"/>
  <c r="N39" i="23"/>
  <c r="H39" i="23"/>
  <c r="O39" i="23" s="1"/>
  <c r="N38" i="23"/>
  <c r="H38" i="23"/>
  <c r="O38" i="23" s="1"/>
  <c r="O37" i="23"/>
  <c r="N37" i="23"/>
  <c r="H37" i="23"/>
  <c r="O36" i="23"/>
  <c r="N36" i="23"/>
  <c r="H36" i="23"/>
  <c r="N35" i="23"/>
  <c r="H35" i="23"/>
  <c r="O35" i="23" s="1"/>
  <c r="N34" i="23"/>
  <c r="H34" i="23"/>
  <c r="O34" i="23" s="1"/>
  <c r="O33" i="23"/>
  <c r="N33" i="23"/>
  <c r="H33" i="23"/>
  <c r="N32" i="23"/>
  <c r="N31" i="23" s="1"/>
  <c r="H32" i="23"/>
  <c r="M31" i="23"/>
  <c r="L31" i="23"/>
  <c r="K31" i="23"/>
  <c r="J31" i="23"/>
  <c r="I31" i="23"/>
  <c r="G31" i="23"/>
  <c r="F31" i="23"/>
  <c r="N30" i="23"/>
  <c r="O30" i="23" s="1"/>
  <c r="H30" i="23"/>
  <c r="N29" i="23"/>
  <c r="H29" i="23"/>
  <c r="O29" i="23" s="1"/>
  <c r="N28" i="23"/>
  <c r="H28" i="23"/>
  <c r="O28" i="23" s="1"/>
  <c r="N27" i="23"/>
  <c r="H27" i="23"/>
  <c r="N26" i="23"/>
  <c r="M26" i="23"/>
  <c r="L26" i="23"/>
  <c r="K26" i="23"/>
  <c r="J26" i="23"/>
  <c r="I26" i="23"/>
  <c r="G26" i="23"/>
  <c r="F26" i="23"/>
  <c r="N25" i="23"/>
  <c r="H25" i="23"/>
  <c r="H21" i="23" s="1"/>
  <c r="O24" i="23"/>
  <c r="N24" i="23"/>
  <c r="H24" i="23"/>
  <c r="N23" i="23"/>
  <c r="O23" i="23" s="1"/>
  <c r="H23" i="23"/>
  <c r="N22" i="23"/>
  <c r="O22" i="23" s="1"/>
  <c r="H22" i="23"/>
  <c r="M21" i="23"/>
  <c r="M11" i="23" s="1"/>
  <c r="M50" i="23" s="1"/>
  <c r="L21" i="23"/>
  <c r="L11" i="23" s="1"/>
  <c r="L50" i="23" s="1"/>
  <c r="K21" i="23"/>
  <c r="J21" i="23"/>
  <c r="I21" i="23"/>
  <c r="G21" i="23"/>
  <c r="F21" i="23"/>
  <c r="O20" i="23"/>
  <c r="N20" i="23"/>
  <c r="H20" i="23"/>
  <c r="O19" i="23"/>
  <c r="N19" i="23"/>
  <c r="N18" i="23" s="1"/>
  <c r="H19" i="23"/>
  <c r="H18" i="23" s="1"/>
  <c r="M18" i="23"/>
  <c r="L18" i="23"/>
  <c r="K18" i="23"/>
  <c r="J18" i="23"/>
  <c r="I18" i="23"/>
  <c r="I11" i="23" s="1"/>
  <c r="G18" i="23"/>
  <c r="F18" i="23"/>
  <c r="N17" i="23"/>
  <c r="O17" i="23" s="1"/>
  <c r="H17" i="23"/>
  <c r="N16" i="23"/>
  <c r="H16" i="23"/>
  <c r="O16" i="23" s="1"/>
  <c r="N15" i="23"/>
  <c r="H15" i="23"/>
  <c r="O15" i="23" s="1"/>
  <c r="N14" i="23"/>
  <c r="H14" i="23"/>
  <c r="O14" i="23" s="1"/>
  <c r="N13" i="23"/>
  <c r="H13" i="23"/>
  <c r="M12" i="23"/>
  <c r="L12" i="23"/>
  <c r="K12" i="23"/>
  <c r="K11" i="23" s="1"/>
  <c r="K50" i="23" s="1"/>
  <c r="J12" i="23"/>
  <c r="J11" i="23" s="1"/>
  <c r="J50" i="23" s="1"/>
  <c r="I12" i="23"/>
  <c r="G12" i="23"/>
  <c r="G11" i="23" s="1"/>
  <c r="G50" i="23" s="1"/>
  <c r="F12" i="23"/>
  <c r="N51" i="22"/>
  <c r="H51" i="22"/>
  <c r="O51" i="22" s="1"/>
  <c r="N50" i="22"/>
  <c r="O50" i="22" s="1"/>
  <c r="H50" i="22"/>
  <c r="N49" i="22"/>
  <c r="O49" i="22" s="1"/>
  <c r="H49" i="22"/>
  <c r="N48" i="22"/>
  <c r="H48" i="22"/>
  <c r="M47" i="22"/>
  <c r="L47" i="22"/>
  <c r="K47" i="22"/>
  <c r="J47" i="22"/>
  <c r="I47" i="22"/>
  <c r="G47" i="22"/>
  <c r="F47" i="22"/>
  <c r="N46" i="22"/>
  <c r="O46" i="22" s="1"/>
  <c r="H46" i="22"/>
  <c r="N45" i="22"/>
  <c r="H45" i="22"/>
  <c r="O44" i="22"/>
  <c r="N44" i="22"/>
  <c r="H44" i="22"/>
  <c r="O43" i="22"/>
  <c r="N43" i="22"/>
  <c r="H43" i="22"/>
  <c r="N42" i="22"/>
  <c r="O42" i="22" s="1"/>
  <c r="H42" i="22"/>
  <c r="N41" i="22"/>
  <c r="H41" i="22"/>
  <c r="O40" i="22"/>
  <c r="N40" i="22"/>
  <c r="H40" i="22"/>
  <c r="O39" i="22"/>
  <c r="N39" i="22"/>
  <c r="H39" i="22"/>
  <c r="N38" i="22"/>
  <c r="O38" i="22" s="1"/>
  <c r="H38" i="22"/>
  <c r="N37" i="22"/>
  <c r="H37" i="22"/>
  <c r="O36" i="22"/>
  <c r="N36" i="22"/>
  <c r="H36" i="22"/>
  <c r="H33" i="22" s="1"/>
  <c r="O35" i="22"/>
  <c r="N35" i="22"/>
  <c r="H35" i="22"/>
  <c r="N34" i="22"/>
  <c r="O34" i="22" s="1"/>
  <c r="H34" i="22"/>
  <c r="M33" i="22"/>
  <c r="L33" i="22"/>
  <c r="K33" i="22"/>
  <c r="J33" i="22"/>
  <c r="I33" i="22"/>
  <c r="G33" i="22"/>
  <c r="F33" i="22"/>
  <c r="O32" i="22"/>
  <c r="N32" i="22"/>
  <c r="H32" i="22"/>
  <c r="N31" i="22"/>
  <c r="H31" i="22"/>
  <c r="O31" i="22" s="1"/>
  <c r="N30" i="22"/>
  <c r="H30" i="22"/>
  <c r="O30" i="22" s="1"/>
  <c r="N29" i="22"/>
  <c r="H29" i="22"/>
  <c r="O29" i="22" s="1"/>
  <c r="O28" i="22"/>
  <c r="N28" i="22"/>
  <c r="H28" i="22"/>
  <c r="O27" i="22"/>
  <c r="O26" i="22" s="1"/>
  <c r="N27" i="22"/>
  <c r="H27" i="22"/>
  <c r="H26" i="22" s="1"/>
  <c r="N26" i="22"/>
  <c r="M26" i="22"/>
  <c r="L26" i="22"/>
  <c r="K26" i="22"/>
  <c r="J26" i="22"/>
  <c r="I26" i="22"/>
  <c r="G26" i="22"/>
  <c r="F26" i="22"/>
  <c r="N25" i="22"/>
  <c r="N21" i="22" s="1"/>
  <c r="H25" i="22"/>
  <c r="O25" i="22" s="1"/>
  <c r="N24" i="22"/>
  <c r="O24" i="22" s="1"/>
  <c r="H24" i="22"/>
  <c r="N23" i="22"/>
  <c r="H23" i="22"/>
  <c r="O23" i="22" s="1"/>
  <c r="N22" i="22"/>
  <c r="H22" i="22"/>
  <c r="M21" i="22"/>
  <c r="L21" i="22"/>
  <c r="K21" i="22"/>
  <c r="J21" i="22"/>
  <c r="I21" i="22"/>
  <c r="G21" i="22"/>
  <c r="F21" i="22"/>
  <c r="N20" i="22"/>
  <c r="H20" i="22"/>
  <c r="O20" i="22" s="1"/>
  <c r="O19" i="22"/>
  <c r="N19" i="22"/>
  <c r="H19" i="22"/>
  <c r="M18" i="22"/>
  <c r="L18" i="22"/>
  <c r="K18" i="22"/>
  <c r="K11" i="22" s="1"/>
  <c r="K52" i="22" s="1"/>
  <c r="J18" i="22"/>
  <c r="I18" i="22"/>
  <c r="H18" i="22"/>
  <c r="G18" i="22"/>
  <c r="F18" i="22"/>
  <c r="N17" i="22"/>
  <c r="H17" i="22"/>
  <c r="O17" i="22" s="1"/>
  <c r="N16" i="22"/>
  <c r="H16" i="22"/>
  <c r="O16" i="22" s="1"/>
  <c r="O15" i="22"/>
  <c r="N15" i="22"/>
  <c r="H15" i="22"/>
  <c r="N14" i="22"/>
  <c r="H14" i="22"/>
  <c r="O14" i="22" s="1"/>
  <c r="N13" i="22"/>
  <c r="N12" i="22" s="1"/>
  <c r="H13" i="22"/>
  <c r="O13" i="22" s="1"/>
  <c r="M12" i="22"/>
  <c r="M11" i="22" s="1"/>
  <c r="M52" i="22" s="1"/>
  <c r="L12" i="22"/>
  <c r="L11" i="22" s="1"/>
  <c r="L52" i="22" s="1"/>
  <c r="K12" i="22"/>
  <c r="J12" i="22"/>
  <c r="I12" i="22"/>
  <c r="I11" i="22" s="1"/>
  <c r="I52" i="22" s="1"/>
  <c r="G12" i="22"/>
  <c r="F12" i="22"/>
  <c r="F11" i="22" s="1"/>
  <c r="F52" i="22" s="1"/>
  <c r="J11" i="22"/>
  <c r="J52" i="22" s="1"/>
  <c r="G11" i="22"/>
  <c r="G52" i="22" s="1"/>
  <c r="N51" i="21"/>
  <c r="H51" i="21"/>
  <c r="O51" i="21" s="1"/>
  <c r="O47" i="21" s="1"/>
  <c r="O50" i="21"/>
  <c r="N50" i="21"/>
  <c r="H50" i="21"/>
  <c r="N49" i="21"/>
  <c r="H49" i="21"/>
  <c r="O49" i="21" s="1"/>
  <c r="O48" i="21"/>
  <c r="N48" i="21"/>
  <c r="N47" i="21" s="1"/>
  <c r="H48" i="21"/>
  <c r="M47" i="21"/>
  <c r="L47" i="21"/>
  <c r="K47" i="21"/>
  <c r="J47" i="21"/>
  <c r="I47" i="21"/>
  <c r="G47" i="21"/>
  <c r="F47" i="21"/>
  <c r="N46" i="21"/>
  <c r="H46" i="21"/>
  <c r="O46" i="21" s="1"/>
  <c r="N45" i="21"/>
  <c r="H45" i="21"/>
  <c r="N44" i="21"/>
  <c r="O44" i="21" s="1"/>
  <c r="H44" i="21"/>
  <c r="N43" i="21"/>
  <c r="H43" i="21"/>
  <c r="O43" i="21" s="1"/>
  <c r="N42" i="21"/>
  <c r="H42" i="21"/>
  <c r="O42" i="21" s="1"/>
  <c r="N41" i="21"/>
  <c r="H41" i="21"/>
  <c r="N40" i="21"/>
  <c r="O40" i="21" s="1"/>
  <c r="H40" i="21"/>
  <c r="N39" i="21"/>
  <c r="H39" i="21"/>
  <c r="O39" i="21" s="1"/>
  <c r="N38" i="21"/>
  <c r="H38" i="21"/>
  <c r="O38" i="21" s="1"/>
  <c r="N37" i="21"/>
  <c r="N33" i="21" s="1"/>
  <c r="H37" i="21"/>
  <c r="N36" i="21"/>
  <c r="O36" i="21" s="1"/>
  <c r="H36" i="21"/>
  <c r="N35" i="21"/>
  <c r="H35" i="21"/>
  <c r="O35" i="21" s="1"/>
  <c r="N34" i="21"/>
  <c r="H34" i="21"/>
  <c r="M33" i="21"/>
  <c r="L33" i="21"/>
  <c r="K33" i="21"/>
  <c r="J33" i="21"/>
  <c r="I33" i="21"/>
  <c r="G33" i="21"/>
  <c r="F33" i="21"/>
  <c r="N32" i="21"/>
  <c r="O32" i="21" s="1"/>
  <c r="H32" i="21"/>
  <c r="O31" i="21"/>
  <c r="N31" i="21"/>
  <c r="H31" i="21"/>
  <c r="O30" i="21"/>
  <c r="N30" i="21"/>
  <c r="H30" i="21"/>
  <c r="N29" i="21"/>
  <c r="O29" i="21" s="1"/>
  <c r="H29" i="21"/>
  <c r="N28" i="21"/>
  <c r="O28" i="21" s="1"/>
  <c r="H28" i="21"/>
  <c r="O27" i="21"/>
  <c r="N27" i="21"/>
  <c r="H27" i="21"/>
  <c r="M26" i="21"/>
  <c r="L26" i="21"/>
  <c r="K26" i="21"/>
  <c r="J26" i="21"/>
  <c r="I26" i="21"/>
  <c r="H26" i="21"/>
  <c r="G26" i="21"/>
  <c r="F26" i="21"/>
  <c r="O25" i="21"/>
  <c r="N25" i="21"/>
  <c r="H25" i="21"/>
  <c r="N24" i="21"/>
  <c r="H24" i="21"/>
  <c r="O24" i="21" s="1"/>
  <c r="O23" i="21"/>
  <c r="N23" i="21"/>
  <c r="H23" i="21"/>
  <c r="N22" i="21"/>
  <c r="H22" i="21"/>
  <c r="H21" i="21" s="1"/>
  <c r="N21" i="21"/>
  <c r="M21" i="21"/>
  <c r="L21" i="21"/>
  <c r="K21" i="21"/>
  <c r="J21" i="21"/>
  <c r="I21" i="21"/>
  <c r="G21" i="21"/>
  <c r="F21" i="21"/>
  <c r="F11" i="21" s="1"/>
  <c r="F52" i="21" s="1"/>
  <c r="N20" i="21"/>
  <c r="N18" i="21" s="1"/>
  <c r="H20" i="21"/>
  <c r="N19" i="21"/>
  <c r="O19" i="21" s="1"/>
  <c r="H19" i="21"/>
  <c r="M18" i="21"/>
  <c r="M11" i="21" s="1"/>
  <c r="M52" i="21" s="1"/>
  <c r="L18" i="21"/>
  <c r="K18" i="21"/>
  <c r="J18" i="21"/>
  <c r="J11" i="21" s="1"/>
  <c r="J52" i="21" s="1"/>
  <c r="I18" i="21"/>
  <c r="H18" i="21"/>
  <c r="G18" i="21"/>
  <c r="F18" i="21"/>
  <c r="O17" i="21"/>
  <c r="N17" i="21"/>
  <c r="H17" i="21"/>
  <c r="N16" i="21"/>
  <c r="O16" i="21" s="1"/>
  <c r="H16" i="21"/>
  <c r="N15" i="21"/>
  <c r="O15" i="21" s="1"/>
  <c r="H15" i="21"/>
  <c r="O14" i="21"/>
  <c r="N14" i="21"/>
  <c r="H14" i="21"/>
  <c r="O13" i="21"/>
  <c r="N13" i="21"/>
  <c r="H13" i="21"/>
  <c r="M12" i="21"/>
  <c r="L12" i="21"/>
  <c r="K12" i="21"/>
  <c r="K11" i="21" s="1"/>
  <c r="K52" i="21" s="1"/>
  <c r="J12" i="21"/>
  <c r="I12" i="21"/>
  <c r="H12" i="21"/>
  <c r="G12" i="21"/>
  <c r="F12" i="21"/>
  <c r="L11" i="21"/>
  <c r="L52" i="21" s="1"/>
  <c r="I11" i="21"/>
  <c r="I52" i="21" s="1"/>
  <c r="G11" i="21"/>
  <c r="G52" i="21" s="1"/>
  <c r="G52" i="20"/>
  <c r="O51" i="20"/>
  <c r="N51" i="20"/>
  <c r="H51" i="20"/>
  <c r="O50" i="20"/>
  <c r="N50" i="20"/>
  <c r="H50" i="20"/>
  <c r="N49" i="20"/>
  <c r="O49" i="20" s="1"/>
  <c r="H49" i="20"/>
  <c r="N48" i="20"/>
  <c r="H48" i="20"/>
  <c r="M47" i="20"/>
  <c r="L47" i="20"/>
  <c r="K47" i="20"/>
  <c r="J47" i="20"/>
  <c r="I47" i="20"/>
  <c r="H47" i="20"/>
  <c r="G47" i="20"/>
  <c r="F47" i="20"/>
  <c r="O46" i="20"/>
  <c r="N46" i="20"/>
  <c r="H46" i="20"/>
  <c r="O45" i="20"/>
  <c r="N45" i="20"/>
  <c r="H45" i="20"/>
  <c r="N44" i="20"/>
  <c r="H44" i="20"/>
  <c r="O44" i="20" s="1"/>
  <c r="O43" i="20"/>
  <c r="N43" i="20"/>
  <c r="H43" i="20"/>
  <c r="N42" i="20"/>
  <c r="H42" i="20"/>
  <c r="O42" i="20" s="1"/>
  <c r="O41" i="20"/>
  <c r="N41" i="20"/>
  <c r="H41" i="20"/>
  <c r="N40" i="20"/>
  <c r="H40" i="20"/>
  <c r="O40" i="20" s="1"/>
  <c r="O39" i="20"/>
  <c r="N39" i="20"/>
  <c r="H39" i="20"/>
  <c r="N38" i="20"/>
  <c r="H38" i="20"/>
  <c r="O38" i="20" s="1"/>
  <c r="O37" i="20"/>
  <c r="N37" i="20"/>
  <c r="H37" i="20"/>
  <c r="N36" i="20"/>
  <c r="H36" i="20"/>
  <c r="O36" i="20" s="1"/>
  <c r="O35" i="20"/>
  <c r="N35" i="20"/>
  <c r="N33" i="20" s="1"/>
  <c r="H35" i="20"/>
  <c r="O34" i="20"/>
  <c r="N34" i="20"/>
  <c r="H34" i="20"/>
  <c r="M33" i="20"/>
  <c r="L33" i="20"/>
  <c r="K33" i="20"/>
  <c r="J33" i="20"/>
  <c r="I33" i="20"/>
  <c r="G33" i="20"/>
  <c r="F33" i="20"/>
  <c r="N32" i="20"/>
  <c r="H32" i="20"/>
  <c r="O32" i="20" s="1"/>
  <c r="N31" i="20"/>
  <c r="O31" i="20" s="1"/>
  <c r="H31" i="20"/>
  <c r="N30" i="20"/>
  <c r="H30" i="20"/>
  <c r="O30" i="20" s="1"/>
  <c r="N29" i="20"/>
  <c r="H29" i="20"/>
  <c r="O29" i="20" s="1"/>
  <c r="N28" i="20"/>
  <c r="N26" i="20" s="1"/>
  <c r="H28" i="20"/>
  <c r="O28" i="20" s="1"/>
  <c r="N27" i="20"/>
  <c r="O27" i="20" s="1"/>
  <c r="H27" i="20"/>
  <c r="M26" i="20"/>
  <c r="L26" i="20"/>
  <c r="K26" i="20"/>
  <c r="J26" i="20"/>
  <c r="I26" i="20"/>
  <c r="H26" i="20"/>
  <c r="G26" i="20"/>
  <c r="F26" i="20"/>
  <c r="O25" i="20"/>
  <c r="N25" i="20"/>
  <c r="H25" i="20"/>
  <c r="N24" i="20"/>
  <c r="O24" i="20" s="1"/>
  <c r="H24" i="20"/>
  <c r="N23" i="20"/>
  <c r="O23" i="20" s="1"/>
  <c r="H23" i="20"/>
  <c r="O22" i="20"/>
  <c r="N22" i="20"/>
  <c r="H22" i="20"/>
  <c r="M21" i="20"/>
  <c r="L21" i="20"/>
  <c r="K21" i="20"/>
  <c r="J21" i="20"/>
  <c r="I21" i="20"/>
  <c r="H21" i="20"/>
  <c r="G21" i="20"/>
  <c r="F21" i="20"/>
  <c r="F11" i="20" s="1"/>
  <c r="F52" i="20" s="1"/>
  <c r="O20" i="20"/>
  <c r="N20" i="20"/>
  <c r="H20" i="20"/>
  <c r="N19" i="20"/>
  <c r="H19" i="20"/>
  <c r="H18" i="20" s="1"/>
  <c r="N18" i="20"/>
  <c r="M18" i="20"/>
  <c r="L18" i="20"/>
  <c r="L11" i="20" s="1"/>
  <c r="L52" i="20" s="1"/>
  <c r="K18" i="20"/>
  <c r="J18" i="20"/>
  <c r="I18" i="20"/>
  <c r="G18" i="20"/>
  <c r="F18" i="20"/>
  <c r="N17" i="20"/>
  <c r="H17" i="20"/>
  <c r="O17" i="20" s="1"/>
  <c r="N16" i="20"/>
  <c r="H16" i="20"/>
  <c r="O16" i="20" s="1"/>
  <c r="N15" i="20"/>
  <c r="H15" i="20"/>
  <c r="O15" i="20" s="1"/>
  <c r="O14" i="20"/>
  <c r="N14" i="20"/>
  <c r="H14" i="20"/>
  <c r="N13" i="20"/>
  <c r="N12" i="20" s="1"/>
  <c r="H13" i="20"/>
  <c r="M12" i="20"/>
  <c r="M11" i="20" s="1"/>
  <c r="M52" i="20" s="1"/>
  <c r="L12" i="20"/>
  <c r="K12" i="20"/>
  <c r="K11" i="20" s="1"/>
  <c r="K52" i="20" s="1"/>
  <c r="J12" i="20"/>
  <c r="J11" i="20" s="1"/>
  <c r="J52" i="20" s="1"/>
  <c r="I12" i="20"/>
  <c r="G12" i="20"/>
  <c r="F12" i="20"/>
  <c r="I11" i="20"/>
  <c r="G11" i="20"/>
  <c r="O49" i="19"/>
  <c r="N49" i="19"/>
  <c r="H49" i="19"/>
  <c r="N48" i="19"/>
  <c r="H48" i="19"/>
  <c r="O48" i="19" s="1"/>
  <c r="N47" i="19"/>
  <c r="H47" i="19"/>
  <c r="O47" i="19" s="1"/>
  <c r="N46" i="19"/>
  <c r="N45" i="19" s="1"/>
  <c r="H46" i="19"/>
  <c r="M45" i="19"/>
  <c r="L45" i="19"/>
  <c r="K45" i="19"/>
  <c r="J45" i="19"/>
  <c r="I45" i="19"/>
  <c r="G45" i="19"/>
  <c r="F45" i="19"/>
  <c r="O44" i="19"/>
  <c r="N44" i="19"/>
  <c r="H44" i="19"/>
  <c r="O43" i="19"/>
  <c r="N43" i="19"/>
  <c r="H43" i="19"/>
  <c r="N42" i="19"/>
  <c r="O42" i="19" s="1"/>
  <c r="H42" i="19"/>
  <c r="N41" i="19"/>
  <c r="O41" i="19" s="1"/>
  <c r="H41" i="19"/>
  <c r="O40" i="19"/>
  <c r="N40" i="19"/>
  <c r="H40" i="19"/>
  <c r="O39" i="19"/>
  <c r="N39" i="19"/>
  <c r="H39" i="19"/>
  <c r="N38" i="19"/>
  <c r="O38" i="19" s="1"/>
  <c r="H38" i="19"/>
  <c r="N37" i="19"/>
  <c r="O37" i="19" s="1"/>
  <c r="H37" i="19"/>
  <c r="O36" i="19"/>
  <c r="N36" i="19"/>
  <c r="H36" i="19"/>
  <c r="O35" i="19"/>
  <c r="N35" i="19"/>
  <c r="H35" i="19"/>
  <c r="N34" i="19"/>
  <c r="O34" i="19" s="1"/>
  <c r="H34" i="19"/>
  <c r="N33" i="19"/>
  <c r="O33" i="19" s="1"/>
  <c r="H33" i="19"/>
  <c r="O32" i="19"/>
  <c r="N32" i="19"/>
  <c r="H32" i="19"/>
  <c r="M31" i="19"/>
  <c r="L31" i="19"/>
  <c r="K31" i="19"/>
  <c r="J31" i="19"/>
  <c r="I31" i="19"/>
  <c r="H31" i="19"/>
  <c r="G31" i="19"/>
  <c r="F31" i="19"/>
  <c r="O30" i="19"/>
  <c r="N30" i="19"/>
  <c r="H30" i="19"/>
  <c r="N29" i="19"/>
  <c r="H29" i="19"/>
  <c r="O29" i="19" s="1"/>
  <c r="O28" i="19"/>
  <c r="N28" i="19"/>
  <c r="H28" i="19"/>
  <c r="O27" i="19"/>
  <c r="O26" i="19" s="1"/>
  <c r="N27" i="19"/>
  <c r="H27" i="19"/>
  <c r="H26" i="19" s="1"/>
  <c r="N26" i="19"/>
  <c r="M26" i="19"/>
  <c r="L26" i="19"/>
  <c r="K26" i="19"/>
  <c r="J26" i="19"/>
  <c r="J11" i="19" s="1"/>
  <c r="J50" i="19" s="1"/>
  <c r="I26" i="19"/>
  <c r="G26" i="19"/>
  <c r="F26" i="19"/>
  <c r="N25" i="19"/>
  <c r="N21" i="19" s="1"/>
  <c r="H25" i="19"/>
  <c r="O25" i="19" s="1"/>
  <c r="O24" i="19"/>
  <c r="N24" i="19"/>
  <c r="H24" i="19"/>
  <c r="N23" i="19"/>
  <c r="H23" i="19"/>
  <c r="O23" i="19" s="1"/>
  <c r="N22" i="19"/>
  <c r="H22" i="19"/>
  <c r="O22" i="19" s="1"/>
  <c r="M21" i="19"/>
  <c r="L21" i="19"/>
  <c r="K21" i="19"/>
  <c r="J21" i="19"/>
  <c r="I21" i="19"/>
  <c r="G21" i="19"/>
  <c r="F21" i="19"/>
  <c r="N20" i="19"/>
  <c r="O20" i="19" s="1"/>
  <c r="H20" i="19"/>
  <c r="O19" i="19"/>
  <c r="O18" i="19" s="1"/>
  <c r="N19" i="19"/>
  <c r="H19" i="19"/>
  <c r="M18" i="19"/>
  <c r="L18" i="19"/>
  <c r="K18" i="19"/>
  <c r="K11" i="19" s="1"/>
  <c r="K50" i="19" s="1"/>
  <c r="J18" i="19"/>
  <c r="I18" i="19"/>
  <c r="H18" i="19"/>
  <c r="G18" i="19"/>
  <c r="F18" i="19"/>
  <c r="O17" i="19"/>
  <c r="N17" i="19"/>
  <c r="H17" i="19"/>
  <c r="N16" i="19"/>
  <c r="H16" i="19"/>
  <c r="O16" i="19" s="1"/>
  <c r="O15" i="19"/>
  <c r="N15" i="19"/>
  <c r="H15" i="19"/>
  <c r="O14" i="19"/>
  <c r="N14" i="19"/>
  <c r="H14" i="19"/>
  <c r="O13" i="19"/>
  <c r="N13" i="19"/>
  <c r="N12" i="19" s="1"/>
  <c r="H13" i="19"/>
  <c r="H12" i="19" s="1"/>
  <c r="M12" i="19"/>
  <c r="M11" i="19" s="1"/>
  <c r="M50" i="19" s="1"/>
  <c r="L12" i="19"/>
  <c r="K12" i="19"/>
  <c r="J12" i="19"/>
  <c r="I12" i="19"/>
  <c r="I11" i="19" s="1"/>
  <c r="I50" i="19" s="1"/>
  <c r="G12" i="19"/>
  <c r="F12" i="19"/>
  <c r="G11" i="19"/>
  <c r="G50" i="19" s="1"/>
  <c r="N51" i="18"/>
  <c r="H51" i="18"/>
  <c r="O51" i="18" s="1"/>
  <c r="O47" i="18" s="1"/>
  <c r="O50" i="18"/>
  <c r="N50" i="18"/>
  <c r="H50" i="18"/>
  <c r="N49" i="18"/>
  <c r="H49" i="18"/>
  <c r="O49" i="18" s="1"/>
  <c r="O48" i="18"/>
  <c r="N48" i="18"/>
  <c r="N47" i="18" s="1"/>
  <c r="H48" i="18"/>
  <c r="M47" i="18"/>
  <c r="L47" i="18"/>
  <c r="K47" i="18"/>
  <c r="J47" i="18"/>
  <c r="I47" i="18"/>
  <c r="G47" i="18"/>
  <c r="F47" i="18"/>
  <c r="N46" i="18"/>
  <c r="H46" i="18"/>
  <c r="O46" i="18" s="1"/>
  <c r="N45" i="18"/>
  <c r="H45" i="18"/>
  <c r="O45" i="18" s="1"/>
  <c r="N44" i="18"/>
  <c r="O44" i="18" s="1"/>
  <c r="H44" i="18"/>
  <c r="N43" i="18"/>
  <c r="H43" i="18"/>
  <c r="O43" i="18" s="1"/>
  <c r="N42" i="18"/>
  <c r="H42" i="18"/>
  <c r="O42" i="18" s="1"/>
  <c r="N41" i="18"/>
  <c r="H41" i="18"/>
  <c r="O41" i="18" s="1"/>
  <c r="N40" i="18"/>
  <c r="O40" i="18" s="1"/>
  <c r="H40" i="18"/>
  <c r="N39" i="18"/>
  <c r="H39" i="18"/>
  <c r="O39" i="18" s="1"/>
  <c r="N38" i="18"/>
  <c r="H38" i="18"/>
  <c r="O38" i="18" s="1"/>
  <c r="N37" i="18"/>
  <c r="H37" i="18"/>
  <c r="O37" i="18" s="1"/>
  <c r="N36" i="18"/>
  <c r="O36" i="18" s="1"/>
  <c r="H36" i="18"/>
  <c r="N35" i="18"/>
  <c r="H35" i="18"/>
  <c r="O35" i="18" s="1"/>
  <c r="N34" i="18"/>
  <c r="H34" i="18"/>
  <c r="O34" i="18" s="1"/>
  <c r="N33" i="18"/>
  <c r="M33" i="18"/>
  <c r="L33" i="18"/>
  <c r="K33" i="18"/>
  <c r="J33" i="18"/>
  <c r="I33" i="18"/>
  <c r="H33" i="18"/>
  <c r="G33" i="18"/>
  <c r="F33" i="18"/>
  <c r="N32" i="18"/>
  <c r="O32" i="18" s="1"/>
  <c r="H32" i="18"/>
  <c r="O31" i="18"/>
  <c r="N31" i="18"/>
  <c r="H31" i="18"/>
  <c r="O30" i="18"/>
  <c r="N30" i="18"/>
  <c r="H30" i="18"/>
  <c r="N29" i="18"/>
  <c r="O29" i="18" s="1"/>
  <c r="H29" i="18"/>
  <c r="N28" i="18"/>
  <c r="O28" i="18" s="1"/>
  <c r="H28" i="18"/>
  <c r="N27" i="18"/>
  <c r="H27" i="18"/>
  <c r="M26" i="18"/>
  <c r="L26" i="18"/>
  <c r="K26" i="18"/>
  <c r="J26" i="18"/>
  <c r="J11" i="18" s="1"/>
  <c r="J52" i="18" s="1"/>
  <c r="I26" i="18"/>
  <c r="H26" i="18"/>
  <c r="G26" i="18"/>
  <c r="F26" i="18"/>
  <c r="N25" i="18"/>
  <c r="H25" i="18"/>
  <c r="O25" i="18" s="1"/>
  <c r="N24" i="18"/>
  <c r="H24" i="18"/>
  <c r="O24" i="18" s="1"/>
  <c r="O23" i="18"/>
  <c r="N23" i="18"/>
  <c r="N21" i="18" s="1"/>
  <c r="H23" i="18"/>
  <c r="O22" i="18"/>
  <c r="N22" i="18"/>
  <c r="H22" i="18"/>
  <c r="H21" i="18" s="1"/>
  <c r="M21" i="18"/>
  <c r="L21" i="18"/>
  <c r="K21" i="18"/>
  <c r="J21" i="18"/>
  <c r="I21" i="18"/>
  <c r="G21" i="18"/>
  <c r="F21" i="18"/>
  <c r="F11" i="18" s="1"/>
  <c r="F52" i="18" s="1"/>
  <c r="N20" i="18"/>
  <c r="H20" i="18"/>
  <c r="N19" i="18"/>
  <c r="O19" i="18" s="1"/>
  <c r="H19" i="18"/>
  <c r="M18" i="18"/>
  <c r="L18" i="18"/>
  <c r="K18" i="18"/>
  <c r="J18" i="18"/>
  <c r="I18" i="18"/>
  <c r="H18" i="18"/>
  <c r="G18" i="18"/>
  <c r="G11" i="18" s="1"/>
  <c r="G52" i="18" s="1"/>
  <c r="F18" i="18"/>
  <c r="O17" i="18"/>
  <c r="N17" i="18"/>
  <c r="H17" i="18"/>
  <c r="N16" i="18"/>
  <c r="H16" i="18"/>
  <c r="O16" i="18" s="1"/>
  <c r="N15" i="18"/>
  <c r="O15" i="18" s="1"/>
  <c r="H15" i="18"/>
  <c r="O14" i="18"/>
  <c r="N14" i="18"/>
  <c r="N12" i="18" s="1"/>
  <c r="H14" i="18"/>
  <c r="O13" i="18"/>
  <c r="N13" i="18"/>
  <c r="H13" i="18"/>
  <c r="M12" i="18"/>
  <c r="M11" i="18" s="1"/>
  <c r="M52" i="18" s="1"/>
  <c r="L12" i="18"/>
  <c r="L11" i="18" s="1"/>
  <c r="L52" i="18" s="1"/>
  <c r="K12" i="18"/>
  <c r="J12" i="18"/>
  <c r="I12" i="18"/>
  <c r="I11" i="18" s="1"/>
  <c r="I52" i="18" s="1"/>
  <c r="H12" i="18"/>
  <c r="G12" i="18"/>
  <c r="F12" i="18"/>
  <c r="K11" i="18"/>
  <c r="K52" i="18" s="1"/>
  <c r="N51" i="17"/>
  <c r="H51" i="17"/>
  <c r="O51" i="17" s="1"/>
  <c r="N50" i="17"/>
  <c r="H50" i="17"/>
  <c r="H47" i="17" s="1"/>
  <c r="N49" i="17"/>
  <c r="H49" i="17"/>
  <c r="O49" i="17" s="1"/>
  <c r="N48" i="17"/>
  <c r="N47" i="17" s="1"/>
  <c r="H48" i="17"/>
  <c r="O48" i="17" s="1"/>
  <c r="M47" i="17"/>
  <c r="L47" i="17"/>
  <c r="K47" i="17"/>
  <c r="J47" i="17"/>
  <c r="I47" i="17"/>
  <c r="G47" i="17"/>
  <c r="F47" i="17"/>
  <c r="N46" i="17"/>
  <c r="O46" i="17" s="1"/>
  <c r="H46" i="17"/>
  <c r="N45" i="17"/>
  <c r="H45" i="17"/>
  <c r="O45" i="17" s="1"/>
  <c r="N44" i="17"/>
  <c r="O44" i="17" s="1"/>
  <c r="H44" i="17"/>
  <c r="O43" i="17"/>
  <c r="N43" i="17"/>
  <c r="H43" i="17"/>
  <c r="N42" i="17"/>
  <c r="H42" i="17"/>
  <c r="O42" i="17" s="1"/>
  <c r="N41" i="17"/>
  <c r="H41" i="17"/>
  <c r="O41" i="17" s="1"/>
  <c r="N40" i="17"/>
  <c r="O40" i="17" s="1"/>
  <c r="H40" i="17"/>
  <c r="O39" i="17"/>
  <c r="N39" i="17"/>
  <c r="H39" i="17"/>
  <c r="N38" i="17"/>
  <c r="H38" i="17"/>
  <c r="O38" i="17" s="1"/>
  <c r="N37" i="17"/>
  <c r="H37" i="17"/>
  <c r="O37" i="17" s="1"/>
  <c r="N36" i="17"/>
  <c r="O36" i="17" s="1"/>
  <c r="H36" i="17"/>
  <c r="N35" i="17"/>
  <c r="O35" i="17" s="1"/>
  <c r="H35" i="17"/>
  <c r="N34" i="17"/>
  <c r="N33" i="17" s="1"/>
  <c r="H34" i="17"/>
  <c r="O34" i="17" s="1"/>
  <c r="M33" i="17"/>
  <c r="L33" i="17"/>
  <c r="K33" i="17"/>
  <c r="J33" i="17"/>
  <c r="I33" i="17"/>
  <c r="H33" i="17"/>
  <c r="G33" i="17"/>
  <c r="F33" i="17"/>
  <c r="N31" i="17"/>
  <c r="H31" i="17"/>
  <c r="O31" i="17" s="1"/>
  <c r="N30" i="17"/>
  <c r="H30" i="17"/>
  <c r="O30" i="17" s="1"/>
  <c r="O29" i="17"/>
  <c r="N29" i="17"/>
  <c r="H29" i="17"/>
  <c r="N28" i="17"/>
  <c r="H28" i="17"/>
  <c r="O28" i="17" s="1"/>
  <c r="N27" i="17"/>
  <c r="H27" i="17"/>
  <c r="H26" i="17" s="1"/>
  <c r="N26" i="17"/>
  <c r="M26" i="17"/>
  <c r="L26" i="17"/>
  <c r="L11" i="17" s="1"/>
  <c r="L52" i="17" s="1"/>
  <c r="K26" i="17"/>
  <c r="J26" i="17"/>
  <c r="I26" i="17"/>
  <c r="G26" i="17"/>
  <c r="F26" i="17"/>
  <c r="N25" i="17"/>
  <c r="H25" i="17"/>
  <c r="O25" i="17" s="1"/>
  <c r="N24" i="17"/>
  <c r="N21" i="17" s="1"/>
  <c r="H24" i="17"/>
  <c r="O24" i="17" s="1"/>
  <c r="N23" i="17"/>
  <c r="H23" i="17"/>
  <c r="O23" i="17" s="1"/>
  <c r="O22" i="17"/>
  <c r="N22" i="17"/>
  <c r="H22" i="17"/>
  <c r="M21" i="17"/>
  <c r="L21" i="17"/>
  <c r="K21" i="17"/>
  <c r="K11" i="17" s="1"/>
  <c r="K52" i="17" s="1"/>
  <c r="J21" i="17"/>
  <c r="J11" i="17" s="1"/>
  <c r="J52" i="17" s="1"/>
  <c r="I21" i="17"/>
  <c r="G21" i="17"/>
  <c r="F21" i="17"/>
  <c r="N20" i="17"/>
  <c r="H20" i="17"/>
  <c r="O20" i="17" s="1"/>
  <c r="N19" i="17"/>
  <c r="H19" i="17"/>
  <c r="O19" i="17" s="1"/>
  <c r="O18" i="17" s="1"/>
  <c r="N18" i="17"/>
  <c r="M18" i="17"/>
  <c r="L18" i="17"/>
  <c r="K18" i="17"/>
  <c r="J18" i="17"/>
  <c r="I18" i="17"/>
  <c r="H18" i="17"/>
  <c r="G18" i="17"/>
  <c r="F18" i="17"/>
  <c r="N17" i="17"/>
  <c r="H17" i="17"/>
  <c r="O17" i="17" s="1"/>
  <c r="O16" i="17"/>
  <c r="N16" i="17"/>
  <c r="H16" i="17"/>
  <c r="O15" i="17"/>
  <c r="N15" i="17"/>
  <c r="H15" i="17"/>
  <c r="N14" i="17"/>
  <c r="H14" i="17"/>
  <c r="O14" i="17" s="1"/>
  <c r="N13" i="17"/>
  <c r="N12" i="17" s="1"/>
  <c r="N11" i="17" s="1"/>
  <c r="H13" i="17"/>
  <c r="H12" i="17" s="1"/>
  <c r="M12" i="17"/>
  <c r="L12" i="17"/>
  <c r="K12" i="17"/>
  <c r="J12" i="17"/>
  <c r="I12" i="17"/>
  <c r="G12" i="17"/>
  <c r="F12" i="17"/>
  <c r="M11" i="17"/>
  <c r="M52" i="17" s="1"/>
  <c r="I11" i="17"/>
  <c r="I52" i="17" s="1"/>
  <c r="G11" i="17"/>
  <c r="G52" i="17" s="1"/>
  <c r="F11" i="17"/>
  <c r="F52" i="17" s="1"/>
  <c r="N51" i="16"/>
  <c r="H51" i="16"/>
  <c r="O51" i="16" s="1"/>
  <c r="N50" i="16"/>
  <c r="H50" i="16"/>
  <c r="O50" i="16" s="1"/>
  <c r="O49" i="16"/>
  <c r="N49" i="16"/>
  <c r="H49" i="16"/>
  <c r="N48" i="16"/>
  <c r="N47" i="16" s="1"/>
  <c r="H48" i="16"/>
  <c r="H47" i="16" s="1"/>
  <c r="M47" i="16"/>
  <c r="L47" i="16"/>
  <c r="K47" i="16"/>
  <c r="J47" i="16"/>
  <c r="I47" i="16"/>
  <c r="G47" i="16"/>
  <c r="F47" i="16"/>
  <c r="N46" i="16"/>
  <c r="H46" i="16"/>
  <c r="O46" i="16" s="1"/>
  <c r="N45" i="16"/>
  <c r="H45" i="16"/>
  <c r="O45" i="16" s="1"/>
  <c r="N44" i="16"/>
  <c r="H44" i="16"/>
  <c r="O44" i="16" s="1"/>
  <c r="N43" i="16"/>
  <c r="H43" i="16"/>
  <c r="O43" i="16" s="1"/>
  <c r="N42" i="16"/>
  <c r="H42" i="16"/>
  <c r="O42" i="16" s="1"/>
  <c r="N41" i="16"/>
  <c r="H41" i="16"/>
  <c r="O41" i="16" s="1"/>
  <c r="N40" i="16"/>
  <c r="H40" i="16"/>
  <c r="O40" i="16" s="1"/>
  <c r="N39" i="16"/>
  <c r="H39" i="16"/>
  <c r="O39" i="16" s="1"/>
  <c r="N38" i="16"/>
  <c r="H38" i="16"/>
  <c r="O38" i="16" s="1"/>
  <c r="N37" i="16"/>
  <c r="H37" i="16"/>
  <c r="O37" i="16" s="1"/>
  <c r="N36" i="16"/>
  <c r="H36" i="16"/>
  <c r="O36" i="16" s="1"/>
  <c r="N35" i="16"/>
  <c r="H35" i="16"/>
  <c r="O35" i="16" s="1"/>
  <c r="N34" i="16"/>
  <c r="N33" i="16" s="1"/>
  <c r="H34" i="16"/>
  <c r="H33" i="16" s="1"/>
  <c r="M33" i="16"/>
  <c r="L33" i="16"/>
  <c r="K33" i="16"/>
  <c r="J33" i="16"/>
  <c r="I33" i="16"/>
  <c r="G33" i="16"/>
  <c r="F33" i="16"/>
  <c r="N31" i="16"/>
  <c r="H31" i="16"/>
  <c r="O31" i="16" s="1"/>
  <c r="N30" i="16"/>
  <c r="H30" i="16"/>
  <c r="O30" i="16" s="1"/>
  <c r="O29" i="16"/>
  <c r="N29" i="16"/>
  <c r="H29" i="16"/>
  <c r="N28" i="16"/>
  <c r="H28" i="16"/>
  <c r="O28" i="16" s="1"/>
  <c r="N27" i="16"/>
  <c r="N26" i="16" s="1"/>
  <c r="H27" i="16"/>
  <c r="O27" i="16" s="1"/>
  <c r="M26" i="16"/>
  <c r="L26" i="16"/>
  <c r="K26" i="16"/>
  <c r="K11" i="16" s="1"/>
  <c r="K52" i="16" s="1"/>
  <c r="J26" i="16"/>
  <c r="I26" i="16"/>
  <c r="H26" i="16"/>
  <c r="G26" i="16"/>
  <c r="F26" i="16"/>
  <c r="N25" i="16"/>
  <c r="H25" i="16"/>
  <c r="O25" i="16" s="1"/>
  <c r="N24" i="16"/>
  <c r="H24" i="16"/>
  <c r="H21" i="16" s="1"/>
  <c r="O23" i="16"/>
  <c r="N23" i="16"/>
  <c r="H23" i="16"/>
  <c r="N22" i="16"/>
  <c r="H22" i="16"/>
  <c r="O22" i="16" s="1"/>
  <c r="N21" i="16"/>
  <c r="M21" i="16"/>
  <c r="L21" i="16"/>
  <c r="K21" i="16"/>
  <c r="J21" i="16"/>
  <c r="J11" i="16" s="1"/>
  <c r="J52" i="16" s="1"/>
  <c r="I21" i="16"/>
  <c r="I11" i="16" s="1"/>
  <c r="I52" i="16" s="1"/>
  <c r="G21" i="16"/>
  <c r="F21" i="16"/>
  <c r="N20" i="16"/>
  <c r="H20" i="16"/>
  <c r="O20" i="16" s="1"/>
  <c r="N19" i="16"/>
  <c r="H19" i="16"/>
  <c r="H18" i="16" s="1"/>
  <c r="H11" i="16" s="1"/>
  <c r="N18" i="16"/>
  <c r="M18" i="16"/>
  <c r="L18" i="16"/>
  <c r="K18" i="16"/>
  <c r="J18" i="16"/>
  <c r="I18" i="16"/>
  <c r="G18" i="16"/>
  <c r="F18" i="16"/>
  <c r="N17" i="16"/>
  <c r="H17" i="16"/>
  <c r="O17" i="16" s="1"/>
  <c r="O16" i="16"/>
  <c r="N16" i="16"/>
  <c r="H16" i="16"/>
  <c r="N15" i="16"/>
  <c r="H15" i="16"/>
  <c r="O15" i="16" s="1"/>
  <c r="N14" i="16"/>
  <c r="H14" i="16"/>
  <c r="O14" i="16" s="1"/>
  <c r="N13" i="16"/>
  <c r="H13" i="16"/>
  <c r="O13" i="16" s="1"/>
  <c r="N12" i="16"/>
  <c r="N11" i="16" s="1"/>
  <c r="M12" i="16"/>
  <c r="L12" i="16"/>
  <c r="K12" i="16"/>
  <c r="J12" i="16"/>
  <c r="I12" i="16"/>
  <c r="H12" i="16"/>
  <c r="G12" i="16"/>
  <c r="F12" i="16"/>
  <c r="M11" i="16"/>
  <c r="M52" i="16" s="1"/>
  <c r="L11" i="16"/>
  <c r="L52" i="16" s="1"/>
  <c r="G11" i="16"/>
  <c r="G52" i="16" s="1"/>
  <c r="F11" i="16"/>
  <c r="F52" i="16" s="1"/>
  <c r="N49" i="15"/>
  <c r="H49" i="15"/>
  <c r="O49" i="15" s="1"/>
  <c r="N48" i="15"/>
  <c r="H48" i="15"/>
  <c r="O48" i="15" s="1"/>
  <c r="O47" i="15"/>
  <c r="N47" i="15"/>
  <c r="H47" i="15"/>
  <c r="N46" i="15"/>
  <c r="N45" i="15" s="1"/>
  <c r="H46" i="15"/>
  <c r="O46" i="15" s="1"/>
  <c r="O45" i="15" s="1"/>
  <c r="M45" i="15"/>
  <c r="L45" i="15"/>
  <c r="K45" i="15"/>
  <c r="J45" i="15"/>
  <c r="I45" i="15"/>
  <c r="H45" i="15"/>
  <c r="G45" i="15"/>
  <c r="F45" i="15"/>
  <c r="O44" i="15"/>
  <c r="N44" i="15"/>
  <c r="H44" i="15"/>
  <c r="N43" i="15"/>
  <c r="O43" i="15" s="1"/>
  <c r="H43" i="15"/>
  <c r="O42" i="15"/>
  <c r="N42" i="15"/>
  <c r="H42" i="15"/>
  <c r="O41" i="15"/>
  <c r="N41" i="15"/>
  <c r="H41" i="15"/>
  <c r="O40" i="15"/>
  <c r="N40" i="15"/>
  <c r="H40" i="15"/>
  <c r="N39" i="15"/>
  <c r="O39" i="15" s="1"/>
  <c r="H39" i="15"/>
  <c r="O38" i="15"/>
  <c r="N38" i="15"/>
  <c r="H38" i="15"/>
  <c r="O37" i="15"/>
  <c r="N37" i="15"/>
  <c r="H37" i="15"/>
  <c r="O36" i="15"/>
  <c r="N36" i="15"/>
  <c r="H36" i="15"/>
  <c r="N35" i="15"/>
  <c r="O35" i="15" s="1"/>
  <c r="H35" i="15"/>
  <c r="O34" i="15"/>
  <c r="N34" i="15"/>
  <c r="H34" i="15"/>
  <c r="H31" i="15" s="1"/>
  <c r="O33" i="15"/>
  <c r="N33" i="15"/>
  <c r="N31" i="15" s="1"/>
  <c r="H33" i="15"/>
  <c r="O32" i="15"/>
  <c r="N32" i="15"/>
  <c r="H32" i="15"/>
  <c r="M31" i="15"/>
  <c r="L31" i="15"/>
  <c r="L50" i="15" s="1"/>
  <c r="K31" i="15"/>
  <c r="J31" i="15"/>
  <c r="I31" i="15"/>
  <c r="G31" i="15"/>
  <c r="F31" i="15"/>
  <c r="N29" i="15"/>
  <c r="H29" i="15"/>
  <c r="O29" i="15" s="1"/>
  <c r="N28" i="15"/>
  <c r="H28" i="15"/>
  <c r="O28" i="15" s="1"/>
  <c r="N27" i="15"/>
  <c r="N26" i="15" s="1"/>
  <c r="H27" i="15"/>
  <c r="H26" i="15" s="1"/>
  <c r="M26" i="15"/>
  <c r="L26" i="15"/>
  <c r="K26" i="15"/>
  <c r="J26" i="15"/>
  <c r="I26" i="15"/>
  <c r="G26" i="15"/>
  <c r="F26" i="15"/>
  <c r="O25" i="15"/>
  <c r="N25" i="15"/>
  <c r="H25" i="15"/>
  <c r="N24" i="15"/>
  <c r="H24" i="15"/>
  <c r="O24" i="15" s="1"/>
  <c r="N23" i="15"/>
  <c r="H23" i="15"/>
  <c r="O23" i="15" s="1"/>
  <c r="N22" i="15"/>
  <c r="N21" i="15" s="1"/>
  <c r="H22" i="15"/>
  <c r="H21" i="15" s="1"/>
  <c r="M21" i="15"/>
  <c r="L21" i="15"/>
  <c r="K21" i="15"/>
  <c r="K11" i="15" s="1"/>
  <c r="J21" i="15"/>
  <c r="I21" i="15"/>
  <c r="G21" i="15"/>
  <c r="F21" i="15"/>
  <c r="O20" i="15"/>
  <c r="O18" i="15" s="1"/>
  <c r="N20" i="15"/>
  <c r="H20" i="15"/>
  <c r="H18" i="15" s="1"/>
  <c r="O19" i="15"/>
  <c r="N19" i="15"/>
  <c r="N18" i="15" s="1"/>
  <c r="H19" i="15"/>
  <c r="M18" i="15"/>
  <c r="L18" i="15"/>
  <c r="K18" i="15"/>
  <c r="J18" i="15"/>
  <c r="I18" i="15"/>
  <c r="G18" i="15"/>
  <c r="F18" i="15"/>
  <c r="N17" i="15"/>
  <c r="H17" i="15"/>
  <c r="O17" i="15" s="1"/>
  <c r="N16" i="15"/>
  <c r="H16" i="15"/>
  <c r="O16" i="15" s="1"/>
  <c r="N15" i="15"/>
  <c r="H15" i="15"/>
  <c r="O15" i="15" s="1"/>
  <c r="N14" i="15"/>
  <c r="N12" i="15" s="1"/>
  <c r="N11" i="15" s="1"/>
  <c r="N50" i="15" s="1"/>
  <c r="H14" i="15"/>
  <c r="O14" i="15" s="1"/>
  <c r="N13" i="15"/>
  <c r="H13" i="15"/>
  <c r="M12" i="15"/>
  <c r="L12" i="15"/>
  <c r="K12" i="15"/>
  <c r="J12" i="15"/>
  <c r="J11" i="15" s="1"/>
  <c r="J50" i="15" s="1"/>
  <c r="I12" i="15"/>
  <c r="G12" i="15"/>
  <c r="F12" i="15"/>
  <c r="L11" i="15"/>
  <c r="F11" i="15"/>
  <c r="F50" i="15" s="1"/>
  <c r="N51" i="14"/>
  <c r="H51" i="14"/>
  <c r="O51" i="14" s="1"/>
  <c r="N50" i="14"/>
  <c r="H50" i="14"/>
  <c r="O50" i="14" s="1"/>
  <c r="N49" i="14"/>
  <c r="H49" i="14"/>
  <c r="O49" i="14" s="1"/>
  <c r="N48" i="14"/>
  <c r="H48" i="14"/>
  <c r="N47" i="14"/>
  <c r="M47" i="14"/>
  <c r="L47" i="14"/>
  <c r="K47" i="14"/>
  <c r="J47" i="14"/>
  <c r="I47" i="14"/>
  <c r="G47" i="14"/>
  <c r="F47" i="14"/>
  <c r="N46" i="14"/>
  <c r="H46" i="14"/>
  <c r="O46" i="14" s="1"/>
  <c r="O45" i="14"/>
  <c r="N45" i="14"/>
  <c r="H45" i="14"/>
  <c r="N44" i="14"/>
  <c r="O44" i="14" s="1"/>
  <c r="H44" i="14"/>
  <c r="N43" i="14"/>
  <c r="H43" i="14"/>
  <c r="O43" i="14" s="1"/>
  <c r="N42" i="14"/>
  <c r="H42" i="14"/>
  <c r="O42" i="14" s="1"/>
  <c r="O41" i="14"/>
  <c r="N41" i="14"/>
  <c r="H41" i="14"/>
  <c r="N40" i="14"/>
  <c r="O40" i="14" s="1"/>
  <c r="H40" i="14"/>
  <c r="N39" i="14"/>
  <c r="H39" i="14"/>
  <c r="O39" i="14" s="1"/>
  <c r="N38" i="14"/>
  <c r="H38" i="14"/>
  <c r="O38" i="14" s="1"/>
  <c r="O37" i="14"/>
  <c r="N37" i="14"/>
  <c r="H37" i="14"/>
  <c r="N36" i="14"/>
  <c r="O36" i="14" s="1"/>
  <c r="H36" i="14"/>
  <c r="N35" i="14"/>
  <c r="H35" i="14"/>
  <c r="O35" i="14" s="1"/>
  <c r="N34" i="14"/>
  <c r="H34" i="14"/>
  <c r="H33" i="14" s="1"/>
  <c r="M33" i="14"/>
  <c r="L33" i="14"/>
  <c r="K33" i="14"/>
  <c r="J33" i="14"/>
  <c r="I33" i="14"/>
  <c r="G33" i="14"/>
  <c r="F33" i="14"/>
  <c r="O31" i="14"/>
  <c r="N31" i="14"/>
  <c r="H31" i="14"/>
  <c r="O30" i="14"/>
  <c r="N30" i="14"/>
  <c r="H30" i="14"/>
  <c r="O29" i="14"/>
  <c r="N29" i="14"/>
  <c r="H29" i="14"/>
  <c r="N28" i="14"/>
  <c r="H28" i="14"/>
  <c r="O28" i="14" s="1"/>
  <c r="O27" i="14"/>
  <c r="N27" i="14"/>
  <c r="H27" i="14"/>
  <c r="H26" i="14" s="1"/>
  <c r="N26" i="14"/>
  <c r="M26" i="14"/>
  <c r="L26" i="14"/>
  <c r="K26" i="14"/>
  <c r="J26" i="14"/>
  <c r="I26" i="14"/>
  <c r="G26" i="14"/>
  <c r="F26" i="14"/>
  <c r="N25" i="14"/>
  <c r="H25" i="14"/>
  <c r="O25" i="14" s="1"/>
  <c r="N24" i="14"/>
  <c r="H24" i="14"/>
  <c r="O24" i="14" s="1"/>
  <c r="N23" i="14"/>
  <c r="H23" i="14"/>
  <c r="O23" i="14" s="1"/>
  <c r="N22" i="14"/>
  <c r="H22" i="14"/>
  <c r="N21" i="14"/>
  <c r="M21" i="14"/>
  <c r="L21" i="14"/>
  <c r="L11" i="14" s="1"/>
  <c r="L52" i="14" s="1"/>
  <c r="K21" i="14"/>
  <c r="J21" i="14"/>
  <c r="J11" i="14" s="1"/>
  <c r="J52" i="14" s="1"/>
  <c r="I21" i="14"/>
  <c r="G21" i="14"/>
  <c r="F21" i="14"/>
  <c r="N20" i="14"/>
  <c r="H20" i="14"/>
  <c r="O20" i="14" s="1"/>
  <c r="O19" i="14"/>
  <c r="N19" i="14"/>
  <c r="H19" i="14"/>
  <c r="N18" i="14"/>
  <c r="M18" i="14"/>
  <c r="L18" i="14"/>
  <c r="K18" i="14"/>
  <c r="J18" i="14"/>
  <c r="I18" i="14"/>
  <c r="H18" i="14"/>
  <c r="G18" i="14"/>
  <c r="F18" i="14"/>
  <c r="O17" i="14"/>
  <c r="N17" i="14"/>
  <c r="H17" i="14"/>
  <c r="O16" i="14"/>
  <c r="N16" i="14"/>
  <c r="H16" i="14"/>
  <c r="O15" i="14"/>
  <c r="N15" i="14"/>
  <c r="H15" i="14"/>
  <c r="O14" i="14"/>
  <c r="N14" i="14"/>
  <c r="H14" i="14"/>
  <c r="O13" i="14"/>
  <c r="N13" i="14"/>
  <c r="N12" i="14" s="1"/>
  <c r="N11" i="14" s="1"/>
  <c r="H13" i="14"/>
  <c r="H12" i="14" s="1"/>
  <c r="O12" i="14"/>
  <c r="M12" i="14"/>
  <c r="L12" i="14"/>
  <c r="K12" i="14"/>
  <c r="J12" i="14"/>
  <c r="I12" i="14"/>
  <c r="I11" i="14" s="1"/>
  <c r="I52" i="14" s="1"/>
  <c r="G12" i="14"/>
  <c r="F12" i="14"/>
  <c r="M11" i="14"/>
  <c r="M52" i="14" s="1"/>
  <c r="K11" i="14"/>
  <c r="G11" i="14"/>
  <c r="G52" i="14" s="1"/>
  <c r="O51" i="13"/>
  <c r="N51" i="13"/>
  <c r="H51" i="13"/>
  <c r="O50" i="13"/>
  <c r="N50" i="13"/>
  <c r="N47" i="13" s="1"/>
  <c r="H50" i="13"/>
  <c r="O49" i="13"/>
  <c r="N49" i="13"/>
  <c r="H49" i="13"/>
  <c r="H47" i="13" s="1"/>
  <c r="O48" i="13"/>
  <c r="N48" i="13"/>
  <c r="H48" i="13"/>
  <c r="O47" i="13"/>
  <c r="M47" i="13"/>
  <c r="L47" i="13"/>
  <c r="K47" i="13"/>
  <c r="J47" i="13"/>
  <c r="I47" i="13"/>
  <c r="G47" i="13"/>
  <c r="F47" i="13"/>
  <c r="N46" i="13"/>
  <c r="H46" i="13"/>
  <c r="O46" i="13" s="1"/>
  <c r="N45" i="13"/>
  <c r="H45" i="13"/>
  <c r="O45" i="13" s="1"/>
  <c r="N44" i="13"/>
  <c r="H44" i="13"/>
  <c r="O44" i="13" s="1"/>
  <c r="N43" i="13"/>
  <c r="H43" i="13"/>
  <c r="O43" i="13" s="1"/>
  <c r="N42" i="13"/>
  <c r="H42" i="13"/>
  <c r="O42" i="13" s="1"/>
  <c r="N41" i="13"/>
  <c r="H41" i="13"/>
  <c r="O41" i="13" s="1"/>
  <c r="N40" i="13"/>
  <c r="H40" i="13"/>
  <c r="O40" i="13" s="1"/>
  <c r="N39" i="13"/>
  <c r="H39" i="13"/>
  <c r="O39" i="13" s="1"/>
  <c r="N38" i="13"/>
  <c r="H38" i="13"/>
  <c r="O38" i="13" s="1"/>
  <c r="N37" i="13"/>
  <c r="H37" i="13"/>
  <c r="O37" i="13" s="1"/>
  <c r="N36" i="13"/>
  <c r="H36" i="13"/>
  <c r="O36" i="13" s="1"/>
  <c r="N35" i="13"/>
  <c r="H35" i="13"/>
  <c r="O35" i="13" s="1"/>
  <c r="N34" i="13"/>
  <c r="H34" i="13"/>
  <c r="N33" i="13"/>
  <c r="M33" i="13"/>
  <c r="L33" i="13"/>
  <c r="K33" i="13"/>
  <c r="J33" i="13"/>
  <c r="I33" i="13"/>
  <c r="G33" i="13"/>
  <c r="F33" i="13"/>
  <c r="N31" i="13"/>
  <c r="H31" i="13"/>
  <c r="O30" i="13"/>
  <c r="N30" i="13"/>
  <c r="H30" i="13"/>
  <c r="N29" i="13"/>
  <c r="H29" i="13"/>
  <c r="O29" i="13" s="1"/>
  <c r="O28" i="13"/>
  <c r="N28" i="13"/>
  <c r="H28" i="13"/>
  <c r="N27" i="13"/>
  <c r="H27" i="13"/>
  <c r="H26" i="13" s="1"/>
  <c r="M26" i="13"/>
  <c r="L26" i="13"/>
  <c r="K26" i="13"/>
  <c r="J26" i="13"/>
  <c r="I26" i="13"/>
  <c r="G26" i="13"/>
  <c r="F26" i="13"/>
  <c r="O25" i="13"/>
  <c r="N25" i="13"/>
  <c r="H25" i="13"/>
  <c r="H21" i="13" s="1"/>
  <c r="O24" i="13"/>
  <c r="N24" i="13"/>
  <c r="H24" i="13"/>
  <c r="O23" i="13"/>
  <c r="N23" i="13"/>
  <c r="N21" i="13" s="1"/>
  <c r="H23" i="13"/>
  <c r="N22" i="13"/>
  <c r="H22" i="13"/>
  <c r="O22" i="13" s="1"/>
  <c r="O21" i="13"/>
  <c r="M21" i="13"/>
  <c r="L21" i="13"/>
  <c r="K21" i="13"/>
  <c r="K11" i="13" s="1"/>
  <c r="K52" i="13" s="1"/>
  <c r="J21" i="13"/>
  <c r="I21" i="13"/>
  <c r="I11" i="13" s="1"/>
  <c r="I52" i="13" s="1"/>
  <c r="G21" i="13"/>
  <c r="F21" i="13"/>
  <c r="N20" i="13"/>
  <c r="H20" i="13"/>
  <c r="O20" i="13" s="1"/>
  <c r="N19" i="13"/>
  <c r="N18" i="13" s="1"/>
  <c r="H19" i="13"/>
  <c r="H18" i="13" s="1"/>
  <c r="M18" i="13"/>
  <c r="M11" i="13" s="1"/>
  <c r="M52" i="13" s="1"/>
  <c r="L18" i="13"/>
  <c r="K18" i="13"/>
  <c r="J18" i="13"/>
  <c r="I18" i="13"/>
  <c r="G18" i="13"/>
  <c r="G11" i="13" s="1"/>
  <c r="G52" i="13" s="1"/>
  <c r="F18" i="13"/>
  <c r="O17" i="13"/>
  <c r="N17" i="13"/>
  <c r="H17" i="13"/>
  <c r="N16" i="13"/>
  <c r="H16" i="13"/>
  <c r="N15" i="13"/>
  <c r="H15" i="13"/>
  <c r="O15" i="13" s="1"/>
  <c r="N14" i="13"/>
  <c r="N12" i="13" s="1"/>
  <c r="H14" i="13"/>
  <c r="O14" i="13" s="1"/>
  <c r="O13" i="13"/>
  <c r="N13" i="13"/>
  <c r="H13" i="13"/>
  <c r="M12" i="13"/>
  <c r="L12" i="13"/>
  <c r="K12" i="13"/>
  <c r="J12" i="13"/>
  <c r="I12" i="13"/>
  <c r="H12" i="13"/>
  <c r="G12" i="13"/>
  <c r="F12" i="13"/>
  <c r="L11" i="13"/>
  <c r="L52" i="13" s="1"/>
  <c r="J11" i="13"/>
  <c r="F11" i="13"/>
  <c r="F52" i="13" s="1"/>
  <c r="N51" i="12"/>
  <c r="H51" i="12"/>
  <c r="O50" i="12"/>
  <c r="N50" i="12"/>
  <c r="H50" i="12"/>
  <c r="N49" i="12"/>
  <c r="N47" i="12" s="1"/>
  <c r="H49" i="12"/>
  <c r="O49" i="12" s="1"/>
  <c r="N48" i="12"/>
  <c r="H48" i="12"/>
  <c r="O48" i="12" s="1"/>
  <c r="M47" i="12"/>
  <c r="L47" i="12"/>
  <c r="K47" i="12"/>
  <c r="J47" i="12"/>
  <c r="I47" i="12"/>
  <c r="H47" i="12"/>
  <c r="G47" i="12"/>
  <c r="F47" i="12"/>
  <c r="N46" i="12"/>
  <c r="H46" i="12"/>
  <c r="O46" i="12" s="1"/>
  <c r="O45" i="12"/>
  <c r="N45" i="12"/>
  <c r="H45" i="12"/>
  <c r="O44" i="12"/>
  <c r="N44" i="12"/>
  <c r="H44" i="12"/>
  <c r="O43" i="12"/>
  <c r="N43" i="12"/>
  <c r="H43" i="12"/>
  <c r="N42" i="12"/>
  <c r="O42" i="12" s="1"/>
  <c r="H42" i="12"/>
  <c r="O41" i="12"/>
  <c r="N41" i="12"/>
  <c r="H41" i="12"/>
  <c r="O40" i="12"/>
  <c r="N40" i="12"/>
  <c r="H40" i="12"/>
  <c r="O39" i="12"/>
  <c r="N39" i="12"/>
  <c r="H39" i="12"/>
  <c r="N38" i="12"/>
  <c r="O38" i="12" s="1"/>
  <c r="H38" i="12"/>
  <c r="O37" i="12"/>
  <c r="N37" i="12"/>
  <c r="H37" i="12"/>
  <c r="H33" i="12" s="1"/>
  <c r="O36" i="12"/>
  <c r="N36" i="12"/>
  <c r="H36" i="12"/>
  <c r="O35" i="12"/>
  <c r="O33" i="12" s="1"/>
  <c r="N35" i="12"/>
  <c r="H35" i="12"/>
  <c r="N34" i="12"/>
  <c r="O34" i="12" s="1"/>
  <c r="H34" i="12"/>
  <c r="M33" i="12"/>
  <c r="L33" i="12"/>
  <c r="K33" i="12"/>
  <c r="J33" i="12"/>
  <c r="I33" i="12"/>
  <c r="G33" i="12"/>
  <c r="F33" i="12"/>
  <c r="N31" i="12"/>
  <c r="H31" i="12"/>
  <c r="O31" i="12" s="1"/>
  <c r="N30" i="12"/>
  <c r="H30" i="12"/>
  <c r="O30" i="12" s="1"/>
  <c r="N29" i="12"/>
  <c r="H29" i="12"/>
  <c r="O29" i="12" s="1"/>
  <c r="N28" i="12"/>
  <c r="H28" i="12"/>
  <c r="O28" i="12" s="1"/>
  <c r="N27" i="12"/>
  <c r="H27" i="12"/>
  <c r="N26" i="12"/>
  <c r="M26" i="12"/>
  <c r="L26" i="12"/>
  <c r="K26" i="12"/>
  <c r="J26" i="12"/>
  <c r="J11" i="12" s="1"/>
  <c r="J52" i="12" s="1"/>
  <c r="I26" i="12"/>
  <c r="G26" i="12"/>
  <c r="F26" i="12"/>
  <c r="N25" i="12"/>
  <c r="N21" i="12" s="1"/>
  <c r="H25" i="12"/>
  <c r="O24" i="12"/>
  <c r="N24" i="12"/>
  <c r="H24" i="12"/>
  <c r="N23" i="12"/>
  <c r="H23" i="12"/>
  <c r="N22" i="12"/>
  <c r="H22" i="12"/>
  <c r="O22" i="12" s="1"/>
  <c r="M21" i="12"/>
  <c r="L21" i="12"/>
  <c r="K21" i="12"/>
  <c r="J21" i="12"/>
  <c r="I21" i="12"/>
  <c r="H21" i="12"/>
  <c r="G21" i="12"/>
  <c r="F21" i="12"/>
  <c r="N20" i="12"/>
  <c r="H20" i="12"/>
  <c r="O20" i="12" s="1"/>
  <c r="O19" i="12"/>
  <c r="N19" i="12"/>
  <c r="H19" i="12"/>
  <c r="H18" i="12" s="1"/>
  <c r="N18" i="12"/>
  <c r="M18" i="12"/>
  <c r="L18" i="12"/>
  <c r="L11" i="12" s="1"/>
  <c r="L52" i="12" s="1"/>
  <c r="K18" i="12"/>
  <c r="J18" i="12"/>
  <c r="I18" i="12"/>
  <c r="G18" i="12"/>
  <c r="F18" i="12"/>
  <c r="F11" i="12" s="1"/>
  <c r="F52" i="12" s="1"/>
  <c r="N17" i="12"/>
  <c r="H17" i="12"/>
  <c r="O17" i="12" s="1"/>
  <c r="N16" i="12"/>
  <c r="H16" i="12"/>
  <c r="O16" i="12" s="1"/>
  <c r="N15" i="12"/>
  <c r="H15" i="12"/>
  <c r="O15" i="12" s="1"/>
  <c r="N14" i="12"/>
  <c r="H14" i="12"/>
  <c r="O14" i="12" s="1"/>
  <c r="N13" i="12"/>
  <c r="N12" i="12" s="1"/>
  <c r="H13" i="12"/>
  <c r="M12" i="12"/>
  <c r="M11" i="12" s="1"/>
  <c r="M52" i="12" s="1"/>
  <c r="L12" i="12"/>
  <c r="K12" i="12"/>
  <c r="J12" i="12"/>
  <c r="I12" i="12"/>
  <c r="G12" i="12"/>
  <c r="G11" i="12" s="1"/>
  <c r="G52" i="12" s="1"/>
  <c r="F12" i="12"/>
  <c r="K11" i="12"/>
  <c r="K52" i="12" s="1"/>
  <c r="I11" i="12"/>
  <c r="N49" i="11"/>
  <c r="H49" i="11"/>
  <c r="O49" i="11" s="1"/>
  <c r="N48" i="11"/>
  <c r="H48" i="11"/>
  <c r="O48" i="11" s="1"/>
  <c r="N47" i="11"/>
  <c r="N45" i="11" s="1"/>
  <c r="H47" i="11"/>
  <c r="O47" i="11" s="1"/>
  <c r="N46" i="11"/>
  <c r="H46" i="11"/>
  <c r="H45" i="11" s="1"/>
  <c r="M45" i="11"/>
  <c r="L45" i="11"/>
  <c r="K45" i="11"/>
  <c r="J45" i="11"/>
  <c r="I45" i="11"/>
  <c r="G45" i="11"/>
  <c r="F45" i="11"/>
  <c r="N44" i="11"/>
  <c r="O44" i="11" s="1"/>
  <c r="H44" i="11"/>
  <c r="N43" i="11"/>
  <c r="O43" i="11" s="1"/>
  <c r="H43" i="11"/>
  <c r="O42" i="11"/>
  <c r="N42" i="11"/>
  <c r="H42" i="11"/>
  <c r="N41" i="11"/>
  <c r="O41" i="11" s="1"/>
  <c r="H41" i="11"/>
  <c r="N40" i="11"/>
  <c r="O40" i="11" s="1"/>
  <c r="H40" i="11"/>
  <c r="N39" i="11"/>
  <c r="O39" i="11" s="1"/>
  <c r="H39" i="11"/>
  <c r="O38" i="11"/>
  <c r="N38" i="11"/>
  <c r="H38" i="11"/>
  <c r="N37" i="11"/>
  <c r="H37" i="11"/>
  <c r="O37" i="11" s="1"/>
  <c r="N36" i="11"/>
  <c r="O36" i="11" s="1"/>
  <c r="H36" i="11"/>
  <c r="N35" i="11"/>
  <c r="O35" i="11" s="1"/>
  <c r="H35" i="11"/>
  <c r="O34" i="11"/>
  <c r="N34" i="11"/>
  <c r="H34" i="11"/>
  <c r="N33" i="11"/>
  <c r="H33" i="11"/>
  <c r="O33" i="11" s="1"/>
  <c r="N32" i="11"/>
  <c r="O32" i="11" s="1"/>
  <c r="H32" i="11"/>
  <c r="N31" i="11"/>
  <c r="M31" i="11"/>
  <c r="L31" i="11"/>
  <c r="K31" i="11"/>
  <c r="J31" i="11"/>
  <c r="I31" i="11"/>
  <c r="H31" i="11"/>
  <c r="G31" i="11"/>
  <c r="F31" i="11"/>
  <c r="N29" i="11"/>
  <c r="H29" i="11"/>
  <c r="O29" i="11" s="1"/>
  <c r="O28" i="11"/>
  <c r="N28" i="11"/>
  <c r="H28" i="11"/>
  <c r="O27" i="11"/>
  <c r="N27" i="11"/>
  <c r="N26" i="11" s="1"/>
  <c r="H27" i="11"/>
  <c r="H26" i="11" s="1"/>
  <c r="O26" i="11"/>
  <c r="M26" i="11"/>
  <c r="L26" i="11"/>
  <c r="K26" i="11"/>
  <c r="J26" i="11"/>
  <c r="I26" i="11"/>
  <c r="G26" i="11"/>
  <c r="F26" i="11"/>
  <c r="N25" i="11"/>
  <c r="H25" i="11"/>
  <c r="O25" i="11" s="1"/>
  <c r="N24" i="11"/>
  <c r="H24" i="11"/>
  <c r="O24" i="11" s="1"/>
  <c r="N23" i="11"/>
  <c r="H23" i="11"/>
  <c r="O23" i="11" s="1"/>
  <c r="N22" i="11"/>
  <c r="N21" i="11" s="1"/>
  <c r="H22" i="11"/>
  <c r="M21" i="11"/>
  <c r="M11" i="11" s="1"/>
  <c r="L21" i="11"/>
  <c r="K21" i="11"/>
  <c r="J21" i="11"/>
  <c r="I21" i="11"/>
  <c r="G21" i="11"/>
  <c r="G11" i="11" s="1"/>
  <c r="F21" i="11"/>
  <c r="O20" i="11"/>
  <c r="N20" i="11"/>
  <c r="H20" i="11"/>
  <c r="N19" i="11"/>
  <c r="N18" i="11" s="1"/>
  <c r="H19" i="11"/>
  <c r="M18" i="11"/>
  <c r="L18" i="11"/>
  <c r="K18" i="11"/>
  <c r="K11" i="11" s="1"/>
  <c r="K50" i="11" s="1"/>
  <c r="J18" i="11"/>
  <c r="I18" i="11"/>
  <c r="H18" i="11"/>
  <c r="G18" i="11"/>
  <c r="F18" i="11"/>
  <c r="O17" i="11"/>
  <c r="N17" i="11"/>
  <c r="H17" i="11"/>
  <c r="N16" i="11"/>
  <c r="H16" i="11"/>
  <c r="O16" i="11" s="1"/>
  <c r="O15" i="11"/>
  <c r="N15" i="11"/>
  <c r="H15" i="11"/>
  <c r="H12" i="11" s="1"/>
  <c r="O14" i="11"/>
  <c r="N14" i="11"/>
  <c r="H14" i="11"/>
  <c r="O13" i="11"/>
  <c r="N13" i="11"/>
  <c r="N12" i="11" s="1"/>
  <c r="H13" i="11"/>
  <c r="M12" i="11"/>
  <c r="L12" i="11"/>
  <c r="L11" i="11" s="1"/>
  <c r="L50" i="11" s="1"/>
  <c r="K12" i="11"/>
  <c r="J12" i="11"/>
  <c r="I12" i="11"/>
  <c r="I11" i="11" s="1"/>
  <c r="I50" i="11" s="1"/>
  <c r="G12" i="11"/>
  <c r="F12" i="11"/>
  <c r="F11" i="11" s="1"/>
  <c r="F50" i="11" s="1"/>
  <c r="J11" i="11"/>
  <c r="J50" i="11" s="1"/>
  <c r="O51" i="10"/>
  <c r="N51" i="10"/>
  <c r="H51" i="10"/>
  <c r="O50" i="10"/>
  <c r="N50" i="10"/>
  <c r="H50" i="10"/>
  <c r="N49" i="10"/>
  <c r="H49" i="10"/>
  <c r="O49" i="10" s="1"/>
  <c r="O48" i="10"/>
  <c r="N48" i="10"/>
  <c r="H48" i="10"/>
  <c r="H47" i="10" s="1"/>
  <c r="N47" i="10"/>
  <c r="M47" i="10"/>
  <c r="L47" i="10"/>
  <c r="K47" i="10"/>
  <c r="J47" i="10"/>
  <c r="I47" i="10"/>
  <c r="G47" i="10"/>
  <c r="F47" i="10"/>
  <c r="N46" i="10"/>
  <c r="H46" i="10"/>
  <c r="O46" i="10" s="1"/>
  <c r="N45" i="10"/>
  <c r="H45" i="10"/>
  <c r="O45" i="10" s="1"/>
  <c r="N44" i="10"/>
  <c r="H44" i="10"/>
  <c r="O44" i="10" s="1"/>
  <c r="N43" i="10"/>
  <c r="H43" i="10"/>
  <c r="O43" i="10" s="1"/>
  <c r="N42" i="10"/>
  <c r="H42" i="10"/>
  <c r="O42" i="10" s="1"/>
  <c r="N41" i="10"/>
  <c r="H41" i="10"/>
  <c r="O41" i="10" s="1"/>
  <c r="N40" i="10"/>
  <c r="H40" i="10"/>
  <c r="O40" i="10" s="1"/>
  <c r="N39" i="10"/>
  <c r="H39" i="10"/>
  <c r="O39" i="10" s="1"/>
  <c r="N38" i="10"/>
  <c r="H38" i="10"/>
  <c r="O38" i="10" s="1"/>
  <c r="N37" i="10"/>
  <c r="H37" i="10"/>
  <c r="O37" i="10" s="1"/>
  <c r="N36" i="10"/>
  <c r="H36" i="10"/>
  <c r="O36" i="10" s="1"/>
  <c r="N35" i="10"/>
  <c r="H35" i="10"/>
  <c r="O35" i="10" s="1"/>
  <c r="N34" i="10"/>
  <c r="N33" i="10" s="1"/>
  <c r="H34" i="10"/>
  <c r="M33" i="10"/>
  <c r="L33" i="10"/>
  <c r="K33" i="10"/>
  <c r="J33" i="10"/>
  <c r="I33" i="10"/>
  <c r="G33" i="10"/>
  <c r="F33" i="10"/>
  <c r="O31" i="10"/>
  <c r="N31" i="10"/>
  <c r="H31" i="10"/>
  <c r="N30" i="10"/>
  <c r="H30" i="10"/>
  <c r="N29" i="10"/>
  <c r="H29" i="10"/>
  <c r="O29" i="10" s="1"/>
  <c r="N28" i="10"/>
  <c r="H28" i="10"/>
  <c r="O28" i="10" s="1"/>
  <c r="O27" i="10"/>
  <c r="N27" i="10"/>
  <c r="H27" i="10"/>
  <c r="N26" i="10"/>
  <c r="M26" i="10"/>
  <c r="L26" i="10"/>
  <c r="K26" i="10"/>
  <c r="J26" i="10"/>
  <c r="I26" i="10"/>
  <c r="H26" i="10"/>
  <c r="G26" i="10"/>
  <c r="F26" i="10"/>
  <c r="O25" i="10"/>
  <c r="N25" i="10"/>
  <c r="H25" i="10"/>
  <c r="O24" i="10"/>
  <c r="N24" i="10"/>
  <c r="H24" i="10"/>
  <c r="N23" i="10"/>
  <c r="N21" i="10" s="1"/>
  <c r="H23" i="10"/>
  <c r="O23" i="10" s="1"/>
  <c r="O22" i="10"/>
  <c r="N22" i="10"/>
  <c r="H22" i="10"/>
  <c r="H21" i="10" s="1"/>
  <c r="M21" i="10"/>
  <c r="L21" i="10"/>
  <c r="L11" i="10" s="1"/>
  <c r="L52" i="10" s="1"/>
  <c r="K21" i="10"/>
  <c r="J21" i="10"/>
  <c r="I21" i="10"/>
  <c r="G21" i="10"/>
  <c r="F21" i="10"/>
  <c r="F11" i="10" s="1"/>
  <c r="F52" i="10" s="1"/>
  <c r="N20" i="10"/>
  <c r="H20" i="10"/>
  <c r="O20" i="10" s="1"/>
  <c r="N19" i="10"/>
  <c r="N18" i="10" s="1"/>
  <c r="H19" i="10"/>
  <c r="M18" i="10"/>
  <c r="L18" i="10"/>
  <c r="K18" i="10"/>
  <c r="J18" i="10"/>
  <c r="J11" i="10" s="1"/>
  <c r="J52" i="10" s="1"/>
  <c r="I18" i="10"/>
  <c r="G18" i="10"/>
  <c r="F18" i="10"/>
  <c r="N17" i="10"/>
  <c r="H17" i="10"/>
  <c r="O17" i="10" s="1"/>
  <c r="N16" i="10"/>
  <c r="H16" i="10"/>
  <c r="O16" i="10" s="1"/>
  <c r="N15" i="10"/>
  <c r="H15" i="10"/>
  <c r="O14" i="10"/>
  <c r="N14" i="10"/>
  <c r="H14" i="10"/>
  <c r="N13" i="10"/>
  <c r="H13" i="10"/>
  <c r="M12" i="10"/>
  <c r="L12" i="10"/>
  <c r="K12" i="10"/>
  <c r="K11" i="10" s="1"/>
  <c r="K52" i="10" s="1"/>
  <c r="J12" i="10"/>
  <c r="I12" i="10"/>
  <c r="H12" i="10"/>
  <c r="G12" i="10"/>
  <c r="F12" i="10"/>
  <c r="M11" i="10"/>
  <c r="M52" i="10" s="1"/>
  <c r="I11" i="10"/>
  <c r="I52" i="10" s="1"/>
  <c r="G11" i="10"/>
  <c r="G52" i="9"/>
  <c r="O51" i="9"/>
  <c r="N51" i="9"/>
  <c r="H51" i="9"/>
  <c r="N50" i="9"/>
  <c r="H50" i="9"/>
  <c r="N49" i="9"/>
  <c r="H49" i="9"/>
  <c r="O49" i="9" s="1"/>
  <c r="N48" i="9"/>
  <c r="N47" i="9" s="1"/>
  <c r="H48" i="9"/>
  <c r="M47" i="9"/>
  <c r="L47" i="9"/>
  <c r="K47" i="9"/>
  <c r="J47" i="9"/>
  <c r="I47" i="9"/>
  <c r="H47" i="9"/>
  <c r="G47" i="9"/>
  <c r="F47" i="9"/>
  <c r="O46" i="9"/>
  <c r="N46" i="9"/>
  <c r="H46" i="9"/>
  <c r="O45" i="9"/>
  <c r="N45" i="9"/>
  <c r="H45" i="9"/>
  <c r="O44" i="9"/>
  <c r="N44" i="9"/>
  <c r="H44" i="9"/>
  <c r="N43" i="9"/>
  <c r="H43" i="9"/>
  <c r="O43" i="9" s="1"/>
  <c r="O42" i="9"/>
  <c r="N42" i="9"/>
  <c r="H42" i="9"/>
  <c r="O41" i="9"/>
  <c r="N41" i="9"/>
  <c r="H41" i="9"/>
  <c r="O40" i="9"/>
  <c r="N40" i="9"/>
  <c r="H40" i="9"/>
  <c r="N39" i="9"/>
  <c r="H39" i="9"/>
  <c r="O39" i="9" s="1"/>
  <c r="O38" i="9"/>
  <c r="N38" i="9"/>
  <c r="H38" i="9"/>
  <c r="O37" i="9"/>
  <c r="N37" i="9"/>
  <c r="H37" i="9"/>
  <c r="O36" i="9"/>
  <c r="N36" i="9"/>
  <c r="H36" i="9"/>
  <c r="N35" i="9"/>
  <c r="H35" i="9"/>
  <c r="O35" i="9" s="1"/>
  <c r="O34" i="9"/>
  <c r="N34" i="9"/>
  <c r="N33" i="9" s="1"/>
  <c r="H34" i="9"/>
  <c r="H33" i="9" s="1"/>
  <c r="M33" i="9"/>
  <c r="L33" i="9"/>
  <c r="K33" i="9"/>
  <c r="J33" i="9"/>
  <c r="I33" i="9"/>
  <c r="G33" i="9"/>
  <c r="F33" i="9"/>
  <c r="N32" i="9"/>
  <c r="H32" i="9"/>
  <c r="O32" i="9" s="1"/>
  <c r="N31" i="9"/>
  <c r="H31" i="9"/>
  <c r="O31" i="9" s="1"/>
  <c r="N30" i="9"/>
  <c r="H30" i="9"/>
  <c r="O30" i="9" s="1"/>
  <c r="N29" i="9"/>
  <c r="H29" i="9"/>
  <c r="N28" i="9"/>
  <c r="H28" i="9"/>
  <c r="O28" i="9" s="1"/>
  <c r="N27" i="9"/>
  <c r="H27" i="9"/>
  <c r="M26" i="9"/>
  <c r="L26" i="9"/>
  <c r="K26" i="9"/>
  <c r="J26" i="9"/>
  <c r="I26" i="9"/>
  <c r="I11" i="9" s="1"/>
  <c r="I52" i="9" s="1"/>
  <c r="G26" i="9"/>
  <c r="F26" i="9"/>
  <c r="N25" i="9"/>
  <c r="H25" i="9"/>
  <c r="N24" i="9"/>
  <c r="H24" i="9"/>
  <c r="O24" i="9" s="1"/>
  <c r="N23" i="9"/>
  <c r="N21" i="9" s="1"/>
  <c r="H23" i="9"/>
  <c r="O23" i="9" s="1"/>
  <c r="O22" i="9"/>
  <c r="N22" i="9"/>
  <c r="H22" i="9"/>
  <c r="M21" i="9"/>
  <c r="L21" i="9"/>
  <c r="K21" i="9"/>
  <c r="J21" i="9"/>
  <c r="I21" i="9"/>
  <c r="H21" i="9"/>
  <c r="G21" i="9"/>
  <c r="F21" i="9"/>
  <c r="O20" i="9"/>
  <c r="N20" i="9"/>
  <c r="H20" i="9"/>
  <c r="O19" i="9"/>
  <c r="O18" i="9" s="1"/>
  <c r="N19" i="9"/>
  <c r="N18" i="9" s="1"/>
  <c r="H19" i="9"/>
  <c r="M18" i="9"/>
  <c r="L18" i="9"/>
  <c r="K18" i="9"/>
  <c r="J18" i="9"/>
  <c r="I18" i="9"/>
  <c r="H18" i="9"/>
  <c r="G18" i="9"/>
  <c r="F18" i="9"/>
  <c r="F11" i="9" s="1"/>
  <c r="N17" i="9"/>
  <c r="H17" i="9"/>
  <c r="O17" i="9" s="1"/>
  <c r="N16" i="9"/>
  <c r="H16" i="9"/>
  <c r="O16" i="9" s="1"/>
  <c r="N15" i="9"/>
  <c r="H15" i="9"/>
  <c r="O15" i="9" s="1"/>
  <c r="N14" i="9"/>
  <c r="H14" i="9"/>
  <c r="O14" i="9" s="1"/>
  <c r="N13" i="9"/>
  <c r="N12" i="9" s="1"/>
  <c r="H13" i="9"/>
  <c r="H12" i="9" s="1"/>
  <c r="M12" i="9"/>
  <c r="M11" i="9" s="1"/>
  <c r="M52" i="9" s="1"/>
  <c r="L12" i="9"/>
  <c r="K12" i="9"/>
  <c r="J12" i="9"/>
  <c r="I12" i="9"/>
  <c r="G12" i="9"/>
  <c r="G11" i="9" s="1"/>
  <c r="F12" i="9"/>
  <c r="K11" i="9"/>
  <c r="I52" i="8"/>
  <c r="N51" i="8"/>
  <c r="H51" i="8"/>
  <c r="O51" i="8" s="1"/>
  <c r="N50" i="8"/>
  <c r="H50" i="8"/>
  <c r="O50" i="8" s="1"/>
  <c r="N49" i="8"/>
  <c r="H49" i="8"/>
  <c r="O49" i="8" s="1"/>
  <c r="N48" i="8"/>
  <c r="N47" i="8" s="1"/>
  <c r="H48" i="8"/>
  <c r="M47" i="8"/>
  <c r="L47" i="8"/>
  <c r="K47" i="8"/>
  <c r="J47" i="8"/>
  <c r="I47" i="8"/>
  <c r="G47" i="8"/>
  <c r="F47" i="8"/>
  <c r="O46" i="8"/>
  <c r="N46" i="8"/>
  <c r="H46" i="8"/>
  <c r="N45" i="8"/>
  <c r="H45" i="8"/>
  <c r="N44" i="8"/>
  <c r="H44" i="8"/>
  <c r="O44" i="8" s="1"/>
  <c r="N43" i="8"/>
  <c r="O43" i="8" s="1"/>
  <c r="H43" i="8"/>
  <c r="O42" i="8"/>
  <c r="N42" i="8"/>
  <c r="H42" i="8"/>
  <c r="N41" i="8"/>
  <c r="H41" i="8"/>
  <c r="O41" i="8" s="1"/>
  <c r="N40" i="8"/>
  <c r="H40" i="8"/>
  <c r="O40" i="8" s="1"/>
  <c r="N39" i="8"/>
  <c r="H39" i="8"/>
  <c r="O39" i="8" s="1"/>
  <c r="O38" i="8"/>
  <c r="N38" i="8"/>
  <c r="H38" i="8"/>
  <c r="N37" i="8"/>
  <c r="H37" i="8"/>
  <c r="O37" i="8" s="1"/>
  <c r="N36" i="8"/>
  <c r="H36" i="8"/>
  <c r="O36" i="8" s="1"/>
  <c r="N35" i="8"/>
  <c r="N33" i="8" s="1"/>
  <c r="H35" i="8"/>
  <c r="O35" i="8" s="1"/>
  <c r="O34" i="8"/>
  <c r="N34" i="8"/>
  <c r="H34" i="8"/>
  <c r="M33" i="8"/>
  <c r="L33" i="8"/>
  <c r="K33" i="8"/>
  <c r="J33" i="8"/>
  <c r="I33" i="8"/>
  <c r="H33" i="8"/>
  <c r="G33" i="8"/>
  <c r="F33" i="8"/>
  <c r="O32" i="8"/>
  <c r="N32" i="8"/>
  <c r="H32" i="8"/>
  <c r="O31" i="8"/>
  <c r="N31" i="8"/>
  <c r="H31" i="8"/>
  <c r="N30" i="8"/>
  <c r="H30" i="8"/>
  <c r="O30" i="8" s="1"/>
  <c r="N29" i="8"/>
  <c r="H29" i="8"/>
  <c r="H26" i="8" s="1"/>
  <c r="O28" i="8"/>
  <c r="N28" i="8"/>
  <c r="N26" i="8" s="1"/>
  <c r="H28" i="8"/>
  <c r="O27" i="8"/>
  <c r="N27" i="8"/>
  <c r="H27" i="8"/>
  <c r="M26" i="8"/>
  <c r="L26" i="8"/>
  <c r="K26" i="8"/>
  <c r="J26" i="8"/>
  <c r="I26" i="8"/>
  <c r="G26" i="8"/>
  <c r="F26" i="8"/>
  <c r="F11" i="8" s="1"/>
  <c r="F52" i="8" s="1"/>
  <c r="N25" i="8"/>
  <c r="H25" i="8"/>
  <c r="O25" i="8" s="1"/>
  <c r="N24" i="8"/>
  <c r="H24" i="8"/>
  <c r="O24" i="8" s="1"/>
  <c r="N23" i="8"/>
  <c r="H23" i="8"/>
  <c r="O23" i="8" s="1"/>
  <c r="N22" i="8"/>
  <c r="H22" i="8"/>
  <c r="O22" i="8" s="1"/>
  <c r="M21" i="8"/>
  <c r="L21" i="8"/>
  <c r="K21" i="8"/>
  <c r="J21" i="8"/>
  <c r="J11" i="8" s="1"/>
  <c r="J52" i="8" s="1"/>
  <c r="I21" i="8"/>
  <c r="H21" i="8"/>
  <c r="G21" i="8"/>
  <c r="F21" i="8"/>
  <c r="N20" i="8"/>
  <c r="N18" i="8" s="1"/>
  <c r="H20" i="8"/>
  <c r="O20" i="8" s="1"/>
  <c r="N19" i="8"/>
  <c r="H19" i="8"/>
  <c r="O19" i="8" s="1"/>
  <c r="M18" i="8"/>
  <c r="L18" i="8"/>
  <c r="K18" i="8"/>
  <c r="J18" i="8"/>
  <c r="I18" i="8"/>
  <c r="H18" i="8"/>
  <c r="G18" i="8"/>
  <c r="F18" i="8"/>
  <c r="N17" i="8"/>
  <c r="H17" i="8"/>
  <c r="O17" i="8" s="1"/>
  <c r="O16" i="8"/>
  <c r="N16" i="8"/>
  <c r="H16" i="8"/>
  <c r="H12" i="8" s="1"/>
  <c r="O15" i="8"/>
  <c r="N15" i="8"/>
  <c r="H15" i="8"/>
  <c r="O14" i="8"/>
  <c r="N14" i="8"/>
  <c r="H14" i="8"/>
  <c r="N13" i="8"/>
  <c r="H13" i="8"/>
  <c r="O13" i="8" s="1"/>
  <c r="O12" i="8" s="1"/>
  <c r="N12" i="8"/>
  <c r="M12" i="8"/>
  <c r="M11" i="8" s="1"/>
  <c r="M52" i="8" s="1"/>
  <c r="L12" i="8"/>
  <c r="K12" i="8"/>
  <c r="J12" i="8"/>
  <c r="I12" i="8"/>
  <c r="I11" i="8" s="1"/>
  <c r="G12" i="8"/>
  <c r="F12" i="8"/>
  <c r="K11" i="8"/>
  <c r="K52" i="8" s="1"/>
  <c r="G11" i="8"/>
  <c r="G52" i="8" s="1"/>
  <c r="O49" i="7"/>
  <c r="N49" i="7"/>
  <c r="H49" i="7"/>
  <c r="N48" i="7"/>
  <c r="H48" i="7"/>
  <c r="O48" i="7" s="1"/>
  <c r="O45" i="7" s="1"/>
  <c r="O47" i="7"/>
  <c r="N47" i="7"/>
  <c r="H47" i="7"/>
  <c r="H45" i="7" s="1"/>
  <c r="O46" i="7"/>
  <c r="N46" i="7"/>
  <c r="H46" i="7"/>
  <c r="N45" i="7"/>
  <c r="M45" i="7"/>
  <c r="L45" i="7"/>
  <c r="K45" i="7"/>
  <c r="J45" i="7"/>
  <c r="I45" i="7"/>
  <c r="G45" i="7"/>
  <c r="F45" i="7"/>
  <c r="N44" i="7"/>
  <c r="H44" i="7"/>
  <c r="O44" i="7" s="1"/>
  <c r="N43" i="7"/>
  <c r="O43" i="7" s="1"/>
  <c r="H43" i="7"/>
  <c r="N42" i="7"/>
  <c r="H42" i="7"/>
  <c r="O42" i="7" s="1"/>
  <c r="N41" i="7"/>
  <c r="H41" i="7"/>
  <c r="O41" i="7" s="1"/>
  <c r="N40" i="7"/>
  <c r="H40" i="7"/>
  <c r="O40" i="7" s="1"/>
  <c r="N39" i="7"/>
  <c r="O39" i="7" s="1"/>
  <c r="H39" i="7"/>
  <c r="N38" i="7"/>
  <c r="H38" i="7"/>
  <c r="O38" i="7" s="1"/>
  <c r="N37" i="7"/>
  <c r="H37" i="7"/>
  <c r="O37" i="7" s="1"/>
  <c r="N36" i="7"/>
  <c r="H36" i="7"/>
  <c r="O36" i="7" s="1"/>
  <c r="N35" i="7"/>
  <c r="O35" i="7" s="1"/>
  <c r="H35" i="7"/>
  <c r="N34" i="7"/>
  <c r="H34" i="7"/>
  <c r="O34" i="7" s="1"/>
  <c r="N33" i="7"/>
  <c r="H33" i="7"/>
  <c r="N32" i="7"/>
  <c r="N31" i="7" s="1"/>
  <c r="H32" i="7"/>
  <c r="O32" i="7" s="1"/>
  <c r="M31" i="7"/>
  <c r="L31" i="7"/>
  <c r="K31" i="7"/>
  <c r="J31" i="7"/>
  <c r="I31" i="7"/>
  <c r="G31" i="7"/>
  <c r="F31" i="7"/>
  <c r="N30" i="7"/>
  <c r="H30" i="7"/>
  <c r="N29" i="7"/>
  <c r="H29" i="7"/>
  <c r="O29" i="7" s="1"/>
  <c r="N28" i="7"/>
  <c r="H28" i="7"/>
  <c r="O28" i="7" s="1"/>
  <c r="O27" i="7"/>
  <c r="O26" i="7" s="1"/>
  <c r="N27" i="7"/>
  <c r="H27" i="7"/>
  <c r="N26" i="7"/>
  <c r="M26" i="7"/>
  <c r="L26" i="7"/>
  <c r="K26" i="7"/>
  <c r="J26" i="7"/>
  <c r="I26" i="7"/>
  <c r="H26" i="7"/>
  <c r="G26" i="7"/>
  <c r="F26" i="7"/>
  <c r="O25" i="7"/>
  <c r="N25" i="7"/>
  <c r="H25" i="7"/>
  <c r="O24" i="7"/>
  <c r="N24" i="7"/>
  <c r="H24" i="7"/>
  <c r="N23" i="7"/>
  <c r="H23" i="7"/>
  <c r="O23" i="7" s="1"/>
  <c r="O22" i="7"/>
  <c r="O21" i="7" s="1"/>
  <c r="N22" i="7"/>
  <c r="H22" i="7"/>
  <c r="H21" i="7" s="1"/>
  <c r="N21" i="7"/>
  <c r="M21" i="7"/>
  <c r="L21" i="7"/>
  <c r="L11" i="7" s="1"/>
  <c r="L50" i="7" s="1"/>
  <c r="K21" i="7"/>
  <c r="J21" i="7"/>
  <c r="I21" i="7"/>
  <c r="G21" i="7"/>
  <c r="F21" i="7"/>
  <c r="F11" i="7" s="1"/>
  <c r="F50" i="7" s="1"/>
  <c r="N20" i="7"/>
  <c r="H20" i="7"/>
  <c r="O20" i="7" s="1"/>
  <c r="N19" i="7"/>
  <c r="N18" i="7" s="1"/>
  <c r="H19" i="7"/>
  <c r="O19" i="7" s="1"/>
  <c r="M18" i="7"/>
  <c r="L18" i="7"/>
  <c r="K18" i="7"/>
  <c r="J18" i="7"/>
  <c r="J11" i="7" s="1"/>
  <c r="J50" i="7" s="1"/>
  <c r="I18" i="7"/>
  <c r="H18" i="7"/>
  <c r="G18" i="7"/>
  <c r="F18" i="7"/>
  <c r="N17" i="7"/>
  <c r="H17" i="7"/>
  <c r="O17" i="7" s="1"/>
  <c r="N16" i="7"/>
  <c r="H16" i="7"/>
  <c r="O16" i="7" s="1"/>
  <c r="N15" i="7"/>
  <c r="H15" i="7"/>
  <c r="O15" i="7" s="1"/>
  <c r="O14" i="7"/>
  <c r="N14" i="7"/>
  <c r="H14" i="7"/>
  <c r="N13" i="7"/>
  <c r="N12" i="7" s="1"/>
  <c r="H13" i="7"/>
  <c r="M12" i="7"/>
  <c r="L12" i="7"/>
  <c r="K12" i="7"/>
  <c r="K11" i="7" s="1"/>
  <c r="K50" i="7" s="1"/>
  <c r="J12" i="7"/>
  <c r="I12" i="7"/>
  <c r="H12" i="7"/>
  <c r="G12" i="7"/>
  <c r="F12" i="7"/>
  <c r="M11" i="7"/>
  <c r="M50" i="7" s="1"/>
  <c r="I11" i="7"/>
  <c r="I50" i="7" s="1"/>
  <c r="G11" i="7"/>
  <c r="O51" i="6"/>
  <c r="N51" i="6"/>
  <c r="H51" i="6"/>
  <c r="N50" i="6"/>
  <c r="H50" i="6"/>
  <c r="O50" i="6" s="1"/>
  <c r="N49" i="6"/>
  <c r="H49" i="6"/>
  <c r="O49" i="6" s="1"/>
  <c r="O48" i="6"/>
  <c r="O47" i="6" s="1"/>
  <c r="N48" i="6"/>
  <c r="H48" i="6"/>
  <c r="N47" i="6"/>
  <c r="M47" i="6"/>
  <c r="L47" i="6"/>
  <c r="K47" i="6"/>
  <c r="J47" i="6"/>
  <c r="I47" i="6"/>
  <c r="G47" i="6"/>
  <c r="F47" i="6"/>
  <c r="N46" i="6"/>
  <c r="O46" i="6" s="1"/>
  <c r="H46" i="6"/>
  <c r="N45" i="6"/>
  <c r="O45" i="6" s="1"/>
  <c r="H45" i="6"/>
  <c r="N44" i="6"/>
  <c r="O44" i="6" s="1"/>
  <c r="H44" i="6"/>
  <c r="N43" i="6"/>
  <c r="H43" i="6"/>
  <c r="O43" i="6" s="1"/>
  <c r="N42" i="6"/>
  <c r="O42" i="6" s="1"/>
  <c r="H42" i="6"/>
  <c r="N41" i="6"/>
  <c r="O41" i="6" s="1"/>
  <c r="H41" i="6"/>
  <c r="N40" i="6"/>
  <c r="O40" i="6" s="1"/>
  <c r="H40" i="6"/>
  <c r="N39" i="6"/>
  <c r="H39" i="6"/>
  <c r="O39" i="6" s="1"/>
  <c r="N38" i="6"/>
  <c r="O38" i="6" s="1"/>
  <c r="H38" i="6"/>
  <c r="N37" i="6"/>
  <c r="O37" i="6" s="1"/>
  <c r="H37" i="6"/>
  <c r="N36" i="6"/>
  <c r="O36" i="6" s="1"/>
  <c r="H36" i="6"/>
  <c r="N35" i="6"/>
  <c r="H35" i="6"/>
  <c r="O35" i="6" s="1"/>
  <c r="N34" i="6"/>
  <c r="O34" i="6" s="1"/>
  <c r="H34" i="6"/>
  <c r="N33" i="6"/>
  <c r="M33" i="6"/>
  <c r="L33" i="6"/>
  <c r="K33" i="6"/>
  <c r="J33" i="6"/>
  <c r="I33" i="6"/>
  <c r="G33" i="6"/>
  <c r="F33" i="6"/>
  <c r="N32" i="6"/>
  <c r="H32" i="6"/>
  <c r="O32" i="6" s="1"/>
  <c r="O31" i="6"/>
  <c r="N31" i="6"/>
  <c r="H31" i="6"/>
  <c r="O30" i="6"/>
  <c r="N30" i="6"/>
  <c r="H30" i="6"/>
  <c r="N29" i="6"/>
  <c r="O29" i="6" s="1"/>
  <c r="H29" i="6"/>
  <c r="N28" i="6"/>
  <c r="H28" i="6"/>
  <c r="O28" i="6" s="1"/>
  <c r="O27" i="6"/>
  <c r="N27" i="6"/>
  <c r="H27" i="6"/>
  <c r="M26" i="6"/>
  <c r="L26" i="6"/>
  <c r="L11" i="6" s="1"/>
  <c r="L52" i="6" s="1"/>
  <c r="K26" i="6"/>
  <c r="J26" i="6"/>
  <c r="I26" i="6"/>
  <c r="G26" i="6"/>
  <c r="F26" i="6"/>
  <c r="N25" i="6"/>
  <c r="H25" i="6"/>
  <c r="O25" i="6" s="1"/>
  <c r="N24" i="6"/>
  <c r="H24" i="6"/>
  <c r="O24" i="6" s="1"/>
  <c r="O23" i="6"/>
  <c r="N23" i="6"/>
  <c r="H23" i="6"/>
  <c r="N22" i="6"/>
  <c r="N21" i="6" s="1"/>
  <c r="H22" i="6"/>
  <c r="H21" i="6" s="1"/>
  <c r="M21" i="6"/>
  <c r="L21" i="6"/>
  <c r="K21" i="6"/>
  <c r="J21" i="6"/>
  <c r="I21" i="6"/>
  <c r="G21" i="6"/>
  <c r="F21" i="6"/>
  <c r="N20" i="6"/>
  <c r="O20" i="6" s="1"/>
  <c r="H20" i="6"/>
  <c r="N19" i="6"/>
  <c r="O19" i="6" s="1"/>
  <c r="O18" i="6" s="1"/>
  <c r="H19" i="6"/>
  <c r="M18" i="6"/>
  <c r="M11" i="6" s="1"/>
  <c r="M52" i="6" s="1"/>
  <c r="L18" i="6"/>
  <c r="K18" i="6"/>
  <c r="K11" i="6" s="1"/>
  <c r="K52" i="6" s="1"/>
  <c r="J18" i="6"/>
  <c r="I18" i="6"/>
  <c r="H18" i="6"/>
  <c r="G18" i="6"/>
  <c r="F18" i="6"/>
  <c r="O17" i="6"/>
  <c r="N17" i="6"/>
  <c r="H17" i="6"/>
  <c r="N16" i="6"/>
  <c r="O16" i="6" s="1"/>
  <c r="H16" i="6"/>
  <c r="N15" i="6"/>
  <c r="H15" i="6"/>
  <c r="H12" i="6" s="1"/>
  <c r="O14" i="6"/>
  <c r="N14" i="6"/>
  <c r="H14" i="6"/>
  <c r="O13" i="6"/>
  <c r="N13" i="6"/>
  <c r="H13" i="6"/>
  <c r="N12" i="6"/>
  <c r="M12" i="6"/>
  <c r="L12" i="6"/>
  <c r="K12" i="6"/>
  <c r="J12" i="6"/>
  <c r="J11" i="6" s="1"/>
  <c r="J52" i="6" s="1"/>
  <c r="I12" i="6"/>
  <c r="I11" i="6" s="1"/>
  <c r="I52" i="6" s="1"/>
  <c r="G12" i="6"/>
  <c r="F12" i="6"/>
  <c r="G11" i="6"/>
  <c r="G52" i="6" s="1"/>
  <c r="L38" i="5"/>
  <c r="F38" i="5"/>
  <c r="L37" i="5"/>
  <c r="F37" i="5"/>
  <c r="M37" i="5" s="1"/>
  <c r="L36" i="5"/>
  <c r="M36" i="5" s="1"/>
  <c r="F36" i="5"/>
  <c r="L35" i="5"/>
  <c r="K35" i="5"/>
  <c r="J35" i="5"/>
  <c r="I35" i="5"/>
  <c r="H35" i="5"/>
  <c r="G35" i="5"/>
  <c r="E35" i="5"/>
  <c r="D35" i="5"/>
  <c r="L34" i="5"/>
  <c r="F34" i="5"/>
  <c r="M34" i="5" s="1"/>
  <c r="M33" i="5"/>
  <c r="L33" i="5"/>
  <c r="F33" i="5"/>
  <c r="L32" i="5"/>
  <c r="K32" i="5"/>
  <c r="J32" i="5"/>
  <c r="I32" i="5"/>
  <c r="H32" i="5"/>
  <c r="G32" i="5"/>
  <c r="E32" i="5"/>
  <c r="D32" i="5"/>
  <c r="L31" i="5"/>
  <c r="F31" i="5"/>
  <c r="L30" i="5"/>
  <c r="F30" i="5"/>
  <c r="F29" i="5" s="1"/>
  <c r="K29" i="5"/>
  <c r="J29" i="5"/>
  <c r="I29" i="5"/>
  <c r="H29" i="5"/>
  <c r="G29" i="5"/>
  <c r="E29" i="5"/>
  <c r="D29" i="5"/>
  <c r="L28" i="5"/>
  <c r="F28" i="5"/>
  <c r="M28" i="5" s="1"/>
  <c r="L27" i="5"/>
  <c r="L26" i="5" s="1"/>
  <c r="F27" i="5"/>
  <c r="K26" i="5"/>
  <c r="J26" i="5"/>
  <c r="I26" i="5"/>
  <c r="H26" i="5"/>
  <c r="G26" i="5"/>
  <c r="E26" i="5"/>
  <c r="D26" i="5"/>
  <c r="K21" i="5"/>
  <c r="J21" i="5"/>
  <c r="I21" i="5"/>
  <c r="H21" i="5"/>
  <c r="G21" i="5"/>
  <c r="E21" i="5"/>
  <c r="D21" i="5"/>
  <c r="M20" i="5"/>
  <c r="L20" i="5"/>
  <c r="F20" i="5"/>
  <c r="L19" i="5"/>
  <c r="L21" i="5" s="1"/>
  <c r="F19" i="5"/>
  <c r="M19" i="5" s="1"/>
  <c r="K14" i="5"/>
  <c r="J14" i="5"/>
  <c r="I14" i="5"/>
  <c r="H14" i="5"/>
  <c r="G14" i="5"/>
  <c r="E14" i="5"/>
  <c r="D14" i="5"/>
  <c r="L13" i="5"/>
  <c r="F13" i="5"/>
  <c r="L12" i="5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H46" i="32" l="1"/>
  <c r="L11" i="9"/>
  <c r="N26" i="9"/>
  <c r="O29" i="9"/>
  <c r="O29" i="8"/>
  <c r="O26" i="8" s="1"/>
  <c r="O11" i="8" s="1"/>
  <c r="N26" i="6"/>
  <c r="H26" i="6"/>
  <c r="O26" i="6"/>
  <c r="F11" i="6"/>
  <c r="F52" i="6" s="1"/>
  <c r="M27" i="5"/>
  <c r="L29" i="5"/>
  <c r="M29" i="5" s="1"/>
  <c r="M31" i="5"/>
  <c r="M38" i="5"/>
  <c r="F21" i="5"/>
  <c r="L14" i="5"/>
  <c r="M12" i="5"/>
  <c r="M13" i="5"/>
  <c r="F14" i="5"/>
  <c r="H17" i="1"/>
  <c r="O33" i="6"/>
  <c r="M14" i="5"/>
  <c r="M21" i="5"/>
  <c r="N11" i="6"/>
  <c r="N52" i="6" s="1"/>
  <c r="H11" i="6"/>
  <c r="H11" i="11"/>
  <c r="H50" i="11" s="1"/>
  <c r="N11" i="18"/>
  <c r="N52" i="18" s="1"/>
  <c r="F32" i="5"/>
  <c r="M32" i="5" s="1"/>
  <c r="O22" i="6"/>
  <c r="O21" i="6" s="1"/>
  <c r="O30" i="7"/>
  <c r="O33" i="7"/>
  <c r="O31" i="11"/>
  <c r="H11" i="13"/>
  <c r="O15" i="6"/>
  <c r="O12" i="6" s="1"/>
  <c r="G52" i="10"/>
  <c r="M50" i="11"/>
  <c r="H11" i="9"/>
  <c r="H52" i="9" s="1"/>
  <c r="G50" i="7"/>
  <c r="O13" i="7"/>
  <c r="O12" i="7" s="1"/>
  <c r="O45" i="8"/>
  <c r="O33" i="8" s="1"/>
  <c r="H47" i="8"/>
  <c r="K52" i="9"/>
  <c r="L52" i="9"/>
  <c r="O25" i="9"/>
  <c r="O48" i="9"/>
  <c r="O13" i="10"/>
  <c r="N12" i="10"/>
  <c r="N11" i="10" s="1"/>
  <c r="N52" i="10" s="1"/>
  <c r="O19" i="11"/>
  <c r="O18" i="11" s="1"/>
  <c r="H21" i="11"/>
  <c r="O18" i="12"/>
  <c r="O16" i="13"/>
  <c r="O12" i="13" s="1"/>
  <c r="O11" i="13" s="1"/>
  <c r="O52" i="13" s="1"/>
  <c r="O13" i="15"/>
  <c r="O12" i="15" s="1"/>
  <c r="H12" i="15"/>
  <c r="H11" i="15" s="1"/>
  <c r="H50" i="15" s="1"/>
  <c r="H52" i="16"/>
  <c r="O33" i="17"/>
  <c r="N52" i="14"/>
  <c r="F26" i="5"/>
  <c r="M26" i="5" s="1"/>
  <c r="F35" i="5"/>
  <c r="M35" i="5" s="1"/>
  <c r="N18" i="6"/>
  <c r="H33" i="6"/>
  <c r="H31" i="7"/>
  <c r="O26" i="10"/>
  <c r="O23" i="12"/>
  <c r="O21" i="12" s="1"/>
  <c r="O51" i="12"/>
  <c r="O47" i="12" s="1"/>
  <c r="H33" i="13"/>
  <c r="O34" i="13"/>
  <c r="O33" i="13" s="1"/>
  <c r="K52" i="14"/>
  <c r="O18" i="14"/>
  <c r="O11" i="14" s="1"/>
  <c r="O52" i="14" s="1"/>
  <c r="O31" i="15"/>
  <c r="H47" i="6"/>
  <c r="N11" i="11"/>
  <c r="N50" i="11" s="1"/>
  <c r="N33" i="14"/>
  <c r="H47" i="14"/>
  <c r="O48" i="14"/>
  <c r="O47" i="14" s="1"/>
  <c r="O18" i="18"/>
  <c r="O21" i="18"/>
  <c r="N11" i="7"/>
  <c r="N50" i="7" s="1"/>
  <c r="M30" i="5"/>
  <c r="L11" i="8"/>
  <c r="L52" i="8" s="1"/>
  <c r="H11" i="8"/>
  <c r="J11" i="9"/>
  <c r="J52" i="9" s="1"/>
  <c r="O50" i="9"/>
  <c r="O15" i="10"/>
  <c r="O12" i="11"/>
  <c r="H12" i="12"/>
  <c r="O31" i="13"/>
  <c r="F11" i="14"/>
  <c r="F52" i="14" s="1"/>
  <c r="K50" i="15"/>
  <c r="O21" i="17"/>
  <c r="O19" i="10"/>
  <c r="O18" i="10" s="1"/>
  <c r="H18" i="10"/>
  <c r="H11" i="10" s="1"/>
  <c r="H52" i="10" s="1"/>
  <c r="N11" i="12"/>
  <c r="N52" i="12" s="1"/>
  <c r="H26" i="12"/>
  <c r="O27" i="12"/>
  <c r="O26" i="12" s="1"/>
  <c r="N52" i="16"/>
  <c r="H11" i="17"/>
  <c r="H52" i="17" s="1"/>
  <c r="O31" i="7"/>
  <c r="H21" i="14"/>
  <c r="H11" i="14" s="1"/>
  <c r="H52" i="14" s="1"/>
  <c r="O22" i="14"/>
  <c r="O21" i="14" s="1"/>
  <c r="H11" i="7"/>
  <c r="O18" i="8"/>
  <c r="O21" i="8"/>
  <c r="F52" i="9"/>
  <c r="O33" i="9"/>
  <c r="O21" i="10"/>
  <c r="G50" i="11"/>
  <c r="J52" i="13"/>
  <c r="G11" i="15"/>
  <c r="G50" i="15" s="1"/>
  <c r="M11" i="15"/>
  <c r="M50" i="15" s="1"/>
  <c r="O12" i="16"/>
  <c r="O26" i="16"/>
  <c r="N52" i="17"/>
  <c r="N11" i="9"/>
  <c r="N52" i="9" s="1"/>
  <c r="O27" i="9"/>
  <c r="O26" i="9" s="1"/>
  <c r="H26" i="9"/>
  <c r="O18" i="7"/>
  <c r="N21" i="8"/>
  <c r="N11" i="8" s="1"/>
  <c r="N52" i="8" s="1"/>
  <c r="O21" i="9"/>
  <c r="O30" i="10"/>
  <c r="H33" i="10"/>
  <c r="O47" i="10"/>
  <c r="I52" i="12"/>
  <c r="O25" i="12"/>
  <c r="N26" i="13"/>
  <c r="N11" i="13" s="1"/>
  <c r="N52" i="13" s="1"/>
  <c r="O26" i="14"/>
  <c r="I11" i="15"/>
  <c r="I50" i="15" s="1"/>
  <c r="O12" i="18"/>
  <c r="H11" i="18"/>
  <c r="O26" i="20"/>
  <c r="O37" i="21"/>
  <c r="O18" i="22"/>
  <c r="O26" i="24"/>
  <c r="H33" i="26"/>
  <c r="O36" i="26"/>
  <c r="O33" i="26" s="1"/>
  <c r="H21" i="27"/>
  <c r="O24" i="27"/>
  <c r="O21" i="27" s="1"/>
  <c r="H45" i="27"/>
  <c r="O49" i="27"/>
  <c r="O34" i="28"/>
  <c r="N33" i="28"/>
  <c r="H18" i="29"/>
  <c r="H11" i="29" s="1"/>
  <c r="H52" i="29" s="1"/>
  <c r="O19" i="29"/>
  <c r="O18" i="29" s="1"/>
  <c r="O22" i="29"/>
  <c r="O21" i="29" s="1"/>
  <c r="O30" i="30"/>
  <c r="O21" i="30" s="1"/>
  <c r="N11" i="31"/>
  <c r="O14" i="31"/>
  <c r="N12" i="26"/>
  <c r="O13" i="26"/>
  <c r="O12" i="26" s="1"/>
  <c r="H26" i="28"/>
  <c r="O27" i="28"/>
  <c r="O26" i="28" s="1"/>
  <c r="O48" i="8"/>
  <c r="O47" i="8" s="1"/>
  <c r="O34" i="10"/>
  <c r="O33" i="10" s="1"/>
  <c r="O22" i="11"/>
  <c r="O21" i="11" s="1"/>
  <c r="O13" i="12"/>
  <c r="O12" i="12" s="1"/>
  <c r="N33" i="12"/>
  <c r="O19" i="13"/>
  <c r="O18" i="13" s="1"/>
  <c r="O27" i="15"/>
  <c r="O26" i="15" s="1"/>
  <c r="O50" i="17"/>
  <c r="O47" i="17" s="1"/>
  <c r="N12" i="21"/>
  <c r="O20" i="21"/>
  <c r="O18" i="21" s="1"/>
  <c r="O22" i="21"/>
  <c r="O21" i="21" s="1"/>
  <c r="O12" i="22"/>
  <c r="N33" i="22"/>
  <c r="H12" i="23"/>
  <c r="I50" i="23"/>
  <c r="H26" i="23"/>
  <c r="O27" i="23"/>
  <c r="O26" i="23" s="1"/>
  <c r="H11" i="24"/>
  <c r="N26" i="24"/>
  <c r="H21" i="25"/>
  <c r="O11" i="30"/>
  <c r="N32" i="30"/>
  <c r="O35" i="30"/>
  <c r="H21" i="31"/>
  <c r="O24" i="31"/>
  <c r="O21" i="31" s="1"/>
  <c r="O24" i="16"/>
  <c r="O21" i="16" s="1"/>
  <c r="O13" i="17"/>
  <c r="O12" i="17" s="1"/>
  <c r="L11" i="19"/>
  <c r="L50" i="19" s="1"/>
  <c r="N12" i="23"/>
  <c r="O13" i="23"/>
  <c r="O12" i="23" s="1"/>
  <c r="O18" i="25"/>
  <c r="O14" i="28"/>
  <c r="O12" i="28" s="1"/>
  <c r="O11" i="28" s="1"/>
  <c r="H12" i="28"/>
  <c r="O26" i="30"/>
  <c r="O27" i="13"/>
  <c r="O26" i="13" s="1"/>
  <c r="O34" i="14"/>
  <c r="O33" i="14" s="1"/>
  <c r="O22" i="15"/>
  <c r="O21" i="15" s="1"/>
  <c r="N18" i="19"/>
  <c r="N47" i="20"/>
  <c r="O48" i="20"/>
  <c r="O47" i="20" s="1"/>
  <c r="O45" i="21"/>
  <c r="H47" i="21"/>
  <c r="J11" i="24"/>
  <c r="J52" i="24" s="1"/>
  <c r="N11" i="25"/>
  <c r="N52" i="25" s="1"/>
  <c r="O34" i="25"/>
  <c r="H47" i="25"/>
  <c r="O48" i="25"/>
  <c r="O47" i="25" s="1"/>
  <c r="H42" i="30"/>
  <c r="O45" i="30"/>
  <c r="O42" i="30" s="1"/>
  <c r="O19" i="16"/>
  <c r="O18" i="16" s="1"/>
  <c r="H47" i="18"/>
  <c r="O21" i="19"/>
  <c r="H31" i="23"/>
  <c r="H26" i="25"/>
  <c r="O27" i="25"/>
  <c r="O26" i="25" s="1"/>
  <c r="H18" i="26"/>
  <c r="H11" i="26" s="1"/>
  <c r="H52" i="26" s="1"/>
  <c r="O19" i="26"/>
  <c r="O18" i="26" s="1"/>
  <c r="N31" i="27"/>
  <c r="O27" i="17"/>
  <c r="O26" i="17" s="1"/>
  <c r="N11" i="19"/>
  <c r="N31" i="19"/>
  <c r="N21" i="20"/>
  <c r="N11" i="20" s="1"/>
  <c r="N52" i="20" s="1"/>
  <c r="H33" i="20"/>
  <c r="H33" i="21"/>
  <c r="O34" i="21"/>
  <c r="O33" i="21" s="1"/>
  <c r="H47" i="22"/>
  <c r="O48" i="22"/>
  <c r="O47" i="22" s="1"/>
  <c r="O14" i="25"/>
  <c r="O12" i="25" s="1"/>
  <c r="O11" i="25" s="1"/>
  <c r="H12" i="25"/>
  <c r="G11" i="26"/>
  <c r="G52" i="26" s="1"/>
  <c r="O22" i="26"/>
  <c r="N21" i="26"/>
  <c r="H31" i="27"/>
  <c r="O45" i="27"/>
  <c r="H33" i="29"/>
  <c r="O36" i="29"/>
  <c r="O33" i="29" s="1"/>
  <c r="H52" i="31"/>
  <c r="F47" i="32"/>
  <c r="H12" i="32"/>
  <c r="H47" i="32" s="1"/>
  <c r="N18" i="18"/>
  <c r="N26" i="18"/>
  <c r="O33" i="18"/>
  <c r="O12" i="19"/>
  <c r="O11" i="19" s="1"/>
  <c r="O31" i="19"/>
  <c r="O21" i="20"/>
  <c r="O45" i="22"/>
  <c r="N47" i="22"/>
  <c r="F11" i="23"/>
  <c r="F50" i="23" s="1"/>
  <c r="O32" i="23"/>
  <c r="O31" i="23" s="1"/>
  <c r="N18" i="24"/>
  <c r="N11" i="24" s="1"/>
  <c r="N52" i="24" s="1"/>
  <c r="O20" i="24"/>
  <c r="O18" i="24" s="1"/>
  <c r="N33" i="24"/>
  <c r="H18" i="27"/>
  <c r="H11" i="27" s="1"/>
  <c r="H50" i="27" s="1"/>
  <c r="G11" i="28"/>
  <c r="G52" i="28" s="1"/>
  <c r="I52" i="29"/>
  <c r="O47" i="29"/>
  <c r="N21" i="30"/>
  <c r="H11" i="31"/>
  <c r="O12" i="31"/>
  <c r="O11" i="31" s="1"/>
  <c r="O13" i="9"/>
  <c r="O12" i="9" s="1"/>
  <c r="O11" i="9" s="1"/>
  <c r="O46" i="11"/>
  <c r="O45" i="11" s="1"/>
  <c r="O34" i="16"/>
  <c r="O33" i="16" s="1"/>
  <c r="O27" i="18"/>
  <c r="O26" i="18" s="1"/>
  <c r="H12" i="20"/>
  <c r="H11" i="20" s="1"/>
  <c r="O13" i="20"/>
  <c r="O12" i="20" s="1"/>
  <c r="O33" i="20"/>
  <c r="H11" i="21"/>
  <c r="O12" i="21"/>
  <c r="N26" i="21"/>
  <c r="O41" i="21"/>
  <c r="N21" i="23"/>
  <c r="F11" i="24"/>
  <c r="F52" i="24" s="1"/>
  <c r="H33" i="24"/>
  <c r="O34" i="24"/>
  <c r="O33" i="24" s="1"/>
  <c r="O47" i="24"/>
  <c r="J52" i="26"/>
  <c r="N12" i="29"/>
  <c r="N11" i="29" s="1"/>
  <c r="O13" i="29"/>
  <c r="O12" i="29" s="1"/>
  <c r="O48" i="16"/>
  <c r="O47" i="16" s="1"/>
  <c r="H45" i="19"/>
  <c r="O26" i="21"/>
  <c r="O41" i="22"/>
  <c r="O18" i="23"/>
  <c r="O12" i="24"/>
  <c r="N21" i="28"/>
  <c r="H32" i="30"/>
  <c r="H52" i="30" s="1"/>
  <c r="O33" i="30"/>
  <c r="H21" i="17"/>
  <c r="F11" i="19"/>
  <c r="F50" i="19" s="1"/>
  <c r="H21" i="19"/>
  <c r="H11" i="19" s="1"/>
  <c r="H50" i="19" s="1"/>
  <c r="I52" i="20"/>
  <c r="O21" i="23"/>
  <c r="G52" i="24"/>
  <c r="I11" i="25"/>
  <c r="I52" i="25" s="1"/>
  <c r="K52" i="25"/>
  <c r="O42" i="25"/>
  <c r="H26" i="26"/>
  <c r="H21" i="28"/>
  <c r="O20" i="18"/>
  <c r="N18" i="22"/>
  <c r="N11" i="22" s="1"/>
  <c r="N52" i="22" s="1"/>
  <c r="H21" i="22"/>
  <c r="O22" i="22"/>
  <c r="O21" i="22" s="1"/>
  <c r="O37" i="22"/>
  <c r="O33" i="22" s="1"/>
  <c r="O46" i="23"/>
  <c r="O45" i="23" s="1"/>
  <c r="O18" i="28"/>
  <c r="H47" i="28"/>
  <c r="O48" i="28"/>
  <c r="O47" i="28" s="1"/>
  <c r="O36" i="31"/>
  <c r="O32" i="31" s="1"/>
  <c r="N42" i="31"/>
  <c r="N52" i="31" s="1"/>
  <c r="O44" i="31"/>
  <c r="O42" i="31" s="1"/>
  <c r="O46" i="19"/>
  <c r="O45" i="19" s="1"/>
  <c r="H12" i="22"/>
  <c r="H11" i="22" s="1"/>
  <c r="O25" i="23"/>
  <c r="O15" i="24"/>
  <c r="O37" i="25"/>
  <c r="O25" i="26"/>
  <c r="O50" i="26"/>
  <c r="O47" i="26" s="1"/>
  <c r="O37" i="28"/>
  <c r="O25" i="29"/>
  <c r="O25" i="30"/>
  <c r="O22" i="25"/>
  <c r="O21" i="25" s="1"/>
  <c r="O27" i="26"/>
  <c r="O26" i="26" s="1"/>
  <c r="O19" i="27"/>
  <c r="O18" i="27" s="1"/>
  <c r="O11" i="27" s="1"/>
  <c r="O50" i="27" s="1"/>
  <c r="N21" i="27"/>
  <c r="N11" i="27" s="1"/>
  <c r="N50" i="27" s="1"/>
  <c r="O32" i="27"/>
  <c r="O31" i="27" s="1"/>
  <c r="O22" i="28"/>
  <c r="O21" i="28" s="1"/>
  <c r="O27" i="29"/>
  <c r="O26" i="29" s="1"/>
  <c r="N33" i="29"/>
  <c r="N42" i="30"/>
  <c r="N21" i="31"/>
  <c r="G46" i="32"/>
  <c r="H47" i="24"/>
  <c r="N12" i="28"/>
  <c r="N11" i="28" s="1"/>
  <c r="N52" i="28" s="1"/>
  <c r="O19" i="20"/>
  <c r="O18" i="20" s="1"/>
  <c r="O11" i="6" l="1"/>
  <c r="O52" i="6" s="1"/>
  <c r="O52" i="31"/>
  <c r="O33" i="25"/>
  <c r="H11" i="23"/>
  <c r="H50" i="23" s="1"/>
  <c r="O12" i="10"/>
  <c r="O11" i="10" s="1"/>
  <c r="O52" i="10" s="1"/>
  <c r="O47" i="9"/>
  <c r="O52" i="9" s="1"/>
  <c r="O52" i="8"/>
  <c r="O52" i="25"/>
  <c r="O11" i="16"/>
  <c r="O52" i="16" s="1"/>
  <c r="H11" i="28"/>
  <c r="H52" i="28" s="1"/>
  <c r="N52" i="30"/>
  <c r="O11" i="22"/>
  <c r="O52" i="22" s="1"/>
  <c r="H52" i="18"/>
  <c r="H11" i="12"/>
  <c r="H52" i="12" s="1"/>
  <c r="O11" i="24"/>
  <c r="O52" i="24" s="1"/>
  <c r="O33" i="28"/>
  <c r="O52" i="28" s="1"/>
  <c r="O11" i="11"/>
  <c r="O50" i="11" s="1"/>
  <c r="O11" i="18"/>
  <c r="O52" i="18" s="1"/>
  <c r="O11" i="15"/>
  <c r="O50" i="15" s="1"/>
  <c r="H52" i="6"/>
  <c r="H52" i="13"/>
  <c r="O11" i="12"/>
  <c r="O52" i="12" s="1"/>
  <c r="O11" i="21"/>
  <c r="O52" i="21" s="1"/>
  <c r="N11" i="23"/>
  <c r="N50" i="23" s="1"/>
  <c r="N11" i="26"/>
  <c r="N52" i="26" s="1"/>
  <c r="O11" i="23"/>
  <c r="O50" i="23" s="1"/>
  <c r="O11" i="29"/>
  <c r="O52" i="29" s="1"/>
  <c r="O21" i="26"/>
  <c r="O11" i="26" s="1"/>
  <c r="O52" i="26" s="1"/>
  <c r="H52" i="8"/>
  <c r="O11" i="7"/>
  <c r="O50" i="7" s="1"/>
  <c r="O50" i="19"/>
  <c r="N52" i="29"/>
  <c r="O11" i="20"/>
  <c r="O52" i="20" s="1"/>
  <c r="H52" i="24"/>
  <c r="N11" i="21"/>
  <c r="N52" i="21" s="1"/>
  <c r="H52" i="21"/>
  <c r="N50" i="19"/>
  <c r="H52" i="22"/>
  <c r="O32" i="30"/>
  <c r="O52" i="30" s="1"/>
  <c r="H52" i="20"/>
  <c r="H11" i="25"/>
  <c r="H52" i="25" s="1"/>
  <c r="O11" i="17"/>
  <c r="O52" i="17" s="1"/>
  <c r="H50" i="7"/>
</calcChain>
</file>

<file path=xl/sharedStrings.xml><?xml version="1.0" encoding="utf-8"?>
<sst xmlns="http://schemas.openxmlformats.org/spreadsheetml/2006/main" count="2006" uniqueCount="170">
  <si>
    <t>（様式１）</t>
  </si>
  <si>
    <t>介護保険事業状況報告</t>
  </si>
  <si>
    <t>(令和8年5月分)</t>
  </si>
  <si>
    <t>保険者番号：</t>
  </si>
  <si>
    <t>04324</t>
  </si>
  <si>
    <t>保険者名：</t>
  </si>
  <si>
    <t>川崎町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</si>
  <si>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</si>
  <si>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</si>
  <si>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</si>
  <si>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</si>
  <si>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</si>
  <si>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</si>
  <si>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</si>
  <si>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</si>
  <si>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</si>
  <si>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</si>
  <si>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</si>
  <si>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</si>
  <si>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</si>
  <si>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</si>
  <si>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</si>
  <si>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</si>
  <si>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</si>
  <si>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</si>
  <si>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</si>
  <si>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</si>
  <si>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</si>
  <si>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</si>
  <si>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</si>
  <si>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</si>
  <si>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</si>
  <si>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</si>
  <si>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</si>
  <si>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</si>
  <si>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</si>
  <si>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</si>
  <si>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</si>
  <si>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</si>
  <si>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</si>
  <si>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</si>
  <si>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</si>
  <si>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</si>
  <si>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</si>
  <si>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</si>
  <si>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</si>
  <si>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</si>
  <si>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</si>
  <si>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</si>
  <si>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</si>
  <si>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</si>
  <si>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</si>
  <si>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</si>
  <si>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</si>
  <si>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</si>
  <si>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</si>
  <si>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</si>
  <si>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</si>
  <si>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</si>
  <si>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</si>
  <si>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</si>
  <si>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</si>
  <si>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</si>
  <si>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</si>
  <si>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</si>
  <si>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</si>
  <si>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</si>
  <si>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</si>
  <si>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</si>
  <si>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</si>
  <si>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</si>
  <si>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</si>
  <si>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</si>
  <si>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</si>
  <si>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</si>
  <si>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</si>
  <si>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</si>
  <si>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</si>
  <si>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</si>
  <si>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</si>
  <si>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</si>
  <si>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</si>
  <si>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</si>
  <si>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</si>
  <si>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</si>
  <si>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</si>
  <si>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</si>
  <si>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</si>
  <si>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</si>
  <si>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</si>
  <si>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</si>
  <si>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</si>
  <si>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</si>
  <si>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</si>
  <si>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</si>
  <si>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</si>
  <si>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</si>
  <si>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</si>
  <si>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</si>
  <si>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</si>
  <si>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</si>
  <si>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</si>
  <si>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</si>
  <si>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</si>
  <si>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</si>
  <si>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</si>
  <si>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</si>
  <si>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</si>
  <si>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</si>
  <si>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</si>
  <si>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</si>
  <si>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</si>
  <si>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</si>
  <si>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</si>
  <si>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</si>
  <si>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</si>
  <si>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</si>
  <si>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</si>
  <si>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</si>
  <si>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</si>
  <si>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</si>
  <si>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</si>
  <si>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</si>
  <si>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</si>
  <si>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</si>
  <si>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</si>
  <si>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</si>
  <si>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</si>
  <si>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</si>
  <si>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</si>
  <si>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</si>
  <si>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</si>
  <si>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</si>
  <si>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</si>
  <si>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</si>
  <si>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</si>
  <si>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</si>
  <si>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</si>
  <si>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</si>
  <si>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</si>
  <si>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</si>
  <si>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</si>
  <si>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</si>
  <si>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</si>
  <si>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</si>
  <si>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</si>
  <si>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</si>
  <si>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</si>
  <si>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</si>
  <si>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</si>
  <si>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 高額介護(介護予防)サービス費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</si>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</sst>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thin">
        <color theme="1"/>
      </left>
      <right/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rgb="FF000000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4">
    <xf numFmtId="0" fontId="0" fillId="0" borderId="0" xfId="0" applyFont="1"/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43" xfId="0" applyFont="1" applyBorder="1" applyAlignment="1">
      <alignment horizontal="right" vertical="center" shrinkToFit="1"/>
    </xf>
    <xf numFmtId="49" fontId="12" fillId="0" borderId="43" xfId="0" applyNumberFormat="1" applyFont="1" applyBorder="1" applyAlignment="1">
      <alignment horizontal="left" vertical="center" shrinkToFit="1"/>
    </xf>
    <xf numFmtId="0" fontId="12" fillId="0" borderId="44" xfId="0" applyFont="1" applyBorder="1" applyAlignment="1">
      <alignment horizontal="right" vertical="center"/>
    </xf>
    <xf numFmtId="0" fontId="12" fillId="0" borderId="44" xfId="0" applyFont="1" applyBorder="1" applyAlignment="1">
      <alignment horizontal="left" vertical="center"/>
    </xf>
    <xf numFmtId="0" fontId="2" fillId="0" borderId="0" xfId="0" applyFont="1"/>
    <xf numFmtId="0" fontId="4" fillId="0" borderId="45" xfId="0" applyNumberFormat="1" applyFont="1" applyBorder="1" applyAlignment="1">
      <alignment horizontal="center" vertical="center"/>
    </xf>
    <xf numFmtId="0" fontId="4" fillId="0" borderId="46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center" vertical="center"/>
    </xf>
    <xf numFmtId="0" fontId="4" fillId="0" borderId="47" xfId="0" applyNumberFormat="1" applyFont="1" applyBorder="1" applyAlignment="1">
      <alignment horizontal="center" vertical="center"/>
    </xf>
    <xf numFmtId="3" fontId="8" fillId="5" borderId="38" xfId="0" applyNumberFormat="1" applyFont="1" applyFill="1" applyBorder="1" applyAlignment="1" applyProtection="1">
      <alignment vertical="center" shrinkToFit="1"/>
      <protection locked="0"/>
    </xf>
    <xf numFmtId="180" fontId="3" fillId="2" borderId="48" xfId="0" applyNumberFormat="1" applyFont="1" applyFill="1" applyBorder="1" applyAlignment="1">
      <alignment vertical="center"/>
    </xf>
    <xf numFmtId="3" fontId="8" fillId="5" borderId="50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5" fillId="0" borderId="0" xfId="0" applyNumberFormat="1" applyFont="1" applyAlignment="1">
      <alignment vertical="center"/>
    </xf>
    <xf numFmtId="0" fontId="4" fillId="0" borderId="46" xfId="0" applyNumberFormat="1" applyFont="1" applyBorder="1" applyAlignment="1">
      <alignment horizontal="center" vertical="center" wrapText="1"/>
    </xf>
    <xf numFmtId="3" fontId="8" fillId="4" borderId="50" xfId="0" applyNumberFormat="1" applyFont="1" applyFill="1" applyBorder="1" applyAlignment="1">
      <alignment vertical="center" shrinkToFit="1"/>
    </xf>
    <xf numFmtId="0" fontId="4" fillId="0" borderId="38" xfId="0" applyNumberFormat="1" applyFont="1" applyBorder="1" applyAlignment="1">
      <alignment horizontal="center" vertical="center"/>
    </xf>
    <xf numFmtId="0" fontId="4" fillId="0" borderId="38" xfId="0" applyNumberFormat="1" applyFont="1" applyBorder="1" applyAlignment="1">
      <alignment horizontal="center" vertical="center" wrapText="1"/>
    </xf>
    <xf numFmtId="0" fontId="4" fillId="0" borderId="50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Protection="1">
      <protection locked="0"/>
    </xf>
    <xf numFmtId="49" fontId="12" fillId="0" borderId="43" xfId="0" applyNumberFormat="1" applyFont="1" applyBorder="1" applyAlignment="1">
      <alignment horizontal="left" vertical="center"/>
    </xf>
    <xf numFmtId="0" fontId="12" fillId="0" borderId="44" xfId="0" applyFont="1" applyBorder="1" applyAlignment="1">
      <alignment horizontal="right" vertical="center" wrapText="1"/>
    </xf>
    <xf numFmtId="0" fontId="3" fillId="0" borderId="95" xfId="0" applyNumberFormat="1" applyFont="1" applyBorder="1" applyAlignment="1">
      <alignment vertical="center"/>
    </xf>
    <xf numFmtId="0" fontId="4" fillId="0" borderId="77" xfId="0" applyNumberFormat="1" applyFont="1" applyBorder="1" applyAlignment="1">
      <alignment vertical="center"/>
    </xf>
    <xf numFmtId="0" fontId="4" fillId="0" borderId="104" xfId="0" applyNumberFormat="1" applyFont="1" applyBorder="1" applyAlignment="1">
      <alignment vertical="center"/>
    </xf>
    <xf numFmtId="180" fontId="4" fillId="0" borderId="105" xfId="0" applyNumberFormat="1" applyFont="1" applyBorder="1" applyAlignment="1">
      <alignment horizontal="center" vertical="center"/>
    </xf>
    <xf numFmtId="180" fontId="4" fillId="0" borderId="106" xfId="0" applyNumberFormat="1" applyFont="1" applyBorder="1" applyAlignment="1">
      <alignment horizontal="center" vertical="center"/>
    </xf>
    <xf numFmtId="180" fontId="4" fillId="0" borderId="106" xfId="0" applyNumberFormat="1" applyFont="1" applyBorder="1" applyAlignment="1">
      <alignment horizontal="center" vertical="center" wrapText="1"/>
    </xf>
    <xf numFmtId="180" fontId="4" fillId="0" borderId="107" xfId="0" applyNumberFormat="1" applyFont="1" applyBorder="1" applyAlignment="1">
      <alignment horizontal="center" vertical="center" wrapText="1"/>
    </xf>
    <xf numFmtId="0" fontId="4" fillId="0" borderId="108" xfId="0" applyNumberFormat="1" applyFont="1" applyBorder="1" applyAlignment="1">
      <alignment vertical="center" wrapText="1"/>
    </xf>
    <xf numFmtId="180" fontId="8" fillId="2" borderId="1" xfId="0" applyNumberFormat="1" applyFont="1" applyFill="1" applyBorder="1" applyAlignment="1" applyProtection="1">
      <alignment vertical="center" shrinkToFit="1"/>
      <protection locked="0"/>
    </xf>
    <xf numFmtId="180" fontId="8" fillId="2" borderId="2" xfId="0" applyNumberFormat="1" applyFont="1" applyFill="1" applyBorder="1" applyAlignment="1" applyProtection="1">
      <alignment vertical="center" shrinkToFit="1"/>
      <protection locked="0"/>
    </xf>
    <xf numFmtId="180" fontId="8" fillId="4" borderId="2" xfId="0" applyNumberFormat="1" applyFont="1" applyFill="1" applyBorder="1" applyAlignment="1">
      <alignment vertical="center" shrinkToFit="1"/>
    </xf>
    <xf numFmtId="180" fontId="8" fillId="4" borderId="9" xfId="0" applyNumberFormat="1" applyFont="1" applyFill="1" applyBorder="1" applyAlignment="1">
      <alignment vertical="center" shrinkToFit="1"/>
    </xf>
    <xf numFmtId="0" fontId="4" fillId="0" borderId="102" xfId="0" applyNumberFormat="1" applyFont="1" applyBorder="1" applyAlignment="1">
      <alignment vertical="center" wrapText="1"/>
    </xf>
    <xf numFmtId="180" fontId="8" fillId="2" borderId="3" xfId="0" applyNumberFormat="1" applyFont="1" applyFill="1" applyBorder="1" applyAlignment="1" applyProtection="1">
      <alignment vertical="center" shrinkToFit="1"/>
      <protection locked="0"/>
    </xf>
    <xf numFmtId="180" fontId="8" fillId="2" borderId="4" xfId="0" applyNumberFormat="1" applyFont="1" applyFill="1" applyBorder="1" applyAlignment="1" applyProtection="1">
      <alignment vertical="center" shrinkToFit="1"/>
      <protection locked="0"/>
    </xf>
    <xf numFmtId="180" fontId="8" fillId="4" borderId="4" xfId="0" applyNumberFormat="1" applyFont="1" applyFill="1" applyBorder="1" applyAlignment="1">
      <alignment vertical="center" shrinkToFit="1"/>
    </xf>
    <xf numFmtId="180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180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NumberFormat="1" applyFont="1" applyBorder="1" applyAlignment="1">
      <alignment vertical="center" wrapText="1"/>
    </xf>
    <xf numFmtId="180" fontId="8" fillId="2" borderId="6" xfId="0" applyNumberFormat="1" applyFont="1" applyFill="1" applyBorder="1" applyAlignment="1" applyProtection="1">
      <alignment vertical="center" shrinkToFit="1"/>
      <protection locked="0"/>
    </xf>
    <xf numFmtId="180" fontId="8" fillId="2" borderId="7" xfId="0" applyNumberFormat="1" applyFont="1" applyFill="1" applyBorder="1" applyAlignment="1" applyProtection="1">
      <alignment vertical="center" shrinkToFit="1"/>
      <protection locked="0"/>
    </xf>
    <xf numFmtId="180" fontId="8" fillId="4" borderId="6" xfId="0" applyNumberFormat="1" applyFont="1" applyFill="1" applyBorder="1" applyAlignment="1">
      <alignment vertical="center" shrinkToFit="1"/>
    </xf>
    <xf numFmtId="180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7" xfId="0" applyNumberFormat="1" applyFont="1" applyBorder="1" applyAlignment="1">
      <alignment vertical="center" wrapText="1"/>
    </xf>
    <xf numFmtId="180" fontId="8" fillId="2" borderId="8" xfId="0" applyNumberFormat="1" applyFont="1" applyFill="1" applyBorder="1" applyAlignment="1" applyProtection="1">
      <alignment vertical="center" shrinkToFit="1"/>
      <protection locked="0"/>
    </xf>
    <xf numFmtId="180" fontId="8" fillId="2" borderId="9" xfId="0" applyNumberFormat="1" applyFont="1" applyFill="1" applyBorder="1" applyAlignment="1" applyProtection="1">
      <alignment vertical="center" shrinkToFit="1"/>
      <protection locked="0"/>
    </xf>
    <xf numFmtId="180" fontId="8" fillId="2" borderId="10" xfId="0" applyNumberFormat="1" applyFont="1" applyFill="1" applyBorder="1" applyAlignment="1" applyProtection="1">
      <alignment vertical="center" shrinkToFit="1"/>
      <protection locked="0"/>
    </xf>
    <xf numFmtId="180" fontId="8" fillId="2" borderId="11" xfId="0" applyNumberFormat="1" applyFont="1" applyFill="1" applyBorder="1" applyAlignment="1" applyProtection="1">
      <alignment vertical="center" shrinkToFit="1"/>
      <protection locked="0"/>
    </xf>
    <xf numFmtId="180" fontId="8" fillId="2" borderId="12" xfId="0" applyNumberFormat="1" applyFont="1" applyFill="1" applyBorder="1" applyAlignment="1" applyProtection="1">
      <alignment vertical="center" shrinkToFit="1"/>
      <protection locked="0"/>
    </xf>
    <xf numFmtId="0" fontId="3" fillId="0" borderId="109" xfId="0" applyNumberFormat="1" applyFont="1" applyBorder="1" applyAlignment="1">
      <alignment vertical="center"/>
    </xf>
    <xf numFmtId="0" fontId="4" fillId="0" borderId="110" xfId="0" applyNumberFormat="1" applyFont="1" applyBorder="1" applyAlignment="1">
      <alignment vertical="center"/>
    </xf>
    <xf numFmtId="0" fontId="3" fillId="0" borderId="111" xfId="0" applyNumberFormat="1" applyFont="1" applyBorder="1" applyAlignment="1">
      <alignment vertical="center"/>
    </xf>
    <xf numFmtId="180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12" xfId="0" applyNumberFormat="1" applyFont="1" applyBorder="1" applyAlignment="1">
      <alignment vertical="center" wrapText="1"/>
    </xf>
    <xf numFmtId="180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103" xfId="0" applyNumberFormat="1" applyFont="1" applyBorder="1" applyAlignment="1">
      <alignment vertical="center" wrapText="1"/>
    </xf>
    <xf numFmtId="180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10" xfId="0" applyNumberFormat="1" applyFont="1" applyBorder="1" applyAlignment="1">
      <alignment vertical="center" wrapText="1"/>
    </xf>
    <xf numFmtId="0" fontId="4" fillId="0" borderId="113" xfId="0" applyNumberFormat="1" applyFont="1" applyBorder="1" applyAlignment="1">
      <alignment vertical="center" wrapText="1"/>
    </xf>
    <xf numFmtId="0" fontId="4" fillId="0" borderId="75" xfId="0" applyNumberFormat="1" applyFont="1" applyBorder="1" applyAlignment="1">
      <alignment vertical="center" wrapText="1"/>
    </xf>
    <xf numFmtId="0" fontId="4" fillId="0" borderId="91" xfId="0" applyNumberFormat="1" applyFont="1" applyBorder="1" applyAlignment="1">
      <alignment vertical="center" wrapText="1"/>
    </xf>
    <xf numFmtId="180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0" fontId="3" fillId="0" borderId="104" xfId="0" applyNumberFormat="1" applyFont="1" applyBorder="1" applyAlignment="1">
      <alignment vertical="center"/>
    </xf>
    <xf numFmtId="180" fontId="8" fillId="4" borderId="1" xfId="0" applyNumberFormat="1" applyFont="1" applyFill="1" applyBorder="1" applyAlignment="1">
      <alignment vertical="center" shrinkToFit="1"/>
    </xf>
    <xf numFmtId="180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103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0" fontId="3" fillId="0" borderId="45" xfId="0" applyNumberFormat="1" applyFont="1" applyBorder="1" applyAlignment="1">
      <alignment vertical="center"/>
    </xf>
    <xf numFmtId="180" fontId="8" fillId="4" borderId="10" xfId="0" applyNumberFormat="1" applyFont="1" applyFill="1" applyBorder="1" applyAlignment="1">
      <alignment vertical="center" shrinkToFit="1"/>
    </xf>
    <xf numFmtId="0" fontId="2" fillId="5" borderId="0" xfId="0" applyFont="1" applyFill="1"/>
    <xf numFmtId="0" fontId="8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97" xfId="0" applyFont="1" applyFill="1" applyBorder="1" applyAlignment="1">
      <alignment horizontal="center" vertical="center"/>
    </xf>
    <xf numFmtId="0" fontId="4" fillId="2" borderId="101" xfId="0" applyFont="1" applyFill="1" applyBorder="1" applyAlignment="1">
      <alignment horizontal="center" vertical="center"/>
    </xf>
    <xf numFmtId="0" fontId="3" fillId="2" borderId="51" xfId="0" applyFont="1" applyFill="1" applyBorder="1"/>
    <xf numFmtId="49" fontId="9" fillId="2" borderId="0" xfId="0" applyNumberFormat="1" applyFont="1" applyFill="1" applyAlignment="1">
      <alignment horizontal="right" vertical="center"/>
    </xf>
    <xf numFmtId="0" fontId="4" fillId="2" borderId="72" xfId="0" applyFont="1" applyFill="1" applyBorder="1" applyAlignment="1">
      <alignment horizontal="center" vertical="center"/>
    </xf>
    <xf numFmtId="180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80" fontId="8" fillId="4" borderId="14" xfId="0" applyNumberFormat="1" applyFont="1" applyFill="1" applyBorder="1" applyAlignment="1">
      <alignment horizontal="right" vertical="center" shrinkToFit="1"/>
    </xf>
    <xf numFmtId="180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80" fontId="8" fillId="4" borderId="92" xfId="0" applyNumberFormat="1" applyFont="1" applyFill="1" applyBorder="1" applyAlignment="1">
      <alignment horizontal="right" vertical="center" shrinkToFit="1"/>
    </xf>
    <xf numFmtId="0" fontId="3" fillId="2" borderId="0" xfId="0" applyFont="1" applyFill="1"/>
    <xf numFmtId="180" fontId="8" fillId="4" borderId="90" xfId="0" applyNumberFormat="1" applyFont="1" applyFill="1" applyBorder="1" applyAlignment="1">
      <alignment horizontal="right" vertical="center" shrinkToFit="1"/>
    </xf>
    <xf numFmtId="0" fontId="4" fillId="2" borderId="93" xfId="0" applyFont="1" applyFill="1" applyBorder="1" applyAlignment="1">
      <alignment horizontal="center" vertical="center"/>
    </xf>
    <xf numFmtId="180" fontId="8" fillId="4" borderId="20" xfId="0" applyNumberFormat="1" applyFont="1" applyFill="1" applyBorder="1" applyAlignment="1">
      <alignment horizontal="right" vertical="center" shrinkToFit="1"/>
    </xf>
    <xf numFmtId="180" fontId="8" fillId="4" borderId="74" xfId="0" applyNumberFormat="1" applyFont="1" applyFill="1" applyBorder="1" applyAlignment="1">
      <alignment horizontal="right" vertical="center" shrinkToFit="1"/>
    </xf>
    <xf numFmtId="180" fontId="8" fillId="4" borderId="123" xfId="0" applyNumberFormat="1" applyFont="1" applyFill="1" applyBorder="1" applyAlignment="1">
      <alignment horizontal="right" vertical="center" shrinkToFit="1"/>
    </xf>
    <xf numFmtId="180" fontId="8" fillId="4" borderId="7" xfId="0" applyNumberFormat="1" applyFont="1" applyFill="1" applyBorder="1" applyAlignment="1">
      <alignment horizontal="right" vertical="center" shrinkToFit="1"/>
    </xf>
    <xf numFmtId="180" fontId="8" fillId="4" borderId="76" xfId="0" applyNumberFormat="1" applyFont="1" applyFill="1" applyBorder="1" applyAlignment="1">
      <alignment horizontal="right" vertical="center" shrinkToFit="1"/>
    </xf>
    <xf numFmtId="0" fontId="10" fillId="6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4" fillId="2" borderId="98" xfId="0" applyFont="1" applyFill="1" applyBorder="1" applyAlignment="1">
      <alignment horizontal="center" vertical="center"/>
    </xf>
    <xf numFmtId="180" fontId="8" fillId="4" borderId="21" xfId="0" applyNumberFormat="1" applyFont="1" applyFill="1" applyBorder="1" applyAlignment="1">
      <alignment horizontal="right" vertical="center" shrinkToFit="1"/>
    </xf>
    <xf numFmtId="180" fontId="8" fillId="4" borderId="94" xfId="0" applyNumberFormat="1" applyFont="1" applyFill="1" applyBorder="1" applyAlignment="1">
      <alignment horizontal="right" vertical="center" shrinkToFit="1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4" fillId="2" borderId="127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vertical="center"/>
    </xf>
    <xf numFmtId="0" fontId="4" fillId="2" borderId="95" xfId="0" applyFont="1" applyFill="1" applyBorder="1" applyAlignment="1">
      <alignment horizontal="left" vertical="center"/>
    </xf>
    <xf numFmtId="180" fontId="8" fillId="4" borderId="46" xfId="0" applyNumberFormat="1" applyFont="1" applyFill="1" applyBorder="1" applyAlignment="1">
      <alignment horizontal="right" vertical="center" shrinkToFit="1"/>
    </xf>
    <xf numFmtId="180" fontId="8" fillId="4" borderId="96" xfId="0" applyNumberFormat="1" applyFont="1" applyFill="1" applyBorder="1" applyAlignment="1">
      <alignment horizontal="right" vertical="center" shrinkToFit="1"/>
    </xf>
    <xf numFmtId="180" fontId="8" fillId="4" borderId="97" xfId="0" applyNumberFormat="1" applyFont="1" applyFill="1" applyBorder="1" applyAlignment="1">
      <alignment horizontal="right" vertical="center" shrinkToFit="1"/>
    </xf>
    <xf numFmtId="180" fontId="8" fillId="4" borderId="98" xfId="0" applyNumberFormat="1" applyFont="1" applyFill="1" applyBorder="1" applyAlignment="1">
      <alignment horizontal="right" vertical="center" shrinkToFit="1"/>
    </xf>
    <xf numFmtId="180" fontId="8" fillId="4" borderId="99" xfId="0" applyNumberFormat="1" applyFont="1" applyFill="1" applyBorder="1" applyAlignment="1">
      <alignment horizontal="right" vertical="center" shrinkToFit="1"/>
    </xf>
    <xf numFmtId="0" fontId="4" fillId="2" borderId="72" xfId="0" applyFont="1" applyFill="1" applyBorder="1" applyAlignment="1">
      <alignment horizontal="left" vertical="center" indent="1"/>
    </xf>
    <xf numFmtId="180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80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80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80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80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80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80" fontId="8" fillId="4" borderId="100" xfId="0" applyNumberFormat="1" applyFont="1" applyFill="1" applyBorder="1" applyAlignment="1">
      <alignment horizontal="right" vertical="center" shrinkToFit="1"/>
    </xf>
    <xf numFmtId="0" fontId="4" fillId="2" borderId="93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8" fillId="0" borderId="0" xfId="0" applyFont="1" applyAlignment="1">
      <alignment vertical="top"/>
    </xf>
    <xf numFmtId="0" fontId="4" fillId="0" borderId="46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1" fillId="0" borderId="51" xfId="0" applyFont="1" applyBorder="1" applyAlignment="1">
      <alignment vertical="top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180" fontId="8" fillId="4" borderId="79" xfId="0" applyNumberFormat="1" applyFont="1" applyFill="1" applyBorder="1" applyAlignment="1">
      <alignment vertical="center" shrinkToFit="1"/>
    </xf>
    <xf numFmtId="180" fontId="8" fillId="4" borderId="80" xfId="0" applyNumberFormat="1" applyFont="1" applyFill="1" applyBorder="1" applyAlignment="1">
      <alignment vertical="center" shrinkToFit="1"/>
    </xf>
    <xf numFmtId="180" fontId="8" fillId="4" borderId="56" xfId="0" applyNumberFormat="1" applyFont="1" applyFill="1" applyBorder="1" applyAlignment="1">
      <alignment vertical="center" shrinkToFit="1"/>
    </xf>
    <xf numFmtId="180" fontId="8" fillId="4" borderId="58" xfId="0" applyNumberFormat="1" applyFont="1" applyFill="1" applyBorder="1" applyAlignment="1">
      <alignment vertical="center" shrinkToFit="1"/>
    </xf>
    <xf numFmtId="0" fontId="4" fillId="0" borderId="51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0" xfId="0" applyFont="1" applyAlignment="1">
      <alignment vertical="center"/>
    </xf>
    <xf numFmtId="180" fontId="8" fillId="4" borderId="22" xfId="0" applyNumberFormat="1" applyFont="1" applyFill="1" applyBorder="1" applyAlignment="1">
      <alignment vertical="center" shrinkToFit="1"/>
    </xf>
    <xf numFmtId="180" fontId="8" fillId="4" borderId="23" xfId="0" applyNumberFormat="1" applyFont="1" applyFill="1" applyBorder="1" applyAlignment="1">
      <alignment vertical="center" shrinkToFit="1"/>
    </xf>
    <xf numFmtId="180" fontId="8" fillId="4" borderId="70" xfId="0" applyNumberFormat="1" applyFont="1" applyFill="1" applyBorder="1" applyAlignment="1">
      <alignment vertical="center" shrinkToFit="1"/>
    </xf>
    <xf numFmtId="180" fontId="8" fillId="4" borderId="71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59" xfId="0" applyFont="1" applyBorder="1" applyAlignment="1">
      <alignment vertical="center" shrinkToFit="1"/>
    </xf>
    <xf numFmtId="180" fontId="8" fillId="2" borderId="22" xfId="0" applyNumberFormat="1" applyFont="1" applyFill="1" applyBorder="1" applyAlignment="1" applyProtection="1">
      <alignment vertical="center" shrinkToFit="1"/>
      <protection locked="0"/>
    </xf>
    <xf numFmtId="180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35" xfId="0" applyFont="1" applyBorder="1" applyAlignment="1">
      <alignment vertical="center"/>
    </xf>
    <xf numFmtId="0" fontId="4" fillId="0" borderId="82" xfId="0" applyFont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0" fontId="4" fillId="0" borderId="83" xfId="0" applyFont="1" applyBorder="1" applyAlignment="1">
      <alignment vertical="center" shrinkToFit="1"/>
    </xf>
    <xf numFmtId="180" fontId="8" fillId="2" borderId="22" xfId="0" applyNumberFormat="1" applyFont="1" applyFill="1" applyBorder="1" applyAlignment="1" applyProtection="1">
      <alignment vertical="center" shrinkToFit="1"/>
      <protection locked="0"/>
    </xf>
    <xf numFmtId="180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84" xfId="0" applyFont="1" applyBorder="1" applyAlignment="1">
      <alignment vertical="center"/>
    </xf>
    <xf numFmtId="180" fontId="8" fillId="3" borderId="22" xfId="0" applyNumberFormat="1" applyFont="1" applyFill="1" applyBorder="1" applyAlignment="1" applyProtection="1">
      <alignment vertical="center" shrinkToFit="1"/>
      <protection locked="0"/>
    </xf>
    <xf numFmtId="180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85" xfId="0" applyFont="1" applyBorder="1" applyAlignment="1">
      <alignment vertical="center"/>
    </xf>
    <xf numFmtId="180" fontId="8" fillId="3" borderId="22" xfId="0" applyNumberFormat="1" applyFont="1" applyFill="1" applyBorder="1" applyAlignment="1" applyProtection="1">
      <alignment vertical="center" shrinkToFit="1"/>
      <protection locked="0"/>
    </xf>
    <xf numFmtId="180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31" xfId="0" applyFont="1" applyBorder="1" applyAlignment="1">
      <alignment vertical="center"/>
    </xf>
    <xf numFmtId="180" fontId="8" fillId="2" borderId="32" xfId="0" applyNumberFormat="1" applyFont="1" applyFill="1" applyBorder="1" applyAlignment="1" applyProtection="1">
      <alignment vertical="center" shrinkToFit="1"/>
      <protection locked="0"/>
    </xf>
    <xf numFmtId="180" fontId="8" fillId="2" borderId="33" xfId="0" applyNumberFormat="1" applyFont="1" applyFill="1" applyBorder="1" applyAlignment="1" applyProtection="1">
      <alignment vertical="center" shrinkToFit="1"/>
      <protection locked="0"/>
    </xf>
    <xf numFmtId="180" fontId="8" fillId="4" borderId="128" xfId="0" applyNumberFormat="1" applyFont="1" applyFill="1" applyBorder="1" applyAlignment="1">
      <alignment vertical="center" shrinkToFit="1"/>
    </xf>
    <xf numFmtId="180" fontId="8" fillId="4" borderId="32" xfId="0" applyNumberFormat="1" applyFont="1" applyFill="1" applyBorder="1" applyAlignment="1">
      <alignment vertical="center" shrinkToFit="1"/>
    </xf>
    <xf numFmtId="180" fontId="8" fillId="4" borderId="129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180" fontId="8" fillId="2" borderId="53" xfId="0" applyNumberFormat="1" applyFont="1" applyFill="1" applyBorder="1" applyAlignment="1" applyProtection="1">
      <alignment vertical="center" shrinkToFit="1"/>
      <protection locked="0"/>
    </xf>
    <xf numFmtId="180" fontId="8" fillId="2" borderId="38" xfId="0" applyNumberFormat="1" applyFont="1" applyFill="1" applyBorder="1" applyAlignment="1" applyProtection="1">
      <alignment vertical="center" shrinkToFit="1"/>
      <protection locked="0"/>
    </xf>
    <xf numFmtId="180" fontId="8" fillId="4" borderId="52" xfId="0" applyNumberFormat="1" applyFont="1" applyFill="1" applyBorder="1" applyAlignment="1">
      <alignment vertical="center" shrinkToFit="1"/>
    </xf>
    <xf numFmtId="180" fontId="8" fillId="4" borderId="90" xfId="0" applyNumberFormat="1" applyFont="1" applyFill="1" applyBorder="1" applyAlignment="1">
      <alignment vertical="center" shrinkToFit="1"/>
    </xf>
    <xf numFmtId="0" fontId="4" fillId="0" borderId="86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180" fontId="8" fillId="2" borderId="28" xfId="0" applyNumberFormat="1" applyFont="1" applyFill="1" applyBorder="1" applyAlignment="1" applyProtection="1">
      <alignment vertical="center" shrinkToFit="1"/>
      <protection locked="0"/>
    </xf>
    <xf numFmtId="180" fontId="8" fillId="2" borderId="29" xfId="0" applyNumberFormat="1" applyFont="1" applyFill="1" applyBorder="1" applyAlignment="1" applyProtection="1">
      <alignment vertical="center" shrinkToFit="1"/>
      <protection locked="0"/>
    </xf>
    <xf numFmtId="180" fontId="8" fillId="4" borderId="60" xfId="0" applyNumberFormat="1" applyFont="1" applyFill="1" applyBorder="1" applyAlignment="1">
      <alignment vertical="center" shrinkToFit="1"/>
    </xf>
    <xf numFmtId="180" fontId="8" fillId="4" borderId="28" xfId="0" applyNumberFormat="1" applyFont="1" applyFill="1" applyBorder="1" applyAlignment="1">
      <alignment vertical="center" shrinkToFit="1"/>
    </xf>
    <xf numFmtId="180" fontId="8" fillId="4" borderId="61" xfId="0" applyNumberFormat="1" applyFont="1" applyFill="1" applyBorder="1" applyAlignment="1">
      <alignment vertical="center" shrinkToFit="1"/>
    </xf>
    <xf numFmtId="0" fontId="4" fillId="0" borderId="59" xfId="0" applyFont="1" applyBorder="1" applyAlignment="1">
      <alignment vertical="center"/>
    </xf>
    <xf numFmtId="0" fontId="4" fillId="0" borderId="131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180" fontId="8" fillId="4" borderId="92" xfId="0" applyNumberFormat="1" applyFont="1" applyFill="1" applyBorder="1" applyAlignment="1">
      <alignment vertical="center" shrinkToFit="1"/>
    </xf>
    <xf numFmtId="0" fontId="4" fillId="0" borderId="83" xfId="0" applyFont="1" applyBorder="1" applyAlignment="1">
      <alignment vertical="center"/>
    </xf>
    <xf numFmtId="0" fontId="4" fillId="0" borderId="88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180" fontId="8" fillId="2" borderId="25" xfId="0" applyNumberFormat="1" applyFont="1" applyFill="1" applyBorder="1" applyAlignment="1" applyProtection="1">
      <alignment vertical="center" shrinkToFit="1"/>
      <protection locked="0"/>
    </xf>
    <xf numFmtId="180" fontId="8" fillId="2" borderId="26" xfId="0" applyNumberFormat="1" applyFont="1" applyFill="1" applyBorder="1" applyAlignment="1" applyProtection="1">
      <alignment vertical="center" shrinkToFit="1"/>
      <protection locked="0"/>
    </xf>
    <xf numFmtId="180" fontId="8" fillId="4" borderId="67" xfId="0" applyNumberFormat="1" applyFont="1" applyFill="1" applyBorder="1" applyAlignment="1">
      <alignment vertical="center" shrinkToFit="1"/>
    </xf>
    <xf numFmtId="180" fontId="8" fillId="4" borderId="25" xfId="0" applyNumberFormat="1" applyFont="1" applyFill="1" applyBorder="1" applyAlignment="1">
      <alignment vertical="center" shrinkToFit="1"/>
    </xf>
    <xf numFmtId="180" fontId="8" fillId="4" borderId="68" xfId="0" applyNumberFormat="1" applyFont="1" applyFill="1" applyBorder="1" applyAlignment="1">
      <alignment vertical="center" shrinkToFit="1"/>
    </xf>
    <xf numFmtId="180" fontId="8" fillId="4" borderId="7" xfId="0" applyNumberFormat="1" applyFont="1" applyFill="1" applyBorder="1" applyAlignment="1">
      <alignment vertical="center" shrinkToFit="1"/>
    </xf>
    <xf numFmtId="180" fontId="8" fillId="4" borderId="123" xfId="0" applyNumberFormat="1" applyFont="1" applyFill="1" applyBorder="1" applyAlignment="1">
      <alignment vertical="center" shrinkToFit="1"/>
    </xf>
    <xf numFmtId="180" fontId="8" fillId="4" borderId="76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0" fontId="4" fillId="0" borderId="97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180" fontId="8" fillId="4" borderId="133" xfId="0" applyNumberFormat="1" applyFont="1" applyFill="1" applyBorder="1" applyAlignment="1">
      <alignment vertical="center" shrinkToFit="1"/>
    </xf>
    <xf numFmtId="180" fontId="8" fillId="4" borderId="24" xfId="0" applyNumberFormat="1" applyFont="1" applyFill="1" applyBorder="1" applyAlignment="1">
      <alignment vertical="center" shrinkToFit="1"/>
    </xf>
    <xf numFmtId="180" fontId="8" fillId="2" borderId="24" xfId="0" applyNumberFormat="1" applyFont="1" applyFill="1" applyBorder="1" applyAlignment="1" applyProtection="1">
      <alignment vertical="center" shrinkToFit="1"/>
      <protection locked="0"/>
    </xf>
    <xf numFmtId="180" fontId="8" fillId="0" borderId="22" xfId="0" applyNumberFormat="1" applyFont="1" applyBorder="1" applyAlignment="1" applyProtection="1">
      <alignment vertical="center" shrinkToFit="1"/>
      <protection locked="0"/>
    </xf>
    <xf numFmtId="180" fontId="8" fillId="0" borderId="23" xfId="0" applyNumberFormat="1" applyFont="1" applyBorder="1" applyAlignment="1" applyProtection="1">
      <alignment vertical="center" shrinkToFit="1"/>
      <protection locked="0"/>
    </xf>
    <xf numFmtId="180" fontId="8" fillId="0" borderId="24" xfId="0" applyNumberFormat="1" applyFont="1" applyBorder="1" applyAlignment="1" applyProtection="1">
      <alignment vertical="center" shrinkToFit="1"/>
      <protection locked="0"/>
    </xf>
    <xf numFmtId="180" fontId="8" fillId="2" borderId="30" xfId="0" applyNumberFormat="1" applyFont="1" applyFill="1" applyBorder="1" applyAlignment="1" applyProtection="1">
      <alignment vertical="center" shrinkToFit="1"/>
      <protection locked="0"/>
    </xf>
    <xf numFmtId="180" fontId="8" fillId="4" borderId="53" xfId="0" applyNumberFormat="1" applyFont="1" applyFill="1" applyBorder="1" applyAlignment="1">
      <alignment vertical="center" shrinkToFit="1"/>
    </xf>
    <xf numFmtId="180" fontId="8" fillId="2" borderId="40" xfId="0" applyNumberFormat="1" applyFont="1" applyFill="1" applyBorder="1" applyAlignment="1" applyProtection="1">
      <alignment vertical="center" shrinkToFit="1"/>
      <protection locked="0"/>
    </xf>
    <xf numFmtId="180" fontId="8" fillId="2" borderId="134" xfId="0" applyNumberFormat="1" applyFont="1" applyFill="1" applyBorder="1" applyAlignment="1" applyProtection="1">
      <alignment vertical="center" shrinkToFit="1"/>
      <protection locked="0"/>
    </xf>
    <xf numFmtId="180" fontId="8" fillId="2" borderId="135" xfId="0" applyNumberFormat="1" applyFont="1" applyFill="1" applyBorder="1" applyAlignment="1" applyProtection="1">
      <alignment vertical="center" shrinkToFit="1"/>
      <protection locked="0"/>
    </xf>
    <xf numFmtId="180" fontId="8" fillId="2" borderId="136" xfId="0" applyNumberFormat="1" applyFont="1" applyFill="1" applyBorder="1" applyAlignment="1" applyProtection="1">
      <alignment vertical="center" shrinkToFit="1"/>
      <protection locked="0"/>
    </xf>
    <xf numFmtId="180" fontId="8" fillId="2" borderId="16" xfId="0" applyNumberFormat="1" applyFont="1" applyFill="1" applyBorder="1" applyAlignment="1" applyProtection="1">
      <alignment vertical="center" shrinkToFit="1"/>
      <protection locked="0"/>
    </xf>
    <xf numFmtId="180" fontId="8" fillId="2" borderId="27" xfId="0" applyNumberFormat="1" applyFont="1" applyFill="1" applyBorder="1" applyAlignment="1" applyProtection="1">
      <alignment vertical="center" shrinkToFit="1"/>
      <protection locked="0"/>
    </xf>
    <xf numFmtId="180" fontId="8" fillId="4" borderId="74" xfId="0" applyNumberFormat="1" applyFont="1" applyFill="1" applyBorder="1" applyAlignment="1">
      <alignment vertical="center" shrinkToFit="1"/>
    </xf>
    <xf numFmtId="180" fontId="8" fillId="4" borderId="57" xfId="0" applyNumberFormat="1" applyFont="1" applyFill="1" applyBorder="1" applyAlignment="1">
      <alignment vertical="center" shrinkToFit="1"/>
    </xf>
    <xf numFmtId="180" fontId="8" fillId="2" borderId="24" xfId="0" applyNumberFormat="1" applyFont="1" applyFill="1" applyBorder="1" applyAlignment="1" applyProtection="1">
      <alignment vertical="center" shrinkToFit="1"/>
      <protection locked="0"/>
    </xf>
    <xf numFmtId="180" fontId="8" fillId="3" borderId="24" xfId="0" applyNumberFormat="1" applyFont="1" applyFill="1" applyBorder="1" applyAlignment="1" applyProtection="1">
      <alignment vertical="center" shrinkToFit="1"/>
      <protection locked="0"/>
    </xf>
    <xf numFmtId="180" fontId="8" fillId="3" borderId="24" xfId="0" applyNumberFormat="1" applyFont="1" applyFill="1" applyBorder="1" applyAlignment="1" applyProtection="1">
      <alignment vertical="center" shrinkToFit="1"/>
      <protection locked="0"/>
    </xf>
    <xf numFmtId="180" fontId="8" fillId="4" borderId="137" xfId="0" applyNumberFormat="1" applyFont="1" applyFill="1" applyBorder="1" applyAlignment="1">
      <alignment vertical="center" shrinkToFit="1"/>
    </xf>
    <xf numFmtId="180" fontId="8" fillId="2" borderId="17" xfId="0" applyNumberFormat="1" applyFont="1" applyFill="1" applyBorder="1" applyAlignment="1" applyProtection="1">
      <alignment vertical="center" shrinkToFit="1"/>
      <protection locked="0"/>
    </xf>
    <xf numFmtId="0" fontId="4" fillId="0" borderId="138" xfId="0" applyFont="1" applyBorder="1" applyAlignment="1">
      <alignment vertical="center"/>
    </xf>
    <xf numFmtId="0" fontId="4" fillId="4" borderId="139" xfId="0" applyFont="1" applyFill="1" applyBorder="1" applyAlignment="1">
      <alignment vertical="center"/>
    </xf>
    <xf numFmtId="0" fontId="4" fillId="0" borderId="140" xfId="0" applyFont="1" applyBorder="1" applyAlignment="1">
      <alignment vertical="center"/>
    </xf>
    <xf numFmtId="0" fontId="4" fillId="4" borderId="138" xfId="0" applyFont="1" applyFill="1" applyBorder="1" applyAlignment="1">
      <alignment vertical="center"/>
    </xf>
    <xf numFmtId="0" fontId="4" fillId="4" borderId="141" xfId="0" applyFont="1" applyFill="1" applyBorder="1" applyAlignment="1">
      <alignment vertical="center"/>
    </xf>
    <xf numFmtId="180" fontId="8" fillId="4" borderId="78" xfId="0" applyNumberFormat="1" applyFont="1" applyFill="1" applyBorder="1" applyAlignment="1">
      <alignment vertical="center" shrinkToFit="1"/>
    </xf>
    <xf numFmtId="180" fontId="8" fillId="2" borderId="31" xfId="0" applyNumberFormat="1" applyFont="1" applyFill="1" applyBorder="1" applyAlignment="1" applyProtection="1">
      <alignment vertical="center" shrinkToFit="1"/>
      <protection locked="0"/>
    </xf>
    <xf numFmtId="180" fontId="8" fillId="2" borderId="0" xfId="0" applyNumberFormat="1" applyFont="1" applyFill="1" applyAlignment="1" applyProtection="1">
      <alignment vertical="center" shrinkToFit="1"/>
      <protection locked="0"/>
    </xf>
    <xf numFmtId="180" fontId="8" fillId="2" borderId="35" xfId="0" applyNumberFormat="1" applyFont="1" applyFill="1" applyBorder="1" applyAlignment="1" applyProtection="1">
      <alignment vertical="center" shrinkToFit="1"/>
      <protection locked="0"/>
    </xf>
    <xf numFmtId="180" fontId="8" fillId="2" borderId="43" xfId="0" applyNumberFormat="1" applyFont="1" applyFill="1" applyBorder="1" applyAlignment="1" applyProtection="1">
      <alignment vertical="center" shrinkToFit="1"/>
      <protection locked="0"/>
    </xf>
    <xf numFmtId="180" fontId="8" fillId="4" borderId="75" xfId="0" applyNumberFormat="1" applyFont="1" applyFill="1" applyBorder="1" applyAlignment="1">
      <alignment vertical="center" shrinkToFit="1"/>
    </xf>
    <xf numFmtId="0" fontId="4" fillId="0" borderId="44" xfId="0" applyFont="1" applyBorder="1" applyAlignment="1">
      <alignment vertical="center" wrapText="1"/>
    </xf>
    <xf numFmtId="0" fontId="3" fillId="0" borderId="4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80" fontId="8" fillId="4" borderId="29" xfId="0" applyNumberFormat="1" applyFont="1" applyFill="1" applyBorder="1" applyAlignment="1">
      <alignment vertical="center" shrinkToFit="1"/>
    </xf>
    <xf numFmtId="180" fontId="8" fillId="4" borderId="31" xfId="0" applyNumberFormat="1" applyFont="1" applyFill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180" fontId="8" fillId="2" borderId="36" xfId="0" applyNumberFormat="1" applyFont="1" applyFill="1" applyBorder="1" applyAlignment="1" applyProtection="1">
      <alignment vertical="center" shrinkToFit="1"/>
      <protection locked="0"/>
    </xf>
    <xf numFmtId="180" fontId="8" fillId="4" borderId="63" xfId="0" applyNumberFormat="1" applyFont="1" applyFill="1" applyBorder="1" applyAlignment="1">
      <alignment vertical="center" shrinkToFit="1"/>
    </xf>
    <xf numFmtId="180" fontId="8" fillId="2" borderId="37" xfId="0" applyNumberFormat="1" applyFont="1" applyFill="1" applyBorder="1" applyAlignment="1" applyProtection="1">
      <alignment vertical="center" shrinkToFit="1"/>
      <protection locked="0"/>
    </xf>
    <xf numFmtId="180" fontId="8" fillId="4" borderId="64" xfId="0" applyNumberFormat="1" applyFont="1" applyFill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6" xfId="0" applyFont="1" applyBorder="1" applyAlignment="1">
      <alignment vertical="center" shrinkToFit="1"/>
    </xf>
    <xf numFmtId="180" fontId="8" fillId="2" borderId="34" xfId="0" applyNumberFormat="1" applyFont="1" applyFill="1" applyBorder="1" applyAlignment="1" applyProtection="1">
      <alignment vertical="center" shrinkToFit="1"/>
      <protection locked="0"/>
    </xf>
    <xf numFmtId="0" fontId="4" fillId="0" borderId="36" xfId="0" applyFont="1" applyBorder="1" applyAlignment="1">
      <alignment vertical="center"/>
    </xf>
    <xf numFmtId="0" fontId="4" fillId="0" borderId="69" xfId="0" applyFont="1" applyBorder="1" applyAlignment="1">
      <alignment vertical="center" wrapText="1"/>
    </xf>
    <xf numFmtId="0" fontId="4" fillId="0" borderId="1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3" xfId="0" applyFont="1" applyBorder="1" applyAlignment="1">
      <alignment vertical="center" wrapText="1"/>
    </xf>
    <xf numFmtId="0" fontId="3" fillId="0" borderId="43" xfId="0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180" fontId="8" fillId="4" borderId="38" xfId="0" applyNumberFormat="1" applyFont="1" applyFill="1" applyBorder="1" applyAlignment="1">
      <alignment vertical="center" shrinkToFit="1"/>
    </xf>
    <xf numFmtId="180" fontId="8" fillId="4" borderId="50" xfId="0" applyNumberFormat="1" applyFont="1" applyFill="1" applyBorder="1" applyAlignment="1">
      <alignment vertical="center" shrinkToFit="1"/>
    </xf>
    <xf numFmtId="180" fontId="3" fillId="0" borderId="0" xfId="0" applyNumberFormat="1" applyFont="1" applyAlignment="1">
      <alignment vertical="center"/>
    </xf>
    <xf numFmtId="180" fontId="8" fillId="4" borderId="6" xfId="0" applyNumberFormat="1" applyFont="1" applyFill="1" applyBorder="1" applyAlignment="1">
      <alignment vertical="center" shrinkToFit="1"/>
    </xf>
    <xf numFmtId="180" fontId="3" fillId="0" borderId="0" xfId="0" applyNumberFormat="1" applyFont="1" applyAlignment="1">
      <alignment vertical="center"/>
    </xf>
    <xf numFmtId="180" fontId="8" fillId="4" borderId="38" xfId="0" applyNumberFormat="1" applyFont="1" applyFill="1" applyBorder="1" applyAlignment="1">
      <alignment vertical="center" shrinkToFit="1"/>
    </xf>
    <xf numFmtId="180" fontId="8" fillId="4" borderId="39" xfId="0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right" vertical="center"/>
    </xf>
    <xf numFmtId="0" fontId="4" fillId="0" borderId="45" xfId="0" applyFont="1" applyBorder="1" applyAlignment="1">
      <alignment horizontal="center" vertical="center"/>
    </xf>
    <xf numFmtId="180" fontId="8" fillId="2" borderId="39" xfId="0" applyNumberFormat="1" applyFont="1" applyFill="1" applyBorder="1" applyAlignment="1" applyProtection="1">
      <alignment vertical="center" shrinkToFit="1"/>
      <protection locked="0"/>
    </xf>
    <xf numFmtId="0" fontId="4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80" fontId="3" fillId="0" borderId="0" xfId="0" applyNumberFormat="1" applyFont="1" applyAlignment="1">
      <alignment vertical="center"/>
    </xf>
    <xf numFmtId="0" fontId="4" fillId="0" borderId="91" xfId="0" applyNumberFormat="1" applyFont="1" applyBorder="1" applyAlignment="1">
      <alignment horizontal="center" vertical="center"/>
    </xf>
    <xf numFmtId="0" fontId="4" fillId="0" borderId="114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5" xfId="0" applyNumberFormat="1" applyFont="1" applyBorder="1" applyAlignment="1">
      <alignment horizontal="center" vertical="center"/>
    </xf>
    <xf numFmtId="0" fontId="4" fillId="0" borderId="10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6" xfId="0" applyNumberFormat="1" applyFont="1" applyBorder="1" applyAlignment="1">
      <alignment horizontal="center" vertical="center"/>
    </xf>
    <xf numFmtId="0" fontId="4" fillId="0" borderId="46" xfId="0" applyNumberFormat="1" applyFont="1" applyBorder="1" applyAlignment="1">
      <alignment horizontal="left" vertical="center"/>
    </xf>
    <xf numFmtId="0" fontId="4" fillId="0" borderId="46" xfId="0" applyNumberFormat="1" applyFont="1" applyBorder="1" applyAlignment="1">
      <alignment horizontal="center" vertical="center" wrapText="1"/>
    </xf>
    <xf numFmtId="0" fontId="4" fillId="0" borderId="97" xfId="0" applyNumberFormat="1" applyFont="1" applyBorder="1" applyAlignment="1">
      <alignment horizontal="left" vertical="center"/>
    </xf>
    <xf numFmtId="0" fontId="4" fillId="0" borderId="97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left" vertical="center"/>
    </xf>
    <xf numFmtId="180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80" fontId="8" fillId="0" borderId="116" xfId="0" applyNumberFormat="1" applyFont="1" applyBorder="1" applyAlignment="1" applyProtection="1">
      <alignment horizontal="right" vertical="center" shrinkToFit="1"/>
      <protection locked="0"/>
    </xf>
    <xf numFmtId="180" fontId="8" fillId="4" borderId="4" xfId="0" applyNumberFormat="1" applyFont="1" applyFill="1" applyBorder="1" applyAlignment="1">
      <alignment horizontal="right" vertical="center" shrinkToFit="1"/>
    </xf>
    <xf numFmtId="180" fontId="8" fillId="4" borderId="117" xfId="0" applyNumberFormat="1" applyFont="1" applyFill="1" applyBorder="1" applyAlignment="1">
      <alignment horizontal="right" vertical="center" shrinkToFit="1"/>
    </xf>
    <xf numFmtId="180" fontId="8" fillId="0" borderId="117" xfId="0" applyNumberFormat="1" applyFont="1" applyBorder="1" applyAlignment="1" applyProtection="1">
      <alignment horizontal="right" vertical="center" shrinkToFit="1"/>
      <protection locked="0"/>
    </xf>
    <xf numFmtId="0" fontId="3" fillId="2" borderId="124" xfId="0" applyFont="1" applyFill="1" applyBorder="1" applyAlignment="1">
      <alignment horizontal="center" vertical="center"/>
    </xf>
    <xf numFmtId="0" fontId="4" fillId="2" borderId="118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4" fillId="0" borderId="122" xfId="0" applyFont="1" applyBorder="1" applyAlignment="1">
      <alignment horizontal="center" vertical="center"/>
    </xf>
    <xf numFmtId="0" fontId="4" fillId="0" borderId="59" xfId="0" applyFont="1" applyBorder="1" applyAlignment="1">
      <alignment horizontal="left" vertical="center" shrinkToFit="1"/>
    </xf>
    <xf numFmtId="0" fontId="6" fillId="0" borderId="121" xfId="0" applyFont="1" applyBorder="1" applyAlignment="1">
      <alignment horizontal="left" vertical="center" shrinkToFit="1"/>
    </xf>
    <xf numFmtId="0" fontId="4" fillId="0" borderId="121" xfId="0" applyFont="1" applyBorder="1" applyAlignment="1">
      <alignment horizontal="left" vertical="center" shrinkToFit="1"/>
    </xf>
    <xf numFmtId="0" fontId="4" fillId="0" borderId="119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32" xfId="0" applyFont="1" applyBorder="1" applyAlignment="1">
      <alignment horizontal="left" vertical="center" shrinkToFit="1"/>
    </xf>
    <xf numFmtId="0" fontId="6" fillId="0" borderId="120" xfId="0" applyFont="1" applyBorder="1" applyAlignment="1">
      <alignment horizontal="left" vertical="center" shrinkToFit="1"/>
    </xf>
    <xf numFmtId="0" fontId="4" fillId="0" borderId="120" xfId="0" applyFont="1" applyBorder="1" applyAlignment="1">
      <alignment horizontal="left" vertical="center" shrinkToFit="1"/>
    </xf>
    <xf numFmtId="0" fontId="4" fillId="0" borderId="5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5"/>
  <sheetViews>
    <sheetView showGridLines="0" view="pageBreakPreview" topLeftCell="A4" zoomScale="60" zoomScaleNormal="100" workbookViewId="0">
      <selection activeCell="H25" sqref="H25"/>
    </sheetView>
  </sheetViews>
  <sheetFormatPr defaultColWidth="9" defaultRowHeight="0" customHeight="1" zeroHeight="1"/>
  <cols>
    <col min="1" max="2" width="3.77734375" style="25" customWidth="1"/>
    <col min="3" max="3" width="23.44140625" style="25" customWidth="1"/>
    <col min="4" max="9" width="14.44140625" style="25" customWidth="1"/>
    <col min="10" max="10" width="4" style="7" customWidth="1"/>
  </cols>
  <sheetData>
    <row r="1" spans="1:10" ht="18" customHeight="1">
      <c r="A1" s="1" t="s">
        <v>0</v>
      </c>
      <c r="J1" s="2"/>
    </row>
    <row r="2" spans="1:10" ht="18" customHeight="1">
      <c r="J2" s="2"/>
    </row>
    <row r="3" spans="1:10" ht="18" customHeight="1">
      <c r="A3" s="289" t="s">
        <v>1</v>
      </c>
      <c r="B3" s="289"/>
      <c r="C3" s="289"/>
      <c r="D3" s="289"/>
      <c r="E3" s="289"/>
      <c r="F3" s="289"/>
      <c r="G3" s="289"/>
      <c r="H3" s="289"/>
      <c r="I3" s="289"/>
      <c r="J3" s="289"/>
    </row>
    <row r="4" spans="1:10" ht="18" customHeight="1">
      <c r="A4" s="289" t="s">
        <v>2</v>
      </c>
      <c r="B4" s="289"/>
      <c r="C4" s="289"/>
      <c r="D4" s="289"/>
      <c r="E4" s="289"/>
      <c r="F4" s="289"/>
      <c r="G4" s="289"/>
      <c r="H4" s="289"/>
      <c r="I4" s="289"/>
      <c r="J4" s="289"/>
    </row>
    <row r="5" spans="1:10" ht="18" customHeight="1">
      <c r="H5" s="3" t="s">
        <v>3</v>
      </c>
      <c r="I5" s="4" t="s">
        <v>4</v>
      </c>
    </row>
    <row r="6" spans="1:10" ht="18" customHeight="1">
      <c r="H6" s="5" t="s">
        <v>5</v>
      </c>
      <c r="I6" s="6" t="s">
        <v>6</v>
      </c>
      <c r="J6" s="7" t="s">
        <v>7</v>
      </c>
    </row>
    <row r="7" spans="1:10" ht="18" customHeight="1">
      <c r="B7" s="1" t="s">
        <v>8</v>
      </c>
    </row>
    <row r="8" spans="1:10" ht="12" customHeight="1"/>
    <row r="9" spans="1:10" ht="18" customHeight="1">
      <c r="B9" s="1" t="s">
        <v>9</v>
      </c>
    </row>
    <row r="10" spans="1:10" ht="12" customHeight="1"/>
    <row r="11" spans="1:10" ht="24.75" customHeight="1">
      <c r="C11" s="8" t="s">
        <v>10</v>
      </c>
      <c r="D11" s="9" t="s">
        <v>11</v>
      </c>
      <c r="E11" s="9" t="s">
        <v>12</v>
      </c>
      <c r="F11" s="9" t="s">
        <v>13</v>
      </c>
      <c r="G11" s="10" t="s">
        <v>14</v>
      </c>
    </row>
    <row r="12" spans="1:10" ht="24.75" customHeight="1">
      <c r="C12" s="11" t="s">
        <v>15</v>
      </c>
      <c r="D12" s="12">
        <v>1489</v>
      </c>
      <c r="E12" s="13"/>
      <c r="F12" s="13"/>
      <c r="G12" s="14">
        <v>1483</v>
      </c>
    </row>
    <row r="13" spans="1:10" ht="24.75" customHeight="1">
      <c r="C13" s="11" t="s">
        <v>16</v>
      </c>
      <c r="D13" s="12">
        <v>1140</v>
      </c>
      <c r="E13" s="13"/>
      <c r="F13" s="13"/>
      <c r="G13" s="14">
        <v>1139</v>
      </c>
    </row>
    <row r="14" spans="1:10" ht="24.75" customHeight="1">
      <c r="C14" s="11" t="s">
        <v>17</v>
      </c>
      <c r="D14" s="12">
        <v>600</v>
      </c>
      <c r="E14" s="13"/>
      <c r="F14" s="13"/>
      <c r="G14" s="14">
        <v>600</v>
      </c>
    </row>
    <row r="15" spans="1:10" ht="24.75" customHeight="1">
      <c r="C15" s="11" t="s">
        <v>18</v>
      </c>
      <c r="D15" s="12">
        <v>11</v>
      </c>
      <c r="E15" s="13"/>
      <c r="F15" s="13"/>
      <c r="G15" s="14">
        <v>11</v>
      </c>
    </row>
    <row r="16" spans="1:10" ht="24.75" customHeight="1">
      <c r="C16" s="11" t="s">
        <v>19</v>
      </c>
      <c r="D16" s="12">
        <v>24</v>
      </c>
      <c r="E16" s="13"/>
      <c r="F16" s="13"/>
      <c r="G16" s="14">
        <v>25</v>
      </c>
    </row>
    <row r="17" spans="2:9" ht="24.75" customHeight="1">
      <c r="C17" s="15" t="s">
        <v>20</v>
      </c>
      <c r="D17" s="16">
        <f>SUM(D12:D14)</f>
        <v>3229</v>
      </c>
      <c r="E17" s="16">
        <v>11</v>
      </c>
      <c r="F17" s="16">
        <v>18</v>
      </c>
      <c r="G17" s="17">
        <f>SUM(G12:G14)</f>
        <v>3222</v>
      </c>
      <c r="H17" s="18" t="str">
        <f>IF(D17+E17-F17=G17,"","合計欄に注意")</f>
        <v/>
      </c>
    </row>
    <row r="18" spans="2:9" ht="12" customHeight="1"/>
    <row r="19" spans="2:9" ht="18" customHeight="1">
      <c r="B19" s="1" t="s">
        <v>21</v>
      </c>
    </row>
    <row r="20" spans="2:9" ht="12" customHeight="1"/>
    <row r="21" spans="2:9" ht="24.75" customHeight="1">
      <c r="C21" s="290" t="s">
        <v>12</v>
      </c>
      <c r="D21" s="9" t="s">
        <v>22</v>
      </c>
      <c r="E21" s="9" t="s">
        <v>23</v>
      </c>
      <c r="F21" s="9" t="s">
        <v>24</v>
      </c>
      <c r="G21" s="19" t="s">
        <v>25</v>
      </c>
      <c r="H21" s="9" t="s">
        <v>26</v>
      </c>
      <c r="I21" s="10" t="s">
        <v>20</v>
      </c>
    </row>
    <row r="22" spans="2:9" ht="24.75" customHeight="1">
      <c r="C22" s="291"/>
      <c r="D22" s="12">
        <v>0</v>
      </c>
      <c r="E22" s="12">
        <v>0</v>
      </c>
      <c r="F22" s="12">
        <v>8</v>
      </c>
      <c r="G22" s="12">
        <v>0</v>
      </c>
      <c r="H22" s="12">
        <v>3</v>
      </c>
      <c r="I22" s="20">
        <f>SUM(D22:H22)</f>
        <v>11</v>
      </c>
    </row>
    <row r="23" spans="2:9" ht="24.75" customHeight="1">
      <c r="C23" s="287" t="s">
        <v>13</v>
      </c>
      <c r="D23" s="21" t="s">
        <v>27</v>
      </c>
      <c r="E23" s="21" t="s">
        <v>28</v>
      </c>
      <c r="F23" s="21" t="s">
        <v>29</v>
      </c>
      <c r="G23" s="22" t="s">
        <v>30</v>
      </c>
      <c r="H23" s="21" t="s">
        <v>26</v>
      </c>
      <c r="I23" s="23" t="s">
        <v>20</v>
      </c>
    </row>
    <row r="24" spans="2:9" ht="24.75" customHeight="1">
      <c r="C24" s="288"/>
      <c r="D24" s="24">
        <v>2</v>
      </c>
      <c r="E24" s="24">
        <v>0</v>
      </c>
      <c r="F24" s="24">
        <v>15</v>
      </c>
      <c r="G24" s="24">
        <v>0</v>
      </c>
      <c r="H24" s="24">
        <v>1</v>
      </c>
      <c r="I24" s="17">
        <f>SUM(D24:H24)</f>
        <v>18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43"/>
  <sheetViews>
    <sheetView showGridLines="0" view="pageBreakPreview" topLeftCell="F1" zoomScale="60" zoomScaleNormal="100" workbookViewId="0">
      <selection activeCell="J43" sqref="J43:J1048576"/>
    </sheetView>
  </sheetViews>
  <sheetFormatPr defaultColWidth="9" defaultRowHeight="0" customHeight="1" zeroHeight="1"/>
  <cols>
    <col min="1" max="2" width="3.77734375" style="25" customWidth="1"/>
    <col min="3" max="3" width="23.44140625" style="25" customWidth="1"/>
    <col min="4" max="17" width="14.44140625" style="25" customWidth="1"/>
    <col min="18" max="18" width="4" style="7" customWidth="1"/>
  </cols>
  <sheetData>
    <row r="1" spans="1:18" ht="18" customHeight="1">
      <c r="A1" s="26" t="s">
        <v>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7"/>
      <c r="R1" s="28"/>
    </row>
    <row r="2" spans="1:18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7"/>
      <c r="R2" s="28"/>
    </row>
    <row r="3" spans="1:18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</row>
    <row r="4" spans="1:18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</row>
    <row r="5" spans="1:18" ht="18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7"/>
      <c r="O5" s="7"/>
      <c r="P5" s="3" t="s">
        <v>3</v>
      </c>
      <c r="Q5" s="29" t="s">
        <v>4</v>
      </c>
    </row>
    <row r="6" spans="1:18" ht="18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7"/>
      <c r="O6" s="7"/>
      <c r="P6" s="30" t="s">
        <v>5</v>
      </c>
      <c r="Q6" s="6" t="s">
        <v>6</v>
      </c>
      <c r="R6" s="7" t="s">
        <v>7</v>
      </c>
    </row>
    <row r="7" spans="1:18" ht="18" customHeight="1">
      <c r="B7" s="1" t="s">
        <v>32</v>
      </c>
    </row>
    <row r="8" spans="1:18" ht="12" customHeight="1"/>
    <row r="9" spans="1:18" ht="18" customHeight="1">
      <c r="B9" s="1" t="s">
        <v>33</v>
      </c>
    </row>
    <row r="10" spans="1:18" ht="12" customHeight="1"/>
    <row r="11" spans="1:18" ht="24.75" customHeight="1">
      <c r="C11" s="31"/>
      <c r="D11" s="293" t="s">
        <v>34</v>
      </c>
      <c r="E11" s="294"/>
      <c r="F11" s="293" t="s">
        <v>35</v>
      </c>
      <c r="G11" s="294"/>
      <c r="H11" s="293" t="s">
        <v>36</v>
      </c>
      <c r="I11" s="294"/>
      <c r="J11" s="293" t="s">
        <v>37</v>
      </c>
      <c r="K11" s="294"/>
      <c r="L11" s="295" t="s">
        <v>38</v>
      </c>
      <c r="M11" s="296"/>
      <c r="N11" s="297" t="s">
        <v>26</v>
      </c>
      <c r="O11" s="296"/>
      <c r="P11" s="297" t="s">
        <v>39</v>
      </c>
      <c r="Q11" s="298"/>
    </row>
    <row r="12" spans="1:18" ht="24.75" customHeight="1">
      <c r="C12" s="32" t="s">
        <v>40</v>
      </c>
      <c r="D12" s="299">
        <v>2</v>
      </c>
      <c r="E12" s="300"/>
      <c r="F12" s="299">
        <v>0</v>
      </c>
      <c r="G12" s="300"/>
      <c r="H12" s="299">
        <v>0</v>
      </c>
      <c r="I12" s="300"/>
      <c r="J12" s="299">
        <v>0</v>
      </c>
      <c r="K12" s="300"/>
      <c r="L12" s="299">
        <v>0</v>
      </c>
      <c r="M12" s="300"/>
      <c r="N12" s="299">
        <v>3</v>
      </c>
      <c r="O12" s="300"/>
      <c r="P12" s="301">
        <f>SUM(D12:O12)</f>
        <v>5</v>
      </c>
      <c r="Q12" s="302"/>
    </row>
    <row r="13" spans="1:18" ht="24.75" customHeight="1">
      <c r="C13" s="33"/>
      <c r="D13" s="34" t="s">
        <v>41</v>
      </c>
      <c r="E13" s="34" t="s">
        <v>42</v>
      </c>
      <c r="F13" s="34" t="s">
        <v>41</v>
      </c>
      <c r="G13" s="34" t="s">
        <v>42</v>
      </c>
      <c r="H13" s="35" t="s">
        <v>41</v>
      </c>
      <c r="I13" s="35" t="s">
        <v>42</v>
      </c>
      <c r="J13" s="35" t="s">
        <v>41</v>
      </c>
      <c r="K13" s="35" t="s">
        <v>42</v>
      </c>
      <c r="L13" s="35" t="s">
        <v>41</v>
      </c>
      <c r="M13" s="35" t="s">
        <v>42</v>
      </c>
      <c r="N13" s="35" t="s">
        <v>41</v>
      </c>
      <c r="O13" s="36" t="s">
        <v>43</v>
      </c>
      <c r="P13" s="35" t="s">
        <v>41</v>
      </c>
      <c r="Q13" s="37" t="s">
        <v>43</v>
      </c>
    </row>
    <row r="14" spans="1:18" ht="24.75" customHeight="1">
      <c r="C14" s="38" t="s">
        <v>44</v>
      </c>
      <c r="D14" s="39">
        <v>0</v>
      </c>
      <c r="E14" s="39">
        <v>0</v>
      </c>
      <c r="F14" s="39">
        <v>0</v>
      </c>
      <c r="G14" s="39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1">
        <f t="shared" ref="P14:Q21" si="0">SUM(D14,F14,H14,L14,N14,J14)</f>
        <v>0</v>
      </c>
      <c r="Q14" s="42">
        <f t="shared" si="0"/>
        <v>0</v>
      </c>
    </row>
    <row r="15" spans="1:18" ht="24.75" customHeight="1">
      <c r="C15" s="43" t="s">
        <v>45</v>
      </c>
      <c r="D15" s="44">
        <v>7</v>
      </c>
      <c r="E15" s="44">
        <v>7</v>
      </c>
      <c r="F15" s="44">
        <v>6</v>
      </c>
      <c r="G15" s="44">
        <v>6</v>
      </c>
      <c r="H15" s="45">
        <v>0</v>
      </c>
      <c r="I15" s="45">
        <v>0</v>
      </c>
      <c r="J15" s="45">
        <v>0</v>
      </c>
      <c r="K15" s="45">
        <v>0</v>
      </c>
      <c r="L15" s="45">
        <v>4</v>
      </c>
      <c r="M15" s="45">
        <v>4</v>
      </c>
      <c r="N15" s="45">
        <v>11</v>
      </c>
      <c r="O15" s="45">
        <v>11</v>
      </c>
      <c r="P15" s="46">
        <f t="shared" si="0"/>
        <v>28</v>
      </c>
      <c r="Q15" s="47">
        <f t="shared" si="0"/>
        <v>28</v>
      </c>
    </row>
    <row r="16" spans="1:18" s="48" customFormat="1" ht="24.75" customHeight="1">
      <c r="A16" s="25"/>
      <c r="B16" s="25"/>
      <c r="C16" s="38" t="s">
        <v>46</v>
      </c>
      <c r="D16" s="39">
        <v>0</v>
      </c>
      <c r="E16" s="39">
        <v>0</v>
      </c>
      <c r="F16" s="39">
        <v>0</v>
      </c>
      <c r="G16" s="39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2</v>
      </c>
      <c r="O16" s="40">
        <v>2</v>
      </c>
      <c r="P16" s="41">
        <f t="shared" si="0"/>
        <v>2</v>
      </c>
      <c r="Q16" s="42">
        <f t="shared" si="0"/>
        <v>2</v>
      </c>
      <c r="R16" s="7"/>
    </row>
    <row r="17" spans="1:18" s="48" customFormat="1" ht="24.75" customHeight="1">
      <c r="A17" s="25"/>
      <c r="B17" s="25"/>
      <c r="C17" s="43" t="s">
        <v>45</v>
      </c>
      <c r="D17" s="44">
        <v>10</v>
      </c>
      <c r="E17" s="44">
        <v>10</v>
      </c>
      <c r="F17" s="44">
        <v>6</v>
      </c>
      <c r="G17" s="44">
        <v>6</v>
      </c>
      <c r="H17" s="44">
        <v>0</v>
      </c>
      <c r="I17" s="44">
        <v>0</v>
      </c>
      <c r="J17" s="44">
        <v>0</v>
      </c>
      <c r="K17" s="44">
        <v>0</v>
      </c>
      <c r="L17" s="44">
        <v>10</v>
      </c>
      <c r="M17" s="44">
        <v>10</v>
      </c>
      <c r="N17" s="44">
        <v>13</v>
      </c>
      <c r="O17" s="44">
        <v>13</v>
      </c>
      <c r="P17" s="46">
        <f t="shared" si="0"/>
        <v>39</v>
      </c>
      <c r="Q17" s="47">
        <f t="shared" si="0"/>
        <v>39</v>
      </c>
      <c r="R17" s="7"/>
    </row>
    <row r="18" spans="1:18" ht="24.75" customHeight="1">
      <c r="C18" s="38" t="s">
        <v>47</v>
      </c>
      <c r="D18" s="39">
        <v>2</v>
      </c>
      <c r="E18" s="39">
        <v>2</v>
      </c>
      <c r="F18" s="39">
        <v>0</v>
      </c>
      <c r="G18" s="39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1</v>
      </c>
      <c r="O18" s="40">
        <v>1</v>
      </c>
      <c r="P18" s="41">
        <f t="shared" si="0"/>
        <v>3</v>
      </c>
      <c r="Q18" s="42">
        <f t="shared" si="0"/>
        <v>3</v>
      </c>
    </row>
    <row r="19" spans="1:18" ht="24.75" customHeight="1">
      <c r="C19" s="43" t="s">
        <v>45</v>
      </c>
      <c r="D19" s="44">
        <v>22</v>
      </c>
      <c r="E19" s="44">
        <v>22</v>
      </c>
      <c r="F19" s="44">
        <v>9</v>
      </c>
      <c r="G19" s="44">
        <v>8</v>
      </c>
      <c r="H19" s="45">
        <v>0</v>
      </c>
      <c r="I19" s="45">
        <v>0</v>
      </c>
      <c r="J19" s="45">
        <v>0</v>
      </c>
      <c r="K19" s="45">
        <v>0</v>
      </c>
      <c r="L19" s="45">
        <v>7</v>
      </c>
      <c r="M19" s="45">
        <v>6</v>
      </c>
      <c r="N19" s="45">
        <v>23</v>
      </c>
      <c r="O19" s="45">
        <v>23</v>
      </c>
      <c r="P19" s="46">
        <f t="shared" si="0"/>
        <v>61</v>
      </c>
      <c r="Q19" s="47">
        <f t="shared" si="0"/>
        <v>59</v>
      </c>
    </row>
    <row r="20" spans="1:18" ht="24.75" customHeight="1">
      <c r="C20" s="38" t="s">
        <v>48</v>
      </c>
      <c r="D20" s="49">
        <v>0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1">
        <f t="shared" si="0"/>
        <v>0</v>
      </c>
      <c r="Q20" s="42">
        <f t="shared" si="0"/>
        <v>0</v>
      </c>
    </row>
    <row r="21" spans="1:18" ht="24.75" customHeight="1">
      <c r="C21" s="50" t="s">
        <v>45</v>
      </c>
      <c r="D21" s="51">
        <v>6</v>
      </c>
      <c r="E21" s="51">
        <v>6</v>
      </c>
      <c r="F21" s="51">
        <v>2</v>
      </c>
      <c r="G21" s="51">
        <v>3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1</v>
      </c>
      <c r="N21" s="52">
        <v>1</v>
      </c>
      <c r="O21" s="52">
        <v>1</v>
      </c>
      <c r="P21" s="53">
        <f t="shared" si="0"/>
        <v>9</v>
      </c>
      <c r="Q21" s="54">
        <f t="shared" si="0"/>
        <v>11</v>
      </c>
    </row>
    <row r="22" spans="1:18" ht="18" customHeight="1">
      <c r="Q22" s="55"/>
    </row>
    <row r="23" spans="1:18" ht="18" customHeight="1">
      <c r="B23" s="1" t="s">
        <v>49</v>
      </c>
    </row>
    <row r="24" spans="1:18" ht="12" customHeight="1"/>
    <row r="25" spans="1:18" ht="24.75" customHeight="1">
      <c r="C25" s="31"/>
      <c r="D25" s="10" t="s">
        <v>50</v>
      </c>
    </row>
    <row r="26" spans="1:18" ht="24.75" customHeight="1">
      <c r="C26" s="56" t="s">
        <v>40</v>
      </c>
      <c r="D26" s="57">
        <v>0</v>
      </c>
    </row>
    <row r="27" spans="1:18" ht="24.75" customHeight="1">
      <c r="C27" s="38" t="s">
        <v>51</v>
      </c>
      <c r="D27" s="58">
        <v>0</v>
      </c>
    </row>
    <row r="28" spans="1:18" ht="24.75" customHeight="1">
      <c r="C28" s="43" t="s">
        <v>45</v>
      </c>
      <c r="D28" s="59">
        <v>0</v>
      </c>
    </row>
    <row r="29" spans="1:18" ht="24.75" customHeight="1">
      <c r="C29" s="38" t="s">
        <v>52</v>
      </c>
      <c r="D29" s="60">
        <v>0</v>
      </c>
    </row>
    <row r="30" spans="1:18" ht="24.75" customHeight="1">
      <c r="C30" s="50" t="s">
        <v>45</v>
      </c>
      <c r="D30" s="61">
        <v>0</v>
      </c>
    </row>
    <row r="31" spans="1:18" ht="12" customHeight="1"/>
    <row r="32" spans="1:18" ht="18" customHeight="1">
      <c r="B32" s="1" t="s">
        <v>53</v>
      </c>
    </row>
    <row r="33" spans="3:7" ht="12" customHeight="1"/>
    <row r="34" spans="3:7" ht="24.75" customHeight="1">
      <c r="C34" s="31"/>
      <c r="D34" s="297" t="s">
        <v>54</v>
      </c>
      <c r="E34" s="298"/>
      <c r="F34" s="62"/>
      <c r="G34" s="10" t="s">
        <v>50</v>
      </c>
    </row>
    <row r="35" spans="3:7" ht="24.75" customHeight="1">
      <c r="C35" s="32" t="s">
        <v>40</v>
      </c>
      <c r="D35" s="299">
        <v>0</v>
      </c>
      <c r="E35" s="303"/>
      <c r="F35" s="63" t="s">
        <v>40</v>
      </c>
      <c r="G35" s="57">
        <v>0</v>
      </c>
    </row>
    <row r="36" spans="3:7" ht="24.75" customHeight="1">
      <c r="C36" s="64"/>
      <c r="D36" s="65" t="s">
        <v>41</v>
      </c>
      <c r="E36" s="66" t="s">
        <v>42</v>
      </c>
      <c r="F36" s="67" t="s">
        <v>51</v>
      </c>
      <c r="G36" s="68">
        <v>0</v>
      </c>
    </row>
    <row r="37" spans="3:7" ht="24.75" customHeight="1">
      <c r="C37" s="69" t="s">
        <v>55</v>
      </c>
      <c r="D37" s="70">
        <v>0</v>
      </c>
      <c r="E37" s="60">
        <v>0</v>
      </c>
      <c r="F37" s="71" t="s">
        <v>56</v>
      </c>
      <c r="G37" s="59">
        <v>0</v>
      </c>
    </row>
    <row r="38" spans="3:7" ht="24.75" customHeight="1">
      <c r="C38" s="43" t="s">
        <v>45</v>
      </c>
      <c r="D38" s="45">
        <v>0</v>
      </c>
      <c r="E38" s="59">
        <v>0</v>
      </c>
      <c r="F38" s="72" t="s">
        <v>52</v>
      </c>
      <c r="G38" s="60">
        <v>0</v>
      </c>
    </row>
    <row r="39" spans="3:7" ht="24.75" customHeight="1">
      <c r="C39" s="38" t="s">
        <v>47</v>
      </c>
      <c r="D39" s="70">
        <v>0</v>
      </c>
      <c r="E39" s="60">
        <v>0</v>
      </c>
      <c r="F39" s="73" t="s">
        <v>56</v>
      </c>
      <c r="G39" s="61">
        <v>0</v>
      </c>
    </row>
    <row r="40" spans="3:7" ht="24.75" customHeight="1">
      <c r="C40" s="74" t="s">
        <v>45</v>
      </c>
      <c r="D40" s="75">
        <v>0</v>
      </c>
      <c r="E40" s="59">
        <v>0</v>
      </c>
    </row>
    <row r="41" spans="3:7" ht="24.75" customHeight="1">
      <c r="C41" s="38" t="s">
        <v>57</v>
      </c>
      <c r="D41" s="40">
        <v>0</v>
      </c>
      <c r="E41" s="60">
        <v>0</v>
      </c>
    </row>
    <row r="42" spans="3:7" ht="24.75" customHeight="1">
      <c r="C42" s="50" t="s">
        <v>45</v>
      </c>
      <c r="D42" s="52">
        <v>0</v>
      </c>
      <c r="E42" s="61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3"/>
  <sheetViews>
    <sheetView showGridLines="0" view="pageBreakPreview" topLeftCell="E1" zoomScale="60" zoomScaleNormal="100" workbookViewId="0">
      <selection activeCell="O16" sqref="O16"/>
    </sheetView>
  </sheetViews>
  <sheetFormatPr defaultColWidth="9" defaultRowHeight="0" customHeight="1" zeroHeight="1"/>
  <cols>
    <col min="1" max="2" width="3.77734375" style="25" customWidth="1"/>
    <col min="3" max="3" width="23.44140625" style="25" customWidth="1"/>
    <col min="4" max="17" width="14.44140625" style="25" customWidth="1"/>
    <col min="18" max="18" width="4" style="7" customWidth="1"/>
  </cols>
  <sheetData>
    <row r="1" spans="1:18" ht="18" customHeight="1">
      <c r="A1" s="76" t="s">
        <v>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7"/>
      <c r="R1" s="28"/>
    </row>
    <row r="2" spans="1:18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7"/>
      <c r="R2" s="28"/>
    </row>
    <row r="3" spans="1:18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</row>
    <row r="4" spans="1:18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</row>
    <row r="5" spans="1:18" ht="18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7"/>
      <c r="O5" s="7"/>
      <c r="P5" s="3" t="s">
        <v>3</v>
      </c>
      <c r="Q5" s="29" t="s">
        <v>4</v>
      </c>
    </row>
    <row r="6" spans="1:18" ht="18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7"/>
      <c r="O6" s="7"/>
      <c r="P6" s="30" t="s">
        <v>5</v>
      </c>
      <c r="Q6" s="6" t="s">
        <v>6</v>
      </c>
      <c r="R6" s="7" t="s">
        <v>7</v>
      </c>
    </row>
    <row r="7" spans="1:18" ht="18" customHeight="1">
      <c r="B7" s="1" t="s">
        <v>32</v>
      </c>
    </row>
    <row r="8" spans="1:18" ht="12" customHeight="1"/>
    <row r="9" spans="1:18" ht="18" customHeight="1">
      <c r="B9" s="1" t="s">
        <v>59</v>
      </c>
    </row>
    <row r="10" spans="1:18" ht="12" customHeight="1"/>
    <row r="11" spans="1:18" ht="24.75" customHeight="1">
      <c r="C11" s="31"/>
      <c r="D11" s="293" t="s">
        <v>34</v>
      </c>
      <c r="E11" s="294"/>
      <c r="F11" s="293" t="s">
        <v>35</v>
      </c>
      <c r="G11" s="294"/>
      <c r="H11" s="293" t="s">
        <v>36</v>
      </c>
      <c r="I11" s="294"/>
      <c r="J11" s="293" t="s">
        <v>37</v>
      </c>
      <c r="K11" s="294"/>
      <c r="L11" s="295" t="s">
        <v>38</v>
      </c>
      <c r="M11" s="296"/>
      <c r="N11" s="297" t="s">
        <v>26</v>
      </c>
      <c r="O11" s="296"/>
      <c r="P11" s="297" t="s">
        <v>39</v>
      </c>
      <c r="Q11" s="298"/>
    </row>
    <row r="12" spans="1:18" ht="24.75" customHeight="1">
      <c r="C12" s="32" t="s">
        <v>40</v>
      </c>
      <c r="D12" s="299">
        <v>0</v>
      </c>
      <c r="E12" s="300"/>
      <c r="F12" s="299">
        <v>0</v>
      </c>
      <c r="G12" s="300"/>
      <c r="H12" s="299">
        <v>0</v>
      </c>
      <c r="I12" s="300"/>
      <c r="J12" s="299">
        <v>0</v>
      </c>
      <c r="K12" s="300"/>
      <c r="L12" s="299">
        <v>0</v>
      </c>
      <c r="M12" s="300"/>
      <c r="N12" s="299">
        <v>0</v>
      </c>
      <c r="O12" s="300"/>
      <c r="P12" s="301">
        <f>SUM(D12:O12)</f>
        <v>0</v>
      </c>
      <c r="Q12" s="302"/>
    </row>
    <row r="13" spans="1:18" ht="24.75" customHeight="1">
      <c r="C13" s="77"/>
      <c r="D13" s="34" t="s">
        <v>41</v>
      </c>
      <c r="E13" s="34" t="s">
        <v>42</v>
      </c>
      <c r="F13" s="34" t="s">
        <v>41</v>
      </c>
      <c r="G13" s="34" t="s">
        <v>42</v>
      </c>
      <c r="H13" s="35" t="s">
        <v>41</v>
      </c>
      <c r="I13" s="35" t="s">
        <v>42</v>
      </c>
      <c r="J13" s="35" t="s">
        <v>41</v>
      </c>
      <c r="K13" s="35" t="s">
        <v>42</v>
      </c>
      <c r="L13" s="35" t="s">
        <v>41</v>
      </c>
      <c r="M13" s="35" t="s">
        <v>42</v>
      </c>
      <c r="N13" s="35" t="s">
        <v>41</v>
      </c>
      <c r="O13" s="36" t="s">
        <v>43</v>
      </c>
      <c r="P13" s="35" t="s">
        <v>41</v>
      </c>
      <c r="Q13" s="37" t="s">
        <v>43</v>
      </c>
    </row>
    <row r="14" spans="1:18" ht="24.75" customHeight="1">
      <c r="C14" s="38" t="s">
        <v>44</v>
      </c>
      <c r="D14" s="39">
        <v>0</v>
      </c>
      <c r="E14" s="39">
        <v>0</v>
      </c>
      <c r="F14" s="39">
        <v>0</v>
      </c>
      <c r="G14" s="39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78">
        <f t="shared" ref="P14:Q21" si="0">SUM(D14,F14,H14,L14,N14,J14)</f>
        <v>0</v>
      </c>
      <c r="Q14" s="42">
        <f t="shared" si="0"/>
        <v>0</v>
      </c>
    </row>
    <row r="15" spans="1:18" ht="24.75" customHeight="1">
      <c r="C15" s="43" t="s">
        <v>45</v>
      </c>
      <c r="D15" s="44">
        <v>0</v>
      </c>
      <c r="E15" s="44">
        <v>0</v>
      </c>
      <c r="F15" s="44">
        <v>0</v>
      </c>
      <c r="G15" s="44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1</v>
      </c>
      <c r="O15" s="45">
        <v>1</v>
      </c>
      <c r="P15" s="79">
        <f t="shared" si="0"/>
        <v>1</v>
      </c>
      <c r="Q15" s="47">
        <f t="shared" si="0"/>
        <v>1</v>
      </c>
    </row>
    <row r="16" spans="1:18" s="48" customFormat="1" ht="24.75" customHeight="1">
      <c r="A16" s="25"/>
      <c r="B16" s="25"/>
      <c r="C16" s="38" t="s">
        <v>46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78">
        <f t="shared" si="0"/>
        <v>0</v>
      </c>
      <c r="Q16" s="42">
        <f t="shared" si="0"/>
        <v>0</v>
      </c>
      <c r="R16" s="7"/>
    </row>
    <row r="17" spans="1:18" s="48" customFormat="1" ht="24.75" customHeight="1">
      <c r="A17" s="25"/>
      <c r="B17" s="25"/>
      <c r="C17" s="43" t="s">
        <v>45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79">
        <f t="shared" si="0"/>
        <v>0</v>
      </c>
      <c r="Q17" s="47">
        <f t="shared" si="0"/>
        <v>0</v>
      </c>
      <c r="R17" s="7"/>
    </row>
    <row r="18" spans="1:18" ht="24.75" customHeight="1">
      <c r="C18" s="38" t="s">
        <v>47</v>
      </c>
      <c r="D18" s="39">
        <v>0</v>
      </c>
      <c r="E18" s="39">
        <v>0</v>
      </c>
      <c r="F18" s="39">
        <v>0</v>
      </c>
      <c r="G18" s="39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78">
        <f t="shared" si="0"/>
        <v>0</v>
      </c>
      <c r="Q18" s="42">
        <f t="shared" si="0"/>
        <v>0</v>
      </c>
    </row>
    <row r="19" spans="1:18" ht="24.75" customHeight="1">
      <c r="C19" s="43" t="s">
        <v>45</v>
      </c>
      <c r="D19" s="44">
        <v>0</v>
      </c>
      <c r="E19" s="44">
        <v>0</v>
      </c>
      <c r="F19" s="44">
        <v>0</v>
      </c>
      <c r="G19" s="44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79">
        <f t="shared" si="0"/>
        <v>0</v>
      </c>
      <c r="Q19" s="47">
        <f t="shared" si="0"/>
        <v>0</v>
      </c>
    </row>
    <row r="20" spans="1:18" ht="24.75" customHeight="1">
      <c r="C20" s="38" t="s">
        <v>48</v>
      </c>
      <c r="D20" s="49">
        <v>0</v>
      </c>
      <c r="E20" s="49">
        <v>0</v>
      </c>
      <c r="F20" s="49">
        <v>0</v>
      </c>
      <c r="G20" s="49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8">
        <f t="shared" si="0"/>
        <v>0</v>
      </c>
      <c r="Q20" s="42">
        <f t="shared" si="0"/>
        <v>0</v>
      </c>
    </row>
    <row r="21" spans="1:18" ht="24.75" customHeight="1">
      <c r="C21" s="50" t="s">
        <v>45</v>
      </c>
      <c r="D21" s="51">
        <v>0</v>
      </c>
      <c r="E21" s="51">
        <v>0</v>
      </c>
      <c r="F21" s="51">
        <v>0</v>
      </c>
      <c r="G21" s="51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3">
        <f t="shared" si="0"/>
        <v>0</v>
      </c>
      <c r="Q21" s="54">
        <f t="shared" si="0"/>
        <v>0</v>
      </c>
    </row>
    <row r="22" spans="1:18" ht="18" customHeight="1">
      <c r="Q22" s="80"/>
    </row>
    <row r="23" spans="1:18" ht="18" customHeight="1">
      <c r="B23" s="1" t="s">
        <v>60</v>
      </c>
    </row>
    <row r="24" spans="1:18" ht="12" customHeight="1"/>
    <row r="25" spans="1:18" ht="24.75" customHeight="1">
      <c r="C25" s="31"/>
      <c r="D25" s="10" t="s">
        <v>50</v>
      </c>
    </row>
    <row r="26" spans="1:18" ht="24.75" customHeight="1">
      <c r="C26" s="56" t="s">
        <v>40</v>
      </c>
      <c r="D26" s="57">
        <v>0</v>
      </c>
    </row>
    <row r="27" spans="1:18" ht="24.75" customHeight="1">
      <c r="C27" s="38" t="s">
        <v>51</v>
      </c>
      <c r="D27" s="58">
        <v>0</v>
      </c>
    </row>
    <row r="28" spans="1:18" ht="24.75" customHeight="1">
      <c r="C28" s="43" t="s">
        <v>45</v>
      </c>
      <c r="D28" s="59">
        <v>0</v>
      </c>
    </row>
    <row r="29" spans="1:18" ht="24.75" customHeight="1">
      <c r="C29" s="38" t="s">
        <v>52</v>
      </c>
      <c r="D29" s="60">
        <v>0</v>
      </c>
    </row>
    <row r="30" spans="1:18" ht="24.75" customHeight="1">
      <c r="C30" s="50" t="s">
        <v>45</v>
      </c>
      <c r="D30" s="61">
        <v>0</v>
      </c>
    </row>
    <row r="31" spans="1:18" ht="12" customHeight="1"/>
    <row r="32" spans="1:18" ht="18" customHeight="1">
      <c r="B32" s="1" t="s">
        <v>61</v>
      </c>
    </row>
    <row r="33" spans="3:7" ht="12" customHeight="1"/>
    <row r="34" spans="3:7" ht="24.75" customHeight="1">
      <c r="C34" s="31"/>
      <c r="D34" s="297" t="s">
        <v>54</v>
      </c>
      <c r="E34" s="298"/>
      <c r="F34" s="62"/>
      <c r="G34" s="10" t="s">
        <v>50</v>
      </c>
    </row>
    <row r="35" spans="3:7" ht="24.75" customHeight="1">
      <c r="C35" s="32" t="s">
        <v>40</v>
      </c>
      <c r="D35" s="299">
        <v>0</v>
      </c>
      <c r="E35" s="303"/>
      <c r="F35" s="63" t="s">
        <v>40</v>
      </c>
      <c r="G35" s="57">
        <v>0</v>
      </c>
    </row>
    <row r="36" spans="3:7" ht="24.75" customHeight="1">
      <c r="C36" s="64"/>
      <c r="D36" s="65" t="s">
        <v>41</v>
      </c>
      <c r="E36" s="66" t="s">
        <v>42</v>
      </c>
      <c r="F36" s="67" t="s">
        <v>51</v>
      </c>
      <c r="G36" s="68">
        <v>0</v>
      </c>
    </row>
    <row r="37" spans="3:7" ht="24.75" customHeight="1">
      <c r="C37" s="81" t="s">
        <v>55</v>
      </c>
      <c r="D37" s="70">
        <v>0</v>
      </c>
      <c r="E37" s="60">
        <v>0</v>
      </c>
      <c r="F37" s="71" t="s">
        <v>56</v>
      </c>
      <c r="G37" s="59">
        <v>0</v>
      </c>
    </row>
    <row r="38" spans="3:7" ht="24.75" customHeight="1">
      <c r="C38" s="43" t="s">
        <v>45</v>
      </c>
      <c r="D38" s="45">
        <v>0</v>
      </c>
      <c r="E38" s="59">
        <v>0</v>
      </c>
      <c r="F38" s="72" t="s">
        <v>52</v>
      </c>
      <c r="G38" s="60">
        <v>0</v>
      </c>
    </row>
    <row r="39" spans="3:7" ht="24.75" customHeight="1">
      <c r="C39" s="38" t="s">
        <v>47</v>
      </c>
      <c r="D39" s="70">
        <v>0</v>
      </c>
      <c r="E39" s="60">
        <v>0</v>
      </c>
      <c r="F39" s="73" t="s">
        <v>56</v>
      </c>
      <c r="G39" s="61">
        <v>0</v>
      </c>
    </row>
    <row r="40" spans="3:7" ht="24.75" customHeight="1">
      <c r="C40" s="74" t="s">
        <v>45</v>
      </c>
      <c r="D40" s="75">
        <v>0</v>
      </c>
      <c r="E40" s="59">
        <v>0</v>
      </c>
    </row>
    <row r="41" spans="3:7" ht="24.75" customHeight="1">
      <c r="C41" s="38" t="s">
        <v>57</v>
      </c>
      <c r="D41" s="40">
        <v>0</v>
      </c>
      <c r="E41" s="60">
        <v>0</v>
      </c>
    </row>
    <row r="42" spans="3:7" ht="24.75" customHeight="1">
      <c r="C42" s="50" t="s">
        <v>45</v>
      </c>
      <c r="D42" s="52">
        <v>0</v>
      </c>
      <c r="E42" s="61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view="pageBreakPreview" zoomScale="60" zoomScaleNormal="100" workbookViewId="0"/>
  </sheetViews>
  <sheetFormatPr defaultColWidth="9" defaultRowHeight="0" customHeight="1" zeroHeight="1"/>
  <cols>
    <col min="1" max="2" width="3.77734375" style="25" customWidth="1"/>
    <col min="3" max="3" width="23.88671875" style="25" customWidth="1"/>
    <col min="4" max="6" width="14.44140625" style="25" customWidth="1"/>
    <col min="7" max="7" width="4" style="25" customWidth="1"/>
  </cols>
  <sheetData>
    <row r="1" spans="1:7" ht="18" customHeight="1">
      <c r="A1" s="1" t="s">
        <v>62</v>
      </c>
      <c r="G1" s="82"/>
    </row>
    <row r="2" spans="1:7" ht="18" customHeight="1">
      <c r="G2" s="82"/>
    </row>
    <row r="3" spans="1:7" ht="18" customHeight="1">
      <c r="A3" s="289" t="s">
        <v>1</v>
      </c>
      <c r="B3" s="289"/>
      <c r="C3" s="289"/>
      <c r="D3" s="289"/>
      <c r="E3" s="289"/>
      <c r="F3" s="289"/>
      <c r="G3" s="289"/>
    </row>
    <row r="4" spans="1:7" ht="18" customHeight="1">
      <c r="A4" s="289" t="s">
        <v>2</v>
      </c>
      <c r="B4" s="289"/>
      <c r="C4" s="289"/>
      <c r="D4" s="289"/>
      <c r="E4" s="289"/>
      <c r="F4" s="289"/>
      <c r="G4" s="289"/>
    </row>
    <row r="5" spans="1:7" ht="18" customHeight="1">
      <c r="E5" s="3" t="s">
        <v>3</v>
      </c>
      <c r="F5" s="4" t="s">
        <v>4</v>
      </c>
    </row>
    <row r="6" spans="1:7" ht="18" customHeight="1">
      <c r="E6" s="5" t="s">
        <v>5</v>
      </c>
      <c r="F6" s="6" t="s">
        <v>6</v>
      </c>
      <c r="G6" s="25" t="s">
        <v>7</v>
      </c>
    </row>
    <row r="7" spans="1:7" ht="18" customHeight="1">
      <c r="B7" s="1" t="s">
        <v>32</v>
      </c>
    </row>
    <row r="8" spans="1:7" ht="18" customHeight="1">
      <c r="B8" s="1" t="s">
        <v>63</v>
      </c>
    </row>
    <row r="9" spans="1:7" ht="12" customHeight="1"/>
    <row r="10" spans="1:7" ht="24" customHeight="1">
      <c r="C10" s="83"/>
      <c r="D10" s="9" t="s">
        <v>64</v>
      </c>
      <c r="E10" s="9" t="s">
        <v>65</v>
      </c>
      <c r="F10" s="10" t="s">
        <v>39</v>
      </c>
    </row>
    <row r="11" spans="1:7" ht="24" customHeight="1">
      <c r="C11" s="43" t="s">
        <v>40</v>
      </c>
      <c r="D11" s="44">
        <v>0</v>
      </c>
      <c r="E11" s="44">
        <v>0</v>
      </c>
      <c r="F11" s="84">
        <f t="shared" ref="F11:F17" si="0">SUM(D11:E11)</f>
        <v>0</v>
      </c>
    </row>
    <row r="12" spans="1:7" ht="24" customHeight="1">
      <c r="C12" s="69" t="s">
        <v>66</v>
      </c>
      <c r="D12" s="49">
        <v>0</v>
      </c>
      <c r="E12" s="49">
        <v>0</v>
      </c>
      <c r="F12" s="47">
        <f t="shared" si="0"/>
        <v>0</v>
      </c>
    </row>
    <row r="13" spans="1:7" ht="24" customHeight="1">
      <c r="C13" s="43" t="s">
        <v>67</v>
      </c>
      <c r="D13" s="44">
        <v>0</v>
      </c>
      <c r="E13" s="44">
        <v>0</v>
      </c>
      <c r="F13" s="84">
        <f t="shared" si="0"/>
        <v>0</v>
      </c>
    </row>
    <row r="14" spans="1:7" ht="24" customHeight="1">
      <c r="C14" s="69" t="s">
        <v>68</v>
      </c>
      <c r="D14" s="49">
        <v>0</v>
      </c>
      <c r="E14" s="49">
        <v>0</v>
      </c>
      <c r="F14" s="47">
        <f t="shared" si="0"/>
        <v>0</v>
      </c>
    </row>
    <row r="15" spans="1:7" ht="24" customHeight="1">
      <c r="C15" s="43" t="s">
        <v>67</v>
      </c>
      <c r="D15" s="44">
        <v>0</v>
      </c>
      <c r="E15" s="44">
        <v>0</v>
      </c>
      <c r="F15" s="84">
        <f t="shared" si="0"/>
        <v>0</v>
      </c>
    </row>
    <row r="16" spans="1:7" ht="24" customHeight="1">
      <c r="C16" s="69" t="s">
        <v>69</v>
      </c>
      <c r="D16" s="49">
        <v>0</v>
      </c>
      <c r="E16" s="49">
        <v>0</v>
      </c>
      <c r="F16" s="47">
        <f t="shared" si="0"/>
        <v>0</v>
      </c>
    </row>
    <row r="17" spans="3:6" ht="24" customHeight="1">
      <c r="C17" s="50" t="s">
        <v>67</v>
      </c>
      <c r="D17" s="51">
        <v>0</v>
      </c>
      <c r="E17" s="51">
        <v>0</v>
      </c>
      <c r="F17" s="54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showGridLines="0" view="pageBreakPreview" zoomScale="60" zoomScaleNormal="100" workbookViewId="0">
      <selection activeCell="H39" sqref="H39"/>
    </sheetView>
  </sheetViews>
  <sheetFormatPr defaultColWidth="9" defaultRowHeight="12" customHeight="1"/>
  <cols>
    <col min="1" max="1" width="2.77734375" style="138" customWidth="1"/>
    <col min="2" max="2" width="2.33203125" style="138" customWidth="1"/>
    <col min="3" max="3" width="20.77734375" style="138" customWidth="1"/>
    <col min="4" max="14" width="14.44140625" style="138" customWidth="1"/>
    <col min="15" max="15" width="4" style="138" customWidth="1"/>
  </cols>
  <sheetData>
    <row r="1" spans="1:15" s="85" customFormat="1" ht="18" customHeight="1">
      <c r="A1" s="86" t="s">
        <v>70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5" s="85" customFormat="1" ht="18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5" s="85" customFormat="1" ht="18" customHeight="1">
      <c r="A3" s="308" t="s">
        <v>1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88"/>
      <c r="O3" s="89"/>
    </row>
    <row r="4" spans="1:15" s="85" customFormat="1" ht="18" customHeight="1">
      <c r="A4" s="308" t="s">
        <v>2</v>
      </c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88"/>
    </row>
    <row r="5" spans="1:15" s="85" customFormat="1" ht="18" customHeight="1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3" t="s">
        <v>3</v>
      </c>
      <c r="M5" s="4" t="s">
        <v>4</v>
      </c>
    </row>
    <row r="6" spans="1:15" s="85" customFormat="1" ht="18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5" t="s">
        <v>5</v>
      </c>
      <c r="M6" s="6" t="s">
        <v>6</v>
      </c>
      <c r="N6" s="85" t="s">
        <v>7</v>
      </c>
    </row>
    <row r="7" spans="1:15" ht="18" customHeight="1">
      <c r="A7" s="90"/>
      <c r="B7" s="91" t="s">
        <v>32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85"/>
    </row>
    <row r="8" spans="1:15" ht="12" customHeight="1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85"/>
    </row>
    <row r="9" spans="1:15" ht="18" customHeight="1">
      <c r="A9" s="90"/>
      <c r="B9" s="91" t="s">
        <v>71</v>
      </c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85"/>
    </row>
    <row r="10" spans="1:15" s="92" customFormat="1" ht="12" customHeight="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85"/>
    </row>
    <row r="11" spans="1:15" s="92" customFormat="1" ht="18" customHeight="1">
      <c r="A11" s="93"/>
      <c r="B11" s="93"/>
      <c r="C11" s="306"/>
      <c r="D11" s="94" t="s">
        <v>72</v>
      </c>
      <c r="E11" s="94" t="s">
        <v>73</v>
      </c>
      <c r="F11" s="94" t="s">
        <v>20</v>
      </c>
      <c r="G11" s="95" t="s">
        <v>74</v>
      </c>
      <c r="H11" s="94" t="s">
        <v>75</v>
      </c>
      <c r="I11" s="94" t="s">
        <v>76</v>
      </c>
      <c r="J11" s="94" t="s">
        <v>77</v>
      </c>
      <c r="K11" s="94" t="s">
        <v>78</v>
      </c>
      <c r="L11" s="94" t="s">
        <v>20</v>
      </c>
      <c r="M11" s="307" t="s">
        <v>39</v>
      </c>
      <c r="N11" s="96"/>
      <c r="O11" s="85"/>
    </row>
    <row r="12" spans="1:15" s="92" customFormat="1" ht="18" customHeight="1">
      <c r="A12" s="97"/>
      <c r="B12" s="93"/>
      <c r="C12" s="98" t="s">
        <v>64</v>
      </c>
      <c r="D12" s="99">
        <v>17</v>
      </c>
      <c r="E12" s="99">
        <v>50</v>
      </c>
      <c r="F12" s="100">
        <f>SUM(D12:E12)</f>
        <v>67</v>
      </c>
      <c r="G12" s="101">
        <v>30</v>
      </c>
      <c r="H12" s="99">
        <v>62</v>
      </c>
      <c r="I12" s="99">
        <v>45</v>
      </c>
      <c r="J12" s="99">
        <v>27</v>
      </c>
      <c r="K12" s="99">
        <v>10</v>
      </c>
      <c r="L12" s="100">
        <f>SUM(G12:K12)</f>
        <v>174</v>
      </c>
      <c r="M12" s="102">
        <f>F12+L12</f>
        <v>241</v>
      </c>
      <c r="N12" s="103"/>
      <c r="O12" s="85"/>
    </row>
    <row r="13" spans="1:15" s="92" customFormat="1" ht="18" customHeight="1">
      <c r="A13" s="97"/>
      <c r="B13" s="93"/>
      <c r="C13" s="98" t="s">
        <v>65</v>
      </c>
      <c r="D13" s="99">
        <v>0</v>
      </c>
      <c r="E13" s="99">
        <v>1</v>
      </c>
      <c r="F13" s="100">
        <f>SUM(D13:E13)</f>
        <v>1</v>
      </c>
      <c r="G13" s="101">
        <v>0</v>
      </c>
      <c r="H13" s="99">
        <v>0</v>
      </c>
      <c r="I13" s="99">
        <v>1</v>
      </c>
      <c r="J13" s="99">
        <v>0</v>
      </c>
      <c r="K13" s="99">
        <v>1</v>
      </c>
      <c r="L13" s="100">
        <f>SUM(G13:K13)</f>
        <v>2</v>
      </c>
      <c r="M13" s="104">
        <f>F13+L13</f>
        <v>3</v>
      </c>
      <c r="N13" s="103"/>
      <c r="O13" s="85"/>
    </row>
    <row r="14" spans="1:15" s="92" customFormat="1" ht="18" customHeight="1">
      <c r="A14" s="97"/>
      <c r="B14" s="93"/>
      <c r="C14" s="105" t="s">
        <v>79</v>
      </c>
      <c r="D14" s="106">
        <f>SUM(D12:D13)</f>
        <v>17</v>
      </c>
      <c r="E14" s="106">
        <f>SUM(E12:E13)</f>
        <v>51</v>
      </c>
      <c r="F14" s="107">
        <f>SUM(D14:E14)</f>
        <v>68</v>
      </c>
      <c r="G14" s="108">
        <f t="shared" ref="G14:L14" si="0">SUM(G12:G13)</f>
        <v>30</v>
      </c>
      <c r="H14" s="109">
        <f t="shared" si="0"/>
        <v>62</v>
      </c>
      <c r="I14" s="109">
        <f t="shared" si="0"/>
        <v>46</v>
      </c>
      <c r="J14" s="109">
        <f t="shared" si="0"/>
        <v>27</v>
      </c>
      <c r="K14" s="109">
        <f t="shared" si="0"/>
        <v>11</v>
      </c>
      <c r="L14" s="107">
        <f t="shared" si="0"/>
        <v>176</v>
      </c>
      <c r="M14" s="110">
        <f>F14+L14</f>
        <v>244</v>
      </c>
      <c r="N14" s="103"/>
      <c r="O14" s="85"/>
    </row>
    <row r="15" spans="1:15" s="92" customFormat="1" ht="12" customHeight="1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85"/>
    </row>
    <row r="16" spans="1:15" s="111" customFormat="1" ht="18" customHeight="1">
      <c r="A16" s="112"/>
      <c r="B16" s="113" t="s">
        <v>80</v>
      </c>
      <c r="C16" s="114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85"/>
    </row>
    <row r="17" spans="1:15" s="92" customFormat="1" ht="12" customHeight="1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85"/>
    </row>
    <row r="18" spans="1:15" s="92" customFormat="1" ht="18" customHeight="1">
      <c r="A18" s="93"/>
      <c r="B18" s="93"/>
      <c r="C18" s="306"/>
      <c r="D18" s="94" t="s">
        <v>72</v>
      </c>
      <c r="E18" s="94" t="s">
        <v>73</v>
      </c>
      <c r="F18" s="94" t="s">
        <v>20</v>
      </c>
      <c r="G18" s="95" t="s">
        <v>74</v>
      </c>
      <c r="H18" s="94" t="s">
        <v>75</v>
      </c>
      <c r="I18" s="94" t="s">
        <v>76</v>
      </c>
      <c r="J18" s="94" t="s">
        <v>77</v>
      </c>
      <c r="K18" s="94" t="s">
        <v>78</v>
      </c>
      <c r="L18" s="115" t="s">
        <v>20</v>
      </c>
      <c r="M18" s="307" t="s">
        <v>39</v>
      </c>
      <c r="N18" s="96"/>
      <c r="O18" s="85"/>
    </row>
    <row r="19" spans="1:15" s="92" customFormat="1" ht="18" customHeight="1">
      <c r="A19" s="97"/>
      <c r="B19" s="93"/>
      <c r="C19" s="98" t="s">
        <v>64</v>
      </c>
      <c r="D19" s="99">
        <v>0</v>
      </c>
      <c r="E19" s="99">
        <v>4</v>
      </c>
      <c r="F19" s="100">
        <f>SUM(D19:E19)</f>
        <v>4</v>
      </c>
      <c r="G19" s="101">
        <v>7</v>
      </c>
      <c r="H19" s="99">
        <v>6</v>
      </c>
      <c r="I19" s="99">
        <v>22</v>
      </c>
      <c r="J19" s="99">
        <v>10</v>
      </c>
      <c r="K19" s="99">
        <v>5</v>
      </c>
      <c r="L19" s="100">
        <f>SUM(G19:K19)</f>
        <v>50</v>
      </c>
      <c r="M19" s="102">
        <f>F19+L19</f>
        <v>54</v>
      </c>
      <c r="N19" s="103"/>
      <c r="O19" s="85"/>
    </row>
    <row r="20" spans="1:15" s="92" customFormat="1" ht="18" customHeight="1">
      <c r="A20" s="97"/>
      <c r="B20" s="93"/>
      <c r="C20" s="98" t="s">
        <v>65</v>
      </c>
      <c r="D20" s="99">
        <v>0</v>
      </c>
      <c r="E20" s="99">
        <v>0</v>
      </c>
      <c r="F20" s="100">
        <f>SUM(D20:E20)</f>
        <v>0</v>
      </c>
      <c r="G20" s="101">
        <v>0</v>
      </c>
      <c r="H20" s="99">
        <v>0</v>
      </c>
      <c r="I20" s="99">
        <v>0</v>
      </c>
      <c r="J20" s="99">
        <v>0</v>
      </c>
      <c r="K20" s="99">
        <v>0</v>
      </c>
      <c r="L20" s="100">
        <f>SUM(G20:K20)</f>
        <v>0</v>
      </c>
      <c r="M20" s="102">
        <f>F20+L20</f>
        <v>0</v>
      </c>
      <c r="N20" s="103"/>
      <c r="O20" s="85"/>
    </row>
    <row r="21" spans="1:15" s="92" customFormat="1" ht="18" customHeight="1">
      <c r="A21" s="93"/>
      <c r="B21" s="93"/>
      <c r="C21" s="105" t="s">
        <v>79</v>
      </c>
      <c r="D21" s="106">
        <f>SUM(D19:D20)</f>
        <v>0</v>
      </c>
      <c r="E21" s="106">
        <f>SUM(E19:E20)</f>
        <v>4</v>
      </c>
      <c r="F21" s="106">
        <f>SUM(D21:E21)</f>
        <v>4</v>
      </c>
      <c r="G21" s="116">
        <f t="shared" ref="G21:L21" si="1">SUM(G19:G20)</f>
        <v>7</v>
      </c>
      <c r="H21" s="106">
        <f t="shared" si="1"/>
        <v>6</v>
      </c>
      <c r="I21" s="106">
        <f t="shared" si="1"/>
        <v>22</v>
      </c>
      <c r="J21" s="106">
        <f t="shared" si="1"/>
        <v>10</v>
      </c>
      <c r="K21" s="106">
        <f t="shared" si="1"/>
        <v>5</v>
      </c>
      <c r="L21" s="106">
        <f t="shared" si="1"/>
        <v>50</v>
      </c>
      <c r="M21" s="117">
        <f>F21+L21</f>
        <v>54</v>
      </c>
      <c r="N21" s="103"/>
      <c r="O21" s="85"/>
    </row>
    <row r="22" spans="1:15" s="92" customFormat="1" ht="12" customHeigh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85"/>
    </row>
    <row r="23" spans="1:15" s="111" customFormat="1" ht="18" customHeight="1">
      <c r="A23" s="112"/>
      <c r="B23" s="113" t="s">
        <v>81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</row>
    <row r="24" spans="1:15" s="92" customFormat="1" ht="12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</row>
    <row r="25" spans="1:15" s="92" customFormat="1" ht="18" customHeight="1">
      <c r="A25" s="93"/>
      <c r="B25" s="93"/>
      <c r="C25" s="304"/>
      <c r="D25" s="118" t="s">
        <v>72</v>
      </c>
      <c r="E25" s="118" t="s">
        <v>73</v>
      </c>
      <c r="F25" s="118" t="s">
        <v>20</v>
      </c>
      <c r="G25" s="119" t="s">
        <v>74</v>
      </c>
      <c r="H25" s="118" t="s">
        <v>75</v>
      </c>
      <c r="I25" s="118" t="s">
        <v>76</v>
      </c>
      <c r="J25" s="118" t="s">
        <v>77</v>
      </c>
      <c r="K25" s="118" t="s">
        <v>78</v>
      </c>
      <c r="L25" s="120" t="s">
        <v>20</v>
      </c>
      <c r="M25" s="305" t="s">
        <v>39</v>
      </c>
      <c r="N25" s="121"/>
      <c r="O25" s="93"/>
    </row>
    <row r="26" spans="1:15" s="92" customFormat="1" ht="18" customHeight="1">
      <c r="A26" s="93"/>
      <c r="B26" s="93"/>
      <c r="C26" s="122" t="s">
        <v>34</v>
      </c>
      <c r="D26" s="123">
        <f t="shared" ref="D26:L26" si="2">SUM(D27:D28)</f>
        <v>0</v>
      </c>
      <c r="E26" s="123">
        <f t="shared" si="2"/>
        <v>0</v>
      </c>
      <c r="F26" s="123">
        <f t="shared" si="2"/>
        <v>0</v>
      </c>
      <c r="G26" s="124">
        <f t="shared" si="2"/>
        <v>0</v>
      </c>
      <c r="H26" s="125">
        <f t="shared" si="2"/>
        <v>3</v>
      </c>
      <c r="I26" s="125">
        <f t="shared" si="2"/>
        <v>26</v>
      </c>
      <c r="J26" s="125">
        <f t="shared" si="2"/>
        <v>25</v>
      </c>
      <c r="K26" s="125">
        <f t="shared" si="2"/>
        <v>18</v>
      </c>
      <c r="L26" s="126">
        <f t="shared" si="2"/>
        <v>72</v>
      </c>
      <c r="M26" s="127">
        <f t="shared" ref="M26:M38" si="3">F26+L26</f>
        <v>72</v>
      </c>
      <c r="N26" s="93"/>
      <c r="O26" s="93"/>
    </row>
    <row r="27" spans="1:15" s="92" customFormat="1" ht="18" customHeight="1">
      <c r="A27" s="97"/>
      <c r="B27" s="93"/>
      <c r="C27" s="128" t="s">
        <v>64</v>
      </c>
      <c r="D27" s="129">
        <v>0</v>
      </c>
      <c r="E27" s="129">
        <v>0</v>
      </c>
      <c r="F27" s="100">
        <f>SUM(D27:E27)</f>
        <v>0</v>
      </c>
      <c r="G27" s="130">
        <v>0</v>
      </c>
      <c r="H27" s="129">
        <v>3</v>
      </c>
      <c r="I27" s="129">
        <v>26</v>
      </c>
      <c r="J27" s="129">
        <v>25</v>
      </c>
      <c r="K27" s="129">
        <v>18</v>
      </c>
      <c r="L27" s="100">
        <f>SUM(G27:K27)</f>
        <v>72</v>
      </c>
      <c r="M27" s="104">
        <f t="shared" si="3"/>
        <v>72</v>
      </c>
      <c r="N27" s="93"/>
      <c r="O27" s="93"/>
    </row>
    <row r="28" spans="1:15" s="92" customFormat="1" ht="18" customHeight="1">
      <c r="A28" s="97"/>
      <c r="B28" s="93"/>
      <c r="C28" s="128" t="s">
        <v>65</v>
      </c>
      <c r="D28" s="131">
        <v>0</v>
      </c>
      <c r="E28" s="131">
        <v>0</v>
      </c>
      <c r="F28" s="100">
        <f>SUM(D28:E28)</f>
        <v>0</v>
      </c>
      <c r="G28" s="132">
        <v>0</v>
      </c>
      <c r="H28" s="131">
        <v>0</v>
      </c>
      <c r="I28" s="131">
        <v>0</v>
      </c>
      <c r="J28" s="131">
        <v>0</v>
      </c>
      <c r="K28" s="131">
        <v>0</v>
      </c>
      <c r="L28" s="100">
        <f>SUM(G28:K28)</f>
        <v>0</v>
      </c>
      <c r="M28" s="110">
        <f t="shared" si="3"/>
        <v>0</v>
      </c>
      <c r="N28" s="93"/>
      <c r="O28" s="93"/>
    </row>
    <row r="29" spans="1:15" s="92" customFormat="1" ht="18" customHeight="1">
      <c r="A29" s="93"/>
      <c r="B29" s="93"/>
      <c r="C29" s="122" t="s">
        <v>35</v>
      </c>
      <c r="D29" s="125">
        <f t="shared" ref="D29:L29" si="4">SUM(D30:D31)</f>
        <v>0</v>
      </c>
      <c r="E29" s="125">
        <f t="shared" si="4"/>
        <v>0</v>
      </c>
      <c r="F29" s="125">
        <f t="shared" si="4"/>
        <v>0</v>
      </c>
      <c r="G29" s="124">
        <f t="shared" si="4"/>
        <v>3</v>
      </c>
      <c r="H29" s="125">
        <f t="shared" si="4"/>
        <v>9</v>
      </c>
      <c r="I29" s="125">
        <f t="shared" si="4"/>
        <v>25</v>
      </c>
      <c r="J29" s="125">
        <f t="shared" si="4"/>
        <v>24</v>
      </c>
      <c r="K29" s="125">
        <f t="shared" si="4"/>
        <v>10</v>
      </c>
      <c r="L29" s="125">
        <f t="shared" si="4"/>
        <v>71</v>
      </c>
      <c r="M29" s="102">
        <f t="shared" si="3"/>
        <v>71</v>
      </c>
      <c r="N29" s="93"/>
      <c r="O29" s="93"/>
    </row>
    <row r="30" spans="1:15" s="92" customFormat="1" ht="18" customHeight="1">
      <c r="A30" s="97"/>
      <c r="B30" s="93"/>
      <c r="C30" s="128" t="s">
        <v>64</v>
      </c>
      <c r="D30" s="99">
        <v>0</v>
      </c>
      <c r="E30" s="99">
        <v>0</v>
      </c>
      <c r="F30" s="100">
        <f>SUM(D30:E30)</f>
        <v>0</v>
      </c>
      <c r="G30" s="101">
        <v>3</v>
      </c>
      <c r="H30" s="99">
        <v>9</v>
      </c>
      <c r="I30" s="99">
        <v>24</v>
      </c>
      <c r="J30" s="99">
        <v>24</v>
      </c>
      <c r="K30" s="99">
        <v>10</v>
      </c>
      <c r="L30" s="100">
        <f>SUM(G30:K30)</f>
        <v>70</v>
      </c>
      <c r="M30" s="102">
        <f t="shared" si="3"/>
        <v>70</v>
      </c>
      <c r="N30" s="93"/>
      <c r="O30" s="93"/>
    </row>
    <row r="31" spans="1:15" s="92" customFormat="1" ht="18" customHeight="1">
      <c r="A31" s="97"/>
      <c r="B31" s="93"/>
      <c r="C31" s="128" t="s">
        <v>65</v>
      </c>
      <c r="D31" s="133">
        <v>0</v>
      </c>
      <c r="E31" s="133">
        <v>0</v>
      </c>
      <c r="F31" s="106">
        <f>SUM(D31:E31)</f>
        <v>0</v>
      </c>
      <c r="G31" s="134">
        <v>0</v>
      </c>
      <c r="H31" s="133">
        <v>0</v>
      </c>
      <c r="I31" s="133">
        <v>1</v>
      </c>
      <c r="J31" s="133">
        <v>0</v>
      </c>
      <c r="K31" s="133">
        <v>0</v>
      </c>
      <c r="L31" s="106">
        <f>SUM(G31:K31)</f>
        <v>1</v>
      </c>
      <c r="M31" s="117">
        <f t="shared" si="3"/>
        <v>1</v>
      </c>
      <c r="N31" s="93"/>
      <c r="O31" s="93"/>
    </row>
    <row r="32" spans="1:15" s="92" customFormat="1" ht="18" customHeight="1">
      <c r="A32" s="93"/>
      <c r="B32" s="93"/>
      <c r="C32" s="122" t="s">
        <v>82</v>
      </c>
      <c r="D32" s="125">
        <f t="shared" ref="D32:L32" si="5">SUM(D33:D34)</f>
        <v>0</v>
      </c>
      <c r="E32" s="125">
        <f t="shared" si="5"/>
        <v>0</v>
      </c>
      <c r="F32" s="125">
        <f t="shared" si="5"/>
        <v>0</v>
      </c>
      <c r="G32" s="124">
        <f t="shared" si="5"/>
        <v>0</v>
      </c>
      <c r="H32" s="125">
        <f t="shared" si="5"/>
        <v>0</v>
      </c>
      <c r="I32" s="125">
        <f t="shared" si="5"/>
        <v>0</v>
      </c>
      <c r="J32" s="125">
        <f t="shared" si="5"/>
        <v>0</v>
      </c>
      <c r="K32" s="125">
        <f t="shared" si="5"/>
        <v>0</v>
      </c>
      <c r="L32" s="125">
        <f t="shared" si="5"/>
        <v>0</v>
      </c>
      <c r="M32" s="135">
        <f t="shared" si="3"/>
        <v>0</v>
      </c>
      <c r="N32" s="93"/>
      <c r="O32" s="93"/>
    </row>
    <row r="33" spans="1:15" s="92" customFormat="1" ht="18" customHeight="1">
      <c r="A33" s="97"/>
      <c r="B33" s="93"/>
      <c r="C33" s="128" t="s">
        <v>64</v>
      </c>
      <c r="D33" s="99">
        <v>0</v>
      </c>
      <c r="E33" s="99">
        <v>0</v>
      </c>
      <c r="F33" s="100">
        <f>SUM(D33:E33)</f>
        <v>0</v>
      </c>
      <c r="G33" s="101">
        <v>0</v>
      </c>
      <c r="H33" s="99">
        <v>0</v>
      </c>
      <c r="I33" s="99">
        <v>0</v>
      </c>
      <c r="J33" s="99">
        <v>0</v>
      </c>
      <c r="K33" s="99">
        <v>0</v>
      </c>
      <c r="L33" s="100">
        <f>SUM(G33:K33)</f>
        <v>0</v>
      </c>
      <c r="M33" s="102">
        <f t="shared" si="3"/>
        <v>0</v>
      </c>
      <c r="N33" s="93"/>
      <c r="O33" s="93"/>
    </row>
    <row r="34" spans="1:15" s="92" customFormat="1" ht="18" customHeight="1">
      <c r="A34" s="97"/>
      <c r="B34" s="93"/>
      <c r="C34" s="136" t="s">
        <v>65</v>
      </c>
      <c r="D34" s="133">
        <v>0</v>
      </c>
      <c r="E34" s="133">
        <v>0</v>
      </c>
      <c r="F34" s="106">
        <f>SUM(D34:E34)</f>
        <v>0</v>
      </c>
      <c r="G34" s="134">
        <v>0</v>
      </c>
      <c r="H34" s="133">
        <v>0</v>
      </c>
      <c r="I34" s="133">
        <v>0</v>
      </c>
      <c r="J34" s="133">
        <v>0</v>
      </c>
      <c r="K34" s="133">
        <v>0</v>
      </c>
      <c r="L34" s="106">
        <f>SUM(G34:K34)</f>
        <v>0</v>
      </c>
      <c r="M34" s="117">
        <f t="shared" si="3"/>
        <v>0</v>
      </c>
      <c r="N34" s="93"/>
      <c r="O34" s="93"/>
    </row>
    <row r="35" spans="1:15" s="92" customFormat="1" ht="18" customHeight="1">
      <c r="A35" s="97"/>
      <c r="B35" s="93"/>
      <c r="C35" s="122" t="s">
        <v>37</v>
      </c>
      <c r="D35" s="125">
        <f t="shared" ref="D35:L35" si="6">SUM(D36:D37)</f>
        <v>0</v>
      </c>
      <c r="E35" s="125">
        <f t="shared" si="6"/>
        <v>0</v>
      </c>
      <c r="F35" s="125">
        <f t="shared" si="6"/>
        <v>0</v>
      </c>
      <c r="G35" s="124">
        <f t="shared" si="6"/>
        <v>0</v>
      </c>
      <c r="H35" s="125">
        <f t="shared" si="6"/>
        <v>0</v>
      </c>
      <c r="I35" s="125">
        <f t="shared" si="6"/>
        <v>0</v>
      </c>
      <c r="J35" s="125">
        <f t="shared" si="6"/>
        <v>0</v>
      </c>
      <c r="K35" s="125">
        <f t="shared" si="6"/>
        <v>0</v>
      </c>
      <c r="L35" s="125">
        <f t="shared" si="6"/>
        <v>0</v>
      </c>
      <c r="M35" s="135">
        <f t="shared" si="3"/>
        <v>0</v>
      </c>
      <c r="N35" s="93"/>
      <c r="O35" s="93"/>
    </row>
    <row r="36" spans="1:15" s="92" customFormat="1" ht="18" customHeight="1">
      <c r="A36" s="97"/>
      <c r="B36" s="93"/>
      <c r="C36" s="128" t="s">
        <v>64</v>
      </c>
      <c r="D36" s="99">
        <v>0</v>
      </c>
      <c r="E36" s="99">
        <v>0</v>
      </c>
      <c r="F36" s="100">
        <f>SUM(D36:E36)</f>
        <v>0</v>
      </c>
      <c r="G36" s="101">
        <v>0</v>
      </c>
      <c r="H36" s="99">
        <v>0</v>
      </c>
      <c r="I36" s="99">
        <v>0</v>
      </c>
      <c r="J36" s="99">
        <v>0</v>
      </c>
      <c r="K36" s="99">
        <v>0</v>
      </c>
      <c r="L36" s="100">
        <f>SUM(G36:K36)</f>
        <v>0</v>
      </c>
      <c r="M36" s="102">
        <f t="shared" si="3"/>
        <v>0</v>
      </c>
      <c r="N36" s="93"/>
      <c r="O36" s="93"/>
    </row>
    <row r="37" spans="1:15" s="92" customFormat="1" ht="18" customHeight="1">
      <c r="A37" s="97"/>
      <c r="B37" s="93"/>
      <c r="C37" s="136" t="s">
        <v>65</v>
      </c>
      <c r="D37" s="133">
        <v>0</v>
      </c>
      <c r="E37" s="133">
        <v>0</v>
      </c>
      <c r="F37" s="106">
        <f>SUM(D37:E37)</f>
        <v>0</v>
      </c>
      <c r="G37" s="134">
        <v>0</v>
      </c>
      <c r="H37" s="133">
        <v>0</v>
      </c>
      <c r="I37" s="133">
        <v>0</v>
      </c>
      <c r="J37" s="133">
        <v>0</v>
      </c>
      <c r="K37" s="133">
        <v>0</v>
      </c>
      <c r="L37" s="106">
        <f>SUM(G37:K37)</f>
        <v>0</v>
      </c>
      <c r="M37" s="117">
        <f t="shared" si="3"/>
        <v>0</v>
      </c>
      <c r="N37" s="93"/>
      <c r="O37" s="93"/>
    </row>
    <row r="38" spans="1:15" s="92" customFormat="1" ht="18" customHeight="1">
      <c r="A38" s="93"/>
      <c r="B38" s="93"/>
      <c r="C38" s="105" t="s">
        <v>79</v>
      </c>
      <c r="D38" s="133">
        <v>0</v>
      </c>
      <c r="E38" s="133">
        <v>0</v>
      </c>
      <c r="F38" s="106">
        <f>SUM(D38:E38)</f>
        <v>0</v>
      </c>
      <c r="G38" s="134">
        <v>3</v>
      </c>
      <c r="H38" s="133">
        <v>12</v>
      </c>
      <c r="I38" s="133">
        <v>51</v>
      </c>
      <c r="J38" s="133">
        <v>48</v>
      </c>
      <c r="K38" s="133">
        <v>28</v>
      </c>
      <c r="L38" s="106">
        <f>SUM(G38:K38)</f>
        <v>142</v>
      </c>
      <c r="M38" s="117">
        <f t="shared" si="3"/>
        <v>142</v>
      </c>
      <c r="N38" s="93"/>
      <c r="O38" s="93"/>
    </row>
    <row r="39" spans="1:15" s="92" customFormat="1" ht="18" customHeight="1">
      <c r="A39" s="93"/>
      <c r="B39" s="93"/>
      <c r="C39" s="80"/>
      <c r="D39" s="93"/>
      <c r="E39" s="93"/>
      <c r="F39" s="93"/>
      <c r="G39" s="93"/>
      <c r="H39" s="93"/>
      <c r="I39" s="93"/>
      <c r="J39" s="93"/>
      <c r="K39" s="93"/>
      <c r="L39" s="93"/>
      <c r="M39" s="137"/>
      <c r="N39" s="93"/>
      <c r="O39" s="93"/>
    </row>
  </sheetData>
  <sheetProtection selectLockedCells="1" selectUnlockedCells="1"/>
  <mergeCells count="8">
    <mergeCell ref="A3:M3"/>
    <mergeCell ref="A4:M4"/>
    <mergeCell ref="C25"/>
    <mergeCell ref="M25"/>
    <mergeCell ref="C11"/>
    <mergeCell ref="C18"/>
    <mergeCell ref="M11"/>
    <mergeCell ref="M18"/>
  </mergeCells>
  <phoneticPr fontId="14"/>
  <pageMargins left="0.7" right="0.7" top="0.75" bottom="0.75" header="0.3" footer="0.3"/>
  <pageSetup paperSize="9" scale="7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"/>
  <sheetViews>
    <sheetView showGridLines="0" view="pageBreakPreview" topLeftCell="A5" zoomScale="60" zoomScaleNormal="100" workbookViewId="0">
      <selection activeCell="L30" sqref="L30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C5" s="139"/>
      <c r="D5" s="139"/>
      <c r="E5" s="139"/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C6" s="139"/>
      <c r="D6" s="139"/>
      <c r="E6" s="139"/>
      <c r="M6" s="7"/>
      <c r="N6" s="30" t="s">
        <v>5</v>
      </c>
      <c r="O6" s="6" t="s">
        <v>6</v>
      </c>
      <c r="P6" s="27" t="s">
        <v>7</v>
      </c>
    </row>
    <row r="7" spans="1:16" ht="18" customHeight="1">
      <c r="B7" s="139"/>
      <c r="C7" s="76" t="s">
        <v>86</v>
      </c>
      <c r="D7" s="139"/>
      <c r="E7" s="139"/>
    </row>
    <row r="8" spans="1:16" ht="18" customHeight="1">
      <c r="B8" s="139"/>
      <c r="C8" s="76" t="s">
        <v>87</v>
      </c>
      <c r="D8" s="139"/>
      <c r="E8" s="139"/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1</v>
      </c>
      <c r="G11" s="146">
        <f t="shared" si="0"/>
        <v>0</v>
      </c>
      <c r="H11" s="147">
        <f t="shared" si="0"/>
        <v>1</v>
      </c>
      <c r="I11" s="146">
        <f t="shared" si="0"/>
        <v>1</v>
      </c>
      <c r="J11" s="146">
        <f t="shared" si="0"/>
        <v>0</v>
      </c>
      <c r="K11" s="145">
        <f t="shared" si="0"/>
        <v>0</v>
      </c>
      <c r="L11" s="146">
        <f t="shared" si="0"/>
        <v>1</v>
      </c>
      <c r="M11" s="146">
        <f t="shared" si="0"/>
        <v>0</v>
      </c>
      <c r="N11" s="145">
        <f>N12+N18+N21+N26+N30+N31</f>
        <v>2</v>
      </c>
      <c r="O11" s="148">
        <f>O12+O18+O21+O26+O30+O31</f>
        <v>3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1</v>
      </c>
      <c r="G26" s="153">
        <f t="shared" si="4"/>
        <v>0</v>
      </c>
      <c r="H26" s="154">
        <f t="shared" si="4"/>
        <v>1</v>
      </c>
      <c r="I26" s="153">
        <f t="shared" si="4"/>
        <v>1</v>
      </c>
      <c r="J26" s="152">
        <f t="shared" si="4"/>
        <v>0</v>
      </c>
      <c r="K26" s="152">
        <f t="shared" si="4"/>
        <v>0</v>
      </c>
      <c r="L26" s="152">
        <f t="shared" si="4"/>
        <v>1</v>
      </c>
      <c r="M26" s="153">
        <f t="shared" si="4"/>
        <v>0</v>
      </c>
      <c r="N26" s="152">
        <f t="shared" si="4"/>
        <v>2</v>
      </c>
      <c r="O26" s="155">
        <f t="shared" si="4"/>
        <v>3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1</v>
      </c>
      <c r="G29" s="171">
        <v>0</v>
      </c>
      <c r="H29" s="154">
        <f t="shared" si="5"/>
        <v>1</v>
      </c>
      <c r="I29" s="171">
        <v>1</v>
      </c>
      <c r="J29" s="170">
        <v>0</v>
      </c>
      <c r="K29" s="170">
        <v>0</v>
      </c>
      <c r="L29" s="170">
        <v>1</v>
      </c>
      <c r="M29" s="171">
        <v>0</v>
      </c>
      <c r="N29" s="152">
        <f t="shared" si="6"/>
        <v>2</v>
      </c>
      <c r="O29" s="155">
        <f t="shared" si="7"/>
        <v>3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73">
        <v>0</v>
      </c>
      <c r="G31" s="174">
        <v>0</v>
      </c>
      <c r="H31" s="175">
        <f t="shared" si="5"/>
        <v>0</v>
      </c>
      <c r="I31" s="174">
        <v>0</v>
      </c>
      <c r="J31" s="173">
        <v>0</v>
      </c>
      <c r="K31" s="173">
        <v>0</v>
      </c>
      <c r="L31" s="173">
        <v>0</v>
      </c>
      <c r="M31" s="174">
        <v>0</v>
      </c>
      <c r="N31" s="176">
        <f t="shared" si="6"/>
        <v>0</v>
      </c>
      <c r="O31" s="177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1</v>
      </c>
      <c r="G52" s="205">
        <f t="shared" si="13"/>
        <v>0</v>
      </c>
      <c r="H52" s="205">
        <f t="shared" si="13"/>
        <v>1</v>
      </c>
      <c r="I52" s="206">
        <f t="shared" si="13"/>
        <v>1</v>
      </c>
      <c r="J52" s="205">
        <f t="shared" si="13"/>
        <v>0</v>
      </c>
      <c r="K52" s="205">
        <f t="shared" si="13"/>
        <v>0</v>
      </c>
      <c r="L52" s="205">
        <f t="shared" si="13"/>
        <v>1</v>
      </c>
      <c r="M52" s="205">
        <f t="shared" si="13"/>
        <v>0</v>
      </c>
      <c r="N52" s="205">
        <f>N11+N32+N33+N47</f>
        <v>2</v>
      </c>
      <c r="O52" s="207">
        <f>O11+O32+O33+O47</f>
        <v>3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O10"/>
    <mergeCell ref="C10:E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0"/>
  <sheetViews>
    <sheetView showGridLines="0" view="pageBreakPreview" topLeftCell="A5" zoomScale="60" zoomScaleNormal="100" workbookViewId="0"/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83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48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48"/>
      <c r="N6" s="30" t="s">
        <v>5</v>
      </c>
      <c r="O6" s="6" t="s">
        <v>6</v>
      </c>
      <c r="P6" s="27" t="s">
        <v>7</v>
      </c>
    </row>
    <row r="7" spans="1:16" ht="18" customHeight="1">
      <c r="B7" s="139"/>
      <c r="C7" s="76" t="s">
        <v>86</v>
      </c>
    </row>
    <row r="8" spans="1:16" ht="18" customHeight="1">
      <c r="B8" s="139"/>
      <c r="C8" s="76" t="s">
        <v>128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104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105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108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109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110</v>
      </c>
      <c r="D30" s="179"/>
      <c r="E30" s="180"/>
      <c r="F30" s="181">
        <v>0</v>
      </c>
      <c r="G30" s="182">
        <v>0</v>
      </c>
      <c r="H30" s="218">
        <f>SUM(F30:G30)</f>
        <v>0</v>
      </c>
      <c r="I30" s="219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111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112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113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114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115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116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117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118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119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120</v>
      </c>
      <c r="E40" s="315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121</v>
      </c>
      <c r="E41" s="315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122</v>
      </c>
      <c r="E42" s="315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123</v>
      </c>
      <c r="E43" s="315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124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125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34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35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36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126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127</v>
      </c>
      <c r="D50" s="317"/>
      <c r="E50" s="318"/>
      <c r="F50" s="205">
        <f t="shared" ref="F50:O50" si="10">F11+F30+F31+F45</f>
        <v>0</v>
      </c>
      <c r="G50" s="205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205">
        <f t="shared" si="10"/>
        <v>0</v>
      </c>
      <c r="N50" s="205">
        <f t="shared" si="10"/>
        <v>0</v>
      </c>
      <c r="O50" s="207">
        <f t="shared" si="10"/>
        <v>0</v>
      </c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2"/>
  <sheetViews>
    <sheetView showGridLines="0" view="pageBreakPreview" zoomScale="60" zoomScaleNormal="100" workbookViewId="0">
      <selection activeCell="L30" sqref="L30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86</v>
      </c>
    </row>
    <row r="8" spans="1:16" ht="18" customHeight="1">
      <c r="C8" s="76" t="s">
        <v>129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200000</v>
      </c>
      <c r="G11" s="146">
        <f t="shared" si="0"/>
        <v>0</v>
      </c>
      <c r="H11" s="147">
        <f t="shared" si="0"/>
        <v>200000</v>
      </c>
      <c r="I11" s="146">
        <f t="shared" si="0"/>
        <v>71500</v>
      </c>
      <c r="J11" s="146">
        <f t="shared" si="0"/>
        <v>0</v>
      </c>
      <c r="K11" s="146">
        <f t="shared" si="0"/>
        <v>0</v>
      </c>
      <c r="L11" s="146">
        <f t="shared" si="0"/>
        <v>49000</v>
      </c>
      <c r="M11" s="146">
        <f t="shared" si="0"/>
        <v>0</v>
      </c>
      <c r="N11" s="145">
        <f>N12+N18+N21+N26+N30+N31</f>
        <v>120500</v>
      </c>
      <c r="O11" s="148">
        <f>O12+O18+O21+O26+O30+O31</f>
        <v>320500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200000</v>
      </c>
      <c r="G26" s="153">
        <f t="shared" si="4"/>
        <v>0</v>
      </c>
      <c r="H26" s="154">
        <f t="shared" si="4"/>
        <v>200000</v>
      </c>
      <c r="I26" s="153">
        <f t="shared" si="4"/>
        <v>71500</v>
      </c>
      <c r="J26" s="152">
        <f t="shared" si="4"/>
        <v>0</v>
      </c>
      <c r="K26" s="152">
        <f t="shared" si="4"/>
        <v>0</v>
      </c>
      <c r="L26" s="152">
        <f t="shared" si="4"/>
        <v>49000</v>
      </c>
      <c r="M26" s="153">
        <f t="shared" si="4"/>
        <v>0</v>
      </c>
      <c r="N26" s="152">
        <f t="shared" si="4"/>
        <v>120500</v>
      </c>
      <c r="O26" s="155">
        <f t="shared" si="4"/>
        <v>320500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200000</v>
      </c>
      <c r="G29" s="171">
        <v>0</v>
      </c>
      <c r="H29" s="154">
        <f t="shared" si="5"/>
        <v>200000</v>
      </c>
      <c r="I29" s="171">
        <v>71500</v>
      </c>
      <c r="J29" s="170">
        <v>0</v>
      </c>
      <c r="K29" s="170">
        <v>0</v>
      </c>
      <c r="L29" s="170">
        <v>49000</v>
      </c>
      <c r="M29" s="171">
        <v>0</v>
      </c>
      <c r="N29" s="152">
        <f t="shared" si="6"/>
        <v>120500</v>
      </c>
      <c r="O29" s="155">
        <f t="shared" si="7"/>
        <v>320500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200000</v>
      </c>
      <c r="G52" s="205">
        <f t="shared" si="13"/>
        <v>0</v>
      </c>
      <c r="H52" s="225">
        <f t="shared" si="13"/>
        <v>200000</v>
      </c>
      <c r="I52" s="205">
        <f t="shared" si="13"/>
        <v>71500</v>
      </c>
      <c r="J52" s="205">
        <f t="shared" si="13"/>
        <v>0</v>
      </c>
      <c r="K52" s="205">
        <f t="shared" si="13"/>
        <v>0</v>
      </c>
      <c r="L52" s="205">
        <f t="shared" si="13"/>
        <v>49000</v>
      </c>
      <c r="M52" s="205">
        <f t="shared" si="13"/>
        <v>0</v>
      </c>
      <c r="N52" s="205">
        <f>N11+N32+N33+N47</f>
        <v>120500</v>
      </c>
      <c r="O52" s="207">
        <f>O11+O32+O33+O47</f>
        <v>320500</v>
      </c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3"/>
  <sheetViews>
    <sheetView showGridLines="0" view="pageBreakPreview" topLeftCell="A13" zoomScale="60" zoomScaleNormal="100" workbookViewId="0">
      <selection activeCell="L47" sqref="L47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86</v>
      </c>
    </row>
    <row r="8" spans="1:16" ht="18" customHeight="1">
      <c r="C8" s="76" t="s">
        <v>130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O11" si="0">SUM(F12,F18,F21,F26,F30,F31)</f>
        <v>180000</v>
      </c>
      <c r="G11" s="145">
        <f t="shared" si="0"/>
        <v>0</v>
      </c>
      <c r="H11" s="145">
        <f t="shared" si="0"/>
        <v>180000</v>
      </c>
      <c r="I11" s="226">
        <f t="shared" si="0"/>
        <v>64350</v>
      </c>
      <c r="J11" s="146">
        <f t="shared" si="0"/>
        <v>0</v>
      </c>
      <c r="K11" s="146">
        <f t="shared" si="0"/>
        <v>0</v>
      </c>
      <c r="L11" s="146">
        <f t="shared" si="0"/>
        <v>44100</v>
      </c>
      <c r="M11" s="146">
        <f t="shared" si="0"/>
        <v>0</v>
      </c>
      <c r="N11" s="145">
        <f t="shared" si="0"/>
        <v>108450</v>
      </c>
      <c r="O11" s="148">
        <f t="shared" si="0"/>
        <v>288450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180000</v>
      </c>
      <c r="G26" s="153">
        <f t="shared" si="4"/>
        <v>0</v>
      </c>
      <c r="H26" s="152">
        <f t="shared" si="4"/>
        <v>180000</v>
      </c>
      <c r="I26" s="212">
        <f t="shared" si="4"/>
        <v>64350</v>
      </c>
      <c r="J26" s="152">
        <f t="shared" si="4"/>
        <v>0</v>
      </c>
      <c r="K26" s="152">
        <f t="shared" si="4"/>
        <v>0</v>
      </c>
      <c r="L26" s="152">
        <f t="shared" si="4"/>
        <v>44100</v>
      </c>
      <c r="M26" s="153">
        <f t="shared" si="4"/>
        <v>0</v>
      </c>
      <c r="N26" s="152">
        <f t="shared" si="4"/>
        <v>108450</v>
      </c>
      <c r="O26" s="155">
        <f t="shared" si="4"/>
        <v>288450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2">
        <f t="shared" ref="H27:H32" si="5"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2">
        <f t="shared" si="5"/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180000</v>
      </c>
      <c r="G29" s="171">
        <v>0</v>
      </c>
      <c r="H29" s="152">
        <f t="shared" si="5"/>
        <v>180000</v>
      </c>
      <c r="I29" s="229">
        <v>64350</v>
      </c>
      <c r="J29" s="170">
        <v>0</v>
      </c>
      <c r="K29" s="170">
        <v>0</v>
      </c>
      <c r="L29" s="170">
        <v>44100</v>
      </c>
      <c r="M29" s="171">
        <v>0</v>
      </c>
      <c r="N29" s="152">
        <f t="shared" si="6"/>
        <v>108450</v>
      </c>
      <c r="O29" s="155">
        <f t="shared" si="7"/>
        <v>288450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2">
        <f t="shared" si="5"/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2">
        <f t="shared" si="5"/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218">
        <f t="shared" si="5"/>
        <v>0</v>
      </c>
      <c r="I32" s="219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5">
        <f t="shared" si="8"/>
        <v>0</v>
      </c>
      <c r="I33" s="22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1">
        <f t="shared" ref="H34:H46" si="9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2">
        <f t="shared" si="9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2">
        <f t="shared" si="9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2">
        <f t="shared" si="9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2">
        <f t="shared" si="9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2">
        <f t="shared" si="9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2">
        <f t="shared" si="9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2">
        <f t="shared" si="9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2">
        <f t="shared" si="9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2">
        <f t="shared" si="9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1">
        <f t="shared" si="9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9">
        <v>0</v>
      </c>
      <c r="G45" s="189">
        <v>0</v>
      </c>
      <c r="H45" s="152">
        <f t="shared" si="9"/>
        <v>0</v>
      </c>
      <c r="I45" s="217">
        <v>0</v>
      </c>
      <c r="J45" s="189">
        <v>0</v>
      </c>
      <c r="K45" s="189">
        <v>0</v>
      </c>
      <c r="L45" s="189">
        <v>0</v>
      </c>
      <c r="M45" s="189">
        <v>0</v>
      </c>
      <c r="N45" s="191">
        <f t="shared" si="10"/>
        <v>0</v>
      </c>
      <c r="O45" s="230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2">
        <f t="shared" si="9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5">
        <f t="shared" si="12"/>
        <v>0</v>
      </c>
      <c r="I47" s="22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180000</v>
      </c>
      <c r="G52" s="205">
        <f t="shared" si="13"/>
        <v>0</v>
      </c>
      <c r="H52" s="205">
        <f t="shared" si="13"/>
        <v>180000</v>
      </c>
      <c r="I52" s="206">
        <f t="shared" si="13"/>
        <v>64350</v>
      </c>
      <c r="J52" s="205">
        <f t="shared" si="13"/>
        <v>0</v>
      </c>
      <c r="K52" s="205">
        <f t="shared" si="13"/>
        <v>0</v>
      </c>
      <c r="L52" s="205">
        <f t="shared" si="13"/>
        <v>44100</v>
      </c>
      <c r="M52" s="205">
        <f t="shared" si="13"/>
        <v>0</v>
      </c>
      <c r="N52" s="205">
        <f>N11+N32+N33+N47</f>
        <v>108450</v>
      </c>
      <c r="O52" s="207">
        <f>O11+O32+O33+O47</f>
        <v>288450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3"/>
  <sheetViews>
    <sheetView showGridLines="0" view="pageBreakPreview" topLeftCell="A7" zoomScale="60" zoomScaleNormal="100" workbookViewId="0">
      <selection activeCell="M55" sqref="L55:M55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C5" s="139"/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C6" s="139"/>
      <c r="M6" s="7"/>
      <c r="N6" s="30" t="s">
        <v>5</v>
      </c>
      <c r="O6" s="6" t="s">
        <v>6</v>
      </c>
      <c r="P6" s="27" t="s">
        <v>7</v>
      </c>
    </row>
    <row r="7" spans="1:16" ht="18" customHeight="1">
      <c r="B7" s="139"/>
      <c r="C7" s="76" t="s">
        <v>131</v>
      </c>
    </row>
    <row r="8" spans="1:16" ht="18" customHeight="1">
      <c r="B8" s="139"/>
      <c r="C8" s="76" t="s">
        <v>87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6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110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111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1"/>
  <sheetViews>
    <sheetView showGridLines="0" view="pageBreakPreview" topLeftCell="A7" zoomScale="60" zoomScaleNormal="100" workbookViewId="0">
      <selection activeCell="T43" sqref="T43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83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48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48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131</v>
      </c>
    </row>
    <row r="8" spans="1:16" ht="18" customHeight="1">
      <c r="C8" s="76" t="s">
        <v>128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104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105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108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109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110</v>
      </c>
      <c r="D30" s="179"/>
      <c r="E30" s="180"/>
      <c r="F30" s="232"/>
      <c r="G30" s="232"/>
      <c r="H30" s="233"/>
      <c r="I30" s="234"/>
      <c r="J30" s="232"/>
      <c r="K30" s="232"/>
      <c r="L30" s="232"/>
      <c r="M30" s="232"/>
      <c r="N30" s="235"/>
      <c r="O30" s="236"/>
    </row>
    <row r="31" spans="1:15" ht="18" customHeight="1">
      <c r="C31" s="143" t="s">
        <v>111</v>
      </c>
      <c r="D31" s="185"/>
      <c r="E31" s="186"/>
      <c r="F31" s="152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112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113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114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115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116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117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118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119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120</v>
      </c>
      <c r="E40" s="315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121</v>
      </c>
      <c r="E41" s="315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122</v>
      </c>
      <c r="E42" s="315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123</v>
      </c>
      <c r="E43" s="315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124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125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34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35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36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126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127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205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A4:P4"/>
    <mergeCell ref="C10:E10"/>
    <mergeCell ref="O10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3"/>
  <sheetViews>
    <sheetView showGridLines="0" view="pageBreakPreview" topLeftCell="A12" zoomScale="60" zoomScaleNormal="100" workbookViewId="0">
      <selection activeCell="T44" sqref="T44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131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6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110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111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3"/>
  <sheetViews>
    <sheetView showGridLines="0" view="pageBreakPreview" zoomScale="60" zoomScaleNormal="100" workbookViewId="0">
      <selection activeCell="U41" sqref="U41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131</v>
      </c>
    </row>
    <row r="8" spans="1:16" ht="18" customHeight="1">
      <c r="C8" s="76" t="s">
        <v>130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O11" si="0">SUM(F12,F18,F21,F26,F30,F31)</f>
        <v>0</v>
      </c>
      <c r="G11" s="145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 t="shared" si="0"/>
        <v>0</v>
      </c>
      <c r="O11" s="148">
        <f t="shared" si="0"/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110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111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s="48" customFormat="1" ht="18" customHeight="1">
      <c r="A41" s="27"/>
      <c r="B41" s="27"/>
      <c r="C41" s="149"/>
      <c r="D41" s="193" t="s">
        <v>119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  <c r="P41" s="7"/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3"/>
  <sheetViews>
    <sheetView showGridLines="0" view="pageBreakPreview" topLeftCell="A17" zoomScale="60" zoomScaleNormal="100" workbookViewId="0"/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132</v>
      </c>
    </row>
    <row r="8" spans="1:16" ht="18" customHeight="1">
      <c r="C8" s="76" t="s">
        <v>87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133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110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111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D46:E46"/>
    <mergeCell ref="C52:E52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1"/>
  <sheetViews>
    <sheetView showGridLines="0" view="pageBreakPreview" topLeftCell="A11" zoomScale="60" zoomScaleNormal="100" workbookViewId="0"/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83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48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48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132</v>
      </c>
    </row>
    <row r="8" spans="1:16" ht="18" customHeight="1">
      <c r="C8" s="76" t="s">
        <v>128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5">
        <f t="shared" si="0"/>
        <v>0</v>
      </c>
      <c r="I11" s="211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104</v>
      </c>
      <c r="E26" s="151"/>
      <c r="F26" s="152">
        <f>SUM(F27)</f>
        <v>0</v>
      </c>
      <c r="G26" s="152">
        <f>SUM(G27)</f>
        <v>0</v>
      </c>
      <c r="H26" s="152">
        <f>H27</f>
        <v>0</v>
      </c>
      <c r="I26" s="212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105</v>
      </c>
      <c r="F27" s="214">
        <v>0</v>
      </c>
      <c r="G27" s="215">
        <v>0</v>
      </c>
      <c r="H27" s="152">
        <f>SUM(F27:G27)</f>
        <v>0</v>
      </c>
      <c r="I27" s="216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108</v>
      </c>
      <c r="E28" s="160"/>
      <c r="F28" s="189">
        <v>0</v>
      </c>
      <c r="G28" s="189">
        <v>0</v>
      </c>
      <c r="H28" s="191">
        <f>SUM(F28:G28)</f>
        <v>0</v>
      </c>
      <c r="I28" s="217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109</v>
      </c>
      <c r="E29" s="160"/>
      <c r="F29" s="189">
        <v>0</v>
      </c>
      <c r="G29" s="189">
        <v>0</v>
      </c>
      <c r="H29" s="191">
        <f>SUM(F29:G29)</f>
        <v>0</v>
      </c>
      <c r="I29" s="217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110</v>
      </c>
      <c r="D30" s="179"/>
      <c r="E30" s="180"/>
      <c r="F30" s="232"/>
      <c r="G30" s="232"/>
      <c r="H30" s="233"/>
      <c r="I30" s="234"/>
      <c r="J30" s="232"/>
      <c r="K30" s="232"/>
      <c r="L30" s="232"/>
      <c r="M30" s="232"/>
      <c r="N30" s="235"/>
      <c r="O30" s="236"/>
    </row>
    <row r="31" spans="1:15" ht="18" customHeight="1">
      <c r="C31" s="143" t="s">
        <v>111</v>
      </c>
      <c r="D31" s="185"/>
      <c r="E31" s="186"/>
      <c r="F31" s="152">
        <f t="shared" ref="F31:O31" si="5">SUM(F32:F44)</f>
        <v>0</v>
      </c>
      <c r="G31" s="146">
        <f t="shared" si="5"/>
        <v>0</v>
      </c>
      <c r="H31" s="145">
        <f t="shared" si="5"/>
        <v>0</v>
      </c>
      <c r="I31" s="211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112</v>
      </c>
      <c r="E32" s="160"/>
      <c r="F32" s="188">
        <v>0</v>
      </c>
      <c r="G32" s="189">
        <v>0</v>
      </c>
      <c r="H32" s="191">
        <f t="shared" ref="H32:H44" si="6">SUM(F32:G32)</f>
        <v>0</v>
      </c>
      <c r="I32" s="217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113</v>
      </c>
      <c r="E33" s="160"/>
      <c r="F33" s="188">
        <v>0</v>
      </c>
      <c r="G33" s="189">
        <v>0</v>
      </c>
      <c r="H33" s="152">
        <f t="shared" si="6"/>
        <v>0</v>
      </c>
      <c r="I33" s="220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114</v>
      </c>
      <c r="E34" s="172"/>
      <c r="F34" s="158">
        <v>0</v>
      </c>
      <c r="G34" s="159">
        <v>0</v>
      </c>
      <c r="H34" s="152">
        <f t="shared" si="6"/>
        <v>0</v>
      </c>
      <c r="I34" s="213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115</v>
      </c>
      <c r="E35" s="160"/>
      <c r="F35" s="158">
        <v>0</v>
      </c>
      <c r="G35" s="159">
        <v>0</v>
      </c>
      <c r="H35" s="152">
        <f t="shared" si="6"/>
        <v>0</v>
      </c>
      <c r="I35" s="220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116</v>
      </c>
      <c r="E36" s="160"/>
      <c r="F36" s="158">
        <v>0</v>
      </c>
      <c r="G36" s="159">
        <v>0</v>
      </c>
      <c r="H36" s="152">
        <f t="shared" si="6"/>
        <v>0</v>
      </c>
      <c r="I36" s="220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117</v>
      </c>
      <c r="E37" s="160"/>
      <c r="F37" s="158">
        <v>0</v>
      </c>
      <c r="G37" s="159">
        <v>0</v>
      </c>
      <c r="H37" s="152">
        <f t="shared" si="6"/>
        <v>0</v>
      </c>
      <c r="I37" s="220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118</v>
      </c>
      <c r="E38" s="160"/>
      <c r="F38" s="189">
        <v>0</v>
      </c>
      <c r="G38" s="159">
        <v>0</v>
      </c>
      <c r="H38" s="152">
        <f t="shared" si="6"/>
        <v>0</v>
      </c>
      <c r="I38" s="220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119</v>
      </c>
      <c r="E39" s="160"/>
      <c r="F39" s="189">
        <v>0</v>
      </c>
      <c r="G39" s="159">
        <v>0</v>
      </c>
      <c r="H39" s="152">
        <f t="shared" si="6"/>
        <v>0</v>
      </c>
      <c r="I39" s="220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120</v>
      </c>
      <c r="E40" s="315"/>
      <c r="F40" s="188">
        <v>0</v>
      </c>
      <c r="G40" s="189">
        <v>0</v>
      </c>
      <c r="H40" s="152">
        <f t="shared" si="6"/>
        <v>0</v>
      </c>
      <c r="I40" s="220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121</v>
      </c>
      <c r="E41" s="315"/>
      <c r="F41" s="188">
        <v>0</v>
      </c>
      <c r="G41" s="189">
        <v>0</v>
      </c>
      <c r="H41" s="152">
        <f t="shared" si="6"/>
        <v>0</v>
      </c>
      <c r="I41" s="220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122</v>
      </c>
      <c r="E42" s="315"/>
      <c r="F42" s="158">
        <v>0</v>
      </c>
      <c r="G42" s="158">
        <v>0</v>
      </c>
      <c r="H42" s="152">
        <f t="shared" si="6"/>
        <v>0</v>
      </c>
      <c r="I42" s="221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123</v>
      </c>
      <c r="E43" s="315"/>
      <c r="F43" s="158">
        <v>0</v>
      </c>
      <c r="G43" s="158">
        <v>0</v>
      </c>
      <c r="H43" s="152">
        <f t="shared" si="6"/>
        <v>0</v>
      </c>
      <c r="I43" s="222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124</v>
      </c>
      <c r="E44" s="321"/>
      <c r="F44" s="158">
        <v>0</v>
      </c>
      <c r="G44" s="158">
        <v>0</v>
      </c>
      <c r="H44" s="152">
        <f t="shared" si="6"/>
        <v>0</v>
      </c>
      <c r="I44" s="223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125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5">
        <f t="shared" si="9"/>
        <v>0</v>
      </c>
      <c r="I45" s="211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34</v>
      </c>
      <c r="E46" s="197"/>
      <c r="F46" s="159">
        <v>0</v>
      </c>
      <c r="G46" s="159">
        <v>0</v>
      </c>
      <c r="H46" s="152">
        <f>SUM(F46:G46)</f>
        <v>0</v>
      </c>
      <c r="I46" s="213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35</v>
      </c>
      <c r="E47" s="197"/>
      <c r="F47" s="158">
        <v>0</v>
      </c>
      <c r="G47" s="159">
        <v>0</v>
      </c>
      <c r="H47" s="152">
        <f>SUM(F47:G47)</f>
        <v>0</v>
      </c>
      <c r="I47" s="213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36</v>
      </c>
      <c r="E48" s="198"/>
      <c r="F48" s="188">
        <v>0</v>
      </c>
      <c r="G48" s="189">
        <v>0</v>
      </c>
      <c r="H48" s="152">
        <f>SUM(F48:G48)</f>
        <v>0</v>
      </c>
      <c r="I48" s="217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126</v>
      </c>
      <c r="E49" s="199"/>
      <c r="F49" s="200">
        <v>0</v>
      </c>
      <c r="G49" s="201">
        <v>0</v>
      </c>
      <c r="H49" s="203">
        <f>SUM(F49:G49)</f>
        <v>0</v>
      </c>
      <c r="I49" s="224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127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05">
        <f t="shared" si="10"/>
        <v>0</v>
      </c>
      <c r="I50" s="206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D44:E44"/>
    <mergeCell ref="C50:E50"/>
    <mergeCell ref="D43:E43"/>
    <mergeCell ref="D40:E40"/>
    <mergeCell ref="D41:E41"/>
    <mergeCell ref="A3:P3"/>
    <mergeCell ref="A4:P4"/>
    <mergeCell ref="C10:E10"/>
    <mergeCell ref="O10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3"/>
  <sheetViews>
    <sheetView showGridLines="0" view="pageBreakPreview" topLeftCell="A8" zoomScale="60" zoomScaleNormal="100" workbookViewId="0">
      <selection activeCell="W42" sqref="W42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132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110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111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D46:E46"/>
    <mergeCell ref="C52:E52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3"/>
  <sheetViews>
    <sheetView showGridLines="0" view="pageBreakPreview" topLeftCell="A11" zoomScale="60" zoomScaleNormal="100" workbookViewId="0">
      <selection activeCell="V42" sqref="V42"/>
    </sheetView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83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132</v>
      </c>
    </row>
    <row r="8" spans="1:16" ht="18" customHeight="1">
      <c r="C8" s="76" t="s">
        <v>130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209" t="s">
        <v>20</v>
      </c>
      <c r="I10" s="21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5">
        <f t="shared" si="0"/>
        <v>0</v>
      </c>
      <c r="I11" s="22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2">
        <f t="shared" si="1"/>
        <v>0</v>
      </c>
      <c r="I12" s="212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2">
        <f>SUM(F13:G13)</f>
        <v>0</v>
      </c>
      <c r="I13" s="213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2">
        <f>SUM(F14:G14)</f>
        <v>0</v>
      </c>
      <c r="I14" s="213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2">
        <f>SUM(F15:G15)</f>
        <v>0</v>
      </c>
      <c r="I15" s="213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2">
        <f>SUM(F16:G16)</f>
        <v>0</v>
      </c>
      <c r="I16" s="213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2">
        <f>SUM(F17:G17)</f>
        <v>0</v>
      </c>
      <c r="I17" s="213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2">
        <f t="shared" si="2"/>
        <v>0</v>
      </c>
      <c r="I18" s="212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2">
        <f>SUM(F19:G19)</f>
        <v>0</v>
      </c>
      <c r="I19" s="213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2">
        <f>SUM(F20:G20)</f>
        <v>0</v>
      </c>
      <c r="I20" s="213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2">
        <f t="shared" si="3"/>
        <v>0</v>
      </c>
      <c r="I21" s="212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2">
        <f>SUM(F22:G22)</f>
        <v>0</v>
      </c>
      <c r="I22" s="213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2">
        <f>SUM(F23:G23)</f>
        <v>0</v>
      </c>
      <c r="I23" s="213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2">
        <f>SUM(F24:G24)</f>
        <v>0</v>
      </c>
      <c r="I24" s="213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2">
        <f>SUM(F25:G25)</f>
        <v>0</v>
      </c>
      <c r="I25" s="213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2">
        <f t="shared" si="4"/>
        <v>0</v>
      </c>
      <c r="I26" s="212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2">
        <f>SUM(F27:G27)</f>
        <v>0</v>
      </c>
      <c r="I27" s="227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>SUM(I27:M27)</f>
        <v>0</v>
      </c>
      <c r="O27" s="155">
        <f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2">
        <f>SUM(F28:G28)</f>
        <v>0</v>
      </c>
      <c r="I28" s="22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>SUM(I28:M28)</f>
        <v>0</v>
      </c>
      <c r="O28" s="155">
        <f>H28+N28</f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2">
        <f>SUM(F29:G29)</f>
        <v>0</v>
      </c>
      <c r="I29" s="229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>SUM(I29:M29)</f>
        <v>0</v>
      </c>
      <c r="O29" s="155">
        <f>H29+N29</f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2">
        <f>SUM(F30:G30)</f>
        <v>0</v>
      </c>
      <c r="I30" s="213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>SUM(I30:M30)</f>
        <v>0</v>
      </c>
      <c r="O30" s="155">
        <f>H30+N30</f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2">
        <f>SUM(F31:G31)</f>
        <v>0</v>
      </c>
      <c r="I31" s="213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>SUM(I31:M31)</f>
        <v>0</v>
      </c>
      <c r="O31" s="155">
        <f>H31+N31</f>
        <v>0</v>
      </c>
    </row>
    <row r="32" spans="1:16" ht="18" customHeight="1">
      <c r="C32" s="178" t="s">
        <v>110</v>
      </c>
      <c r="D32" s="179"/>
      <c r="E32" s="180"/>
      <c r="F32" s="232"/>
      <c r="G32" s="232"/>
      <c r="H32" s="233"/>
      <c r="I32" s="234"/>
      <c r="J32" s="232"/>
      <c r="K32" s="232"/>
      <c r="L32" s="232"/>
      <c r="M32" s="232"/>
      <c r="N32" s="235"/>
      <c r="O32" s="236"/>
    </row>
    <row r="33" spans="1:16" ht="18" customHeight="1">
      <c r="C33" s="143" t="s">
        <v>111</v>
      </c>
      <c r="D33" s="185"/>
      <c r="E33" s="186"/>
      <c r="F33" s="145">
        <f t="shared" ref="F33:O33" si="5">SUM(F34:F46)</f>
        <v>0</v>
      </c>
      <c r="G33" s="146">
        <f t="shared" si="5"/>
        <v>0</v>
      </c>
      <c r="H33" s="145">
        <f t="shared" si="5"/>
        <v>0</v>
      </c>
      <c r="I33" s="226">
        <f t="shared" si="5"/>
        <v>0</v>
      </c>
      <c r="J33" s="145">
        <f t="shared" si="5"/>
        <v>0</v>
      </c>
      <c r="K33" s="145">
        <f t="shared" si="5"/>
        <v>0</v>
      </c>
      <c r="L33" s="145">
        <f t="shared" si="5"/>
        <v>0</v>
      </c>
      <c r="M33" s="146">
        <f t="shared" si="5"/>
        <v>0</v>
      </c>
      <c r="N33" s="145">
        <f t="shared" si="5"/>
        <v>0</v>
      </c>
      <c r="O33" s="148">
        <f t="shared" si="5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1">
        <f t="shared" ref="H34:H46" si="6">SUM(F34:G34)</f>
        <v>0</v>
      </c>
      <c r="I34" s="217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7">SUM(I34:M34)</f>
        <v>0</v>
      </c>
      <c r="O34" s="192">
        <f t="shared" ref="O34:O46" si="8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2">
        <f t="shared" si="6"/>
        <v>0</v>
      </c>
      <c r="I35" s="213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2">
        <f t="shared" si="6"/>
        <v>0</v>
      </c>
      <c r="I36" s="213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2">
        <f t="shared" si="6"/>
        <v>0</v>
      </c>
      <c r="I37" s="213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2">
        <f t="shared" si="6"/>
        <v>0</v>
      </c>
      <c r="I38" s="213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2">
        <f t="shared" si="6"/>
        <v>0</v>
      </c>
      <c r="I39" s="213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2">
        <f t="shared" si="6"/>
        <v>0</v>
      </c>
      <c r="I40" s="213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2">
        <f t="shared" si="6"/>
        <v>0</v>
      </c>
      <c r="I41" s="213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2">
        <f t="shared" si="6"/>
        <v>0</v>
      </c>
      <c r="I42" s="213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7"/>
        <v>0</v>
      </c>
      <c r="O42" s="155">
        <f t="shared" si="8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2">
        <f t="shared" si="6"/>
        <v>0</v>
      </c>
      <c r="I43" s="213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7"/>
        <v>0</v>
      </c>
      <c r="O43" s="155">
        <f t="shared" si="8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1">
        <f t="shared" si="6"/>
        <v>0</v>
      </c>
      <c r="I44" s="217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7"/>
        <v>0</v>
      </c>
      <c r="O44" s="192">
        <f t="shared" si="8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2">
        <f t="shared" si="6"/>
        <v>0</v>
      </c>
      <c r="I45" s="217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7"/>
        <v>0</v>
      </c>
      <c r="O45" s="192">
        <f t="shared" si="8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2">
        <f t="shared" si="6"/>
        <v>0</v>
      </c>
      <c r="I46" s="231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7"/>
        <v>0</v>
      </c>
      <c r="O46" s="196">
        <f t="shared" si="8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9">SUM(F48:F51)</f>
        <v>0</v>
      </c>
      <c r="G47" s="146">
        <f t="shared" si="9"/>
        <v>0</v>
      </c>
      <c r="H47" s="145">
        <f t="shared" si="9"/>
        <v>0</v>
      </c>
      <c r="I47" s="226">
        <f t="shared" si="9"/>
        <v>0</v>
      </c>
      <c r="J47" s="145">
        <f t="shared" si="9"/>
        <v>0</v>
      </c>
      <c r="K47" s="145">
        <f t="shared" si="9"/>
        <v>0</v>
      </c>
      <c r="L47" s="145">
        <f t="shared" si="9"/>
        <v>0</v>
      </c>
      <c r="M47" s="146">
        <f t="shared" si="9"/>
        <v>0</v>
      </c>
      <c r="N47" s="145">
        <f t="shared" si="9"/>
        <v>0</v>
      </c>
      <c r="O47" s="148">
        <f t="shared" si="9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2">
        <f>SUM(F48:G48)</f>
        <v>0</v>
      </c>
      <c r="I48" s="213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2">
        <f>SUM(F49:G49)</f>
        <v>0</v>
      </c>
      <c r="I49" s="213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2">
        <f>SUM(F50:G50)</f>
        <v>0</v>
      </c>
      <c r="I50" s="217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3">
        <f>SUM(F51:G51)</f>
        <v>0</v>
      </c>
      <c r="I51" s="224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0">SUM(F11,F32,F33,F47)</f>
        <v>0</v>
      </c>
      <c r="G52" s="205">
        <f t="shared" si="10"/>
        <v>0</v>
      </c>
      <c r="H52" s="205">
        <f t="shared" si="10"/>
        <v>0</v>
      </c>
      <c r="I52" s="206">
        <f t="shared" si="10"/>
        <v>0</v>
      </c>
      <c r="J52" s="205">
        <f t="shared" si="10"/>
        <v>0</v>
      </c>
      <c r="K52" s="205">
        <f t="shared" si="10"/>
        <v>0</v>
      </c>
      <c r="L52" s="205">
        <f t="shared" si="10"/>
        <v>0</v>
      </c>
      <c r="M52" s="205">
        <f t="shared" si="10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D46:E46"/>
    <mergeCell ref="C52:E52"/>
    <mergeCell ref="D45:E45"/>
    <mergeCell ref="A3:P3"/>
    <mergeCell ref="A4:P4"/>
    <mergeCell ref="C10:E10"/>
    <mergeCell ref="O10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3"/>
  <sheetViews>
    <sheetView showGridLines="0" view="pageBreakPreview" topLeftCell="A11" zoomScale="60" zoomScaleNormal="100" workbookViewId="0"/>
  </sheetViews>
  <sheetFormatPr defaultColWidth="9" defaultRowHeight="12" custom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134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135</v>
      </c>
    </row>
    <row r="8" spans="1:16" ht="18" customHeight="1">
      <c r="C8" s="76" t="s">
        <v>87</v>
      </c>
    </row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1"/>
  <sheetViews>
    <sheetView showGridLines="0" view="pageBreakPreview" topLeftCell="A12" zoomScale="60" zoomScaleNormal="100" workbookViewId="0"/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134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48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48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135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104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105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108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109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110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111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112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113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114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115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116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117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118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119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120</v>
      </c>
      <c r="E40" s="315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121</v>
      </c>
      <c r="E41" s="315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122</v>
      </c>
      <c r="E42" s="315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123</v>
      </c>
      <c r="E43" s="315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124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125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34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35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36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126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127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3"/>
  <sheetViews>
    <sheetView showGridLines="0" view="pageBreakPreview" topLeftCell="A17" zoomScale="60" zoomScaleNormal="100" workbookViewId="0">
      <selection activeCell="S41" sqref="S41:T41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134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135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pageMargins left="0.7" right="0.7" top="0.75" bottom="0.75" header="0.3" footer="0.3"/>
  <pageSetup paperSize="9" scale="56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showGridLines="0" view="pageBreakPreview" topLeftCell="A14" zoomScale="60" zoomScaleNormal="100" workbookViewId="0">
      <selection activeCell="I48" sqref="I48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134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135</v>
      </c>
    </row>
    <row r="8" spans="1:16" ht="18" customHeight="1">
      <c r="C8" s="76" t="s">
        <v>130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400-000000000000}"/>
  </dataValidations>
  <pageMargins left="0.7" right="0.7" top="0.75" bottom="0.75" header="0.3" footer="0.3"/>
  <pageSetup paperSize="9" scale="56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showGridLines="0" view="pageBreakPreview" topLeftCell="A10" zoomScale="60" zoomScaleNormal="100" workbookViewId="0"/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136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137</v>
      </c>
    </row>
    <row r="8" spans="1:16" ht="18" customHeight="1">
      <c r="C8" s="76" t="s">
        <v>87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A4:P4"/>
    <mergeCell ref="C10:E10"/>
    <mergeCell ref="O10"/>
    <mergeCell ref="D34:E34"/>
  </mergeCells>
  <phoneticPr fontId="14"/>
  <dataValidations count="1">
    <dataValidation allowBlank="1" showInputMessage="1" showErrorMessage="1" sqref="F28" xr:uid="{00000000-0002-0000-1500-000000000000}"/>
  </dataValidations>
  <pageMargins left="0.7" right="0.7" top="0.75" bottom="0.75" header="0.3" footer="0.3"/>
  <pageSetup paperSize="9" scale="56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51"/>
  <sheetViews>
    <sheetView showGridLines="0" view="pageBreakPreview" topLeftCell="A8" zoomScale="60" zoomScaleNormal="100" workbookViewId="0"/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48" customWidth="1"/>
  </cols>
  <sheetData>
    <row r="1" spans="1:16" ht="18" customHeight="1">
      <c r="A1" s="76" t="s">
        <v>136</v>
      </c>
      <c r="P1" s="208"/>
    </row>
    <row r="2" spans="1:16" ht="18" customHeight="1">
      <c r="P2" s="20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48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48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137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5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5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5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5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5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5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5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5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5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5" ht="18" customHeight="1">
      <c r="C26" s="149"/>
      <c r="D26" s="150" t="s">
        <v>104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5" ht="18" customHeight="1">
      <c r="C27" s="149"/>
      <c r="D27" s="156"/>
      <c r="E27" s="157" t="s">
        <v>105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5" s="48" customFormat="1" ht="18" customHeight="1">
      <c r="A28" s="27"/>
      <c r="B28" s="27"/>
      <c r="C28" s="187"/>
      <c r="D28" s="193" t="s">
        <v>108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</row>
    <row r="29" spans="1:15" ht="18" customHeight="1">
      <c r="C29" s="187"/>
      <c r="D29" s="193" t="s">
        <v>109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5" ht="18" customHeight="1">
      <c r="C30" s="178" t="s">
        <v>110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5" ht="18" customHeight="1">
      <c r="C31" s="143" t="s">
        <v>111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5" ht="18" customHeight="1">
      <c r="C32" s="187"/>
      <c r="D32" s="193" t="s">
        <v>112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5" ht="18" customHeight="1">
      <c r="C33" s="149"/>
      <c r="D33" s="193" t="s">
        <v>113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5" ht="18" customHeight="1">
      <c r="C34" s="149"/>
      <c r="D34" s="162" t="s">
        <v>114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5" ht="18" customHeight="1">
      <c r="C35" s="149"/>
      <c r="D35" s="193" t="s">
        <v>115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5" s="48" customFormat="1" ht="18" customHeight="1">
      <c r="A36" s="27"/>
      <c r="B36" s="27"/>
      <c r="C36" s="149"/>
      <c r="D36" s="193" t="s">
        <v>116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</row>
    <row r="37" spans="1:15" ht="18" customHeight="1">
      <c r="C37" s="149"/>
      <c r="D37" s="193" t="s">
        <v>117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5" s="48" customFormat="1" ht="18" customHeight="1">
      <c r="A38" s="27"/>
      <c r="B38" s="27"/>
      <c r="C38" s="149"/>
      <c r="D38" s="193" t="s">
        <v>118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</row>
    <row r="39" spans="1:15" ht="18" customHeight="1">
      <c r="C39" s="149"/>
      <c r="D39" s="193" t="s">
        <v>119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5" s="48" customFormat="1" ht="18" customHeight="1">
      <c r="A40" s="27"/>
      <c r="B40" s="27"/>
      <c r="C40" s="149"/>
      <c r="D40" s="313" t="s">
        <v>120</v>
      </c>
      <c r="E40" s="315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</row>
    <row r="41" spans="1:15" ht="18" customHeight="1">
      <c r="C41" s="149"/>
      <c r="D41" s="313" t="s">
        <v>121</v>
      </c>
      <c r="E41" s="315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5" ht="18" customHeight="1">
      <c r="C42" s="149"/>
      <c r="D42" s="313" t="s">
        <v>122</v>
      </c>
      <c r="E42" s="315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5" s="48" customFormat="1" ht="18" customHeight="1">
      <c r="A43" s="27"/>
      <c r="B43" s="27"/>
      <c r="C43" s="194"/>
      <c r="D43" s="313" t="s">
        <v>123</v>
      </c>
      <c r="E43" s="315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</row>
    <row r="44" spans="1:15" ht="18" customHeight="1">
      <c r="C44" s="195"/>
      <c r="D44" s="319" t="s">
        <v>124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5" ht="18" customHeight="1">
      <c r="C45" s="149" t="s">
        <v>125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5" ht="18" customHeight="1">
      <c r="C46" s="149"/>
      <c r="D46" s="197" t="s">
        <v>34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5" ht="18" customHeight="1">
      <c r="C47" s="149"/>
      <c r="D47" s="197" t="s">
        <v>35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5" ht="18" customHeight="1">
      <c r="C48" s="149"/>
      <c r="D48" s="198" t="s">
        <v>36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126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127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3"/>
  <sheetViews>
    <sheetView showGridLines="0" view="pageBreakPreview" topLeftCell="A8" zoomScale="60" zoomScaleNormal="100" workbookViewId="0">
      <selection activeCell="V43" sqref="V43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136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137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700-000000000000}"/>
  </dataValidations>
  <pageMargins left="0.7" right="0.7" top="0.75" bottom="0.75" header="0.3" footer="0.3"/>
  <pageSetup paperSize="9" scale="56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53"/>
  <sheetViews>
    <sheetView showGridLines="0" view="pageBreakPreview" topLeftCell="A4" zoomScale="60" zoomScaleNormal="100" workbookViewId="0">
      <selection activeCell="W37" sqref="W37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136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137</v>
      </c>
    </row>
    <row r="8" spans="1:16" ht="18" customHeight="1">
      <c r="C8" s="76" t="s">
        <v>130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82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800-000000000000}"/>
  </dataValidations>
  <pageMargins left="0.7" right="0.7" top="0.75" bottom="0.75" header="0.3" footer="0.3"/>
  <pageSetup paperSize="9" scale="56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3"/>
  <sheetViews>
    <sheetView showGridLines="0" view="pageBreakPreview" topLeftCell="A8" zoomScale="60" zoomScaleNormal="100" workbookViewId="0"/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138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139</v>
      </c>
    </row>
    <row r="8" spans="1:16" ht="18" customHeight="1">
      <c r="C8" s="76" t="s">
        <v>87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900-000000000000}"/>
  </dataValidations>
  <pageMargins left="0.7" right="0.7" top="0.75" bottom="0.75" header="0.3" footer="0.3"/>
  <pageSetup paperSize="9" scale="56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51"/>
  <sheetViews>
    <sheetView showGridLines="0" view="pageBreakPreview" zoomScale="60" zoomScaleNormal="100" workbookViewId="0">
      <selection activeCell="W39" sqref="W39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138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139</v>
      </c>
    </row>
    <row r="8" spans="1:16" ht="18" customHeight="1">
      <c r="C8" s="76" t="s">
        <v>128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N11" si="0">SUM(F12,F18,F21,F26,F28,F29)</f>
        <v>0</v>
      </c>
      <c r="G11" s="145">
        <f t="shared" si="0"/>
        <v>0</v>
      </c>
      <c r="H11" s="147">
        <f t="shared" si="0"/>
        <v>0</v>
      </c>
      <c r="I11" s="145">
        <f t="shared" si="0"/>
        <v>0</v>
      </c>
      <c r="J11" s="145">
        <f t="shared" si="0"/>
        <v>0</v>
      </c>
      <c r="K11" s="145">
        <f t="shared" si="0"/>
        <v>0</v>
      </c>
      <c r="L11" s="145">
        <f t="shared" si="0"/>
        <v>0</v>
      </c>
      <c r="M11" s="145">
        <f t="shared" si="0"/>
        <v>0</v>
      </c>
      <c r="N11" s="145">
        <f t="shared" si="0"/>
        <v>0</v>
      </c>
      <c r="O11" s="148">
        <f>O12+O18+O21+O26+O28+O29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>SUM(F27)</f>
        <v>0</v>
      </c>
      <c r="G26" s="152">
        <f>SUM(G27)</f>
        <v>0</v>
      </c>
      <c r="H26" s="154">
        <f>H27</f>
        <v>0</v>
      </c>
      <c r="I26" s="153">
        <f>SUM(I27)</f>
        <v>0</v>
      </c>
      <c r="J26" s="152">
        <f t="shared" ref="J26:O26" si="4">J27</f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57" t="s">
        <v>105</v>
      </c>
      <c r="F27" s="214">
        <v>0</v>
      </c>
      <c r="G27" s="215">
        <v>0</v>
      </c>
      <c r="H27" s="154">
        <f>SUM(F27:G27)</f>
        <v>0</v>
      </c>
      <c r="I27" s="215">
        <v>0</v>
      </c>
      <c r="J27" s="214">
        <v>0</v>
      </c>
      <c r="K27" s="214">
        <v>0</v>
      </c>
      <c r="L27" s="214">
        <v>0</v>
      </c>
      <c r="M27" s="215">
        <v>0</v>
      </c>
      <c r="N27" s="152">
        <f>SUM(I27:M27)</f>
        <v>0</v>
      </c>
      <c r="O27" s="155">
        <f>H27+N27</f>
        <v>0</v>
      </c>
    </row>
    <row r="28" spans="1:16" s="48" customFormat="1" ht="18" customHeight="1">
      <c r="A28" s="27"/>
      <c r="B28" s="27"/>
      <c r="C28" s="187"/>
      <c r="D28" s="193" t="s">
        <v>108</v>
      </c>
      <c r="E28" s="160"/>
      <c r="F28" s="189">
        <v>0</v>
      </c>
      <c r="G28" s="189">
        <v>0</v>
      </c>
      <c r="H28" s="190">
        <f>SUM(F28:G28)</f>
        <v>0</v>
      </c>
      <c r="I28" s="189">
        <v>0</v>
      </c>
      <c r="J28" s="188">
        <v>0</v>
      </c>
      <c r="K28" s="188">
        <v>0</v>
      </c>
      <c r="L28" s="188">
        <v>0</v>
      </c>
      <c r="M28" s="189">
        <v>0</v>
      </c>
      <c r="N28" s="191">
        <f>SUM(I28:M28)</f>
        <v>0</v>
      </c>
      <c r="O28" s="192">
        <f>H28+N28</f>
        <v>0</v>
      </c>
      <c r="P28" s="7"/>
    </row>
    <row r="29" spans="1:16" ht="18" customHeight="1">
      <c r="C29" s="187"/>
      <c r="D29" s="193" t="s">
        <v>109</v>
      </c>
      <c r="E29" s="160"/>
      <c r="F29" s="189">
        <v>0</v>
      </c>
      <c r="G29" s="189">
        <v>0</v>
      </c>
      <c r="H29" s="190">
        <f>SUM(F29:G29)</f>
        <v>0</v>
      </c>
      <c r="I29" s="189">
        <v>0</v>
      </c>
      <c r="J29" s="188">
        <v>0</v>
      </c>
      <c r="K29" s="188">
        <v>0</v>
      </c>
      <c r="L29" s="188">
        <v>0</v>
      </c>
      <c r="M29" s="189">
        <v>0</v>
      </c>
      <c r="N29" s="191">
        <f>SUM(I29:M29)</f>
        <v>0</v>
      </c>
      <c r="O29" s="192">
        <f>H29+N29</f>
        <v>0</v>
      </c>
    </row>
    <row r="30" spans="1:16" ht="18" customHeight="1">
      <c r="C30" s="178" t="s">
        <v>110</v>
      </c>
      <c r="D30" s="179"/>
      <c r="E30" s="180"/>
      <c r="F30" s="181">
        <v>0</v>
      </c>
      <c r="G30" s="182">
        <v>0</v>
      </c>
      <c r="H30" s="183">
        <f>SUM(F30:G30)</f>
        <v>0</v>
      </c>
      <c r="I30" s="182">
        <v>0</v>
      </c>
      <c r="J30" s="181">
        <v>0</v>
      </c>
      <c r="K30" s="181">
        <v>0</v>
      </c>
      <c r="L30" s="181">
        <v>0</v>
      </c>
      <c r="M30" s="182">
        <v>0</v>
      </c>
      <c r="N30" s="183">
        <f>SUM(I30:M30)</f>
        <v>0</v>
      </c>
      <c r="O30" s="184">
        <f>H30+N30</f>
        <v>0</v>
      </c>
    </row>
    <row r="31" spans="1:16" ht="18" customHeight="1">
      <c r="C31" s="143" t="s">
        <v>111</v>
      </c>
      <c r="D31" s="185"/>
      <c r="E31" s="186"/>
      <c r="F31" s="145">
        <f t="shared" ref="F31:O31" si="5">SUM(F32:F44)</f>
        <v>0</v>
      </c>
      <c r="G31" s="146">
        <f t="shared" si="5"/>
        <v>0</v>
      </c>
      <c r="H31" s="147">
        <f t="shared" si="5"/>
        <v>0</v>
      </c>
      <c r="I31" s="237">
        <f t="shared" si="5"/>
        <v>0</v>
      </c>
      <c r="J31" s="145">
        <f t="shared" si="5"/>
        <v>0</v>
      </c>
      <c r="K31" s="145">
        <f t="shared" si="5"/>
        <v>0</v>
      </c>
      <c r="L31" s="145">
        <f t="shared" si="5"/>
        <v>0</v>
      </c>
      <c r="M31" s="146">
        <f t="shared" si="5"/>
        <v>0</v>
      </c>
      <c r="N31" s="145">
        <f t="shared" si="5"/>
        <v>0</v>
      </c>
      <c r="O31" s="148">
        <f t="shared" si="5"/>
        <v>0</v>
      </c>
    </row>
    <row r="32" spans="1:16" ht="18" customHeight="1">
      <c r="C32" s="187"/>
      <c r="D32" s="193" t="s">
        <v>112</v>
      </c>
      <c r="E32" s="160"/>
      <c r="F32" s="188">
        <v>0</v>
      </c>
      <c r="G32" s="189">
        <v>0</v>
      </c>
      <c r="H32" s="190">
        <f t="shared" ref="H32:H44" si="6">SUM(F32:G32)</f>
        <v>0</v>
      </c>
      <c r="I32" s="189">
        <v>0</v>
      </c>
      <c r="J32" s="188">
        <v>0</v>
      </c>
      <c r="K32" s="188">
        <v>0</v>
      </c>
      <c r="L32" s="188">
        <v>0</v>
      </c>
      <c r="M32" s="189">
        <v>0</v>
      </c>
      <c r="N32" s="191">
        <f t="shared" ref="N32:N44" si="7">SUM(I32:M32)</f>
        <v>0</v>
      </c>
      <c r="O32" s="192">
        <f t="shared" ref="O32:O44" si="8">H32+N32</f>
        <v>0</v>
      </c>
    </row>
    <row r="33" spans="1:16" ht="18" customHeight="1">
      <c r="C33" s="149"/>
      <c r="D33" s="193" t="s">
        <v>113</v>
      </c>
      <c r="E33" s="160"/>
      <c r="F33" s="188">
        <v>0</v>
      </c>
      <c r="G33" s="189">
        <v>0</v>
      </c>
      <c r="H33" s="154">
        <f t="shared" si="6"/>
        <v>0</v>
      </c>
      <c r="I33" s="238">
        <v>0</v>
      </c>
      <c r="J33" s="158">
        <v>0</v>
      </c>
      <c r="K33" s="158">
        <v>0</v>
      </c>
      <c r="L33" s="158">
        <v>0</v>
      </c>
      <c r="M33" s="159">
        <v>0</v>
      </c>
      <c r="N33" s="152">
        <f t="shared" si="7"/>
        <v>0</v>
      </c>
      <c r="O33" s="155">
        <f t="shared" si="8"/>
        <v>0</v>
      </c>
    </row>
    <row r="34" spans="1:16" ht="18" customHeight="1">
      <c r="C34" s="149"/>
      <c r="D34" s="162" t="s">
        <v>114</v>
      </c>
      <c r="E34" s="172"/>
      <c r="F34" s="158">
        <v>0</v>
      </c>
      <c r="G34" s="159">
        <v>0</v>
      </c>
      <c r="H34" s="154">
        <f t="shared" si="6"/>
        <v>0</v>
      </c>
      <c r="I34" s="159">
        <v>0</v>
      </c>
      <c r="J34" s="158">
        <v>0</v>
      </c>
      <c r="K34" s="158">
        <v>0</v>
      </c>
      <c r="L34" s="158">
        <v>0</v>
      </c>
      <c r="M34" s="159">
        <v>0</v>
      </c>
      <c r="N34" s="152">
        <f t="shared" si="7"/>
        <v>0</v>
      </c>
      <c r="O34" s="155">
        <f t="shared" si="8"/>
        <v>0</v>
      </c>
    </row>
    <row r="35" spans="1:16" ht="18" customHeight="1">
      <c r="C35" s="149"/>
      <c r="D35" s="193" t="s">
        <v>115</v>
      </c>
      <c r="E35" s="160"/>
      <c r="F35" s="158">
        <v>0</v>
      </c>
      <c r="G35" s="159">
        <v>0</v>
      </c>
      <c r="H35" s="154">
        <f t="shared" si="6"/>
        <v>0</v>
      </c>
      <c r="I35" s="238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7"/>
        <v>0</v>
      </c>
      <c r="O35" s="155">
        <f t="shared" si="8"/>
        <v>0</v>
      </c>
    </row>
    <row r="36" spans="1:16" s="48" customFormat="1" ht="18" customHeight="1">
      <c r="A36" s="27"/>
      <c r="B36" s="27"/>
      <c r="C36" s="149"/>
      <c r="D36" s="193" t="s">
        <v>116</v>
      </c>
      <c r="E36" s="160"/>
      <c r="F36" s="158">
        <v>0</v>
      </c>
      <c r="G36" s="159">
        <v>0</v>
      </c>
      <c r="H36" s="154">
        <f t="shared" si="6"/>
        <v>0</v>
      </c>
      <c r="I36" s="238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7"/>
        <v>0</v>
      </c>
      <c r="O36" s="155">
        <f t="shared" si="8"/>
        <v>0</v>
      </c>
      <c r="P36" s="7"/>
    </row>
    <row r="37" spans="1:16" ht="18" customHeight="1">
      <c r="C37" s="149"/>
      <c r="D37" s="193" t="s">
        <v>117</v>
      </c>
      <c r="E37" s="160"/>
      <c r="F37" s="158">
        <v>0</v>
      </c>
      <c r="G37" s="159">
        <v>0</v>
      </c>
      <c r="H37" s="154">
        <f t="shared" si="6"/>
        <v>0</v>
      </c>
      <c r="I37" s="238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7"/>
        <v>0</v>
      </c>
      <c r="O37" s="155">
        <f t="shared" si="8"/>
        <v>0</v>
      </c>
    </row>
    <row r="38" spans="1:16" s="48" customFormat="1" ht="18" customHeight="1">
      <c r="A38" s="27"/>
      <c r="B38" s="27"/>
      <c r="C38" s="149"/>
      <c r="D38" s="193" t="s">
        <v>118</v>
      </c>
      <c r="E38" s="160"/>
      <c r="F38" s="189">
        <v>0</v>
      </c>
      <c r="G38" s="159">
        <v>0</v>
      </c>
      <c r="H38" s="154">
        <f t="shared" si="6"/>
        <v>0</v>
      </c>
      <c r="I38" s="238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7"/>
        <v>0</v>
      </c>
      <c r="O38" s="155">
        <f t="shared" si="8"/>
        <v>0</v>
      </c>
      <c r="P38" s="7"/>
    </row>
    <row r="39" spans="1:16" ht="18" customHeight="1">
      <c r="C39" s="149"/>
      <c r="D39" s="193" t="s">
        <v>119</v>
      </c>
      <c r="E39" s="160"/>
      <c r="F39" s="189">
        <v>0</v>
      </c>
      <c r="G39" s="159">
        <v>0</v>
      </c>
      <c r="H39" s="154">
        <f t="shared" si="6"/>
        <v>0</v>
      </c>
      <c r="I39" s="238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7"/>
        <v>0</v>
      </c>
      <c r="O39" s="155">
        <f t="shared" si="8"/>
        <v>0</v>
      </c>
    </row>
    <row r="40" spans="1:16" s="48" customFormat="1" ht="18" customHeight="1">
      <c r="A40" s="27"/>
      <c r="B40" s="27"/>
      <c r="C40" s="149"/>
      <c r="D40" s="313" t="s">
        <v>120</v>
      </c>
      <c r="E40" s="315"/>
      <c r="F40" s="188">
        <v>0</v>
      </c>
      <c r="G40" s="189">
        <v>0</v>
      </c>
      <c r="H40" s="154">
        <f t="shared" si="6"/>
        <v>0</v>
      </c>
      <c r="I40" s="238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7"/>
        <v>0</v>
      </c>
      <c r="O40" s="155">
        <f t="shared" si="8"/>
        <v>0</v>
      </c>
      <c r="P40" s="7"/>
    </row>
    <row r="41" spans="1:16" ht="18" customHeight="1">
      <c r="C41" s="149"/>
      <c r="D41" s="313" t="s">
        <v>121</v>
      </c>
      <c r="E41" s="315"/>
      <c r="F41" s="188">
        <v>0</v>
      </c>
      <c r="G41" s="189">
        <v>0</v>
      </c>
      <c r="H41" s="154">
        <f t="shared" si="6"/>
        <v>0</v>
      </c>
      <c r="I41" s="238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7"/>
        <v>0</v>
      </c>
      <c r="O41" s="155">
        <f t="shared" si="8"/>
        <v>0</v>
      </c>
    </row>
    <row r="42" spans="1:16" ht="18" customHeight="1">
      <c r="C42" s="149"/>
      <c r="D42" s="313" t="s">
        <v>122</v>
      </c>
      <c r="E42" s="315"/>
      <c r="F42" s="158">
        <v>0</v>
      </c>
      <c r="G42" s="158">
        <v>0</v>
      </c>
      <c r="H42" s="154">
        <f t="shared" si="6"/>
        <v>0</v>
      </c>
      <c r="I42" s="239">
        <v>0</v>
      </c>
      <c r="J42" s="173">
        <v>0</v>
      </c>
      <c r="K42" s="173">
        <v>0</v>
      </c>
      <c r="L42" s="173">
        <v>0</v>
      </c>
      <c r="M42" s="174">
        <v>0</v>
      </c>
      <c r="N42" s="152">
        <f t="shared" si="7"/>
        <v>0</v>
      </c>
      <c r="O42" s="155">
        <f t="shared" si="8"/>
        <v>0</v>
      </c>
    </row>
    <row r="43" spans="1:16" s="48" customFormat="1" ht="18" customHeight="1">
      <c r="A43" s="27"/>
      <c r="B43" s="27"/>
      <c r="C43" s="194"/>
      <c r="D43" s="313" t="s">
        <v>123</v>
      </c>
      <c r="E43" s="315"/>
      <c r="F43" s="158">
        <v>0</v>
      </c>
      <c r="G43" s="158">
        <v>0</v>
      </c>
      <c r="H43" s="154">
        <f t="shared" si="6"/>
        <v>0</v>
      </c>
      <c r="I43" s="240">
        <v>0</v>
      </c>
      <c r="J43" s="188">
        <v>0</v>
      </c>
      <c r="K43" s="188">
        <v>0</v>
      </c>
      <c r="L43" s="188">
        <v>0</v>
      </c>
      <c r="M43" s="189">
        <v>0</v>
      </c>
      <c r="N43" s="191">
        <f t="shared" si="7"/>
        <v>0</v>
      </c>
      <c r="O43" s="192">
        <f t="shared" si="8"/>
        <v>0</v>
      </c>
      <c r="P43" s="7"/>
    </row>
    <row r="44" spans="1:16" ht="18" customHeight="1">
      <c r="C44" s="195"/>
      <c r="D44" s="319" t="s">
        <v>124</v>
      </c>
      <c r="E44" s="321"/>
      <c r="F44" s="158">
        <v>0</v>
      </c>
      <c r="G44" s="158">
        <v>0</v>
      </c>
      <c r="H44" s="154">
        <f t="shared" si="6"/>
        <v>0</v>
      </c>
      <c r="I44" s="241">
        <v>0</v>
      </c>
      <c r="J44" s="70">
        <v>0</v>
      </c>
      <c r="K44" s="70">
        <v>0</v>
      </c>
      <c r="L44" s="70">
        <v>0</v>
      </c>
      <c r="M44" s="49">
        <v>0</v>
      </c>
      <c r="N44" s="79">
        <f t="shared" si="7"/>
        <v>0</v>
      </c>
      <c r="O44" s="196">
        <f t="shared" si="8"/>
        <v>0</v>
      </c>
    </row>
    <row r="45" spans="1:16" ht="18" customHeight="1">
      <c r="C45" s="149" t="s">
        <v>125</v>
      </c>
      <c r="D45" s="151"/>
      <c r="E45" s="151"/>
      <c r="F45" s="146">
        <f t="shared" ref="F45:O45" si="9">SUM(F46:F49)</f>
        <v>0</v>
      </c>
      <c r="G45" s="146">
        <f t="shared" si="9"/>
        <v>0</v>
      </c>
      <c r="H45" s="147">
        <f t="shared" si="9"/>
        <v>0</v>
      </c>
      <c r="I45" s="237">
        <f t="shared" si="9"/>
        <v>0</v>
      </c>
      <c r="J45" s="145">
        <f t="shared" si="9"/>
        <v>0</v>
      </c>
      <c r="K45" s="145">
        <f t="shared" si="9"/>
        <v>0</v>
      </c>
      <c r="L45" s="145">
        <f t="shared" si="9"/>
        <v>0</v>
      </c>
      <c r="M45" s="146">
        <f t="shared" si="9"/>
        <v>0</v>
      </c>
      <c r="N45" s="145">
        <f t="shared" si="9"/>
        <v>0</v>
      </c>
      <c r="O45" s="148">
        <f t="shared" si="9"/>
        <v>0</v>
      </c>
    </row>
    <row r="46" spans="1:16" ht="18" customHeight="1">
      <c r="C46" s="149"/>
      <c r="D46" s="197" t="s">
        <v>34</v>
      </c>
      <c r="E46" s="197"/>
      <c r="F46" s="159">
        <v>0</v>
      </c>
      <c r="G46" s="159">
        <v>0</v>
      </c>
      <c r="H46" s="154">
        <f>SUM(F46:G46)</f>
        <v>0</v>
      </c>
      <c r="I46" s="159">
        <v>0</v>
      </c>
      <c r="J46" s="159">
        <v>0</v>
      </c>
      <c r="K46" s="159">
        <v>0</v>
      </c>
      <c r="L46" s="159">
        <v>0</v>
      </c>
      <c r="M46" s="159">
        <v>0</v>
      </c>
      <c r="N46" s="152">
        <f>SUM(I46:M46)</f>
        <v>0</v>
      </c>
      <c r="O46" s="155">
        <f>H46+N46</f>
        <v>0</v>
      </c>
    </row>
    <row r="47" spans="1:16" ht="18" customHeight="1">
      <c r="C47" s="149"/>
      <c r="D47" s="197" t="s">
        <v>35</v>
      </c>
      <c r="E47" s="197"/>
      <c r="F47" s="158">
        <v>0</v>
      </c>
      <c r="G47" s="159">
        <v>0</v>
      </c>
      <c r="H47" s="154">
        <f>SUM(F47:G47)</f>
        <v>0</v>
      </c>
      <c r="I47" s="159">
        <v>0</v>
      </c>
      <c r="J47" s="158">
        <v>0</v>
      </c>
      <c r="K47" s="159">
        <v>0</v>
      </c>
      <c r="L47" s="158">
        <v>0</v>
      </c>
      <c r="M47" s="159">
        <v>0</v>
      </c>
      <c r="N47" s="152">
        <f>SUM(I47:M47)</f>
        <v>0</v>
      </c>
      <c r="O47" s="155">
        <f>H47+N47</f>
        <v>0</v>
      </c>
    </row>
    <row r="48" spans="1:16" ht="18" customHeight="1">
      <c r="C48" s="149"/>
      <c r="D48" s="198" t="s">
        <v>36</v>
      </c>
      <c r="E48" s="198"/>
      <c r="F48" s="188">
        <v>0</v>
      </c>
      <c r="G48" s="189">
        <v>0</v>
      </c>
      <c r="H48" s="154">
        <f>SUM(F48:G48)</f>
        <v>0</v>
      </c>
      <c r="I48" s="189">
        <v>0</v>
      </c>
      <c r="J48" s="188">
        <v>0</v>
      </c>
      <c r="K48" s="189">
        <v>0</v>
      </c>
      <c r="L48" s="188">
        <v>0</v>
      </c>
      <c r="M48" s="18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9" t="s">
        <v>126</v>
      </c>
      <c r="E49" s="199"/>
      <c r="F49" s="200">
        <v>0</v>
      </c>
      <c r="G49" s="201">
        <v>0</v>
      </c>
      <c r="H49" s="202">
        <f>SUM(F49:G49)</f>
        <v>0</v>
      </c>
      <c r="I49" s="201">
        <v>0</v>
      </c>
      <c r="J49" s="200">
        <v>0</v>
      </c>
      <c r="K49" s="201">
        <v>0</v>
      </c>
      <c r="L49" s="200">
        <v>0</v>
      </c>
      <c r="M49" s="201">
        <v>0</v>
      </c>
      <c r="N49" s="203">
        <f>SUM(I49:M49)</f>
        <v>0</v>
      </c>
      <c r="O49" s="204">
        <f>H49+N49</f>
        <v>0</v>
      </c>
    </row>
    <row r="50" spans="3:15" ht="18" customHeight="1">
      <c r="C50" s="316" t="s">
        <v>127</v>
      </c>
      <c r="D50" s="317"/>
      <c r="E50" s="318"/>
      <c r="F50" s="205">
        <f t="shared" ref="F50:O50" si="10">F11+F30+F31+F45</f>
        <v>0</v>
      </c>
      <c r="G50" s="53">
        <f t="shared" si="10"/>
        <v>0</v>
      </c>
      <c r="H50" s="225">
        <f t="shared" si="10"/>
        <v>0</v>
      </c>
      <c r="I50" s="242">
        <f t="shared" si="10"/>
        <v>0</v>
      </c>
      <c r="J50" s="205">
        <f t="shared" si="10"/>
        <v>0</v>
      </c>
      <c r="K50" s="205">
        <f t="shared" si="10"/>
        <v>0</v>
      </c>
      <c r="L50" s="205">
        <f t="shared" si="10"/>
        <v>0</v>
      </c>
      <c r="M50" s="53">
        <f t="shared" si="10"/>
        <v>0</v>
      </c>
      <c r="N50" s="205">
        <f t="shared" si="10"/>
        <v>0</v>
      </c>
      <c r="O50" s="207">
        <f t="shared" si="10"/>
        <v>0</v>
      </c>
    </row>
    <row r="51" spans="3:15" ht="18" customHeight="1">
      <c r="C51" s="80"/>
    </row>
  </sheetData>
  <mergeCells count="10">
    <mergeCell ref="C50:E50"/>
    <mergeCell ref="D44:E44"/>
    <mergeCell ref="D43:E43"/>
    <mergeCell ref="D40:E40"/>
    <mergeCell ref="D41:E41"/>
    <mergeCell ref="A3:P3"/>
    <mergeCell ref="C10:E10"/>
    <mergeCell ref="O10"/>
    <mergeCell ref="A4:P4"/>
    <mergeCell ref="D42:E42"/>
  </mergeCells>
  <phoneticPr fontId="14"/>
  <pageMargins left="0.7" right="0.7" top="0.75" bottom="0.75" header="0.3" footer="0.3"/>
  <pageSetup paperSize="9" scale="58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3"/>
  <sheetViews>
    <sheetView showGridLines="0" view="pageBreakPreview" topLeftCell="A16" zoomScale="60" zoomScaleNormal="100" workbookViewId="0"/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138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139</v>
      </c>
    </row>
    <row r="8" spans="1:16" ht="18" customHeight="1">
      <c r="C8" s="76" t="s">
        <v>129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B00-000000000000}"/>
  </dataValidations>
  <pageMargins left="0.7" right="0.7" top="0.75" bottom="0.75" header="0.3" footer="0.3"/>
  <pageSetup paperSize="9" scale="56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3"/>
  <sheetViews>
    <sheetView showGridLines="0" view="pageBreakPreview" zoomScale="60" zoomScaleNormal="100" workbookViewId="0">
      <selection activeCell="K29" sqref="K29"/>
    </sheetView>
  </sheetViews>
  <sheetFormatPr defaultColWidth="9" defaultRowHeight="0" customHeight="1" zeroHeight="1"/>
  <cols>
    <col min="1" max="4" width="3.77734375" style="27" customWidth="1"/>
    <col min="5" max="5" width="33.777343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138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85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139</v>
      </c>
    </row>
    <row r="8" spans="1:16" ht="18" customHeight="1">
      <c r="C8" s="76" t="s">
        <v>130</v>
      </c>
    </row>
    <row r="9" spans="1:16" ht="12" customHeight="1"/>
    <row r="10" spans="1:16" ht="18" customHeight="1">
      <c r="C10" s="310" t="s">
        <v>88</v>
      </c>
      <c r="D10" s="311"/>
      <c r="E10" s="312"/>
      <c r="F10" s="140" t="s">
        <v>72</v>
      </c>
      <c r="G10" s="140" t="s">
        <v>73</v>
      </c>
      <c r="H10" s="141" t="s">
        <v>20</v>
      </c>
      <c r="I10" s="140" t="s">
        <v>74</v>
      </c>
      <c r="J10" s="140" t="s">
        <v>75</v>
      </c>
      <c r="K10" s="140" t="s">
        <v>76</v>
      </c>
      <c r="L10" s="140" t="s">
        <v>77</v>
      </c>
      <c r="M10" s="140" t="s">
        <v>78</v>
      </c>
      <c r="N10" s="141" t="s">
        <v>20</v>
      </c>
      <c r="O10" s="309" t="s">
        <v>39</v>
      </c>
      <c r="P10" s="142"/>
    </row>
    <row r="11" spans="1:16" ht="18" customHeight="1">
      <c r="C11" s="143" t="s">
        <v>89</v>
      </c>
      <c r="D11" s="144"/>
      <c r="E11" s="144"/>
      <c r="F11" s="145">
        <f t="shared" ref="F11:M11" si="0">SUM(F12,F18,F21,F26,F30,F31)</f>
        <v>0</v>
      </c>
      <c r="G11" s="146">
        <f t="shared" si="0"/>
        <v>0</v>
      </c>
      <c r="H11" s="147">
        <f t="shared" si="0"/>
        <v>0</v>
      </c>
      <c r="I11" s="146">
        <f t="shared" si="0"/>
        <v>0</v>
      </c>
      <c r="J11" s="146">
        <f t="shared" si="0"/>
        <v>0</v>
      </c>
      <c r="K11" s="145">
        <f t="shared" si="0"/>
        <v>0</v>
      </c>
      <c r="L11" s="146">
        <f t="shared" si="0"/>
        <v>0</v>
      </c>
      <c r="M11" s="146">
        <f t="shared" si="0"/>
        <v>0</v>
      </c>
      <c r="N11" s="145">
        <f>N12+N18+N21+N26+N30+N31</f>
        <v>0</v>
      </c>
      <c r="O11" s="148">
        <f>O12+O18+O21+O26+O30+O31</f>
        <v>0</v>
      </c>
    </row>
    <row r="12" spans="1:16" ht="18" customHeight="1">
      <c r="C12" s="149"/>
      <c r="D12" s="150" t="s">
        <v>90</v>
      </c>
      <c r="E12" s="151"/>
      <c r="F12" s="152">
        <f t="shared" ref="F12:O12" si="1">SUM(F13:F17)</f>
        <v>0</v>
      </c>
      <c r="G12" s="153">
        <f t="shared" si="1"/>
        <v>0</v>
      </c>
      <c r="H12" s="154">
        <f t="shared" si="1"/>
        <v>0</v>
      </c>
      <c r="I12" s="153">
        <f t="shared" si="1"/>
        <v>0</v>
      </c>
      <c r="J12" s="152">
        <f t="shared" si="1"/>
        <v>0</v>
      </c>
      <c r="K12" s="152">
        <f t="shared" si="1"/>
        <v>0</v>
      </c>
      <c r="L12" s="152">
        <f t="shared" si="1"/>
        <v>0</v>
      </c>
      <c r="M12" s="153">
        <f t="shared" si="1"/>
        <v>0</v>
      </c>
      <c r="N12" s="152">
        <f t="shared" si="1"/>
        <v>0</v>
      </c>
      <c r="O12" s="155">
        <f t="shared" si="1"/>
        <v>0</v>
      </c>
    </row>
    <row r="13" spans="1:16" ht="18" customHeight="1">
      <c r="C13" s="149"/>
      <c r="D13" s="156"/>
      <c r="E13" s="157" t="s">
        <v>91</v>
      </c>
      <c r="F13" s="158">
        <v>0</v>
      </c>
      <c r="G13" s="159">
        <v>0</v>
      </c>
      <c r="H13" s="154">
        <f>SUM(F13:G13)</f>
        <v>0</v>
      </c>
      <c r="I13" s="159">
        <v>0</v>
      </c>
      <c r="J13" s="158">
        <v>0</v>
      </c>
      <c r="K13" s="158">
        <v>0</v>
      </c>
      <c r="L13" s="158">
        <v>0</v>
      </c>
      <c r="M13" s="159">
        <v>0</v>
      </c>
      <c r="N13" s="152">
        <f>SUM(I13:M13)</f>
        <v>0</v>
      </c>
      <c r="O13" s="155">
        <f>H13+N13</f>
        <v>0</v>
      </c>
    </row>
    <row r="14" spans="1:16" ht="18" customHeight="1">
      <c r="C14" s="149"/>
      <c r="D14" s="156"/>
      <c r="E14" s="157" t="s">
        <v>92</v>
      </c>
      <c r="F14" s="158">
        <v>0</v>
      </c>
      <c r="G14" s="159">
        <v>0</v>
      </c>
      <c r="H14" s="154">
        <f>SUM(F14:G14)</f>
        <v>0</v>
      </c>
      <c r="I14" s="159">
        <v>0</v>
      </c>
      <c r="J14" s="158">
        <v>0</v>
      </c>
      <c r="K14" s="158">
        <v>0</v>
      </c>
      <c r="L14" s="158">
        <v>0</v>
      </c>
      <c r="M14" s="159">
        <v>0</v>
      </c>
      <c r="N14" s="152">
        <f>SUM(I14:M14)</f>
        <v>0</v>
      </c>
      <c r="O14" s="155">
        <f>H14+N14</f>
        <v>0</v>
      </c>
    </row>
    <row r="15" spans="1:16" ht="18" customHeight="1">
      <c r="C15" s="149"/>
      <c r="D15" s="156"/>
      <c r="E15" s="157" t="s">
        <v>93</v>
      </c>
      <c r="F15" s="158">
        <v>0</v>
      </c>
      <c r="G15" s="159">
        <v>0</v>
      </c>
      <c r="H15" s="154">
        <f>SUM(F15:G15)</f>
        <v>0</v>
      </c>
      <c r="I15" s="159">
        <v>0</v>
      </c>
      <c r="J15" s="158">
        <v>0</v>
      </c>
      <c r="K15" s="158">
        <v>0</v>
      </c>
      <c r="L15" s="158">
        <v>0</v>
      </c>
      <c r="M15" s="159">
        <v>0</v>
      </c>
      <c r="N15" s="152">
        <f>SUM(I15:M15)</f>
        <v>0</v>
      </c>
      <c r="O15" s="155">
        <f>H15+N15</f>
        <v>0</v>
      </c>
    </row>
    <row r="16" spans="1:16" ht="18" customHeight="1">
      <c r="C16" s="149"/>
      <c r="D16" s="156"/>
      <c r="E16" s="157" t="s">
        <v>94</v>
      </c>
      <c r="F16" s="158">
        <v>0</v>
      </c>
      <c r="G16" s="159">
        <v>0</v>
      </c>
      <c r="H16" s="154">
        <f>SUM(F16:G16)</f>
        <v>0</v>
      </c>
      <c r="I16" s="159">
        <v>0</v>
      </c>
      <c r="J16" s="158">
        <v>0</v>
      </c>
      <c r="K16" s="158">
        <v>0</v>
      </c>
      <c r="L16" s="158">
        <v>0</v>
      </c>
      <c r="M16" s="159">
        <v>0</v>
      </c>
      <c r="N16" s="152">
        <f>SUM(I16:M16)</f>
        <v>0</v>
      </c>
      <c r="O16" s="155">
        <f>H16+N16</f>
        <v>0</v>
      </c>
    </row>
    <row r="17" spans="1:16" ht="18" customHeight="1">
      <c r="C17" s="149"/>
      <c r="D17" s="156"/>
      <c r="E17" s="157" t="s">
        <v>95</v>
      </c>
      <c r="F17" s="158">
        <v>0</v>
      </c>
      <c r="G17" s="159">
        <v>0</v>
      </c>
      <c r="H17" s="154">
        <f>SUM(F17:G17)</f>
        <v>0</v>
      </c>
      <c r="I17" s="159">
        <v>0</v>
      </c>
      <c r="J17" s="158">
        <v>0</v>
      </c>
      <c r="K17" s="158">
        <v>0</v>
      </c>
      <c r="L17" s="158">
        <v>0</v>
      </c>
      <c r="M17" s="159">
        <v>0</v>
      </c>
      <c r="N17" s="152">
        <f>SUM(I17:M17)</f>
        <v>0</v>
      </c>
      <c r="O17" s="155">
        <f>H17+N17</f>
        <v>0</v>
      </c>
    </row>
    <row r="18" spans="1:16" ht="18" customHeight="1">
      <c r="C18" s="149"/>
      <c r="D18" s="150" t="s">
        <v>96</v>
      </c>
      <c r="E18" s="160"/>
      <c r="F18" s="152">
        <f t="shared" ref="F18:O18" si="2">SUM(F19:F20)</f>
        <v>0</v>
      </c>
      <c r="G18" s="153">
        <f t="shared" si="2"/>
        <v>0</v>
      </c>
      <c r="H18" s="154">
        <f t="shared" si="2"/>
        <v>0</v>
      </c>
      <c r="I18" s="153">
        <f t="shared" si="2"/>
        <v>0</v>
      </c>
      <c r="J18" s="152">
        <f t="shared" si="2"/>
        <v>0</v>
      </c>
      <c r="K18" s="152">
        <f t="shared" si="2"/>
        <v>0</v>
      </c>
      <c r="L18" s="152">
        <f t="shared" si="2"/>
        <v>0</v>
      </c>
      <c r="M18" s="153">
        <f t="shared" si="2"/>
        <v>0</v>
      </c>
      <c r="N18" s="152">
        <f t="shared" si="2"/>
        <v>0</v>
      </c>
      <c r="O18" s="155">
        <f t="shared" si="2"/>
        <v>0</v>
      </c>
    </row>
    <row r="19" spans="1:16" ht="18" customHeight="1">
      <c r="C19" s="149"/>
      <c r="D19" s="156"/>
      <c r="E19" s="161" t="s">
        <v>97</v>
      </c>
      <c r="F19" s="158">
        <v>0</v>
      </c>
      <c r="G19" s="159">
        <v>0</v>
      </c>
      <c r="H19" s="154">
        <f>SUM(F19:G19)</f>
        <v>0</v>
      </c>
      <c r="I19" s="159">
        <v>0</v>
      </c>
      <c r="J19" s="158">
        <v>0</v>
      </c>
      <c r="K19" s="158">
        <v>0</v>
      </c>
      <c r="L19" s="158">
        <v>0</v>
      </c>
      <c r="M19" s="159">
        <v>0</v>
      </c>
      <c r="N19" s="152">
        <f>SUM(I19:M19)</f>
        <v>0</v>
      </c>
      <c r="O19" s="155">
        <f>H19+N19</f>
        <v>0</v>
      </c>
    </row>
    <row r="20" spans="1:16" ht="18" customHeight="1">
      <c r="C20" s="149"/>
      <c r="D20" s="156"/>
      <c r="E20" s="161" t="s">
        <v>98</v>
      </c>
      <c r="F20" s="158">
        <v>0</v>
      </c>
      <c r="G20" s="159">
        <v>0</v>
      </c>
      <c r="H20" s="154">
        <f>SUM(F20:G20)</f>
        <v>0</v>
      </c>
      <c r="I20" s="159">
        <v>0</v>
      </c>
      <c r="J20" s="158">
        <v>0</v>
      </c>
      <c r="K20" s="158">
        <v>0</v>
      </c>
      <c r="L20" s="158">
        <v>0</v>
      </c>
      <c r="M20" s="159">
        <v>0</v>
      </c>
      <c r="N20" s="152">
        <f>SUM(I20:M20)</f>
        <v>0</v>
      </c>
      <c r="O20" s="155">
        <f>H20+N20</f>
        <v>0</v>
      </c>
    </row>
    <row r="21" spans="1:16" ht="18" customHeight="1">
      <c r="C21" s="149"/>
      <c r="D21" s="150" t="s">
        <v>99</v>
      </c>
      <c r="E21" s="151"/>
      <c r="F21" s="152">
        <f t="shared" ref="F21:O21" si="3">SUM(F22:F25)</f>
        <v>0</v>
      </c>
      <c r="G21" s="153">
        <f t="shared" si="3"/>
        <v>0</v>
      </c>
      <c r="H21" s="154">
        <f t="shared" si="3"/>
        <v>0</v>
      </c>
      <c r="I21" s="153">
        <f t="shared" si="3"/>
        <v>0</v>
      </c>
      <c r="J21" s="152">
        <f t="shared" si="3"/>
        <v>0</v>
      </c>
      <c r="K21" s="152">
        <f t="shared" si="3"/>
        <v>0</v>
      </c>
      <c r="L21" s="152">
        <f t="shared" si="3"/>
        <v>0</v>
      </c>
      <c r="M21" s="153">
        <f t="shared" si="3"/>
        <v>0</v>
      </c>
      <c r="N21" s="152">
        <f t="shared" si="3"/>
        <v>0</v>
      </c>
      <c r="O21" s="155">
        <f t="shared" si="3"/>
        <v>0</v>
      </c>
    </row>
    <row r="22" spans="1:16" ht="18" customHeight="1">
      <c r="C22" s="149"/>
      <c r="D22" s="156"/>
      <c r="E22" s="157" t="s">
        <v>100</v>
      </c>
      <c r="F22" s="158">
        <v>0</v>
      </c>
      <c r="G22" s="159">
        <v>0</v>
      </c>
      <c r="H22" s="154">
        <f>SUM(F22:G22)</f>
        <v>0</v>
      </c>
      <c r="I22" s="159">
        <v>0</v>
      </c>
      <c r="J22" s="158">
        <v>0</v>
      </c>
      <c r="K22" s="158">
        <v>0</v>
      </c>
      <c r="L22" s="158">
        <v>0</v>
      </c>
      <c r="M22" s="159">
        <v>0</v>
      </c>
      <c r="N22" s="152">
        <f>SUM(I22:M22)</f>
        <v>0</v>
      </c>
      <c r="O22" s="155">
        <f>H22+N22</f>
        <v>0</v>
      </c>
    </row>
    <row r="23" spans="1:16" ht="18" customHeight="1">
      <c r="C23" s="149"/>
      <c r="D23" s="156"/>
      <c r="E23" s="157" t="s">
        <v>101</v>
      </c>
      <c r="F23" s="158">
        <v>0</v>
      </c>
      <c r="G23" s="159">
        <v>0</v>
      </c>
      <c r="H23" s="154">
        <f>SUM(F23:G23)</f>
        <v>0</v>
      </c>
      <c r="I23" s="159">
        <v>0</v>
      </c>
      <c r="J23" s="158">
        <v>0</v>
      </c>
      <c r="K23" s="158">
        <v>0</v>
      </c>
      <c r="L23" s="158">
        <v>0</v>
      </c>
      <c r="M23" s="159">
        <v>0</v>
      </c>
      <c r="N23" s="152">
        <f>SUM(I23:M23)</f>
        <v>0</v>
      </c>
      <c r="O23" s="155">
        <f>H23+N23</f>
        <v>0</v>
      </c>
    </row>
    <row r="24" spans="1:16" ht="18" customHeight="1">
      <c r="C24" s="149"/>
      <c r="D24" s="156"/>
      <c r="E24" s="157" t="s">
        <v>102</v>
      </c>
      <c r="F24" s="158">
        <v>0</v>
      </c>
      <c r="G24" s="159">
        <v>0</v>
      </c>
      <c r="H24" s="154">
        <f>SUM(F24:G24)</f>
        <v>0</v>
      </c>
      <c r="I24" s="159">
        <v>0</v>
      </c>
      <c r="J24" s="158">
        <v>0</v>
      </c>
      <c r="K24" s="158">
        <v>0</v>
      </c>
      <c r="L24" s="158">
        <v>0</v>
      </c>
      <c r="M24" s="159">
        <v>0</v>
      </c>
      <c r="N24" s="152">
        <f>SUM(I24:M24)</f>
        <v>0</v>
      </c>
      <c r="O24" s="155">
        <f>H24+N24</f>
        <v>0</v>
      </c>
    </row>
    <row r="25" spans="1:16" ht="18" customHeight="1">
      <c r="C25" s="149"/>
      <c r="D25" s="162"/>
      <c r="E25" s="157" t="s">
        <v>103</v>
      </c>
      <c r="F25" s="158">
        <v>0</v>
      </c>
      <c r="G25" s="159">
        <v>0</v>
      </c>
      <c r="H25" s="154">
        <f>SUM(F25:G25)</f>
        <v>0</v>
      </c>
      <c r="I25" s="159">
        <v>0</v>
      </c>
      <c r="J25" s="158">
        <v>0</v>
      </c>
      <c r="K25" s="158">
        <v>0</v>
      </c>
      <c r="L25" s="158">
        <v>0</v>
      </c>
      <c r="M25" s="159">
        <v>0</v>
      </c>
      <c r="N25" s="152">
        <f>SUM(I25:M25)</f>
        <v>0</v>
      </c>
      <c r="O25" s="155">
        <f>H25+N25</f>
        <v>0</v>
      </c>
    </row>
    <row r="26" spans="1:16" ht="18" customHeight="1">
      <c r="C26" s="149"/>
      <c r="D26" s="150" t="s">
        <v>104</v>
      </c>
      <c r="E26" s="151"/>
      <c r="F26" s="152">
        <f t="shared" ref="F26:O26" si="4">SUM(F27:F29)</f>
        <v>0</v>
      </c>
      <c r="G26" s="153">
        <f t="shared" si="4"/>
        <v>0</v>
      </c>
      <c r="H26" s="154">
        <f t="shared" si="4"/>
        <v>0</v>
      </c>
      <c r="I26" s="153">
        <f t="shared" si="4"/>
        <v>0</v>
      </c>
      <c r="J26" s="152">
        <f t="shared" si="4"/>
        <v>0</v>
      </c>
      <c r="K26" s="152">
        <f t="shared" si="4"/>
        <v>0</v>
      </c>
      <c r="L26" s="152">
        <f t="shared" si="4"/>
        <v>0</v>
      </c>
      <c r="M26" s="153">
        <f t="shared" si="4"/>
        <v>0</v>
      </c>
      <c r="N26" s="152">
        <f t="shared" si="4"/>
        <v>0</v>
      </c>
      <c r="O26" s="155">
        <f t="shared" si="4"/>
        <v>0</v>
      </c>
    </row>
    <row r="27" spans="1:16" ht="18" customHeight="1">
      <c r="C27" s="149"/>
      <c r="D27" s="156"/>
      <c r="E27" s="163" t="s">
        <v>105</v>
      </c>
      <c r="F27" s="164">
        <v>0</v>
      </c>
      <c r="G27" s="165">
        <v>0</v>
      </c>
      <c r="H27" s="154">
        <f t="shared" ref="H27:H32" si="5">SUM(F27:G27)</f>
        <v>0</v>
      </c>
      <c r="I27" s="165">
        <v>0</v>
      </c>
      <c r="J27" s="164">
        <v>0</v>
      </c>
      <c r="K27" s="164">
        <v>0</v>
      </c>
      <c r="L27" s="164">
        <v>0</v>
      </c>
      <c r="M27" s="165">
        <v>0</v>
      </c>
      <c r="N27" s="152">
        <f t="shared" ref="N27:N32" si="6">SUM(I27:M27)</f>
        <v>0</v>
      </c>
      <c r="O27" s="155">
        <f t="shared" ref="O27:O32" si="7">H27+N27</f>
        <v>0</v>
      </c>
    </row>
    <row r="28" spans="1:16" ht="18" customHeight="1">
      <c r="C28" s="149"/>
      <c r="D28" s="166"/>
      <c r="E28" s="161" t="s">
        <v>106</v>
      </c>
      <c r="F28" s="167">
        <v>0</v>
      </c>
      <c r="G28" s="168">
        <v>0</v>
      </c>
      <c r="H28" s="154">
        <f t="shared" si="5"/>
        <v>0</v>
      </c>
      <c r="I28" s="168">
        <v>0</v>
      </c>
      <c r="J28" s="167">
        <v>0</v>
      </c>
      <c r="K28" s="167">
        <v>0</v>
      </c>
      <c r="L28" s="167">
        <v>0</v>
      </c>
      <c r="M28" s="168">
        <v>0</v>
      </c>
      <c r="N28" s="152">
        <f t="shared" si="6"/>
        <v>0</v>
      </c>
      <c r="O28" s="155">
        <f t="shared" si="7"/>
        <v>0</v>
      </c>
    </row>
    <row r="29" spans="1:16" ht="18" customHeight="1">
      <c r="C29" s="149"/>
      <c r="D29" s="169"/>
      <c r="E29" s="157" t="s">
        <v>107</v>
      </c>
      <c r="F29" s="170">
        <v>0</v>
      </c>
      <c r="G29" s="171">
        <v>0</v>
      </c>
      <c r="H29" s="154">
        <f t="shared" si="5"/>
        <v>0</v>
      </c>
      <c r="I29" s="171">
        <v>0</v>
      </c>
      <c r="J29" s="170">
        <v>0</v>
      </c>
      <c r="K29" s="170">
        <v>0</v>
      </c>
      <c r="L29" s="170">
        <v>0</v>
      </c>
      <c r="M29" s="171">
        <v>0</v>
      </c>
      <c r="N29" s="152">
        <f t="shared" si="6"/>
        <v>0</v>
      </c>
      <c r="O29" s="155">
        <f t="shared" si="7"/>
        <v>0</v>
      </c>
    </row>
    <row r="30" spans="1:16" s="48" customFormat="1" ht="18" customHeight="1">
      <c r="A30" s="27"/>
      <c r="B30" s="27"/>
      <c r="C30" s="149"/>
      <c r="D30" s="162" t="s">
        <v>108</v>
      </c>
      <c r="E30" s="172"/>
      <c r="F30" s="158">
        <v>0</v>
      </c>
      <c r="G30" s="159">
        <v>0</v>
      </c>
      <c r="H30" s="154">
        <f t="shared" si="5"/>
        <v>0</v>
      </c>
      <c r="I30" s="159">
        <v>0</v>
      </c>
      <c r="J30" s="158">
        <v>0</v>
      </c>
      <c r="K30" s="158">
        <v>0</v>
      </c>
      <c r="L30" s="158">
        <v>0</v>
      </c>
      <c r="M30" s="159">
        <v>0</v>
      </c>
      <c r="N30" s="152">
        <f t="shared" si="6"/>
        <v>0</v>
      </c>
      <c r="O30" s="155">
        <f t="shared" si="7"/>
        <v>0</v>
      </c>
      <c r="P30" s="7"/>
    </row>
    <row r="31" spans="1:16" ht="18" customHeight="1">
      <c r="C31" s="149"/>
      <c r="D31" s="156" t="s">
        <v>109</v>
      </c>
      <c r="E31" s="172"/>
      <c r="F31" s="158">
        <v>0</v>
      </c>
      <c r="G31" s="159">
        <v>0</v>
      </c>
      <c r="H31" s="154">
        <f t="shared" si="5"/>
        <v>0</v>
      </c>
      <c r="I31" s="159">
        <v>0</v>
      </c>
      <c r="J31" s="158">
        <v>0</v>
      </c>
      <c r="K31" s="158">
        <v>0</v>
      </c>
      <c r="L31" s="158">
        <v>0</v>
      </c>
      <c r="M31" s="159">
        <v>0</v>
      </c>
      <c r="N31" s="152">
        <f t="shared" si="6"/>
        <v>0</v>
      </c>
      <c r="O31" s="155">
        <f t="shared" si="7"/>
        <v>0</v>
      </c>
    </row>
    <row r="32" spans="1:16" ht="18" customHeight="1">
      <c r="C32" s="178" t="s">
        <v>110</v>
      </c>
      <c r="D32" s="179"/>
      <c r="E32" s="180"/>
      <c r="F32" s="181">
        <v>0</v>
      </c>
      <c r="G32" s="182">
        <v>0</v>
      </c>
      <c r="H32" s="183">
        <f t="shared" si="5"/>
        <v>0</v>
      </c>
      <c r="I32" s="182">
        <v>0</v>
      </c>
      <c r="J32" s="181">
        <v>0</v>
      </c>
      <c r="K32" s="181">
        <v>0</v>
      </c>
      <c r="L32" s="181">
        <v>0</v>
      </c>
      <c r="M32" s="182">
        <v>0</v>
      </c>
      <c r="N32" s="183">
        <f t="shared" si="6"/>
        <v>0</v>
      </c>
      <c r="O32" s="184">
        <f t="shared" si="7"/>
        <v>0</v>
      </c>
    </row>
    <row r="33" spans="1:16" ht="18" customHeight="1">
      <c r="C33" s="143" t="s">
        <v>111</v>
      </c>
      <c r="D33" s="185"/>
      <c r="E33" s="186"/>
      <c r="F33" s="145">
        <f t="shared" ref="F33:O33" si="8">SUM(F34:F46)</f>
        <v>0</v>
      </c>
      <c r="G33" s="146">
        <f t="shared" si="8"/>
        <v>0</v>
      </c>
      <c r="H33" s="147">
        <f t="shared" si="8"/>
        <v>0</v>
      </c>
      <c r="I33" s="146">
        <f t="shared" si="8"/>
        <v>0</v>
      </c>
      <c r="J33" s="145">
        <f t="shared" si="8"/>
        <v>0</v>
      </c>
      <c r="K33" s="145">
        <f t="shared" si="8"/>
        <v>0</v>
      </c>
      <c r="L33" s="145">
        <f t="shared" si="8"/>
        <v>0</v>
      </c>
      <c r="M33" s="146">
        <f t="shared" si="8"/>
        <v>0</v>
      </c>
      <c r="N33" s="145">
        <f t="shared" si="8"/>
        <v>0</v>
      </c>
      <c r="O33" s="148">
        <f t="shared" si="8"/>
        <v>0</v>
      </c>
    </row>
    <row r="34" spans="1:16" ht="18" customHeight="1">
      <c r="C34" s="187"/>
      <c r="D34" s="313" t="s">
        <v>112</v>
      </c>
      <c r="E34" s="314"/>
      <c r="F34" s="188">
        <v>0</v>
      </c>
      <c r="G34" s="189">
        <v>0</v>
      </c>
      <c r="H34" s="190">
        <f t="shared" ref="H34:H46" si="9">SUM(F34:G34)</f>
        <v>0</v>
      </c>
      <c r="I34" s="189">
        <v>0</v>
      </c>
      <c r="J34" s="188">
        <v>0</v>
      </c>
      <c r="K34" s="188">
        <v>0</v>
      </c>
      <c r="L34" s="188">
        <v>0</v>
      </c>
      <c r="M34" s="189">
        <v>0</v>
      </c>
      <c r="N34" s="191">
        <f t="shared" ref="N34:N46" si="10">SUM(I34:M34)</f>
        <v>0</v>
      </c>
      <c r="O34" s="192">
        <f t="shared" ref="O34:O46" si="11">H34+N34</f>
        <v>0</v>
      </c>
    </row>
    <row r="35" spans="1:16" ht="18" customHeight="1">
      <c r="C35" s="149"/>
      <c r="D35" s="162" t="s">
        <v>113</v>
      </c>
      <c r="E35" s="172"/>
      <c r="F35" s="188">
        <v>0</v>
      </c>
      <c r="G35" s="189">
        <v>0</v>
      </c>
      <c r="H35" s="154">
        <f t="shared" si="9"/>
        <v>0</v>
      </c>
      <c r="I35" s="159">
        <v>0</v>
      </c>
      <c r="J35" s="158">
        <v>0</v>
      </c>
      <c r="K35" s="158">
        <v>0</v>
      </c>
      <c r="L35" s="158">
        <v>0</v>
      </c>
      <c r="M35" s="159">
        <v>0</v>
      </c>
      <c r="N35" s="152">
        <f t="shared" si="10"/>
        <v>0</v>
      </c>
      <c r="O35" s="155">
        <f t="shared" si="11"/>
        <v>0</v>
      </c>
    </row>
    <row r="36" spans="1:16" ht="18" customHeight="1">
      <c r="C36" s="149"/>
      <c r="D36" s="162" t="s">
        <v>114</v>
      </c>
      <c r="E36" s="172"/>
      <c r="F36" s="158">
        <v>0</v>
      </c>
      <c r="G36" s="159">
        <v>0</v>
      </c>
      <c r="H36" s="154">
        <f t="shared" si="9"/>
        <v>0</v>
      </c>
      <c r="I36" s="159">
        <v>0</v>
      </c>
      <c r="J36" s="158">
        <v>0</v>
      </c>
      <c r="K36" s="158">
        <v>0</v>
      </c>
      <c r="L36" s="158">
        <v>0</v>
      </c>
      <c r="M36" s="159">
        <v>0</v>
      </c>
      <c r="N36" s="152">
        <f t="shared" si="10"/>
        <v>0</v>
      </c>
      <c r="O36" s="155">
        <f t="shared" si="11"/>
        <v>0</v>
      </c>
    </row>
    <row r="37" spans="1:16" ht="18" customHeight="1">
      <c r="C37" s="149"/>
      <c r="D37" s="193" t="s">
        <v>115</v>
      </c>
      <c r="E37" s="160"/>
      <c r="F37" s="158">
        <v>0</v>
      </c>
      <c r="G37" s="159">
        <v>0</v>
      </c>
      <c r="H37" s="154">
        <f t="shared" si="9"/>
        <v>0</v>
      </c>
      <c r="I37" s="159">
        <v>0</v>
      </c>
      <c r="J37" s="158">
        <v>0</v>
      </c>
      <c r="K37" s="158">
        <v>0</v>
      </c>
      <c r="L37" s="158">
        <v>0</v>
      </c>
      <c r="M37" s="159">
        <v>0</v>
      </c>
      <c r="N37" s="152">
        <f t="shared" si="10"/>
        <v>0</v>
      </c>
      <c r="O37" s="155">
        <f t="shared" si="11"/>
        <v>0</v>
      </c>
    </row>
    <row r="38" spans="1:16" s="48" customFormat="1" ht="18" customHeight="1">
      <c r="A38" s="27"/>
      <c r="B38" s="27"/>
      <c r="C38" s="149"/>
      <c r="D38" s="193" t="s">
        <v>116</v>
      </c>
      <c r="E38" s="160"/>
      <c r="F38" s="158">
        <v>0</v>
      </c>
      <c r="G38" s="159">
        <v>0</v>
      </c>
      <c r="H38" s="154">
        <f t="shared" si="9"/>
        <v>0</v>
      </c>
      <c r="I38" s="159">
        <v>0</v>
      </c>
      <c r="J38" s="158">
        <v>0</v>
      </c>
      <c r="K38" s="158">
        <v>0</v>
      </c>
      <c r="L38" s="158">
        <v>0</v>
      </c>
      <c r="M38" s="159">
        <v>0</v>
      </c>
      <c r="N38" s="152">
        <f t="shared" si="10"/>
        <v>0</v>
      </c>
      <c r="O38" s="155">
        <f t="shared" si="11"/>
        <v>0</v>
      </c>
      <c r="P38" s="7"/>
    </row>
    <row r="39" spans="1:16" ht="18" customHeight="1">
      <c r="C39" s="149"/>
      <c r="D39" s="193" t="s">
        <v>117</v>
      </c>
      <c r="E39" s="160"/>
      <c r="F39" s="158">
        <v>0</v>
      </c>
      <c r="G39" s="159">
        <v>0</v>
      </c>
      <c r="H39" s="154">
        <f t="shared" si="9"/>
        <v>0</v>
      </c>
      <c r="I39" s="159">
        <v>0</v>
      </c>
      <c r="J39" s="158">
        <v>0</v>
      </c>
      <c r="K39" s="158">
        <v>0</v>
      </c>
      <c r="L39" s="158">
        <v>0</v>
      </c>
      <c r="M39" s="159">
        <v>0</v>
      </c>
      <c r="N39" s="152">
        <f t="shared" si="10"/>
        <v>0</v>
      </c>
      <c r="O39" s="155">
        <f t="shared" si="11"/>
        <v>0</v>
      </c>
    </row>
    <row r="40" spans="1:16" s="48" customFormat="1" ht="18" customHeight="1">
      <c r="A40" s="27"/>
      <c r="B40" s="27"/>
      <c r="C40" s="149"/>
      <c r="D40" s="193" t="s">
        <v>118</v>
      </c>
      <c r="E40" s="160"/>
      <c r="F40" s="189">
        <v>0</v>
      </c>
      <c r="G40" s="159">
        <v>0</v>
      </c>
      <c r="H40" s="154">
        <f t="shared" si="9"/>
        <v>0</v>
      </c>
      <c r="I40" s="159">
        <v>0</v>
      </c>
      <c r="J40" s="158">
        <v>0</v>
      </c>
      <c r="K40" s="158">
        <v>0</v>
      </c>
      <c r="L40" s="158">
        <v>0</v>
      </c>
      <c r="M40" s="159">
        <v>0</v>
      </c>
      <c r="N40" s="152">
        <f t="shared" si="10"/>
        <v>0</v>
      </c>
      <c r="O40" s="155">
        <f t="shared" si="11"/>
        <v>0</v>
      </c>
      <c r="P40" s="7"/>
    </row>
    <row r="41" spans="1:16" ht="18" customHeight="1">
      <c r="C41" s="149"/>
      <c r="D41" s="193" t="s">
        <v>119</v>
      </c>
      <c r="E41" s="160"/>
      <c r="F41" s="189">
        <v>0</v>
      </c>
      <c r="G41" s="159">
        <v>0</v>
      </c>
      <c r="H41" s="154">
        <f t="shared" si="9"/>
        <v>0</v>
      </c>
      <c r="I41" s="159">
        <v>0</v>
      </c>
      <c r="J41" s="158">
        <v>0</v>
      </c>
      <c r="K41" s="158">
        <v>0</v>
      </c>
      <c r="L41" s="158">
        <v>0</v>
      </c>
      <c r="M41" s="159">
        <v>0</v>
      </c>
      <c r="N41" s="152">
        <f t="shared" si="10"/>
        <v>0</v>
      </c>
      <c r="O41" s="155">
        <f t="shared" si="11"/>
        <v>0</v>
      </c>
    </row>
    <row r="42" spans="1:16" s="48" customFormat="1" ht="18" customHeight="1">
      <c r="A42" s="27"/>
      <c r="B42" s="27"/>
      <c r="C42" s="149"/>
      <c r="D42" s="313" t="s">
        <v>120</v>
      </c>
      <c r="E42" s="315"/>
      <c r="F42" s="188">
        <v>0</v>
      </c>
      <c r="G42" s="189">
        <v>0</v>
      </c>
      <c r="H42" s="154">
        <f t="shared" si="9"/>
        <v>0</v>
      </c>
      <c r="I42" s="159">
        <v>0</v>
      </c>
      <c r="J42" s="158">
        <v>0</v>
      </c>
      <c r="K42" s="158">
        <v>0</v>
      </c>
      <c r="L42" s="158">
        <v>0</v>
      </c>
      <c r="M42" s="159">
        <v>0</v>
      </c>
      <c r="N42" s="152">
        <f t="shared" si="10"/>
        <v>0</v>
      </c>
      <c r="O42" s="155">
        <f t="shared" si="11"/>
        <v>0</v>
      </c>
      <c r="P42" s="7"/>
    </row>
    <row r="43" spans="1:16" ht="18" customHeight="1">
      <c r="C43" s="149"/>
      <c r="D43" s="313" t="s">
        <v>121</v>
      </c>
      <c r="E43" s="315"/>
      <c r="F43" s="188">
        <v>0</v>
      </c>
      <c r="G43" s="189">
        <v>0</v>
      </c>
      <c r="H43" s="154">
        <f t="shared" si="9"/>
        <v>0</v>
      </c>
      <c r="I43" s="159">
        <v>0</v>
      </c>
      <c r="J43" s="158">
        <v>0</v>
      </c>
      <c r="K43" s="158">
        <v>0</v>
      </c>
      <c r="L43" s="158">
        <v>0</v>
      </c>
      <c r="M43" s="159">
        <v>0</v>
      </c>
      <c r="N43" s="152">
        <f t="shared" si="10"/>
        <v>0</v>
      </c>
      <c r="O43" s="155">
        <f t="shared" si="11"/>
        <v>0</v>
      </c>
    </row>
    <row r="44" spans="1:16" ht="18" customHeight="1">
      <c r="C44" s="187"/>
      <c r="D44" s="313" t="s">
        <v>122</v>
      </c>
      <c r="E44" s="314"/>
      <c r="F44" s="188">
        <v>0</v>
      </c>
      <c r="G44" s="189">
        <v>0</v>
      </c>
      <c r="H44" s="190">
        <f t="shared" si="9"/>
        <v>0</v>
      </c>
      <c r="I44" s="189">
        <v>0</v>
      </c>
      <c r="J44" s="188">
        <v>0</v>
      </c>
      <c r="K44" s="188">
        <v>0</v>
      </c>
      <c r="L44" s="188">
        <v>0</v>
      </c>
      <c r="M44" s="189">
        <v>0</v>
      </c>
      <c r="N44" s="191">
        <f t="shared" si="10"/>
        <v>0</v>
      </c>
      <c r="O44" s="192">
        <f t="shared" si="11"/>
        <v>0</v>
      </c>
    </row>
    <row r="45" spans="1:16" s="48" customFormat="1" ht="18" customHeight="1">
      <c r="A45" s="27"/>
      <c r="B45" s="27"/>
      <c r="C45" s="194"/>
      <c r="D45" s="313" t="s">
        <v>123</v>
      </c>
      <c r="E45" s="314"/>
      <c r="F45" s="188">
        <v>0</v>
      </c>
      <c r="G45" s="189">
        <v>0</v>
      </c>
      <c r="H45" s="154">
        <f t="shared" si="9"/>
        <v>0</v>
      </c>
      <c r="I45" s="189">
        <v>0</v>
      </c>
      <c r="J45" s="188">
        <v>0</v>
      </c>
      <c r="K45" s="188">
        <v>0</v>
      </c>
      <c r="L45" s="188">
        <v>0</v>
      </c>
      <c r="M45" s="189">
        <v>0</v>
      </c>
      <c r="N45" s="191">
        <f t="shared" si="10"/>
        <v>0</v>
      </c>
      <c r="O45" s="192">
        <f t="shared" si="11"/>
        <v>0</v>
      </c>
      <c r="P45" s="7"/>
    </row>
    <row r="46" spans="1:16" ht="18" customHeight="1">
      <c r="C46" s="195"/>
      <c r="D46" s="319" t="s">
        <v>124</v>
      </c>
      <c r="E46" s="320"/>
      <c r="F46" s="70">
        <v>0</v>
      </c>
      <c r="G46" s="49">
        <v>0</v>
      </c>
      <c r="H46" s="154">
        <f t="shared" si="9"/>
        <v>0</v>
      </c>
      <c r="I46" s="49">
        <v>0</v>
      </c>
      <c r="J46" s="70">
        <v>0</v>
      </c>
      <c r="K46" s="70">
        <v>0</v>
      </c>
      <c r="L46" s="70">
        <v>0</v>
      </c>
      <c r="M46" s="49">
        <v>0</v>
      </c>
      <c r="N46" s="79">
        <f t="shared" si="10"/>
        <v>0</v>
      </c>
      <c r="O46" s="196">
        <f t="shared" si="11"/>
        <v>0</v>
      </c>
    </row>
    <row r="47" spans="1:16" ht="18" customHeight="1">
      <c r="C47" s="149" t="s">
        <v>125</v>
      </c>
      <c r="D47" s="151"/>
      <c r="E47" s="151"/>
      <c r="F47" s="146">
        <f t="shared" ref="F47:O47" si="12">SUM(F48:F51)</f>
        <v>0</v>
      </c>
      <c r="G47" s="146">
        <f t="shared" si="12"/>
        <v>0</v>
      </c>
      <c r="H47" s="147">
        <f t="shared" si="12"/>
        <v>0</v>
      </c>
      <c r="I47" s="146">
        <f t="shared" si="12"/>
        <v>0</v>
      </c>
      <c r="J47" s="145">
        <f t="shared" si="12"/>
        <v>0</v>
      </c>
      <c r="K47" s="145">
        <f t="shared" si="12"/>
        <v>0</v>
      </c>
      <c r="L47" s="145">
        <f t="shared" si="12"/>
        <v>0</v>
      </c>
      <c r="M47" s="146">
        <f t="shared" si="12"/>
        <v>0</v>
      </c>
      <c r="N47" s="145">
        <f t="shared" si="12"/>
        <v>0</v>
      </c>
      <c r="O47" s="148">
        <f t="shared" si="12"/>
        <v>0</v>
      </c>
    </row>
    <row r="48" spans="1:16" ht="18" customHeight="1">
      <c r="C48" s="149"/>
      <c r="D48" s="197" t="s">
        <v>34</v>
      </c>
      <c r="E48" s="197"/>
      <c r="F48" s="159">
        <v>0</v>
      </c>
      <c r="G48" s="159">
        <v>0</v>
      </c>
      <c r="H48" s="154">
        <f>SUM(F48:G48)</f>
        <v>0</v>
      </c>
      <c r="I48" s="159">
        <v>0</v>
      </c>
      <c r="J48" s="158">
        <v>0</v>
      </c>
      <c r="K48" s="158">
        <v>0</v>
      </c>
      <c r="L48" s="158">
        <v>0</v>
      </c>
      <c r="M48" s="159">
        <v>0</v>
      </c>
      <c r="N48" s="152">
        <f>SUM(I48:M48)</f>
        <v>0</v>
      </c>
      <c r="O48" s="155">
        <f>H48+N48</f>
        <v>0</v>
      </c>
    </row>
    <row r="49" spans="3:15" ht="18" customHeight="1">
      <c r="C49" s="149"/>
      <c r="D49" s="197" t="s">
        <v>35</v>
      </c>
      <c r="E49" s="197"/>
      <c r="F49" s="158">
        <v>0</v>
      </c>
      <c r="G49" s="159">
        <v>0</v>
      </c>
      <c r="H49" s="154">
        <f>SUM(F49:G49)</f>
        <v>0</v>
      </c>
      <c r="I49" s="159">
        <v>0</v>
      </c>
      <c r="J49" s="158">
        <v>0</v>
      </c>
      <c r="K49" s="158">
        <v>0</v>
      </c>
      <c r="L49" s="158">
        <v>0</v>
      </c>
      <c r="M49" s="159">
        <v>0</v>
      </c>
      <c r="N49" s="152">
        <f>SUM(I49:M49)</f>
        <v>0</v>
      </c>
      <c r="O49" s="155">
        <f>H49+N49</f>
        <v>0</v>
      </c>
    </row>
    <row r="50" spans="3:15" ht="18" customHeight="1">
      <c r="C50" s="149"/>
      <c r="D50" s="198" t="s">
        <v>36</v>
      </c>
      <c r="E50" s="198"/>
      <c r="F50" s="188">
        <v>0</v>
      </c>
      <c r="G50" s="189">
        <v>0</v>
      </c>
      <c r="H50" s="154">
        <f>SUM(F50:G50)</f>
        <v>0</v>
      </c>
      <c r="I50" s="189">
        <v>0</v>
      </c>
      <c r="J50" s="188">
        <v>0</v>
      </c>
      <c r="K50" s="188">
        <v>0</v>
      </c>
      <c r="L50" s="188">
        <v>0</v>
      </c>
      <c r="M50" s="189">
        <v>0</v>
      </c>
      <c r="N50" s="152">
        <f>SUM(I50:M50)</f>
        <v>0</v>
      </c>
      <c r="O50" s="155">
        <f>H50+N50</f>
        <v>0</v>
      </c>
    </row>
    <row r="51" spans="3:15" ht="18" customHeight="1">
      <c r="C51" s="149"/>
      <c r="D51" s="199" t="s">
        <v>126</v>
      </c>
      <c r="E51" s="199"/>
      <c r="F51" s="200">
        <v>0</v>
      </c>
      <c r="G51" s="201">
        <v>0</v>
      </c>
      <c r="H51" s="202">
        <f>SUM(F51:G51)</f>
        <v>0</v>
      </c>
      <c r="I51" s="201">
        <v>0</v>
      </c>
      <c r="J51" s="200">
        <v>0</v>
      </c>
      <c r="K51" s="200">
        <v>0</v>
      </c>
      <c r="L51" s="200">
        <v>0</v>
      </c>
      <c r="M51" s="201">
        <v>0</v>
      </c>
      <c r="N51" s="203">
        <f>SUM(I51:M51)</f>
        <v>0</v>
      </c>
      <c r="O51" s="204">
        <f>H51+N51</f>
        <v>0</v>
      </c>
    </row>
    <row r="52" spans="3:15" ht="18" customHeight="1">
      <c r="C52" s="316" t="s">
        <v>127</v>
      </c>
      <c r="D52" s="317"/>
      <c r="E52" s="318"/>
      <c r="F52" s="205">
        <f t="shared" ref="F52:M52" si="13">SUM(F11,F32,F33,F47)</f>
        <v>0</v>
      </c>
      <c r="G52" s="205">
        <f t="shared" si="13"/>
        <v>0</v>
      </c>
      <c r="H52" s="225">
        <f t="shared" si="13"/>
        <v>0</v>
      </c>
      <c r="I52" s="205">
        <f t="shared" si="13"/>
        <v>0</v>
      </c>
      <c r="J52" s="205">
        <f t="shared" si="13"/>
        <v>0</v>
      </c>
      <c r="K52" s="205">
        <f t="shared" si="13"/>
        <v>0</v>
      </c>
      <c r="L52" s="205">
        <f t="shared" si="13"/>
        <v>0</v>
      </c>
      <c r="M52" s="205">
        <f t="shared" si="13"/>
        <v>0</v>
      </c>
      <c r="N52" s="205">
        <f>N11+N32+N33+N47</f>
        <v>0</v>
      </c>
      <c r="O52" s="207">
        <f>O11+O32+O33+O47</f>
        <v>0</v>
      </c>
    </row>
    <row r="53" spans="3:15" ht="18" customHeight="1">
      <c r="C53" s="80"/>
    </row>
  </sheetData>
  <mergeCells count="11">
    <mergeCell ref="D43:E43"/>
    <mergeCell ref="D44:E44"/>
    <mergeCell ref="D42:E42"/>
    <mergeCell ref="C52:E52"/>
    <mergeCell ref="D46:E46"/>
    <mergeCell ref="D45:E45"/>
    <mergeCell ref="A3:P3"/>
    <mergeCell ref="C10:E10"/>
    <mergeCell ref="O10"/>
    <mergeCell ref="A4:P4"/>
    <mergeCell ref="D34:E34"/>
  </mergeCells>
  <phoneticPr fontId="14"/>
  <dataValidations count="1">
    <dataValidation allowBlank="1" showInputMessage="1" showErrorMessage="1" sqref="F28" xr:uid="{00000000-0002-0000-1C00-000000000000}"/>
  </dataValidations>
  <pageMargins left="0.7" right="0.7" top="0.75" bottom="0.75" header="0.3" footer="0.3"/>
  <pageSetup paperSize="9" scale="56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53"/>
  <sheetViews>
    <sheetView showGridLines="0" view="pageBreakPreview" zoomScale="60" zoomScaleNormal="100" workbookViewId="0"/>
  </sheetViews>
  <sheetFormatPr defaultColWidth="9" defaultRowHeight="12" customHeight="1"/>
  <cols>
    <col min="1" max="4" width="3.77734375" style="27" customWidth="1"/>
    <col min="5" max="5" width="35.55468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140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141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142</v>
      </c>
    </row>
    <row r="9" spans="1:16" ht="16.5" customHeight="1">
      <c r="C9" s="310" t="s">
        <v>88</v>
      </c>
      <c r="D9" s="311"/>
      <c r="E9" s="312"/>
      <c r="F9" s="140" t="s">
        <v>72</v>
      </c>
      <c r="G9" s="140" t="s">
        <v>73</v>
      </c>
      <c r="H9" s="141" t="s">
        <v>20</v>
      </c>
      <c r="I9" s="140" t="s">
        <v>74</v>
      </c>
      <c r="J9" s="140" t="s">
        <v>75</v>
      </c>
      <c r="K9" s="140" t="s">
        <v>76</v>
      </c>
      <c r="L9" s="140" t="s">
        <v>77</v>
      </c>
      <c r="M9" s="140" t="s">
        <v>78</v>
      </c>
      <c r="N9" s="209" t="s">
        <v>20</v>
      </c>
      <c r="O9" s="309" t="s">
        <v>39</v>
      </c>
      <c r="P9" s="142"/>
    </row>
    <row r="10" spans="1:16" ht="16.5" customHeight="1">
      <c r="C10" s="143" t="s">
        <v>143</v>
      </c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5"/>
    </row>
    <row r="11" spans="1:16" ht="16.5" customHeight="1">
      <c r="C11" s="149"/>
      <c r="D11" s="246" t="s">
        <v>41</v>
      </c>
      <c r="E11" s="247"/>
      <c r="F11" s="248">
        <f t="shared" ref="F11:O11" si="0">SUM(F12:F20)</f>
        <v>0</v>
      </c>
      <c r="G11" s="191">
        <f t="shared" si="0"/>
        <v>0</v>
      </c>
      <c r="H11" s="147">
        <f t="shared" si="0"/>
        <v>0</v>
      </c>
      <c r="I11" s="249">
        <f t="shared" si="0"/>
        <v>0</v>
      </c>
      <c r="J11" s="191">
        <f t="shared" si="0"/>
        <v>0</v>
      </c>
      <c r="K11" s="191">
        <f t="shared" si="0"/>
        <v>0</v>
      </c>
      <c r="L11" s="191">
        <f t="shared" si="0"/>
        <v>0</v>
      </c>
      <c r="M11" s="191">
        <f t="shared" si="0"/>
        <v>0</v>
      </c>
      <c r="N11" s="147">
        <f t="shared" si="0"/>
        <v>0</v>
      </c>
      <c r="O11" s="148">
        <f t="shared" si="0"/>
        <v>0</v>
      </c>
    </row>
    <row r="12" spans="1:16" ht="16.5" customHeight="1">
      <c r="C12" s="149"/>
      <c r="D12" s="250"/>
      <c r="E12" s="157" t="s">
        <v>34</v>
      </c>
      <c r="F12" s="189">
        <v>0</v>
      </c>
      <c r="G12" s="189">
        <v>0</v>
      </c>
      <c r="H12" s="190">
        <f t="shared" ref="H12:H20" si="1">SUM(F12:G12)</f>
        <v>0</v>
      </c>
      <c r="I12" s="240">
        <v>0</v>
      </c>
      <c r="J12" s="188">
        <v>0</v>
      </c>
      <c r="K12" s="188">
        <v>0</v>
      </c>
      <c r="L12" s="188">
        <v>0</v>
      </c>
      <c r="M12" s="188">
        <v>0</v>
      </c>
      <c r="N12" s="190">
        <f t="shared" ref="N12:N20" si="2">SUM(I12:M12)</f>
        <v>0</v>
      </c>
      <c r="O12" s="192">
        <f t="shared" ref="O12:O20" si="3">H12+N12</f>
        <v>0</v>
      </c>
    </row>
    <row r="13" spans="1:16" ht="16.5" customHeight="1">
      <c r="C13" s="149"/>
      <c r="D13" s="251"/>
      <c r="E13" s="157" t="s">
        <v>35</v>
      </c>
      <c r="F13" s="189">
        <v>0</v>
      </c>
      <c r="G13" s="189">
        <v>0</v>
      </c>
      <c r="H13" s="190">
        <f t="shared" si="1"/>
        <v>0</v>
      </c>
      <c r="I13" s="240">
        <v>0</v>
      </c>
      <c r="J13" s="188">
        <v>0</v>
      </c>
      <c r="K13" s="188">
        <v>0</v>
      </c>
      <c r="L13" s="188">
        <v>0</v>
      </c>
      <c r="M13" s="188">
        <v>0</v>
      </c>
      <c r="N13" s="190">
        <f t="shared" si="2"/>
        <v>0</v>
      </c>
      <c r="O13" s="192">
        <f t="shared" si="3"/>
        <v>0</v>
      </c>
    </row>
    <row r="14" spans="1:16" ht="16.5" customHeight="1">
      <c r="C14" s="149"/>
      <c r="D14" s="250"/>
      <c r="E14" s="157" t="s">
        <v>36</v>
      </c>
      <c r="F14" s="189">
        <v>0</v>
      </c>
      <c r="G14" s="189">
        <v>0</v>
      </c>
      <c r="H14" s="190">
        <f t="shared" si="1"/>
        <v>0</v>
      </c>
      <c r="I14" s="240">
        <v>0</v>
      </c>
      <c r="J14" s="188">
        <v>0</v>
      </c>
      <c r="K14" s="188">
        <v>0</v>
      </c>
      <c r="L14" s="188">
        <v>0</v>
      </c>
      <c r="M14" s="188">
        <v>0</v>
      </c>
      <c r="N14" s="190">
        <f t="shared" si="2"/>
        <v>0</v>
      </c>
      <c r="O14" s="192">
        <f t="shared" si="3"/>
        <v>0</v>
      </c>
    </row>
    <row r="15" spans="1:16" ht="16.5" customHeight="1">
      <c r="C15" s="149"/>
      <c r="D15" s="250"/>
      <c r="E15" s="157" t="s">
        <v>37</v>
      </c>
      <c r="F15" s="189">
        <v>0</v>
      </c>
      <c r="G15" s="189">
        <v>0</v>
      </c>
      <c r="H15" s="190">
        <f t="shared" si="1"/>
        <v>0</v>
      </c>
      <c r="I15" s="240">
        <v>0</v>
      </c>
      <c r="J15" s="188">
        <v>0</v>
      </c>
      <c r="K15" s="188">
        <v>0</v>
      </c>
      <c r="L15" s="188">
        <v>0</v>
      </c>
      <c r="M15" s="188">
        <v>0</v>
      </c>
      <c r="N15" s="190">
        <f t="shared" si="2"/>
        <v>0</v>
      </c>
      <c r="O15" s="192">
        <f t="shared" si="3"/>
        <v>0</v>
      </c>
    </row>
    <row r="16" spans="1:16" ht="16.5" customHeight="1">
      <c r="C16" s="149"/>
      <c r="D16" s="250"/>
      <c r="E16" s="157" t="s">
        <v>122</v>
      </c>
      <c r="F16" s="189">
        <v>0</v>
      </c>
      <c r="G16" s="189">
        <v>0</v>
      </c>
      <c r="H16" s="190">
        <f t="shared" si="1"/>
        <v>0</v>
      </c>
      <c r="I16" s="240">
        <v>0</v>
      </c>
      <c r="J16" s="188">
        <v>0</v>
      </c>
      <c r="K16" s="188">
        <v>0</v>
      </c>
      <c r="L16" s="188">
        <v>0</v>
      </c>
      <c r="M16" s="188">
        <v>0</v>
      </c>
      <c r="N16" s="190">
        <f t="shared" si="2"/>
        <v>0</v>
      </c>
      <c r="O16" s="192">
        <f t="shared" si="3"/>
        <v>0</v>
      </c>
    </row>
    <row r="17" spans="3:15" ht="16.5" customHeight="1">
      <c r="C17" s="149"/>
      <c r="D17" s="250"/>
      <c r="E17" s="157" t="s">
        <v>100</v>
      </c>
      <c r="F17" s="188">
        <v>0</v>
      </c>
      <c r="G17" s="188">
        <v>0</v>
      </c>
      <c r="H17" s="190">
        <f t="shared" si="1"/>
        <v>0</v>
      </c>
      <c r="I17" s="240">
        <v>0</v>
      </c>
      <c r="J17" s="188">
        <v>0</v>
      </c>
      <c r="K17" s="188">
        <v>0</v>
      </c>
      <c r="L17" s="188">
        <v>0</v>
      </c>
      <c r="M17" s="188">
        <v>0</v>
      </c>
      <c r="N17" s="190">
        <f t="shared" si="2"/>
        <v>0</v>
      </c>
      <c r="O17" s="192">
        <f t="shared" si="3"/>
        <v>0</v>
      </c>
    </row>
    <row r="18" spans="3:15" ht="16.5" customHeight="1">
      <c r="C18" s="149"/>
      <c r="D18" s="250"/>
      <c r="E18" s="157" t="s">
        <v>101</v>
      </c>
      <c r="F18" s="252">
        <v>0</v>
      </c>
      <c r="G18" s="252">
        <v>0</v>
      </c>
      <c r="H18" s="253">
        <f t="shared" si="1"/>
        <v>0</v>
      </c>
      <c r="I18" s="254">
        <v>0</v>
      </c>
      <c r="J18" s="252">
        <v>0</v>
      </c>
      <c r="K18" s="252">
        <v>0</v>
      </c>
      <c r="L18" s="252">
        <v>0</v>
      </c>
      <c r="M18" s="252">
        <v>0</v>
      </c>
      <c r="N18" s="253">
        <f t="shared" si="2"/>
        <v>0</v>
      </c>
      <c r="O18" s="255">
        <f t="shared" si="3"/>
        <v>0</v>
      </c>
    </row>
    <row r="19" spans="3:15" ht="16.5" customHeight="1">
      <c r="C19" s="149"/>
      <c r="D19" s="250"/>
      <c r="E19" s="256" t="s">
        <v>102</v>
      </c>
      <c r="F19" s="252">
        <v>0</v>
      </c>
      <c r="G19" s="252">
        <v>0</v>
      </c>
      <c r="H19" s="253">
        <f t="shared" si="1"/>
        <v>0</v>
      </c>
      <c r="I19" s="254">
        <v>0</v>
      </c>
      <c r="J19" s="252">
        <v>0</v>
      </c>
      <c r="K19" s="252">
        <v>0</v>
      </c>
      <c r="L19" s="252">
        <v>0</v>
      </c>
      <c r="M19" s="252">
        <v>0</v>
      </c>
      <c r="N19" s="253">
        <f t="shared" si="2"/>
        <v>0</v>
      </c>
      <c r="O19" s="255">
        <f t="shared" si="3"/>
        <v>0</v>
      </c>
    </row>
    <row r="20" spans="3:15" ht="16.5" customHeight="1">
      <c r="C20" s="149"/>
      <c r="D20" s="257"/>
      <c r="E20" s="258" t="s">
        <v>103</v>
      </c>
      <c r="F20" s="200">
        <v>0</v>
      </c>
      <c r="G20" s="200">
        <v>0</v>
      </c>
      <c r="H20" s="202">
        <f t="shared" si="1"/>
        <v>0</v>
      </c>
      <c r="I20" s="259">
        <v>0</v>
      </c>
      <c r="J20" s="200">
        <v>0</v>
      </c>
      <c r="K20" s="200">
        <v>0</v>
      </c>
      <c r="L20" s="200">
        <v>0</v>
      </c>
      <c r="M20" s="200">
        <v>0</v>
      </c>
      <c r="N20" s="202">
        <f t="shared" si="2"/>
        <v>0</v>
      </c>
      <c r="O20" s="204">
        <f t="shared" si="3"/>
        <v>0</v>
      </c>
    </row>
    <row r="21" spans="3:15" ht="16.5" customHeight="1">
      <c r="C21" s="149"/>
      <c r="D21" s="260" t="s">
        <v>144</v>
      </c>
      <c r="E21" s="261"/>
      <c r="F21" s="152">
        <f t="shared" ref="F21:O21" si="4">SUM(F22:F30)</f>
        <v>0</v>
      </c>
      <c r="G21" s="152">
        <f t="shared" si="4"/>
        <v>0</v>
      </c>
      <c r="H21" s="154">
        <f t="shared" si="4"/>
        <v>0</v>
      </c>
      <c r="I21" s="249">
        <f t="shared" si="4"/>
        <v>0</v>
      </c>
      <c r="J21" s="152">
        <f t="shared" si="4"/>
        <v>0</v>
      </c>
      <c r="K21" s="152">
        <f t="shared" si="4"/>
        <v>0</v>
      </c>
      <c r="L21" s="152">
        <f t="shared" si="4"/>
        <v>0</v>
      </c>
      <c r="M21" s="152">
        <f t="shared" si="4"/>
        <v>0</v>
      </c>
      <c r="N21" s="154">
        <f t="shared" si="4"/>
        <v>0</v>
      </c>
      <c r="O21" s="155">
        <f t="shared" si="4"/>
        <v>0</v>
      </c>
    </row>
    <row r="22" spans="3:15" ht="16.5" customHeight="1">
      <c r="C22" s="149"/>
      <c r="D22" s="250"/>
      <c r="E22" s="157" t="s">
        <v>34</v>
      </c>
      <c r="F22" s="189">
        <v>0</v>
      </c>
      <c r="G22" s="189">
        <v>0</v>
      </c>
      <c r="H22" s="190">
        <f t="shared" ref="H22:H30" si="5">SUM(F22:G22)</f>
        <v>0</v>
      </c>
      <c r="I22" s="240">
        <v>0</v>
      </c>
      <c r="J22" s="188">
        <v>0</v>
      </c>
      <c r="K22" s="188">
        <v>0</v>
      </c>
      <c r="L22" s="188">
        <v>0</v>
      </c>
      <c r="M22" s="188">
        <v>0</v>
      </c>
      <c r="N22" s="190">
        <f t="shared" ref="N22:N30" si="6">SUM(I22:M22)</f>
        <v>0</v>
      </c>
      <c r="O22" s="192">
        <f t="shared" ref="O22:O30" si="7">H22+N22</f>
        <v>0</v>
      </c>
    </row>
    <row r="23" spans="3:15" ht="16.5" customHeight="1">
      <c r="C23" s="149"/>
      <c r="D23" s="251"/>
      <c r="E23" s="157" t="s">
        <v>35</v>
      </c>
      <c r="F23" s="189">
        <v>0</v>
      </c>
      <c r="G23" s="189">
        <v>0</v>
      </c>
      <c r="H23" s="190">
        <f t="shared" si="5"/>
        <v>0</v>
      </c>
      <c r="I23" s="240">
        <v>0</v>
      </c>
      <c r="J23" s="188">
        <v>0</v>
      </c>
      <c r="K23" s="188">
        <v>0</v>
      </c>
      <c r="L23" s="188">
        <v>0</v>
      </c>
      <c r="M23" s="188">
        <v>0</v>
      </c>
      <c r="N23" s="190">
        <f t="shared" si="6"/>
        <v>0</v>
      </c>
      <c r="O23" s="192">
        <f t="shared" si="7"/>
        <v>0</v>
      </c>
    </row>
    <row r="24" spans="3:15" ht="16.5" customHeight="1">
      <c r="C24" s="149"/>
      <c r="D24" s="250"/>
      <c r="E24" s="157" t="s">
        <v>36</v>
      </c>
      <c r="F24" s="189">
        <v>0</v>
      </c>
      <c r="G24" s="189">
        <v>0</v>
      </c>
      <c r="H24" s="190">
        <f t="shared" si="5"/>
        <v>0</v>
      </c>
      <c r="I24" s="240">
        <v>0</v>
      </c>
      <c r="J24" s="188">
        <v>0</v>
      </c>
      <c r="K24" s="188">
        <v>0</v>
      </c>
      <c r="L24" s="188">
        <v>0</v>
      </c>
      <c r="M24" s="188">
        <v>0</v>
      </c>
      <c r="N24" s="190">
        <f t="shared" si="6"/>
        <v>0</v>
      </c>
      <c r="O24" s="192">
        <f t="shared" si="7"/>
        <v>0</v>
      </c>
    </row>
    <row r="25" spans="3:15" ht="16.5" customHeight="1">
      <c r="C25" s="149"/>
      <c r="D25" s="250"/>
      <c r="E25" s="157" t="s">
        <v>37</v>
      </c>
      <c r="F25" s="189">
        <v>0</v>
      </c>
      <c r="G25" s="189">
        <v>0</v>
      </c>
      <c r="H25" s="190">
        <f t="shared" si="5"/>
        <v>0</v>
      </c>
      <c r="I25" s="240">
        <v>0</v>
      </c>
      <c r="J25" s="188">
        <v>0</v>
      </c>
      <c r="K25" s="188">
        <v>0</v>
      </c>
      <c r="L25" s="188">
        <v>0</v>
      </c>
      <c r="M25" s="188">
        <v>0</v>
      </c>
      <c r="N25" s="190">
        <f t="shared" si="6"/>
        <v>0</v>
      </c>
      <c r="O25" s="192">
        <f t="shared" si="7"/>
        <v>0</v>
      </c>
    </row>
    <row r="26" spans="3:15" ht="16.5" customHeight="1">
      <c r="C26" s="149"/>
      <c r="D26" s="250"/>
      <c r="E26" s="157" t="s">
        <v>122</v>
      </c>
      <c r="F26" s="189">
        <v>0</v>
      </c>
      <c r="G26" s="189">
        <v>0</v>
      </c>
      <c r="H26" s="190">
        <f t="shared" si="5"/>
        <v>0</v>
      </c>
      <c r="I26" s="240">
        <v>0</v>
      </c>
      <c r="J26" s="188">
        <v>0</v>
      </c>
      <c r="K26" s="188">
        <v>0</v>
      </c>
      <c r="L26" s="188">
        <v>0</v>
      </c>
      <c r="M26" s="188">
        <v>0</v>
      </c>
      <c r="N26" s="190">
        <f t="shared" si="6"/>
        <v>0</v>
      </c>
      <c r="O26" s="192">
        <f t="shared" si="7"/>
        <v>0</v>
      </c>
    </row>
    <row r="27" spans="3:15" ht="16.5" customHeight="1">
      <c r="C27" s="149"/>
      <c r="D27" s="250"/>
      <c r="E27" s="157" t="s">
        <v>100</v>
      </c>
      <c r="F27" s="188">
        <v>0</v>
      </c>
      <c r="G27" s="188">
        <v>0</v>
      </c>
      <c r="H27" s="190">
        <f t="shared" si="5"/>
        <v>0</v>
      </c>
      <c r="I27" s="240">
        <v>0</v>
      </c>
      <c r="J27" s="188">
        <v>0</v>
      </c>
      <c r="K27" s="188">
        <v>0</v>
      </c>
      <c r="L27" s="188">
        <v>0</v>
      </c>
      <c r="M27" s="188">
        <v>0</v>
      </c>
      <c r="N27" s="190">
        <f t="shared" si="6"/>
        <v>0</v>
      </c>
      <c r="O27" s="192">
        <f t="shared" si="7"/>
        <v>0</v>
      </c>
    </row>
    <row r="28" spans="3:15" ht="16.5" customHeight="1">
      <c r="C28" s="149"/>
      <c r="D28" s="250"/>
      <c r="E28" s="157" t="s">
        <v>101</v>
      </c>
      <c r="F28" s="252">
        <v>0</v>
      </c>
      <c r="G28" s="252">
        <v>0</v>
      </c>
      <c r="H28" s="253">
        <f t="shared" si="5"/>
        <v>0</v>
      </c>
      <c r="I28" s="254">
        <v>0</v>
      </c>
      <c r="J28" s="252">
        <v>0</v>
      </c>
      <c r="K28" s="252">
        <v>0</v>
      </c>
      <c r="L28" s="252">
        <v>0</v>
      </c>
      <c r="M28" s="252">
        <v>0</v>
      </c>
      <c r="N28" s="253">
        <f t="shared" si="6"/>
        <v>0</v>
      </c>
      <c r="O28" s="255">
        <f t="shared" si="7"/>
        <v>0</v>
      </c>
    </row>
    <row r="29" spans="3:15" ht="16.5" customHeight="1">
      <c r="C29" s="149"/>
      <c r="D29" s="250"/>
      <c r="E29" s="256" t="s">
        <v>102</v>
      </c>
      <c r="F29" s="252">
        <v>0</v>
      </c>
      <c r="G29" s="252">
        <v>0</v>
      </c>
      <c r="H29" s="253">
        <f t="shared" si="5"/>
        <v>0</v>
      </c>
      <c r="I29" s="254">
        <v>0</v>
      </c>
      <c r="J29" s="252">
        <v>0</v>
      </c>
      <c r="K29" s="252">
        <v>0</v>
      </c>
      <c r="L29" s="252">
        <v>0</v>
      </c>
      <c r="M29" s="252">
        <v>0</v>
      </c>
      <c r="N29" s="253">
        <f t="shared" si="6"/>
        <v>0</v>
      </c>
      <c r="O29" s="255">
        <f t="shared" si="7"/>
        <v>0</v>
      </c>
    </row>
    <row r="30" spans="3:15" ht="16.5" customHeight="1">
      <c r="C30" s="149"/>
      <c r="D30" s="257"/>
      <c r="E30" s="258" t="s">
        <v>103</v>
      </c>
      <c r="F30" s="200">
        <v>0</v>
      </c>
      <c r="G30" s="200">
        <v>0</v>
      </c>
      <c r="H30" s="202">
        <f t="shared" si="5"/>
        <v>0</v>
      </c>
      <c r="I30" s="259">
        <v>0</v>
      </c>
      <c r="J30" s="200">
        <v>0</v>
      </c>
      <c r="K30" s="200">
        <v>0</v>
      </c>
      <c r="L30" s="200">
        <v>0</v>
      </c>
      <c r="M30" s="200">
        <v>0</v>
      </c>
      <c r="N30" s="202">
        <f t="shared" si="6"/>
        <v>0</v>
      </c>
      <c r="O30" s="204">
        <f t="shared" si="7"/>
        <v>0</v>
      </c>
    </row>
    <row r="31" spans="3:15" ht="16.5" customHeight="1">
      <c r="C31" s="262" t="s">
        <v>145</v>
      </c>
      <c r="D31" s="263"/>
      <c r="E31" s="264"/>
      <c r="F31" s="265"/>
      <c r="G31" s="265"/>
      <c r="H31" s="265"/>
      <c r="I31" s="265"/>
      <c r="J31" s="265"/>
      <c r="K31" s="265"/>
      <c r="L31" s="265"/>
      <c r="M31" s="265"/>
      <c r="N31" s="265"/>
      <c r="O31" s="266"/>
    </row>
    <row r="32" spans="3:15" ht="16.5" customHeight="1">
      <c r="C32" s="149"/>
      <c r="D32" s="246" t="s">
        <v>41</v>
      </c>
      <c r="E32" s="247"/>
      <c r="F32" s="248">
        <f t="shared" ref="F32:O32" si="8">SUM(F33:F41)</f>
        <v>0</v>
      </c>
      <c r="G32" s="191">
        <f t="shared" si="8"/>
        <v>0</v>
      </c>
      <c r="H32" s="147">
        <f t="shared" si="8"/>
        <v>0</v>
      </c>
      <c r="I32" s="249">
        <f t="shared" si="8"/>
        <v>0</v>
      </c>
      <c r="J32" s="191">
        <f t="shared" si="8"/>
        <v>0</v>
      </c>
      <c r="K32" s="191">
        <f t="shared" si="8"/>
        <v>0</v>
      </c>
      <c r="L32" s="191">
        <f t="shared" si="8"/>
        <v>0</v>
      </c>
      <c r="M32" s="191">
        <f t="shared" si="8"/>
        <v>0</v>
      </c>
      <c r="N32" s="147">
        <f t="shared" si="8"/>
        <v>0</v>
      </c>
      <c r="O32" s="148">
        <f t="shared" si="8"/>
        <v>0</v>
      </c>
    </row>
    <row r="33" spans="3:15" ht="16.5" customHeight="1">
      <c r="C33" s="149"/>
      <c r="D33" s="250"/>
      <c r="E33" s="157" t="s">
        <v>34</v>
      </c>
      <c r="F33" s="189">
        <v>0</v>
      </c>
      <c r="G33" s="189">
        <v>0</v>
      </c>
      <c r="H33" s="190">
        <f t="shared" ref="H33:H41" si="9">SUM(F33:G33)</f>
        <v>0</v>
      </c>
      <c r="I33" s="240">
        <v>0</v>
      </c>
      <c r="J33" s="188">
        <v>0</v>
      </c>
      <c r="K33" s="188">
        <v>0</v>
      </c>
      <c r="L33" s="188">
        <v>0</v>
      </c>
      <c r="M33" s="188">
        <v>0</v>
      </c>
      <c r="N33" s="190">
        <f t="shared" ref="N33:N41" si="10">SUM(I33:M33)</f>
        <v>0</v>
      </c>
      <c r="O33" s="192">
        <f t="shared" ref="O33:O41" si="11">H33+N33</f>
        <v>0</v>
      </c>
    </row>
    <row r="34" spans="3:15" ht="16.5" customHeight="1">
      <c r="C34" s="149"/>
      <c r="D34" s="251"/>
      <c r="E34" s="157" t="s">
        <v>35</v>
      </c>
      <c r="F34" s="189">
        <v>0</v>
      </c>
      <c r="G34" s="189">
        <v>0</v>
      </c>
      <c r="H34" s="190">
        <f t="shared" si="9"/>
        <v>0</v>
      </c>
      <c r="I34" s="240">
        <v>0</v>
      </c>
      <c r="J34" s="188">
        <v>0</v>
      </c>
      <c r="K34" s="188">
        <v>0</v>
      </c>
      <c r="L34" s="188">
        <v>0</v>
      </c>
      <c r="M34" s="188">
        <v>0</v>
      </c>
      <c r="N34" s="190">
        <f t="shared" si="10"/>
        <v>0</v>
      </c>
      <c r="O34" s="192">
        <f t="shared" si="11"/>
        <v>0</v>
      </c>
    </row>
    <row r="35" spans="3:15" ht="16.5" customHeight="1">
      <c r="C35" s="149"/>
      <c r="D35" s="250"/>
      <c r="E35" s="157" t="s">
        <v>36</v>
      </c>
      <c r="F35" s="189">
        <v>0</v>
      </c>
      <c r="G35" s="189">
        <v>0</v>
      </c>
      <c r="H35" s="190">
        <f t="shared" si="9"/>
        <v>0</v>
      </c>
      <c r="I35" s="240">
        <v>0</v>
      </c>
      <c r="J35" s="188">
        <v>0</v>
      </c>
      <c r="K35" s="188">
        <v>0</v>
      </c>
      <c r="L35" s="188">
        <v>0</v>
      </c>
      <c r="M35" s="188">
        <v>0</v>
      </c>
      <c r="N35" s="190">
        <f t="shared" si="10"/>
        <v>0</v>
      </c>
      <c r="O35" s="192">
        <f t="shared" si="11"/>
        <v>0</v>
      </c>
    </row>
    <row r="36" spans="3:15" ht="16.5" customHeight="1">
      <c r="C36" s="149"/>
      <c r="D36" s="250"/>
      <c r="E36" s="157" t="s">
        <v>37</v>
      </c>
      <c r="F36" s="189">
        <v>0</v>
      </c>
      <c r="G36" s="189">
        <v>0</v>
      </c>
      <c r="H36" s="190">
        <f t="shared" si="9"/>
        <v>0</v>
      </c>
      <c r="I36" s="240">
        <v>0</v>
      </c>
      <c r="J36" s="188">
        <v>0</v>
      </c>
      <c r="K36" s="188">
        <v>0</v>
      </c>
      <c r="L36" s="188">
        <v>0</v>
      </c>
      <c r="M36" s="188">
        <v>0</v>
      </c>
      <c r="N36" s="190">
        <f t="shared" si="10"/>
        <v>0</v>
      </c>
      <c r="O36" s="192">
        <f t="shared" si="11"/>
        <v>0</v>
      </c>
    </row>
    <row r="37" spans="3:15" ht="16.5" customHeight="1">
      <c r="C37" s="149"/>
      <c r="D37" s="250"/>
      <c r="E37" s="157" t="s">
        <v>122</v>
      </c>
      <c r="F37" s="189">
        <v>0</v>
      </c>
      <c r="G37" s="189">
        <v>0</v>
      </c>
      <c r="H37" s="190">
        <f t="shared" si="9"/>
        <v>0</v>
      </c>
      <c r="I37" s="240">
        <v>0</v>
      </c>
      <c r="J37" s="188">
        <v>0</v>
      </c>
      <c r="K37" s="188">
        <v>0</v>
      </c>
      <c r="L37" s="188">
        <v>0</v>
      </c>
      <c r="M37" s="188">
        <v>0</v>
      </c>
      <c r="N37" s="190">
        <f t="shared" si="10"/>
        <v>0</v>
      </c>
      <c r="O37" s="192">
        <f t="shared" si="11"/>
        <v>0</v>
      </c>
    </row>
    <row r="38" spans="3:15" ht="16.5" customHeight="1">
      <c r="C38" s="149"/>
      <c r="D38" s="250"/>
      <c r="E38" s="157" t="s">
        <v>100</v>
      </c>
      <c r="F38" s="188">
        <v>0</v>
      </c>
      <c r="G38" s="188">
        <v>0</v>
      </c>
      <c r="H38" s="190">
        <f t="shared" si="9"/>
        <v>0</v>
      </c>
      <c r="I38" s="240">
        <v>0</v>
      </c>
      <c r="J38" s="188">
        <v>0</v>
      </c>
      <c r="K38" s="188">
        <v>0</v>
      </c>
      <c r="L38" s="188">
        <v>0</v>
      </c>
      <c r="M38" s="188">
        <v>0</v>
      </c>
      <c r="N38" s="190">
        <f t="shared" si="10"/>
        <v>0</v>
      </c>
      <c r="O38" s="192">
        <f t="shared" si="11"/>
        <v>0</v>
      </c>
    </row>
    <row r="39" spans="3:15" ht="16.5" customHeight="1">
      <c r="C39" s="149"/>
      <c r="D39" s="250"/>
      <c r="E39" s="157" t="s">
        <v>101</v>
      </c>
      <c r="F39" s="252">
        <v>0</v>
      </c>
      <c r="G39" s="252">
        <v>0</v>
      </c>
      <c r="H39" s="253">
        <f t="shared" si="9"/>
        <v>0</v>
      </c>
      <c r="I39" s="254">
        <v>0</v>
      </c>
      <c r="J39" s="252">
        <v>0</v>
      </c>
      <c r="K39" s="252">
        <v>0</v>
      </c>
      <c r="L39" s="252">
        <v>0</v>
      </c>
      <c r="M39" s="252">
        <v>0</v>
      </c>
      <c r="N39" s="253">
        <f t="shared" si="10"/>
        <v>0</v>
      </c>
      <c r="O39" s="255">
        <f t="shared" si="11"/>
        <v>0</v>
      </c>
    </row>
    <row r="40" spans="3:15" ht="16.5" customHeight="1">
      <c r="C40" s="149"/>
      <c r="D40" s="250"/>
      <c r="E40" s="256" t="s">
        <v>102</v>
      </c>
      <c r="F40" s="252">
        <v>0</v>
      </c>
      <c r="G40" s="252">
        <v>0</v>
      </c>
      <c r="H40" s="253">
        <f t="shared" si="9"/>
        <v>0</v>
      </c>
      <c r="I40" s="254">
        <v>0</v>
      </c>
      <c r="J40" s="252">
        <v>0</v>
      </c>
      <c r="K40" s="252">
        <v>0</v>
      </c>
      <c r="L40" s="252">
        <v>0</v>
      </c>
      <c r="M40" s="252">
        <v>0</v>
      </c>
      <c r="N40" s="253">
        <f t="shared" si="10"/>
        <v>0</v>
      </c>
      <c r="O40" s="255">
        <f t="shared" si="11"/>
        <v>0</v>
      </c>
    </row>
    <row r="41" spans="3:15" ht="16.5" customHeight="1">
      <c r="C41" s="149"/>
      <c r="D41" s="257"/>
      <c r="E41" s="258" t="s">
        <v>103</v>
      </c>
      <c r="F41" s="200">
        <v>0</v>
      </c>
      <c r="G41" s="200">
        <v>0</v>
      </c>
      <c r="H41" s="202">
        <f t="shared" si="9"/>
        <v>0</v>
      </c>
      <c r="I41" s="259">
        <v>0</v>
      </c>
      <c r="J41" s="200">
        <v>0</v>
      </c>
      <c r="K41" s="200">
        <v>0</v>
      </c>
      <c r="L41" s="200">
        <v>0</v>
      </c>
      <c r="M41" s="200">
        <v>0</v>
      </c>
      <c r="N41" s="202">
        <f t="shared" si="10"/>
        <v>0</v>
      </c>
      <c r="O41" s="204">
        <f t="shared" si="11"/>
        <v>0</v>
      </c>
    </row>
    <row r="42" spans="3:15" ht="16.5" customHeight="1">
      <c r="C42" s="149"/>
      <c r="D42" s="260" t="s">
        <v>144</v>
      </c>
      <c r="E42" s="261"/>
      <c r="F42" s="152">
        <f t="shared" ref="F42:O42" si="12">SUM(F43:F51)</f>
        <v>0</v>
      </c>
      <c r="G42" s="152">
        <f t="shared" si="12"/>
        <v>0</v>
      </c>
      <c r="H42" s="154">
        <f t="shared" si="12"/>
        <v>0</v>
      </c>
      <c r="I42" s="249">
        <f t="shared" si="12"/>
        <v>0</v>
      </c>
      <c r="J42" s="152">
        <f t="shared" si="12"/>
        <v>0</v>
      </c>
      <c r="K42" s="152">
        <f t="shared" si="12"/>
        <v>0</v>
      </c>
      <c r="L42" s="152">
        <f t="shared" si="12"/>
        <v>0</v>
      </c>
      <c r="M42" s="152">
        <f t="shared" si="12"/>
        <v>0</v>
      </c>
      <c r="N42" s="154">
        <f t="shared" si="12"/>
        <v>0</v>
      </c>
      <c r="O42" s="155">
        <f t="shared" si="12"/>
        <v>0</v>
      </c>
    </row>
    <row r="43" spans="3:15" ht="16.5" customHeight="1">
      <c r="C43" s="149"/>
      <c r="D43" s="250"/>
      <c r="E43" s="157" t="s">
        <v>34</v>
      </c>
      <c r="F43" s="189">
        <v>0</v>
      </c>
      <c r="G43" s="189">
        <v>0</v>
      </c>
      <c r="H43" s="190">
        <f t="shared" ref="H43:H51" si="13">SUM(F43:G43)</f>
        <v>0</v>
      </c>
      <c r="I43" s="240">
        <v>0</v>
      </c>
      <c r="J43" s="188">
        <v>0</v>
      </c>
      <c r="K43" s="188">
        <v>0</v>
      </c>
      <c r="L43" s="188">
        <v>0</v>
      </c>
      <c r="M43" s="188">
        <v>0</v>
      </c>
      <c r="N43" s="190">
        <f t="shared" ref="N43:N51" si="14">SUM(I43:M43)</f>
        <v>0</v>
      </c>
      <c r="O43" s="192">
        <f t="shared" ref="O43:O51" si="15">H43+N43</f>
        <v>0</v>
      </c>
    </row>
    <row r="44" spans="3:15" ht="16.5" customHeight="1">
      <c r="C44" s="149"/>
      <c r="D44" s="251"/>
      <c r="E44" s="157" t="s">
        <v>35</v>
      </c>
      <c r="F44" s="189">
        <v>0</v>
      </c>
      <c r="G44" s="189">
        <v>0</v>
      </c>
      <c r="H44" s="190">
        <f t="shared" si="13"/>
        <v>0</v>
      </c>
      <c r="I44" s="240">
        <v>0</v>
      </c>
      <c r="J44" s="188">
        <v>0</v>
      </c>
      <c r="K44" s="188">
        <v>0</v>
      </c>
      <c r="L44" s="188">
        <v>0</v>
      </c>
      <c r="M44" s="188">
        <v>0</v>
      </c>
      <c r="N44" s="190">
        <f t="shared" si="14"/>
        <v>0</v>
      </c>
      <c r="O44" s="192">
        <f t="shared" si="15"/>
        <v>0</v>
      </c>
    </row>
    <row r="45" spans="3:15" ht="16.5" customHeight="1">
      <c r="C45" s="149"/>
      <c r="D45" s="250"/>
      <c r="E45" s="157" t="s">
        <v>36</v>
      </c>
      <c r="F45" s="189">
        <v>0</v>
      </c>
      <c r="G45" s="189">
        <v>0</v>
      </c>
      <c r="H45" s="190">
        <f t="shared" si="13"/>
        <v>0</v>
      </c>
      <c r="I45" s="240">
        <v>0</v>
      </c>
      <c r="J45" s="188">
        <v>0</v>
      </c>
      <c r="K45" s="188">
        <v>0</v>
      </c>
      <c r="L45" s="188">
        <v>0</v>
      </c>
      <c r="M45" s="188">
        <v>0</v>
      </c>
      <c r="N45" s="190">
        <f t="shared" si="14"/>
        <v>0</v>
      </c>
      <c r="O45" s="192">
        <f t="shared" si="15"/>
        <v>0</v>
      </c>
    </row>
    <row r="46" spans="3:15" ht="16.5" customHeight="1">
      <c r="C46" s="149"/>
      <c r="D46" s="250"/>
      <c r="E46" s="157" t="s">
        <v>37</v>
      </c>
      <c r="F46" s="189">
        <v>0</v>
      </c>
      <c r="G46" s="189">
        <v>0</v>
      </c>
      <c r="H46" s="190">
        <f t="shared" si="13"/>
        <v>0</v>
      </c>
      <c r="I46" s="240">
        <v>0</v>
      </c>
      <c r="J46" s="188">
        <v>0</v>
      </c>
      <c r="K46" s="188">
        <v>0</v>
      </c>
      <c r="L46" s="188">
        <v>0</v>
      </c>
      <c r="M46" s="188">
        <v>0</v>
      </c>
      <c r="N46" s="190">
        <f t="shared" si="14"/>
        <v>0</v>
      </c>
      <c r="O46" s="192">
        <f t="shared" si="15"/>
        <v>0</v>
      </c>
    </row>
    <row r="47" spans="3:15" ht="16.5" customHeight="1">
      <c r="C47" s="149"/>
      <c r="D47" s="250"/>
      <c r="E47" s="157" t="s">
        <v>122</v>
      </c>
      <c r="F47" s="189">
        <v>0</v>
      </c>
      <c r="G47" s="189">
        <v>0</v>
      </c>
      <c r="H47" s="190">
        <f t="shared" si="13"/>
        <v>0</v>
      </c>
      <c r="I47" s="240">
        <v>0</v>
      </c>
      <c r="J47" s="188">
        <v>0</v>
      </c>
      <c r="K47" s="188">
        <v>0</v>
      </c>
      <c r="L47" s="188">
        <v>0</v>
      </c>
      <c r="M47" s="188">
        <v>0</v>
      </c>
      <c r="N47" s="190">
        <f t="shared" si="14"/>
        <v>0</v>
      </c>
      <c r="O47" s="192">
        <f t="shared" si="15"/>
        <v>0</v>
      </c>
    </row>
    <row r="48" spans="3:15" ht="16.5" customHeight="1">
      <c r="C48" s="149"/>
      <c r="D48" s="250"/>
      <c r="E48" s="157" t="s">
        <v>100</v>
      </c>
      <c r="F48" s="188">
        <v>0</v>
      </c>
      <c r="G48" s="188">
        <v>0</v>
      </c>
      <c r="H48" s="190">
        <f t="shared" si="13"/>
        <v>0</v>
      </c>
      <c r="I48" s="240">
        <v>0</v>
      </c>
      <c r="J48" s="188">
        <v>0</v>
      </c>
      <c r="K48" s="188">
        <v>0</v>
      </c>
      <c r="L48" s="188">
        <v>0</v>
      </c>
      <c r="M48" s="188">
        <v>0</v>
      </c>
      <c r="N48" s="190">
        <f t="shared" si="14"/>
        <v>0</v>
      </c>
      <c r="O48" s="192">
        <f t="shared" si="15"/>
        <v>0</v>
      </c>
    </row>
    <row r="49" spans="3:15" ht="16.5" customHeight="1">
      <c r="C49" s="149"/>
      <c r="D49" s="251"/>
      <c r="E49" s="157" t="s">
        <v>101</v>
      </c>
      <c r="F49" s="188">
        <v>0</v>
      </c>
      <c r="G49" s="188">
        <v>0</v>
      </c>
      <c r="H49" s="190">
        <f t="shared" si="13"/>
        <v>0</v>
      </c>
      <c r="I49" s="240">
        <v>0</v>
      </c>
      <c r="J49" s="188">
        <v>0</v>
      </c>
      <c r="K49" s="188">
        <v>0</v>
      </c>
      <c r="L49" s="188">
        <v>0</v>
      </c>
      <c r="M49" s="188">
        <v>0</v>
      </c>
      <c r="N49" s="190">
        <f t="shared" si="14"/>
        <v>0</v>
      </c>
      <c r="O49" s="192">
        <f t="shared" si="15"/>
        <v>0</v>
      </c>
    </row>
    <row r="50" spans="3:15" ht="16.5" customHeight="1">
      <c r="C50" s="149"/>
      <c r="D50" s="250"/>
      <c r="E50" s="256" t="s">
        <v>102</v>
      </c>
      <c r="F50" s="252">
        <v>0</v>
      </c>
      <c r="G50" s="252">
        <v>0</v>
      </c>
      <c r="H50" s="253">
        <f t="shared" si="13"/>
        <v>0</v>
      </c>
      <c r="I50" s="254">
        <v>0</v>
      </c>
      <c r="J50" s="252">
        <v>0</v>
      </c>
      <c r="K50" s="252">
        <v>0</v>
      </c>
      <c r="L50" s="252">
        <v>0</v>
      </c>
      <c r="M50" s="252">
        <v>0</v>
      </c>
      <c r="N50" s="253">
        <f t="shared" si="14"/>
        <v>0</v>
      </c>
      <c r="O50" s="255">
        <f t="shared" si="15"/>
        <v>0</v>
      </c>
    </row>
    <row r="51" spans="3:15" ht="16.5" customHeight="1">
      <c r="C51" s="149"/>
      <c r="D51" s="257"/>
      <c r="E51" s="258" t="s">
        <v>103</v>
      </c>
      <c r="F51" s="200">
        <v>0</v>
      </c>
      <c r="G51" s="200">
        <v>0</v>
      </c>
      <c r="H51" s="202">
        <f t="shared" si="13"/>
        <v>0</v>
      </c>
      <c r="I51" s="259">
        <v>0</v>
      </c>
      <c r="J51" s="200">
        <v>0</v>
      </c>
      <c r="K51" s="200">
        <v>0</v>
      </c>
      <c r="L51" s="200">
        <v>0</v>
      </c>
      <c r="M51" s="200">
        <v>0</v>
      </c>
      <c r="N51" s="202">
        <f t="shared" si="14"/>
        <v>0</v>
      </c>
      <c r="O51" s="204">
        <f t="shared" si="15"/>
        <v>0</v>
      </c>
    </row>
    <row r="52" spans="3:15" ht="16.5" customHeight="1">
      <c r="C52" s="316" t="s">
        <v>127</v>
      </c>
      <c r="D52" s="317"/>
      <c r="E52" s="318"/>
      <c r="F52" s="53">
        <f t="shared" ref="F52:O52" si="16">F32+F42</f>
        <v>0</v>
      </c>
      <c r="G52" s="205">
        <f t="shared" si="16"/>
        <v>0</v>
      </c>
      <c r="H52" s="225">
        <f t="shared" si="16"/>
        <v>0</v>
      </c>
      <c r="I52" s="242">
        <f t="shared" si="16"/>
        <v>0</v>
      </c>
      <c r="J52" s="205">
        <f t="shared" si="16"/>
        <v>0</v>
      </c>
      <c r="K52" s="205">
        <f t="shared" si="16"/>
        <v>0</v>
      </c>
      <c r="L52" s="205">
        <f t="shared" si="16"/>
        <v>0</v>
      </c>
      <c r="M52" s="205">
        <f t="shared" si="16"/>
        <v>0</v>
      </c>
      <c r="N52" s="225">
        <f t="shared" si="16"/>
        <v>0</v>
      </c>
      <c r="O52" s="207">
        <f t="shared" si="16"/>
        <v>0</v>
      </c>
    </row>
    <row r="53" spans="3:15" ht="18" customHeight="1">
      <c r="C53" s="80"/>
    </row>
  </sheetData>
  <sheetProtection selectLockedCells="1" selectUnlockedCells="1"/>
  <mergeCells count="5">
    <mergeCell ref="C52:E52"/>
    <mergeCell ref="A3:P3"/>
    <mergeCell ref="A4:P4"/>
    <mergeCell ref="C9:E9"/>
    <mergeCell ref="O9"/>
  </mergeCells>
  <phoneticPr fontId="14"/>
  <pageMargins left="0.7" right="0.7" top="0.75" bottom="0.75" header="0.3" footer="0.3"/>
  <pageSetup paperSize="9" scale="61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53"/>
  <sheetViews>
    <sheetView showGridLines="0" view="pageBreakPreview" zoomScale="60" zoomScaleNormal="100" workbookViewId="0"/>
  </sheetViews>
  <sheetFormatPr defaultColWidth="9" defaultRowHeight="0" customHeight="1" zeroHeight="1"/>
  <cols>
    <col min="1" max="4" width="3.77734375" style="27" customWidth="1"/>
    <col min="5" max="5" width="35.5546875" style="27" customWidth="1"/>
    <col min="6" max="15" width="14.44140625" style="27" customWidth="1"/>
    <col min="16" max="16" width="4" style="7" customWidth="1"/>
  </cols>
  <sheetData>
    <row r="1" spans="1:16" ht="18" customHeight="1">
      <c r="A1" s="76" t="s">
        <v>146</v>
      </c>
      <c r="P1" s="28"/>
    </row>
    <row r="2" spans="1:16" ht="18" customHeight="1">
      <c r="P2" s="28"/>
    </row>
    <row r="3" spans="1:16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</row>
    <row r="5" spans="1:16" ht="18" customHeight="1">
      <c r="B5" s="76" t="s">
        <v>84</v>
      </c>
      <c r="M5" s="7"/>
      <c r="N5" s="3" t="s">
        <v>3</v>
      </c>
      <c r="O5" s="29" t="s">
        <v>4</v>
      </c>
      <c r="P5" s="27"/>
    </row>
    <row r="6" spans="1:16" ht="18" customHeight="1">
      <c r="B6" s="76" t="s">
        <v>141</v>
      </c>
      <c r="M6" s="7"/>
      <c r="N6" s="30" t="s">
        <v>5</v>
      </c>
      <c r="O6" s="6" t="s">
        <v>6</v>
      </c>
      <c r="P6" s="27" t="s">
        <v>7</v>
      </c>
    </row>
    <row r="7" spans="1:16" ht="18" customHeight="1">
      <c r="C7" s="76" t="s">
        <v>147</v>
      </c>
    </row>
    <row r="8" spans="1:16" ht="12" customHeight="1"/>
    <row r="9" spans="1:16" ht="16.5" customHeight="1">
      <c r="C9" s="310" t="s">
        <v>88</v>
      </c>
      <c r="D9" s="311"/>
      <c r="E9" s="312"/>
      <c r="F9" s="140" t="s">
        <v>72</v>
      </c>
      <c r="G9" s="140" t="s">
        <v>73</v>
      </c>
      <c r="H9" s="141" t="s">
        <v>20</v>
      </c>
      <c r="I9" s="140" t="s">
        <v>74</v>
      </c>
      <c r="J9" s="140" t="s">
        <v>75</v>
      </c>
      <c r="K9" s="140" t="s">
        <v>76</v>
      </c>
      <c r="L9" s="140" t="s">
        <v>77</v>
      </c>
      <c r="M9" s="140" t="s">
        <v>78</v>
      </c>
      <c r="N9" s="209" t="s">
        <v>20</v>
      </c>
      <c r="O9" s="309" t="s">
        <v>39</v>
      </c>
      <c r="P9" s="142"/>
    </row>
    <row r="10" spans="1:16" ht="16.5" customHeight="1">
      <c r="C10" s="143" t="s">
        <v>143</v>
      </c>
      <c r="D10" s="180"/>
      <c r="E10" s="243"/>
      <c r="F10" s="244"/>
      <c r="G10" s="244"/>
      <c r="H10" s="244"/>
      <c r="I10" s="244"/>
      <c r="J10" s="244"/>
      <c r="K10" s="244"/>
      <c r="L10" s="244"/>
      <c r="M10" s="244"/>
      <c r="N10" s="244"/>
      <c r="O10" s="245"/>
    </row>
    <row r="11" spans="1:16" ht="16.5" customHeight="1">
      <c r="C11" s="149"/>
      <c r="D11" s="246" t="s">
        <v>41</v>
      </c>
      <c r="E11" s="247"/>
      <c r="F11" s="248">
        <f t="shared" ref="F11:O11" si="0">SUM(F12:F20)</f>
        <v>0</v>
      </c>
      <c r="G11" s="191">
        <f t="shared" si="0"/>
        <v>0</v>
      </c>
      <c r="H11" s="147">
        <f t="shared" si="0"/>
        <v>0</v>
      </c>
      <c r="I11" s="249">
        <f t="shared" si="0"/>
        <v>0</v>
      </c>
      <c r="J11" s="191">
        <f t="shared" si="0"/>
        <v>0</v>
      </c>
      <c r="K11" s="191">
        <f t="shared" si="0"/>
        <v>0</v>
      </c>
      <c r="L11" s="191">
        <f t="shared" si="0"/>
        <v>0</v>
      </c>
      <c r="M11" s="191">
        <f t="shared" si="0"/>
        <v>0</v>
      </c>
      <c r="N11" s="147">
        <f t="shared" si="0"/>
        <v>0</v>
      </c>
      <c r="O11" s="148">
        <f t="shared" si="0"/>
        <v>0</v>
      </c>
    </row>
    <row r="12" spans="1:16" ht="16.5" customHeight="1">
      <c r="C12" s="149"/>
      <c r="D12" s="250"/>
      <c r="E12" s="157" t="s">
        <v>34</v>
      </c>
      <c r="F12" s="189">
        <v>0</v>
      </c>
      <c r="G12" s="189">
        <v>0</v>
      </c>
      <c r="H12" s="190">
        <f t="shared" ref="H12:H20" si="1">SUM(F12:G12)</f>
        <v>0</v>
      </c>
      <c r="I12" s="240">
        <v>0</v>
      </c>
      <c r="J12" s="188">
        <v>0</v>
      </c>
      <c r="K12" s="188">
        <v>0</v>
      </c>
      <c r="L12" s="188">
        <v>0</v>
      </c>
      <c r="M12" s="188">
        <v>0</v>
      </c>
      <c r="N12" s="190">
        <f t="shared" ref="N12:N20" si="2">SUM(I12:M12)</f>
        <v>0</v>
      </c>
      <c r="O12" s="192">
        <f t="shared" ref="O12:O20" si="3">H12+N12</f>
        <v>0</v>
      </c>
    </row>
    <row r="13" spans="1:16" ht="16.5" customHeight="1">
      <c r="C13" s="149"/>
      <c r="D13" s="251"/>
      <c r="E13" s="157" t="s">
        <v>35</v>
      </c>
      <c r="F13" s="189">
        <v>0</v>
      </c>
      <c r="G13" s="189">
        <v>0</v>
      </c>
      <c r="H13" s="190">
        <f t="shared" si="1"/>
        <v>0</v>
      </c>
      <c r="I13" s="240">
        <v>0</v>
      </c>
      <c r="J13" s="188">
        <v>0</v>
      </c>
      <c r="K13" s="188">
        <v>0</v>
      </c>
      <c r="L13" s="188">
        <v>0</v>
      </c>
      <c r="M13" s="188">
        <v>0</v>
      </c>
      <c r="N13" s="190">
        <f t="shared" si="2"/>
        <v>0</v>
      </c>
      <c r="O13" s="192">
        <f t="shared" si="3"/>
        <v>0</v>
      </c>
    </row>
    <row r="14" spans="1:16" ht="16.5" customHeight="1">
      <c r="C14" s="149"/>
      <c r="D14" s="250"/>
      <c r="E14" s="157" t="s">
        <v>36</v>
      </c>
      <c r="F14" s="189">
        <v>0</v>
      </c>
      <c r="G14" s="189">
        <v>0</v>
      </c>
      <c r="H14" s="190">
        <f t="shared" si="1"/>
        <v>0</v>
      </c>
      <c r="I14" s="240">
        <v>0</v>
      </c>
      <c r="J14" s="188">
        <v>0</v>
      </c>
      <c r="K14" s="188">
        <v>0</v>
      </c>
      <c r="L14" s="188">
        <v>0</v>
      </c>
      <c r="M14" s="188">
        <v>0</v>
      </c>
      <c r="N14" s="190">
        <f t="shared" si="2"/>
        <v>0</v>
      </c>
      <c r="O14" s="192">
        <f t="shared" si="3"/>
        <v>0</v>
      </c>
    </row>
    <row r="15" spans="1:16" ht="16.5" customHeight="1">
      <c r="C15" s="149"/>
      <c r="D15" s="250"/>
      <c r="E15" s="157" t="s">
        <v>37</v>
      </c>
      <c r="F15" s="189">
        <v>0</v>
      </c>
      <c r="G15" s="189">
        <v>0</v>
      </c>
      <c r="H15" s="190">
        <f t="shared" si="1"/>
        <v>0</v>
      </c>
      <c r="I15" s="240">
        <v>0</v>
      </c>
      <c r="J15" s="188">
        <v>0</v>
      </c>
      <c r="K15" s="188">
        <v>0</v>
      </c>
      <c r="L15" s="188">
        <v>0</v>
      </c>
      <c r="M15" s="188">
        <v>0</v>
      </c>
      <c r="N15" s="190">
        <f t="shared" si="2"/>
        <v>0</v>
      </c>
      <c r="O15" s="192">
        <f t="shared" si="3"/>
        <v>0</v>
      </c>
    </row>
    <row r="16" spans="1:16" ht="16.5" customHeight="1">
      <c r="C16" s="149"/>
      <c r="D16" s="250"/>
      <c r="E16" s="157" t="s">
        <v>122</v>
      </c>
      <c r="F16" s="189">
        <v>0</v>
      </c>
      <c r="G16" s="189">
        <v>0</v>
      </c>
      <c r="H16" s="190">
        <f t="shared" si="1"/>
        <v>0</v>
      </c>
      <c r="I16" s="240">
        <v>0</v>
      </c>
      <c r="J16" s="188">
        <v>0</v>
      </c>
      <c r="K16" s="188">
        <v>0</v>
      </c>
      <c r="L16" s="188">
        <v>0</v>
      </c>
      <c r="M16" s="188">
        <v>0</v>
      </c>
      <c r="N16" s="190">
        <f t="shared" si="2"/>
        <v>0</v>
      </c>
      <c r="O16" s="192">
        <f t="shared" si="3"/>
        <v>0</v>
      </c>
    </row>
    <row r="17" spans="3:15" ht="16.5" customHeight="1">
      <c r="C17" s="149"/>
      <c r="D17" s="250"/>
      <c r="E17" s="157" t="s">
        <v>100</v>
      </c>
      <c r="F17" s="188">
        <v>0</v>
      </c>
      <c r="G17" s="188">
        <v>0</v>
      </c>
      <c r="H17" s="190">
        <f t="shared" si="1"/>
        <v>0</v>
      </c>
      <c r="I17" s="240">
        <v>0</v>
      </c>
      <c r="J17" s="188">
        <v>0</v>
      </c>
      <c r="K17" s="188">
        <v>0</v>
      </c>
      <c r="L17" s="188">
        <v>0</v>
      </c>
      <c r="M17" s="188">
        <v>0</v>
      </c>
      <c r="N17" s="190">
        <f t="shared" si="2"/>
        <v>0</v>
      </c>
      <c r="O17" s="192">
        <f t="shared" si="3"/>
        <v>0</v>
      </c>
    </row>
    <row r="18" spans="3:15" ht="16.5" customHeight="1">
      <c r="C18" s="149"/>
      <c r="D18" s="250"/>
      <c r="E18" s="157" t="s">
        <v>101</v>
      </c>
      <c r="F18" s="252">
        <v>0</v>
      </c>
      <c r="G18" s="252">
        <v>0</v>
      </c>
      <c r="H18" s="253">
        <f t="shared" si="1"/>
        <v>0</v>
      </c>
      <c r="I18" s="254">
        <v>0</v>
      </c>
      <c r="J18" s="252">
        <v>0</v>
      </c>
      <c r="K18" s="252">
        <v>0</v>
      </c>
      <c r="L18" s="252">
        <v>0</v>
      </c>
      <c r="M18" s="252">
        <v>0</v>
      </c>
      <c r="N18" s="253">
        <f t="shared" si="2"/>
        <v>0</v>
      </c>
      <c r="O18" s="255">
        <f t="shared" si="3"/>
        <v>0</v>
      </c>
    </row>
    <row r="19" spans="3:15" ht="16.5" customHeight="1">
      <c r="C19" s="149"/>
      <c r="D19" s="250"/>
      <c r="E19" s="256" t="s">
        <v>102</v>
      </c>
      <c r="F19" s="252">
        <v>0</v>
      </c>
      <c r="G19" s="252">
        <v>0</v>
      </c>
      <c r="H19" s="253">
        <f t="shared" si="1"/>
        <v>0</v>
      </c>
      <c r="I19" s="254">
        <v>0</v>
      </c>
      <c r="J19" s="252">
        <v>0</v>
      </c>
      <c r="K19" s="252">
        <v>0</v>
      </c>
      <c r="L19" s="252">
        <v>0</v>
      </c>
      <c r="M19" s="252">
        <v>0</v>
      </c>
      <c r="N19" s="253">
        <f t="shared" si="2"/>
        <v>0</v>
      </c>
      <c r="O19" s="255">
        <f t="shared" si="3"/>
        <v>0</v>
      </c>
    </row>
    <row r="20" spans="3:15" ht="16.5" customHeight="1">
      <c r="C20" s="149"/>
      <c r="D20" s="257"/>
      <c r="E20" s="258" t="s">
        <v>103</v>
      </c>
      <c r="F20" s="200">
        <v>0</v>
      </c>
      <c r="G20" s="200">
        <v>0</v>
      </c>
      <c r="H20" s="202">
        <f t="shared" si="1"/>
        <v>0</v>
      </c>
      <c r="I20" s="259">
        <v>0</v>
      </c>
      <c r="J20" s="200">
        <v>0</v>
      </c>
      <c r="K20" s="200">
        <v>0</v>
      </c>
      <c r="L20" s="200">
        <v>0</v>
      </c>
      <c r="M20" s="200">
        <v>0</v>
      </c>
      <c r="N20" s="202">
        <f t="shared" si="2"/>
        <v>0</v>
      </c>
      <c r="O20" s="204">
        <f t="shared" si="3"/>
        <v>0</v>
      </c>
    </row>
    <row r="21" spans="3:15" ht="16.5" customHeight="1">
      <c r="C21" s="149"/>
      <c r="D21" s="260" t="s">
        <v>144</v>
      </c>
      <c r="E21" s="261"/>
      <c r="F21" s="152">
        <f t="shared" ref="F21:O21" si="4">SUM(F22:F30)</f>
        <v>0</v>
      </c>
      <c r="G21" s="152">
        <f t="shared" si="4"/>
        <v>0</v>
      </c>
      <c r="H21" s="154">
        <f t="shared" si="4"/>
        <v>0</v>
      </c>
      <c r="I21" s="249">
        <f t="shared" si="4"/>
        <v>0</v>
      </c>
      <c r="J21" s="152">
        <f t="shared" si="4"/>
        <v>0</v>
      </c>
      <c r="K21" s="152">
        <f t="shared" si="4"/>
        <v>0</v>
      </c>
      <c r="L21" s="152">
        <f t="shared" si="4"/>
        <v>0</v>
      </c>
      <c r="M21" s="152">
        <f t="shared" si="4"/>
        <v>0</v>
      </c>
      <c r="N21" s="154">
        <f t="shared" si="4"/>
        <v>0</v>
      </c>
      <c r="O21" s="155">
        <f t="shared" si="4"/>
        <v>0</v>
      </c>
    </row>
    <row r="22" spans="3:15" ht="16.5" customHeight="1">
      <c r="C22" s="149"/>
      <c r="D22" s="250"/>
      <c r="E22" s="157" t="s">
        <v>34</v>
      </c>
      <c r="F22" s="189">
        <v>0</v>
      </c>
      <c r="G22" s="189">
        <v>0</v>
      </c>
      <c r="H22" s="190">
        <f t="shared" ref="H22:H30" si="5">SUM(F22:G22)</f>
        <v>0</v>
      </c>
      <c r="I22" s="240">
        <v>0</v>
      </c>
      <c r="J22" s="188">
        <v>0</v>
      </c>
      <c r="K22" s="188">
        <v>0</v>
      </c>
      <c r="L22" s="188">
        <v>0</v>
      </c>
      <c r="M22" s="188">
        <v>0</v>
      </c>
      <c r="N22" s="190">
        <f t="shared" ref="N22:N30" si="6">SUM(I22:M22)</f>
        <v>0</v>
      </c>
      <c r="O22" s="192">
        <f t="shared" ref="O22:O30" si="7">H22+N22</f>
        <v>0</v>
      </c>
    </row>
    <row r="23" spans="3:15" ht="16.5" customHeight="1">
      <c r="C23" s="149"/>
      <c r="D23" s="251"/>
      <c r="E23" s="157" t="s">
        <v>35</v>
      </c>
      <c r="F23" s="189">
        <v>0</v>
      </c>
      <c r="G23" s="189">
        <v>0</v>
      </c>
      <c r="H23" s="190">
        <f t="shared" si="5"/>
        <v>0</v>
      </c>
      <c r="I23" s="240">
        <v>0</v>
      </c>
      <c r="J23" s="188">
        <v>0</v>
      </c>
      <c r="K23" s="188">
        <v>0</v>
      </c>
      <c r="L23" s="188">
        <v>0</v>
      </c>
      <c r="M23" s="188">
        <v>0</v>
      </c>
      <c r="N23" s="190">
        <f t="shared" si="6"/>
        <v>0</v>
      </c>
      <c r="O23" s="192">
        <f t="shared" si="7"/>
        <v>0</v>
      </c>
    </row>
    <row r="24" spans="3:15" ht="16.5" customHeight="1">
      <c r="C24" s="149"/>
      <c r="D24" s="250"/>
      <c r="E24" s="157" t="s">
        <v>36</v>
      </c>
      <c r="F24" s="189">
        <v>0</v>
      </c>
      <c r="G24" s="189">
        <v>0</v>
      </c>
      <c r="H24" s="190">
        <f t="shared" si="5"/>
        <v>0</v>
      </c>
      <c r="I24" s="240">
        <v>0</v>
      </c>
      <c r="J24" s="188">
        <v>0</v>
      </c>
      <c r="K24" s="188">
        <v>0</v>
      </c>
      <c r="L24" s="188">
        <v>0</v>
      </c>
      <c r="M24" s="188">
        <v>0</v>
      </c>
      <c r="N24" s="190">
        <f t="shared" si="6"/>
        <v>0</v>
      </c>
      <c r="O24" s="192">
        <f t="shared" si="7"/>
        <v>0</v>
      </c>
    </row>
    <row r="25" spans="3:15" ht="16.5" customHeight="1">
      <c r="C25" s="149"/>
      <c r="D25" s="250"/>
      <c r="E25" s="157" t="s">
        <v>37</v>
      </c>
      <c r="F25" s="189">
        <v>0</v>
      </c>
      <c r="G25" s="189">
        <v>0</v>
      </c>
      <c r="H25" s="190">
        <f t="shared" si="5"/>
        <v>0</v>
      </c>
      <c r="I25" s="240">
        <v>0</v>
      </c>
      <c r="J25" s="188">
        <v>0</v>
      </c>
      <c r="K25" s="188">
        <v>0</v>
      </c>
      <c r="L25" s="188">
        <v>0</v>
      </c>
      <c r="M25" s="188">
        <v>0</v>
      </c>
      <c r="N25" s="190">
        <f t="shared" si="6"/>
        <v>0</v>
      </c>
      <c r="O25" s="192">
        <f t="shared" si="7"/>
        <v>0</v>
      </c>
    </row>
    <row r="26" spans="3:15" ht="16.5" customHeight="1">
      <c r="C26" s="149"/>
      <c r="D26" s="250"/>
      <c r="E26" s="157" t="s">
        <v>122</v>
      </c>
      <c r="F26" s="189">
        <v>0</v>
      </c>
      <c r="G26" s="189">
        <v>0</v>
      </c>
      <c r="H26" s="190">
        <f t="shared" si="5"/>
        <v>0</v>
      </c>
      <c r="I26" s="240">
        <v>0</v>
      </c>
      <c r="J26" s="188">
        <v>0</v>
      </c>
      <c r="K26" s="188">
        <v>0</v>
      </c>
      <c r="L26" s="188">
        <v>0</v>
      </c>
      <c r="M26" s="188">
        <v>0</v>
      </c>
      <c r="N26" s="190">
        <f t="shared" si="6"/>
        <v>0</v>
      </c>
      <c r="O26" s="192">
        <f t="shared" si="7"/>
        <v>0</v>
      </c>
    </row>
    <row r="27" spans="3:15" ht="16.5" customHeight="1">
      <c r="C27" s="149"/>
      <c r="D27" s="250"/>
      <c r="E27" s="157" t="s">
        <v>100</v>
      </c>
      <c r="F27" s="188">
        <v>0</v>
      </c>
      <c r="G27" s="188">
        <v>0</v>
      </c>
      <c r="H27" s="190">
        <f t="shared" si="5"/>
        <v>0</v>
      </c>
      <c r="I27" s="240">
        <v>0</v>
      </c>
      <c r="J27" s="188">
        <v>0</v>
      </c>
      <c r="K27" s="188">
        <v>0</v>
      </c>
      <c r="L27" s="188">
        <v>0</v>
      </c>
      <c r="M27" s="188">
        <v>0</v>
      </c>
      <c r="N27" s="190">
        <f t="shared" si="6"/>
        <v>0</v>
      </c>
      <c r="O27" s="192">
        <f t="shared" si="7"/>
        <v>0</v>
      </c>
    </row>
    <row r="28" spans="3:15" ht="16.5" customHeight="1">
      <c r="C28" s="149"/>
      <c r="D28" s="250"/>
      <c r="E28" s="157" t="s">
        <v>101</v>
      </c>
      <c r="F28" s="252">
        <v>0</v>
      </c>
      <c r="G28" s="252">
        <v>0</v>
      </c>
      <c r="H28" s="253">
        <f t="shared" si="5"/>
        <v>0</v>
      </c>
      <c r="I28" s="254">
        <v>0</v>
      </c>
      <c r="J28" s="252">
        <v>0</v>
      </c>
      <c r="K28" s="252">
        <v>0</v>
      </c>
      <c r="L28" s="252">
        <v>0</v>
      </c>
      <c r="M28" s="252">
        <v>0</v>
      </c>
      <c r="N28" s="253">
        <f t="shared" si="6"/>
        <v>0</v>
      </c>
      <c r="O28" s="255">
        <f t="shared" si="7"/>
        <v>0</v>
      </c>
    </row>
    <row r="29" spans="3:15" ht="16.5" customHeight="1">
      <c r="C29" s="149"/>
      <c r="D29" s="250"/>
      <c r="E29" s="256" t="s">
        <v>102</v>
      </c>
      <c r="F29" s="252">
        <v>0</v>
      </c>
      <c r="G29" s="252">
        <v>0</v>
      </c>
      <c r="H29" s="253">
        <f t="shared" si="5"/>
        <v>0</v>
      </c>
      <c r="I29" s="254">
        <v>0</v>
      </c>
      <c r="J29" s="252">
        <v>0</v>
      </c>
      <c r="K29" s="252">
        <v>0</v>
      </c>
      <c r="L29" s="252">
        <v>0</v>
      </c>
      <c r="M29" s="252">
        <v>0</v>
      </c>
      <c r="N29" s="253">
        <f t="shared" si="6"/>
        <v>0</v>
      </c>
      <c r="O29" s="255">
        <f t="shared" si="7"/>
        <v>0</v>
      </c>
    </row>
    <row r="30" spans="3:15" ht="16.5" customHeight="1">
      <c r="C30" s="149"/>
      <c r="D30" s="257"/>
      <c r="E30" s="258" t="s">
        <v>103</v>
      </c>
      <c r="F30" s="200">
        <v>0</v>
      </c>
      <c r="G30" s="200">
        <v>0</v>
      </c>
      <c r="H30" s="202">
        <f t="shared" si="5"/>
        <v>0</v>
      </c>
      <c r="I30" s="259">
        <v>0</v>
      </c>
      <c r="J30" s="200">
        <v>0</v>
      </c>
      <c r="K30" s="200">
        <v>0</v>
      </c>
      <c r="L30" s="200">
        <v>0</v>
      </c>
      <c r="M30" s="200">
        <v>0</v>
      </c>
      <c r="N30" s="202">
        <f t="shared" si="6"/>
        <v>0</v>
      </c>
      <c r="O30" s="204">
        <f t="shared" si="7"/>
        <v>0</v>
      </c>
    </row>
    <row r="31" spans="3:15" ht="16.5" customHeight="1">
      <c r="C31" s="262" t="s">
        <v>145</v>
      </c>
      <c r="D31" s="263"/>
      <c r="E31" s="264"/>
      <c r="F31" s="265"/>
      <c r="G31" s="265"/>
      <c r="H31" s="265"/>
      <c r="I31" s="265"/>
      <c r="J31" s="265"/>
      <c r="K31" s="265"/>
      <c r="L31" s="265"/>
      <c r="M31" s="265"/>
      <c r="N31" s="265"/>
      <c r="O31" s="266"/>
    </row>
    <row r="32" spans="3:15" ht="16.5" customHeight="1">
      <c r="C32" s="149"/>
      <c r="D32" s="246" t="s">
        <v>41</v>
      </c>
      <c r="E32" s="247"/>
      <c r="F32" s="248">
        <f t="shared" ref="F32:O32" si="8">SUM(F33:F41)</f>
        <v>0</v>
      </c>
      <c r="G32" s="191">
        <f t="shared" si="8"/>
        <v>0</v>
      </c>
      <c r="H32" s="147">
        <f t="shared" si="8"/>
        <v>0</v>
      </c>
      <c r="I32" s="249">
        <f t="shared" si="8"/>
        <v>0</v>
      </c>
      <c r="J32" s="191">
        <f t="shared" si="8"/>
        <v>0</v>
      </c>
      <c r="K32" s="191">
        <f t="shared" si="8"/>
        <v>0</v>
      </c>
      <c r="L32" s="191">
        <f t="shared" si="8"/>
        <v>0</v>
      </c>
      <c r="M32" s="191">
        <f t="shared" si="8"/>
        <v>0</v>
      </c>
      <c r="N32" s="147">
        <f t="shared" si="8"/>
        <v>0</v>
      </c>
      <c r="O32" s="148">
        <f t="shared" si="8"/>
        <v>0</v>
      </c>
    </row>
    <row r="33" spans="3:15" ht="16.5" customHeight="1">
      <c r="C33" s="149"/>
      <c r="D33" s="250"/>
      <c r="E33" s="157" t="s">
        <v>34</v>
      </c>
      <c r="F33" s="189">
        <v>0</v>
      </c>
      <c r="G33" s="189">
        <v>0</v>
      </c>
      <c r="H33" s="190">
        <f t="shared" ref="H33:H41" si="9">SUM(F33:G33)</f>
        <v>0</v>
      </c>
      <c r="I33" s="240">
        <v>0</v>
      </c>
      <c r="J33" s="188">
        <v>0</v>
      </c>
      <c r="K33" s="188">
        <v>0</v>
      </c>
      <c r="L33" s="188">
        <v>0</v>
      </c>
      <c r="M33" s="188">
        <v>0</v>
      </c>
      <c r="N33" s="190">
        <f t="shared" ref="N33:N41" si="10">SUM(I33:M33)</f>
        <v>0</v>
      </c>
      <c r="O33" s="192">
        <f t="shared" ref="O33:O41" si="11">H33+N33</f>
        <v>0</v>
      </c>
    </row>
    <row r="34" spans="3:15" ht="16.5" customHeight="1">
      <c r="C34" s="149"/>
      <c r="D34" s="251"/>
      <c r="E34" s="157" t="s">
        <v>35</v>
      </c>
      <c r="F34" s="189">
        <v>0</v>
      </c>
      <c r="G34" s="189">
        <v>0</v>
      </c>
      <c r="H34" s="190">
        <f t="shared" si="9"/>
        <v>0</v>
      </c>
      <c r="I34" s="240">
        <v>0</v>
      </c>
      <c r="J34" s="188">
        <v>0</v>
      </c>
      <c r="K34" s="188">
        <v>0</v>
      </c>
      <c r="L34" s="188">
        <v>0</v>
      </c>
      <c r="M34" s="188">
        <v>0</v>
      </c>
      <c r="N34" s="190">
        <f t="shared" si="10"/>
        <v>0</v>
      </c>
      <c r="O34" s="192">
        <f t="shared" si="11"/>
        <v>0</v>
      </c>
    </row>
    <row r="35" spans="3:15" ht="16.5" customHeight="1">
      <c r="C35" s="149"/>
      <c r="D35" s="250"/>
      <c r="E35" s="157" t="s">
        <v>36</v>
      </c>
      <c r="F35" s="189">
        <v>0</v>
      </c>
      <c r="G35" s="189">
        <v>0</v>
      </c>
      <c r="H35" s="190">
        <f t="shared" si="9"/>
        <v>0</v>
      </c>
      <c r="I35" s="240">
        <v>0</v>
      </c>
      <c r="J35" s="188">
        <v>0</v>
      </c>
      <c r="K35" s="188">
        <v>0</v>
      </c>
      <c r="L35" s="188">
        <v>0</v>
      </c>
      <c r="M35" s="188">
        <v>0</v>
      </c>
      <c r="N35" s="190">
        <f t="shared" si="10"/>
        <v>0</v>
      </c>
      <c r="O35" s="192">
        <f t="shared" si="11"/>
        <v>0</v>
      </c>
    </row>
    <row r="36" spans="3:15" ht="16.5" customHeight="1">
      <c r="C36" s="149"/>
      <c r="D36" s="250"/>
      <c r="E36" s="157" t="s">
        <v>37</v>
      </c>
      <c r="F36" s="189">
        <v>0</v>
      </c>
      <c r="G36" s="189">
        <v>0</v>
      </c>
      <c r="H36" s="190">
        <f t="shared" si="9"/>
        <v>0</v>
      </c>
      <c r="I36" s="240">
        <v>0</v>
      </c>
      <c r="J36" s="188">
        <v>0</v>
      </c>
      <c r="K36" s="188">
        <v>0</v>
      </c>
      <c r="L36" s="188">
        <v>0</v>
      </c>
      <c r="M36" s="188">
        <v>0</v>
      </c>
      <c r="N36" s="190">
        <f t="shared" si="10"/>
        <v>0</v>
      </c>
      <c r="O36" s="192">
        <f t="shared" si="11"/>
        <v>0</v>
      </c>
    </row>
    <row r="37" spans="3:15" ht="16.5" customHeight="1">
      <c r="C37" s="149"/>
      <c r="D37" s="250"/>
      <c r="E37" s="157" t="s">
        <v>122</v>
      </c>
      <c r="F37" s="189">
        <v>0</v>
      </c>
      <c r="G37" s="189">
        <v>0</v>
      </c>
      <c r="H37" s="190">
        <f t="shared" si="9"/>
        <v>0</v>
      </c>
      <c r="I37" s="240">
        <v>0</v>
      </c>
      <c r="J37" s="188">
        <v>0</v>
      </c>
      <c r="K37" s="188">
        <v>0</v>
      </c>
      <c r="L37" s="188">
        <v>0</v>
      </c>
      <c r="M37" s="188">
        <v>0</v>
      </c>
      <c r="N37" s="190">
        <f t="shared" si="10"/>
        <v>0</v>
      </c>
      <c r="O37" s="192">
        <f t="shared" si="11"/>
        <v>0</v>
      </c>
    </row>
    <row r="38" spans="3:15" ht="16.5" customHeight="1">
      <c r="C38" s="149"/>
      <c r="D38" s="250"/>
      <c r="E38" s="157" t="s">
        <v>100</v>
      </c>
      <c r="F38" s="188">
        <v>0</v>
      </c>
      <c r="G38" s="188">
        <v>0</v>
      </c>
      <c r="H38" s="190">
        <f t="shared" si="9"/>
        <v>0</v>
      </c>
      <c r="I38" s="240">
        <v>0</v>
      </c>
      <c r="J38" s="188">
        <v>0</v>
      </c>
      <c r="K38" s="188">
        <v>0</v>
      </c>
      <c r="L38" s="188">
        <v>0</v>
      </c>
      <c r="M38" s="188">
        <v>0</v>
      </c>
      <c r="N38" s="190">
        <f t="shared" si="10"/>
        <v>0</v>
      </c>
      <c r="O38" s="192">
        <f t="shared" si="11"/>
        <v>0</v>
      </c>
    </row>
    <row r="39" spans="3:15" ht="16.5" customHeight="1">
      <c r="C39" s="149"/>
      <c r="D39" s="250"/>
      <c r="E39" s="157" t="s">
        <v>101</v>
      </c>
      <c r="F39" s="252">
        <v>0</v>
      </c>
      <c r="G39" s="252">
        <v>0</v>
      </c>
      <c r="H39" s="253">
        <f t="shared" si="9"/>
        <v>0</v>
      </c>
      <c r="I39" s="254">
        <v>0</v>
      </c>
      <c r="J39" s="252">
        <v>0</v>
      </c>
      <c r="K39" s="252">
        <v>0</v>
      </c>
      <c r="L39" s="252">
        <v>0</v>
      </c>
      <c r="M39" s="252">
        <v>0</v>
      </c>
      <c r="N39" s="253">
        <f t="shared" si="10"/>
        <v>0</v>
      </c>
      <c r="O39" s="255">
        <f t="shared" si="11"/>
        <v>0</v>
      </c>
    </row>
    <row r="40" spans="3:15" ht="16.5" customHeight="1">
      <c r="C40" s="149"/>
      <c r="D40" s="250"/>
      <c r="E40" s="256" t="s">
        <v>102</v>
      </c>
      <c r="F40" s="252">
        <v>0</v>
      </c>
      <c r="G40" s="252">
        <v>0</v>
      </c>
      <c r="H40" s="253">
        <f t="shared" si="9"/>
        <v>0</v>
      </c>
      <c r="I40" s="254">
        <v>0</v>
      </c>
      <c r="J40" s="252">
        <v>0</v>
      </c>
      <c r="K40" s="252">
        <v>0</v>
      </c>
      <c r="L40" s="252">
        <v>0</v>
      </c>
      <c r="M40" s="252">
        <v>0</v>
      </c>
      <c r="N40" s="253">
        <f t="shared" si="10"/>
        <v>0</v>
      </c>
      <c r="O40" s="255">
        <f t="shared" si="11"/>
        <v>0</v>
      </c>
    </row>
    <row r="41" spans="3:15" ht="16.5" customHeight="1">
      <c r="C41" s="149"/>
      <c r="D41" s="257"/>
      <c r="E41" s="258" t="s">
        <v>103</v>
      </c>
      <c r="F41" s="200">
        <v>0</v>
      </c>
      <c r="G41" s="200">
        <v>0</v>
      </c>
      <c r="H41" s="202">
        <f t="shared" si="9"/>
        <v>0</v>
      </c>
      <c r="I41" s="259">
        <v>0</v>
      </c>
      <c r="J41" s="200">
        <v>0</v>
      </c>
      <c r="K41" s="200">
        <v>0</v>
      </c>
      <c r="L41" s="200">
        <v>0</v>
      </c>
      <c r="M41" s="200">
        <v>0</v>
      </c>
      <c r="N41" s="202">
        <f t="shared" si="10"/>
        <v>0</v>
      </c>
      <c r="O41" s="204">
        <f t="shared" si="11"/>
        <v>0</v>
      </c>
    </row>
    <row r="42" spans="3:15" ht="16.5" customHeight="1">
      <c r="C42" s="149"/>
      <c r="D42" s="260" t="s">
        <v>144</v>
      </c>
      <c r="E42" s="261"/>
      <c r="F42" s="152">
        <f t="shared" ref="F42:O42" si="12">SUM(F43:F51)</f>
        <v>0</v>
      </c>
      <c r="G42" s="152">
        <f t="shared" si="12"/>
        <v>0</v>
      </c>
      <c r="H42" s="154">
        <f t="shared" si="12"/>
        <v>0</v>
      </c>
      <c r="I42" s="249">
        <f t="shared" si="12"/>
        <v>0</v>
      </c>
      <c r="J42" s="152">
        <f t="shared" si="12"/>
        <v>0</v>
      </c>
      <c r="K42" s="152">
        <f t="shared" si="12"/>
        <v>0</v>
      </c>
      <c r="L42" s="152">
        <f t="shared" si="12"/>
        <v>0</v>
      </c>
      <c r="M42" s="152">
        <f t="shared" si="12"/>
        <v>0</v>
      </c>
      <c r="N42" s="154">
        <f t="shared" si="12"/>
        <v>0</v>
      </c>
      <c r="O42" s="155">
        <f t="shared" si="12"/>
        <v>0</v>
      </c>
    </row>
    <row r="43" spans="3:15" ht="16.5" customHeight="1">
      <c r="C43" s="149"/>
      <c r="D43" s="250"/>
      <c r="E43" s="157" t="s">
        <v>34</v>
      </c>
      <c r="F43" s="189">
        <v>0</v>
      </c>
      <c r="G43" s="189">
        <v>0</v>
      </c>
      <c r="H43" s="190">
        <f t="shared" ref="H43:H51" si="13">SUM(F43:G43)</f>
        <v>0</v>
      </c>
      <c r="I43" s="240">
        <v>0</v>
      </c>
      <c r="J43" s="188">
        <v>0</v>
      </c>
      <c r="K43" s="188">
        <v>0</v>
      </c>
      <c r="L43" s="188">
        <v>0</v>
      </c>
      <c r="M43" s="188">
        <v>0</v>
      </c>
      <c r="N43" s="190">
        <f t="shared" ref="N43:N51" si="14">SUM(I43:M43)</f>
        <v>0</v>
      </c>
      <c r="O43" s="192">
        <f t="shared" ref="O43:O51" si="15">H43+N43</f>
        <v>0</v>
      </c>
    </row>
    <row r="44" spans="3:15" ht="16.5" customHeight="1">
      <c r="C44" s="149"/>
      <c r="D44" s="251"/>
      <c r="E44" s="157" t="s">
        <v>35</v>
      </c>
      <c r="F44" s="189">
        <v>0</v>
      </c>
      <c r="G44" s="189">
        <v>0</v>
      </c>
      <c r="H44" s="190">
        <f t="shared" si="13"/>
        <v>0</v>
      </c>
      <c r="I44" s="240">
        <v>0</v>
      </c>
      <c r="J44" s="188">
        <v>0</v>
      </c>
      <c r="K44" s="188">
        <v>0</v>
      </c>
      <c r="L44" s="188">
        <v>0</v>
      </c>
      <c r="M44" s="188">
        <v>0</v>
      </c>
      <c r="N44" s="190">
        <f t="shared" si="14"/>
        <v>0</v>
      </c>
      <c r="O44" s="192">
        <f t="shared" si="15"/>
        <v>0</v>
      </c>
    </row>
    <row r="45" spans="3:15" ht="16.5" customHeight="1">
      <c r="C45" s="149"/>
      <c r="D45" s="250"/>
      <c r="E45" s="157" t="s">
        <v>36</v>
      </c>
      <c r="F45" s="189">
        <v>0</v>
      </c>
      <c r="G45" s="189">
        <v>0</v>
      </c>
      <c r="H45" s="190">
        <f t="shared" si="13"/>
        <v>0</v>
      </c>
      <c r="I45" s="240">
        <v>0</v>
      </c>
      <c r="J45" s="188">
        <v>0</v>
      </c>
      <c r="K45" s="188">
        <v>0</v>
      </c>
      <c r="L45" s="188">
        <v>0</v>
      </c>
      <c r="M45" s="188">
        <v>0</v>
      </c>
      <c r="N45" s="190">
        <f t="shared" si="14"/>
        <v>0</v>
      </c>
      <c r="O45" s="192">
        <f t="shared" si="15"/>
        <v>0</v>
      </c>
    </row>
    <row r="46" spans="3:15" ht="16.5" customHeight="1">
      <c r="C46" s="149"/>
      <c r="D46" s="250"/>
      <c r="E46" s="157" t="s">
        <v>37</v>
      </c>
      <c r="F46" s="189">
        <v>0</v>
      </c>
      <c r="G46" s="189">
        <v>0</v>
      </c>
      <c r="H46" s="190">
        <f t="shared" si="13"/>
        <v>0</v>
      </c>
      <c r="I46" s="240">
        <v>0</v>
      </c>
      <c r="J46" s="188">
        <v>0</v>
      </c>
      <c r="K46" s="188">
        <v>0</v>
      </c>
      <c r="L46" s="188">
        <v>0</v>
      </c>
      <c r="M46" s="188">
        <v>0</v>
      </c>
      <c r="N46" s="190">
        <f t="shared" si="14"/>
        <v>0</v>
      </c>
      <c r="O46" s="192">
        <f t="shared" si="15"/>
        <v>0</v>
      </c>
    </row>
    <row r="47" spans="3:15" ht="16.5" customHeight="1">
      <c r="C47" s="149"/>
      <c r="D47" s="250"/>
      <c r="E47" s="157" t="s">
        <v>122</v>
      </c>
      <c r="F47" s="189">
        <v>0</v>
      </c>
      <c r="G47" s="189">
        <v>0</v>
      </c>
      <c r="H47" s="190">
        <f t="shared" si="13"/>
        <v>0</v>
      </c>
      <c r="I47" s="240">
        <v>0</v>
      </c>
      <c r="J47" s="188">
        <v>0</v>
      </c>
      <c r="K47" s="188">
        <v>0</v>
      </c>
      <c r="L47" s="188">
        <v>0</v>
      </c>
      <c r="M47" s="188">
        <v>0</v>
      </c>
      <c r="N47" s="190">
        <f t="shared" si="14"/>
        <v>0</v>
      </c>
      <c r="O47" s="192">
        <f t="shared" si="15"/>
        <v>0</v>
      </c>
    </row>
    <row r="48" spans="3:15" ht="16.5" customHeight="1">
      <c r="C48" s="149"/>
      <c r="D48" s="250"/>
      <c r="E48" s="157" t="s">
        <v>100</v>
      </c>
      <c r="F48" s="188">
        <v>0</v>
      </c>
      <c r="G48" s="188">
        <v>0</v>
      </c>
      <c r="H48" s="190">
        <f t="shared" si="13"/>
        <v>0</v>
      </c>
      <c r="I48" s="240">
        <v>0</v>
      </c>
      <c r="J48" s="188">
        <v>0</v>
      </c>
      <c r="K48" s="188">
        <v>0</v>
      </c>
      <c r="L48" s="188">
        <v>0</v>
      </c>
      <c r="M48" s="188">
        <v>0</v>
      </c>
      <c r="N48" s="190">
        <f t="shared" si="14"/>
        <v>0</v>
      </c>
      <c r="O48" s="192">
        <f t="shared" si="15"/>
        <v>0</v>
      </c>
    </row>
    <row r="49" spans="3:15" ht="16.5" customHeight="1">
      <c r="C49" s="149"/>
      <c r="D49" s="251"/>
      <c r="E49" s="157" t="s">
        <v>101</v>
      </c>
      <c r="F49" s="188">
        <v>0</v>
      </c>
      <c r="G49" s="188">
        <v>0</v>
      </c>
      <c r="H49" s="190">
        <f t="shared" si="13"/>
        <v>0</v>
      </c>
      <c r="I49" s="240">
        <v>0</v>
      </c>
      <c r="J49" s="188">
        <v>0</v>
      </c>
      <c r="K49" s="188">
        <v>0</v>
      </c>
      <c r="L49" s="188">
        <v>0</v>
      </c>
      <c r="M49" s="188">
        <v>0</v>
      </c>
      <c r="N49" s="190">
        <f t="shared" si="14"/>
        <v>0</v>
      </c>
      <c r="O49" s="192">
        <f t="shared" si="15"/>
        <v>0</v>
      </c>
    </row>
    <row r="50" spans="3:15" ht="16.5" customHeight="1">
      <c r="C50" s="149"/>
      <c r="D50" s="250"/>
      <c r="E50" s="256" t="s">
        <v>102</v>
      </c>
      <c r="F50" s="252">
        <v>0</v>
      </c>
      <c r="G50" s="252">
        <v>0</v>
      </c>
      <c r="H50" s="253">
        <f t="shared" si="13"/>
        <v>0</v>
      </c>
      <c r="I50" s="254">
        <v>0</v>
      </c>
      <c r="J50" s="252">
        <v>0</v>
      </c>
      <c r="K50" s="252">
        <v>0</v>
      </c>
      <c r="L50" s="252">
        <v>0</v>
      </c>
      <c r="M50" s="252">
        <v>0</v>
      </c>
      <c r="N50" s="253">
        <f t="shared" si="14"/>
        <v>0</v>
      </c>
      <c r="O50" s="255">
        <f t="shared" si="15"/>
        <v>0</v>
      </c>
    </row>
    <row r="51" spans="3:15" ht="16.5" customHeight="1">
      <c r="C51" s="149"/>
      <c r="D51" s="257"/>
      <c r="E51" s="258" t="s">
        <v>103</v>
      </c>
      <c r="F51" s="200">
        <v>0</v>
      </c>
      <c r="G51" s="200">
        <v>0</v>
      </c>
      <c r="H51" s="202">
        <f t="shared" si="13"/>
        <v>0</v>
      </c>
      <c r="I51" s="259">
        <v>0</v>
      </c>
      <c r="J51" s="200">
        <v>0</v>
      </c>
      <c r="K51" s="200">
        <v>0</v>
      </c>
      <c r="L51" s="200">
        <v>0</v>
      </c>
      <c r="M51" s="200">
        <v>0</v>
      </c>
      <c r="N51" s="202">
        <f t="shared" si="14"/>
        <v>0</v>
      </c>
      <c r="O51" s="204">
        <f t="shared" si="15"/>
        <v>0</v>
      </c>
    </row>
    <row r="52" spans="3:15" ht="16.5" customHeight="1">
      <c r="C52" s="316" t="s">
        <v>127</v>
      </c>
      <c r="D52" s="317"/>
      <c r="E52" s="318"/>
      <c r="F52" s="53">
        <f t="shared" ref="F52:O52" si="16">F32+F42</f>
        <v>0</v>
      </c>
      <c r="G52" s="205">
        <f t="shared" si="16"/>
        <v>0</v>
      </c>
      <c r="H52" s="225">
        <f t="shared" si="16"/>
        <v>0</v>
      </c>
      <c r="I52" s="242">
        <f t="shared" si="16"/>
        <v>0</v>
      </c>
      <c r="J52" s="205">
        <f t="shared" si="16"/>
        <v>0</v>
      </c>
      <c r="K52" s="205">
        <f t="shared" si="16"/>
        <v>0</v>
      </c>
      <c r="L52" s="205">
        <f t="shared" si="16"/>
        <v>0</v>
      </c>
      <c r="M52" s="205">
        <f t="shared" si="16"/>
        <v>0</v>
      </c>
      <c r="N52" s="225">
        <f t="shared" si="16"/>
        <v>0</v>
      </c>
      <c r="O52" s="207">
        <f t="shared" si="16"/>
        <v>0</v>
      </c>
    </row>
    <row r="53" spans="3:15" ht="18" customHeight="1">
      <c r="C53" s="80"/>
    </row>
  </sheetData>
  <sheetProtection selectLockedCells="1" selectUnlockedCells="1"/>
  <mergeCells count="5">
    <mergeCell ref="C52:E52"/>
    <mergeCell ref="A3:P3"/>
    <mergeCell ref="A4:P4"/>
    <mergeCell ref="C9:E9"/>
    <mergeCell ref="O9"/>
  </mergeCells>
  <phoneticPr fontId="14"/>
  <pageMargins left="0.7" right="0.7" top="0.75" bottom="0.75" header="0.3" footer="0.3"/>
  <pageSetup paperSize="9" scale="61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81"/>
  <sheetViews>
    <sheetView showGridLines="0" tabSelected="1" view="pageBreakPreview" topLeftCell="A5" zoomScale="60" zoomScaleNormal="100" workbookViewId="0">
      <selection activeCell="E61" sqref="E61:E62"/>
    </sheetView>
  </sheetViews>
  <sheetFormatPr defaultColWidth="9" defaultRowHeight="12.75" customHeight="1"/>
  <cols>
    <col min="1" max="4" width="2.88671875" style="7" customWidth="1"/>
    <col min="5" max="5" width="14.44140625" style="7" customWidth="1"/>
    <col min="6" max="8" width="16.33203125" style="7" customWidth="1"/>
    <col min="9" max="9" width="14.44140625" style="7" customWidth="1"/>
    <col min="10" max="10" width="4" customWidth="1"/>
  </cols>
  <sheetData>
    <row r="1" spans="1:10" ht="18" customHeight="1">
      <c r="A1" s="267" t="s">
        <v>148</v>
      </c>
      <c r="B1" s="268"/>
      <c r="J1" s="208"/>
    </row>
    <row r="2" spans="1:10" ht="18" customHeight="1">
      <c r="J2" s="20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69"/>
    </row>
    <row r="4" spans="1:10" ht="18" customHeight="1">
      <c r="A4" s="292" t="s">
        <v>2</v>
      </c>
      <c r="B4" s="292"/>
      <c r="C4" s="292"/>
      <c r="D4" s="292"/>
      <c r="E4" s="292"/>
      <c r="F4" s="292"/>
      <c r="G4" s="292"/>
      <c r="H4" s="292"/>
      <c r="I4" s="292"/>
      <c r="J4" s="269"/>
    </row>
    <row r="5" spans="1:10" ht="18" customHeight="1">
      <c r="A5" s="270"/>
      <c r="B5" s="270"/>
      <c r="C5" s="270"/>
      <c r="D5" s="270"/>
      <c r="E5" s="270"/>
      <c r="F5" s="270"/>
      <c r="H5" s="3" t="s">
        <v>3</v>
      </c>
      <c r="I5" s="29" t="s">
        <v>4</v>
      </c>
      <c r="J5" s="269"/>
    </row>
    <row r="6" spans="1:10" ht="18" customHeight="1">
      <c r="A6" s="270"/>
      <c r="B6" s="270"/>
      <c r="C6" s="270"/>
      <c r="D6" s="270"/>
      <c r="E6" s="270"/>
      <c r="F6" s="270"/>
      <c r="H6" s="30" t="s">
        <v>5</v>
      </c>
      <c r="I6" s="6" t="s">
        <v>6</v>
      </c>
      <c r="J6" s="269" t="s">
        <v>7</v>
      </c>
    </row>
    <row r="7" spans="1:10" s="27" customFormat="1" ht="18" customHeight="1">
      <c r="B7" s="76" t="s">
        <v>149</v>
      </c>
      <c r="J7" s="269"/>
    </row>
    <row r="8" spans="1:10" s="27" customFormat="1" ht="18" customHeight="1">
      <c r="C8" s="76" t="s">
        <v>150</v>
      </c>
      <c r="E8" s="271"/>
      <c r="J8" s="269"/>
    </row>
    <row r="9" spans="1:10" s="27" customFormat="1" ht="16.5" customHeight="1">
      <c r="D9" s="151" t="s">
        <v>151</v>
      </c>
      <c r="J9" s="269"/>
    </row>
    <row r="10" spans="1:10" s="27" customFormat="1" ht="16.5" customHeight="1">
      <c r="D10" s="310"/>
      <c r="E10" s="312"/>
      <c r="F10" s="140" t="s">
        <v>152</v>
      </c>
      <c r="G10" s="140" t="s">
        <v>26</v>
      </c>
      <c r="H10" s="272" t="s">
        <v>20</v>
      </c>
      <c r="J10" s="269"/>
    </row>
    <row r="11" spans="1:10" s="27" customFormat="1" ht="16.5" customHeight="1">
      <c r="D11" s="322" t="s">
        <v>153</v>
      </c>
      <c r="E11" s="323"/>
      <c r="F11" s="273">
        <f>SUM(F16+F21+F26)</f>
        <v>4</v>
      </c>
      <c r="G11" s="273">
        <f>SUM(G16+G21+G26)</f>
        <v>2</v>
      </c>
      <c r="H11" s="274">
        <f>SUM(F11,G11)</f>
        <v>6</v>
      </c>
      <c r="I11" s="275"/>
      <c r="J11" s="269"/>
    </row>
    <row r="12" spans="1:10" s="27" customFormat="1" ht="16.5" customHeight="1">
      <c r="D12" s="316" t="s">
        <v>154</v>
      </c>
      <c r="E12" s="318"/>
      <c r="F12" s="276">
        <f>SUM(F17+F22+F27)</f>
        <v>34892</v>
      </c>
      <c r="G12" s="276">
        <f>SUM(G17+G22+G27)</f>
        <v>75589</v>
      </c>
      <c r="H12" s="54">
        <f>SUM(F12,G12)</f>
        <v>110481</v>
      </c>
      <c r="I12" s="275"/>
      <c r="J12" s="269"/>
    </row>
    <row r="14" spans="1:10" s="27" customFormat="1" ht="16.5" customHeight="1">
      <c r="D14" s="151" t="s">
        <v>155</v>
      </c>
    </row>
    <row r="15" spans="1:10" s="27" customFormat="1" ht="16.5" customHeight="1">
      <c r="D15" s="310"/>
      <c r="E15" s="312"/>
      <c r="F15" s="140" t="s">
        <v>152</v>
      </c>
      <c r="G15" s="140" t="s">
        <v>26</v>
      </c>
      <c r="H15" s="272" t="s">
        <v>20</v>
      </c>
    </row>
    <row r="16" spans="1:10" s="27" customFormat="1" ht="16.5" customHeight="1">
      <c r="D16" s="322" t="s">
        <v>153</v>
      </c>
      <c r="E16" s="323"/>
      <c r="F16" s="182">
        <v>0</v>
      </c>
      <c r="G16" s="182">
        <v>0</v>
      </c>
      <c r="H16" s="274">
        <f>SUM(F16,G16)</f>
        <v>0</v>
      </c>
      <c r="I16" s="277"/>
    </row>
    <row r="17" spans="4:10" s="27" customFormat="1" ht="16.5" customHeight="1">
      <c r="D17" s="316" t="s">
        <v>154</v>
      </c>
      <c r="E17" s="318"/>
      <c r="F17" s="51">
        <v>0</v>
      </c>
      <c r="G17" s="51">
        <v>0</v>
      </c>
      <c r="H17" s="54">
        <f>SUM(F17,G17)</f>
        <v>0</v>
      </c>
      <c r="I17" s="277"/>
    </row>
    <row r="19" spans="4:10" s="27" customFormat="1" ht="16.5" customHeight="1">
      <c r="D19" s="151" t="s">
        <v>156</v>
      </c>
    </row>
    <row r="20" spans="4:10" s="27" customFormat="1" ht="16.5" customHeight="1">
      <c r="D20" s="310"/>
      <c r="E20" s="312"/>
      <c r="F20" s="140" t="s">
        <v>152</v>
      </c>
      <c r="G20" s="140" t="s">
        <v>26</v>
      </c>
      <c r="H20" s="272" t="s">
        <v>20</v>
      </c>
    </row>
    <row r="21" spans="4:10" s="27" customFormat="1" ht="16.5" customHeight="1">
      <c r="D21" s="322" t="s">
        <v>153</v>
      </c>
      <c r="E21" s="323"/>
      <c r="F21" s="182">
        <v>4</v>
      </c>
      <c r="G21" s="182">
        <v>2</v>
      </c>
      <c r="H21" s="274">
        <f>SUM(F21,G21)</f>
        <v>6</v>
      </c>
      <c r="I21" s="277"/>
    </row>
    <row r="22" spans="4:10" s="27" customFormat="1" ht="16.5" customHeight="1">
      <c r="D22" s="316" t="s">
        <v>154</v>
      </c>
      <c r="E22" s="318"/>
      <c r="F22" s="51">
        <v>34892</v>
      </c>
      <c r="G22" s="51">
        <v>75589</v>
      </c>
      <c r="H22" s="54">
        <f>SUM(F22,G22)</f>
        <v>110481</v>
      </c>
      <c r="I22" s="277"/>
    </row>
    <row r="24" spans="4:10" s="27" customFormat="1" ht="16.5" customHeight="1">
      <c r="D24" s="151" t="s">
        <v>157</v>
      </c>
    </row>
    <row r="25" spans="4:10" s="27" customFormat="1" ht="16.5" customHeight="1">
      <c r="D25" s="310"/>
      <c r="E25" s="312"/>
      <c r="F25" s="140" t="s">
        <v>152</v>
      </c>
      <c r="G25" s="140" t="s">
        <v>26</v>
      </c>
      <c r="H25" s="272" t="s">
        <v>20</v>
      </c>
    </row>
    <row r="26" spans="4:10" s="27" customFormat="1" ht="16.5" customHeight="1">
      <c r="D26" s="322" t="s">
        <v>153</v>
      </c>
      <c r="E26" s="323"/>
      <c r="F26" s="182">
        <v>0</v>
      </c>
      <c r="G26" s="182">
        <v>0</v>
      </c>
      <c r="H26" s="274">
        <f>SUM(F26,G26)</f>
        <v>0</v>
      </c>
      <c r="I26" s="277"/>
    </row>
    <row r="27" spans="4:10" s="27" customFormat="1" ht="16.5" customHeight="1">
      <c r="D27" s="316" t="s">
        <v>154</v>
      </c>
      <c r="E27" s="318"/>
      <c r="F27" s="51">
        <v>0</v>
      </c>
      <c r="G27" s="51">
        <v>0</v>
      </c>
      <c r="H27" s="54">
        <f>SUM(F27,G27)</f>
        <v>0</v>
      </c>
      <c r="I27" s="277"/>
    </row>
    <row r="28" spans="4:10" s="27" customFormat="1" ht="12" customHeight="1">
      <c r="J28" s="269"/>
    </row>
    <row r="29" spans="4:10" s="27" customFormat="1" ht="16.5" customHeight="1">
      <c r="D29" s="151" t="s">
        <v>158</v>
      </c>
      <c r="F29" s="271"/>
      <c r="J29" s="269"/>
    </row>
    <row r="30" spans="4:10" s="27" customFormat="1" ht="16.5" customHeight="1">
      <c r="D30" s="310"/>
      <c r="E30" s="312"/>
      <c r="F30" s="140" t="s">
        <v>152</v>
      </c>
      <c r="G30" s="140" t="s">
        <v>26</v>
      </c>
      <c r="H30" s="272" t="s">
        <v>20</v>
      </c>
      <c r="J30" s="269"/>
    </row>
    <row r="31" spans="4:10" s="27" customFormat="1" ht="16.5" customHeight="1">
      <c r="D31" s="322" t="s">
        <v>153</v>
      </c>
      <c r="E31" s="323"/>
      <c r="F31" s="182">
        <v>19</v>
      </c>
      <c r="G31" s="182">
        <v>54</v>
      </c>
      <c r="H31" s="274">
        <f>SUM(F31,G31)</f>
        <v>73</v>
      </c>
      <c r="I31" s="275"/>
      <c r="J31" s="269"/>
    </row>
    <row r="32" spans="4:10" s="27" customFormat="1" ht="16.5" customHeight="1">
      <c r="D32" s="316" t="s">
        <v>154</v>
      </c>
      <c r="E32" s="318"/>
      <c r="F32" s="51">
        <v>309274</v>
      </c>
      <c r="G32" s="51">
        <v>387917</v>
      </c>
      <c r="H32" s="54">
        <f>SUM(F32,G32)</f>
        <v>697191</v>
      </c>
      <c r="I32" s="275"/>
      <c r="J32" s="269"/>
    </row>
    <row r="33" spans="4:10" s="27" customFormat="1" ht="12" customHeight="1">
      <c r="J33" s="269"/>
    </row>
    <row r="34" spans="4:10" s="27" customFormat="1" ht="16.5" customHeight="1">
      <c r="D34" s="151" t="s">
        <v>159</v>
      </c>
      <c r="F34" s="271"/>
      <c r="J34" s="269"/>
    </row>
    <row r="35" spans="4:10" s="27" customFormat="1" ht="16.5" customHeight="1">
      <c r="D35" s="310"/>
      <c r="E35" s="312"/>
      <c r="F35" s="140" t="s">
        <v>152</v>
      </c>
      <c r="G35" s="140" t="s">
        <v>26</v>
      </c>
      <c r="H35" s="272" t="s">
        <v>20</v>
      </c>
      <c r="J35" s="269"/>
    </row>
    <row r="36" spans="4:10" s="27" customFormat="1" ht="16.5" customHeight="1">
      <c r="D36" s="322" t="s">
        <v>153</v>
      </c>
      <c r="E36" s="323"/>
      <c r="F36" s="182">
        <v>9</v>
      </c>
      <c r="G36" s="182">
        <v>60</v>
      </c>
      <c r="H36" s="274">
        <f>SUM(F36,G36)</f>
        <v>69</v>
      </c>
      <c r="I36" s="275"/>
      <c r="J36" s="269"/>
    </row>
    <row r="37" spans="4:10" s="27" customFormat="1" ht="16.5" customHeight="1">
      <c r="D37" s="316" t="s">
        <v>154</v>
      </c>
      <c r="E37" s="318"/>
      <c r="F37" s="51">
        <v>149145</v>
      </c>
      <c r="G37" s="51">
        <v>933095</v>
      </c>
      <c r="H37" s="54">
        <f>SUM(F37,G37)</f>
        <v>1082240</v>
      </c>
      <c r="I37" s="275"/>
      <c r="J37" s="269"/>
    </row>
    <row r="38" spans="4:10" s="27" customFormat="1" ht="12" customHeight="1">
      <c r="J38" s="269"/>
    </row>
    <row r="39" spans="4:10" s="27" customFormat="1" ht="16.5" customHeight="1">
      <c r="D39" s="151" t="s">
        <v>160</v>
      </c>
      <c r="J39" s="269"/>
    </row>
    <row r="40" spans="4:10" s="27" customFormat="1" ht="16.5" customHeight="1">
      <c r="D40" s="310"/>
      <c r="E40" s="312"/>
      <c r="F40" s="140" t="s">
        <v>152</v>
      </c>
      <c r="G40" s="140" t="s">
        <v>26</v>
      </c>
      <c r="H40" s="272" t="s">
        <v>20</v>
      </c>
      <c r="J40" s="269"/>
    </row>
    <row r="41" spans="4:10" s="27" customFormat="1" ht="16.5" customHeight="1">
      <c r="D41" s="322" t="s">
        <v>153</v>
      </c>
      <c r="E41" s="323"/>
      <c r="F41" s="182">
        <v>0</v>
      </c>
      <c r="G41" s="182">
        <v>9</v>
      </c>
      <c r="H41" s="274">
        <f>SUM(F41,G41)</f>
        <v>9</v>
      </c>
      <c r="I41" s="275"/>
      <c r="J41" s="269"/>
    </row>
    <row r="42" spans="4:10" s="27" customFormat="1" ht="16.5" customHeight="1">
      <c r="D42" s="316" t="s">
        <v>154</v>
      </c>
      <c r="E42" s="318"/>
      <c r="F42" s="51">
        <v>0</v>
      </c>
      <c r="G42" s="51">
        <v>129421</v>
      </c>
      <c r="H42" s="54">
        <f>SUM(F42,G42)</f>
        <v>129421</v>
      </c>
      <c r="I42" s="275"/>
      <c r="J42" s="269"/>
    </row>
    <row r="43" spans="4:10" s="27" customFormat="1" ht="12" customHeight="1">
      <c r="J43" s="269"/>
    </row>
    <row r="44" spans="4:10" s="27" customFormat="1" ht="16.5" customHeight="1">
      <c r="D44" s="151" t="s">
        <v>161</v>
      </c>
      <c r="J44" s="269"/>
    </row>
    <row r="45" spans="4:10" s="27" customFormat="1" ht="16.5" customHeight="1">
      <c r="D45" s="310"/>
      <c r="E45" s="312"/>
      <c r="F45" s="140" t="s">
        <v>152</v>
      </c>
      <c r="G45" s="140" t="s">
        <v>26</v>
      </c>
      <c r="H45" s="272" t="s">
        <v>20</v>
      </c>
      <c r="J45" s="269"/>
    </row>
    <row r="46" spans="4:10" s="27" customFormat="1" ht="16.5" customHeight="1">
      <c r="D46" s="322" t="s">
        <v>153</v>
      </c>
      <c r="E46" s="323"/>
      <c r="F46" s="278">
        <f t="shared" ref="F46:H47" si="0">SUM(F11,F31,F36,F41)</f>
        <v>32</v>
      </c>
      <c r="G46" s="278">
        <f t="shared" si="0"/>
        <v>125</v>
      </c>
      <c r="H46" s="274">
        <f t="shared" si="0"/>
        <v>157</v>
      </c>
      <c r="I46" s="275"/>
      <c r="J46" s="269"/>
    </row>
    <row r="47" spans="4:10" s="27" customFormat="1" ht="16.5" customHeight="1">
      <c r="D47" s="316" t="s">
        <v>154</v>
      </c>
      <c r="E47" s="318"/>
      <c r="F47" s="53">
        <f t="shared" si="0"/>
        <v>493311</v>
      </c>
      <c r="G47" s="53">
        <f t="shared" si="0"/>
        <v>1526022</v>
      </c>
      <c r="H47" s="54">
        <f t="shared" si="0"/>
        <v>2019333</v>
      </c>
      <c r="I47" s="275"/>
      <c r="J47" s="269"/>
    </row>
    <row r="49" spans="3:10" s="27" customFormat="1" ht="18" customHeight="1">
      <c r="C49" s="76" t="s">
        <v>162</v>
      </c>
      <c r="E49" s="271"/>
      <c r="J49" s="269"/>
    </row>
    <row r="50" spans="3:10" s="27" customFormat="1" ht="16.5" customHeight="1">
      <c r="D50" s="151" t="s">
        <v>163</v>
      </c>
      <c r="J50" s="269"/>
    </row>
    <row r="51" spans="3:10" s="27" customFormat="1" ht="16.5" customHeight="1">
      <c r="D51" s="310" t="s">
        <v>153</v>
      </c>
      <c r="E51" s="312"/>
      <c r="F51" s="279">
        <f>SUM(F55,F59,F63)</f>
        <v>0</v>
      </c>
      <c r="J51" s="269"/>
    </row>
    <row r="52" spans="3:10" s="27" customFormat="1" ht="16.5" customHeight="1">
      <c r="D52" s="316" t="s">
        <v>154</v>
      </c>
      <c r="E52" s="318"/>
      <c r="F52" s="54">
        <f>SUM(F56,F60,F64)</f>
        <v>0</v>
      </c>
      <c r="J52" s="269"/>
    </row>
    <row r="53" spans="3:10" s="27" customFormat="1" ht="12" customHeight="1">
      <c r="E53" s="280"/>
      <c r="J53" s="269"/>
    </row>
    <row r="54" spans="3:10" s="27" customFormat="1" ht="16.5" customHeight="1">
      <c r="E54" s="151" t="s">
        <v>164</v>
      </c>
      <c r="J54" s="269"/>
    </row>
    <row r="55" spans="3:10" s="27" customFormat="1" ht="16.5" customHeight="1">
      <c r="E55" s="281" t="s">
        <v>153</v>
      </c>
      <c r="F55" s="282">
        <v>0</v>
      </c>
      <c r="J55" s="269"/>
    </row>
    <row r="56" spans="3:10" s="27" customFormat="1" ht="16.5" customHeight="1">
      <c r="E56" s="283" t="s">
        <v>154</v>
      </c>
      <c r="F56" s="61">
        <v>0</v>
      </c>
      <c r="J56" s="269"/>
    </row>
    <row r="57" spans="3:10" s="27" customFormat="1" ht="12" customHeight="1">
      <c r="E57" s="284"/>
      <c r="F57" s="280"/>
      <c r="J57" s="269"/>
    </row>
    <row r="58" spans="3:10" s="27" customFormat="1" ht="16.5" customHeight="1">
      <c r="E58" s="151" t="s">
        <v>165</v>
      </c>
      <c r="J58" s="269"/>
    </row>
    <row r="59" spans="3:10" s="27" customFormat="1" ht="16.5" customHeight="1">
      <c r="E59" s="281" t="s">
        <v>153</v>
      </c>
      <c r="F59" s="282">
        <v>0</v>
      </c>
      <c r="J59" s="269"/>
    </row>
    <row r="60" spans="3:10" s="27" customFormat="1" ht="16.5" customHeight="1">
      <c r="E60" s="283" t="s">
        <v>154</v>
      </c>
      <c r="F60" s="61">
        <v>0</v>
      </c>
      <c r="J60" s="269"/>
    </row>
    <row r="61" spans="3:10" s="27" customFormat="1" ht="12" customHeight="1">
      <c r="E61" s="284"/>
      <c r="F61" s="280"/>
      <c r="J61" s="269"/>
    </row>
    <row r="62" spans="3:10" s="27" customFormat="1" ht="16.5" customHeight="1">
      <c r="E62" s="151" t="s">
        <v>166</v>
      </c>
      <c r="J62" s="269"/>
    </row>
    <row r="63" spans="3:10" s="27" customFormat="1" ht="16.5" customHeight="1">
      <c r="E63" s="281" t="s">
        <v>153</v>
      </c>
      <c r="F63" s="282">
        <v>0</v>
      </c>
      <c r="J63" s="269"/>
    </row>
    <row r="64" spans="3:10" s="27" customFormat="1" ht="16.5" customHeight="1">
      <c r="E64" s="283" t="s">
        <v>154</v>
      </c>
      <c r="F64" s="61">
        <v>0</v>
      </c>
      <c r="J64" s="269"/>
    </row>
    <row r="65" spans="4:10" s="27" customFormat="1" ht="12" customHeight="1">
      <c r="E65" s="285"/>
      <c r="F65" s="284"/>
      <c r="G65" s="284"/>
      <c r="J65" s="269"/>
    </row>
    <row r="66" spans="4:10" s="27" customFormat="1" ht="16.5" customHeight="1">
      <c r="D66" s="151" t="s">
        <v>167</v>
      </c>
      <c r="F66" s="285"/>
      <c r="G66" s="286"/>
      <c r="H66" s="286"/>
      <c r="J66" s="269"/>
    </row>
    <row r="67" spans="4:10" s="27" customFormat="1" ht="16.5" customHeight="1">
      <c r="D67" s="310" t="s">
        <v>153</v>
      </c>
      <c r="E67" s="312"/>
      <c r="F67" s="282">
        <v>0</v>
      </c>
      <c r="G67" s="286"/>
      <c r="H67" s="286"/>
      <c r="J67" s="269"/>
    </row>
    <row r="68" spans="4:10" s="27" customFormat="1" ht="16.5" customHeight="1">
      <c r="D68" s="316" t="s">
        <v>154</v>
      </c>
      <c r="E68" s="318"/>
      <c r="F68" s="61">
        <v>0</v>
      </c>
      <c r="J68" s="269"/>
    </row>
    <row r="69" spans="4:10" s="27" customFormat="1" ht="12" customHeight="1">
      <c r="F69" s="285"/>
      <c r="G69" s="284"/>
      <c r="H69" s="284"/>
      <c r="J69" s="269"/>
    </row>
    <row r="70" spans="4:10" s="27" customFormat="1" ht="16.5" customHeight="1">
      <c r="D70" s="151" t="s">
        <v>168</v>
      </c>
      <c r="F70" s="285"/>
      <c r="J70" s="269"/>
    </row>
    <row r="71" spans="4:10" s="27" customFormat="1" ht="16.5" customHeight="1">
      <c r="D71" s="310" t="s">
        <v>153</v>
      </c>
      <c r="E71" s="312"/>
      <c r="F71" s="282">
        <v>0</v>
      </c>
      <c r="J71" s="269"/>
    </row>
    <row r="72" spans="4:10" s="27" customFormat="1" ht="16.5" customHeight="1">
      <c r="D72" s="316" t="s">
        <v>154</v>
      </c>
      <c r="E72" s="318"/>
      <c r="F72" s="61">
        <v>0</v>
      </c>
      <c r="J72" s="269"/>
    </row>
    <row r="73" spans="4:10" s="27" customFormat="1" ht="12" customHeight="1">
      <c r="E73" s="284"/>
      <c r="F73" s="285"/>
      <c r="J73" s="269"/>
    </row>
    <row r="74" spans="4:10" s="27" customFormat="1" ht="16.5" customHeight="1">
      <c r="D74" s="151" t="s">
        <v>169</v>
      </c>
      <c r="F74" s="285"/>
      <c r="G74" s="284"/>
      <c r="H74" s="284"/>
      <c r="J74" s="269"/>
    </row>
    <row r="75" spans="4:10" s="27" customFormat="1" ht="16.5" customHeight="1">
      <c r="D75" s="310" t="s">
        <v>153</v>
      </c>
      <c r="E75" s="312"/>
      <c r="F75" s="282">
        <v>0</v>
      </c>
      <c r="G75" s="286"/>
      <c r="H75" s="286"/>
      <c r="J75" s="269"/>
    </row>
    <row r="76" spans="4:10" s="27" customFormat="1" ht="16.5" customHeight="1">
      <c r="D76" s="316" t="s">
        <v>154</v>
      </c>
      <c r="E76" s="318"/>
      <c r="F76" s="61">
        <v>0</v>
      </c>
      <c r="G76" s="286"/>
      <c r="H76" s="286"/>
      <c r="J76" s="269"/>
    </row>
    <row r="77" spans="4:10" s="27" customFormat="1" ht="12" customHeight="1">
      <c r="E77" s="284"/>
      <c r="F77" s="285"/>
      <c r="G77" s="286"/>
      <c r="H77" s="286"/>
      <c r="J77" s="269"/>
    </row>
    <row r="78" spans="4:10" s="27" customFormat="1" ht="16.5" customHeight="1">
      <c r="D78" s="151" t="s">
        <v>161</v>
      </c>
      <c r="F78" s="285"/>
      <c r="G78" s="286"/>
      <c r="H78" s="286"/>
      <c r="J78" s="269"/>
    </row>
    <row r="79" spans="4:10" ht="16.5" customHeight="1">
      <c r="D79" s="310" t="s">
        <v>153</v>
      </c>
      <c r="E79" s="312"/>
      <c r="F79" s="279">
        <f>SUM(F51,F67,F71,F75)</f>
        <v>0</v>
      </c>
      <c r="J79" s="269"/>
    </row>
    <row r="80" spans="4:10" ht="16.5" customHeight="1">
      <c r="D80" s="316" t="s">
        <v>154</v>
      </c>
      <c r="E80" s="318"/>
      <c r="F80" s="54">
        <f>SUM(F52,F68,F72,F76)</f>
        <v>0</v>
      </c>
      <c r="J80" s="269"/>
    </row>
    <row r="81" spans="10:10" ht="12" customHeight="1">
      <c r="J81" s="269"/>
    </row>
  </sheetData>
  <sheetProtection selectLockedCells="1" selectUnlockedCells="1"/>
  <mergeCells count="36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79:E79"/>
    <mergeCell ref="D80:E80"/>
    <mergeCell ref="D68:E68"/>
    <mergeCell ref="D71:E71"/>
    <mergeCell ref="D72:E72"/>
    <mergeCell ref="D75:E75"/>
    <mergeCell ref="D76:E76"/>
    <mergeCell ref="D46:E46"/>
    <mergeCell ref="D47:E47"/>
    <mergeCell ref="D51:E51"/>
    <mergeCell ref="D52:E52"/>
    <mergeCell ref="D67:E67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4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kawasaki</cp:lastModifiedBy>
  <cp:lastPrinted>2026-06-11T07:46:16Z</cp:lastPrinted>
  <dcterms:modified xsi:type="dcterms:W3CDTF">2026-06-11T07:47:49Z</dcterms:modified>
</cp:coreProperties>
</file>