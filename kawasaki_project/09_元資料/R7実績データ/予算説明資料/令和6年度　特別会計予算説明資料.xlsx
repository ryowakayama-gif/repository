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TWL17005\Desktop\予算書\"/>
    </mc:Choice>
  </mc:AlternateContent>
  <bookViews>
    <workbookView xWindow="20370" yWindow="-120" windowWidth="19440" windowHeight="15000" activeTab="1"/>
  </bookViews>
  <sheets>
    <sheet name="介護（歳入）" sheetId="10" r:id="rId1"/>
    <sheet name="介護（歳出）" sheetId="14" r:id="rId2"/>
  </sheets>
  <externalReferences>
    <externalReference r:id="rId3"/>
    <externalReference r:id="rId4"/>
    <externalReference r:id="rId5"/>
    <externalReference r:id="rId6"/>
    <externalReference r:id="rId7"/>
    <externalReference r:id="rId8"/>
  </externalReferences>
  <definedNames>
    <definedName name="_xlnm._FilterDatabase" localSheetId="1" hidden="1">'介護（歳出）'!$A$2:$T$568</definedName>
    <definedName name="_xlnm._FilterDatabase" localSheetId="0" hidden="1">'介護（歳入）'!$A$2:$R$323</definedName>
    <definedName name="a">OFFSET([1]コード!$A$2,0,0,COUNTA([1]コード!$A$1:$A$65536)-1,1)</definedName>
    <definedName name="ASIS_TZMMESSAGE">#REF!</definedName>
    <definedName name="LAN環境">[2]設定!$F$2:$F$4</definedName>
    <definedName name="LAN環境2">[3]設定!$F$2:$F$4</definedName>
    <definedName name="OCRメーカ">[2]設定!$F$39:$F$41</definedName>
    <definedName name="OCR納付書・手書き">[2]設定!$J$39:$J$41</definedName>
    <definedName name="OCR納付書・調定">[2]設定!$H$39:$H$41</definedName>
    <definedName name="_xlnm.Print_Area" localSheetId="1">'介護（歳出）'!$A$1:$R$568</definedName>
    <definedName name="_xlnm.Print_Area">#REF!</definedName>
    <definedName name="_xlnm.Print_Titles" localSheetId="1">'介護（歳出）'!$1:$2</definedName>
    <definedName name="_xlnm.Print_Titles" localSheetId="0">'介護（歳入）'!$1:$2</definedName>
    <definedName name="ｓｓｓｓｓ">[3]設定!$F$26:$F$35</definedName>
    <definedName name="T受付マスタ">#REF!</definedName>
    <definedName name="T処理">#REF!</definedName>
    <definedName name="T分類">#REF!</definedName>
    <definedName name="X01Y01_21">#REF!</definedName>
    <definedName name="X01Y01_25">#REF!</definedName>
    <definedName name="X01Y01_40">'[4]40'!$J$15</definedName>
    <definedName name="X01Y01_52">'[4]52'!$J$15</definedName>
    <definedName name="X01Y02_21">#REF!</definedName>
    <definedName name="X01Y02_25">#REF!</definedName>
    <definedName name="X01Y02_40">'[4]40'!$J$16</definedName>
    <definedName name="X01Y03_20">'[4]20'!$M$14</definedName>
    <definedName name="X01Y03_21">#REF!</definedName>
    <definedName name="X01Y03_25">#REF!</definedName>
    <definedName name="X01Y04_21">#REF!</definedName>
    <definedName name="X01Y04_25">#REF!</definedName>
    <definedName name="X01Y05_21">#REF!</definedName>
    <definedName name="X01Y05_25">#REF!</definedName>
    <definedName name="X01Y06_21">#REF!</definedName>
    <definedName name="X01Y06_25">#REF!</definedName>
    <definedName name="X01Y07_21">#REF!</definedName>
    <definedName name="X01Y07_25">#REF!</definedName>
    <definedName name="X01Y07_32">'[4]32'!$J$20</definedName>
    <definedName name="X01Y08_21">#REF!</definedName>
    <definedName name="X01Y08_25">#REF!</definedName>
    <definedName name="X01Y08_32">'[4]32'!$J$21</definedName>
    <definedName name="X01Y08_52">'[4]52'!$J$22</definedName>
    <definedName name="X01Y09_21">#REF!</definedName>
    <definedName name="X01Y09_25">#REF!</definedName>
    <definedName name="X01Y09_32">'[4]32'!$J$22</definedName>
    <definedName name="X01Y10_21">#REF!</definedName>
    <definedName name="X01Y10_25">#REF!</definedName>
    <definedName name="X01Y11_10">'[4]10'!$I$37</definedName>
    <definedName name="X01Y11_21">#REF!</definedName>
    <definedName name="X01Y11_25">#REF!</definedName>
    <definedName name="X01Y12_21">#REF!</definedName>
    <definedName name="X01Y12_24">'[4]24'!$Y$28</definedName>
    <definedName name="X01Y12_25">#REF!</definedName>
    <definedName name="X01Y12_40">'[4]40'!$J$26</definedName>
    <definedName name="X01Y13_21">#REF!</definedName>
    <definedName name="X01Y13_25">#REF!</definedName>
    <definedName name="X01Y13_40">'[4]40'!$J$27</definedName>
    <definedName name="X01Y14_21">#REF!</definedName>
    <definedName name="X01Y14_22">'[4]22'!$J$29</definedName>
    <definedName name="X01Y14_23">'[4]23'!$J$28</definedName>
    <definedName name="X01Y14_25">#REF!</definedName>
    <definedName name="X01Y14_40">'[4]40'!$J$28</definedName>
    <definedName name="X01Y15_21">#REF!</definedName>
    <definedName name="X01Y15_25">#REF!</definedName>
    <definedName name="X01Y15_40">'[4]40'!$J$29</definedName>
    <definedName name="X01Y15_52">'[4]52'!$J$29</definedName>
    <definedName name="X01Y16_21">#REF!</definedName>
    <definedName name="X01Y16_25">#REF!</definedName>
    <definedName name="X01Y16_40">'[4]40'!$J$30</definedName>
    <definedName name="X01Y17_10">'[4]10'!$I$43</definedName>
    <definedName name="X01Y17_21">#REF!</definedName>
    <definedName name="X01Y17_23">'[4]23'!$J$31</definedName>
    <definedName name="X01Y17_25">#REF!</definedName>
    <definedName name="X01Y17_40">'[4]40'!$J$31</definedName>
    <definedName name="X01Y18_21">#REF!</definedName>
    <definedName name="X01Y18_25">#REF!</definedName>
    <definedName name="X01Y18_40">'[4]40'!$J$32</definedName>
    <definedName name="X01Y19_21">#REF!</definedName>
    <definedName name="X01Y19_25">#REF!</definedName>
    <definedName name="X01Y19_32">'[4]32'!$J$32</definedName>
    <definedName name="X01Y19_40">'[4]40'!$J$33</definedName>
    <definedName name="X01Y20_21">#REF!</definedName>
    <definedName name="X01Y20_25">#REF!</definedName>
    <definedName name="X01Y20_32">'[4]32'!$J$33</definedName>
    <definedName name="X01Y20_40">'[4]40'!$J$34</definedName>
    <definedName name="X01Y21_21">#REF!</definedName>
    <definedName name="X01Y21_22">'[4]22'!$J$36</definedName>
    <definedName name="X01Y21_25">#REF!</definedName>
    <definedName name="X01Y21_32">'[4]32'!$J$34</definedName>
    <definedName name="X01Y21_40">'[4]40'!$J$35</definedName>
    <definedName name="X01Y21_52">'[4]52'!$J$35</definedName>
    <definedName name="X01Y22_20">'[4]20'!$M$33</definedName>
    <definedName name="X01Y22_21">#REF!</definedName>
    <definedName name="X01Y22_25">#REF!</definedName>
    <definedName name="X01Y22_40">'[4]40'!$J$36</definedName>
    <definedName name="X01Y23_21">#REF!</definedName>
    <definedName name="X01Y23_25">#REF!</definedName>
    <definedName name="X01Y23_40">'[4]40'!$J$37</definedName>
    <definedName name="X01Y24_21">#REF!</definedName>
    <definedName name="X01Y24_25">#REF!</definedName>
    <definedName name="X01Y24_40">'[4]40'!$J$38</definedName>
    <definedName name="X01Y25_21">#REF!</definedName>
    <definedName name="X01Y25_25">#REF!</definedName>
    <definedName name="X01Y25_40">'[4]40'!$J$39</definedName>
    <definedName name="X01Y26_20">'[4]20'!$M$37</definedName>
    <definedName name="X01Y26_21">#REF!</definedName>
    <definedName name="X01Y26_25">#REF!</definedName>
    <definedName name="X01Y26_40">'[4]40'!$J$40</definedName>
    <definedName name="X01Y27_21">#REF!</definedName>
    <definedName name="X01Y27_25">#REF!</definedName>
    <definedName name="X01Y27_40">'[4]40'!$J$41</definedName>
    <definedName name="X01Y28_21">#REF!</definedName>
    <definedName name="X01Y28_25">#REF!</definedName>
    <definedName name="X01Y28_40">'[4]40'!$J$42</definedName>
    <definedName name="X01Y29_21">#REF!</definedName>
    <definedName name="X01Y29_25">#REF!</definedName>
    <definedName name="X01Y29_40">'[4]40'!$J$43</definedName>
    <definedName name="X01Y30_21">#REF!</definedName>
    <definedName name="X01Y30_25">#REF!</definedName>
    <definedName name="X01Y30_40">'[4]40'!$J$44</definedName>
    <definedName name="X01Y31_10">'[4]10'!$I$57</definedName>
    <definedName name="X01Y31_21">#REF!</definedName>
    <definedName name="X01Y31_22">'[4]22'!$J$46</definedName>
    <definedName name="X01Y31_25">#REF!</definedName>
    <definedName name="X01Y31_32">'[4]32'!$J$44</definedName>
    <definedName name="X01Y31_40">'[4]40'!$J$45</definedName>
    <definedName name="X01Y32_21">#REF!</definedName>
    <definedName name="X01Y32_22">'[4]22'!$J$47</definedName>
    <definedName name="X01Y32_23">'[4]23'!$J$46</definedName>
    <definedName name="X01Y32_25">#REF!</definedName>
    <definedName name="X01Y32_32">'[4]32'!$J$45</definedName>
    <definedName name="X01Y32_40">'[4]40'!$J$46</definedName>
    <definedName name="X01Y33_21">#REF!</definedName>
    <definedName name="X01Y33_25">#REF!</definedName>
    <definedName name="X01Y33_32">'[4]32'!$J$46</definedName>
    <definedName name="X01Y33_40">'[4]40'!$J$47</definedName>
    <definedName name="X01Y34_10">'[4]10'!$I$60</definedName>
    <definedName name="X01Y34_21">#REF!</definedName>
    <definedName name="X01Y34_22">'[4]22'!$J$49</definedName>
    <definedName name="X01Y34_25">#REF!</definedName>
    <definedName name="X01Y34_40">'[4]40'!$J$48</definedName>
    <definedName name="X01Y35_21">#REF!</definedName>
    <definedName name="X01Y35_25">#REF!</definedName>
    <definedName name="X01Y35_40">'[4]40'!$J$49</definedName>
    <definedName name="X01Y36_20">'[4]20'!$M$47</definedName>
    <definedName name="X01Y36_21">#REF!</definedName>
    <definedName name="X01Y36_25">#REF!</definedName>
    <definedName name="X01Y36_40">'[4]40'!$J$50</definedName>
    <definedName name="X01Y37_21">#REF!</definedName>
    <definedName name="X01Y37_25">#REF!</definedName>
    <definedName name="X01Y37_40">'[4]40'!$J$51</definedName>
    <definedName name="X01Y38_21">#REF!</definedName>
    <definedName name="X01Y38_25">#REF!</definedName>
    <definedName name="X01Y38_40">'[4]40'!$J$52</definedName>
    <definedName name="X01Y39_21">#REF!</definedName>
    <definedName name="X01Y39_25">#REF!</definedName>
    <definedName name="X01Y39_32">'[4]32'!$J$52</definedName>
    <definedName name="X01Y39_40">'[4]40'!$J$53</definedName>
    <definedName name="X01Y40_20">'[4]20'!$M$51</definedName>
    <definedName name="X01Y40_21">#REF!</definedName>
    <definedName name="X01Y40_25">#REF!</definedName>
    <definedName name="X01Y40_32">'[4]32'!$J$53</definedName>
    <definedName name="X01Y40_40">'[4]40'!$J$54</definedName>
    <definedName name="X01Y41_21">#REF!</definedName>
    <definedName name="X01Y41_25">#REF!</definedName>
    <definedName name="X01Y41_32">'[4]32'!$J$54</definedName>
    <definedName name="X01Y41_40">'[4]40'!$J$55</definedName>
    <definedName name="X01Y42_21">#REF!</definedName>
    <definedName name="X01Y42_22">'[4]22'!$J$57</definedName>
    <definedName name="X01Y42_25">#REF!</definedName>
    <definedName name="X01Y42_40">'[4]40'!$J$56</definedName>
    <definedName name="X01Y43_21">#REF!</definedName>
    <definedName name="X01Y43_25">#REF!</definedName>
    <definedName name="X01Y43_40">'[4]40'!$J$57</definedName>
    <definedName name="X01Y44_21">#REF!</definedName>
    <definedName name="X01Y44_25">#REF!</definedName>
    <definedName name="X01Y44_32">'[4]32'!$U$15</definedName>
    <definedName name="X01Y44_40">'[4]40'!$J$58</definedName>
    <definedName name="X01Y45_21">#REF!</definedName>
    <definedName name="X01Y45_25">#REF!</definedName>
    <definedName name="X01Y45_32">'[4]32'!$U$16</definedName>
    <definedName name="X01Y45_40">'[4]40'!$J$59</definedName>
    <definedName name="X01Y46_20">'[4]20'!$M$57</definedName>
    <definedName name="X01Y46_21">#REF!</definedName>
    <definedName name="X01Y46_22">'[4]22'!$V$15</definedName>
    <definedName name="X01Y46_25">#REF!</definedName>
    <definedName name="X01Y46_40">'[4]40'!$J$66</definedName>
    <definedName name="X01Y47_20">'[4]20'!$M$58</definedName>
    <definedName name="X01Y47_21">#REF!</definedName>
    <definedName name="X01Y47_25">#REF!</definedName>
    <definedName name="X01Y47_40">'[4]40'!$J$67</definedName>
    <definedName name="X01Y48_21">#REF!</definedName>
    <definedName name="X01Y48_25">#REF!</definedName>
    <definedName name="X01Y48_40">'[4]40'!$J$68</definedName>
    <definedName name="X01Y49_21">#REF!</definedName>
    <definedName name="X01Y49_25">#REF!</definedName>
    <definedName name="X01Y49_40">'[4]40'!$J$69</definedName>
    <definedName name="X01Y50_10">'[4]10'!$R$28</definedName>
    <definedName name="X01Y50_21">#REF!</definedName>
    <definedName name="X01Y50_25">#REF!</definedName>
    <definedName name="X01Y50_33">'[4]33'!$W$46</definedName>
    <definedName name="X01Y51_10">'[4]10'!$R$29</definedName>
    <definedName name="X01Y51_21">#REF!</definedName>
    <definedName name="X01Y51_22">'[4]22'!$V$20</definedName>
    <definedName name="X01Y51_25">#REF!</definedName>
    <definedName name="X01Y51_32">'[4]32'!$U$22</definedName>
    <definedName name="X01Y51_40">'[4]40'!$J$71</definedName>
    <definedName name="X01Y52_21">#REF!</definedName>
    <definedName name="X01Y52_25">#REF!</definedName>
    <definedName name="X01Y52_32">'[4]32'!$U$23</definedName>
    <definedName name="X01Y53_21">#REF!</definedName>
    <definedName name="X01Y53_25">#REF!</definedName>
    <definedName name="X01Y53_32">'[4]32'!$U$24</definedName>
    <definedName name="X01Y53_33">'[4]33'!$W$49</definedName>
    <definedName name="X01Y54_21">#REF!</definedName>
    <definedName name="X01Y54_23">'[4]23'!$J$68</definedName>
    <definedName name="X01Y54_25">#REF!</definedName>
    <definedName name="X01Y54_40">'[4]40'!$J$74</definedName>
    <definedName name="X01Y55_21">#REF!</definedName>
    <definedName name="X01Y55_25">#REF!</definedName>
    <definedName name="X01Y55_40">'[4]40'!#REF!</definedName>
    <definedName name="X01Y56_21">#REF!</definedName>
    <definedName name="X01Y56_25">#REF!</definedName>
    <definedName name="X01Y56_32">'[4]32'!$U$27</definedName>
    <definedName name="X01Y56_40">'[4]40'!#REF!</definedName>
    <definedName name="X01Y57_21">#REF!</definedName>
    <definedName name="X01Y57_25">#REF!</definedName>
    <definedName name="X01Y57_32">'[4]32'!$U$28</definedName>
    <definedName name="X01Y57_40">'[4]40'!#REF!</definedName>
    <definedName name="X01Y58_21">#REF!</definedName>
    <definedName name="X01Y58_25">#REF!</definedName>
    <definedName name="X01Y58_32">'[4]32'!$U$29</definedName>
    <definedName name="X01Y58_40">'[4]40'!#REF!</definedName>
    <definedName name="X01Y59_21">#REF!</definedName>
    <definedName name="X01Y59_32">'[4]32'!$U$30</definedName>
    <definedName name="X01Y59_40">'[4]40'!#REF!</definedName>
    <definedName name="X01Y60_21">#REF!</definedName>
    <definedName name="X01Y60_32">'[4]32'!$U$31</definedName>
    <definedName name="X01Y60_40">'[4]40'!#REF!</definedName>
    <definedName name="X01Y61_21">#REF!</definedName>
    <definedName name="X01Y68_22">'[4]22'!$V$37</definedName>
    <definedName name="X01Y70_22">'[4]22'!$V$39</definedName>
    <definedName name="X01Y75_22">'[4]22'!$V$44</definedName>
    <definedName name="X02Y01_25">'[4]25'!$V$36</definedName>
    <definedName name="X02Y01_40">'[4]40'!$W$15</definedName>
    <definedName name="X02Y02_23">'[4]23'!$U$16</definedName>
    <definedName name="X02Y02_40">'[4]40'!$W$16</definedName>
    <definedName name="X02Y03_32">'[4]32'!$U$34</definedName>
    <definedName name="X02Y04_20">'[4]20'!$U$44</definedName>
    <definedName name="X02Y04_25">'[4]25'!$V$39</definedName>
    <definedName name="X02Y04_32">'[4]32'!$U$35</definedName>
    <definedName name="X02Y05_10">'[4]10'!$R$43</definedName>
    <definedName name="X02Y05_20">'[4]20'!$U$45</definedName>
    <definedName name="X02Y05_32">'[4]32'!$U$36</definedName>
    <definedName name="X02Y06_20">'[4]20'!$U$46</definedName>
    <definedName name="X02Y06_32">'[4]32'!$U$37</definedName>
    <definedName name="X02Y07_20">'[4]20'!$U$47</definedName>
    <definedName name="X02Y07_25">'[4]25'!$V$42</definedName>
    <definedName name="X02Y07_40">'[4]40'!$W$21</definedName>
    <definedName name="X02Y08_32">'[4]32'!$U$39</definedName>
    <definedName name="X02Y08_40">'[4]40'!$W$22</definedName>
    <definedName name="X02Y09_32">'[4]32'!$U$40</definedName>
    <definedName name="X02Y09_40">'[4]40'!$W$23</definedName>
    <definedName name="X02Y10_25">'[4]25'!$V$45</definedName>
    <definedName name="X02Y10_40">'[4]40'!$W$24</definedName>
    <definedName name="X02Y11_40">'[4]40'!$W$25</definedName>
    <definedName name="X02Y12_40">'[4]40'!$W$26</definedName>
    <definedName name="X02Y13_25">'[4]25'!$V$48</definedName>
    <definedName name="X02Y13_40">'[4]40'!$W$27</definedName>
    <definedName name="X02Y14_32">'[4]32'!$U$45</definedName>
    <definedName name="X02Y14_40">'[4]40'!$W$28</definedName>
    <definedName name="X02Y15_40">'[4]40'!$W$29</definedName>
    <definedName name="X02Y16_25">'[4]25'!$V$51</definedName>
    <definedName name="X02Y16_40">'[4]40'!$W$30</definedName>
    <definedName name="X02Y17_40">'[4]40'!$W$31</definedName>
    <definedName name="X02Y18_40">'[4]40'!$W$32</definedName>
    <definedName name="X02Y19_25">'[4]25'!$V$54</definedName>
    <definedName name="X02Y19_40">'[4]40'!$W$33</definedName>
    <definedName name="X02Y20_23">'[4]23'!$U$34</definedName>
    <definedName name="X02Y20_40">'[4]40'!$W$34</definedName>
    <definedName name="X02Y21_40">'[4]40'!$W$35</definedName>
    <definedName name="X02Y23_25">'[4]25'!$V$58</definedName>
    <definedName name="X02Y24_40">'[4]40'!$W$38</definedName>
    <definedName name="X02Y26_25">'[4]25'!$AH$15</definedName>
    <definedName name="X02Y26_40">'[4]40'!$W$40</definedName>
    <definedName name="X02Y28_40">'[4]40'!$W$42</definedName>
    <definedName name="X02Y29_25">'[4]25'!$AH$18</definedName>
    <definedName name="X02Y29_40">'[4]40'!$W$43</definedName>
    <definedName name="X02Y30_23">'[4]23'!$U$44</definedName>
    <definedName name="X02Y31_23">'[4]23'!$U$45</definedName>
    <definedName name="X02Y31_40">'[4]40'!$W$45</definedName>
    <definedName name="X02Y32_25">'[4]25'!$AH$21</definedName>
    <definedName name="X02Y32_40">'[4]40'!$W$46</definedName>
    <definedName name="X02Y34_40">'[4]40'!$W$48</definedName>
    <definedName name="X02Y35_25">'[4]25'!$AH$24</definedName>
    <definedName name="X02Y35_40">'[4]40'!$W$49</definedName>
    <definedName name="X02Y36_23">'[4]23'!$U$50</definedName>
    <definedName name="X02Y36_40">'[4]40'!$W$50</definedName>
    <definedName name="X02Y37_23">'[4]23'!$U$51</definedName>
    <definedName name="X02Y38_23">'[4]23'!$U$52</definedName>
    <definedName name="X02Y38_25">'[4]25'!$AH$27</definedName>
    <definedName name="X02Y39_23">'[4]23'!$U$53</definedName>
    <definedName name="X02Y41_25">'[4]25'!$AH$30</definedName>
    <definedName name="X02Y44_25">'[4]25'!$AH$33</definedName>
    <definedName name="X02Y47_40">'[4]40'!$W$61</definedName>
    <definedName name="X02Y48_25">'[4]25'!$AH$37</definedName>
    <definedName name="X02Y48_40">'[4]40'!$W$62</definedName>
    <definedName name="X02Y49_40">'[4]40'!$W$63</definedName>
    <definedName name="X02Y50_40">'[4]40'!$W$64</definedName>
    <definedName name="X02Y51_25">'[4]25'!$AH$40</definedName>
    <definedName name="X02Y51_40">'[4]40'!$W$65</definedName>
    <definedName name="X02Y52_40">'[4]40'!$W$66</definedName>
    <definedName name="X02Y53_40">'[4]40'!$W$67</definedName>
    <definedName name="X02Y54_25">'[4]25'!$AH$43</definedName>
    <definedName name="X02Y54_40">'[4]40'!$W$68</definedName>
    <definedName name="X02Y55_40">'[4]40'!$W$69</definedName>
    <definedName name="X02Y56_40">'[4]40'!$W$70</definedName>
    <definedName name="X02Y57_25">'[4]25'!$AH$46</definedName>
    <definedName name="X02Y57_40">'[4]40'!$W$71</definedName>
    <definedName name="X02Y58_40">'[4]40'!$W$72</definedName>
    <definedName name="X02Y59_40">'[4]40'!$W$73</definedName>
    <definedName name="X02Y60_25">'[4]25'!$AH$49</definedName>
    <definedName name="X02Y60_40">'[4]40'!$W$74</definedName>
    <definedName name="X02Y61_40">'[4]40'!$W$75</definedName>
    <definedName name="X02Y62_40">'[4]40'!$W$76</definedName>
    <definedName name="X02Y63_25">'[4]25'!$AH$52</definedName>
    <definedName name="X02Y66_25">'[4]25'!$AH$55</definedName>
    <definedName name="X02Y69_25">'[4]25'!$AH$58</definedName>
    <definedName name="X02Y73_25">'[4]25'!$AH$62</definedName>
    <definedName name="X03Y01_25">'[4]25'!$AT$15</definedName>
    <definedName name="X03Y04_25">'[4]25'!$AT$18</definedName>
    <definedName name="X03Y07_25">'[4]25'!$AT$21</definedName>
    <definedName name="X03Y10_25">'[4]25'!$AT$24</definedName>
    <definedName name="X03Y13_25">'[4]25'!$AT$27</definedName>
    <definedName name="X03Y16_25">'[4]25'!$AT$30</definedName>
    <definedName name="X03Y19_25">'[4]25'!$AT$33</definedName>
    <definedName name="X03Y23_25">'[4]25'!$AT$37</definedName>
    <definedName name="あ">#REF!</definedName>
    <definedName name="あああ">OFFSET([1]コード!$A$2,0,0,COUNTA([1]コード!$A$1:$A$65536)-1,1)</definedName>
    <definedName name="あああああ">[3]設定!$B$45:$B$46</definedName>
    <definedName name="サーバ設置">[2]設定!$B$2:$B$3</definedName>
    <definedName name="ｼｽﾃﾑ">#REF!</definedName>
    <definedName name="ｼﾝｸﾞﾙｻｲﾝｵﾝ">[2]設定!$B$12:$B$13</definedName>
    <definedName name="バージョン">#REF!</definedName>
    <definedName name="リモート環境">[2]設定!$D$2:$D$8</definedName>
    <definedName name="依頼元">OFFSET([5]コード!$B$2,0,0,COUNTA([5]コード!$B$1:$B$65536)-1,1)</definedName>
    <definedName name="開発分類">OFFSET([5]コード!$A$2,0,0,COUNTA([5]コード!$A$1:$A$65536)-1,1)</definedName>
    <definedName name="外字利用">[2]設定!$D$12:$D$14</definedName>
    <definedName name="各課要求形式">[2]設定!$B$18:$B$20</definedName>
    <definedName name="客先">#REF!</definedName>
    <definedName name="給与システム">[2]設定!$D$45:$D$48</definedName>
    <definedName name="給与伝票サイズ">[2]設定!$F$45:$F$49</definedName>
    <definedName name="給与連動有無">[2]設定!$B$45:$B$46</definedName>
    <definedName name="決算書様式">[2]設定!$F$26:$F$35</definedName>
    <definedName name="見積書様式">[2]設定!$D$18:$D$22</definedName>
    <definedName name="工程">[6]要員計画!$A$2:$A$8</definedName>
    <definedName name="支払案内書">[2]設定!$H$26:$H$28</definedName>
    <definedName name="支払方法">[2]設定!$D$26:$D$32</definedName>
    <definedName name="資金基金">[2]設定!$J$26:$J$27</definedName>
    <definedName name="受付方法">#REF!</definedName>
    <definedName name="収入連動システム">[2]設定!$D$39:$D$41</definedName>
    <definedName name="収入連動有無">[2]設定!$B$39:$B$41</definedName>
    <definedName name="処理">#REF!</definedName>
    <definedName name="申告連動">[2]設定!$B$58:$B$59</definedName>
    <definedName name="対応状況">#REF!</definedName>
    <definedName name="伝票サイズ">[2]設定!$B$26:$B$28</definedName>
    <definedName name="電子決裁">[2]設定!$F$12:$F$13</definedName>
    <definedName name="分類">#REF!</definedName>
    <definedName name="返納通知書">[2]設定!$L$39:$L$41</definedName>
    <definedName name="予算書様式">[2]設定!$F$18:$F$22</definedName>
    <definedName name="利用状況">[2]設定!$B$53:$B$54</definedName>
  </definedNames>
  <calcPr calcId="191029"/>
</workbook>
</file>

<file path=xl/calcChain.xml><?xml version="1.0" encoding="utf-8"?>
<calcChain xmlns="http://schemas.openxmlformats.org/spreadsheetml/2006/main">
  <c r="M567" i="14" l="1"/>
  <c r="Q565" i="14"/>
  <c r="Q564" i="14" s="1"/>
  <c r="Q563" i="14" s="1"/>
  <c r="L565" i="14"/>
  <c r="L564" i="14" s="1"/>
  <c r="L563" i="14" s="1"/>
  <c r="K565" i="14"/>
  <c r="K564" i="14" s="1"/>
  <c r="K563" i="14" s="1"/>
  <c r="M562" i="14"/>
  <c r="M561" i="14"/>
  <c r="M560" i="14"/>
  <c r="Q558" i="14"/>
  <c r="L558" i="14"/>
  <c r="K558" i="14"/>
  <c r="M557" i="14"/>
  <c r="Q555" i="14"/>
  <c r="Q554" i="14" s="1"/>
  <c r="Q553" i="14" s="1"/>
  <c r="L555" i="14"/>
  <c r="L554" i="14" s="1"/>
  <c r="L553" i="14" s="1"/>
  <c r="K555" i="14"/>
  <c r="M552" i="14"/>
  <c r="Q550" i="14"/>
  <c r="Q549" i="14" s="1"/>
  <c r="Q548" i="14" s="1"/>
  <c r="L550" i="14"/>
  <c r="K550" i="14"/>
  <c r="K549" i="14" s="1"/>
  <c r="K548" i="14" s="1"/>
  <c r="L549" i="14"/>
  <c r="L548" i="14" s="1"/>
  <c r="M547" i="14"/>
  <c r="Q545" i="14"/>
  <c r="Q544" i="14" s="1"/>
  <c r="Q543" i="14" s="1"/>
  <c r="L545" i="14"/>
  <c r="K545" i="14"/>
  <c r="K544" i="14" s="1"/>
  <c r="K543" i="14" s="1"/>
  <c r="M538" i="14"/>
  <c r="Q536" i="14"/>
  <c r="Q535" i="14" s="1"/>
  <c r="L536" i="14"/>
  <c r="L535" i="14" s="1"/>
  <c r="K536" i="14"/>
  <c r="K535" i="14" s="1"/>
  <c r="M529" i="14"/>
  <c r="M528" i="14"/>
  <c r="M526" i="14"/>
  <c r="Q524" i="14"/>
  <c r="L524" i="14"/>
  <c r="K524" i="14"/>
  <c r="M523" i="14"/>
  <c r="M521" i="14"/>
  <c r="M519" i="14"/>
  <c r="M518" i="14"/>
  <c r="M516" i="14"/>
  <c r="M509" i="14"/>
  <c r="Q507" i="14"/>
  <c r="L507" i="14"/>
  <c r="K507" i="14"/>
  <c r="M503" i="14"/>
  <c r="M502" i="14"/>
  <c r="M499" i="14"/>
  <c r="M498" i="14"/>
  <c r="Q496" i="14"/>
  <c r="L496" i="14"/>
  <c r="K496" i="14"/>
  <c r="M494" i="14"/>
  <c r="M492" i="14"/>
  <c r="M491" i="14"/>
  <c r="M490" i="14"/>
  <c r="M488" i="14"/>
  <c r="M487" i="14"/>
  <c r="Q485" i="14"/>
  <c r="L485" i="14"/>
  <c r="K485" i="14"/>
  <c r="M481" i="14"/>
  <c r="M479" i="14"/>
  <c r="M477" i="14"/>
  <c r="M475" i="14"/>
  <c r="M474" i="14"/>
  <c r="M472" i="14"/>
  <c r="M471" i="14"/>
  <c r="M467" i="14"/>
  <c r="M465" i="14"/>
  <c r="M458" i="14"/>
  <c r="Q456" i="14"/>
  <c r="L456" i="14"/>
  <c r="K456" i="14"/>
  <c r="M455" i="14"/>
  <c r="M451" i="14"/>
  <c r="M449" i="14"/>
  <c r="M447" i="14"/>
  <c r="M445" i="14"/>
  <c r="M442" i="14"/>
  <c r="M440" i="14"/>
  <c r="M435" i="14"/>
  <c r="M433" i="14"/>
  <c r="M432" i="14"/>
  <c r="M430" i="14"/>
  <c r="M427" i="14"/>
  <c r="M423" i="14"/>
  <c r="M422" i="14"/>
  <c r="M420" i="14"/>
  <c r="M413" i="14"/>
  <c r="M411" i="14"/>
  <c r="M409" i="14"/>
  <c r="M408" i="14"/>
  <c r="M407" i="14"/>
  <c r="M404" i="14"/>
  <c r="M403" i="14"/>
  <c r="M402" i="14"/>
  <c r="M401" i="14"/>
  <c r="M399" i="14"/>
  <c r="Q397" i="14"/>
  <c r="L397" i="14"/>
  <c r="K397" i="14"/>
  <c r="M395" i="14"/>
  <c r="M390" i="14"/>
  <c r="M387" i="14"/>
  <c r="M385" i="14"/>
  <c r="M383" i="14"/>
  <c r="M381" i="14"/>
  <c r="M380" i="14"/>
  <c r="M379" i="14"/>
  <c r="M378" i="14"/>
  <c r="M375" i="14"/>
  <c r="M373" i="14"/>
  <c r="M369" i="14"/>
  <c r="M355" i="14"/>
  <c r="Q353" i="14"/>
  <c r="Q352" i="14" s="1"/>
  <c r="L353" i="14"/>
  <c r="L352" i="14" s="1"/>
  <c r="K353" i="14"/>
  <c r="M350" i="14"/>
  <c r="M349" i="14"/>
  <c r="M347" i="14"/>
  <c r="M345" i="14"/>
  <c r="M343" i="14"/>
  <c r="M341" i="14"/>
  <c r="M339" i="14"/>
  <c r="M336" i="14"/>
  <c r="M334" i="14"/>
  <c r="M332" i="14"/>
  <c r="M330" i="14"/>
  <c r="M328" i="14"/>
  <c r="M326" i="14"/>
  <c r="M324" i="14"/>
  <c r="Q322" i="14"/>
  <c r="Q321" i="14" s="1"/>
  <c r="L322" i="14"/>
  <c r="L321" i="14" s="1"/>
  <c r="K322" i="14"/>
  <c r="K321" i="14" s="1"/>
  <c r="M319" i="14"/>
  <c r="Q317" i="14"/>
  <c r="Q316" i="14" s="1"/>
  <c r="Q315" i="14" s="1"/>
  <c r="L317" i="14"/>
  <c r="L316" i="14" s="1"/>
  <c r="L315" i="14" s="1"/>
  <c r="K317" i="14"/>
  <c r="K316" i="14" s="1"/>
  <c r="M306" i="14"/>
  <c r="Q304" i="14"/>
  <c r="L304" i="14"/>
  <c r="K304" i="14"/>
  <c r="M295" i="14"/>
  <c r="Q293" i="14"/>
  <c r="L293" i="14"/>
  <c r="K293" i="14"/>
  <c r="M285" i="14"/>
  <c r="Q283" i="14"/>
  <c r="L283" i="14"/>
  <c r="K283" i="14"/>
  <c r="M274" i="14"/>
  <c r="Q272" i="14"/>
  <c r="L272" i="14"/>
  <c r="K272" i="14"/>
  <c r="M266" i="14"/>
  <c r="Q264" i="14"/>
  <c r="L264" i="14"/>
  <c r="K264" i="14"/>
  <c r="M255" i="14"/>
  <c r="Q253" i="14"/>
  <c r="L253" i="14"/>
  <c r="K253" i="14"/>
  <c r="M243" i="14"/>
  <c r="Q241" i="14"/>
  <c r="Q240" i="14" s="1"/>
  <c r="L241" i="14"/>
  <c r="L240" i="14" s="1"/>
  <c r="K241" i="14"/>
  <c r="M231" i="14"/>
  <c r="Q229" i="14"/>
  <c r="L229" i="14"/>
  <c r="K229" i="14"/>
  <c r="M220" i="14"/>
  <c r="Q218" i="14"/>
  <c r="L218" i="14"/>
  <c r="K218" i="14"/>
  <c r="M209" i="14"/>
  <c r="Q207" i="14"/>
  <c r="L207" i="14"/>
  <c r="K207" i="14"/>
  <c r="M198" i="14"/>
  <c r="Q196" i="14"/>
  <c r="L196" i="14"/>
  <c r="K196" i="14"/>
  <c r="M187" i="14"/>
  <c r="Q185" i="14"/>
  <c r="L185" i="14"/>
  <c r="K185" i="14"/>
  <c r="M175" i="14"/>
  <c r="Q173" i="14"/>
  <c r="L173" i="14"/>
  <c r="K173" i="14"/>
  <c r="M164" i="14"/>
  <c r="Q162" i="14"/>
  <c r="L162" i="14"/>
  <c r="K162" i="14"/>
  <c r="M153" i="14"/>
  <c r="Q151" i="14"/>
  <c r="L151" i="14"/>
  <c r="K151" i="14"/>
  <c r="M142" i="14"/>
  <c r="Q140" i="14"/>
  <c r="L140" i="14"/>
  <c r="K140" i="14"/>
  <c r="M131" i="14"/>
  <c r="Q129" i="14"/>
  <c r="L129" i="14"/>
  <c r="K129" i="14"/>
  <c r="M120" i="14"/>
  <c r="Q118" i="14"/>
  <c r="L118" i="14"/>
  <c r="K118" i="14"/>
  <c r="M115" i="14"/>
  <c r="M113" i="14"/>
  <c r="Q111" i="14"/>
  <c r="Q110" i="14" s="1"/>
  <c r="L111" i="14"/>
  <c r="L110" i="14" s="1"/>
  <c r="K111" i="14"/>
  <c r="M109" i="14"/>
  <c r="M107" i="14"/>
  <c r="M100" i="14"/>
  <c r="M94" i="14"/>
  <c r="M92" i="14"/>
  <c r="M91" i="14"/>
  <c r="M89" i="14"/>
  <c r="M87" i="14"/>
  <c r="M86" i="14"/>
  <c r="M84" i="14"/>
  <c r="M83" i="14"/>
  <c r="M82" i="14"/>
  <c r="M80" i="14"/>
  <c r="Q78" i="14"/>
  <c r="L78" i="14"/>
  <c r="K78" i="14"/>
  <c r="M77" i="14"/>
  <c r="Q75" i="14"/>
  <c r="L75" i="14"/>
  <c r="K75" i="14"/>
  <c r="M73" i="14"/>
  <c r="M67" i="14"/>
  <c r="M58" i="14"/>
  <c r="M47" i="14"/>
  <c r="M46" i="14"/>
  <c r="Q44" i="14"/>
  <c r="Q43" i="14" s="1"/>
  <c r="L44" i="14"/>
  <c r="L43" i="14" s="1"/>
  <c r="K44" i="14"/>
  <c r="M38" i="14"/>
  <c r="M37" i="14"/>
  <c r="M28" i="14"/>
  <c r="M22" i="14"/>
  <c r="M14" i="14"/>
  <c r="M7" i="14"/>
  <c r="Q5" i="14"/>
  <c r="Q4" i="14" s="1"/>
  <c r="L5" i="14"/>
  <c r="K5" i="14"/>
  <c r="K4" i="14" s="1"/>
  <c r="M129" i="14" l="1"/>
  <c r="M140" i="14"/>
  <c r="M44" i="14"/>
  <c r="M75" i="14"/>
  <c r="M78" i="14"/>
  <c r="M111" i="14"/>
  <c r="M545" i="14"/>
  <c r="M5" i="14"/>
  <c r="M173" i="14"/>
  <c r="M185" i="14"/>
  <c r="M496" i="14"/>
  <c r="M524" i="14"/>
  <c r="M272" i="14"/>
  <c r="M293" i="14"/>
  <c r="M196" i="14"/>
  <c r="M207" i="14"/>
  <c r="M229" i="14"/>
  <c r="M253" i="14"/>
  <c r="K271" i="14"/>
  <c r="M317" i="14"/>
  <c r="M397" i="14"/>
  <c r="M456" i="14"/>
  <c r="M549" i="14"/>
  <c r="M565" i="14"/>
  <c r="M548" i="14"/>
  <c r="M316" i="14"/>
  <c r="K315" i="14"/>
  <c r="M315" i="14" s="1"/>
  <c r="M485" i="14"/>
  <c r="M564" i="14"/>
  <c r="M321" i="14"/>
  <c r="L271" i="14"/>
  <c r="M271" i="14" s="1"/>
  <c r="M353" i="14"/>
  <c r="K396" i="14"/>
  <c r="M550" i="14"/>
  <c r="K43" i="14"/>
  <c r="M151" i="14"/>
  <c r="M162" i="14"/>
  <c r="M241" i="14"/>
  <c r="K252" i="14"/>
  <c r="Q396" i="14"/>
  <c r="Q320" i="14" s="1"/>
  <c r="M555" i="14"/>
  <c r="K554" i="14"/>
  <c r="K110" i="14"/>
  <c r="M110" i="14" s="1"/>
  <c r="Q117" i="14"/>
  <c r="Q271" i="14"/>
  <c r="M304" i="14"/>
  <c r="M322" i="14"/>
  <c r="K352" i="14"/>
  <c r="M352" i="14" s="1"/>
  <c r="M536" i="14"/>
  <c r="L544" i="14"/>
  <c r="L184" i="14"/>
  <c r="M218" i="14"/>
  <c r="K240" i="14"/>
  <c r="M240" i="14" s="1"/>
  <c r="M264" i="14"/>
  <c r="Q292" i="14"/>
  <c r="K320" i="14"/>
  <c r="M563" i="14"/>
  <c r="L74" i="14"/>
  <c r="Q74" i="14"/>
  <c r="Q3" i="14" s="1"/>
  <c r="M118" i="14"/>
  <c r="Q184" i="14"/>
  <c r="Q252" i="14"/>
  <c r="M283" i="14"/>
  <c r="K292" i="14"/>
  <c r="L396" i="14"/>
  <c r="M507" i="14"/>
  <c r="M43" i="14"/>
  <c r="K553" i="14"/>
  <c r="M553" i="14" s="1"/>
  <c r="M554" i="14"/>
  <c r="M396" i="14"/>
  <c r="L320" i="14"/>
  <c r="K117" i="14"/>
  <c r="L117" i="14"/>
  <c r="L252" i="14"/>
  <c r="M252" i="14" s="1"/>
  <c r="L292" i="14"/>
  <c r="M292" i="14" s="1"/>
  <c r="K74" i="14"/>
  <c r="L4" i="14"/>
  <c r="L3" i="14" s="1"/>
  <c r="K184" i="14"/>
  <c r="M184" i="14" s="1"/>
  <c r="M535" i="14"/>
  <c r="M558" i="14"/>
  <c r="M320" i="14" l="1"/>
  <c r="Q116" i="14"/>
  <c r="Q568" i="14" s="1"/>
  <c r="M544" i="14"/>
  <c r="L543" i="14"/>
  <c r="M543" i="14" s="1"/>
  <c r="L116" i="14"/>
  <c r="L568" i="14" s="1"/>
  <c r="M74" i="14"/>
  <c r="K3" i="14"/>
  <c r="M117" i="14"/>
  <c r="K116" i="14"/>
  <c r="M4" i="14"/>
  <c r="M3" i="14" l="1"/>
  <c r="K568" i="14"/>
  <c r="M116" i="14"/>
  <c r="M568" i="14" l="1"/>
  <c r="M322" i="10" l="1"/>
  <c r="Q320" i="10"/>
  <c r="Q319" i="10" s="1"/>
  <c r="L320" i="10"/>
  <c r="K320" i="10"/>
  <c r="M320" i="10" s="1"/>
  <c r="L319" i="10"/>
  <c r="K319" i="10"/>
  <c r="M318" i="10"/>
  <c r="Q316" i="10"/>
  <c r="Q315" i="10" s="1"/>
  <c r="Q314" i="10" s="1"/>
  <c r="L316" i="10"/>
  <c r="K316" i="10"/>
  <c r="L315" i="10"/>
  <c r="L314" i="10" s="1"/>
  <c r="K315" i="10"/>
  <c r="M313" i="10"/>
  <c r="Q311" i="10"/>
  <c r="L311" i="10"/>
  <c r="K311" i="10"/>
  <c r="M311" i="10" s="1"/>
  <c r="Q310" i="10"/>
  <c r="L310" i="10"/>
  <c r="K310" i="10"/>
  <c r="M310" i="10" s="1"/>
  <c r="Q309" i="10"/>
  <c r="L309" i="10"/>
  <c r="K309" i="10"/>
  <c r="M309" i="10" s="1"/>
  <c r="M275" i="10"/>
  <c r="M273" i="10"/>
  <c r="M271" i="10"/>
  <c r="Q269" i="10"/>
  <c r="L269" i="10"/>
  <c r="M269" i="10" s="1"/>
  <c r="K269" i="10"/>
  <c r="M259" i="10"/>
  <c r="Q257" i="10"/>
  <c r="M257" i="10"/>
  <c r="L257" i="10"/>
  <c r="K257" i="10"/>
  <c r="M254" i="10"/>
  <c r="Q252" i="10"/>
  <c r="L252" i="10"/>
  <c r="K252" i="10"/>
  <c r="M221" i="10"/>
  <c r="Q219" i="10"/>
  <c r="L219" i="10"/>
  <c r="K219" i="10"/>
  <c r="M217" i="10"/>
  <c r="Q215" i="10"/>
  <c r="Q214" i="10" s="1"/>
  <c r="L215" i="10"/>
  <c r="L214" i="10" s="1"/>
  <c r="K215" i="10"/>
  <c r="K214" i="10"/>
  <c r="M214" i="10" s="1"/>
  <c r="M204" i="10"/>
  <c r="Q202" i="10"/>
  <c r="L202" i="10"/>
  <c r="M202" i="10" s="1"/>
  <c r="K202" i="10"/>
  <c r="M200" i="10"/>
  <c r="Q198" i="10"/>
  <c r="Q197" i="10" s="1"/>
  <c r="L198" i="10"/>
  <c r="L197" i="10" s="1"/>
  <c r="L162" i="10" s="1"/>
  <c r="K198" i="10"/>
  <c r="M166" i="10"/>
  <c r="Q164" i="10"/>
  <c r="Q163" i="10" s="1"/>
  <c r="L164" i="10"/>
  <c r="K164" i="10"/>
  <c r="L163" i="10"/>
  <c r="M159" i="10"/>
  <c r="Q157" i="10"/>
  <c r="L157" i="10"/>
  <c r="K157" i="10"/>
  <c r="M157" i="10" s="1"/>
  <c r="M126" i="10"/>
  <c r="Q124" i="10"/>
  <c r="L124" i="10"/>
  <c r="M124" i="10" s="1"/>
  <c r="K124" i="10"/>
  <c r="M112" i="10"/>
  <c r="Q110" i="10"/>
  <c r="L110" i="10"/>
  <c r="K110" i="10"/>
  <c r="M110" i="10" s="1"/>
  <c r="M100" i="10"/>
  <c r="Q98" i="10"/>
  <c r="L98" i="10"/>
  <c r="K98" i="10"/>
  <c r="M98" i="10" s="1"/>
  <c r="M95" i="10"/>
  <c r="Q93" i="10"/>
  <c r="L93" i="10"/>
  <c r="K93" i="10"/>
  <c r="M93" i="10" s="1"/>
  <c r="M64" i="10"/>
  <c r="Q62" i="10"/>
  <c r="L62" i="10"/>
  <c r="K62" i="10"/>
  <c r="M62" i="10" s="1"/>
  <c r="M30" i="10"/>
  <c r="Q28" i="10"/>
  <c r="Q27" i="10" s="1"/>
  <c r="L28" i="10"/>
  <c r="L27" i="10" s="1"/>
  <c r="K28" i="10"/>
  <c r="M28" i="10" s="1"/>
  <c r="M25" i="10"/>
  <c r="M23" i="10"/>
  <c r="Q21" i="10"/>
  <c r="Q20" i="10" s="1"/>
  <c r="Q19" i="10" s="1"/>
  <c r="L21" i="10"/>
  <c r="K21" i="10"/>
  <c r="K20" i="10"/>
  <c r="K19" i="10" s="1"/>
  <c r="M17" i="10"/>
  <c r="M16" i="10"/>
  <c r="Q14" i="10"/>
  <c r="Q13" i="10" s="1"/>
  <c r="Q12" i="10" s="1"/>
  <c r="L14" i="10"/>
  <c r="M14" i="10" s="1"/>
  <c r="K14" i="10"/>
  <c r="K13" i="10" s="1"/>
  <c r="K12" i="10" s="1"/>
  <c r="M10" i="10"/>
  <c r="M7" i="10"/>
  <c r="Q5" i="10"/>
  <c r="Q4" i="10" s="1"/>
  <c r="Q3" i="10" s="1"/>
  <c r="L5" i="10"/>
  <c r="L4" i="10" s="1"/>
  <c r="K5" i="10"/>
  <c r="K4" i="10" s="1"/>
  <c r="K3" i="10" s="1"/>
  <c r="M21" i="10" l="1"/>
  <c r="K27" i="10"/>
  <c r="M27" i="10" s="1"/>
  <c r="L61" i="10"/>
  <c r="L26" i="10" s="1"/>
  <c r="K123" i="10"/>
  <c r="K122" i="10" s="1"/>
  <c r="Q123" i="10"/>
  <c r="Q122" i="10" s="1"/>
  <c r="M164" i="10"/>
  <c r="M215" i="10"/>
  <c r="M219" i="10"/>
  <c r="M252" i="10"/>
  <c r="Q61" i="10"/>
  <c r="Q26" i="10" s="1"/>
  <c r="Q323" i="10" s="1"/>
  <c r="M198" i="10"/>
  <c r="K197" i="10"/>
  <c r="M197" i="10" s="1"/>
  <c r="M316" i="10"/>
  <c r="K314" i="10"/>
  <c r="M314" i="10" s="1"/>
  <c r="Q218" i="10"/>
  <c r="Q213" i="10" s="1"/>
  <c r="M315" i="10"/>
  <c r="L123" i="10"/>
  <c r="Q162" i="10"/>
  <c r="L3" i="10"/>
  <c r="M3" i="10" s="1"/>
  <c r="M4" i="10"/>
  <c r="L122" i="10"/>
  <c r="M122" i="10" s="1"/>
  <c r="M123" i="10"/>
  <c r="L20" i="10"/>
  <c r="L19" i="10" s="1"/>
  <c r="M19" i="10" s="1"/>
  <c r="K163" i="10"/>
  <c r="M5" i="10"/>
  <c r="L218" i="10"/>
  <c r="L213" i="10" s="1"/>
  <c r="K218" i="10"/>
  <c r="L13" i="10"/>
  <c r="L12" i="10" s="1"/>
  <c r="M12" i="10" s="1"/>
  <c r="K61" i="10"/>
  <c r="M319" i="10"/>
  <c r="L323" i="10" l="1"/>
  <c r="M61" i="10"/>
  <c r="K26" i="10"/>
  <c r="M20" i="10"/>
  <c r="K213" i="10"/>
  <c r="M213" i="10" s="1"/>
  <c r="M218" i="10"/>
  <c r="K162" i="10"/>
  <c r="M162" i="10" s="1"/>
  <c r="M163" i="10"/>
  <c r="M13" i="10"/>
  <c r="M26" i="10" l="1"/>
  <c r="M323" i="10" s="1"/>
  <c r="K323" i="10"/>
</calcChain>
</file>

<file path=xl/sharedStrings.xml><?xml version="1.0" encoding="utf-8"?>
<sst xmlns="http://schemas.openxmlformats.org/spreadsheetml/2006/main" count="5779" uniqueCount="612">
  <si>
    <t>款</t>
  </si>
  <si>
    <t>項</t>
  </si>
  <si>
    <t>目</t>
  </si>
  <si>
    <t>事業通番</t>
  </si>
  <si>
    <t>節</t>
  </si>
  <si>
    <t>金額(円)</t>
  </si>
  <si>
    <t>報酬</t>
  </si>
  <si>
    <t>給料</t>
  </si>
  <si>
    <t>職員給料</t>
  </si>
  <si>
    <t>職員手当等</t>
  </si>
  <si>
    <t>職員扶養手当</t>
  </si>
  <si>
    <t>職員通勤手当</t>
  </si>
  <si>
    <t>職員時間外勤務手当</t>
  </si>
  <si>
    <t>職員期末手当</t>
  </si>
  <si>
    <t>職員勤勉手当</t>
  </si>
  <si>
    <t>職員寒冷地手当</t>
  </si>
  <si>
    <t>共済費</t>
  </si>
  <si>
    <t>職員共済費</t>
  </si>
  <si>
    <t>報償費</t>
  </si>
  <si>
    <t>各種報償金・謝金等</t>
  </si>
  <si>
    <t>旅費</t>
  </si>
  <si>
    <t>普通旅費</t>
  </si>
  <si>
    <t>研修旅費</t>
  </si>
  <si>
    <t>需用費</t>
  </si>
  <si>
    <t>消耗品費</t>
  </si>
  <si>
    <t>食糧費</t>
  </si>
  <si>
    <t>印刷製本費</t>
  </si>
  <si>
    <t>役務費</t>
  </si>
  <si>
    <t>通信運搬費</t>
  </si>
  <si>
    <t>手数料</t>
  </si>
  <si>
    <t>クリーニング代</t>
  </si>
  <si>
    <t>保険料</t>
  </si>
  <si>
    <t>委託料</t>
  </si>
  <si>
    <t>事務事業等業務委託料</t>
  </si>
  <si>
    <t>使用料及び賃借料</t>
  </si>
  <si>
    <t>自動車等借上料</t>
  </si>
  <si>
    <t>備品購入費</t>
  </si>
  <si>
    <t>庁用器具購入費</t>
  </si>
  <si>
    <t>負担金、補助及び交付金</t>
  </si>
  <si>
    <t>総務費</t>
  </si>
  <si>
    <t>総務管理費</t>
  </si>
  <si>
    <t>一般管理費</t>
  </si>
  <si>
    <t>会計年度任用職員</t>
  </si>
  <si>
    <t>職員住居手当</t>
  </si>
  <si>
    <t>会計年度任用職員期末手当</t>
  </si>
  <si>
    <t>会計年度任用職員通勤手当</t>
  </si>
  <si>
    <t>社会保険料等</t>
  </si>
  <si>
    <t>電算委託料</t>
  </si>
  <si>
    <t>電算機器等借上料</t>
  </si>
  <si>
    <t>受講料・会費等</t>
  </si>
  <si>
    <t>職員退職手当組合負担金</t>
  </si>
  <si>
    <t>償還金、利子及び割引料</t>
  </si>
  <si>
    <t>補助金等返還金（県費）</t>
  </si>
  <si>
    <t>燃料費</t>
  </si>
  <si>
    <t>積立金</t>
  </si>
  <si>
    <t>会計年度任用職員報酬</t>
  </si>
  <si>
    <t>各種記念品等</t>
  </si>
  <si>
    <t>土地・建物等借上料</t>
  </si>
  <si>
    <t>助成金・交付金等</t>
  </si>
  <si>
    <t>講師謝礼</t>
  </si>
  <si>
    <t>賦課徴収費</t>
  </si>
  <si>
    <t>医薬材料費</t>
  </si>
  <si>
    <t>保健福祉課</t>
  </si>
  <si>
    <t>地域支援事業（介護予防・日常生活支援総合事業）</t>
  </si>
  <si>
    <t>地域支援事業（包括的支援・任意事業）</t>
  </si>
  <si>
    <t>主治医意見書等作成手数料</t>
  </si>
  <si>
    <t>会計年度任用職員共済費</t>
  </si>
  <si>
    <t>賄材料費</t>
  </si>
  <si>
    <t>科目設定</t>
  </si>
  <si>
    <t>公債費</t>
  </si>
  <si>
    <t>利子</t>
  </si>
  <si>
    <t>諸支出金</t>
  </si>
  <si>
    <t>予備費</t>
  </si>
  <si>
    <t>（単位：千円）</t>
    <rPh sb="1" eb="3">
      <t>タンイ</t>
    </rPh>
    <rPh sb="4" eb="6">
      <t>センエン</t>
    </rPh>
    <phoneticPr fontId="20"/>
  </si>
  <si>
    <t>細</t>
  </si>
  <si>
    <t>科目名</t>
  </si>
  <si>
    <t>前年対比</t>
    <rPh sb="0" eb="2">
      <t>ゼンネン</t>
    </rPh>
    <rPh sb="2" eb="4">
      <t>タイヒ</t>
    </rPh>
    <phoneticPr fontId="20"/>
  </si>
  <si>
    <t>積算基礎</t>
  </si>
  <si>
    <t>特定財源内訳</t>
    <rPh sb="0" eb="2">
      <t>トクテイ</t>
    </rPh>
    <rPh sb="2" eb="4">
      <t>ザイゲン</t>
    </rPh>
    <rPh sb="4" eb="6">
      <t>ウチワケ</t>
    </rPh>
    <phoneticPr fontId="20"/>
  </si>
  <si>
    <t>充当額</t>
    <rPh sb="0" eb="2">
      <t>ジュウトウ</t>
    </rPh>
    <rPh sb="2" eb="3">
      <t>ガク</t>
    </rPh>
    <phoneticPr fontId="20"/>
  </si>
  <si>
    <t>主管課</t>
    <rPh sb="2" eb="3">
      <t>カ</t>
    </rPh>
    <phoneticPr fontId="20"/>
  </si>
  <si>
    <t>本年度</t>
    <phoneticPr fontId="20"/>
  </si>
  <si>
    <t>前年度</t>
    <phoneticPr fontId="20"/>
  </si>
  <si>
    <t>総務管理費</t>
    <phoneticPr fontId="20"/>
  </si>
  <si>
    <t>公債費</t>
    <phoneticPr fontId="20"/>
  </si>
  <si>
    <t>予備費</t>
    <phoneticPr fontId="20"/>
  </si>
  <si>
    <t>総務費</t>
    <phoneticPr fontId="20"/>
  </si>
  <si>
    <t>一般管理費</t>
    <phoneticPr fontId="20"/>
  </si>
  <si>
    <t>賦課徴収費</t>
    <phoneticPr fontId="20"/>
  </si>
  <si>
    <t>保健福祉課</t>
    <phoneticPr fontId="25"/>
  </si>
  <si>
    <t>利子</t>
    <phoneticPr fontId="20"/>
  </si>
  <si>
    <t>諸支出金</t>
    <phoneticPr fontId="20"/>
  </si>
  <si>
    <t>雑入</t>
  </si>
  <si>
    <t>会計年度任用職員勤勉手当</t>
  </si>
  <si>
    <t>その他郵便料</t>
  </si>
  <si>
    <t>充当先事業</t>
    <rPh sb="0" eb="2">
      <t>ジュウトウ</t>
    </rPh>
    <rPh sb="2" eb="3">
      <t>サキ</t>
    </rPh>
    <rPh sb="3" eb="5">
      <t>ジギョウ</t>
    </rPh>
    <phoneticPr fontId="20"/>
  </si>
  <si>
    <t>滞納繰越分</t>
  </si>
  <si>
    <t>分担金及び負担金</t>
  </si>
  <si>
    <t>負担金</t>
  </si>
  <si>
    <t>負担金</t>
    <phoneticPr fontId="19"/>
  </si>
  <si>
    <t>使用料及び手数料</t>
  </si>
  <si>
    <t>滞納繰越分収入見込額</t>
  </si>
  <si>
    <t>国庫支出金</t>
  </si>
  <si>
    <t>国庫負担金</t>
  </si>
  <si>
    <t>国庫補助金</t>
  </si>
  <si>
    <t>県支出金</t>
  </si>
  <si>
    <t>県負担金</t>
  </si>
  <si>
    <t>県補助金</t>
  </si>
  <si>
    <t>繰入金</t>
  </si>
  <si>
    <t>基金繰入金</t>
  </si>
  <si>
    <t>繰越金</t>
  </si>
  <si>
    <t>前年度繰越金</t>
  </si>
  <si>
    <t>諸収入</t>
  </si>
  <si>
    <t>延滞金</t>
  </si>
  <si>
    <t>保健福祉課</t>
    <phoneticPr fontId="19"/>
  </si>
  <si>
    <t>現年度分</t>
  </si>
  <si>
    <t>督促手数料</t>
  </si>
  <si>
    <t>審査支払手数料</t>
  </si>
  <si>
    <t>一般会計繰入金</t>
  </si>
  <si>
    <t>職員給与費等一般会計繰入金</t>
  </si>
  <si>
    <t>その他一般会計繰入金</t>
  </si>
  <si>
    <t>第三者納付金</t>
  </si>
  <si>
    <t>徴収費</t>
  </si>
  <si>
    <t>事務費繰入金</t>
  </si>
  <si>
    <t>保険料還付金</t>
  </si>
  <si>
    <t>保険料延滞金</t>
  </si>
  <si>
    <t>介護保険特別会計（歳入）</t>
    <rPh sb="0" eb="2">
      <t>カイゴ</t>
    </rPh>
    <rPh sb="2" eb="4">
      <t>ホケン</t>
    </rPh>
    <rPh sb="4" eb="6">
      <t>トクベツ</t>
    </rPh>
    <rPh sb="6" eb="8">
      <t>カイケイ</t>
    </rPh>
    <rPh sb="9" eb="11">
      <t>サイニュウ</t>
    </rPh>
    <phoneticPr fontId="20"/>
  </si>
  <si>
    <t>介護保険料</t>
  </si>
  <si>
    <t>第１号被保険者保険料</t>
  </si>
  <si>
    <t>現年度分収入見込額</t>
  </si>
  <si>
    <t>第1号被保険者介護保険料　</t>
  </si>
  <si>
    <t xml:space="preserve">　R6調定見込額　  235,128,780円×収納見込率0.975  </t>
  </si>
  <si>
    <t>滞納繰越金収入見込額</t>
  </si>
  <si>
    <t xml:space="preserve">R5滞納繰調定見込額　  6,000,000円×収納見込率0.100  </t>
  </si>
  <si>
    <t>地域支援事業負担金</t>
  </si>
  <si>
    <t>介護予防事業費負担金</t>
  </si>
  <si>
    <t>任意事業費</t>
  </si>
  <si>
    <t>食の自立支援事業負担金</t>
  </si>
  <si>
    <t xml:space="preserve">配食サービス負担金　  330件×300円×12ヵ月  </t>
  </si>
  <si>
    <t>介護予防・生活支</t>
    <phoneticPr fontId="19"/>
  </si>
  <si>
    <t>ミニデイサービス事業負担金</t>
  </si>
  <si>
    <t xml:space="preserve">元気まんてん利用料  600円×1,010人  </t>
  </si>
  <si>
    <t>援サービス事業費</t>
    <phoneticPr fontId="19"/>
  </si>
  <si>
    <t xml:space="preserve">介護予防・生活支援サービス事業負担金  1,000円×450人  </t>
  </si>
  <si>
    <t>一般介護予防事業費</t>
  </si>
  <si>
    <t>保険料督促手数料</t>
  </si>
  <si>
    <t>包括的・継続的ケ</t>
    <phoneticPr fontId="19"/>
  </si>
  <si>
    <t>指定介護予防支援計画作成手数料</t>
  </si>
  <si>
    <t>アマネジメント支援</t>
    <phoneticPr fontId="19"/>
  </si>
  <si>
    <t xml:space="preserve">介護予防支援計画作成手数料　  310,000円×12ヵ月  </t>
  </si>
  <si>
    <t>事業費</t>
    <phoneticPr fontId="19"/>
  </si>
  <si>
    <t>介護給付費負担金</t>
  </si>
  <si>
    <t>居宅介護サービス</t>
    <phoneticPr fontId="19"/>
  </si>
  <si>
    <t>介護給付費国庫負担金</t>
  </si>
  <si>
    <t xml:space="preserve">介護給付費負担金（その他分）  572,995,000円×0.20  </t>
  </si>
  <si>
    <t>給付費</t>
    <phoneticPr fontId="19"/>
  </si>
  <si>
    <t>介護給付費負担金（施設等分）　516,784,000円×0.15</t>
  </si>
  <si>
    <t>地域密着型介護</t>
    <phoneticPr fontId="19"/>
  </si>
  <si>
    <t>サービス給付費</t>
    <phoneticPr fontId="19"/>
  </si>
  <si>
    <t>施設介護サービス</t>
    <phoneticPr fontId="19"/>
  </si>
  <si>
    <t>居宅介護福祉用具</t>
    <phoneticPr fontId="19"/>
  </si>
  <si>
    <t>購入費</t>
    <phoneticPr fontId="19"/>
  </si>
  <si>
    <t>居宅介護住宅改修費</t>
  </si>
  <si>
    <t>計画給付費</t>
    <phoneticPr fontId="19"/>
  </si>
  <si>
    <t>介護予防サービス</t>
    <phoneticPr fontId="19"/>
  </si>
  <si>
    <t>地域密着型介護予</t>
    <phoneticPr fontId="19"/>
  </si>
  <si>
    <t>防サービス給付費</t>
    <phoneticPr fontId="19"/>
  </si>
  <si>
    <t>介護予防福祉用具</t>
    <phoneticPr fontId="19"/>
  </si>
  <si>
    <t>介護予防住宅改修費</t>
  </si>
  <si>
    <t>高額介護サービス費</t>
    <phoneticPr fontId="19"/>
  </si>
  <si>
    <t>高額介護予防</t>
    <phoneticPr fontId="19"/>
  </si>
  <si>
    <t>サービス費</t>
    <phoneticPr fontId="19"/>
  </si>
  <si>
    <t>高額医療合算介護</t>
    <phoneticPr fontId="19"/>
  </si>
  <si>
    <t>予防サービス費</t>
    <phoneticPr fontId="19"/>
  </si>
  <si>
    <t>特定入所者介護</t>
    <phoneticPr fontId="19"/>
  </si>
  <si>
    <t>調整交付金</t>
  </si>
  <si>
    <t>介護給付費調整交付金</t>
  </si>
  <si>
    <t>1,041,780,000円（R5標準給付費見込）×5.17%（交付率見込）</t>
  </si>
  <si>
    <t>高額介護サービス費</t>
  </si>
  <si>
    <t>地域支援（介護予防）事業交付金</t>
  </si>
  <si>
    <t>地域支援事業（介護予防・日常生活支援総合事業）交付金</t>
  </si>
  <si>
    <t xml:space="preserve">  12,426,000円×0.20  </t>
  </si>
  <si>
    <t>一般介護予防事業費</t>
    <phoneticPr fontId="19"/>
  </si>
  <si>
    <t>地域支援（包括的支援・任意）事業交付金</t>
  </si>
  <si>
    <t>包括的・継続的ケアマ</t>
    <phoneticPr fontId="19"/>
  </si>
  <si>
    <t>地域支援事業（包括的支援･任意事業）交付金</t>
  </si>
  <si>
    <t>ネジメント支援事業費</t>
    <phoneticPr fontId="19"/>
  </si>
  <si>
    <t xml:space="preserve">  25,403,000円×0.385  </t>
  </si>
  <si>
    <t>在宅医療・介護</t>
    <phoneticPr fontId="19"/>
  </si>
  <si>
    <t>連携推進事業費</t>
    <phoneticPr fontId="19"/>
  </si>
  <si>
    <t>生活支援体制</t>
    <phoneticPr fontId="19"/>
  </si>
  <si>
    <t>整備事業費</t>
    <phoneticPr fontId="19"/>
  </si>
  <si>
    <t>認知症総合支援</t>
    <phoneticPr fontId="19"/>
  </si>
  <si>
    <t>地域ケア会議</t>
    <phoneticPr fontId="19"/>
  </si>
  <si>
    <t>推進事業費</t>
    <phoneticPr fontId="19"/>
  </si>
  <si>
    <t>保険者機能強化推進交付金</t>
  </si>
  <si>
    <t>R5交付見込み額に国概算要求額による増加率考慮</t>
  </si>
  <si>
    <t>生活支援体制整備</t>
    <phoneticPr fontId="19"/>
  </si>
  <si>
    <t>地域ケア会議推進</t>
    <phoneticPr fontId="19"/>
  </si>
  <si>
    <t>支払基金交付金</t>
  </si>
  <si>
    <t>介護給付費交付金</t>
  </si>
  <si>
    <t>現年度分交付見込額</t>
  </si>
  <si>
    <t xml:space="preserve">  1,089,779,000円×0.27  </t>
  </si>
  <si>
    <t>介護予防住宅改修費</t>
    <phoneticPr fontId="19"/>
  </si>
  <si>
    <t>地域支援（介護予防）事業支援交付金</t>
  </si>
  <si>
    <t xml:space="preserve">  12,426,000円×0.27  </t>
  </si>
  <si>
    <t>介護給付費県負担金</t>
  </si>
  <si>
    <t xml:space="preserve">介護給付費負担金（その他分）  572,995,000円×0.125  </t>
  </si>
  <si>
    <t xml:space="preserve">介護給付費負担金（施設等分）  516,784,000円×0.175  </t>
  </si>
  <si>
    <t>居宅介護住宅改修費</t>
    <phoneticPr fontId="19"/>
  </si>
  <si>
    <t>介護給付費県負担金</t>
    <phoneticPr fontId="19"/>
  </si>
  <si>
    <t>地域支援（介護予防）事業補助金</t>
  </si>
  <si>
    <t>地域支援（介護予防）事業県補助金</t>
  </si>
  <si>
    <t xml:space="preserve">  12,408,000円×0.125  </t>
  </si>
  <si>
    <t>地域支援（包括的支援・任意）事業県補助金</t>
  </si>
  <si>
    <t>地域支援事業（包括的支援・任意事業）交付金</t>
  </si>
  <si>
    <t xml:space="preserve">  25,403,000円×0.1925  </t>
  </si>
  <si>
    <t>地域ケア会議推進事業費</t>
  </si>
  <si>
    <t>介護保険給付費基金繰入金</t>
  </si>
  <si>
    <t>財源不足調整措置</t>
  </si>
  <si>
    <t>介護給付費繰入金</t>
  </si>
  <si>
    <t>介護給付費一般会計繰入金</t>
  </si>
  <si>
    <t xml:space="preserve">介護給付費見込額  1,089,779,000円×0.125  </t>
  </si>
  <si>
    <t>地域支援（介護予防）事業繰入金</t>
  </si>
  <si>
    <t>地域支援（介護予防）事業一般会計繰入金</t>
  </si>
  <si>
    <t xml:space="preserve">  12,426,000円×0.125  </t>
  </si>
  <si>
    <t>地域支援（包括的支援・任意）事業繰入金</t>
  </si>
  <si>
    <t>地域支援（包括的支援・任意）事業一般会計繰入金</t>
  </si>
  <si>
    <t>職員給与費等繰入金</t>
  </si>
  <si>
    <t>地域包括支援センター職員人件費に係る一般会計事業分</t>
  </si>
  <si>
    <t>事務費一般会計繰入金</t>
  </si>
  <si>
    <t>事務費繰入金　算定　事務費総額－事務費分特定財源</t>
  </si>
  <si>
    <t>保険料軽減強化繰入金</t>
  </si>
  <si>
    <t>認定審査会費</t>
  </si>
  <si>
    <t>保険料軽減強化一般会計繰入金</t>
  </si>
  <si>
    <t>介護保険料軽減負担繰入金見込</t>
  </si>
  <si>
    <t>認定調査費</t>
  </si>
  <si>
    <t>運営委員会費</t>
  </si>
  <si>
    <t>基金積立金</t>
  </si>
  <si>
    <t>還付金</t>
  </si>
  <si>
    <t>償還金</t>
  </si>
  <si>
    <t>延滞金及び過料</t>
  </si>
  <si>
    <t>第１号被保険者延滞金</t>
  </si>
  <si>
    <t>介護保険特別会計（歳入）合計</t>
    <rPh sb="0" eb="2">
      <t>カイゴ</t>
    </rPh>
    <rPh sb="2" eb="4">
      <t>ホケン</t>
    </rPh>
    <rPh sb="4" eb="6">
      <t>トクベツ</t>
    </rPh>
    <rPh sb="6" eb="8">
      <t>カイケイ</t>
    </rPh>
    <rPh sb="9" eb="11">
      <t>サイニュウ</t>
    </rPh>
    <rPh sb="12" eb="14">
      <t>ゴウケイ</t>
    </rPh>
    <phoneticPr fontId="20"/>
  </si>
  <si>
    <t>審査支払手数料</t>
    <phoneticPr fontId="20"/>
  </si>
  <si>
    <t>財政安定化基金拠出金</t>
  </si>
  <si>
    <t>財政安定化基金拠出金</t>
    <phoneticPr fontId="20"/>
  </si>
  <si>
    <t>基金積立金</t>
    <phoneticPr fontId="20"/>
  </si>
  <si>
    <t>短期債利子償還金</t>
  </si>
  <si>
    <t>償還金</t>
    <phoneticPr fontId="20"/>
  </si>
  <si>
    <t>補助金等返還金（国庫）</t>
  </si>
  <si>
    <t>徴収費</t>
    <phoneticPr fontId="20"/>
  </si>
  <si>
    <t>介護保険特別会計（歳出）</t>
    <rPh sb="0" eb="2">
      <t>カイゴ</t>
    </rPh>
    <rPh sb="2" eb="4">
      <t>ホケン</t>
    </rPh>
    <rPh sb="4" eb="6">
      <t>トクベツ</t>
    </rPh>
    <rPh sb="6" eb="8">
      <t>カイケイ</t>
    </rPh>
    <rPh sb="9" eb="11">
      <t>サイシュツ</t>
    </rPh>
    <phoneticPr fontId="20"/>
  </si>
  <si>
    <t>事務費一般会計</t>
    <phoneticPr fontId="19"/>
  </si>
  <si>
    <t xml:space="preserve">介護保険証ｶﾊﾞｰ　  33円×800枚  </t>
  </si>
  <si>
    <t>繰入金</t>
    <phoneticPr fontId="19"/>
  </si>
  <si>
    <t>介護保険関係　消耗品</t>
  </si>
  <si>
    <t>介護保険関係　各種参考図書等</t>
  </si>
  <si>
    <t xml:space="preserve">窓あき封筒（負担割合証用）  600枚×50円  </t>
  </si>
  <si>
    <t xml:space="preserve">窓あき長３封筒（各種通知用）  31円×2,000通  </t>
  </si>
  <si>
    <t xml:space="preserve">長３封筒（各種通知用）  18円×2,000通  </t>
  </si>
  <si>
    <t xml:space="preserve">角２封筒（各種通知用）  24円×1,000通  </t>
  </si>
  <si>
    <t>標準用紙　　  2,200円  （基本料金）</t>
  </si>
  <si>
    <t xml:space="preserve">介護保険被保険者証　　  400枚×108円  </t>
  </si>
  <si>
    <t xml:space="preserve">受給資格証明書　  50枚×82円  </t>
  </si>
  <si>
    <t xml:space="preserve">負担限度額認定証　　  200枚×13円  </t>
  </si>
  <si>
    <t xml:space="preserve">負担割合証　　  800枚×10円  </t>
  </si>
  <si>
    <t xml:space="preserve">介護保険利用ｶﾞｲﾄﾞ　A4版・8ﾍﾟｰｼﾞ　  700部×66.50円×1.10  </t>
  </si>
  <si>
    <t xml:space="preserve">負担割合証ﾘｰﾌﾚｯﾄ　  1,000部×30円×1.10  </t>
  </si>
  <si>
    <t xml:space="preserve">65歳到達・死亡・転入・転出　  月50件×12ヵ月×84円  </t>
  </si>
  <si>
    <t xml:space="preserve">高額介護等給付費振込通知　  84円×170通×12ヵ月  </t>
  </si>
  <si>
    <t xml:space="preserve">負担割合証更新　  600件×84円  </t>
  </si>
  <si>
    <t xml:space="preserve">負担限度額認定期間満了通知　  200件×84円  </t>
  </si>
  <si>
    <t>国保連合会</t>
  </si>
  <si>
    <t xml:space="preserve">高額介護ｻｰﾋﾞｽ費支給処理　  20円×170件×12ヵ月  </t>
  </si>
  <si>
    <t xml:space="preserve">償還払給付管理処理　  60円×10件×12ヵ月  </t>
  </si>
  <si>
    <t>共同処理保守業務手数料　  55,000円  （年１回）</t>
  </si>
  <si>
    <t>電算　機器保守　高齢者福祉業務ｼｽﾃﾑ</t>
  </si>
  <si>
    <t>電算　令和6年6月　介護保険ｼｽﾃﾑ標準ﾚｲｱｳﾄ改版対応</t>
  </si>
  <si>
    <t>電算　介護保険ｼｽﾃﾑ改修(制度改正対応)</t>
  </si>
  <si>
    <t>ﾆｯｾｲ　介護事業所台帳管理ｼｽﾃﾑ　令和6年4月制度改正対応</t>
  </si>
  <si>
    <t>通行料・駐車場等</t>
  </si>
  <si>
    <t>電算　使用許諾　介護保険</t>
  </si>
  <si>
    <t>国保連合会　介護保険業務回線ｳｲﾙｽ対策ｿﾌﾄﾗｲｾﾝｽ使用料</t>
  </si>
  <si>
    <t>ﾆｯｾｲ　介護事業所台帳管理ｼｽﾃﾑ｢介護台帳LIGHT｣ﾌﾟﾛﾀﾞｸﾄ利用料</t>
  </si>
  <si>
    <t xml:space="preserve">  月28,000円×12ヵ月  </t>
  </si>
  <si>
    <t xml:space="preserve">第一法規　介護保険さがせるnet使用料　  2,700×12ヵ月  </t>
  </si>
  <si>
    <t>賦課徴収に係る消耗品</t>
  </si>
  <si>
    <t xml:space="preserve">特徴　開始通知書（仮徴収）　  2,800枚×22円  </t>
  </si>
  <si>
    <t xml:space="preserve">特徴　開始通知書（本算定）　  2,800枚×22円  </t>
  </si>
  <si>
    <t xml:space="preserve">普徴　納入通知書（仮徴収　ｺﾝﾋﾞﾆﾀｲﾌﾟ）　  300枚×243円  </t>
  </si>
  <si>
    <t xml:space="preserve">普徴　納入通知書（本算定　ｺﾝﾋﾞﾆﾀｲﾌﾟ）　  500枚×265円  </t>
  </si>
  <si>
    <t xml:space="preserve">普徴　納付書（仮徴収・本算定　ｺﾝﾋﾞﾆﾀｲﾌﾟ）　  600枚×243円  </t>
  </si>
  <si>
    <t xml:space="preserve">窓あき封筒（普徴　仮徴収・本算定）　  700枚×178円  </t>
  </si>
  <si>
    <t xml:space="preserve">窓あき封筒（特徴　仮徴収・本算定）　  6,200枚×19円  </t>
  </si>
  <si>
    <t xml:space="preserve">介護保険料のしおり　  4,000部×52円×1.10  </t>
  </si>
  <si>
    <t xml:space="preserve">督促状　  2,000枚×35円  </t>
  </si>
  <si>
    <t xml:space="preserve">催告書　  500枚×130円  </t>
  </si>
  <si>
    <t xml:space="preserve">特別徴収　仮徴収（通知のみ）　  3,400件×84円  </t>
  </si>
  <si>
    <t xml:space="preserve">特別徴収　本徴収（通知＋しおり）　  3,400件×84円  </t>
  </si>
  <si>
    <t xml:space="preserve">普通徴収　仮徴収（通知のみ）　  500件×84円  </t>
  </si>
  <si>
    <t xml:space="preserve">普通徴収　本算定（通知＋しおり）　  500件×84円  </t>
  </si>
  <si>
    <t xml:space="preserve">例月通知（賦課・還付）　  月平均30件×2往復×12ヵ月×84円  </t>
  </si>
  <si>
    <t xml:space="preserve">徴収方法等の変更（特徴・普徴　口座等）　  15件×12ヵ月×84円  </t>
  </si>
  <si>
    <t xml:space="preserve">督促状　  100件×12期×84円  </t>
  </si>
  <si>
    <t xml:space="preserve">催告状　  60件×84円×4回  </t>
  </si>
  <si>
    <t xml:space="preserve">介護保険料口座振替手数料　  100件×12ヵ月×11円  </t>
  </si>
  <si>
    <t xml:space="preserve">特別徴収事務取扱手数料（1号被保険者）　  3,400人×10円  </t>
  </si>
  <si>
    <t>ｺﾝﾋﾞﾆ収納手数料</t>
  </si>
  <si>
    <t>月額基本料　5,500円÷2（後期高齢と折半）×12ヵ月</t>
  </si>
  <si>
    <t xml:space="preserve">収納手数料　　  88円×110件×12ヵ月  </t>
  </si>
  <si>
    <t>納税貯蓄組合奨励費</t>
  </si>
  <si>
    <t xml:space="preserve">納税貯蓄組合奨励費　  65人×12期×80円  </t>
  </si>
  <si>
    <t>認定審査会費</t>
    <phoneticPr fontId="20"/>
  </si>
  <si>
    <t>要介護認定審査会共同設置負担金</t>
  </si>
  <si>
    <t>認定調査費</t>
    <phoneticPr fontId="20"/>
  </si>
  <si>
    <t>該当職員分</t>
  </si>
  <si>
    <t>該当職員分（1,000円×12ヵ月）</t>
  </si>
  <si>
    <t>当該職員分</t>
  </si>
  <si>
    <t xml:space="preserve">調査旅費　  1,800円×1回×12ヵ月  </t>
  </si>
  <si>
    <t>認定調査用各種消耗品</t>
  </si>
  <si>
    <t xml:space="preserve">介護一次判定用OMR用紙　  20,000円×1,000枚（1箱）×1.10  </t>
  </si>
  <si>
    <t xml:space="preserve">期間満了通知　  500件×84円  </t>
  </si>
  <si>
    <t>主治医意見書　  600件×84円  （返信用含む）</t>
  </si>
  <si>
    <t xml:space="preserve">認定結果通知　  500件×84円  </t>
  </si>
  <si>
    <t>一次判定（認定支援ﾈｯﾄﾜｰｸ）ｼｽﾃﾑ通信回線使用料</t>
  </si>
  <si>
    <t>　  月平均7,000円×12ヵ月  　番号0224-85-1066</t>
  </si>
  <si>
    <t xml:space="preserve">在宅新規　  125人×5,500円  </t>
  </si>
  <si>
    <t xml:space="preserve">在宅継続　  260人×4,400円  </t>
  </si>
  <si>
    <t xml:space="preserve">施設新規　  115人×4,400円  </t>
  </si>
  <si>
    <t xml:space="preserve">施設継続　  120人×3,300円  </t>
  </si>
  <si>
    <t xml:space="preserve">初診料等　  10人×5,500円  </t>
  </si>
  <si>
    <t xml:space="preserve">主治医意見書作成事務手数料　  1,000円×12ヵ月  </t>
  </si>
  <si>
    <t>要介護認定調査委託料</t>
  </si>
  <si>
    <t xml:space="preserve">要介護認定調査委託料　  3,850円×10件×12ヵ月  </t>
  </si>
  <si>
    <t>高速代及び駐車料金</t>
  </si>
  <si>
    <t>運営委員会費</t>
    <phoneticPr fontId="20"/>
  </si>
  <si>
    <t>介護保険運営委員会委員報酬</t>
  </si>
  <si>
    <t xml:space="preserve">介護保険運営委員会委員報酬　  4,200円×5人×2回  </t>
  </si>
  <si>
    <t>介護保険運営委員会に係るお茶代</t>
  </si>
  <si>
    <t>介護給付費</t>
  </si>
  <si>
    <t>介護サービス等諸費</t>
    <phoneticPr fontId="20"/>
  </si>
  <si>
    <t>介護給付費</t>
    <phoneticPr fontId="20"/>
  </si>
  <si>
    <t>介護サービス等諸費</t>
  </si>
  <si>
    <t>居宅介護サービス給付費</t>
    <phoneticPr fontId="20"/>
  </si>
  <si>
    <t>居宅介護サービス給付費</t>
  </si>
  <si>
    <t>介護給付費国庫</t>
    <phoneticPr fontId="19"/>
  </si>
  <si>
    <t>介護給付費等</t>
  </si>
  <si>
    <t>居宅介護サービス給付費見込</t>
  </si>
  <si>
    <t xml:space="preserve">　  24,533,500円×12ヵ月  </t>
  </si>
  <si>
    <t>介護給付費調整</t>
    <phoneticPr fontId="19"/>
  </si>
  <si>
    <t>交付金</t>
    <phoneticPr fontId="19"/>
  </si>
  <si>
    <t>介護給付費一般</t>
    <phoneticPr fontId="19"/>
  </si>
  <si>
    <t>会計繰入金</t>
    <phoneticPr fontId="19"/>
  </si>
  <si>
    <t>保険料軽減強化</t>
    <phoneticPr fontId="19"/>
  </si>
  <si>
    <t>一般会計繰入金</t>
    <phoneticPr fontId="19"/>
  </si>
  <si>
    <t>地域密着型介護サービス給付費</t>
    <phoneticPr fontId="20"/>
  </si>
  <si>
    <t>地域密着型介護サービス給付費</t>
  </si>
  <si>
    <t>地域密着型介護サービス給付費見込</t>
  </si>
  <si>
    <t xml:space="preserve">　  14,427,000円×12ヵ月  </t>
  </si>
  <si>
    <t>施設介護サービス給付費</t>
    <phoneticPr fontId="20"/>
  </si>
  <si>
    <t>施設介護サービス給付費</t>
  </si>
  <si>
    <t>施設介護サービス給付費見込</t>
  </si>
  <si>
    <t xml:space="preserve">　  39,203,500円×12ヵ月  </t>
  </si>
  <si>
    <t>居宅介護福祉用具購入費</t>
    <phoneticPr fontId="20"/>
  </si>
  <si>
    <t>居宅介護福祉用具購入費</t>
  </si>
  <si>
    <t>居宅介護福祉用具購入費見込</t>
  </si>
  <si>
    <t xml:space="preserve">　  50,000円×12ヵ月  </t>
  </si>
  <si>
    <t>居宅介護住宅改修費</t>
    <phoneticPr fontId="20"/>
  </si>
  <si>
    <t>居宅介護住宅改修費見込</t>
  </si>
  <si>
    <t xml:space="preserve">　  187,416円×12ヵ月  </t>
  </si>
  <si>
    <t>居宅介護サービス計画給付費</t>
    <phoneticPr fontId="20"/>
  </si>
  <si>
    <t>居宅介護サービス計画給付費</t>
  </si>
  <si>
    <t>居宅介護サービス計画給付費見込</t>
  </si>
  <si>
    <t xml:space="preserve">　  3,461,333円×12ヵ月  </t>
  </si>
  <si>
    <t>介護予防サービス等諸費</t>
    <phoneticPr fontId="20"/>
  </si>
  <si>
    <t>介護予防サービス等諸費</t>
  </si>
  <si>
    <t>介護予防サービス給付費</t>
    <phoneticPr fontId="20"/>
  </si>
  <si>
    <t>介護予防サービス給付費</t>
  </si>
  <si>
    <t>介護予防給付費等</t>
  </si>
  <si>
    <t>介護予防サービス給付費見込</t>
  </si>
  <si>
    <t xml:space="preserve">　  1,997,333円×12ヵ月  </t>
  </si>
  <si>
    <t>地域密着型介護予防サービス給付費</t>
    <phoneticPr fontId="20"/>
  </si>
  <si>
    <t>地域密着型介護予防サービス給付費</t>
  </si>
  <si>
    <t>地域密着型介護予防サービス給付費見込</t>
  </si>
  <si>
    <t xml:space="preserve">　  60,000円×12ヵ月  </t>
  </si>
  <si>
    <t>介護予防福祉用具購入費</t>
    <phoneticPr fontId="20"/>
  </si>
  <si>
    <t>介護予防福祉用具購入費</t>
  </si>
  <si>
    <t>介護予防福祉用具購入費見込</t>
  </si>
  <si>
    <t xml:space="preserve">　  15,000円×12ヵ月  </t>
  </si>
  <si>
    <t>介護予防住宅改修費</t>
    <phoneticPr fontId="20"/>
  </si>
  <si>
    <t>介護予防住宅改修費見込</t>
  </si>
  <si>
    <t>介護予防サービス計画給付費</t>
    <phoneticPr fontId="20"/>
  </si>
  <si>
    <t>介護予防サービス計画給付費</t>
  </si>
  <si>
    <t>介護予防サービス計画給付費見込</t>
  </si>
  <si>
    <t xml:space="preserve">　  300,000円×12ヵ月  </t>
  </si>
  <si>
    <t>その他諸費</t>
    <phoneticPr fontId="20"/>
  </si>
  <si>
    <t>その他諸費</t>
  </si>
  <si>
    <t>介護給付費等審査支払手数料</t>
  </si>
  <si>
    <t>介護給付費審査支払手数料見込</t>
  </si>
  <si>
    <t>高額介護サービス等費</t>
    <phoneticPr fontId="20"/>
  </si>
  <si>
    <t>高額介護サービス等費</t>
  </si>
  <si>
    <t>高額介護サービス費</t>
    <phoneticPr fontId="20"/>
  </si>
  <si>
    <t>高額介護サービス費見込</t>
  </si>
  <si>
    <t xml:space="preserve">　  2,391,583円×12ヵ月  </t>
  </si>
  <si>
    <t>高額介護予防サービス費</t>
    <phoneticPr fontId="20"/>
  </si>
  <si>
    <t>高額介護予防サービス費</t>
  </si>
  <si>
    <t>高額介護予防サービス費見込</t>
  </si>
  <si>
    <t xml:space="preserve">　  2,083円×12ヵ月  </t>
  </si>
  <si>
    <t>高額医療合算介護サービス等費</t>
    <phoneticPr fontId="20"/>
  </si>
  <si>
    <t>高額医療合算介護サービス等費</t>
  </si>
  <si>
    <t>高額医療合算介護サービス費</t>
    <phoneticPr fontId="20"/>
  </si>
  <si>
    <t>高額医療合算介護サービス費</t>
  </si>
  <si>
    <t>高額医療合算介護サービス費見込</t>
  </si>
  <si>
    <t xml:space="preserve">　  211,333円×12ヵ月  </t>
  </si>
  <si>
    <t>高額医療合算介護予防サービス費</t>
    <phoneticPr fontId="20"/>
  </si>
  <si>
    <t>高額医療合算介護予防サービス費</t>
  </si>
  <si>
    <t>高額医療合算介護予防サービス費見込</t>
  </si>
  <si>
    <t xml:space="preserve">　  3,000円×12ヵ月  </t>
  </si>
  <si>
    <t>特定入所者介護サービス費</t>
    <phoneticPr fontId="20"/>
  </si>
  <si>
    <t>特定入所者介護サービス費</t>
  </si>
  <si>
    <t>特定入居者介護サービス費（居住費及び食費）見込</t>
  </si>
  <si>
    <t xml:space="preserve">　  3,851,833円×12ヵ月  </t>
  </si>
  <si>
    <t>特定入所者介護予防サービス費</t>
    <phoneticPr fontId="20"/>
  </si>
  <si>
    <t>特定入所者介護予防サービス費</t>
  </si>
  <si>
    <t>負担金補助及び交付金</t>
  </si>
  <si>
    <t xml:space="preserve">　  10,000円×12ヵ月  </t>
  </si>
  <si>
    <t>介護給付費拠出金</t>
  </si>
  <si>
    <t>地域支援事業費</t>
  </si>
  <si>
    <t>介護予防・生活支援サービス事業費</t>
    <phoneticPr fontId="20"/>
  </si>
  <si>
    <t>地域支援事業費</t>
    <phoneticPr fontId="20"/>
  </si>
  <si>
    <t>介護予防・生活支援サービス事業費</t>
  </si>
  <si>
    <t>ミニデイサービス</t>
    <phoneticPr fontId="19"/>
  </si>
  <si>
    <t>事業負担金</t>
    <phoneticPr fontId="19"/>
  </si>
  <si>
    <t>地域支援（介護予防）</t>
    <phoneticPr fontId="19"/>
  </si>
  <si>
    <t>パートタイム職員分（1,000円＋2,100円）×12ヵ月</t>
  </si>
  <si>
    <t>事業交付金</t>
    <phoneticPr fontId="19"/>
  </si>
  <si>
    <t xml:space="preserve">やすらぎデイサービス教室講師謝礼　  10,000円×2回  </t>
  </si>
  <si>
    <t>事業支援交付金</t>
    <phoneticPr fontId="19"/>
  </si>
  <si>
    <t xml:space="preserve">短期集中予防サービス教室講師謝礼　  3,000円×6回  </t>
  </si>
  <si>
    <t xml:space="preserve">やすらぎデイサービスサポーター謝礼　  4,200円×4人×95回  </t>
  </si>
  <si>
    <t>事業県補助金</t>
    <phoneticPr fontId="19"/>
  </si>
  <si>
    <t xml:space="preserve">やすらぎデイサービス理学療法士謝礼　  3,000円×45回  </t>
  </si>
  <si>
    <t xml:space="preserve">介護予防サポーターポイント制度記念品  3,000円×20人  </t>
  </si>
  <si>
    <t>事業一般会計繰入金</t>
    <phoneticPr fontId="19"/>
  </si>
  <si>
    <t>旅費</t>
    <phoneticPr fontId="19"/>
  </si>
  <si>
    <t>費用弁償</t>
    <phoneticPr fontId="19"/>
  </si>
  <si>
    <t xml:space="preserve">やすらぎデイサービス用教材代  15,000円×12ヵ月  </t>
  </si>
  <si>
    <t xml:space="preserve">　　　　　　　　　　消耗品　  3,000円×12カ月  </t>
  </si>
  <si>
    <t>短期集中予防サービス教室　教材費</t>
  </si>
  <si>
    <t xml:space="preserve">各事業通知郵送代  84円×100通  </t>
  </si>
  <si>
    <t xml:space="preserve">やすらぎデイサービス毛布等洗濯代　  3,800円×年6回  </t>
  </si>
  <si>
    <t xml:space="preserve">やすらぎデイサービス事業配食委託  600円×15人×95回  </t>
  </si>
  <si>
    <t>やすらぎデイサービス移動研修</t>
  </si>
  <si>
    <t>地域支援活動助成金</t>
  </si>
  <si>
    <t>総合事業サービス給付費</t>
  </si>
  <si>
    <t xml:space="preserve">R5実績  200,000円×12ヵ月  </t>
  </si>
  <si>
    <t>一般介護予防事業費</t>
    <phoneticPr fontId="20"/>
  </si>
  <si>
    <t xml:space="preserve">元気まんてん介護予防教室（ヨガ）謝礼  14,100円×10回  </t>
  </si>
  <si>
    <t xml:space="preserve">元気まんてん介護予防教室サポーター  4,200円×3人×51回  </t>
  </si>
  <si>
    <t xml:space="preserve">立野ヨガ教室講師謝礼  14,100円×月2回×12ヵ月  </t>
  </si>
  <si>
    <t xml:space="preserve">支倉台ヨガ教室講師謝礼  12,480円×12回  </t>
  </si>
  <si>
    <t xml:space="preserve">パドル体操教室謝礼  11,200円×7回  </t>
  </si>
  <si>
    <t xml:space="preserve">中新町パドル教室講師謝礼  11,200円×12ヵ月  </t>
  </si>
  <si>
    <t>介護予防フェスティバル講師謝礼</t>
  </si>
  <si>
    <t xml:space="preserve">各地区サロンサポーター謝礼  3,000円×400回  </t>
  </si>
  <si>
    <t xml:space="preserve">いきいきサロンサポーター謝礼  4,200円×月2回×12ヵ月  </t>
  </si>
  <si>
    <t xml:space="preserve">傾聴サポーター謝礼　  3,000円×2人×月2回×12ヵ月  </t>
    <phoneticPr fontId="19"/>
  </si>
  <si>
    <t xml:space="preserve">傾聴サポーター研修会  3,000円×20人  </t>
  </si>
  <si>
    <t>サロンサポーターフォローアップ研修講師謝礼</t>
  </si>
  <si>
    <t xml:space="preserve">からだメンテナンス講座講師謝礼  13,920円×3回  </t>
  </si>
  <si>
    <t xml:space="preserve">安全運転技能を伸ばすための教室  19,800円×3回  </t>
  </si>
  <si>
    <t xml:space="preserve">介護予防フェスティバル参加者用記念品  550円×100人  </t>
  </si>
  <si>
    <t xml:space="preserve">地区サロン運動教室参加ポイント制度記念品　  550円×120人  </t>
  </si>
  <si>
    <t xml:space="preserve">75歳おめでとうセット配布事業  500円×180個  </t>
  </si>
  <si>
    <t xml:space="preserve">介護予防教室移動研修会  2,100円×5人  </t>
  </si>
  <si>
    <t xml:space="preserve">元気まんてん介護予防教室教材費  1,500円×12ヵ月  </t>
    <phoneticPr fontId="19"/>
  </si>
  <si>
    <t>ひらめき運動教室教材費</t>
  </si>
  <si>
    <t>介護予防フェスティバル消耗品</t>
  </si>
  <si>
    <t xml:space="preserve">公用車（マイクロバス等）燃料費  45L×170円×2回  </t>
  </si>
  <si>
    <t>介護予防教室パンフレット印刷</t>
  </si>
  <si>
    <t>介護予防フェスティバル</t>
  </si>
  <si>
    <t xml:space="preserve">介護予防教室通知  84円×100通  </t>
  </si>
  <si>
    <t>新聞折り込み代</t>
  </si>
  <si>
    <t xml:space="preserve">地区サロンサポーター損害保険  1,190円×80人  </t>
  </si>
  <si>
    <t>ひらめき運動教室保険料</t>
  </si>
  <si>
    <t xml:space="preserve">元気まんてん介護予防教室受付業務委託  1,000円×2人×51回  </t>
  </si>
  <si>
    <t xml:space="preserve">元気まんてん介護予防教室配食委託  600円×30人×51回  </t>
  </si>
  <si>
    <t>ひらめき運動教室事業委託</t>
  </si>
  <si>
    <t>元気いきいきセミナー事業委託</t>
  </si>
  <si>
    <t>高速道路使用料</t>
  </si>
  <si>
    <t>包括的支援事業・任意事業費</t>
    <phoneticPr fontId="20"/>
  </si>
  <si>
    <t>包括的支援事業・任意事業費</t>
  </si>
  <si>
    <t>包括的・継続的ケアマネジメント支援事業費</t>
    <phoneticPr fontId="20"/>
  </si>
  <si>
    <t>包括的・継続的ケアマネジメント支援事業費</t>
  </si>
  <si>
    <t>指定介護予防支援</t>
    <phoneticPr fontId="19"/>
  </si>
  <si>
    <t>計画作成手数料</t>
    <phoneticPr fontId="19"/>
  </si>
  <si>
    <t>地域支援（包括的支</t>
    <phoneticPr fontId="19"/>
  </si>
  <si>
    <t>援・任意）事業交付金</t>
    <phoneticPr fontId="19"/>
  </si>
  <si>
    <t>保険者機能強化</t>
    <phoneticPr fontId="19"/>
  </si>
  <si>
    <t>推進交付金</t>
    <phoneticPr fontId="19"/>
  </si>
  <si>
    <t xml:space="preserve">包括支援業務　  3,122円×12h×12ヵ月  </t>
  </si>
  <si>
    <t>地域支援(包括的支</t>
    <phoneticPr fontId="19"/>
  </si>
  <si>
    <t xml:space="preserve">　　　　　　　  2,845円×12h×12ヵ月  </t>
  </si>
  <si>
    <t>援・任意)事業県</t>
    <phoneticPr fontId="19"/>
  </si>
  <si>
    <t xml:space="preserve">　　　　　　　  1,886円×6h×5ヵ月  </t>
  </si>
  <si>
    <t>補助金</t>
    <phoneticPr fontId="19"/>
  </si>
  <si>
    <t>援・任意）事業一般</t>
    <phoneticPr fontId="19"/>
  </si>
  <si>
    <t>職員給与費等一般</t>
    <phoneticPr fontId="19"/>
  </si>
  <si>
    <t xml:space="preserve">地域包括支援センター運営委員会報償  4,200円×9人×1回  </t>
  </si>
  <si>
    <t xml:space="preserve">認知症及び高齢者見守り事業謝礼  3,000円×32人  </t>
  </si>
  <si>
    <t>高齢者虐待予防ネットワーク委員会謝礼</t>
  </si>
  <si>
    <t xml:space="preserve">  （21,600円×1人＋4,200円×9人）×1回  </t>
  </si>
  <si>
    <t xml:space="preserve">ケアマネジャー研修会謝礼  30,600円×7回  </t>
  </si>
  <si>
    <t xml:space="preserve">ケアプラン点検謝礼  15,240円×3回  </t>
  </si>
  <si>
    <t xml:space="preserve">見守り弁当作成ヘルスメイト謝礼  3,000円×11人×2回  </t>
  </si>
  <si>
    <t>各種記念品等</t>
    <phoneticPr fontId="19"/>
  </si>
  <si>
    <t xml:space="preserve">職員普通旅費  1,800円×5日×3人  </t>
  </si>
  <si>
    <t>地域包括支援センター職員</t>
  </si>
  <si>
    <t xml:space="preserve">  (2,100円×2日＋14,000円×2＋35,200円)×2人  </t>
  </si>
  <si>
    <t xml:space="preserve">  （2,100円×3日＋14,000円×2＋25,000円）×2人  </t>
  </si>
  <si>
    <t xml:space="preserve">  図書代50,000円＋教材費50,000円＋用紙代16,000円  </t>
  </si>
  <si>
    <t>認知症支援に関する消耗品</t>
  </si>
  <si>
    <t>独居高齢者・高齢者世帯関係消耗品</t>
  </si>
  <si>
    <t>ケアマネジャー研修会講師弁当代・参加者お茶代</t>
  </si>
  <si>
    <t>ケアプラン点検講師弁当代</t>
  </si>
  <si>
    <t>応急処置用薬品</t>
  </si>
  <si>
    <t xml:space="preserve">  切手代84円×200通×2回  </t>
  </si>
  <si>
    <t xml:space="preserve">事業の案内通知  84円×600通  </t>
  </si>
  <si>
    <t xml:space="preserve">有線電話代NTT84-6021　  6,000円×12ヵ月  </t>
  </si>
  <si>
    <t xml:space="preserve">携帯電話代  20,000円×12ヵ月  </t>
  </si>
  <si>
    <t xml:space="preserve">見守り弁当調理者腸内細菌検査  400円×20人  </t>
  </si>
  <si>
    <t>宮城県高齢者・障害者虐待連絡協議会委託</t>
  </si>
  <si>
    <t xml:space="preserve">介護予防サービス計画作成委託料  310,000円×12ヵ月  </t>
  </si>
  <si>
    <t>研修の際駐車料等</t>
  </si>
  <si>
    <t xml:space="preserve">高速道路代  5,000円×5回  </t>
  </si>
  <si>
    <t>電算　使用許諾　包括支援業務</t>
  </si>
  <si>
    <t>介護用品展示用備品</t>
  </si>
  <si>
    <t>日本社会福祉士会費</t>
  </si>
  <si>
    <t xml:space="preserve">職員研修会  25,000円×3人×3回  </t>
  </si>
  <si>
    <t xml:space="preserve">宮城県ケアマネ協会会費  3,000円×2人  </t>
  </si>
  <si>
    <t>終活カウンセラー年会費</t>
  </si>
  <si>
    <t>任意事業費</t>
    <phoneticPr fontId="20"/>
  </si>
  <si>
    <t>食の自立支援事業</t>
    <phoneticPr fontId="19"/>
  </si>
  <si>
    <t>認知症ｻﾎﾟｰﾀｰｽﾃｯﾌﾟｱｯﾌﾟ講座講師謝礼</t>
  </si>
  <si>
    <t xml:space="preserve">認知症地域支援推進員介護者教室報償費  3,000円×5人×3回  </t>
  </si>
  <si>
    <t>介護者セミナー講師謝礼</t>
  </si>
  <si>
    <t xml:space="preserve">認知症ｷｬﾗﾊﾞﾝﾒｲﾄｻﾎﾟｰﾀｰ養成講座謝礼  3,000円×3人×5回  </t>
  </si>
  <si>
    <t xml:space="preserve">認知症キャラバンメイト研修会  3,000円×35人×2回  </t>
  </si>
  <si>
    <t>住宅改修・福祉用具貸与点検リハビリテーションスタッフ報償費</t>
  </si>
  <si>
    <t xml:space="preserve">  3,000円×20件  </t>
  </si>
  <si>
    <t>援・任意）事業県</t>
    <phoneticPr fontId="19"/>
  </si>
  <si>
    <t xml:space="preserve">認知症キャラバンメイト記念品  550円×50人  </t>
  </si>
  <si>
    <t xml:space="preserve">介護者セミナー消耗品  5,000円×3回  </t>
  </si>
  <si>
    <t xml:space="preserve">認知症サポーター養成講座教材費  5,000円×5ヵ所  </t>
  </si>
  <si>
    <t xml:space="preserve">成年後見申請印紙代  5,000円×5回  </t>
  </si>
  <si>
    <t xml:space="preserve">認知症キャラバンメイト移動研修の際  45L×170円  </t>
  </si>
  <si>
    <t xml:space="preserve">認知症キャラバンメイト研修会  6000円×2回  </t>
  </si>
  <si>
    <t>認知症サポーターステップアップ講座お茶代</t>
  </si>
  <si>
    <t xml:space="preserve">配食サービス事業 食券代　  500部×80円×1.10  </t>
  </si>
  <si>
    <t xml:space="preserve">介護者教室調理実習の際  5,000円×2回  </t>
  </si>
  <si>
    <t xml:space="preserve">介護給付費のお知らせ  500件×84円×4回  </t>
  </si>
  <si>
    <t>①配食サービス事業</t>
  </si>
  <si>
    <t xml:space="preserve">　  (600円×100食)＋(900円×4,000食)  </t>
  </si>
  <si>
    <t xml:space="preserve">②介護給付費通知書作成料　  47円×520件×4回  </t>
  </si>
  <si>
    <t>在宅医療・介護連携推進事業費</t>
    <phoneticPr fontId="20"/>
  </si>
  <si>
    <t>在宅医療・介護連携推進事業費</t>
  </si>
  <si>
    <t xml:space="preserve">医師謝礼  21,000円×3人  </t>
  </si>
  <si>
    <t>医療介護連携消耗品</t>
  </si>
  <si>
    <t>医師・講師弁当、参加者お茶代</t>
  </si>
  <si>
    <t>医療介護連携にかかるパンフレット等印刷代</t>
  </si>
  <si>
    <t>講師送迎タクシー代</t>
  </si>
  <si>
    <t>生活支援体制整備事業費</t>
    <phoneticPr fontId="20"/>
  </si>
  <si>
    <t>生活支援体制整備事業費</t>
  </si>
  <si>
    <t>生活支援コーディネーター研修会講師謝金</t>
  </si>
  <si>
    <t xml:space="preserve">生活支援コーディネーター謝金  3,000円×20人×3回  </t>
  </si>
  <si>
    <t>生活支援コーディネーター視察研修</t>
  </si>
  <si>
    <t>生活支援関係消耗品</t>
  </si>
  <si>
    <t>生活支援コーディネーター研修会</t>
  </si>
  <si>
    <t>認知症総合支援事業費</t>
    <phoneticPr fontId="20"/>
  </si>
  <si>
    <t>認知症総合支援事業費</t>
  </si>
  <si>
    <t xml:space="preserve">認知症地域支援推進員報償費  3,000円×5人×5回  </t>
  </si>
  <si>
    <t xml:space="preserve">認知症支援相談員移動研修謝礼  3,000円×30人  </t>
  </si>
  <si>
    <t xml:space="preserve">認知症カフェ認知症ｷｬﾗﾊﾞﾝﾒｲﾄ謝礼  3,000円×2人×50回  </t>
  </si>
  <si>
    <t>認知症初期支援チーム報償費</t>
  </si>
  <si>
    <t xml:space="preserve">もの忘れ相談(こころ病院医師）謝礼  22,350円×1回×12ヵ月  </t>
  </si>
  <si>
    <t xml:space="preserve">認知症初期支援(こころ病院医師）謝礼  22,350円×1回×12ヵ月  </t>
  </si>
  <si>
    <t>認知症初期支援チーム消耗品費</t>
  </si>
  <si>
    <t>認知症カフェ喫茶みかん消耗品</t>
  </si>
  <si>
    <t xml:space="preserve">認知症支援相談員移動研修の際  45L×170円  </t>
  </si>
  <si>
    <t xml:space="preserve">認知症カフェ喫茶みかんサポーター研修会  3,000円×5回  </t>
  </si>
  <si>
    <t xml:space="preserve">携帯電話代等  25,500円×12ヵ月  </t>
  </si>
  <si>
    <t>認知症支援相談員研修会駐車料及び高速道路利用料</t>
  </si>
  <si>
    <t>地域ケア会議推進事業費</t>
    <phoneticPr fontId="20"/>
  </si>
  <si>
    <t xml:space="preserve">地域ケア会議謝礼  15,000円×2ヵ所×12ヵ月  </t>
  </si>
  <si>
    <t>自立支援型地域ケア会議用消耗品</t>
  </si>
  <si>
    <t xml:space="preserve">地域ケア会議の際　医師等弁当代  800円×3人×3回  </t>
  </si>
  <si>
    <t>地域ケア会議の際　お茶代</t>
  </si>
  <si>
    <t>介護給付費審査支払手数料</t>
  </si>
  <si>
    <t>介護給付基金積立金</t>
  </si>
  <si>
    <t>償還金及び還付金</t>
    <phoneticPr fontId="20"/>
  </si>
  <si>
    <t>償還金及び還付金</t>
  </si>
  <si>
    <t>還付金</t>
    <phoneticPr fontId="20"/>
  </si>
  <si>
    <t>介護保険料還付金（歳出還付）</t>
  </si>
  <si>
    <t>補助金等返還金（支払基金）</t>
  </si>
  <si>
    <t>介護保険特別会計（歳出）合計</t>
    <rPh sb="0" eb="2">
      <t>カイゴ</t>
    </rPh>
    <rPh sb="2" eb="4">
      <t>ホケン</t>
    </rPh>
    <rPh sb="4" eb="6">
      <t>トクベツ</t>
    </rPh>
    <rPh sb="6" eb="8">
      <t>カイケイ</t>
    </rPh>
    <rPh sb="9" eb="11">
      <t>サイシュツ</t>
    </rPh>
    <rPh sb="12" eb="14">
      <t>ゴウケイ</t>
    </rPh>
    <phoneticPr fontId="20"/>
  </si>
  <si>
    <t xml:space="preserve">やすらぎデイサービス　  800円×15人×6ヵ月  </t>
    <phoneticPr fontId="19"/>
  </si>
  <si>
    <t xml:space="preserve">元気まんてん介護予防教室　  800円×30人×3回  </t>
    <phoneticPr fontId="19"/>
  </si>
  <si>
    <t xml:space="preserve">ひとり暮らし高齢者見守り事業　  800円×240人  </t>
    <phoneticPr fontId="19"/>
  </si>
  <si>
    <t xml:space="preserve">認知症キャラバンメイトユニフォーム代  2,000円×10人  </t>
    <phoneticPr fontId="19"/>
  </si>
  <si>
    <t xml:space="preserve">成年後見人制度手数料  年間 300,000円×7人  </t>
    <phoneticPr fontId="19"/>
  </si>
  <si>
    <t xml:space="preserve">③認知症高齢者見守り事業（QRｺｰﾄﾞ配布）委託  3,850円×10人  </t>
    <phoneticPr fontId="19"/>
  </si>
</sst>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quot;▲ &quot;#,##0"/>
  </numFmts>
  <fonts count="38">
    <font>
      <sz val="12"/>
      <color theme="1"/>
      <name val="ＭＳ 明朝"/>
      <family val="2"/>
      <charset val="128"/>
    </font>
    <font>
      <sz val="12"/>
      <color theme="1"/>
      <name val="ＭＳ 明朝"/>
      <family val="2"/>
      <charset val="128"/>
    </font>
    <font>
      <sz val="18"/>
      <color theme="3"/>
      <name val="ＭＳ Ｐゴシック"/>
      <family val="2"/>
      <charset val="128"/>
      <scheme val="major"/>
    </font>
    <font>
      <b/>
      <sz val="15"/>
      <color theme="3"/>
      <name val="ＭＳ 明朝"/>
      <family val="2"/>
      <charset val="128"/>
    </font>
    <font>
      <b/>
      <sz val="13"/>
      <color theme="3"/>
      <name val="ＭＳ 明朝"/>
      <family val="2"/>
      <charset val="128"/>
    </font>
    <font>
      <b/>
      <sz val="11"/>
      <color theme="3"/>
      <name val="ＭＳ 明朝"/>
      <family val="2"/>
      <charset val="128"/>
    </font>
    <font>
      <sz val="12"/>
      <color rgb="FF006100"/>
      <name val="ＭＳ 明朝"/>
      <family val="2"/>
      <charset val="128"/>
    </font>
    <font>
      <sz val="12"/>
      <color rgb="FF9C0006"/>
      <name val="ＭＳ 明朝"/>
      <family val="2"/>
      <charset val="128"/>
    </font>
    <font>
      <sz val="12"/>
      <color rgb="FF9C6500"/>
      <name val="ＭＳ 明朝"/>
      <family val="2"/>
      <charset val="128"/>
    </font>
    <font>
      <sz val="12"/>
      <color rgb="FF3F3F76"/>
      <name val="ＭＳ 明朝"/>
      <family val="2"/>
      <charset val="128"/>
    </font>
    <font>
      <b/>
      <sz val="12"/>
      <color rgb="FF3F3F3F"/>
      <name val="ＭＳ 明朝"/>
      <family val="2"/>
      <charset val="128"/>
    </font>
    <font>
      <b/>
      <sz val="12"/>
      <color rgb="FFFA7D00"/>
      <name val="ＭＳ 明朝"/>
      <family val="2"/>
      <charset val="128"/>
    </font>
    <font>
      <sz val="12"/>
      <color rgb="FFFA7D00"/>
      <name val="ＭＳ 明朝"/>
      <family val="2"/>
      <charset val="128"/>
    </font>
    <font>
      <b/>
      <sz val="12"/>
      <color theme="0"/>
      <name val="ＭＳ 明朝"/>
      <family val="2"/>
      <charset val="128"/>
    </font>
    <font>
      <sz val="12"/>
      <color rgb="FFFF0000"/>
      <name val="ＭＳ 明朝"/>
      <family val="2"/>
      <charset val="128"/>
    </font>
    <font>
      <i/>
      <sz val="12"/>
      <color rgb="FF7F7F7F"/>
      <name val="ＭＳ 明朝"/>
      <family val="2"/>
      <charset val="128"/>
    </font>
    <font>
      <b/>
      <sz val="12"/>
      <color theme="1"/>
      <name val="ＭＳ 明朝"/>
      <family val="2"/>
      <charset val="128"/>
    </font>
    <font>
      <sz val="12"/>
      <color theme="0"/>
      <name val="ＭＳ 明朝"/>
      <family val="2"/>
      <charset val="128"/>
    </font>
    <font>
      <sz val="12"/>
      <color theme="1"/>
      <name val="ＭＳ 明朝"/>
      <family val="1"/>
      <charset val="128"/>
    </font>
    <font>
      <sz val="6"/>
      <name val="ＭＳ 明朝"/>
      <family val="2"/>
      <charset val="128"/>
    </font>
    <font>
      <sz val="6"/>
      <name val="ＭＳ Ｐゴシック"/>
      <family val="3"/>
      <charset val="128"/>
    </font>
    <font>
      <sz val="12"/>
      <color indexed="8"/>
      <name val="ＭＳ Ｐゴシック"/>
      <family val="3"/>
      <charset val="128"/>
      <scheme val="major"/>
    </font>
    <font>
      <sz val="12"/>
      <color indexed="13"/>
      <name val="ＭＳ Ｐゴシック"/>
      <family val="3"/>
      <charset val="128"/>
      <scheme val="major"/>
    </font>
    <font>
      <sz val="12"/>
      <name val="ＭＳ Ｐゴシック"/>
      <family val="3"/>
      <charset val="128"/>
      <scheme val="major"/>
    </font>
    <font>
      <sz val="12"/>
      <name val="ＭＳ Ｐゴシック"/>
      <family val="3"/>
      <charset val="128"/>
      <scheme val="minor"/>
    </font>
    <font>
      <sz val="6"/>
      <name val="ＭＳ Ｐゴシック"/>
      <family val="2"/>
      <charset val="128"/>
    </font>
    <font>
      <sz val="12"/>
      <color indexed="9"/>
      <name val="ＭＳ Ｐゴシック"/>
      <family val="3"/>
      <charset val="128"/>
      <scheme val="major"/>
    </font>
    <font>
      <sz val="12"/>
      <color theme="0"/>
      <name val="ＭＳ Ｐゴシック"/>
      <family val="2"/>
      <charset val="128"/>
    </font>
    <font>
      <sz val="12"/>
      <color theme="1"/>
      <name val="ＭＳ Ｐゴシック"/>
      <family val="2"/>
      <charset val="128"/>
    </font>
    <font>
      <sz val="12"/>
      <name val="ＭＳ Ｐゴシック"/>
      <family val="2"/>
      <charset val="128"/>
    </font>
    <font>
      <sz val="12"/>
      <color indexed="8"/>
      <name val="ＭＳ Ｐゴシック"/>
      <family val="3"/>
      <charset val="128"/>
    </font>
    <font>
      <sz val="14"/>
      <color indexed="8"/>
      <name val="HGS創英角ｺﾞｼｯｸUB"/>
      <family val="3"/>
      <charset val="128"/>
    </font>
    <font>
      <sz val="12"/>
      <color indexed="8"/>
      <name val="HGS創英角ｺﾞｼｯｸUB"/>
      <family val="3"/>
      <charset val="128"/>
    </font>
    <font>
      <sz val="12"/>
      <color indexed="8"/>
      <name val="ＭＳ Ｐゴシック"/>
      <family val="3"/>
      <charset val="128"/>
      <scheme val="minor"/>
    </font>
    <font>
      <sz val="12"/>
      <color indexed="13"/>
      <name val="ＭＳ Ｐゴシック"/>
      <family val="3"/>
      <charset val="128"/>
      <scheme val="minor"/>
    </font>
    <font>
      <sz val="12"/>
      <name val="ＭＳ Ｐゴシック"/>
      <family val="3"/>
      <charset val="128"/>
    </font>
    <font>
      <sz val="12"/>
      <color indexed="9"/>
      <name val="ＭＳ Ｐゴシック"/>
      <family val="3"/>
      <charset val="128"/>
    </font>
    <font>
      <sz val="11"/>
      <name val="ＭＳ Ｐゴシック"/>
      <family val="3"/>
      <charset val="128"/>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13"/>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0" tint="-0.14999847407452621"/>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auto="1"/>
      </right>
      <top style="thin">
        <color auto="1"/>
      </top>
      <bottom style="hair">
        <color auto="1"/>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s>
  <cellStyleXfs count="49">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xf numFmtId="0" fontId="18" fillId="0" borderId="0">
      <alignment vertical="center"/>
    </xf>
    <xf numFmtId="38" fontId="1" fillId="0" borderId="0" applyFont="0" applyFill="0" applyBorder="0" applyAlignment="0" applyProtection="0">
      <alignment vertical="center"/>
    </xf>
    <xf numFmtId="38" fontId="18"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37" fillId="0" borderId="0" applyFont="0" applyFill="0" applyBorder="0" applyAlignment="0" applyProtection="0"/>
    <xf numFmtId="38" fontId="18" fillId="0" borderId="0" applyFont="0" applyFill="0" applyBorder="0" applyAlignment="0" applyProtection="0">
      <alignment vertical="center"/>
    </xf>
  </cellStyleXfs>
  <cellXfs count="111">
    <xf numFmtId="0" fontId="0" fillId="0" borderId="0" xfId="0">
      <alignment vertical="center"/>
    </xf>
    <xf numFmtId="176" fontId="24" fillId="33" borderId="13" xfId="44" applyNumberFormat="1" applyFont="1" applyFill="1" applyBorder="1" applyAlignment="1">
      <alignment horizontal="center" vertical="center" shrinkToFit="1"/>
    </xf>
    <xf numFmtId="38" fontId="21" fillId="0" borderId="19" xfId="43" applyFont="1" applyBorder="1" applyAlignment="1">
      <alignment vertical="center" shrinkToFit="1"/>
    </xf>
    <xf numFmtId="38" fontId="26" fillId="0" borderId="20" xfId="43" applyFont="1" applyBorder="1" applyAlignment="1">
      <alignment vertical="center"/>
    </xf>
    <xf numFmtId="38" fontId="21" fillId="35" borderId="20" xfId="43" applyFont="1" applyFill="1" applyBorder="1" applyAlignment="1">
      <alignment vertical="center"/>
    </xf>
    <xf numFmtId="38" fontId="21" fillId="35" borderId="20" xfId="43" applyFont="1" applyFill="1" applyBorder="1" applyAlignment="1">
      <alignment vertical="center" shrinkToFit="1"/>
    </xf>
    <xf numFmtId="176" fontId="23" fillId="35" borderId="21" xfId="43" applyNumberFormat="1" applyFont="1" applyFill="1" applyBorder="1" applyAlignment="1">
      <alignment vertical="center" shrinkToFit="1"/>
    </xf>
    <xf numFmtId="38" fontId="21" fillId="35" borderId="20" xfId="43" applyFont="1" applyFill="1" applyBorder="1" applyAlignment="1">
      <alignment horizontal="left" vertical="center" shrinkToFit="1"/>
    </xf>
    <xf numFmtId="176" fontId="21" fillId="35" borderId="21" xfId="43" applyNumberFormat="1" applyFont="1" applyFill="1" applyBorder="1" applyAlignment="1">
      <alignment vertical="center" shrinkToFit="1"/>
    </xf>
    <xf numFmtId="38" fontId="21" fillId="35" borderId="21" xfId="43" applyFont="1" applyFill="1" applyBorder="1" applyAlignment="1">
      <alignment vertical="center" shrinkToFit="1"/>
    </xf>
    <xf numFmtId="38" fontId="21" fillId="0" borderId="20" xfId="43" applyFont="1" applyBorder="1" applyAlignment="1">
      <alignment vertical="center"/>
    </xf>
    <xf numFmtId="38" fontId="21" fillId="36" borderId="20" xfId="43" applyFont="1" applyFill="1" applyBorder="1" applyAlignment="1">
      <alignment vertical="center" shrinkToFit="1"/>
    </xf>
    <xf numFmtId="38" fontId="21" fillId="36" borderId="20" xfId="43" applyFont="1" applyFill="1" applyBorder="1" applyAlignment="1">
      <alignment vertical="center"/>
    </xf>
    <xf numFmtId="176" fontId="23" fillId="36" borderId="21" xfId="43" applyNumberFormat="1" applyFont="1" applyFill="1" applyBorder="1" applyAlignment="1">
      <alignment vertical="center" shrinkToFit="1"/>
    </xf>
    <xf numFmtId="38" fontId="21" fillId="36" borderId="20" xfId="43" applyFont="1" applyFill="1" applyBorder="1" applyAlignment="1">
      <alignment horizontal="left" vertical="center" shrinkToFit="1"/>
    </xf>
    <xf numFmtId="176" fontId="21" fillId="36" borderId="21" xfId="43" applyNumberFormat="1" applyFont="1" applyFill="1" applyBorder="1" applyAlignment="1">
      <alignment vertical="center" shrinkToFit="1"/>
    </xf>
    <xf numFmtId="38" fontId="21" fillId="36" borderId="21" xfId="43" applyFont="1" applyFill="1" applyBorder="1" applyAlignment="1">
      <alignment vertical="center" shrinkToFit="1"/>
    </xf>
    <xf numFmtId="0" fontId="27" fillId="0" borderId="19" xfId="0" applyFont="1" applyBorder="1">
      <alignment vertical="center"/>
    </xf>
    <xf numFmtId="0" fontId="27" fillId="0" borderId="20" xfId="0" applyFont="1" applyBorder="1">
      <alignment vertical="center"/>
    </xf>
    <xf numFmtId="0" fontId="28" fillId="0" borderId="20" xfId="0" applyFont="1" applyBorder="1" applyAlignment="1">
      <alignment vertical="center" shrinkToFit="1"/>
    </xf>
    <xf numFmtId="0" fontId="28" fillId="0" borderId="20" xfId="0" applyFont="1" applyBorder="1">
      <alignment vertical="center"/>
    </xf>
    <xf numFmtId="176" fontId="28" fillId="0" borderId="21" xfId="0" applyNumberFormat="1" applyFont="1" applyBorder="1" applyAlignment="1">
      <alignment vertical="center" shrinkToFit="1"/>
    </xf>
    <xf numFmtId="0" fontId="28" fillId="0" borderId="21" xfId="0" applyFont="1" applyBorder="1" applyAlignment="1">
      <alignment vertical="center" shrinkToFit="1"/>
    </xf>
    <xf numFmtId="0" fontId="27" fillId="0" borderId="20" xfId="0" applyFont="1" applyBorder="1" applyAlignment="1">
      <alignment vertical="center" shrinkToFit="1"/>
    </xf>
    <xf numFmtId="38" fontId="21" fillId="34" borderId="19" xfId="43" applyFont="1" applyFill="1" applyBorder="1" applyAlignment="1">
      <alignment vertical="center" shrinkToFit="1"/>
    </xf>
    <xf numFmtId="38" fontId="21" fillId="34" borderId="20" xfId="43" applyFont="1" applyFill="1" applyBorder="1" applyAlignment="1">
      <alignment vertical="center"/>
    </xf>
    <xf numFmtId="38" fontId="21" fillId="34" borderId="20" xfId="43" applyFont="1" applyFill="1" applyBorder="1" applyAlignment="1">
      <alignment vertical="center" shrinkToFit="1"/>
    </xf>
    <xf numFmtId="176" fontId="23" fillId="34" borderId="21" xfId="43" applyNumberFormat="1" applyFont="1" applyFill="1" applyBorder="1" applyAlignment="1">
      <alignment vertical="center" shrinkToFit="1"/>
    </xf>
    <xf numFmtId="38" fontId="21" fillId="34" borderId="20" xfId="43" applyFont="1" applyFill="1" applyBorder="1" applyAlignment="1">
      <alignment horizontal="left" vertical="center" shrinkToFit="1"/>
    </xf>
    <xf numFmtId="176" fontId="21" fillId="34" borderId="21" xfId="43" applyNumberFormat="1" applyFont="1" applyFill="1" applyBorder="1" applyAlignment="1">
      <alignment vertical="center" shrinkToFit="1"/>
    </xf>
    <xf numFmtId="38" fontId="21" fillId="34" borderId="21" xfId="43" applyFont="1" applyFill="1" applyBorder="1" applyAlignment="1">
      <alignment vertical="center" shrinkToFit="1"/>
    </xf>
    <xf numFmtId="0" fontId="27" fillId="0" borderId="21" xfId="0" applyFont="1" applyBorder="1" applyAlignment="1">
      <alignment vertical="center" shrinkToFit="1"/>
    </xf>
    <xf numFmtId="38" fontId="31" fillId="0" borderId="0" xfId="43" applyFont="1" applyFill="1" applyAlignment="1">
      <alignment vertical="center"/>
    </xf>
    <xf numFmtId="38" fontId="32" fillId="0" borderId="0" xfId="43" applyFont="1" applyAlignment="1">
      <alignment vertical="center"/>
    </xf>
    <xf numFmtId="38" fontId="32" fillId="0" borderId="0" xfId="43" applyFont="1" applyAlignment="1">
      <alignment vertical="center" shrinkToFit="1"/>
    </xf>
    <xf numFmtId="0" fontId="18" fillId="0" borderId="0" xfId="42">
      <alignment vertical="center"/>
    </xf>
    <xf numFmtId="38" fontId="32" fillId="0" borderId="10" xfId="43" applyFont="1" applyBorder="1" applyAlignment="1">
      <alignment vertical="center" shrinkToFit="1"/>
    </xf>
    <xf numFmtId="176" fontId="32" fillId="0" borderId="10" xfId="43" applyNumberFormat="1" applyFont="1" applyBorder="1" applyAlignment="1">
      <alignment vertical="center" shrinkToFit="1"/>
    </xf>
    <xf numFmtId="38" fontId="32" fillId="0" borderId="10" xfId="43" applyFont="1" applyBorder="1" applyAlignment="1">
      <alignment horizontal="left" vertical="center" shrinkToFit="1"/>
    </xf>
    <xf numFmtId="38" fontId="33" fillId="33" borderId="16" xfId="43" applyFont="1" applyFill="1" applyBorder="1" applyAlignment="1">
      <alignment horizontal="center" vertical="center"/>
    </xf>
    <xf numFmtId="38" fontId="33" fillId="33" borderId="17" xfId="43" applyFont="1" applyFill="1" applyBorder="1" applyAlignment="1">
      <alignment horizontal="center" vertical="center"/>
    </xf>
    <xf numFmtId="38" fontId="34" fillId="33" borderId="17" xfId="43" applyFont="1" applyFill="1" applyBorder="1" applyAlignment="1">
      <alignment horizontal="center" vertical="center"/>
    </xf>
    <xf numFmtId="38" fontId="33" fillId="33" borderId="17" xfId="43" applyFont="1" applyFill="1" applyBorder="1" applyAlignment="1">
      <alignment horizontal="center" vertical="center" shrinkToFit="1"/>
    </xf>
    <xf numFmtId="176" fontId="33" fillId="33" borderId="15" xfId="43" applyNumberFormat="1" applyFont="1" applyFill="1" applyBorder="1" applyAlignment="1">
      <alignment horizontal="center" vertical="center" shrinkToFit="1"/>
    </xf>
    <xf numFmtId="38" fontId="33" fillId="33" borderId="15" xfId="43" applyFont="1" applyFill="1" applyBorder="1" applyAlignment="1">
      <alignment horizontal="center" vertical="center" shrinkToFit="1"/>
    </xf>
    <xf numFmtId="176" fontId="30" fillId="33" borderId="13" xfId="44" applyNumberFormat="1" applyFont="1" applyFill="1" applyBorder="1" applyAlignment="1">
      <alignment vertical="center" shrinkToFit="1"/>
    </xf>
    <xf numFmtId="38" fontId="35" fillId="33" borderId="12" xfId="43" applyFont="1" applyFill="1" applyBorder="1" applyAlignment="1">
      <alignment horizontal="left" vertical="center" shrinkToFit="1"/>
    </xf>
    <xf numFmtId="176" fontId="36" fillId="33" borderId="13" xfId="43" applyNumberFormat="1" applyFont="1" applyFill="1" applyBorder="1" applyAlignment="1">
      <alignment vertical="center" shrinkToFit="1"/>
    </xf>
    <xf numFmtId="38" fontId="35" fillId="33" borderId="13" xfId="43" applyFont="1" applyFill="1" applyBorder="1" applyAlignment="1">
      <alignment vertical="center" shrinkToFit="1"/>
    </xf>
    <xf numFmtId="38" fontId="36" fillId="33" borderId="13" xfId="43" applyFont="1" applyFill="1" applyBorder="1" applyAlignment="1">
      <alignment horizontal="center" shrinkToFit="1"/>
    </xf>
    <xf numFmtId="38" fontId="21" fillId="33" borderId="11" xfId="44" applyFont="1" applyFill="1" applyBorder="1" applyAlignment="1">
      <alignment horizontal="center" vertical="center"/>
    </xf>
    <xf numFmtId="38" fontId="21" fillId="33" borderId="12" xfId="44" applyFont="1" applyFill="1" applyBorder="1" applyAlignment="1">
      <alignment horizontal="center" vertical="center"/>
    </xf>
    <xf numFmtId="38" fontId="22" fillId="33" borderId="12" xfId="44" applyFont="1" applyFill="1" applyBorder="1" applyAlignment="1">
      <alignment horizontal="center" vertical="center"/>
    </xf>
    <xf numFmtId="38" fontId="21" fillId="33" borderId="12" xfId="44" applyFont="1" applyFill="1" applyBorder="1" applyAlignment="1">
      <alignment horizontal="center" vertical="center" shrinkToFit="1"/>
    </xf>
    <xf numFmtId="176" fontId="23" fillId="33" borderId="13" xfId="44" applyNumberFormat="1" applyFont="1" applyFill="1" applyBorder="1" applyAlignment="1">
      <alignment horizontal="center" vertical="center" shrinkToFit="1"/>
    </xf>
    <xf numFmtId="176" fontId="21" fillId="33" borderId="13" xfId="44" applyNumberFormat="1" applyFont="1" applyFill="1" applyBorder="1" applyAlignment="1">
      <alignment horizontal="center" vertical="center" shrinkToFit="1"/>
    </xf>
    <xf numFmtId="38" fontId="23" fillId="33" borderId="14" xfId="44" applyFont="1" applyFill="1" applyBorder="1" applyAlignment="1">
      <alignment horizontal="center" vertical="center" shrinkToFit="1"/>
    </xf>
    <xf numFmtId="38" fontId="21" fillId="34" borderId="16" xfId="44" applyFont="1" applyFill="1" applyBorder="1" applyAlignment="1">
      <alignment vertical="center" shrinkToFit="1"/>
    </xf>
    <xf numFmtId="38" fontId="21" fillId="34" borderId="17" xfId="44" applyFont="1" applyFill="1" applyBorder="1" applyAlignment="1">
      <alignment vertical="center"/>
    </xf>
    <xf numFmtId="38" fontId="21" fillId="34" borderId="17" xfId="44" applyFont="1" applyFill="1" applyBorder="1" applyAlignment="1">
      <alignment vertical="center" shrinkToFit="1"/>
    </xf>
    <xf numFmtId="176" fontId="23" fillId="34" borderId="15" xfId="44" applyNumberFormat="1" applyFont="1" applyFill="1" applyBorder="1" applyAlignment="1">
      <alignment vertical="center" shrinkToFit="1"/>
    </xf>
    <xf numFmtId="38" fontId="21" fillId="34" borderId="17" xfId="44" applyFont="1" applyFill="1" applyBorder="1" applyAlignment="1">
      <alignment horizontal="left" vertical="center" shrinkToFit="1"/>
    </xf>
    <xf numFmtId="176" fontId="21" fillId="34" borderId="15" xfId="44" applyNumberFormat="1" applyFont="1" applyFill="1" applyBorder="1" applyAlignment="1">
      <alignment vertical="center" shrinkToFit="1"/>
    </xf>
    <xf numFmtId="38" fontId="21" fillId="34" borderId="15" xfId="44" applyFont="1" applyFill="1" applyBorder="1" applyAlignment="1">
      <alignment vertical="center" shrinkToFit="1"/>
    </xf>
    <xf numFmtId="38" fontId="23" fillId="34" borderId="18" xfId="44" applyFont="1" applyFill="1" applyBorder="1" applyAlignment="1">
      <alignment vertical="center" shrinkToFit="1"/>
    </xf>
    <xf numFmtId="38" fontId="21" fillId="0" borderId="19" xfId="44" applyFont="1" applyBorder="1" applyAlignment="1">
      <alignment vertical="center" shrinkToFit="1"/>
    </xf>
    <xf numFmtId="38" fontId="26" fillId="0" borderId="20" xfId="44" applyFont="1" applyBorder="1" applyAlignment="1">
      <alignment vertical="center"/>
    </xf>
    <xf numFmtId="38" fontId="21" fillId="35" borderId="20" xfId="44" applyFont="1" applyFill="1" applyBorder="1" applyAlignment="1">
      <alignment vertical="center"/>
    </xf>
    <xf numFmtId="38" fontId="21" fillId="35" borderId="20" xfId="44" applyFont="1" applyFill="1" applyBorder="1" applyAlignment="1">
      <alignment vertical="center" shrinkToFit="1"/>
    </xf>
    <xf numFmtId="176" fontId="23" fillId="35" borderId="21" xfId="44" applyNumberFormat="1" applyFont="1" applyFill="1" applyBorder="1" applyAlignment="1">
      <alignment vertical="center" shrinkToFit="1"/>
    </xf>
    <xf numFmtId="38" fontId="21" fillId="35" borderId="20" xfId="44" applyFont="1" applyFill="1" applyBorder="1" applyAlignment="1">
      <alignment horizontal="left" vertical="center" shrinkToFit="1"/>
    </xf>
    <xf numFmtId="176" fontId="21" fillId="35" borderId="21" xfId="44" applyNumberFormat="1" applyFont="1" applyFill="1" applyBorder="1" applyAlignment="1">
      <alignment vertical="center" shrinkToFit="1"/>
    </xf>
    <xf numFmtId="38" fontId="21" fillId="35" borderId="21" xfId="44" applyFont="1" applyFill="1" applyBorder="1" applyAlignment="1">
      <alignment vertical="center" shrinkToFit="1"/>
    </xf>
    <xf numFmtId="38" fontId="23" fillId="35" borderId="22" xfId="44" applyFont="1" applyFill="1" applyBorder="1" applyAlignment="1">
      <alignment vertical="center" shrinkToFit="1"/>
    </xf>
    <xf numFmtId="38" fontId="21" fillId="0" borderId="20" xfId="44" applyFont="1" applyBorder="1" applyAlignment="1">
      <alignment vertical="center"/>
    </xf>
    <xf numFmtId="38" fontId="21" fillId="36" borderId="20" xfId="44" applyFont="1" applyFill="1" applyBorder="1" applyAlignment="1">
      <alignment vertical="center" shrinkToFit="1"/>
    </xf>
    <xf numFmtId="38" fontId="21" fillId="36" borderId="20" xfId="44" applyFont="1" applyFill="1" applyBorder="1" applyAlignment="1">
      <alignment vertical="center"/>
    </xf>
    <xf numFmtId="176" fontId="23" fillId="36" borderId="21" xfId="44" applyNumberFormat="1" applyFont="1" applyFill="1" applyBorder="1" applyAlignment="1">
      <alignment vertical="center" shrinkToFit="1"/>
    </xf>
    <xf numFmtId="38" fontId="21" fillId="36" borderId="20" xfId="44" applyFont="1" applyFill="1" applyBorder="1" applyAlignment="1">
      <alignment horizontal="left" vertical="center" shrinkToFit="1"/>
    </xf>
    <xf numFmtId="176" fontId="21" fillId="36" borderId="21" xfId="44" applyNumberFormat="1" applyFont="1" applyFill="1" applyBorder="1" applyAlignment="1">
      <alignment vertical="center" shrinkToFit="1"/>
    </xf>
    <xf numFmtId="38" fontId="21" fillId="36" borderId="21" xfId="44" applyFont="1" applyFill="1" applyBorder="1" applyAlignment="1">
      <alignment vertical="center" shrinkToFit="1"/>
    </xf>
    <xf numFmtId="176" fontId="23" fillId="36" borderId="21" xfId="44" applyNumberFormat="1" applyFont="1" applyFill="1" applyBorder="1" applyAlignment="1">
      <alignment vertical="center"/>
    </xf>
    <xf numFmtId="38" fontId="23" fillId="36" borderId="22" xfId="44" applyFont="1" applyFill="1" applyBorder="1" applyAlignment="1">
      <alignment vertical="center" shrinkToFit="1"/>
    </xf>
    <xf numFmtId="0" fontId="27" fillId="0" borderId="19" xfId="42" applyFont="1" applyBorder="1">
      <alignment vertical="center"/>
    </xf>
    <xf numFmtId="0" fontId="27" fillId="0" borderId="20" xfId="42" applyFont="1" applyBorder="1">
      <alignment vertical="center"/>
    </xf>
    <xf numFmtId="0" fontId="28" fillId="0" borderId="20" xfId="42" applyFont="1" applyBorder="1" applyAlignment="1">
      <alignment vertical="center" shrinkToFit="1"/>
    </xf>
    <xf numFmtId="0" fontId="28" fillId="0" borderId="20" xfId="42" applyFont="1" applyBorder="1">
      <alignment vertical="center"/>
    </xf>
    <xf numFmtId="176" fontId="28" fillId="0" borderId="21" xfId="42" applyNumberFormat="1" applyFont="1" applyBorder="1" applyAlignment="1">
      <alignment vertical="center" shrinkToFit="1"/>
    </xf>
    <xf numFmtId="176" fontId="28" fillId="0" borderId="21" xfId="42" applyNumberFormat="1" applyFont="1" applyBorder="1">
      <alignment vertical="center"/>
    </xf>
    <xf numFmtId="0" fontId="28" fillId="0" borderId="21" xfId="42" applyFont="1" applyBorder="1" applyAlignment="1">
      <alignment vertical="center" shrinkToFit="1"/>
    </xf>
    <xf numFmtId="0" fontId="27" fillId="0" borderId="22" xfId="42" applyFont="1" applyBorder="1" applyAlignment="1">
      <alignment vertical="center" shrinkToFit="1"/>
    </xf>
    <xf numFmtId="0" fontId="27" fillId="0" borderId="20" xfId="42" applyFont="1" applyBorder="1" applyAlignment="1">
      <alignment vertical="center" shrinkToFit="1"/>
    </xf>
    <xf numFmtId="38" fontId="31" fillId="0" borderId="0" xfId="44" applyFont="1" applyFill="1" applyAlignment="1">
      <alignment vertical="center"/>
    </xf>
    <xf numFmtId="38" fontId="32" fillId="0" borderId="0" xfId="44" applyFont="1">
      <alignment vertical="center"/>
    </xf>
    <xf numFmtId="38" fontId="32" fillId="0" borderId="0" xfId="44" applyFont="1" applyAlignment="1">
      <alignment vertical="center"/>
    </xf>
    <xf numFmtId="38" fontId="32" fillId="0" borderId="0" xfId="44" applyFont="1" applyAlignment="1">
      <alignment vertical="center" shrinkToFit="1"/>
    </xf>
    <xf numFmtId="38" fontId="32" fillId="0" borderId="10" xfId="44" applyFont="1" applyBorder="1" applyAlignment="1">
      <alignment vertical="center" shrinkToFit="1"/>
    </xf>
    <xf numFmtId="176" fontId="32" fillId="0" borderId="10" xfId="44" applyNumberFormat="1" applyFont="1" applyBorder="1" applyAlignment="1">
      <alignment vertical="center" shrinkToFit="1"/>
    </xf>
    <xf numFmtId="0" fontId="29" fillId="0" borderId="20" xfId="42" applyFont="1" applyBorder="1" applyAlignment="1">
      <alignment vertical="center" shrinkToFit="1"/>
    </xf>
    <xf numFmtId="0" fontId="29" fillId="0" borderId="20" xfId="42" applyFont="1" applyBorder="1">
      <alignment vertical="center"/>
    </xf>
    <xf numFmtId="0" fontId="30" fillId="33" borderId="13" xfId="42" applyFont="1" applyFill="1" applyBorder="1" applyAlignment="1">
      <alignment horizontal="left" vertical="center" shrinkToFit="1"/>
    </xf>
    <xf numFmtId="176" fontId="35" fillId="33" borderId="13" xfId="44" applyNumberFormat="1" applyFont="1" applyFill="1" applyBorder="1" applyAlignment="1">
      <alignment vertical="center" shrinkToFit="1"/>
    </xf>
    <xf numFmtId="38" fontId="30" fillId="33" borderId="13" xfId="44" applyFont="1" applyFill="1" applyBorder="1" applyAlignment="1">
      <alignment vertical="center" shrinkToFit="1"/>
    </xf>
    <xf numFmtId="0" fontId="35" fillId="33" borderId="13" xfId="42" applyFont="1" applyFill="1" applyBorder="1" applyAlignment="1">
      <alignment vertical="center" shrinkToFit="1"/>
    </xf>
    <xf numFmtId="38" fontId="32" fillId="0" borderId="10" xfId="43" applyFont="1" applyBorder="1" applyAlignment="1">
      <alignment horizontal="right" vertical="center" shrinkToFit="1"/>
    </xf>
    <xf numFmtId="38" fontId="32" fillId="0" borderId="10" xfId="44" applyFont="1" applyBorder="1" applyAlignment="1">
      <alignment horizontal="right" vertical="center" shrinkToFit="1"/>
    </xf>
    <xf numFmtId="176" fontId="32" fillId="0" borderId="10" xfId="43" applyNumberFormat="1" applyFont="1" applyBorder="1" applyAlignment="1">
      <alignment horizontal="right" vertical="center"/>
    </xf>
    <xf numFmtId="0" fontId="30" fillId="33" borderId="11" xfId="0" applyFont="1" applyFill="1" applyBorder="1" applyAlignment="1">
      <alignment horizontal="center" vertical="center"/>
    </xf>
    <xf numFmtId="0" fontId="35" fillId="33" borderId="12" xfId="0" applyFont="1" applyFill="1" applyBorder="1" applyAlignment="1">
      <alignment horizontal="center" vertical="center"/>
    </xf>
    <xf numFmtId="0" fontId="30" fillId="33" borderId="11" xfId="42" applyFont="1" applyFill="1" applyBorder="1" applyAlignment="1">
      <alignment horizontal="center" vertical="center"/>
    </xf>
    <xf numFmtId="0" fontId="35" fillId="33" borderId="12" xfId="42" applyFont="1" applyFill="1" applyBorder="1" applyAlignment="1">
      <alignment horizontal="center" vertical="center"/>
    </xf>
  </cellXfs>
  <cellStyles count="49">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桁区切り" xfId="43" builtinId="6"/>
    <cellStyle name="桁区切り 2" xfId="44"/>
    <cellStyle name="桁区切り 2 2" xfId="48"/>
    <cellStyle name="桁区切り 3" xfId="47"/>
    <cellStyle name="桁区切り 4" xfId="46"/>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標準 2" xfId="42"/>
    <cellStyle name="標準 3" xfId="45"/>
    <cellStyle name="良い" xfId="6" builtinId="26" customBuiltin="1"/>
  </cellStyles>
  <dxfs count="48">
    <dxf>
      <font>
        <color theme="1"/>
      </font>
    </dxf>
    <dxf>
      <font>
        <color theme="1"/>
      </font>
    </dxf>
    <dxf>
      <font>
        <color theme="0"/>
      </font>
    </dxf>
    <dxf>
      <font>
        <color auto="1"/>
      </font>
    </dxf>
    <dxf>
      <font>
        <color auto="1"/>
      </font>
    </dxf>
    <dxf>
      <font>
        <color theme="1"/>
      </font>
    </dxf>
    <dxf>
      <font>
        <color theme="0"/>
      </font>
    </dxf>
    <dxf>
      <font>
        <color theme="1"/>
      </font>
    </dxf>
    <dxf>
      <font>
        <color theme="1"/>
      </font>
    </dxf>
    <dxf>
      <font>
        <color theme="1"/>
      </font>
    </dxf>
    <dxf>
      <font>
        <color theme="0"/>
      </font>
    </dxf>
    <dxf>
      <font>
        <color auto="1"/>
      </font>
    </dxf>
    <dxf>
      <font>
        <color auto="1"/>
      </font>
    </dxf>
    <dxf>
      <font>
        <color theme="0"/>
      </font>
    </dxf>
    <dxf>
      <font>
        <color theme="1"/>
      </font>
    </dxf>
    <dxf>
      <font>
        <color theme="1"/>
      </font>
    </dxf>
    <dxf>
      <font>
        <color theme="1"/>
      </font>
    </dxf>
    <dxf>
      <font>
        <color theme="0"/>
      </font>
    </dxf>
    <dxf>
      <font>
        <color auto="1"/>
      </font>
    </dxf>
    <dxf>
      <font>
        <color auto="1"/>
      </font>
    </dxf>
    <dxf>
      <font>
        <color theme="0"/>
      </font>
    </dxf>
    <dxf>
      <font>
        <color theme="0"/>
      </font>
    </dxf>
    <dxf>
      <font>
        <color theme="0"/>
      </font>
    </dxf>
    <dxf>
      <font>
        <color theme="0"/>
      </font>
    </dxf>
    <dxf>
      <font>
        <color theme="0"/>
      </font>
    </dxf>
    <dxf>
      <font>
        <color theme="1"/>
      </font>
    </dxf>
    <dxf>
      <font>
        <color theme="1"/>
      </font>
    </dxf>
    <dxf>
      <font>
        <color theme="1"/>
      </font>
    </dxf>
    <dxf>
      <font>
        <color theme="0"/>
      </font>
    </dxf>
    <dxf>
      <font>
        <color auto="1"/>
      </font>
    </dxf>
    <dxf>
      <font>
        <color auto="1"/>
      </font>
    </dxf>
    <dxf>
      <font>
        <color theme="0"/>
      </font>
    </dxf>
    <dxf>
      <font>
        <color theme="1"/>
      </font>
    </dxf>
    <dxf>
      <font>
        <color theme="1"/>
      </font>
    </dxf>
    <dxf>
      <font>
        <color theme="1"/>
      </font>
    </dxf>
    <dxf>
      <font>
        <color theme="0"/>
      </font>
    </dxf>
    <dxf>
      <font>
        <color auto="1"/>
      </font>
    </dxf>
    <dxf>
      <font>
        <color auto="1"/>
      </font>
    </dxf>
    <dxf>
      <font>
        <color theme="0"/>
      </font>
    </dxf>
    <dxf>
      <font>
        <color theme="1"/>
      </font>
    </dxf>
    <dxf>
      <font>
        <color theme="1"/>
      </font>
    </dxf>
    <dxf>
      <font>
        <color theme="1"/>
      </font>
    </dxf>
    <dxf>
      <font>
        <color theme="0"/>
      </font>
    </dxf>
    <dxf>
      <font>
        <color auto="1"/>
      </font>
    </dxf>
    <dxf>
      <font>
        <color auto="1"/>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haredStrings" Target="sharedStrings.xml"/><Relationship Id="rId5" Type="http://schemas.openxmlformats.org/officeDocument/2006/relationships/externalLink" Target="externalLinks/externalLink3.xml"/><Relationship Id="rId10" Type="http://schemas.openxmlformats.org/officeDocument/2006/relationships/styles" Target="styles.xml"/><Relationship Id="rId4" Type="http://schemas.openxmlformats.org/officeDocument/2006/relationships/externalLink" Target="externalLinks/externalLink2.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ntsrv59\&#36001;&#21209;&#20250;&#35336;&#21407;&#26412;$\100.&#26696;&#20214;&#31649;&#29702;\2010(H22)\20.H22&#24180;&#24230;&#38283;&#30330;&#26696;&#20214;&#31649;&#29702;\2_&#20225;&#26989;&#20250;&#35336;\1_&#20316;&#26989;&#20381;&#38972;\1_&#35211;&#31309;\2_&#32080;&#26524;\ZEX100624-6180-0&#35211;&#31309;&#32080;&#26524;(&#20234;&#37027;&#20013;&#22830;&#34892;&#25919;&#32068;&#2151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tsrv59\&#36001;&#21209;&#20250;&#35336;&#21407;&#26412;$\800.&#12469;&#12509;&#12540;&#12488;\&#36001;&#21209;&#12518;&#12540;&#12470;&#36939;&#29992;&#19968;&#3523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800.&#12469;&#12509;&#12540;&#12488;\&#36001;&#21209;&#12518;&#12540;&#12470;&#36939;&#29992;&#19968;&#3523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72.17.157.232\disk1\Users\NTWL22003\Desktop\&#27861;&#36969;&#21270;\05%20&#36001;&#21209;&#20250;&#35336;\04%20&#27770;&#31639;&#32113;&#35336;\R4&#24180;&#24230;&#29256;&#12288;&#19979;&#27700;&#36947;&#65288;&#27096;&#24335;&#65289;.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100.&#26696;&#20214;&#31649;&#29702;\2010(H22)\20.H22&#24180;&#24230;&#38283;&#30330;&#26696;&#20214;&#31649;&#29702;\2_&#20225;&#26989;&#20250;&#35336;\2_&#38283;&#30330;&#20381;&#38972;\1_&#38283;&#30330;\ZEX100624-6180-0(&#20234;&#37027;&#20013;&#22830;&#34892;&#25919;&#32068;&#21512;)\ZEX100624-6180-0(&#20234;&#37027;&#20013;&#22830;&#34892;&#25919;&#32068;&#2151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X:\00.&#36914;&#25431;&#31649;&#29702;\&#26696;&#20214;&#31649;&#29702;\H24\ZKA120409-1298-0(&#27861;&#25913;&#27491;&#36605;&#24494;_&#21104;&#20313;&#37329;&#35336;&#31639;&#26360;)\2.&#38283;&#30330;\070.SafesWEB3.0\Doc&#65293;&#31038;&#20869;&#36039;&#26009;\50.&#27096;&#24335;&#12402;&#12394;&#24418;\00.&#12503;&#12525;&#12472;&#12455;&#12463;&#12488;&#31649;&#29702;\2.&#35336;&#30011;&#12503;&#12525;&#12475;&#12473;\4_&#35201;&#21729;&#35336;&#3001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要求定義書"/>
      <sheetName val="要件定義書"/>
      <sheetName val="工数見積書"/>
      <sheetName val="予要求書_PeacsⅢ標準版"/>
      <sheetName val="予要求書_ユーザ提示版"/>
      <sheetName val="コード"/>
    </sheetNames>
    <sheetDataSet>
      <sheetData sheetId="0" refreshError="1"/>
      <sheetData sheetId="1" refreshError="1"/>
      <sheetData sheetId="2" refreshError="1"/>
      <sheetData sheetId="3" refreshError="1"/>
      <sheetData sheetId="4" refreshError="1"/>
      <sheetData sheetId="5">
        <row r="1">
          <cell r="A1" t="str">
            <v>開発分類</v>
          </cell>
        </row>
        <row r="2">
          <cell r="A2" t="str">
            <v>1 受注開発</v>
          </cell>
        </row>
        <row r="3">
          <cell r="A3" t="str">
            <v>2 商品開発</v>
          </cell>
        </row>
        <row r="4">
          <cell r="A4" t="str">
            <v>3 受注保守</v>
          </cell>
        </row>
        <row r="5">
          <cell r="A5" t="str">
            <v>4 改善保守</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一覧形式】"/>
      <sheetName val="【電話一覧】"/>
      <sheetName val="【注意点・予定イベント】"/>
      <sheetName val="長野ユーザ⇒"/>
      <sheetName val="信州新町"/>
      <sheetName val="長野広域"/>
      <sheetName val="青木村"/>
      <sheetName val="麻績村"/>
      <sheetName val="小谷村"/>
      <sheetName val="中条村"/>
      <sheetName val="町村会"/>
      <sheetName val="高山村"/>
      <sheetName val="信濃町"/>
      <sheetName val="小諸市"/>
      <sheetName val="大町市"/>
      <sheetName val="生坂村"/>
      <sheetName val="筑北村"/>
      <sheetName val="池田町"/>
      <sheetName val="松川村"/>
      <sheetName val="白馬村"/>
      <sheetName val="坂城町"/>
      <sheetName val="小布施町"/>
      <sheetName val="山ノ内町"/>
      <sheetName val="木島平村"/>
      <sheetName val="飯綱町"/>
      <sheetName val="栄村"/>
      <sheetName val="糸魚川市"/>
      <sheetName val="妙高市"/>
      <sheetName val="上越市"/>
      <sheetName val="国連会"/>
      <sheetName val="北ｱﾙﾌﾟｽ広域連合"/>
      <sheetName val="松本ユーザ⇒"/>
      <sheetName val="木祖村"/>
      <sheetName val="波田町"/>
      <sheetName val="山形村"/>
      <sheetName val="朝日村"/>
      <sheetName val="松塩筑"/>
      <sheetName val="塩尻市"/>
      <sheetName val="上松町"/>
      <sheetName val="南木曽町"/>
      <sheetName val="王滝村"/>
      <sheetName val="大桑村"/>
      <sheetName val="諏訪市"/>
      <sheetName val="下諏訪町"/>
      <sheetName val="富士見町"/>
      <sheetName val="木曽町"/>
      <sheetName val="木曽広域連合"/>
      <sheetName val="佐久ユーザ⇒"/>
      <sheetName val="依田窪"/>
      <sheetName val="御代田町"/>
      <sheetName val="川西衛生"/>
      <sheetName val="南佐久環境"/>
      <sheetName val="小海町"/>
      <sheetName val="佐久市"/>
      <sheetName val="佐久穂町"/>
      <sheetName val="川上村"/>
      <sheetName val="南牧村"/>
      <sheetName val="南相木村"/>
      <sheetName val="北相木村"/>
      <sheetName val="立科町"/>
      <sheetName val="長和町"/>
      <sheetName val="佐久広域連合"/>
      <sheetName val="飯田ユーザ⇒"/>
      <sheetName val="売木村"/>
      <sheetName val="清内路村"/>
      <sheetName val="天龍村"/>
      <sheetName val="喬木村"/>
      <sheetName val="大鹿村"/>
      <sheetName val="高森町"/>
      <sheetName val="阿南町"/>
      <sheetName val="阿智村"/>
      <sheetName val="平谷村"/>
      <sheetName val="下條村"/>
      <sheetName val="豊丘村"/>
      <sheetName val="新潟ユーザ⇒"/>
      <sheetName val="田上町"/>
      <sheetName val="五泉市"/>
      <sheetName val="佐渡市"/>
      <sheetName val="阿賀町"/>
      <sheetName val="粟島浦村"/>
      <sheetName val="東京ユーザ⇒"/>
      <sheetName val="川崎町"/>
      <sheetName val="横瀬町"/>
      <sheetName val="東秩父村"/>
      <sheetName val="甘楽町"/>
      <sheetName val="ときがわ町"/>
      <sheetName val="神川町"/>
      <sheetName val="吉見町"/>
      <sheetName val="筑西市"/>
      <sheetName val="雛型"/>
      <sheetName val="設定"/>
      <sheetName val="修正履歴"/>
      <sheetName val="入力方法"/>
      <sheetName val="後期高齢広域"/>
      <sheetName val="【月別イベント】"/>
      <sheetName val="共通"/>
      <sheetName val="追加希望"/>
      <sheetName val="小川村"/>
      <sheetName val="野沢温泉村"/>
      <sheetName val="都留市"/>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ow r="2">
          <cell r="B2" t="str">
            <v>自庁</v>
          </cell>
          <cell r="D2" t="str">
            <v>○</v>
          </cell>
          <cell r="F2" t="str">
            <v>基幹系と同居(R.NET)</v>
          </cell>
        </row>
        <row r="3">
          <cell r="B3" t="str">
            <v>SDC</v>
          </cell>
          <cell r="D3" t="str">
            <v>×</v>
          </cell>
          <cell r="F3" t="str">
            <v>基幹系と同居(R.NET以外)　RⅢまたは単独業務システム</v>
          </cell>
        </row>
        <row r="4">
          <cell r="D4" t="str">
            <v>○特殊</v>
          </cell>
          <cell r="F4" t="str">
            <v>単独または別LAN</v>
          </cell>
        </row>
        <row r="5">
          <cell r="D5" t="str">
            <v>SDC基</v>
          </cell>
        </row>
        <row r="6">
          <cell r="D6" t="str">
            <v>基幹系</v>
          </cell>
        </row>
        <row r="7">
          <cell r="D7" t="str">
            <v>情報系</v>
          </cell>
        </row>
        <row r="8">
          <cell r="D8" t="str">
            <v>特殊</v>
          </cell>
        </row>
        <row r="12">
          <cell r="B12" t="str">
            <v>あり</v>
          </cell>
          <cell r="D12" t="str">
            <v>あり</v>
          </cell>
          <cell r="F12" t="str">
            <v>○</v>
          </cell>
        </row>
        <row r="13">
          <cell r="B13" t="str">
            <v>なし</v>
          </cell>
          <cell r="D13" t="str">
            <v>あり（独自配布）</v>
          </cell>
          <cell r="F13" t="str">
            <v>―</v>
          </cell>
        </row>
        <row r="14">
          <cell r="D14" t="str">
            <v>なし</v>
          </cell>
        </row>
        <row r="18">
          <cell r="B18" t="str">
            <v>要求のみ</v>
          </cell>
          <cell r="D18" t="str">
            <v>A4（WEB）</v>
          </cell>
          <cell r="F18" t="str">
            <v>A3・科目別</v>
          </cell>
        </row>
        <row r="19">
          <cell r="B19" t="str">
            <v>要求、特会の予算書作成</v>
          </cell>
          <cell r="D19" t="str">
            <v>A4（リアル）</v>
          </cell>
          <cell r="F19" t="str">
            <v>A3・事業別</v>
          </cell>
        </row>
        <row r="20">
          <cell r="B20" t="str">
            <v>財政集中</v>
          </cell>
          <cell r="D20" t="str">
            <v>A4（バッチ）</v>
          </cell>
          <cell r="F20" t="str">
            <v>A4・科目別</v>
          </cell>
        </row>
        <row r="21">
          <cell r="D21" t="str">
            <v>B4（リアル）</v>
          </cell>
          <cell r="F21" t="str">
            <v>A4・事業別</v>
          </cell>
        </row>
        <row r="22">
          <cell r="D22" t="str">
            <v>B4（バッチ）</v>
          </cell>
          <cell r="F22" t="str">
            <v>A4・確認用</v>
          </cell>
        </row>
        <row r="26">
          <cell r="B26" t="str">
            <v>A4</v>
          </cell>
          <cell r="D26" t="str">
            <v>FD（DOS形式）</v>
          </cell>
          <cell r="F26" t="str">
            <v>A3・事業別・繰越欄3</v>
          </cell>
          <cell r="H26" t="str">
            <v>未使用</v>
          </cell>
          <cell r="J26" t="str">
            <v>未使用</v>
          </cell>
        </row>
        <row r="27">
          <cell r="B27" t="str">
            <v>A5</v>
          </cell>
          <cell r="D27" t="str">
            <v>FD（IBM形式）</v>
          </cell>
          <cell r="F27" t="str">
            <v>A3・科目別・繰越欄3</v>
          </cell>
          <cell r="H27" t="str">
            <v>はがき</v>
          </cell>
          <cell r="J27" t="str">
            <v>使用</v>
          </cell>
        </row>
        <row r="28">
          <cell r="B28" t="str">
            <v>A5上下</v>
          </cell>
          <cell r="D28" t="str">
            <v>FD（DOS形式）＆電送</v>
          </cell>
          <cell r="F28" t="str">
            <v>A4・事業別・繰越欄1</v>
          </cell>
          <cell r="H28" t="str">
            <v>シーラ</v>
          </cell>
        </row>
        <row r="29">
          <cell r="D29" t="str">
            <v>電送（ﾌｧｰﾑﾊﾞﾝｸ）</v>
          </cell>
          <cell r="F29" t="str">
            <v>A4・事業別・繰越欄3</v>
          </cell>
        </row>
        <row r="30">
          <cell r="D30" t="str">
            <v>依頼書</v>
          </cell>
          <cell r="F30" t="str">
            <v>A4・科目別・繰越欄1</v>
          </cell>
        </row>
        <row r="31">
          <cell r="D31" t="str">
            <v>FD＆依頼書</v>
          </cell>
          <cell r="F31" t="str">
            <v>A4・科目別・繰越欄3</v>
          </cell>
        </row>
        <row r="32">
          <cell r="D32" t="str">
            <v>その他</v>
          </cell>
          <cell r="F32" t="str">
            <v>B4・事業別・繰越欄1</v>
          </cell>
        </row>
        <row r="33">
          <cell r="F33" t="str">
            <v>B4・事業別・繰越欄3</v>
          </cell>
        </row>
        <row r="34">
          <cell r="F34" t="str">
            <v>B4・科目別・繰越欄1</v>
          </cell>
        </row>
        <row r="35">
          <cell r="F35" t="str">
            <v>B4・科目別・繰越欄3</v>
          </cell>
        </row>
        <row r="39">
          <cell r="B39" t="str">
            <v>なし</v>
          </cell>
          <cell r="D39" t="str">
            <v>ReamsⅢ</v>
          </cell>
          <cell r="F39" t="str">
            <v>TOM</v>
          </cell>
          <cell r="H39" t="str">
            <v>読取する</v>
          </cell>
          <cell r="J39" t="str">
            <v>読取する</v>
          </cell>
          <cell r="L39" t="str">
            <v>未使用</v>
          </cell>
        </row>
        <row r="40">
          <cell r="B40" t="str">
            <v>DB（同一LAN）</v>
          </cell>
          <cell r="D40" t="str">
            <v>Reams.NET</v>
          </cell>
          <cell r="F40" t="str">
            <v>東芝</v>
          </cell>
          <cell r="H40" t="str">
            <v>読取しない（デザイン用紙あり）</v>
          </cell>
          <cell r="J40" t="str">
            <v>読取しない（デザイン用紙あり）</v>
          </cell>
          <cell r="L40" t="str">
            <v>使用</v>
          </cell>
        </row>
        <row r="41">
          <cell r="B41" t="str">
            <v>FD（別LAN）</v>
          </cell>
          <cell r="D41" t="str">
            <v>他社（具体的に入力）</v>
          </cell>
          <cell r="F41" t="str">
            <v>その他（具体的に入力）</v>
          </cell>
          <cell r="H41" t="str">
            <v>読取しない（デザイン用紙なし）</v>
          </cell>
          <cell r="J41" t="str">
            <v>読取しない（デザイン用紙なし）</v>
          </cell>
          <cell r="L41" t="str">
            <v>使用（デザイン用紙あり）</v>
          </cell>
        </row>
        <row r="45">
          <cell r="B45" t="str">
            <v>あり</v>
          </cell>
          <cell r="D45" t="str">
            <v>電算ﾊﾞｯﾁ給与</v>
          </cell>
          <cell r="F45" t="str">
            <v>A4</v>
          </cell>
        </row>
        <row r="46">
          <cell r="B46" t="str">
            <v>なし（手入力）</v>
          </cell>
          <cell r="D46" t="str">
            <v>C/S給与(ICC)</v>
          </cell>
          <cell r="F46" t="str">
            <v>A5</v>
          </cell>
        </row>
        <row r="47">
          <cell r="D47" t="str">
            <v>電算PC給与</v>
          </cell>
          <cell r="F47" t="str">
            <v>A5上下</v>
          </cell>
        </row>
        <row r="48">
          <cell r="D48" t="str">
            <v>人事給与（KKC)</v>
          </cell>
          <cell r="F48" t="str">
            <v>自作</v>
          </cell>
        </row>
        <row r="49">
          <cell r="F49" t="str">
            <v>バッチ</v>
          </cell>
        </row>
        <row r="53">
          <cell r="B53" t="str">
            <v>使用</v>
          </cell>
        </row>
        <row r="54">
          <cell r="B54" t="str">
            <v>未使用</v>
          </cell>
        </row>
        <row r="58">
          <cell r="B58" t="str">
            <v>あり</v>
          </cell>
        </row>
        <row r="59">
          <cell r="B59" t="str">
            <v>なし</v>
          </cell>
        </row>
      </sheetData>
      <sheetData sheetId="91"/>
      <sheetData sheetId="92"/>
      <sheetData sheetId="93"/>
      <sheetData sheetId="94" refreshError="1"/>
      <sheetData sheetId="95" refreshError="1"/>
      <sheetData sheetId="96"/>
      <sheetData sheetId="97"/>
      <sheetData sheetId="98"/>
      <sheetData sheetId="9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一覧形式】"/>
      <sheetName val="【電話一覧】"/>
      <sheetName val="【注意点・予定イベント】"/>
      <sheetName val="長野ユーザ⇒"/>
      <sheetName val="信州新町"/>
      <sheetName val="長野広域"/>
      <sheetName val="青木村"/>
      <sheetName val="麻績村"/>
      <sheetName val="小谷村"/>
      <sheetName val="中条村"/>
      <sheetName val="町村会"/>
      <sheetName val="高山村"/>
      <sheetName val="信濃町"/>
      <sheetName val="小諸市"/>
      <sheetName val="大町市"/>
      <sheetName val="生坂村"/>
      <sheetName val="筑北村"/>
      <sheetName val="池田町"/>
      <sheetName val="松川村"/>
      <sheetName val="白馬村"/>
      <sheetName val="坂城町"/>
      <sheetName val="小布施町"/>
      <sheetName val="山ノ内町"/>
      <sheetName val="木島平村"/>
      <sheetName val="飯綱町"/>
      <sheetName val="栄村"/>
      <sheetName val="糸魚川市"/>
      <sheetName val="妙高市"/>
      <sheetName val="上越市"/>
      <sheetName val="国連会"/>
      <sheetName val="北ｱﾙﾌﾟｽ広域連合"/>
      <sheetName val="松本ユーザ⇒"/>
      <sheetName val="木祖村"/>
      <sheetName val="波田町"/>
      <sheetName val="山形村"/>
      <sheetName val="朝日村"/>
      <sheetName val="松塩筑"/>
      <sheetName val="塩尻市"/>
      <sheetName val="上松町"/>
      <sheetName val="南木曽町"/>
      <sheetName val="王滝村"/>
      <sheetName val="大桑村"/>
      <sheetName val="諏訪市"/>
      <sheetName val="下諏訪町"/>
      <sheetName val="富士見町"/>
      <sheetName val="木曽町"/>
      <sheetName val="木曽広域連合"/>
      <sheetName val="佐久ユーザ⇒"/>
      <sheetName val="依田窪"/>
      <sheetName val="御代田町"/>
      <sheetName val="川西衛生"/>
      <sheetName val="南佐久環境"/>
      <sheetName val="小海町"/>
      <sheetName val="佐久市"/>
      <sheetName val="佐久穂町"/>
      <sheetName val="川上村"/>
      <sheetName val="南牧村"/>
      <sheetName val="南相木村"/>
      <sheetName val="北相木村"/>
      <sheetName val="立科町"/>
      <sheetName val="長和町"/>
      <sheetName val="佐久広域連合"/>
      <sheetName val="飯田ユーザ⇒"/>
      <sheetName val="売木村"/>
      <sheetName val="清内路村"/>
      <sheetName val="天龍村"/>
      <sheetName val="喬木村"/>
      <sheetName val="大鹿村"/>
      <sheetName val="高森町"/>
      <sheetName val="阿南町"/>
      <sheetName val="阿智村"/>
      <sheetName val="平谷村"/>
      <sheetName val="下條村"/>
      <sheetName val="豊丘村"/>
      <sheetName val="新潟ユーザ⇒"/>
      <sheetName val="田上町"/>
      <sheetName val="五泉市"/>
      <sheetName val="佐渡市"/>
      <sheetName val="阿賀町"/>
      <sheetName val="粟島浦村"/>
      <sheetName val="東京ユーザ⇒"/>
      <sheetName val="川崎町"/>
      <sheetName val="横瀬町"/>
      <sheetName val="東秩父村"/>
      <sheetName val="甘楽町"/>
      <sheetName val="ときがわ町"/>
      <sheetName val="神川町"/>
      <sheetName val="吉見町"/>
      <sheetName val="筑西市"/>
      <sheetName val="雛型"/>
      <sheetName val="設定"/>
      <sheetName val="修正履歴"/>
      <sheetName val="入力方法"/>
      <sheetName val="後期高齢広域"/>
      <sheetName val="【月別イベント】"/>
      <sheetName val="共通"/>
      <sheetName val="追加希望"/>
      <sheetName val="小川村"/>
      <sheetName val="野沢温泉村"/>
      <sheetName val="都留市"/>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ow r="2">
          <cell r="F2" t="str">
            <v>基幹系と同居(R.NET)</v>
          </cell>
        </row>
        <row r="3">
          <cell r="F3" t="str">
            <v>基幹系と同居(R.NET以外)　RⅢまたは単独業務システム</v>
          </cell>
        </row>
        <row r="4">
          <cell r="F4" t="str">
            <v>単独または別LAN</v>
          </cell>
        </row>
        <row r="26">
          <cell r="F26" t="str">
            <v>A3・事業別・繰越欄3</v>
          </cell>
        </row>
        <row r="27">
          <cell r="F27" t="str">
            <v>A3・科目別・繰越欄3</v>
          </cell>
        </row>
        <row r="28">
          <cell r="F28" t="str">
            <v>A4・事業別・繰越欄1</v>
          </cell>
        </row>
        <row r="29">
          <cell r="F29" t="str">
            <v>A4・事業別・繰越欄3</v>
          </cell>
        </row>
        <row r="30">
          <cell r="F30" t="str">
            <v>A4・科目別・繰越欄1</v>
          </cell>
        </row>
        <row r="31">
          <cell r="F31" t="str">
            <v>A4・科目別・繰越欄3</v>
          </cell>
        </row>
        <row r="32">
          <cell r="F32" t="str">
            <v>B4・事業別・繰越欄1</v>
          </cell>
        </row>
        <row r="33">
          <cell r="F33" t="str">
            <v>B4・事業別・繰越欄3</v>
          </cell>
        </row>
        <row r="34">
          <cell r="F34" t="str">
            <v>B4・科目別・繰越欄1</v>
          </cell>
        </row>
        <row r="35">
          <cell r="F35" t="str">
            <v>B4・科目別・繰越欄3</v>
          </cell>
        </row>
        <row r="45">
          <cell r="B45" t="str">
            <v>あり</v>
          </cell>
        </row>
        <row r="46">
          <cell r="B46" t="str">
            <v>なし（手入力）</v>
          </cell>
        </row>
      </sheetData>
      <sheetData sheetId="91"/>
      <sheetData sheetId="92"/>
      <sheetData sheetId="93"/>
      <sheetData sheetId="94" refreshError="1"/>
      <sheetData sheetId="95" refreshError="1"/>
      <sheetData sheetId="96"/>
      <sheetData sheetId="97"/>
      <sheetData sheetId="98"/>
      <sheetData sheetId="9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分(繰越)"/>
      <sheetName val="消費税"/>
      <sheetName val="歳入"/>
      <sheetName val="歳出"/>
      <sheetName val="10"/>
      <sheetName val="20"/>
      <sheetName val="損益内訳"/>
      <sheetName val="21"/>
      <sheetName val="21=32突合"/>
      <sheetName val="職員"/>
      <sheetName val="22"/>
      <sheetName val="BS"/>
      <sheetName val="CF"/>
      <sheetName val="23"/>
      <sheetName val="資本内訳"/>
      <sheetName val="建設改良"/>
      <sheetName val="24"/>
      <sheetName val="24表資料"/>
      <sheetName val="24表明細"/>
      <sheetName val="25"/>
      <sheetName val="32"/>
      <sheetName val="負担金"/>
      <sheetName val="雨水割合"/>
      <sheetName val="33"/>
      <sheetName val="40"/>
      <sheetName val="45"/>
      <sheetName val="45表資料"/>
      <sheetName val="終期年度までの償還状況"/>
      <sheetName val="52"/>
    </sheetNames>
    <sheetDataSet>
      <sheetData sheetId="0" refreshError="1"/>
      <sheetData sheetId="1" refreshError="1"/>
      <sheetData sheetId="2" refreshError="1"/>
      <sheetData sheetId="3" refreshError="1"/>
      <sheetData sheetId="4">
        <row r="28">
          <cell r="R28">
            <v>1025308</v>
          </cell>
        </row>
        <row r="29">
          <cell r="R29">
            <v>0</v>
          </cell>
        </row>
        <row r="37">
          <cell r="I37">
            <v>5404</v>
          </cell>
        </row>
        <row r="43">
          <cell r="I43">
            <v>429</v>
          </cell>
          <cell r="R43">
            <v>3</v>
          </cell>
        </row>
        <row r="57">
          <cell r="I57">
            <v>81</v>
          </cell>
        </row>
        <row r="60">
          <cell r="I60">
            <v>0</v>
          </cell>
        </row>
      </sheetData>
      <sheetData sheetId="5">
        <row r="14">
          <cell r="M14">
            <v>155937</v>
          </cell>
        </row>
        <row r="33">
          <cell r="M33">
            <v>145608</v>
          </cell>
        </row>
        <row r="37">
          <cell r="M37">
            <v>420266</v>
          </cell>
        </row>
        <row r="44">
          <cell r="U44">
            <v>127277</v>
          </cell>
        </row>
        <row r="45">
          <cell r="U45">
            <v>0</v>
          </cell>
        </row>
        <row r="46">
          <cell r="U46">
            <v>0</v>
          </cell>
        </row>
        <row r="47">
          <cell r="M47">
            <v>269102</v>
          </cell>
          <cell r="U47">
            <v>0</v>
          </cell>
        </row>
        <row r="51">
          <cell r="M51">
            <v>18952</v>
          </cell>
        </row>
        <row r="57">
          <cell r="M57">
            <v>0</v>
          </cell>
        </row>
        <row r="58">
          <cell r="M58">
            <v>6989</v>
          </cell>
        </row>
      </sheetData>
      <sheetData sheetId="6" refreshError="1"/>
      <sheetData sheetId="7" refreshError="1"/>
      <sheetData sheetId="8" refreshError="1"/>
      <sheetData sheetId="9" refreshError="1"/>
      <sheetData sheetId="10">
        <row r="15">
          <cell r="V15">
            <v>1302267</v>
          </cell>
        </row>
        <row r="20">
          <cell r="V20">
            <v>12027</v>
          </cell>
        </row>
        <row r="29">
          <cell r="J29">
            <v>94932</v>
          </cell>
        </row>
        <row r="36">
          <cell r="J36">
            <v>5436665</v>
          </cell>
        </row>
        <row r="37">
          <cell r="V37">
            <v>1314294</v>
          </cell>
        </row>
        <row r="39">
          <cell r="V39">
            <v>0</v>
          </cell>
        </row>
        <row r="44">
          <cell r="V44">
            <v>6989</v>
          </cell>
        </row>
        <row r="46">
          <cell r="J46">
            <v>156084</v>
          </cell>
        </row>
        <row r="47">
          <cell r="J47">
            <v>153054</v>
          </cell>
        </row>
        <row r="57">
          <cell r="J57">
            <v>2967440</v>
          </cell>
        </row>
      </sheetData>
      <sheetData sheetId="11" refreshError="1"/>
      <sheetData sheetId="12" refreshError="1"/>
      <sheetData sheetId="13">
        <row r="16">
          <cell r="U16">
            <v>164681.5</v>
          </cell>
        </row>
        <row r="28">
          <cell r="J28">
            <v>45108</v>
          </cell>
        </row>
        <row r="31">
          <cell r="J31">
            <v>151784</v>
          </cell>
        </row>
        <row r="34">
          <cell r="U34">
            <v>102743</v>
          </cell>
        </row>
        <row r="44">
          <cell r="U44">
            <v>10138</v>
          </cell>
        </row>
        <row r="45">
          <cell r="U45">
            <v>45177</v>
          </cell>
        </row>
        <row r="46">
          <cell r="J46">
            <v>164347</v>
          </cell>
        </row>
        <row r="50">
          <cell r="U50">
            <v>118463</v>
          </cell>
        </row>
        <row r="51">
          <cell r="U51">
            <v>163640</v>
          </cell>
        </row>
        <row r="52">
          <cell r="U52">
            <v>18952</v>
          </cell>
        </row>
        <row r="53">
          <cell r="U53">
            <v>18952</v>
          </cell>
        </row>
        <row r="68">
          <cell r="J68">
            <v>55300</v>
          </cell>
        </row>
      </sheetData>
      <sheetData sheetId="14" refreshError="1"/>
      <sheetData sheetId="15" refreshError="1"/>
      <sheetData sheetId="16">
        <row r="28">
          <cell r="Y28">
            <v>1156606</v>
          </cell>
        </row>
      </sheetData>
      <sheetData sheetId="17" refreshError="1"/>
      <sheetData sheetId="18">
        <row r="1">
          <cell r="G1" t="str">
            <v>起債番号</v>
          </cell>
        </row>
      </sheetData>
      <sheetData sheetId="19">
        <row r="15">
          <cell r="AH15">
            <v>12</v>
          </cell>
          <cell r="AT15">
            <v>0</v>
          </cell>
        </row>
        <row r="18">
          <cell r="AH18">
            <v>1</v>
          </cell>
          <cell r="AT18">
            <v>0</v>
          </cell>
        </row>
        <row r="21">
          <cell r="AH21">
            <v>2236</v>
          </cell>
          <cell r="AT21">
            <v>0</v>
          </cell>
        </row>
        <row r="24">
          <cell r="AH24">
            <v>15</v>
          </cell>
          <cell r="AT24">
            <v>0</v>
          </cell>
        </row>
        <row r="27">
          <cell r="AH27">
            <v>0</v>
          </cell>
          <cell r="AT27">
            <v>0</v>
          </cell>
        </row>
        <row r="30">
          <cell r="AH30">
            <v>708</v>
          </cell>
          <cell r="AT30">
            <v>0</v>
          </cell>
        </row>
        <row r="33">
          <cell r="AH33">
            <v>98</v>
          </cell>
          <cell r="AT33">
            <v>0</v>
          </cell>
        </row>
        <row r="36">
          <cell r="V36">
            <v>24</v>
          </cell>
        </row>
        <row r="37">
          <cell r="AH37">
            <v>3057</v>
          </cell>
          <cell r="AT37">
            <v>0</v>
          </cell>
        </row>
        <row r="39">
          <cell r="V39">
            <v>2</v>
          </cell>
        </row>
        <row r="40">
          <cell r="AH40">
            <v>0</v>
          </cell>
        </row>
        <row r="42">
          <cell r="V42">
            <v>4472</v>
          </cell>
        </row>
        <row r="43">
          <cell r="AH43">
            <v>0</v>
          </cell>
        </row>
        <row r="45">
          <cell r="V45">
            <v>31</v>
          </cell>
        </row>
        <row r="46">
          <cell r="AH46">
            <v>0</v>
          </cell>
        </row>
        <row r="48">
          <cell r="V48">
            <v>0</v>
          </cell>
        </row>
        <row r="49">
          <cell r="AH49">
            <v>0</v>
          </cell>
        </row>
        <row r="51">
          <cell r="V51">
            <v>1416</v>
          </cell>
        </row>
        <row r="52">
          <cell r="AH52">
            <v>0</v>
          </cell>
        </row>
        <row r="54">
          <cell r="V54">
            <v>194</v>
          </cell>
        </row>
        <row r="55">
          <cell r="AH55">
            <v>0</v>
          </cell>
        </row>
        <row r="58">
          <cell r="V58">
            <v>6113</v>
          </cell>
          <cell r="AH58">
            <v>0</v>
          </cell>
        </row>
        <row r="62">
          <cell r="AH62">
            <v>0</v>
          </cell>
        </row>
      </sheetData>
      <sheetData sheetId="20">
        <row r="15">
          <cell r="U15">
            <v>151164</v>
          </cell>
        </row>
        <row r="16">
          <cell r="U16">
            <v>0</v>
          </cell>
        </row>
        <row r="20">
          <cell r="J20">
            <v>7608</v>
          </cell>
        </row>
        <row r="21">
          <cell r="J21">
            <v>7608</v>
          </cell>
        </row>
        <row r="22">
          <cell r="J22">
            <v>0</v>
          </cell>
          <cell r="U22">
            <v>18952</v>
          </cell>
        </row>
        <row r="23">
          <cell r="U23">
            <v>0</v>
          </cell>
        </row>
        <row r="24">
          <cell r="U24">
            <v>989</v>
          </cell>
        </row>
        <row r="27">
          <cell r="U27">
            <v>17413</v>
          </cell>
        </row>
        <row r="28">
          <cell r="U28">
            <v>550</v>
          </cell>
        </row>
        <row r="29">
          <cell r="U29">
            <v>269102</v>
          </cell>
        </row>
        <row r="30">
          <cell r="U30">
            <v>11173</v>
          </cell>
        </row>
        <row r="31">
          <cell r="U31">
            <v>6923</v>
          </cell>
        </row>
        <row r="32">
          <cell r="J32">
            <v>13144</v>
          </cell>
        </row>
        <row r="33">
          <cell r="J33">
            <v>13144</v>
          </cell>
        </row>
        <row r="34">
          <cell r="J34">
            <v>0</v>
          </cell>
          <cell r="U34">
            <v>105398</v>
          </cell>
        </row>
        <row r="35">
          <cell r="U35">
            <v>0</v>
          </cell>
        </row>
        <row r="36">
          <cell r="U36">
            <v>145608</v>
          </cell>
        </row>
        <row r="37">
          <cell r="U37">
            <v>0</v>
          </cell>
        </row>
        <row r="39">
          <cell r="U39">
            <v>11173</v>
          </cell>
        </row>
        <row r="40">
          <cell r="U40">
            <v>7912</v>
          </cell>
        </row>
        <row r="44">
          <cell r="J44">
            <v>97672</v>
          </cell>
        </row>
        <row r="45">
          <cell r="J45">
            <v>97672</v>
          </cell>
          <cell r="U45">
            <v>145608</v>
          </cell>
        </row>
        <row r="46">
          <cell r="J46">
            <v>0</v>
          </cell>
        </row>
        <row r="52">
          <cell r="J52">
            <v>32740</v>
          </cell>
        </row>
        <row r="53">
          <cell r="J53">
            <v>32740</v>
          </cell>
        </row>
        <row r="54">
          <cell r="J54">
            <v>0</v>
          </cell>
        </row>
      </sheetData>
      <sheetData sheetId="21" refreshError="1"/>
      <sheetData sheetId="22" refreshError="1"/>
      <sheetData sheetId="23">
        <row r="46">
          <cell r="W46">
            <v>2291</v>
          </cell>
        </row>
        <row r="49">
          <cell r="W49">
            <v>920</v>
          </cell>
        </row>
      </sheetData>
      <sheetData sheetId="24">
        <row r="15">
          <cell r="J15">
            <v>3916</v>
          </cell>
        </row>
        <row r="16">
          <cell r="J16">
            <v>3916</v>
          </cell>
          <cell r="W16">
            <v>45177</v>
          </cell>
        </row>
        <row r="21">
          <cell r="W21">
            <v>10138</v>
          </cell>
        </row>
        <row r="22">
          <cell r="W22">
            <v>10138</v>
          </cell>
        </row>
        <row r="23">
          <cell r="W23">
            <v>0</v>
          </cell>
        </row>
        <row r="24">
          <cell r="W24">
            <v>0</v>
          </cell>
        </row>
        <row r="25">
          <cell r="W25">
            <v>0</v>
          </cell>
        </row>
        <row r="26">
          <cell r="J26">
            <v>123361</v>
          </cell>
          <cell r="W26">
            <v>0</v>
          </cell>
        </row>
        <row r="27">
          <cell r="J27">
            <v>123361</v>
          </cell>
          <cell r="W27">
            <v>128</v>
          </cell>
        </row>
        <row r="28">
          <cell r="J28">
            <v>0</v>
          </cell>
          <cell r="W28">
            <v>128</v>
          </cell>
        </row>
        <row r="29">
          <cell r="J29">
            <v>0</v>
          </cell>
          <cell r="W29">
            <v>1490</v>
          </cell>
        </row>
        <row r="30">
          <cell r="J30">
            <v>0</v>
          </cell>
          <cell r="W30">
            <v>1490</v>
          </cell>
        </row>
        <row r="31">
          <cell r="J31">
            <v>0</v>
          </cell>
          <cell r="W31">
            <v>0</v>
          </cell>
        </row>
        <row r="32">
          <cell r="J32">
            <v>0</v>
          </cell>
          <cell r="W32">
            <v>0</v>
          </cell>
        </row>
        <row r="33">
          <cell r="J33">
            <v>0</v>
          </cell>
          <cell r="W33">
            <v>8520</v>
          </cell>
        </row>
        <row r="34">
          <cell r="J34">
            <v>0</v>
          </cell>
          <cell r="W34">
            <v>8520</v>
          </cell>
        </row>
        <row r="35">
          <cell r="J35">
            <v>0</v>
          </cell>
          <cell r="W35">
            <v>0</v>
          </cell>
        </row>
        <row r="36">
          <cell r="J36">
            <v>0</v>
          </cell>
        </row>
        <row r="37">
          <cell r="J37">
            <v>0</v>
          </cell>
        </row>
        <row r="38">
          <cell r="J38">
            <v>0</v>
          </cell>
          <cell r="W38">
            <v>0</v>
          </cell>
        </row>
        <row r="39">
          <cell r="J39">
            <v>0</v>
          </cell>
        </row>
        <row r="40">
          <cell r="J40">
            <v>0</v>
          </cell>
          <cell r="W40">
            <v>0</v>
          </cell>
        </row>
        <row r="41">
          <cell r="J41">
            <v>0</v>
          </cell>
        </row>
        <row r="42">
          <cell r="J42">
            <v>468</v>
          </cell>
          <cell r="W42">
            <v>0</v>
          </cell>
        </row>
        <row r="43">
          <cell r="J43">
            <v>468</v>
          </cell>
          <cell r="W43">
            <v>45177</v>
          </cell>
        </row>
        <row r="44">
          <cell r="J44">
            <v>0</v>
          </cell>
        </row>
        <row r="45">
          <cell r="J45">
            <v>0</v>
          </cell>
          <cell r="W45">
            <v>0</v>
          </cell>
        </row>
        <row r="46">
          <cell r="J46">
            <v>0</v>
          </cell>
          <cell r="W46">
            <v>45177</v>
          </cell>
        </row>
        <row r="47">
          <cell r="J47">
            <v>0</v>
          </cell>
        </row>
        <row r="48">
          <cell r="J48">
            <v>0</v>
          </cell>
          <cell r="W48">
            <v>0</v>
          </cell>
        </row>
        <row r="49">
          <cell r="J49">
            <v>0</v>
          </cell>
          <cell r="W49">
            <v>0</v>
          </cell>
        </row>
        <row r="50">
          <cell r="J50">
            <v>0</v>
          </cell>
          <cell r="W50">
            <v>0</v>
          </cell>
        </row>
        <row r="51">
          <cell r="J51">
            <v>0</v>
          </cell>
        </row>
        <row r="52">
          <cell r="J52">
            <v>122811</v>
          </cell>
        </row>
        <row r="53">
          <cell r="J53">
            <v>122811</v>
          </cell>
        </row>
        <row r="54">
          <cell r="J54">
            <v>0</v>
          </cell>
        </row>
        <row r="55">
          <cell r="J55">
            <v>0</v>
          </cell>
        </row>
        <row r="56">
          <cell r="J56">
            <v>0</v>
          </cell>
        </row>
        <row r="57">
          <cell r="J57">
            <v>0</v>
          </cell>
        </row>
        <row r="58">
          <cell r="J58">
            <v>0</v>
          </cell>
        </row>
        <row r="59">
          <cell r="J59">
            <v>0</v>
          </cell>
        </row>
        <row r="61">
          <cell r="W61">
            <v>0</v>
          </cell>
        </row>
        <row r="62">
          <cell r="W62">
            <v>0</v>
          </cell>
        </row>
        <row r="63">
          <cell r="W63">
            <v>0</v>
          </cell>
        </row>
        <row r="64">
          <cell r="W64">
            <v>0</v>
          </cell>
        </row>
        <row r="65">
          <cell r="W65">
            <v>0</v>
          </cell>
        </row>
        <row r="66">
          <cell r="J66">
            <v>0</v>
          </cell>
          <cell r="W66">
            <v>0</v>
          </cell>
        </row>
        <row r="67">
          <cell r="J67">
            <v>0</v>
          </cell>
          <cell r="W67">
            <v>0</v>
          </cell>
        </row>
        <row r="68">
          <cell r="W68">
            <v>0</v>
          </cell>
        </row>
        <row r="69">
          <cell r="W69">
            <v>0</v>
          </cell>
        </row>
        <row r="70">
          <cell r="W70">
            <v>0</v>
          </cell>
        </row>
        <row r="71">
          <cell r="J71">
            <v>0</v>
          </cell>
          <cell r="W71">
            <v>0</v>
          </cell>
        </row>
        <row r="72">
          <cell r="W72">
            <v>0</v>
          </cell>
        </row>
        <row r="73">
          <cell r="W73">
            <v>0</v>
          </cell>
        </row>
        <row r="74">
          <cell r="J74">
            <v>0</v>
          </cell>
          <cell r="W74">
            <v>0</v>
          </cell>
        </row>
        <row r="75">
          <cell r="W75">
            <v>0</v>
          </cell>
        </row>
        <row r="76">
          <cell r="W76">
            <v>0</v>
          </cell>
        </row>
      </sheetData>
      <sheetData sheetId="25" refreshError="1"/>
      <sheetData sheetId="26" refreshError="1"/>
      <sheetData sheetId="27" refreshError="1"/>
      <sheetData sheetId="28">
        <row r="15">
          <cell r="J15">
            <v>164347</v>
          </cell>
        </row>
        <row r="22">
          <cell r="J22">
            <v>8520</v>
          </cell>
        </row>
        <row r="29">
          <cell r="J29">
            <v>18952</v>
          </cell>
        </row>
        <row r="35">
          <cell r="J35">
            <v>468</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要求定義書"/>
      <sheetName val="要件定義書"/>
      <sheetName val="客先最終確認レイアウト"/>
      <sheetName val="単体テスト仕様書"/>
      <sheetName val="受入仕様書"/>
      <sheetName val="出荷前確認票"/>
      <sheetName val="製品検査票"/>
      <sheetName val="製品検査票_BK"/>
      <sheetName val="工数見積書"/>
      <sheetName val="コード"/>
      <sheetName val="予要求書_PeacsⅢ標準版"/>
      <sheetName val="予要求書_ユーザ提示版"/>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ow r="1">
          <cell r="A1" t="str">
            <v>開発分類</v>
          </cell>
          <cell r="B1" t="str">
            <v>依頼元</v>
          </cell>
        </row>
        <row r="2">
          <cell r="A2" t="str">
            <v>1 受注開発</v>
          </cell>
          <cell r="B2" t="str">
            <v>Z2　4G</v>
          </cell>
        </row>
        <row r="3">
          <cell r="A3" t="str">
            <v>2 商品開発</v>
          </cell>
        </row>
        <row r="4">
          <cell r="A4" t="str">
            <v>3 受注保守</v>
          </cell>
        </row>
        <row r="5">
          <cell r="A5" t="str">
            <v>4 改善保守</v>
          </cell>
        </row>
      </sheetData>
      <sheetData sheetId="10" refreshError="1"/>
      <sheetData sheetId="1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体制表"/>
      <sheetName val="要員計画"/>
    </sheetNames>
    <sheetDataSet>
      <sheetData sheetId="0"/>
      <sheetData sheetId="1">
        <row r="2">
          <cell r="A2" t="str">
            <v>A</v>
          </cell>
        </row>
        <row r="3">
          <cell r="A3" t="str">
            <v>B</v>
          </cell>
        </row>
        <row r="4">
          <cell r="A4" t="str">
            <v>C</v>
          </cell>
        </row>
        <row r="5">
          <cell r="A5" t="str">
            <v>D</v>
          </cell>
        </row>
        <row r="6">
          <cell r="A6" t="str">
            <v>E</v>
          </cell>
        </row>
        <row r="7">
          <cell r="A7" t="str">
            <v>F</v>
          </cell>
        </row>
        <row r="8">
          <cell r="A8" t="str">
            <v>G</v>
          </cell>
        </row>
      </sheetData>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23"/>
  <sheetViews>
    <sheetView view="pageBreakPreview" zoomScale="60" zoomScaleNormal="82" workbookViewId="0">
      <pane ySplit="2" topLeftCell="A3" activePane="bottomLeft" state="frozen"/>
      <selection activeCell="J34" sqref="J34"/>
      <selection pane="bottomLeft" activeCell="J34" sqref="J34"/>
    </sheetView>
  </sheetViews>
  <sheetFormatPr defaultRowHeight="14.25"/>
  <cols>
    <col min="1" max="1" width="2.75" customWidth="1"/>
    <col min="2" max="2" width="1.625" customWidth="1"/>
    <col min="3" max="3" width="2.875" customWidth="1"/>
    <col min="4" max="4" width="1.625" customWidth="1"/>
    <col min="5" max="5" width="3" customWidth="1"/>
    <col min="6" max="6" width="1.625" customWidth="1"/>
    <col min="7" max="7" width="2.75" customWidth="1"/>
    <col min="8" max="8" width="1.625" customWidth="1"/>
    <col min="9" max="9" width="2.875" customWidth="1"/>
    <col min="10" max="10" width="37.25" customWidth="1"/>
    <col min="11" max="11" width="9.25" customWidth="1"/>
    <col min="12" max="13" width="9.125" customWidth="1"/>
    <col min="14" max="14" width="58.5" customWidth="1"/>
    <col min="15" max="15" width="10.625" customWidth="1"/>
    <col min="16" max="16" width="17" customWidth="1"/>
    <col min="17" max="17" width="7.875" customWidth="1"/>
    <col min="18" max="18" width="8.75" customWidth="1"/>
  </cols>
  <sheetData>
    <row r="1" spans="1:18" ht="18" customHeight="1">
      <c r="A1" s="32" t="s">
        <v>126</v>
      </c>
      <c r="B1" s="33"/>
      <c r="C1" s="33"/>
      <c r="D1" s="33"/>
      <c r="E1" s="33"/>
      <c r="F1" s="33"/>
      <c r="G1" s="34"/>
      <c r="H1" s="33"/>
      <c r="I1" s="34"/>
      <c r="J1" s="36"/>
      <c r="K1" s="37"/>
      <c r="L1" s="37"/>
      <c r="M1" s="37"/>
      <c r="N1" s="38"/>
      <c r="O1" s="37"/>
      <c r="P1" s="38"/>
      <c r="Q1" s="106" t="s">
        <v>73</v>
      </c>
      <c r="R1" s="104"/>
    </row>
    <row r="2" spans="1:18">
      <c r="A2" s="39" t="s">
        <v>0</v>
      </c>
      <c r="B2" s="40"/>
      <c r="C2" s="40" t="s">
        <v>1</v>
      </c>
      <c r="D2" s="40"/>
      <c r="E2" s="40" t="s">
        <v>2</v>
      </c>
      <c r="F2" s="41"/>
      <c r="G2" s="42" t="s">
        <v>4</v>
      </c>
      <c r="H2" s="40"/>
      <c r="I2" s="42" t="s">
        <v>74</v>
      </c>
      <c r="J2" s="42" t="s">
        <v>75</v>
      </c>
      <c r="K2" s="43" t="s">
        <v>81</v>
      </c>
      <c r="L2" s="43" t="s">
        <v>82</v>
      </c>
      <c r="M2" s="43" t="s">
        <v>76</v>
      </c>
      <c r="N2" s="42" t="s">
        <v>77</v>
      </c>
      <c r="O2" s="43" t="s">
        <v>5</v>
      </c>
      <c r="P2" s="44" t="s">
        <v>95</v>
      </c>
      <c r="Q2" s="43" t="s">
        <v>79</v>
      </c>
      <c r="R2" s="44" t="s">
        <v>80</v>
      </c>
    </row>
    <row r="3" spans="1:18" ht="18" customHeight="1">
      <c r="A3" s="24">
        <v>1</v>
      </c>
      <c r="B3" s="25" t="s">
        <v>127</v>
      </c>
      <c r="C3" s="25"/>
      <c r="D3" s="25"/>
      <c r="E3" s="26"/>
      <c r="F3" s="25"/>
      <c r="G3" s="26"/>
      <c r="H3" s="25"/>
      <c r="I3" s="26"/>
      <c r="J3" s="26"/>
      <c r="K3" s="27">
        <f>IF(C3="",SUMIFS($K4:$K$746,$A4:$A$746,A3,$E4:$E$746,""),IF(E3="",SUMIFS($K4:$K$746,$A4:$A$746,A3,$C4:$C$746,C3,$G4:$G$746,""),IF(G3="",SUMIFS($K4:$K$746,$A4:$A$746,A3,$C4:$C$746,C3,$E4:$E$746,E3),0)))</f>
        <v>229850</v>
      </c>
      <c r="L3" s="27">
        <f>IF(C3="",SUMIFS($L4:$L$746,$A4:$A$746,A3,$E4:$E$746,""),IF(E3="",SUMIFS($L4:$L$746,$A4:$A$746,A3,$C4:$C$746,C3,$G4:$G$746,""),IF(G3="",SUMIFS($L4:$L$746,$A4:$A$746,A3,$C4:$C$746,C3,$E4:$E$746,E3),0)))</f>
        <v>228200</v>
      </c>
      <c r="M3" s="27">
        <f t="shared" ref="M3:M5" si="0">K3-L3</f>
        <v>1650</v>
      </c>
      <c r="N3" s="28"/>
      <c r="O3" s="29"/>
      <c r="P3" s="30"/>
      <c r="Q3" s="27">
        <f>IF(C3="",SUMIFS($Q$3:$Q$746,$A$3:$A$746,A3,$C$3:$C$746,"&gt;0",$E$3:$E$746,""),IF(E3="",SUMIFS($Q$3:$Q$746,$A$3:$A$746,A3,$C$3:$C$746,C3,$E$3:$E$746,"&gt;0",$G$3:$G$746,""),IF(G3="",SUMIFS($Q$3:$Q$746,$A$3:$A$746,A3,$C$3:$C$746,C3,$E$3:$E$746,E3,$G$3:$G$746,"&gt;0"))))</f>
        <v>0</v>
      </c>
      <c r="R3" s="27"/>
    </row>
    <row r="4" spans="1:18" ht="18" customHeight="1">
      <c r="A4" s="2">
        <v>1</v>
      </c>
      <c r="B4" s="3" t="s">
        <v>127</v>
      </c>
      <c r="C4" s="4">
        <v>1</v>
      </c>
      <c r="D4" s="4" t="s">
        <v>127</v>
      </c>
      <c r="E4" s="5"/>
      <c r="F4" s="4"/>
      <c r="G4" s="5"/>
      <c r="H4" s="4"/>
      <c r="I4" s="5"/>
      <c r="J4" s="5"/>
      <c r="K4" s="6">
        <f>IF(C4="",SUMIFS($K5:$K$746,$A5:$A$746,A4,$E5:$E$746,""),IF(E4="",SUMIFS($K5:$K$746,$A5:$A$746,A4,$C5:$C$746,C4,$G5:$G$746,""),IF(G4="",SUMIFS($K5:$K$746,$A5:$A$746,A4,$C5:$C$746,C4,$E5:$E$746,E4),0)))</f>
        <v>229850</v>
      </c>
      <c r="L4" s="6">
        <f>IF(C4="",SUMIFS($L5:$L$746,$A5:$A$746,A4,$E5:$E$746,""),IF(E4="",SUMIFS($L5:$L$746,$A5:$A$746,A4,$C5:$C$746,C4,$G5:$G$746,""),IF(G4="",SUMIFS($L5:$L$746,$A5:$A$746,A4,$C5:$C$746,C4,$E5:$E$746,E4),0)))</f>
        <v>228200</v>
      </c>
      <c r="M4" s="6">
        <f t="shared" si="0"/>
        <v>1650</v>
      </c>
      <c r="N4" s="7"/>
      <c r="O4" s="8"/>
      <c r="P4" s="9"/>
      <c r="Q4" s="6">
        <f>IF(C4="",SUMIFS($Q$3:$Q$746,$A$3:$A$746,A4,$C$3:$C$746,"&gt;0",$E$3:$E$746,""),IF(E4="",SUMIFS($Q$3:$Q$746,$A$3:$A$746,A4,$C$3:$C$746,C4,$E$3:$E$746,"&gt;0",$G$3:$G$746,""),IF(G4="",SUMIFS($Q$3:$Q$746,$A$3:$A$746,A4,$C$3:$C$746,C4,$E$3:$E$746,E4,$G$3:$G$746,"&gt;0"))))</f>
        <v>0</v>
      </c>
      <c r="R4" s="6"/>
    </row>
    <row r="5" spans="1:18" ht="18" customHeight="1">
      <c r="A5" s="2">
        <v>1</v>
      </c>
      <c r="B5" s="3" t="s">
        <v>127</v>
      </c>
      <c r="C5" s="10">
        <v>1</v>
      </c>
      <c r="D5" s="3" t="s">
        <v>127</v>
      </c>
      <c r="E5" s="11">
        <v>1</v>
      </c>
      <c r="F5" s="12" t="s">
        <v>128</v>
      </c>
      <c r="G5" s="11"/>
      <c r="H5" s="12"/>
      <c r="I5" s="11"/>
      <c r="J5" s="11"/>
      <c r="K5" s="13">
        <f>IF(C5="",SUMIFS($K6:$K$746,$A6:$A$746,A5,$E6:$E$746,""),IF(E5="",SUMIFS($K6:$K$746,$A6:$A$746,A5,$C6:$C$746,C5,$G6:$G$746,""),IF(G5="",SUMIFS($K6:$K$746,$A6:$A$746,A5,$C6:$C$746,C5,$E6:$E$746,E5),0)))</f>
        <v>229850</v>
      </c>
      <c r="L5" s="13">
        <f>IF(C5="",SUMIFS($L6:$L$746,$A6:$A$746,A5,$E6:$E$746,""),IF(E5="",SUMIFS($L6:$L$746,$A6:$A$746,A5,$C6:$C$746,C5,$G6:$G$746,""),IF(G5="",SUMIFS($L6:$L$746,$A6:$A$746,A5,$C6:$C$746,C5,$E6:$E$746,E5),0)))</f>
        <v>228200</v>
      </c>
      <c r="M5" s="13">
        <f t="shared" si="0"/>
        <v>1650</v>
      </c>
      <c r="N5" s="14"/>
      <c r="O5" s="15"/>
      <c r="P5" s="16"/>
      <c r="Q5" s="13">
        <f>IF(C5="",SUMIFS($Q$3:$Q$746,$A$3:$A$746,A5,$C$3:$C$746,"&gt;0",$E$3:$E$746,""),IF(E5="",SUMIFS($Q$3:$Q$746,$A$3:$A$746,A5,$C$3:$C$746,C5,$E$3:$E$746,"&gt;0",$G$3:$G$746,""),IF(G5="",SUMIFS($Q$3:$Q$746,$A$3:$A$746,A5,$C$3:$C$746,C5,$E$3:$E$746,E5,$G$3:$G$746,"&gt;0"))))</f>
        <v>0</v>
      </c>
      <c r="R5" s="13" t="s">
        <v>114</v>
      </c>
    </row>
    <row r="6" spans="1:18" ht="18" customHeight="1">
      <c r="A6" s="17">
        <v>1</v>
      </c>
      <c r="B6" s="18" t="s">
        <v>127</v>
      </c>
      <c r="C6" s="18">
        <v>1</v>
      </c>
      <c r="D6" s="18" t="s">
        <v>127</v>
      </c>
      <c r="E6" s="18">
        <v>1</v>
      </c>
      <c r="F6" s="18" t="s">
        <v>128</v>
      </c>
      <c r="G6" s="20">
        <v>1</v>
      </c>
      <c r="H6" s="20" t="s">
        <v>115</v>
      </c>
      <c r="I6" s="20"/>
      <c r="J6" s="19"/>
      <c r="K6" s="21"/>
      <c r="L6" s="21"/>
      <c r="M6" s="21"/>
      <c r="N6" s="19"/>
      <c r="O6" s="21"/>
      <c r="P6" s="22"/>
      <c r="Q6" s="21"/>
      <c r="R6" s="31" t="s">
        <v>62</v>
      </c>
    </row>
    <row r="7" spans="1:18" ht="18" customHeight="1">
      <c r="A7" s="17">
        <v>1</v>
      </c>
      <c r="B7" s="18" t="s">
        <v>127</v>
      </c>
      <c r="C7" s="18">
        <v>1</v>
      </c>
      <c r="D7" s="18" t="s">
        <v>127</v>
      </c>
      <c r="E7" s="18">
        <v>1</v>
      </c>
      <c r="F7" s="18" t="s">
        <v>128</v>
      </c>
      <c r="G7" s="18">
        <v>1</v>
      </c>
      <c r="H7" s="18" t="s">
        <v>115</v>
      </c>
      <c r="I7" s="20">
        <v>1</v>
      </c>
      <c r="J7" s="19" t="s">
        <v>129</v>
      </c>
      <c r="K7" s="21">
        <v>229250</v>
      </c>
      <c r="L7" s="21">
        <v>227600</v>
      </c>
      <c r="M7" s="21">
        <f t="shared" ref="M7" si="1">K7-L7</f>
        <v>1650</v>
      </c>
      <c r="N7" s="19" t="s">
        <v>130</v>
      </c>
      <c r="O7" s="21"/>
      <c r="P7" s="22"/>
      <c r="Q7" s="21"/>
      <c r="R7" s="31" t="s">
        <v>62</v>
      </c>
    </row>
    <row r="8" spans="1:18" ht="18" customHeight="1">
      <c r="A8" s="17">
        <v>1</v>
      </c>
      <c r="B8" s="18" t="s">
        <v>127</v>
      </c>
      <c r="C8" s="18">
        <v>1</v>
      </c>
      <c r="D8" s="18" t="s">
        <v>127</v>
      </c>
      <c r="E8" s="18">
        <v>1</v>
      </c>
      <c r="F8" s="18" t="s">
        <v>128</v>
      </c>
      <c r="G8" s="18">
        <v>1</v>
      </c>
      <c r="H8" s="18" t="s">
        <v>115</v>
      </c>
      <c r="I8" s="18">
        <v>1</v>
      </c>
      <c r="J8" s="23" t="s">
        <v>129</v>
      </c>
      <c r="K8" s="21"/>
      <c r="L8" s="21"/>
      <c r="M8" s="21"/>
      <c r="N8" s="19" t="s">
        <v>131</v>
      </c>
      <c r="O8" s="21">
        <v>229250560</v>
      </c>
      <c r="P8" s="22"/>
      <c r="Q8" s="21"/>
      <c r="R8" s="31" t="s">
        <v>62</v>
      </c>
    </row>
    <row r="9" spans="1:18" ht="18" customHeight="1">
      <c r="A9" s="17">
        <v>1</v>
      </c>
      <c r="B9" s="18" t="s">
        <v>127</v>
      </c>
      <c r="C9" s="18">
        <v>1</v>
      </c>
      <c r="D9" s="18" t="s">
        <v>127</v>
      </c>
      <c r="E9" s="18">
        <v>1</v>
      </c>
      <c r="F9" s="18" t="s">
        <v>128</v>
      </c>
      <c r="G9" s="20">
        <v>2</v>
      </c>
      <c r="H9" s="20" t="s">
        <v>96</v>
      </c>
      <c r="I9" s="20"/>
      <c r="J9" s="19"/>
      <c r="K9" s="21"/>
      <c r="L9" s="21"/>
      <c r="M9" s="21"/>
      <c r="N9" s="19"/>
      <c r="O9" s="21"/>
      <c r="P9" s="22"/>
      <c r="Q9" s="21"/>
      <c r="R9" s="31" t="s">
        <v>62</v>
      </c>
    </row>
    <row r="10" spans="1:18" ht="18" customHeight="1">
      <c r="A10" s="17">
        <v>1</v>
      </c>
      <c r="B10" s="18" t="s">
        <v>127</v>
      </c>
      <c r="C10" s="18">
        <v>1</v>
      </c>
      <c r="D10" s="18" t="s">
        <v>127</v>
      </c>
      <c r="E10" s="18">
        <v>1</v>
      </c>
      <c r="F10" s="18" t="s">
        <v>128</v>
      </c>
      <c r="G10" s="18">
        <v>2</v>
      </c>
      <c r="H10" s="18" t="s">
        <v>96</v>
      </c>
      <c r="I10" s="20">
        <v>1</v>
      </c>
      <c r="J10" s="19" t="s">
        <v>101</v>
      </c>
      <c r="K10" s="21">
        <v>600</v>
      </c>
      <c r="L10" s="21">
        <v>600</v>
      </c>
      <c r="M10" s="21">
        <f t="shared" ref="M10" si="2">K10-L10</f>
        <v>0</v>
      </c>
      <c r="N10" s="19" t="s">
        <v>132</v>
      </c>
      <c r="O10" s="21"/>
      <c r="P10" s="22"/>
      <c r="Q10" s="21"/>
      <c r="R10" s="31" t="s">
        <v>62</v>
      </c>
    </row>
    <row r="11" spans="1:18" ht="18" customHeight="1">
      <c r="A11" s="17">
        <v>1</v>
      </c>
      <c r="B11" s="18" t="s">
        <v>127</v>
      </c>
      <c r="C11" s="18">
        <v>1</v>
      </c>
      <c r="D11" s="18" t="s">
        <v>127</v>
      </c>
      <c r="E11" s="18">
        <v>1</v>
      </c>
      <c r="F11" s="18" t="s">
        <v>128</v>
      </c>
      <c r="G11" s="18">
        <v>2</v>
      </c>
      <c r="H11" s="18" t="s">
        <v>96</v>
      </c>
      <c r="I11" s="18">
        <v>1</v>
      </c>
      <c r="J11" s="23" t="s">
        <v>101</v>
      </c>
      <c r="K11" s="21"/>
      <c r="L11" s="21"/>
      <c r="M11" s="21"/>
      <c r="N11" s="19" t="s">
        <v>133</v>
      </c>
      <c r="O11" s="21">
        <v>600000</v>
      </c>
      <c r="P11" s="22"/>
      <c r="Q11" s="21"/>
      <c r="R11" s="31" t="s">
        <v>62</v>
      </c>
    </row>
    <row r="12" spans="1:18" ht="18" customHeight="1">
      <c r="A12" s="24">
        <v>2</v>
      </c>
      <c r="B12" s="25" t="s">
        <v>97</v>
      </c>
      <c r="C12" s="25"/>
      <c r="D12" s="25"/>
      <c r="E12" s="26"/>
      <c r="F12" s="25"/>
      <c r="G12" s="26"/>
      <c r="H12" s="25"/>
      <c r="I12" s="26"/>
      <c r="J12" s="26"/>
      <c r="K12" s="27">
        <f>IF(C12="",SUMIFS($K13:$K$746,$A13:$A$746,A12,$E13:$E$746,""),IF(E12="",SUMIFS($K13:$K$746,$A13:$A$746,A12,$C13:$C$746,C12,$G13:$G$746,""),IF(G12="",SUMIFS($K13:$K$746,$A13:$A$746,A12,$C13:$C$746,C12,$E13:$E$746,E12),0)))</f>
        <v>2244</v>
      </c>
      <c r="L12" s="27">
        <f>IF(C12="",SUMIFS($L13:$L$746,$A13:$A$746,A12,$E13:$E$746,""),IF(E12="",SUMIFS($L13:$L$746,$A13:$A$746,A12,$C13:$C$746,C12,$G13:$G$746,""),IF(G12="",SUMIFS($L13:$L$746,$A13:$A$746,A12,$C13:$C$746,C12,$E13:$E$746,E12),0)))</f>
        <v>2450</v>
      </c>
      <c r="M12" s="27">
        <f t="shared" ref="M12:M14" si="3">K12-L12</f>
        <v>-206</v>
      </c>
      <c r="N12" s="28"/>
      <c r="O12" s="29"/>
      <c r="P12" s="30"/>
      <c r="Q12" s="27">
        <f>IF(C12="",SUMIFS($Q$3:$Q$746,$A$3:$A$746,A12,$C$3:$C$746,"&gt;0",$E$3:$E$746,""),IF(E12="",SUMIFS($Q$3:$Q$746,$A$3:$A$746,A12,$C$3:$C$746,C12,$E$3:$E$746,"&gt;0",$G$3:$G$746,""),IF(G12="",SUMIFS($Q$3:$Q$746,$A$3:$A$746,A12,$C$3:$C$746,C12,$E$3:$E$746,E12,$G$3:$G$746,"&gt;0"))))</f>
        <v>2244</v>
      </c>
      <c r="R12" s="27"/>
    </row>
    <row r="13" spans="1:18" ht="18" customHeight="1">
      <c r="A13" s="2">
        <v>2</v>
      </c>
      <c r="B13" s="3" t="s">
        <v>97</v>
      </c>
      <c r="C13" s="4">
        <v>1</v>
      </c>
      <c r="D13" s="4" t="s">
        <v>98</v>
      </c>
      <c r="E13" s="5"/>
      <c r="F13" s="4"/>
      <c r="G13" s="5"/>
      <c r="H13" s="4"/>
      <c r="I13" s="5"/>
      <c r="J13" s="5"/>
      <c r="K13" s="6">
        <f>IF(C13="",SUMIFS($K14:$K$746,$A14:$A$746,A13,$E14:$E$746,""),IF(E13="",SUMIFS($K14:$K$746,$A14:$A$746,A13,$C14:$C$746,C13,$G14:$G$746,""),IF(G13="",SUMIFS($K14:$K$746,$A14:$A$746,A13,$C14:$C$746,C13,$E14:$E$746,E13),0)))</f>
        <v>2244</v>
      </c>
      <c r="L13" s="6">
        <f>IF(C13="",SUMIFS($L14:$L$746,$A14:$A$746,A13,$E14:$E$746,""),IF(E13="",SUMIFS($L14:$L$746,$A14:$A$746,A13,$C14:$C$746,C13,$G14:$G$746,""),IF(G13="",SUMIFS($L14:$L$746,$A14:$A$746,A13,$C14:$C$746,C13,$E14:$E$746,E13),0)))</f>
        <v>2450</v>
      </c>
      <c r="M13" s="6">
        <f t="shared" si="3"/>
        <v>-206</v>
      </c>
      <c r="N13" s="7"/>
      <c r="O13" s="8"/>
      <c r="P13" s="9"/>
      <c r="Q13" s="6">
        <f>IF(C13="",SUMIFS($Q$3:$Q$746,$A$3:$A$746,A13,$C$3:$C$746,"&gt;0",$E$3:$E$746,""),IF(E13="",SUMIFS($Q$3:$Q$746,$A$3:$A$746,A13,$C$3:$C$746,C13,$E$3:$E$746,"&gt;0",$G$3:$G$746,""),IF(G13="",SUMIFS($Q$3:$Q$746,$A$3:$A$746,A13,$C$3:$C$746,C13,$E$3:$E$746,E13,$G$3:$G$746,"&gt;0"))))</f>
        <v>2244</v>
      </c>
      <c r="R13" s="6"/>
    </row>
    <row r="14" spans="1:18" ht="18" customHeight="1">
      <c r="A14" s="2">
        <v>2</v>
      </c>
      <c r="B14" s="3" t="s">
        <v>97</v>
      </c>
      <c r="C14" s="10">
        <v>1</v>
      </c>
      <c r="D14" s="3" t="s">
        <v>98</v>
      </c>
      <c r="E14" s="11">
        <v>1</v>
      </c>
      <c r="F14" s="12" t="s">
        <v>134</v>
      </c>
      <c r="G14" s="11"/>
      <c r="H14" s="12"/>
      <c r="I14" s="11"/>
      <c r="J14" s="11"/>
      <c r="K14" s="13">
        <f>IF(C14="",SUMIFS($K15:$K$746,$A15:$A$746,A14,$E15:$E$746,""),IF(E14="",SUMIFS($K15:$K$746,$A15:$A$746,A14,$C15:$C$746,C14,$G15:$G$746,""),IF(G14="",SUMIFS($K15:$K$746,$A15:$A$746,A14,$C15:$C$746,C14,$E15:$E$746,E14),0)))</f>
        <v>2244</v>
      </c>
      <c r="L14" s="13">
        <f>IF(C14="",SUMIFS($L15:$L$746,$A15:$A$746,A14,$E15:$E$746,""),IF(E14="",SUMIFS($L15:$L$746,$A15:$A$746,A14,$C15:$C$746,C14,$G15:$G$746,""),IF(G14="",SUMIFS($L15:$L$746,$A15:$A$746,A14,$C15:$C$746,C14,$E15:$E$746,E14),0)))</f>
        <v>2450</v>
      </c>
      <c r="M14" s="13">
        <f t="shared" si="3"/>
        <v>-206</v>
      </c>
      <c r="N14" s="14"/>
      <c r="O14" s="15"/>
      <c r="P14" s="16"/>
      <c r="Q14" s="13">
        <f>IF(C14="",SUMIFS($Q$3:$Q$746,$A$3:$A$746,A14,$C$3:$C$746,"&gt;0",$E$3:$E$746,""),IF(E14="",SUMIFS($Q$3:$Q$746,$A$3:$A$746,A14,$C$3:$C$746,C14,$E$3:$E$746,"&gt;0",$G$3:$G$746,""),IF(G14="",SUMIFS($Q$3:$Q$746,$A$3:$A$746,A14,$C$3:$C$746,C14,$E$3:$E$746,E14,$G$3:$G$746,"&gt;0"))))</f>
        <v>2244</v>
      </c>
      <c r="R14" s="13" t="s">
        <v>62</v>
      </c>
    </row>
    <row r="15" spans="1:18" ht="18" customHeight="1">
      <c r="A15" s="17">
        <v>2</v>
      </c>
      <c r="B15" s="18" t="s">
        <v>97</v>
      </c>
      <c r="C15" s="18">
        <v>1</v>
      </c>
      <c r="D15" s="18" t="s">
        <v>98</v>
      </c>
      <c r="E15" s="18">
        <v>1</v>
      </c>
      <c r="F15" s="18" t="s">
        <v>134</v>
      </c>
      <c r="G15" s="20">
        <v>1</v>
      </c>
      <c r="H15" s="20" t="s">
        <v>135</v>
      </c>
      <c r="I15" s="20"/>
      <c r="J15" s="19"/>
      <c r="K15" s="21"/>
      <c r="L15" s="21"/>
      <c r="M15" s="21"/>
      <c r="N15" s="19"/>
      <c r="O15" s="21"/>
      <c r="P15" s="22" t="s">
        <v>136</v>
      </c>
      <c r="Q15" s="21">
        <v>1188</v>
      </c>
      <c r="R15" s="31" t="s">
        <v>62</v>
      </c>
    </row>
    <row r="16" spans="1:18" ht="18" customHeight="1">
      <c r="A16" s="17">
        <v>2</v>
      </c>
      <c r="B16" s="18" t="s">
        <v>97</v>
      </c>
      <c r="C16" s="18">
        <v>1</v>
      </c>
      <c r="D16" s="18" t="s">
        <v>98</v>
      </c>
      <c r="E16" s="18">
        <v>1</v>
      </c>
      <c r="F16" s="18" t="s">
        <v>134</v>
      </c>
      <c r="G16" s="18">
        <v>1</v>
      </c>
      <c r="H16" s="18" t="s">
        <v>135</v>
      </c>
      <c r="I16" s="20">
        <v>1</v>
      </c>
      <c r="J16" s="19" t="s">
        <v>137</v>
      </c>
      <c r="K16" s="21">
        <v>1188</v>
      </c>
      <c r="L16" s="21">
        <v>1260</v>
      </c>
      <c r="M16" s="21">
        <f t="shared" ref="M16:M17" si="4">K16-L16</f>
        <v>-72</v>
      </c>
      <c r="N16" s="19" t="s">
        <v>138</v>
      </c>
      <c r="O16" s="21">
        <v>1188000</v>
      </c>
      <c r="P16" s="22" t="s">
        <v>139</v>
      </c>
      <c r="Q16" s="21">
        <v>450</v>
      </c>
      <c r="R16" s="31" t="s">
        <v>62</v>
      </c>
    </row>
    <row r="17" spans="1:18" ht="18" customHeight="1">
      <c r="A17" s="17">
        <v>2</v>
      </c>
      <c r="B17" s="18" t="s">
        <v>97</v>
      </c>
      <c r="C17" s="18">
        <v>1</v>
      </c>
      <c r="D17" s="18" t="s">
        <v>98</v>
      </c>
      <c r="E17" s="18">
        <v>1</v>
      </c>
      <c r="F17" s="18" t="s">
        <v>134</v>
      </c>
      <c r="G17" s="18">
        <v>1</v>
      </c>
      <c r="H17" s="18" t="s">
        <v>135</v>
      </c>
      <c r="I17" s="20">
        <v>3</v>
      </c>
      <c r="J17" s="19" t="s">
        <v>140</v>
      </c>
      <c r="K17" s="21">
        <v>1056</v>
      </c>
      <c r="L17" s="21">
        <v>1190</v>
      </c>
      <c r="M17" s="21">
        <f t="shared" si="4"/>
        <v>-134</v>
      </c>
      <c r="N17" s="19" t="s">
        <v>141</v>
      </c>
      <c r="O17" s="21">
        <v>606000</v>
      </c>
      <c r="P17" s="22" t="s">
        <v>142</v>
      </c>
      <c r="Q17" s="21"/>
      <c r="R17" s="31" t="s">
        <v>62</v>
      </c>
    </row>
    <row r="18" spans="1:18" ht="18" customHeight="1">
      <c r="A18" s="17">
        <v>2</v>
      </c>
      <c r="B18" s="18" t="s">
        <v>97</v>
      </c>
      <c r="C18" s="18">
        <v>1</v>
      </c>
      <c r="D18" s="18" t="s">
        <v>98</v>
      </c>
      <c r="E18" s="18">
        <v>1</v>
      </c>
      <c r="F18" s="18" t="s">
        <v>134</v>
      </c>
      <c r="G18" s="18">
        <v>1</v>
      </c>
      <c r="H18" s="18" t="s">
        <v>135</v>
      </c>
      <c r="I18" s="18">
        <v>3</v>
      </c>
      <c r="J18" s="23" t="s">
        <v>140</v>
      </c>
      <c r="K18" s="21"/>
      <c r="L18" s="21"/>
      <c r="M18" s="21"/>
      <c r="N18" s="19" t="s">
        <v>143</v>
      </c>
      <c r="O18" s="21">
        <v>450000</v>
      </c>
      <c r="P18" s="22" t="s">
        <v>144</v>
      </c>
      <c r="Q18" s="21">
        <v>606</v>
      </c>
      <c r="R18" s="31" t="s">
        <v>62</v>
      </c>
    </row>
    <row r="19" spans="1:18" ht="18" customHeight="1">
      <c r="A19" s="24">
        <v>3</v>
      </c>
      <c r="B19" s="25" t="s">
        <v>100</v>
      </c>
      <c r="C19" s="25"/>
      <c r="D19" s="25"/>
      <c r="E19" s="26"/>
      <c r="F19" s="25"/>
      <c r="G19" s="26"/>
      <c r="H19" s="25"/>
      <c r="I19" s="26"/>
      <c r="J19" s="26"/>
      <c r="K19" s="27">
        <f>IF(C19="",SUMIFS($K20:$K$746,$A20:$A$746,A19,$E20:$E$746,""),IF(E19="",SUMIFS($K20:$K$746,$A20:$A$746,A19,$C20:$C$746,C19,$G20:$G$746,""),IF(G19="",SUMIFS($K20:$K$746,$A20:$A$746,A19,$C20:$C$746,C19,$E20:$E$746,E19),0)))</f>
        <v>3740</v>
      </c>
      <c r="L19" s="27">
        <f>IF(C19="",SUMIFS($L20:$L$746,$A20:$A$746,A19,$E20:$E$746,""),IF(E19="",SUMIFS($L20:$L$746,$A20:$A$746,A19,$C20:$C$746,C19,$G20:$G$746,""),IF(G19="",SUMIFS($L20:$L$746,$A20:$A$746,A19,$C20:$C$746,C19,$E20:$E$746,E19),0)))</f>
        <v>20</v>
      </c>
      <c r="M19" s="27">
        <f t="shared" ref="M19:M21" si="5">K19-L19</f>
        <v>3720</v>
      </c>
      <c r="N19" s="28"/>
      <c r="O19" s="29"/>
      <c r="P19" s="30"/>
      <c r="Q19" s="27">
        <f>IF(C19="",SUMIFS($Q$3:$Q$746,$A$3:$A$746,A19,$C$3:$C$746,"&gt;0",$E$3:$E$746,""),IF(E19="",SUMIFS($Q$3:$Q$746,$A$3:$A$746,A19,$C$3:$C$746,C19,$E$3:$E$746,"&gt;0",$G$3:$G$746,""),IF(G19="",SUMIFS($Q$3:$Q$746,$A$3:$A$746,A19,$C$3:$C$746,C19,$E$3:$E$746,E19,$G$3:$G$746,"&gt;0"))))</f>
        <v>3740</v>
      </c>
      <c r="R19" s="27"/>
    </row>
    <row r="20" spans="1:18" ht="18" customHeight="1">
      <c r="A20" s="2">
        <v>3</v>
      </c>
      <c r="B20" s="3" t="s">
        <v>100</v>
      </c>
      <c r="C20" s="4">
        <v>1</v>
      </c>
      <c r="D20" s="4" t="s">
        <v>29</v>
      </c>
      <c r="E20" s="5"/>
      <c r="F20" s="4"/>
      <c r="G20" s="5"/>
      <c r="H20" s="4"/>
      <c r="I20" s="5"/>
      <c r="J20" s="5"/>
      <c r="K20" s="6">
        <f>IF(C20="",SUMIFS($K21:$K$746,$A21:$A$746,A20,$E21:$E$746,""),IF(E20="",SUMIFS($K21:$K$746,$A21:$A$746,A20,$C21:$C$746,C20,$G21:$G$746,""),IF(G20="",SUMIFS($K21:$K$746,$A21:$A$746,A20,$C21:$C$746,C20,$E21:$E$746,E20),0)))</f>
        <v>3740</v>
      </c>
      <c r="L20" s="6">
        <f>IF(C20="",SUMIFS($L21:$L$746,$A21:$A$746,A20,$E21:$E$746,""),IF(E20="",SUMIFS($L21:$L$746,$A21:$A$746,A20,$C21:$C$746,C20,$G21:$G$746,""),IF(G20="",SUMIFS($L21:$L$746,$A21:$A$746,A20,$C21:$C$746,C20,$E21:$E$746,E20),0)))</f>
        <v>20</v>
      </c>
      <c r="M20" s="6">
        <f t="shared" si="5"/>
        <v>3720</v>
      </c>
      <c r="N20" s="7"/>
      <c r="O20" s="8"/>
      <c r="P20" s="9"/>
      <c r="Q20" s="6">
        <f>IF(C20="",SUMIFS($Q$3:$Q$746,$A$3:$A$746,A20,$C$3:$C$746,"&gt;0",$E$3:$E$746,""),IF(E20="",SUMIFS($Q$3:$Q$746,$A$3:$A$746,A20,$C$3:$C$746,C20,$E$3:$E$746,"&gt;0",$G$3:$G$746,""),IF(G20="",SUMIFS($Q$3:$Q$746,$A$3:$A$746,A20,$C$3:$C$746,C20,$E$3:$E$746,E20,$G$3:$G$746,"&gt;0"))))</f>
        <v>3740</v>
      </c>
      <c r="R20" s="6"/>
    </row>
    <row r="21" spans="1:18" ht="18" customHeight="1">
      <c r="A21" s="2">
        <v>3</v>
      </c>
      <c r="B21" s="3" t="s">
        <v>100</v>
      </c>
      <c r="C21" s="10">
        <v>1</v>
      </c>
      <c r="D21" s="3" t="s">
        <v>29</v>
      </c>
      <c r="E21" s="11">
        <v>1</v>
      </c>
      <c r="F21" s="12" t="s">
        <v>29</v>
      </c>
      <c r="G21" s="11"/>
      <c r="H21" s="12"/>
      <c r="I21" s="11"/>
      <c r="J21" s="11"/>
      <c r="K21" s="13">
        <f>IF(C21="",SUMIFS($K22:$K$746,$A22:$A$746,A21,$E22:$E$746,""),IF(E21="",SUMIFS($K22:$K$746,$A22:$A$746,A21,$C22:$C$746,C21,$G22:$G$746,""),IF(G21="",SUMIFS($K22:$K$746,$A22:$A$746,A21,$C22:$C$746,C21,$E22:$E$746,E21),0)))</f>
        <v>3740</v>
      </c>
      <c r="L21" s="13">
        <f>IF(C21="",SUMIFS($L22:$L$746,$A22:$A$746,A21,$E22:$E$746,""),IF(E21="",SUMIFS($L22:$L$746,$A22:$A$746,A21,$C22:$C$746,C21,$G22:$G$746,""),IF(G21="",SUMIFS($L22:$L$746,$A22:$A$746,A21,$C22:$C$746,C21,$E22:$E$746,E21),0)))</f>
        <v>20</v>
      </c>
      <c r="M21" s="13">
        <f t="shared" si="5"/>
        <v>3720</v>
      </c>
      <c r="N21" s="14"/>
      <c r="O21" s="15"/>
      <c r="P21" s="16"/>
      <c r="Q21" s="13">
        <f>IF(C21="",SUMIFS($Q$3:$Q$746,$A$3:$A$746,A21,$C$3:$C$746,"&gt;0",$E$3:$E$746,""),IF(E21="",SUMIFS($Q$3:$Q$746,$A$3:$A$746,A21,$C$3:$C$746,C21,$E$3:$E$746,"&gt;0",$G$3:$G$746,""),IF(G21="",SUMIFS($Q$3:$Q$746,$A$3:$A$746,A21,$C$3:$C$746,C21,$E$3:$E$746,E21,$G$3:$G$746,"&gt;0"))))</f>
        <v>3740</v>
      </c>
      <c r="R21" s="13" t="s">
        <v>62</v>
      </c>
    </row>
    <row r="22" spans="1:18" ht="18" customHeight="1">
      <c r="A22" s="17">
        <v>3</v>
      </c>
      <c r="B22" s="18" t="s">
        <v>100</v>
      </c>
      <c r="C22" s="18">
        <v>1</v>
      </c>
      <c r="D22" s="18" t="s">
        <v>29</v>
      </c>
      <c r="E22" s="18">
        <v>1</v>
      </c>
      <c r="F22" s="18" t="s">
        <v>29</v>
      </c>
      <c r="G22" s="20">
        <v>1</v>
      </c>
      <c r="H22" s="20" t="s">
        <v>116</v>
      </c>
      <c r="I22" s="20"/>
      <c r="J22" s="19"/>
      <c r="K22" s="21"/>
      <c r="L22" s="21"/>
      <c r="M22" s="21"/>
      <c r="N22" s="19"/>
      <c r="O22" s="21"/>
      <c r="P22" s="22" t="s">
        <v>60</v>
      </c>
      <c r="Q22" s="21">
        <v>20</v>
      </c>
      <c r="R22" s="31" t="s">
        <v>62</v>
      </c>
    </row>
    <row r="23" spans="1:18" ht="18" customHeight="1">
      <c r="A23" s="17">
        <v>3</v>
      </c>
      <c r="B23" s="18" t="s">
        <v>100</v>
      </c>
      <c r="C23" s="18">
        <v>1</v>
      </c>
      <c r="D23" s="18" t="s">
        <v>29</v>
      </c>
      <c r="E23" s="18">
        <v>1</v>
      </c>
      <c r="F23" s="18" t="s">
        <v>29</v>
      </c>
      <c r="G23" s="18">
        <v>1</v>
      </c>
      <c r="H23" s="18" t="s">
        <v>116</v>
      </c>
      <c r="I23" s="20">
        <v>1</v>
      </c>
      <c r="J23" s="19" t="s">
        <v>145</v>
      </c>
      <c r="K23" s="21">
        <v>20</v>
      </c>
      <c r="L23" s="21">
        <v>20</v>
      </c>
      <c r="M23" s="21">
        <f t="shared" ref="M23" si="6">K23-L23</f>
        <v>0</v>
      </c>
      <c r="N23" s="19" t="s">
        <v>145</v>
      </c>
      <c r="O23" s="21">
        <v>20000</v>
      </c>
      <c r="P23" s="22" t="s">
        <v>146</v>
      </c>
      <c r="Q23" s="21">
        <v>3720</v>
      </c>
      <c r="R23" s="31" t="s">
        <v>62</v>
      </c>
    </row>
    <row r="24" spans="1:18" ht="18" customHeight="1">
      <c r="A24" s="17">
        <v>3</v>
      </c>
      <c r="B24" s="18" t="s">
        <v>100</v>
      </c>
      <c r="C24" s="18">
        <v>1</v>
      </c>
      <c r="D24" s="18" t="s">
        <v>29</v>
      </c>
      <c r="E24" s="18">
        <v>1</v>
      </c>
      <c r="F24" s="18" t="s">
        <v>29</v>
      </c>
      <c r="G24" s="20">
        <v>2</v>
      </c>
      <c r="H24" s="20" t="s">
        <v>147</v>
      </c>
      <c r="I24" s="20"/>
      <c r="J24" s="19"/>
      <c r="K24" s="21"/>
      <c r="L24" s="21"/>
      <c r="M24" s="21"/>
      <c r="N24" s="19"/>
      <c r="O24" s="21"/>
      <c r="P24" s="22" t="s">
        <v>148</v>
      </c>
      <c r="Q24" s="21"/>
      <c r="R24" s="31" t="s">
        <v>62</v>
      </c>
    </row>
    <row r="25" spans="1:18" ht="18" customHeight="1">
      <c r="A25" s="17">
        <v>3</v>
      </c>
      <c r="B25" s="18" t="s">
        <v>100</v>
      </c>
      <c r="C25" s="18">
        <v>1</v>
      </c>
      <c r="D25" s="18" t="s">
        <v>29</v>
      </c>
      <c r="E25" s="18">
        <v>1</v>
      </c>
      <c r="F25" s="18" t="s">
        <v>29</v>
      </c>
      <c r="G25" s="18">
        <v>2</v>
      </c>
      <c r="H25" s="18" t="s">
        <v>147</v>
      </c>
      <c r="I25" s="20">
        <v>1</v>
      </c>
      <c r="J25" s="19" t="s">
        <v>147</v>
      </c>
      <c r="K25" s="21">
        <v>3720</v>
      </c>
      <c r="L25" s="21">
        <v>0</v>
      </c>
      <c r="M25" s="21">
        <f t="shared" ref="M25:M28" si="7">K25-L25</f>
        <v>3720</v>
      </c>
      <c r="N25" s="19" t="s">
        <v>149</v>
      </c>
      <c r="O25" s="21">
        <v>3720000</v>
      </c>
      <c r="P25" s="22" t="s">
        <v>150</v>
      </c>
      <c r="Q25" s="21"/>
      <c r="R25" s="31" t="s">
        <v>62</v>
      </c>
    </row>
    <row r="26" spans="1:18" ht="18" customHeight="1">
      <c r="A26" s="24">
        <v>4</v>
      </c>
      <c r="B26" s="25" t="s">
        <v>102</v>
      </c>
      <c r="C26" s="25"/>
      <c r="D26" s="25"/>
      <c r="E26" s="26"/>
      <c r="F26" s="25"/>
      <c r="G26" s="26"/>
      <c r="H26" s="25"/>
      <c r="I26" s="26"/>
      <c r="J26" s="26"/>
      <c r="K26" s="27">
        <f>IF(C26="",SUMIFS($K27:$K$746,$A27:$A$746,A26,$E27:$E$746,""),IF(E26="",SUMIFS($K27:$K$746,$A27:$A$746,A26,$C27:$C$746,C26,$G27:$G$746,""),IF(G26="",SUMIFS($K27:$K$746,$A27:$A$746,A26,$C27:$C$746,C26,$E27:$E$746,E26),0)))</f>
        <v>260242</v>
      </c>
      <c r="L26" s="27">
        <f>IF(C26="",SUMIFS($L27:$L$746,$A27:$A$746,A26,$E27:$E$746,""),IF(E26="",SUMIFS($L27:$L$746,$A27:$A$746,A26,$C27:$C$746,C26,$G27:$G$746,""),IF(G26="",SUMIFS($L27:$L$746,$A27:$A$746,A26,$C27:$C$746,C26,$E27:$E$746,E26),0)))</f>
        <v>260517</v>
      </c>
      <c r="M26" s="27">
        <f t="shared" si="7"/>
        <v>-275</v>
      </c>
      <c r="N26" s="28"/>
      <c r="O26" s="29"/>
      <c r="P26" s="30"/>
      <c r="Q26" s="27">
        <f>IF(C26="",SUMIFS($Q$3:$Q$746,$A$3:$A$746,A26,$C$3:$C$746,"&gt;0",$E$3:$E$746,""),IF(E26="",SUMIFS($Q$3:$Q$746,$A$3:$A$746,A26,$C$3:$C$746,C26,$E$3:$E$746,"&gt;0",$G$3:$G$746,""),IF(G26="",SUMIFS($Q$3:$Q$746,$A$3:$A$746,A26,$C$3:$C$746,C26,$E$3:$E$746,E26,$G$3:$G$746,"&gt;0"))))</f>
        <v>260242</v>
      </c>
      <c r="R26" s="27"/>
    </row>
    <row r="27" spans="1:18" ht="18" customHeight="1">
      <c r="A27" s="2">
        <v>4</v>
      </c>
      <c r="B27" s="3" t="s">
        <v>102</v>
      </c>
      <c r="C27" s="4">
        <v>1</v>
      </c>
      <c r="D27" s="4" t="s">
        <v>103</v>
      </c>
      <c r="E27" s="5"/>
      <c r="F27" s="4"/>
      <c r="G27" s="5"/>
      <c r="H27" s="4"/>
      <c r="I27" s="5"/>
      <c r="J27" s="5"/>
      <c r="K27" s="6">
        <f>IF(C27="",SUMIFS($K28:$K$746,$A28:$A$746,A27,$E28:$E$746,""),IF(E27="",SUMIFS($K28:$K$746,$A28:$A$746,A27,$C28:$C$746,C27,$G28:$G$746,""),IF(G27="",SUMIFS($K28:$K$746,$A28:$A$746,A27,$C28:$C$746,C27,$E28:$E$746,E27),0)))</f>
        <v>192117</v>
      </c>
      <c r="L27" s="6">
        <f>IF(C27="",SUMIFS($L28:$L$746,$A28:$A$746,A27,$E28:$E$746,""),IF(E27="",SUMIFS($L28:$L$746,$A28:$A$746,A27,$C28:$C$746,C27,$G28:$G$746,""),IF(G27="",SUMIFS($L28:$L$746,$A28:$A$746,A27,$C28:$C$746,C27,$E28:$E$746,E27),0)))</f>
        <v>192119</v>
      </c>
      <c r="M27" s="6">
        <f t="shared" si="7"/>
        <v>-2</v>
      </c>
      <c r="N27" s="7"/>
      <c r="O27" s="8"/>
      <c r="P27" s="9"/>
      <c r="Q27" s="6">
        <f>IF(C27="",SUMIFS($Q$3:$Q$746,$A$3:$A$746,A27,$C$3:$C$746,"&gt;0",$E$3:$E$746,""),IF(E27="",SUMIFS($Q$3:$Q$746,$A$3:$A$746,A27,$C$3:$C$746,C27,$E$3:$E$746,"&gt;0",$G$3:$G$746,""),IF(G27="",SUMIFS($Q$3:$Q$746,$A$3:$A$746,A27,$C$3:$C$746,C27,$E$3:$E$746,E27,$G$3:$G$746,"&gt;0"))))</f>
        <v>192117</v>
      </c>
      <c r="R27" s="6"/>
    </row>
    <row r="28" spans="1:18" ht="18" customHeight="1">
      <c r="A28" s="2">
        <v>4</v>
      </c>
      <c r="B28" s="3" t="s">
        <v>102</v>
      </c>
      <c r="C28" s="10">
        <v>1</v>
      </c>
      <c r="D28" s="3" t="s">
        <v>103</v>
      </c>
      <c r="E28" s="11">
        <v>1</v>
      </c>
      <c r="F28" s="12" t="s">
        <v>151</v>
      </c>
      <c r="G28" s="11"/>
      <c r="H28" s="12"/>
      <c r="I28" s="11"/>
      <c r="J28" s="11"/>
      <c r="K28" s="13">
        <f>IF(C28="",SUMIFS($K29:$K$746,$A29:$A$746,A28,$E29:$E$746,""),IF(E28="",SUMIFS($K29:$K$746,$A29:$A$746,A28,$C29:$C$746,C28,$G29:$G$746,""),IF(G28="",SUMIFS($K29:$K$746,$A29:$A$746,A28,$C29:$C$746,C28,$E29:$E$746,E28),0)))</f>
        <v>192117</v>
      </c>
      <c r="L28" s="13">
        <f>IF(C28="",SUMIFS($L29:$L$746,$A29:$A$746,A28,$E29:$E$746,""),IF(E28="",SUMIFS($L29:$L$746,$A29:$A$746,A28,$C29:$C$746,C28,$G29:$G$746,""),IF(G28="",SUMIFS($L29:$L$746,$A29:$A$746,A28,$C29:$C$746,C28,$E29:$E$746,E28),0)))</f>
        <v>192119</v>
      </c>
      <c r="M28" s="13">
        <f t="shared" si="7"/>
        <v>-2</v>
      </c>
      <c r="N28" s="14"/>
      <c r="O28" s="15"/>
      <c r="P28" s="16"/>
      <c r="Q28" s="13">
        <f>IF(C28="",SUMIFS($Q$3:$Q$746,$A$3:$A$746,A28,$C$3:$C$746,"&gt;0",$E$3:$E$746,""),IF(E28="",SUMIFS($Q$3:$Q$746,$A$3:$A$746,A28,$C$3:$C$746,C28,$E$3:$E$746,"&gt;0",$G$3:$G$746,""),IF(G28="",SUMIFS($Q$3:$Q$746,$A$3:$A$746,A28,$C$3:$C$746,C28,$E$3:$E$746,E28,$G$3:$G$746,"&gt;0"))))</f>
        <v>192117</v>
      </c>
      <c r="R28" s="13" t="s">
        <v>62</v>
      </c>
    </row>
    <row r="29" spans="1:18" ht="18" customHeight="1">
      <c r="A29" s="17">
        <v>4</v>
      </c>
      <c r="B29" s="18" t="s">
        <v>102</v>
      </c>
      <c r="C29" s="18">
        <v>1</v>
      </c>
      <c r="D29" s="18" t="s">
        <v>103</v>
      </c>
      <c r="E29" s="18">
        <v>1</v>
      </c>
      <c r="F29" s="18" t="s">
        <v>151</v>
      </c>
      <c r="G29" s="20">
        <v>1</v>
      </c>
      <c r="H29" s="20" t="s">
        <v>115</v>
      </c>
      <c r="I29" s="20"/>
      <c r="J29" s="19"/>
      <c r="K29" s="21"/>
      <c r="L29" s="21"/>
      <c r="M29" s="21"/>
      <c r="N29" s="19"/>
      <c r="O29" s="21"/>
      <c r="P29" s="22" t="s">
        <v>152</v>
      </c>
      <c r="Q29" s="21">
        <v>58880</v>
      </c>
      <c r="R29" s="31" t="s">
        <v>62</v>
      </c>
    </row>
    <row r="30" spans="1:18" ht="18" customHeight="1">
      <c r="A30" s="17">
        <v>4</v>
      </c>
      <c r="B30" s="18" t="s">
        <v>102</v>
      </c>
      <c r="C30" s="18">
        <v>1</v>
      </c>
      <c r="D30" s="18" t="s">
        <v>103</v>
      </c>
      <c r="E30" s="18">
        <v>1</v>
      </c>
      <c r="F30" s="18" t="s">
        <v>151</v>
      </c>
      <c r="G30" s="18">
        <v>1</v>
      </c>
      <c r="H30" s="18" t="s">
        <v>115</v>
      </c>
      <c r="I30" s="20">
        <v>1</v>
      </c>
      <c r="J30" s="19" t="s">
        <v>153</v>
      </c>
      <c r="K30" s="21">
        <v>192117</v>
      </c>
      <c r="L30" s="21">
        <v>192119</v>
      </c>
      <c r="M30" s="21">
        <f t="shared" ref="M30" si="8">K30-L30</f>
        <v>-2</v>
      </c>
      <c r="N30" s="19" t="s">
        <v>154</v>
      </c>
      <c r="O30" s="21">
        <v>114599000</v>
      </c>
      <c r="P30" s="22" t="s">
        <v>155</v>
      </c>
      <c r="Q30" s="21"/>
      <c r="R30" s="31" t="s">
        <v>62</v>
      </c>
    </row>
    <row r="31" spans="1:18" ht="18" customHeight="1">
      <c r="A31" s="17">
        <v>4</v>
      </c>
      <c r="B31" s="18" t="s">
        <v>102</v>
      </c>
      <c r="C31" s="18">
        <v>1</v>
      </c>
      <c r="D31" s="18" t="s">
        <v>103</v>
      </c>
      <c r="E31" s="18">
        <v>1</v>
      </c>
      <c r="F31" s="18" t="s">
        <v>151</v>
      </c>
      <c r="G31" s="18">
        <v>1</v>
      </c>
      <c r="H31" s="18" t="s">
        <v>115</v>
      </c>
      <c r="I31" s="18">
        <v>1</v>
      </c>
      <c r="J31" s="23" t="s">
        <v>153</v>
      </c>
      <c r="K31" s="21"/>
      <c r="L31" s="21"/>
      <c r="M31" s="21"/>
      <c r="N31" s="19" t="s">
        <v>156</v>
      </c>
      <c r="O31" s="21">
        <v>77518000</v>
      </c>
      <c r="P31" s="22" t="s">
        <v>157</v>
      </c>
      <c r="Q31" s="21">
        <v>34625</v>
      </c>
      <c r="R31" s="31" t="s">
        <v>62</v>
      </c>
    </row>
    <row r="32" spans="1:18" ht="18" customHeight="1">
      <c r="A32" s="17">
        <v>4</v>
      </c>
      <c r="B32" s="18" t="s">
        <v>102</v>
      </c>
      <c r="C32" s="18">
        <v>1</v>
      </c>
      <c r="D32" s="18" t="s">
        <v>103</v>
      </c>
      <c r="E32" s="18">
        <v>1</v>
      </c>
      <c r="F32" s="18" t="s">
        <v>151</v>
      </c>
      <c r="G32" s="18">
        <v>1</v>
      </c>
      <c r="H32" s="18" t="s">
        <v>115</v>
      </c>
      <c r="I32" s="18">
        <v>1</v>
      </c>
      <c r="J32" s="23" t="s">
        <v>153</v>
      </c>
      <c r="K32" s="21"/>
      <c r="L32" s="21"/>
      <c r="M32" s="21"/>
      <c r="N32" s="19"/>
      <c r="O32" s="21"/>
      <c r="P32" s="22" t="s">
        <v>158</v>
      </c>
      <c r="Q32" s="21"/>
      <c r="R32" s="31" t="s">
        <v>62</v>
      </c>
    </row>
    <row r="33" spans="1:18" ht="18" customHeight="1">
      <c r="A33" s="17">
        <v>4</v>
      </c>
      <c r="B33" s="18" t="s">
        <v>102</v>
      </c>
      <c r="C33" s="18">
        <v>1</v>
      </c>
      <c r="D33" s="18" t="s">
        <v>103</v>
      </c>
      <c r="E33" s="18">
        <v>1</v>
      </c>
      <c r="F33" s="18" t="s">
        <v>151</v>
      </c>
      <c r="G33" s="18">
        <v>1</v>
      </c>
      <c r="H33" s="18" t="s">
        <v>115</v>
      </c>
      <c r="I33" s="18">
        <v>1</v>
      </c>
      <c r="J33" s="23" t="s">
        <v>153</v>
      </c>
      <c r="K33" s="21"/>
      <c r="L33" s="21"/>
      <c r="M33" s="21"/>
      <c r="N33" s="19"/>
      <c r="O33" s="21"/>
      <c r="P33" s="22" t="s">
        <v>159</v>
      </c>
      <c r="Q33" s="21">
        <v>70567</v>
      </c>
      <c r="R33" s="31" t="s">
        <v>62</v>
      </c>
    </row>
    <row r="34" spans="1:18" ht="18" customHeight="1">
      <c r="A34" s="17">
        <v>4</v>
      </c>
      <c r="B34" s="18" t="s">
        <v>102</v>
      </c>
      <c r="C34" s="18">
        <v>1</v>
      </c>
      <c r="D34" s="18" t="s">
        <v>103</v>
      </c>
      <c r="E34" s="18">
        <v>1</v>
      </c>
      <c r="F34" s="18" t="s">
        <v>151</v>
      </c>
      <c r="G34" s="18">
        <v>1</v>
      </c>
      <c r="H34" s="18" t="s">
        <v>115</v>
      </c>
      <c r="I34" s="18">
        <v>1</v>
      </c>
      <c r="J34" s="23" t="s">
        <v>153</v>
      </c>
      <c r="K34" s="21"/>
      <c r="L34" s="21"/>
      <c r="M34" s="21"/>
      <c r="N34" s="19"/>
      <c r="O34" s="21"/>
      <c r="P34" s="22" t="s">
        <v>155</v>
      </c>
      <c r="Q34" s="21"/>
      <c r="R34" s="31" t="s">
        <v>62</v>
      </c>
    </row>
    <row r="35" spans="1:18" ht="18" customHeight="1">
      <c r="A35" s="17">
        <v>4</v>
      </c>
      <c r="B35" s="18" t="s">
        <v>102</v>
      </c>
      <c r="C35" s="18">
        <v>1</v>
      </c>
      <c r="D35" s="18" t="s">
        <v>103</v>
      </c>
      <c r="E35" s="18">
        <v>1</v>
      </c>
      <c r="F35" s="18" t="s">
        <v>151</v>
      </c>
      <c r="G35" s="18">
        <v>1</v>
      </c>
      <c r="H35" s="18" t="s">
        <v>115</v>
      </c>
      <c r="I35" s="18">
        <v>1</v>
      </c>
      <c r="J35" s="23" t="s">
        <v>153</v>
      </c>
      <c r="K35" s="21"/>
      <c r="L35" s="21"/>
      <c r="M35" s="21"/>
      <c r="N35" s="19"/>
      <c r="O35" s="21"/>
      <c r="P35" s="22" t="s">
        <v>160</v>
      </c>
      <c r="Q35" s="21">
        <v>120</v>
      </c>
      <c r="R35" s="31" t="s">
        <v>62</v>
      </c>
    </row>
    <row r="36" spans="1:18" ht="18" customHeight="1">
      <c r="A36" s="17">
        <v>4</v>
      </c>
      <c r="B36" s="18" t="s">
        <v>102</v>
      </c>
      <c r="C36" s="18">
        <v>1</v>
      </c>
      <c r="D36" s="18" t="s">
        <v>103</v>
      </c>
      <c r="E36" s="18">
        <v>1</v>
      </c>
      <c r="F36" s="18" t="s">
        <v>151</v>
      </c>
      <c r="G36" s="18">
        <v>1</v>
      </c>
      <c r="H36" s="18" t="s">
        <v>115</v>
      </c>
      <c r="I36" s="18">
        <v>1</v>
      </c>
      <c r="J36" s="23" t="s">
        <v>153</v>
      </c>
      <c r="K36" s="21"/>
      <c r="L36" s="21"/>
      <c r="M36" s="21"/>
      <c r="N36" s="19"/>
      <c r="O36" s="21"/>
      <c r="P36" s="22" t="s">
        <v>161</v>
      </c>
      <c r="Q36" s="21"/>
      <c r="R36" s="31" t="s">
        <v>62</v>
      </c>
    </row>
    <row r="37" spans="1:18" ht="18" customHeight="1">
      <c r="A37" s="17">
        <v>4</v>
      </c>
      <c r="B37" s="18" t="s">
        <v>102</v>
      </c>
      <c r="C37" s="18">
        <v>1</v>
      </c>
      <c r="D37" s="18" t="s">
        <v>103</v>
      </c>
      <c r="E37" s="18">
        <v>1</v>
      </c>
      <c r="F37" s="18" t="s">
        <v>151</v>
      </c>
      <c r="G37" s="18">
        <v>1</v>
      </c>
      <c r="H37" s="18" t="s">
        <v>115</v>
      </c>
      <c r="I37" s="18">
        <v>1</v>
      </c>
      <c r="J37" s="23" t="s">
        <v>153</v>
      </c>
      <c r="K37" s="21"/>
      <c r="L37" s="21"/>
      <c r="M37" s="21"/>
      <c r="N37" s="19"/>
      <c r="O37" s="21"/>
      <c r="P37" s="22" t="s">
        <v>162</v>
      </c>
      <c r="Q37" s="21">
        <v>450</v>
      </c>
      <c r="R37" s="31" t="s">
        <v>62</v>
      </c>
    </row>
    <row r="38" spans="1:18" ht="18" customHeight="1">
      <c r="A38" s="17">
        <v>4</v>
      </c>
      <c r="B38" s="18" t="s">
        <v>102</v>
      </c>
      <c r="C38" s="18">
        <v>1</v>
      </c>
      <c r="D38" s="18" t="s">
        <v>103</v>
      </c>
      <c r="E38" s="18">
        <v>1</v>
      </c>
      <c r="F38" s="18" t="s">
        <v>151</v>
      </c>
      <c r="G38" s="18">
        <v>1</v>
      </c>
      <c r="H38" s="18" t="s">
        <v>115</v>
      </c>
      <c r="I38" s="18">
        <v>1</v>
      </c>
      <c r="J38" s="23" t="s">
        <v>153</v>
      </c>
      <c r="K38" s="21"/>
      <c r="L38" s="21"/>
      <c r="M38" s="21"/>
      <c r="N38" s="19"/>
      <c r="O38" s="21"/>
      <c r="P38" s="22" t="s">
        <v>152</v>
      </c>
      <c r="Q38" s="21">
        <v>8307</v>
      </c>
      <c r="R38" s="31" t="s">
        <v>62</v>
      </c>
    </row>
    <row r="39" spans="1:18" ht="18" customHeight="1">
      <c r="A39" s="17">
        <v>4</v>
      </c>
      <c r="B39" s="18" t="s">
        <v>102</v>
      </c>
      <c r="C39" s="18">
        <v>1</v>
      </c>
      <c r="D39" s="18" t="s">
        <v>103</v>
      </c>
      <c r="E39" s="18">
        <v>1</v>
      </c>
      <c r="F39" s="18" t="s">
        <v>151</v>
      </c>
      <c r="G39" s="18">
        <v>1</v>
      </c>
      <c r="H39" s="18" t="s">
        <v>115</v>
      </c>
      <c r="I39" s="18">
        <v>1</v>
      </c>
      <c r="J39" s="23" t="s">
        <v>153</v>
      </c>
      <c r="K39" s="21"/>
      <c r="L39" s="21"/>
      <c r="M39" s="21"/>
      <c r="N39" s="19"/>
      <c r="O39" s="21"/>
      <c r="P39" s="22" t="s">
        <v>163</v>
      </c>
      <c r="Q39" s="21"/>
      <c r="R39" s="31" t="s">
        <v>62</v>
      </c>
    </row>
    <row r="40" spans="1:18" ht="18" customHeight="1">
      <c r="A40" s="17">
        <v>4</v>
      </c>
      <c r="B40" s="18" t="s">
        <v>102</v>
      </c>
      <c r="C40" s="18">
        <v>1</v>
      </c>
      <c r="D40" s="18" t="s">
        <v>103</v>
      </c>
      <c r="E40" s="18">
        <v>1</v>
      </c>
      <c r="F40" s="18" t="s">
        <v>151</v>
      </c>
      <c r="G40" s="18">
        <v>1</v>
      </c>
      <c r="H40" s="18" t="s">
        <v>115</v>
      </c>
      <c r="I40" s="18">
        <v>1</v>
      </c>
      <c r="J40" s="23" t="s">
        <v>153</v>
      </c>
      <c r="K40" s="21"/>
      <c r="L40" s="21"/>
      <c r="M40" s="21"/>
      <c r="N40" s="19"/>
      <c r="O40" s="21"/>
      <c r="P40" s="22" t="s">
        <v>164</v>
      </c>
      <c r="Q40" s="21">
        <v>4794</v>
      </c>
      <c r="R40" s="31" t="s">
        <v>62</v>
      </c>
    </row>
    <row r="41" spans="1:18" ht="18" customHeight="1">
      <c r="A41" s="17">
        <v>4</v>
      </c>
      <c r="B41" s="18" t="s">
        <v>102</v>
      </c>
      <c r="C41" s="18">
        <v>1</v>
      </c>
      <c r="D41" s="18" t="s">
        <v>103</v>
      </c>
      <c r="E41" s="18">
        <v>1</v>
      </c>
      <c r="F41" s="18" t="s">
        <v>151</v>
      </c>
      <c r="G41" s="18">
        <v>1</v>
      </c>
      <c r="H41" s="18" t="s">
        <v>115</v>
      </c>
      <c r="I41" s="18">
        <v>1</v>
      </c>
      <c r="J41" s="23" t="s">
        <v>153</v>
      </c>
      <c r="K41" s="21"/>
      <c r="L41" s="21"/>
      <c r="M41" s="21"/>
      <c r="N41" s="19"/>
      <c r="O41" s="21"/>
      <c r="P41" s="22" t="s">
        <v>155</v>
      </c>
      <c r="Q41" s="21"/>
      <c r="R41" s="31" t="s">
        <v>62</v>
      </c>
    </row>
    <row r="42" spans="1:18" ht="18" customHeight="1">
      <c r="A42" s="17">
        <v>4</v>
      </c>
      <c r="B42" s="18" t="s">
        <v>102</v>
      </c>
      <c r="C42" s="18">
        <v>1</v>
      </c>
      <c r="D42" s="18" t="s">
        <v>103</v>
      </c>
      <c r="E42" s="18">
        <v>1</v>
      </c>
      <c r="F42" s="18" t="s">
        <v>151</v>
      </c>
      <c r="G42" s="18">
        <v>1</v>
      </c>
      <c r="H42" s="18" t="s">
        <v>115</v>
      </c>
      <c r="I42" s="18">
        <v>1</v>
      </c>
      <c r="J42" s="23" t="s">
        <v>153</v>
      </c>
      <c r="K42" s="21"/>
      <c r="L42" s="21"/>
      <c r="M42" s="21"/>
      <c r="N42" s="19"/>
      <c r="O42" s="21"/>
      <c r="P42" s="22" t="s">
        <v>165</v>
      </c>
      <c r="Q42" s="21">
        <v>144</v>
      </c>
      <c r="R42" s="31" t="s">
        <v>62</v>
      </c>
    </row>
    <row r="43" spans="1:18" ht="18" customHeight="1">
      <c r="A43" s="17">
        <v>4</v>
      </c>
      <c r="B43" s="18" t="s">
        <v>102</v>
      </c>
      <c r="C43" s="18">
        <v>1</v>
      </c>
      <c r="D43" s="18" t="s">
        <v>103</v>
      </c>
      <c r="E43" s="18">
        <v>1</v>
      </c>
      <c r="F43" s="18" t="s">
        <v>151</v>
      </c>
      <c r="G43" s="18">
        <v>1</v>
      </c>
      <c r="H43" s="18" t="s">
        <v>115</v>
      </c>
      <c r="I43" s="18">
        <v>1</v>
      </c>
      <c r="J43" s="23" t="s">
        <v>153</v>
      </c>
      <c r="K43" s="21"/>
      <c r="L43" s="21"/>
      <c r="M43" s="21"/>
      <c r="N43" s="19"/>
      <c r="O43" s="21"/>
      <c r="P43" s="22" t="s">
        <v>166</v>
      </c>
      <c r="Q43" s="21"/>
      <c r="R43" s="31" t="s">
        <v>62</v>
      </c>
    </row>
    <row r="44" spans="1:18" ht="18" customHeight="1">
      <c r="A44" s="17">
        <v>4</v>
      </c>
      <c r="B44" s="18" t="s">
        <v>102</v>
      </c>
      <c r="C44" s="18">
        <v>1</v>
      </c>
      <c r="D44" s="18" t="s">
        <v>103</v>
      </c>
      <c r="E44" s="18">
        <v>1</v>
      </c>
      <c r="F44" s="18" t="s">
        <v>151</v>
      </c>
      <c r="G44" s="18">
        <v>1</v>
      </c>
      <c r="H44" s="18" t="s">
        <v>115</v>
      </c>
      <c r="I44" s="18">
        <v>1</v>
      </c>
      <c r="J44" s="23" t="s">
        <v>153</v>
      </c>
      <c r="K44" s="21"/>
      <c r="L44" s="21"/>
      <c r="M44" s="21"/>
      <c r="N44" s="19"/>
      <c r="O44" s="21"/>
      <c r="P44" s="22" t="s">
        <v>167</v>
      </c>
      <c r="Q44" s="21">
        <v>36</v>
      </c>
      <c r="R44" s="31" t="s">
        <v>62</v>
      </c>
    </row>
    <row r="45" spans="1:18" ht="18" customHeight="1">
      <c r="A45" s="17">
        <v>4</v>
      </c>
      <c r="B45" s="18" t="s">
        <v>102</v>
      </c>
      <c r="C45" s="18">
        <v>1</v>
      </c>
      <c r="D45" s="18" t="s">
        <v>103</v>
      </c>
      <c r="E45" s="18">
        <v>1</v>
      </c>
      <c r="F45" s="18" t="s">
        <v>151</v>
      </c>
      <c r="G45" s="18">
        <v>1</v>
      </c>
      <c r="H45" s="18" t="s">
        <v>115</v>
      </c>
      <c r="I45" s="18">
        <v>1</v>
      </c>
      <c r="J45" s="23" t="s">
        <v>153</v>
      </c>
      <c r="K45" s="21"/>
      <c r="L45" s="21"/>
      <c r="M45" s="21"/>
      <c r="N45" s="19"/>
      <c r="O45" s="21"/>
      <c r="P45" s="22" t="s">
        <v>161</v>
      </c>
      <c r="Q45" s="21"/>
      <c r="R45" s="31" t="s">
        <v>62</v>
      </c>
    </row>
    <row r="46" spans="1:18" ht="18" customHeight="1">
      <c r="A46" s="17">
        <v>4</v>
      </c>
      <c r="B46" s="18" t="s">
        <v>102</v>
      </c>
      <c r="C46" s="18">
        <v>1</v>
      </c>
      <c r="D46" s="18" t="s">
        <v>103</v>
      </c>
      <c r="E46" s="18">
        <v>1</v>
      </c>
      <c r="F46" s="18" t="s">
        <v>151</v>
      </c>
      <c r="G46" s="18">
        <v>1</v>
      </c>
      <c r="H46" s="18" t="s">
        <v>115</v>
      </c>
      <c r="I46" s="18">
        <v>1</v>
      </c>
      <c r="J46" s="23" t="s">
        <v>153</v>
      </c>
      <c r="K46" s="21"/>
      <c r="L46" s="21"/>
      <c r="M46" s="21"/>
      <c r="N46" s="19"/>
      <c r="O46" s="21"/>
      <c r="P46" s="22" t="s">
        <v>168</v>
      </c>
      <c r="Q46" s="21">
        <v>120</v>
      </c>
      <c r="R46" s="31" t="s">
        <v>62</v>
      </c>
    </row>
    <row r="47" spans="1:18" ht="18" customHeight="1">
      <c r="A47" s="17">
        <v>4</v>
      </c>
      <c r="B47" s="18" t="s">
        <v>102</v>
      </c>
      <c r="C47" s="18">
        <v>1</v>
      </c>
      <c r="D47" s="18" t="s">
        <v>103</v>
      </c>
      <c r="E47" s="18">
        <v>1</v>
      </c>
      <c r="F47" s="18" t="s">
        <v>151</v>
      </c>
      <c r="G47" s="18">
        <v>1</v>
      </c>
      <c r="H47" s="18" t="s">
        <v>115</v>
      </c>
      <c r="I47" s="18">
        <v>1</v>
      </c>
      <c r="J47" s="23" t="s">
        <v>153</v>
      </c>
      <c r="K47" s="21"/>
      <c r="L47" s="21"/>
      <c r="M47" s="21"/>
      <c r="N47" s="19"/>
      <c r="O47" s="21"/>
      <c r="P47" s="22" t="s">
        <v>164</v>
      </c>
      <c r="Q47" s="21">
        <v>720</v>
      </c>
      <c r="R47" s="31" t="s">
        <v>62</v>
      </c>
    </row>
    <row r="48" spans="1:18" ht="18" customHeight="1">
      <c r="A48" s="17">
        <v>4</v>
      </c>
      <c r="B48" s="18" t="s">
        <v>102</v>
      </c>
      <c r="C48" s="18">
        <v>1</v>
      </c>
      <c r="D48" s="18" t="s">
        <v>103</v>
      </c>
      <c r="E48" s="18">
        <v>1</v>
      </c>
      <c r="F48" s="18" t="s">
        <v>151</v>
      </c>
      <c r="G48" s="18">
        <v>1</v>
      </c>
      <c r="H48" s="18" t="s">
        <v>115</v>
      </c>
      <c r="I48" s="18">
        <v>1</v>
      </c>
      <c r="J48" s="23" t="s">
        <v>153</v>
      </c>
      <c r="K48" s="21"/>
      <c r="L48" s="21"/>
      <c r="M48" s="21"/>
      <c r="N48" s="19"/>
      <c r="O48" s="21"/>
      <c r="P48" s="22" t="s">
        <v>163</v>
      </c>
      <c r="Q48" s="21"/>
      <c r="R48" s="31" t="s">
        <v>62</v>
      </c>
    </row>
    <row r="49" spans="1:18" ht="18" customHeight="1">
      <c r="A49" s="17">
        <v>4</v>
      </c>
      <c r="B49" s="18" t="s">
        <v>102</v>
      </c>
      <c r="C49" s="18">
        <v>1</v>
      </c>
      <c r="D49" s="18" t="s">
        <v>103</v>
      </c>
      <c r="E49" s="18">
        <v>1</v>
      </c>
      <c r="F49" s="18" t="s">
        <v>151</v>
      </c>
      <c r="G49" s="18">
        <v>1</v>
      </c>
      <c r="H49" s="18" t="s">
        <v>115</v>
      </c>
      <c r="I49" s="18">
        <v>1</v>
      </c>
      <c r="J49" s="23" t="s">
        <v>153</v>
      </c>
      <c r="K49" s="21"/>
      <c r="L49" s="21"/>
      <c r="M49" s="21"/>
      <c r="N49" s="19"/>
      <c r="O49" s="21"/>
      <c r="P49" s="22" t="s">
        <v>117</v>
      </c>
      <c r="Q49" s="21">
        <v>144</v>
      </c>
      <c r="R49" s="31" t="s">
        <v>62</v>
      </c>
    </row>
    <row r="50" spans="1:18" ht="18" customHeight="1">
      <c r="A50" s="17">
        <v>4</v>
      </c>
      <c r="B50" s="18" t="s">
        <v>102</v>
      </c>
      <c r="C50" s="18">
        <v>1</v>
      </c>
      <c r="D50" s="18" t="s">
        <v>103</v>
      </c>
      <c r="E50" s="18">
        <v>1</v>
      </c>
      <c r="F50" s="18" t="s">
        <v>151</v>
      </c>
      <c r="G50" s="18">
        <v>1</v>
      </c>
      <c r="H50" s="18" t="s">
        <v>115</v>
      </c>
      <c r="I50" s="18">
        <v>1</v>
      </c>
      <c r="J50" s="23" t="s">
        <v>153</v>
      </c>
      <c r="K50" s="21"/>
      <c r="L50" s="21"/>
      <c r="M50" s="21"/>
      <c r="N50" s="19"/>
      <c r="O50" s="21"/>
      <c r="P50" s="22" t="s">
        <v>169</v>
      </c>
      <c r="Q50" s="21">
        <v>5740</v>
      </c>
      <c r="R50" s="31" t="s">
        <v>62</v>
      </c>
    </row>
    <row r="51" spans="1:18" ht="18" customHeight="1">
      <c r="A51" s="17">
        <v>4</v>
      </c>
      <c r="B51" s="18" t="s">
        <v>102</v>
      </c>
      <c r="C51" s="18">
        <v>1</v>
      </c>
      <c r="D51" s="18" t="s">
        <v>103</v>
      </c>
      <c r="E51" s="18">
        <v>1</v>
      </c>
      <c r="F51" s="18" t="s">
        <v>151</v>
      </c>
      <c r="G51" s="18">
        <v>1</v>
      </c>
      <c r="H51" s="18" t="s">
        <v>115</v>
      </c>
      <c r="I51" s="18">
        <v>1</v>
      </c>
      <c r="J51" s="23" t="s">
        <v>153</v>
      </c>
      <c r="K51" s="21"/>
      <c r="L51" s="21"/>
      <c r="M51" s="21"/>
      <c r="N51" s="19"/>
      <c r="O51" s="21"/>
      <c r="P51" s="22" t="s">
        <v>170</v>
      </c>
      <c r="Q51" s="21">
        <v>5</v>
      </c>
      <c r="R51" s="31" t="s">
        <v>62</v>
      </c>
    </row>
    <row r="52" spans="1:18" ht="18" customHeight="1">
      <c r="A52" s="17">
        <v>4</v>
      </c>
      <c r="B52" s="18" t="s">
        <v>102</v>
      </c>
      <c r="C52" s="18">
        <v>1</v>
      </c>
      <c r="D52" s="18" t="s">
        <v>103</v>
      </c>
      <c r="E52" s="18">
        <v>1</v>
      </c>
      <c r="F52" s="18" t="s">
        <v>151</v>
      </c>
      <c r="G52" s="18">
        <v>1</v>
      </c>
      <c r="H52" s="18" t="s">
        <v>115</v>
      </c>
      <c r="I52" s="18">
        <v>1</v>
      </c>
      <c r="J52" s="23" t="s">
        <v>153</v>
      </c>
      <c r="K52" s="21"/>
      <c r="L52" s="21"/>
      <c r="M52" s="21"/>
      <c r="N52" s="19"/>
      <c r="O52" s="21"/>
      <c r="P52" s="22" t="s">
        <v>171</v>
      </c>
      <c r="Q52" s="21"/>
      <c r="R52" s="31" t="s">
        <v>62</v>
      </c>
    </row>
    <row r="53" spans="1:18" ht="18" customHeight="1">
      <c r="A53" s="17">
        <v>4</v>
      </c>
      <c r="B53" s="18" t="s">
        <v>102</v>
      </c>
      <c r="C53" s="18">
        <v>1</v>
      </c>
      <c r="D53" s="18" t="s">
        <v>103</v>
      </c>
      <c r="E53" s="18">
        <v>1</v>
      </c>
      <c r="F53" s="18" t="s">
        <v>151</v>
      </c>
      <c r="G53" s="18">
        <v>1</v>
      </c>
      <c r="H53" s="18" t="s">
        <v>115</v>
      </c>
      <c r="I53" s="18">
        <v>1</v>
      </c>
      <c r="J53" s="23" t="s">
        <v>153</v>
      </c>
      <c r="K53" s="21"/>
      <c r="L53" s="21"/>
      <c r="M53" s="21"/>
      <c r="N53" s="19"/>
      <c r="O53" s="21"/>
      <c r="P53" s="22" t="s">
        <v>172</v>
      </c>
      <c r="Q53" s="21">
        <v>507</v>
      </c>
      <c r="R53" s="31" t="s">
        <v>62</v>
      </c>
    </row>
    <row r="54" spans="1:18" ht="18" customHeight="1">
      <c r="A54" s="17">
        <v>4</v>
      </c>
      <c r="B54" s="18" t="s">
        <v>102</v>
      </c>
      <c r="C54" s="18">
        <v>1</v>
      </c>
      <c r="D54" s="18" t="s">
        <v>103</v>
      </c>
      <c r="E54" s="18">
        <v>1</v>
      </c>
      <c r="F54" s="18" t="s">
        <v>151</v>
      </c>
      <c r="G54" s="18">
        <v>1</v>
      </c>
      <c r="H54" s="18" t="s">
        <v>115</v>
      </c>
      <c r="I54" s="18">
        <v>1</v>
      </c>
      <c r="J54" s="23" t="s">
        <v>153</v>
      </c>
      <c r="K54" s="21"/>
      <c r="L54" s="21"/>
      <c r="M54" s="21"/>
      <c r="N54" s="19"/>
      <c r="O54" s="21"/>
      <c r="P54" s="22" t="s">
        <v>171</v>
      </c>
      <c r="Q54" s="21"/>
      <c r="R54" s="31" t="s">
        <v>62</v>
      </c>
    </row>
    <row r="55" spans="1:18" ht="18" customHeight="1">
      <c r="A55" s="17">
        <v>4</v>
      </c>
      <c r="B55" s="18" t="s">
        <v>102</v>
      </c>
      <c r="C55" s="18">
        <v>1</v>
      </c>
      <c r="D55" s="18" t="s">
        <v>103</v>
      </c>
      <c r="E55" s="18">
        <v>1</v>
      </c>
      <c r="F55" s="18" t="s">
        <v>151</v>
      </c>
      <c r="G55" s="18">
        <v>1</v>
      </c>
      <c r="H55" s="18" t="s">
        <v>115</v>
      </c>
      <c r="I55" s="18">
        <v>1</v>
      </c>
      <c r="J55" s="23" t="s">
        <v>153</v>
      </c>
      <c r="K55" s="21"/>
      <c r="L55" s="21"/>
      <c r="M55" s="21"/>
      <c r="N55" s="19"/>
      <c r="O55" s="21"/>
      <c r="P55" s="22" t="s">
        <v>172</v>
      </c>
      <c r="Q55" s="21">
        <v>7</v>
      </c>
      <c r="R55" s="31" t="s">
        <v>62</v>
      </c>
    </row>
    <row r="56" spans="1:18" ht="18" customHeight="1">
      <c r="A56" s="17">
        <v>4</v>
      </c>
      <c r="B56" s="18" t="s">
        <v>102</v>
      </c>
      <c r="C56" s="18">
        <v>1</v>
      </c>
      <c r="D56" s="18" t="s">
        <v>103</v>
      </c>
      <c r="E56" s="18">
        <v>1</v>
      </c>
      <c r="F56" s="18" t="s">
        <v>151</v>
      </c>
      <c r="G56" s="18">
        <v>1</v>
      </c>
      <c r="H56" s="18" t="s">
        <v>115</v>
      </c>
      <c r="I56" s="18">
        <v>1</v>
      </c>
      <c r="J56" s="23" t="s">
        <v>153</v>
      </c>
      <c r="K56" s="21"/>
      <c r="L56" s="21"/>
      <c r="M56" s="21"/>
      <c r="N56" s="19"/>
      <c r="O56" s="21"/>
      <c r="P56" s="22" t="s">
        <v>173</v>
      </c>
      <c r="Q56" s="21"/>
      <c r="R56" s="31" t="s">
        <v>62</v>
      </c>
    </row>
    <row r="57" spans="1:18" ht="18" customHeight="1">
      <c r="A57" s="17">
        <v>4</v>
      </c>
      <c r="B57" s="18" t="s">
        <v>102</v>
      </c>
      <c r="C57" s="18">
        <v>1</v>
      </c>
      <c r="D57" s="18" t="s">
        <v>103</v>
      </c>
      <c r="E57" s="18">
        <v>1</v>
      </c>
      <c r="F57" s="18" t="s">
        <v>151</v>
      </c>
      <c r="G57" s="18">
        <v>1</v>
      </c>
      <c r="H57" s="18" t="s">
        <v>115</v>
      </c>
      <c r="I57" s="18">
        <v>1</v>
      </c>
      <c r="J57" s="23" t="s">
        <v>153</v>
      </c>
      <c r="K57" s="21"/>
      <c r="L57" s="21"/>
      <c r="M57" s="21"/>
      <c r="N57" s="19"/>
      <c r="O57" s="21"/>
      <c r="P57" s="22" t="s">
        <v>174</v>
      </c>
      <c r="Q57" s="21">
        <v>6933</v>
      </c>
      <c r="R57" s="31" t="s">
        <v>62</v>
      </c>
    </row>
    <row r="58" spans="1:18" ht="18" customHeight="1">
      <c r="A58" s="17">
        <v>4</v>
      </c>
      <c r="B58" s="18" t="s">
        <v>102</v>
      </c>
      <c r="C58" s="18">
        <v>1</v>
      </c>
      <c r="D58" s="18" t="s">
        <v>103</v>
      </c>
      <c r="E58" s="18">
        <v>1</v>
      </c>
      <c r="F58" s="18" t="s">
        <v>151</v>
      </c>
      <c r="G58" s="18">
        <v>1</v>
      </c>
      <c r="H58" s="18" t="s">
        <v>115</v>
      </c>
      <c r="I58" s="18">
        <v>1</v>
      </c>
      <c r="J58" s="23" t="s">
        <v>153</v>
      </c>
      <c r="K58" s="21"/>
      <c r="L58" s="21"/>
      <c r="M58" s="21"/>
      <c r="N58" s="19"/>
      <c r="O58" s="21"/>
      <c r="P58" s="22" t="s">
        <v>171</v>
      </c>
      <c r="Q58" s="21"/>
      <c r="R58" s="31" t="s">
        <v>62</v>
      </c>
    </row>
    <row r="59" spans="1:18" ht="18" customHeight="1">
      <c r="A59" s="17">
        <v>4</v>
      </c>
      <c r="B59" s="18" t="s">
        <v>102</v>
      </c>
      <c r="C59" s="18">
        <v>1</v>
      </c>
      <c r="D59" s="18" t="s">
        <v>103</v>
      </c>
      <c r="E59" s="18">
        <v>1</v>
      </c>
      <c r="F59" s="18" t="s">
        <v>151</v>
      </c>
      <c r="G59" s="18">
        <v>1</v>
      </c>
      <c r="H59" s="18" t="s">
        <v>115</v>
      </c>
      <c r="I59" s="18">
        <v>1</v>
      </c>
      <c r="J59" s="23" t="s">
        <v>153</v>
      </c>
      <c r="K59" s="21"/>
      <c r="L59" s="21"/>
      <c r="M59" s="21"/>
      <c r="N59" s="19"/>
      <c r="O59" s="21"/>
      <c r="P59" s="22" t="s">
        <v>174</v>
      </c>
      <c r="Q59" s="21">
        <v>18</v>
      </c>
      <c r="R59" s="31" t="s">
        <v>62</v>
      </c>
    </row>
    <row r="60" spans="1:18" ht="18" customHeight="1">
      <c r="A60" s="17">
        <v>4</v>
      </c>
      <c r="B60" s="18" t="s">
        <v>102</v>
      </c>
      <c r="C60" s="18">
        <v>1</v>
      </c>
      <c r="D60" s="18" t="s">
        <v>103</v>
      </c>
      <c r="E60" s="18">
        <v>1</v>
      </c>
      <c r="F60" s="18" t="s">
        <v>151</v>
      </c>
      <c r="G60" s="18">
        <v>1</v>
      </c>
      <c r="H60" s="18" t="s">
        <v>115</v>
      </c>
      <c r="I60" s="18">
        <v>1</v>
      </c>
      <c r="J60" s="23" t="s">
        <v>153</v>
      </c>
      <c r="K60" s="21"/>
      <c r="L60" s="21"/>
      <c r="M60" s="21"/>
      <c r="N60" s="19"/>
      <c r="O60" s="21"/>
      <c r="P60" s="22" t="s">
        <v>173</v>
      </c>
      <c r="Q60" s="21"/>
      <c r="R60" s="31" t="s">
        <v>62</v>
      </c>
    </row>
    <row r="61" spans="1:18" ht="18" customHeight="1">
      <c r="A61" s="2">
        <v>4</v>
      </c>
      <c r="B61" s="3" t="s">
        <v>102</v>
      </c>
      <c r="C61" s="4">
        <v>2</v>
      </c>
      <c r="D61" s="4" t="s">
        <v>104</v>
      </c>
      <c r="E61" s="5"/>
      <c r="F61" s="4"/>
      <c r="G61" s="5"/>
      <c r="H61" s="4"/>
      <c r="I61" s="5"/>
      <c r="J61" s="5"/>
      <c r="K61" s="6">
        <f>IF(C61="",SUMIFS($K62:$K$746,$A62:$A$746,A61,$E62:$E$746,""),IF(E61="",SUMIFS($K62:$K$746,$A62:$A$746,A61,$C62:$C$746,C61,$G62:$G$746,""),IF(G61="",SUMIFS($K62:$K$746,$A62:$A$746,A61,$C62:$C$746,C61,$E62:$E$746,E61),0)))</f>
        <v>68125</v>
      </c>
      <c r="L61" s="6">
        <f>IF(C61="",SUMIFS($L62:$L$746,$A62:$A$746,A61,$E62:$E$746,""),IF(E61="",SUMIFS($L62:$L$746,$A62:$A$746,A61,$C62:$C$746,C61,$G62:$G$746,""),IF(G61="",SUMIFS($L62:$L$746,$A62:$A$746,A61,$C62:$C$746,C61,$E62:$E$746,E61),0)))</f>
        <v>68398</v>
      </c>
      <c r="M61" s="6">
        <f t="shared" ref="M61:M62" si="9">K61-L61</f>
        <v>-273</v>
      </c>
      <c r="N61" s="7"/>
      <c r="O61" s="8"/>
      <c r="P61" s="9"/>
      <c r="Q61" s="6">
        <f>IF(C61="",SUMIFS($Q$3:$Q$746,$A$3:$A$746,A61,$C$3:$C$746,"&gt;0",$E$3:$E$746,""),IF(E61="",SUMIFS($Q$3:$Q$746,$A$3:$A$746,A61,$C$3:$C$746,C61,$E$3:$E$746,"&gt;0",$G$3:$G$746,""),IF(G61="",SUMIFS($Q$3:$Q$746,$A$3:$A$746,A61,$C$3:$C$746,C61,$E$3:$E$746,E61,$G$3:$G$746,"&gt;0"))))</f>
        <v>68125</v>
      </c>
      <c r="R61" s="6"/>
    </row>
    <row r="62" spans="1:18" ht="18" customHeight="1">
      <c r="A62" s="2">
        <v>4</v>
      </c>
      <c r="B62" s="3" t="s">
        <v>102</v>
      </c>
      <c r="C62" s="10">
        <v>2</v>
      </c>
      <c r="D62" s="3" t="s">
        <v>104</v>
      </c>
      <c r="E62" s="11">
        <v>1</v>
      </c>
      <c r="F62" s="12" t="s">
        <v>175</v>
      </c>
      <c r="G62" s="11"/>
      <c r="H62" s="12"/>
      <c r="I62" s="11"/>
      <c r="J62" s="11"/>
      <c r="K62" s="13">
        <f>IF(C62="",SUMIFS($K63:$K$746,$A63:$A$746,A62,$E63:$E$746,""),IF(E62="",SUMIFS($K63:$K$746,$A63:$A$746,A62,$C63:$C$746,C62,$G63:$G$746,""),IF(G62="",SUMIFS($K63:$K$746,$A63:$A$746,A62,$C63:$C$746,C62,$E63:$E$746,E62),0)))</f>
        <v>53860</v>
      </c>
      <c r="L62" s="13">
        <f>IF(C62="",SUMIFS($L63:$L$746,$A63:$A$746,A62,$E63:$E$746,""),IF(E62="",SUMIFS($L63:$L$746,$A63:$A$746,A62,$C63:$C$746,C62,$G63:$G$746,""),IF(G62="",SUMIFS($L63:$L$746,$A63:$A$746,A62,$C63:$C$746,C62,$E63:$E$746,E62),0)))</f>
        <v>53860</v>
      </c>
      <c r="M62" s="13">
        <f t="shared" si="9"/>
        <v>0</v>
      </c>
      <c r="N62" s="14"/>
      <c r="O62" s="15"/>
      <c r="P62" s="16"/>
      <c r="Q62" s="13">
        <f>IF(C62="",SUMIFS($Q$3:$Q$746,$A$3:$A$746,A62,$C$3:$C$746,"&gt;0",$E$3:$E$746,""),IF(E62="",SUMIFS($Q$3:$Q$746,$A$3:$A$746,A62,$C$3:$C$746,C62,$E$3:$E$746,"&gt;0",$G$3:$G$746,""),IF(G62="",SUMIFS($Q$3:$Q$746,$A$3:$A$746,A62,$C$3:$C$746,C62,$E$3:$E$746,E62,$G$3:$G$746,"&gt;0"))))</f>
        <v>53860</v>
      </c>
      <c r="R62" s="13" t="s">
        <v>62</v>
      </c>
    </row>
    <row r="63" spans="1:18" ht="18" customHeight="1">
      <c r="A63" s="17">
        <v>4</v>
      </c>
      <c r="B63" s="18" t="s">
        <v>102</v>
      </c>
      <c r="C63" s="18">
        <v>2</v>
      </c>
      <c r="D63" s="18" t="s">
        <v>104</v>
      </c>
      <c r="E63" s="18">
        <v>1</v>
      </c>
      <c r="F63" s="18" t="s">
        <v>175</v>
      </c>
      <c r="G63" s="20">
        <v>1</v>
      </c>
      <c r="H63" s="20" t="s">
        <v>175</v>
      </c>
      <c r="I63" s="20"/>
      <c r="J63" s="19"/>
      <c r="K63" s="21"/>
      <c r="L63" s="21"/>
      <c r="M63" s="21"/>
      <c r="N63" s="19"/>
      <c r="O63" s="21"/>
      <c r="P63" s="22" t="s">
        <v>152</v>
      </c>
      <c r="Q63" s="21">
        <v>14550</v>
      </c>
      <c r="R63" s="31" t="s">
        <v>62</v>
      </c>
    </row>
    <row r="64" spans="1:18" ht="18" customHeight="1">
      <c r="A64" s="17">
        <v>4</v>
      </c>
      <c r="B64" s="18" t="s">
        <v>102</v>
      </c>
      <c r="C64" s="18">
        <v>2</v>
      </c>
      <c r="D64" s="18" t="s">
        <v>104</v>
      </c>
      <c r="E64" s="18">
        <v>1</v>
      </c>
      <c r="F64" s="18" t="s">
        <v>175</v>
      </c>
      <c r="G64" s="18">
        <v>1</v>
      </c>
      <c r="H64" s="18" t="s">
        <v>175</v>
      </c>
      <c r="I64" s="20">
        <v>1</v>
      </c>
      <c r="J64" s="19" t="s">
        <v>176</v>
      </c>
      <c r="K64" s="21">
        <v>53860</v>
      </c>
      <c r="L64" s="21">
        <v>53860</v>
      </c>
      <c r="M64" s="21">
        <f t="shared" ref="M64" si="10">K64-L64</f>
        <v>0</v>
      </c>
      <c r="N64" s="19" t="s">
        <v>177</v>
      </c>
      <c r="O64" s="21">
        <v>53860026</v>
      </c>
      <c r="P64" s="22" t="s">
        <v>155</v>
      </c>
      <c r="Q64" s="21"/>
      <c r="R64" s="31" t="s">
        <v>62</v>
      </c>
    </row>
    <row r="65" spans="1:18" ht="18" customHeight="1">
      <c r="A65" s="17">
        <v>4</v>
      </c>
      <c r="B65" s="18" t="s">
        <v>102</v>
      </c>
      <c r="C65" s="18">
        <v>2</v>
      </c>
      <c r="D65" s="18" t="s">
        <v>104</v>
      </c>
      <c r="E65" s="18">
        <v>1</v>
      </c>
      <c r="F65" s="18" t="s">
        <v>175</v>
      </c>
      <c r="G65" s="18">
        <v>1</v>
      </c>
      <c r="H65" s="18" t="s">
        <v>175</v>
      </c>
      <c r="I65" s="18">
        <v>1</v>
      </c>
      <c r="J65" s="23" t="s">
        <v>176</v>
      </c>
      <c r="K65" s="21"/>
      <c r="L65" s="21"/>
      <c r="M65" s="21"/>
      <c r="N65" s="19"/>
      <c r="O65" s="21"/>
      <c r="P65" s="22" t="s">
        <v>157</v>
      </c>
      <c r="Q65" s="21">
        <v>8556</v>
      </c>
      <c r="R65" s="31" t="s">
        <v>62</v>
      </c>
    </row>
    <row r="66" spans="1:18" ht="18" customHeight="1">
      <c r="A66" s="17">
        <v>4</v>
      </c>
      <c r="B66" s="18" t="s">
        <v>102</v>
      </c>
      <c r="C66" s="18">
        <v>2</v>
      </c>
      <c r="D66" s="18" t="s">
        <v>104</v>
      </c>
      <c r="E66" s="18">
        <v>1</v>
      </c>
      <c r="F66" s="18" t="s">
        <v>175</v>
      </c>
      <c r="G66" s="18">
        <v>1</v>
      </c>
      <c r="H66" s="18" t="s">
        <v>175</v>
      </c>
      <c r="I66" s="18">
        <v>1</v>
      </c>
      <c r="J66" s="23" t="s">
        <v>176</v>
      </c>
      <c r="K66" s="21"/>
      <c r="L66" s="21"/>
      <c r="M66" s="21"/>
      <c r="N66" s="19"/>
      <c r="O66" s="21"/>
      <c r="P66" s="22" t="s">
        <v>158</v>
      </c>
      <c r="Q66" s="21"/>
      <c r="R66" s="31" t="s">
        <v>62</v>
      </c>
    </row>
    <row r="67" spans="1:18" ht="18" customHeight="1">
      <c r="A67" s="17">
        <v>4</v>
      </c>
      <c r="B67" s="18" t="s">
        <v>102</v>
      </c>
      <c r="C67" s="18">
        <v>2</v>
      </c>
      <c r="D67" s="18" t="s">
        <v>104</v>
      </c>
      <c r="E67" s="18">
        <v>1</v>
      </c>
      <c r="F67" s="18" t="s">
        <v>175</v>
      </c>
      <c r="G67" s="18">
        <v>1</v>
      </c>
      <c r="H67" s="18" t="s">
        <v>175</v>
      </c>
      <c r="I67" s="18">
        <v>1</v>
      </c>
      <c r="J67" s="23" t="s">
        <v>176</v>
      </c>
      <c r="K67" s="21"/>
      <c r="L67" s="21"/>
      <c r="M67" s="21"/>
      <c r="N67" s="19"/>
      <c r="O67" s="21"/>
      <c r="P67" s="22" t="s">
        <v>159</v>
      </c>
      <c r="Q67" s="21">
        <v>23251</v>
      </c>
      <c r="R67" s="31" t="s">
        <v>62</v>
      </c>
    </row>
    <row r="68" spans="1:18" ht="18" customHeight="1">
      <c r="A68" s="17">
        <v>4</v>
      </c>
      <c r="B68" s="18" t="s">
        <v>102</v>
      </c>
      <c r="C68" s="18">
        <v>2</v>
      </c>
      <c r="D68" s="18" t="s">
        <v>104</v>
      </c>
      <c r="E68" s="18">
        <v>1</v>
      </c>
      <c r="F68" s="18" t="s">
        <v>175</v>
      </c>
      <c r="G68" s="18">
        <v>1</v>
      </c>
      <c r="H68" s="18" t="s">
        <v>175</v>
      </c>
      <c r="I68" s="18">
        <v>1</v>
      </c>
      <c r="J68" s="23" t="s">
        <v>176</v>
      </c>
      <c r="K68" s="21"/>
      <c r="L68" s="21"/>
      <c r="M68" s="21"/>
      <c r="N68" s="19"/>
      <c r="O68" s="21"/>
      <c r="P68" s="22" t="s">
        <v>155</v>
      </c>
      <c r="Q68" s="21"/>
      <c r="R68" s="31" t="s">
        <v>62</v>
      </c>
    </row>
    <row r="69" spans="1:18" ht="18" customHeight="1">
      <c r="A69" s="17">
        <v>4</v>
      </c>
      <c r="B69" s="18" t="s">
        <v>102</v>
      </c>
      <c r="C69" s="18">
        <v>2</v>
      </c>
      <c r="D69" s="18" t="s">
        <v>104</v>
      </c>
      <c r="E69" s="18">
        <v>1</v>
      </c>
      <c r="F69" s="18" t="s">
        <v>175</v>
      </c>
      <c r="G69" s="18">
        <v>1</v>
      </c>
      <c r="H69" s="18" t="s">
        <v>175</v>
      </c>
      <c r="I69" s="18">
        <v>1</v>
      </c>
      <c r="J69" s="23" t="s">
        <v>176</v>
      </c>
      <c r="K69" s="21"/>
      <c r="L69" s="21"/>
      <c r="M69" s="21"/>
      <c r="N69" s="19"/>
      <c r="O69" s="21"/>
      <c r="P69" s="22" t="s">
        <v>160</v>
      </c>
      <c r="Q69" s="21">
        <v>30</v>
      </c>
      <c r="R69" s="31" t="s">
        <v>62</v>
      </c>
    </row>
    <row r="70" spans="1:18" ht="18" customHeight="1">
      <c r="A70" s="17">
        <v>4</v>
      </c>
      <c r="B70" s="18" t="s">
        <v>102</v>
      </c>
      <c r="C70" s="18">
        <v>2</v>
      </c>
      <c r="D70" s="18" t="s">
        <v>104</v>
      </c>
      <c r="E70" s="18">
        <v>1</v>
      </c>
      <c r="F70" s="18" t="s">
        <v>175</v>
      </c>
      <c r="G70" s="18">
        <v>1</v>
      </c>
      <c r="H70" s="18" t="s">
        <v>175</v>
      </c>
      <c r="I70" s="18">
        <v>1</v>
      </c>
      <c r="J70" s="23" t="s">
        <v>176</v>
      </c>
      <c r="K70" s="21"/>
      <c r="L70" s="21"/>
      <c r="M70" s="21"/>
      <c r="N70" s="19"/>
      <c r="O70" s="21"/>
      <c r="P70" s="22" t="s">
        <v>161</v>
      </c>
      <c r="Q70" s="21"/>
      <c r="R70" s="31" t="s">
        <v>62</v>
      </c>
    </row>
    <row r="71" spans="1:18" ht="18" customHeight="1">
      <c r="A71" s="17">
        <v>4</v>
      </c>
      <c r="B71" s="18" t="s">
        <v>102</v>
      </c>
      <c r="C71" s="18">
        <v>2</v>
      </c>
      <c r="D71" s="18" t="s">
        <v>104</v>
      </c>
      <c r="E71" s="18">
        <v>1</v>
      </c>
      <c r="F71" s="18" t="s">
        <v>175</v>
      </c>
      <c r="G71" s="18">
        <v>1</v>
      </c>
      <c r="H71" s="18" t="s">
        <v>175</v>
      </c>
      <c r="I71" s="18">
        <v>1</v>
      </c>
      <c r="J71" s="23" t="s">
        <v>176</v>
      </c>
      <c r="K71" s="21"/>
      <c r="L71" s="21"/>
      <c r="M71" s="21"/>
      <c r="N71" s="19"/>
      <c r="O71" s="21"/>
      <c r="P71" s="22" t="s">
        <v>162</v>
      </c>
      <c r="Q71" s="21">
        <v>111</v>
      </c>
      <c r="R71" s="31" t="s">
        <v>62</v>
      </c>
    </row>
    <row r="72" spans="1:18" ht="18" customHeight="1">
      <c r="A72" s="17">
        <v>4</v>
      </c>
      <c r="B72" s="18" t="s">
        <v>102</v>
      </c>
      <c r="C72" s="18">
        <v>2</v>
      </c>
      <c r="D72" s="18" t="s">
        <v>104</v>
      </c>
      <c r="E72" s="18">
        <v>1</v>
      </c>
      <c r="F72" s="18" t="s">
        <v>175</v>
      </c>
      <c r="G72" s="18">
        <v>1</v>
      </c>
      <c r="H72" s="18" t="s">
        <v>175</v>
      </c>
      <c r="I72" s="18">
        <v>1</v>
      </c>
      <c r="J72" s="23" t="s">
        <v>176</v>
      </c>
      <c r="K72" s="21"/>
      <c r="L72" s="21"/>
      <c r="M72" s="21"/>
      <c r="N72" s="19"/>
      <c r="O72" s="21"/>
      <c r="P72" s="22" t="s">
        <v>152</v>
      </c>
      <c r="Q72" s="21">
        <v>2053</v>
      </c>
      <c r="R72" s="31" t="s">
        <v>62</v>
      </c>
    </row>
    <row r="73" spans="1:18" ht="18" customHeight="1">
      <c r="A73" s="17">
        <v>4</v>
      </c>
      <c r="B73" s="18" t="s">
        <v>102</v>
      </c>
      <c r="C73" s="18">
        <v>2</v>
      </c>
      <c r="D73" s="18" t="s">
        <v>104</v>
      </c>
      <c r="E73" s="18">
        <v>1</v>
      </c>
      <c r="F73" s="18" t="s">
        <v>175</v>
      </c>
      <c r="G73" s="18">
        <v>1</v>
      </c>
      <c r="H73" s="18" t="s">
        <v>175</v>
      </c>
      <c r="I73" s="18">
        <v>1</v>
      </c>
      <c r="J73" s="23" t="s">
        <v>176</v>
      </c>
      <c r="K73" s="21"/>
      <c r="L73" s="21"/>
      <c r="M73" s="21"/>
      <c r="N73" s="19"/>
      <c r="O73" s="21"/>
      <c r="P73" s="22" t="s">
        <v>163</v>
      </c>
      <c r="Q73" s="21"/>
      <c r="R73" s="31" t="s">
        <v>62</v>
      </c>
    </row>
    <row r="74" spans="1:18" ht="18" customHeight="1">
      <c r="A74" s="17">
        <v>4</v>
      </c>
      <c r="B74" s="18" t="s">
        <v>102</v>
      </c>
      <c r="C74" s="18">
        <v>2</v>
      </c>
      <c r="D74" s="18" t="s">
        <v>104</v>
      </c>
      <c r="E74" s="18">
        <v>1</v>
      </c>
      <c r="F74" s="18" t="s">
        <v>175</v>
      </c>
      <c r="G74" s="18">
        <v>1</v>
      </c>
      <c r="H74" s="18" t="s">
        <v>175</v>
      </c>
      <c r="I74" s="18">
        <v>1</v>
      </c>
      <c r="J74" s="23" t="s">
        <v>176</v>
      </c>
      <c r="K74" s="21"/>
      <c r="L74" s="21"/>
      <c r="M74" s="21"/>
      <c r="N74" s="19"/>
      <c r="O74" s="21"/>
      <c r="P74" s="22" t="s">
        <v>164</v>
      </c>
      <c r="Q74" s="21">
        <v>1185</v>
      </c>
      <c r="R74" s="31" t="s">
        <v>62</v>
      </c>
    </row>
    <row r="75" spans="1:18" ht="18" customHeight="1">
      <c r="A75" s="17">
        <v>4</v>
      </c>
      <c r="B75" s="18" t="s">
        <v>102</v>
      </c>
      <c r="C75" s="18">
        <v>2</v>
      </c>
      <c r="D75" s="18" t="s">
        <v>104</v>
      </c>
      <c r="E75" s="18">
        <v>1</v>
      </c>
      <c r="F75" s="18" t="s">
        <v>175</v>
      </c>
      <c r="G75" s="18">
        <v>1</v>
      </c>
      <c r="H75" s="18" t="s">
        <v>175</v>
      </c>
      <c r="I75" s="18">
        <v>1</v>
      </c>
      <c r="J75" s="23" t="s">
        <v>176</v>
      </c>
      <c r="K75" s="21"/>
      <c r="L75" s="21"/>
      <c r="M75" s="21"/>
      <c r="N75" s="19"/>
      <c r="O75" s="21"/>
      <c r="P75" s="22" t="s">
        <v>155</v>
      </c>
      <c r="Q75" s="21"/>
      <c r="R75" s="31" t="s">
        <v>62</v>
      </c>
    </row>
    <row r="76" spans="1:18" ht="18" customHeight="1">
      <c r="A76" s="17">
        <v>4</v>
      </c>
      <c r="B76" s="18" t="s">
        <v>102</v>
      </c>
      <c r="C76" s="18">
        <v>2</v>
      </c>
      <c r="D76" s="18" t="s">
        <v>104</v>
      </c>
      <c r="E76" s="18">
        <v>1</v>
      </c>
      <c r="F76" s="18" t="s">
        <v>175</v>
      </c>
      <c r="G76" s="18">
        <v>1</v>
      </c>
      <c r="H76" s="18" t="s">
        <v>175</v>
      </c>
      <c r="I76" s="18">
        <v>1</v>
      </c>
      <c r="J76" s="23" t="s">
        <v>176</v>
      </c>
      <c r="K76" s="21"/>
      <c r="L76" s="21"/>
      <c r="M76" s="21"/>
      <c r="N76" s="19"/>
      <c r="O76" s="21"/>
      <c r="P76" s="22" t="s">
        <v>165</v>
      </c>
      <c r="Q76" s="21">
        <v>36</v>
      </c>
      <c r="R76" s="31" t="s">
        <v>62</v>
      </c>
    </row>
    <row r="77" spans="1:18" ht="18" customHeight="1">
      <c r="A77" s="17">
        <v>4</v>
      </c>
      <c r="B77" s="18" t="s">
        <v>102</v>
      </c>
      <c r="C77" s="18">
        <v>2</v>
      </c>
      <c r="D77" s="18" t="s">
        <v>104</v>
      </c>
      <c r="E77" s="18">
        <v>1</v>
      </c>
      <c r="F77" s="18" t="s">
        <v>175</v>
      </c>
      <c r="G77" s="18">
        <v>1</v>
      </c>
      <c r="H77" s="18" t="s">
        <v>175</v>
      </c>
      <c r="I77" s="18">
        <v>1</v>
      </c>
      <c r="J77" s="23" t="s">
        <v>176</v>
      </c>
      <c r="K77" s="21"/>
      <c r="L77" s="21"/>
      <c r="M77" s="21"/>
      <c r="N77" s="19"/>
      <c r="O77" s="21"/>
      <c r="P77" s="22" t="s">
        <v>166</v>
      </c>
      <c r="Q77" s="21"/>
      <c r="R77" s="31" t="s">
        <v>62</v>
      </c>
    </row>
    <row r="78" spans="1:18" ht="18" customHeight="1">
      <c r="A78" s="17">
        <v>4</v>
      </c>
      <c r="B78" s="18" t="s">
        <v>102</v>
      </c>
      <c r="C78" s="18">
        <v>2</v>
      </c>
      <c r="D78" s="18" t="s">
        <v>104</v>
      </c>
      <c r="E78" s="18">
        <v>1</v>
      </c>
      <c r="F78" s="18" t="s">
        <v>175</v>
      </c>
      <c r="G78" s="18">
        <v>1</v>
      </c>
      <c r="H78" s="18" t="s">
        <v>175</v>
      </c>
      <c r="I78" s="18">
        <v>1</v>
      </c>
      <c r="J78" s="23" t="s">
        <v>176</v>
      </c>
      <c r="K78" s="21"/>
      <c r="L78" s="21"/>
      <c r="M78" s="21"/>
      <c r="N78" s="19"/>
      <c r="O78" s="21"/>
      <c r="P78" s="22" t="s">
        <v>167</v>
      </c>
      <c r="Q78" s="21">
        <v>9</v>
      </c>
      <c r="R78" s="31" t="s">
        <v>62</v>
      </c>
    </row>
    <row r="79" spans="1:18" ht="18" customHeight="1">
      <c r="A79" s="17">
        <v>4</v>
      </c>
      <c r="B79" s="18" t="s">
        <v>102</v>
      </c>
      <c r="C79" s="18">
        <v>2</v>
      </c>
      <c r="D79" s="18" t="s">
        <v>104</v>
      </c>
      <c r="E79" s="18">
        <v>1</v>
      </c>
      <c r="F79" s="18" t="s">
        <v>175</v>
      </c>
      <c r="G79" s="18">
        <v>1</v>
      </c>
      <c r="H79" s="18" t="s">
        <v>175</v>
      </c>
      <c r="I79" s="18">
        <v>1</v>
      </c>
      <c r="J79" s="23" t="s">
        <v>176</v>
      </c>
      <c r="K79" s="21"/>
      <c r="L79" s="21"/>
      <c r="M79" s="21"/>
      <c r="N79" s="19"/>
      <c r="O79" s="21"/>
      <c r="P79" s="22" t="s">
        <v>161</v>
      </c>
      <c r="Q79" s="21"/>
      <c r="R79" s="31" t="s">
        <v>62</v>
      </c>
    </row>
    <row r="80" spans="1:18" ht="18" customHeight="1">
      <c r="A80" s="17">
        <v>4</v>
      </c>
      <c r="B80" s="18" t="s">
        <v>102</v>
      </c>
      <c r="C80" s="18">
        <v>2</v>
      </c>
      <c r="D80" s="18" t="s">
        <v>104</v>
      </c>
      <c r="E80" s="18">
        <v>1</v>
      </c>
      <c r="F80" s="18" t="s">
        <v>175</v>
      </c>
      <c r="G80" s="18">
        <v>1</v>
      </c>
      <c r="H80" s="18" t="s">
        <v>175</v>
      </c>
      <c r="I80" s="18">
        <v>1</v>
      </c>
      <c r="J80" s="23" t="s">
        <v>176</v>
      </c>
      <c r="K80" s="21"/>
      <c r="L80" s="21"/>
      <c r="M80" s="21"/>
      <c r="N80" s="19"/>
      <c r="O80" s="21"/>
      <c r="P80" s="22" t="s">
        <v>168</v>
      </c>
      <c r="Q80" s="21">
        <v>30</v>
      </c>
      <c r="R80" s="31" t="s">
        <v>62</v>
      </c>
    </row>
    <row r="81" spans="1:18" ht="18" customHeight="1">
      <c r="A81" s="17">
        <v>4</v>
      </c>
      <c r="B81" s="18" t="s">
        <v>102</v>
      </c>
      <c r="C81" s="18">
        <v>2</v>
      </c>
      <c r="D81" s="18" t="s">
        <v>104</v>
      </c>
      <c r="E81" s="18">
        <v>1</v>
      </c>
      <c r="F81" s="18" t="s">
        <v>175</v>
      </c>
      <c r="G81" s="18">
        <v>1</v>
      </c>
      <c r="H81" s="18" t="s">
        <v>175</v>
      </c>
      <c r="I81" s="18">
        <v>1</v>
      </c>
      <c r="J81" s="23" t="s">
        <v>176</v>
      </c>
      <c r="K81" s="21"/>
      <c r="L81" s="21"/>
      <c r="M81" s="21"/>
      <c r="N81" s="19"/>
      <c r="O81" s="21"/>
      <c r="P81" s="22" t="s">
        <v>164</v>
      </c>
      <c r="Q81" s="21">
        <v>178</v>
      </c>
      <c r="R81" s="31" t="s">
        <v>62</v>
      </c>
    </row>
    <row r="82" spans="1:18" ht="18" customHeight="1">
      <c r="A82" s="17">
        <v>4</v>
      </c>
      <c r="B82" s="18" t="s">
        <v>102</v>
      </c>
      <c r="C82" s="18">
        <v>2</v>
      </c>
      <c r="D82" s="18" t="s">
        <v>104</v>
      </c>
      <c r="E82" s="18">
        <v>1</v>
      </c>
      <c r="F82" s="18" t="s">
        <v>175</v>
      </c>
      <c r="G82" s="18">
        <v>1</v>
      </c>
      <c r="H82" s="18" t="s">
        <v>175</v>
      </c>
      <c r="I82" s="18">
        <v>1</v>
      </c>
      <c r="J82" s="23" t="s">
        <v>176</v>
      </c>
      <c r="K82" s="21"/>
      <c r="L82" s="21"/>
      <c r="M82" s="21"/>
      <c r="N82" s="19"/>
      <c r="O82" s="21"/>
      <c r="P82" s="22" t="s">
        <v>163</v>
      </c>
      <c r="Q82" s="21"/>
      <c r="R82" s="31" t="s">
        <v>62</v>
      </c>
    </row>
    <row r="83" spans="1:18" ht="18" customHeight="1">
      <c r="A83" s="17">
        <v>4</v>
      </c>
      <c r="B83" s="18" t="s">
        <v>102</v>
      </c>
      <c r="C83" s="18">
        <v>2</v>
      </c>
      <c r="D83" s="18" t="s">
        <v>104</v>
      </c>
      <c r="E83" s="18">
        <v>1</v>
      </c>
      <c r="F83" s="18" t="s">
        <v>175</v>
      </c>
      <c r="G83" s="18">
        <v>1</v>
      </c>
      <c r="H83" s="18" t="s">
        <v>175</v>
      </c>
      <c r="I83" s="18">
        <v>1</v>
      </c>
      <c r="J83" s="23" t="s">
        <v>176</v>
      </c>
      <c r="K83" s="21"/>
      <c r="L83" s="21"/>
      <c r="M83" s="21"/>
      <c r="N83" s="19"/>
      <c r="O83" s="21"/>
      <c r="P83" s="22" t="s">
        <v>117</v>
      </c>
      <c r="Q83" s="21">
        <v>36</v>
      </c>
      <c r="R83" s="31" t="s">
        <v>62</v>
      </c>
    </row>
    <row r="84" spans="1:18" ht="18" customHeight="1">
      <c r="A84" s="17">
        <v>4</v>
      </c>
      <c r="B84" s="18" t="s">
        <v>102</v>
      </c>
      <c r="C84" s="18">
        <v>2</v>
      </c>
      <c r="D84" s="18" t="s">
        <v>104</v>
      </c>
      <c r="E84" s="18">
        <v>1</v>
      </c>
      <c r="F84" s="18" t="s">
        <v>175</v>
      </c>
      <c r="G84" s="18">
        <v>1</v>
      </c>
      <c r="H84" s="18" t="s">
        <v>175</v>
      </c>
      <c r="I84" s="18">
        <v>1</v>
      </c>
      <c r="J84" s="23" t="s">
        <v>176</v>
      </c>
      <c r="K84" s="21"/>
      <c r="L84" s="21"/>
      <c r="M84" s="21"/>
      <c r="N84" s="19"/>
      <c r="O84" s="21"/>
      <c r="P84" s="22" t="s">
        <v>178</v>
      </c>
      <c r="Q84" s="21">
        <v>1418</v>
      </c>
      <c r="R84" s="31" t="s">
        <v>62</v>
      </c>
    </row>
    <row r="85" spans="1:18" ht="18" customHeight="1">
      <c r="A85" s="17">
        <v>4</v>
      </c>
      <c r="B85" s="18" t="s">
        <v>102</v>
      </c>
      <c r="C85" s="18">
        <v>2</v>
      </c>
      <c r="D85" s="18" t="s">
        <v>104</v>
      </c>
      <c r="E85" s="18">
        <v>1</v>
      </c>
      <c r="F85" s="18" t="s">
        <v>175</v>
      </c>
      <c r="G85" s="18">
        <v>1</v>
      </c>
      <c r="H85" s="18" t="s">
        <v>175</v>
      </c>
      <c r="I85" s="18">
        <v>1</v>
      </c>
      <c r="J85" s="23" t="s">
        <v>176</v>
      </c>
      <c r="K85" s="21"/>
      <c r="L85" s="21"/>
      <c r="M85" s="21"/>
      <c r="N85" s="19"/>
      <c r="O85" s="21"/>
      <c r="P85" s="22" t="s">
        <v>172</v>
      </c>
      <c r="Q85" s="21">
        <v>125</v>
      </c>
      <c r="R85" s="31" t="s">
        <v>62</v>
      </c>
    </row>
    <row r="86" spans="1:18" ht="18" customHeight="1">
      <c r="A86" s="17">
        <v>4</v>
      </c>
      <c r="B86" s="18" t="s">
        <v>102</v>
      </c>
      <c r="C86" s="18">
        <v>2</v>
      </c>
      <c r="D86" s="18" t="s">
        <v>104</v>
      </c>
      <c r="E86" s="18">
        <v>1</v>
      </c>
      <c r="F86" s="18" t="s">
        <v>175</v>
      </c>
      <c r="G86" s="18">
        <v>1</v>
      </c>
      <c r="H86" s="18" t="s">
        <v>175</v>
      </c>
      <c r="I86" s="18">
        <v>1</v>
      </c>
      <c r="J86" s="23" t="s">
        <v>176</v>
      </c>
      <c r="K86" s="21"/>
      <c r="L86" s="21"/>
      <c r="M86" s="21"/>
      <c r="N86" s="19"/>
      <c r="O86" s="21"/>
      <c r="P86" s="22" t="s">
        <v>171</v>
      </c>
      <c r="Q86" s="21"/>
      <c r="R86" s="31" t="s">
        <v>62</v>
      </c>
    </row>
    <row r="87" spans="1:18" ht="18" customHeight="1">
      <c r="A87" s="17">
        <v>4</v>
      </c>
      <c r="B87" s="18" t="s">
        <v>102</v>
      </c>
      <c r="C87" s="18">
        <v>2</v>
      </c>
      <c r="D87" s="18" t="s">
        <v>104</v>
      </c>
      <c r="E87" s="18">
        <v>1</v>
      </c>
      <c r="F87" s="18" t="s">
        <v>175</v>
      </c>
      <c r="G87" s="18">
        <v>1</v>
      </c>
      <c r="H87" s="18" t="s">
        <v>175</v>
      </c>
      <c r="I87" s="18">
        <v>1</v>
      </c>
      <c r="J87" s="23" t="s">
        <v>176</v>
      </c>
      <c r="K87" s="21"/>
      <c r="L87" s="21"/>
      <c r="M87" s="21"/>
      <c r="N87" s="19"/>
      <c r="O87" s="21"/>
      <c r="P87" s="22" t="s">
        <v>172</v>
      </c>
      <c r="Q87" s="21">
        <v>2</v>
      </c>
      <c r="R87" s="31" t="s">
        <v>62</v>
      </c>
    </row>
    <row r="88" spans="1:18" ht="18" customHeight="1">
      <c r="A88" s="17">
        <v>4</v>
      </c>
      <c r="B88" s="18" t="s">
        <v>102</v>
      </c>
      <c r="C88" s="18">
        <v>2</v>
      </c>
      <c r="D88" s="18" t="s">
        <v>104</v>
      </c>
      <c r="E88" s="18">
        <v>1</v>
      </c>
      <c r="F88" s="18" t="s">
        <v>175</v>
      </c>
      <c r="G88" s="18">
        <v>1</v>
      </c>
      <c r="H88" s="18" t="s">
        <v>175</v>
      </c>
      <c r="I88" s="18">
        <v>1</v>
      </c>
      <c r="J88" s="23" t="s">
        <v>176</v>
      </c>
      <c r="K88" s="21"/>
      <c r="L88" s="21"/>
      <c r="M88" s="21"/>
      <c r="N88" s="19"/>
      <c r="O88" s="21"/>
      <c r="P88" s="22" t="s">
        <v>173</v>
      </c>
      <c r="Q88" s="21"/>
      <c r="R88" s="31" t="s">
        <v>62</v>
      </c>
    </row>
    <row r="89" spans="1:18" ht="18" customHeight="1">
      <c r="A89" s="17">
        <v>4</v>
      </c>
      <c r="B89" s="18" t="s">
        <v>102</v>
      </c>
      <c r="C89" s="18">
        <v>2</v>
      </c>
      <c r="D89" s="18" t="s">
        <v>104</v>
      </c>
      <c r="E89" s="18">
        <v>1</v>
      </c>
      <c r="F89" s="18" t="s">
        <v>175</v>
      </c>
      <c r="G89" s="18">
        <v>1</v>
      </c>
      <c r="H89" s="18" t="s">
        <v>175</v>
      </c>
      <c r="I89" s="18">
        <v>1</v>
      </c>
      <c r="J89" s="23" t="s">
        <v>176</v>
      </c>
      <c r="K89" s="21"/>
      <c r="L89" s="21"/>
      <c r="M89" s="21"/>
      <c r="N89" s="19"/>
      <c r="O89" s="21"/>
      <c r="P89" s="22" t="s">
        <v>174</v>
      </c>
      <c r="Q89" s="21">
        <v>2284</v>
      </c>
      <c r="R89" s="31" t="s">
        <v>62</v>
      </c>
    </row>
    <row r="90" spans="1:18" ht="18" customHeight="1">
      <c r="A90" s="17">
        <v>4</v>
      </c>
      <c r="B90" s="18" t="s">
        <v>102</v>
      </c>
      <c r="C90" s="18">
        <v>2</v>
      </c>
      <c r="D90" s="18" t="s">
        <v>104</v>
      </c>
      <c r="E90" s="18">
        <v>1</v>
      </c>
      <c r="F90" s="18" t="s">
        <v>175</v>
      </c>
      <c r="G90" s="18">
        <v>1</v>
      </c>
      <c r="H90" s="18" t="s">
        <v>175</v>
      </c>
      <c r="I90" s="18">
        <v>1</v>
      </c>
      <c r="J90" s="23" t="s">
        <v>176</v>
      </c>
      <c r="K90" s="21"/>
      <c r="L90" s="21"/>
      <c r="M90" s="21"/>
      <c r="N90" s="19"/>
      <c r="O90" s="21"/>
      <c r="P90" s="22" t="s">
        <v>171</v>
      </c>
      <c r="Q90" s="21"/>
      <c r="R90" s="31" t="s">
        <v>62</v>
      </c>
    </row>
    <row r="91" spans="1:18" ht="18" customHeight="1">
      <c r="A91" s="17">
        <v>4</v>
      </c>
      <c r="B91" s="18" t="s">
        <v>102</v>
      </c>
      <c r="C91" s="18">
        <v>2</v>
      </c>
      <c r="D91" s="18" t="s">
        <v>104</v>
      </c>
      <c r="E91" s="18">
        <v>1</v>
      </c>
      <c r="F91" s="18" t="s">
        <v>175</v>
      </c>
      <c r="G91" s="18">
        <v>1</v>
      </c>
      <c r="H91" s="18" t="s">
        <v>175</v>
      </c>
      <c r="I91" s="18">
        <v>1</v>
      </c>
      <c r="J91" s="23" t="s">
        <v>176</v>
      </c>
      <c r="K91" s="21"/>
      <c r="L91" s="21"/>
      <c r="M91" s="21"/>
      <c r="N91" s="19"/>
      <c r="O91" s="21"/>
      <c r="P91" s="22" t="s">
        <v>174</v>
      </c>
      <c r="Q91" s="21">
        <v>6</v>
      </c>
      <c r="R91" s="31" t="s">
        <v>62</v>
      </c>
    </row>
    <row r="92" spans="1:18" ht="18" customHeight="1">
      <c r="A92" s="17">
        <v>4</v>
      </c>
      <c r="B92" s="18" t="s">
        <v>102</v>
      </c>
      <c r="C92" s="18">
        <v>2</v>
      </c>
      <c r="D92" s="18" t="s">
        <v>104</v>
      </c>
      <c r="E92" s="18">
        <v>1</v>
      </c>
      <c r="F92" s="18" t="s">
        <v>175</v>
      </c>
      <c r="G92" s="18">
        <v>1</v>
      </c>
      <c r="H92" s="18" t="s">
        <v>175</v>
      </c>
      <c r="I92" s="18">
        <v>1</v>
      </c>
      <c r="J92" s="23" t="s">
        <v>176</v>
      </c>
      <c r="K92" s="21"/>
      <c r="L92" s="21"/>
      <c r="M92" s="21"/>
      <c r="N92" s="19"/>
      <c r="O92" s="21"/>
      <c r="P92" s="22" t="s">
        <v>173</v>
      </c>
      <c r="Q92" s="21"/>
      <c r="R92" s="31" t="s">
        <v>62</v>
      </c>
    </row>
    <row r="93" spans="1:18" ht="18" customHeight="1">
      <c r="A93" s="2">
        <v>4</v>
      </c>
      <c r="B93" s="3" t="s">
        <v>102</v>
      </c>
      <c r="C93" s="10">
        <v>2</v>
      </c>
      <c r="D93" s="3" t="s">
        <v>104</v>
      </c>
      <c r="E93" s="11">
        <v>2</v>
      </c>
      <c r="F93" s="12" t="s">
        <v>179</v>
      </c>
      <c r="G93" s="11"/>
      <c r="H93" s="12"/>
      <c r="I93" s="11"/>
      <c r="J93" s="11"/>
      <c r="K93" s="13">
        <f>IF(C93="",SUMIFS($K94:$K$746,$A94:$A$746,A93,$E94:$E$746,""),IF(E93="",SUMIFS($K94:$K$746,$A94:$A$746,A93,$C94:$C$746,C93,$G94:$G$746,""),IF(G93="",SUMIFS($K94:$K$746,$A94:$A$746,A93,$C94:$C$746,C93,$E94:$E$746,E93),0)))</f>
        <v>2485</v>
      </c>
      <c r="L93" s="13">
        <f>IF(C93="",SUMIFS($L94:$L$746,$A94:$A$746,A93,$E94:$E$746,""),IF(E93="",SUMIFS($L94:$L$746,$A94:$A$746,A93,$C94:$C$746,C93,$G94:$G$746,""),IF(G93="",SUMIFS($L94:$L$746,$A94:$A$746,A93,$C94:$C$746,C93,$E94:$E$746,E93),0)))</f>
        <v>2555</v>
      </c>
      <c r="M93" s="13">
        <f t="shared" ref="M93" si="11">K93-L93</f>
        <v>-70</v>
      </c>
      <c r="N93" s="14"/>
      <c r="O93" s="15"/>
      <c r="P93" s="16"/>
      <c r="Q93" s="13">
        <f>IF(C93="",SUMIFS($Q$3:$Q$746,$A$3:$A$746,A93,$C$3:$C$746,"&gt;0",$E$3:$E$746,""),IF(E93="",SUMIFS($Q$3:$Q$746,$A$3:$A$746,A93,$C$3:$C$746,C93,$E$3:$E$746,"&gt;0",$G$3:$G$746,""),IF(G93="",SUMIFS($Q$3:$Q$746,$A$3:$A$746,A93,$C$3:$C$746,C93,$E$3:$E$746,E93,$G$3:$G$746,"&gt;0"))))</f>
        <v>2485</v>
      </c>
      <c r="R93" s="13" t="s">
        <v>62</v>
      </c>
    </row>
    <row r="94" spans="1:18" ht="18" customHeight="1">
      <c r="A94" s="17">
        <v>4</v>
      </c>
      <c r="B94" s="18" t="s">
        <v>102</v>
      </c>
      <c r="C94" s="18">
        <v>2</v>
      </c>
      <c r="D94" s="18" t="s">
        <v>104</v>
      </c>
      <c r="E94" s="18">
        <v>2</v>
      </c>
      <c r="F94" s="18" t="s">
        <v>179</v>
      </c>
      <c r="G94" s="20">
        <v>1</v>
      </c>
      <c r="H94" s="20" t="s">
        <v>115</v>
      </c>
      <c r="I94" s="20"/>
      <c r="J94" s="19"/>
      <c r="K94" s="21"/>
      <c r="L94" s="21"/>
      <c r="M94" s="21"/>
      <c r="N94" s="19"/>
      <c r="O94" s="21"/>
      <c r="P94" s="22" t="s">
        <v>139</v>
      </c>
      <c r="Q94" s="21">
        <v>1529</v>
      </c>
      <c r="R94" s="31" t="s">
        <v>62</v>
      </c>
    </row>
    <row r="95" spans="1:18" ht="18" customHeight="1">
      <c r="A95" s="17">
        <v>4</v>
      </c>
      <c r="B95" s="18" t="s">
        <v>102</v>
      </c>
      <c r="C95" s="18">
        <v>2</v>
      </c>
      <c r="D95" s="18" t="s">
        <v>104</v>
      </c>
      <c r="E95" s="18">
        <v>2</v>
      </c>
      <c r="F95" s="18" t="s">
        <v>179</v>
      </c>
      <c r="G95" s="18">
        <v>1</v>
      </c>
      <c r="H95" s="18" t="s">
        <v>115</v>
      </c>
      <c r="I95" s="20">
        <v>1</v>
      </c>
      <c r="J95" s="19" t="s">
        <v>179</v>
      </c>
      <c r="K95" s="21">
        <v>2485</v>
      </c>
      <c r="L95" s="21">
        <v>2555</v>
      </c>
      <c r="M95" s="21">
        <f t="shared" ref="M95" si="12">K95-L95</f>
        <v>-70</v>
      </c>
      <c r="N95" s="19" t="s">
        <v>180</v>
      </c>
      <c r="O95" s="21"/>
      <c r="P95" s="22" t="s">
        <v>142</v>
      </c>
      <c r="Q95" s="21"/>
      <c r="R95" s="31" t="s">
        <v>62</v>
      </c>
    </row>
    <row r="96" spans="1:18" ht="18" customHeight="1">
      <c r="A96" s="17">
        <v>4</v>
      </c>
      <c r="B96" s="18" t="s">
        <v>102</v>
      </c>
      <c r="C96" s="18">
        <v>2</v>
      </c>
      <c r="D96" s="18" t="s">
        <v>104</v>
      </c>
      <c r="E96" s="18">
        <v>2</v>
      </c>
      <c r="F96" s="18" t="s">
        <v>179</v>
      </c>
      <c r="G96" s="18">
        <v>1</v>
      </c>
      <c r="H96" s="18" t="s">
        <v>115</v>
      </c>
      <c r="I96" s="18">
        <v>1</v>
      </c>
      <c r="J96" s="23" t="s">
        <v>179</v>
      </c>
      <c r="K96" s="21"/>
      <c r="L96" s="21"/>
      <c r="M96" s="21"/>
      <c r="N96" s="19" t="s">
        <v>181</v>
      </c>
      <c r="O96" s="21">
        <v>2485200</v>
      </c>
      <c r="P96" s="22" t="s">
        <v>182</v>
      </c>
      <c r="Q96" s="21">
        <v>952</v>
      </c>
      <c r="R96" s="31" t="s">
        <v>62</v>
      </c>
    </row>
    <row r="97" spans="1:18" ht="18" customHeight="1">
      <c r="A97" s="17">
        <v>4</v>
      </c>
      <c r="B97" s="18" t="s">
        <v>102</v>
      </c>
      <c r="C97" s="18">
        <v>2</v>
      </c>
      <c r="D97" s="18" t="s">
        <v>104</v>
      </c>
      <c r="E97" s="18">
        <v>2</v>
      </c>
      <c r="F97" s="18" t="s">
        <v>179</v>
      </c>
      <c r="G97" s="18">
        <v>1</v>
      </c>
      <c r="H97" s="18" t="s">
        <v>115</v>
      </c>
      <c r="I97" s="18">
        <v>1</v>
      </c>
      <c r="J97" s="23" t="s">
        <v>179</v>
      </c>
      <c r="K97" s="21"/>
      <c r="L97" s="21"/>
      <c r="M97" s="21"/>
      <c r="N97" s="19"/>
      <c r="O97" s="21"/>
      <c r="P97" s="22" t="s">
        <v>117</v>
      </c>
      <c r="Q97" s="21">
        <v>4</v>
      </c>
      <c r="R97" s="31" t="s">
        <v>62</v>
      </c>
    </row>
    <row r="98" spans="1:18" ht="18" customHeight="1">
      <c r="A98" s="2">
        <v>4</v>
      </c>
      <c r="B98" s="3" t="s">
        <v>102</v>
      </c>
      <c r="C98" s="10">
        <v>2</v>
      </c>
      <c r="D98" s="3" t="s">
        <v>104</v>
      </c>
      <c r="E98" s="11">
        <v>3</v>
      </c>
      <c r="F98" s="12" t="s">
        <v>183</v>
      </c>
      <c r="G98" s="11"/>
      <c r="H98" s="12"/>
      <c r="I98" s="11"/>
      <c r="J98" s="11"/>
      <c r="K98" s="13">
        <f>IF(C98="",SUMIFS($K99:$K$746,$A99:$A$746,A98,$E99:$E$746,""),IF(E98="",SUMIFS($K99:$K$746,$A99:$A$746,A98,$C99:$C$746,C98,$G99:$G$746,""),IF(G98="",SUMIFS($K99:$K$746,$A99:$A$746,A98,$C99:$C$746,C98,$E99:$E$746,E98),0)))</f>
        <v>9780</v>
      </c>
      <c r="L98" s="13">
        <f>IF(C98="",SUMIFS($L99:$L$746,$A99:$A$746,A98,$E99:$E$746,""),IF(E98="",SUMIFS($L99:$L$746,$A99:$A$746,A98,$C99:$C$746,C98,$G99:$G$746,""),IF(G98="",SUMIFS($L99:$L$746,$A99:$A$746,A98,$C99:$C$746,C98,$E99:$E$746,E98),0)))</f>
        <v>9983</v>
      </c>
      <c r="M98" s="13">
        <f t="shared" ref="M98" si="13">K98-L98</f>
        <v>-203</v>
      </c>
      <c r="N98" s="14"/>
      <c r="O98" s="15"/>
      <c r="P98" s="16"/>
      <c r="Q98" s="13">
        <f>IF(C98="",SUMIFS($Q$3:$Q$746,$A$3:$A$746,A98,$C$3:$C$746,"&gt;0",$E$3:$E$746,""),IF(E98="",SUMIFS($Q$3:$Q$746,$A$3:$A$746,A98,$C$3:$C$746,C98,$E$3:$E$746,"&gt;0",$G$3:$G$746,""),IF(G98="",SUMIFS($Q$3:$Q$746,$A$3:$A$746,A98,$C$3:$C$746,C98,$E$3:$E$746,E98,$G$3:$G$746,"&gt;0"))))</f>
        <v>9780</v>
      </c>
      <c r="R98" s="13" t="s">
        <v>62</v>
      </c>
    </row>
    <row r="99" spans="1:18" ht="18" customHeight="1">
      <c r="A99" s="17">
        <v>4</v>
      </c>
      <c r="B99" s="18" t="s">
        <v>102</v>
      </c>
      <c r="C99" s="18">
        <v>2</v>
      </c>
      <c r="D99" s="18" t="s">
        <v>104</v>
      </c>
      <c r="E99" s="18">
        <v>3</v>
      </c>
      <c r="F99" s="18" t="s">
        <v>183</v>
      </c>
      <c r="G99" s="20">
        <v>1</v>
      </c>
      <c r="H99" s="20" t="s">
        <v>115</v>
      </c>
      <c r="I99" s="20"/>
      <c r="J99" s="19"/>
      <c r="K99" s="21"/>
      <c r="L99" s="21"/>
      <c r="M99" s="21"/>
      <c r="N99" s="19"/>
      <c r="O99" s="21"/>
      <c r="P99" s="22" t="s">
        <v>184</v>
      </c>
      <c r="Q99" s="21">
        <v>6565</v>
      </c>
      <c r="R99" s="31" t="s">
        <v>62</v>
      </c>
    </row>
    <row r="100" spans="1:18" ht="18" customHeight="1">
      <c r="A100" s="17">
        <v>4</v>
      </c>
      <c r="B100" s="18" t="s">
        <v>102</v>
      </c>
      <c r="C100" s="18">
        <v>2</v>
      </c>
      <c r="D100" s="18" t="s">
        <v>104</v>
      </c>
      <c r="E100" s="18">
        <v>3</v>
      </c>
      <c r="F100" s="18" t="s">
        <v>183</v>
      </c>
      <c r="G100" s="18">
        <v>1</v>
      </c>
      <c r="H100" s="18" t="s">
        <v>115</v>
      </c>
      <c r="I100" s="20">
        <v>1</v>
      </c>
      <c r="J100" s="19" t="s">
        <v>183</v>
      </c>
      <c r="K100" s="21">
        <v>9780</v>
      </c>
      <c r="L100" s="21">
        <v>9983</v>
      </c>
      <c r="M100" s="21">
        <f t="shared" ref="M100" si="14">K100-L100</f>
        <v>-203</v>
      </c>
      <c r="N100" s="19" t="s">
        <v>185</v>
      </c>
      <c r="O100" s="21"/>
      <c r="P100" s="22" t="s">
        <v>186</v>
      </c>
      <c r="Q100" s="21"/>
      <c r="R100" s="31" t="s">
        <v>62</v>
      </c>
    </row>
    <row r="101" spans="1:18" ht="18" customHeight="1">
      <c r="A101" s="17">
        <v>4</v>
      </c>
      <c r="B101" s="18" t="s">
        <v>102</v>
      </c>
      <c r="C101" s="18">
        <v>2</v>
      </c>
      <c r="D101" s="18" t="s">
        <v>104</v>
      </c>
      <c r="E101" s="18">
        <v>3</v>
      </c>
      <c r="F101" s="18" t="s">
        <v>183</v>
      </c>
      <c r="G101" s="18">
        <v>1</v>
      </c>
      <c r="H101" s="18" t="s">
        <v>115</v>
      </c>
      <c r="I101" s="18">
        <v>1</v>
      </c>
      <c r="J101" s="23" t="s">
        <v>183</v>
      </c>
      <c r="K101" s="21"/>
      <c r="L101" s="21"/>
      <c r="M101" s="21"/>
      <c r="N101" s="19" t="s">
        <v>187</v>
      </c>
      <c r="O101" s="21">
        <v>9780155</v>
      </c>
      <c r="P101" s="22" t="s">
        <v>136</v>
      </c>
      <c r="Q101" s="21">
        <v>2100</v>
      </c>
      <c r="R101" s="31" t="s">
        <v>62</v>
      </c>
    </row>
    <row r="102" spans="1:18" ht="18" customHeight="1">
      <c r="A102" s="17">
        <v>4</v>
      </c>
      <c r="B102" s="18" t="s">
        <v>102</v>
      </c>
      <c r="C102" s="18">
        <v>2</v>
      </c>
      <c r="D102" s="18" t="s">
        <v>104</v>
      </c>
      <c r="E102" s="18">
        <v>3</v>
      </c>
      <c r="F102" s="18" t="s">
        <v>183</v>
      </c>
      <c r="G102" s="18">
        <v>1</v>
      </c>
      <c r="H102" s="18" t="s">
        <v>115</v>
      </c>
      <c r="I102" s="18">
        <v>1</v>
      </c>
      <c r="J102" s="23" t="s">
        <v>183</v>
      </c>
      <c r="K102" s="21"/>
      <c r="L102" s="21"/>
      <c r="M102" s="21"/>
      <c r="N102" s="19"/>
      <c r="O102" s="21"/>
      <c r="P102" s="22" t="s">
        <v>188</v>
      </c>
      <c r="Q102" s="21">
        <v>92</v>
      </c>
      <c r="R102" s="31" t="s">
        <v>62</v>
      </c>
    </row>
    <row r="103" spans="1:18" ht="18" customHeight="1">
      <c r="A103" s="17">
        <v>4</v>
      </c>
      <c r="B103" s="18" t="s">
        <v>102</v>
      </c>
      <c r="C103" s="18">
        <v>2</v>
      </c>
      <c r="D103" s="18" t="s">
        <v>104</v>
      </c>
      <c r="E103" s="18">
        <v>3</v>
      </c>
      <c r="F103" s="18" t="s">
        <v>183</v>
      </c>
      <c r="G103" s="18">
        <v>1</v>
      </c>
      <c r="H103" s="18" t="s">
        <v>115</v>
      </c>
      <c r="I103" s="18">
        <v>1</v>
      </c>
      <c r="J103" s="23" t="s">
        <v>183</v>
      </c>
      <c r="K103" s="21"/>
      <c r="L103" s="21"/>
      <c r="M103" s="21"/>
      <c r="N103" s="19"/>
      <c r="O103" s="21"/>
      <c r="P103" s="22" t="s">
        <v>189</v>
      </c>
      <c r="Q103" s="21"/>
      <c r="R103" s="31" t="s">
        <v>62</v>
      </c>
    </row>
    <row r="104" spans="1:18" ht="18" customHeight="1">
      <c r="A104" s="17">
        <v>4</v>
      </c>
      <c r="B104" s="18" t="s">
        <v>102</v>
      </c>
      <c r="C104" s="18">
        <v>2</v>
      </c>
      <c r="D104" s="18" t="s">
        <v>104</v>
      </c>
      <c r="E104" s="18">
        <v>3</v>
      </c>
      <c r="F104" s="18" t="s">
        <v>183</v>
      </c>
      <c r="G104" s="18">
        <v>1</v>
      </c>
      <c r="H104" s="18" t="s">
        <v>115</v>
      </c>
      <c r="I104" s="18">
        <v>1</v>
      </c>
      <c r="J104" s="23" t="s">
        <v>183</v>
      </c>
      <c r="K104" s="21"/>
      <c r="L104" s="21"/>
      <c r="M104" s="21"/>
      <c r="N104" s="19"/>
      <c r="O104" s="21"/>
      <c r="P104" s="22" t="s">
        <v>190</v>
      </c>
      <c r="Q104" s="21">
        <v>110</v>
      </c>
      <c r="R104" s="31" t="s">
        <v>62</v>
      </c>
    </row>
    <row r="105" spans="1:18" ht="18" customHeight="1">
      <c r="A105" s="17">
        <v>4</v>
      </c>
      <c r="B105" s="18" t="s">
        <v>102</v>
      </c>
      <c r="C105" s="18">
        <v>2</v>
      </c>
      <c r="D105" s="18" t="s">
        <v>104</v>
      </c>
      <c r="E105" s="18">
        <v>3</v>
      </c>
      <c r="F105" s="18" t="s">
        <v>183</v>
      </c>
      <c r="G105" s="18">
        <v>1</v>
      </c>
      <c r="H105" s="18" t="s">
        <v>115</v>
      </c>
      <c r="I105" s="18">
        <v>1</v>
      </c>
      <c r="J105" s="23" t="s">
        <v>183</v>
      </c>
      <c r="K105" s="21"/>
      <c r="L105" s="21"/>
      <c r="M105" s="21"/>
      <c r="N105" s="19"/>
      <c r="O105" s="21"/>
      <c r="P105" s="22" t="s">
        <v>191</v>
      </c>
      <c r="Q105" s="21"/>
      <c r="R105" s="31" t="s">
        <v>62</v>
      </c>
    </row>
    <row r="106" spans="1:18" ht="18" customHeight="1">
      <c r="A106" s="17">
        <v>4</v>
      </c>
      <c r="B106" s="18" t="s">
        <v>102</v>
      </c>
      <c r="C106" s="18">
        <v>2</v>
      </c>
      <c r="D106" s="18" t="s">
        <v>104</v>
      </c>
      <c r="E106" s="18">
        <v>3</v>
      </c>
      <c r="F106" s="18" t="s">
        <v>183</v>
      </c>
      <c r="G106" s="18">
        <v>1</v>
      </c>
      <c r="H106" s="18" t="s">
        <v>115</v>
      </c>
      <c r="I106" s="18">
        <v>1</v>
      </c>
      <c r="J106" s="23" t="s">
        <v>183</v>
      </c>
      <c r="K106" s="21"/>
      <c r="L106" s="21"/>
      <c r="M106" s="21"/>
      <c r="N106" s="19"/>
      <c r="O106" s="21"/>
      <c r="P106" s="22" t="s">
        <v>192</v>
      </c>
      <c r="Q106" s="21">
        <v>751</v>
      </c>
      <c r="R106" s="31" t="s">
        <v>62</v>
      </c>
    </row>
    <row r="107" spans="1:18" ht="18" customHeight="1">
      <c r="A107" s="17">
        <v>4</v>
      </c>
      <c r="B107" s="18" t="s">
        <v>102</v>
      </c>
      <c r="C107" s="18">
        <v>2</v>
      </c>
      <c r="D107" s="18" t="s">
        <v>104</v>
      </c>
      <c r="E107" s="18">
        <v>3</v>
      </c>
      <c r="F107" s="18" t="s">
        <v>183</v>
      </c>
      <c r="G107" s="18">
        <v>1</v>
      </c>
      <c r="H107" s="18" t="s">
        <v>115</v>
      </c>
      <c r="I107" s="18">
        <v>1</v>
      </c>
      <c r="J107" s="23" t="s">
        <v>183</v>
      </c>
      <c r="K107" s="21"/>
      <c r="L107" s="21"/>
      <c r="M107" s="21"/>
      <c r="N107" s="19"/>
      <c r="O107" s="21"/>
      <c r="P107" s="22" t="s">
        <v>150</v>
      </c>
      <c r="Q107" s="21"/>
      <c r="R107" s="31" t="s">
        <v>62</v>
      </c>
    </row>
    <row r="108" spans="1:18" ht="18" customHeight="1">
      <c r="A108" s="17">
        <v>4</v>
      </c>
      <c r="B108" s="18" t="s">
        <v>102</v>
      </c>
      <c r="C108" s="18">
        <v>2</v>
      </c>
      <c r="D108" s="18" t="s">
        <v>104</v>
      </c>
      <c r="E108" s="18">
        <v>3</v>
      </c>
      <c r="F108" s="18" t="s">
        <v>183</v>
      </c>
      <c r="G108" s="18">
        <v>1</v>
      </c>
      <c r="H108" s="18" t="s">
        <v>115</v>
      </c>
      <c r="I108" s="18">
        <v>1</v>
      </c>
      <c r="J108" s="23" t="s">
        <v>183</v>
      </c>
      <c r="K108" s="21"/>
      <c r="L108" s="21"/>
      <c r="M108" s="21"/>
      <c r="N108" s="19"/>
      <c r="O108" s="21"/>
      <c r="P108" s="22" t="s">
        <v>193</v>
      </c>
      <c r="Q108" s="21">
        <v>162</v>
      </c>
      <c r="R108" s="31" t="s">
        <v>62</v>
      </c>
    </row>
    <row r="109" spans="1:18" ht="18" customHeight="1">
      <c r="A109" s="17">
        <v>4</v>
      </c>
      <c r="B109" s="18" t="s">
        <v>102</v>
      </c>
      <c r="C109" s="18">
        <v>2</v>
      </c>
      <c r="D109" s="18" t="s">
        <v>104</v>
      </c>
      <c r="E109" s="18">
        <v>3</v>
      </c>
      <c r="F109" s="18" t="s">
        <v>183</v>
      </c>
      <c r="G109" s="18">
        <v>1</v>
      </c>
      <c r="H109" s="18" t="s">
        <v>115</v>
      </c>
      <c r="I109" s="18">
        <v>1</v>
      </c>
      <c r="J109" s="23" t="s">
        <v>183</v>
      </c>
      <c r="K109" s="21"/>
      <c r="L109" s="21"/>
      <c r="M109" s="21"/>
      <c r="N109" s="19"/>
      <c r="O109" s="21"/>
      <c r="P109" s="22" t="s">
        <v>194</v>
      </c>
      <c r="Q109" s="21"/>
      <c r="R109" s="31" t="s">
        <v>62</v>
      </c>
    </row>
    <row r="110" spans="1:18" ht="18" customHeight="1">
      <c r="A110" s="2">
        <v>4</v>
      </c>
      <c r="B110" s="3" t="s">
        <v>102</v>
      </c>
      <c r="C110" s="10">
        <v>2</v>
      </c>
      <c r="D110" s="3" t="s">
        <v>104</v>
      </c>
      <c r="E110" s="11">
        <v>5</v>
      </c>
      <c r="F110" s="12" t="s">
        <v>195</v>
      </c>
      <c r="G110" s="11"/>
      <c r="H110" s="12"/>
      <c r="I110" s="11"/>
      <c r="J110" s="11"/>
      <c r="K110" s="13">
        <f>IF(C110="",SUMIFS($K111:$K$746,$A111:$A$746,A110,$E111:$E$746,""),IF(E110="",SUMIFS($K111:$K$746,$A111:$A$746,A110,$C111:$C$746,C110,$G111:$G$746,""),IF(G110="",SUMIFS($K111:$K$746,$A111:$A$746,A110,$C111:$C$746,C110,$E111:$E$746,E110),0)))</f>
        <v>2000</v>
      </c>
      <c r="L110" s="13">
        <f>IF(C110="",SUMIFS($L111:$L$746,$A111:$A$746,A110,$E111:$E$746,""),IF(E110="",SUMIFS($L111:$L$746,$A111:$A$746,A110,$C111:$C$746,C110,$G111:$G$746,""),IF(G110="",SUMIFS($L111:$L$746,$A111:$A$746,A110,$C111:$C$746,C110,$E111:$E$746,E110),0)))</f>
        <v>2000</v>
      </c>
      <c r="M110" s="13">
        <f t="shared" ref="M110" si="15">K110-L110</f>
        <v>0</v>
      </c>
      <c r="N110" s="14"/>
      <c r="O110" s="15"/>
      <c r="P110" s="16"/>
      <c r="Q110" s="13">
        <f>IF(C110="",SUMIFS($Q$3:$Q$746,$A$3:$A$746,A110,$C$3:$C$746,"&gt;0",$E$3:$E$746,""),IF(E110="",SUMIFS($Q$3:$Q$746,$A$3:$A$746,A110,$C$3:$C$746,C110,$E$3:$E$746,"&gt;0",$G$3:$G$746,""),IF(G110="",SUMIFS($Q$3:$Q$746,$A$3:$A$746,A110,$C$3:$C$746,C110,$E$3:$E$746,E110,$G$3:$G$746,"&gt;0"))))</f>
        <v>2000</v>
      </c>
      <c r="R110" s="13" t="s">
        <v>62</v>
      </c>
    </row>
    <row r="111" spans="1:18" ht="18" customHeight="1">
      <c r="A111" s="17">
        <v>4</v>
      </c>
      <c r="B111" s="18" t="s">
        <v>102</v>
      </c>
      <c r="C111" s="18">
        <v>2</v>
      </c>
      <c r="D111" s="18" t="s">
        <v>104</v>
      </c>
      <c r="E111" s="18">
        <v>5</v>
      </c>
      <c r="F111" s="18" t="s">
        <v>195</v>
      </c>
      <c r="G111" s="20">
        <v>1</v>
      </c>
      <c r="H111" s="20" t="s">
        <v>195</v>
      </c>
      <c r="I111" s="20"/>
      <c r="J111" s="19"/>
      <c r="K111" s="21"/>
      <c r="L111" s="21"/>
      <c r="M111" s="21"/>
      <c r="N111" s="19"/>
      <c r="O111" s="21"/>
      <c r="P111" s="22" t="s">
        <v>184</v>
      </c>
      <c r="Q111" s="21">
        <v>1323</v>
      </c>
      <c r="R111" s="31" t="s">
        <v>62</v>
      </c>
    </row>
    <row r="112" spans="1:18" ht="18" customHeight="1">
      <c r="A112" s="17">
        <v>4</v>
      </c>
      <c r="B112" s="18" t="s">
        <v>102</v>
      </c>
      <c r="C112" s="18">
        <v>2</v>
      </c>
      <c r="D112" s="18" t="s">
        <v>104</v>
      </c>
      <c r="E112" s="18">
        <v>5</v>
      </c>
      <c r="F112" s="18" t="s">
        <v>195</v>
      </c>
      <c r="G112" s="18">
        <v>1</v>
      </c>
      <c r="H112" s="18" t="s">
        <v>195</v>
      </c>
      <c r="I112" s="20">
        <v>1</v>
      </c>
      <c r="J112" s="19" t="s">
        <v>195</v>
      </c>
      <c r="K112" s="21">
        <v>2000</v>
      </c>
      <c r="L112" s="21">
        <v>2000</v>
      </c>
      <c r="M112" s="21">
        <f t="shared" ref="M112" si="16">K112-L112</f>
        <v>0</v>
      </c>
      <c r="N112" s="19" t="s">
        <v>196</v>
      </c>
      <c r="O112" s="21">
        <v>2000000</v>
      </c>
      <c r="P112" s="22" t="s">
        <v>186</v>
      </c>
      <c r="Q112" s="21"/>
      <c r="R112" s="31" t="s">
        <v>62</v>
      </c>
    </row>
    <row r="113" spans="1:18" ht="18" customHeight="1">
      <c r="A113" s="17">
        <v>4</v>
      </c>
      <c r="B113" s="18" t="s">
        <v>102</v>
      </c>
      <c r="C113" s="18">
        <v>2</v>
      </c>
      <c r="D113" s="18" t="s">
        <v>104</v>
      </c>
      <c r="E113" s="18">
        <v>5</v>
      </c>
      <c r="F113" s="18" t="s">
        <v>195</v>
      </c>
      <c r="G113" s="18">
        <v>1</v>
      </c>
      <c r="H113" s="18" t="s">
        <v>195</v>
      </c>
      <c r="I113" s="18">
        <v>1</v>
      </c>
      <c r="J113" s="23" t="s">
        <v>195</v>
      </c>
      <c r="K113" s="21"/>
      <c r="L113" s="21"/>
      <c r="M113" s="21"/>
      <c r="N113" s="19"/>
      <c r="O113" s="21"/>
      <c r="P113" s="22" t="s">
        <v>136</v>
      </c>
      <c r="Q113" s="21">
        <v>453</v>
      </c>
      <c r="R113" s="31" t="s">
        <v>62</v>
      </c>
    </row>
    <row r="114" spans="1:18" ht="18" customHeight="1">
      <c r="A114" s="17">
        <v>4</v>
      </c>
      <c r="B114" s="18" t="s">
        <v>102</v>
      </c>
      <c r="C114" s="18">
        <v>2</v>
      </c>
      <c r="D114" s="18" t="s">
        <v>104</v>
      </c>
      <c r="E114" s="18">
        <v>5</v>
      </c>
      <c r="F114" s="18" t="s">
        <v>195</v>
      </c>
      <c r="G114" s="18">
        <v>1</v>
      </c>
      <c r="H114" s="18" t="s">
        <v>195</v>
      </c>
      <c r="I114" s="18">
        <v>1</v>
      </c>
      <c r="J114" s="23" t="s">
        <v>195</v>
      </c>
      <c r="K114" s="21"/>
      <c r="L114" s="21"/>
      <c r="M114" s="21"/>
      <c r="N114" s="19"/>
      <c r="O114" s="21"/>
      <c r="P114" s="22" t="s">
        <v>188</v>
      </c>
      <c r="Q114" s="21">
        <v>18</v>
      </c>
      <c r="R114" s="31" t="s">
        <v>62</v>
      </c>
    </row>
    <row r="115" spans="1:18" ht="18" customHeight="1">
      <c r="A115" s="17">
        <v>4</v>
      </c>
      <c r="B115" s="18" t="s">
        <v>102</v>
      </c>
      <c r="C115" s="18">
        <v>2</v>
      </c>
      <c r="D115" s="18" t="s">
        <v>104</v>
      </c>
      <c r="E115" s="18">
        <v>5</v>
      </c>
      <c r="F115" s="18" t="s">
        <v>195</v>
      </c>
      <c r="G115" s="18">
        <v>1</v>
      </c>
      <c r="H115" s="18" t="s">
        <v>195</v>
      </c>
      <c r="I115" s="18">
        <v>1</v>
      </c>
      <c r="J115" s="23" t="s">
        <v>195</v>
      </c>
      <c r="K115" s="21"/>
      <c r="L115" s="21"/>
      <c r="M115" s="21"/>
      <c r="N115" s="19"/>
      <c r="O115" s="21"/>
      <c r="P115" s="22" t="s">
        <v>189</v>
      </c>
      <c r="Q115" s="21"/>
      <c r="R115" s="31" t="s">
        <v>62</v>
      </c>
    </row>
    <row r="116" spans="1:18" ht="18" customHeight="1">
      <c r="A116" s="17">
        <v>4</v>
      </c>
      <c r="B116" s="18" t="s">
        <v>102</v>
      </c>
      <c r="C116" s="18">
        <v>2</v>
      </c>
      <c r="D116" s="18" t="s">
        <v>104</v>
      </c>
      <c r="E116" s="18">
        <v>5</v>
      </c>
      <c r="F116" s="18" t="s">
        <v>195</v>
      </c>
      <c r="G116" s="18">
        <v>1</v>
      </c>
      <c r="H116" s="18" t="s">
        <v>195</v>
      </c>
      <c r="I116" s="18">
        <v>1</v>
      </c>
      <c r="J116" s="23" t="s">
        <v>195</v>
      </c>
      <c r="K116" s="21"/>
      <c r="L116" s="21"/>
      <c r="M116" s="21"/>
      <c r="N116" s="19"/>
      <c r="O116" s="21"/>
      <c r="P116" s="22" t="s">
        <v>197</v>
      </c>
      <c r="Q116" s="21">
        <v>22</v>
      </c>
      <c r="R116" s="31" t="s">
        <v>62</v>
      </c>
    </row>
    <row r="117" spans="1:18" ht="18" customHeight="1">
      <c r="A117" s="17">
        <v>4</v>
      </c>
      <c r="B117" s="18" t="s">
        <v>102</v>
      </c>
      <c r="C117" s="18">
        <v>2</v>
      </c>
      <c r="D117" s="18" t="s">
        <v>104</v>
      </c>
      <c r="E117" s="18">
        <v>5</v>
      </c>
      <c r="F117" s="18" t="s">
        <v>195</v>
      </c>
      <c r="G117" s="18">
        <v>1</v>
      </c>
      <c r="H117" s="18" t="s">
        <v>195</v>
      </c>
      <c r="I117" s="18">
        <v>1</v>
      </c>
      <c r="J117" s="23" t="s">
        <v>195</v>
      </c>
      <c r="K117" s="21"/>
      <c r="L117" s="21"/>
      <c r="M117" s="21"/>
      <c r="N117" s="19"/>
      <c r="O117" s="21"/>
      <c r="P117" s="22" t="s">
        <v>150</v>
      </c>
      <c r="Q117" s="21"/>
      <c r="R117" s="31" t="s">
        <v>62</v>
      </c>
    </row>
    <row r="118" spans="1:18" ht="18" customHeight="1">
      <c r="A118" s="17">
        <v>4</v>
      </c>
      <c r="B118" s="18" t="s">
        <v>102</v>
      </c>
      <c r="C118" s="18">
        <v>2</v>
      </c>
      <c r="D118" s="18" t="s">
        <v>104</v>
      </c>
      <c r="E118" s="18">
        <v>5</v>
      </c>
      <c r="F118" s="18" t="s">
        <v>195</v>
      </c>
      <c r="G118" s="18">
        <v>1</v>
      </c>
      <c r="H118" s="18" t="s">
        <v>195</v>
      </c>
      <c r="I118" s="18">
        <v>1</v>
      </c>
      <c r="J118" s="23" t="s">
        <v>195</v>
      </c>
      <c r="K118" s="21"/>
      <c r="L118" s="21"/>
      <c r="M118" s="21"/>
      <c r="N118" s="19"/>
      <c r="O118" s="21"/>
      <c r="P118" s="22" t="s">
        <v>192</v>
      </c>
      <c r="Q118" s="21">
        <v>151</v>
      </c>
      <c r="R118" s="31" t="s">
        <v>62</v>
      </c>
    </row>
    <row r="119" spans="1:18" ht="18" customHeight="1">
      <c r="A119" s="17">
        <v>4</v>
      </c>
      <c r="B119" s="18" t="s">
        <v>102</v>
      </c>
      <c r="C119" s="18">
        <v>2</v>
      </c>
      <c r="D119" s="18" t="s">
        <v>104</v>
      </c>
      <c r="E119" s="18">
        <v>5</v>
      </c>
      <c r="F119" s="18" t="s">
        <v>195</v>
      </c>
      <c r="G119" s="18">
        <v>1</v>
      </c>
      <c r="H119" s="18" t="s">
        <v>195</v>
      </c>
      <c r="I119" s="18">
        <v>1</v>
      </c>
      <c r="J119" s="23" t="s">
        <v>195</v>
      </c>
      <c r="K119" s="21"/>
      <c r="L119" s="21"/>
      <c r="M119" s="21"/>
      <c r="N119" s="19"/>
      <c r="O119" s="21"/>
      <c r="P119" s="22" t="s">
        <v>150</v>
      </c>
      <c r="Q119" s="21"/>
      <c r="R119" s="31" t="s">
        <v>62</v>
      </c>
    </row>
    <row r="120" spans="1:18" ht="18" customHeight="1">
      <c r="A120" s="17">
        <v>4</v>
      </c>
      <c r="B120" s="18" t="s">
        <v>102</v>
      </c>
      <c r="C120" s="18">
        <v>2</v>
      </c>
      <c r="D120" s="18" t="s">
        <v>104</v>
      </c>
      <c r="E120" s="18">
        <v>5</v>
      </c>
      <c r="F120" s="18" t="s">
        <v>195</v>
      </c>
      <c r="G120" s="18">
        <v>1</v>
      </c>
      <c r="H120" s="18" t="s">
        <v>195</v>
      </c>
      <c r="I120" s="18">
        <v>1</v>
      </c>
      <c r="J120" s="23" t="s">
        <v>195</v>
      </c>
      <c r="K120" s="21"/>
      <c r="L120" s="21"/>
      <c r="M120" s="21"/>
      <c r="N120" s="19"/>
      <c r="O120" s="21"/>
      <c r="P120" s="22" t="s">
        <v>198</v>
      </c>
      <c r="Q120" s="21">
        <v>33</v>
      </c>
      <c r="R120" s="31" t="s">
        <v>62</v>
      </c>
    </row>
    <row r="121" spans="1:18" ht="18" customHeight="1">
      <c r="A121" s="17">
        <v>4</v>
      </c>
      <c r="B121" s="18" t="s">
        <v>102</v>
      </c>
      <c r="C121" s="18">
        <v>2</v>
      </c>
      <c r="D121" s="18" t="s">
        <v>104</v>
      </c>
      <c r="E121" s="18">
        <v>5</v>
      </c>
      <c r="F121" s="18" t="s">
        <v>195</v>
      </c>
      <c r="G121" s="18">
        <v>1</v>
      </c>
      <c r="H121" s="18" t="s">
        <v>195</v>
      </c>
      <c r="I121" s="18">
        <v>1</v>
      </c>
      <c r="J121" s="23" t="s">
        <v>195</v>
      </c>
      <c r="K121" s="21"/>
      <c r="L121" s="21"/>
      <c r="M121" s="21"/>
      <c r="N121" s="19"/>
      <c r="O121" s="21"/>
      <c r="P121" s="22" t="s">
        <v>150</v>
      </c>
      <c r="Q121" s="21"/>
      <c r="R121" s="31" t="s">
        <v>62</v>
      </c>
    </row>
    <row r="122" spans="1:18" ht="18" customHeight="1">
      <c r="A122" s="24">
        <v>5</v>
      </c>
      <c r="B122" s="25" t="s">
        <v>199</v>
      </c>
      <c r="C122" s="25"/>
      <c r="D122" s="25"/>
      <c r="E122" s="26"/>
      <c r="F122" s="25"/>
      <c r="G122" s="26"/>
      <c r="H122" s="25"/>
      <c r="I122" s="26"/>
      <c r="J122" s="26"/>
      <c r="K122" s="27">
        <f>IF(C122="",SUMIFS($K123:$K$746,$A123:$A$746,A122,$E123:$E$746,""),IF(E122="",SUMIFS($K123:$K$746,$A123:$A$746,A122,$C123:$C$746,C122,$G123:$G$746,""),IF(G122="",SUMIFS($K123:$K$746,$A123:$A$746,A122,$C123:$C$746,C122,$E123:$E$746,E122),0)))</f>
        <v>297595</v>
      </c>
      <c r="L122" s="27">
        <f>IF(C122="",SUMIFS($L123:$L$746,$A123:$A$746,A122,$E123:$E$746,""),IF(E122="",SUMIFS($L123:$L$746,$A123:$A$746,A122,$C123:$C$746,C122,$G123:$G$746,""),IF(G122="",SUMIFS($L123:$L$746,$A123:$A$746,A122,$C123:$C$746,C122,$E123:$E$746,E122),0)))</f>
        <v>297658</v>
      </c>
      <c r="M122" s="27">
        <f t="shared" ref="M122:M124" si="17">K122-L122</f>
        <v>-63</v>
      </c>
      <c r="N122" s="28"/>
      <c r="O122" s="29"/>
      <c r="P122" s="30"/>
      <c r="Q122" s="27">
        <f>IF(C122="",SUMIFS($Q$3:$Q$746,$A$3:$A$746,A122,$C$3:$C$746,"&gt;0",$E$3:$E$746,""),IF(E122="",SUMIFS($Q$3:$Q$746,$A$3:$A$746,A122,$C$3:$C$746,C122,$E$3:$E$746,"&gt;0",$G$3:$G$746,""),IF(G122="",SUMIFS($Q$3:$Q$746,$A$3:$A$746,A122,$C$3:$C$746,C122,$E$3:$E$746,E122,$G$3:$G$746,"&gt;0"))))</f>
        <v>297595</v>
      </c>
      <c r="R122" s="27"/>
    </row>
    <row r="123" spans="1:18" ht="18" customHeight="1">
      <c r="A123" s="2">
        <v>5</v>
      </c>
      <c r="B123" s="3" t="s">
        <v>199</v>
      </c>
      <c r="C123" s="4">
        <v>1</v>
      </c>
      <c r="D123" s="4" t="s">
        <v>199</v>
      </c>
      <c r="E123" s="5"/>
      <c r="F123" s="4"/>
      <c r="G123" s="5"/>
      <c r="H123" s="4"/>
      <c r="I123" s="5"/>
      <c r="J123" s="5"/>
      <c r="K123" s="6">
        <f>IF(C123="",SUMIFS($K124:$K$746,$A124:$A$746,A123,$E124:$E$746,""),IF(E123="",SUMIFS($K124:$K$746,$A124:$A$746,A123,$C124:$C$746,C123,$G124:$G$746,""),IF(G123="",SUMIFS($K124:$K$746,$A124:$A$746,A123,$C124:$C$746,C123,$E124:$E$746,E123),0)))</f>
        <v>297595</v>
      </c>
      <c r="L123" s="6">
        <f>IF(C123="",SUMIFS($L124:$L$746,$A124:$A$746,A123,$E124:$E$746,""),IF(E123="",SUMIFS($L124:$L$746,$A124:$A$746,A123,$C124:$C$746,C123,$G124:$G$746,""),IF(G123="",SUMIFS($L124:$L$746,$A124:$A$746,A123,$C124:$C$746,C123,$E124:$E$746,E123),0)))</f>
        <v>297658</v>
      </c>
      <c r="M123" s="6">
        <f t="shared" si="17"/>
        <v>-63</v>
      </c>
      <c r="N123" s="7"/>
      <c r="O123" s="8"/>
      <c r="P123" s="9"/>
      <c r="Q123" s="6">
        <f>IF(C123="",SUMIFS($Q$3:$Q$746,$A$3:$A$746,A123,$C$3:$C$746,"&gt;0",$E$3:$E$746,""),IF(E123="",SUMIFS($Q$3:$Q$746,$A$3:$A$746,A123,$C$3:$C$746,C123,$E$3:$E$746,"&gt;0",$G$3:$G$746,""),IF(G123="",SUMIFS($Q$3:$Q$746,$A$3:$A$746,A123,$C$3:$C$746,C123,$E$3:$E$746,E123,$G$3:$G$746,"&gt;0"))))</f>
        <v>297595</v>
      </c>
      <c r="R123" s="6"/>
    </row>
    <row r="124" spans="1:18" ht="18" customHeight="1">
      <c r="A124" s="2">
        <v>5</v>
      </c>
      <c r="B124" s="3" t="s">
        <v>199</v>
      </c>
      <c r="C124" s="10">
        <v>1</v>
      </c>
      <c r="D124" s="3" t="s">
        <v>199</v>
      </c>
      <c r="E124" s="11">
        <v>1</v>
      </c>
      <c r="F124" s="12" t="s">
        <v>200</v>
      </c>
      <c r="G124" s="11"/>
      <c r="H124" s="12"/>
      <c r="I124" s="11"/>
      <c r="J124" s="11"/>
      <c r="K124" s="13">
        <f>IF(C124="",SUMIFS($K125:$K$746,$A125:$A$746,A124,$E125:$E$746,""),IF(E124="",SUMIFS($K125:$K$746,$A125:$A$746,A124,$C125:$C$746,C124,$G125:$G$746,""),IF(G124="",SUMIFS($K125:$K$746,$A125:$A$746,A124,$C125:$C$746,C124,$E125:$E$746,E124),0)))</f>
        <v>294240</v>
      </c>
      <c r="L124" s="13">
        <f>IF(C124="",SUMIFS($L125:$L$746,$A125:$A$746,A124,$E125:$E$746,""),IF(E124="",SUMIFS($L125:$L$746,$A125:$A$746,A124,$C125:$C$746,C124,$G125:$G$746,""),IF(G124="",SUMIFS($L125:$L$746,$A125:$A$746,A124,$C125:$C$746,C124,$E125:$E$746,E124),0)))</f>
        <v>294209</v>
      </c>
      <c r="M124" s="13">
        <f t="shared" si="17"/>
        <v>31</v>
      </c>
      <c r="N124" s="14"/>
      <c r="O124" s="15"/>
      <c r="P124" s="16"/>
      <c r="Q124" s="13">
        <f>IF(C124="",SUMIFS($Q$3:$Q$746,$A$3:$A$746,A124,$C$3:$C$746,"&gt;0",$E$3:$E$746,""),IF(E124="",SUMIFS($Q$3:$Q$746,$A$3:$A$746,A124,$C$3:$C$746,C124,$E$3:$E$746,"&gt;0",$G$3:$G$746,""),IF(G124="",SUMIFS($Q$3:$Q$746,$A$3:$A$746,A124,$C$3:$C$746,C124,$E$3:$E$746,E124,$G$3:$G$746,"&gt;0"))))</f>
        <v>294240</v>
      </c>
      <c r="R124" s="13" t="s">
        <v>62</v>
      </c>
    </row>
    <row r="125" spans="1:18" ht="18" customHeight="1">
      <c r="A125" s="17">
        <v>5</v>
      </c>
      <c r="B125" s="18" t="s">
        <v>199</v>
      </c>
      <c r="C125" s="18">
        <v>1</v>
      </c>
      <c r="D125" s="18" t="s">
        <v>199</v>
      </c>
      <c r="E125" s="18">
        <v>1</v>
      </c>
      <c r="F125" s="18" t="s">
        <v>200</v>
      </c>
      <c r="G125" s="20">
        <v>1</v>
      </c>
      <c r="H125" s="20" t="s">
        <v>115</v>
      </c>
      <c r="I125" s="20"/>
      <c r="J125" s="19"/>
      <c r="K125" s="21"/>
      <c r="L125" s="21"/>
      <c r="M125" s="21"/>
      <c r="N125" s="19"/>
      <c r="O125" s="21"/>
      <c r="P125" s="22" t="s">
        <v>152</v>
      </c>
      <c r="Q125" s="21">
        <v>79489</v>
      </c>
      <c r="R125" s="31" t="s">
        <v>62</v>
      </c>
    </row>
    <row r="126" spans="1:18" ht="18" customHeight="1">
      <c r="A126" s="17">
        <v>5</v>
      </c>
      <c r="B126" s="18" t="s">
        <v>199</v>
      </c>
      <c r="C126" s="18">
        <v>1</v>
      </c>
      <c r="D126" s="18" t="s">
        <v>199</v>
      </c>
      <c r="E126" s="18">
        <v>1</v>
      </c>
      <c r="F126" s="18" t="s">
        <v>200</v>
      </c>
      <c r="G126" s="18">
        <v>1</v>
      </c>
      <c r="H126" s="18" t="s">
        <v>115</v>
      </c>
      <c r="I126" s="20">
        <v>1</v>
      </c>
      <c r="J126" s="19" t="s">
        <v>201</v>
      </c>
      <c r="K126" s="21">
        <v>294240</v>
      </c>
      <c r="L126" s="21">
        <v>294209</v>
      </c>
      <c r="M126" s="21">
        <f t="shared" ref="M126" si="18">K126-L126</f>
        <v>31</v>
      </c>
      <c r="N126" s="19" t="s">
        <v>202</v>
      </c>
      <c r="O126" s="21">
        <v>294240330</v>
      </c>
      <c r="P126" s="22" t="s">
        <v>155</v>
      </c>
      <c r="Q126" s="21"/>
      <c r="R126" s="31" t="s">
        <v>62</v>
      </c>
    </row>
    <row r="127" spans="1:18" ht="18" customHeight="1">
      <c r="A127" s="17">
        <v>5</v>
      </c>
      <c r="B127" s="18" t="s">
        <v>199</v>
      </c>
      <c r="C127" s="18">
        <v>1</v>
      </c>
      <c r="D127" s="18" t="s">
        <v>199</v>
      </c>
      <c r="E127" s="18">
        <v>1</v>
      </c>
      <c r="F127" s="18" t="s">
        <v>200</v>
      </c>
      <c r="G127" s="18">
        <v>1</v>
      </c>
      <c r="H127" s="18" t="s">
        <v>115</v>
      </c>
      <c r="I127" s="18">
        <v>1</v>
      </c>
      <c r="J127" s="23" t="s">
        <v>201</v>
      </c>
      <c r="K127" s="21"/>
      <c r="L127" s="21"/>
      <c r="M127" s="21"/>
      <c r="N127" s="19"/>
      <c r="O127" s="21"/>
      <c r="P127" s="22" t="s">
        <v>157</v>
      </c>
      <c r="Q127" s="21">
        <v>46743</v>
      </c>
      <c r="R127" s="31" t="s">
        <v>62</v>
      </c>
    </row>
    <row r="128" spans="1:18" ht="18" customHeight="1">
      <c r="A128" s="17">
        <v>5</v>
      </c>
      <c r="B128" s="18" t="s">
        <v>199</v>
      </c>
      <c r="C128" s="18">
        <v>1</v>
      </c>
      <c r="D128" s="18" t="s">
        <v>199</v>
      </c>
      <c r="E128" s="18">
        <v>1</v>
      </c>
      <c r="F128" s="18" t="s">
        <v>200</v>
      </c>
      <c r="G128" s="18">
        <v>1</v>
      </c>
      <c r="H128" s="18" t="s">
        <v>115</v>
      </c>
      <c r="I128" s="18">
        <v>1</v>
      </c>
      <c r="J128" s="23" t="s">
        <v>201</v>
      </c>
      <c r="K128" s="21"/>
      <c r="L128" s="21"/>
      <c r="M128" s="21"/>
      <c r="N128" s="19"/>
      <c r="O128" s="21"/>
      <c r="P128" s="22" t="s">
        <v>158</v>
      </c>
      <c r="Q128" s="21"/>
      <c r="R128" s="31" t="s">
        <v>62</v>
      </c>
    </row>
    <row r="129" spans="1:18" ht="18" customHeight="1">
      <c r="A129" s="17">
        <v>5</v>
      </c>
      <c r="B129" s="18" t="s">
        <v>199</v>
      </c>
      <c r="C129" s="18">
        <v>1</v>
      </c>
      <c r="D129" s="18" t="s">
        <v>199</v>
      </c>
      <c r="E129" s="18">
        <v>1</v>
      </c>
      <c r="F129" s="18" t="s">
        <v>200</v>
      </c>
      <c r="G129" s="18">
        <v>1</v>
      </c>
      <c r="H129" s="18" t="s">
        <v>115</v>
      </c>
      <c r="I129" s="18">
        <v>1</v>
      </c>
      <c r="J129" s="23" t="s">
        <v>201</v>
      </c>
      <c r="K129" s="21"/>
      <c r="L129" s="21"/>
      <c r="M129" s="21"/>
      <c r="N129" s="19"/>
      <c r="O129" s="21"/>
      <c r="P129" s="22" t="s">
        <v>159</v>
      </c>
      <c r="Q129" s="21">
        <v>127019</v>
      </c>
      <c r="R129" s="31" t="s">
        <v>62</v>
      </c>
    </row>
    <row r="130" spans="1:18" ht="18" customHeight="1">
      <c r="A130" s="17">
        <v>5</v>
      </c>
      <c r="B130" s="18" t="s">
        <v>199</v>
      </c>
      <c r="C130" s="18">
        <v>1</v>
      </c>
      <c r="D130" s="18" t="s">
        <v>199</v>
      </c>
      <c r="E130" s="18">
        <v>1</v>
      </c>
      <c r="F130" s="18" t="s">
        <v>200</v>
      </c>
      <c r="G130" s="18">
        <v>1</v>
      </c>
      <c r="H130" s="18" t="s">
        <v>115</v>
      </c>
      <c r="I130" s="18">
        <v>1</v>
      </c>
      <c r="J130" s="23" t="s">
        <v>201</v>
      </c>
      <c r="K130" s="21"/>
      <c r="L130" s="21"/>
      <c r="M130" s="21"/>
      <c r="N130" s="19"/>
      <c r="O130" s="21"/>
      <c r="P130" s="22" t="s">
        <v>155</v>
      </c>
      <c r="Q130" s="21"/>
      <c r="R130" s="31" t="s">
        <v>62</v>
      </c>
    </row>
    <row r="131" spans="1:18" ht="18" customHeight="1">
      <c r="A131" s="17">
        <v>5</v>
      </c>
      <c r="B131" s="18" t="s">
        <v>199</v>
      </c>
      <c r="C131" s="18">
        <v>1</v>
      </c>
      <c r="D131" s="18" t="s">
        <v>199</v>
      </c>
      <c r="E131" s="18">
        <v>1</v>
      </c>
      <c r="F131" s="18" t="s">
        <v>200</v>
      </c>
      <c r="G131" s="18">
        <v>1</v>
      </c>
      <c r="H131" s="18" t="s">
        <v>115</v>
      </c>
      <c r="I131" s="18">
        <v>1</v>
      </c>
      <c r="J131" s="23" t="s">
        <v>201</v>
      </c>
      <c r="K131" s="21"/>
      <c r="L131" s="21"/>
      <c r="M131" s="21"/>
      <c r="N131" s="19"/>
      <c r="O131" s="21"/>
      <c r="P131" s="22" t="s">
        <v>160</v>
      </c>
      <c r="Q131" s="21">
        <v>162</v>
      </c>
      <c r="R131" s="31" t="s">
        <v>62</v>
      </c>
    </row>
    <row r="132" spans="1:18" ht="18" customHeight="1">
      <c r="A132" s="17">
        <v>5</v>
      </c>
      <c r="B132" s="18" t="s">
        <v>199</v>
      </c>
      <c r="C132" s="18">
        <v>1</v>
      </c>
      <c r="D132" s="18" t="s">
        <v>199</v>
      </c>
      <c r="E132" s="18">
        <v>1</v>
      </c>
      <c r="F132" s="18" t="s">
        <v>200</v>
      </c>
      <c r="G132" s="18">
        <v>1</v>
      </c>
      <c r="H132" s="18" t="s">
        <v>115</v>
      </c>
      <c r="I132" s="18">
        <v>1</v>
      </c>
      <c r="J132" s="23" t="s">
        <v>201</v>
      </c>
      <c r="K132" s="21"/>
      <c r="L132" s="21"/>
      <c r="M132" s="21"/>
      <c r="N132" s="19"/>
      <c r="O132" s="21"/>
      <c r="P132" s="22" t="s">
        <v>161</v>
      </c>
      <c r="Q132" s="21"/>
      <c r="R132" s="31" t="s">
        <v>62</v>
      </c>
    </row>
    <row r="133" spans="1:18" ht="18" customHeight="1">
      <c r="A133" s="17">
        <v>5</v>
      </c>
      <c r="B133" s="18" t="s">
        <v>199</v>
      </c>
      <c r="C133" s="18">
        <v>1</v>
      </c>
      <c r="D133" s="18" t="s">
        <v>199</v>
      </c>
      <c r="E133" s="18">
        <v>1</v>
      </c>
      <c r="F133" s="18" t="s">
        <v>200</v>
      </c>
      <c r="G133" s="18">
        <v>1</v>
      </c>
      <c r="H133" s="18" t="s">
        <v>115</v>
      </c>
      <c r="I133" s="18">
        <v>1</v>
      </c>
      <c r="J133" s="23" t="s">
        <v>201</v>
      </c>
      <c r="K133" s="21"/>
      <c r="L133" s="21"/>
      <c r="M133" s="21"/>
      <c r="N133" s="19"/>
      <c r="O133" s="21"/>
      <c r="P133" s="22" t="s">
        <v>162</v>
      </c>
      <c r="Q133" s="21">
        <v>607</v>
      </c>
      <c r="R133" s="31" t="s">
        <v>62</v>
      </c>
    </row>
    <row r="134" spans="1:18" ht="18" customHeight="1">
      <c r="A134" s="17">
        <v>5</v>
      </c>
      <c r="B134" s="18" t="s">
        <v>199</v>
      </c>
      <c r="C134" s="18">
        <v>1</v>
      </c>
      <c r="D134" s="18" t="s">
        <v>199</v>
      </c>
      <c r="E134" s="18">
        <v>1</v>
      </c>
      <c r="F134" s="18" t="s">
        <v>200</v>
      </c>
      <c r="G134" s="18">
        <v>1</v>
      </c>
      <c r="H134" s="18" t="s">
        <v>115</v>
      </c>
      <c r="I134" s="18">
        <v>1</v>
      </c>
      <c r="J134" s="23" t="s">
        <v>201</v>
      </c>
      <c r="K134" s="21"/>
      <c r="L134" s="21"/>
      <c r="M134" s="21"/>
      <c r="N134" s="19"/>
      <c r="O134" s="21"/>
      <c r="P134" s="22" t="s">
        <v>152</v>
      </c>
      <c r="Q134" s="21">
        <v>11215</v>
      </c>
      <c r="R134" s="31" t="s">
        <v>62</v>
      </c>
    </row>
    <row r="135" spans="1:18" ht="18" customHeight="1">
      <c r="A135" s="17">
        <v>5</v>
      </c>
      <c r="B135" s="18" t="s">
        <v>199</v>
      </c>
      <c r="C135" s="18">
        <v>1</v>
      </c>
      <c r="D135" s="18" t="s">
        <v>199</v>
      </c>
      <c r="E135" s="18">
        <v>1</v>
      </c>
      <c r="F135" s="18" t="s">
        <v>200</v>
      </c>
      <c r="G135" s="18">
        <v>1</v>
      </c>
      <c r="H135" s="18" t="s">
        <v>115</v>
      </c>
      <c r="I135" s="18">
        <v>1</v>
      </c>
      <c r="J135" s="23" t="s">
        <v>201</v>
      </c>
      <c r="K135" s="21"/>
      <c r="L135" s="21"/>
      <c r="M135" s="21"/>
      <c r="N135" s="19"/>
      <c r="O135" s="21"/>
      <c r="P135" s="22" t="s">
        <v>163</v>
      </c>
      <c r="Q135" s="21"/>
      <c r="R135" s="31" t="s">
        <v>62</v>
      </c>
    </row>
    <row r="136" spans="1:18" ht="18" customHeight="1">
      <c r="A136" s="17">
        <v>5</v>
      </c>
      <c r="B136" s="18" t="s">
        <v>199</v>
      </c>
      <c r="C136" s="18">
        <v>1</v>
      </c>
      <c r="D136" s="18" t="s">
        <v>199</v>
      </c>
      <c r="E136" s="18">
        <v>1</v>
      </c>
      <c r="F136" s="18" t="s">
        <v>200</v>
      </c>
      <c r="G136" s="18">
        <v>1</v>
      </c>
      <c r="H136" s="18" t="s">
        <v>115</v>
      </c>
      <c r="I136" s="18">
        <v>1</v>
      </c>
      <c r="J136" s="23" t="s">
        <v>201</v>
      </c>
      <c r="K136" s="21"/>
      <c r="L136" s="21"/>
      <c r="M136" s="21"/>
      <c r="N136" s="19"/>
      <c r="O136" s="21"/>
      <c r="P136" s="22" t="s">
        <v>164</v>
      </c>
      <c r="Q136" s="21">
        <v>6471</v>
      </c>
      <c r="R136" s="31" t="s">
        <v>62</v>
      </c>
    </row>
    <row r="137" spans="1:18" ht="18" customHeight="1">
      <c r="A137" s="17">
        <v>5</v>
      </c>
      <c r="B137" s="18" t="s">
        <v>199</v>
      </c>
      <c r="C137" s="18">
        <v>1</v>
      </c>
      <c r="D137" s="18" t="s">
        <v>199</v>
      </c>
      <c r="E137" s="18">
        <v>1</v>
      </c>
      <c r="F137" s="18" t="s">
        <v>200</v>
      </c>
      <c r="G137" s="18">
        <v>1</v>
      </c>
      <c r="H137" s="18" t="s">
        <v>115</v>
      </c>
      <c r="I137" s="18">
        <v>1</v>
      </c>
      <c r="J137" s="23" t="s">
        <v>201</v>
      </c>
      <c r="K137" s="21"/>
      <c r="L137" s="21"/>
      <c r="M137" s="21"/>
      <c r="N137" s="19"/>
      <c r="O137" s="21"/>
      <c r="P137" s="22" t="s">
        <v>155</v>
      </c>
      <c r="Q137" s="21"/>
      <c r="R137" s="31" t="s">
        <v>62</v>
      </c>
    </row>
    <row r="138" spans="1:18" ht="18" customHeight="1">
      <c r="A138" s="17">
        <v>5</v>
      </c>
      <c r="B138" s="18" t="s">
        <v>199</v>
      </c>
      <c r="C138" s="18">
        <v>1</v>
      </c>
      <c r="D138" s="18" t="s">
        <v>199</v>
      </c>
      <c r="E138" s="18">
        <v>1</v>
      </c>
      <c r="F138" s="18" t="s">
        <v>200</v>
      </c>
      <c r="G138" s="18">
        <v>1</v>
      </c>
      <c r="H138" s="18" t="s">
        <v>115</v>
      </c>
      <c r="I138" s="18">
        <v>1</v>
      </c>
      <c r="J138" s="23" t="s">
        <v>201</v>
      </c>
      <c r="K138" s="21"/>
      <c r="L138" s="21"/>
      <c r="M138" s="21"/>
      <c r="N138" s="19"/>
      <c r="O138" s="21"/>
      <c r="P138" s="22" t="s">
        <v>165</v>
      </c>
      <c r="Q138" s="21">
        <v>194</v>
      </c>
      <c r="R138" s="31" t="s">
        <v>62</v>
      </c>
    </row>
    <row r="139" spans="1:18" ht="18" customHeight="1">
      <c r="A139" s="17">
        <v>5</v>
      </c>
      <c r="B139" s="18" t="s">
        <v>199</v>
      </c>
      <c r="C139" s="18">
        <v>1</v>
      </c>
      <c r="D139" s="18" t="s">
        <v>199</v>
      </c>
      <c r="E139" s="18">
        <v>1</v>
      </c>
      <c r="F139" s="18" t="s">
        <v>200</v>
      </c>
      <c r="G139" s="18">
        <v>1</v>
      </c>
      <c r="H139" s="18" t="s">
        <v>115</v>
      </c>
      <c r="I139" s="18">
        <v>1</v>
      </c>
      <c r="J139" s="23" t="s">
        <v>201</v>
      </c>
      <c r="K139" s="21"/>
      <c r="L139" s="21"/>
      <c r="M139" s="21"/>
      <c r="N139" s="19"/>
      <c r="O139" s="21"/>
      <c r="P139" s="22" t="s">
        <v>166</v>
      </c>
      <c r="Q139" s="21"/>
      <c r="R139" s="31" t="s">
        <v>62</v>
      </c>
    </row>
    <row r="140" spans="1:18" ht="18" customHeight="1">
      <c r="A140" s="17">
        <v>5</v>
      </c>
      <c r="B140" s="18" t="s">
        <v>199</v>
      </c>
      <c r="C140" s="18">
        <v>1</v>
      </c>
      <c r="D140" s="18" t="s">
        <v>199</v>
      </c>
      <c r="E140" s="18">
        <v>1</v>
      </c>
      <c r="F140" s="18" t="s">
        <v>200</v>
      </c>
      <c r="G140" s="18">
        <v>1</v>
      </c>
      <c r="H140" s="18" t="s">
        <v>115</v>
      </c>
      <c r="I140" s="18">
        <v>1</v>
      </c>
      <c r="J140" s="23" t="s">
        <v>201</v>
      </c>
      <c r="K140" s="21"/>
      <c r="L140" s="21"/>
      <c r="M140" s="21"/>
      <c r="N140" s="19"/>
      <c r="O140" s="21"/>
      <c r="P140" s="22" t="s">
        <v>167</v>
      </c>
      <c r="Q140" s="21">
        <v>49</v>
      </c>
      <c r="R140" s="31" t="s">
        <v>62</v>
      </c>
    </row>
    <row r="141" spans="1:18" ht="18" customHeight="1">
      <c r="A141" s="17">
        <v>5</v>
      </c>
      <c r="B141" s="18" t="s">
        <v>199</v>
      </c>
      <c r="C141" s="18">
        <v>1</v>
      </c>
      <c r="D141" s="18" t="s">
        <v>199</v>
      </c>
      <c r="E141" s="18">
        <v>1</v>
      </c>
      <c r="F141" s="18" t="s">
        <v>200</v>
      </c>
      <c r="G141" s="18">
        <v>1</v>
      </c>
      <c r="H141" s="18" t="s">
        <v>115</v>
      </c>
      <c r="I141" s="18">
        <v>1</v>
      </c>
      <c r="J141" s="23" t="s">
        <v>201</v>
      </c>
      <c r="K141" s="21"/>
      <c r="L141" s="21"/>
      <c r="M141" s="21"/>
      <c r="N141" s="19"/>
      <c r="O141" s="21"/>
      <c r="P141" s="22" t="s">
        <v>161</v>
      </c>
      <c r="Q141" s="21"/>
      <c r="R141" s="31" t="s">
        <v>62</v>
      </c>
    </row>
    <row r="142" spans="1:18" ht="18" customHeight="1">
      <c r="A142" s="17">
        <v>5</v>
      </c>
      <c r="B142" s="18" t="s">
        <v>199</v>
      </c>
      <c r="C142" s="18">
        <v>1</v>
      </c>
      <c r="D142" s="18" t="s">
        <v>199</v>
      </c>
      <c r="E142" s="18">
        <v>1</v>
      </c>
      <c r="F142" s="18" t="s">
        <v>200</v>
      </c>
      <c r="G142" s="18">
        <v>1</v>
      </c>
      <c r="H142" s="18" t="s">
        <v>115</v>
      </c>
      <c r="I142" s="18">
        <v>1</v>
      </c>
      <c r="J142" s="23" t="s">
        <v>201</v>
      </c>
      <c r="K142" s="21"/>
      <c r="L142" s="21"/>
      <c r="M142" s="21"/>
      <c r="N142" s="19"/>
      <c r="O142" s="21"/>
      <c r="P142" s="22" t="s">
        <v>203</v>
      </c>
      <c r="Q142" s="21">
        <v>162</v>
      </c>
      <c r="R142" s="31" t="s">
        <v>62</v>
      </c>
    </row>
    <row r="143" spans="1:18" ht="18" customHeight="1">
      <c r="A143" s="17">
        <v>5</v>
      </c>
      <c r="B143" s="18" t="s">
        <v>199</v>
      </c>
      <c r="C143" s="18">
        <v>1</v>
      </c>
      <c r="D143" s="18" t="s">
        <v>199</v>
      </c>
      <c r="E143" s="18">
        <v>1</v>
      </c>
      <c r="F143" s="18" t="s">
        <v>200</v>
      </c>
      <c r="G143" s="18">
        <v>1</v>
      </c>
      <c r="H143" s="18" t="s">
        <v>115</v>
      </c>
      <c r="I143" s="18">
        <v>1</v>
      </c>
      <c r="J143" s="23" t="s">
        <v>201</v>
      </c>
      <c r="K143" s="21"/>
      <c r="L143" s="21"/>
      <c r="M143" s="21"/>
      <c r="N143" s="19"/>
      <c r="O143" s="21"/>
      <c r="P143" s="22" t="s">
        <v>164</v>
      </c>
      <c r="Q143" s="21">
        <v>972</v>
      </c>
      <c r="R143" s="31" t="s">
        <v>62</v>
      </c>
    </row>
    <row r="144" spans="1:18" ht="18" customHeight="1">
      <c r="A144" s="17">
        <v>5</v>
      </c>
      <c r="B144" s="18" t="s">
        <v>199</v>
      </c>
      <c r="C144" s="18">
        <v>1</v>
      </c>
      <c r="D144" s="18" t="s">
        <v>199</v>
      </c>
      <c r="E144" s="18">
        <v>1</v>
      </c>
      <c r="F144" s="18" t="s">
        <v>200</v>
      </c>
      <c r="G144" s="18">
        <v>1</v>
      </c>
      <c r="H144" s="18" t="s">
        <v>115</v>
      </c>
      <c r="I144" s="18">
        <v>1</v>
      </c>
      <c r="J144" s="23" t="s">
        <v>201</v>
      </c>
      <c r="K144" s="21"/>
      <c r="L144" s="21"/>
      <c r="M144" s="21"/>
      <c r="N144" s="19"/>
      <c r="O144" s="21"/>
      <c r="P144" s="22" t="s">
        <v>163</v>
      </c>
      <c r="Q144" s="21"/>
      <c r="R144" s="31" t="s">
        <v>62</v>
      </c>
    </row>
    <row r="145" spans="1:18" ht="18" customHeight="1">
      <c r="A145" s="17">
        <v>5</v>
      </c>
      <c r="B145" s="18" t="s">
        <v>199</v>
      </c>
      <c r="C145" s="18">
        <v>1</v>
      </c>
      <c r="D145" s="18" t="s">
        <v>199</v>
      </c>
      <c r="E145" s="18">
        <v>1</v>
      </c>
      <c r="F145" s="18" t="s">
        <v>200</v>
      </c>
      <c r="G145" s="18">
        <v>1</v>
      </c>
      <c r="H145" s="18" t="s">
        <v>115</v>
      </c>
      <c r="I145" s="18">
        <v>1</v>
      </c>
      <c r="J145" s="23" t="s">
        <v>201</v>
      </c>
      <c r="K145" s="21"/>
      <c r="L145" s="21"/>
      <c r="M145" s="21"/>
      <c r="N145" s="19"/>
      <c r="O145" s="21"/>
      <c r="P145" s="22" t="s">
        <v>117</v>
      </c>
      <c r="Q145" s="21">
        <v>194</v>
      </c>
      <c r="R145" s="31" t="s">
        <v>62</v>
      </c>
    </row>
    <row r="146" spans="1:18" ht="18" customHeight="1">
      <c r="A146" s="17">
        <v>5</v>
      </c>
      <c r="B146" s="18" t="s">
        <v>199</v>
      </c>
      <c r="C146" s="18">
        <v>1</v>
      </c>
      <c r="D146" s="18" t="s">
        <v>199</v>
      </c>
      <c r="E146" s="18">
        <v>1</v>
      </c>
      <c r="F146" s="18" t="s">
        <v>200</v>
      </c>
      <c r="G146" s="18">
        <v>1</v>
      </c>
      <c r="H146" s="18" t="s">
        <v>115</v>
      </c>
      <c r="I146" s="18">
        <v>1</v>
      </c>
      <c r="J146" s="23" t="s">
        <v>201</v>
      </c>
      <c r="K146" s="21"/>
      <c r="L146" s="21"/>
      <c r="M146" s="21"/>
      <c r="N146" s="19"/>
      <c r="O146" s="21"/>
      <c r="P146" s="22" t="s">
        <v>169</v>
      </c>
      <c r="Q146" s="21">
        <v>7749</v>
      </c>
      <c r="R146" s="31" t="s">
        <v>62</v>
      </c>
    </row>
    <row r="147" spans="1:18" ht="18" customHeight="1">
      <c r="A147" s="17">
        <v>5</v>
      </c>
      <c r="B147" s="18" t="s">
        <v>199</v>
      </c>
      <c r="C147" s="18">
        <v>1</v>
      </c>
      <c r="D147" s="18" t="s">
        <v>199</v>
      </c>
      <c r="E147" s="18">
        <v>1</v>
      </c>
      <c r="F147" s="18" t="s">
        <v>200</v>
      </c>
      <c r="G147" s="18">
        <v>1</v>
      </c>
      <c r="H147" s="18" t="s">
        <v>115</v>
      </c>
      <c r="I147" s="18">
        <v>1</v>
      </c>
      <c r="J147" s="23" t="s">
        <v>201</v>
      </c>
      <c r="K147" s="21"/>
      <c r="L147" s="21"/>
      <c r="M147" s="21"/>
      <c r="N147" s="19"/>
      <c r="O147" s="21"/>
      <c r="P147" s="22" t="s">
        <v>170</v>
      </c>
      <c r="Q147" s="21">
        <v>7</v>
      </c>
      <c r="R147" s="31" t="s">
        <v>62</v>
      </c>
    </row>
    <row r="148" spans="1:18" ht="18" customHeight="1">
      <c r="A148" s="17">
        <v>5</v>
      </c>
      <c r="B148" s="18" t="s">
        <v>199</v>
      </c>
      <c r="C148" s="18">
        <v>1</v>
      </c>
      <c r="D148" s="18" t="s">
        <v>199</v>
      </c>
      <c r="E148" s="18">
        <v>1</v>
      </c>
      <c r="F148" s="18" t="s">
        <v>200</v>
      </c>
      <c r="G148" s="18">
        <v>1</v>
      </c>
      <c r="H148" s="18" t="s">
        <v>115</v>
      </c>
      <c r="I148" s="18">
        <v>1</v>
      </c>
      <c r="J148" s="23" t="s">
        <v>201</v>
      </c>
      <c r="K148" s="21"/>
      <c r="L148" s="21"/>
      <c r="M148" s="21"/>
      <c r="N148" s="19"/>
      <c r="O148" s="21"/>
      <c r="P148" s="22" t="s">
        <v>171</v>
      </c>
      <c r="Q148" s="21"/>
      <c r="R148" s="31" t="s">
        <v>62</v>
      </c>
    </row>
    <row r="149" spans="1:18" ht="18" customHeight="1">
      <c r="A149" s="17">
        <v>5</v>
      </c>
      <c r="B149" s="18" t="s">
        <v>199</v>
      </c>
      <c r="C149" s="18">
        <v>1</v>
      </c>
      <c r="D149" s="18" t="s">
        <v>199</v>
      </c>
      <c r="E149" s="18">
        <v>1</v>
      </c>
      <c r="F149" s="18" t="s">
        <v>200</v>
      </c>
      <c r="G149" s="18">
        <v>1</v>
      </c>
      <c r="H149" s="18" t="s">
        <v>115</v>
      </c>
      <c r="I149" s="18">
        <v>1</v>
      </c>
      <c r="J149" s="23" t="s">
        <v>201</v>
      </c>
      <c r="K149" s="21"/>
      <c r="L149" s="21"/>
      <c r="M149" s="21"/>
      <c r="N149" s="19"/>
      <c r="O149" s="21"/>
      <c r="P149" s="22" t="s">
        <v>172</v>
      </c>
      <c r="Q149" s="21">
        <v>685</v>
      </c>
      <c r="R149" s="31" t="s">
        <v>62</v>
      </c>
    </row>
    <row r="150" spans="1:18" ht="18" customHeight="1">
      <c r="A150" s="17">
        <v>5</v>
      </c>
      <c r="B150" s="18" t="s">
        <v>199</v>
      </c>
      <c r="C150" s="18">
        <v>1</v>
      </c>
      <c r="D150" s="18" t="s">
        <v>199</v>
      </c>
      <c r="E150" s="18">
        <v>1</v>
      </c>
      <c r="F150" s="18" t="s">
        <v>200</v>
      </c>
      <c r="G150" s="18">
        <v>1</v>
      </c>
      <c r="H150" s="18" t="s">
        <v>115</v>
      </c>
      <c r="I150" s="18">
        <v>1</v>
      </c>
      <c r="J150" s="23" t="s">
        <v>201</v>
      </c>
      <c r="K150" s="21"/>
      <c r="L150" s="21"/>
      <c r="M150" s="21"/>
      <c r="N150" s="19"/>
      <c r="O150" s="21"/>
      <c r="P150" s="22" t="s">
        <v>171</v>
      </c>
      <c r="Q150" s="21"/>
      <c r="R150" s="31" t="s">
        <v>62</v>
      </c>
    </row>
    <row r="151" spans="1:18" ht="18" customHeight="1">
      <c r="A151" s="17">
        <v>5</v>
      </c>
      <c r="B151" s="18" t="s">
        <v>199</v>
      </c>
      <c r="C151" s="18">
        <v>1</v>
      </c>
      <c r="D151" s="18" t="s">
        <v>199</v>
      </c>
      <c r="E151" s="18">
        <v>1</v>
      </c>
      <c r="F151" s="18" t="s">
        <v>200</v>
      </c>
      <c r="G151" s="18">
        <v>1</v>
      </c>
      <c r="H151" s="18" t="s">
        <v>115</v>
      </c>
      <c r="I151" s="18">
        <v>1</v>
      </c>
      <c r="J151" s="23" t="s">
        <v>201</v>
      </c>
      <c r="K151" s="21"/>
      <c r="L151" s="21"/>
      <c r="M151" s="21"/>
      <c r="N151" s="19"/>
      <c r="O151" s="21"/>
      <c r="P151" s="22" t="s">
        <v>172</v>
      </c>
      <c r="Q151" s="21">
        <v>10</v>
      </c>
      <c r="R151" s="31" t="s">
        <v>62</v>
      </c>
    </row>
    <row r="152" spans="1:18" ht="18" customHeight="1">
      <c r="A152" s="17">
        <v>5</v>
      </c>
      <c r="B152" s="18" t="s">
        <v>199</v>
      </c>
      <c r="C152" s="18">
        <v>1</v>
      </c>
      <c r="D152" s="18" t="s">
        <v>199</v>
      </c>
      <c r="E152" s="18">
        <v>1</v>
      </c>
      <c r="F152" s="18" t="s">
        <v>200</v>
      </c>
      <c r="G152" s="18">
        <v>1</v>
      </c>
      <c r="H152" s="18" t="s">
        <v>115</v>
      </c>
      <c r="I152" s="18">
        <v>1</v>
      </c>
      <c r="J152" s="23" t="s">
        <v>201</v>
      </c>
      <c r="K152" s="21"/>
      <c r="L152" s="21"/>
      <c r="M152" s="21"/>
      <c r="N152" s="19"/>
      <c r="O152" s="21"/>
      <c r="P152" s="22" t="s">
        <v>173</v>
      </c>
      <c r="Q152" s="21"/>
      <c r="R152" s="31" t="s">
        <v>62</v>
      </c>
    </row>
    <row r="153" spans="1:18" ht="18" customHeight="1">
      <c r="A153" s="17">
        <v>5</v>
      </c>
      <c r="B153" s="18" t="s">
        <v>199</v>
      </c>
      <c r="C153" s="18">
        <v>1</v>
      </c>
      <c r="D153" s="18" t="s">
        <v>199</v>
      </c>
      <c r="E153" s="18">
        <v>1</v>
      </c>
      <c r="F153" s="18" t="s">
        <v>200</v>
      </c>
      <c r="G153" s="18">
        <v>1</v>
      </c>
      <c r="H153" s="18" t="s">
        <v>115</v>
      </c>
      <c r="I153" s="18">
        <v>1</v>
      </c>
      <c r="J153" s="23" t="s">
        <v>201</v>
      </c>
      <c r="K153" s="21"/>
      <c r="L153" s="21"/>
      <c r="M153" s="21"/>
      <c r="N153" s="19"/>
      <c r="O153" s="21"/>
      <c r="P153" s="22" t="s">
        <v>174</v>
      </c>
      <c r="Q153" s="21">
        <v>12480</v>
      </c>
      <c r="R153" s="31" t="s">
        <v>62</v>
      </c>
    </row>
    <row r="154" spans="1:18" ht="18" customHeight="1">
      <c r="A154" s="17">
        <v>5</v>
      </c>
      <c r="B154" s="18" t="s">
        <v>199</v>
      </c>
      <c r="C154" s="18">
        <v>1</v>
      </c>
      <c r="D154" s="18" t="s">
        <v>199</v>
      </c>
      <c r="E154" s="18">
        <v>1</v>
      </c>
      <c r="F154" s="18" t="s">
        <v>200</v>
      </c>
      <c r="G154" s="18">
        <v>1</v>
      </c>
      <c r="H154" s="18" t="s">
        <v>115</v>
      </c>
      <c r="I154" s="18">
        <v>1</v>
      </c>
      <c r="J154" s="23" t="s">
        <v>201</v>
      </c>
      <c r="K154" s="21"/>
      <c r="L154" s="21"/>
      <c r="M154" s="21"/>
      <c r="N154" s="19"/>
      <c r="O154" s="21"/>
      <c r="P154" s="22" t="s">
        <v>171</v>
      </c>
      <c r="Q154" s="21"/>
      <c r="R154" s="31" t="s">
        <v>62</v>
      </c>
    </row>
    <row r="155" spans="1:18" ht="18" customHeight="1">
      <c r="A155" s="17">
        <v>5</v>
      </c>
      <c r="B155" s="18" t="s">
        <v>199</v>
      </c>
      <c r="C155" s="18">
        <v>1</v>
      </c>
      <c r="D155" s="18" t="s">
        <v>199</v>
      </c>
      <c r="E155" s="18">
        <v>1</v>
      </c>
      <c r="F155" s="18" t="s">
        <v>200</v>
      </c>
      <c r="G155" s="18">
        <v>1</v>
      </c>
      <c r="H155" s="18" t="s">
        <v>115</v>
      </c>
      <c r="I155" s="18">
        <v>1</v>
      </c>
      <c r="J155" s="23" t="s">
        <v>201</v>
      </c>
      <c r="K155" s="21"/>
      <c r="L155" s="21"/>
      <c r="M155" s="21"/>
      <c r="N155" s="19"/>
      <c r="O155" s="21"/>
      <c r="P155" s="22" t="s">
        <v>174</v>
      </c>
      <c r="Q155" s="21">
        <v>32</v>
      </c>
      <c r="R155" s="31" t="s">
        <v>62</v>
      </c>
    </row>
    <row r="156" spans="1:18" ht="18" customHeight="1">
      <c r="A156" s="17">
        <v>5</v>
      </c>
      <c r="B156" s="18" t="s">
        <v>199</v>
      </c>
      <c r="C156" s="18">
        <v>1</v>
      </c>
      <c r="D156" s="18" t="s">
        <v>199</v>
      </c>
      <c r="E156" s="18">
        <v>1</v>
      </c>
      <c r="F156" s="18" t="s">
        <v>200</v>
      </c>
      <c r="G156" s="18">
        <v>1</v>
      </c>
      <c r="H156" s="18" t="s">
        <v>115</v>
      </c>
      <c r="I156" s="18">
        <v>1</v>
      </c>
      <c r="J156" s="23" t="s">
        <v>201</v>
      </c>
      <c r="K156" s="21"/>
      <c r="L156" s="21"/>
      <c r="M156" s="21"/>
      <c r="N156" s="19"/>
      <c r="O156" s="21"/>
      <c r="P156" s="22" t="s">
        <v>173</v>
      </c>
      <c r="Q156" s="21"/>
      <c r="R156" s="31" t="s">
        <v>62</v>
      </c>
    </row>
    <row r="157" spans="1:18" ht="18" customHeight="1">
      <c r="A157" s="2">
        <v>5</v>
      </c>
      <c r="B157" s="3" t="s">
        <v>199</v>
      </c>
      <c r="C157" s="10">
        <v>1</v>
      </c>
      <c r="D157" s="3" t="s">
        <v>199</v>
      </c>
      <c r="E157" s="11">
        <v>2</v>
      </c>
      <c r="F157" s="12" t="s">
        <v>204</v>
      </c>
      <c r="G157" s="11"/>
      <c r="H157" s="12"/>
      <c r="I157" s="11"/>
      <c r="J157" s="11"/>
      <c r="K157" s="13">
        <f>IF(C157="",SUMIFS($K158:$K$746,$A158:$A$746,A157,$E158:$E$746,""),IF(E157="",SUMIFS($K158:$K$746,$A158:$A$746,A157,$C158:$C$746,C157,$G158:$G$746,""),IF(G157="",SUMIFS($K158:$K$746,$A158:$A$746,A157,$C158:$C$746,C157,$E158:$E$746,E157),0)))</f>
        <v>3355</v>
      </c>
      <c r="L157" s="13">
        <f>IF(C157="",SUMIFS($L158:$L$746,$A158:$A$746,A157,$E158:$E$746,""),IF(E157="",SUMIFS($L158:$L$746,$A158:$A$746,A157,$C158:$C$746,C157,$G158:$G$746,""),IF(G157="",SUMIFS($L158:$L$746,$A158:$A$746,A157,$C158:$C$746,C157,$E158:$E$746,E157),0)))</f>
        <v>3449</v>
      </c>
      <c r="M157" s="13">
        <f t="shared" ref="M157" si="19">K157-L157</f>
        <v>-94</v>
      </c>
      <c r="N157" s="14"/>
      <c r="O157" s="15"/>
      <c r="P157" s="16"/>
      <c r="Q157" s="13">
        <f>IF(C157="",SUMIFS($Q$3:$Q$746,$A$3:$A$746,A157,$C$3:$C$746,"&gt;0",$E$3:$E$746,""),IF(E157="",SUMIFS($Q$3:$Q$746,$A$3:$A$746,A157,$C$3:$C$746,C157,$E$3:$E$746,"&gt;0",$G$3:$G$746,""),IF(G157="",SUMIFS($Q$3:$Q$746,$A$3:$A$746,A157,$C$3:$C$746,C157,$E$3:$E$746,E157,$G$3:$G$746,"&gt;0"))))</f>
        <v>3355</v>
      </c>
      <c r="R157" s="13" t="s">
        <v>62</v>
      </c>
    </row>
    <row r="158" spans="1:18" ht="18" customHeight="1">
      <c r="A158" s="17">
        <v>5</v>
      </c>
      <c r="B158" s="18" t="s">
        <v>199</v>
      </c>
      <c r="C158" s="18">
        <v>1</v>
      </c>
      <c r="D158" s="18" t="s">
        <v>199</v>
      </c>
      <c r="E158" s="18">
        <v>2</v>
      </c>
      <c r="F158" s="18" t="s">
        <v>204</v>
      </c>
      <c r="G158" s="20">
        <v>1</v>
      </c>
      <c r="H158" s="20" t="s">
        <v>115</v>
      </c>
      <c r="I158" s="20"/>
      <c r="J158" s="19"/>
      <c r="K158" s="21"/>
      <c r="L158" s="21"/>
      <c r="M158" s="21"/>
      <c r="N158" s="19"/>
      <c r="O158" s="21"/>
      <c r="P158" s="22" t="s">
        <v>139</v>
      </c>
      <c r="Q158" s="21">
        <v>2065</v>
      </c>
      <c r="R158" s="31" t="s">
        <v>62</v>
      </c>
    </row>
    <row r="159" spans="1:18" ht="18" customHeight="1">
      <c r="A159" s="17">
        <v>5</v>
      </c>
      <c r="B159" s="18" t="s">
        <v>199</v>
      </c>
      <c r="C159" s="18">
        <v>1</v>
      </c>
      <c r="D159" s="18" t="s">
        <v>199</v>
      </c>
      <c r="E159" s="18">
        <v>2</v>
      </c>
      <c r="F159" s="18" t="s">
        <v>204</v>
      </c>
      <c r="G159" s="18">
        <v>1</v>
      </c>
      <c r="H159" s="18" t="s">
        <v>115</v>
      </c>
      <c r="I159" s="20">
        <v>1</v>
      </c>
      <c r="J159" s="19" t="s">
        <v>204</v>
      </c>
      <c r="K159" s="21">
        <v>3355</v>
      </c>
      <c r="L159" s="21">
        <v>3449</v>
      </c>
      <c r="M159" s="21">
        <f t="shared" ref="M159" si="20">K159-L159</f>
        <v>-94</v>
      </c>
      <c r="N159" s="19" t="s">
        <v>180</v>
      </c>
      <c r="O159" s="21"/>
      <c r="P159" s="22" t="s">
        <v>142</v>
      </c>
      <c r="Q159" s="21"/>
      <c r="R159" s="31" t="s">
        <v>62</v>
      </c>
    </row>
    <row r="160" spans="1:18" ht="18" customHeight="1">
      <c r="A160" s="17">
        <v>5</v>
      </c>
      <c r="B160" s="18" t="s">
        <v>199</v>
      </c>
      <c r="C160" s="18">
        <v>1</v>
      </c>
      <c r="D160" s="18" t="s">
        <v>199</v>
      </c>
      <c r="E160" s="18">
        <v>2</v>
      </c>
      <c r="F160" s="18" t="s">
        <v>204</v>
      </c>
      <c r="G160" s="18">
        <v>1</v>
      </c>
      <c r="H160" s="18" t="s">
        <v>115</v>
      </c>
      <c r="I160" s="18">
        <v>1</v>
      </c>
      <c r="J160" s="23" t="s">
        <v>204</v>
      </c>
      <c r="K160" s="21"/>
      <c r="L160" s="21"/>
      <c r="M160" s="21"/>
      <c r="N160" s="19" t="s">
        <v>205</v>
      </c>
      <c r="O160" s="21">
        <v>3355020</v>
      </c>
      <c r="P160" s="22" t="s">
        <v>182</v>
      </c>
      <c r="Q160" s="21">
        <v>1285</v>
      </c>
      <c r="R160" s="31" t="s">
        <v>62</v>
      </c>
    </row>
    <row r="161" spans="1:18" ht="18" customHeight="1">
      <c r="A161" s="17">
        <v>5</v>
      </c>
      <c r="B161" s="18" t="s">
        <v>199</v>
      </c>
      <c r="C161" s="18">
        <v>1</v>
      </c>
      <c r="D161" s="18" t="s">
        <v>199</v>
      </c>
      <c r="E161" s="18">
        <v>2</v>
      </c>
      <c r="F161" s="18" t="s">
        <v>204</v>
      </c>
      <c r="G161" s="18">
        <v>1</v>
      </c>
      <c r="H161" s="18" t="s">
        <v>115</v>
      </c>
      <c r="I161" s="18">
        <v>1</v>
      </c>
      <c r="J161" s="23" t="s">
        <v>204</v>
      </c>
      <c r="K161" s="21"/>
      <c r="L161" s="21"/>
      <c r="M161" s="21"/>
      <c r="N161" s="19"/>
      <c r="O161" s="21"/>
      <c r="P161" s="22" t="s">
        <v>117</v>
      </c>
      <c r="Q161" s="21">
        <v>5</v>
      </c>
      <c r="R161" s="31" t="s">
        <v>62</v>
      </c>
    </row>
    <row r="162" spans="1:18" ht="18" customHeight="1">
      <c r="A162" s="24">
        <v>6</v>
      </c>
      <c r="B162" s="25" t="s">
        <v>105</v>
      </c>
      <c r="C162" s="25"/>
      <c r="D162" s="25"/>
      <c r="E162" s="26"/>
      <c r="F162" s="25"/>
      <c r="G162" s="26"/>
      <c r="H162" s="25"/>
      <c r="I162" s="26"/>
      <c r="J162" s="26"/>
      <c r="K162" s="27">
        <f>IF(C162="",SUMIFS($K163:$K$746,$A163:$A$746,A162,$E163:$E$746,""),IF(E162="",SUMIFS($K163:$K$746,$A163:$A$746,A162,$C163:$C$746,C162,$G163:$G$746,""),IF(G162="",SUMIFS($K163:$K$746,$A163:$A$746,A162,$C163:$C$746,C162,$E163:$E$746,E162),0)))</f>
        <v>168502</v>
      </c>
      <c r="L162" s="27">
        <f>IF(C162="",SUMIFS($L163:$L$746,$A163:$A$746,A162,$E163:$E$746,""),IF(E162="",SUMIFS($L163:$L$746,$A163:$A$746,A162,$C163:$C$746,C162,$G163:$G$746,""),IF(G162="",SUMIFS($L163:$L$746,$A163:$A$746,A162,$C163:$C$746,C162,$E163:$E$746,E162),0)))</f>
        <v>168605</v>
      </c>
      <c r="M162" s="27">
        <f t="shared" ref="M162:M164" si="21">K162-L162</f>
        <v>-103</v>
      </c>
      <c r="N162" s="28"/>
      <c r="O162" s="29"/>
      <c r="P162" s="30"/>
      <c r="Q162" s="27">
        <f>IF(C162="",SUMIFS($Q$3:$Q$746,$A$3:$A$746,A162,$C$3:$C$746,"&gt;0",$E$3:$E$746,""),IF(E162="",SUMIFS($Q$3:$Q$746,$A$3:$A$746,A162,$C$3:$C$746,C162,$E$3:$E$746,"&gt;0",$G$3:$G$746,""),IF(G162="",SUMIFS($Q$3:$Q$746,$A$3:$A$746,A162,$C$3:$C$746,C162,$E$3:$E$746,E162,$G$3:$G$746,"&gt;0"))))</f>
        <v>168502</v>
      </c>
      <c r="R162" s="27"/>
    </row>
    <row r="163" spans="1:18" ht="18" customHeight="1">
      <c r="A163" s="2">
        <v>6</v>
      </c>
      <c r="B163" s="3" t="s">
        <v>105</v>
      </c>
      <c r="C163" s="4">
        <v>1</v>
      </c>
      <c r="D163" s="4" t="s">
        <v>106</v>
      </c>
      <c r="E163" s="5"/>
      <c r="F163" s="4"/>
      <c r="G163" s="5"/>
      <c r="H163" s="4"/>
      <c r="I163" s="5"/>
      <c r="J163" s="5"/>
      <c r="K163" s="6">
        <f>IF(C163="",SUMIFS($K164:$K$746,$A164:$A$746,A163,$E164:$E$746,""),IF(E163="",SUMIFS($K164:$K$746,$A164:$A$746,A163,$C164:$C$746,C163,$G164:$G$746,""),IF(G163="",SUMIFS($K164:$K$746,$A164:$A$746,A163,$C164:$C$746,C163,$E164:$E$746,E163),0)))</f>
        <v>162061</v>
      </c>
      <c r="L163" s="6">
        <f>IF(C163="",SUMIFS($L164:$L$746,$A164:$A$746,A163,$E164:$E$746,""),IF(E163="",SUMIFS($L164:$L$746,$A164:$A$746,A163,$C164:$C$746,C163,$G164:$G$746,""),IF(G163="",SUMIFS($L164:$L$746,$A164:$A$746,A163,$C164:$C$746,C163,$E164:$E$746,E163),0)))</f>
        <v>162020</v>
      </c>
      <c r="M163" s="6">
        <f t="shared" si="21"/>
        <v>41</v>
      </c>
      <c r="N163" s="7"/>
      <c r="O163" s="8"/>
      <c r="P163" s="9"/>
      <c r="Q163" s="6">
        <f>IF(C163="",SUMIFS($Q$3:$Q$746,$A$3:$A$746,A163,$C$3:$C$746,"&gt;0",$E$3:$E$746,""),IF(E163="",SUMIFS($Q$3:$Q$746,$A$3:$A$746,A163,$C$3:$C$746,C163,$E$3:$E$746,"&gt;0",$G$3:$G$746,""),IF(G163="",SUMIFS($Q$3:$Q$746,$A$3:$A$746,A163,$C$3:$C$746,C163,$E$3:$E$746,E163,$G$3:$G$746,"&gt;0"))))</f>
        <v>162061</v>
      </c>
      <c r="R163" s="6"/>
    </row>
    <row r="164" spans="1:18" ht="18" customHeight="1">
      <c r="A164" s="2">
        <v>6</v>
      </c>
      <c r="B164" s="3" t="s">
        <v>105</v>
      </c>
      <c r="C164" s="10">
        <v>1</v>
      </c>
      <c r="D164" s="3" t="s">
        <v>106</v>
      </c>
      <c r="E164" s="11">
        <v>1</v>
      </c>
      <c r="F164" s="12" t="s">
        <v>151</v>
      </c>
      <c r="G164" s="11"/>
      <c r="H164" s="12"/>
      <c r="I164" s="11"/>
      <c r="J164" s="11"/>
      <c r="K164" s="13">
        <f>IF(C164="",SUMIFS($K165:$K$746,$A165:$A$746,A164,$E165:$E$746,""),IF(E164="",SUMIFS($K165:$K$746,$A165:$A$746,A164,$C165:$C$746,C164,$G165:$G$746,""),IF(G164="",SUMIFS($K165:$K$746,$A165:$A$746,A164,$C165:$C$746,C164,$E165:$E$746,E164),0)))</f>
        <v>162061</v>
      </c>
      <c r="L164" s="13">
        <f>IF(C164="",SUMIFS($L165:$L$746,$A165:$A$746,A164,$E165:$E$746,""),IF(E164="",SUMIFS($L165:$L$746,$A165:$A$746,A164,$C165:$C$746,C164,$G165:$G$746,""),IF(G164="",SUMIFS($L165:$L$746,$A165:$A$746,A164,$C165:$C$746,C164,$E165:$E$746,E164),0)))</f>
        <v>162020</v>
      </c>
      <c r="M164" s="13">
        <f t="shared" si="21"/>
        <v>41</v>
      </c>
      <c r="N164" s="14"/>
      <c r="O164" s="15"/>
      <c r="P164" s="16"/>
      <c r="Q164" s="13">
        <f>IF(C164="",SUMIFS($Q$3:$Q$746,$A$3:$A$746,A164,$C$3:$C$746,"&gt;0",$E$3:$E$746,""),IF(E164="",SUMIFS($Q$3:$Q$746,$A$3:$A$746,A164,$C$3:$C$746,C164,$E$3:$E$746,"&gt;0",$G$3:$G$746,""),IF(G164="",SUMIFS($Q$3:$Q$746,$A$3:$A$746,A164,$C$3:$C$746,C164,$E$3:$E$746,E164,$G$3:$G$746,"&gt;0"))))</f>
        <v>162061</v>
      </c>
      <c r="R164" s="13" t="s">
        <v>62</v>
      </c>
    </row>
    <row r="165" spans="1:18" ht="18" customHeight="1">
      <c r="A165" s="17">
        <v>6</v>
      </c>
      <c r="B165" s="18" t="s">
        <v>105</v>
      </c>
      <c r="C165" s="18">
        <v>1</v>
      </c>
      <c r="D165" s="18" t="s">
        <v>106</v>
      </c>
      <c r="E165" s="18">
        <v>1</v>
      </c>
      <c r="F165" s="18" t="s">
        <v>151</v>
      </c>
      <c r="G165" s="20">
        <v>1</v>
      </c>
      <c r="H165" s="20" t="s">
        <v>115</v>
      </c>
      <c r="I165" s="20"/>
      <c r="J165" s="19"/>
      <c r="K165" s="21"/>
      <c r="L165" s="21"/>
      <c r="M165" s="21"/>
      <c r="N165" s="19"/>
      <c r="O165" s="21"/>
      <c r="P165" s="22" t="s">
        <v>152</v>
      </c>
      <c r="Q165" s="21">
        <v>36800</v>
      </c>
      <c r="R165" s="31" t="s">
        <v>62</v>
      </c>
    </row>
    <row r="166" spans="1:18" ht="18" customHeight="1">
      <c r="A166" s="17">
        <v>6</v>
      </c>
      <c r="B166" s="18" t="s">
        <v>105</v>
      </c>
      <c r="C166" s="18">
        <v>1</v>
      </c>
      <c r="D166" s="18" t="s">
        <v>106</v>
      </c>
      <c r="E166" s="18">
        <v>1</v>
      </c>
      <c r="F166" s="18" t="s">
        <v>151</v>
      </c>
      <c r="G166" s="18">
        <v>1</v>
      </c>
      <c r="H166" s="18" t="s">
        <v>115</v>
      </c>
      <c r="I166" s="20">
        <v>1</v>
      </c>
      <c r="J166" s="19" t="s">
        <v>206</v>
      </c>
      <c r="K166" s="21">
        <v>162061</v>
      </c>
      <c r="L166" s="21">
        <v>162020</v>
      </c>
      <c r="M166" s="21">
        <f t="shared" ref="M166" si="22">K166-L166</f>
        <v>41</v>
      </c>
      <c r="N166" s="19" t="s">
        <v>207</v>
      </c>
      <c r="O166" s="21">
        <v>71624375</v>
      </c>
      <c r="P166" s="22" t="s">
        <v>155</v>
      </c>
      <c r="Q166" s="21"/>
      <c r="R166" s="31" t="s">
        <v>62</v>
      </c>
    </row>
    <row r="167" spans="1:18" ht="18" customHeight="1">
      <c r="A167" s="17">
        <v>6</v>
      </c>
      <c r="B167" s="18" t="s">
        <v>105</v>
      </c>
      <c r="C167" s="18">
        <v>1</v>
      </c>
      <c r="D167" s="18" t="s">
        <v>106</v>
      </c>
      <c r="E167" s="18">
        <v>1</v>
      </c>
      <c r="F167" s="18" t="s">
        <v>151</v>
      </c>
      <c r="G167" s="18">
        <v>1</v>
      </c>
      <c r="H167" s="18" t="s">
        <v>115</v>
      </c>
      <c r="I167" s="18">
        <v>1</v>
      </c>
      <c r="J167" s="23" t="s">
        <v>206</v>
      </c>
      <c r="K167" s="21"/>
      <c r="L167" s="21"/>
      <c r="M167" s="21"/>
      <c r="N167" s="19" t="s">
        <v>208</v>
      </c>
      <c r="O167" s="21">
        <v>90437200</v>
      </c>
      <c r="P167" s="22" t="s">
        <v>157</v>
      </c>
      <c r="Q167" s="21">
        <v>21641</v>
      </c>
      <c r="R167" s="31" t="s">
        <v>62</v>
      </c>
    </row>
    <row r="168" spans="1:18" ht="18" customHeight="1">
      <c r="A168" s="17">
        <v>6</v>
      </c>
      <c r="B168" s="18" t="s">
        <v>105</v>
      </c>
      <c r="C168" s="18">
        <v>1</v>
      </c>
      <c r="D168" s="18" t="s">
        <v>106</v>
      </c>
      <c r="E168" s="18">
        <v>1</v>
      </c>
      <c r="F168" s="18" t="s">
        <v>151</v>
      </c>
      <c r="G168" s="18">
        <v>1</v>
      </c>
      <c r="H168" s="18" t="s">
        <v>115</v>
      </c>
      <c r="I168" s="18">
        <v>1</v>
      </c>
      <c r="J168" s="23" t="s">
        <v>206</v>
      </c>
      <c r="K168" s="21"/>
      <c r="L168" s="21"/>
      <c r="M168" s="21"/>
      <c r="N168" s="19"/>
      <c r="O168" s="21"/>
      <c r="P168" s="22" t="s">
        <v>158</v>
      </c>
      <c r="Q168" s="21"/>
      <c r="R168" s="31" t="s">
        <v>62</v>
      </c>
    </row>
    <row r="169" spans="1:18" ht="18" customHeight="1">
      <c r="A169" s="17">
        <v>6</v>
      </c>
      <c r="B169" s="18" t="s">
        <v>105</v>
      </c>
      <c r="C169" s="18">
        <v>1</v>
      </c>
      <c r="D169" s="18" t="s">
        <v>106</v>
      </c>
      <c r="E169" s="18">
        <v>1</v>
      </c>
      <c r="F169" s="18" t="s">
        <v>151</v>
      </c>
      <c r="G169" s="18">
        <v>1</v>
      </c>
      <c r="H169" s="18" t="s">
        <v>115</v>
      </c>
      <c r="I169" s="18">
        <v>1</v>
      </c>
      <c r="J169" s="23" t="s">
        <v>206</v>
      </c>
      <c r="K169" s="21"/>
      <c r="L169" s="21"/>
      <c r="M169" s="21"/>
      <c r="N169" s="19"/>
      <c r="O169" s="21"/>
      <c r="P169" s="22" t="s">
        <v>159</v>
      </c>
      <c r="Q169" s="21">
        <v>82327</v>
      </c>
      <c r="R169" s="31" t="s">
        <v>62</v>
      </c>
    </row>
    <row r="170" spans="1:18" ht="18" customHeight="1">
      <c r="A170" s="17">
        <v>6</v>
      </c>
      <c r="B170" s="18" t="s">
        <v>105</v>
      </c>
      <c r="C170" s="18">
        <v>1</v>
      </c>
      <c r="D170" s="18" t="s">
        <v>106</v>
      </c>
      <c r="E170" s="18">
        <v>1</v>
      </c>
      <c r="F170" s="18" t="s">
        <v>151</v>
      </c>
      <c r="G170" s="18">
        <v>1</v>
      </c>
      <c r="H170" s="18" t="s">
        <v>115</v>
      </c>
      <c r="I170" s="18">
        <v>1</v>
      </c>
      <c r="J170" s="23" t="s">
        <v>206</v>
      </c>
      <c r="K170" s="21"/>
      <c r="L170" s="21"/>
      <c r="M170" s="21"/>
      <c r="N170" s="19"/>
      <c r="O170" s="21"/>
      <c r="P170" s="22" t="s">
        <v>155</v>
      </c>
      <c r="Q170" s="21"/>
      <c r="R170" s="31" t="s">
        <v>62</v>
      </c>
    </row>
    <row r="171" spans="1:18" ht="18" customHeight="1">
      <c r="A171" s="17">
        <v>6</v>
      </c>
      <c r="B171" s="18" t="s">
        <v>105</v>
      </c>
      <c r="C171" s="18">
        <v>1</v>
      </c>
      <c r="D171" s="18" t="s">
        <v>106</v>
      </c>
      <c r="E171" s="18">
        <v>1</v>
      </c>
      <c r="F171" s="18" t="s">
        <v>151</v>
      </c>
      <c r="G171" s="18">
        <v>1</v>
      </c>
      <c r="H171" s="18" t="s">
        <v>115</v>
      </c>
      <c r="I171" s="18">
        <v>1</v>
      </c>
      <c r="J171" s="23" t="s">
        <v>206</v>
      </c>
      <c r="K171" s="21"/>
      <c r="L171" s="21"/>
      <c r="M171" s="21"/>
      <c r="N171" s="19"/>
      <c r="O171" s="21"/>
      <c r="P171" s="22" t="s">
        <v>160</v>
      </c>
      <c r="Q171" s="21">
        <v>75</v>
      </c>
      <c r="R171" s="31" t="s">
        <v>62</v>
      </c>
    </row>
    <row r="172" spans="1:18" ht="18" customHeight="1">
      <c r="A172" s="17">
        <v>6</v>
      </c>
      <c r="B172" s="18" t="s">
        <v>105</v>
      </c>
      <c r="C172" s="18">
        <v>1</v>
      </c>
      <c r="D172" s="18" t="s">
        <v>106</v>
      </c>
      <c r="E172" s="18">
        <v>1</v>
      </c>
      <c r="F172" s="18" t="s">
        <v>151</v>
      </c>
      <c r="G172" s="18">
        <v>1</v>
      </c>
      <c r="H172" s="18" t="s">
        <v>115</v>
      </c>
      <c r="I172" s="18">
        <v>1</v>
      </c>
      <c r="J172" s="23" t="s">
        <v>206</v>
      </c>
      <c r="K172" s="21"/>
      <c r="L172" s="21"/>
      <c r="M172" s="21"/>
      <c r="N172" s="19"/>
      <c r="O172" s="21"/>
      <c r="P172" s="22" t="s">
        <v>161</v>
      </c>
      <c r="Q172" s="21"/>
      <c r="R172" s="31" t="s">
        <v>62</v>
      </c>
    </row>
    <row r="173" spans="1:18" ht="18" customHeight="1">
      <c r="A173" s="17">
        <v>6</v>
      </c>
      <c r="B173" s="18" t="s">
        <v>105</v>
      </c>
      <c r="C173" s="18">
        <v>1</v>
      </c>
      <c r="D173" s="18" t="s">
        <v>106</v>
      </c>
      <c r="E173" s="18">
        <v>1</v>
      </c>
      <c r="F173" s="18" t="s">
        <v>151</v>
      </c>
      <c r="G173" s="18">
        <v>1</v>
      </c>
      <c r="H173" s="18" t="s">
        <v>115</v>
      </c>
      <c r="I173" s="18">
        <v>1</v>
      </c>
      <c r="J173" s="23" t="s">
        <v>206</v>
      </c>
      <c r="K173" s="21"/>
      <c r="L173" s="21"/>
      <c r="M173" s="21"/>
      <c r="N173" s="19"/>
      <c r="O173" s="21"/>
      <c r="P173" s="22" t="s">
        <v>209</v>
      </c>
      <c r="Q173" s="21">
        <v>281</v>
      </c>
      <c r="R173" s="31" t="s">
        <v>62</v>
      </c>
    </row>
    <row r="174" spans="1:18" ht="18" customHeight="1">
      <c r="A174" s="17">
        <v>6</v>
      </c>
      <c r="B174" s="18" t="s">
        <v>105</v>
      </c>
      <c r="C174" s="18">
        <v>1</v>
      </c>
      <c r="D174" s="18" t="s">
        <v>106</v>
      </c>
      <c r="E174" s="18">
        <v>1</v>
      </c>
      <c r="F174" s="18" t="s">
        <v>151</v>
      </c>
      <c r="G174" s="18">
        <v>1</v>
      </c>
      <c r="H174" s="18" t="s">
        <v>115</v>
      </c>
      <c r="I174" s="18">
        <v>1</v>
      </c>
      <c r="J174" s="23" t="s">
        <v>206</v>
      </c>
      <c r="K174" s="21"/>
      <c r="L174" s="21"/>
      <c r="M174" s="21"/>
      <c r="N174" s="19"/>
      <c r="O174" s="21"/>
      <c r="P174" s="22" t="s">
        <v>152</v>
      </c>
      <c r="Q174" s="21">
        <v>5192</v>
      </c>
      <c r="R174" s="31" t="s">
        <v>62</v>
      </c>
    </row>
    <row r="175" spans="1:18" ht="18" customHeight="1">
      <c r="A175" s="17">
        <v>6</v>
      </c>
      <c r="B175" s="18" t="s">
        <v>105</v>
      </c>
      <c r="C175" s="18">
        <v>1</v>
      </c>
      <c r="D175" s="18" t="s">
        <v>106</v>
      </c>
      <c r="E175" s="18">
        <v>1</v>
      </c>
      <c r="F175" s="18" t="s">
        <v>151</v>
      </c>
      <c r="G175" s="18">
        <v>1</v>
      </c>
      <c r="H175" s="18" t="s">
        <v>115</v>
      </c>
      <c r="I175" s="18">
        <v>1</v>
      </c>
      <c r="J175" s="23" t="s">
        <v>206</v>
      </c>
      <c r="K175" s="21"/>
      <c r="L175" s="21"/>
      <c r="M175" s="21"/>
      <c r="N175" s="19"/>
      <c r="O175" s="21"/>
      <c r="P175" s="22" t="s">
        <v>163</v>
      </c>
      <c r="Q175" s="21"/>
      <c r="R175" s="31" t="s">
        <v>62</v>
      </c>
    </row>
    <row r="176" spans="1:18" ht="18" customHeight="1">
      <c r="A176" s="17">
        <v>6</v>
      </c>
      <c r="B176" s="18" t="s">
        <v>105</v>
      </c>
      <c r="C176" s="18">
        <v>1</v>
      </c>
      <c r="D176" s="18" t="s">
        <v>106</v>
      </c>
      <c r="E176" s="18">
        <v>1</v>
      </c>
      <c r="F176" s="18" t="s">
        <v>151</v>
      </c>
      <c r="G176" s="18">
        <v>1</v>
      </c>
      <c r="H176" s="18" t="s">
        <v>115</v>
      </c>
      <c r="I176" s="18">
        <v>1</v>
      </c>
      <c r="J176" s="23" t="s">
        <v>206</v>
      </c>
      <c r="K176" s="21"/>
      <c r="L176" s="21"/>
      <c r="M176" s="21"/>
      <c r="N176" s="19"/>
      <c r="O176" s="21"/>
      <c r="P176" s="22" t="s">
        <v>164</v>
      </c>
      <c r="Q176" s="21">
        <v>2996</v>
      </c>
      <c r="R176" s="31" t="s">
        <v>62</v>
      </c>
    </row>
    <row r="177" spans="1:18" ht="18" customHeight="1">
      <c r="A177" s="17">
        <v>6</v>
      </c>
      <c r="B177" s="18" t="s">
        <v>105</v>
      </c>
      <c r="C177" s="18">
        <v>1</v>
      </c>
      <c r="D177" s="18" t="s">
        <v>106</v>
      </c>
      <c r="E177" s="18">
        <v>1</v>
      </c>
      <c r="F177" s="18" t="s">
        <v>151</v>
      </c>
      <c r="G177" s="18">
        <v>1</v>
      </c>
      <c r="H177" s="18" t="s">
        <v>115</v>
      </c>
      <c r="I177" s="18">
        <v>1</v>
      </c>
      <c r="J177" s="23" t="s">
        <v>206</v>
      </c>
      <c r="K177" s="21"/>
      <c r="L177" s="21"/>
      <c r="M177" s="21"/>
      <c r="N177" s="19"/>
      <c r="O177" s="21"/>
      <c r="P177" s="22" t="s">
        <v>155</v>
      </c>
      <c r="Q177" s="21"/>
      <c r="R177" s="31" t="s">
        <v>62</v>
      </c>
    </row>
    <row r="178" spans="1:18" ht="18" customHeight="1">
      <c r="A178" s="17">
        <v>6</v>
      </c>
      <c r="B178" s="18" t="s">
        <v>105</v>
      </c>
      <c r="C178" s="18">
        <v>1</v>
      </c>
      <c r="D178" s="18" t="s">
        <v>106</v>
      </c>
      <c r="E178" s="18">
        <v>1</v>
      </c>
      <c r="F178" s="18" t="s">
        <v>151</v>
      </c>
      <c r="G178" s="18">
        <v>1</v>
      </c>
      <c r="H178" s="18" t="s">
        <v>115</v>
      </c>
      <c r="I178" s="18">
        <v>1</v>
      </c>
      <c r="J178" s="23" t="s">
        <v>206</v>
      </c>
      <c r="K178" s="21"/>
      <c r="L178" s="21"/>
      <c r="M178" s="21"/>
      <c r="N178" s="19"/>
      <c r="O178" s="21"/>
      <c r="P178" s="22" t="s">
        <v>165</v>
      </c>
      <c r="Q178" s="21">
        <v>90</v>
      </c>
      <c r="R178" s="31" t="s">
        <v>62</v>
      </c>
    </row>
    <row r="179" spans="1:18" ht="18" customHeight="1">
      <c r="A179" s="17">
        <v>6</v>
      </c>
      <c r="B179" s="18" t="s">
        <v>105</v>
      </c>
      <c r="C179" s="18">
        <v>1</v>
      </c>
      <c r="D179" s="18" t="s">
        <v>106</v>
      </c>
      <c r="E179" s="18">
        <v>1</v>
      </c>
      <c r="F179" s="18" t="s">
        <v>151</v>
      </c>
      <c r="G179" s="18">
        <v>1</v>
      </c>
      <c r="H179" s="18" t="s">
        <v>115</v>
      </c>
      <c r="I179" s="18">
        <v>1</v>
      </c>
      <c r="J179" s="23" t="s">
        <v>206</v>
      </c>
      <c r="K179" s="21"/>
      <c r="L179" s="21"/>
      <c r="M179" s="21"/>
      <c r="N179" s="19"/>
      <c r="O179" s="21"/>
      <c r="P179" s="22" t="s">
        <v>166</v>
      </c>
      <c r="Q179" s="21"/>
      <c r="R179" s="31" t="s">
        <v>62</v>
      </c>
    </row>
    <row r="180" spans="1:18" ht="18" customHeight="1">
      <c r="A180" s="17">
        <v>6</v>
      </c>
      <c r="B180" s="18" t="s">
        <v>105</v>
      </c>
      <c r="C180" s="18">
        <v>1</v>
      </c>
      <c r="D180" s="18" t="s">
        <v>106</v>
      </c>
      <c r="E180" s="18">
        <v>1</v>
      </c>
      <c r="F180" s="18" t="s">
        <v>151</v>
      </c>
      <c r="G180" s="18">
        <v>1</v>
      </c>
      <c r="H180" s="18" t="s">
        <v>115</v>
      </c>
      <c r="I180" s="18">
        <v>1</v>
      </c>
      <c r="J180" s="23" t="s">
        <v>206</v>
      </c>
      <c r="K180" s="21"/>
      <c r="L180" s="21"/>
      <c r="M180" s="21"/>
      <c r="N180" s="19"/>
      <c r="O180" s="21"/>
      <c r="P180" s="22" t="s">
        <v>167</v>
      </c>
      <c r="Q180" s="21">
        <v>23</v>
      </c>
      <c r="R180" s="31" t="s">
        <v>62</v>
      </c>
    </row>
    <row r="181" spans="1:18" ht="18" customHeight="1">
      <c r="A181" s="17">
        <v>6</v>
      </c>
      <c r="B181" s="18" t="s">
        <v>105</v>
      </c>
      <c r="C181" s="18">
        <v>1</v>
      </c>
      <c r="D181" s="18" t="s">
        <v>106</v>
      </c>
      <c r="E181" s="18">
        <v>1</v>
      </c>
      <c r="F181" s="18" t="s">
        <v>151</v>
      </c>
      <c r="G181" s="18">
        <v>1</v>
      </c>
      <c r="H181" s="18" t="s">
        <v>115</v>
      </c>
      <c r="I181" s="18">
        <v>1</v>
      </c>
      <c r="J181" s="23" t="s">
        <v>210</v>
      </c>
      <c r="K181" s="21"/>
      <c r="L181" s="21"/>
      <c r="M181" s="21"/>
      <c r="N181" s="19"/>
      <c r="O181" s="21"/>
      <c r="P181" s="22" t="s">
        <v>161</v>
      </c>
      <c r="Q181" s="21"/>
      <c r="R181" s="31" t="s">
        <v>62</v>
      </c>
    </row>
    <row r="182" spans="1:18" ht="18" customHeight="1">
      <c r="A182" s="17">
        <v>6</v>
      </c>
      <c r="B182" s="18" t="s">
        <v>105</v>
      </c>
      <c r="C182" s="18">
        <v>1</v>
      </c>
      <c r="D182" s="18" t="s">
        <v>106</v>
      </c>
      <c r="E182" s="18">
        <v>1</v>
      </c>
      <c r="F182" s="18" t="s">
        <v>151</v>
      </c>
      <c r="G182" s="18">
        <v>1</v>
      </c>
      <c r="H182" s="18" t="s">
        <v>115</v>
      </c>
      <c r="I182" s="18">
        <v>1</v>
      </c>
      <c r="J182" s="23" t="s">
        <v>206</v>
      </c>
      <c r="K182" s="21"/>
      <c r="L182" s="21"/>
      <c r="M182" s="21"/>
      <c r="N182" s="19"/>
      <c r="O182" s="21"/>
      <c r="P182" s="22" t="s">
        <v>168</v>
      </c>
      <c r="Q182" s="21">
        <v>75</v>
      </c>
      <c r="R182" s="31" t="s">
        <v>62</v>
      </c>
    </row>
    <row r="183" spans="1:18" ht="18" customHeight="1">
      <c r="A183" s="17">
        <v>6</v>
      </c>
      <c r="B183" s="18" t="s">
        <v>105</v>
      </c>
      <c r="C183" s="18">
        <v>1</v>
      </c>
      <c r="D183" s="18" t="s">
        <v>106</v>
      </c>
      <c r="E183" s="18">
        <v>1</v>
      </c>
      <c r="F183" s="18" t="s">
        <v>151</v>
      </c>
      <c r="G183" s="18">
        <v>1</v>
      </c>
      <c r="H183" s="18" t="s">
        <v>115</v>
      </c>
      <c r="I183" s="18">
        <v>1</v>
      </c>
      <c r="J183" s="23" t="s">
        <v>206</v>
      </c>
      <c r="K183" s="21"/>
      <c r="L183" s="21"/>
      <c r="M183" s="21"/>
      <c r="N183" s="19"/>
      <c r="O183" s="21"/>
      <c r="P183" s="22" t="s">
        <v>164</v>
      </c>
      <c r="Q183" s="21">
        <v>450</v>
      </c>
      <c r="R183" s="31" t="s">
        <v>62</v>
      </c>
    </row>
    <row r="184" spans="1:18" ht="18" customHeight="1">
      <c r="A184" s="17">
        <v>6</v>
      </c>
      <c r="B184" s="18" t="s">
        <v>105</v>
      </c>
      <c r="C184" s="18">
        <v>1</v>
      </c>
      <c r="D184" s="18" t="s">
        <v>106</v>
      </c>
      <c r="E184" s="18">
        <v>1</v>
      </c>
      <c r="F184" s="18" t="s">
        <v>151</v>
      </c>
      <c r="G184" s="18">
        <v>1</v>
      </c>
      <c r="H184" s="18" t="s">
        <v>115</v>
      </c>
      <c r="I184" s="18">
        <v>1</v>
      </c>
      <c r="J184" s="23" t="s">
        <v>206</v>
      </c>
      <c r="K184" s="21"/>
      <c r="L184" s="21"/>
      <c r="M184" s="21"/>
      <c r="N184" s="19"/>
      <c r="O184" s="21"/>
      <c r="P184" s="22" t="s">
        <v>163</v>
      </c>
      <c r="Q184" s="21"/>
      <c r="R184" s="31" t="s">
        <v>62</v>
      </c>
    </row>
    <row r="185" spans="1:18" ht="18" customHeight="1">
      <c r="A185" s="17">
        <v>6</v>
      </c>
      <c r="B185" s="18" t="s">
        <v>105</v>
      </c>
      <c r="C185" s="18">
        <v>1</v>
      </c>
      <c r="D185" s="18" t="s">
        <v>106</v>
      </c>
      <c r="E185" s="18">
        <v>1</v>
      </c>
      <c r="F185" s="18" t="s">
        <v>151</v>
      </c>
      <c r="G185" s="18">
        <v>1</v>
      </c>
      <c r="H185" s="18" t="s">
        <v>115</v>
      </c>
      <c r="I185" s="18">
        <v>1</v>
      </c>
      <c r="J185" s="23" t="s">
        <v>206</v>
      </c>
      <c r="K185" s="21"/>
      <c r="L185" s="21"/>
      <c r="M185" s="21"/>
      <c r="N185" s="19"/>
      <c r="O185" s="21"/>
      <c r="P185" s="22" t="s">
        <v>117</v>
      </c>
      <c r="Q185" s="21">
        <v>90</v>
      </c>
      <c r="R185" s="31" t="s">
        <v>62</v>
      </c>
    </row>
    <row r="186" spans="1:18" ht="18" customHeight="1">
      <c r="A186" s="17">
        <v>6</v>
      </c>
      <c r="B186" s="18" t="s">
        <v>105</v>
      </c>
      <c r="C186" s="18">
        <v>1</v>
      </c>
      <c r="D186" s="18" t="s">
        <v>106</v>
      </c>
      <c r="E186" s="18">
        <v>1</v>
      </c>
      <c r="F186" s="18" t="s">
        <v>151</v>
      </c>
      <c r="G186" s="18">
        <v>1</v>
      </c>
      <c r="H186" s="18" t="s">
        <v>115</v>
      </c>
      <c r="I186" s="18">
        <v>1</v>
      </c>
      <c r="J186" s="23" t="s">
        <v>206</v>
      </c>
      <c r="K186" s="21"/>
      <c r="L186" s="21"/>
      <c r="M186" s="21"/>
      <c r="N186" s="19"/>
      <c r="O186" s="21"/>
      <c r="P186" s="22" t="s">
        <v>178</v>
      </c>
      <c r="Q186" s="21">
        <v>3587</v>
      </c>
      <c r="R186" s="31" t="s">
        <v>62</v>
      </c>
    </row>
    <row r="187" spans="1:18" ht="18" customHeight="1">
      <c r="A187" s="17">
        <v>6</v>
      </c>
      <c r="B187" s="18" t="s">
        <v>105</v>
      </c>
      <c r="C187" s="18">
        <v>1</v>
      </c>
      <c r="D187" s="18" t="s">
        <v>106</v>
      </c>
      <c r="E187" s="18">
        <v>1</v>
      </c>
      <c r="F187" s="18" t="s">
        <v>151</v>
      </c>
      <c r="G187" s="18">
        <v>1</v>
      </c>
      <c r="H187" s="18" t="s">
        <v>115</v>
      </c>
      <c r="I187" s="18">
        <v>1</v>
      </c>
      <c r="J187" s="23" t="s">
        <v>206</v>
      </c>
      <c r="K187" s="21"/>
      <c r="L187" s="21"/>
      <c r="M187" s="21"/>
      <c r="N187" s="19"/>
      <c r="O187" s="21"/>
      <c r="P187" s="22" t="s">
        <v>170</v>
      </c>
      <c r="Q187" s="21">
        <v>2</v>
      </c>
      <c r="R187" s="31" t="s">
        <v>62</v>
      </c>
    </row>
    <row r="188" spans="1:18" ht="18" customHeight="1">
      <c r="A188" s="17">
        <v>6</v>
      </c>
      <c r="B188" s="18" t="s">
        <v>105</v>
      </c>
      <c r="C188" s="18">
        <v>1</v>
      </c>
      <c r="D188" s="18" t="s">
        <v>106</v>
      </c>
      <c r="E188" s="18">
        <v>1</v>
      </c>
      <c r="F188" s="18" t="s">
        <v>151</v>
      </c>
      <c r="G188" s="18">
        <v>1</v>
      </c>
      <c r="H188" s="18" t="s">
        <v>115</v>
      </c>
      <c r="I188" s="18">
        <v>1</v>
      </c>
      <c r="J188" s="23" t="s">
        <v>206</v>
      </c>
      <c r="K188" s="21"/>
      <c r="L188" s="21"/>
      <c r="M188" s="21"/>
      <c r="N188" s="19"/>
      <c r="O188" s="21"/>
      <c r="P188" s="22" t="s">
        <v>171</v>
      </c>
      <c r="Q188" s="21"/>
      <c r="R188" s="31" t="s">
        <v>62</v>
      </c>
    </row>
    <row r="189" spans="1:18" ht="18" customHeight="1">
      <c r="A189" s="17">
        <v>6</v>
      </c>
      <c r="B189" s="18" t="s">
        <v>105</v>
      </c>
      <c r="C189" s="18">
        <v>1</v>
      </c>
      <c r="D189" s="18" t="s">
        <v>106</v>
      </c>
      <c r="E189" s="18">
        <v>1</v>
      </c>
      <c r="F189" s="18" t="s">
        <v>151</v>
      </c>
      <c r="G189" s="18">
        <v>1</v>
      </c>
      <c r="H189" s="18" t="s">
        <v>115</v>
      </c>
      <c r="I189" s="18">
        <v>1</v>
      </c>
      <c r="J189" s="23" t="s">
        <v>206</v>
      </c>
      <c r="K189" s="21"/>
      <c r="L189" s="21"/>
      <c r="M189" s="21"/>
      <c r="N189" s="19"/>
      <c r="O189" s="21"/>
      <c r="P189" s="22" t="s">
        <v>172</v>
      </c>
      <c r="Q189" s="21">
        <v>317</v>
      </c>
      <c r="R189" s="31" t="s">
        <v>62</v>
      </c>
    </row>
    <row r="190" spans="1:18" ht="18" customHeight="1">
      <c r="A190" s="17">
        <v>6</v>
      </c>
      <c r="B190" s="18" t="s">
        <v>105</v>
      </c>
      <c r="C190" s="18">
        <v>1</v>
      </c>
      <c r="D190" s="18" t="s">
        <v>106</v>
      </c>
      <c r="E190" s="18">
        <v>1</v>
      </c>
      <c r="F190" s="18" t="s">
        <v>151</v>
      </c>
      <c r="G190" s="18">
        <v>1</v>
      </c>
      <c r="H190" s="18" t="s">
        <v>115</v>
      </c>
      <c r="I190" s="18">
        <v>1</v>
      </c>
      <c r="J190" s="23" t="s">
        <v>206</v>
      </c>
      <c r="K190" s="21"/>
      <c r="L190" s="21"/>
      <c r="M190" s="21"/>
      <c r="N190" s="19"/>
      <c r="O190" s="21"/>
      <c r="P190" s="22" t="s">
        <v>171</v>
      </c>
      <c r="Q190" s="21"/>
      <c r="R190" s="31" t="s">
        <v>62</v>
      </c>
    </row>
    <row r="191" spans="1:18" ht="18" customHeight="1">
      <c r="A191" s="17">
        <v>6</v>
      </c>
      <c r="B191" s="18" t="s">
        <v>105</v>
      </c>
      <c r="C191" s="18">
        <v>1</v>
      </c>
      <c r="D191" s="18" t="s">
        <v>106</v>
      </c>
      <c r="E191" s="18">
        <v>1</v>
      </c>
      <c r="F191" s="18" t="s">
        <v>151</v>
      </c>
      <c r="G191" s="18">
        <v>1</v>
      </c>
      <c r="H191" s="18" t="s">
        <v>115</v>
      </c>
      <c r="I191" s="18">
        <v>1</v>
      </c>
      <c r="J191" s="23" t="s">
        <v>206</v>
      </c>
      <c r="K191" s="21"/>
      <c r="L191" s="21"/>
      <c r="M191" s="21"/>
      <c r="N191" s="19"/>
      <c r="O191" s="21"/>
      <c r="P191" s="22" t="s">
        <v>172</v>
      </c>
      <c r="Q191" s="21">
        <v>5</v>
      </c>
      <c r="R191" s="31" t="s">
        <v>62</v>
      </c>
    </row>
    <row r="192" spans="1:18" ht="18" customHeight="1">
      <c r="A192" s="17">
        <v>6</v>
      </c>
      <c r="B192" s="18" t="s">
        <v>105</v>
      </c>
      <c r="C192" s="18">
        <v>1</v>
      </c>
      <c r="D192" s="18" t="s">
        <v>106</v>
      </c>
      <c r="E192" s="18">
        <v>1</v>
      </c>
      <c r="F192" s="18" t="s">
        <v>151</v>
      </c>
      <c r="G192" s="18">
        <v>1</v>
      </c>
      <c r="H192" s="18" t="s">
        <v>115</v>
      </c>
      <c r="I192" s="18">
        <v>1</v>
      </c>
      <c r="J192" s="23" t="s">
        <v>206</v>
      </c>
      <c r="K192" s="21"/>
      <c r="L192" s="21"/>
      <c r="M192" s="21"/>
      <c r="N192" s="19"/>
      <c r="O192" s="21"/>
      <c r="P192" s="22" t="s">
        <v>173</v>
      </c>
      <c r="Q192" s="21"/>
      <c r="R192" s="31" t="s">
        <v>62</v>
      </c>
    </row>
    <row r="193" spans="1:18" ht="18" customHeight="1">
      <c r="A193" s="17">
        <v>6</v>
      </c>
      <c r="B193" s="18" t="s">
        <v>105</v>
      </c>
      <c r="C193" s="18">
        <v>1</v>
      </c>
      <c r="D193" s="18" t="s">
        <v>106</v>
      </c>
      <c r="E193" s="18">
        <v>1</v>
      </c>
      <c r="F193" s="18" t="s">
        <v>151</v>
      </c>
      <c r="G193" s="18">
        <v>1</v>
      </c>
      <c r="H193" s="18" t="s">
        <v>115</v>
      </c>
      <c r="I193" s="18">
        <v>1</v>
      </c>
      <c r="J193" s="23" t="s">
        <v>206</v>
      </c>
      <c r="K193" s="21"/>
      <c r="L193" s="21"/>
      <c r="M193" s="21"/>
      <c r="N193" s="19"/>
      <c r="O193" s="21"/>
      <c r="P193" s="22" t="s">
        <v>174</v>
      </c>
      <c r="Q193" s="21">
        <v>8089</v>
      </c>
      <c r="R193" s="31" t="s">
        <v>62</v>
      </c>
    </row>
    <row r="194" spans="1:18" ht="18" customHeight="1">
      <c r="A194" s="17">
        <v>6</v>
      </c>
      <c r="B194" s="18" t="s">
        <v>105</v>
      </c>
      <c r="C194" s="18">
        <v>1</v>
      </c>
      <c r="D194" s="18" t="s">
        <v>106</v>
      </c>
      <c r="E194" s="18">
        <v>1</v>
      </c>
      <c r="F194" s="18" t="s">
        <v>151</v>
      </c>
      <c r="G194" s="18">
        <v>1</v>
      </c>
      <c r="H194" s="18" t="s">
        <v>115</v>
      </c>
      <c r="I194" s="18">
        <v>1</v>
      </c>
      <c r="J194" s="23" t="s">
        <v>206</v>
      </c>
      <c r="K194" s="21"/>
      <c r="L194" s="21"/>
      <c r="M194" s="21"/>
      <c r="N194" s="19"/>
      <c r="O194" s="21"/>
      <c r="P194" s="22" t="s">
        <v>171</v>
      </c>
      <c r="Q194" s="21"/>
      <c r="R194" s="31" t="s">
        <v>62</v>
      </c>
    </row>
    <row r="195" spans="1:18" ht="18" customHeight="1">
      <c r="A195" s="17">
        <v>6</v>
      </c>
      <c r="B195" s="18" t="s">
        <v>105</v>
      </c>
      <c r="C195" s="18">
        <v>1</v>
      </c>
      <c r="D195" s="18" t="s">
        <v>106</v>
      </c>
      <c r="E195" s="18">
        <v>1</v>
      </c>
      <c r="F195" s="18" t="s">
        <v>151</v>
      </c>
      <c r="G195" s="18">
        <v>1</v>
      </c>
      <c r="H195" s="18" t="s">
        <v>115</v>
      </c>
      <c r="I195" s="18">
        <v>1</v>
      </c>
      <c r="J195" s="23" t="s">
        <v>206</v>
      </c>
      <c r="K195" s="21"/>
      <c r="L195" s="21"/>
      <c r="M195" s="21"/>
      <c r="N195" s="19"/>
      <c r="O195" s="21"/>
      <c r="P195" s="22" t="s">
        <v>174</v>
      </c>
      <c r="Q195" s="21">
        <v>21</v>
      </c>
      <c r="R195" s="31" t="s">
        <v>62</v>
      </c>
    </row>
    <row r="196" spans="1:18" ht="18" customHeight="1">
      <c r="A196" s="17">
        <v>6</v>
      </c>
      <c r="B196" s="18" t="s">
        <v>105</v>
      </c>
      <c r="C196" s="18">
        <v>1</v>
      </c>
      <c r="D196" s="18" t="s">
        <v>106</v>
      </c>
      <c r="E196" s="18">
        <v>1</v>
      </c>
      <c r="F196" s="18" t="s">
        <v>151</v>
      </c>
      <c r="G196" s="18">
        <v>1</v>
      </c>
      <c r="H196" s="18" t="s">
        <v>115</v>
      </c>
      <c r="I196" s="18">
        <v>1</v>
      </c>
      <c r="J196" s="23" t="s">
        <v>206</v>
      </c>
      <c r="K196" s="21"/>
      <c r="L196" s="21"/>
      <c r="M196" s="21"/>
      <c r="N196" s="19"/>
      <c r="O196" s="21"/>
      <c r="P196" s="22" t="s">
        <v>173</v>
      </c>
      <c r="Q196" s="21"/>
      <c r="R196" s="31" t="s">
        <v>62</v>
      </c>
    </row>
    <row r="197" spans="1:18" ht="18" customHeight="1">
      <c r="A197" s="2">
        <v>6</v>
      </c>
      <c r="B197" s="3" t="s">
        <v>105</v>
      </c>
      <c r="C197" s="4">
        <v>2</v>
      </c>
      <c r="D197" s="4" t="s">
        <v>107</v>
      </c>
      <c r="E197" s="5"/>
      <c r="F197" s="4"/>
      <c r="G197" s="5"/>
      <c r="H197" s="4"/>
      <c r="I197" s="5"/>
      <c r="J197" s="5"/>
      <c r="K197" s="6">
        <f>IF(C197="",SUMIFS($K198:$K$746,$A198:$A$746,A197,$E198:$E$746,""),IF(E197="",SUMIFS($K198:$K$746,$A198:$A$746,A197,$C198:$C$746,C197,$G198:$G$746,""),IF(G197="",SUMIFS($K198:$K$746,$A198:$A$746,A197,$C198:$C$746,C197,$E198:$E$746,E197),0)))</f>
        <v>6441</v>
      </c>
      <c r="L197" s="6">
        <f>IF(C197="",SUMIFS($L198:$L$746,$A198:$A$746,A197,$E198:$E$746,""),IF(E197="",SUMIFS($L198:$L$746,$A198:$A$746,A197,$C198:$C$746,C197,$G198:$G$746,""),IF(G197="",SUMIFS($L198:$L$746,$A198:$A$746,A197,$C198:$C$746,C197,$E198:$E$746,E197),0)))</f>
        <v>6585</v>
      </c>
      <c r="M197" s="6">
        <f t="shared" ref="M197:M198" si="23">K197-L197</f>
        <v>-144</v>
      </c>
      <c r="N197" s="7"/>
      <c r="O197" s="8"/>
      <c r="P197" s="9"/>
      <c r="Q197" s="6">
        <f>IF(C197="",SUMIFS($Q$3:$Q$746,$A$3:$A$746,A197,$C$3:$C$746,"&gt;0",$E$3:$E$746,""),IF(E197="",SUMIFS($Q$3:$Q$746,$A$3:$A$746,A197,$C$3:$C$746,C197,$E$3:$E$746,"&gt;0",$G$3:$G$746,""),IF(G197="",SUMIFS($Q$3:$Q$746,$A$3:$A$746,A197,$C$3:$C$746,C197,$E$3:$E$746,E197,$G$3:$G$746,"&gt;0"))))</f>
        <v>6441</v>
      </c>
      <c r="R197" s="6"/>
    </row>
    <row r="198" spans="1:18" ht="18" customHeight="1">
      <c r="A198" s="2">
        <v>6</v>
      </c>
      <c r="B198" s="3" t="s">
        <v>105</v>
      </c>
      <c r="C198" s="10">
        <v>2</v>
      </c>
      <c r="D198" s="3" t="s">
        <v>107</v>
      </c>
      <c r="E198" s="11">
        <v>1</v>
      </c>
      <c r="F198" s="12" t="s">
        <v>211</v>
      </c>
      <c r="G198" s="11"/>
      <c r="H198" s="12"/>
      <c r="I198" s="11"/>
      <c r="J198" s="11"/>
      <c r="K198" s="13">
        <f>IF(C198="",SUMIFS($K199:$K$746,$A199:$A$746,A198,$E199:$E$746,""),IF(E198="",SUMIFS($K199:$K$746,$A199:$A$746,A198,$C199:$C$746,C198,$G199:$G$746,""),IF(G198="",SUMIFS($K199:$K$746,$A199:$A$746,A198,$C199:$C$746,C198,$E199:$E$746,E198),0)))</f>
        <v>1551</v>
      </c>
      <c r="L198" s="13">
        <f>IF(C198="",SUMIFS($L199:$L$746,$A199:$A$746,A198,$E199:$E$746,""),IF(E198="",SUMIFS($L199:$L$746,$A199:$A$746,A198,$C199:$C$746,C198,$G199:$G$746,""),IF(G198="",SUMIFS($L199:$L$746,$A199:$A$746,A198,$C199:$C$746,C198,$E199:$E$746,E198),0)))</f>
        <v>1594</v>
      </c>
      <c r="M198" s="13">
        <f t="shared" si="23"/>
        <v>-43</v>
      </c>
      <c r="N198" s="14"/>
      <c r="O198" s="15"/>
      <c r="P198" s="16"/>
      <c r="Q198" s="13">
        <f>IF(C198="",SUMIFS($Q$3:$Q$746,$A$3:$A$746,A198,$C$3:$C$746,"&gt;0",$E$3:$E$746,""),IF(E198="",SUMIFS($Q$3:$Q$746,$A$3:$A$746,A198,$C$3:$C$746,C198,$E$3:$E$746,"&gt;0",$G$3:$G$746,""),IF(G198="",SUMIFS($Q$3:$Q$746,$A$3:$A$746,A198,$C$3:$C$746,C198,$E$3:$E$746,E198,$G$3:$G$746,"&gt;0"))))</f>
        <v>1551</v>
      </c>
      <c r="R198" s="13" t="s">
        <v>62</v>
      </c>
    </row>
    <row r="199" spans="1:18" ht="18" customHeight="1">
      <c r="A199" s="17">
        <v>6</v>
      </c>
      <c r="B199" s="18" t="s">
        <v>105</v>
      </c>
      <c r="C199" s="18">
        <v>2</v>
      </c>
      <c r="D199" s="18" t="s">
        <v>107</v>
      </c>
      <c r="E199" s="18">
        <v>1</v>
      </c>
      <c r="F199" s="18" t="s">
        <v>211</v>
      </c>
      <c r="G199" s="20">
        <v>1</v>
      </c>
      <c r="H199" s="20" t="s">
        <v>115</v>
      </c>
      <c r="I199" s="20"/>
      <c r="J199" s="19"/>
      <c r="K199" s="21"/>
      <c r="L199" s="21"/>
      <c r="M199" s="21"/>
      <c r="N199" s="19"/>
      <c r="O199" s="21"/>
      <c r="P199" s="22" t="s">
        <v>139</v>
      </c>
      <c r="Q199" s="21">
        <v>956</v>
      </c>
      <c r="R199" s="31" t="s">
        <v>62</v>
      </c>
    </row>
    <row r="200" spans="1:18" ht="18" customHeight="1">
      <c r="A200" s="17">
        <v>6</v>
      </c>
      <c r="B200" s="18" t="s">
        <v>105</v>
      </c>
      <c r="C200" s="18">
        <v>2</v>
      </c>
      <c r="D200" s="18" t="s">
        <v>107</v>
      </c>
      <c r="E200" s="18">
        <v>1</v>
      </c>
      <c r="F200" s="18" t="s">
        <v>211</v>
      </c>
      <c r="G200" s="18">
        <v>1</v>
      </c>
      <c r="H200" s="18" t="s">
        <v>115</v>
      </c>
      <c r="I200" s="20">
        <v>1</v>
      </c>
      <c r="J200" s="19" t="s">
        <v>212</v>
      </c>
      <c r="K200" s="21">
        <v>1551</v>
      </c>
      <c r="L200" s="21">
        <v>1594</v>
      </c>
      <c r="M200" s="21">
        <f t="shared" ref="M200" si="24">K200-L200</f>
        <v>-43</v>
      </c>
      <c r="N200" s="19" t="s">
        <v>180</v>
      </c>
      <c r="O200" s="21"/>
      <c r="P200" s="22" t="s">
        <v>142</v>
      </c>
      <c r="Q200" s="21"/>
      <c r="R200" s="31" t="s">
        <v>62</v>
      </c>
    </row>
    <row r="201" spans="1:18" ht="18" customHeight="1">
      <c r="A201" s="17">
        <v>6</v>
      </c>
      <c r="B201" s="18" t="s">
        <v>105</v>
      </c>
      <c r="C201" s="18">
        <v>2</v>
      </c>
      <c r="D201" s="18" t="s">
        <v>107</v>
      </c>
      <c r="E201" s="18">
        <v>1</v>
      </c>
      <c r="F201" s="18" t="s">
        <v>211</v>
      </c>
      <c r="G201" s="18">
        <v>1</v>
      </c>
      <c r="H201" s="18" t="s">
        <v>115</v>
      </c>
      <c r="I201" s="18">
        <v>1</v>
      </c>
      <c r="J201" s="23" t="s">
        <v>212</v>
      </c>
      <c r="K201" s="21"/>
      <c r="L201" s="21"/>
      <c r="M201" s="21"/>
      <c r="N201" s="19" t="s">
        <v>213</v>
      </c>
      <c r="O201" s="21">
        <v>1551000</v>
      </c>
      <c r="P201" s="22" t="s">
        <v>182</v>
      </c>
      <c r="Q201" s="21">
        <v>595</v>
      </c>
      <c r="R201" s="31" t="s">
        <v>62</v>
      </c>
    </row>
    <row r="202" spans="1:18" ht="18" customHeight="1">
      <c r="A202" s="2">
        <v>6</v>
      </c>
      <c r="B202" s="3" t="s">
        <v>105</v>
      </c>
      <c r="C202" s="10">
        <v>2</v>
      </c>
      <c r="D202" s="3" t="s">
        <v>107</v>
      </c>
      <c r="E202" s="11">
        <v>2</v>
      </c>
      <c r="F202" s="12" t="s">
        <v>214</v>
      </c>
      <c r="G202" s="11"/>
      <c r="H202" s="12"/>
      <c r="I202" s="11"/>
      <c r="J202" s="11"/>
      <c r="K202" s="13">
        <f>IF(C202="",SUMIFS($K203:$K$746,$A203:$A$746,A202,$E203:$E$746,""),IF(E202="",SUMIFS($K203:$K$746,$A203:$A$746,A202,$C203:$C$746,C202,$G203:$G$746,""),IF(G202="",SUMIFS($K203:$K$746,$A203:$A$746,A202,$C203:$C$746,C202,$E203:$E$746,E202),0)))</f>
        <v>4890</v>
      </c>
      <c r="L202" s="13">
        <f>IF(C202="",SUMIFS($L203:$L$746,$A203:$A$746,A202,$E203:$E$746,""),IF(E202="",SUMIFS($L203:$L$746,$A203:$A$746,A202,$C203:$C$746,C202,$G203:$G$746,""),IF(G202="",SUMIFS($L203:$L$746,$A203:$A$746,A202,$C203:$C$746,C202,$E203:$E$746,E202),0)))</f>
        <v>4991</v>
      </c>
      <c r="M202" s="13">
        <f t="shared" ref="M202" si="25">K202-L202</f>
        <v>-101</v>
      </c>
      <c r="N202" s="14"/>
      <c r="O202" s="15"/>
      <c r="P202" s="16"/>
      <c r="Q202" s="13">
        <f>IF(C202="",SUMIFS($Q$3:$Q$746,$A$3:$A$746,A202,$C$3:$C$746,"&gt;0",$E$3:$E$746,""),IF(E202="",SUMIFS($Q$3:$Q$746,$A$3:$A$746,A202,$C$3:$C$746,C202,$E$3:$E$746,"&gt;0",$G$3:$G$746,""),IF(G202="",SUMIFS($Q$3:$Q$746,$A$3:$A$746,A202,$C$3:$C$746,C202,$E$3:$E$746,E202,$G$3:$G$746,"&gt;0"))))</f>
        <v>4890</v>
      </c>
      <c r="R202" s="13" t="s">
        <v>62</v>
      </c>
    </row>
    <row r="203" spans="1:18" ht="18" customHeight="1">
      <c r="A203" s="17">
        <v>6</v>
      </c>
      <c r="B203" s="18" t="s">
        <v>105</v>
      </c>
      <c r="C203" s="18">
        <v>2</v>
      </c>
      <c r="D203" s="18" t="s">
        <v>107</v>
      </c>
      <c r="E203" s="18">
        <v>2</v>
      </c>
      <c r="F203" s="18" t="s">
        <v>214</v>
      </c>
      <c r="G203" s="20">
        <v>1</v>
      </c>
      <c r="H203" s="20" t="s">
        <v>115</v>
      </c>
      <c r="I203" s="20"/>
      <c r="J203" s="19"/>
      <c r="K203" s="21"/>
      <c r="L203" s="21"/>
      <c r="M203" s="21"/>
      <c r="N203" s="19"/>
      <c r="O203" s="21"/>
      <c r="P203" s="22" t="s">
        <v>184</v>
      </c>
      <c r="Q203" s="21">
        <v>3282</v>
      </c>
      <c r="R203" s="31" t="s">
        <v>62</v>
      </c>
    </row>
    <row r="204" spans="1:18" ht="18" customHeight="1">
      <c r="A204" s="17">
        <v>6</v>
      </c>
      <c r="B204" s="18" t="s">
        <v>105</v>
      </c>
      <c r="C204" s="18">
        <v>2</v>
      </c>
      <c r="D204" s="18" t="s">
        <v>107</v>
      </c>
      <c r="E204" s="18">
        <v>2</v>
      </c>
      <c r="F204" s="18" t="s">
        <v>214</v>
      </c>
      <c r="G204" s="18">
        <v>1</v>
      </c>
      <c r="H204" s="18" t="s">
        <v>115</v>
      </c>
      <c r="I204" s="20">
        <v>1</v>
      </c>
      <c r="J204" s="19" t="s">
        <v>214</v>
      </c>
      <c r="K204" s="21">
        <v>4890</v>
      </c>
      <c r="L204" s="21">
        <v>4991</v>
      </c>
      <c r="M204" s="21">
        <f t="shared" ref="M204" si="26">K204-L204</f>
        <v>-101</v>
      </c>
      <c r="N204" s="19" t="s">
        <v>215</v>
      </c>
      <c r="O204" s="21"/>
      <c r="P204" s="22" t="s">
        <v>186</v>
      </c>
      <c r="Q204" s="21"/>
      <c r="R204" s="31" t="s">
        <v>62</v>
      </c>
    </row>
    <row r="205" spans="1:18" ht="18" customHeight="1">
      <c r="A205" s="17">
        <v>6</v>
      </c>
      <c r="B205" s="18" t="s">
        <v>105</v>
      </c>
      <c r="C205" s="18">
        <v>2</v>
      </c>
      <c r="D205" s="18" t="s">
        <v>107</v>
      </c>
      <c r="E205" s="18">
        <v>2</v>
      </c>
      <c r="F205" s="18" t="s">
        <v>214</v>
      </c>
      <c r="G205" s="18">
        <v>1</v>
      </c>
      <c r="H205" s="18" t="s">
        <v>115</v>
      </c>
      <c r="I205" s="18">
        <v>1</v>
      </c>
      <c r="J205" s="23" t="s">
        <v>214</v>
      </c>
      <c r="K205" s="21"/>
      <c r="L205" s="21"/>
      <c r="M205" s="21"/>
      <c r="N205" s="19" t="s">
        <v>216</v>
      </c>
      <c r="O205" s="21">
        <v>4890077</v>
      </c>
      <c r="P205" s="22" t="s">
        <v>136</v>
      </c>
      <c r="Q205" s="21">
        <v>1050</v>
      </c>
      <c r="R205" s="31" t="s">
        <v>62</v>
      </c>
    </row>
    <row r="206" spans="1:18" ht="18" customHeight="1">
      <c r="A206" s="17">
        <v>6</v>
      </c>
      <c r="B206" s="18" t="s">
        <v>105</v>
      </c>
      <c r="C206" s="18">
        <v>2</v>
      </c>
      <c r="D206" s="18" t="s">
        <v>107</v>
      </c>
      <c r="E206" s="18">
        <v>2</v>
      </c>
      <c r="F206" s="18" t="s">
        <v>214</v>
      </c>
      <c r="G206" s="18">
        <v>1</v>
      </c>
      <c r="H206" s="18" t="s">
        <v>115</v>
      </c>
      <c r="I206" s="18">
        <v>1</v>
      </c>
      <c r="J206" s="23" t="s">
        <v>214</v>
      </c>
      <c r="K206" s="21"/>
      <c r="L206" s="21"/>
      <c r="M206" s="21"/>
      <c r="N206" s="19"/>
      <c r="O206" s="21"/>
      <c r="P206" s="22" t="s">
        <v>188</v>
      </c>
      <c r="Q206" s="21">
        <v>46</v>
      </c>
      <c r="R206" s="31" t="s">
        <v>62</v>
      </c>
    </row>
    <row r="207" spans="1:18" ht="18" customHeight="1">
      <c r="A207" s="17">
        <v>6</v>
      </c>
      <c r="B207" s="18" t="s">
        <v>105</v>
      </c>
      <c r="C207" s="18">
        <v>2</v>
      </c>
      <c r="D207" s="18" t="s">
        <v>107</v>
      </c>
      <c r="E207" s="18">
        <v>2</v>
      </c>
      <c r="F207" s="18" t="s">
        <v>214</v>
      </c>
      <c r="G207" s="18">
        <v>1</v>
      </c>
      <c r="H207" s="18" t="s">
        <v>115</v>
      </c>
      <c r="I207" s="18">
        <v>1</v>
      </c>
      <c r="J207" s="23" t="s">
        <v>214</v>
      </c>
      <c r="K207" s="21"/>
      <c r="L207" s="21"/>
      <c r="M207" s="21"/>
      <c r="N207" s="19"/>
      <c r="O207" s="21"/>
      <c r="P207" s="22" t="s">
        <v>189</v>
      </c>
      <c r="Q207" s="21"/>
      <c r="R207" s="31" t="s">
        <v>62</v>
      </c>
    </row>
    <row r="208" spans="1:18" ht="18" customHeight="1">
      <c r="A208" s="17">
        <v>6</v>
      </c>
      <c r="B208" s="18" t="s">
        <v>105</v>
      </c>
      <c r="C208" s="18">
        <v>2</v>
      </c>
      <c r="D208" s="18" t="s">
        <v>107</v>
      </c>
      <c r="E208" s="18">
        <v>2</v>
      </c>
      <c r="F208" s="18" t="s">
        <v>214</v>
      </c>
      <c r="G208" s="18">
        <v>1</v>
      </c>
      <c r="H208" s="18" t="s">
        <v>115</v>
      </c>
      <c r="I208" s="18">
        <v>1</v>
      </c>
      <c r="J208" s="23" t="s">
        <v>214</v>
      </c>
      <c r="K208" s="21"/>
      <c r="L208" s="21"/>
      <c r="M208" s="21"/>
      <c r="N208" s="19"/>
      <c r="O208" s="21"/>
      <c r="P208" s="22" t="s">
        <v>190</v>
      </c>
      <c r="Q208" s="21">
        <v>55</v>
      </c>
      <c r="R208" s="31" t="s">
        <v>62</v>
      </c>
    </row>
    <row r="209" spans="1:18" ht="18" customHeight="1">
      <c r="A209" s="17">
        <v>6</v>
      </c>
      <c r="B209" s="18" t="s">
        <v>105</v>
      </c>
      <c r="C209" s="18">
        <v>2</v>
      </c>
      <c r="D209" s="18" t="s">
        <v>107</v>
      </c>
      <c r="E209" s="18">
        <v>2</v>
      </c>
      <c r="F209" s="18" t="s">
        <v>214</v>
      </c>
      <c r="G209" s="18">
        <v>1</v>
      </c>
      <c r="H209" s="18" t="s">
        <v>115</v>
      </c>
      <c r="I209" s="18">
        <v>1</v>
      </c>
      <c r="J209" s="23" t="s">
        <v>214</v>
      </c>
      <c r="K209" s="21"/>
      <c r="L209" s="21"/>
      <c r="M209" s="21"/>
      <c r="N209" s="19"/>
      <c r="O209" s="21"/>
      <c r="P209" s="22" t="s">
        <v>191</v>
      </c>
      <c r="Q209" s="21"/>
      <c r="R209" s="31" t="s">
        <v>62</v>
      </c>
    </row>
    <row r="210" spans="1:18" ht="18" customHeight="1">
      <c r="A210" s="17">
        <v>6</v>
      </c>
      <c r="B210" s="18" t="s">
        <v>105</v>
      </c>
      <c r="C210" s="18">
        <v>2</v>
      </c>
      <c r="D210" s="18" t="s">
        <v>107</v>
      </c>
      <c r="E210" s="18">
        <v>2</v>
      </c>
      <c r="F210" s="18" t="s">
        <v>214</v>
      </c>
      <c r="G210" s="18">
        <v>1</v>
      </c>
      <c r="H210" s="18" t="s">
        <v>115</v>
      </c>
      <c r="I210" s="18">
        <v>1</v>
      </c>
      <c r="J210" s="23" t="s">
        <v>214</v>
      </c>
      <c r="K210" s="21"/>
      <c r="L210" s="21"/>
      <c r="M210" s="21"/>
      <c r="N210" s="19"/>
      <c r="O210" s="21"/>
      <c r="P210" s="22" t="s">
        <v>192</v>
      </c>
      <c r="Q210" s="21">
        <v>376</v>
      </c>
      <c r="R210" s="31" t="s">
        <v>62</v>
      </c>
    </row>
    <row r="211" spans="1:18" ht="18" customHeight="1">
      <c r="A211" s="17">
        <v>6</v>
      </c>
      <c r="B211" s="18" t="s">
        <v>105</v>
      </c>
      <c r="C211" s="18">
        <v>2</v>
      </c>
      <c r="D211" s="18" t="s">
        <v>107</v>
      </c>
      <c r="E211" s="18">
        <v>2</v>
      </c>
      <c r="F211" s="18" t="s">
        <v>214</v>
      </c>
      <c r="G211" s="18">
        <v>1</v>
      </c>
      <c r="H211" s="18" t="s">
        <v>115</v>
      </c>
      <c r="I211" s="18">
        <v>1</v>
      </c>
      <c r="J211" s="23" t="s">
        <v>214</v>
      </c>
      <c r="K211" s="21"/>
      <c r="L211" s="21"/>
      <c r="M211" s="21"/>
      <c r="N211" s="19"/>
      <c r="O211" s="21"/>
      <c r="P211" s="22" t="s">
        <v>150</v>
      </c>
      <c r="Q211" s="21"/>
      <c r="R211" s="31" t="s">
        <v>62</v>
      </c>
    </row>
    <row r="212" spans="1:18" ht="18" customHeight="1">
      <c r="A212" s="17">
        <v>6</v>
      </c>
      <c r="B212" s="18" t="s">
        <v>105</v>
      </c>
      <c r="C212" s="18">
        <v>2</v>
      </c>
      <c r="D212" s="18" t="s">
        <v>107</v>
      </c>
      <c r="E212" s="18">
        <v>2</v>
      </c>
      <c r="F212" s="18" t="s">
        <v>214</v>
      </c>
      <c r="G212" s="18">
        <v>1</v>
      </c>
      <c r="H212" s="18" t="s">
        <v>115</v>
      </c>
      <c r="I212" s="18">
        <v>1</v>
      </c>
      <c r="J212" s="23" t="s">
        <v>214</v>
      </c>
      <c r="K212" s="21"/>
      <c r="L212" s="21"/>
      <c r="M212" s="21"/>
      <c r="N212" s="19"/>
      <c r="O212" s="21"/>
      <c r="P212" s="22" t="s">
        <v>217</v>
      </c>
      <c r="Q212" s="21">
        <v>81</v>
      </c>
      <c r="R212" s="31" t="s">
        <v>62</v>
      </c>
    </row>
    <row r="213" spans="1:18" ht="18" customHeight="1">
      <c r="A213" s="24">
        <v>7</v>
      </c>
      <c r="B213" s="25" t="s">
        <v>108</v>
      </c>
      <c r="C213" s="25"/>
      <c r="D213" s="25"/>
      <c r="E213" s="26"/>
      <c r="F213" s="25"/>
      <c r="G213" s="26"/>
      <c r="H213" s="25"/>
      <c r="I213" s="26"/>
      <c r="J213" s="26"/>
      <c r="K213" s="27">
        <f>IF(C213="",SUMIFS($K214:$K$746,$A214:$A$746,A213,$E214:$E$746,""),IF(E213="",SUMIFS($K214:$K$746,$A214:$A$746,A213,$C214:$C$746,C213,$G214:$G$746,""),IF(G213="",SUMIFS($K214:$K$746,$A214:$A$746,A213,$C214:$C$746,C213,$E214:$E$746,E213),0)))</f>
        <v>196868</v>
      </c>
      <c r="L213" s="27">
        <f>IF(C213="",SUMIFS($L214:$L$746,$A214:$A$746,A213,$E214:$E$746,""),IF(E213="",SUMIFS($L214:$L$746,$A214:$A$746,A213,$C214:$C$746,C213,$G214:$G$746,""),IF(G213="",SUMIFS($L214:$L$746,$A214:$A$746,A213,$C214:$C$746,C213,$E214:$E$746,E213),0)))</f>
        <v>195964</v>
      </c>
      <c r="M213" s="27">
        <f t="shared" ref="M213:M215" si="27">K213-L213</f>
        <v>904</v>
      </c>
      <c r="N213" s="28"/>
      <c r="O213" s="29"/>
      <c r="P213" s="30"/>
      <c r="Q213" s="27">
        <f>IF(C213="",SUMIFS($Q$3:$Q$746,$A$3:$A$746,A213,$C$3:$C$746,"&gt;0",$E$3:$E$746,""),IF(E213="",SUMIFS($Q$3:$Q$746,$A$3:$A$746,A213,$C$3:$C$746,C213,$E$3:$E$746,"&gt;0",$G$3:$G$746,""),IF(G213="",SUMIFS($Q$3:$Q$746,$A$3:$A$746,A213,$C$3:$C$746,C213,$E$3:$E$746,E213,$G$3:$G$746,"&gt;0"))))</f>
        <v>182031</v>
      </c>
      <c r="R213" s="27"/>
    </row>
    <row r="214" spans="1:18" ht="18" customHeight="1">
      <c r="A214" s="2">
        <v>7</v>
      </c>
      <c r="B214" s="3" t="s">
        <v>108</v>
      </c>
      <c r="C214" s="4">
        <v>1</v>
      </c>
      <c r="D214" s="4" t="s">
        <v>109</v>
      </c>
      <c r="E214" s="5"/>
      <c r="F214" s="4"/>
      <c r="G214" s="5"/>
      <c r="H214" s="4"/>
      <c r="I214" s="5"/>
      <c r="J214" s="5"/>
      <c r="K214" s="6">
        <f>IF(C214="",SUMIFS($K215:$K$746,$A215:$A$746,A214,$E215:$E$746,""),IF(E214="",SUMIFS($K215:$K$746,$A215:$A$746,A214,$C215:$C$746,C214,$G215:$G$746,""),IF(G214="",SUMIFS($K215:$K$746,$A215:$A$746,A214,$C215:$C$746,C214,$E215:$E$746,E214),0)))</f>
        <v>14837</v>
      </c>
      <c r="L214" s="6">
        <f>IF(C214="",SUMIFS($L215:$L$746,$A215:$A$746,A214,$E215:$E$746,""),IF(E214="",SUMIFS($L215:$L$746,$A215:$A$746,A214,$C215:$C$746,C214,$G215:$G$746,""),IF(G214="",SUMIFS($L215:$L$746,$A215:$A$746,A214,$C215:$C$746,C214,$E215:$E$746,E214),0)))</f>
        <v>16861</v>
      </c>
      <c r="M214" s="6">
        <f t="shared" si="27"/>
        <v>-2024</v>
      </c>
      <c r="N214" s="7"/>
      <c r="O214" s="8"/>
      <c r="P214" s="9"/>
      <c r="Q214" s="6">
        <f>IF(C214="",SUMIFS($Q$3:$Q$746,$A$3:$A$746,A214,$C$3:$C$746,"&gt;0",$E$3:$E$746,""),IF(E214="",SUMIFS($Q$3:$Q$746,$A$3:$A$746,A214,$C$3:$C$746,C214,$E$3:$E$746,"&gt;0",$G$3:$G$746,""),IF(G214="",SUMIFS($Q$3:$Q$746,$A$3:$A$746,A214,$C$3:$C$746,C214,$E$3:$E$746,E214,$G$3:$G$746,"&gt;0"))))</f>
        <v>0</v>
      </c>
      <c r="R214" s="6"/>
    </row>
    <row r="215" spans="1:18" ht="18" customHeight="1">
      <c r="A215" s="2">
        <v>7</v>
      </c>
      <c r="B215" s="3" t="s">
        <v>108</v>
      </c>
      <c r="C215" s="10">
        <v>1</v>
      </c>
      <c r="D215" s="3" t="s">
        <v>109</v>
      </c>
      <c r="E215" s="11">
        <v>1</v>
      </c>
      <c r="F215" s="12" t="s">
        <v>109</v>
      </c>
      <c r="G215" s="11"/>
      <c r="H215" s="12"/>
      <c r="I215" s="11"/>
      <c r="J215" s="11"/>
      <c r="K215" s="13">
        <f>IF(C215="",SUMIFS($K216:$K$746,$A216:$A$746,A215,$E216:$E$746,""),IF(E215="",SUMIFS($K216:$K$746,$A216:$A$746,A215,$C216:$C$746,C215,$G216:$G$746,""),IF(G215="",SUMIFS($K216:$K$746,$A216:$A$746,A215,$C216:$C$746,C215,$E216:$E$746,E215),0)))</f>
        <v>14837</v>
      </c>
      <c r="L215" s="13">
        <f>IF(C215="",SUMIFS($L216:$L$746,$A216:$A$746,A215,$E216:$E$746,""),IF(E215="",SUMIFS($L216:$L$746,$A216:$A$746,A215,$C216:$C$746,C215,$G216:$G$746,""),IF(G215="",SUMIFS($L216:$L$746,$A216:$A$746,A215,$C216:$C$746,C215,$E216:$E$746,E215),0)))</f>
        <v>16861</v>
      </c>
      <c r="M215" s="13">
        <f t="shared" si="27"/>
        <v>-2024</v>
      </c>
      <c r="N215" s="14"/>
      <c r="O215" s="15"/>
      <c r="P215" s="16"/>
      <c r="Q215" s="13">
        <f>IF(C215="",SUMIFS($Q$3:$Q$746,$A$3:$A$746,A215,$C$3:$C$746,"&gt;0",$E$3:$E$746,""),IF(E215="",SUMIFS($Q$3:$Q$746,$A$3:$A$746,A215,$C$3:$C$746,C215,$E$3:$E$746,"&gt;0",$G$3:$G$746,""),IF(G215="",SUMIFS($Q$3:$Q$746,$A$3:$A$746,A215,$C$3:$C$746,C215,$E$3:$E$746,E215,$G$3:$G$746,"&gt;0"))))</f>
        <v>0</v>
      </c>
      <c r="R215" s="13" t="s">
        <v>62</v>
      </c>
    </row>
    <row r="216" spans="1:18" ht="18" customHeight="1">
      <c r="A216" s="17">
        <v>7</v>
      </c>
      <c r="B216" s="18" t="s">
        <v>108</v>
      </c>
      <c r="C216" s="18">
        <v>1</v>
      </c>
      <c r="D216" s="18" t="s">
        <v>109</v>
      </c>
      <c r="E216" s="18">
        <v>1</v>
      </c>
      <c r="F216" s="18" t="s">
        <v>109</v>
      </c>
      <c r="G216" s="20">
        <v>1</v>
      </c>
      <c r="H216" s="20" t="s">
        <v>109</v>
      </c>
      <c r="I216" s="20"/>
      <c r="J216" s="19"/>
      <c r="K216" s="21"/>
      <c r="L216" s="21"/>
      <c r="M216" s="21"/>
      <c r="N216" s="19"/>
      <c r="O216" s="21"/>
      <c r="P216" s="22"/>
      <c r="Q216" s="21"/>
      <c r="R216" s="31" t="s">
        <v>62</v>
      </c>
    </row>
    <row r="217" spans="1:18" ht="18" customHeight="1">
      <c r="A217" s="17">
        <v>7</v>
      </c>
      <c r="B217" s="18" t="s">
        <v>108</v>
      </c>
      <c r="C217" s="18">
        <v>1</v>
      </c>
      <c r="D217" s="18" t="s">
        <v>109</v>
      </c>
      <c r="E217" s="18">
        <v>1</v>
      </c>
      <c r="F217" s="18" t="s">
        <v>109</v>
      </c>
      <c r="G217" s="18">
        <v>1</v>
      </c>
      <c r="H217" s="18" t="s">
        <v>109</v>
      </c>
      <c r="I217" s="20">
        <v>1</v>
      </c>
      <c r="J217" s="19" t="s">
        <v>218</v>
      </c>
      <c r="K217" s="21">
        <v>14837</v>
      </c>
      <c r="L217" s="21">
        <v>16861</v>
      </c>
      <c r="M217" s="21">
        <f t="shared" ref="M217:M219" si="28">K217-L217</f>
        <v>-2024</v>
      </c>
      <c r="N217" s="19" t="s">
        <v>219</v>
      </c>
      <c r="O217" s="21">
        <v>14837000</v>
      </c>
      <c r="P217" s="22"/>
      <c r="Q217" s="21"/>
      <c r="R217" s="31" t="s">
        <v>62</v>
      </c>
    </row>
    <row r="218" spans="1:18" ht="18" customHeight="1">
      <c r="A218" s="2">
        <v>7</v>
      </c>
      <c r="B218" s="3" t="s">
        <v>108</v>
      </c>
      <c r="C218" s="4">
        <v>2</v>
      </c>
      <c r="D218" s="4" t="s">
        <v>118</v>
      </c>
      <c r="E218" s="5"/>
      <c r="F218" s="4"/>
      <c r="G218" s="5"/>
      <c r="H218" s="4"/>
      <c r="I218" s="5"/>
      <c r="J218" s="5"/>
      <c r="K218" s="6">
        <f>IF(C218="",SUMIFS($K219:$K$746,$A219:$A$746,A218,$E219:$E$746,""),IF(E218="",SUMIFS($K219:$K$746,$A219:$A$746,A218,$C219:$C$746,C218,$G219:$G$746,""),IF(G218="",SUMIFS($K219:$K$746,$A219:$A$746,A218,$C219:$C$746,C218,$E219:$E$746,E218),0)))</f>
        <v>182031</v>
      </c>
      <c r="L218" s="6">
        <f>IF(C218="",SUMIFS($L219:$L$746,$A219:$A$746,A218,$E219:$E$746,""),IF(E218="",SUMIFS($L219:$L$746,$A219:$A$746,A218,$C219:$C$746,C218,$G219:$G$746,""),IF(G218="",SUMIFS($L219:$L$746,$A219:$A$746,A218,$C219:$C$746,C218,$E219:$E$746,E218),0)))</f>
        <v>179103</v>
      </c>
      <c r="M218" s="6">
        <f t="shared" si="28"/>
        <v>2928</v>
      </c>
      <c r="N218" s="7"/>
      <c r="O218" s="8"/>
      <c r="P218" s="9"/>
      <c r="Q218" s="6">
        <f>IF(C218="",SUMIFS($Q$3:$Q$746,$A$3:$A$746,A218,$C$3:$C$746,"&gt;0",$E$3:$E$746,""),IF(E218="",SUMIFS($Q$3:$Q$746,$A$3:$A$746,A218,$C$3:$C$746,C218,$E$3:$E$746,"&gt;0",$G$3:$G$746,""),IF(G218="",SUMIFS($Q$3:$Q$746,$A$3:$A$746,A218,$C$3:$C$746,C218,$E$3:$E$746,E218,$G$3:$G$746,"&gt;0"))))</f>
        <v>182031</v>
      </c>
      <c r="R218" s="6"/>
    </row>
    <row r="219" spans="1:18" ht="18" customHeight="1">
      <c r="A219" s="2">
        <v>7</v>
      </c>
      <c r="B219" s="3" t="s">
        <v>108</v>
      </c>
      <c r="C219" s="10">
        <v>2</v>
      </c>
      <c r="D219" s="3" t="s">
        <v>118</v>
      </c>
      <c r="E219" s="11">
        <v>1</v>
      </c>
      <c r="F219" s="12" t="s">
        <v>220</v>
      </c>
      <c r="G219" s="11"/>
      <c r="H219" s="12"/>
      <c r="I219" s="11"/>
      <c r="J219" s="11"/>
      <c r="K219" s="13">
        <f>IF(C219="",SUMIFS($K220:$K$746,$A220:$A$746,A219,$E220:$E$746,""),IF(E219="",SUMIFS($K220:$K$746,$A220:$A$746,A219,$C220:$C$746,C219,$G220:$G$746,""),IF(G219="",SUMIFS($K220:$K$746,$A220:$A$746,A219,$C220:$C$746,C219,$E220:$E$746,E219),0)))</f>
        <v>136222</v>
      </c>
      <c r="L219" s="13">
        <f>IF(C219="",SUMIFS($L220:$L$746,$A220:$A$746,A219,$E220:$E$746,""),IF(E219="",SUMIFS($L220:$L$746,$A220:$A$746,A219,$C220:$C$746,C219,$G220:$G$746,""),IF(G219="",SUMIFS($L220:$L$746,$A220:$A$746,A219,$C220:$C$746,C219,$E220:$E$746,E219),0)))</f>
        <v>136207</v>
      </c>
      <c r="M219" s="13">
        <f t="shared" si="28"/>
        <v>15</v>
      </c>
      <c r="N219" s="14"/>
      <c r="O219" s="15"/>
      <c r="P219" s="16"/>
      <c r="Q219" s="13">
        <f>IF(C219="",SUMIFS($Q$3:$Q$746,$A$3:$A$746,A219,$C$3:$C$746,"&gt;0",$E$3:$E$746,""),IF(E219="",SUMIFS($Q$3:$Q$746,$A$3:$A$746,A219,$C$3:$C$746,C219,$E$3:$E$746,"&gt;0",$G$3:$G$746,""),IF(G219="",SUMIFS($Q$3:$Q$746,$A$3:$A$746,A219,$C$3:$C$746,C219,$E$3:$E$746,E219,$G$3:$G$746,"&gt;0"))))</f>
        <v>136222</v>
      </c>
      <c r="R219" s="13" t="s">
        <v>62</v>
      </c>
    </row>
    <row r="220" spans="1:18" ht="18" customHeight="1">
      <c r="A220" s="17">
        <v>7</v>
      </c>
      <c r="B220" s="18" t="s">
        <v>108</v>
      </c>
      <c r="C220" s="18">
        <v>2</v>
      </c>
      <c r="D220" s="18" t="s">
        <v>118</v>
      </c>
      <c r="E220" s="18">
        <v>1</v>
      </c>
      <c r="F220" s="18" t="s">
        <v>220</v>
      </c>
      <c r="G220" s="20">
        <v>1</v>
      </c>
      <c r="H220" s="20" t="s">
        <v>115</v>
      </c>
      <c r="I220" s="20"/>
      <c r="J220" s="19"/>
      <c r="K220" s="21"/>
      <c r="L220" s="21"/>
      <c r="M220" s="21"/>
      <c r="N220" s="19"/>
      <c r="O220" s="21"/>
      <c r="P220" s="22" t="s">
        <v>152</v>
      </c>
      <c r="Q220" s="21">
        <v>36800</v>
      </c>
      <c r="R220" s="31" t="s">
        <v>62</v>
      </c>
    </row>
    <row r="221" spans="1:18" ht="18" customHeight="1">
      <c r="A221" s="17">
        <v>7</v>
      </c>
      <c r="B221" s="18" t="s">
        <v>108</v>
      </c>
      <c r="C221" s="18">
        <v>2</v>
      </c>
      <c r="D221" s="18" t="s">
        <v>118</v>
      </c>
      <c r="E221" s="18">
        <v>1</v>
      </c>
      <c r="F221" s="18" t="s">
        <v>220</v>
      </c>
      <c r="G221" s="18">
        <v>1</v>
      </c>
      <c r="H221" s="18" t="s">
        <v>115</v>
      </c>
      <c r="I221" s="20">
        <v>1</v>
      </c>
      <c r="J221" s="19" t="s">
        <v>221</v>
      </c>
      <c r="K221" s="21">
        <v>136222</v>
      </c>
      <c r="L221" s="21">
        <v>136207</v>
      </c>
      <c r="M221" s="21">
        <f t="shared" ref="M221" si="29">K221-L221</f>
        <v>15</v>
      </c>
      <c r="N221" s="19" t="s">
        <v>222</v>
      </c>
      <c r="O221" s="21">
        <v>136222375</v>
      </c>
      <c r="P221" s="22" t="s">
        <v>155</v>
      </c>
      <c r="Q221" s="21"/>
      <c r="R221" s="31" t="s">
        <v>62</v>
      </c>
    </row>
    <row r="222" spans="1:18" ht="18" customHeight="1">
      <c r="A222" s="17">
        <v>7</v>
      </c>
      <c r="B222" s="18" t="s">
        <v>108</v>
      </c>
      <c r="C222" s="18">
        <v>2</v>
      </c>
      <c r="D222" s="18" t="s">
        <v>118</v>
      </c>
      <c r="E222" s="18">
        <v>1</v>
      </c>
      <c r="F222" s="18" t="s">
        <v>220</v>
      </c>
      <c r="G222" s="18">
        <v>1</v>
      </c>
      <c r="H222" s="18" t="s">
        <v>115</v>
      </c>
      <c r="I222" s="18">
        <v>1</v>
      </c>
      <c r="J222" s="23" t="s">
        <v>221</v>
      </c>
      <c r="K222" s="21"/>
      <c r="L222" s="21"/>
      <c r="M222" s="21"/>
      <c r="N222" s="19"/>
      <c r="O222" s="21"/>
      <c r="P222" s="22" t="s">
        <v>157</v>
      </c>
      <c r="Q222" s="21">
        <v>21641</v>
      </c>
      <c r="R222" s="31" t="s">
        <v>62</v>
      </c>
    </row>
    <row r="223" spans="1:18" ht="18" customHeight="1">
      <c r="A223" s="17">
        <v>7</v>
      </c>
      <c r="B223" s="18" t="s">
        <v>108</v>
      </c>
      <c r="C223" s="18">
        <v>2</v>
      </c>
      <c r="D223" s="18" t="s">
        <v>118</v>
      </c>
      <c r="E223" s="18">
        <v>1</v>
      </c>
      <c r="F223" s="18" t="s">
        <v>220</v>
      </c>
      <c r="G223" s="18">
        <v>1</v>
      </c>
      <c r="H223" s="18" t="s">
        <v>115</v>
      </c>
      <c r="I223" s="18">
        <v>1</v>
      </c>
      <c r="J223" s="23" t="s">
        <v>221</v>
      </c>
      <c r="K223" s="21"/>
      <c r="L223" s="21"/>
      <c r="M223" s="21"/>
      <c r="N223" s="19"/>
      <c r="O223" s="21"/>
      <c r="P223" s="22" t="s">
        <v>158</v>
      </c>
      <c r="Q223" s="21"/>
      <c r="R223" s="31" t="s">
        <v>62</v>
      </c>
    </row>
    <row r="224" spans="1:18" ht="18" customHeight="1">
      <c r="A224" s="17">
        <v>7</v>
      </c>
      <c r="B224" s="18" t="s">
        <v>108</v>
      </c>
      <c r="C224" s="18">
        <v>2</v>
      </c>
      <c r="D224" s="18" t="s">
        <v>118</v>
      </c>
      <c r="E224" s="18">
        <v>1</v>
      </c>
      <c r="F224" s="18" t="s">
        <v>220</v>
      </c>
      <c r="G224" s="18">
        <v>1</v>
      </c>
      <c r="H224" s="18" t="s">
        <v>115</v>
      </c>
      <c r="I224" s="18">
        <v>1</v>
      </c>
      <c r="J224" s="23" t="s">
        <v>221</v>
      </c>
      <c r="K224" s="21"/>
      <c r="L224" s="21"/>
      <c r="M224" s="21"/>
      <c r="N224" s="19"/>
      <c r="O224" s="21"/>
      <c r="P224" s="22" t="s">
        <v>159</v>
      </c>
      <c r="Q224" s="21">
        <v>58805</v>
      </c>
      <c r="R224" s="31" t="s">
        <v>62</v>
      </c>
    </row>
    <row r="225" spans="1:18" ht="18" customHeight="1">
      <c r="A225" s="17">
        <v>7</v>
      </c>
      <c r="B225" s="18" t="s">
        <v>108</v>
      </c>
      <c r="C225" s="18">
        <v>2</v>
      </c>
      <c r="D225" s="18" t="s">
        <v>118</v>
      </c>
      <c r="E225" s="18">
        <v>1</v>
      </c>
      <c r="F225" s="18" t="s">
        <v>220</v>
      </c>
      <c r="G225" s="18">
        <v>1</v>
      </c>
      <c r="H225" s="18" t="s">
        <v>115</v>
      </c>
      <c r="I225" s="18">
        <v>1</v>
      </c>
      <c r="J225" s="23" t="s">
        <v>221</v>
      </c>
      <c r="K225" s="21"/>
      <c r="L225" s="21"/>
      <c r="M225" s="21"/>
      <c r="N225" s="19"/>
      <c r="O225" s="21"/>
      <c r="P225" s="22" t="s">
        <v>155</v>
      </c>
      <c r="Q225" s="21"/>
      <c r="R225" s="31" t="s">
        <v>62</v>
      </c>
    </row>
    <row r="226" spans="1:18" ht="18" customHeight="1">
      <c r="A226" s="17">
        <v>7</v>
      </c>
      <c r="B226" s="18" t="s">
        <v>108</v>
      </c>
      <c r="C226" s="18">
        <v>2</v>
      </c>
      <c r="D226" s="18" t="s">
        <v>118</v>
      </c>
      <c r="E226" s="18">
        <v>1</v>
      </c>
      <c r="F226" s="18" t="s">
        <v>220</v>
      </c>
      <c r="G226" s="18">
        <v>1</v>
      </c>
      <c r="H226" s="18" t="s">
        <v>115</v>
      </c>
      <c r="I226" s="18">
        <v>1</v>
      </c>
      <c r="J226" s="23" t="s">
        <v>221</v>
      </c>
      <c r="K226" s="21"/>
      <c r="L226" s="21"/>
      <c r="M226" s="21"/>
      <c r="N226" s="19"/>
      <c r="O226" s="21"/>
      <c r="P226" s="22" t="s">
        <v>160</v>
      </c>
      <c r="Q226" s="21">
        <v>75</v>
      </c>
      <c r="R226" s="31" t="s">
        <v>62</v>
      </c>
    </row>
    <row r="227" spans="1:18" ht="18" customHeight="1">
      <c r="A227" s="17">
        <v>7</v>
      </c>
      <c r="B227" s="18" t="s">
        <v>108</v>
      </c>
      <c r="C227" s="18">
        <v>2</v>
      </c>
      <c r="D227" s="18" t="s">
        <v>118</v>
      </c>
      <c r="E227" s="18">
        <v>1</v>
      </c>
      <c r="F227" s="18" t="s">
        <v>220</v>
      </c>
      <c r="G227" s="18">
        <v>1</v>
      </c>
      <c r="H227" s="18" t="s">
        <v>115</v>
      </c>
      <c r="I227" s="18">
        <v>1</v>
      </c>
      <c r="J227" s="23" t="s">
        <v>221</v>
      </c>
      <c r="K227" s="21"/>
      <c r="L227" s="21"/>
      <c r="M227" s="21"/>
      <c r="N227" s="19"/>
      <c r="O227" s="21"/>
      <c r="P227" s="22" t="s">
        <v>161</v>
      </c>
      <c r="Q227" s="21"/>
      <c r="R227" s="31" t="s">
        <v>62</v>
      </c>
    </row>
    <row r="228" spans="1:18" ht="18" customHeight="1">
      <c r="A228" s="17">
        <v>7</v>
      </c>
      <c r="B228" s="18" t="s">
        <v>108</v>
      </c>
      <c r="C228" s="18">
        <v>2</v>
      </c>
      <c r="D228" s="18" t="s">
        <v>118</v>
      </c>
      <c r="E228" s="18">
        <v>1</v>
      </c>
      <c r="F228" s="18" t="s">
        <v>220</v>
      </c>
      <c r="G228" s="18">
        <v>1</v>
      </c>
      <c r="H228" s="18" t="s">
        <v>115</v>
      </c>
      <c r="I228" s="18">
        <v>1</v>
      </c>
      <c r="J228" s="23" t="s">
        <v>221</v>
      </c>
      <c r="K228" s="21"/>
      <c r="L228" s="21"/>
      <c r="M228" s="21"/>
      <c r="N228" s="19"/>
      <c r="O228" s="21"/>
      <c r="P228" s="22" t="s">
        <v>209</v>
      </c>
      <c r="Q228" s="21">
        <v>281</v>
      </c>
      <c r="R228" s="31" t="s">
        <v>62</v>
      </c>
    </row>
    <row r="229" spans="1:18" ht="18" customHeight="1">
      <c r="A229" s="17">
        <v>7</v>
      </c>
      <c r="B229" s="18" t="s">
        <v>108</v>
      </c>
      <c r="C229" s="18">
        <v>2</v>
      </c>
      <c r="D229" s="18" t="s">
        <v>118</v>
      </c>
      <c r="E229" s="18">
        <v>1</v>
      </c>
      <c r="F229" s="18" t="s">
        <v>220</v>
      </c>
      <c r="G229" s="18">
        <v>1</v>
      </c>
      <c r="H229" s="18" t="s">
        <v>115</v>
      </c>
      <c r="I229" s="18">
        <v>1</v>
      </c>
      <c r="J229" s="23" t="s">
        <v>221</v>
      </c>
      <c r="K229" s="21"/>
      <c r="L229" s="21"/>
      <c r="M229" s="21"/>
      <c r="N229" s="19"/>
      <c r="O229" s="21"/>
      <c r="P229" s="22" t="s">
        <v>152</v>
      </c>
      <c r="Q229" s="21">
        <v>5192</v>
      </c>
      <c r="R229" s="31" t="s">
        <v>62</v>
      </c>
    </row>
    <row r="230" spans="1:18" ht="18" customHeight="1">
      <c r="A230" s="17">
        <v>7</v>
      </c>
      <c r="B230" s="18" t="s">
        <v>108</v>
      </c>
      <c r="C230" s="18">
        <v>2</v>
      </c>
      <c r="D230" s="18" t="s">
        <v>118</v>
      </c>
      <c r="E230" s="18">
        <v>1</v>
      </c>
      <c r="F230" s="18" t="s">
        <v>220</v>
      </c>
      <c r="G230" s="18">
        <v>1</v>
      </c>
      <c r="H230" s="18" t="s">
        <v>115</v>
      </c>
      <c r="I230" s="18">
        <v>1</v>
      </c>
      <c r="J230" s="23" t="s">
        <v>221</v>
      </c>
      <c r="K230" s="21"/>
      <c r="L230" s="21"/>
      <c r="M230" s="21"/>
      <c r="N230" s="19"/>
      <c r="O230" s="21"/>
      <c r="P230" s="22" t="s">
        <v>163</v>
      </c>
      <c r="Q230" s="21"/>
      <c r="R230" s="31" t="s">
        <v>62</v>
      </c>
    </row>
    <row r="231" spans="1:18" ht="18" customHeight="1">
      <c r="A231" s="17">
        <v>7</v>
      </c>
      <c r="B231" s="18" t="s">
        <v>108</v>
      </c>
      <c r="C231" s="18">
        <v>2</v>
      </c>
      <c r="D231" s="18" t="s">
        <v>118</v>
      </c>
      <c r="E231" s="18">
        <v>1</v>
      </c>
      <c r="F231" s="18" t="s">
        <v>220</v>
      </c>
      <c r="G231" s="18">
        <v>1</v>
      </c>
      <c r="H231" s="18" t="s">
        <v>115</v>
      </c>
      <c r="I231" s="18">
        <v>1</v>
      </c>
      <c r="J231" s="23" t="s">
        <v>221</v>
      </c>
      <c r="K231" s="21"/>
      <c r="L231" s="21"/>
      <c r="M231" s="21"/>
      <c r="N231" s="19"/>
      <c r="O231" s="21"/>
      <c r="P231" s="22" t="s">
        <v>164</v>
      </c>
      <c r="Q231" s="21">
        <v>2996</v>
      </c>
      <c r="R231" s="31" t="s">
        <v>62</v>
      </c>
    </row>
    <row r="232" spans="1:18" ht="18" customHeight="1">
      <c r="A232" s="17">
        <v>7</v>
      </c>
      <c r="B232" s="18" t="s">
        <v>108</v>
      </c>
      <c r="C232" s="18">
        <v>2</v>
      </c>
      <c r="D232" s="18" t="s">
        <v>118</v>
      </c>
      <c r="E232" s="18">
        <v>1</v>
      </c>
      <c r="F232" s="18" t="s">
        <v>220</v>
      </c>
      <c r="G232" s="18">
        <v>1</v>
      </c>
      <c r="H232" s="18" t="s">
        <v>115</v>
      </c>
      <c r="I232" s="18">
        <v>1</v>
      </c>
      <c r="J232" s="23" t="s">
        <v>221</v>
      </c>
      <c r="K232" s="21"/>
      <c r="L232" s="21"/>
      <c r="M232" s="21"/>
      <c r="N232" s="19"/>
      <c r="O232" s="21"/>
      <c r="P232" s="22" t="s">
        <v>155</v>
      </c>
      <c r="Q232" s="21"/>
      <c r="R232" s="31" t="s">
        <v>62</v>
      </c>
    </row>
    <row r="233" spans="1:18" ht="18" customHeight="1">
      <c r="A233" s="17">
        <v>7</v>
      </c>
      <c r="B233" s="18" t="s">
        <v>108</v>
      </c>
      <c r="C233" s="18">
        <v>2</v>
      </c>
      <c r="D233" s="18" t="s">
        <v>118</v>
      </c>
      <c r="E233" s="18">
        <v>1</v>
      </c>
      <c r="F233" s="18" t="s">
        <v>220</v>
      </c>
      <c r="G233" s="18">
        <v>1</v>
      </c>
      <c r="H233" s="18" t="s">
        <v>115</v>
      </c>
      <c r="I233" s="18">
        <v>1</v>
      </c>
      <c r="J233" s="23" t="s">
        <v>221</v>
      </c>
      <c r="K233" s="21"/>
      <c r="L233" s="21"/>
      <c r="M233" s="21"/>
      <c r="N233" s="19"/>
      <c r="O233" s="21"/>
      <c r="P233" s="22" t="s">
        <v>165</v>
      </c>
      <c r="Q233" s="21">
        <v>90</v>
      </c>
      <c r="R233" s="31" t="s">
        <v>62</v>
      </c>
    </row>
    <row r="234" spans="1:18" ht="18" customHeight="1">
      <c r="A234" s="17">
        <v>7</v>
      </c>
      <c r="B234" s="18" t="s">
        <v>108</v>
      </c>
      <c r="C234" s="18">
        <v>2</v>
      </c>
      <c r="D234" s="18" t="s">
        <v>118</v>
      </c>
      <c r="E234" s="18">
        <v>1</v>
      </c>
      <c r="F234" s="18" t="s">
        <v>220</v>
      </c>
      <c r="G234" s="18">
        <v>1</v>
      </c>
      <c r="H234" s="18" t="s">
        <v>115</v>
      </c>
      <c r="I234" s="18">
        <v>1</v>
      </c>
      <c r="J234" s="23" t="s">
        <v>221</v>
      </c>
      <c r="K234" s="21"/>
      <c r="L234" s="21"/>
      <c r="M234" s="21"/>
      <c r="N234" s="19"/>
      <c r="O234" s="21"/>
      <c r="P234" s="22" t="s">
        <v>166</v>
      </c>
      <c r="Q234" s="21"/>
      <c r="R234" s="31" t="s">
        <v>62</v>
      </c>
    </row>
    <row r="235" spans="1:18" ht="18" customHeight="1">
      <c r="A235" s="17">
        <v>7</v>
      </c>
      <c r="B235" s="18" t="s">
        <v>108</v>
      </c>
      <c r="C235" s="18">
        <v>2</v>
      </c>
      <c r="D235" s="18" t="s">
        <v>118</v>
      </c>
      <c r="E235" s="18">
        <v>1</v>
      </c>
      <c r="F235" s="18" t="s">
        <v>220</v>
      </c>
      <c r="G235" s="18">
        <v>1</v>
      </c>
      <c r="H235" s="18" t="s">
        <v>115</v>
      </c>
      <c r="I235" s="18">
        <v>1</v>
      </c>
      <c r="J235" s="23" t="s">
        <v>221</v>
      </c>
      <c r="K235" s="21"/>
      <c r="L235" s="21"/>
      <c r="M235" s="21"/>
      <c r="N235" s="19"/>
      <c r="O235" s="21"/>
      <c r="P235" s="22" t="s">
        <v>167</v>
      </c>
      <c r="Q235" s="21">
        <v>23</v>
      </c>
      <c r="R235" s="31" t="s">
        <v>62</v>
      </c>
    </row>
    <row r="236" spans="1:18" ht="18" customHeight="1">
      <c r="A236" s="17">
        <v>7</v>
      </c>
      <c r="B236" s="18" t="s">
        <v>108</v>
      </c>
      <c r="C236" s="18">
        <v>2</v>
      </c>
      <c r="D236" s="18" t="s">
        <v>118</v>
      </c>
      <c r="E236" s="18">
        <v>1</v>
      </c>
      <c r="F236" s="18" t="s">
        <v>220</v>
      </c>
      <c r="G236" s="18">
        <v>1</v>
      </c>
      <c r="H236" s="18" t="s">
        <v>115</v>
      </c>
      <c r="I236" s="18">
        <v>1</v>
      </c>
      <c r="J236" s="23" t="s">
        <v>221</v>
      </c>
      <c r="K236" s="21"/>
      <c r="L236" s="21"/>
      <c r="M236" s="21"/>
      <c r="N236" s="19"/>
      <c r="O236" s="21"/>
      <c r="P236" s="22" t="s">
        <v>161</v>
      </c>
      <c r="Q236" s="21"/>
      <c r="R236" s="31" t="s">
        <v>62</v>
      </c>
    </row>
    <row r="237" spans="1:18" ht="18" customHeight="1">
      <c r="A237" s="17">
        <v>7</v>
      </c>
      <c r="B237" s="18" t="s">
        <v>108</v>
      </c>
      <c r="C237" s="18">
        <v>2</v>
      </c>
      <c r="D237" s="18" t="s">
        <v>118</v>
      </c>
      <c r="E237" s="18">
        <v>1</v>
      </c>
      <c r="F237" s="18" t="s">
        <v>220</v>
      </c>
      <c r="G237" s="18">
        <v>1</v>
      </c>
      <c r="H237" s="18" t="s">
        <v>115</v>
      </c>
      <c r="I237" s="18">
        <v>1</v>
      </c>
      <c r="J237" s="23" t="s">
        <v>221</v>
      </c>
      <c r="K237" s="21"/>
      <c r="L237" s="21"/>
      <c r="M237" s="21"/>
      <c r="N237" s="19"/>
      <c r="O237" s="21"/>
      <c r="P237" s="22" t="s">
        <v>168</v>
      </c>
      <c r="Q237" s="21">
        <v>75</v>
      </c>
      <c r="R237" s="31" t="s">
        <v>62</v>
      </c>
    </row>
    <row r="238" spans="1:18" ht="18" customHeight="1">
      <c r="A238" s="17">
        <v>7</v>
      </c>
      <c r="B238" s="18" t="s">
        <v>108</v>
      </c>
      <c r="C238" s="18">
        <v>2</v>
      </c>
      <c r="D238" s="18" t="s">
        <v>118</v>
      </c>
      <c r="E238" s="18">
        <v>1</v>
      </c>
      <c r="F238" s="18" t="s">
        <v>220</v>
      </c>
      <c r="G238" s="18">
        <v>1</v>
      </c>
      <c r="H238" s="18" t="s">
        <v>115</v>
      </c>
      <c r="I238" s="18">
        <v>1</v>
      </c>
      <c r="J238" s="23" t="s">
        <v>221</v>
      </c>
      <c r="K238" s="21"/>
      <c r="L238" s="21"/>
      <c r="M238" s="21"/>
      <c r="N238" s="19"/>
      <c r="O238" s="21"/>
      <c r="P238" s="22" t="s">
        <v>164</v>
      </c>
      <c r="Q238" s="21">
        <v>450</v>
      </c>
      <c r="R238" s="31" t="s">
        <v>62</v>
      </c>
    </row>
    <row r="239" spans="1:18" ht="18" customHeight="1">
      <c r="A239" s="17">
        <v>7</v>
      </c>
      <c r="B239" s="18" t="s">
        <v>108</v>
      </c>
      <c r="C239" s="18">
        <v>2</v>
      </c>
      <c r="D239" s="18" t="s">
        <v>118</v>
      </c>
      <c r="E239" s="18">
        <v>1</v>
      </c>
      <c r="F239" s="18" t="s">
        <v>220</v>
      </c>
      <c r="G239" s="18">
        <v>1</v>
      </c>
      <c r="H239" s="18" t="s">
        <v>115</v>
      </c>
      <c r="I239" s="18">
        <v>1</v>
      </c>
      <c r="J239" s="23" t="s">
        <v>221</v>
      </c>
      <c r="K239" s="21"/>
      <c r="L239" s="21"/>
      <c r="M239" s="21"/>
      <c r="N239" s="19"/>
      <c r="O239" s="21"/>
      <c r="P239" s="22" t="s">
        <v>163</v>
      </c>
      <c r="Q239" s="21"/>
      <c r="R239" s="31" t="s">
        <v>62</v>
      </c>
    </row>
    <row r="240" spans="1:18" ht="18" customHeight="1">
      <c r="A240" s="17">
        <v>7</v>
      </c>
      <c r="B240" s="18" t="s">
        <v>108</v>
      </c>
      <c r="C240" s="18">
        <v>2</v>
      </c>
      <c r="D240" s="18" t="s">
        <v>118</v>
      </c>
      <c r="E240" s="18">
        <v>1</v>
      </c>
      <c r="F240" s="18" t="s">
        <v>220</v>
      </c>
      <c r="G240" s="18">
        <v>1</v>
      </c>
      <c r="H240" s="18" t="s">
        <v>115</v>
      </c>
      <c r="I240" s="18">
        <v>1</v>
      </c>
      <c r="J240" s="23" t="s">
        <v>221</v>
      </c>
      <c r="K240" s="21"/>
      <c r="L240" s="21"/>
      <c r="M240" s="21"/>
      <c r="N240" s="19"/>
      <c r="O240" s="21"/>
      <c r="P240" s="22" t="s">
        <v>117</v>
      </c>
      <c r="Q240" s="21">
        <v>90</v>
      </c>
      <c r="R240" s="31" t="s">
        <v>62</v>
      </c>
    </row>
    <row r="241" spans="1:18" ht="18" customHeight="1">
      <c r="A241" s="17">
        <v>7</v>
      </c>
      <c r="B241" s="18" t="s">
        <v>108</v>
      </c>
      <c r="C241" s="18">
        <v>2</v>
      </c>
      <c r="D241" s="18" t="s">
        <v>118</v>
      </c>
      <c r="E241" s="18">
        <v>1</v>
      </c>
      <c r="F241" s="18" t="s">
        <v>220</v>
      </c>
      <c r="G241" s="18">
        <v>1</v>
      </c>
      <c r="H241" s="18" t="s">
        <v>115</v>
      </c>
      <c r="I241" s="18">
        <v>1</v>
      </c>
      <c r="J241" s="23" t="s">
        <v>221</v>
      </c>
      <c r="K241" s="21"/>
      <c r="L241" s="21"/>
      <c r="M241" s="21"/>
      <c r="N241" s="19"/>
      <c r="O241" s="21"/>
      <c r="P241" s="22" t="s">
        <v>178</v>
      </c>
      <c r="Q241" s="21">
        <v>3587</v>
      </c>
      <c r="R241" s="31" t="s">
        <v>62</v>
      </c>
    </row>
    <row r="242" spans="1:18" ht="18" customHeight="1">
      <c r="A242" s="17">
        <v>7</v>
      </c>
      <c r="B242" s="18" t="s">
        <v>108</v>
      </c>
      <c r="C242" s="18">
        <v>2</v>
      </c>
      <c r="D242" s="18" t="s">
        <v>118</v>
      </c>
      <c r="E242" s="18">
        <v>1</v>
      </c>
      <c r="F242" s="18" t="s">
        <v>220</v>
      </c>
      <c r="G242" s="18">
        <v>1</v>
      </c>
      <c r="H242" s="18" t="s">
        <v>115</v>
      </c>
      <c r="I242" s="18">
        <v>1</v>
      </c>
      <c r="J242" s="23" t="s">
        <v>221</v>
      </c>
      <c r="K242" s="21"/>
      <c r="L242" s="21"/>
      <c r="M242" s="21"/>
      <c r="N242" s="19"/>
      <c r="O242" s="21"/>
      <c r="P242" s="22" t="s">
        <v>170</v>
      </c>
      <c r="Q242" s="21">
        <v>2</v>
      </c>
      <c r="R242" s="31" t="s">
        <v>62</v>
      </c>
    </row>
    <row r="243" spans="1:18" ht="18" customHeight="1">
      <c r="A243" s="17">
        <v>7</v>
      </c>
      <c r="B243" s="18" t="s">
        <v>108</v>
      </c>
      <c r="C243" s="18">
        <v>2</v>
      </c>
      <c r="D243" s="18" t="s">
        <v>118</v>
      </c>
      <c r="E243" s="18">
        <v>1</v>
      </c>
      <c r="F243" s="18" t="s">
        <v>220</v>
      </c>
      <c r="G243" s="18">
        <v>1</v>
      </c>
      <c r="H243" s="18" t="s">
        <v>115</v>
      </c>
      <c r="I243" s="18">
        <v>1</v>
      </c>
      <c r="J243" s="23" t="s">
        <v>221</v>
      </c>
      <c r="K243" s="21"/>
      <c r="L243" s="21"/>
      <c r="M243" s="21"/>
      <c r="N243" s="19"/>
      <c r="O243" s="21"/>
      <c r="P243" s="22" t="s">
        <v>171</v>
      </c>
      <c r="Q243" s="21"/>
      <c r="R243" s="31" t="s">
        <v>62</v>
      </c>
    </row>
    <row r="244" spans="1:18" ht="18" customHeight="1">
      <c r="A244" s="17">
        <v>7</v>
      </c>
      <c r="B244" s="18" t="s">
        <v>108</v>
      </c>
      <c r="C244" s="18">
        <v>2</v>
      </c>
      <c r="D244" s="18" t="s">
        <v>118</v>
      </c>
      <c r="E244" s="18">
        <v>1</v>
      </c>
      <c r="F244" s="18" t="s">
        <v>220</v>
      </c>
      <c r="G244" s="18">
        <v>1</v>
      </c>
      <c r="H244" s="18" t="s">
        <v>115</v>
      </c>
      <c r="I244" s="18">
        <v>1</v>
      </c>
      <c r="J244" s="23" t="s">
        <v>221</v>
      </c>
      <c r="K244" s="21"/>
      <c r="L244" s="21"/>
      <c r="M244" s="21"/>
      <c r="N244" s="19"/>
      <c r="O244" s="21"/>
      <c r="P244" s="22" t="s">
        <v>172</v>
      </c>
      <c r="Q244" s="21">
        <v>317</v>
      </c>
      <c r="R244" s="31" t="s">
        <v>62</v>
      </c>
    </row>
    <row r="245" spans="1:18" ht="18" customHeight="1">
      <c r="A245" s="17">
        <v>7</v>
      </c>
      <c r="B245" s="18" t="s">
        <v>108</v>
      </c>
      <c r="C245" s="18">
        <v>2</v>
      </c>
      <c r="D245" s="18" t="s">
        <v>118</v>
      </c>
      <c r="E245" s="18">
        <v>1</v>
      </c>
      <c r="F245" s="18" t="s">
        <v>220</v>
      </c>
      <c r="G245" s="18">
        <v>1</v>
      </c>
      <c r="H245" s="18" t="s">
        <v>115</v>
      </c>
      <c r="I245" s="18">
        <v>1</v>
      </c>
      <c r="J245" s="23" t="s">
        <v>221</v>
      </c>
      <c r="K245" s="21"/>
      <c r="L245" s="21"/>
      <c r="M245" s="21"/>
      <c r="N245" s="19"/>
      <c r="O245" s="21"/>
      <c r="P245" s="22" t="s">
        <v>171</v>
      </c>
      <c r="Q245" s="21"/>
      <c r="R245" s="31" t="s">
        <v>62</v>
      </c>
    </row>
    <row r="246" spans="1:18" ht="18" customHeight="1">
      <c r="A246" s="17">
        <v>7</v>
      </c>
      <c r="B246" s="18" t="s">
        <v>108</v>
      </c>
      <c r="C246" s="18">
        <v>2</v>
      </c>
      <c r="D246" s="18" t="s">
        <v>118</v>
      </c>
      <c r="E246" s="18">
        <v>1</v>
      </c>
      <c r="F246" s="18" t="s">
        <v>220</v>
      </c>
      <c r="G246" s="18">
        <v>1</v>
      </c>
      <c r="H246" s="18" t="s">
        <v>115</v>
      </c>
      <c r="I246" s="18">
        <v>1</v>
      </c>
      <c r="J246" s="23" t="s">
        <v>221</v>
      </c>
      <c r="K246" s="21"/>
      <c r="L246" s="21"/>
      <c r="M246" s="21"/>
      <c r="N246" s="19"/>
      <c r="O246" s="21"/>
      <c r="P246" s="22" t="s">
        <v>172</v>
      </c>
      <c r="Q246" s="21">
        <v>5</v>
      </c>
      <c r="R246" s="31" t="s">
        <v>62</v>
      </c>
    </row>
    <row r="247" spans="1:18" ht="18" customHeight="1">
      <c r="A247" s="17">
        <v>7</v>
      </c>
      <c r="B247" s="18" t="s">
        <v>108</v>
      </c>
      <c r="C247" s="18">
        <v>2</v>
      </c>
      <c r="D247" s="18" t="s">
        <v>118</v>
      </c>
      <c r="E247" s="18">
        <v>1</v>
      </c>
      <c r="F247" s="18" t="s">
        <v>220</v>
      </c>
      <c r="G247" s="18">
        <v>1</v>
      </c>
      <c r="H247" s="18" t="s">
        <v>115</v>
      </c>
      <c r="I247" s="18">
        <v>1</v>
      </c>
      <c r="J247" s="23" t="s">
        <v>221</v>
      </c>
      <c r="K247" s="21"/>
      <c r="L247" s="21"/>
      <c r="M247" s="21"/>
      <c r="N247" s="19"/>
      <c r="O247" s="21"/>
      <c r="P247" s="22" t="s">
        <v>173</v>
      </c>
      <c r="Q247" s="21"/>
      <c r="R247" s="31" t="s">
        <v>62</v>
      </c>
    </row>
    <row r="248" spans="1:18" ht="18" customHeight="1">
      <c r="A248" s="17">
        <v>7</v>
      </c>
      <c r="B248" s="18" t="s">
        <v>108</v>
      </c>
      <c r="C248" s="18">
        <v>2</v>
      </c>
      <c r="D248" s="18" t="s">
        <v>118</v>
      </c>
      <c r="E248" s="18">
        <v>1</v>
      </c>
      <c r="F248" s="18" t="s">
        <v>220</v>
      </c>
      <c r="G248" s="18">
        <v>1</v>
      </c>
      <c r="H248" s="18" t="s">
        <v>115</v>
      </c>
      <c r="I248" s="18">
        <v>1</v>
      </c>
      <c r="J248" s="23" t="s">
        <v>221</v>
      </c>
      <c r="K248" s="21"/>
      <c r="L248" s="21"/>
      <c r="M248" s="21"/>
      <c r="N248" s="19"/>
      <c r="O248" s="21"/>
      <c r="P248" s="22" t="s">
        <v>174</v>
      </c>
      <c r="Q248" s="21">
        <v>5778</v>
      </c>
      <c r="R248" s="31" t="s">
        <v>62</v>
      </c>
    </row>
    <row r="249" spans="1:18" ht="18" customHeight="1">
      <c r="A249" s="17">
        <v>7</v>
      </c>
      <c r="B249" s="18" t="s">
        <v>108</v>
      </c>
      <c r="C249" s="18">
        <v>2</v>
      </c>
      <c r="D249" s="18" t="s">
        <v>118</v>
      </c>
      <c r="E249" s="18">
        <v>1</v>
      </c>
      <c r="F249" s="18" t="s">
        <v>220</v>
      </c>
      <c r="G249" s="18">
        <v>1</v>
      </c>
      <c r="H249" s="18" t="s">
        <v>115</v>
      </c>
      <c r="I249" s="18">
        <v>1</v>
      </c>
      <c r="J249" s="23" t="s">
        <v>221</v>
      </c>
      <c r="K249" s="21"/>
      <c r="L249" s="21"/>
      <c r="M249" s="21"/>
      <c r="N249" s="19"/>
      <c r="O249" s="21"/>
      <c r="P249" s="22" t="s">
        <v>171</v>
      </c>
      <c r="Q249" s="21"/>
      <c r="R249" s="31" t="s">
        <v>62</v>
      </c>
    </row>
    <row r="250" spans="1:18" ht="18" customHeight="1">
      <c r="A250" s="17">
        <v>7</v>
      </c>
      <c r="B250" s="18" t="s">
        <v>108</v>
      </c>
      <c r="C250" s="18">
        <v>2</v>
      </c>
      <c r="D250" s="18" t="s">
        <v>118</v>
      </c>
      <c r="E250" s="18">
        <v>1</v>
      </c>
      <c r="F250" s="18" t="s">
        <v>220</v>
      </c>
      <c r="G250" s="18">
        <v>1</v>
      </c>
      <c r="H250" s="18" t="s">
        <v>115</v>
      </c>
      <c r="I250" s="18">
        <v>1</v>
      </c>
      <c r="J250" s="23" t="s">
        <v>221</v>
      </c>
      <c r="K250" s="21"/>
      <c r="L250" s="21"/>
      <c r="M250" s="21"/>
      <c r="N250" s="19"/>
      <c r="O250" s="21"/>
      <c r="P250" s="22" t="s">
        <v>174</v>
      </c>
      <c r="Q250" s="21">
        <v>15</v>
      </c>
      <c r="R250" s="31" t="s">
        <v>62</v>
      </c>
    </row>
    <row r="251" spans="1:18" ht="18" customHeight="1">
      <c r="A251" s="17">
        <v>7</v>
      </c>
      <c r="B251" s="18" t="s">
        <v>108</v>
      </c>
      <c r="C251" s="18">
        <v>2</v>
      </c>
      <c r="D251" s="18" t="s">
        <v>118</v>
      </c>
      <c r="E251" s="18">
        <v>1</v>
      </c>
      <c r="F251" s="18" t="s">
        <v>220</v>
      </c>
      <c r="G251" s="18">
        <v>1</v>
      </c>
      <c r="H251" s="18" t="s">
        <v>115</v>
      </c>
      <c r="I251" s="18">
        <v>1</v>
      </c>
      <c r="J251" s="23" t="s">
        <v>221</v>
      </c>
      <c r="K251" s="21"/>
      <c r="L251" s="21"/>
      <c r="M251" s="21"/>
      <c r="N251" s="19"/>
      <c r="O251" s="21"/>
      <c r="P251" s="22" t="s">
        <v>173</v>
      </c>
      <c r="Q251" s="21"/>
      <c r="R251" s="31" t="s">
        <v>62</v>
      </c>
    </row>
    <row r="252" spans="1:18" ht="18" customHeight="1">
      <c r="A252" s="2">
        <v>7</v>
      </c>
      <c r="B252" s="3" t="s">
        <v>108</v>
      </c>
      <c r="C252" s="10">
        <v>2</v>
      </c>
      <c r="D252" s="3" t="s">
        <v>118</v>
      </c>
      <c r="E252" s="11">
        <v>2</v>
      </c>
      <c r="F252" s="12" t="s">
        <v>223</v>
      </c>
      <c r="G252" s="11"/>
      <c r="H252" s="12"/>
      <c r="I252" s="11"/>
      <c r="J252" s="11"/>
      <c r="K252" s="13">
        <f>IF(C252="",SUMIFS($K253:$K$746,$A253:$A$746,A252,$E253:$E$746,""),IF(E252="",SUMIFS($K253:$K$746,$A253:$A$746,A252,$C253:$C$746,C252,$G253:$G$746,""),IF(G252="",SUMIFS($K253:$K$746,$A253:$A$746,A252,$C253:$C$746,C252,$E253:$E$746,E252),0)))</f>
        <v>1553</v>
      </c>
      <c r="L252" s="13">
        <f>IF(C252="",SUMIFS($L253:$L$746,$A253:$A$746,A252,$E253:$E$746,""),IF(E252="",SUMIFS($L253:$L$746,$A253:$A$746,A252,$C253:$C$746,C252,$G253:$G$746,""),IF(G252="",SUMIFS($L253:$L$746,$A253:$A$746,A252,$C253:$C$746,C252,$E253:$E$746,E252),0)))</f>
        <v>1596</v>
      </c>
      <c r="M252" s="13">
        <f t="shared" ref="M252" si="30">K252-L252</f>
        <v>-43</v>
      </c>
      <c r="N252" s="14"/>
      <c r="O252" s="15"/>
      <c r="P252" s="16"/>
      <c r="Q252" s="13">
        <f>IF(C252="",SUMIFS($Q$3:$Q$746,$A$3:$A$746,A252,$C$3:$C$746,"&gt;0",$E$3:$E$746,""),IF(E252="",SUMIFS($Q$3:$Q$746,$A$3:$A$746,A252,$C$3:$C$746,C252,$E$3:$E$746,"&gt;0",$G$3:$G$746,""),IF(G252="",SUMIFS($Q$3:$Q$746,$A$3:$A$746,A252,$C$3:$C$746,C252,$E$3:$E$746,E252,$G$3:$G$746,"&gt;0"))))</f>
        <v>1553</v>
      </c>
      <c r="R252" s="13" t="s">
        <v>62</v>
      </c>
    </row>
    <row r="253" spans="1:18" ht="18" customHeight="1">
      <c r="A253" s="17">
        <v>7</v>
      </c>
      <c r="B253" s="18" t="s">
        <v>108</v>
      </c>
      <c r="C253" s="18">
        <v>2</v>
      </c>
      <c r="D253" s="18" t="s">
        <v>118</v>
      </c>
      <c r="E253" s="18">
        <v>2</v>
      </c>
      <c r="F253" s="18" t="s">
        <v>223</v>
      </c>
      <c r="G253" s="20">
        <v>1</v>
      </c>
      <c r="H253" s="20" t="s">
        <v>115</v>
      </c>
      <c r="I253" s="20"/>
      <c r="J253" s="19"/>
      <c r="K253" s="21"/>
      <c r="L253" s="21"/>
      <c r="M253" s="21"/>
      <c r="N253" s="19"/>
      <c r="O253" s="21"/>
      <c r="P253" s="22" t="s">
        <v>139</v>
      </c>
      <c r="Q253" s="21">
        <v>956</v>
      </c>
      <c r="R253" s="31" t="s">
        <v>62</v>
      </c>
    </row>
    <row r="254" spans="1:18" ht="18" customHeight="1">
      <c r="A254" s="17">
        <v>7</v>
      </c>
      <c r="B254" s="18" t="s">
        <v>108</v>
      </c>
      <c r="C254" s="18">
        <v>2</v>
      </c>
      <c r="D254" s="18" t="s">
        <v>118</v>
      </c>
      <c r="E254" s="18">
        <v>2</v>
      </c>
      <c r="F254" s="18" t="s">
        <v>223</v>
      </c>
      <c r="G254" s="18">
        <v>1</v>
      </c>
      <c r="H254" s="18" t="s">
        <v>115</v>
      </c>
      <c r="I254" s="20">
        <v>1</v>
      </c>
      <c r="J254" s="19" t="s">
        <v>224</v>
      </c>
      <c r="K254" s="21">
        <v>1553</v>
      </c>
      <c r="L254" s="21">
        <v>1596</v>
      </c>
      <c r="M254" s="21">
        <f t="shared" ref="M254" si="31">K254-L254</f>
        <v>-43</v>
      </c>
      <c r="N254" s="19" t="s">
        <v>63</v>
      </c>
      <c r="O254" s="21"/>
      <c r="P254" s="22" t="s">
        <v>142</v>
      </c>
      <c r="Q254" s="21"/>
      <c r="R254" s="31" t="s">
        <v>62</v>
      </c>
    </row>
    <row r="255" spans="1:18" ht="18" customHeight="1">
      <c r="A255" s="17">
        <v>7</v>
      </c>
      <c r="B255" s="18" t="s">
        <v>108</v>
      </c>
      <c r="C255" s="18">
        <v>2</v>
      </c>
      <c r="D255" s="18" t="s">
        <v>118</v>
      </c>
      <c r="E255" s="18">
        <v>2</v>
      </c>
      <c r="F255" s="18" t="s">
        <v>223</v>
      </c>
      <c r="G255" s="18">
        <v>1</v>
      </c>
      <c r="H255" s="18" t="s">
        <v>115</v>
      </c>
      <c r="I255" s="18">
        <v>1</v>
      </c>
      <c r="J255" s="23" t="s">
        <v>224</v>
      </c>
      <c r="K255" s="21"/>
      <c r="L255" s="21"/>
      <c r="M255" s="21"/>
      <c r="N255" s="19" t="s">
        <v>225</v>
      </c>
      <c r="O255" s="21">
        <v>1553250</v>
      </c>
      <c r="P255" s="22" t="s">
        <v>182</v>
      </c>
      <c r="Q255" s="21">
        <v>595</v>
      </c>
      <c r="R255" s="31" t="s">
        <v>62</v>
      </c>
    </row>
    <row r="256" spans="1:18" ht="18" customHeight="1">
      <c r="A256" s="17">
        <v>7</v>
      </c>
      <c r="B256" s="18" t="s">
        <v>108</v>
      </c>
      <c r="C256" s="18">
        <v>2</v>
      </c>
      <c r="D256" s="18" t="s">
        <v>118</v>
      </c>
      <c r="E256" s="18">
        <v>2</v>
      </c>
      <c r="F256" s="18" t="s">
        <v>223</v>
      </c>
      <c r="G256" s="18">
        <v>1</v>
      </c>
      <c r="H256" s="18" t="s">
        <v>115</v>
      </c>
      <c r="I256" s="18">
        <v>1</v>
      </c>
      <c r="J256" s="23" t="s">
        <v>224</v>
      </c>
      <c r="K256" s="21"/>
      <c r="L256" s="21"/>
      <c r="M256" s="21"/>
      <c r="N256" s="19"/>
      <c r="O256" s="21"/>
      <c r="P256" s="22" t="s">
        <v>117</v>
      </c>
      <c r="Q256" s="21">
        <v>2</v>
      </c>
      <c r="R256" s="31" t="s">
        <v>62</v>
      </c>
    </row>
    <row r="257" spans="1:18" ht="18" customHeight="1">
      <c r="A257" s="2">
        <v>7</v>
      </c>
      <c r="B257" s="3" t="s">
        <v>108</v>
      </c>
      <c r="C257" s="10">
        <v>2</v>
      </c>
      <c r="D257" s="3" t="s">
        <v>118</v>
      </c>
      <c r="E257" s="11">
        <v>3</v>
      </c>
      <c r="F257" s="12" t="s">
        <v>226</v>
      </c>
      <c r="G257" s="11"/>
      <c r="H257" s="12"/>
      <c r="I257" s="11"/>
      <c r="J257" s="11"/>
      <c r="K257" s="13">
        <f>IF(C257="",SUMIFS($K258:$K$746,$A258:$A$746,A257,$E258:$E$746,""),IF(E257="",SUMIFS($K258:$K$746,$A258:$A$746,A257,$C258:$C$746,C257,$G258:$G$746,""),IF(G257="",SUMIFS($K258:$K$746,$A258:$A$746,A257,$C258:$C$746,C257,$E258:$E$746,E257),0)))</f>
        <v>4890</v>
      </c>
      <c r="L257" s="13">
        <f>IF(C257="",SUMIFS($L258:$L$746,$A258:$A$746,A257,$E258:$E$746,""),IF(E257="",SUMIFS($L258:$L$746,$A258:$A$746,A257,$C258:$C$746,C257,$G258:$G$746,""),IF(G257="",SUMIFS($L258:$L$746,$A258:$A$746,A257,$C258:$C$746,C257,$E258:$E$746,E257),0)))</f>
        <v>4991</v>
      </c>
      <c r="M257" s="13">
        <f t="shared" ref="M257" si="32">K257-L257</f>
        <v>-101</v>
      </c>
      <c r="N257" s="14"/>
      <c r="O257" s="15"/>
      <c r="P257" s="16"/>
      <c r="Q257" s="13">
        <f>IF(C257="",SUMIFS($Q$3:$Q$746,$A$3:$A$746,A257,$C$3:$C$746,"&gt;0",$E$3:$E$746,""),IF(E257="",SUMIFS($Q$3:$Q$746,$A$3:$A$746,A257,$C$3:$C$746,C257,$E$3:$E$746,"&gt;0",$G$3:$G$746,""),IF(G257="",SUMIFS($Q$3:$Q$746,$A$3:$A$746,A257,$C$3:$C$746,C257,$E$3:$E$746,E257,$G$3:$G$746,"&gt;0"))))</f>
        <v>4890</v>
      </c>
      <c r="R257" s="13" t="s">
        <v>62</v>
      </c>
    </row>
    <row r="258" spans="1:18" ht="18" customHeight="1">
      <c r="A258" s="17">
        <v>7</v>
      </c>
      <c r="B258" s="18" t="s">
        <v>108</v>
      </c>
      <c r="C258" s="18">
        <v>2</v>
      </c>
      <c r="D258" s="18" t="s">
        <v>118</v>
      </c>
      <c r="E258" s="18">
        <v>3</v>
      </c>
      <c r="F258" s="18" t="s">
        <v>226</v>
      </c>
      <c r="G258" s="20">
        <v>1</v>
      </c>
      <c r="H258" s="20" t="s">
        <v>115</v>
      </c>
      <c r="I258" s="20"/>
      <c r="J258" s="19"/>
      <c r="K258" s="21"/>
      <c r="L258" s="21"/>
      <c r="M258" s="21"/>
      <c r="N258" s="19"/>
      <c r="O258" s="21"/>
      <c r="P258" s="22" t="s">
        <v>184</v>
      </c>
      <c r="Q258" s="21">
        <v>3282</v>
      </c>
      <c r="R258" s="31" t="s">
        <v>62</v>
      </c>
    </row>
    <row r="259" spans="1:18" ht="18" customHeight="1">
      <c r="A259" s="17">
        <v>7</v>
      </c>
      <c r="B259" s="18" t="s">
        <v>108</v>
      </c>
      <c r="C259" s="18">
        <v>2</v>
      </c>
      <c r="D259" s="18" t="s">
        <v>118</v>
      </c>
      <c r="E259" s="18">
        <v>3</v>
      </c>
      <c r="F259" s="18" t="s">
        <v>226</v>
      </c>
      <c r="G259" s="18">
        <v>1</v>
      </c>
      <c r="H259" s="18" t="s">
        <v>115</v>
      </c>
      <c r="I259" s="20">
        <v>1</v>
      </c>
      <c r="J259" s="19" t="s">
        <v>227</v>
      </c>
      <c r="K259" s="21">
        <v>4890</v>
      </c>
      <c r="L259" s="21">
        <v>4991</v>
      </c>
      <c r="M259" s="21">
        <f t="shared" ref="M259" si="33">K259-L259</f>
        <v>-101</v>
      </c>
      <c r="N259" s="19" t="s">
        <v>64</v>
      </c>
      <c r="O259" s="21"/>
      <c r="P259" s="22" t="s">
        <v>186</v>
      </c>
      <c r="Q259" s="21"/>
      <c r="R259" s="31" t="s">
        <v>62</v>
      </c>
    </row>
    <row r="260" spans="1:18" ht="18" customHeight="1">
      <c r="A260" s="17">
        <v>7</v>
      </c>
      <c r="B260" s="18" t="s">
        <v>108</v>
      </c>
      <c r="C260" s="18">
        <v>2</v>
      </c>
      <c r="D260" s="18" t="s">
        <v>118</v>
      </c>
      <c r="E260" s="18">
        <v>3</v>
      </c>
      <c r="F260" s="18" t="s">
        <v>226</v>
      </c>
      <c r="G260" s="18">
        <v>1</v>
      </c>
      <c r="H260" s="18" t="s">
        <v>115</v>
      </c>
      <c r="I260" s="18">
        <v>1</v>
      </c>
      <c r="J260" s="23" t="s">
        <v>227</v>
      </c>
      <c r="K260" s="21"/>
      <c r="L260" s="21"/>
      <c r="M260" s="21"/>
      <c r="N260" s="19" t="s">
        <v>216</v>
      </c>
      <c r="O260" s="21">
        <v>4890077</v>
      </c>
      <c r="P260" s="22" t="s">
        <v>136</v>
      </c>
      <c r="Q260" s="21">
        <v>1050</v>
      </c>
      <c r="R260" s="31" t="s">
        <v>62</v>
      </c>
    </row>
    <row r="261" spans="1:18" ht="18" customHeight="1">
      <c r="A261" s="17">
        <v>7</v>
      </c>
      <c r="B261" s="18" t="s">
        <v>108</v>
      </c>
      <c r="C261" s="18">
        <v>2</v>
      </c>
      <c r="D261" s="18" t="s">
        <v>118</v>
      </c>
      <c r="E261" s="18">
        <v>3</v>
      </c>
      <c r="F261" s="18" t="s">
        <v>226</v>
      </c>
      <c r="G261" s="18">
        <v>1</v>
      </c>
      <c r="H261" s="18" t="s">
        <v>115</v>
      </c>
      <c r="I261" s="18">
        <v>1</v>
      </c>
      <c r="J261" s="23" t="s">
        <v>227</v>
      </c>
      <c r="K261" s="21"/>
      <c r="L261" s="21"/>
      <c r="M261" s="21"/>
      <c r="N261" s="19"/>
      <c r="O261" s="21"/>
      <c r="P261" s="22" t="s">
        <v>188</v>
      </c>
      <c r="Q261" s="21">
        <v>46</v>
      </c>
      <c r="R261" s="31" t="s">
        <v>62</v>
      </c>
    </row>
    <row r="262" spans="1:18" ht="18" customHeight="1">
      <c r="A262" s="17">
        <v>7</v>
      </c>
      <c r="B262" s="18" t="s">
        <v>108</v>
      </c>
      <c r="C262" s="18">
        <v>2</v>
      </c>
      <c r="D262" s="18" t="s">
        <v>118</v>
      </c>
      <c r="E262" s="18">
        <v>3</v>
      </c>
      <c r="F262" s="18" t="s">
        <v>226</v>
      </c>
      <c r="G262" s="18">
        <v>1</v>
      </c>
      <c r="H262" s="18" t="s">
        <v>115</v>
      </c>
      <c r="I262" s="18">
        <v>1</v>
      </c>
      <c r="J262" s="23" t="s">
        <v>227</v>
      </c>
      <c r="K262" s="21"/>
      <c r="L262" s="21"/>
      <c r="M262" s="21"/>
      <c r="N262" s="19"/>
      <c r="O262" s="21"/>
      <c r="P262" s="22" t="s">
        <v>189</v>
      </c>
      <c r="Q262" s="21"/>
      <c r="R262" s="31" t="s">
        <v>62</v>
      </c>
    </row>
    <row r="263" spans="1:18" ht="18" customHeight="1">
      <c r="A263" s="17">
        <v>7</v>
      </c>
      <c r="B263" s="18" t="s">
        <v>108</v>
      </c>
      <c r="C263" s="18">
        <v>2</v>
      </c>
      <c r="D263" s="18" t="s">
        <v>118</v>
      </c>
      <c r="E263" s="18">
        <v>3</v>
      </c>
      <c r="F263" s="18" t="s">
        <v>226</v>
      </c>
      <c r="G263" s="18">
        <v>1</v>
      </c>
      <c r="H263" s="18" t="s">
        <v>115</v>
      </c>
      <c r="I263" s="18">
        <v>1</v>
      </c>
      <c r="J263" s="23" t="s">
        <v>227</v>
      </c>
      <c r="K263" s="21"/>
      <c r="L263" s="21"/>
      <c r="M263" s="21"/>
      <c r="N263" s="19"/>
      <c r="O263" s="21"/>
      <c r="P263" s="22" t="s">
        <v>190</v>
      </c>
      <c r="Q263" s="21">
        <v>55</v>
      </c>
      <c r="R263" s="31" t="s">
        <v>62</v>
      </c>
    </row>
    <row r="264" spans="1:18" ht="18" customHeight="1">
      <c r="A264" s="17">
        <v>7</v>
      </c>
      <c r="B264" s="18" t="s">
        <v>108</v>
      </c>
      <c r="C264" s="18">
        <v>2</v>
      </c>
      <c r="D264" s="18" t="s">
        <v>118</v>
      </c>
      <c r="E264" s="18">
        <v>3</v>
      </c>
      <c r="F264" s="18" t="s">
        <v>226</v>
      </c>
      <c r="G264" s="18">
        <v>1</v>
      </c>
      <c r="H264" s="18" t="s">
        <v>115</v>
      </c>
      <c r="I264" s="18">
        <v>1</v>
      </c>
      <c r="J264" s="23" t="s">
        <v>227</v>
      </c>
      <c r="K264" s="21"/>
      <c r="L264" s="21"/>
      <c r="M264" s="21"/>
      <c r="N264" s="19"/>
      <c r="O264" s="21"/>
      <c r="P264" s="22" t="s">
        <v>191</v>
      </c>
      <c r="Q264" s="21"/>
      <c r="R264" s="31" t="s">
        <v>62</v>
      </c>
    </row>
    <row r="265" spans="1:18" ht="18" customHeight="1">
      <c r="A265" s="17">
        <v>7</v>
      </c>
      <c r="B265" s="18" t="s">
        <v>108</v>
      </c>
      <c r="C265" s="18">
        <v>2</v>
      </c>
      <c r="D265" s="18" t="s">
        <v>118</v>
      </c>
      <c r="E265" s="18">
        <v>3</v>
      </c>
      <c r="F265" s="18" t="s">
        <v>226</v>
      </c>
      <c r="G265" s="18">
        <v>1</v>
      </c>
      <c r="H265" s="18" t="s">
        <v>115</v>
      </c>
      <c r="I265" s="18">
        <v>1</v>
      </c>
      <c r="J265" s="23" t="s">
        <v>227</v>
      </c>
      <c r="K265" s="21"/>
      <c r="L265" s="21"/>
      <c r="M265" s="21"/>
      <c r="N265" s="19"/>
      <c r="O265" s="21"/>
      <c r="P265" s="22" t="s">
        <v>192</v>
      </c>
      <c r="Q265" s="21">
        <v>376</v>
      </c>
      <c r="R265" s="31" t="s">
        <v>62</v>
      </c>
    </row>
    <row r="266" spans="1:18" ht="18" customHeight="1">
      <c r="A266" s="17">
        <v>7</v>
      </c>
      <c r="B266" s="18" t="s">
        <v>108</v>
      </c>
      <c r="C266" s="18">
        <v>2</v>
      </c>
      <c r="D266" s="18" t="s">
        <v>118</v>
      </c>
      <c r="E266" s="18">
        <v>3</v>
      </c>
      <c r="F266" s="18" t="s">
        <v>226</v>
      </c>
      <c r="G266" s="18">
        <v>1</v>
      </c>
      <c r="H266" s="18" t="s">
        <v>115</v>
      </c>
      <c r="I266" s="18">
        <v>1</v>
      </c>
      <c r="J266" s="23" t="s">
        <v>227</v>
      </c>
      <c r="K266" s="21"/>
      <c r="L266" s="21"/>
      <c r="M266" s="21"/>
      <c r="N266" s="19"/>
      <c r="O266" s="21"/>
      <c r="P266" s="22" t="s">
        <v>150</v>
      </c>
      <c r="Q266" s="21"/>
      <c r="R266" s="31" t="s">
        <v>62</v>
      </c>
    </row>
    <row r="267" spans="1:18" ht="18" customHeight="1">
      <c r="A267" s="17">
        <v>7</v>
      </c>
      <c r="B267" s="18" t="s">
        <v>108</v>
      </c>
      <c r="C267" s="18">
        <v>2</v>
      </c>
      <c r="D267" s="18" t="s">
        <v>118</v>
      </c>
      <c r="E267" s="18">
        <v>3</v>
      </c>
      <c r="F267" s="18" t="s">
        <v>226</v>
      </c>
      <c r="G267" s="18">
        <v>1</v>
      </c>
      <c r="H267" s="18" t="s">
        <v>115</v>
      </c>
      <c r="I267" s="18">
        <v>1</v>
      </c>
      <c r="J267" s="23" t="s">
        <v>227</v>
      </c>
      <c r="K267" s="21"/>
      <c r="L267" s="21"/>
      <c r="M267" s="21"/>
      <c r="N267" s="19"/>
      <c r="O267" s="21"/>
      <c r="P267" s="22" t="s">
        <v>198</v>
      </c>
      <c r="Q267" s="21">
        <v>81</v>
      </c>
      <c r="R267" s="31" t="s">
        <v>62</v>
      </c>
    </row>
    <row r="268" spans="1:18" ht="18" customHeight="1">
      <c r="A268" s="17">
        <v>7</v>
      </c>
      <c r="B268" s="18" t="s">
        <v>108</v>
      </c>
      <c r="C268" s="18">
        <v>2</v>
      </c>
      <c r="D268" s="18" t="s">
        <v>118</v>
      </c>
      <c r="E268" s="18">
        <v>3</v>
      </c>
      <c r="F268" s="18" t="s">
        <v>226</v>
      </c>
      <c r="G268" s="18">
        <v>1</v>
      </c>
      <c r="H268" s="18" t="s">
        <v>115</v>
      </c>
      <c r="I268" s="18">
        <v>1</v>
      </c>
      <c r="J268" s="23" t="s">
        <v>227</v>
      </c>
      <c r="K268" s="21"/>
      <c r="L268" s="21"/>
      <c r="M268" s="21"/>
      <c r="N268" s="19"/>
      <c r="O268" s="21"/>
      <c r="P268" s="22" t="s">
        <v>150</v>
      </c>
      <c r="Q268" s="21"/>
      <c r="R268" s="31" t="s">
        <v>62</v>
      </c>
    </row>
    <row r="269" spans="1:18" ht="18" customHeight="1">
      <c r="A269" s="2">
        <v>7</v>
      </c>
      <c r="B269" s="3" t="s">
        <v>108</v>
      </c>
      <c r="C269" s="10">
        <v>2</v>
      </c>
      <c r="D269" s="3" t="s">
        <v>118</v>
      </c>
      <c r="E269" s="11">
        <v>4</v>
      </c>
      <c r="F269" s="12" t="s">
        <v>120</v>
      </c>
      <c r="G269" s="11"/>
      <c r="H269" s="12"/>
      <c r="I269" s="11"/>
      <c r="J269" s="11"/>
      <c r="K269" s="13">
        <f>IF(C269="",SUMIFS($K270:$K$746,$A270:$A$746,A269,$E270:$E$746,""),IF(E269="",SUMIFS($K270:$K$746,$A270:$A$746,A269,$C270:$C$746,C269,$G270:$G$746,""),IF(G269="",SUMIFS($K270:$K$746,$A270:$A$746,A269,$C270:$C$746,C269,$E270:$E$746,E269),0)))</f>
        <v>39366</v>
      </c>
      <c r="L269" s="13">
        <f>IF(C269="",SUMIFS($L270:$L$746,$A270:$A$746,A269,$E270:$E$746,""),IF(E269="",SUMIFS($L270:$L$746,$A270:$A$746,A269,$C270:$C$746,C269,$G270:$G$746,""),IF(G269="",SUMIFS($L270:$L$746,$A270:$A$746,A269,$C270:$C$746,C269,$E270:$E$746,E269),0)))</f>
        <v>36309</v>
      </c>
      <c r="M269" s="13">
        <f t="shared" ref="M269" si="34">K269-L269</f>
        <v>3057</v>
      </c>
      <c r="N269" s="14"/>
      <c r="O269" s="15"/>
      <c r="P269" s="16"/>
      <c r="Q269" s="13">
        <f>IF(C269="",SUMIFS($Q$3:$Q$746,$A$3:$A$746,A269,$C$3:$C$746,"&gt;0",$E$3:$E$746,""),IF(E269="",SUMIFS($Q$3:$Q$746,$A$3:$A$746,A269,$C$3:$C$746,C269,$E$3:$E$746,"&gt;0",$G$3:$G$746,""),IF(G269="",SUMIFS($Q$3:$Q$746,$A$3:$A$746,A269,$C$3:$C$746,C269,$E$3:$E$746,E269,$G$3:$G$746,"&gt;0"))))</f>
        <v>39366</v>
      </c>
      <c r="R269" s="13" t="s">
        <v>62</v>
      </c>
    </row>
    <row r="270" spans="1:18" ht="18" customHeight="1">
      <c r="A270" s="17">
        <v>7</v>
      </c>
      <c r="B270" s="18" t="s">
        <v>108</v>
      </c>
      <c r="C270" s="18">
        <v>2</v>
      </c>
      <c r="D270" s="18" t="s">
        <v>118</v>
      </c>
      <c r="E270" s="18">
        <v>4</v>
      </c>
      <c r="F270" s="18" t="s">
        <v>120</v>
      </c>
      <c r="G270" s="20">
        <v>1</v>
      </c>
      <c r="H270" s="20" t="s">
        <v>228</v>
      </c>
      <c r="I270" s="20"/>
      <c r="J270" s="19"/>
      <c r="K270" s="21"/>
      <c r="L270" s="21"/>
      <c r="M270" s="21"/>
      <c r="N270" s="19"/>
      <c r="O270" s="21"/>
      <c r="P270" s="22" t="s">
        <v>184</v>
      </c>
      <c r="Q270" s="21">
        <v>6237</v>
      </c>
      <c r="R270" s="31" t="s">
        <v>62</v>
      </c>
    </row>
    <row r="271" spans="1:18" ht="18" customHeight="1">
      <c r="A271" s="17">
        <v>7</v>
      </c>
      <c r="B271" s="18" t="s">
        <v>108</v>
      </c>
      <c r="C271" s="18">
        <v>2</v>
      </c>
      <c r="D271" s="18" t="s">
        <v>118</v>
      </c>
      <c r="E271" s="18">
        <v>4</v>
      </c>
      <c r="F271" s="18" t="s">
        <v>120</v>
      </c>
      <c r="G271" s="18">
        <v>1</v>
      </c>
      <c r="H271" s="18" t="s">
        <v>228</v>
      </c>
      <c r="I271" s="20">
        <v>1</v>
      </c>
      <c r="J271" s="19" t="s">
        <v>119</v>
      </c>
      <c r="K271" s="21">
        <v>6237</v>
      </c>
      <c r="L271" s="21">
        <v>6090</v>
      </c>
      <c r="M271" s="21">
        <f t="shared" ref="M271" si="35">K271-L271</f>
        <v>147</v>
      </c>
      <c r="N271" s="19" t="s">
        <v>229</v>
      </c>
      <c r="O271" s="21">
        <v>6237000</v>
      </c>
      <c r="P271" s="22" t="s">
        <v>186</v>
      </c>
      <c r="Q271" s="21"/>
      <c r="R271" s="31" t="s">
        <v>62</v>
      </c>
    </row>
    <row r="272" spans="1:18" ht="18" customHeight="1">
      <c r="A272" s="17">
        <v>7</v>
      </c>
      <c r="B272" s="18" t="s">
        <v>108</v>
      </c>
      <c r="C272" s="18">
        <v>2</v>
      </c>
      <c r="D272" s="18" t="s">
        <v>118</v>
      </c>
      <c r="E272" s="18">
        <v>4</v>
      </c>
      <c r="F272" s="18" t="s">
        <v>120</v>
      </c>
      <c r="G272" s="20">
        <v>2</v>
      </c>
      <c r="H272" s="20" t="s">
        <v>123</v>
      </c>
      <c r="I272" s="20"/>
      <c r="J272" s="19"/>
      <c r="K272" s="21"/>
      <c r="L272" s="21"/>
      <c r="M272" s="21"/>
      <c r="N272" s="19"/>
      <c r="O272" s="21"/>
      <c r="P272" s="22" t="s">
        <v>41</v>
      </c>
      <c r="Q272" s="21">
        <v>4795</v>
      </c>
      <c r="R272" s="31" t="s">
        <v>62</v>
      </c>
    </row>
    <row r="273" spans="1:18" ht="18" customHeight="1">
      <c r="A273" s="17">
        <v>7</v>
      </c>
      <c r="B273" s="18" t="s">
        <v>108</v>
      </c>
      <c r="C273" s="18">
        <v>2</v>
      </c>
      <c r="D273" s="18" t="s">
        <v>118</v>
      </c>
      <c r="E273" s="18">
        <v>4</v>
      </c>
      <c r="F273" s="18" t="s">
        <v>120</v>
      </c>
      <c r="G273" s="18">
        <v>2</v>
      </c>
      <c r="H273" s="18" t="s">
        <v>123</v>
      </c>
      <c r="I273" s="20">
        <v>1</v>
      </c>
      <c r="J273" s="19" t="s">
        <v>230</v>
      </c>
      <c r="K273" s="21">
        <v>19088</v>
      </c>
      <c r="L273" s="21">
        <v>16484</v>
      </c>
      <c r="M273" s="21">
        <f t="shared" ref="M273" si="36">K273-L273</f>
        <v>2604</v>
      </c>
      <c r="N273" s="19" t="s">
        <v>231</v>
      </c>
      <c r="O273" s="21">
        <v>19088000</v>
      </c>
      <c r="P273" s="22" t="s">
        <v>60</v>
      </c>
      <c r="Q273" s="21">
        <v>2485</v>
      </c>
      <c r="R273" s="31" t="s">
        <v>62</v>
      </c>
    </row>
    <row r="274" spans="1:18" ht="18" customHeight="1">
      <c r="A274" s="17">
        <v>7</v>
      </c>
      <c r="B274" s="18" t="s">
        <v>108</v>
      </c>
      <c r="C274" s="18">
        <v>2</v>
      </c>
      <c r="D274" s="18" t="s">
        <v>118</v>
      </c>
      <c r="E274" s="18">
        <v>4</v>
      </c>
      <c r="F274" s="18" t="s">
        <v>120</v>
      </c>
      <c r="G274" s="20">
        <v>3</v>
      </c>
      <c r="H274" s="20" t="s">
        <v>232</v>
      </c>
      <c r="I274" s="20"/>
      <c r="J274" s="19"/>
      <c r="K274" s="21"/>
      <c r="L274" s="21"/>
      <c r="M274" s="21"/>
      <c r="N274" s="19"/>
      <c r="O274" s="21"/>
      <c r="P274" s="22" t="s">
        <v>233</v>
      </c>
      <c r="Q274" s="21">
        <v>3156</v>
      </c>
      <c r="R274" s="31" t="s">
        <v>62</v>
      </c>
    </row>
    <row r="275" spans="1:18" ht="18" customHeight="1">
      <c r="A275" s="17">
        <v>7</v>
      </c>
      <c r="B275" s="18" t="s">
        <v>108</v>
      </c>
      <c r="C275" s="18">
        <v>2</v>
      </c>
      <c r="D275" s="18" t="s">
        <v>118</v>
      </c>
      <c r="E275" s="18">
        <v>4</v>
      </c>
      <c r="F275" s="18" t="s">
        <v>120</v>
      </c>
      <c r="G275" s="18">
        <v>3</v>
      </c>
      <c r="H275" s="18" t="s">
        <v>232</v>
      </c>
      <c r="I275" s="20">
        <v>1</v>
      </c>
      <c r="J275" s="19" t="s">
        <v>234</v>
      </c>
      <c r="K275" s="21">
        <v>14041</v>
      </c>
      <c r="L275" s="21">
        <v>13735</v>
      </c>
      <c r="M275" s="21">
        <f t="shared" ref="M275" si="37">K275-L275</f>
        <v>306</v>
      </c>
      <c r="N275" s="19" t="s">
        <v>235</v>
      </c>
      <c r="O275" s="21">
        <v>14041000</v>
      </c>
      <c r="P275" s="22" t="s">
        <v>236</v>
      </c>
      <c r="Q275" s="21">
        <v>7396</v>
      </c>
      <c r="R275" s="31" t="s">
        <v>62</v>
      </c>
    </row>
    <row r="276" spans="1:18" ht="18" customHeight="1">
      <c r="A276" s="17">
        <v>7</v>
      </c>
      <c r="B276" s="18" t="s">
        <v>108</v>
      </c>
      <c r="C276" s="18">
        <v>2</v>
      </c>
      <c r="D276" s="18" t="s">
        <v>118</v>
      </c>
      <c r="E276" s="18">
        <v>4</v>
      </c>
      <c r="F276" s="18" t="s">
        <v>120</v>
      </c>
      <c r="G276" s="18">
        <v>3</v>
      </c>
      <c r="H276" s="18" t="s">
        <v>232</v>
      </c>
      <c r="I276" s="18">
        <v>1</v>
      </c>
      <c r="J276" s="23" t="s">
        <v>234</v>
      </c>
      <c r="K276" s="21"/>
      <c r="L276" s="21"/>
      <c r="M276" s="21"/>
      <c r="N276" s="19"/>
      <c r="O276" s="21"/>
      <c r="P276" s="22" t="s">
        <v>237</v>
      </c>
      <c r="Q276" s="21">
        <v>52</v>
      </c>
      <c r="R276" s="31" t="s">
        <v>62</v>
      </c>
    </row>
    <row r="277" spans="1:18" ht="18" customHeight="1">
      <c r="A277" s="17">
        <v>7</v>
      </c>
      <c r="B277" s="18" t="s">
        <v>108</v>
      </c>
      <c r="C277" s="18">
        <v>2</v>
      </c>
      <c r="D277" s="18" t="s">
        <v>118</v>
      </c>
      <c r="E277" s="18">
        <v>4</v>
      </c>
      <c r="F277" s="18" t="s">
        <v>120</v>
      </c>
      <c r="G277" s="18">
        <v>3</v>
      </c>
      <c r="H277" s="18" t="s">
        <v>232</v>
      </c>
      <c r="I277" s="18">
        <v>1</v>
      </c>
      <c r="J277" s="23" t="s">
        <v>234</v>
      </c>
      <c r="K277" s="21"/>
      <c r="L277" s="21"/>
      <c r="M277" s="21"/>
      <c r="N277" s="19"/>
      <c r="O277" s="21"/>
      <c r="P277" s="22" t="s">
        <v>238</v>
      </c>
      <c r="Q277" s="21">
        <v>1</v>
      </c>
      <c r="R277" s="31" t="s">
        <v>62</v>
      </c>
    </row>
    <row r="278" spans="1:18" ht="18" customHeight="1">
      <c r="A278" s="17">
        <v>7</v>
      </c>
      <c r="B278" s="18" t="s">
        <v>108</v>
      </c>
      <c r="C278" s="18">
        <v>2</v>
      </c>
      <c r="D278" s="18" t="s">
        <v>118</v>
      </c>
      <c r="E278" s="18">
        <v>4</v>
      </c>
      <c r="F278" s="18" t="s">
        <v>120</v>
      </c>
      <c r="G278" s="18">
        <v>3</v>
      </c>
      <c r="H278" s="18" t="s">
        <v>232</v>
      </c>
      <c r="I278" s="18">
        <v>1</v>
      </c>
      <c r="J278" s="23" t="s">
        <v>234</v>
      </c>
      <c r="K278" s="21"/>
      <c r="L278" s="21"/>
      <c r="M278" s="21"/>
      <c r="N278" s="19"/>
      <c r="O278" s="21"/>
      <c r="P278" s="22" t="s">
        <v>239</v>
      </c>
      <c r="Q278" s="21">
        <v>200</v>
      </c>
      <c r="R278" s="31" t="s">
        <v>62</v>
      </c>
    </row>
    <row r="279" spans="1:18" ht="18" customHeight="1">
      <c r="A279" s="17">
        <v>7</v>
      </c>
      <c r="B279" s="18" t="s">
        <v>108</v>
      </c>
      <c r="C279" s="18">
        <v>2</v>
      </c>
      <c r="D279" s="18" t="s">
        <v>118</v>
      </c>
      <c r="E279" s="18">
        <v>4</v>
      </c>
      <c r="F279" s="18" t="s">
        <v>120</v>
      </c>
      <c r="G279" s="18">
        <v>3</v>
      </c>
      <c r="H279" s="18" t="s">
        <v>232</v>
      </c>
      <c r="I279" s="18">
        <v>1</v>
      </c>
      <c r="J279" s="23" t="s">
        <v>234</v>
      </c>
      <c r="K279" s="21"/>
      <c r="L279" s="21"/>
      <c r="M279" s="21"/>
      <c r="N279" s="19"/>
      <c r="O279" s="21"/>
      <c r="P279" s="22" t="s">
        <v>240</v>
      </c>
      <c r="Q279" s="21">
        <v>3</v>
      </c>
      <c r="R279" s="31" t="s">
        <v>62</v>
      </c>
    </row>
    <row r="280" spans="1:18" ht="18" customHeight="1">
      <c r="A280" s="17">
        <v>7</v>
      </c>
      <c r="B280" s="18" t="s">
        <v>108</v>
      </c>
      <c r="C280" s="18">
        <v>2</v>
      </c>
      <c r="D280" s="18" t="s">
        <v>118</v>
      </c>
      <c r="E280" s="18">
        <v>4</v>
      </c>
      <c r="F280" s="18" t="s">
        <v>120</v>
      </c>
      <c r="G280" s="18">
        <v>3</v>
      </c>
      <c r="H280" s="18" t="s">
        <v>232</v>
      </c>
      <c r="I280" s="18">
        <v>1</v>
      </c>
      <c r="J280" s="23" t="s">
        <v>234</v>
      </c>
      <c r="K280" s="21"/>
      <c r="L280" s="21"/>
      <c r="M280" s="21"/>
      <c r="N280" s="19"/>
      <c r="O280" s="21"/>
      <c r="P280" s="22" t="s">
        <v>72</v>
      </c>
      <c r="Q280" s="21">
        <v>1000</v>
      </c>
      <c r="R280" s="31" t="s">
        <v>62</v>
      </c>
    </row>
    <row r="281" spans="1:18" ht="18" customHeight="1">
      <c r="A281" s="17">
        <v>7</v>
      </c>
      <c r="B281" s="18" t="s">
        <v>108</v>
      </c>
      <c r="C281" s="18">
        <v>2</v>
      </c>
      <c r="D281" s="18" t="s">
        <v>118</v>
      </c>
      <c r="E281" s="18">
        <v>4</v>
      </c>
      <c r="F281" s="18" t="s">
        <v>120</v>
      </c>
      <c r="G281" s="18">
        <v>3</v>
      </c>
      <c r="H281" s="18" t="s">
        <v>232</v>
      </c>
      <c r="I281" s="18">
        <v>1</v>
      </c>
      <c r="J281" s="23" t="s">
        <v>234</v>
      </c>
      <c r="K281" s="21"/>
      <c r="L281" s="21"/>
      <c r="M281" s="21"/>
      <c r="N281" s="19"/>
      <c r="O281" s="21"/>
      <c r="P281" s="22" t="s">
        <v>152</v>
      </c>
      <c r="Q281" s="21">
        <v>3793</v>
      </c>
      <c r="R281" s="31" t="s">
        <v>62</v>
      </c>
    </row>
    <row r="282" spans="1:18" ht="18" customHeight="1">
      <c r="A282" s="17">
        <v>7</v>
      </c>
      <c r="B282" s="18" t="s">
        <v>108</v>
      </c>
      <c r="C282" s="18">
        <v>2</v>
      </c>
      <c r="D282" s="18" t="s">
        <v>118</v>
      </c>
      <c r="E282" s="18">
        <v>4</v>
      </c>
      <c r="F282" s="18" t="s">
        <v>120</v>
      </c>
      <c r="G282" s="18">
        <v>3</v>
      </c>
      <c r="H282" s="18" t="s">
        <v>232</v>
      </c>
      <c r="I282" s="18">
        <v>1</v>
      </c>
      <c r="J282" s="23" t="s">
        <v>234</v>
      </c>
      <c r="K282" s="21"/>
      <c r="L282" s="21"/>
      <c r="M282" s="21"/>
      <c r="N282" s="19"/>
      <c r="O282" s="21"/>
      <c r="P282" s="22" t="s">
        <v>155</v>
      </c>
      <c r="Q282" s="21"/>
      <c r="R282" s="31" t="s">
        <v>62</v>
      </c>
    </row>
    <row r="283" spans="1:18" ht="18" customHeight="1">
      <c r="A283" s="17">
        <v>7</v>
      </c>
      <c r="B283" s="18" t="s">
        <v>108</v>
      </c>
      <c r="C283" s="18">
        <v>2</v>
      </c>
      <c r="D283" s="18" t="s">
        <v>118</v>
      </c>
      <c r="E283" s="18">
        <v>4</v>
      </c>
      <c r="F283" s="18" t="s">
        <v>120</v>
      </c>
      <c r="G283" s="18">
        <v>3</v>
      </c>
      <c r="H283" s="18" t="s">
        <v>232</v>
      </c>
      <c r="I283" s="18">
        <v>1</v>
      </c>
      <c r="J283" s="23" t="s">
        <v>234</v>
      </c>
      <c r="K283" s="21"/>
      <c r="L283" s="21"/>
      <c r="M283" s="21"/>
      <c r="N283" s="19"/>
      <c r="O283" s="21"/>
      <c r="P283" s="22" t="s">
        <v>157</v>
      </c>
      <c r="Q283" s="21">
        <v>2231</v>
      </c>
      <c r="R283" s="31" t="s">
        <v>62</v>
      </c>
    </row>
    <row r="284" spans="1:18" ht="18" customHeight="1">
      <c r="A284" s="17">
        <v>7</v>
      </c>
      <c r="B284" s="18" t="s">
        <v>108</v>
      </c>
      <c r="C284" s="18">
        <v>2</v>
      </c>
      <c r="D284" s="18" t="s">
        <v>118</v>
      </c>
      <c r="E284" s="18">
        <v>4</v>
      </c>
      <c r="F284" s="18" t="s">
        <v>120</v>
      </c>
      <c r="G284" s="18">
        <v>3</v>
      </c>
      <c r="H284" s="18" t="s">
        <v>232</v>
      </c>
      <c r="I284" s="18">
        <v>1</v>
      </c>
      <c r="J284" s="23" t="s">
        <v>234</v>
      </c>
      <c r="K284" s="21"/>
      <c r="L284" s="21"/>
      <c r="M284" s="21"/>
      <c r="N284" s="19"/>
      <c r="O284" s="21"/>
      <c r="P284" s="22" t="s">
        <v>158</v>
      </c>
      <c r="Q284" s="21"/>
      <c r="R284" s="31" t="s">
        <v>62</v>
      </c>
    </row>
    <row r="285" spans="1:18" ht="18" customHeight="1">
      <c r="A285" s="17">
        <v>7</v>
      </c>
      <c r="B285" s="18" t="s">
        <v>108</v>
      </c>
      <c r="C285" s="18">
        <v>2</v>
      </c>
      <c r="D285" s="18" t="s">
        <v>118</v>
      </c>
      <c r="E285" s="18">
        <v>4</v>
      </c>
      <c r="F285" s="18" t="s">
        <v>120</v>
      </c>
      <c r="G285" s="18">
        <v>3</v>
      </c>
      <c r="H285" s="18" t="s">
        <v>232</v>
      </c>
      <c r="I285" s="18">
        <v>1</v>
      </c>
      <c r="J285" s="23" t="s">
        <v>234</v>
      </c>
      <c r="K285" s="21"/>
      <c r="L285" s="21"/>
      <c r="M285" s="21"/>
      <c r="N285" s="19"/>
      <c r="O285" s="21"/>
      <c r="P285" s="22" t="s">
        <v>159</v>
      </c>
      <c r="Q285" s="21">
        <v>6061</v>
      </c>
      <c r="R285" s="31" t="s">
        <v>62</v>
      </c>
    </row>
    <row r="286" spans="1:18" ht="18" customHeight="1">
      <c r="A286" s="17">
        <v>7</v>
      </c>
      <c r="B286" s="18" t="s">
        <v>108</v>
      </c>
      <c r="C286" s="18">
        <v>2</v>
      </c>
      <c r="D286" s="18" t="s">
        <v>118</v>
      </c>
      <c r="E286" s="18">
        <v>4</v>
      </c>
      <c r="F286" s="18" t="s">
        <v>120</v>
      </c>
      <c r="G286" s="18">
        <v>3</v>
      </c>
      <c r="H286" s="18" t="s">
        <v>232</v>
      </c>
      <c r="I286" s="18">
        <v>1</v>
      </c>
      <c r="J286" s="23" t="s">
        <v>234</v>
      </c>
      <c r="K286" s="21"/>
      <c r="L286" s="21"/>
      <c r="M286" s="21"/>
      <c r="N286" s="19"/>
      <c r="O286" s="21"/>
      <c r="P286" s="22" t="s">
        <v>155</v>
      </c>
      <c r="Q286" s="21"/>
      <c r="R286" s="31" t="s">
        <v>62</v>
      </c>
    </row>
    <row r="287" spans="1:18" ht="18" customHeight="1">
      <c r="A287" s="17">
        <v>7</v>
      </c>
      <c r="B287" s="18" t="s">
        <v>108</v>
      </c>
      <c r="C287" s="18">
        <v>2</v>
      </c>
      <c r="D287" s="18" t="s">
        <v>118</v>
      </c>
      <c r="E287" s="18">
        <v>4</v>
      </c>
      <c r="F287" s="18" t="s">
        <v>120</v>
      </c>
      <c r="G287" s="18">
        <v>3</v>
      </c>
      <c r="H287" s="18" t="s">
        <v>232</v>
      </c>
      <c r="I287" s="18">
        <v>1</v>
      </c>
      <c r="J287" s="23" t="s">
        <v>234</v>
      </c>
      <c r="K287" s="21"/>
      <c r="L287" s="21"/>
      <c r="M287" s="21"/>
      <c r="N287" s="19"/>
      <c r="O287" s="21"/>
      <c r="P287" s="22" t="s">
        <v>160</v>
      </c>
      <c r="Q287" s="21">
        <v>8</v>
      </c>
      <c r="R287" s="31" t="s">
        <v>62</v>
      </c>
    </row>
    <row r="288" spans="1:18" ht="18" customHeight="1">
      <c r="A288" s="17">
        <v>7</v>
      </c>
      <c r="B288" s="18" t="s">
        <v>108</v>
      </c>
      <c r="C288" s="18">
        <v>2</v>
      </c>
      <c r="D288" s="18" t="s">
        <v>118</v>
      </c>
      <c r="E288" s="18">
        <v>4</v>
      </c>
      <c r="F288" s="18" t="s">
        <v>120</v>
      </c>
      <c r="G288" s="18">
        <v>3</v>
      </c>
      <c r="H288" s="18" t="s">
        <v>232</v>
      </c>
      <c r="I288" s="18">
        <v>1</v>
      </c>
      <c r="J288" s="23" t="s">
        <v>234</v>
      </c>
      <c r="K288" s="21"/>
      <c r="L288" s="21"/>
      <c r="M288" s="21"/>
      <c r="N288" s="19"/>
      <c r="O288" s="21"/>
      <c r="P288" s="22" t="s">
        <v>161</v>
      </c>
      <c r="Q288" s="21"/>
      <c r="R288" s="31" t="s">
        <v>62</v>
      </c>
    </row>
    <row r="289" spans="1:18" ht="18" customHeight="1">
      <c r="A289" s="17">
        <v>7</v>
      </c>
      <c r="B289" s="18" t="s">
        <v>108</v>
      </c>
      <c r="C289" s="18">
        <v>2</v>
      </c>
      <c r="D289" s="18" t="s">
        <v>118</v>
      </c>
      <c r="E289" s="18">
        <v>4</v>
      </c>
      <c r="F289" s="18" t="s">
        <v>120</v>
      </c>
      <c r="G289" s="18">
        <v>3</v>
      </c>
      <c r="H289" s="18" t="s">
        <v>232</v>
      </c>
      <c r="I289" s="18">
        <v>1</v>
      </c>
      <c r="J289" s="23" t="s">
        <v>234</v>
      </c>
      <c r="K289" s="21"/>
      <c r="L289" s="21"/>
      <c r="M289" s="21"/>
      <c r="N289" s="19"/>
      <c r="O289" s="21"/>
      <c r="P289" s="22" t="s">
        <v>162</v>
      </c>
      <c r="Q289" s="21">
        <v>29</v>
      </c>
      <c r="R289" s="31" t="s">
        <v>62</v>
      </c>
    </row>
    <row r="290" spans="1:18" ht="18" customHeight="1">
      <c r="A290" s="17">
        <v>7</v>
      </c>
      <c r="B290" s="18" t="s">
        <v>108</v>
      </c>
      <c r="C290" s="18">
        <v>2</v>
      </c>
      <c r="D290" s="18" t="s">
        <v>118</v>
      </c>
      <c r="E290" s="18">
        <v>4</v>
      </c>
      <c r="F290" s="18" t="s">
        <v>120</v>
      </c>
      <c r="G290" s="18">
        <v>3</v>
      </c>
      <c r="H290" s="18" t="s">
        <v>232</v>
      </c>
      <c r="I290" s="18">
        <v>1</v>
      </c>
      <c r="J290" s="23" t="s">
        <v>234</v>
      </c>
      <c r="K290" s="21"/>
      <c r="L290" s="21"/>
      <c r="M290" s="21"/>
      <c r="N290" s="19"/>
      <c r="O290" s="21"/>
      <c r="P290" s="22" t="s">
        <v>152</v>
      </c>
      <c r="Q290" s="21">
        <v>535</v>
      </c>
      <c r="R290" s="31" t="s">
        <v>62</v>
      </c>
    </row>
    <row r="291" spans="1:18" ht="18" customHeight="1">
      <c r="A291" s="17">
        <v>7</v>
      </c>
      <c r="B291" s="18" t="s">
        <v>108</v>
      </c>
      <c r="C291" s="18">
        <v>2</v>
      </c>
      <c r="D291" s="18" t="s">
        <v>118</v>
      </c>
      <c r="E291" s="18">
        <v>4</v>
      </c>
      <c r="F291" s="18" t="s">
        <v>120</v>
      </c>
      <c r="G291" s="18">
        <v>3</v>
      </c>
      <c r="H291" s="18" t="s">
        <v>232</v>
      </c>
      <c r="I291" s="18">
        <v>1</v>
      </c>
      <c r="J291" s="23" t="s">
        <v>234</v>
      </c>
      <c r="K291" s="21"/>
      <c r="L291" s="21"/>
      <c r="M291" s="21"/>
      <c r="N291" s="19"/>
      <c r="O291" s="21"/>
      <c r="P291" s="22" t="s">
        <v>163</v>
      </c>
      <c r="Q291" s="21"/>
      <c r="R291" s="31" t="s">
        <v>62</v>
      </c>
    </row>
    <row r="292" spans="1:18" ht="18" customHeight="1">
      <c r="A292" s="17">
        <v>7</v>
      </c>
      <c r="B292" s="18" t="s">
        <v>108</v>
      </c>
      <c r="C292" s="18">
        <v>2</v>
      </c>
      <c r="D292" s="18" t="s">
        <v>118</v>
      </c>
      <c r="E292" s="18">
        <v>4</v>
      </c>
      <c r="F292" s="18" t="s">
        <v>120</v>
      </c>
      <c r="G292" s="18">
        <v>3</v>
      </c>
      <c r="H292" s="18" t="s">
        <v>232</v>
      </c>
      <c r="I292" s="18">
        <v>1</v>
      </c>
      <c r="J292" s="23" t="s">
        <v>234</v>
      </c>
      <c r="K292" s="21"/>
      <c r="L292" s="21"/>
      <c r="M292" s="21"/>
      <c r="N292" s="19"/>
      <c r="O292" s="21"/>
      <c r="P292" s="22" t="s">
        <v>164</v>
      </c>
      <c r="Q292" s="21">
        <v>309</v>
      </c>
      <c r="R292" s="31" t="s">
        <v>62</v>
      </c>
    </row>
    <row r="293" spans="1:18" ht="18" customHeight="1">
      <c r="A293" s="17">
        <v>7</v>
      </c>
      <c r="B293" s="18" t="s">
        <v>108</v>
      </c>
      <c r="C293" s="18">
        <v>2</v>
      </c>
      <c r="D293" s="18" t="s">
        <v>118</v>
      </c>
      <c r="E293" s="18">
        <v>4</v>
      </c>
      <c r="F293" s="18" t="s">
        <v>120</v>
      </c>
      <c r="G293" s="18">
        <v>3</v>
      </c>
      <c r="H293" s="18" t="s">
        <v>232</v>
      </c>
      <c r="I293" s="18">
        <v>1</v>
      </c>
      <c r="J293" s="23" t="s">
        <v>234</v>
      </c>
      <c r="K293" s="21"/>
      <c r="L293" s="21"/>
      <c r="M293" s="21"/>
      <c r="N293" s="19"/>
      <c r="O293" s="21"/>
      <c r="P293" s="22" t="s">
        <v>155</v>
      </c>
      <c r="Q293" s="21"/>
      <c r="R293" s="31" t="s">
        <v>62</v>
      </c>
    </row>
    <row r="294" spans="1:18" ht="18" customHeight="1">
      <c r="A294" s="17">
        <v>7</v>
      </c>
      <c r="B294" s="18" t="s">
        <v>108</v>
      </c>
      <c r="C294" s="18">
        <v>2</v>
      </c>
      <c r="D294" s="18" t="s">
        <v>118</v>
      </c>
      <c r="E294" s="18">
        <v>4</v>
      </c>
      <c r="F294" s="18" t="s">
        <v>120</v>
      </c>
      <c r="G294" s="18">
        <v>3</v>
      </c>
      <c r="H294" s="18" t="s">
        <v>232</v>
      </c>
      <c r="I294" s="18">
        <v>1</v>
      </c>
      <c r="J294" s="23" t="s">
        <v>234</v>
      </c>
      <c r="K294" s="21"/>
      <c r="L294" s="21"/>
      <c r="M294" s="21"/>
      <c r="N294" s="19"/>
      <c r="O294" s="21"/>
      <c r="P294" s="22" t="s">
        <v>165</v>
      </c>
      <c r="Q294" s="21">
        <v>9</v>
      </c>
      <c r="R294" s="31" t="s">
        <v>62</v>
      </c>
    </row>
    <row r="295" spans="1:18" ht="18" customHeight="1">
      <c r="A295" s="17">
        <v>7</v>
      </c>
      <c r="B295" s="18" t="s">
        <v>108</v>
      </c>
      <c r="C295" s="18">
        <v>2</v>
      </c>
      <c r="D295" s="18" t="s">
        <v>118</v>
      </c>
      <c r="E295" s="18">
        <v>4</v>
      </c>
      <c r="F295" s="18" t="s">
        <v>120</v>
      </c>
      <c r="G295" s="18">
        <v>3</v>
      </c>
      <c r="H295" s="18" t="s">
        <v>232</v>
      </c>
      <c r="I295" s="18">
        <v>1</v>
      </c>
      <c r="J295" s="23" t="s">
        <v>234</v>
      </c>
      <c r="K295" s="21"/>
      <c r="L295" s="21"/>
      <c r="M295" s="21"/>
      <c r="N295" s="19"/>
      <c r="O295" s="21"/>
      <c r="P295" s="22" t="s">
        <v>166</v>
      </c>
      <c r="Q295" s="21"/>
      <c r="R295" s="31" t="s">
        <v>62</v>
      </c>
    </row>
    <row r="296" spans="1:18" ht="18" customHeight="1">
      <c r="A296" s="17">
        <v>7</v>
      </c>
      <c r="B296" s="18" t="s">
        <v>108</v>
      </c>
      <c r="C296" s="18">
        <v>2</v>
      </c>
      <c r="D296" s="18" t="s">
        <v>118</v>
      </c>
      <c r="E296" s="18">
        <v>4</v>
      </c>
      <c r="F296" s="18" t="s">
        <v>120</v>
      </c>
      <c r="G296" s="18">
        <v>3</v>
      </c>
      <c r="H296" s="18" t="s">
        <v>232</v>
      </c>
      <c r="I296" s="18">
        <v>1</v>
      </c>
      <c r="J296" s="23" t="s">
        <v>234</v>
      </c>
      <c r="K296" s="21"/>
      <c r="L296" s="21"/>
      <c r="M296" s="21"/>
      <c r="N296" s="19"/>
      <c r="O296" s="21"/>
      <c r="P296" s="22" t="s">
        <v>167</v>
      </c>
      <c r="Q296" s="21">
        <v>2</v>
      </c>
      <c r="R296" s="31" t="s">
        <v>62</v>
      </c>
    </row>
    <row r="297" spans="1:18" ht="18" customHeight="1">
      <c r="A297" s="17">
        <v>7</v>
      </c>
      <c r="B297" s="18" t="s">
        <v>108</v>
      </c>
      <c r="C297" s="18">
        <v>2</v>
      </c>
      <c r="D297" s="18" t="s">
        <v>118</v>
      </c>
      <c r="E297" s="18">
        <v>4</v>
      </c>
      <c r="F297" s="18" t="s">
        <v>120</v>
      </c>
      <c r="G297" s="18">
        <v>3</v>
      </c>
      <c r="H297" s="18" t="s">
        <v>232</v>
      </c>
      <c r="I297" s="18">
        <v>1</v>
      </c>
      <c r="J297" s="23" t="s">
        <v>234</v>
      </c>
      <c r="K297" s="21"/>
      <c r="L297" s="21"/>
      <c r="M297" s="21"/>
      <c r="N297" s="19"/>
      <c r="O297" s="21"/>
      <c r="P297" s="22" t="s">
        <v>161</v>
      </c>
      <c r="Q297" s="21"/>
      <c r="R297" s="31" t="s">
        <v>62</v>
      </c>
    </row>
    <row r="298" spans="1:18" ht="18" customHeight="1">
      <c r="A298" s="17">
        <v>7</v>
      </c>
      <c r="B298" s="18" t="s">
        <v>108</v>
      </c>
      <c r="C298" s="18">
        <v>2</v>
      </c>
      <c r="D298" s="18" t="s">
        <v>118</v>
      </c>
      <c r="E298" s="18">
        <v>4</v>
      </c>
      <c r="F298" s="18" t="s">
        <v>120</v>
      </c>
      <c r="G298" s="18">
        <v>3</v>
      </c>
      <c r="H298" s="18" t="s">
        <v>232</v>
      </c>
      <c r="I298" s="18">
        <v>1</v>
      </c>
      <c r="J298" s="23" t="s">
        <v>234</v>
      </c>
      <c r="K298" s="21"/>
      <c r="L298" s="21"/>
      <c r="M298" s="21"/>
      <c r="N298" s="19"/>
      <c r="O298" s="21"/>
      <c r="P298" s="22" t="s">
        <v>203</v>
      </c>
      <c r="Q298" s="21">
        <v>8</v>
      </c>
      <c r="R298" s="31" t="s">
        <v>62</v>
      </c>
    </row>
    <row r="299" spans="1:18" ht="18" customHeight="1">
      <c r="A299" s="17">
        <v>7</v>
      </c>
      <c r="B299" s="18" t="s">
        <v>108</v>
      </c>
      <c r="C299" s="18">
        <v>2</v>
      </c>
      <c r="D299" s="18" t="s">
        <v>118</v>
      </c>
      <c r="E299" s="18">
        <v>4</v>
      </c>
      <c r="F299" s="18" t="s">
        <v>120</v>
      </c>
      <c r="G299" s="18">
        <v>3</v>
      </c>
      <c r="H299" s="18" t="s">
        <v>232</v>
      </c>
      <c r="I299" s="18">
        <v>1</v>
      </c>
      <c r="J299" s="23" t="s">
        <v>234</v>
      </c>
      <c r="K299" s="21"/>
      <c r="L299" s="21"/>
      <c r="M299" s="21"/>
      <c r="N299" s="19"/>
      <c r="O299" s="21"/>
      <c r="P299" s="22" t="s">
        <v>164</v>
      </c>
      <c r="Q299" s="21">
        <v>46</v>
      </c>
      <c r="R299" s="31" t="s">
        <v>62</v>
      </c>
    </row>
    <row r="300" spans="1:18" ht="18" customHeight="1">
      <c r="A300" s="17">
        <v>7</v>
      </c>
      <c r="B300" s="18" t="s">
        <v>108</v>
      </c>
      <c r="C300" s="18">
        <v>2</v>
      </c>
      <c r="D300" s="18" t="s">
        <v>118</v>
      </c>
      <c r="E300" s="18">
        <v>4</v>
      </c>
      <c r="F300" s="18" t="s">
        <v>120</v>
      </c>
      <c r="G300" s="18">
        <v>3</v>
      </c>
      <c r="H300" s="18" t="s">
        <v>232</v>
      </c>
      <c r="I300" s="18">
        <v>1</v>
      </c>
      <c r="J300" s="23" t="s">
        <v>234</v>
      </c>
      <c r="K300" s="21"/>
      <c r="L300" s="21"/>
      <c r="M300" s="21"/>
      <c r="N300" s="19"/>
      <c r="O300" s="21"/>
      <c r="P300" s="22" t="s">
        <v>163</v>
      </c>
      <c r="Q300" s="21"/>
      <c r="R300" s="31" t="s">
        <v>62</v>
      </c>
    </row>
    <row r="301" spans="1:18" ht="18" customHeight="1">
      <c r="A301" s="17">
        <v>7</v>
      </c>
      <c r="B301" s="18" t="s">
        <v>108</v>
      </c>
      <c r="C301" s="18">
        <v>2</v>
      </c>
      <c r="D301" s="18" t="s">
        <v>118</v>
      </c>
      <c r="E301" s="18">
        <v>4</v>
      </c>
      <c r="F301" s="18" t="s">
        <v>120</v>
      </c>
      <c r="G301" s="18">
        <v>3</v>
      </c>
      <c r="H301" s="18" t="s">
        <v>232</v>
      </c>
      <c r="I301" s="18">
        <v>1</v>
      </c>
      <c r="J301" s="23" t="s">
        <v>234</v>
      </c>
      <c r="K301" s="21"/>
      <c r="L301" s="21"/>
      <c r="M301" s="21"/>
      <c r="N301" s="19"/>
      <c r="O301" s="21"/>
      <c r="P301" s="22" t="s">
        <v>117</v>
      </c>
      <c r="Q301" s="21">
        <v>9</v>
      </c>
      <c r="R301" s="31" t="s">
        <v>62</v>
      </c>
    </row>
    <row r="302" spans="1:18" ht="18" customHeight="1">
      <c r="A302" s="17">
        <v>7</v>
      </c>
      <c r="B302" s="18" t="s">
        <v>108</v>
      </c>
      <c r="C302" s="18">
        <v>2</v>
      </c>
      <c r="D302" s="18" t="s">
        <v>118</v>
      </c>
      <c r="E302" s="18">
        <v>4</v>
      </c>
      <c r="F302" s="18" t="s">
        <v>120</v>
      </c>
      <c r="G302" s="18">
        <v>3</v>
      </c>
      <c r="H302" s="18" t="s">
        <v>232</v>
      </c>
      <c r="I302" s="18">
        <v>1</v>
      </c>
      <c r="J302" s="23" t="s">
        <v>234</v>
      </c>
      <c r="K302" s="21"/>
      <c r="L302" s="21"/>
      <c r="M302" s="21"/>
      <c r="N302" s="19"/>
      <c r="O302" s="21"/>
      <c r="P302" s="22" t="s">
        <v>169</v>
      </c>
      <c r="Q302" s="21">
        <v>370</v>
      </c>
      <c r="R302" s="31" t="s">
        <v>62</v>
      </c>
    </row>
    <row r="303" spans="1:18" ht="18" customHeight="1">
      <c r="A303" s="17">
        <v>7</v>
      </c>
      <c r="B303" s="18" t="s">
        <v>108</v>
      </c>
      <c r="C303" s="18">
        <v>2</v>
      </c>
      <c r="D303" s="18" t="s">
        <v>118</v>
      </c>
      <c r="E303" s="18">
        <v>4</v>
      </c>
      <c r="F303" s="18" t="s">
        <v>120</v>
      </c>
      <c r="G303" s="18">
        <v>3</v>
      </c>
      <c r="H303" s="18" t="s">
        <v>232</v>
      </c>
      <c r="I303" s="18">
        <v>1</v>
      </c>
      <c r="J303" s="23" t="s">
        <v>234</v>
      </c>
      <c r="K303" s="21"/>
      <c r="L303" s="21"/>
      <c r="M303" s="21"/>
      <c r="N303" s="19"/>
      <c r="O303" s="21"/>
      <c r="P303" s="22" t="s">
        <v>172</v>
      </c>
      <c r="Q303" s="21">
        <v>33</v>
      </c>
      <c r="R303" s="31" t="s">
        <v>62</v>
      </c>
    </row>
    <row r="304" spans="1:18" ht="18" customHeight="1">
      <c r="A304" s="17">
        <v>7</v>
      </c>
      <c r="B304" s="18" t="s">
        <v>108</v>
      </c>
      <c r="C304" s="18">
        <v>2</v>
      </c>
      <c r="D304" s="18" t="s">
        <v>118</v>
      </c>
      <c r="E304" s="18">
        <v>4</v>
      </c>
      <c r="F304" s="18" t="s">
        <v>120</v>
      </c>
      <c r="G304" s="18">
        <v>3</v>
      </c>
      <c r="H304" s="18" t="s">
        <v>232</v>
      </c>
      <c r="I304" s="18">
        <v>1</v>
      </c>
      <c r="J304" s="23" t="s">
        <v>234</v>
      </c>
      <c r="K304" s="21"/>
      <c r="L304" s="21"/>
      <c r="M304" s="21"/>
      <c r="N304" s="19"/>
      <c r="O304" s="21"/>
      <c r="P304" s="22" t="s">
        <v>171</v>
      </c>
      <c r="Q304" s="21"/>
      <c r="R304" s="31" t="s">
        <v>62</v>
      </c>
    </row>
    <row r="305" spans="1:18" ht="18" customHeight="1">
      <c r="A305" s="17">
        <v>7</v>
      </c>
      <c r="B305" s="18" t="s">
        <v>108</v>
      </c>
      <c r="C305" s="18">
        <v>2</v>
      </c>
      <c r="D305" s="18" t="s">
        <v>118</v>
      </c>
      <c r="E305" s="18">
        <v>4</v>
      </c>
      <c r="F305" s="18" t="s">
        <v>120</v>
      </c>
      <c r="G305" s="18">
        <v>3</v>
      </c>
      <c r="H305" s="18" t="s">
        <v>232</v>
      </c>
      <c r="I305" s="18">
        <v>1</v>
      </c>
      <c r="J305" s="23" t="s">
        <v>234</v>
      </c>
      <c r="K305" s="21"/>
      <c r="L305" s="21"/>
      <c r="M305" s="21"/>
      <c r="N305" s="19"/>
      <c r="O305" s="21"/>
      <c r="P305" s="22" t="s">
        <v>174</v>
      </c>
      <c r="Q305" s="21">
        <v>596</v>
      </c>
      <c r="R305" s="31" t="s">
        <v>62</v>
      </c>
    </row>
    <row r="306" spans="1:18" ht="18" customHeight="1">
      <c r="A306" s="17">
        <v>7</v>
      </c>
      <c r="B306" s="18" t="s">
        <v>108</v>
      </c>
      <c r="C306" s="18">
        <v>2</v>
      </c>
      <c r="D306" s="18" t="s">
        <v>118</v>
      </c>
      <c r="E306" s="18">
        <v>4</v>
      </c>
      <c r="F306" s="18" t="s">
        <v>120</v>
      </c>
      <c r="G306" s="18">
        <v>3</v>
      </c>
      <c r="H306" s="18" t="s">
        <v>232</v>
      </c>
      <c r="I306" s="18">
        <v>1</v>
      </c>
      <c r="J306" s="23" t="s">
        <v>234</v>
      </c>
      <c r="K306" s="21"/>
      <c r="L306" s="21"/>
      <c r="M306" s="21"/>
      <c r="N306" s="19"/>
      <c r="O306" s="21"/>
      <c r="P306" s="22" t="s">
        <v>171</v>
      </c>
      <c r="Q306" s="21"/>
      <c r="R306" s="31" t="s">
        <v>62</v>
      </c>
    </row>
    <row r="307" spans="1:18" ht="18" customHeight="1">
      <c r="A307" s="17">
        <v>7</v>
      </c>
      <c r="B307" s="18" t="s">
        <v>108</v>
      </c>
      <c r="C307" s="18">
        <v>2</v>
      </c>
      <c r="D307" s="18" t="s">
        <v>118</v>
      </c>
      <c r="E307" s="18">
        <v>4</v>
      </c>
      <c r="F307" s="18" t="s">
        <v>120</v>
      </c>
      <c r="G307" s="18">
        <v>3</v>
      </c>
      <c r="H307" s="18" t="s">
        <v>232</v>
      </c>
      <c r="I307" s="18">
        <v>1</v>
      </c>
      <c r="J307" s="23" t="s">
        <v>234</v>
      </c>
      <c r="K307" s="21"/>
      <c r="L307" s="21"/>
      <c r="M307" s="21"/>
      <c r="N307" s="19"/>
      <c r="O307" s="21"/>
      <c r="P307" s="22" t="s">
        <v>174</v>
      </c>
      <c r="Q307" s="21">
        <v>2</v>
      </c>
      <c r="R307" s="31" t="s">
        <v>62</v>
      </c>
    </row>
    <row r="308" spans="1:18" ht="18" customHeight="1">
      <c r="A308" s="17">
        <v>7</v>
      </c>
      <c r="B308" s="18" t="s">
        <v>108</v>
      </c>
      <c r="C308" s="18">
        <v>2</v>
      </c>
      <c r="D308" s="18" t="s">
        <v>118</v>
      </c>
      <c r="E308" s="18">
        <v>4</v>
      </c>
      <c r="F308" s="18" t="s">
        <v>120</v>
      </c>
      <c r="G308" s="18">
        <v>3</v>
      </c>
      <c r="H308" s="18" t="s">
        <v>232</v>
      </c>
      <c r="I308" s="18">
        <v>1</v>
      </c>
      <c r="J308" s="23" t="s">
        <v>234</v>
      </c>
      <c r="K308" s="21"/>
      <c r="L308" s="21"/>
      <c r="M308" s="21"/>
      <c r="N308" s="19"/>
      <c r="O308" s="21"/>
      <c r="P308" s="22" t="s">
        <v>173</v>
      </c>
      <c r="Q308" s="21"/>
      <c r="R308" s="31" t="s">
        <v>62</v>
      </c>
    </row>
    <row r="309" spans="1:18" ht="18" customHeight="1">
      <c r="A309" s="24">
        <v>8</v>
      </c>
      <c r="B309" s="25" t="s">
        <v>110</v>
      </c>
      <c r="C309" s="25"/>
      <c r="D309" s="25"/>
      <c r="E309" s="26"/>
      <c r="F309" s="25"/>
      <c r="G309" s="26"/>
      <c r="H309" s="25"/>
      <c r="I309" s="26"/>
      <c r="J309" s="26"/>
      <c r="K309" s="27">
        <f>IF(C309="",SUMIFS($K310:$K$746,$A310:$A$746,A309,$E310:$E$746,""),IF(E309="",SUMIFS($K310:$K$746,$A310:$A$746,A309,$C310:$C$746,C309,$G310:$G$746,""),IF(G309="",SUMIFS($K310:$K$746,$A310:$A$746,A309,$C310:$C$746,C309,$E310:$E$746,E309),0)))</f>
        <v>1</v>
      </c>
      <c r="L309" s="27">
        <f>IF(C309="",SUMIFS($L310:$L$746,$A310:$A$746,A309,$E310:$E$746,""),IF(E309="",SUMIFS($L310:$L$746,$A310:$A$746,A309,$C310:$C$746,C309,$G310:$G$746,""),IF(G309="",SUMIFS($L310:$L$746,$A310:$A$746,A309,$C310:$C$746,C309,$E310:$E$746,E309),0)))</f>
        <v>1</v>
      </c>
      <c r="M309" s="27">
        <f t="shared" ref="M309:M311" si="38">K309-L309</f>
        <v>0</v>
      </c>
      <c r="N309" s="28"/>
      <c r="O309" s="29"/>
      <c r="P309" s="30"/>
      <c r="Q309" s="27">
        <f>IF(C309="",SUMIFS($Q$3:$Q$746,$A$3:$A$746,A309,$C$3:$C$746,"&gt;0",$E$3:$E$746,""),IF(E309="",SUMIFS($Q$3:$Q$746,$A$3:$A$746,A309,$C$3:$C$746,C309,$E$3:$E$746,"&gt;0",$G$3:$G$746,""),IF(G309="",SUMIFS($Q$3:$Q$746,$A$3:$A$746,A309,$C$3:$C$746,C309,$E$3:$E$746,E309,$G$3:$G$746,"&gt;0"))))</f>
        <v>1</v>
      </c>
      <c r="R309" s="27"/>
    </row>
    <row r="310" spans="1:18" ht="18" customHeight="1">
      <c r="A310" s="2">
        <v>8</v>
      </c>
      <c r="B310" s="3" t="s">
        <v>110</v>
      </c>
      <c r="C310" s="4">
        <v>1</v>
      </c>
      <c r="D310" s="4" t="s">
        <v>110</v>
      </c>
      <c r="E310" s="5"/>
      <c r="F310" s="4"/>
      <c r="G310" s="5"/>
      <c r="H310" s="4"/>
      <c r="I310" s="5"/>
      <c r="J310" s="5"/>
      <c r="K310" s="6">
        <f>IF(C310="",SUMIFS($K311:$K$746,$A311:$A$746,A310,$E311:$E$746,""),IF(E310="",SUMIFS($K311:$K$746,$A311:$A$746,A310,$C311:$C$746,C310,$G311:$G$746,""),IF(G310="",SUMIFS($K311:$K$746,$A311:$A$746,A310,$C311:$C$746,C310,$E311:$E$746,E310),0)))</f>
        <v>1</v>
      </c>
      <c r="L310" s="6">
        <f>IF(C310="",SUMIFS($L311:$L$746,$A311:$A$746,A310,$E311:$E$746,""),IF(E310="",SUMIFS($L311:$L$746,$A311:$A$746,A310,$C311:$C$746,C310,$G311:$G$746,""),IF(G310="",SUMIFS($L311:$L$746,$A311:$A$746,A310,$C311:$C$746,C310,$E311:$E$746,E310),0)))</f>
        <v>1</v>
      </c>
      <c r="M310" s="6">
        <f t="shared" si="38"/>
        <v>0</v>
      </c>
      <c r="N310" s="7"/>
      <c r="O310" s="8"/>
      <c r="P310" s="9"/>
      <c r="Q310" s="6">
        <f>IF(C310="",SUMIFS($Q$3:$Q$746,$A$3:$A$746,A310,$C$3:$C$746,"&gt;0",$E$3:$E$746,""),IF(E310="",SUMIFS($Q$3:$Q$746,$A$3:$A$746,A310,$C$3:$C$746,C310,$E$3:$E$746,"&gt;0",$G$3:$G$746,""),IF(G310="",SUMIFS($Q$3:$Q$746,$A$3:$A$746,A310,$C$3:$C$746,C310,$E$3:$E$746,E310,$G$3:$G$746,"&gt;0"))))</f>
        <v>1</v>
      </c>
      <c r="R310" s="6"/>
    </row>
    <row r="311" spans="1:18" ht="18" customHeight="1">
      <c r="A311" s="2">
        <v>8</v>
      </c>
      <c r="B311" s="3" t="s">
        <v>110</v>
      </c>
      <c r="C311" s="10">
        <v>1</v>
      </c>
      <c r="D311" s="3" t="s">
        <v>110</v>
      </c>
      <c r="E311" s="11">
        <v>1</v>
      </c>
      <c r="F311" s="12" t="s">
        <v>110</v>
      </c>
      <c r="G311" s="11"/>
      <c r="H311" s="12"/>
      <c r="I311" s="11"/>
      <c r="J311" s="11"/>
      <c r="K311" s="13">
        <f>IF(C311="",SUMIFS($K312:$K$746,$A312:$A$746,A311,$E312:$E$746,""),IF(E311="",SUMIFS($K312:$K$746,$A312:$A$746,A311,$C312:$C$746,C311,$G312:$G$746,""),IF(G311="",SUMIFS($K312:$K$746,$A312:$A$746,A311,$C312:$C$746,C311,$E312:$E$746,E311),0)))</f>
        <v>1</v>
      </c>
      <c r="L311" s="13">
        <f>IF(C311="",SUMIFS($L312:$L$746,$A312:$A$746,A311,$E312:$E$746,""),IF(E311="",SUMIFS($L312:$L$746,$A312:$A$746,A311,$C312:$C$746,C311,$G312:$G$746,""),IF(G311="",SUMIFS($L312:$L$746,$A312:$A$746,A311,$C312:$C$746,C311,$E312:$E$746,E311),0)))</f>
        <v>1</v>
      </c>
      <c r="M311" s="13">
        <f t="shared" si="38"/>
        <v>0</v>
      </c>
      <c r="N311" s="14"/>
      <c r="O311" s="15"/>
      <c r="P311" s="16"/>
      <c r="Q311" s="13">
        <f>IF(C311="",SUMIFS($Q$3:$Q$746,$A$3:$A$746,A311,$C$3:$C$746,"&gt;0",$E$3:$E$746,""),IF(E311="",SUMIFS($Q$3:$Q$746,$A$3:$A$746,A311,$C$3:$C$746,C311,$E$3:$E$746,"&gt;0",$G$3:$G$746,""),IF(G311="",SUMIFS($Q$3:$Q$746,$A$3:$A$746,A311,$C$3:$C$746,C311,$E$3:$E$746,E311,$G$3:$G$746,"&gt;0"))))</f>
        <v>1</v>
      </c>
      <c r="R311" s="13" t="s">
        <v>62</v>
      </c>
    </row>
    <row r="312" spans="1:18" ht="18" customHeight="1">
      <c r="A312" s="17">
        <v>8</v>
      </c>
      <c r="B312" s="18" t="s">
        <v>110</v>
      </c>
      <c r="C312" s="18">
        <v>1</v>
      </c>
      <c r="D312" s="18" t="s">
        <v>110</v>
      </c>
      <c r="E312" s="18">
        <v>1</v>
      </c>
      <c r="F312" s="18" t="s">
        <v>110</v>
      </c>
      <c r="G312" s="20">
        <v>1</v>
      </c>
      <c r="H312" s="20" t="s">
        <v>110</v>
      </c>
      <c r="I312" s="20"/>
      <c r="J312" s="19"/>
      <c r="K312" s="21"/>
      <c r="L312" s="21"/>
      <c r="M312" s="21"/>
      <c r="N312" s="19"/>
      <c r="O312" s="21"/>
      <c r="P312" s="22" t="s">
        <v>70</v>
      </c>
      <c r="Q312" s="21">
        <v>1</v>
      </c>
      <c r="R312" s="31" t="s">
        <v>62</v>
      </c>
    </row>
    <row r="313" spans="1:18" ht="18" customHeight="1">
      <c r="A313" s="17">
        <v>8</v>
      </c>
      <c r="B313" s="18" t="s">
        <v>110</v>
      </c>
      <c r="C313" s="18">
        <v>1</v>
      </c>
      <c r="D313" s="18" t="s">
        <v>110</v>
      </c>
      <c r="E313" s="18">
        <v>1</v>
      </c>
      <c r="F313" s="18" t="s">
        <v>110</v>
      </c>
      <c r="G313" s="18">
        <v>1</v>
      </c>
      <c r="H313" s="18" t="s">
        <v>110</v>
      </c>
      <c r="I313" s="20">
        <v>1</v>
      </c>
      <c r="J313" s="19" t="s">
        <v>111</v>
      </c>
      <c r="K313" s="21">
        <v>1</v>
      </c>
      <c r="L313" s="21">
        <v>1</v>
      </c>
      <c r="M313" s="21">
        <f t="shared" ref="M313:M316" si="39">K313-L313</f>
        <v>0</v>
      </c>
      <c r="N313" s="19" t="s">
        <v>68</v>
      </c>
      <c r="O313" s="21">
        <v>1000</v>
      </c>
      <c r="P313" s="22"/>
      <c r="Q313" s="21"/>
      <c r="R313" s="31" t="s">
        <v>62</v>
      </c>
    </row>
    <row r="314" spans="1:18" ht="18" customHeight="1">
      <c r="A314" s="24">
        <v>9</v>
      </c>
      <c r="B314" s="25" t="s">
        <v>112</v>
      </c>
      <c r="C314" s="25"/>
      <c r="D314" s="25"/>
      <c r="E314" s="26"/>
      <c r="F314" s="25"/>
      <c r="G314" s="26"/>
      <c r="H314" s="25"/>
      <c r="I314" s="26"/>
      <c r="J314" s="26"/>
      <c r="K314" s="27">
        <f>IF(C314="",SUMIFS($K315:$K$746,$A315:$A$746,A314,$E315:$E$746,""),IF(E314="",SUMIFS($K315:$K$746,$A315:$A$746,A314,$C315:$C$746,C314,$G315:$G$746,""),IF(G314="",SUMIFS($K315:$K$746,$A315:$A$746,A314,$C315:$C$746,C314,$E315:$E$746,E314),0)))</f>
        <v>2</v>
      </c>
      <c r="L314" s="27">
        <f>IF(C314="",SUMIFS($L315:$L$746,$A315:$A$746,A314,$E315:$E$746,""),IF(E314="",SUMIFS($L315:$L$746,$A315:$A$746,A314,$C315:$C$746,C314,$G315:$G$746,""),IF(G314="",SUMIFS($L315:$L$746,$A315:$A$746,A314,$C315:$C$746,C314,$E315:$E$746,E314),0)))</f>
        <v>2</v>
      </c>
      <c r="M314" s="27">
        <f t="shared" si="39"/>
        <v>0</v>
      </c>
      <c r="N314" s="28"/>
      <c r="O314" s="29"/>
      <c r="P314" s="30"/>
      <c r="Q314" s="27">
        <f>IF(C314="",SUMIFS($Q$3:$Q$746,$A$3:$A$746,A314,$C$3:$C$746,"&gt;0",$E$3:$E$746,""),IF(E314="",SUMIFS($Q$3:$Q$746,$A$3:$A$746,A314,$C$3:$C$746,C314,$E$3:$E$746,"&gt;0",$G$3:$G$746,""),IF(G314="",SUMIFS($Q$3:$Q$746,$A$3:$A$746,A314,$C$3:$C$746,C314,$E$3:$E$746,E314,$G$3:$G$746,"&gt;0"))))</f>
        <v>2</v>
      </c>
      <c r="R314" s="27"/>
    </row>
    <row r="315" spans="1:18" ht="18" customHeight="1">
      <c r="A315" s="2">
        <v>9</v>
      </c>
      <c r="B315" s="3" t="s">
        <v>112</v>
      </c>
      <c r="C315" s="4">
        <v>1</v>
      </c>
      <c r="D315" s="4" t="s">
        <v>241</v>
      </c>
      <c r="E315" s="5"/>
      <c r="F315" s="4"/>
      <c r="G315" s="5"/>
      <c r="H315" s="4"/>
      <c r="I315" s="5"/>
      <c r="J315" s="5"/>
      <c r="K315" s="6">
        <f>IF(C315="",SUMIFS($K316:$K$746,$A316:$A$746,A315,$E316:$E$746,""),IF(E315="",SUMIFS($K316:$K$746,$A316:$A$746,A315,$C316:$C$746,C315,$G316:$G$746,""),IF(G315="",SUMIFS($K316:$K$746,$A316:$A$746,A315,$C316:$C$746,C315,$E316:$E$746,E315),0)))</f>
        <v>1</v>
      </c>
      <c r="L315" s="6">
        <f>IF(C315="",SUMIFS($L316:$L$746,$A316:$A$746,A315,$E316:$E$746,""),IF(E315="",SUMIFS($L316:$L$746,$A316:$A$746,A315,$C316:$C$746,C315,$G316:$G$746,""),IF(G315="",SUMIFS($L316:$L$746,$A316:$A$746,A315,$C316:$C$746,C315,$E316:$E$746,E315),0)))</f>
        <v>1</v>
      </c>
      <c r="M315" s="6">
        <f t="shared" si="39"/>
        <v>0</v>
      </c>
      <c r="N315" s="7"/>
      <c r="O315" s="8"/>
      <c r="P315" s="9"/>
      <c r="Q315" s="6">
        <f>IF(C315="",SUMIFS($Q$3:$Q$746,$A$3:$A$746,A315,$C$3:$C$746,"&gt;0",$E$3:$E$746,""),IF(E315="",SUMIFS($Q$3:$Q$746,$A$3:$A$746,A315,$C$3:$C$746,C315,$E$3:$E$746,"&gt;0",$G$3:$G$746,""),IF(G315="",SUMIFS($Q$3:$Q$746,$A$3:$A$746,A315,$C$3:$C$746,C315,$E$3:$E$746,E315,$G$3:$G$746,"&gt;0"))))</f>
        <v>1</v>
      </c>
      <c r="R315" s="6"/>
    </row>
    <row r="316" spans="1:18" ht="18" customHeight="1">
      <c r="A316" s="2">
        <v>9</v>
      </c>
      <c r="B316" s="3" t="s">
        <v>112</v>
      </c>
      <c r="C316" s="10">
        <v>1</v>
      </c>
      <c r="D316" s="3" t="s">
        <v>241</v>
      </c>
      <c r="E316" s="11">
        <v>1</v>
      </c>
      <c r="F316" s="12" t="s">
        <v>113</v>
      </c>
      <c r="G316" s="11"/>
      <c r="H316" s="12"/>
      <c r="I316" s="11"/>
      <c r="J316" s="11"/>
      <c r="K316" s="13">
        <f>IF(C316="",SUMIFS($K317:$K$746,$A317:$A$746,A316,$E317:$E$746,""),IF(E316="",SUMIFS($K317:$K$746,$A317:$A$746,A316,$C317:$C$746,C316,$G317:$G$746,""),IF(G316="",SUMIFS($K317:$K$746,$A317:$A$746,A316,$C317:$C$746,C316,$E317:$E$746,E316),0)))</f>
        <v>1</v>
      </c>
      <c r="L316" s="13">
        <f>IF(C316="",SUMIFS($L317:$L$746,$A317:$A$746,A316,$E317:$E$746,""),IF(E316="",SUMIFS($L317:$L$746,$A317:$A$746,A316,$C317:$C$746,C316,$G317:$G$746,""),IF(G316="",SUMIFS($L317:$L$746,$A317:$A$746,A316,$C317:$C$746,C316,$E317:$E$746,E316),0)))</f>
        <v>1</v>
      </c>
      <c r="M316" s="13">
        <f t="shared" si="39"/>
        <v>0</v>
      </c>
      <c r="N316" s="14"/>
      <c r="O316" s="15"/>
      <c r="P316" s="16"/>
      <c r="Q316" s="13">
        <f>IF(C316="",SUMIFS($Q$3:$Q$746,$A$3:$A$746,A316,$C$3:$C$746,"&gt;0",$E$3:$E$746,""),IF(E316="",SUMIFS($Q$3:$Q$746,$A$3:$A$746,A316,$C$3:$C$746,C316,$E$3:$E$746,"&gt;0",$G$3:$G$746,""),IF(G316="",SUMIFS($Q$3:$Q$746,$A$3:$A$746,A316,$C$3:$C$746,C316,$E$3:$E$746,E316,$G$3:$G$746,"&gt;0"))))</f>
        <v>1</v>
      </c>
      <c r="R316" s="13" t="s">
        <v>62</v>
      </c>
    </row>
    <row r="317" spans="1:18" ht="18" customHeight="1">
      <c r="A317" s="17">
        <v>9</v>
      </c>
      <c r="B317" s="18" t="s">
        <v>112</v>
      </c>
      <c r="C317" s="18">
        <v>1</v>
      </c>
      <c r="D317" s="18" t="s">
        <v>241</v>
      </c>
      <c r="E317" s="18">
        <v>1</v>
      </c>
      <c r="F317" s="18" t="s">
        <v>113</v>
      </c>
      <c r="G317" s="20">
        <v>1</v>
      </c>
      <c r="H317" s="20" t="s">
        <v>242</v>
      </c>
      <c r="I317" s="20"/>
      <c r="J317" s="19"/>
      <c r="K317" s="21"/>
      <c r="L317" s="21"/>
      <c r="M317" s="21"/>
      <c r="N317" s="19"/>
      <c r="O317" s="21"/>
      <c r="P317" s="22" t="s">
        <v>60</v>
      </c>
      <c r="Q317" s="21">
        <v>1</v>
      </c>
      <c r="R317" s="31" t="s">
        <v>62</v>
      </c>
    </row>
    <row r="318" spans="1:18" ht="18" customHeight="1">
      <c r="A318" s="17">
        <v>9</v>
      </c>
      <c r="B318" s="18" t="s">
        <v>112</v>
      </c>
      <c r="C318" s="18">
        <v>1</v>
      </c>
      <c r="D318" s="18" t="s">
        <v>241</v>
      </c>
      <c r="E318" s="18">
        <v>1</v>
      </c>
      <c r="F318" s="18" t="s">
        <v>113</v>
      </c>
      <c r="G318" s="18">
        <v>1</v>
      </c>
      <c r="H318" s="18" t="s">
        <v>242</v>
      </c>
      <c r="I318" s="20">
        <v>1</v>
      </c>
      <c r="J318" s="19" t="s">
        <v>125</v>
      </c>
      <c r="K318" s="21">
        <v>1</v>
      </c>
      <c r="L318" s="21">
        <v>1</v>
      </c>
      <c r="M318" s="21">
        <f t="shared" ref="M318:M320" si="40">K318-L318</f>
        <v>0</v>
      </c>
      <c r="N318" s="19" t="s">
        <v>68</v>
      </c>
      <c r="O318" s="21">
        <v>1000</v>
      </c>
      <c r="P318" s="22"/>
      <c r="Q318" s="21"/>
      <c r="R318" s="31" t="s">
        <v>62</v>
      </c>
    </row>
    <row r="319" spans="1:18" ht="18" customHeight="1">
      <c r="A319" s="2">
        <v>9</v>
      </c>
      <c r="B319" s="3" t="s">
        <v>112</v>
      </c>
      <c r="C319" s="4">
        <v>3</v>
      </c>
      <c r="D319" s="4" t="s">
        <v>92</v>
      </c>
      <c r="E319" s="5"/>
      <c r="F319" s="4"/>
      <c r="G319" s="5"/>
      <c r="H319" s="4"/>
      <c r="I319" s="5"/>
      <c r="J319" s="5"/>
      <c r="K319" s="6">
        <f>IF(C319="",SUMIFS($K320:$K$746,$A320:$A$746,A319,$E320:$E$746,""),IF(E319="",SUMIFS($K320:$K$746,$A320:$A$746,A319,$C320:$C$746,C319,$G320:$G$746,""),IF(G319="",SUMIFS($K320:$K$746,$A320:$A$746,A319,$C320:$C$746,C319,$E320:$E$746,E319),0)))</f>
        <v>1</v>
      </c>
      <c r="L319" s="6">
        <f>IF(C319="",SUMIFS($L320:$L$746,$A320:$A$746,A319,$E320:$E$746,""),IF(E319="",SUMIFS($L320:$L$746,$A320:$A$746,A319,$C320:$C$746,C319,$G320:$G$746,""),IF(G319="",SUMIFS($L320:$L$746,$A320:$A$746,A319,$C320:$C$746,C319,$E320:$E$746,E319),0)))</f>
        <v>1</v>
      </c>
      <c r="M319" s="6">
        <f t="shared" si="40"/>
        <v>0</v>
      </c>
      <c r="N319" s="7"/>
      <c r="O319" s="8"/>
      <c r="P319" s="9"/>
      <c r="Q319" s="6">
        <f>IF(C319="",SUMIFS($Q$3:$Q$746,$A$3:$A$746,A319,$C$3:$C$746,"&gt;0",$E$3:$E$746,""),IF(E319="",SUMIFS($Q$3:$Q$746,$A$3:$A$746,A319,$C$3:$C$746,C319,$E$3:$E$746,"&gt;0",$G$3:$G$746,""),IF(G319="",SUMIFS($Q$3:$Q$746,$A$3:$A$746,A319,$C$3:$C$746,C319,$E$3:$E$746,E319,$G$3:$G$746,"&gt;0"))))</f>
        <v>1</v>
      </c>
      <c r="R319" s="6"/>
    </row>
    <row r="320" spans="1:18" ht="18" customHeight="1">
      <c r="A320" s="2">
        <v>9</v>
      </c>
      <c r="B320" s="3" t="s">
        <v>112</v>
      </c>
      <c r="C320" s="10">
        <v>3</v>
      </c>
      <c r="D320" s="3" t="s">
        <v>92</v>
      </c>
      <c r="E320" s="11">
        <v>1</v>
      </c>
      <c r="F320" s="12" t="s">
        <v>121</v>
      </c>
      <c r="G320" s="11"/>
      <c r="H320" s="12"/>
      <c r="I320" s="11"/>
      <c r="J320" s="11"/>
      <c r="K320" s="13">
        <f>IF(C320="",SUMIFS($K321:$K$746,$A321:$A$746,A320,$E321:$E$746,""),IF(E320="",SUMIFS($K321:$K$746,$A321:$A$746,A320,$C321:$C$746,C320,$G321:$G$746,""),IF(G320="",SUMIFS($K321:$K$746,$A321:$A$746,A320,$C321:$C$746,C320,$E321:$E$746,E320),0)))</f>
        <v>1</v>
      </c>
      <c r="L320" s="13">
        <f>IF(C320="",SUMIFS($L321:$L$746,$A321:$A$746,A320,$E321:$E$746,""),IF(E320="",SUMIFS($L321:$L$746,$A321:$A$746,A320,$C321:$C$746,C320,$G321:$G$746,""),IF(G320="",SUMIFS($L321:$L$746,$A321:$A$746,A320,$C321:$C$746,C320,$E321:$E$746,E320),0)))</f>
        <v>1</v>
      </c>
      <c r="M320" s="13">
        <f t="shared" si="40"/>
        <v>0</v>
      </c>
      <c r="N320" s="14"/>
      <c r="O320" s="15"/>
      <c r="P320" s="16"/>
      <c r="Q320" s="13">
        <f>IF(C320="",SUMIFS($Q$3:$Q$746,$A$3:$A$746,A320,$C$3:$C$746,"&gt;0",$E$3:$E$746,""),IF(E320="",SUMIFS($Q$3:$Q$746,$A$3:$A$746,A320,$C$3:$C$746,C320,$E$3:$E$746,"&gt;0",$G$3:$G$746,""),IF(G320="",SUMIFS($Q$3:$Q$746,$A$3:$A$746,A320,$C$3:$C$746,C320,$E$3:$E$746,E320,$G$3:$G$746,"&gt;0"))))</f>
        <v>1</v>
      </c>
      <c r="R320" s="13" t="s">
        <v>62</v>
      </c>
    </row>
    <row r="321" spans="1:18" ht="18" customHeight="1">
      <c r="A321" s="17">
        <v>9</v>
      </c>
      <c r="B321" s="18" t="s">
        <v>112</v>
      </c>
      <c r="C321" s="18">
        <v>3</v>
      </c>
      <c r="D321" s="18" t="s">
        <v>92</v>
      </c>
      <c r="E321" s="18">
        <v>1</v>
      </c>
      <c r="F321" s="18" t="s">
        <v>121</v>
      </c>
      <c r="G321" s="20">
        <v>1</v>
      </c>
      <c r="H321" s="20" t="s">
        <v>121</v>
      </c>
      <c r="I321" s="20"/>
      <c r="J321" s="19"/>
      <c r="K321" s="21"/>
      <c r="L321" s="21"/>
      <c r="M321" s="21"/>
      <c r="N321" s="19"/>
      <c r="O321" s="21"/>
      <c r="P321" s="22" t="s">
        <v>60</v>
      </c>
      <c r="Q321" s="21">
        <v>1</v>
      </c>
      <c r="R321" s="31" t="s">
        <v>62</v>
      </c>
    </row>
    <row r="322" spans="1:18" ht="18" customHeight="1">
      <c r="A322" s="17">
        <v>9</v>
      </c>
      <c r="B322" s="18" t="s">
        <v>112</v>
      </c>
      <c r="C322" s="18">
        <v>3</v>
      </c>
      <c r="D322" s="18" t="s">
        <v>92</v>
      </c>
      <c r="E322" s="18">
        <v>1</v>
      </c>
      <c r="F322" s="18" t="s">
        <v>121</v>
      </c>
      <c r="G322" s="18">
        <v>1</v>
      </c>
      <c r="H322" s="18" t="s">
        <v>121</v>
      </c>
      <c r="I322" s="20">
        <v>1</v>
      </c>
      <c r="J322" s="19" t="s">
        <v>121</v>
      </c>
      <c r="K322" s="21">
        <v>1</v>
      </c>
      <c r="L322" s="21">
        <v>1</v>
      </c>
      <c r="M322" s="21">
        <f t="shared" ref="M322" si="41">K322-L322</f>
        <v>0</v>
      </c>
      <c r="N322" s="19" t="s">
        <v>68</v>
      </c>
      <c r="O322" s="21">
        <v>1000</v>
      </c>
      <c r="P322" s="22"/>
      <c r="Q322" s="21"/>
      <c r="R322" s="31" t="s">
        <v>62</v>
      </c>
    </row>
    <row r="323" spans="1:18" ht="18" customHeight="1">
      <c r="A323" s="107" t="s">
        <v>243</v>
      </c>
      <c r="B323" s="108"/>
      <c r="C323" s="108"/>
      <c r="D323" s="108"/>
      <c r="E323" s="108"/>
      <c r="F323" s="108"/>
      <c r="G323" s="108"/>
      <c r="H323" s="108"/>
      <c r="I323" s="108"/>
      <c r="J323" s="108"/>
      <c r="K323" s="45">
        <f>SUMIFS(K3:K322,$C3:$C322,"")</f>
        <v>1159044</v>
      </c>
      <c r="L323" s="45">
        <f>SUMIFS(L3:L322,$C3:$C322,"")</f>
        <v>1153417</v>
      </c>
      <c r="M323" s="45">
        <f>SUMIFS(M3:M322,$C3:$C322,"")</f>
        <v>5627</v>
      </c>
      <c r="N323" s="46"/>
      <c r="O323" s="47"/>
      <c r="P323" s="48"/>
      <c r="Q323" s="45">
        <f>SUMIFS(Q3:Q322,$C3:$C322,"")</f>
        <v>914357</v>
      </c>
      <c r="R323" s="49"/>
    </row>
  </sheetData>
  <autoFilter ref="A2:R323"/>
  <mergeCells count="2">
    <mergeCell ref="Q1:R1"/>
    <mergeCell ref="A323:J323"/>
  </mergeCells>
  <phoneticPr fontId="19"/>
  <conditionalFormatting sqref="O2">
    <cfRule type="cellIs" dxfId="47" priority="24" operator="equal">
      <formula>0</formula>
    </cfRule>
  </conditionalFormatting>
  <conditionalFormatting sqref="O1">
    <cfRule type="cellIs" dxfId="46" priority="23" operator="equal">
      <formula>0</formula>
    </cfRule>
  </conditionalFormatting>
  <conditionalFormatting sqref="O314 O309 O213 O162 O122 O26 O19 O12 O3">
    <cfRule type="cellIs" dxfId="45" priority="22" operator="equal">
      <formula>0</formula>
    </cfRule>
  </conditionalFormatting>
  <conditionalFormatting sqref="E314:F314 E309:F309 E213:F213 E162:F162 E122:F122 E26:F26 E19:F19 E12:F12 E3:F3">
    <cfRule type="expression" dxfId="44" priority="21">
      <formula>$G3=""</formula>
    </cfRule>
  </conditionalFormatting>
  <conditionalFormatting sqref="G314:H314 G309:H309 G213:H213 G162:H162 G122:H122 G26:H26 G19:H19 G12:H12 G3:H3">
    <cfRule type="expression" dxfId="43" priority="20">
      <formula>$I3=""</formula>
    </cfRule>
  </conditionalFormatting>
  <conditionalFormatting sqref="I314:J314 I309:J309 I213:J213 I162:J162 I122:J122 I26:J26 I19:J19 I12:J12 I3:J3">
    <cfRule type="expression" dxfId="42" priority="19">
      <formula>$K3=""</formula>
    </cfRule>
  </conditionalFormatting>
  <conditionalFormatting sqref="C314 A314 R314 C309 A309 R309 C213 A213 R213 C162 A162 R162 C122 A122 R122 C26 A26 R26 C19 A19 R19 C12 A12 R12 C3 A3 R3">
    <cfRule type="expression" dxfId="41" priority="18">
      <formula>$G3=""</formula>
    </cfRule>
  </conditionalFormatting>
  <conditionalFormatting sqref="B314 B309 B213 B162 B122 B26 B19 B12 B3">
    <cfRule type="expression" dxfId="40" priority="17">
      <formula>$C3=""</formula>
    </cfRule>
  </conditionalFormatting>
  <conditionalFormatting sqref="D314 D309 D213 D162 D122 D26 D19 D12 D3">
    <cfRule type="expression" dxfId="39" priority="16">
      <formula>$E3=""</formula>
    </cfRule>
  </conditionalFormatting>
  <conditionalFormatting sqref="O319 O315 O310 O218 O214 O197 O163 O123 O61 O27 O20 O13 O4">
    <cfRule type="cellIs" dxfId="38" priority="15" operator="equal">
      <formula>0</formula>
    </cfRule>
  </conditionalFormatting>
  <conditionalFormatting sqref="E319:F319 E315:F315 E310:F310 E218:F218 E214:F214 E197:F197 E163:F163 E123:F123 E61:F61 E27:F27 E20:F20 E13:F13 E4:F4">
    <cfRule type="expression" dxfId="37" priority="14">
      <formula>$G4=""</formula>
    </cfRule>
  </conditionalFormatting>
  <conditionalFormatting sqref="G319:H319 G315:H315 G310:H310 G218:H218 G214:H214 G197:H197 G163:H163 G123:H123 G61:H61 G27:H27 G20:H20 G13:H13 G4:H4">
    <cfRule type="expression" dxfId="36" priority="13">
      <formula>$I4=""</formula>
    </cfRule>
  </conditionalFormatting>
  <conditionalFormatting sqref="I319:J319 I315:J315 I310:J310 I218:J218 I214:J214 I197:J197 I163:J163 I123:J123 I61:J61 I27:J27 I20:J20 I13:J13 I4:J4">
    <cfRule type="expression" dxfId="35" priority="12">
      <formula>$K4=""</formula>
    </cfRule>
  </conditionalFormatting>
  <conditionalFormatting sqref="A319 R319 A315 R315 A310 R310 A218 R218 A214 R214 A197 R197 A163 R163 A123 R123 A61 R61 A27 R27 A20 R20 A13 R13 A4 R4">
    <cfRule type="expression" dxfId="34" priority="11">
      <formula>$G4=""</formula>
    </cfRule>
  </conditionalFormatting>
  <conditionalFormatting sqref="B319 B315 B310 B218 B214 B197 B163 B123 B61 B27 B20 B13 B4">
    <cfRule type="expression" dxfId="33" priority="10">
      <formula>$C4=""</formula>
    </cfRule>
  </conditionalFormatting>
  <conditionalFormatting sqref="D319 D315 D310 D218 D214 D197 D163 D123 D61 D27 D20 D13 D4">
    <cfRule type="expression" dxfId="32" priority="9">
      <formula>$E4=""</formula>
    </cfRule>
  </conditionalFormatting>
  <conditionalFormatting sqref="O320 O316 O311 O269 O257 O252 O219 O215 O202 O198 O164 O157 O124 O110 O98 O93 O62 O28 O21 O14 O5">
    <cfRule type="cellIs" dxfId="31" priority="8" operator="equal">
      <formula>0</formula>
    </cfRule>
  </conditionalFormatting>
  <conditionalFormatting sqref="F320 F316 F311 F269 F257 F252 F219 F215 F202 F198 F164 F157 F124 F110 F98 F93 F62 F28 F21 F14 F5">
    <cfRule type="expression" dxfId="30" priority="7">
      <formula>$G5=""</formula>
    </cfRule>
  </conditionalFormatting>
  <conditionalFormatting sqref="G320:H320 G316:H316 G311:H311 G269:H269 G257:H257 G252:H252 G219:H219 G215:H215 G202:H202 G198:H198 G164:H164 G157:H157 G124:H124 G110:H110 G98:H98 G93:H93 G62:H62 G28:H28 G21:H21 G14:H14 G5:H5">
    <cfRule type="expression" dxfId="29" priority="6">
      <formula>$I5=""</formula>
    </cfRule>
  </conditionalFormatting>
  <conditionalFormatting sqref="I320:J320 I316:J316 I311:J311 I269:J269 I257:J257 I252:J252 I219:J219 I215:J215 I202:J202 I198:J198 I164:J164 I157:J157 I124:J124 I110:J110 I98:J98 I93:J93 I62:J62 I28:J28 I21:J21 I14:J14 I5:J5">
    <cfRule type="expression" dxfId="28" priority="5">
      <formula>$K5=""</formula>
    </cfRule>
  </conditionalFormatting>
  <conditionalFormatting sqref="A320 C320 R320 A316 C316 R316 A311 C311 R311 A269 C269 R269 A257 C257 R257 A252 C252 R252 A219 C219 R219 A215 C215 R215 A202 C202 R202 A198 C198 R198 A164 C164 R164 A157 C157 R157 A124 C124 R124 A110 C110 R110 A98 C98 R98 A93 C93 R93 A62 C62 R62 A28 C28 R28 A21 C21 R21 A14 C14 R14 A5 C5 R5">
    <cfRule type="expression" dxfId="27" priority="4">
      <formula>$G5=""</formula>
    </cfRule>
  </conditionalFormatting>
  <conditionalFormatting sqref="B320 B316 B311 B269 B257 B252 B219 B215 B202 B198 B164 B157 B124 B110 B98 B93 B62 B28 B21 B14 B5">
    <cfRule type="expression" dxfId="26" priority="3">
      <formula>$C5=""</formula>
    </cfRule>
  </conditionalFormatting>
  <conditionalFormatting sqref="D320 D316 D311 D269 D257 D252 D219 D215 D202 D198 D164 D157 D124 D110 D98 D93 D62 D28 D21 D14 D5">
    <cfRule type="expression" dxfId="25" priority="2">
      <formula>$E5=""</formula>
    </cfRule>
  </conditionalFormatting>
  <conditionalFormatting sqref="O323">
    <cfRule type="cellIs" dxfId="24" priority="1" operator="equal">
      <formula>0</formula>
    </cfRule>
  </conditionalFormatting>
  <dataValidations count="1">
    <dataValidation imeMode="off" allowBlank="1" showInputMessage="1" showErrorMessage="1" sqref="Q1:Q2"/>
  </dataValidations>
  <printOptions horizontalCentered="1"/>
  <pageMargins left="0" right="0" top="0.98425196850393704" bottom="0.98425196850393704" header="0.31496062992125984" footer="0.31496062992125984"/>
  <pageSetup paperSize="8" firstPageNumber="170" orientation="landscape" useFirstPageNumber="1" r:id="rId1"/>
  <headerFooter differentOddEven="1">
    <oddHeader>&amp;C&amp;18&amp;P</oddHeader>
    <evenFooter>&amp;C&amp;18&amp;P</evenFooter>
  </headerFooter>
  <rowBreaks count="5" manualBreakCount="5">
    <brk id="121" max="16383" man="1"/>
    <brk id="161" max="16383" man="1"/>
    <brk id="240" max="16383" man="1"/>
    <brk id="279" max="16383" man="1"/>
    <brk id="318"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68"/>
  <sheetViews>
    <sheetView tabSelected="1" zoomScale="82" zoomScaleNormal="82" workbookViewId="0">
      <pane ySplit="2" topLeftCell="A34" activePane="bottomLeft" state="frozen"/>
      <selection activeCell="J34" sqref="J34"/>
      <selection pane="bottomLeft" activeCell="J34" sqref="J34"/>
    </sheetView>
  </sheetViews>
  <sheetFormatPr defaultRowHeight="14.25"/>
  <cols>
    <col min="1" max="1" width="2.75" style="35" customWidth="1"/>
    <col min="2" max="2" width="1.625" style="35" customWidth="1"/>
    <col min="3" max="3" width="2.875" style="35" customWidth="1"/>
    <col min="4" max="4" width="1.625" style="35" customWidth="1"/>
    <col min="5" max="5" width="3" style="35" customWidth="1"/>
    <col min="6" max="6" width="1.625" style="35" customWidth="1"/>
    <col min="7" max="7" width="2.75" style="35" customWidth="1"/>
    <col min="8" max="8" width="1.625" style="35" customWidth="1"/>
    <col min="9" max="9" width="2.875" style="35" customWidth="1"/>
    <col min="10" max="10" width="37.25" style="35" customWidth="1"/>
    <col min="11" max="11" width="9.25" style="35" customWidth="1"/>
    <col min="12" max="13" width="9.125" style="35" customWidth="1"/>
    <col min="14" max="14" width="58.5" style="35" customWidth="1"/>
    <col min="15" max="15" width="10.625" style="35" customWidth="1"/>
    <col min="16" max="16" width="17" style="35" customWidth="1"/>
    <col min="17" max="17" width="7.875" style="35" customWidth="1"/>
    <col min="18" max="18" width="8.75" style="35" customWidth="1"/>
    <col min="19" max="19" width="2" style="35" customWidth="1"/>
    <col min="20" max="16384" width="9" style="35"/>
  </cols>
  <sheetData>
    <row r="1" spans="1:20" ht="18" customHeight="1">
      <c r="A1" s="92" t="s">
        <v>252</v>
      </c>
      <c r="B1" s="93"/>
      <c r="C1" s="94"/>
      <c r="D1" s="93"/>
      <c r="E1" s="94"/>
      <c r="F1" s="93"/>
      <c r="G1" s="95"/>
      <c r="H1" s="93"/>
      <c r="I1" s="95"/>
      <c r="J1" s="96"/>
      <c r="K1" s="97"/>
      <c r="L1" s="97"/>
      <c r="M1" s="97"/>
      <c r="P1" s="97"/>
      <c r="Q1" s="105" t="s">
        <v>73</v>
      </c>
      <c r="R1" s="105"/>
    </row>
    <row r="2" spans="1:20" ht="18" customHeight="1">
      <c r="A2" s="50" t="s">
        <v>0</v>
      </c>
      <c r="B2" s="51"/>
      <c r="C2" s="51" t="s">
        <v>1</v>
      </c>
      <c r="D2" s="51"/>
      <c r="E2" s="51" t="s">
        <v>2</v>
      </c>
      <c r="F2" s="52"/>
      <c r="G2" s="53" t="s">
        <v>4</v>
      </c>
      <c r="H2" s="51"/>
      <c r="I2" s="53" t="s">
        <v>74</v>
      </c>
      <c r="J2" s="53" t="s">
        <v>75</v>
      </c>
      <c r="K2" s="54" t="s">
        <v>81</v>
      </c>
      <c r="L2" s="54" t="s">
        <v>82</v>
      </c>
      <c r="M2" s="55" t="s">
        <v>76</v>
      </c>
      <c r="N2" s="53" t="s">
        <v>77</v>
      </c>
      <c r="O2" s="55" t="s">
        <v>5</v>
      </c>
      <c r="P2" s="1" t="s">
        <v>78</v>
      </c>
      <c r="Q2" s="55" t="s">
        <v>79</v>
      </c>
      <c r="R2" s="56" t="s">
        <v>80</v>
      </c>
      <c r="T2" s="35" t="s">
        <v>3</v>
      </c>
    </row>
    <row r="3" spans="1:20" ht="18" customHeight="1">
      <c r="A3" s="57">
        <v>1</v>
      </c>
      <c r="B3" s="58" t="s">
        <v>39</v>
      </c>
      <c r="C3" s="58"/>
      <c r="D3" s="58"/>
      <c r="E3" s="59"/>
      <c r="F3" s="58"/>
      <c r="G3" s="59"/>
      <c r="H3" s="58"/>
      <c r="I3" s="59"/>
      <c r="J3" s="59"/>
      <c r="K3" s="60">
        <f>IF(C3="",SUMIFS($K4:$K$783,$A4:$A$783,A3,$E4:$E$783,""),IF(E3="",SUMIFS($K4:$K$783,$A4:$A$783,A3,$C4:$C$783,C3,$G4:$G$783,""),IF(G3="",SUMIFS($K4:$K$783,$A4:$A$783,A3,$C4:$C$783,C3,$E4:$E$783,E3,$R4:$R$783,R3),IF(I3="",SUMIFS($K4:$K$783,$A4:$A$783,A3,$C4:$C$783,C3,$E4:$E$783,E3,$G4:$G$783,G3,$R4:$R$783,R3),0))))</f>
        <v>17906</v>
      </c>
      <c r="L3" s="60">
        <f>IF(C3="",SUMIFS($L4:$L$783,$A4:$A$783,A3,$E4:$E$783,""),IF(E3="",SUMIFS($L4:$L$783,$A4:$A$783,A3,$C4:$C$783,C3,$G4:$G$783,""),IF(G3="",SUMIFS($L4:$L$783,$A4:$A$783,A3,$C4:$C$783,C3,$E4:$E$783,E3,$R4:$R$783,R3),IF(I3="",SUMIFS($L4:$L$783,$A4:$A$783,A3,$C4:$C$783,C3,$E4:$E$783,E3,$G4:$G$783,G3,$R4:$R$783,R3),0))))</f>
        <v>15302</v>
      </c>
      <c r="M3" s="60">
        <f>K3-L3</f>
        <v>2604</v>
      </c>
      <c r="N3" s="61"/>
      <c r="O3" s="62"/>
      <c r="P3" s="63"/>
      <c r="Q3" s="60">
        <f>IF(C3="",SUMIFS($Q4:$Q$783,$A4:$A$783,A3,$E4:$E$783,""),IF(E3="",SUMIFS($Q4:$Q$783,$A4:$A$783,A3,$C4:$C$783,C3,$G4:$G$783,""),IF(G3="",SUMIFS($Q4:$Q$783,$A4:$A$783,A3,$C4:$C$783,C3,$E4:$E$783,E3,$R4:$R$783,R3),IF(I3="",SUMIFS($Q4:$Q$783,$A4:$A$783,A3,$C4:$C$783,C3,$E4:$E$783,E3,$G4:$G$783,G3,$R4:$R$783,R3),0))))</f>
        <v>17906</v>
      </c>
      <c r="R3" s="64"/>
      <c r="T3" s="35">
        <v>410101</v>
      </c>
    </row>
    <row r="4" spans="1:20" ht="18" customHeight="1">
      <c r="A4" s="65">
        <v>1</v>
      </c>
      <c r="B4" s="66" t="s">
        <v>39</v>
      </c>
      <c r="C4" s="67">
        <v>1</v>
      </c>
      <c r="D4" s="67" t="s">
        <v>83</v>
      </c>
      <c r="E4" s="68"/>
      <c r="F4" s="67"/>
      <c r="G4" s="68"/>
      <c r="H4" s="67"/>
      <c r="I4" s="68"/>
      <c r="J4" s="68"/>
      <c r="K4" s="69">
        <f>IF(C4="",SUMIFS($K5:$K$783,$A5:$A$783,A4,$E5:$E$783,""),IF(E4="",SUMIFS($K5:$K$783,$A5:$A$783,A4,$C5:$C$783,C4,$G5:$G$783,""),IF(G4="",SUMIFS($K5:$K$783,$A5:$A$783,A4,$C5:$C$783,C4,$E5:$E$783,E4,$R5:$R$783,R4),IF(I4="",SUMIFS($K5:$K$783,$A5:$A$783,A4,$C5:$C$783,C4,$E5:$E$783,E4,$G5:$G$783,G4,$R5:$R$783,R4),0))))</f>
        <v>4795</v>
      </c>
      <c r="L4" s="69">
        <f>IF(C4="",SUMIFS($L5:$L$783,$A5:$A$783,A4,$E5:$E$783,""),IF(E4="",SUMIFS($L5:$L$783,$A5:$A$783,A4,$C5:$C$783,C4,$G5:$G$783,""),IF(G4="",SUMIFS($L5:$L$783,$A5:$A$783,A4,$C5:$C$783,C4,$E5:$E$783,E4,$R5:$R$783,R4),IF(I4="",SUMIFS($L5:$L$783,$A5:$A$783,A4,$C5:$C$783,C4,$E5:$E$783,E4,$G5:$G$783,G4,$R5:$R$783,R4),0))))</f>
        <v>4035</v>
      </c>
      <c r="M4" s="69">
        <f t="shared" ref="M4:M5" si="0">K4-L4</f>
        <v>760</v>
      </c>
      <c r="N4" s="70"/>
      <c r="O4" s="71"/>
      <c r="P4" s="72"/>
      <c r="Q4" s="69">
        <f>IF(C4="",SUMIFS($Q5:$Q$783,$A5:$A$783,A4,$E5:$E$783,""),IF(E4="",SUMIFS($Q5:$Q$783,$A5:$A$783,A4,$C5:$C$783,C4,$G5:$G$783,""),IF(G4="",SUMIFS($Q5:$Q$783,$A5:$A$783,A4,$C5:$C$783,C4,$E5:$E$783,E4,$R5:$R$783,R4),IF(I4="",SUMIFS($Q5:$Q$783,$A5:$A$783,A4,$C5:$C$783,C4,$E5:$E$783,E4,$G5:$G$783,G4,$R5:$R$783,R4),0))))</f>
        <v>4795</v>
      </c>
      <c r="R4" s="73"/>
      <c r="T4" s="35">
        <v>410101</v>
      </c>
    </row>
    <row r="5" spans="1:20" ht="18" customHeight="1">
      <c r="A5" s="65">
        <v>1</v>
      </c>
      <c r="B5" s="66" t="s">
        <v>86</v>
      </c>
      <c r="C5" s="74">
        <v>1</v>
      </c>
      <c r="D5" s="66" t="s">
        <v>40</v>
      </c>
      <c r="E5" s="75">
        <v>1</v>
      </c>
      <c r="F5" s="76" t="s">
        <v>87</v>
      </c>
      <c r="G5" s="75"/>
      <c r="H5" s="76"/>
      <c r="I5" s="75"/>
      <c r="J5" s="75"/>
      <c r="K5" s="77">
        <f>IF(C5="",SUMIFS($K6:$K$783,$A6:$A$783,A5,$E6:$E$783,""),IF(E5="",SUMIFS($K6:$K$783,$A6:$A$783,A5,$C6:$C$783,C5,$G6:$G$783,""),IF(G5="",SUMIFS($K6:$K$783,$A6:$A$783,A5,$C6:$C$783,C5,$E6:$E$783,E5,$R6:$R$783,R5),IF(I5="",SUMIFS($K6:$K$783,$A6:$A$783,A5,$C6:$C$783,C5,$E6:$E$783,E5,$G6:$G$783,G5,$R6:$R$783,R5),0))))</f>
        <v>4795</v>
      </c>
      <c r="L5" s="77">
        <f>IF(C5="",SUMIFS($L6:$L$783,$A6:$A$783,A5,$E6:$E$783,""),IF(E5="",SUMIFS($L6:$L$783,$A6:$A$783,A5,$C6:$C$783,C5,$G6:$G$783,""),IF(G5="",SUMIFS($L6:$L$783,$A6:$A$783,A5,$C6:$C$783,C5,$E6:$E$783,E5,$R6:$R$783,R5),IF(I5="",SUMIFS($L6:$L$783,$A6:$A$783,A5,$C6:$C$783,C5,$E6:$E$783,E5,$G6:$G$783,G5,$R6:$R$783,R5),0))))</f>
        <v>4035</v>
      </c>
      <c r="M5" s="77">
        <f t="shared" si="0"/>
        <v>760</v>
      </c>
      <c r="N5" s="78"/>
      <c r="O5" s="79"/>
      <c r="P5" s="80"/>
      <c r="Q5" s="81">
        <f>IF(C5="",SUMIFS($Q6:$Q$781,$A6:$A$781,A5,$E6:$E$781,""),IF(E5="",SUMIFS($Q6:$Q$781,$A6:$A$781,A5,$C6:$C$781,C5,$G6:$G$781,""),IF(G5="",SUMIFS($Q6:$Q$781,$A6:$A$781,A5,$C6:$C$781,C5,$E6:$E$781,E5,$R6:$R$781,R5),IF(I5="",SUMIFS($Q6:$Q$781,$A6:$A$781,A5,$C6:$C$781,C5,$E6:$E$781,E5,$G6:$G$781,G5,$R6:$R$781,R5),0))))</f>
        <v>4795</v>
      </c>
      <c r="R5" s="82" t="s">
        <v>89</v>
      </c>
      <c r="T5" s="35">
        <v>410101</v>
      </c>
    </row>
    <row r="6" spans="1:20" ht="18" customHeight="1">
      <c r="A6" s="83">
        <v>1</v>
      </c>
      <c r="B6" s="84" t="s">
        <v>39</v>
      </c>
      <c r="C6" s="84">
        <v>1</v>
      </c>
      <c r="D6" s="84" t="s">
        <v>40</v>
      </c>
      <c r="E6" s="84">
        <v>1</v>
      </c>
      <c r="F6" s="84" t="s">
        <v>41</v>
      </c>
      <c r="G6" s="85">
        <v>10</v>
      </c>
      <c r="H6" s="86" t="s">
        <v>23</v>
      </c>
      <c r="I6" s="85"/>
      <c r="J6" s="85"/>
      <c r="K6" s="87"/>
      <c r="L6" s="87"/>
      <c r="M6" s="87"/>
      <c r="N6" s="85"/>
      <c r="O6" s="88"/>
      <c r="P6" s="89" t="s">
        <v>253</v>
      </c>
      <c r="Q6" s="88">
        <v>4795</v>
      </c>
      <c r="R6" s="90" t="s">
        <v>62</v>
      </c>
      <c r="T6" s="35">
        <v>410101</v>
      </c>
    </row>
    <row r="7" spans="1:20" ht="18" customHeight="1">
      <c r="A7" s="83">
        <v>1</v>
      </c>
      <c r="B7" s="84" t="s">
        <v>39</v>
      </c>
      <c r="C7" s="84">
        <v>1</v>
      </c>
      <c r="D7" s="84" t="s">
        <v>40</v>
      </c>
      <c r="E7" s="84">
        <v>1</v>
      </c>
      <c r="F7" s="84" t="s">
        <v>41</v>
      </c>
      <c r="G7" s="91">
        <v>10</v>
      </c>
      <c r="H7" s="84" t="s">
        <v>23</v>
      </c>
      <c r="I7" s="85">
        <v>1</v>
      </c>
      <c r="J7" s="85" t="s">
        <v>24</v>
      </c>
      <c r="K7" s="87">
        <v>289</v>
      </c>
      <c r="L7" s="87">
        <v>175</v>
      </c>
      <c r="M7" s="87">
        <f>K7-L7</f>
        <v>114</v>
      </c>
      <c r="N7" s="85" t="s">
        <v>254</v>
      </c>
      <c r="O7" s="87">
        <v>26400</v>
      </c>
      <c r="P7" s="89" t="s">
        <v>255</v>
      </c>
      <c r="Q7" s="88"/>
      <c r="R7" s="90" t="s">
        <v>62</v>
      </c>
      <c r="T7" s="35">
        <v>410101</v>
      </c>
    </row>
    <row r="8" spans="1:20" ht="18" customHeight="1">
      <c r="A8" s="83">
        <v>1</v>
      </c>
      <c r="B8" s="84" t="s">
        <v>39</v>
      </c>
      <c r="C8" s="84">
        <v>1</v>
      </c>
      <c r="D8" s="84" t="s">
        <v>40</v>
      </c>
      <c r="E8" s="84">
        <v>1</v>
      </c>
      <c r="F8" s="84" t="s">
        <v>41</v>
      </c>
      <c r="G8" s="91">
        <v>10</v>
      </c>
      <c r="H8" s="84" t="s">
        <v>23</v>
      </c>
      <c r="I8" s="91">
        <v>1</v>
      </c>
      <c r="J8" s="91" t="s">
        <v>24</v>
      </c>
      <c r="K8" s="87"/>
      <c r="L8" s="87"/>
      <c r="M8" s="87"/>
      <c r="N8" s="85" t="s">
        <v>256</v>
      </c>
      <c r="O8" s="87">
        <v>80000</v>
      </c>
      <c r="P8" s="89"/>
      <c r="Q8" s="88"/>
      <c r="R8" s="90" t="s">
        <v>62</v>
      </c>
      <c r="T8" s="35">
        <v>410101</v>
      </c>
    </row>
    <row r="9" spans="1:20" ht="18" customHeight="1">
      <c r="A9" s="83">
        <v>1</v>
      </c>
      <c r="B9" s="84" t="s">
        <v>39</v>
      </c>
      <c r="C9" s="84">
        <v>1</v>
      </c>
      <c r="D9" s="84" t="s">
        <v>40</v>
      </c>
      <c r="E9" s="84">
        <v>1</v>
      </c>
      <c r="F9" s="84" t="s">
        <v>41</v>
      </c>
      <c r="G9" s="91">
        <v>10</v>
      </c>
      <c r="H9" s="84" t="s">
        <v>23</v>
      </c>
      <c r="I9" s="91">
        <v>1</v>
      </c>
      <c r="J9" s="91" t="s">
        <v>24</v>
      </c>
      <c r="K9" s="87"/>
      <c r="L9" s="87"/>
      <c r="M9" s="87"/>
      <c r="N9" s="85" t="s">
        <v>257</v>
      </c>
      <c r="O9" s="87">
        <v>30000</v>
      </c>
      <c r="P9" s="89"/>
      <c r="Q9" s="88"/>
      <c r="R9" s="90" t="s">
        <v>62</v>
      </c>
      <c r="T9" s="35">
        <v>410101</v>
      </c>
    </row>
    <row r="10" spans="1:20" ht="18" customHeight="1">
      <c r="A10" s="83">
        <v>1</v>
      </c>
      <c r="B10" s="84" t="s">
        <v>39</v>
      </c>
      <c r="C10" s="84">
        <v>1</v>
      </c>
      <c r="D10" s="84" t="s">
        <v>40</v>
      </c>
      <c r="E10" s="84">
        <v>1</v>
      </c>
      <c r="F10" s="84" t="s">
        <v>41</v>
      </c>
      <c r="G10" s="91">
        <v>10</v>
      </c>
      <c r="H10" s="84" t="s">
        <v>23</v>
      </c>
      <c r="I10" s="91">
        <v>1</v>
      </c>
      <c r="J10" s="91" t="s">
        <v>24</v>
      </c>
      <c r="K10" s="87"/>
      <c r="L10" s="87"/>
      <c r="M10" s="87"/>
      <c r="N10" s="85" t="s">
        <v>258</v>
      </c>
      <c r="O10" s="87">
        <v>30000</v>
      </c>
      <c r="P10" s="89"/>
      <c r="Q10" s="88"/>
      <c r="R10" s="90" t="s">
        <v>62</v>
      </c>
      <c r="T10" s="35">
        <v>410101</v>
      </c>
    </row>
    <row r="11" spans="1:20" ht="18" customHeight="1">
      <c r="A11" s="83">
        <v>1</v>
      </c>
      <c r="B11" s="84" t="s">
        <v>39</v>
      </c>
      <c r="C11" s="84">
        <v>1</v>
      </c>
      <c r="D11" s="84" t="s">
        <v>40</v>
      </c>
      <c r="E11" s="84">
        <v>1</v>
      </c>
      <c r="F11" s="84" t="s">
        <v>41</v>
      </c>
      <c r="G11" s="91">
        <v>10</v>
      </c>
      <c r="H11" s="84" t="s">
        <v>23</v>
      </c>
      <c r="I11" s="91">
        <v>1</v>
      </c>
      <c r="J11" s="91" t="s">
        <v>24</v>
      </c>
      <c r="K11" s="87"/>
      <c r="L11" s="87"/>
      <c r="M11" s="87"/>
      <c r="N11" s="85" t="s">
        <v>259</v>
      </c>
      <c r="O11" s="87">
        <v>62000</v>
      </c>
      <c r="P11" s="89"/>
      <c r="Q11" s="88"/>
      <c r="R11" s="90" t="s">
        <v>62</v>
      </c>
      <c r="T11" s="35">
        <v>410101</v>
      </c>
    </row>
    <row r="12" spans="1:20" ht="18" customHeight="1">
      <c r="A12" s="83">
        <v>1</v>
      </c>
      <c r="B12" s="84" t="s">
        <v>39</v>
      </c>
      <c r="C12" s="84">
        <v>1</v>
      </c>
      <c r="D12" s="84" t="s">
        <v>40</v>
      </c>
      <c r="E12" s="84">
        <v>1</v>
      </c>
      <c r="F12" s="84" t="s">
        <v>41</v>
      </c>
      <c r="G12" s="91">
        <v>10</v>
      </c>
      <c r="H12" s="84" t="s">
        <v>23</v>
      </c>
      <c r="I12" s="91">
        <v>1</v>
      </c>
      <c r="J12" s="91" t="s">
        <v>24</v>
      </c>
      <c r="K12" s="87"/>
      <c r="L12" s="87"/>
      <c r="M12" s="87"/>
      <c r="N12" s="85" t="s">
        <v>260</v>
      </c>
      <c r="O12" s="87">
        <v>36000</v>
      </c>
      <c r="P12" s="89"/>
      <c r="Q12" s="88"/>
      <c r="R12" s="90" t="s">
        <v>62</v>
      </c>
      <c r="T12" s="35">
        <v>410101</v>
      </c>
    </row>
    <row r="13" spans="1:20" ht="18" customHeight="1">
      <c r="A13" s="83">
        <v>1</v>
      </c>
      <c r="B13" s="84" t="s">
        <v>39</v>
      </c>
      <c r="C13" s="84">
        <v>1</v>
      </c>
      <c r="D13" s="84" t="s">
        <v>40</v>
      </c>
      <c r="E13" s="84">
        <v>1</v>
      </c>
      <c r="F13" s="84" t="s">
        <v>41</v>
      </c>
      <c r="G13" s="91">
        <v>10</v>
      </c>
      <c r="H13" s="84" t="s">
        <v>23</v>
      </c>
      <c r="I13" s="91">
        <v>1</v>
      </c>
      <c r="J13" s="91" t="s">
        <v>24</v>
      </c>
      <c r="K13" s="87"/>
      <c r="L13" s="87"/>
      <c r="M13" s="87"/>
      <c r="N13" s="85" t="s">
        <v>261</v>
      </c>
      <c r="O13" s="87">
        <v>24000</v>
      </c>
      <c r="P13" s="89"/>
      <c r="Q13" s="88"/>
      <c r="R13" s="90" t="s">
        <v>62</v>
      </c>
      <c r="T13" s="35">
        <v>410101</v>
      </c>
    </row>
    <row r="14" spans="1:20" ht="18" customHeight="1">
      <c r="A14" s="83">
        <v>1</v>
      </c>
      <c r="B14" s="84" t="s">
        <v>39</v>
      </c>
      <c r="C14" s="84">
        <v>1</v>
      </c>
      <c r="D14" s="84" t="s">
        <v>40</v>
      </c>
      <c r="E14" s="84">
        <v>1</v>
      </c>
      <c r="F14" s="84" t="s">
        <v>41</v>
      </c>
      <c r="G14" s="91">
        <v>10</v>
      </c>
      <c r="H14" s="84" t="s">
        <v>23</v>
      </c>
      <c r="I14" s="85">
        <v>4</v>
      </c>
      <c r="J14" s="85" t="s">
        <v>26</v>
      </c>
      <c r="K14" s="87">
        <v>145</v>
      </c>
      <c r="L14" s="87">
        <v>101</v>
      </c>
      <c r="M14" s="87">
        <f>K14-L14</f>
        <v>44</v>
      </c>
      <c r="N14" s="85" t="s">
        <v>262</v>
      </c>
      <c r="O14" s="87">
        <v>2200</v>
      </c>
      <c r="P14" s="89"/>
      <c r="Q14" s="88"/>
      <c r="R14" s="90" t="s">
        <v>62</v>
      </c>
      <c r="T14" s="35">
        <v>410101</v>
      </c>
    </row>
    <row r="15" spans="1:20" ht="18" customHeight="1">
      <c r="A15" s="83">
        <v>1</v>
      </c>
      <c r="B15" s="84" t="s">
        <v>39</v>
      </c>
      <c r="C15" s="84">
        <v>1</v>
      </c>
      <c r="D15" s="84" t="s">
        <v>40</v>
      </c>
      <c r="E15" s="84">
        <v>1</v>
      </c>
      <c r="F15" s="84" t="s">
        <v>41</v>
      </c>
      <c r="G15" s="91">
        <v>10</v>
      </c>
      <c r="H15" s="84" t="s">
        <v>23</v>
      </c>
      <c r="I15" s="91">
        <v>4</v>
      </c>
      <c r="J15" s="91" t="s">
        <v>26</v>
      </c>
      <c r="K15" s="87"/>
      <c r="L15" s="87"/>
      <c r="M15" s="87"/>
      <c r="N15" s="85" t="s">
        <v>263</v>
      </c>
      <c r="O15" s="87">
        <v>43200</v>
      </c>
      <c r="P15" s="89"/>
      <c r="Q15" s="88"/>
      <c r="R15" s="90" t="s">
        <v>62</v>
      </c>
      <c r="T15" s="35">
        <v>410101</v>
      </c>
    </row>
    <row r="16" spans="1:20" ht="18" customHeight="1">
      <c r="A16" s="83">
        <v>1</v>
      </c>
      <c r="B16" s="84" t="s">
        <v>39</v>
      </c>
      <c r="C16" s="84">
        <v>1</v>
      </c>
      <c r="D16" s="84" t="s">
        <v>40</v>
      </c>
      <c r="E16" s="84">
        <v>1</v>
      </c>
      <c r="F16" s="84" t="s">
        <v>41</v>
      </c>
      <c r="G16" s="91">
        <v>10</v>
      </c>
      <c r="H16" s="84" t="s">
        <v>23</v>
      </c>
      <c r="I16" s="91">
        <v>4</v>
      </c>
      <c r="J16" s="91" t="s">
        <v>26</v>
      </c>
      <c r="K16" s="87"/>
      <c r="L16" s="87"/>
      <c r="M16" s="87"/>
      <c r="N16" s="85" t="s">
        <v>264</v>
      </c>
      <c r="O16" s="87">
        <v>4100</v>
      </c>
      <c r="P16" s="89"/>
      <c r="Q16" s="88"/>
      <c r="R16" s="90" t="s">
        <v>62</v>
      </c>
      <c r="T16" s="35">
        <v>410101</v>
      </c>
    </row>
    <row r="17" spans="1:20" ht="18" customHeight="1">
      <c r="A17" s="83">
        <v>1</v>
      </c>
      <c r="B17" s="84" t="s">
        <v>39</v>
      </c>
      <c r="C17" s="84">
        <v>1</v>
      </c>
      <c r="D17" s="84" t="s">
        <v>40</v>
      </c>
      <c r="E17" s="84">
        <v>1</v>
      </c>
      <c r="F17" s="84" t="s">
        <v>41</v>
      </c>
      <c r="G17" s="91">
        <v>10</v>
      </c>
      <c r="H17" s="84" t="s">
        <v>23</v>
      </c>
      <c r="I17" s="91">
        <v>4</v>
      </c>
      <c r="J17" s="91" t="s">
        <v>26</v>
      </c>
      <c r="K17" s="87"/>
      <c r="L17" s="87"/>
      <c r="M17" s="87"/>
      <c r="N17" s="85" t="s">
        <v>265</v>
      </c>
      <c r="O17" s="87">
        <v>2600</v>
      </c>
      <c r="P17" s="89"/>
      <c r="Q17" s="88"/>
      <c r="R17" s="90" t="s">
        <v>62</v>
      </c>
      <c r="T17" s="35">
        <v>410101</v>
      </c>
    </row>
    <row r="18" spans="1:20" ht="18" customHeight="1">
      <c r="A18" s="83">
        <v>1</v>
      </c>
      <c r="B18" s="84" t="s">
        <v>39</v>
      </c>
      <c r="C18" s="84">
        <v>1</v>
      </c>
      <c r="D18" s="84" t="s">
        <v>40</v>
      </c>
      <c r="E18" s="84">
        <v>1</v>
      </c>
      <c r="F18" s="84" t="s">
        <v>41</v>
      </c>
      <c r="G18" s="91">
        <v>10</v>
      </c>
      <c r="H18" s="84" t="s">
        <v>23</v>
      </c>
      <c r="I18" s="91">
        <v>4</v>
      </c>
      <c r="J18" s="91" t="s">
        <v>26</v>
      </c>
      <c r="K18" s="87"/>
      <c r="L18" s="87"/>
      <c r="M18" s="87"/>
      <c r="N18" s="85" t="s">
        <v>266</v>
      </c>
      <c r="O18" s="87">
        <v>8000</v>
      </c>
      <c r="P18" s="89"/>
      <c r="Q18" s="88"/>
      <c r="R18" s="90" t="s">
        <v>62</v>
      </c>
      <c r="T18" s="35">
        <v>410101</v>
      </c>
    </row>
    <row r="19" spans="1:20" ht="18" customHeight="1">
      <c r="A19" s="83">
        <v>1</v>
      </c>
      <c r="B19" s="84" t="s">
        <v>39</v>
      </c>
      <c r="C19" s="84">
        <v>1</v>
      </c>
      <c r="D19" s="84" t="s">
        <v>40</v>
      </c>
      <c r="E19" s="84">
        <v>1</v>
      </c>
      <c r="F19" s="84" t="s">
        <v>41</v>
      </c>
      <c r="G19" s="91">
        <v>10</v>
      </c>
      <c r="H19" s="84" t="s">
        <v>23</v>
      </c>
      <c r="I19" s="91">
        <v>4</v>
      </c>
      <c r="J19" s="91" t="s">
        <v>26</v>
      </c>
      <c r="K19" s="87"/>
      <c r="L19" s="87"/>
      <c r="M19" s="87"/>
      <c r="N19" s="85" t="s">
        <v>267</v>
      </c>
      <c r="O19" s="87">
        <v>51205</v>
      </c>
      <c r="P19" s="89"/>
      <c r="Q19" s="88"/>
      <c r="R19" s="90" t="s">
        <v>62</v>
      </c>
      <c r="T19" s="35">
        <v>410101</v>
      </c>
    </row>
    <row r="20" spans="1:20" ht="18" customHeight="1">
      <c r="A20" s="83">
        <v>1</v>
      </c>
      <c r="B20" s="84" t="s">
        <v>39</v>
      </c>
      <c r="C20" s="84">
        <v>1</v>
      </c>
      <c r="D20" s="84" t="s">
        <v>40</v>
      </c>
      <c r="E20" s="84">
        <v>1</v>
      </c>
      <c r="F20" s="84" t="s">
        <v>41</v>
      </c>
      <c r="G20" s="91">
        <v>10</v>
      </c>
      <c r="H20" s="84" t="s">
        <v>23</v>
      </c>
      <c r="I20" s="91">
        <v>4</v>
      </c>
      <c r="J20" s="91" t="s">
        <v>26</v>
      </c>
      <c r="K20" s="87"/>
      <c r="L20" s="87"/>
      <c r="M20" s="87"/>
      <c r="N20" s="85" t="s">
        <v>268</v>
      </c>
      <c r="O20" s="87">
        <v>33000</v>
      </c>
      <c r="P20" s="89"/>
      <c r="Q20" s="88"/>
      <c r="R20" s="90" t="s">
        <v>62</v>
      </c>
      <c r="T20" s="35">
        <v>410101</v>
      </c>
    </row>
    <row r="21" spans="1:20" ht="18" customHeight="1">
      <c r="A21" s="83">
        <v>1</v>
      </c>
      <c r="B21" s="84" t="s">
        <v>39</v>
      </c>
      <c r="C21" s="84">
        <v>1</v>
      </c>
      <c r="D21" s="84" t="s">
        <v>40</v>
      </c>
      <c r="E21" s="84">
        <v>1</v>
      </c>
      <c r="F21" s="84" t="s">
        <v>41</v>
      </c>
      <c r="G21" s="85">
        <v>11</v>
      </c>
      <c r="H21" s="86" t="s">
        <v>27</v>
      </c>
      <c r="I21" s="85"/>
      <c r="J21" s="85"/>
      <c r="K21" s="87"/>
      <c r="L21" s="87"/>
      <c r="M21" s="87"/>
      <c r="N21" s="85"/>
      <c r="O21" s="88"/>
      <c r="P21" s="89"/>
      <c r="Q21" s="88"/>
      <c r="R21" s="90" t="s">
        <v>62</v>
      </c>
      <c r="T21" s="35">
        <v>410101</v>
      </c>
    </row>
    <row r="22" spans="1:20" ht="18" customHeight="1">
      <c r="A22" s="83">
        <v>1</v>
      </c>
      <c r="B22" s="84" t="s">
        <v>39</v>
      </c>
      <c r="C22" s="84">
        <v>1</v>
      </c>
      <c r="D22" s="84" t="s">
        <v>40</v>
      </c>
      <c r="E22" s="84">
        <v>1</v>
      </c>
      <c r="F22" s="84" t="s">
        <v>41</v>
      </c>
      <c r="G22" s="91">
        <v>11</v>
      </c>
      <c r="H22" s="84" t="s">
        <v>27</v>
      </c>
      <c r="I22" s="85">
        <v>1</v>
      </c>
      <c r="J22" s="85" t="s">
        <v>28</v>
      </c>
      <c r="K22" s="87">
        <v>379</v>
      </c>
      <c r="L22" s="87">
        <v>295</v>
      </c>
      <c r="M22" s="87">
        <f>K22-L22</f>
        <v>84</v>
      </c>
      <c r="N22" s="85" t="s">
        <v>269</v>
      </c>
      <c r="O22" s="87">
        <v>50400</v>
      </c>
      <c r="P22" s="89"/>
      <c r="Q22" s="88"/>
      <c r="R22" s="90" t="s">
        <v>62</v>
      </c>
      <c r="T22" s="35">
        <v>410101</v>
      </c>
    </row>
    <row r="23" spans="1:20" ht="18" customHeight="1">
      <c r="A23" s="83">
        <v>1</v>
      </c>
      <c r="B23" s="84" t="s">
        <v>39</v>
      </c>
      <c r="C23" s="84">
        <v>1</v>
      </c>
      <c r="D23" s="84" t="s">
        <v>40</v>
      </c>
      <c r="E23" s="84">
        <v>1</v>
      </c>
      <c r="F23" s="84" t="s">
        <v>41</v>
      </c>
      <c r="G23" s="91">
        <v>11</v>
      </c>
      <c r="H23" s="84" t="s">
        <v>27</v>
      </c>
      <c r="I23" s="91">
        <v>1</v>
      </c>
      <c r="J23" s="91" t="s">
        <v>28</v>
      </c>
      <c r="K23" s="87"/>
      <c r="L23" s="87"/>
      <c r="M23" s="87"/>
      <c r="N23" s="85" t="s">
        <v>270</v>
      </c>
      <c r="O23" s="87">
        <v>171360</v>
      </c>
      <c r="P23" s="89"/>
      <c r="Q23" s="88"/>
      <c r="R23" s="90" t="s">
        <v>62</v>
      </c>
      <c r="T23" s="35">
        <v>410101</v>
      </c>
    </row>
    <row r="24" spans="1:20" ht="18" customHeight="1">
      <c r="A24" s="83">
        <v>1</v>
      </c>
      <c r="B24" s="84" t="s">
        <v>39</v>
      </c>
      <c r="C24" s="84">
        <v>1</v>
      </c>
      <c r="D24" s="84" t="s">
        <v>40</v>
      </c>
      <c r="E24" s="84">
        <v>1</v>
      </c>
      <c r="F24" s="84" t="s">
        <v>41</v>
      </c>
      <c r="G24" s="91">
        <v>11</v>
      </c>
      <c r="H24" s="84" t="s">
        <v>27</v>
      </c>
      <c r="I24" s="91">
        <v>1</v>
      </c>
      <c r="J24" s="91" t="s">
        <v>28</v>
      </c>
      <c r="K24" s="87"/>
      <c r="L24" s="87"/>
      <c r="M24" s="87"/>
      <c r="N24" s="85" t="s">
        <v>271</v>
      </c>
      <c r="O24" s="87">
        <v>50400</v>
      </c>
      <c r="P24" s="89"/>
      <c r="Q24" s="88"/>
      <c r="R24" s="90" t="s">
        <v>62</v>
      </c>
      <c r="T24" s="35">
        <v>410101</v>
      </c>
    </row>
    <row r="25" spans="1:20" ht="18" customHeight="1">
      <c r="A25" s="83">
        <v>1</v>
      </c>
      <c r="B25" s="84" t="s">
        <v>39</v>
      </c>
      <c r="C25" s="84">
        <v>1</v>
      </c>
      <c r="D25" s="84" t="s">
        <v>40</v>
      </c>
      <c r="E25" s="84">
        <v>1</v>
      </c>
      <c r="F25" s="84" t="s">
        <v>41</v>
      </c>
      <c r="G25" s="91">
        <v>11</v>
      </c>
      <c r="H25" s="84" t="s">
        <v>27</v>
      </c>
      <c r="I25" s="91">
        <v>1</v>
      </c>
      <c r="J25" s="91" t="s">
        <v>28</v>
      </c>
      <c r="K25" s="87"/>
      <c r="L25" s="87"/>
      <c r="M25" s="87"/>
      <c r="N25" s="85" t="s">
        <v>272</v>
      </c>
      <c r="O25" s="87">
        <v>16800</v>
      </c>
      <c r="P25" s="89"/>
      <c r="Q25" s="88"/>
      <c r="R25" s="90" t="s">
        <v>62</v>
      </c>
      <c r="T25" s="35">
        <v>410101</v>
      </c>
    </row>
    <row r="26" spans="1:20" ht="18" customHeight="1">
      <c r="A26" s="83">
        <v>1</v>
      </c>
      <c r="B26" s="84" t="s">
        <v>39</v>
      </c>
      <c r="C26" s="84">
        <v>1</v>
      </c>
      <c r="D26" s="84" t="s">
        <v>40</v>
      </c>
      <c r="E26" s="84">
        <v>1</v>
      </c>
      <c r="F26" s="84" t="s">
        <v>41</v>
      </c>
      <c r="G26" s="91">
        <v>11</v>
      </c>
      <c r="H26" s="84" t="s">
        <v>27</v>
      </c>
      <c r="I26" s="91">
        <v>1</v>
      </c>
      <c r="J26" s="91" t="s">
        <v>28</v>
      </c>
      <c r="K26" s="87"/>
      <c r="L26" s="87"/>
      <c r="M26" s="87"/>
      <c r="N26" s="85" t="s">
        <v>94</v>
      </c>
      <c r="O26" s="87">
        <v>89440</v>
      </c>
      <c r="P26" s="89"/>
      <c r="Q26" s="88"/>
      <c r="R26" s="90" t="s">
        <v>62</v>
      </c>
      <c r="T26" s="35">
        <v>410101</v>
      </c>
    </row>
    <row r="27" spans="1:20" ht="18" customHeight="1">
      <c r="A27" s="83">
        <v>1</v>
      </c>
      <c r="B27" s="84" t="s">
        <v>39</v>
      </c>
      <c r="C27" s="84">
        <v>1</v>
      </c>
      <c r="D27" s="84" t="s">
        <v>40</v>
      </c>
      <c r="E27" s="84">
        <v>1</v>
      </c>
      <c r="F27" s="84" t="s">
        <v>41</v>
      </c>
      <c r="G27" s="85">
        <v>12</v>
      </c>
      <c r="H27" s="86" t="s">
        <v>32</v>
      </c>
      <c r="I27" s="85"/>
      <c r="J27" s="85"/>
      <c r="K27" s="87"/>
      <c r="L27" s="87"/>
      <c r="M27" s="87"/>
      <c r="N27" s="85"/>
      <c r="O27" s="88"/>
      <c r="P27" s="89"/>
      <c r="Q27" s="88"/>
      <c r="R27" s="90" t="s">
        <v>62</v>
      </c>
      <c r="T27" s="35">
        <v>410101</v>
      </c>
    </row>
    <row r="28" spans="1:20" ht="18" customHeight="1">
      <c r="A28" s="83">
        <v>1</v>
      </c>
      <c r="B28" s="84" t="s">
        <v>39</v>
      </c>
      <c r="C28" s="84">
        <v>1</v>
      </c>
      <c r="D28" s="84" t="s">
        <v>40</v>
      </c>
      <c r="E28" s="84">
        <v>1</v>
      </c>
      <c r="F28" s="84" t="s">
        <v>41</v>
      </c>
      <c r="G28" s="91">
        <v>12</v>
      </c>
      <c r="H28" s="84" t="s">
        <v>32</v>
      </c>
      <c r="I28" s="85">
        <v>51</v>
      </c>
      <c r="J28" s="85" t="s">
        <v>47</v>
      </c>
      <c r="K28" s="87">
        <v>2283</v>
      </c>
      <c r="L28" s="87">
        <v>1769</v>
      </c>
      <c r="M28" s="87">
        <f>K28-L28</f>
        <v>514</v>
      </c>
      <c r="N28" s="85" t="s">
        <v>273</v>
      </c>
      <c r="O28" s="87"/>
      <c r="P28" s="89"/>
      <c r="Q28" s="88"/>
      <c r="R28" s="90" t="s">
        <v>62</v>
      </c>
      <c r="T28" s="35">
        <v>410101</v>
      </c>
    </row>
    <row r="29" spans="1:20" ht="18" customHeight="1">
      <c r="A29" s="83">
        <v>1</v>
      </c>
      <c r="B29" s="84" t="s">
        <v>39</v>
      </c>
      <c r="C29" s="84">
        <v>1</v>
      </c>
      <c r="D29" s="84" t="s">
        <v>40</v>
      </c>
      <c r="E29" s="84">
        <v>1</v>
      </c>
      <c r="F29" s="84" t="s">
        <v>41</v>
      </c>
      <c r="G29" s="91">
        <v>12</v>
      </c>
      <c r="H29" s="84" t="s">
        <v>32</v>
      </c>
      <c r="I29" s="91">
        <v>51</v>
      </c>
      <c r="J29" s="91" t="s">
        <v>47</v>
      </c>
      <c r="K29" s="87"/>
      <c r="L29" s="87"/>
      <c r="M29" s="87"/>
      <c r="N29" s="85" t="s">
        <v>274</v>
      </c>
      <c r="O29" s="87">
        <v>40800</v>
      </c>
      <c r="P29" s="89"/>
      <c r="Q29" s="88"/>
      <c r="R29" s="90" t="s">
        <v>62</v>
      </c>
      <c r="T29" s="35">
        <v>410101</v>
      </c>
    </row>
    <row r="30" spans="1:20" ht="18" customHeight="1">
      <c r="A30" s="83">
        <v>1</v>
      </c>
      <c r="B30" s="84" t="s">
        <v>39</v>
      </c>
      <c r="C30" s="84">
        <v>1</v>
      </c>
      <c r="D30" s="84" t="s">
        <v>40</v>
      </c>
      <c r="E30" s="84">
        <v>1</v>
      </c>
      <c r="F30" s="84" t="s">
        <v>41</v>
      </c>
      <c r="G30" s="91">
        <v>12</v>
      </c>
      <c r="H30" s="84" t="s">
        <v>32</v>
      </c>
      <c r="I30" s="91">
        <v>51</v>
      </c>
      <c r="J30" s="91" t="s">
        <v>47</v>
      </c>
      <c r="K30" s="87"/>
      <c r="L30" s="87"/>
      <c r="M30" s="87"/>
      <c r="N30" s="85" t="s">
        <v>275</v>
      </c>
      <c r="O30" s="87">
        <v>7200</v>
      </c>
      <c r="P30" s="89"/>
      <c r="Q30" s="88"/>
      <c r="R30" s="90" t="s">
        <v>62</v>
      </c>
      <c r="T30" s="35">
        <v>410101</v>
      </c>
    </row>
    <row r="31" spans="1:20" ht="18" customHeight="1">
      <c r="A31" s="83">
        <v>1</v>
      </c>
      <c r="B31" s="84" t="s">
        <v>39</v>
      </c>
      <c r="C31" s="84">
        <v>1</v>
      </c>
      <c r="D31" s="84" t="s">
        <v>40</v>
      </c>
      <c r="E31" s="84">
        <v>1</v>
      </c>
      <c r="F31" s="84" t="s">
        <v>41</v>
      </c>
      <c r="G31" s="91">
        <v>12</v>
      </c>
      <c r="H31" s="84" t="s">
        <v>32</v>
      </c>
      <c r="I31" s="91">
        <v>51</v>
      </c>
      <c r="J31" s="91" t="s">
        <v>47</v>
      </c>
      <c r="K31" s="87"/>
      <c r="L31" s="87"/>
      <c r="M31" s="87"/>
      <c r="N31" s="85" t="s">
        <v>276</v>
      </c>
      <c r="O31" s="87">
        <v>55000</v>
      </c>
      <c r="P31" s="89"/>
      <c r="Q31" s="88"/>
      <c r="R31" s="90" t="s">
        <v>62</v>
      </c>
      <c r="T31" s="35">
        <v>410101</v>
      </c>
    </row>
    <row r="32" spans="1:20" ht="18" customHeight="1">
      <c r="A32" s="83">
        <v>1</v>
      </c>
      <c r="B32" s="84" t="s">
        <v>39</v>
      </c>
      <c r="C32" s="84">
        <v>1</v>
      </c>
      <c r="D32" s="84" t="s">
        <v>40</v>
      </c>
      <c r="E32" s="84">
        <v>1</v>
      </c>
      <c r="F32" s="84" t="s">
        <v>41</v>
      </c>
      <c r="G32" s="91">
        <v>12</v>
      </c>
      <c r="H32" s="84" t="s">
        <v>32</v>
      </c>
      <c r="I32" s="91">
        <v>51</v>
      </c>
      <c r="J32" s="91" t="s">
        <v>47</v>
      </c>
      <c r="K32" s="87"/>
      <c r="L32" s="87"/>
      <c r="M32" s="87"/>
      <c r="N32" s="85" t="s">
        <v>277</v>
      </c>
      <c r="O32" s="87">
        <v>114620</v>
      </c>
      <c r="P32" s="89"/>
      <c r="Q32" s="88"/>
      <c r="R32" s="90" t="s">
        <v>62</v>
      </c>
      <c r="T32" s="35">
        <v>410101</v>
      </c>
    </row>
    <row r="33" spans="1:20" ht="18" customHeight="1">
      <c r="A33" s="83">
        <v>1</v>
      </c>
      <c r="B33" s="84" t="s">
        <v>39</v>
      </c>
      <c r="C33" s="84">
        <v>1</v>
      </c>
      <c r="D33" s="84" t="s">
        <v>40</v>
      </c>
      <c r="E33" s="84">
        <v>1</v>
      </c>
      <c r="F33" s="84" t="s">
        <v>41</v>
      </c>
      <c r="G33" s="91">
        <v>12</v>
      </c>
      <c r="H33" s="84" t="s">
        <v>32</v>
      </c>
      <c r="I33" s="91">
        <v>51</v>
      </c>
      <c r="J33" s="91" t="s">
        <v>47</v>
      </c>
      <c r="K33" s="87"/>
      <c r="L33" s="87"/>
      <c r="M33" s="87"/>
      <c r="N33" s="85" t="s">
        <v>278</v>
      </c>
      <c r="O33" s="87">
        <v>285000</v>
      </c>
      <c r="P33" s="89"/>
      <c r="Q33" s="88"/>
      <c r="R33" s="90" t="s">
        <v>62</v>
      </c>
      <c r="T33" s="35">
        <v>410101</v>
      </c>
    </row>
    <row r="34" spans="1:20" ht="18" customHeight="1">
      <c r="A34" s="83">
        <v>1</v>
      </c>
      <c r="B34" s="84" t="s">
        <v>39</v>
      </c>
      <c r="C34" s="84">
        <v>1</v>
      </c>
      <c r="D34" s="84" t="s">
        <v>40</v>
      </c>
      <c r="E34" s="84">
        <v>1</v>
      </c>
      <c r="F34" s="84" t="s">
        <v>41</v>
      </c>
      <c r="G34" s="91">
        <v>12</v>
      </c>
      <c r="H34" s="84" t="s">
        <v>32</v>
      </c>
      <c r="I34" s="91">
        <v>51</v>
      </c>
      <c r="J34" s="91" t="s">
        <v>47</v>
      </c>
      <c r="K34" s="87"/>
      <c r="L34" s="87"/>
      <c r="M34" s="87"/>
      <c r="N34" s="85" t="s">
        <v>279</v>
      </c>
      <c r="O34" s="87">
        <v>1450000</v>
      </c>
      <c r="P34" s="89"/>
      <c r="Q34" s="88"/>
      <c r="R34" s="90" t="s">
        <v>62</v>
      </c>
      <c r="T34" s="35">
        <v>410101</v>
      </c>
    </row>
    <row r="35" spans="1:20" ht="18" customHeight="1">
      <c r="A35" s="83">
        <v>1</v>
      </c>
      <c r="B35" s="84" t="s">
        <v>39</v>
      </c>
      <c r="C35" s="84">
        <v>1</v>
      </c>
      <c r="D35" s="84" t="s">
        <v>40</v>
      </c>
      <c r="E35" s="84">
        <v>1</v>
      </c>
      <c r="F35" s="84" t="s">
        <v>41</v>
      </c>
      <c r="G35" s="91">
        <v>12</v>
      </c>
      <c r="H35" s="84" t="s">
        <v>32</v>
      </c>
      <c r="I35" s="91">
        <v>51</v>
      </c>
      <c r="J35" s="91" t="s">
        <v>47</v>
      </c>
      <c r="K35" s="87"/>
      <c r="L35" s="87"/>
      <c r="M35" s="87"/>
      <c r="N35" s="85" t="s">
        <v>280</v>
      </c>
      <c r="O35" s="87">
        <v>330000</v>
      </c>
      <c r="P35" s="89"/>
      <c r="Q35" s="88"/>
      <c r="R35" s="90" t="s">
        <v>62</v>
      </c>
      <c r="T35" s="35">
        <v>410101</v>
      </c>
    </row>
    <row r="36" spans="1:20" ht="18" customHeight="1">
      <c r="A36" s="83">
        <v>1</v>
      </c>
      <c r="B36" s="84" t="s">
        <v>39</v>
      </c>
      <c r="C36" s="84">
        <v>1</v>
      </c>
      <c r="D36" s="84" t="s">
        <v>40</v>
      </c>
      <c r="E36" s="84">
        <v>1</v>
      </c>
      <c r="F36" s="84" t="s">
        <v>41</v>
      </c>
      <c r="G36" s="85">
        <v>13</v>
      </c>
      <c r="H36" s="86" t="s">
        <v>34</v>
      </c>
      <c r="I36" s="85"/>
      <c r="J36" s="85"/>
      <c r="K36" s="87"/>
      <c r="L36" s="87"/>
      <c r="M36" s="87"/>
      <c r="N36" s="85"/>
      <c r="O36" s="88"/>
      <c r="P36" s="89"/>
      <c r="Q36" s="88"/>
      <c r="R36" s="90" t="s">
        <v>62</v>
      </c>
      <c r="T36" s="35">
        <v>410101</v>
      </c>
    </row>
    <row r="37" spans="1:20" ht="18" customHeight="1">
      <c r="A37" s="83">
        <v>1</v>
      </c>
      <c r="B37" s="84" t="s">
        <v>39</v>
      </c>
      <c r="C37" s="84">
        <v>1</v>
      </c>
      <c r="D37" s="84" t="s">
        <v>40</v>
      </c>
      <c r="E37" s="84">
        <v>1</v>
      </c>
      <c r="F37" s="84" t="s">
        <v>41</v>
      </c>
      <c r="G37" s="91">
        <v>13</v>
      </c>
      <c r="H37" s="84" t="s">
        <v>34</v>
      </c>
      <c r="I37" s="85">
        <v>1</v>
      </c>
      <c r="J37" s="85" t="s">
        <v>35</v>
      </c>
      <c r="K37" s="87">
        <v>2</v>
      </c>
      <c r="L37" s="87">
        <v>2</v>
      </c>
      <c r="M37" s="87">
        <f>K37-L37</f>
        <v>0</v>
      </c>
      <c r="N37" s="85" t="s">
        <v>281</v>
      </c>
      <c r="O37" s="87">
        <v>2000</v>
      </c>
      <c r="P37" s="89"/>
      <c r="Q37" s="88"/>
      <c r="R37" s="90" t="s">
        <v>62</v>
      </c>
      <c r="T37" s="35">
        <v>410101</v>
      </c>
    </row>
    <row r="38" spans="1:20" ht="18" customHeight="1">
      <c r="A38" s="83">
        <v>1</v>
      </c>
      <c r="B38" s="84" t="s">
        <v>39</v>
      </c>
      <c r="C38" s="84">
        <v>1</v>
      </c>
      <c r="D38" s="84" t="s">
        <v>40</v>
      </c>
      <c r="E38" s="84">
        <v>1</v>
      </c>
      <c r="F38" s="84" t="s">
        <v>41</v>
      </c>
      <c r="G38" s="91">
        <v>13</v>
      </c>
      <c r="H38" s="84" t="s">
        <v>34</v>
      </c>
      <c r="I38" s="85">
        <v>41</v>
      </c>
      <c r="J38" s="85" t="s">
        <v>48</v>
      </c>
      <c r="K38" s="87">
        <v>1697</v>
      </c>
      <c r="L38" s="87">
        <v>1693</v>
      </c>
      <c r="M38" s="87">
        <f>K38-L38</f>
        <v>4</v>
      </c>
      <c r="N38" s="85" t="s">
        <v>282</v>
      </c>
      <c r="O38" s="87">
        <v>1320000</v>
      </c>
      <c r="P38" s="89"/>
      <c r="Q38" s="88"/>
      <c r="R38" s="90" t="s">
        <v>62</v>
      </c>
      <c r="T38" s="35">
        <v>410101</v>
      </c>
    </row>
    <row r="39" spans="1:20" ht="18" customHeight="1">
      <c r="A39" s="83">
        <v>1</v>
      </c>
      <c r="B39" s="84" t="s">
        <v>39</v>
      </c>
      <c r="C39" s="84">
        <v>1</v>
      </c>
      <c r="D39" s="84" t="s">
        <v>40</v>
      </c>
      <c r="E39" s="84">
        <v>1</v>
      </c>
      <c r="F39" s="84" t="s">
        <v>41</v>
      </c>
      <c r="G39" s="91">
        <v>13</v>
      </c>
      <c r="H39" s="84" t="s">
        <v>34</v>
      </c>
      <c r="I39" s="91">
        <v>41</v>
      </c>
      <c r="J39" s="91" t="s">
        <v>48</v>
      </c>
      <c r="K39" s="87"/>
      <c r="L39" s="87"/>
      <c r="M39" s="87"/>
      <c r="N39" s="85" t="s">
        <v>283</v>
      </c>
      <c r="O39" s="87">
        <v>8000</v>
      </c>
      <c r="P39" s="89"/>
      <c r="Q39" s="88"/>
      <c r="R39" s="90" t="s">
        <v>62</v>
      </c>
      <c r="T39" s="35">
        <v>410101</v>
      </c>
    </row>
    <row r="40" spans="1:20" ht="18" customHeight="1">
      <c r="A40" s="83">
        <v>1</v>
      </c>
      <c r="B40" s="84" t="s">
        <v>39</v>
      </c>
      <c r="C40" s="84">
        <v>1</v>
      </c>
      <c r="D40" s="84" t="s">
        <v>40</v>
      </c>
      <c r="E40" s="84">
        <v>1</v>
      </c>
      <c r="F40" s="84" t="s">
        <v>41</v>
      </c>
      <c r="G40" s="91">
        <v>13</v>
      </c>
      <c r="H40" s="84" t="s">
        <v>34</v>
      </c>
      <c r="I40" s="91">
        <v>41</v>
      </c>
      <c r="J40" s="91" t="s">
        <v>48</v>
      </c>
      <c r="K40" s="87"/>
      <c r="L40" s="87"/>
      <c r="M40" s="87"/>
      <c r="N40" s="85" t="s">
        <v>284</v>
      </c>
      <c r="O40" s="87"/>
      <c r="P40" s="89"/>
      <c r="Q40" s="88"/>
      <c r="R40" s="90" t="s">
        <v>62</v>
      </c>
      <c r="T40" s="35">
        <v>410101</v>
      </c>
    </row>
    <row r="41" spans="1:20" ht="18" customHeight="1">
      <c r="A41" s="83">
        <v>1</v>
      </c>
      <c r="B41" s="84" t="s">
        <v>39</v>
      </c>
      <c r="C41" s="84">
        <v>1</v>
      </c>
      <c r="D41" s="84" t="s">
        <v>40</v>
      </c>
      <c r="E41" s="84">
        <v>1</v>
      </c>
      <c r="F41" s="84" t="s">
        <v>41</v>
      </c>
      <c r="G41" s="91">
        <v>13</v>
      </c>
      <c r="H41" s="84" t="s">
        <v>34</v>
      </c>
      <c r="I41" s="91">
        <v>41</v>
      </c>
      <c r="J41" s="91" t="s">
        <v>48</v>
      </c>
      <c r="K41" s="87"/>
      <c r="L41" s="87"/>
      <c r="M41" s="87"/>
      <c r="N41" s="85" t="s">
        <v>285</v>
      </c>
      <c r="O41" s="87">
        <v>336000</v>
      </c>
      <c r="P41" s="89"/>
      <c r="Q41" s="88"/>
      <c r="R41" s="90" t="s">
        <v>62</v>
      </c>
      <c r="T41" s="35">
        <v>410101</v>
      </c>
    </row>
    <row r="42" spans="1:20" ht="18" customHeight="1">
      <c r="A42" s="83">
        <v>1</v>
      </c>
      <c r="B42" s="84" t="s">
        <v>39</v>
      </c>
      <c r="C42" s="84">
        <v>1</v>
      </c>
      <c r="D42" s="84" t="s">
        <v>40</v>
      </c>
      <c r="E42" s="84">
        <v>1</v>
      </c>
      <c r="F42" s="84" t="s">
        <v>41</v>
      </c>
      <c r="G42" s="91">
        <v>13</v>
      </c>
      <c r="H42" s="84" t="s">
        <v>34</v>
      </c>
      <c r="I42" s="91">
        <v>41</v>
      </c>
      <c r="J42" s="91" t="s">
        <v>48</v>
      </c>
      <c r="K42" s="87"/>
      <c r="L42" s="87"/>
      <c r="M42" s="87"/>
      <c r="N42" s="85" t="s">
        <v>286</v>
      </c>
      <c r="O42" s="87">
        <v>32400</v>
      </c>
      <c r="P42" s="89"/>
      <c r="Q42" s="88"/>
      <c r="R42" s="90" t="s">
        <v>62</v>
      </c>
      <c r="T42" s="35">
        <v>410101</v>
      </c>
    </row>
    <row r="43" spans="1:20" ht="18" customHeight="1">
      <c r="A43" s="65">
        <v>1</v>
      </c>
      <c r="B43" s="66" t="s">
        <v>39</v>
      </c>
      <c r="C43" s="67">
        <v>2</v>
      </c>
      <c r="D43" s="67" t="s">
        <v>251</v>
      </c>
      <c r="E43" s="68"/>
      <c r="F43" s="67"/>
      <c r="G43" s="68"/>
      <c r="H43" s="67"/>
      <c r="I43" s="68"/>
      <c r="J43" s="68"/>
      <c r="K43" s="69">
        <f>IF(C43="",SUMIFS($K44:$K$783,$A44:$A$783,A43,$E44:$E$783,""),IF(E43="",SUMIFS($K44:$K$783,$A44:$A$783,A43,$C44:$C$783,C43,$G44:$G$783,""),IF(G43="",SUMIFS($K44:$K$783,$A44:$A$783,A43,$C44:$C$783,C43,$E44:$E$783,E43,$R44:$R$783,R43),IF(I43="",SUMIFS($K44:$K$783,$A44:$A$783,A43,$C44:$C$783,C43,$E44:$E$783,E43,$G44:$G$783,G43,$R44:$R$783,R43),0))))</f>
        <v>2507</v>
      </c>
      <c r="L43" s="69">
        <f>IF(C43="",SUMIFS($L44:$L$783,$A44:$A$783,A43,$E44:$E$783,""),IF(E43="",SUMIFS($L44:$L$783,$A44:$A$783,A43,$C44:$C$783,C43,$G44:$G$783,""),IF(G43="",SUMIFS($L44:$L$783,$A44:$A$783,A43,$C44:$C$783,C43,$E44:$E$783,E43,$R44:$R$783,R43),IF(I43="",SUMIFS($L44:$L$783,$A44:$A$783,A43,$C44:$C$783,C43,$E44:$E$783,E43,$G44:$G$783,G43,$R44:$R$783,R43),0))))</f>
        <v>2283</v>
      </c>
      <c r="M43" s="69">
        <f t="shared" ref="M43:M44" si="1">K43-L43</f>
        <v>224</v>
      </c>
      <c r="N43" s="70"/>
      <c r="O43" s="71"/>
      <c r="P43" s="72"/>
      <c r="Q43" s="69">
        <f>IF(C43="",SUMIFS($Q44:$Q$783,$A44:$A$783,A43,$E44:$E$783,""),IF(E43="",SUMIFS($Q44:$Q$783,$A44:$A$783,A43,$C44:$C$783,C43,$G44:$G$783,""),IF(G43="",SUMIFS($Q44:$Q$783,$A44:$A$783,A43,$C44:$C$783,C43,$E44:$E$783,E43,$R44:$R$783,R43),IF(I43="",SUMIFS($Q44:$Q$783,$A44:$A$783,A43,$C44:$C$783,C43,$E44:$E$783,E43,$G44:$G$783,G43,$R44:$R$783,R43),0))))</f>
        <v>2507</v>
      </c>
      <c r="R43" s="73"/>
      <c r="T43" s="35">
        <v>410201</v>
      </c>
    </row>
    <row r="44" spans="1:20" ht="18" customHeight="1">
      <c r="A44" s="65">
        <v>1</v>
      </c>
      <c r="B44" s="66" t="s">
        <v>86</v>
      </c>
      <c r="C44" s="74">
        <v>2</v>
      </c>
      <c r="D44" s="66" t="s">
        <v>122</v>
      </c>
      <c r="E44" s="75">
        <v>1</v>
      </c>
      <c r="F44" s="76" t="s">
        <v>88</v>
      </c>
      <c r="G44" s="75"/>
      <c r="H44" s="76"/>
      <c r="I44" s="75"/>
      <c r="J44" s="75"/>
      <c r="K44" s="77">
        <f>IF(C44="",SUMIFS($K45:$K$783,$A45:$A$783,A44,$E45:$E$783,""),IF(E44="",SUMIFS($K45:$K$783,$A45:$A$783,A44,$C45:$C$783,C44,$G45:$G$783,""),IF(G44="",SUMIFS($K45:$K$783,$A45:$A$783,A44,$C45:$C$783,C44,$E45:$E$783,E44,$R45:$R$783,R44),IF(I44="",SUMIFS($K45:$K$783,$A45:$A$783,A44,$C45:$C$783,C44,$E45:$E$783,E44,$G45:$G$783,G44,$R45:$R$783,R44),0))))</f>
        <v>2507</v>
      </c>
      <c r="L44" s="77">
        <f>IF(C44="",SUMIFS($L45:$L$783,$A45:$A$783,A44,$E45:$E$783,""),IF(E44="",SUMIFS($L45:$L$783,$A45:$A$783,A44,$C45:$C$783,C44,$G45:$G$783,""),IF(G44="",SUMIFS($L45:$L$783,$A45:$A$783,A44,$C45:$C$783,C44,$E45:$E$783,E44,$R45:$R$783,R44),IF(I44="",SUMIFS($L45:$L$783,$A45:$A$783,A44,$C45:$C$783,C44,$E45:$E$783,E44,$G45:$G$783,G44,$R45:$R$783,R44),0))))</f>
        <v>2283</v>
      </c>
      <c r="M44" s="77">
        <f t="shared" si="1"/>
        <v>224</v>
      </c>
      <c r="N44" s="78"/>
      <c r="O44" s="79"/>
      <c r="P44" s="80"/>
      <c r="Q44" s="81">
        <f>IF(C44="",SUMIFS($Q45:$Q$781,$A45:$A$781,A44,$E45:$E$781,""),IF(E44="",SUMIFS($Q45:$Q$781,$A45:$A$781,A44,$C45:$C$781,C44,$G45:$G$781,""),IF(G44="",SUMIFS($Q45:$Q$781,$A45:$A$781,A44,$C45:$C$781,C44,$E45:$E$781,E44,$R45:$R$781,R44),IF(I44="",SUMIFS($Q45:$Q$781,$A45:$A$781,A44,$C45:$C$781,C44,$E45:$E$781,E44,$G45:$G$781,G44,$R45:$R$781,R44),0))))</f>
        <v>2507</v>
      </c>
      <c r="R44" s="82" t="s">
        <v>114</v>
      </c>
      <c r="T44" s="35">
        <v>410201</v>
      </c>
    </row>
    <row r="45" spans="1:20" ht="18" customHeight="1">
      <c r="A45" s="83">
        <v>1</v>
      </c>
      <c r="B45" s="84" t="s">
        <v>39</v>
      </c>
      <c r="C45" s="84">
        <v>2</v>
      </c>
      <c r="D45" s="84" t="s">
        <v>122</v>
      </c>
      <c r="E45" s="84">
        <v>1</v>
      </c>
      <c r="F45" s="84" t="s">
        <v>60</v>
      </c>
      <c r="G45" s="85">
        <v>10</v>
      </c>
      <c r="H45" s="86" t="s">
        <v>23</v>
      </c>
      <c r="I45" s="85"/>
      <c r="J45" s="85"/>
      <c r="K45" s="87"/>
      <c r="L45" s="87"/>
      <c r="M45" s="87"/>
      <c r="N45" s="85"/>
      <c r="O45" s="88"/>
      <c r="P45" s="89" t="s">
        <v>145</v>
      </c>
      <c r="Q45" s="88">
        <v>20</v>
      </c>
      <c r="R45" s="90" t="s">
        <v>62</v>
      </c>
      <c r="T45" s="35">
        <v>410201</v>
      </c>
    </row>
    <row r="46" spans="1:20" ht="18" customHeight="1">
      <c r="A46" s="83">
        <v>1</v>
      </c>
      <c r="B46" s="84" t="s">
        <v>39</v>
      </c>
      <c r="C46" s="84">
        <v>2</v>
      </c>
      <c r="D46" s="84" t="s">
        <v>122</v>
      </c>
      <c r="E46" s="84">
        <v>1</v>
      </c>
      <c r="F46" s="84" t="s">
        <v>60</v>
      </c>
      <c r="G46" s="91">
        <v>10</v>
      </c>
      <c r="H46" s="84" t="s">
        <v>23</v>
      </c>
      <c r="I46" s="85">
        <v>1</v>
      </c>
      <c r="J46" s="85" t="s">
        <v>24</v>
      </c>
      <c r="K46" s="87">
        <v>50</v>
      </c>
      <c r="L46" s="87">
        <v>50</v>
      </c>
      <c r="M46" s="87">
        <f>K46-L46</f>
        <v>0</v>
      </c>
      <c r="N46" s="85" t="s">
        <v>287</v>
      </c>
      <c r="O46" s="87">
        <v>50000</v>
      </c>
      <c r="P46" s="89" t="s">
        <v>253</v>
      </c>
      <c r="Q46" s="88">
        <v>2485</v>
      </c>
      <c r="R46" s="90" t="s">
        <v>62</v>
      </c>
      <c r="T46" s="35">
        <v>410201</v>
      </c>
    </row>
    <row r="47" spans="1:20" ht="18" customHeight="1">
      <c r="A47" s="83">
        <v>1</v>
      </c>
      <c r="B47" s="84" t="s">
        <v>39</v>
      </c>
      <c r="C47" s="84">
        <v>2</v>
      </c>
      <c r="D47" s="84" t="s">
        <v>122</v>
      </c>
      <c r="E47" s="84">
        <v>1</v>
      </c>
      <c r="F47" s="84" t="s">
        <v>60</v>
      </c>
      <c r="G47" s="91">
        <v>10</v>
      </c>
      <c r="H47" s="84" t="s">
        <v>23</v>
      </c>
      <c r="I47" s="85">
        <v>4</v>
      </c>
      <c r="J47" s="85" t="s">
        <v>26</v>
      </c>
      <c r="K47" s="87">
        <v>1081</v>
      </c>
      <c r="L47" s="87">
        <v>1287</v>
      </c>
      <c r="M47" s="87">
        <f>K47-L47</f>
        <v>-206</v>
      </c>
      <c r="N47" s="85" t="s">
        <v>288</v>
      </c>
      <c r="O47" s="87">
        <v>61600</v>
      </c>
      <c r="P47" s="89" t="s">
        <v>255</v>
      </c>
      <c r="Q47" s="88"/>
      <c r="R47" s="90" t="s">
        <v>62</v>
      </c>
      <c r="T47" s="35">
        <v>410201</v>
      </c>
    </row>
    <row r="48" spans="1:20" ht="18" customHeight="1">
      <c r="A48" s="83">
        <v>1</v>
      </c>
      <c r="B48" s="84" t="s">
        <v>39</v>
      </c>
      <c r="C48" s="84">
        <v>2</v>
      </c>
      <c r="D48" s="84" t="s">
        <v>122</v>
      </c>
      <c r="E48" s="84">
        <v>1</v>
      </c>
      <c r="F48" s="84" t="s">
        <v>60</v>
      </c>
      <c r="G48" s="91">
        <v>10</v>
      </c>
      <c r="H48" s="84" t="s">
        <v>23</v>
      </c>
      <c r="I48" s="91">
        <v>4</v>
      </c>
      <c r="J48" s="91" t="s">
        <v>26</v>
      </c>
      <c r="K48" s="87"/>
      <c r="L48" s="87"/>
      <c r="M48" s="87"/>
      <c r="N48" s="85" t="s">
        <v>289</v>
      </c>
      <c r="O48" s="87">
        <v>61600</v>
      </c>
      <c r="P48" s="89" t="s">
        <v>125</v>
      </c>
      <c r="Q48" s="88">
        <v>1</v>
      </c>
      <c r="R48" s="90" t="s">
        <v>62</v>
      </c>
      <c r="T48" s="35">
        <v>410201</v>
      </c>
    </row>
    <row r="49" spans="1:20" ht="18" customHeight="1">
      <c r="A49" s="83">
        <v>1</v>
      </c>
      <c r="B49" s="84" t="s">
        <v>39</v>
      </c>
      <c r="C49" s="84">
        <v>2</v>
      </c>
      <c r="D49" s="84" t="s">
        <v>122</v>
      </c>
      <c r="E49" s="84">
        <v>1</v>
      </c>
      <c r="F49" s="84" t="s">
        <v>60</v>
      </c>
      <c r="G49" s="91">
        <v>10</v>
      </c>
      <c r="H49" s="84" t="s">
        <v>23</v>
      </c>
      <c r="I49" s="91">
        <v>4</v>
      </c>
      <c r="J49" s="91" t="s">
        <v>26</v>
      </c>
      <c r="K49" s="87"/>
      <c r="L49" s="87"/>
      <c r="M49" s="87"/>
      <c r="N49" s="85" t="s">
        <v>290</v>
      </c>
      <c r="O49" s="87">
        <v>72900</v>
      </c>
      <c r="P49" s="89" t="s">
        <v>121</v>
      </c>
      <c r="Q49" s="88">
        <v>1</v>
      </c>
      <c r="R49" s="90" t="s">
        <v>62</v>
      </c>
      <c r="T49" s="35">
        <v>410201</v>
      </c>
    </row>
    <row r="50" spans="1:20" ht="18" customHeight="1">
      <c r="A50" s="83">
        <v>1</v>
      </c>
      <c r="B50" s="84" t="s">
        <v>39</v>
      </c>
      <c r="C50" s="84">
        <v>2</v>
      </c>
      <c r="D50" s="84" t="s">
        <v>122</v>
      </c>
      <c r="E50" s="84">
        <v>1</v>
      </c>
      <c r="F50" s="84" t="s">
        <v>60</v>
      </c>
      <c r="G50" s="91">
        <v>10</v>
      </c>
      <c r="H50" s="84" t="s">
        <v>23</v>
      </c>
      <c r="I50" s="91">
        <v>4</v>
      </c>
      <c r="J50" s="91" t="s">
        <v>26</v>
      </c>
      <c r="K50" s="87"/>
      <c r="L50" s="87"/>
      <c r="M50" s="87"/>
      <c r="N50" s="85" t="s">
        <v>291</v>
      </c>
      <c r="O50" s="87">
        <v>132500</v>
      </c>
      <c r="P50" s="89"/>
      <c r="Q50" s="88"/>
      <c r="R50" s="90" t="s">
        <v>62</v>
      </c>
      <c r="T50" s="35">
        <v>410201</v>
      </c>
    </row>
    <row r="51" spans="1:20" ht="18" customHeight="1">
      <c r="A51" s="83">
        <v>1</v>
      </c>
      <c r="B51" s="84" t="s">
        <v>39</v>
      </c>
      <c r="C51" s="84">
        <v>2</v>
      </c>
      <c r="D51" s="84" t="s">
        <v>122</v>
      </c>
      <c r="E51" s="84">
        <v>1</v>
      </c>
      <c r="F51" s="84" t="s">
        <v>60</v>
      </c>
      <c r="G51" s="91">
        <v>10</v>
      </c>
      <c r="H51" s="84" t="s">
        <v>23</v>
      </c>
      <c r="I51" s="91">
        <v>4</v>
      </c>
      <c r="J51" s="91" t="s">
        <v>26</v>
      </c>
      <c r="K51" s="87"/>
      <c r="L51" s="87"/>
      <c r="M51" s="87"/>
      <c r="N51" s="85" t="s">
        <v>292</v>
      </c>
      <c r="O51" s="87">
        <v>145800</v>
      </c>
      <c r="P51" s="89"/>
      <c r="Q51" s="88"/>
      <c r="R51" s="90" t="s">
        <v>62</v>
      </c>
      <c r="T51" s="35">
        <v>410201</v>
      </c>
    </row>
    <row r="52" spans="1:20" ht="18" customHeight="1">
      <c r="A52" s="83">
        <v>1</v>
      </c>
      <c r="B52" s="84" t="s">
        <v>39</v>
      </c>
      <c r="C52" s="84">
        <v>2</v>
      </c>
      <c r="D52" s="84" t="s">
        <v>122</v>
      </c>
      <c r="E52" s="84">
        <v>1</v>
      </c>
      <c r="F52" s="84" t="s">
        <v>60</v>
      </c>
      <c r="G52" s="91">
        <v>10</v>
      </c>
      <c r="H52" s="84" t="s">
        <v>23</v>
      </c>
      <c r="I52" s="91">
        <v>4</v>
      </c>
      <c r="J52" s="91" t="s">
        <v>26</v>
      </c>
      <c r="K52" s="87"/>
      <c r="L52" s="87"/>
      <c r="M52" s="87"/>
      <c r="N52" s="85" t="s">
        <v>293</v>
      </c>
      <c r="O52" s="87">
        <v>124600</v>
      </c>
      <c r="P52" s="89"/>
      <c r="Q52" s="88"/>
      <c r="R52" s="90" t="s">
        <v>62</v>
      </c>
      <c r="T52" s="35">
        <v>410201</v>
      </c>
    </row>
    <row r="53" spans="1:20" ht="18" customHeight="1">
      <c r="A53" s="83">
        <v>1</v>
      </c>
      <c r="B53" s="84" t="s">
        <v>39</v>
      </c>
      <c r="C53" s="84">
        <v>2</v>
      </c>
      <c r="D53" s="84" t="s">
        <v>122</v>
      </c>
      <c r="E53" s="84">
        <v>1</v>
      </c>
      <c r="F53" s="84" t="s">
        <v>60</v>
      </c>
      <c r="G53" s="91">
        <v>10</v>
      </c>
      <c r="H53" s="84" t="s">
        <v>23</v>
      </c>
      <c r="I53" s="91">
        <v>4</v>
      </c>
      <c r="J53" s="91" t="s">
        <v>26</v>
      </c>
      <c r="K53" s="87"/>
      <c r="L53" s="87"/>
      <c r="M53" s="87"/>
      <c r="N53" s="85" t="s">
        <v>294</v>
      </c>
      <c r="O53" s="87">
        <v>117800</v>
      </c>
      <c r="P53" s="89"/>
      <c r="Q53" s="88"/>
      <c r="R53" s="90" t="s">
        <v>62</v>
      </c>
      <c r="T53" s="35">
        <v>410201</v>
      </c>
    </row>
    <row r="54" spans="1:20" ht="18" customHeight="1">
      <c r="A54" s="83">
        <v>1</v>
      </c>
      <c r="B54" s="84" t="s">
        <v>39</v>
      </c>
      <c r="C54" s="84">
        <v>2</v>
      </c>
      <c r="D54" s="84" t="s">
        <v>122</v>
      </c>
      <c r="E54" s="84">
        <v>1</v>
      </c>
      <c r="F54" s="84" t="s">
        <v>60</v>
      </c>
      <c r="G54" s="91">
        <v>10</v>
      </c>
      <c r="H54" s="84" t="s">
        <v>23</v>
      </c>
      <c r="I54" s="91">
        <v>4</v>
      </c>
      <c r="J54" s="91" t="s">
        <v>26</v>
      </c>
      <c r="K54" s="87"/>
      <c r="L54" s="87"/>
      <c r="M54" s="87"/>
      <c r="N54" s="85" t="s">
        <v>295</v>
      </c>
      <c r="O54" s="87">
        <v>228800</v>
      </c>
      <c r="P54" s="89"/>
      <c r="Q54" s="88"/>
      <c r="R54" s="90" t="s">
        <v>62</v>
      </c>
      <c r="T54" s="35">
        <v>410201</v>
      </c>
    </row>
    <row r="55" spans="1:20" ht="18" customHeight="1">
      <c r="A55" s="83">
        <v>1</v>
      </c>
      <c r="B55" s="84" t="s">
        <v>39</v>
      </c>
      <c r="C55" s="84">
        <v>2</v>
      </c>
      <c r="D55" s="84" t="s">
        <v>122</v>
      </c>
      <c r="E55" s="84">
        <v>1</v>
      </c>
      <c r="F55" s="84" t="s">
        <v>60</v>
      </c>
      <c r="G55" s="91">
        <v>10</v>
      </c>
      <c r="H55" s="84" t="s">
        <v>23</v>
      </c>
      <c r="I55" s="91">
        <v>4</v>
      </c>
      <c r="J55" s="91" t="s">
        <v>26</v>
      </c>
      <c r="K55" s="87"/>
      <c r="L55" s="87"/>
      <c r="M55" s="87"/>
      <c r="N55" s="85" t="s">
        <v>296</v>
      </c>
      <c r="O55" s="87">
        <v>70000</v>
      </c>
      <c r="P55" s="89"/>
      <c r="Q55" s="88"/>
      <c r="R55" s="90" t="s">
        <v>62</v>
      </c>
      <c r="T55" s="35">
        <v>410201</v>
      </c>
    </row>
    <row r="56" spans="1:20" ht="18" customHeight="1">
      <c r="A56" s="83">
        <v>1</v>
      </c>
      <c r="B56" s="84" t="s">
        <v>39</v>
      </c>
      <c r="C56" s="84">
        <v>2</v>
      </c>
      <c r="D56" s="84" t="s">
        <v>122</v>
      </c>
      <c r="E56" s="84">
        <v>1</v>
      </c>
      <c r="F56" s="84" t="s">
        <v>60</v>
      </c>
      <c r="G56" s="91">
        <v>10</v>
      </c>
      <c r="H56" s="84" t="s">
        <v>23</v>
      </c>
      <c r="I56" s="91">
        <v>4</v>
      </c>
      <c r="J56" s="91" t="s">
        <v>26</v>
      </c>
      <c r="K56" s="87"/>
      <c r="L56" s="87"/>
      <c r="M56" s="87"/>
      <c r="N56" s="85" t="s">
        <v>297</v>
      </c>
      <c r="O56" s="87">
        <v>65000</v>
      </c>
      <c r="P56" s="89"/>
      <c r="Q56" s="88"/>
      <c r="R56" s="90" t="s">
        <v>62</v>
      </c>
      <c r="T56" s="35">
        <v>410201</v>
      </c>
    </row>
    <row r="57" spans="1:20" ht="18" customHeight="1">
      <c r="A57" s="83">
        <v>1</v>
      </c>
      <c r="B57" s="84" t="s">
        <v>39</v>
      </c>
      <c r="C57" s="84">
        <v>2</v>
      </c>
      <c r="D57" s="84" t="s">
        <v>122</v>
      </c>
      <c r="E57" s="84">
        <v>1</v>
      </c>
      <c r="F57" s="84" t="s">
        <v>60</v>
      </c>
      <c r="G57" s="85">
        <v>11</v>
      </c>
      <c r="H57" s="86" t="s">
        <v>27</v>
      </c>
      <c r="I57" s="85"/>
      <c r="J57" s="85"/>
      <c r="K57" s="87"/>
      <c r="L57" s="87"/>
      <c r="M57" s="87"/>
      <c r="N57" s="85"/>
      <c r="O57" s="88"/>
      <c r="P57" s="89"/>
      <c r="Q57" s="88"/>
      <c r="R57" s="90" t="s">
        <v>62</v>
      </c>
      <c r="T57" s="35">
        <v>410201</v>
      </c>
    </row>
    <row r="58" spans="1:20" ht="18" customHeight="1">
      <c r="A58" s="83">
        <v>1</v>
      </c>
      <c r="B58" s="84" t="s">
        <v>39</v>
      </c>
      <c r="C58" s="84">
        <v>2</v>
      </c>
      <c r="D58" s="84" t="s">
        <v>122</v>
      </c>
      <c r="E58" s="84">
        <v>1</v>
      </c>
      <c r="F58" s="84" t="s">
        <v>60</v>
      </c>
      <c r="G58" s="91">
        <v>11</v>
      </c>
      <c r="H58" s="84" t="s">
        <v>27</v>
      </c>
      <c r="I58" s="85">
        <v>1</v>
      </c>
      <c r="J58" s="85" t="s">
        <v>28</v>
      </c>
      <c r="K58" s="87">
        <v>1116</v>
      </c>
      <c r="L58" s="87">
        <v>752</v>
      </c>
      <c r="M58" s="87">
        <f>K58-L58</f>
        <v>364</v>
      </c>
      <c r="N58" s="85" t="s">
        <v>298</v>
      </c>
      <c r="O58" s="87">
        <v>285600</v>
      </c>
      <c r="P58" s="89"/>
      <c r="Q58" s="88"/>
      <c r="R58" s="90" t="s">
        <v>62</v>
      </c>
      <c r="T58" s="35">
        <v>410201</v>
      </c>
    </row>
    <row r="59" spans="1:20" ht="18" customHeight="1">
      <c r="A59" s="83">
        <v>1</v>
      </c>
      <c r="B59" s="84" t="s">
        <v>39</v>
      </c>
      <c r="C59" s="84">
        <v>2</v>
      </c>
      <c r="D59" s="84" t="s">
        <v>122</v>
      </c>
      <c r="E59" s="84">
        <v>1</v>
      </c>
      <c r="F59" s="84" t="s">
        <v>60</v>
      </c>
      <c r="G59" s="91">
        <v>11</v>
      </c>
      <c r="H59" s="84" t="s">
        <v>27</v>
      </c>
      <c r="I59" s="91">
        <v>1</v>
      </c>
      <c r="J59" s="91" t="s">
        <v>28</v>
      </c>
      <c r="K59" s="87"/>
      <c r="L59" s="87"/>
      <c r="M59" s="87"/>
      <c r="N59" s="85" t="s">
        <v>299</v>
      </c>
      <c r="O59" s="87">
        <v>285600</v>
      </c>
      <c r="P59" s="89"/>
      <c r="Q59" s="88"/>
      <c r="R59" s="90" t="s">
        <v>62</v>
      </c>
      <c r="T59" s="35">
        <v>410201</v>
      </c>
    </row>
    <row r="60" spans="1:20" ht="18" customHeight="1">
      <c r="A60" s="83">
        <v>1</v>
      </c>
      <c r="B60" s="84" t="s">
        <v>39</v>
      </c>
      <c r="C60" s="84">
        <v>2</v>
      </c>
      <c r="D60" s="84" t="s">
        <v>122</v>
      </c>
      <c r="E60" s="84">
        <v>1</v>
      </c>
      <c r="F60" s="84" t="s">
        <v>60</v>
      </c>
      <c r="G60" s="91">
        <v>11</v>
      </c>
      <c r="H60" s="84" t="s">
        <v>27</v>
      </c>
      <c r="I60" s="91">
        <v>1</v>
      </c>
      <c r="J60" s="91" t="s">
        <v>28</v>
      </c>
      <c r="K60" s="87"/>
      <c r="L60" s="87"/>
      <c r="M60" s="87"/>
      <c r="N60" s="85" t="s">
        <v>300</v>
      </c>
      <c r="O60" s="87">
        <v>42000</v>
      </c>
      <c r="P60" s="89"/>
      <c r="Q60" s="88"/>
      <c r="R60" s="90" t="s">
        <v>62</v>
      </c>
      <c r="T60" s="35">
        <v>410201</v>
      </c>
    </row>
    <row r="61" spans="1:20" ht="18" customHeight="1">
      <c r="A61" s="83">
        <v>1</v>
      </c>
      <c r="B61" s="84" t="s">
        <v>39</v>
      </c>
      <c r="C61" s="84">
        <v>2</v>
      </c>
      <c r="D61" s="84" t="s">
        <v>122</v>
      </c>
      <c r="E61" s="84">
        <v>1</v>
      </c>
      <c r="F61" s="84" t="s">
        <v>60</v>
      </c>
      <c r="G61" s="91">
        <v>11</v>
      </c>
      <c r="H61" s="84" t="s">
        <v>27</v>
      </c>
      <c r="I61" s="91">
        <v>1</v>
      </c>
      <c r="J61" s="91" t="s">
        <v>28</v>
      </c>
      <c r="K61" s="87"/>
      <c r="L61" s="87"/>
      <c r="M61" s="87"/>
      <c r="N61" s="85" t="s">
        <v>301</v>
      </c>
      <c r="O61" s="87">
        <v>42000</v>
      </c>
      <c r="P61" s="89"/>
      <c r="Q61" s="88"/>
      <c r="R61" s="90" t="s">
        <v>62</v>
      </c>
      <c r="T61" s="35">
        <v>410201</v>
      </c>
    </row>
    <row r="62" spans="1:20" ht="18" customHeight="1">
      <c r="A62" s="83">
        <v>1</v>
      </c>
      <c r="B62" s="84" t="s">
        <v>39</v>
      </c>
      <c r="C62" s="84">
        <v>2</v>
      </c>
      <c r="D62" s="84" t="s">
        <v>122</v>
      </c>
      <c r="E62" s="84">
        <v>1</v>
      </c>
      <c r="F62" s="84" t="s">
        <v>60</v>
      </c>
      <c r="G62" s="91">
        <v>11</v>
      </c>
      <c r="H62" s="84" t="s">
        <v>27</v>
      </c>
      <c r="I62" s="91">
        <v>1</v>
      </c>
      <c r="J62" s="91" t="s">
        <v>28</v>
      </c>
      <c r="K62" s="87"/>
      <c r="L62" s="87"/>
      <c r="M62" s="87"/>
      <c r="N62" s="85" t="s">
        <v>302</v>
      </c>
      <c r="O62" s="87">
        <v>60480</v>
      </c>
      <c r="P62" s="89"/>
      <c r="Q62" s="88"/>
      <c r="R62" s="90" t="s">
        <v>62</v>
      </c>
      <c r="T62" s="35">
        <v>410201</v>
      </c>
    </row>
    <row r="63" spans="1:20" ht="18" customHeight="1">
      <c r="A63" s="83">
        <v>1</v>
      </c>
      <c r="B63" s="84" t="s">
        <v>39</v>
      </c>
      <c r="C63" s="84">
        <v>2</v>
      </c>
      <c r="D63" s="84" t="s">
        <v>122</v>
      </c>
      <c r="E63" s="84">
        <v>1</v>
      </c>
      <c r="F63" s="84" t="s">
        <v>60</v>
      </c>
      <c r="G63" s="91">
        <v>11</v>
      </c>
      <c r="H63" s="84" t="s">
        <v>27</v>
      </c>
      <c r="I63" s="91">
        <v>1</v>
      </c>
      <c r="J63" s="91" t="s">
        <v>28</v>
      </c>
      <c r="K63" s="87"/>
      <c r="L63" s="87"/>
      <c r="M63" s="87"/>
      <c r="N63" s="85" t="s">
        <v>303</v>
      </c>
      <c r="O63" s="87">
        <v>15120</v>
      </c>
      <c r="P63" s="89"/>
      <c r="Q63" s="88"/>
      <c r="R63" s="90" t="s">
        <v>62</v>
      </c>
      <c r="T63" s="35">
        <v>410201</v>
      </c>
    </row>
    <row r="64" spans="1:20" ht="18" customHeight="1">
      <c r="A64" s="83">
        <v>1</v>
      </c>
      <c r="B64" s="84" t="s">
        <v>39</v>
      </c>
      <c r="C64" s="84">
        <v>2</v>
      </c>
      <c r="D64" s="84" t="s">
        <v>122</v>
      </c>
      <c r="E64" s="84">
        <v>1</v>
      </c>
      <c r="F64" s="84" t="s">
        <v>60</v>
      </c>
      <c r="G64" s="91">
        <v>11</v>
      </c>
      <c r="H64" s="84" t="s">
        <v>27</v>
      </c>
      <c r="I64" s="91">
        <v>1</v>
      </c>
      <c r="J64" s="91" t="s">
        <v>28</v>
      </c>
      <c r="K64" s="87"/>
      <c r="L64" s="87"/>
      <c r="M64" s="87"/>
      <c r="N64" s="85" t="s">
        <v>304</v>
      </c>
      <c r="O64" s="87">
        <v>100800</v>
      </c>
      <c r="P64" s="89"/>
      <c r="Q64" s="88"/>
      <c r="R64" s="90" t="s">
        <v>62</v>
      </c>
      <c r="T64" s="35">
        <v>410201</v>
      </c>
    </row>
    <row r="65" spans="1:20" ht="18" customHeight="1">
      <c r="A65" s="83">
        <v>1</v>
      </c>
      <c r="B65" s="84" t="s">
        <v>39</v>
      </c>
      <c r="C65" s="84">
        <v>2</v>
      </c>
      <c r="D65" s="84" t="s">
        <v>122</v>
      </c>
      <c r="E65" s="84">
        <v>1</v>
      </c>
      <c r="F65" s="84" t="s">
        <v>60</v>
      </c>
      <c r="G65" s="91">
        <v>11</v>
      </c>
      <c r="H65" s="84" t="s">
        <v>27</v>
      </c>
      <c r="I65" s="91">
        <v>1</v>
      </c>
      <c r="J65" s="91" t="s">
        <v>28</v>
      </c>
      <c r="K65" s="87"/>
      <c r="L65" s="87"/>
      <c r="M65" s="87"/>
      <c r="N65" s="85" t="s">
        <v>305</v>
      </c>
      <c r="O65" s="87">
        <v>20160</v>
      </c>
      <c r="P65" s="89"/>
      <c r="Q65" s="88"/>
      <c r="R65" s="90" t="s">
        <v>62</v>
      </c>
      <c r="T65" s="35">
        <v>410201</v>
      </c>
    </row>
    <row r="66" spans="1:20" ht="18" customHeight="1">
      <c r="A66" s="83">
        <v>1</v>
      </c>
      <c r="B66" s="84" t="s">
        <v>39</v>
      </c>
      <c r="C66" s="84">
        <v>2</v>
      </c>
      <c r="D66" s="84" t="s">
        <v>122</v>
      </c>
      <c r="E66" s="84">
        <v>1</v>
      </c>
      <c r="F66" s="84" t="s">
        <v>60</v>
      </c>
      <c r="G66" s="91">
        <v>11</v>
      </c>
      <c r="H66" s="84" t="s">
        <v>27</v>
      </c>
      <c r="I66" s="91">
        <v>1</v>
      </c>
      <c r="J66" s="91" t="s">
        <v>28</v>
      </c>
      <c r="K66" s="87"/>
      <c r="L66" s="87"/>
      <c r="M66" s="87"/>
      <c r="N66" s="85" t="s">
        <v>94</v>
      </c>
      <c r="O66" s="87">
        <v>263640</v>
      </c>
      <c r="P66" s="89"/>
      <c r="Q66" s="88"/>
      <c r="R66" s="90" t="s">
        <v>62</v>
      </c>
      <c r="T66" s="35">
        <v>410201</v>
      </c>
    </row>
    <row r="67" spans="1:20" ht="18" customHeight="1">
      <c r="A67" s="83">
        <v>1</v>
      </c>
      <c r="B67" s="84" t="s">
        <v>39</v>
      </c>
      <c r="C67" s="84">
        <v>2</v>
      </c>
      <c r="D67" s="84" t="s">
        <v>122</v>
      </c>
      <c r="E67" s="84">
        <v>1</v>
      </c>
      <c r="F67" s="84" t="s">
        <v>60</v>
      </c>
      <c r="G67" s="91">
        <v>11</v>
      </c>
      <c r="H67" s="84" t="s">
        <v>27</v>
      </c>
      <c r="I67" s="85">
        <v>3</v>
      </c>
      <c r="J67" s="85" t="s">
        <v>29</v>
      </c>
      <c r="K67" s="87">
        <v>197</v>
      </c>
      <c r="L67" s="87">
        <v>131</v>
      </c>
      <c r="M67" s="87">
        <f>K67-L67</f>
        <v>66</v>
      </c>
      <c r="N67" s="85" t="s">
        <v>306</v>
      </c>
      <c r="O67" s="87">
        <v>13200</v>
      </c>
      <c r="P67" s="89"/>
      <c r="Q67" s="88"/>
      <c r="R67" s="90" t="s">
        <v>62</v>
      </c>
      <c r="T67" s="35">
        <v>410201</v>
      </c>
    </row>
    <row r="68" spans="1:20" ht="18" customHeight="1">
      <c r="A68" s="83">
        <v>1</v>
      </c>
      <c r="B68" s="84" t="s">
        <v>39</v>
      </c>
      <c r="C68" s="84">
        <v>2</v>
      </c>
      <c r="D68" s="84" t="s">
        <v>122</v>
      </c>
      <c r="E68" s="84">
        <v>1</v>
      </c>
      <c r="F68" s="84" t="s">
        <v>60</v>
      </c>
      <c r="G68" s="91">
        <v>11</v>
      </c>
      <c r="H68" s="84" t="s">
        <v>27</v>
      </c>
      <c r="I68" s="91">
        <v>3</v>
      </c>
      <c r="J68" s="91" t="s">
        <v>29</v>
      </c>
      <c r="K68" s="87"/>
      <c r="L68" s="87"/>
      <c r="M68" s="87"/>
      <c r="N68" s="85" t="s">
        <v>307</v>
      </c>
      <c r="O68" s="87">
        <v>34000</v>
      </c>
      <c r="P68" s="89"/>
      <c r="Q68" s="88"/>
      <c r="R68" s="90" t="s">
        <v>62</v>
      </c>
      <c r="T68" s="35">
        <v>410201</v>
      </c>
    </row>
    <row r="69" spans="1:20" ht="18" customHeight="1">
      <c r="A69" s="83">
        <v>1</v>
      </c>
      <c r="B69" s="84" t="s">
        <v>39</v>
      </c>
      <c r="C69" s="84">
        <v>2</v>
      </c>
      <c r="D69" s="84" t="s">
        <v>122</v>
      </c>
      <c r="E69" s="84">
        <v>1</v>
      </c>
      <c r="F69" s="84" t="s">
        <v>60</v>
      </c>
      <c r="G69" s="91">
        <v>11</v>
      </c>
      <c r="H69" s="84" t="s">
        <v>27</v>
      </c>
      <c r="I69" s="91">
        <v>3</v>
      </c>
      <c r="J69" s="91" t="s">
        <v>29</v>
      </c>
      <c r="K69" s="87"/>
      <c r="L69" s="87"/>
      <c r="M69" s="87"/>
      <c r="N69" s="85" t="s">
        <v>308</v>
      </c>
      <c r="O69" s="87"/>
      <c r="P69" s="89"/>
      <c r="Q69" s="88"/>
      <c r="R69" s="90" t="s">
        <v>62</v>
      </c>
      <c r="T69" s="35">
        <v>410201</v>
      </c>
    </row>
    <row r="70" spans="1:20" ht="18" customHeight="1">
      <c r="A70" s="83">
        <v>1</v>
      </c>
      <c r="B70" s="84" t="s">
        <v>39</v>
      </c>
      <c r="C70" s="84">
        <v>2</v>
      </c>
      <c r="D70" s="84" t="s">
        <v>122</v>
      </c>
      <c r="E70" s="84">
        <v>1</v>
      </c>
      <c r="F70" s="84" t="s">
        <v>60</v>
      </c>
      <c r="G70" s="91">
        <v>11</v>
      </c>
      <c r="H70" s="84" t="s">
        <v>27</v>
      </c>
      <c r="I70" s="91">
        <v>3</v>
      </c>
      <c r="J70" s="91" t="s">
        <v>29</v>
      </c>
      <c r="K70" s="87"/>
      <c r="L70" s="87"/>
      <c r="M70" s="87"/>
      <c r="N70" s="85" t="s">
        <v>309</v>
      </c>
      <c r="O70" s="87">
        <v>33000</v>
      </c>
      <c r="P70" s="89"/>
      <c r="Q70" s="88"/>
      <c r="R70" s="90" t="s">
        <v>62</v>
      </c>
      <c r="T70" s="35">
        <v>410201</v>
      </c>
    </row>
    <row r="71" spans="1:20" ht="18" customHeight="1">
      <c r="A71" s="83">
        <v>1</v>
      </c>
      <c r="B71" s="84" t="s">
        <v>39</v>
      </c>
      <c r="C71" s="84">
        <v>2</v>
      </c>
      <c r="D71" s="84" t="s">
        <v>122</v>
      </c>
      <c r="E71" s="84">
        <v>1</v>
      </c>
      <c r="F71" s="84" t="s">
        <v>60</v>
      </c>
      <c r="G71" s="91">
        <v>11</v>
      </c>
      <c r="H71" s="84" t="s">
        <v>27</v>
      </c>
      <c r="I71" s="91">
        <v>3</v>
      </c>
      <c r="J71" s="91" t="s">
        <v>29</v>
      </c>
      <c r="K71" s="87"/>
      <c r="L71" s="87"/>
      <c r="M71" s="87"/>
      <c r="N71" s="85" t="s">
        <v>310</v>
      </c>
      <c r="O71" s="87">
        <v>116160</v>
      </c>
      <c r="P71" s="89"/>
      <c r="Q71" s="88"/>
      <c r="R71" s="90" t="s">
        <v>62</v>
      </c>
      <c r="T71" s="35">
        <v>410201</v>
      </c>
    </row>
    <row r="72" spans="1:20" ht="18" customHeight="1">
      <c r="A72" s="83">
        <v>1</v>
      </c>
      <c r="B72" s="84" t="s">
        <v>39</v>
      </c>
      <c r="C72" s="84">
        <v>2</v>
      </c>
      <c r="D72" s="84" t="s">
        <v>122</v>
      </c>
      <c r="E72" s="84">
        <v>1</v>
      </c>
      <c r="F72" s="84" t="s">
        <v>60</v>
      </c>
      <c r="G72" s="85">
        <v>18</v>
      </c>
      <c r="H72" s="86" t="s">
        <v>38</v>
      </c>
      <c r="I72" s="85"/>
      <c r="J72" s="85"/>
      <c r="K72" s="87"/>
      <c r="L72" s="87"/>
      <c r="M72" s="87"/>
      <c r="N72" s="85"/>
      <c r="O72" s="88"/>
      <c r="P72" s="89"/>
      <c r="Q72" s="88"/>
      <c r="R72" s="90" t="s">
        <v>62</v>
      </c>
      <c r="T72" s="35">
        <v>410201</v>
      </c>
    </row>
    <row r="73" spans="1:20" ht="18" customHeight="1">
      <c r="A73" s="83">
        <v>1</v>
      </c>
      <c r="B73" s="84" t="s">
        <v>39</v>
      </c>
      <c r="C73" s="84">
        <v>2</v>
      </c>
      <c r="D73" s="84" t="s">
        <v>122</v>
      </c>
      <c r="E73" s="84">
        <v>1</v>
      </c>
      <c r="F73" s="84" t="s">
        <v>60</v>
      </c>
      <c r="G73" s="91">
        <v>18</v>
      </c>
      <c r="H73" s="84" t="s">
        <v>38</v>
      </c>
      <c r="I73" s="85">
        <v>11</v>
      </c>
      <c r="J73" s="85" t="s">
        <v>311</v>
      </c>
      <c r="K73" s="87">
        <v>63</v>
      </c>
      <c r="L73" s="87">
        <v>63</v>
      </c>
      <c r="M73" s="87">
        <f>K73-L73</f>
        <v>0</v>
      </c>
      <c r="N73" s="85" t="s">
        <v>312</v>
      </c>
      <c r="O73" s="87">
        <v>62400</v>
      </c>
      <c r="P73" s="89"/>
      <c r="Q73" s="88"/>
      <c r="R73" s="90" t="s">
        <v>62</v>
      </c>
      <c r="T73" s="35">
        <v>410201</v>
      </c>
    </row>
    <row r="74" spans="1:20" ht="18" customHeight="1">
      <c r="A74" s="65">
        <v>1</v>
      </c>
      <c r="B74" s="66" t="s">
        <v>39</v>
      </c>
      <c r="C74" s="67">
        <v>3</v>
      </c>
      <c r="D74" s="67" t="s">
        <v>313</v>
      </c>
      <c r="E74" s="68"/>
      <c r="F74" s="67"/>
      <c r="G74" s="68"/>
      <c r="H74" s="67"/>
      <c r="I74" s="68"/>
      <c r="J74" s="68"/>
      <c r="K74" s="69">
        <f>IF(C74="",SUMIFS($K75:$K$783,$A75:$A$783,A74,$E75:$E$783,""),IF(E74="",SUMIFS($K75:$K$783,$A75:$A$783,A74,$C75:$C$783,C74,$G75:$G$783,""),IF(G74="",SUMIFS($K75:$K$783,$A75:$A$783,A74,$C75:$C$783,C74,$E75:$E$783,E74,$R75:$R$783,R74),IF(I74="",SUMIFS($K75:$K$783,$A75:$A$783,A74,$C75:$C$783,C74,$E75:$E$783,E74,$G75:$G$783,G74,$R75:$R$783,R74),0))))</f>
        <v>10552</v>
      </c>
      <c r="L74" s="69">
        <f>IF(C74="",SUMIFS($L75:$L$783,$A75:$A$783,A74,$E75:$E$783,""),IF(E74="",SUMIFS($L75:$L$783,$A75:$A$783,A74,$C75:$C$783,C74,$G75:$G$783,""),IF(G74="",SUMIFS($L75:$L$783,$A75:$A$783,A74,$C75:$C$783,C74,$E75:$E$783,E74,$R75:$R$783,R74),IF(I74="",SUMIFS($L75:$L$783,$A75:$A$783,A74,$C75:$C$783,C74,$E75:$E$783,E74,$G75:$G$783,G74,$R75:$R$783,R74),0))))</f>
        <v>8869</v>
      </c>
      <c r="M74" s="69">
        <f t="shared" ref="M74:M75" si="2">K74-L74</f>
        <v>1683</v>
      </c>
      <c r="N74" s="70"/>
      <c r="O74" s="71"/>
      <c r="P74" s="72"/>
      <c r="Q74" s="69">
        <f>IF(C74="",SUMIFS($Q75:$Q$783,$A75:$A$783,A74,$E75:$E$783,""),IF(E74="",SUMIFS($Q75:$Q$783,$A75:$A$783,A74,$C75:$C$783,C74,$G75:$G$783,""),IF(G74="",SUMIFS($Q75:$Q$783,$A75:$A$783,A74,$C75:$C$783,C74,$E75:$E$783,E74,$R75:$R$783,R74),IF(I74="",SUMIFS($Q75:$Q$783,$A75:$A$783,A74,$C75:$C$783,C74,$E75:$E$783,E74,$G75:$G$783,G74,$R75:$R$783,R74),0))))</f>
        <v>10552</v>
      </c>
      <c r="R74" s="73"/>
      <c r="T74" s="35">
        <v>410301</v>
      </c>
    </row>
    <row r="75" spans="1:20" ht="18" customHeight="1">
      <c r="A75" s="65">
        <v>1</v>
      </c>
      <c r="B75" s="66" t="s">
        <v>86</v>
      </c>
      <c r="C75" s="74">
        <v>3</v>
      </c>
      <c r="D75" s="66" t="s">
        <v>233</v>
      </c>
      <c r="E75" s="75">
        <v>1</v>
      </c>
      <c r="F75" s="76" t="s">
        <v>313</v>
      </c>
      <c r="G75" s="75"/>
      <c r="H75" s="76"/>
      <c r="I75" s="75"/>
      <c r="J75" s="75"/>
      <c r="K75" s="77">
        <f>IF(C75="",SUMIFS($K76:$K$783,$A76:$A$783,A75,$E76:$E$783,""),IF(E75="",SUMIFS($K76:$K$783,$A76:$A$783,A75,$C76:$C$783,C75,$G76:$G$783,""),IF(G75="",SUMIFS($K76:$K$783,$A76:$A$783,A75,$C76:$C$783,C75,$E76:$E$783,E75,$R76:$R$783,R75),IF(I75="",SUMIFS($K76:$K$783,$A76:$A$783,A75,$C76:$C$783,C75,$E76:$E$783,E75,$G76:$G$783,G75,$R76:$R$783,R75),0))))</f>
        <v>3156</v>
      </c>
      <c r="L75" s="77">
        <f>IF(C75="",SUMIFS($L76:$L$783,$A76:$A$783,A75,$E76:$E$783,""),IF(E75="",SUMIFS($L76:$L$783,$A76:$A$783,A75,$C76:$C$783,C75,$G76:$G$783,""),IF(G75="",SUMIFS($L76:$L$783,$A76:$A$783,A75,$C76:$C$783,C75,$E76:$E$783,E75,$R76:$R$783,R75),IF(I75="",SUMIFS($L76:$L$783,$A76:$A$783,A75,$C76:$C$783,C75,$E76:$E$783,E75,$G76:$G$783,G75,$R76:$R$783,R75),0))))</f>
        <v>3416</v>
      </c>
      <c r="M75" s="77">
        <f t="shared" si="2"/>
        <v>-260</v>
      </c>
      <c r="N75" s="78"/>
      <c r="O75" s="79"/>
      <c r="P75" s="80"/>
      <c r="Q75" s="81">
        <f>IF(C75="",SUMIFS($Q76:$Q$781,$A76:$A$781,A75,$E76:$E$781,""),IF(E75="",SUMIFS($Q76:$Q$781,$A76:$A$781,A75,$C76:$C$781,C75,$G76:$G$781,""),IF(G75="",SUMIFS($Q76:$Q$781,$A76:$A$781,A75,$C76:$C$781,C75,$E76:$E$781,E75,$R76:$R$781,R75),IF(I75="",SUMIFS($Q76:$Q$781,$A76:$A$781,A75,$C76:$C$781,C75,$E76:$E$781,E75,$G76:$G$781,G75,$R76:$R$781,R75),0))))</f>
        <v>3156</v>
      </c>
      <c r="R75" s="82" t="s">
        <v>62</v>
      </c>
      <c r="T75" s="35">
        <v>410301</v>
      </c>
    </row>
    <row r="76" spans="1:20" ht="18" customHeight="1">
      <c r="A76" s="83">
        <v>1</v>
      </c>
      <c r="B76" s="84" t="s">
        <v>39</v>
      </c>
      <c r="C76" s="84">
        <v>3</v>
      </c>
      <c r="D76" s="84" t="s">
        <v>233</v>
      </c>
      <c r="E76" s="84">
        <v>1</v>
      </c>
      <c r="F76" s="84" t="s">
        <v>233</v>
      </c>
      <c r="G76" s="85">
        <v>18</v>
      </c>
      <c r="H76" s="86" t="s">
        <v>38</v>
      </c>
      <c r="I76" s="85"/>
      <c r="J76" s="85"/>
      <c r="K76" s="87"/>
      <c r="L76" s="87"/>
      <c r="M76" s="87"/>
      <c r="N76" s="85"/>
      <c r="O76" s="88"/>
      <c r="P76" s="89" t="s">
        <v>253</v>
      </c>
      <c r="Q76" s="88">
        <v>3156</v>
      </c>
      <c r="R76" s="90" t="s">
        <v>62</v>
      </c>
      <c r="T76" s="35">
        <v>410301</v>
      </c>
    </row>
    <row r="77" spans="1:20" ht="18" customHeight="1">
      <c r="A77" s="83">
        <v>1</v>
      </c>
      <c r="B77" s="84" t="s">
        <v>39</v>
      </c>
      <c r="C77" s="84">
        <v>3</v>
      </c>
      <c r="D77" s="84" t="s">
        <v>233</v>
      </c>
      <c r="E77" s="84">
        <v>1</v>
      </c>
      <c r="F77" s="84" t="s">
        <v>233</v>
      </c>
      <c r="G77" s="91">
        <v>18</v>
      </c>
      <c r="H77" s="84" t="s">
        <v>38</v>
      </c>
      <c r="I77" s="85">
        <v>11</v>
      </c>
      <c r="J77" s="85" t="s">
        <v>314</v>
      </c>
      <c r="K77" s="87">
        <v>3156</v>
      </c>
      <c r="L77" s="87">
        <v>3416</v>
      </c>
      <c r="M77" s="87">
        <f>K77-L77</f>
        <v>-260</v>
      </c>
      <c r="N77" s="85" t="s">
        <v>314</v>
      </c>
      <c r="O77" s="87">
        <v>3156000</v>
      </c>
      <c r="P77" s="89" t="s">
        <v>255</v>
      </c>
      <c r="Q77" s="88"/>
      <c r="R77" s="90" t="s">
        <v>62</v>
      </c>
      <c r="T77" s="35">
        <v>410301</v>
      </c>
    </row>
    <row r="78" spans="1:20" ht="18" customHeight="1">
      <c r="A78" s="65">
        <v>1</v>
      </c>
      <c r="B78" s="66" t="s">
        <v>86</v>
      </c>
      <c r="C78" s="74">
        <v>3</v>
      </c>
      <c r="D78" s="66" t="s">
        <v>233</v>
      </c>
      <c r="E78" s="75">
        <v>2</v>
      </c>
      <c r="F78" s="76" t="s">
        <v>315</v>
      </c>
      <c r="G78" s="75"/>
      <c r="H78" s="76"/>
      <c r="I78" s="75"/>
      <c r="J78" s="75"/>
      <c r="K78" s="77">
        <f>IF(C78="",SUMIFS($K79:$K$783,$A79:$A$783,A78,$E79:$E$783,""),IF(E78="",SUMIFS($K79:$K$783,$A79:$A$783,A78,$C79:$C$783,C78,$G79:$G$783,""),IF(G78="",SUMIFS($K79:$K$783,$A79:$A$783,A78,$C79:$C$783,C78,$E79:$E$783,E78,$R79:$R$783,R78),IF(I78="",SUMIFS($K79:$K$783,$A79:$A$783,A78,$C79:$C$783,C78,$E79:$E$783,E78,$G79:$G$783,G78,$R79:$R$783,R78),0))))</f>
        <v>7396</v>
      </c>
      <c r="L78" s="77">
        <f>IF(C78="",SUMIFS($L79:$L$783,$A79:$A$783,A78,$E79:$E$783,""),IF(E78="",SUMIFS($L79:$L$783,$A79:$A$783,A78,$C79:$C$783,C78,$G79:$G$783,""),IF(G78="",SUMIFS($L79:$L$783,$A79:$A$783,A78,$C79:$C$783,C78,$E79:$E$783,E78,$R79:$R$783,R78),IF(I78="",SUMIFS($L79:$L$783,$A79:$A$783,A78,$C79:$C$783,C78,$E79:$E$783,E78,$G79:$G$783,G78,$R79:$R$783,R78),0))))</f>
        <v>5453</v>
      </c>
      <c r="M78" s="77">
        <f t="shared" ref="M78" si="3">K78-L78</f>
        <v>1943</v>
      </c>
      <c r="N78" s="78"/>
      <c r="O78" s="79"/>
      <c r="P78" s="80"/>
      <c r="Q78" s="81">
        <f>IF(C78="",SUMIFS($Q79:$Q$781,$A79:$A$781,A78,$E79:$E$781,""),IF(E78="",SUMIFS($Q79:$Q$781,$A79:$A$781,A78,$C79:$C$781,C78,$G79:$G$781,""),IF(G78="",SUMIFS($Q79:$Q$781,$A79:$A$781,A78,$C79:$C$781,C78,$E79:$E$781,E78,$R79:$R$781,R78),IF(I78="",SUMIFS($Q79:$Q$781,$A79:$A$781,A78,$C79:$C$781,C78,$E79:$E$781,E78,$G79:$G$781,G78,$R79:$R$781,R78),0))))</f>
        <v>7396</v>
      </c>
      <c r="R78" s="82" t="s">
        <v>62</v>
      </c>
      <c r="T78" s="35">
        <v>410302</v>
      </c>
    </row>
    <row r="79" spans="1:20" ht="18" customHeight="1">
      <c r="A79" s="83">
        <v>1</v>
      </c>
      <c r="B79" s="84" t="s">
        <v>39</v>
      </c>
      <c r="C79" s="84">
        <v>3</v>
      </c>
      <c r="D79" s="84" t="s">
        <v>233</v>
      </c>
      <c r="E79" s="84">
        <v>2</v>
      </c>
      <c r="F79" s="84" t="s">
        <v>236</v>
      </c>
      <c r="G79" s="85">
        <v>2</v>
      </c>
      <c r="H79" s="86" t="s">
        <v>7</v>
      </c>
      <c r="I79" s="85"/>
      <c r="J79" s="85"/>
      <c r="K79" s="87"/>
      <c r="L79" s="87"/>
      <c r="M79" s="87"/>
      <c r="N79" s="85"/>
      <c r="O79" s="88"/>
      <c r="P79" s="89" t="s">
        <v>253</v>
      </c>
      <c r="Q79" s="88">
        <v>7396</v>
      </c>
      <c r="R79" s="90" t="s">
        <v>62</v>
      </c>
      <c r="T79" s="35">
        <v>410302</v>
      </c>
    </row>
    <row r="80" spans="1:20" ht="18" customHeight="1">
      <c r="A80" s="83">
        <v>1</v>
      </c>
      <c r="B80" s="84" t="s">
        <v>39</v>
      </c>
      <c r="C80" s="84">
        <v>3</v>
      </c>
      <c r="D80" s="84" t="s">
        <v>233</v>
      </c>
      <c r="E80" s="84">
        <v>2</v>
      </c>
      <c r="F80" s="84" t="s">
        <v>236</v>
      </c>
      <c r="G80" s="91">
        <v>2</v>
      </c>
      <c r="H80" s="84" t="s">
        <v>7</v>
      </c>
      <c r="I80" s="85">
        <v>4</v>
      </c>
      <c r="J80" s="85" t="s">
        <v>42</v>
      </c>
      <c r="K80" s="87">
        <v>1949</v>
      </c>
      <c r="L80" s="87">
        <v>1334</v>
      </c>
      <c r="M80" s="87">
        <f>K80-L80</f>
        <v>615</v>
      </c>
      <c r="N80" s="85" t="s">
        <v>316</v>
      </c>
      <c r="O80" s="87">
        <v>1948500</v>
      </c>
      <c r="P80" s="89" t="s">
        <v>255</v>
      </c>
      <c r="Q80" s="88"/>
      <c r="R80" s="90" t="s">
        <v>62</v>
      </c>
      <c r="T80" s="35">
        <v>410302</v>
      </c>
    </row>
    <row r="81" spans="1:20" ht="18" customHeight="1">
      <c r="A81" s="83">
        <v>1</v>
      </c>
      <c r="B81" s="84" t="s">
        <v>39</v>
      </c>
      <c r="C81" s="84">
        <v>3</v>
      </c>
      <c r="D81" s="84" t="s">
        <v>233</v>
      </c>
      <c r="E81" s="84">
        <v>2</v>
      </c>
      <c r="F81" s="84" t="s">
        <v>236</v>
      </c>
      <c r="G81" s="85">
        <v>3</v>
      </c>
      <c r="H81" s="86" t="s">
        <v>9</v>
      </c>
      <c r="I81" s="85"/>
      <c r="J81" s="85"/>
      <c r="K81" s="87"/>
      <c r="L81" s="87"/>
      <c r="M81" s="87"/>
      <c r="N81" s="85"/>
      <c r="O81" s="88"/>
      <c r="P81" s="89"/>
      <c r="Q81" s="88"/>
      <c r="R81" s="90" t="s">
        <v>62</v>
      </c>
      <c r="T81" s="35">
        <v>410302</v>
      </c>
    </row>
    <row r="82" spans="1:20" ht="18" customHeight="1">
      <c r="A82" s="83">
        <v>1</v>
      </c>
      <c r="B82" s="84" t="s">
        <v>39</v>
      </c>
      <c r="C82" s="84">
        <v>3</v>
      </c>
      <c r="D82" s="84" t="s">
        <v>233</v>
      </c>
      <c r="E82" s="84">
        <v>2</v>
      </c>
      <c r="F82" s="84" t="s">
        <v>236</v>
      </c>
      <c r="G82" s="91">
        <v>3</v>
      </c>
      <c r="H82" s="84" t="s">
        <v>9</v>
      </c>
      <c r="I82" s="85">
        <v>50</v>
      </c>
      <c r="J82" s="85" t="s">
        <v>44</v>
      </c>
      <c r="K82" s="87">
        <v>588</v>
      </c>
      <c r="L82" s="87">
        <v>267</v>
      </c>
      <c r="M82" s="87">
        <f>K82-L82</f>
        <v>321</v>
      </c>
      <c r="N82" s="85" t="s">
        <v>316</v>
      </c>
      <c r="O82" s="87">
        <v>587265</v>
      </c>
      <c r="P82" s="89"/>
      <c r="Q82" s="88"/>
      <c r="R82" s="90" t="s">
        <v>62</v>
      </c>
      <c r="T82" s="35">
        <v>410302</v>
      </c>
    </row>
    <row r="83" spans="1:20" ht="18" customHeight="1">
      <c r="A83" s="83">
        <v>1</v>
      </c>
      <c r="B83" s="84" t="s">
        <v>39</v>
      </c>
      <c r="C83" s="84">
        <v>3</v>
      </c>
      <c r="D83" s="84" t="s">
        <v>233</v>
      </c>
      <c r="E83" s="84">
        <v>2</v>
      </c>
      <c r="F83" s="84" t="s">
        <v>236</v>
      </c>
      <c r="G83" s="91">
        <v>3</v>
      </c>
      <c r="H83" s="84" t="s">
        <v>9</v>
      </c>
      <c r="I83" s="85">
        <v>51</v>
      </c>
      <c r="J83" s="85" t="s">
        <v>45</v>
      </c>
      <c r="K83" s="87">
        <v>12</v>
      </c>
      <c r="L83" s="87">
        <v>0</v>
      </c>
      <c r="M83" s="87">
        <f>K83-L83</f>
        <v>12</v>
      </c>
      <c r="N83" s="85" t="s">
        <v>317</v>
      </c>
      <c r="O83" s="87">
        <v>12000</v>
      </c>
      <c r="P83" s="89"/>
      <c r="Q83" s="88"/>
      <c r="R83" s="90" t="s">
        <v>62</v>
      </c>
      <c r="T83" s="35">
        <v>410302</v>
      </c>
    </row>
    <row r="84" spans="1:20" ht="18" customHeight="1">
      <c r="A84" s="83">
        <v>1</v>
      </c>
      <c r="B84" s="84" t="s">
        <v>39</v>
      </c>
      <c r="C84" s="84">
        <v>3</v>
      </c>
      <c r="D84" s="84" t="s">
        <v>233</v>
      </c>
      <c r="E84" s="84">
        <v>2</v>
      </c>
      <c r="F84" s="84" t="s">
        <v>236</v>
      </c>
      <c r="G84" s="91">
        <v>3</v>
      </c>
      <c r="H84" s="84" t="s">
        <v>9</v>
      </c>
      <c r="I84" s="85">
        <v>53</v>
      </c>
      <c r="J84" s="85" t="s">
        <v>93</v>
      </c>
      <c r="K84" s="87">
        <v>492</v>
      </c>
      <c r="L84" s="87">
        <v>0</v>
      </c>
      <c r="M84" s="87">
        <f>K84-L84</f>
        <v>492</v>
      </c>
      <c r="N84" s="85" t="s">
        <v>318</v>
      </c>
      <c r="O84" s="87">
        <v>491385</v>
      </c>
      <c r="P84" s="89"/>
      <c r="Q84" s="88"/>
      <c r="R84" s="90" t="s">
        <v>62</v>
      </c>
      <c r="T84" s="35">
        <v>410302</v>
      </c>
    </row>
    <row r="85" spans="1:20" ht="18" customHeight="1">
      <c r="A85" s="83">
        <v>1</v>
      </c>
      <c r="B85" s="84" t="s">
        <v>39</v>
      </c>
      <c r="C85" s="84">
        <v>3</v>
      </c>
      <c r="D85" s="84" t="s">
        <v>233</v>
      </c>
      <c r="E85" s="84">
        <v>2</v>
      </c>
      <c r="F85" s="84" t="s">
        <v>236</v>
      </c>
      <c r="G85" s="85">
        <v>4</v>
      </c>
      <c r="H85" s="86" t="s">
        <v>16</v>
      </c>
      <c r="I85" s="85"/>
      <c r="J85" s="85"/>
      <c r="K85" s="87"/>
      <c r="L85" s="87"/>
      <c r="M85" s="87"/>
      <c r="N85" s="85"/>
      <c r="O85" s="88"/>
      <c r="P85" s="89"/>
      <c r="Q85" s="88"/>
      <c r="R85" s="90" t="s">
        <v>62</v>
      </c>
      <c r="T85" s="35">
        <v>410302</v>
      </c>
    </row>
    <row r="86" spans="1:20" ht="18" customHeight="1">
      <c r="A86" s="83">
        <v>1</v>
      </c>
      <c r="B86" s="84" t="s">
        <v>39</v>
      </c>
      <c r="C86" s="84">
        <v>3</v>
      </c>
      <c r="D86" s="84" t="s">
        <v>233</v>
      </c>
      <c r="E86" s="84">
        <v>2</v>
      </c>
      <c r="F86" s="84" t="s">
        <v>236</v>
      </c>
      <c r="G86" s="91">
        <v>4</v>
      </c>
      <c r="H86" s="84" t="s">
        <v>16</v>
      </c>
      <c r="I86" s="85">
        <v>32</v>
      </c>
      <c r="J86" s="85" t="s">
        <v>66</v>
      </c>
      <c r="K86" s="87">
        <v>515</v>
      </c>
      <c r="L86" s="87">
        <v>96</v>
      </c>
      <c r="M86" s="87">
        <f>K86-L86</f>
        <v>419</v>
      </c>
      <c r="N86" s="85" t="s">
        <v>316</v>
      </c>
      <c r="O86" s="87">
        <v>514540</v>
      </c>
      <c r="P86" s="89"/>
      <c r="Q86" s="88"/>
      <c r="R86" s="90" t="s">
        <v>62</v>
      </c>
      <c r="T86" s="35">
        <v>410302</v>
      </c>
    </row>
    <row r="87" spans="1:20" ht="18" customHeight="1">
      <c r="A87" s="83">
        <v>1</v>
      </c>
      <c r="B87" s="84" t="s">
        <v>39</v>
      </c>
      <c r="C87" s="84">
        <v>3</v>
      </c>
      <c r="D87" s="84" t="s">
        <v>233</v>
      </c>
      <c r="E87" s="84">
        <v>2</v>
      </c>
      <c r="F87" s="84" t="s">
        <v>236</v>
      </c>
      <c r="G87" s="91">
        <v>4</v>
      </c>
      <c r="H87" s="84" t="s">
        <v>16</v>
      </c>
      <c r="I87" s="85">
        <v>41</v>
      </c>
      <c r="J87" s="85" t="s">
        <v>46</v>
      </c>
      <c r="K87" s="87">
        <v>238</v>
      </c>
      <c r="L87" s="87">
        <v>191</v>
      </c>
      <c r="M87" s="87">
        <f>K87-L87</f>
        <v>47</v>
      </c>
      <c r="N87" s="85" t="s">
        <v>316</v>
      </c>
      <c r="O87" s="87">
        <v>237480</v>
      </c>
      <c r="P87" s="89"/>
      <c r="Q87" s="88"/>
      <c r="R87" s="90" t="s">
        <v>62</v>
      </c>
      <c r="T87" s="35">
        <v>410302</v>
      </c>
    </row>
    <row r="88" spans="1:20" ht="18" customHeight="1">
      <c r="A88" s="83">
        <v>1</v>
      </c>
      <c r="B88" s="84" t="s">
        <v>39</v>
      </c>
      <c r="C88" s="84">
        <v>3</v>
      </c>
      <c r="D88" s="84" t="s">
        <v>233</v>
      </c>
      <c r="E88" s="84">
        <v>2</v>
      </c>
      <c r="F88" s="84" t="s">
        <v>236</v>
      </c>
      <c r="G88" s="85">
        <v>8</v>
      </c>
      <c r="H88" s="86" t="s">
        <v>20</v>
      </c>
      <c r="I88" s="85"/>
      <c r="J88" s="85"/>
      <c r="K88" s="87"/>
      <c r="L88" s="87"/>
      <c r="M88" s="87"/>
      <c r="N88" s="85"/>
      <c r="O88" s="88"/>
      <c r="P88" s="89"/>
      <c r="Q88" s="88"/>
      <c r="R88" s="90" t="s">
        <v>62</v>
      </c>
      <c r="T88" s="35">
        <v>410302</v>
      </c>
    </row>
    <row r="89" spans="1:20" ht="18" customHeight="1">
      <c r="A89" s="83">
        <v>1</v>
      </c>
      <c r="B89" s="84" t="s">
        <v>39</v>
      </c>
      <c r="C89" s="84">
        <v>3</v>
      </c>
      <c r="D89" s="84" t="s">
        <v>233</v>
      </c>
      <c r="E89" s="84">
        <v>2</v>
      </c>
      <c r="F89" s="84" t="s">
        <v>236</v>
      </c>
      <c r="G89" s="91">
        <v>8</v>
      </c>
      <c r="H89" s="84" t="s">
        <v>20</v>
      </c>
      <c r="I89" s="85">
        <v>2</v>
      </c>
      <c r="J89" s="85" t="s">
        <v>21</v>
      </c>
      <c r="K89" s="87">
        <v>22</v>
      </c>
      <c r="L89" s="87">
        <v>22</v>
      </c>
      <c r="M89" s="87">
        <f>K89-L89</f>
        <v>0</v>
      </c>
      <c r="N89" s="85" t="s">
        <v>319</v>
      </c>
      <c r="O89" s="87">
        <v>21600</v>
      </c>
      <c r="P89" s="89"/>
      <c r="Q89" s="88"/>
      <c r="R89" s="90" t="s">
        <v>62</v>
      </c>
      <c r="T89" s="35">
        <v>410302</v>
      </c>
    </row>
    <row r="90" spans="1:20" ht="18" customHeight="1">
      <c r="A90" s="83">
        <v>1</v>
      </c>
      <c r="B90" s="84" t="s">
        <v>39</v>
      </c>
      <c r="C90" s="84">
        <v>3</v>
      </c>
      <c r="D90" s="84" t="s">
        <v>233</v>
      </c>
      <c r="E90" s="84">
        <v>2</v>
      </c>
      <c r="F90" s="84" t="s">
        <v>236</v>
      </c>
      <c r="G90" s="85">
        <v>10</v>
      </c>
      <c r="H90" s="86" t="s">
        <v>23</v>
      </c>
      <c r="I90" s="85"/>
      <c r="J90" s="85"/>
      <c r="K90" s="87"/>
      <c r="L90" s="87"/>
      <c r="M90" s="87"/>
      <c r="N90" s="85"/>
      <c r="O90" s="88"/>
      <c r="P90" s="89"/>
      <c r="Q90" s="88"/>
      <c r="R90" s="90" t="s">
        <v>62</v>
      </c>
      <c r="T90" s="35">
        <v>410302</v>
      </c>
    </row>
    <row r="91" spans="1:20" ht="18" customHeight="1">
      <c r="A91" s="83">
        <v>1</v>
      </c>
      <c r="B91" s="84" t="s">
        <v>39</v>
      </c>
      <c r="C91" s="84">
        <v>3</v>
      </c>
      <c r="D91" s="84" t="s">
        <v>233</v>
      </c>
      <c r="E91" s="84">
        <v>2</v>
      </c>
      <c r="F91" s="84" t="s">
        <v>236</v>
      </c>
      <c r="G91" s="91">
        <v>10</v>
      </c>
      <c r="H91" s="84" t="s">
        <v>23</v>
      </c>
      <c r="I91" s="85">
        <v>1</v>
      </c>
      <c r="J91" s="85" t="s">
        <v>24</v>
      </c>
      <c r="K91" s="87">
        <v>30</v>
      </c>
      <c r="L91" s="87">
        <v>30</v>
      </c>
      <c r="M91" s="87">
        <f>K91-L91</f>
        <v>0</v>
      </c>
      <c r="N91" s="85" t="s">
        <v>320</v>
      </c>
      <c r="O91" s="87">
        <v>30000</v>
      </c>
      <c r="P91" s="89"/>
      <c r="Q91" s="88"/>
      <c r="R91" s="90" t="s">
        <v>62</v>
      </c>
      <c r="T91" s="35">
        <v>410302</v>
      </c>
    </row>
    <row r="92" spans="1:20" ht="18" customHeight="1">
      <c r="A92" s="83">
        <v>1</v>
      </c>
      <c r="B92" s="84" t="s">
        <v>39</v>
      </c>
      <c r="C92" s="84">
        <v>3</v>
      </c>
      <c r="D92" s="84" t="s">
        <v>233</v>
      </c>
      <c r="E92" s="84">
        <v>2</v>
      </c>
      <c r="F92" s="84" t="s">
        <v>236</v>
      </c>
      <c r="G92" s="91">
        <v>10</v>
      </c>
      <c r="H92" s="84" t="s">
        <v>23</v>
      </c>
      <c r="I92" s="85">
        <v>4</v>
      </c>
      <c r="J92" s="85" t="s">
        <v>26</v>
      </c>
      <c r="K92" s="87">
        <v>22</v>
      </c>
      <c r="L92" s="87">
        <v>22</v>
      </c>
      <c r="M92" s="87">
        <f>K92-L92</f>
        <v>0</v>
      </c>
      <c r="N92" s="85" t="s">
        <v>321</v>
      </c>
      <c r="O92" s="87">
        <v>22000</v>
      </c>
      <c r="P92" s="89"/>
      <c r="Q92" s="88"/>
      <c r="R92" s="90" t="s">
        <v>62</v>
      </c>
      <c r="T92" s="35">
        <v>410302</v>
      </c>
    </row>
    <row r="93" spans="1:20" ht="18" customHeight="1">
      <c r="A93" s="83">
        <v>1</v>
      </c>
      <c r="B93" s="84" t="s">
        <v>39</v>
      </c>
      <c r="C93" s="84">
        <v>3</v>
      </c>
      <c r="D93" s="84" t="s">
        <v>233</v>
      </c>
      <c r="E93" s="84">
        <v>2</v>
      </c>
      <c r="F93" s="84" t="s">
        <v>236</v>
      </c>
      <c r="G93" s="85">
        <v>11</v>
      </c>
      <c r="H93" s="86" t="s">
        <v>27</v>
      </c>
      <c r="I93" s="85"/>
      <c r="J93" s="85"/>
      <c r="K93" s="87"/>
      <c r="L93" s="87"/>
      <c r="M93" s="87"/>
      <c r="N93" s="85"/>
      <c r="O93" s="88"/>
      <c r="P93" s="89"/>
      <c r="Q93" s="88"/>
      <c r="R93" s="90" t="s">
        <v>62</v>
      </c>
      <c r="T93" s="35">
        <v>410302</v>
      </c>
    </row>
    <row r="94" spans="1:20" ht="18" customHeight="1">
      <c r="A94" s="83">
        <v>1</v>
      </c>
      <c r="B94" s="84" t="s">
        <v>39</v>
      </c>
      <c r="C94" s="84">
        <v>3</v>
      </c>
      <c r="D94" s="84" t="s">
        <v>233</v>
      </c>
      <c r="E94" s="84">
        <v>2</v>
      </c>
      <c r="F94" s="84" t="s">
        <v>236</v>
      </c>
      <c r="G94" s="91">
        <v>11</v>
      </c>
      <c r="H94" s="84" t="s">
        <v>27</v>
      </c>
      <c r="I94" s="85">
        <v>1</v>
      </c>
      <c r="J94" s="85" t="s">
        <v>28</v>
      </c>
      <c r="K94" s="87">
        <v>260</v>
      </c>
      <c r="L94" s="87">
        <v>219</v>
      </c>
      <c r="M94" s="87">
        <f>K94-L94</f>
        <v>41</v>
      </c>
      <c r="N94" s="85" t="s">
        <v>322</v>
      </c>
      <c r="O94" s="87">
        <v>42000</v>
      </c>
      <c r="P94" s="89"/>
      <c r="Q94" s="88"/>
      <c r="R94" s="90" t="s">
        <v>62</v>
      </c>
      <c r="T94" s="35">
        <v>410302</v>
      </c>
    </row>
    <row r="95" spans="1:20" ht="18" customHeight="1">
      <c r="A95" s="83">
        <v>1</v>
      </c>
      <c r="B95" s="84" t="s">
        <v>39</v>
      </c>
      <c r="C95" s="84">
        <v>3</v>
      </c>
      <c r="D95" s="84" t="s">
        <v>233</v>
      </c>
      <c r="E95" s="84">
        <v>2</v>
      </c>
      <c r="F95" s="84" t="s">
        <v>236</v>
      </c>
      <c r="G95" s="91">
        <v>11</v>
      </c>
      <c r="H95" s="84" t="s">
        <v>27</v>
      </c>
      <c r="I95" s="91">
        <v>1</v>
      </c>
      <c r="J95" s="91" t="s">
        <v>28</v>
      </c>
      <c r="K95" s="87"/>
      <c r="L95" s="87"/>
      <c r="M95" s="87"/>
      <c r="N95" s="85" t="s">
        <v>323</v>
      </c>
      <c r="O95" s="87">
        <v>50400</v>
      </c>
      <c r="P95" s="89"/>
      <c r="Q95" s="88"/>
      <c r="R95" s="90" t="s">
        <v>62</v>
      </c>
      <c r="T95" s="35">
        <v>410302</v>
      </c>
    </row>
    <row r="96" spans="1:20" ht="18" customHeight="1">
      <c r="A96" s="83">
        <v>1</v>
      </c>
      <c r="B96" s="84" t="s">
        <v>39</v>
      </c>
      <c r="C96" s="84">
        <v>3</v>
      </c>
      <c r="D96" s="84" t="s">
        <v>233</v>
      </c>
      <c r="E96" s="84">
        <v>2</v>
      </c>
      <c r="F96" s="84" t="s">
        <v>236</v>
      </c>
      <c r="G96" s="91">
        <v>11</v>
      </c>
      <c r="H96" s="84" t="s">
        <v>27</v>
      </c>
      <c r="I96" s="91">
        <v>1</v>
      </c>
      <c r="J96" s="91" t="s">
        <v>28</v>
      </c>
      <c r="K96" s="87"/>
      <c r="L96" s="87"/>
      <c r="M96" s="87"/>
      <c r="N96" s="85" t="s">
        <v>324</v>
      </c>
      <c r="O96" s="87">
        <v>42000</v>
      </c>
      <c r="P96" s="89"/>
      <c r="Q96" s="88"/>
      <c r="R96" s="90" t="s">
        <v>62</v>
      </c>
      <c r="T96" s="35">
        <v>410302</v>
      </c>
    </row>
    <row r="97" spans="1:20" ht="18" customHeight="1">
      <c r="A97" s="83">
        <v>1</v>
      </c>
      <c r="B97" s="84" t="s">
        <v>39</v>
      </c>
      <c r="C97" s="84">
        <v>3</v>
      </c>
      <c r="D97" s="84" t="s">
        <v>233</v>
      </c>
      <c r="E97" s="84">
        <v>2</v>
      </c>
      <c r="F97" s="84" t="s">
        <v>236</v>
      </c>
      <c r="G97" s="91">
        <v>11</v>
      </c>
      <c r="H97" s="84" t="s">
        <v>27</v>
      </c>
      <c r="I97" s="91">
        <v>1</v>
      </c>
      <c r="J97" s="91" t="s">
        <v>28</v>
      </c>
      <c r="K97" s="87"/>
      <c r="L97" s="87"/>
      <c r="M97" s="87"/>
      <c r="N97" s="85" t="s">
        <v>94</v>
      </c>
      <c r="O97" s="87">
        <v>41600</v>
      </c>
      <c r="P97" s="89"/>
      <c r="Q97" s="88"/>
      <c r="R97" s="90" t="s">
        <v>62</v>
      </c>
      <c r="T97" s="35">
        <v>410302</v>
      </c>
    </row>
    <row r="98" spans="1:20" ht="18" customHeight="1">
      <c r="A98" s="83">
        <v>1</v>
      </c>
      <c r="B98" s="84" t="s">
        <v>39</v>
      </c>
      <c r="C98" s="84">
        <v>3</v>
      </c>
      <c r="D98" s="84" t="s">
        <v>233</v>
      </c>
      <c r="E98" s="84">
        <v>2</v>
      </c>
      <c r="F98" s="84" t="s">
        <v>236</v>
      </c>
      <c r="G98" s="91">
        <v>11</v>
      </c>
      <c r="H98" s="84" t="s">
        <v>27</v>
      </c>
      <c r="I98" s="91">
        <v>1</v>
      </c>
      <c r="J98" s="91" t="s">
        <v>28</v>
      </c>
      <c r="K98" s="87"/>
      <c r="L98" s="87"/>
      <c r="M98" s="87"/>
      <c r="N98" s="85" t="s">
        <v>325</v>
      </c>
      <c r="O98" s="87"/>
      <c r="P98" s="89"/>
      <c r="Q98" s="88"/>
      <c r="R98" s="90" t="s">
        <v>62</v>
      </c>
      <c r="T98" s="35">
        <v>410302</v>
      </c>
    </row>
    <row r="99" spans="1:20" ht="18" customHeight="1">
      <c r="A99" s="83">
        <v>1</v>
      </c>
      <c r="B99" s="84" t="s">
        <v>39</v>
      </c>
      <c r="C99" s="84">
        <v>3</v>
      </c>
      <c r="D99" s="84" t="s">
        <v>233</v>
      </c>
      <c r="E99" s="84">
        <v>2</v>
      </c>
      <c r="F99" s="84" t="s">
        <v>236</v>
      </c>
      <c r="G99" s="91">
        <v>11</v>
      </c>
      <c r="H99" s="84" t="s">
        <v>27</v>
      </c>
      <c r="I99" s="91">
        <v>1</v>
      </c>
      <c r="J99" s="91" t="s">
        <v>28</v>
      </c>
      <c r="K99" s="87"/>
      <c r="L99" s="87"/>
      <c r="M99" s="87"/>
      <c r="N99" s="85" t="s">
        <v>326</v>
      </c>
      <c r="O99" s="87">
        <v>84000</v>
      </c>
      <c r="P99" s="89"/>
      <c r="Q99" s="88"/>
      <c r="R99" s="90" t="s">
        <v>62</v>
      </c>
      <c r="T99" s="35">
        <v>410302</v>
      </c>
    </row>
    <row r="100" spans="1:20" ht="18" customHeight="1">
      <c r="A100" s="83">
        <v>1</v>
      </c>
      <c r="B100" s="84" t="s">
        <v>39</v>
      </c>
      <c r="C100" s="84">
        <v>3</v>
      </c>
      <c r="D100" s="84" t="s">
        <v>233</v>
      </c>
      <c r="E100" s="84">
        <v>2</v>
      </c>
      <c r="F100" s="84" t="s">
        <v>236</v>
      </c>
      <c r="G100" s="91">
        <v>11</v>
      </c>
      <c r="H100" s="84" t="s">
        <v>27</v>
      </c>
      <c r="I100" s="85">
        <v>12</v>
      </c>
      <c r="J100" s="85" t="s">
        <v>65</v>
      </c>
      <c r="K100" s="87">
        <v>2801</v>
      </c>
      <c r="L100" s="87">
        <v>2801</v>
      </c>
      <c r="M100" s="87">
        <f>K100-L100</f>
        <v>0</v>
      </c>
      <c r="N100" s="85" t="s">
        <v>327</v>
      </c>
      <c r="O100" s="87">
        <v>687500</v>
      </c>
      <c r="P100" s="89"/>
      <c r="Q100" s="88"/>
      <c r="R100" s="90" t="s">
        <v>62</v>
      </c>
      <c r="T100" s="35">
        <v>410302</v>
      </c>
    </row>
    <row r="101" spans="1:20" ht="18" customHeight="1">
      <c r="A101" s="83">
        <v>1</v>
      </c>
      <c r="B101" s="84" t="s">
        <v>39</v>
      </c>
      <c r="C101" s="84">
        <v>3</v>
      </c>
      <c r="D101" s="84" t="s">
        <v>233</v>
      </c>
      <c r="E101" s="84">
        <v>2</v>
      </c>
      <c r="F101" s="84" t="s">
        <v>236</v>
      </c>
      <c r="G101" s="91">
        <v>11</v>
      </c>
      <c r="H101" s="84" t="s">
        <v>27</v>
      </c>
      <c r="I101" s="91">
        <v>12</v>
      </c>
      <c r="J101" s="91" t="s">
        <v>65</v>
      </c>
      <c r="K101" s="87"/>
      <c r="L101" s="87"/>
      <c r="M101" s="87"/>
      <c r="N101" s="85" t="s">
        <v>328</v>
      </c>
      <c r="O101" s="87">
        <v>1144000</v>
      </c>
      <c r="P101" s="89"/>
      <c r="Q101" s="88"/>
      <c r="R101" s="90" t="s">
        <v>62</v>
      </c>
      <c r="T101" s="35">
        <v>410302</v>
      </c>
    </row>
    <row r="102" spans="1:20" ht="18" customHeight="1">
      <c r="A102" s="83">
        <v>1</v>
      </c>
      <c r="B102" s="84" t="s">
        <v>39</v>
      </c>
      <c r="C102" s="84">
        <v>3</v>
      </c>
      <c r="D102" s="84" t="s">
        <v>233</v>
      </c>
      <c r="E102" s="84">
        <v>2</v>
      </c>
      <c r="F102" s="84" t="s">
        <v>236</v>
      </c>
      <c r="G102" s="91">
        <v>11</v>
      </c>
      <c r="H102" s="84" t="s">
        <v>27</v>
      </c>
      <c r="I102" s="91">
        <v>12</v>
      </c>
      <c r="J102" s="91" t="s">
        <v>65</v>
      </c>
      <c r="K102" s="87"/>
      <c r="L102" s="87"/>
      <c r="M102" s="87"/>
      <c r="N102" s="85" t="s">
        <v>329</v>
      </c>
      <c r="O102" s="87">
        <v>506000</v>
      </c>
      <c r="P102" s="89"/>
      <c r="Q102" s="88"/>
      <c r="R102" s="90" t="s">
        <v>62</v>
      </c>
      <c r="T102" s="35">
        <v>410302</v>
      </c>
    </row>
    <row r="103" spans="1:20" ht="18" customHeight="1">
      <c r="A103" s="83">
        <v>1</v>
      </c>
      <c r="B103" s="84" t="s">
        <v>39</v>
      </c>
      <c r="C103" s="84">
        <v>3</v>
      </c>
      <c r="D103" s="84" t="s">
        <v>233</v>
      </c>
      <c r="E103" s="84">
        <v>2</v>
      </c>
      <c r="F103" s="84" t="s">
        <v>236</v>
      </c>
      <c r="G103" s="91">
        <v>11</v>
      </c>
      <c r="H103" s="84" t="s">
        <v>27</v>
      </c>
      <c r="I103" s="91">
        <v>12</v>
      </c>
      <c r="J103" s="91" t="s">
        <v>65</v>
      </c>
      <c r="K103" s="87"/>
      <c r="L103" s="87"/>
      <c r="M103" s="87"/>
      <c r="N103" s="85" t="s">
        <v>330</v>
      </c>
      <c r="O103" s="87">
        <v>396000</v>
      </c>
      <c r="P103" s="89"/>
      <c r="Q103" s="88"/>
      <c r="R103" s="90" t="s">
        <v>62</v>
      </c>
      <c r="T103" s="35">
        <v>410302</v>
      </c>
    </row>
    <row r="104" spans="1:20" ht="18" customHeight="1">
      <c r="A104" s="83">
        <v>1</v>
      </c>
      <c r="B104" s="84" t="s">
        <v>39</v>
      </c>
      <c r="C104" s="84">
        <v>3</v>
      </c>
      <c r="D104" s="84" t="s">
        <v>233</v>
      </c>
      <c r="E104" s="84">
        <v>2</v>
      </c>
      <c r="F104" s="84" t="s">
        <v>236</v>
      </c>
      <c r="G104" s="91">
        <v>11</v>
      </c>
      <c r="H104" s="84" t="s">
        <v>27</v>
      </c>
      <c r="I104" s="91">
        <v>12</v>
      </c>
      <c r="J104" s="91" t="s">
        <v>65</v>
      </c>
      <c r="K104" s="87"/>
      <c r="L104" s="87"/>
      <c r="M104" s="87"/>
      <c r="N104" s="85" t="s">
        <v>331</v>
      </c>
      <c r="O104" s="87">
        <v>55000</v>
      </c>
      <c r="P104" s="89"/>
      <c r="Q104" s="88"/>
      <c r="R104" s="90" t="s">
        <v>62</v>
      </c>
      <c r="T104" s="35">
        <v>410302</v>
      </c>
    </row>
    <row r="105" spans="1:20" ht="18" customHeight="1">
      <c r="A105" s="83">
        <v>1</v>
      </c>
      <c r="B105" s="84" t="s">
        <v>39</v>
      </c>
      <c r="C105" s="84">
        <v>3</v>
      </c>
      <c r="D105" s="84" t="s">
        <v>233</v>
      </c>
      <c r="E105" s="84">
        <v>2</v>
      </c>
      <c r="F105" s="84" t="s">
        <v>236</v>
      </c>
      <c r="G105" s="91">
        <v>11</v>
      </c>
      <c r="H105" s="84" t="s">
        <v>27</v>
      </c>
      <c r="I105" s="91">
        <v>12</v>
      </c>
      <c r="J105" s="91" t="s">
        <v>65</v>
      </c>
      <c r="K105" s="87"/>
      <c r="L105" s="87"/>
      <c r="M105" s="87"/>
      <c r="N105" s="85" t="s">
        <v>332</v>
      </c>
      <c r="O105" s="87">
        <v>12000</v>
      </c>
      <c r="P105" s="89"/>
      <c r="Q105" s="88"/>
      <c r="R105" s="90" t="s">
        <v>62</v>
      </c>
      <c r="T105" s="35">
        <v>410302</v>
      </c>
    </row>
    <row r="106" spans="1:20" ht="18" customHeight="1">
      <c r="A106" s="83">
        <v>1</v>
      </c>
      <c r="B106" s="84" t="s">
        <v>39</v>
      </c>
      <c r="C106" s="84">
        <v>3</v>
      </c>
      <c r="D106" s="84" t="s">
        <v>233</v>
      </c>
      <c r="E106" s="84">
        <v>2</v>
      </c>
      <c r="F106" s="84" t="s">
        <v>236</v>
      </c>
      <c r="G106" s="85">
        <v>12</v>
      </c>
      <c r="H106" s="86" t="s">
        <v>32</v>
      </c>
      <c r="I106" s="85"/>
      <c r="J106" s="85"/>
      <c r="K106" s="87"/>
      <c r="L106" s="87"/>
      <c r="M106" s="87"/>
      <c r="N106" s="85"/>
      <c r="O106" s="88"/>
      <c r="P106" s="89"/>
      <c r="Q106" s="88"/>
      <c r="R106" s="90" t="s">
        <v>62</v>
      </c>
      <c r="T106" s="35">
        <v>410302</v>
      </c>
    </row>
    <row r="107" spans="1:20" ht="18" customHeight="1">
      <c r="A107" s="83">
        <v>1</v>
      </c>
      <c r="B107" s="84" t="s">
        <v>39</v>
      </c>
      <c r="C107" s="84">
        <v>3</v>
      </c>
      <c r="D107" s="84" t="s">
        <v>233</v>
      </c>
      <c r="E107" s="84">
        <v>2</v>
      </c>
      <c r="F107" s="84" t="s">
        <v>236</v>
      </c>
      <c r="G107" s="91">
        <v>12</v>
      </c>
      <c r="H107" s="84" t="s">
        <v>32</v>
      </c>
      <c r="I107" s="85">
        <v>21</v>
      </c>
      <c r="J107" s="85" t="s">
        <v>333</v>
      </c>
      <c r="K107" s="87">
        <v>462</v>
      </c>
      <c r="L107" s="87">
        <v>462</v>
      </c>
      <c r="M107" s="87">
        <f>K107-L107</f>
        <v>0</v>
      </c>
      <c r="N107" s="85" t="s">
        <v>334</v>
      </c>
      <c r="O107" s="87">
        <v>462000</v>
      </c>
      <c r="P107" s="89"/>
      <c r="Q107" s="88"/>
      <c r="R107" s="90" t="s">
        <v>62</v>
      </c>
      <c r="T107" s="35">
        <v>410302</v>
      </c>
    </row>
    <row r="108" spans="1:20" ht="18" customHeight="1">
      <c r="A108" s="83">
        <v>1</v>
      </c>
      <c r="B108" s="84" t="s">
        <v>39</v>
      </c>
      <c r="C108" s="84">
        <v>3</v>
      </c>
      <c r="D108" s="84" t="s">
        <v>233</v>
      </c>
      <c r="E108" s="84">
        <v>2</v>
      </c>
      <c r="F108" s="84" t="s">
        <v>236</v>
      </c>
      <c r="G108" s="85">
        <v>13</v>
      </c>
      <c r="H108" s="86" t="s">
        <v>34</v>
      </c>
      <c r="I108" s="85"/>
      <c r="J108" s="85"/>
      <c r="K108" s="87"/>
      <c r="L108" s="87"/>
      <c r="M108" s="87"/>
      <c r="N108" s="85"/>
      <c r="O108" s="88"/>
      <c r="P108" s="89"/>
      <c r="Q108" s="88"/>
      <c r="R108" s="90" t="s">
        <v>62</v>
      </c>
      <c r="T108" s="35">
        <v>410302</v>
      </c>
    </row>
    <row r="109" spans="1:20" ht="18" customHeight="1">
      <c r="A109" s="83">
        <v>1</v>
      </c>
      <c r="B109" s="84" t="s">
        <v>39</v>
      </c>
      <c r="C109" s="84">
        <v>3</v>
      </c>
      <c r="D109" s="84" t="s">
        <v>233</v>
      </c>
      <c r="E109" s="84">
        <v>2</v>
      </c>
      <c r="F109" s="84" t="s">
        <v>236</v>
      </c>
      <c r="G109" s="91">
        <v>13</v>
      </c>
      <c r="H109" s="84" t="s">
        <v>34</v>
      </c>
      <c r="I109" s="85">
        <v>1</v>
      </c>
      <c r="J109" s="85" t="s">
        <v>35</v>
      </c>
      <c r="K109" s="87">
        <v>5</v>
      </c>
      <c r="L109" s="87">
        <v>9</v>
      </c>
      <c r="M109" s="87">
        <f>K109-L109</f>
        <v>-4</v>
      </c>
      <c r="N109" s="85" t="s">
        <v>335</v>
      </c>
      <c r="O109" s="87">
        <v>5000</v>
      </c>
      <c r="P109" s="89"/>
      <c r="Q109" s="88"/>
      <c r="R109" s="90" t="s">
        <v>62</v>
      </c>
      <c r="T109" s="35">
        <v>410302</v>
      </c>
    </row>
    <row r="110" spans="1:20" ht="18" customHeight="1">
      <c r="A110" s="65">
        <v>1</v>
      </c>
      <c r="B110" s="66" t="s">
        <v>39</v>
      </c>
      <c r="C110" s="67">
        <v>4</v>
      </c>
      <c r="D110" s="67" t="s">
        <v>336</v>
      </c>
      <c r="E110" s="68"/>
      <c r="F110" s="67"/>
      <c r="G110" s="68"/>
      <c r="H110" s="67"/>
      <c r="I110" s="68"/>
      <c r="J110" s="68"/>
      <c r="K110" s="69">
        <f>IF(C110="",SUMIFS($K111:$K$783,$A111:$A$783,A110,$E111:$E$783,""),IF(E110="",SUMIFS($K111:$K$783,$A111:$A$783,A110,$C111:$C$783,C110,$G111:$G$783,""),IF(G110="",SUMIFS($K111:$K$783,$A111:$A$783,A110,$C111:$C$783,C110,$E111:$E$783,E110,$R111:$R$783,R110),IF(I110="",SUMIFS($K111:$K$783,$A111:$A$783,A110,$C111:$C$783,C110,$E111:$E$783,E110,$G111:$G$783,G110,$R111:$R$783,R110),0))))</f>
        <v>52</v>
      </c>
      <c r="L110" s="69">
        <f>IF(C110="",SUMIFS($L111:$L$783,$A111:$A$783,A110,$E111:$E$783,""),IF(E110="",SUMIFS($L111:$L$783,$A111:$A$783,A110,$C111:$C$783,C110,$G111:$G$783,""),IF(G110="",SUMIFS($L111:$L$783,$A111:$A$783,A110,$C111:$C$783,C110,$E111:$E$783,E110,$R111:$R$783,R110),IF(I110="",SUMIFS($L111:$L$783,$A111:$A$783,A110,$C111:$C$783,C110,$E111:$E$783,E110,$G111:$G$783,G110,$R111:$R$783,R110),0))))</f>
        <v>115</v>
      </c>
      <c r="M110" s="69">
        <f t="shared" ref="M110:M111" si="4">K110-L110</f>
        <v>-63</v>
      </c>
      <c r="N110" s="70"/>
      <c r="O110" s="71"/>
      <c r="P110" s="72"/>
      <c r="Q110" s="69">
        <f>IF(C110="",SUMIFS($Q111:$Q$783,$A111:$A$783,A110,$E111:$E$783,""),IF(E110="",SUMIFS($Q111:$Q$783,$A111:$A$783,A110,$C111:$C$783,C110,$G111:$G$783,""),IF(G110="",SUMIFS($Q111:$Q$783,$A111:$A$783,A110,$C111:$C$783,C110,$E111:$E$783,E110,$R111:$R$783,R110),IF(I110="",SUMIFS($Q111:$Q$783,$A111:$A$783,A110,$C111:$C$783,C110,$E111:$E$783,E110,$G111:$G$783,G110,$R111:$R$783,R110),0))))</f>
        <v>52</v>
      </c>
      <c r="R110" s="73"/>
      <c r="T110" s="35">
        <v>410401</v>
      </c>
    </row>
    <row r="111" spans="1:20" ht="18" customHeight="1">
      <c r="A111" s="65">
        <v>1</v>
      </c>
      <c r="B111" s="66" t="s">
        <v>86</v>
      </c>
      <c r="C111" s="74">
        <v>4</v>
      </c>
      <c r="D111" s="66" t="s">
        <v>237</v>
      </c>
      <c r="E111" s="75">
        <v>1</v>
      </c>
      <c r="F111" s="76" t="s">
        <v>336</v>
      </c>
      <c r="G111" s="75"/>
      <c r="H111" s="76"/>
      <c r="I111" s="75"/>
      <c r="J111" s="75"/>
      <c r="K111" s="77">
        <f>IF(C111="",SUMIFS($K112:$K$783,$A112:$A$783,A111,$E112:$E$783,""),IF(E111="",SUMIFS($K112:$K$783,$A112:$A$783,A111,$C112:$C$783,C111,$G112:$G$783,""),IF(G111="",SUMIFS($K112:$K$783,$A112:$A$783,A111,$C112:$C$783,C111,$E112:$E$783,E111,$R112:$R$783,R111),IF(I111="",SUMIFS($K112:$K$783,$A112:$A$783,A111,$C112:$C$783,C111,$E112:$E$783,E111,$G112:$G$783,G111,$R112:$R$783,R111),0))))</f>
        <v>52</v>
      </c>
      <c r="L111" s="77">
        <f>IF(C111="",SUMIFS($L112:$L$783,$A112:$A$783,A111,$E112:$E$783,""),IF(E111="",SUMIFS($L112:$L$783,$A112:$A$783,A111,$C112:$C$783,C111,$G112:$G$783,""),IF(G111="",SUMIFS($L112:$L$783,$A112:$A$783,A111,$C112:$C$783,C111,$E112:$E$783,E111,$R112:$R$783,R111),IF(I111="",SUMIFS($L112:$L$783,$A112:$A$783,A111,$C112:$C$783,C111,$E112:$E$783,E111,$G112:$G$783,G111,$R112:$R$783,R111),0))))</f>
        <v>115</v>
      </c>
      <c r="M111" s="77">
        <f t="shared" si="4"/>
        <v>-63</v>
      </c>
      <c r="N111" s="78"/>
      <c r="O111" s="79"/>
      <c r="P111" s="80"/>
      <c r="Q111" s="81">
        <f>IF(C111="",SUMIFS($Q112:$Q$781,$A112:$A$781,A111,$E112:$E$781,""),IF(E111="",SUMIFS($Q112:$Q$781,$A112:$A$781,A111,$C112:$C$781,C111,$G112:$G$781,""),IF(G111="",SUMIFS($Q112:$Q$781,$A112:$A$781,A111,$C112:$C$781,C111,$E112:$E$781,E111,$R112:$R$781,R111),IF(I111="",SUMIFS($Q112:$Q$781,$A112:$A$781,A111,$C112:$C$781,C111,$E112:$E$781,E111,$G112:$G$781,G111,$R112:$R$781,R111),0))))</f>
        <v>52</v>
      </c>
      <c r="R111" s="82" t="s">
        <v>62</v>
      </c>
      <c r="T111" s="35">
        <v>410401</v>
      </c>
    </row>
    <row r="112" spans="1:20" ht="18" customHeight="1">
      <c r="A112" s="83">
        <v>1</v>
      </c>
      <c r="B112" s="84" t="s">
        <v>39</v>
      </c>
      <c r="C112" s="84">
        <v>4</v>
      </c>
      <c r="D112" s="84" t="s">
        <v>237</v>
      </c>
      <c r="E112" s="84">
        <v>1</v>
      </c>
      <c r="F112" s="84" t="s">
        <v>237</v>
      </c>
      <c r="G112" s="85">
        <v>1</v>
      </c>
      <c r="H112" s="86" t="s">
        <v>6</v>
      </c>
      <c r="I112" s="85"/>
      <c r="J112" s="85"/>
      <c r="K112" s="87"/>
      <c r="L112" s="87"/>
      <c r="M112" s="87"/>
      <c r="N112" s="85"/>
      <c r="O112" s="88"/>
      <c r="P112" s="89" t="s">
        <v>253</v>
      </c>
      <c r="Q112" s="88">
        <v>52</v>
      </c>
      <c r="R112" s="90" t="s">
        <v>62</v>
      </c>
      <c r="T112" s="35">
        <v>410401</v>
      </c>
    </row>
    <row r="113" spans="1:20" ht="18" customHeight="1">
      <c r="A113" s="83">
        <v>1</v>
      </c>
      <c r="B113" s="84" t="s">
        <v>39</v>
      </c>
      <c r="C113" s="84">
        <v>4</v>
      </c>
      <c r="D113" s="84" t="s">
        <v>237</v>
      </c>
      <c r="E113" s="84">
        <v>1</v>
      </c>
      <c r="F113" s="84" t="s">
        <v>237</v>
      </c>
      <c r="G113" s="91">
        <v>1</v>
      </c>
      <c r="H113" s="84" t="s">
        <v>6</v>
      </c>
      <c r="I113" s="85">
        <v>21</v>
      </c>
      <c r="J113" s="85" t="s">
        <v>337</v>
      </c>
      <c r="K113" s="87">
        <v>42</v>
      </c>
      <c r="L113" s="87">
        <v>105</v>
      </c>
      <c r="M113" s="87">
        <f>K113-L113</f>
        <v>-63</v>
      </c>
      <c r="N113" s="85" t="s">
        <v>338</v>
      </c>
      <c r="O113" s="87">
        <v>42000</v>
      </c>
      <c r="P113" s="89" t="s">
        <v>255</v>
      </c>
      <c r="Q113" s="88"/>
      <c r="R113" s="90" t="s">
        <v>62</v>
      </c>
      <c r="T113" s="35">
        <v>410401</v>
      </c>
    </row>
    <row r="114" spans="1:20" ht="18" customHeight="1">
      <c r="A114" s="83">
        <v>1</v>
      </c>
      <c r="B114" s="84" t="s">
        <v>39</v>
      </c>
      <c r="C114" s="84">
        <v>4</v>
      </c>
      <c r="D114" s="84" t="s">
        <v>237</v>
      </c>
      <c r="E114" s="84">
        <v>1</v>
      </c>
      <c r="F114" s="84" t="s">
        <v>237</v>
      </c>
      <c r="G114" s="85">
        <v>10</v>
      </c>
      <c r="H114" s="86" t="s">
        <v>23</v>
      </c>
      <c r="I114" s="85"/>
      <c r="J114" s="85"/>
      <c r="K114" s="87"/>
      <c r="L114" s="87"/>
      <c r="M114" s="87"/>
      <c r="N114" s="85"/>
      <c r="O114" s="88"/>
      <c r="P114" s="89"/>
      <c r="Q114" s="88"/>
      <c r="R114" s="90" t="s">
        <v>62</v>
      </c>
      <c r="T114" s="35">
        <v>410401</v>
      </c>
    </row>
    <row r="115" spans="1:20" ht="18" customHeight="1">
      <c r="A115" s="83">
        <v>1</v>
      </c>
      <c r="B115" s="84" t="s">
        <v>39</v>
      </c>
      <c r="C115" s="84">
        <v>4</v>
      </c>
      <c r="D115" s="84" t="s">
        <v>237</v>
      </c>
      <c r="E115" s="84">
        <v>1</v>
      </c>
      <c r="F115" s="84" t="s">
        <v>237</v>
      </c>
      <c r="G115" s="91">
        <v>10</v>
      </c>
      <c r="H115" s="84" t="s">
        <v>23</v>
      </c>
      <c r="I115" s="85">
        <v>3</v>
      </c>
      <c r="J115" s="85" t="s">
        <v>25</v>
      </c>
      <c r="K115" s="87">
        <v>10</v>
      </c>
      <c r="L115" s="87">
        <v>10</v>
      </c>
      <c r="M115" s="87">
        <f>K115-L115</f>
        <v>0</v>
      </c>
      <c r="N115" s="85" t="s">
        <v>339</v>
      </c>
      <c r="O115" s="87">
        <v>10000</v>
      </c>
      <c r="P115" s="89"/>
      <c r="Q115" s="88"/>
      <c r="R115" s="90" t="s">
        <v>62</v>
      </c>
      <c r="T115" s="35">
        <v>410401</v>
      </c>
    </row>
    <row r="116" spans="1:20" ht="18" customHeight="1">
      <c r="A116" s="57">
        <v>2</v>
      </c>
      <c r="B116" s="58" t="s">
        <v>340</v>
      </c>
      <c r="C116" s="58"/>
      <c r="D116" s="58"/>
      <c r="E116" s="59"/>
      <c r="F116" s="58"/>
      <c r="G116" s="59"/>
      <c r="H116" s="58"/>
      <c r="I116" s="59"/>
      <c r="J116" s="59"/>
      <c r="K116" s="60">
        <f>IF(C116="",SUMIFS($K117:$K$783,$A117:$A$783,A116,$E117:$E$783,""),IF(E116="",SUMIFS($K117:$K$783,$A117:$A$783,A116,$C117:$C$783,C116,$G117:$G$783,""),IF(G116="",SUMIFS($K117:$K$783,$A117:$A$783,A116,$C117:$C$783,C116,$E117:$E$783,E116,$R117:$R$783,R116),IF(I116="",SUMIFS($K117:$K$783,$A117:$A$783,A116,$C117:$C$783,C116,$E117:$E$783,E116,$G117:$G$783,G116,$R117:$R$783,R116),0))))</f>
        <v>1089779</v>
      </c>
      <c r="L116" s="60">
        <f>IF(C116="",SUMIFS($L117:$L$783,$A117:$A$783,A116,$E117:$E$783,""),IF(E116="",SUMIFS($L117:$L$783,$A117:$A$783,A116,$C117:$C$783,C116,$G117:$G$783,""),IF(G116="",SUMIFS($L117:$L$783,$A117:$A$783,A116,$C117:$C$783,C116,$E117:$E$783,E116,$R117:$R$783,R116),IF(I116="",SUMIFS($L117:$L$783,$A117:$A$783,A116,$C117:$C$783,C116,$E117:$E$783,E116,$G117:$G$783,G116,$R117:$R$783,R116),0))))</f>
        <v>1089663</v>
      </c>
      <c r="M116" s="60">
        <f>K116-L116</f>
        <v>116</v>
      </c>
      <c r="N116" s="61"/>
      <c r="O116" s="62"/>
      <c r="P116" s="63"/>
      <c r="Q116" s="60">
        <f>IF(C116="",SUMIFS($Q117:$Q$783,$A117:$A$783,A116,$E117:$E$783,""),IF(E116="",SUMIFS($Q117:$Q$783,$A117:$A$783,A116,$C117:$C$783,C116,$G117:$G$783,""),IF(G116="",SUMIFS($Q117:$Q$783,$A117:$A$783,A116,$C117:$C$783,C116,$E117:$E$783,E116,$R117:$R$783,R116),IF(I116="",SUMIFS($Q117:$Q$783,$A117:$A$783,A116,$C117:$C$783,C116,$E117:$E$783,E116,$G117:$G$783,G116,$R117:$R$783,R116),0))))</f>
        <v>852541</v>
      </c>
      <c r="R116" s="64"/>
      <c r="T116" s="35">
        <v>420101</v>
      </c>
    </row>
    <row r="117" spans="1:20" ht="18" customHeight="1">
      <c r="A117" s="65">
        <v>2</v>
      </c>
      <c r="B117" s="66" t="s">
        <v>340</v>
      </c>
      <c r="C117" s="67">
        <v>1</v>
      </c>
      <c r="D117" s="67" t="s">
        <v>341</v>
      </c>
      <c r="E117" s="68"/>
      <c r="F117" s="67"/>
      <c r="G117" s="68"/>
      <c r="H117" s="67"/>
      <c r="I117" s="68"/>
      <c r="J117" s="68"/>
      <c r="K117" s="69">
        <f>IF(C117="",SUMIFS($K118:$K$783,$A118:$A$783,A117,$E118:$E$783,""),IF(E117="",SUMIFS($K118:$K$783,$A118:$A$783,A117,$C118:$C$783,C117,$G118:$G$783,""),IF(G117="",SUMIFS($K118:$K$783,$A118:$A$783,A117,$C118:$C$783,C117,$E118:$E$783,E117,$R118:$R$783,R117),IF(I117="",SUMIFS($K118:$K$783,$A118:$A$783,A117,$C118:$C$783,C117,$E118:$E$783,E117,$G118:$G$783,G117,$R118:$R$783,R117),0))))</f>
        <v>982353</v>
      </c>
      <c r="L117" s="69">
        <f>IF(C117="",SUMIFS($L118:$L$783,$A118:$A$783,A117,$E118:$E$783,""),IF(E117="",SUMIFS($L118:$L$783,$A118:$A$783,A117,$C118:$C$783,C117,$G118:$G$783,""),IF(G117="",SUMIFS($L118:$L$783,$A118:$A$783,A117,$C118:$C$783,C117,$E118:$E$783,E117,$R118:$R$783,R117),IF(I117="",SUMIFS($L118:$L$783,$A118:$A$783,A117,$C118:$C$783,C117,$E118:$E$783,E117,$G118:$G$783,G117,$R118:$R$783,R117),0))))</f>
        <v>972138</v>
      </c>
      <c r="M117" s="69">
        <f t="shared" ref="M117:M118" si="5">K117-L117</f>
        <v>10215</v>
      </c>
      <c r="N117" s="70"/>
      <c r="O117" s="71"/>
      <c r="P117" s="72"/>
      <c r="Q117" s="69">
        <f>IF(C117="",SUMIFS($Q118:$Q$783,$A118:$A$783,A117,$E118:$E$783,""),IF(E117="",SUMIFS($Q118:$Q$783,$A118:$A$783,A117,$C118:$C$783,C117,$G118:$G$783,""),IF(G117="",SUMIFS($Q118:$Q$783,$A118:$A$783,A117,$C118:$C$783,C117,$E118:$E$783,E117,$R118:$R$783,R117),IF(I117="",SUMIFS($Q118:$Q$783,$A118:$A$783,A117,$C118:$C$783,C117,$E118:$E$783,E117,$G118:$G$783,G117,$R118:$R$783,R117),0))))</f>
        <v>768502</v>
      </c>
      <c r="R117" s="73"/>
      <c r="T117" s="35">
        <v>420101</v>
      </c>
    </row>
    <row r="118" spans="1:20" ht="18" customHeight="1">
      <c r="A118" s="65">
        <v>2</v>
      </c>
      <c r="B118" s="66" t="s">
        <v>342</v>
      </c>
      <c r="C118" s="74">
        <v>1</v>
      </c>
      <c r="D118" s="66" t="s">
        <v>343</v>
      </c>
      <c r="E118" s="75">
        <v>1</v>
      </c>
      <c r="F118" s="76" t="s">
        <v>344</v>
      </c>
      <c r="G118" s="75"/>
      <c r="H118" s="76"/>
      <c r="I118" s="75"/>
      <c r="J118" s="75"/>
      <c r="K118" s="77">
        <f>IF(C118="",SUMIFS($K119:$K$783,$A119:$A$783,A118,$E119:$E$783,""),IF(E118="",SUMIFS($K119:$K$783,$A119:$A$783,A118,$C119:$C$783,C118,$G119:$G$783,""),IF(G118="",SUMIFS($K119:$K$783,$A119:$A$783,A118,$C119:$C$783,C118,$E119:$E$783,E118,$R119:$R$783,R118),IF(I118="",SUMIFS($K119:$K$783,$A119:$A$783,A118,$C119:$C$783,C118,$E119:$E$783,E118,$G119:$G$783,G118,$R119:$R$783,R118),0))))</f>
        <v>294402</v>
      </c>
      <c r="L118" s="77">
        <f>IF(C118="",SUMIFS($L119:$L$783,$A119:$A$783,A118,$E119:$E$783,""),IF(E118="",SUMIFS($L119:$L$783,$A119:$A$783,A118,$C119:$C$783,C118,$G119:$G$783,""),IF(G118="",SUMIFS($L119:$L$783,$A119:$A$783,A118,$C119:$C$783,C118,$E119:$E$783,E118,$R119:$R$783,R118),IF(I118="",SUMIFS($L119:$L$783,$A119:$A$783,A118,$C119:$C$783,C118,$E119:$E$783,E118,$G119:$G$783,G118,$R119:$R$783,R118),0))))</f>
        <v>307641</v>
      </c>
      <c r="M118" s="77">
        <f t="shared" si="5"/>
        <v>-13239</v>
      </c>
      <c r="N118" s="78"/>
      <c r="O118" s="79"/>
      <c r="P118" s="80"/>
      <c r="Q118" s="81">
        <f>IF(C118="",SUMIFS($Q119:$Q$781,$A119:$A$781,A118,$E119:$E$781,""),IF(E118="",SUMIFS($Q119:$Q$781,$A119:$A$781,A118,$C119:$C$781,C118,$G119:$G$781,""),IF(G118="",SUMIFS($Q119:$Q$781,$A119:$A$781,A118,$C119:$C$781,C118,$E119:$E$781,E118,$R119:$R$781,R118),IF(I118="",SUMIFS($Q119:$Q$781,$A119:$A$781,A118,$C119:$C$781,C118,$E119:$E$781,E118,$G119:$G$781,G118,$R119:$R$781,R118),0))))</f>
        <v>230312</v>
      </c>
      <c r="R118" s="82" t="s">
        <v>62</v>
      </c>
      <c r="T118" s="35">
        <v>420101</v>
      </c>
    </row>
    <row r="119" spans="1:20" ht="18" customHeight="1">
      <c r="A119" s="83">
        <v>2</v>
      </c>
      <c r="B119" s="84" t="s">
        <v>340</v>
      </c>
      <c r="C119" s="84">
        <v>1</v>
      </c>
      <c r="D119" s="84" t="s">
        <v>343</v>
      </c>
      <c r="E119" s="84">
        <v>1</v>
      </c>
      <c r="F119" s="84" t="s">
        <v>345</v>
      </c>
      <c r="G119" s="85">
        <v>18</v>
      </c>
      <c r="H119" s="86" t="s">
        <v>38</v>
      </c>
      <c r="I119" s="85"/>
      <c r="J119" s="85"/>
      <c r="K119" s="87"/>
      <c r="L119" s="87"/>
      <c r="M119" s="87"/>
      <c r="N119" s="85"/>
      <c r="O119" s="88"/>
      <c r="P119" s="89" t="s">
        <v>346</v>
      </c>
      <c r="Q119" s="88">
        <v>58880</v>
      </c>
      <c r="R119" s="90" t="s">
        <v>62</v>
      </c>
      <c r="T119" s="35">
        <v>420101</v>
      </c>
    </row>
    <row r="120" spans="1:20" ht="18" customHeight="1">
      <c r="A120" s="83">
        <v>2</v>
      </c>
      <c r="B120" s="84" t="s">
        <v>340</v>
      </c>
      <c r="C120" s="84">
        <v>1</v>
      </c>
      <c r="D120" s="84" t="s">
        <v>343</v>
      </c>
      <c r="E120" s="84">
        <v>1</v>
      </c>
      <c r="F120" s="84" t="s">
        <v>345</v>
      </c>
      <c r="G120" s="91">
        <v>18</v>
      </c>
      <c r="H120" s="84" t="s">
        <v>38</v>
      </c>
      <c r="I120" s="85">
        <v>61</v>
      </c>
      <c r="J120" s="85" t="s">
        <v>347</v>
      </c>
      <c r="K120" s="87">
        <v>294402</v>
      </c>
      <c r="L120" s="87">
        <v>307641</v>
      </c>
      <c r="M120" s="87">
        <f>K120-L120</f>
        <v>-13239</v>
      </c>
      <c r="N120" s="85" t="s">
        <v>348</v>
      </c>
      <c r="O120" s="87"/>
      <c r="P120" s="89" t="s">
        <v>99</v>
      </c>
      <c r="Q120" s="88"/>
      <c r="R120" s="90" t="s">
        <v>62</v>
      </c>
      <c r="T120" s="35">
        <v>420101</v>
      </c>
    </row>
    <row r="121" spans="1:20" ht="18" customHeight="1">
      <c r="A121" s="83">
        <v>2</v>
      </c>
      <c r="B121" s="84" t="s">
        <v>340</v>
      </c>
      <c r="C121" s="84">
        <v>1</v>
      </c>
      <c r="D121" s="84" t="s">
        <v>343</v>
      </c>
      <c r="E121" s="84">
        <v>1</v>
      </c>
      <c r="F121" s="84" t="s">
        <v>345</v>
      </c>
      <c r="G121" s="91">
        <v>18</v>
      </c>
      <c r="H121" s="84" t="s">
        <v>38</v>
      </c>
      <c r="I121" s="91">
        <v>61</v>
      </c>
      <c r="J121" s="91" t="s">
        <v>347</v>
      </c>
      <c r="K121" s="87"/>
      <c r="L121" s="87"/>
      <c r="M121" s="87"/>
      <c r="N121" s="85" t="s">
        <v>349</v>
      </c>
      <c r="O121" s="87">
        <v>294402000</v>
      </c>
      <c r="P121" s="89" t="s">
        <v>350</v>
      </c>
      <c r="Q121" s="88">
        <v>14550</v>
      </c>
      <c r="R121" s="90" t="s">
        <v>62</v>
      </c>
      <c r="T121" s="35">
        <v>420101</v>
      </c>
    </row>
    <row r="122" spans="1:20" ht="18" customHeight="1">
      <c r="A122" s="83">
        <v>2</v>
      </c>
      <c r="B122" s="84" t="s">
        <v>340</v>
      </c>
      <c r="C122" s="84">
        <v>1</v>
      </c>
      <c r="D122" s="84" t="s">
        <v>343</v>
      </c>
      <c r="E122" s="84">
        <v>1</v>
      </c>
      <c r="F122" s="84" t="s">
        <v>345</v>
      </c>
      <c r="G122" s="91">
        <v>18</v>
      </c>
      <c r="H122" s="84" t="s">
        <v>38</v>
      </c>
      <c r="I122" s="91">
        <v>61</v>
      </c>
      <c r="J122" s="91" t="s">
        <v>347</v>
      </c>
      <c r="K122" s="87"/>
      <c r="L122" s="87"/>
      <c r="M122" s="87"/>
      <c r="N122" s="85"/>
      <c r="O122" s="87"/>
      <c r="P122" s="89" t="s">
        <v>351</v>
      </c>
      <c r="Q122" s="88"/>
      <c r="R122" s="90" t="s">
        <v>62</v>
      </c>
      <c r="T122" s="35">
        <v>420101</v>
      </c>
    </row>
    <row r="123" spans="1:20" ht="18" customHeight="1">
      <c r="A123" s="83">
        <v>2</v>
      </c>
      <c r="B123" s="84" t="s">
        <v>340</v>
      </c>
      <c r="C123" s="84">
        <v>1</v>
      </c>
      <c r="D123" s="84" t="s">
        <v>343</v>
      </c>
      <c r="E123" s="84">
        <v>1</v>
      </c>
      <c r="F123" s="84" t="s">
        <v>345</v>
      </c>
      <c r="G123" s="91">
        <v>18</v>
      </c>
      <c r="H123" s="84" t="s">
        <v>38</v>
      </c>
      <c r="I123" s="91">
        <v>61</v>
      </c>
      <c r="J123" s="91" t="s">
        <v>347</v>
      </c>
      <c r="K123" s="87"/>
      <c r="L123" s="87"/>
      <c r="M123" s="87"/>
      <c r="N123" s="85"/>
      <c r="O123" s="87"/>
      <c r="P123" s="89" t="s">
        <v>201</v>
      </c>
      <c r="Q123" s="88">
        <v>79489</v>
      </c>
      <c r="R123" s="90" t="s">
        <v>62</v>
      </c>
      <c r="T123" s="35">
        <v>420101</v>
      </c>
    </row>
    <row r="124" spans="1:20" ht="18" customHeight="1">
      <c r="A124" s="83">
        <v>2</v>
      </c>
      <c r="B124" s="84" t="s">
        <v>340</v>
      </c>
      <c r="C124" s="84">
        <v>1</v>
      </c>
      <c r="D124" s="84" t="s">
        <v>343</v>
      </c>
      <c r="E124" s="84">
        <v>1</v>
      </c>
      <c r="F124" s="84" t="s">
        <v>345</v>
      </c>
      <c r="G124" s="91">
        <v>18</v>
      </c>
      <c r="H124" s="84" t="s">
        <v>38</v>
      </c>
      <c r="I124" s="91">
        <v>61</v>
      </c>
      <c r="J124" s="91" t="s">
        <v>347</v>
      </c>
      <c r="K124" s="87"/>
      <c r="L124" s="87"/>
      <c r="M124" s="87"/>
      <c r="N124" s="85"/>
      <c r="O124" s="87"/>
      <c r="P124" s="89" t="s">
        <v>206</v>
      </c>
      <c r="Q124" s="88">
        <v>36800</v>
      </c>
      <c r="R124" s="90" t="s">
        <v>62</v>
      </c>
      <c r="T124" s="35">
        <v>420101</v>
      </c>
    </row>
    <row r="125" spans="1:20" ht="18" customHeight="1">
      <c r="A125" s="83">
        <v>2</v>
      </c>
      <c r="B125" s="84" t="s">
        <v>340</v>
      </c>
      <c r="C125" s="84">
        <v>1</v>
      </c>
      <c r="D125" s="84" t="s">
        <v>343</v>
      </c>
      <c r="E125" s="84">
        <v>1</v>
      </c>
      <c r="F125" s="84" t="s">
        <v>345</v>
      </c>
      <c r="G125" s="91">
        <v>18</v>
      </c>
      <c r="H125" s="84" t="s">
        <v>38</v>
      </c>
      <c r="I125" s="91">
        <v>61</v>
      </c>
      <c r="J125" s="91" t="s">
        <v>347</v>
      </c>
      <c r="K125" s="87"/>
      <c r="L125" s="87"/>
      <c r="M125" s="87"/>
      <c r="N125" s="85"/>
      <c r="O125" s="87"/>
      <c r="P125" s="89" t="s">
        <v>352</v>
      </c>
      <c r="Q125" s="88">
        <v>36800</v>
      </c>
      <c r="R125" s="90" t="s">
        <v>62</v>
      </c>
      <c r="T125" s="35">
        <v>420101</v>
      </c>
    </row>
    <row r="126" spans="1:20" ht="18" customHeight="1">
      <c r="A126" s="83">
        <v>2</v>
      </c>
      <c r="B126" s="84" t="s">
        <v>340</v>
      </c>
      <c r="C126" s="84">
        <v>1</v>
      </c>
      <c r="D126" s="84" t="s">
        <v>343</v>
      </c>
      <c r="E126" s="84">
        <v>1</v>
      </c>
      <c r="F126" s="84" t="s">
        <v>345</v>
      </c>
      <c r="G126" s="91">
        <v>18</v>
      </c>
      <c r="H126" s="84" t="s">
        <v>38</v>
      </c>
      <c r="I126" s="91">
        <v>61</v>
      </c>
      <c r="J126" s="91" t="s">
        <v>347</v>
      </c>
      <c r="K126" s="87"/>
      <c r="L126" s="87"/>
      <c r="M126" s="87"/>
      <c r="N126" s="85"/>
      <c r="O126" s="87"/>
      <c r="P126" s="89" t="s">
        <v>353</v>
      </c>
      <c r="Q126" s="88"/>
      <c r="R126" s="90" t="s">
        <v>62</v>
      </c>
      <c r="T126" s="35">
        <v>420101</v>
      </c>
    </row>
    <row r="127" spans="1:20" ht="18" customHeight="1">
      <c r="A127" s="83">
        <v>2</v>
      </c>
      <c r="B127" s="84" t="s">
        <v>340</v>
      </c>
      <c r="C127" s="84">
        <v>1</v>
      </c>
      <c r="D127" s="84" t="s">
        <v>343</v>
      </c>
      <c r="E127" s="84">
        <v>1</v>
      </c>
      <c r="F127" s="84" t="s">
        <v>345</v>
      </c>
      <c r="G127" s="91">
        <v>18</v>
      </c>
      <c r="H127" s="84" t="s">
        <v>38</v>
      </c>
      <c r="I127" s="91">
        <v>61</v>
      </c>
      <c r="J127" s="91" t="s">
        <v>347</v>
      </c>
      <c r="K127" s="87"/>
      <c r="L127" s="87"/>
      <c r="M127" s="87"/>
      <c r="N127" s="85"/>
      <c r="O127" s="87"/>
      <c r="P127" s="89" t="s">
        <v>354</v>
      </c>
      <c r="Q127" s="88">
        <v>3793</v>
      </c>
      <c r="R127" s="90" t="s">
        <v>62</v>
      </c>
      <c r="T127" s="35">
        <v>420101</v>
      </c>
    </row>
    <row r="128" spans="1:20" ht="18" customHeight="1">
      <c r="A128" s="83">
        <v>2</v>
      </c>
      <c r="B128" s="84" t="s">
        <v>340</v>
      </c>
      <c r="C128" s="84">
        <v>1</v>
      </c>
      <c r="D128" s="84" t="s">
        <v>343</v>
      </c>
      <c r="E128" s="84">
        <v>1</v>
      </c>
      <c r="F128" s="84" t="s">
        <v>345</v>
      </c>
      <c r="G128" s="91">
        <v>18</v>
      </c>
      <c r="H128" s="84" t="s">
        <v>38</v>
      </c>
      <c r="I128" s="91">
        <v>61</v>
      </c>
      <c r="J128" s="91" t="s">
        <v>347</v>
      </c>
      <c r="K128" s="87"/>
      <c r="L128" s="87"/>
      <c r="M128" s="87"/>
      <c r="N128" s="85"/>
      <c r="O128" s="87"/>
      <c r="P128" s="89" t="s">
        <v>355</v>
      </c>
      <c r="Q128" s="88"/>
      <c r="R128" s="90" t="s">
        <v>62</v>
      </c>
      <c r="T128" s="35">
        <v>420101</v>
      </c>
    </row>
    <row r="129" spans="1:20" ht="18" customHeight="1">
      <c r="A129" s="65">
        <v>2</v>
      </c>
      <c r="B129" s="66" t="s">
        <v>342</v>
      </c>
      <c r="C129" s="74">
        <v>1</v>
      </c>
      <c r="D129" s="66" t="s">
        <v>343</v>
      </c>
      <c r="E129" s="75">
        <v>2</v>
      </c>
      <c r="F129" s="76" t="s">
        <v>356</v>
      </c>
      <c r="G129" s="75"/>
      <c r="H129" s="76"/>
      <c r="I129" s="75"/>
      <c r="J129" s="75"/>
      <c r="K129" s="77">
        <f>IF(C129="",SUMIFS($K130:$K$783,$A130:$A$783,A129,$E130:$E$783,""),IF(E129="",SUMIFS($K130:$K$783,$A130:$A$783,A129,$C130:$C$783,C129,$G130:$G$783,""),IF(G129="",SUMIFS($K130:$K$783,$A130:$A$783,A129,$C130:$C$783,C129,$E130:$E$783,E129,$R130:$R$783,R129),IF(I129="",SUMIFS($K130:$K$783,$A130:$A$783,A129,$C130:$C$783,C129,$E130:$E$783,E129,$G130:$G$783,G129,$R130:$R$783,R129),0))))</f>
        <v>173124</v>
      </c>
      <c r="L129" s="77">
        <f>IF(C129="",SUMIFS($L130:$L$783,$A130:$A$783,A129,$E130:$E$783,""),IF(E129="",SUMIFS($L130:$L$783,$A130:$A$783,A129,$C130:$C$783,C129,$G130:$G$783,""),IF(G129="",SUMIFS($L130:$L$783,$A130:$A$783,A129,$C130:$C$783,C129,$E130:$E$783,E129,$R130:$R$783,R129),IF(I129="",SUMIFS($L130:$L$783,$A130:$A$783,A129,$C130:$C$783,C129,$E130:$E$783,E129,$G130:$G$783,G129,$R130:$R$783,R129),0))))</f>
        <v>156478</v>
      </c>
      <c r="M129" s="77">
        <f t="shared" ref="M129" si="6">K129-L129</f>
        <v>16646</v>
      </c>
      <c r="N129" s="78"/>
      <c r="O129" s="79"/>
      <c r="P129" s="80"/>
      <c r="Q129" s="81">
        <f>IF(C129="",SUMIFS($Q130:$Q$781,$A130:$A$781,A129,$E130:$E$781,""),IF(E129="",SUMIFS($Q130:$Q$781,$A130:$A$781,A129,$C130:$C$781,C129,$G130:$G$781,""),IF(G129="",SUMIFS($Q130:$Q$781,$A130:$A$781,A129,$C130:$C$781,C129,$E130:$E$781,E129,$R130:$R$781,R129),IF(I129="",SUMIFS($Q130:$Q$781,$A130:$A$781,A129,$C130:$C$781,C129,$E130:$E$781,E129,$G130:$G$781,G129,$R130:$R$781,R129),0))))</f>
        <v>135437</v>
      </c>
      <c r="R129" s="82" t="s">
        <v>62</v>
      </c>
      <c r="T129" s="35">
        <v>420102</v>
      </c>
    </row>
    <row r="130" spans="1:20" ht="18" customHeight="1">
      <c r="A130" s="83">
        <v>2</v>
      </c>
      <c r="B130" s="84" t="s">
        <v>340</v>
      </c>
      <c r="C130" s="84">
        <v>1</v>
      </c>
      <c r="D130" s="84" t="s">
        <v>343</v>
      </c>
      <c r="E130" s="84">
        <v>2</v>
      </c>
      <c r="F130" s="84" t="s">
        <v>357</v>
      </c>
      <c r="G130" s="85">
        <v>18</v>
      </c>
      <c r="H130" s="86" t="s">
        <v>38</v>
      </c>
      <c r="I130" s="85"/>
      <c r="J130" s="85"/>
      <c r="K130" s="87"/>
      <c r="L130" s="87"/>
      <c r="M130" s="87"/>
      <c r="N130" s="85"/>
      <c r="O130" s="88"/>
      <c r="P130" s="89" t="s">
        <v>346</v>
      </c>
      <c r="Q130" s="88">
        <v>34625</v>
      </c>
      <c r="R130" s="90" t="s">
        <v>62</v>
      </c>
      <c r="T130" s="35">
        <v>420102</v>
      </c>
    </row>
    <row r="131" spans="1:20" ht="18" customHeight="1">
      <c r="A131" s="83">
        <v>2</v>
      </c>
      <c r="B131" s="84" t="s">
        <v>340</v>
      </c>
      <c r="C131" s="84">
        <v>1</v>
      </c>
      <c r="D131" s="84" t="s">
        <v>343</v>
      </c>
      <c r="E131" s="84">
        <v>2</v>
      </c>
      <c r="F131" s="84" t="s">
        <v>357</v>
      </c>
      <c r="G131" s="91">
        <v>18</v>
      </c>
      <c r="H131" s="84" t="s">
        <v>38</v>
      </c>
      <c r="I131" s="85">
        <v>61</v>
      </c>
      <c r="J131" s="85" t="s">
        <v>347</v>
      </c>
      <c r="K131" s="87">
        <v>173124</v>
      </c>
      <c r="L131" s="87">
        <v>156478</v>
      </c>
      <c r="M131" s="87">
        <f>K131-L131</f>
        <v>16646</v>
      </c>
      <c r="N131" s="85" t="s">
        <v>358</v>
      </c>
      <c r="O131" s="87"/>
      <c r="P131" s="89" t="s">
        <v>99</v>
      </c>
      <c r="Q131" s="88"/>
      <c r="R131" s="90" t="s">
        <v>62</v>
      </c>
      <c r="T131" s="35">
        <v>420102</v>
      </c>
    </row>
    <row r="132" spans="1:20" ht="18" customHeight="1">
      <c r="A132" s="83">
        <v>2</v>
      </c>
      <c r="B132" s="84" t="s">
        <v>340</v>
      </c>
      <c r="C132" s="84">
        <v>1</v>
      </c>
      <c r="D132" s="84" t="s">
        <v>343</v>
      </c>
      <c r="E132" s="84">
        <v>2</v>
      </c>
      <c r="F132" s="84" t="s">
        <v>357</v>
      </c>
      <c r="G132" s="91">
        <v>18</v>
      </c>
      <c r="H132" s="84" t="s">
        <v>38</v>
      </c>
      <c r="I132" s="91">
        <v>61</v>
      </c>
      <c r="J132" s="91" t="s">
        <v>347</v>
      </c>
      <c r="K132" s="87"/>
      <c r="L132" s="87"/>
      <c r="M132" s="87"/>
      <c r="N132" s="85" t="s">
        <v>359</v>
      </c>
      <c r="O132" s="87">
        <v>173124000</v>
      </c>
      <c r="P132" s="89" t="s">
        <v>350</v>
      </c>
      <c r="Q132" s="88">
        <v>8556</v>
      </c>
      <c r="R132" s="90" t="s">
        <v>62</v>
      </c>
      <c r="T132" s="35">
        <v>420102</v>
      </c>
    </row>
    <row r="133" spans="1:20" ht="18" customHeight="1">
      <c r="A133" s="83">
        <v>2</v>
      </c>
      <c r="B133" s="84" t="s">
        <v>340</v>
      </c>
      <c r="C133" s="84">
        <v>1</v>
      </c>
      <c r="D133" s="84" t="s">
        <v>343</v>
      </c>
      <c r="E133" s="84">
        <v>2</v>
      </c>
      <c r="F133" s="84" t="s">
        <v>357</v>
      </c>
      <c r="G133" s="91">
        <v>18</v>
      </c>
      <c r="H133" s="84" t="s">
        <v>38</v>
      </c>
      <c r="I133" s="91">
        <v>61</v>
      </c>
      <c r="J133" s="91" t="s">
        <v>347</v>
      </c>
      <c r="K133" s="87"/>
      <c r="L133" s="87"/>
      <c r="M133" s="87"/>
      <c r="N133" s="85"/>
      <c r="O133" s="87"/>
      <c r="P133" s="89" t="s">
        <v>351</v>
      </c>
      <c r="Q133" s="88"/>
      <c r="R133" s="90" t="s">
        <v>62</v>
      </c>
      <c r="T133" s="35">
        <v>420102</v>
      </c>
    </row>
    <row r="134" spans="1:20" ht="18" customHeight="1">
      <c r="A134" s="83">
        <v>2</v>
      </c>
      <c r="B134" s="84" t="s">
        <v>340</v>
      </c>
      <c r="C134" s="84">
        <v>1</v>
      </c>
      <c r="D134" s="84" t="s">
        <v>343</v>
      </c>
      <c r="E134" s="84">
        <v>2</v>
      </c>
      <c r="F134" s="84" t="s">
        <v>357</v>
      </c>
      <c r="G134" s="91">
        <v>18</v>
      </c>
      <c r="H134" s="84" t="s">
        <v>38</v>
      </c>
      <c r="I134" s="91">
        <v>61</v>
      </c>
      <c r="J134" s="91" t="s">
        <v>347</v>
      </c>
      <c r="K134" s="87"/>
      <c r="L134" s="87"/>
      <c r="M134" s="87"/>
      <c r="N134" s="85"/>
      <c r="O134" s="87"/>
      <c r="P134" s="89" t="s">
        <v>201</v>
      </c>
      <c r="Q134" s="88">
        <v>46743</v>
      </c>
      <c r="R134" s="90" t="s">
        <v>62</v>
      </c>
      <c r="T134" s="35">
        <v>420102</v>
      </c>
    </row>
    <row r="135" spans="1:20" ht="18" customHeight="1">
      <c r="A135" s="83">
        <v>2</v>
      </c>
      <c r="B135" s="84" t="s">
        <v>340</v>
      </c>
      <c r="C135" s="84">
        <v>1</v>
      </c>
      <c r="D135" s="84" t="s">
        <v>343</v>
      </c>
      <c r="E135" s="84">
        <v>2</v>
      </c>
      <c r="F135" s="84" t="s">
        <v>357</v>
      </c>
      <c r="G135" s="91">
        <v>18</v>
      </c>
      <c r="H135" s="84" t="s">
        <v>38</v>
      </c>
      <c r="I135" s="91">
        <v>61</v>
      </c>
      <c r="J135" s="91" t="s">
        <v>347</v>
      </c>
      <c r="K135" s="87"/>
      <c r="L135" s="87"/>
      <c r="M135" s="87"/>
      <c r="N135" s="85"/>
      <c r="O135" s="87"/>
      <c r="P135" s="89" t="s">
        <v>206</v>
      </c>
      <c r="Q135" s="88">
        <v>21641</v>
      </c>
      <c r="R135" s="90" t="s">
        <v>62</v>
      </c>
      <c r="T135" s="35">
        <v>420102</v>
      </c>
    </row>
    <row r="136" spans="1:20" ht="18" customHeight="1">
      <c r="A136" s="83">
        <v>2</v>
      </c>
      <c r="B136" s="84" t="s">
        <v>340</v>
      </c>
      <c r="C136" s="84">
        <v>1</v>
      </c>
      <c r="D136" s="84" t="s">
        <v>343</v>
      </c>
      <c r="E136" s="84">
        <v>2</v>
      </c>
      <c r="F136" s="84" t="s">
        <v>357</v>
      </c>
      <c r="G136" s="91">
        <v>18</v>
      </c>
      <c r="H136" s="84" t="s">
        <v>38</v>
      </c>
      <c r="I136" s="91">
        <v>61</v>
      </c>
      <c r="J136" s="91" t="s">
        <v>347</v>
      </c>
      <c r="K136" s="87"/>
      <c r="L136" s="87"/>
      <c r="M136" s="87"/>
      <c r="N136" s="85"/>
      <c r="O136" s="87"/>
      <c r="P136" s="89" t="s">
        <v>352</v>
      </c>
      <c r="Q136" s="88">
        <v>21641</v>
      </c>
      <c r="R136" s="90" t="s">
        <v>62</v>
      </c>
      <c r="T136" s="35">
        <v>420102</v>
      </c>
    </row>
    <row r="137" spans="1:20" ht="18" customHeight="1">
      <c r="A137" s="83">
        <v>2</v>
      </c>
      <c r="B137" s="84" t="s">
        <v>340</v>
      </c>
      <c r="C137" s="84">
        <v>1</v>
      </c>
      <c r="D137" s="84" t="s">
        <v>343</v>
      </c>
      <c r="E137" s="84">
        <v>2</v>
      </c>
      <c r="F137" s="84" t="s">
        <v>357</v>
      </c>
      <c r="G137" s="91">
        <v>18</v>
      </c>
      <c r="H137" s="84" t="s">
        <v>38</v>
      </c>
      <c r="I137" s="91">
        <v>61</v>
      </c>
      <c r="J137" s="91" t="s">
        <v>347</v>
      </c>
      <c r="K137" s="87"/>
      <c r="L137" s="87"/>
      <c r="M137" s="87"/>
      <c r="N137" s="85"/>
      <c r="O137" s="87"/>
      <c r="P137" s="89" t="s">
        <v>353</v>
      </c>
      <c r="Q137" s="88"/>
      <c r="R137" s="90" t="s">
        <v>62</v>
      </c>
      <c r="T137" s="35">
        <v>420102</v>
      </c>
    </row>
    <row r="138" spans="1:20" ht="18" customHeight="1">
      <c r="A138" s="83">
        <v>2</v>
      </c>
      <c r="B138" s="84" t="s">
        <v>340</v>
      </c>
      <c r="C138" s="84">
        <v>1</v>
      </c>
      <c r="D138" s="84" t="s">
        <v>343</v>
      </c>
      <c r="E138" s="84">
        <v>2</v>
      </c>
      <c r="F138" s="84" t="s">
        <v>357</v>
      </c>
      <c r="G138" s="91">
        <v>18</v>
      </c>
      <c r="H138" s="84" t="s">
        <v>38</v>
      </c>
      <c r="I138" s="91">
        <v>61</v>
      </c>
      <c r="J138" s="91" t="s">
        <v>347</v>
      </c>
      <c r="K138" s="87"/>
      <c r="L138" s="87"/>
      <c r="M138" s="87"/>
      <c r="N138" s="85"/>
      <c r="O138" s="87"/>
      <c r="P138" s="89" t="s">
        <v>354</v>
      </c>
      <c r="Q138" s="88">
        <v>2231</v>
      </c>
      <c r="R138" s="90" t="s">
        <v>62</v>
      </c>
      <c r="T138" s="35">
        <v>420102</v>
      </c>
    </row>
    <row r="139" spans="1:20" ht="18" customHeight="1">
      <c r="A139" s="83">
        <v>2</v>
      </c>
      <c r="B139" s="84" t="s">
        <v>340</v>
      </c>
      <c r="C139" s="84">
        <v>1</v>
      </c>
      <c r="D139" s="84" t="s">
        <v>343</v>
      </c>
      <c r="E139" s="84">
        <v>2</v>
      </c>
      <c r="F139" s="84" t="s">
        <v>357</v>
      </c>
      <c r="G139" s="91">
        <v>18</v>
      </c>
      <c r="H139" s="84" t="s">
        <v>38</v>
      </c>
      <c r="I139" s="91">
        <v>61</v>
      </c>
      <c r="J139" s="91" t="s">
        <v>347</v>
      </c>
      <c r="K139" s="87"/>
      <c r="L139" s="87"/>
      <c r="M139" s="87"/>
      <c r="N139" s="85"/>
      <c r="O139" s="87"/>
      <c r="P139" s="89" t="s">
        <v>355</v>
      </c>
      <c r="Q139" s="88"/>
      <c r="R139" s="90" t="s">
        <v>62</v>
      </c>
      <c r="T139" s="35">
        <v>420102</v>
      </c>
    </row>
    <row r="140" spans="1:20" ht="18" customHeight="1">
      <c r="A140" s="65">
        <v>2</v>
      </c>
      <c r="B140" s="66" t="s">
        <v>342</v>
      </c>
      <c r="C140" s="74">
        <v>1</v>
      </c>
      <c r="D140" s="66" t="s">
        <v>343</v>
      </c>
      <c r="E140" s="75">
        <v>3</v>
      </c>
      <c r="F140" s="76" t="s">
        <v>360</v>
      </c>
      <c r="G140" s="75"/>
      <c r="H140" s="76"/>
      <c r="I140" s="75"/>
      <c r="J140" s="75"/>
      <c r="K140" s="77">
        <f>IF(C140="",SUMIFS($K141:$K$783,$A141:$A$783,A140,$E141:$E$783,""),IF(E140="",SUMIFS($K141:$K$783,$A141:$A$783,A140,$C141:$C$783,C140,$G141:$G$783,""),IF(G140="",SUMIFS($K141:$K$783,$A141:$A$783,A140,$C141:$C$783,C140,$E141:$E$783,E140,$R141:$R$783,R140),IF(I140="",SUMIFS($K141:$K$783,$A141:$A$783,A140,$C141:$C$783,C140,$E141:$E$783,E140,$G141:$G$783,G140,$R141:$R$783,R140),0))))</f>
        <v>470442</v>
      </c>
      <c r="L140" s="77">
        <f>IF(C140="",SUMIFS($L141:$L$783,$A141:$A$783,A140,$E141:$E$783,""),IF(E140="",SUMIFS($L141:$L$783,$A141:$A$783,A140,$C141:$C$783,C140,$G141:$G$783,""),IF(G140="",SUMIFS($L141:$L$783,$A141:$A$783,A140,$C141:$C$783,C140,$E141:$E$783,E140,$R141:$R$783,R140),IF(I140="",SUMIFS($L141:$L$783,$A141:$A$783,A140,$C141:$C$783,C140,$E141:$E$783,E140,$G141:$G$783,G140,$R141:$R$783,R140),0))))</f>
        <v>459470</v>
      </c>
      <c r="M140" s="77">
        <f t="shared" ref="M140" si="7">K140-L140</f>
        <v>10972</v>
      </c>
      <c r="N140" s="78"/>
      <c r="O140" s="79"/>
      <c r="P140" s="80"/>
      <c r="Q140" s="81">
        <f>IF(C140="",SUMIFS($Q141:$Q$781,$A141:$A$781,A140,$E141:$E$781,""),IF(E140="",SUMIFS($Q141:$Q$781,$A141:$A$781,A140,$C141:$C$781,C140,$G141:$G$781,""),IF(G140="",SUMIFS($Q141:$Q$781,$A141:$A$781,A140,$C141:$C$781,C140,$E141:$E$781,E140,$R141:$R$781,R140),IF(I140="",SUMIFS($Q141:$Q$781,$A141:$A$781,A140,$C141:$C$781,C140,$E141:$E$781,E140,$G141:$G$781,G140,$R141:$R$781,R140),0))))</f>
        <v>368030</v>
      </c>
      <c r="R140" s="82" t="s">
        <v>62</v>
      </c>
      <c r="T140" s="35">
        <v>420103</v>
      </c>
    </row>
    <row r="141" spans="1:20" ht="18" customHeight="1">
      <c r="A141" s="83">
        <v>2</v>
      </c>
      <c r="B141" s="84" t="s">
        <v>340</v>
      </c>
      <c r="C141" s="84">
        <v>1</v>
      </c>
      <c r="D141" s="84" t="s">
        <v>343</v>
      </c>
      <c r="E141" s="84">
        <v>3</v>
      </c>
      <c r="F141" s="84" t="s">
        <v>361</v>
      </c>
      <c r="G141" s="85">
        <v>18</v>
      </c>
      <c r="H141" s="86" t="s">
        <v>38</v>
      </c>
      <c r="I141" s="85"/>
      <c r="J141" s="85"/>
      <c r="K141" s="87"/>
      <c r="L141" s="87"/>
      <c r="M141" s="87"/>
      <c r="N141" s="85"/>
      <c r="O141" s="88"/>
      <c r="P141" s="89" t="s">
        <v>346</v>
      </c>
      <c r="Q141" s="88">
        <v>70567</v>
      </c>
      <c r="R141" s="90" t="s">
        <v>62</v>
      </c>
      <c r="T141" s="35">
        <v>420103</v>
      </c>
    </row>
    <row r="142" spans="1:20" ht="18" customHeight="1">
      <c r="A142" s="83">
        <v>2</v>
      </c>
      <c r="B142" s="84" t="s">
        <v>340</v>
      </c>
      <c r="C142" s="84">
        <v>1</v>
      </c>
      <c r="D142" s="84" t="s">
        <v>343</v>
      </c>
      <c r="E142" s="84">
        <v>3</v>
      </c>
      <c r="F142" s="84" t="s">
        <v>361</v>
      </c>
      <c r="G142" s="91">
        <v>18</v>
      </c>
      <c r="H142" s="84" t="s">
        <v>38</v>
      </c>
      <c r="I142" s="85">
        <v>61</v>
      </c>
      <c r="J142" s="85" t="s">
        <v>347</v>
      </c>
      <c r="K142" s="87">
        <v>470442</v>
      </c>
      <c r="L142" s="87">
        <v>459470</v>
      </c>
      <c r="M142" s="87">
        <f>K142-L142</f>
        <v>10972</v>
      </c>
      <c r="N142" s="85" t="s">
        <v>362</v>
      </c>
      <c r="O142" s="87"/>
      <c r="P142" s="89" t="s">
        <v>99</v>
      </c>
      <c r="Q142" s="88"/>
      <c r="R142" s="90" t="s">
        <v>62</v>
      </c>
      <c r="T142" s="35">
        <v>420103</v>
      </c>
    </row>
    <row r="143" spans="1:20" ht="18" customHeight="1">
      <c r="A143" s="83">
        <v>2</v>
      </c>
      <c r="B143" s="84" t="s">
        <v>340</v>
      </c>
      <c r="C143" s="84">
        <v>1</v>
      </c>
      <c r="D143" s="84" t="s">
        <v>343</v>
      </c>
      <c r="E143" s="84">
        <v>3</v>
      </c>
      <c r="F143" s="84" t="s">
        <v>361</v>
      </c>
      <c r="G143" s="91">
        <v>18</v>
      </c>
      <c r="H143" s="84" t="s">
        <v>38</v>
      </c>
      <c r="I143" s="91">
        <v>61</v>
      </c>
      <c r="J143" s="91" t="s">
        <v>347</v>
      </c>
      <c r="K143" s="87"/>
      <c r="L143" s="87"/>
      <c r="M143" s="87"/>
      <c r="N143" s="85" t="s">
        <v>363</v>
      </c>
      <c r="O143" s="87">
        <v>470442000</v>
      </c>
      <c r="P143" s="89" t="s">
        <v>350</v>
      </c>
      <c r="Q143" s="88">
        <v>23251</v>
      </c>
      <c r="R143" s="90" t="s">
        <v>62</v>
      </c>
      <c r="T143" s="35">
        <v>420103</v>
      </c>
    </row>
    <row r="144" spans="1:20" ht="18" customHeight="1">
      <c r="A144" s="83">
        <v>2</v>
      </c>
      <c r="B144" s="84" t="s">
        <v>340</v>
      </c>
      <c r="C144" s="84">
        <v>1</v>
      </c>
      <c r="D144" s="84" t="s">
        <v>343</v>
      </c>
      <c r="E144" s="84">
        <v>3</v>
      </c>
      <c r="F144" s="84" t="s">
        <v>361</v>
      </c>
      <c r="G144" s="91">
        <v>18</v>
      </c>
      <c r="H144" s="84" t="s">
        <v>38</v>
      </c>
      <c r="I144" s="91">
        <v>61</v>
      </c>
      <c r="J144" s="91" t="s">
        <v>347</v>
      </c>
      <c r="K144" s="87"/>
      <c r="L144" s="87"/>
      <c r="M144" s="87"/>
      <c r="N144" s="85"/>
      <c r="O144" s="87"/>
      <c r="P144" s="89" t="s">
        <v>351</v>
      </c>
      <c r="Q144" s="88"/>
      <c r="R144" s="90" t="s">
        <v>62</v>
      </c>
      <c r="T144" s="35">
        <v>420103</v>
      </c>
    </row>
    <row r="145" spans="1:20" ht="18" customHeight="1">
      <c r="A145" s="83">
        <v>2</v>
      </c>
      <c r="B145" s="84" t="s">
        <v>340</v>
      </c>
      <c r="C145" s="84">
        <v>1</v>
      </c>
      <c r="D145" s="84" t="s">
        <v>343</v>
      </c>
      <c r="E145" s="84">
        <v>3</v>
      </c>
      <c r="F145" s="84" t="s">
        <v>361</v>
      </c>
      <c r="G145" s="91">
        <v>18</v>
      </c>
      <c r="H145" s="84" t="s">
        <v>38</v>
      </c>
      <c r="I145" s="91">
        <v>61</v>
      </c>
      <c r="J145" s="91" t="s">
        <v>347</v>
      </c>
      <c r="K145" s="87"/>
      <c r="L145" s="87"/>
      <c r="M145" s="87"/>
      <c r="N145" s="85"/>
      <c r="O145" s="87"/>
      <c r="P145" s="89" t="s">
        <v>201</v>
      </c>
      <c r="Q145" s="88">
        <v>127019</v>
      </c>
      <c r="R145" s="90" t="s">
        <v>62</v>
      </c>
      <c r="T145" s="35">
        <v>420103</v>
      </c>
    </row>
    <row r="146" spans="1:20" ht="18" customHeight="1">
      <c r="A146" s="83">
        <v>2</v>
      </c>
      <c r="B146" s="84" t="s">
        <v>340</v>
      </c>
      <c r="C146" s="84">
        <v>1</v>
      </c>
      <c r="D146" s="84" t="s">
        <v>343</v>
      </c>
      <c r="E146" s="84">
        <v>3</v>
      </c>
      <c r="F146" s="84" t="s">
        <v>361</v>
      </c>
      <c r="G146" s="91">
        <v>18</v>
      </c>
      <c r="H146" s="84" t="s">
        <v>38</v>
      </c>
      <c r="I146" s="91">
        <v>61</v>
      </c>
      <c r="J146" s="91" t="s">
        <v>347</v>
      </c>
      <c r="K146" s="87"/>
      <c r="L146" s="87"/>
      <c r="M146" s="87"/>
      <c r="N146" s="85"/>
      <c r="O146" s="87"/>
      <c r="P146" s="89" t="s">
        <v>206</v>
      </c>
      <c r="Q146" s="88">
        <v>82327</v>
      </c>
      <c r="R146" s="90" t="s">
        <v>62</v>
      </c>
      <c r="T146" s="35">
        <v>420103</v>
      </c>
    </row>
    <row r="147" spans="1:20" ht="18" customHeight="1">
      <c r="A147" s="83">
        <v>2</v>
      </c>
      <c r="B147" s="84" t="s">
        <v>340</v>
      </c>
      <c r="C147" s="84">
        <v>1</v>
      </c>
      <c r="D147" s="84" t="s">
        <v>343</v>
      </c>
      <c r="E147" s="84">
        <v>3</v>
      </c>
      <c r="F147" s="84" t="s">
        <v>361</v>
      </c>
      <c r="G147" s="91">
        <v>18</v>
      </c>
      <c r="H147" s="84" t="s">
        <v>38</v>
      </c>
      <c r="I147" s="91">
        <v>61</v>
      </c>
      <c r="J147" s="91" t="s">
        <v>347</v>
      </c>
      <c r="K147" s="87"/>
      <c r="L147" s="87"/>
      <c r="M147" s="87"/>
      <c r="N147" s="85"/>
      <c r="O147" s="87"/>
      <c r="P147" s="89" t="s">
        <v>352</v>
      </c>
      <c r="Q147" s="88">
        <v>58805</v>
      </c>
      <c r="R147" s="90" t="s">
        <v>62</v>
      </c>
      <c r="T147" s="35">
        <v>420103</v>
      </c>
    </row>
    <row r="148" spans="1:20" ht="18" customHeight="1">
      <c r="A148" s="83">
        <v>2</v>
      </c>
      <c r="B148" s="84" t="s">
        <v>340</v>
      </c>
      <c r="C148" s="84">
        <v>1</v>
      </c>
      <c r="D148" s="84" t="s">
        <v>343</v>
      </c>
      <c r="E148" s="84">
        <v>3</v>
      </c>
      <c r="F148" s="84" t="s">
        <v>361</v>
      </c>
      <c r="G148" s="91">
        <v>18</v>
      </c>
      <c r="H148" s="84" t="s">
        <v>38</v>
      </c>
      <c r="I148" s="91">
        <v>61</v>
      </c>
      <c r="J148" s="91" t="s">
        <v>347</v>
      </c>
      <c r="K148" s="87"/>
      <c r="L148" s="87"/>
      <c r="M148" s="87"/>
      <c r="N148" s="85"/>
      <c r="O148" s="87"/>
      <c r="P148" s="89" t="s">
        <v>353</v>
      </c>
      <c r="Q148" s="88"/>
      <c r="R148" s="90" t="s">
        <v>62</v>
      </c>
      <c r="T148" s="35">
        <v>420103</v>
      </c>
    </row>
    <row r="149" spans="1:20" ht="18" customHeight="1">
      <c r="A149" s="83">
        <v>2</v>
      </c>
      <c r="B149" s="84" t="s">
        <v>340</v>
      </c>
      <c r="C149" s="84">
        <v>1</v>
      </c>
      <c r="D149" s="84" t="s">
        <v>343</v>
      </c>
      <c r="E149" s="84">
        <v>3</v>
      </c>
      <c r="F149" s="84" t="s">
        <v>361</v>
      </c>
      <c r="G149" s="91">
        <v>18</v>
      </c>
      <c r="H149" s="84" t="s">
        <v>38</v>
      </c>
      <c r="I149" s="91">
        <v>61</v>
      </c>
      <c r="J149" s="91" t="s">
        <v>347</v>
      </c>
      <c r="K149" s="87"/>
      <c r="L149" s="87"/>
      <c r="M149" s="87"/>
      <c r="N149" s="85"/>
      <c r="O149" s="87"/>
      <c r="P149" s="89" t="s">
        <v>354</v>
      </c>
      <c r="Q149" s="88">
        <v>6061</v>
      </c>
      <c r="R149" s="90" t="s">
        <v>62</v>
      </c>
      <c r="T149" s="35">
        <v>420103</v>
      </c>
    </row>
    <row r="150" spans="1:20" ht="18" customHeight="1">
      <c r="A150" s="83">
        <v>2</v>
      </c>
      <c r="B150" s="84" t="s">
        <v>340</v>
      </c>
      <c r="C150" s="84">
        <v>1</v>
      </c>
      <c r="D150" s="84" t="s">
        <v>343</v>
      </c>
      <c r="E150" s="84">
        <v>3</v>
      </c>
      <c r="F150" s="84" t="s">
        <v>361</v>
      </c>
      <c r="G150" s="91">
        <v>18</v>
      </c>
      <c r="H150" s="84" t="s">
        <v>38</v>
      </c>
      <c r="I150" s="91">
        <v>61</v>
      </c>
      <c r="J150" s="91" t="s">
        <v>347</v>
      </c>
      <c r="K150" s="87"/>
      <c r="L150" s="87"/>
      <c r="M150" s="87"/>
      <c r="N150" s="85"/>
      <c r="O150" s="87"/>
      <c r="P150" s="89" t="s">
        <v>355</v>
      </c>
      <c r="Q150" s="88"/>
      <c r="R150" s="90" t="s">
        <v>62</v>
      </c>
      <c r="T150" s="35">
        <v>420103</v>
      </c>
    </row>
    <row r="151" spans="1:20" ht="18" customHeight="1">
      <c r="A151" s="65">
        <v>2</v>
      </c>
      <c r="B151" s="66" t="s">
        <v>342</v>
      </c>
      <c r="C151" s="74">
        <v>1</v>
      </c>
      <c r="D151" s="66" t="s">
        <v>343</v>
      </c>
      <c r="E151" s="75">
        <v>4</v>
      </c>
      <c r="F151" s="76" t="s">
        <v>364</v>
      </c>
      <c r="G151" s="75"/>
      <c r="H151" s="76"/>
      <c r="I151" s="75"/>
      <c r="J151" s="75"/>
      <c r="K151" s="77">
        <f>IF(C151="",SUMIFS($K152:$K$783,$A152:$A$783,A151,$E152:$E$783,""),IF(E151="",SUMIFS($K152:$K$783,$A152:$A$783,A151,$C152:$C$783,C151,$G152:$G$783,""),IF(G151="",SUMIFS($K152:$K$783,$A152:$A$783,A151,$C152:$C$783,C151,$E152:$E$783,E151,$R152:$R$783,R151),IF(I151="",SUMIFS($K152:$K$783,$A152:$A$783,A151,$C152:$C$783,C151,$E152:$E$783,E151,$G152:$G$783,G151,$R152:$R$783,R151),0))))</f>
        <v>600</v>
      </c>
      <c r="L151" s="77">
        <f>IF(C151="",SUMIFS($L152:$L$783,$A152:$A$783,A151,$E152:$E$783,""),IF(E151="",SUMIFS($L152:$L$783,$A152:$A$783,A151,$C152:$C$783,C151,$G152:$G$783,""),IF(G151="",SUMIFS($L152:$L$783,$A152:$A$783,A151,$C152:$C$783,C151,$E152:$E$783,E151,$R152:$R$783,R151),IF(I151="",SUMIFS($L152:$L$783,$A152:$A$783,A151,$C152:$C$783,C151,$E152:$E$783,E151,$G152:$G$783,G151,$R152:$R$783,R151),0))))</f>
        <v>600</v>
      </c>
      <c r="M151" s="77">
        <f t="shared" ref="M151" si="8">K151-L151</f>
        <v>0</v>
      </c>
      <c r="N151" s="78"/>
      <c r="O151" s="79"/>
      <c r="P151" s="80"/>
      <c r="Q151" s="81">
        <f>IF(C151="",SUMIFS($Q152:$Q$781,$A152:$A$781,A151,$E152:$E$781,""),IF(E151="",SUMIFS($Q152:$Q$781,$A152:$A$781,A151,$C152:$C$781,C151,$G152:$G$781,""),IF(G151="",SUMIFS($Q152:$Q$781,$A152:$A$781,A151,$C152:$C$781,C151,$E152:$E$781,E151,$R152:$R$781,R151),IF(I151="",SUMIFS($Q152:$Q$781,$A152:$A$781,A151,$C152:$C$781,C151,$E152:$E$781,E151,$G152:$G$781,G151,$R152:$R$781,R151),0))))</f>
        <v>470</v>
      </c>
      <c r="R151" s="82" t="s">
        <v>62</v>
      </c>
      <c r="T151" s="35">
        <v>420104</v>
      </c>
    </row>
    <row r="152" spans="1:20" ht="18" customHeight="1">
      <c r="A152" s="83">
        <v>2</v>
      </c>
      <c r="B152" s="84" t="s">
        <v>340</v>
      </c>
      <c r="C152" s="84">
        <v>1</v>
      </c>
      <c r="D152" s="84" t="s">
        <v>343</v>
      </c>
      <c r="E152" s="84">
        <v>4</v>
      </c>
      <c r="F152" s="84" t="s">
        <v>365</v>
      </c>
      <c r="G152" s="85">
        <v>18</v>
      </c>
      <c r="H152" s="86" t="s">
        <v>38</v>
      </c>
      <c r="I152" s="85"/>
      <c r="J152" s="85"/>
      <c r="K152" s="87"/>
      <c r="L152" s="87"/>
      <c r="M152" s="87"/>
      <c r="N152" s="85"/>
      <c r="O152" s="88"/>
      <c r="P152" s="89" t="s">
        <v>346</v>
      </c>
      <c r="Q152" s="88">
        <v>120</v>
      </c>
      <c r="R152" s="90" t="s">
        <v>62</v>
      </c>
      <c r="T152" s="35">
        <v>420104</v>
      </c>
    </row>
    <row r="153" spans="1:20" ht="18" customHeight="1">
      <c r="A153" s="83">
        <v>2</v>
      </c>
      <c r="B153" s="84" t="s">
        <v>340</v>
      </c>
      <c r="C153" s="84">
        <v>1</v>
      </c>
      <c r="D153" s="84" t="s">
        <v>343</v>
      </c>
      <c r="E153" s="84">
        <v>4</v>
      </c>
      <c r="F153" s="84" t="s">
        <v>365</v>
      </c>
      <c r="G153" s="91">
        <v>18</v>
      </c>
      <c r="H153" s="84" t="s">
        <v>38</v>
      </c>
      <c r="I153" s="85">
        <v>61</v>
      </c>
      <c r="J153" s="85" t="s">
        <v>347</v>
      </c>
      <c r="K153" s="87">
        <v>600</v>
      </c>
      <c r="L153" s="87">
        <v>600</v>
      </c>
      <c r="M153" s="87">
        <f>K153-L153</f>
        <v>0</v>
      </c>
      <c r="N153" s="85" t="s">
        <v>366</v>
      </c>
      <c r="O153" s="87"/>
      <c r="P153" s="89" t="s">
        <v>99</v>
      </c>
      <c r="Q153" s="88"/>
      <c r="R153" s="90" t="s">
        <v>62</v>
      </c>
      <c r="T153" s="35">
        <v>420104</v>
      </c>
    </row>
    <row r="154" spans="1:20" ht="18" customHeight="1">
      <c r="A154" s="83">
        <v>2</v>
      </c>
      <c r="B154" s="84" t="s">
        <v>340</v>
      </c>
      <c r="C154" s="84">
        <v>1</v>
      </c>
      <c r="D154" s="84" t="s">
        <v>343</v>
      </c>
      <c r="E154" s="84">
        <v>4</v>
      </c>
      <c r="F154" s="84" t="s">
        <v>365</v>
      </c>
      <c r="G154" s="91">
        <v>18</v>
      </c>
      <c r="H154" s="84" t="s">
        <v>38</v>
      </c>
      <c r="I154" s="91">
        <v>61</v>
      </c>
      <c r="J154" s="91" t="s">
        <v>347</v>
      </c>
      <c r="K154" s="87"/>
      <c r="L154" s="87"/>
      <c r="M154" s="87"/>
      <c r="N154" s="85" t="s">
        <v>367</v>
      </c>
      <c r="O154" s="87">
        <v>600000</v>
      </c>
      <c r="P154" s="89" t="s">
        <v>350</v>
      </c>
      <c r="Q154" s="88">
        <v>30</v>
      </c>
      <c r="R154" s="90" t="s">
        <v>62</v>
      </c>
      <c r="T154" s="35">
        <v>420104</v>
      </c>
    </row>
    <row r="155" spans="1:20" ht="18" customHeight="1">
      <c r="A155" s="83">
        <v>2</v>
      </c>
      <c r="B155" s="84" t="s">
        <v>340</v>
      </c>
      <c r="C155" s="84">
        <v>1</v>
      </c>
      <c r="D155" s="84" t="s">
        <v>343</v>
      </c>
      <c r="E155" s="84">
        <v>4</v>
      </c>
      <c r="F155" s="84" t="s">
        <v>365</v>
      </c>
      <c r="G155" s="91">
        <v>18</v>
      </c>
      <c r="H155" s="84" t="s">
        <v>38</v>
      </c>
      <c r="I155" s="91">
        <v>61</v>
      </c>
      <c r="J155" s="91" t="s">
        <v>347</v>
      </c>
      <c r="K155" s="87"/>
      <c r="L155" s="87"/>
      <c r="M155" s="87"/>
      <c r="N155" s="85"/>
      <c r="O155" s="87"/>
      <c r="P155" s="89" t="s">
        <v>351</v>
      </c>
      <c r="Q155" s="88"/>
      <c r="R155" s="90" t="s">
        <v>62</v>
      </c>
      <c r="T155" s="35">
        <v>420104</v>
      </c>
    </row>
    <row r="156" spans="1:20" ht="18" customHeight="1">
      <c r="A156" s="83">
        <v>2</v>
      </c>
      <c r="B156" s="84" t="s">
        <v>340</v>
      </c>
      <c r="C156" s="84">
        <v>1</v>
      </c>
      <c r="D156" s="84" t="s">
        <v>343</v>
      </c>
      <c r="E156" s="84">
        <v>4</v>
      </c>
      <c r="F156" s="84" t="s">
        <v>365</v>
      </c>
      <c r="G156" s="91">
        <v>18</v>
      </c>
      <c r="H156" s="84" t="s">
        <v>38</v>
      </c>
      <c r="I156" s="91">
        <v>61</v>
      </c>
      <c r="J156" s="91" t="s">
        <v>347</v>
      </c>
      <c r="K156" s="87"/>
      <c r="L156" s="87"/>
      <c r="M156" s="87"/>
      <c r="N156" s="85"/>
      <c r="O156" s="87"/>
      <c r="P156" s="89" t="s">
        <v>201</v>
      </c>
      <c r="Q156" s="88">
        <v>162</v>
      </c>
      <c r="R156" s="90" t="s">
        <v>62</v>
      </c>
      <c r="T156" s="35">
        <v>420104</v>
      </c>
    </row>
    <row r="157" spans="1:20" ht="18" customHeight="1">
      <c r="A157" s="83">
        <v>2</v>
      </c>
      <c r="B157" s="84" t="s">
        <v>340</v>
      </c>
      <c r="C157" s="84">
        <v>1</v>
      </c>
      <c r="D157" s="84" t="s">
        <v>343</v>
      </c>
      <c r="E157" s="84">
        <v>4</v>
      </c>
      <c r="F157" s="84" t="s">
        <v>365</v>
      </c>
      <c r="G157" s="91">
        <v>18</v>
      </c>
      <c r="H157" s="84" t="s">
        <v>38</v>
      </c>
      <c r="I157" s="91">
        <v>61</v>
      </c>
      <c r="J157" s="91" t="s">
        <v>347</v>
      </c>
      <c r="K157" s="87"/>
      <c r="L157" s="87"/>
      <c r="M157" s="87"/>
      <c r="N157" s="85"/>
      <c r="O157" s="87"/>
      <c r="P157" s="89" t="s">
        <v>206</v>
      </c>
      <c r="Q157" s="88">
        <v>75</v>
      </c>
      <c r="R157" s="90" t="s">
        <v>62</v>
      </c>
      <c r="T157" s="35">
        <v>420104</v>
      </c>
    </row>
    <row r="158" spans="1:20" ht="18" customHeight="1">
      <c r="A158" s="83">
        <v>2</v>
      </c>
      <c r="B158" s="84" t="s">
        <v>340</v>
      </c>
      <c r="C158" s="84">
        <v>1</v>
      </c>
      <c r="D158" s="84" t="s">
        <v>343</v>
      </c>
      <c r="E158" s="84">
        <v>4</v>
      </c>
      <c r="F158" s="84" t="s">
        <v>365</v>
      </c>
      <c r="G158" s="91">
        <v>18</v>
      </c>
      <c r="H158" s="84" t="s">
        <v>38</v>
      </c>
      <c r="I158" s="91">
        <v>61</v>
      </c>
      <c r="J158" s="91" t="s">
        <v>347</v>
      </c>
      <c r="K158" s="87"/>
      <c r="L158" s="87"/>
      <c r="M158" s="87"/>
      <c r="N158" s="85"/>
      <c r="O158" s="87"/>
      <c r="P158" s="89" t="s">
        <v>352</v>
      </c>
      <c r="Q158" s="88">
        <v>75</v>
      </c>
      <c r="R158" s="90" t="s">
        <v>62</v>
      </c>
      <c r="T158" s="35">
        <v>420104</v>
      </c>
    </row>
    <row r="159" spans="1:20" ht="18" customHeight="1">
      <c r="A159" s="83">
        <v>2</v>
      </c>
      <c r="B159" s="84" t="s">
        <v>340</v>
      </c>
      <c r="C159" s="84">
        <v>1</v>
      </c>
      <c r="D159" s="84" t="s">
        <v>343</v>
      </c>
      <c r="E159" s="84">
        <v>4</v>
      </c>
      <c r="F159" s="84" t="s">
        <v>365</v>
      </c>
      <c r="G159" s="91">
        <v>18</v>
      </c>
      <c r="H159" s="84" t="s">
        <v>38</v>
      </c>
      <c r="I159" s="91">
        <v>61</v>
      </c>
      <c r="J159" s="91" t="s">
        <v>347</v>
      </c>
      <c r="K159" s="87"/>
      <c r="L159" s="87"/>
      <c r="M159" s="87"/>
      <c r="N159" s="85"/>
      <c r="O159" s="87"/>
      <c r="P159" s="89" t="s">
        <v>353</v>
      </c>
      <c r="Q159" s="88"/>
      <c r="R159" s="90" t="s">
        <v>62</v>
      </c>
      <c r="T159" s="35">
        <v>420104</v>
      </c>
    </row>
    <row r="160" spans="1:20" ht="18" customHeight="1">
      <c r="A160" s="83">
        <v>2</v>
      </c>
      <c r="B160" s="84" t="s">
        <v>340</v>
      </c>
      <c r="C160" s="84">
        <v>1</v>
      </c>
      <c r="D160" s="84" t="s">
        <v>343</v>
      </c>
      <c r="E160" s="84">
        <v>4</v>
      </c>
      <c r="F160" s="84" t="s">
        <v>365</v>
      </c>
      <c r="G160" s="91">
        <v>18</v>
      </c>
      <c r="H160" s="84" t="s">
        <v>38</v>
      </c>
      <c r="I160" s="91">
        <v>61</v>
      </c>
      <c r="J160" s="91" t="s">
        <v>347</v>
      </c>
      <c r="K160" s="87"/>
      <c r="L160" s="87"/>
      <c r="M160" s="87"/>
      <c r="N160" s="85"/>
      <c r="O160" s="87"/>
      <c r="P160" s="89" t="s">
        <v>354</v>
      </c>
      <c r="Q160" s="88">
        <v>8</v>
      </c>
      <c r="R160" s="90" t="s">
        <v>62</v>
      </c>
      <c r="T160" s="35">
        <v>420104</v>
      </c>
    </row>
    <row r="161" spans="1:20" ht="18" customHeight="1">
      <c r="A161" s="83">
        <v>2</v>
      </c>
      <c r="B161" s="84" t="s">
        <v>340</v>
      </c>
      <c r="C161" s="84">
        <v>1</v>
      </c>
      <c r="D161" s="84" t="s">
        <v>343</v>
      </c>
      <c r="E161" s="84">
        <v>4</v>
      </c>
      <c r="F161" s="84" t="s">
        <v>365</v>
      </c>
      <c r="G161" s="91">
        <v>18</v>
      </c>
      <c r="H161" s="84" t="s">
        <v>38</v>
      </c>
      <c r="I161" s="91">
        <v>61</v>
      </c>
      <c r="J161" s="91" t="s">
        <v>347</v>
      </c>
      <c r="K161" s="87"/>
      <c r="L161" s="87"/>
      <c r="M161" s="87"/>
      <c r="N161" s="85"/>
      <c r="O161" s="87"/>
      <c r="P161" s="89" t="s">
        <v>355</v>
      </c>
      <c r="Q161" s="88"/>
      <c r="R161" s="90" t="s">
        <v>62</v>
      </c>
      <c r="T161" s="35">
        <v>420104</v>
      </c>
    </row>
    <row r="162" spans="1:20" ht="18" customHeight="1">
      <c r="A162" s="65">
        <v>2</v>
      </c>
      <c r="B162" s="66" t="s">
        <v>342</v>
      </c>
      <c r="C162" s="74">
        <v>1</v>
      </c>
      <c r="D162" s="66" t="s">
        <v>343</v>
      </c>
      <c r="E162" s="75">
        <v>5</v>
      </c>
      <c r="F162" s="76" t="s">
        <v>368</v>
      </c>
      <c r="G162" s="75"/>
      <c r="H162" s="76"/>
      <c r="I162" s="75"/>
      <c r="J162" s="75"/>
      <c r="K162" s="77">
        <f>IF(C162="",SUMIFS($K163:$K$783,$A163:$A$783,A162,$E163:$E$783,""),IF(E162="",SUMIFS($K163:$K$783,$A163:$A$783,A162,$C163:$C$783,C162,$G163:$G$783,""),IF(G162="",SUMIFS($K163:$K$783,$A163:$A$783,A162,$C163:$C$783,C162,$E163:$E$783,E162,$R163:$R$783,R162),IF(I162="",SUMIFS($K163:$K$783,$A163:$A$783,A162,$C163:$C$783,C162,$E163:$E$783,E162,$G163:$G$783,G162,$R163:$R$783,R162),0))))</f>
        <v>2249</v>
      </c>
      <c r="L162" s="77">
        <f>IF(C162="",SUMIFS($L163:$L$783,$A163:$A$783,A162,$E163:$E$783,""),IF(E162="",SUMIFS($L163:$L$783,$A163:$A$783,A162,$C163:$C$783,C162,$G163:$G$783,""),IF(G162="",SUMIFS($L163:$L$783,$A163:$A$783,A162,$C163:$C$783,C162,$E163:$E$783,E162,$R163:$R$783,R162),IF(I162="",SUMIFS($L163:$L$783,$A163:$A$783,A162,$C163:$C$783,C162,$E163:$E$783,E162,$G163:$G$783,G162,$R163:$R$783,R162),0))))</f>
        <v>1920</v>
      </c>
      <c r="M162" s="77">
        <f t="shared" ref="M162" si="9">K162-L162</f>
        <v>329</v>
      </c>
      <c r="N162" s="78"/>
      <c r="O162" s="79"/>
      <c r="P162" s="80"/>
      <c r="Q162" s="81">
        <f>IF(C162="",SUMIFS($Q163:$Q$781,$A163:$A$781,A162,$E163:$E$781,""),IF(E162="",SUMIFS($Q163:$Q$781,$A163:$A$781,A162,$C163:$C$781,C162,$G163:$G$781,""),IF(G162="",SUMIFS($Q163:$Q$781,$A163:$A$781,A162,$C163:$C$781,C162,$E163:$E$781,E162,$R163:$R$781,R162),IF(I162="",SUMIFS($Q163:$Q$781,$A163:$A$781,A162,$C163:$C$781,C162,$E163:$E$781,E162,$G163:$G$781,G162,$R163:$R$781,R162),0))))</f>
        <v>1759</v>
      </c>
      <c r="R162" s="82" t="s">
        <v>62</v>
      </c>
      <c r="T162" s="35">
        <v>420105</v>
      </c>
    </row>
    <row r="163" spans="1:20" ht="18" customHeight="1">
      <c r="A163" s="83">
        <v>2</v>
      </c>
      <c r="B163" s="84" t="s">
        <v>340</v>
      </c>
      <c r="C163" s="84">
        <v>1</v>
      </c>
      <c r="D163" s="84" t="s">
        <v>343</v>
      </c>
      <c r="E163" s="84">
        <v>5</v>
      </c>
      <c r="F163" s="84" t="s">
        <v>162</v>
      </c>
      <c r="G163" s="85">
        <v>18</v>
      </c>
      <c r="H163" s="86" t="s">
        <v>38</v>
      </c>
      <c r="I163" s="85"/>
      <c r="J163" s="85"/>
      <c r="K163" s="87"/>
      <c r="L163" s="87"/>
      <c r="M163" s="87"/>
      <c r="N163" s="85"/>
      <c r="O163" s="88"/>
      <c r="P163" s="89" t="s">
        <v>346</v>
      </c>
      <c r="Q163" s="88">
        <v>450</v>
      </c>
      <c r="R163" s="90" t="s">
        <v>62</v>
      </c>
      <c r="T163" s="35">
        <v>420105</v>
      </c>
    </row>
    <row r="164" spans="1:20" ht="18" customHeight="1">
      <c r="A164" s="83">
        <v>2</v>
      </c>
      <c r="B164" s="84" t="s">
        <v>340</v>
      </c>
      <c r="C164" s="84">
        <v>1</v>
      </c>
      <c r="D164" s="84" t="s">
        <v>343</v>
      </c>
      <c r="E164" s="84">
        <v>5</v>
      </c>
      <c r="F164" s="84" t="s">
        <v>162</v>
      </c>
      <c r="G164" s="91">
        <v>18</v>
      </c>
      <c r="H164" s="84" t="s">
        <v>38</v>
      </c>
      <c r="I164" s="85">
        <v>61</v>
      </c>
      <c r="J164" s="85" t="s">
        <v>347</v>
      </c>
      <c r="K164" s="87">
        <v>2249</v>
      </c>
      <c r="L164" s="87">
        <v>1920</v>
      </c>
      <c r="M164" s="87">
        <f>K164-L164</f>
        <v>329</v>
      </c>
      <c r="N164" s="85" t="s">
        <v>369</v>
      </c>
      <c r="O164" s="87"/>
      <c r="P164" s="89" t="s">
        <v>99</v>
      </c>
      <c r="Q164" s="88"/>
      <c r="R164" s="90" t="s">
        <v>62</v>
      </c>
      <c r="T164" s="35">
        <v>420105</v>
      </c>
    </row>
    <row r="165" spans="1:20" ht="18" customHeight="1">
      <c r="A165" s="83">
        <v>2</v>
      </c>
      <c r="B165" s="84" t="s">
        <v>340</v>
      </c>
      <c r="C165" s="84">
        <v>1</v>
      </c>
      <c r="D165" s="84" t="s">
        <v>343</v>
      </c>
      <c r="E165" s="84">
        <v>5</v>
      </c>
      <c r="F165" s="84" t="s">
        <v>162</v>
      </c>
      <c r="G165" s="91">
        <v>18</v>
      </c>
      <c r="H165" s="84" t="s">
        <v>38</v>
      </c>
      <c r="I165" s="91">
        <v>61</v>
      </c>
      <c r="J165" s="91" t="s">
        <v>347</v>
      </c>
      <c r="K165" s="87"/>
      <c r="L165" s="87"/>
      <c r="M165" s="87"/>
      <c r="N165" s="85" t="s">
        <v>370</v>
      </c>
      <c r="O165" s="87">
        <v>2248992</v>
      </c>
      <c r="P165" s="89" t="s">
        <v>350</v>
      </c>
      <c r="Q165" s="88">
        <v>111</v>
      </c>
      <c r="R165" s="90" t="s">
        <v>62</v>
      </c>
      <c r="T165" s="35">
        <v>420105</v>
      </c>
    </row>
    <row r="166" spans="1:20" ht="18" customHeight="1">
      <c r="A166" s="83">
        <v>2</v>
      </c>
      <c r="B166" s="84" t="s">
        <v>340</v>
      </c>
      <c r="C166" s="84">
        <v>1</v>
      </c>
      <c r="D166" s="84" t="s">
        <v>343</v>
      </c>
      <c r="E166" s="84">
        <v>5</v>
      </c>
      <c r="F166" s="84" t="s">
        <v>162</v>
      </c>
      <c r="G166" s="91">
        <v>18</v>
      </c>
      <c r="H166" s="84" t="s">
        <v>38</v>
      </c>
      <c r="I166" s="91">
        <v>61</v>
      </c>
      <c r="J166" s="91" t="s">
        <v>347</v>
      </c>
      <c r="K166" s="87"/>
      <c r="L166" s="87"/>
      <c r="M166" s="87"/>
      <c r="N166" s="85"/>
      <c r="O166" s="87"/>
      <c r="P166" s="89" t="s">
        <v>351</v>
      </c>
      <c r="Q166" s="88"/>
      <c r="R166" s="90" t="s">
        <v>62</v>
      </c>
      <c r="T166" s="35">
        <v>420105</v>
      </c>
    </row>
    <row r="167" spans="1:20" ht="18" customHeight="1">
      <c r="A167" s="83">
        <v>2</v>
      </c>
      <c r="B167" s="84" t="s">
        <v>340</v>
      </c>
      <c r="C167" s="84">
        <v>1</v>
      </c>
      <c r="D167" s="84" t="s">
        <v>343</v>
      </c>
      <c r="E167" s="84">
        <v>5</v>
      </c>
      <c r="F167" s="84" t="s">
        <v>162</v>
      </c>
      <c r="G167" s="91">
        <v>18</v>
      </c>
      <c r="H167" s="84" t="s">
        <v>38</v>
      </c>
      <c r="I167" s="91">
        <v>61</v>
      </c>
      <c r="J167" s="91" t="s">
        <v>347</v>
      </c>
      <c r="K167" s="87"/>
      <c r="L167" s="87"/>
      <c r="M167" s="87"/>
      <c r="N167" s="85"/>
      <c r="O167" s="87"/>
      <c r="P167" s="89" t="s">
        <v>201</v>
      </c>
      <c r="Q167" s="88">
        <v>607</v>
      </c>
      <c r="R167" s="90" t="s">
        <v>62</v>
      </c>
      <c r="T167" s="35">
        <v>420105</v>
      </c>
    </row>
    <row r="168" spans="1:20" ht="18" customHeight="1">
      <c r="A168" s="83">
        <v>2</v>
      </c>
      <c r="B168" s="84" t="s">
        <v>340</v>
      </c>
      <c r="C168" s="84">
        <v>1</v>
      </c>
      <c r="D168" s="84" t="s">
        <v>343</v>
      </c>
      <c r="E168" s="84">
        <v>5</v>
      </c>
      <c r="F168" s="84" t="s">
        <v>162</v>
      </c>
      <c r="G168" s="91">
        <v>18</v>
      </c>
      <c r="H168" s="84" t="s">
        <v>38</v>
      </c>
      <c r="I168" s="91">
        <v>61</v>
      </c>
      <c r="J168" s="91" t="s">
        <v>347</v>
      </c>
      <c r="K168" s="87"/>
      <c r="L168" s="87"/>
      <c r="M168" s="87"/>
      <c r="N168" s="85"/>
      <c r="O168" s="87"/>
      <c r="P168" s="89" t="s">
        <v>206</v>
      </c>
      <c r="Q168" s="88">
        <v>281</v>
      </c>
      <c r="R168" s="90" t="s">
        <v>62</v>
      </c>
      <c r="T168" s="35">
        <v>420105</v>
      </c>
    </row>
    <row r="169" spans="1:20" ht="18" customHeight="1">
      <c r="A169" s="83">
        <v>2</v>
      </c>
      <c r="B169" s="84" t="s">
        <v>340</v>
      </c>
      <c r="C169" s="84">
        <v>1</v>
      </c>
      <c r="D169" s="84" t="s">
        <v>343</v>
      </c>
      <c r="E169" s="84">
        <v>5</v>
      </c>
      <c r="F169" s="84" t="s">
        <v>162</v>
      </c>
      <c r="G169" s="91">
        <v>18</v>
      </c>
      <c r="H169" s="84" t="s">
        <v>38</v>
      </c>
      <c r="I169" s="91">
        <v>61</v>
      </c>
      <c r="J169" s="91" t="s">
        <v>347</v>
      </c>
      <c r="K169" s="87"/>
      <c r="L169" s="87"/>
      <c r="M169" s="87"/>
      <c r="N169" s="85"/>
      <c r="O169" s="87"/>
      <c r="P169" s="89" t="s">
        <v>352</v>
      </c>
      <c r="Q169" s="88">
        <v>281</v>
      </c>
      <c r="R169" s="90" t="s">
        <v>62</v>
      </c>
      <c r="T169" s="35">
        <v>420105</v>
      </c>
    </row>
    <row r="170" spans="1:20" ht="18" customHeight="1">
      <c r="A170" s="83">
        <v>2</v>
      </c>
      <c r="B170" s="84" t="s">
        <v>340</v>
      </c>
      <c r="C170" s="84">
        <v>1</v>
      </c>
      <c r="D170" s="84" t="s">
        <v>343</v>
      </c>
      <c r="E170" s="84">
        <v>5</v>
      </c>
      <c r="F170" s="84" t="s">
        <v>162</v>
      </c>
      <c r="G170" s="91">
        <v>18</v>
      </c>
      <c r="H170" s="84" t="s">
        <v>38</v>
      </c>
      <c r="I170" s="91">
        <v>61</v>
      </c>
      <c r="J170" s="91" t="s">
        <v>347</v>
      </c>
      <c r="K170" s="87"/>
      <c r="L170" s="87"/>
      <c r="M170" s="87"/>
      <c r="N170" s="85"/>
      <c r="O170" s="87"/>
      <c r="P170" s="89" t="s">
        <v>353</v>
      </c>
      <c r="Q170" s="88"/>
      <c r="R170" s="90" t="s">
        <v>62</v>
      </c>
      <c r="T170" s="35">
        <v>420105</v>
      </c>
    </row>
    <row r="171" spans="1:20" ht="18" customHeight="1">
      <c r="A171" s="83">
        <v>2</v>
      </c>
      <c r="B171" s="84" t="s">
        <v>340</v>
      </c>
      <c r="C171" s="84">
        <v>1</v>
      </c>
      <c r="D171" s="84" t="s">
        <v>343</v>
      </c>
      <c r="E171" s="84">
        <v>5</v>
      </c>
      <c r="F171" s="84" t="s">
        <v>162</v>
      </c>
      <c r="G171" s="91">
        <v>18</v>
      </c>
      <c r="H171" s="84" t="s">
        <v>38</v>
      </c>
      <c r="I171" s="91">
        <v>61</v>
      </c>
      <c r="J171" s="91" t="s">
        <v>347</v>
      </c>
      <c r="K171" s="87"/>
      <c r="L171" s="87"/>
      <c r="M171" s="87"/>
      <c r="N171" s="85"/>
      <c r="O171" s="87"/>
      <c r="P171" s="89" t="s">
        <v>354</v>
      </c>
      <c r="Q171" s="88">
        <v>29</v>
      </c>
      <c r="R171" s="90" t="s">
        <v>62</v>
      </c>
      <c r="T171" s="35">
        <v>420105</v>
      </c>
    </row>
    <row r="172" spans="1:20" ht="18" customHeight="1">
      <c r="A172" s="83">
        <v>2</v>
      </c>
      <c r="B172" s="84" t="s">
        <v>340</v>
      </c>
      <c r="C172" s="84">
        <v>1</v>
      </c>
      <c r="D172" s="84" t="s">
        <v>343</v>
      </c>
      <c r="E172" s="84">
        <v>5</v>
      </c>
      <c r="F172" s="84" t="s">
        <v>162</v>
      </c>
      <c r="G172" s="91">
        <v>18</v>
      </c>
      <c r="H172" s="84" t="s">
        <v>38</v>
      </c>
      <c r="I172" s="91">
        <v>61</v>
      </c>
      <c r="J172" s="91" t="s">
        <v>347</v>
      </c>
      <c r="K172" s="87"/>
      <c r="L172" s="87"/>
      <c r="M172" s="87"/>
      <c r="N172" s="85"/>
      <c r="O172" s="87"/>
      <c r="P172" s="89" t="s">
        <v>355</v>
      </c>
      <c r="Q172" s="88"/>
      <c r="R172" s="90" t="s">
        <v>62</v>
      </c>
      <c r="T172" s="35">
        <v>420105</v>
      </c>
    </row>
    <row r="173" spans="1:20" ht="18" customHeight="1">
      <c r="A173" s="65">
        <v>2</v>
      </c>
      <c r="B173" s="66" t="s">
        <v>342</v>
      </c>
      <c r="C173" s="74">
        <v>1</v>
      </c>
      <c r="D173" s="66" t="s">
        <v>343</v>
      </c>
      <c r="E173" s="75">
        <v>6</v>
      </c>
      <c r="F173" s="76" t="s">
        <v>371</v>
      </c>
      <c r="G173" s="75"/>
      <c r="H173" s="76"/>
      <c r="I173" s="75"/>
      <c r="J173" s="75"/>
      <c r="K173" s="77">
        <f>IF(C173="",SUMIFS($K174:$K$783,$A174:$A$783,A173,$E174:$E$783,""),IF(E173="",SUMIFS($K174:$K$783,$A174:$A$783,A173,$C174:$C$783,C173,$G174:$G$783,""),IF(G173="",SUMIFS($K174:$K$783,$A174:$A$783,A173,$C174:$C$783,C173,$E174:$E$783,E173,$R174:$R$783,R173),IF(I173="",SUMIFS($K174:$K$783,$A174:$A$783,A173,$C174:$C$783,C173,$E174:$E$783,E173,$G174:$G$783,G173,$R174:$R$783,R173),0))))</f>
        <v>41536</v>
      </c>
      <c r="L173" s="77">
        <f>IF(C173="",SUMIFS($L174:$L$783,$A174:$A$783,A173,$E174:$E$783,""),IF(E173="",SUMIFS($L174:$L$783,$A174:$A$783,A173,$C174:$C$783,C173,$G174:$G$783,""),IF(G173="",SUMIFS($L174:$L$783,$A174:$A$783,A173,$C174:$C$783,C173,$E174:$E$783,E173,$R174:$R$783,R173),IF(I173="",SUMIFS($L174:$L$783,$A174:$A$783,A173,$C174:$C$783,C173,$E174:$E$783,E173,$G174:$G$783,G173,$R174:$R$783,R173),0))))</f>
        <v>46029</v>
      </c>
      <c r="M173" s="77">
        <f t="shared" ref="M173" si="10">K173-L173</f>
        <v>-4493</v>
      </c>
      <c r="N173" s="78"/>
      <c r="O173" s="79"/>
      <c r="P173" s="80"/>
      <c r="Q173" s="81">
        <f>IF(C173="",SUMIFS($Q174:$Q$781,$A174:$A$781,A173,$E174:$E$781,""),IF(E173="",SUMIFS($Q174:$Q$781,$A174:$A$781,A173,$C174:$C$781,C173,$G174:$G$781,""),IF(G173="",SUMIFS($Q174:$Q$781,$A174:$A$781,A173,$C174:$C$781,C173,$E174:$E$781,E173,$R174:$R$781,R173),IF(I173="",SUMIFS($Q174:$Q$781,$A174:$A$781,A173,$C174:$C$781,C173,$E174:$E$781,E173,$G174:$G$781,G173,$R174:$R$781,R173),0))))</f>
        <v>32494</v>
      </c>
      <c r="R173" s="82" t="s">
        <v>62</v>
      </c>
      <c r="T173" s="35">
        <v>420106</v>
      </c>
    </row>
    <row r="174" spans="1:20" ht="18" customHeight="1">
      <c r="A174" s="83">
        <v>2</v>
      </c>
      <c r="B174" s="84" t="s">
        <v>340</v>
      </c>
      <c r="C174" s="84">
        <v>1</v>
      </c>
      <c r="D174" s="84" t="s">
        <v>343</v>
      </c>
      <c r="E174" s="84">
        <v>6</v>
      </c>
      <c r="F174" s="84" t="s">
        <v>372</v>
      </c>
      <c r="G174" s="85">
        <v>18</v>
      </c>
      <c r="H174" s="86" t="s">
        <v>38</v>
      </c>
      <c r="I174" s="85"/>
      <c r="J174" s="85"/>
      <c r="K174" s="87"/>
      <c r="L174" s="87"/>
      <c r="M174" s="87"/>
      <c r="N174" s="85"/>
      <c r="O174" s="88"/>
      <c r="P174" s="89" t="s">
        <v>346</v>
      </c>
      <c r="Q174" s="88">
        <v>8307</v>
      </c>
      <c r="R174" s="90" t="s">
        <v>62</v>
      </c>
      <c r="T174" s="35">
        <v>420106</v>
      </c>
    </row>
    <row r="175" spans="1:20" ht="18" customHeight="1">
      <c r="A175" s="83">
        <v>2</v>
      </c>
      <c r="B175" s="84" t="s">
        <v>340</v>
      </c>
      <c r="C175" s="84">
        <v>1</v>
      </c>
      <c r="D175" s="84" t="s">
        <v>343</v>
      </c>
      <c r="E175" s="84">
        <v>6</v>
      </c>
      <c r="F175" s="84" t="s">
        <v>372</v>
      </c>
      <c r="G175" s="91">
        <v>18</v>
      </c>
      <c r="H175" s="84" t="s">
        <v>38</v>
      </c>
      <c r="I175" s="85">
        <v>61</v>
      </c>
      <c r="J175" s="85" t="s">
        <v>347</v>
      </c>
      <c r="K175" s="87">
        <v>41536</v>
      </c>
      <c r="L175" s="87">
        <v>46029</v>
      </c>
      <c r="M175" s="87">
        <f>K175-L175</f>
        <v>-4493</v>
      </c>
      <c r="N175" s="85" t="s">
        <v>373</v>
      </c>
      <c r="O175" s="87"/>
      <c r="P175" s="89" t="s">
        <v>99</v>
      </c>
      <c r="Q175" s="88"/>
      <c r="R175" s="90" t="s">
        <v>62</v>
      </c>
      <c r="T175" s="35">
        <v>420106</v>
      </c>
    </row>
    <row r="176" spans="1:20" ht="18" customHeight="1">
      <c r="A176" s="83">
        <v>2</v>
      </c>
      <c r="B176" s="84" t="s">
        <v>340</v>
      </c>
      <c r="C176" s="84">
        <v>1</v>
      </c>
      <c r="D176" s="84" t="s">
        <v>343</v>
      </c>
      <c r="E176" s="84">
        <v>6</v>
      </c>
      <c r="F176" s="84" t="s">
        <v>372</v>
      </c>
      <c r="G176" s="91">
        <v>18</v>
      </c>
      <c r="H176" s="84" t="s">
        <v>38</v>
      </c>
      <c r="I176" s="91">
        <v>61</v>
      </c>
      <c r="J176" s="91" t="s">
        <v>347</v>
      </c>
      <c r="K176" s="87"/>
      <c r="L176" s="87"/>
      <c r="M176" s="87"/>
      <c r="N176" s="85" t="s">
        <v>374</v>
      </c>
      <c r="O176" s="87">
        <v>41535996</v>
      </c>
      <c r="P176" s="89" t="s">
        <v>350</v>
      </c>
      <c r="Q176" s="88">
        <v>2053</v>
      </c>
      <c r="R176" s="90" t="s">
        <v>62</v>
      </c>
      <c r="T176" s="35">
        <v>420106</v>
      </c>
    </row>
    <row r="177" spans="1:20" ht="18" customHeight="1">
      <c r="A177" s="83">
        <v>2</v>
      </c>
      <c r="B177" s="84" t="s">
        <v>340</v>
      </c>
      <c r="C177" s="84">
        <v>1</v>
      </c>
      <c r="D177" s="84" t="s">
        <v>343</v>
      </c>
      <c r="E177" s="84">
        <v>6</v>
      </c>
      <c r="F177" s="84" t="s">
        <v>372</v>
      </c>
      <c r="G177" s="91">
        <v>18</v>
      </c>
      <c r="H177" s="84" t="s">
        <v>38</v>
      </c>
      <c r="I177" s="91">
        <v>61</v>
      </c>
      <c r="J177" s="91" t="s">
        <v>347</v>
      </c>
      <c r="K177" s="87"/>
      <c r="L177" s="87"/>
      <c r="M177" s="87"/>
      <c r="N177" s="85"/>
      <c r="O177" s="87"/>
      <c r="P177" s="89" t="s">
        <v>351</v>
      </c>
      <c r="Q177" s="88"/>
      <c r="R177" s="90" t="s">
        <v>62</v>
      </c>
      <c r="T177" s="35">
        <v>420106</v>
      </c>
    </row>
    <row r="178" spans="1:20" ht="18" customHeight="1">
      <c r="A178" s="83">
        <v>2</v>
      </c>
      <c r="B178" s="84" t="s">
        <v>340</v>
      </c>
      <c r="C178" s="84">
        <v>1</v>
      </c>
      <c r="D178" s="84" t="s">
        <v>343</v>
      </c>
      <c r="E178" s="84">
        <v>6</v>
      </c>
      <c r="F178" s="84" t="s">
        <v>372</v>
      </c>
      <c r="G178" s="91">
        <v>18</v>
      </c>
      <c r="H178" s="84" t="s">
        <v>38</v>
      </c>
      <c r="I178" s="91">
        <v>61</v>
      </c>
      <c r="J178" s="91" t="s">
        <v>347</v>
      </c>
      <c r="K178" s="87"/>
      <c r="L178" s="87"/>
      <c r="M178" s="87"/>
      <c r="N178" s="85"/>
      <c r="O178" s="87"/>
      <c r="P178" s="89" t="s">
        <v>201</v>
      </c>
      <c r="Q178" s="88">
        <v>11215</v>
      </c>
      <c r="R178" s="90" t="s">
        <v>62</v>
      </c>
      <c r="T178" s="35">
        <v>420106</v>
      </c>
    </row>
    <row r="179" spans="1:20" ht="18" customHeight="1">
      <c r="A179" s="83">
        <v>2</v>
      </c>
      <c r="B179" s="84" t="s">
        <v>340</v>
      </c>
      <c r="C179" s="84">
        <v>1</v>
      </c>
      <c r="D179" s="84" t="s">
        <v>343</v>
      </c>
      <c r="E179" s="84">
        <v>6</v>
      </c>
      <c r="F179" s="84" t="s">
        <v>372</v>
      </c>
      <c r="G179" s="91">
        <v>18</v>
      </c>
      <c r="H179" s="84" t="s">
        <v>38</v>
      </c>
      <c r="I179" s="91">
        <v>61</v>
      </c>
      <c r="J179" s="91" t="s">
        <v>347</v>
      </c>
      <c r="K179" s="87"/>
      <c r="L179" s="87"/>
      <c r="M179" s="87"/>
      <c r="N179" s="85"/>
      <c r="O179" s="87"/>
      <c r="P179" s="89" t="s">
        <v>206</v>
      </c>
      <c r="Q179" s="88">
        <v>5192</v>
      </c>
      <c r="R179" s="90" t="s">
        <v>62</v>
      </c>
      <c r="T179" s="35">
        <v>420106</v>
      </c>
    </row>
    <row r="180" spans="1:20" ht="18" customHeight="1">
      <c r="A180" s="83">
        <v>2</v>
      </c>
      <c r="B180" s="84" t="s">
        <v>340</v>
      </c>
      <c r="C180" s="84">
        <v>1</v>
      </c>
      <c r="D180" s="84" t="s">
        <v>343</v>
      </c>
      <c r="E180" s="84">
        <v>6</v>
      </c>
      <c r="F180" s="84" t="s">
        <v>372</v>
      </c>
      <c r="G180" s="91">
        <v>18</v>
      </c>
      <c r="H180" s="84" t="s">
        <v>38</v>
      </c>
      <c r="I180" s="91">
        <v>61</v>
      </c>
      <c r="J180" s="91" t="s">
        <v>347</v>
      </c>
      <c r="K180" s="87"/>
      <c r="L180" s="87"/>
      <c r="M180" s="87"/>
      <c r="N180" s="85"/>
      <c r="O180" s="87"/>
      <c r="P180" s="89" t="s">
        <v>352</v>
      </c>
      <c r="Q180" s="88">
        <v>5192</v>
      </c>
      <c r="R180" s="90" t="s">
        <v>62</v>
      </c>
      <c r="T180" s="35">
        <v>420106</v>
      </c>
    </row>
    <row r="181" spans="1:20" ht="18" customHeight="1">
      <c r="A181" s="83">
        <v>2</v>
      </c>
      <c r="B181" s="84" t="s">
        <v>340</v>
      </c>
      <c r="C181" s="84">
        <v>1</v>
      </c>
      <c r="D181" s="84" t="s">
        <v>343</v>
      </c>
      <c r="E181" s="84">
        <v>6</v>
      </c>
      <c r="F181" s="84" t="s">
        <v>372</v>
      </c>
      <c r="G181" s="91">
        <v>18</v>
      </c>
      <c r="H181" s="84" t="s">
        <v>38</v>
      </c>
      <c r="I181" s="91">
        <v>61</v>
      </c>
      <c r="J181" s="91" t="s">
        <v>347</v>
      </c>
      <c r="K181" s="87"/>
      <c r="L181" s="87"/>
      <c r="M181" s="87"/>
      <c r="N181" s="85"/>
      <c r="O181" s="87"/>
      <c r="P181" s="89" t="s">
        <v>353</v>
      </c>
      <c r="Q181" s="88"/>
      <c r="R181" s="90" t="s">
        <v>62</v>
      </c>
      <c r="T181" s="35">
        <v>420106</v>
      </c>
    </row>
    <row r="182" spans="1:20" ht="18" customHeight="1">
      <c r="A182" s="83">
        <v>2</v>
      </c>
      <c r="B182" s="84" t="s">
        <v>340</v>
      </c>
      <c r="C182" s="84">
        <v>1</v>
      </c>
      <c r="D182" s="84" t="s">
        <v>343</v>
      </c>
      <c r="E182" s="84">
        <v>6</v>
      </c>
      <c r="F182" s="84" t="s">
        <v>372</v>
      </c>
      <c r="G182" s="91">
        <v>18</v>
      </c>
      <c r="H182" s="84" t="s">
        <v>38</v>
      </c>
      <c r="I182" s="91">
        <v>61</v>
      </c>
      <c r="J182" s="91" t="s">
        <v>347</v>
      </c>
      <c r="K182" s="87"/>
      <c r="L182" s="87"/>
      <c r="M182" s="87"/>
      <c r="N182" s="85"/>
      <c r="O182" s="87"/>
      <c r="P182" s="89" t="s">
        <v>354</v>
      </c>
      <c r="Q182" s="88">
        <v>535</v>
      </c>
      <c r="R182" s="90" t="s">
        <v>62</v>
      </c>
      <c r="T182" s="35">
        <v>420106</v>
      </c>
    </row>
    <row r="183" spans="1:20" ht="18" customHeight="1">
      <c r="A183" s="83">
        <v>2</v>
      </c>
      <c r="B183" s="84" t="s">
        <v>340</v>
      </c>
      <c r="C183" s="84">
        <v>1</v>
      </c>
      <c r="D183" s="84" t="s">
        <v>343</v>
      </c>
      <c r="E183" s="84">
        <v>6</v>
      </c>
      <c r="F183" s="84" t="s">
        <v>372</v>
      </c>
      <c r="G183" s="91">
        <v>18</v>
      </c>
      <c r="H183" s="84" t="s">
        <v>38</v>
      </c>
      <c r="I183" s="91">
        <v>61</v>
      </c>
      <c r="J183" s="91" t="s">
        <v>347</v>
      </c>
      <c r="K183" s="87"/>
      <c r="L183" s="87"/>
      <c r="M183" s="87"/>
      <c r="N183" s="85"/>
      <c r="O183" s="87"/>
      <c r="P183" s="89" t="s">
        <v>355</v>
      </c>
      <c r="Q183" s="88"/>
      <c r="R183" s="90" t="s">
        <v>62</v>
      </c>
      <c r="T183" s="35">
        <v>420106</v>
      </c>
    </row>
    <row r="184" spans="1:20" ht="18" customHeight="1">
      <c r="A184" s="65">
        <v>2</v>
      </c>
      <c r="B184" s="66" t="s">
        <v>340</v>
      </c>
      <c r="C184" s="67">
        <v>2</v>
      </c>
      <c r="D184" s="67" t="s">
        <v>375</v>
      </c>
      <c r="E184" s="68"/>
      <c r="F184" s="67"/>
      <c r="G184" s="68"/>
      <c r="H184" s="67"/>
      <c r="I184" s="68"/>
      <c r="J184" s="68"/>
      <c r="K184" s="69">
        <f>IF(C184="",SUMIFS($K185:$K$783,$A185:$A$783,A184,$E185:$E$783,""),IF(E184="",SUMIFS($K185:$K$783,$A185:$A$783,A184,$C185:$C$783,C184,$G185:$G$783,""),IF(G184="",SUMIFS($K185:$K$783,$A185:$A$783,A184,$C185:$C$783,C184,$E185:$E$783,E184,$R185:$R$783,R184),IF(I184="",SUMIFS($K185:$K$783,$A185:$A$783,A184,$C185:$C$783,C184,$E185:$E$783,E184,$G185:$G$783,G184,$R185:$R$783,R184),0))))</f>
        <v>29068</v>
      </c>
      <c r="L184" s="69">
        <f>IF(C184="",SUMIFS($L185:$L$783,$A185:$A$783,A184,$E185:$E$783,""),IF(E184="",SUMIFS($L185:$L$783,$A185:$A$783,A184,$C185:$C$783,C184,$G185:$G$783,""),IF(G184="",SUMIFS($L185:$L$783,$A185:$A$783,A184,$C185:$C$783,C184,$E185:$E$783,E184,$R185:$R$783,R184),IF(I184="",SUMIFS($L185:$L$783,$A185:$A$783,A184,$C185:$C$783,C184,$E185:$E$783,E184,$G185:$G$783,G184,$R185:$R$783,R184),0))))</f>
        <v>30192</v>
      </c>
      <c r="M184" s="69">
        <f t="shared" ref="M184:M185" si="11">K184-L184</f>
        <v>-1124</v>
      </c>
      <c r="N184" s="70"/>
      <c r="O184" s="71"/>
      <c r="P184" s="72"/>
      <c r="Q184" s="69">
        <f>IF(C184="",SUMIFS($Q185:$Q$783,$A185:$A$783,A184,$E185:$E$783,""),IF(E184="",SUMIFS($Q185:$Q$783,$A185:$A$783,A184,$C185:$C$783,C184,$G185:$G$783,""),IF(G184="",SUMIFS($Q185:$Q$783,$A185:$A$783,A184,$C185:$C$783,C184,$E185:$E$783,E184,$R185:$R$783,R184),IF(I184="",SUMIFS($Q185:$Q$783,$A185:$A$783,A184,$C185:$C$783,C184,$E185:$E$783,E184,$G185:$G$783,G184,$R185:$R$783,R184),0))))</f>
        <v>22742</v>
      </c>
      <c r="R184" s="73"/>
      <c r="T184" s="35">
        <v>420201</v>
      </c>
    </row>
    <row r="185" spans="1:20" ht="18" customHeight="1">
      <c r="A185" s="65">
        <v>2</v>
      </c>
      <c r="B185" s="66" t="s">
        <v>342</v>
      </c>
      <c r="C185" s="74">
        <v>2</v>
      </c>
      <c r="D185" s="66" t="s">
        <v>376</v>
      </c>
      <c r="E185" s="75">
        <v>1</v>
      </c>
      <c r="F185" s="76" t="s">
        <v>377</v>
      </c>
      <c r="G185" s="75"/>
      <c r="H185" s="76"/>
      <c r="I185" s="75"/>
      <c r="J185" s="75"/>
      <c r="K185" s="77">
        <f>IF(C185="",SUMIFS($K186:$K$783,$A186:$A$783,A185,$E186:$E$783,""),IF(E185="",SUMIFS($K186:$K$783,$A186:$A$783,A185,$C186:$C$783,C185,$G186:$G$783,""),IF(G185="",SUMIFS($K186:$K$783,$A186:$A$783,A185,$C186:$C$783,C185,$E186:$E$783,E185,$R186:$R$783,R185),IF(I185="",SUMIFS($K186:$K$783,$A186:$A$783,A185,$C186:$C$783,C185,$E186:$E$783,E185,$G186:$G$783,G185,$R186:$R$783,R185),0))))</f>
        <v>23968</v>
      </c>
      <c r="L185" s="77">
        <f>IF(C185="",SUMIFS($L186:$L$783,$A186:$A$783,A185,$E186:$E$783,""),IF(E185="",SUMIFS($L186:$L$783,$A186:$A$783,A185,$C186:$C$783,C185,$G186:$G$783,""),IF(G185="",SUMIFS($L186:$L$783,$A186:$A$783,A185,$C186:$C$783,C185,$E186:$E$783,E185,$R186:$R$783,R185),IF(I185="",SUMIFS($L186:$L$783,$A186:$A$783,A185,$C186:$C$783,C185,$E186:$E$783,E185,$G186:$G$783,G185,$R186:$R$783,R185),0))))</f>
        <v>24360</v>
      </c>
      <c r="M185" s="77">
        <f t="shared" si="11"/>
        <v>-392</v>
      </c>
      <c r="N185" s="78"/>
      <c r="O185" s="79"/>
      <c r="P185" s="80"/>
      <c r="Q185" s="81">
        <f>IF(C185="",SUMIFS($Q186:$Q$781,$A186:$A$781,A185,$E186:$E$781,""),IF(E185="",SUMIFS($Q186:$Q$781,$A186:$A$781,A185,$C186:$C$781,C185,$G186:$G$781,""),IF(G185="",SUMIFS($Q186:$Q$781,$A186:$A$781,A185,$C186:$C$781,C185,$E186:$E$781,E185,$R186:$R$781,R185),IF(I185="",SUMIFS($Q186:$Q$781,$A186:$A$781,A185,$C186:$C$781,C185,$E186:$E$781,E185,$G186:$G$781,G185,$R186:$R$781,R185),0))))</f>
        <v>18751</v>
      </c>
      <c r="R185" s="82" t="s">
        <v>62</v>
      </c>
      <c r="T185" s="35">
        <v>420201</v>
      </c>
    </row>
    <row r="186" spans="1:20" ht="18" customHeight="1">
      <c r="A186" s="83">
        <v>2</v>
      </c>
      <c r="B186" s="84" t="s">
        <v>340</v>
      </c>
      <c r="C186" s="84">
        <v>2</v>
      </c>
      <c r="D186" s="84" t="s">
        <v>376</v>
      </c>
      <c r="E186" s="84">
        <v>1</v>
      </c>
      <c r="F186" s="84" t="s">
        <v>378</v>
      </c>
      <c r="G186" s="85">
        <v>18</v>
      </c>
      <c r="H186" s="86" t="s">
        <v>38</v>
      </c>
      <c r="I186" s="85"/>
      <c r="J186" s="85"/>
      <c r="K186" s="87"/>
      <c r="L186" s="87"/>
      <c r="M186" s="87"/>
      <c r="N186" s="85"/>
      <c r="O186" s="88"/>
      <c r="P186" s="89" t="s">
        <v>346</v>
      </c>
      <c r="Q186" s="88">
        <v>4794</v>
      </c>
      <c r="R186" s="90" t="s">
        <v>62</v>
      </c>
      <c r="T186" s="35">
        <v>420201</v>
      </c>
    </row>
    <row r="187" spans="1:20" ht="18" customHeight="1">
      <c r="A187" s="83">
        <v>2</v>
      </c>
      <c r="B187" s="84" t="s">
        <v>340</v>
      </c>
      <c r="C187" s="84">
        <v>2</v>
      </c>
      <c r="D187" s="84" t="s">
        <v>376</v>
      </c>
      <c r="E187" s="84">
        <v>1</v>
      </c>
      <c r="F187" s="84" t="s">
        <v>378</v>
      </c>
      <c r="G187" s="91">
        <v>18</v>
      </c>
      <c r="H187" s="84" t="s">
        <v>38</v>
      </c>
      <c r="I187" s="85">
        <v>61</v>
      </c>
      <c r="J187" s="85" t="s">
        <v>379</v>
      </c>
      <c r="K187" s="87">
        <v>23968</v>
      </c>
      <c r="L187" s="87">
        <v>24360</v>
      </c>
      <c r="M187" s="87">
        <f>K187-L187</f>
        <v>-392</v>
      </c>
      <c r="N187" s="85" t="s">
        <v>380</v>
      </c>
      <c r="O187" s="87"/>
      <c r="P187" s="89" t="s">
        <v>99</v>
      </c>
      <c r="Q187" s="88"/>
      <c r="R187" s="90" t="s">
        <v>62</v>
      </c>
      <c r="T187" s="35">
        <v>420201</v>
      </c>
    </row>
    <row r="188" spans="1:20" ht="18" customHeight="1">
      <c r="A188" s="83">
        <v>2</v>
      </c>
      <c r="B188" s="84" t="s">
        <v>340</v>
      </c>
      <c r="C188" s="84">
        <v>2</v>
      </c>
      <c r="D188" s="84" t="s">
        <v>376</v>
      </c>
      <c r="E188" s="84">
        <v>1</v>
      </c>
      <c r="F188" s="84" t="s">
        <v>378</v>
      </c>
      <c r="G188" s="91">
        <v>18</v>
      </c>
      <c r="H188" s="84" t="s">
        <v>38</v>
      </c>
      <c r="I188" s="91">
        <v>61</v>
      </c>
      <c r="J188" s="91" t="s">
        <v>379</v>
      </c>
      <c r="K188" s="87"/>
      <c r="L188" s="87"/>
      <c r="M188" s="87"/>
      <c r="N188" s="85" t="s">
        <v>381</v>
      </c>
      <c r="O188" s="87">
        <v>23967996</v>
      </c>
      <c r="P188" s="89" t="s">
        <v>350</v>
      </c>
      <c r="Q188" s="88">
        <v>1185</v>
      </c>
      <c r="R188" s="90" t="s">
        <v>62</v>
      </c>
      <c r="T188" s="35">
        <v>420201</v>
      </c>
    </row>
    <row r="189" spans="1:20" ht="18" customHeight="1">
      <c r="A189" s="83">
        <v>2</v>
      </c>
      <c r="B189" s="84" t="s">
        <v>340</v>
      </c>
      <c r="C189" s="84">
        <v>2</v>
      </c>
      <c r="D189" s="84" t="s">
        <v>376</v>
      </c>
      <c r="E189" s="84">
        <v>1</v>
      </c>
      <c r="F189" s="84" t="s">
        <v>378</v>
      </c>
      <c r="G189" s="91">
        <v>18</v>
      </c>
      <c r="H189" s="84" t="s">
        <v>38</v>
      </c>
      <c r="I189" s="91">
        <v>61</v>
      </c>
      <c r="J189" s="91" t="s">
        <v>379</v>
      </c>
      <c r="K189" s="87"/>
      <c r="L189" s="87"/>
      <c r="M189" s="87"/>
      <c r="N189" s="85"/>
      <c r="O189" s="87"/>
      <c r="P189" s="89" t="s">
        <v>351</v>
      </c>
      <c r="Q189" s="88"/>
      <c r="R189" s="90" t="s">
        <v>62</v>
      </c>
      <c r="T189" s="35">
        <v>420201</v>
      </c>
    </row>
    <row r="190" spans="1:20" ht="18" customHeight="1">
      <c r="A190" s="83">
        <v>2</v>
      </c>
      <c r="B190" s="84" t="s">
        <v>340</v>
      </c>
      <c r="C190" s="84">
        <v>2</v>
      </c>
      <c r="D190" s="84" t="s">
        <v>376</v>
      </c>
      <c r="E190" s="84">
        <v>1</v>
      </c>
      <c r="F190" s="84" t="s">
        <v>378</v>
      </c>
      <c r="G190" s="91">
        <v>18</v>
      </c>
      <c r="H190" s="84" t="s">
        <v>38</v>
      </c>
      <c r="I190" s="91">
        <v>61</v>
      </c>
      <c r="J190" s="91" t="s">
        <v>379</v>
      </c>
      <c r="K190" s="87"/>
      <c r="L190" s="87"/>
      <c r="M190" s="87"/>
      <c r="N190" s="85"/>
      <c r="O190" s="87"/>
      <c r="P190" s="89" t="s">
        <v>201</v>
      </c>
      <c r="Q190" s="88">
        <v>6471</v>
      </c>
      <c r="R190" s="90" t="s">
        <v>62</v>
      </c>
      <c r="T190" s="35">
        <v>420201</v>
      </c>
    </row>
    <row r="191" spans="1:20" ht="18" customHeight="1">
      <c r="A191" s="83">
        <v>2</v>
      </c>
      <c r="B191" s="84" t="s">
        <v>340</v>
      </c>
      <c r="C191" s="84">
        <v>2</v>
      </c>
      <c r="D191" s="84" t="s">
        <v>376</v>
      </c>
      <c r="E191" s="84">
        <v>1</v>
      </c>
      <c r="F191" s="84" t="s">
        <v>378</v>
      </c>
      <c r="G191" s="91">
        <v>18</v>
      </c>
      <c r="H191" s="84" t="s">
        <v>38</v>
      </c>
      <c r="I191" s="91">
        <v>61</v>
      </c>
      <c r="J191" s="91" t="s">
        <v>379</v>
      </c>
      <c r="K191" s="87"/>
      <c r="L191" s="87"/>
      <c r="M191" s="87"/>
      <c r="N191" s="85"/>
      <c r="O191" s="87"/>
      <c r="P191" s="89" t="s">
        <v>206</v>
      </c>
      <c r="Q191" s="88">
        <v>2996</v>
      </c>
      <c r="R191" s="90" t="s">
        <v>62</v>
      </c>
      <c r="T191" s="35">
        <v>420201</v>
      </c>
    </row>
    <row r="192" spans="1:20" ht="18" customHeight="1">
      <c r="A192" s="83">
        <v>2</v>
      </c>
      <c r="B192" s="84" t="s">
        <v>340</v>
      </c>
      <c r="C192" s="84">
        <v>2</v>
      </c>
      <c r="D192" s="84" t="s">
        <v>376</v>
      </c>
      <c r="E192" s="84">
        <v>1</v>
      </c>
      <c r="F192" s="84" t="s">
        <v>378</v>
      </c>
      <c r="G192" s="91">
        <v>18</v>
      </c>
      <c r="H192" s="84" t="s">
        <v>38</v>
      </c>
      <c r="I192" s="91">
        <v>61</v>
      </c>
      <c r="J192" s="91" t="s">
        <v>379</v>
      </c>
      <c r="K192" s="87"/>
      <c r="L192" s="87"/>
      <c r="M192" s="87"/>
      <c r="N192" s="85"/>
      <c r="O192" s="87"/>
      <c r="P192" s="89" t="s">
        <v>352</v>
      </c>
      <c r="Q192" s="88">
        <v>2996</v>
      </c>
      <c r="R192" s="90" t="s">
        <v>62</v>
      </c>
      <c r="T192" s="35">
        <v>420201</v>
      </c>
    </row>
    <row r="193" spans="1:20" ht="18" customHeight="1">
      <c r="A193" s="83">
        <v>2</v>
      </c>
      <c r="B193" s="84" t="s">
        <v>340</v>
      </c>
      <c r="C193" s="84">
        <v>2</v>
      </c>
      <c r="D193" s="84" t="s">
        <v>376</v>
      </c>
      <c r="E193" s="84">
        <v>1</v>
      </c>
      <c r="F193" s="84" t="s">
        <v>378</v>
      </c>
      <c r="G193" s="91">
        <v>18</v>
      </c>
      <c r="H193" s="84" t="s">
        <v>38</v>
      </c>
      <c r="I193" s="91">
        <v>61</v>
      </c>
      <c r="J193" s="91" t="s">
        <v>379</v>
      </c>
      <c r="K193" s="87"/>
      <c r="L193" s="87"/>
      <c r="M193" s="87"/>
      <c r="N193" s="85"/>
      <c r="O193" s="87"/>
      <c r="P193" s="89" t="s">
        <v>353</v>
      </c>
      <c r="Q193" s="88"/>
      <c r="R193" s="90" t="s">
        <v>62</v>
      </c>
      <c r="T193" s="35">
        <v>420201</v>
      </c>
    </row>
    <row r="194" spans="1:20" ht="18" customHeight="1">
      <c r="A194" s="83">
        <v>2</v>
      </c>
      <c r="B194" s="84" t="s">
        <v>340</v>
      </c>
      <c r="C194" s="84">
        <v>2</v>
      </c>
      <c r="D194" s="84" t="s">
        <v>376</v>
      </c>
      <c r="E194" s="84">
        <v>1</v>
      </c>
      <c r="F194" s="84" t="s">
        <v>378</v>
      </c>
      <c r="G194" s="91">
        <v>18</v>
      </c>
      <c r="H194" s="84" t="s">
        <v>38</v>
      </c>
      <c r="I194" s="91">
        <v>61</v>
      </c>
      <c r="J194" s="91" t="s">
        <v>379</v>
      </c>
      <c r="K194" s="87"/>
      <c r="L194" s="87"/>
      <c r="M194" s="87"/>
      <c r="N194" s="85"/>
      <c r="O194" s="87"/>
      <c r="P194" s="89" t="s">
        <v>354</v>
      </c>
      <c r="Q194" s="88">
        <v>309</v>
      </c>
      <c r="R194" s="90" t="s">
        <v>62</v>
      </c>
      <c r="T194" s="35">
        <v>420201</v>
      </c>
    </row>
    <row r="195" spans="1:20" ht="18" customHeight="1">
      <c r="A195" s="83">
        <v>2</v>
      </c>
      <c r="B195" s="84" t="s">
        <v>340</v>
      </c>
      <c r="C195" s="84">
        <v>2</v>
      </c>
      <c r="D195" s="84" t="s">
        <v>376</v>
      </c>
      <c r="E195" s="84">
        <v>1</v>
      </c>
      <c r="F195" s="84" t="s">
        <v>378</v>
      </c>
      <c r="G195" s="91">
        <v>18</v>
      </c>
      <c r="H195" s="84" t="s">
        <v>38</v>
      </c>
      <c r="I195" s="91">
        <v>61</v>
      </c>
      <c r="J195" s="91" t="s">
        <v>379</v>
      </c>
      <c r="K195" s="87"/>
      <c r="L195" s="87"/>
      <c r="M195" s="87"/>
      <c r="N195" s="85"/>
      <c r="O195" s="87"/>
      <c r="P195" s="89" t="s">
        <v>355</v>
      </c>
      <c r="Q195" s="88"/>
      <c r="R195" s="90" t="s">
        <v>62</v>
      </c>
      <c r="T195" s="35">
        <v>420201</v>
      </c>
    </row>
    <row r="196" spans="1:20" ht="18" customHeight="1">
      <c r="A196" s="65">
        <v>2</v>
      </c>
      <c r="B196" s="66" t="s">
        <v>342</v>
      </c>
      <c r="C196" s="74">
        <v>2</v>
      </c>
      <c r="D196" s="66" t="s">
        <v>376</v>
      </c>
      <c r="E196" s="75">
        <v>2</v>
      </c>
      <c r="F196" s="76" t="s">
        <v>382</v>
      </c>
      <c r="G196" s="75"/>
      <c r="H196" s="76"/>
      <c r="I196" s="75"/>
      <c r="J196" s="75"/>
      <c r="K196" s="77">
        <f>IF(C196="",SUMIFS($K197:$K$783,$A197:$A$783,A196,$E197:$E$783,""),IF(E196="",SUMIFS($K197:$K$783,$A197:$A$783,A196,$C197:$C$783,C196,$G197:$G$783,""),IF(G196="",SUMIFS($K197:$K$783,$A197:$A$783,A196,$C197:$C$783,C196,$E197:$E$783,E196,$R197:$R$783,R196),IF(I196="",SUMIFS($K197:$K$783,$A197:$A$783,A196,$C197:$C$783,C196,$E197:$E$783,E196,$G197:$G$783,G196,$R197:$R$783,R196),0))))</f>
        <v>720</v>
      </c>
      <c r="L196" s="77">
        <f>IF(C196="",SUMIFS($L197:$L$783,$A197:$A$783,A196,$E197:$E$783,""),IF(E196="",SUMIFS($L197:$L$783,$A197:$A$783,A196,$C197:$C$783,C196,$G197:$G$783,""),IF(G196="",SUMIFS($L197:$L$783,$A197:$A$783,A196,$C197:$C$783,C196,$E197:$E$783,E196,$R197:$R$783,R196),IF(I196="",SUMIFS($L197:$L$783,$A197:$A$783,A196,$C197:$C$783,C196,$E197:$E$783,E196,$G197:$G$783,G196,$R197:$R$783,R196),0))))</f>
        <v>1200</v>
      </c>
      <c r="M196" s="77">
        <f t="shared" ref="M196" si="12">K196-L196</f>
        <v>-480</v>
      </c>
      <c r="N196" s="78"/>
      <c r="O196" s="79"/>
      <c r="P196" s="80"/>
      <c r="Q196" s="81">
        <f>IF(C196="",SUMIFS($Q197:$Q$781,$A197:$A$781,A196,$E197:$E$781,""),IF(E196="",SUMIFS($Q197:$Q$781,$A197:$A$781,A196,$C197:$C$781,C196,$G197:$G$781,""),IF(G196="",SUMIFS($Q197:$Q$781,$A197:$A$781,A196,$C197:$C$781,C196,$E197:$E$781,E196,$R197:$R$781,R196),IF(I196="",SUMIFS($Q197:$Q$781,$A197:$A$781,A196,$C197:$C$781,C196,$E197:$E$781,E196,$G197:$G$781,G196,$R197:$R$781,R196),0))))</f>
        <v>563</v>
      </c>
      <c r="R196" s="82" t="s">
        <v>62</v>
      </c>
      <c r="T196" s="35">
        <v>5222</v>
      </c>
    </row>
    <row r="197" spans="1:20" ht="18" customHeight="1">
      <c r="A197" s="83">
        <v>2</v>
      </c>
      <c r="B197" s="84" t="s">
        <v>340</v>
      </c>
      <c r="C197" s="84">
        <v>2</v>
      </c>
      <c r="D197" s="84" t="s">
        <v>376</v>
      </c>
      <c r="E197" s="84">
        <v>2</v>
      </c>
      <c r="F197" s="84" t="s">
        <v>383</v>
      </c>
      <c r="G197" s="85">
        <v>18</v>
      </c>
      <c r="H197" s="86" t="s">
        <v>38</v>
      </c>
      <c r="I197" s="85"/>
      <c r="J197" s="85"/>
      <c r="K197" s="87"/>
      <c r="L197" s="87"/>
      <c r="M197" s="87"/>
      <c r="N197" s="85"/>
      <c r="O197" s="88"/>
      <c r="P197" s="89" t="s">
        <v>346</v>
      </c>
      <c r="Q197" s="88">
        <v>144</v>
      </c>
      <c r="R197" s="90" t="s">
        <v>62</v>
      </c>
      <c r="T197" s="35">
        <v>5222</v>
      </c>
    </row>
    <row r="198" spans="1:20" ht="18" customHeight="1">
      <c r="A198" s="83">
        <v>2</v>
      </c>
      <c r="B198" s="84" t="s">
        <v>340</v>
      </c>
      <c r="C198" s="84">
        <v>2</v>
      </c>
      <c r="D198" s="84" t="s">
        <v>376</v>
      </c>
      <c r="E198" s="84">
        <v>2</v>
      </c>
      <c r="F198" s="84" t="s">
        <v>383</v>
      </c>
      <c r="G198" s="91">
        <v>18</v>
      </c>
      <c r="H198" s="84" t="s">
        <v>38</v>
      </c>
      <c r="I198" s="85">
        <v>61</v>
      </c>
      <c r="J198" s="85" t="s">
        <v>379</v>
      </c>
      <c r="K198" s="87">
        <v>720</v>
      </c>
      <c r="L198" s="87">
        <v>1200</v>
      </c>
      <c r="M198" s="87">
        <f>K198-L198</f>
        <v>-480</v>
      </c>
      <c r="N198" s="85" t="s">
        <v>384</v>
      </c>
      <c r="O198" s="87"/>
      <c r="P198" s="89" t="s">
        <v>99</v>
      </c>
      <c r="Q198" s="88"/>
      <c r="R198" s="90" t="s">
        <v>62</v>
      </c>
      <c r="T198" s="35">
        <v>5222</v>
      </c>
    </row>
    <row r="199" spans="1:20" ht="18" customHeight="1">
      <c r="A199" s="83">
        <v>2</v>
      </c>
      <c r="B199" s="84" t="s">
        <v>340</v>
      </c>
      <c r="C199" s="84">
        <v>2</v>
      </c>
      <c r="D199" s="84" t="s">
        <v>376</v>
      </c>
      <c r="E199" s="84">
        <v>2</v>
      </c>
      <c r="F199" s="84" t="s">
        <v>383</v>
      </c>
      <c r="G199" s="91">
        <v>18</v>
      </c>
      <c r="H199" s="84" t="s">
        <v>38</v>
      </c>
      <c r="I199" s="91">
        <v>61</v>
      </c>
      <c r="J199" s="91" t="s">
        <v>379</v>
      </c>
      <c r="K199" s="87"/>
      <c r="L199" s="87"/>
      <c r="M199" s="87"/>
      <c r="N199" s="85" t="s">
        <v>385</v>
      </c>
      <c r="O199" s="87">
        <v>720000</v>
      </c>
      <c r="P199" s="89" t="s">
        <v>350</v>
      </c>
      <c r="Q199" s="88">
        <v>36</v>
      </c>
      <c r="R199" s="90" t="s">
        <v>62</v>
      </c>
      <c r="T199" s="35">
        <v>5222</v>
      </c>
    </row>
    <row r="200" spans="1:20" ht="18" customHeight="1">
      <c r="A200" s="83">
        <v>2</v>
      </c>
      <c r="B200" s="84" t="s">
        <v>340</v>
      </c>
      <c r="C200" s="84">
        <v>2</v>
      </c>
      <c r="D200" s="84" t="s">
        <v>376</v>
      </c>
      <c r="E200" s="84">
        <v>2</v>
      </c>
      <c r="F200" s="84" t="s">
        <v>383</v>
      </c>
      <c r="G200" s="91">
        <v>18</v>
      </c>
      <c r="H200" s="84" t="s">
        <v>38</v>
      </c>
      <c r="I200" s="91">
        <v>61</v>
      </c>
      <c r="J200" s="91" t="s">
        <v>379</v>
      </c>
      <c r="K200" s="87"/>
      <c r="L200" s="87"/>
      <c r="M200" s="87"/>
      <c r="N200" s="85"/>
      <c r="O200" s="87"/>
      <c r="P200" s="89" t="s">
        <v>351</v>
      </c>
      <c r="Q200" s="88"/>
      <c r="R200" s="90" t="s">
        <v>62</v>
      </c>
      <c r="T200" s="35">
        <v>5222</v>
      </c>
    </row>
    <row r="201" spans="1:20" ht="18" customHeight="1">
      <c r="A201" s="83">
        <v>2</v>
      </c>
      <c r="B201" s="84" t="s">
        <v>340</v>
      </c>
      <c r="C201" s="84">
        <v>2</v>
      </c>
      <c r="D201" s="84" t="s">
        <v>376</v>
      </c>
      <c r="E201" s="84">
        <v>2</v>
      </c>
      <c r="F201" s="84" t="s">
        <v>383</v>
      </c>
      <c r="G201" s="91">
        <v>18</v>
      </c>
      <c r="H201" s="84" t="s">
        <v>38</v>
      </c>
      <c r="I201" s="91">
        <v>61</v>
      </c>
      <c r="J201" s="91" t="s">
        <v>379</v>
      </c>
      <c r="K201" s="87"/>
      <c r="L201" s="87"/>
      <c r="M201" s="87"/>
      <c r="N201" s="85"/>
      <c r="O201" s="87"/>
      <c r="P201" s="89" t="s">
        <v>201</v>
      </c>
      <c r="Q201" s="88">
        <v>194</v>
      </c>
      <c r="R201" s="90" t="s">
        <v>62</v>
      </c>
      <c r="T201" s="35">
        <v>5222</v>
      </c>
    </row>
    <row r="202" spans="1:20" ht="18" customHeight="1">
      <c r="A202" s="83">
        <v>2</v>
      </c>
      <c r="B202" s="84" t="s">
        <v>340</v>
      </c>
      <c r="C202" s="84">
        <v>2</v>
      </c>
      <c r="D202" s="84" t="s">
        <v>376</v>
      </c>
      <c r="E202" s="84">
        <v>2</v>
      </c>
      <c r="F202" s="84" t="s">
        <v>383</v>
      </c>
      <c r="G202" s="91">
        <v>18</v>
      </c>
      <c r="H202" s="84" t="s">
        <v>38</v>
      </c>
      <c r="I202" s="91">
        <v>61</v>
      </c>
      <c r="J202" s="91" t="s">
        <v>379</v>
      </c>
      <c r="K202" s="87"/>
      <c r="L202" s="87"/>
      <c r="M202" s="87"/>
      <c r="N202" s="85"/>
      <c r="O202" s="87"/>
      <c r="P202" s="89" t="s">
        <v>206</v>
      </c>
      <c r="Q202" s="88">
        <v>90</v>
      </c>
      <c r="R202" s="90" t="s">
        <v>62</v>
      </c>
      <c r="T202" s="35">
        <v>5222</v>
      </c>
    </row>
    <row r="203" spans="1:20" ht="18" customHeight="1">
      <c r="A203" s="83">
        <v>2</v>
      </c>
      <c r="B203" s="84" t="s">
        <v>340</v>
      </c>
      <c r="C203" s="84">
        <v>2</v>
      </c>
      <c r="D203" s="84" t="s">
        <v>376</v>
      </c>
      <c r="E203" s="84">
        <v>2</v>
      </c>
      <c r="F203" s="84" t="s">
        <v>383</v>
      </c>
      <c r="G203" s="91">
        <v>18</v>
      </c>
      <c r="H203" s="84" t="s">
        <v>38</v>
      </c>
      <c r="I203" s="91">
        <v>61</v>
      </c>
      <c r="J203" s="91" t="s">
        <v>379</v>
      </c>
      <c r="K203" s="87"/>
      <c r="L203" s="87"/>
      <c r="M203" s="87"/>
      <c r="N203" s="85"/>
      <c r="O203" s="87"/>
      <c r="P203" s="89" t="s">
        <v>352</v>
      </c>
      <c r="Q203" s="88">
        <v>90</v>
      </c>
      <c r="R203" s="90" t="s">
        <v>62</v>
      </c>
      <c r="T203" s="35">
        <v>5222</v>
      </c>
    </row>
    <row r="204" spans="1:20" ht="18" customHeight="1">
      <c r="A204" s="83">
        <v>2</v>
      </c>
      <c r="B204" s="84" t="s">
        <v>340</v>
      </c>
      <c r="C204" s="84">
        <v>2</v>
      </c>
      <c r="D204" s="84" t="s">
        <v>376</v>
      </c>
      <c r="E204" s="84">
        <v>2</v>
      </c>
      <c r="F204" s="84" t="s">
        <v>383</v>
      </c>
      <c r="G204" s="91">
        <v>18</v>
      </c>
      <c r="H204" s="84" t="s">
        <v>38</v>
      </c>
      <c r="I204" s="91">
        <v>61</v>
      </c>
      <c r="J204" s="91" t="s">
        <v>379</v>
      </c>
      <c r="K204" s="87"/>
      <c r="L204" s="87"/>
      <c r="M204" s="87"/>
      <c r="N204" s="85"/>
      <c r="O204" s="87"/>
      <c r="P204" s="89" t="s">
        <v>353</v>
      </c>
      <c r="Q204" s="88"/>
      <c r="R204" s="90" t="s">
        <v>62</v>
      </c>
      <c r="T204" s="35">
        <v>5222</v>
      </c>
    </row>
    <row r="205" spans="1:20" ht="18" customHeight="1">
      <c r="A205" s="83">
        <v>2</v>
      </c>
      <c r="B205" s="84" t="s">
        <v>340</v>
      </c>
      <c r="C205" s="84">
        <v>2</v>
      </c>
      <c r="D205" s="84" t="s">
        <v>376</v>
      </c>
      <c r="E205" s="84">
        <v>2</v>
      </c>
      <c r="F205" s="84" t="s">
        <v>383</v>
      </c>
      <c r="G205" s="91">
        <v>18</v>
      </c>
      <c r="H205" s="84" t="s">
        <v>38</v>
      </c>
      <c r="I205" s="91">
        <v>61</v>
      </c>
      <c r="J205" s="91" t="s">
        <v>379</v>
      </c>
      <c r="K205" s="87"/>
      <c r="L205" s="87"/>
      <c r="M205" s="87"/>
      <c r="N205" s="85"/>
      <c r="O205" s="87"/>
      <c r="P205" s="89" t="s">
        <v>354</v>
      </c>
      <c r="Q205" s="88">
        <v>9</v>
      </c>
      <c r="R205" s="90" t="s">
        <v>62</v>
      </c>
      <c r="T205" s="35">
        <v>5222</v>
      </c>
    </row>
    <row r="206" spans="1:20" ht="18" customHeight="1">
      <c r="A206" s="83">
        <v>2</v>
      </c>
      <c r="B206" s="84" t="s">
        <v>340</v>
      </c>
      <c r="C206" s="84">
        <v>2</v>
      </c>
      <c r="D206" s="84" t="s">
        <v>376</v>
      </c>
      <c r="E206" s="84">
        <v>2</v>
      </c>
      <c r="F206" s="84" t="s">
        <v>383</v>
      </c>
      <c r="G206" s="91">
        <v>18</v>
      </c>
      <c r="H206" s="84" t="s">
        <v>38</v>
      </c>
      <c r="I206" s="91">
        <v>61</v>
      </c>
      <c r="J206" s="91" t="s">
        <v>379</v>
      </c>
      <c r="K206" s="87"/>
      <c r="L206" s="87"/>
      <c r="M206" s="87"/>
      <c r="N206" s="85"/>
      <c r="O206" s="87"/>
      <c r="P206" s="89" t="s">
        <v>355</v>
      </c>
      <c r="Q206" s="88"/>
      <c r="R206" s="90" t="s">
        <v>62</v>
      </c>
      <c r="T206" s="35">
        <v>5222</v>
      </c>
    </row>
    <row r="207" spans="1:20" ht="18" customHeight="1">
      <c r="A207" s="65">
        <v>2</v>
      </c>
      <c r="B207" s="66" t="s">
        <v>342</v>
      </c>
      <c r="C207" s="74">
        <v>2</v>
      </c>
      <c r="D207" s="66" t="s">
        <v>376</v>
      </c>
      <c r="E207" s="75">
        <v>3</v>
      </c>
      <c r="F207" s="76" t="s">
        <v>386</v>
      </c>
      <c r="G207" s="75"/>
      <c r="H207" s="76"/>
      <c r="I207" s="75"/>
      <c r="J207" s="75"/>
      <c r="K207" s="77">
        <f>IF(C207="",SUMIFS($K208:$K$783,$A208:$A$783,A207,$E208:$E$783,""),IF(E207="",SUMIFS($K208:$K$783,$A208:$A$783,A207,$C208:$C$783,C207,$G208:$G$783,""),IF(G207="",SUMIFS($K208:$K$783,$A208:$A$783,A207,$C208:$C$783,C207,$E208:$E$783,E207,$R208:$R$783,R207),IF(I207="",SUMIFS($K208:$K$783,$A208:$A$783,A207,$C208:$C$783,C207,$E208:$E$783,E207,$G208:$G$783,G207,$R208:$R$783,R207),0))))</f>
        <v>180</v>
      </c>
      <c r="L207" s="77">
        <f>IF(C207="",SUMIFS($L208:$L$783,$A208:$A$783,A207,$E208:$E$783,""),IF(E207="",SUMIFS($L208:$L$783,$A208:$A$783,A207,$C208:$C$783,C207,$G208:$G$783,""),IF(G207="",SUMIFS($L208:$L$783,$A208:$A$783,A207,$C208:$C$783,C207,$E208:$E$783,E207,$R208:$R$783,R207),IF(I207="",SUMIFS($L208:$L$783,$A208:$A$783,A207,$C208:$C$783,C207,$E208:$E$783,E207,$G208:$G$783,G207,$R208:$R$783,R207),0))))</f>
        <v>192</v>
      </c>
      <c r="M207" s="77">
        <f t="shared" ref="M207" si="13">K207-L207</f>
        <v>-12</v>
      </c>
      <c r="N207" s="78"/>
      <c r="O207" s="79"/>
      <c r="P207" s="80"/>
      <c r="Q207" s="81">
        <f>IF(C207="",SUMIFS($Q208:$Q$781,$A208:$A$781,A207,$E208:$E$781,""),IF(E207="",SUMIFS($Q208:$Q$781,$A208:$A$781,A207,$C208:$C$781,C207,$G208:$G$781,""),IF(G207="",SUMIFS($Q208:$Q$781,$A208:$A$781,A207,$C208:$C$781,C207,$E208:$E$781,E207,$R208:$R$781,R207),IF(I207="",SUMIFS($Q208:$Q$781,$A208:$A$781,A207,$C208:$C$781,C207,$E208:$E$781,E207,$G208:$G$781,G207,$R208:$R$781,R207),0))))</f>
        <v>142</v>
      </c>
      <c r="R207" s="82" t="s">
        <v>62</v>
      </c>
      <c r="T207" s="35">
        <v>420203</v>
      </c>
    </row>
    <row r="208" spans="1:20" ht="18" customHeight="1">
      <c r="A208" s="83">
        <v>2</v>
      </c>
      <c r="B208" s="84" t="s">
        <v>340</v>
      </c>
      <c r="C208" s="84">
        <v>2</v>
      </c>
      <c r="D208" s="84" t="s">
        <v>376</v>
      </c>
      <c r="E208" s="84">
        <v>3</v>
      </c>
      <c r="F208" s="84" t="s">
        <v>387</v>
      </c>
      <c r="G208" s="85">
        <v>18</v>
      </c>
      <c r="H208" s="86" t="s">
        <v>38</v>
      </c>
      <c r="I208" s="85"/>
      <c r="J208" s="85"/>
      <c r="K208" s="87"/>
      <c r="L208" s="87"/>
      <c r="M208" s="87"/>
      <c r="N208" s="85"/>
      <c r="O208" s="88"/>
      <c r="P208" s="89" t="s">
        <v>346</v>
      </c>
      <c r="Q208" s="88">
        <v>36</v>
      </c>
      <c r="R208" s="90" t="s">
        <v>62</v>
      </c>
      <c r="T208" s="35">
        <v>420203</v>
      </c>
    </row>
    <row r="209" spans="1:20" ht="18" customHeight="1">
      <c r="A209" s="83">
        <v>2</v>
      </c>
      <c r="B209" s="84" t="s">
        <v>340</v>
      </c>
      <c r="C209" s="84">
        <v>2</v>
      </c>
      <c r="D209" s="84" t="s">
        <v>376</v>
      </c>
      <c r="E209" s="84">
        <v>3</v>
      </c>
      <c r="F209" s="84" t="s">
        <v>387</v>
      </c>
      <c r="G209" s="91">
        <v>18</v>
      </c>
      <c r="H209" s="84" t="s">
        <v>38</v>
      </c>
      <c r="I209" s="85">
        <v>61</v>
      </c>
      <c r="J209" s="85" t="s">
        <v>379</v>
      </c>
      <c r="K209" s="87">
        <v>180</v>
      </c>
      <c r="L209" s="87">
        <v>192</v>
      </c>
      <c r="M209" s="87">
        <f>K209-L209</f>
        <v>-12</v>
      </c>
      <c r="N209" s="85" t="s">
        <v>388</v>
      </c>
      <c r="O209" s="87"/>
      <c r="P209" s="89" t="s">
        <v>99</v>
      </c>
      <c r="Q209" s="88"/>
      <c r="R209" s="90" t="s">
        <v>62</v>
      </c>
      <c r="T209" s="35">
        <v>420203</v>
      </c>
    </row>
    <row r="210" spans="1:20" ht="18" customHeight="1">
      <c r="A210" s="83">
        <v>2</v>
      </c>
      <c r="B210" s="84" t="s">
        <v>340</v>
      </c>
      <c r="C210" s="84">
        <v>2</v>
      </c>
      <c r="D210" s="84" t="s">
        <v>376</v>
      </c>
      <c r="E210" s="84">
        <v>3</v>
      </c>
      <c r="F210" s="84" t="s">
        <v>387</v>
      </c>
      <c r="G210" s="91">
        <v>18</v>
      </c>
      <c r="H210" s="84" t="s">
        <v>38</v>
      </c>
      <c r="I210" s="91">
        <v>61</v>
      </c>
      <c r="J210" s="91" t="s">
        <v>379</v>
      </c>
      <c r="K210" s="87"/>
      <c r="L210" s="87"/>
      <c r="M210" s="87"/>
      <c r="N210" s="85" t="s">
        <v>389</v>
      </c>
      <c r="O210" s="87">
        <v>180000</v>
      </c>
      <c r="P210" s="89" t="s">
        <v>350</v>
      </c>
      <c r="Q210" s="88">
        <v>9</v>
      </c>
      <c r="R210" s="90" t="s">
        <v>62</v>
      </c>
      <c r="T210" s="35">
        <v>420203</v>
      </c>
    </row>
    <row r="211" spans="1:20" ht="18" customHeight="1">
      <c r="A211" s="83">
        <v>2</v>
      </c>
      <c r="B211" s="84" t="s">
        <v>340</v>
      </c>
      <c r="C211" s="84">
        <v>2</v>
      </c>
      <c r="D211" s="84" t="s">
        <v>376</v>
      </c>
      <c r="E211" s="84">
        <v>3</v>
      </c>
      <c r="F211" s="84" t="s">
        <v>387</v>
      </c>
      <c r="G211" s="91">
        <v>18</v>
      </c>
      <c r="H211" s="84" t="s">
        <v>38</v>
      </c>
      <c r="I211" s="91">
        <v>61</v>
      </c>
      <c r="J211" s="91" t="s">
        <v>379</v>
      </c>
      <c r="K211" s="87"/>
      <c r="L211" s="87"/>
      <c r="M211" s="87"/>
      <c r="N211" s="85"/>
      <c r="O211" s="87"/>
      <c r="P211" s="89" t="s">
        <v>351</v>
      </c>
      <c r="Q211" s="88"/>
      <c r="R211" s="90" t="s">
        <v>62</v>
      </c>
      <c r="T211" s="35">
        <v>420203</v>
      </c>
    </row>
    <row r="212" spans="1:20" ht="18" customHeight="1">
      <c r="A212" s="83">
        <v>2</v>
      </c>
      <c r="B212" s="84" t="s">
        <v>340</v>
      </c>
      <c r="C212" s="84">
        <v>2</v>
      </c>
      <c r="D212" s="84" t="s">
        <v>376</v>
      </c>
      <c r="E212" s="84">
        <v>3</v>
      </c>
      <c r="F212" s="84" t="s">
        <v>387</v>
      </c>
      <c r="G212" s="91">
        <v>18</v>
      </c>
      <c r="H212" s="84" t="s">
        <v>38</v>
      </c>
      <c r="I212" s="91">
        <v>61</v>
      </c>
      <c r="J212" s="91" t="s">
        <v>379</v>
      </c>
      <c r="K212" s="87"/>
      <c r="L212" s="87"/>
      <c r="M212" s="87"/>
      <c r="N212" s="85"/>
      <c r="O212" s="87"/>
      <c r="P212" s="89" t="s">
        <v>201</v>
      </c>
      <c r="Q212" s="88">
        <v>49</v>
      </c>
      <c r="R212" s="90" t="s">
        <v>62</v>
      </c>
      <c r="T212" s="35">
        <v>420203</v>
      </c>
    </row>
    <row r="213" spans="1:20" ht="18" customHeight="1">
      <c r="A213" s="83">
        <v>2</v>
      </c>
      <c r="B213" s="84" t="s">
        <v>340</v>
      </c>
      <c r="C213" s="84">
        <v>2</v>
      </c>
      <c r="D213" s="84" t="s">
        <v>376</v>
      </c>
      <c r="E213" s="84">
        <v>3</v>
      </c>
      <c r="F213" s="84" t="s">
        <v>387</v>
      </c>
      <c r="G213" s="91">
        <v>18</v>
      </c>
      <c r="H213" s="84" t="s">
        <v>38</v>
      </c>
      <c r="I213" s="91">
        <v>61</v>
      </c>
      <c r="J213" s="91" t="s">
        <v>379</v>
      </c>
      <c r="K213" s="87"/>
      <c r="L213" s="87"/>
      <c r="M213" s="87"/>
      <c r="N213" s="85"/>
      <c r="O213" s="87"/>
      <c r="P213" s="89" t="s">
        <v>206</v>
      </c>
      <c r="Q213" s="88">
        <v>23</v>
      </c>
      <c r="R213" s="90" t="s">
        <v>62</v>
      </c>
      <c r="T213" s="35">
        <v>420203</v>
      </c>
    </row>
    <row r="214" spans="1:20" ht="18" customHeight="1">
      <c r="A214" s="83">
        <v>2</v>
      </c>
      <c r="B214" s="84" t="s">
        <v>340</v>
      </c>
      <c r="C214" s="84">
        <v>2</v>
      </c>
      <c r="D214" s="84" t="s">
        <v>376</v>
      </c>
      <c r="E214" s="84">
        <v>3</v>
      </c>
      <c r="F214" s="84" t="s">
        <v>387</v>
      </c>
      <c r="G214" s="91">
        <v>18</v>
      </c>
      <c r="H214" s="84" t="s">
        <v>38</v>
      </c>
      <c r="I214" s="91">
        <v>61</v>
      </c>
      <c r="J214" s="91" t="s">
        <v>379</v>
      </c>
      <c r="K214" s="87"/>
      <c r="L214" s="87"/>
      <c r="M214" s="87"/>
      <c r="N214" s="85"/>
      <c r="O214" s="87"/>
      <c r="P214" s="89" t="s">
        <v>352</v>
      </c>
      <c r="Q214" s="88">
        <v>23</v>
      </c>
      <c r="R214" s="90" t="s">
        <v>62</v>
      </c>
      <c r="T214" s="35">
        <v>420203</v>
      </c>
    </row>
    <row r="215" spans="1:20" ht="18" customHeight="1">
      <c r="A215" s="83">
        <v>2</v>
      </c>
      <c r="B215" s="84" t="s">
        <v>340</v>
      </c>
      <c r="C215" s="84">
        <v>2</v>
      </c>
      <c r="D215" s="84" t="s">
        <v>376</v>
      </c>
      <c r="E215" s="84">
        <v>3</v>
      </c>
      <c r="F215" s="84" t="s">
        <v>387</v>
      </c>
      <c r="G215" s="91">
        <v>18</v>
      </c>
      <c r="H215" s="84" t="s">
        <v>38</v>
      </c>
      <c r="I215" s="91">
        <v>61</v>
      </c>
      <c r="J215" s="91" t="s">
        <v>379</v>
      </c>
      <c r="K215" s="87"/>
      <c r="L215" s="87"/>
      <c r="M215" s="87"/>
      <c r="N215" s="85"/>
      <c r="O215" s="87"/>
      <c r="P215" s="89" t="s">
        <v>353</v>
      </c>
      <c r="Q215" s="88"/>
      <c r="R215" s="90" t="s">
        <v>62</v>
      </c>
      <c r="T215" s="35">
        <v>420203</v>
      </c>
    </row>
    <row r="216" spans="1:20" ht="18" customHeight="1">
      <c r="A216" s="83">
        <v>2</v>
      </c>
      <c r="B216" s="84" t="s">
        <v>340</v>
      </c>
      <c r="C216" s="84">
        <v>2</v>
      </c>
      <c r="D216" s="84" t="s">
        <v>376</v>
      </c>
      <c r="E216" s="84">
        <v>3</v>
      </c>
      <c r="F216" s="84" t="s">
        <v>387</v>
      </c>
      <c r="G216" s="91">
        <v>18</v>
      </c>
      <c r="H216" s="84" t="s">
        <v>38</v>
      </c>
      <c r="I216" s="91">
        <v>61</v>
      </c>
      <c r="J216" s="91" t="s">
        <v>379</v>
      </c>
      <c r="K216" s="87"/>
      <c r="L216" s="87"/>
      <c r="M216" s="87"/>
      <c r="N216" s="85"/>
      <c r="O216" s="87"/>
      <c r="P216" s="89" t="s">
        <v>354</v>
      </c>
      <c r="Q216" s="88">
        <v>2</v>
      </c>
      <c r="R216" s="90" t="s">
        <v>62</v>
      </c>
      <c r="T216" s="35">
        <v>420203</v>
      </c>
    </row>
    <row r="217" spans="1:20" ht="18" customHeight="1">
      <c r="A217" s="83">
        <v>2</v>
      </c>
      <c r="B217" s="84" t="s">
        <v>340</v>
      </c>
      <c r="C217" s="84">
        <v>2</v>
      </c>
      <c r="D217" s="84" t="s">
        <v>376</v>
      </c>
      <c r="E217" s="84">
        <v>3</v>
      </c>
      <c r="F217" s="84" t="s">
        <v>387</v>
      </c>
      <c r="G217" s="91">
        <v>18</v>
      </c>
      <c r="H217" s="84" t="s">
        <v>38</v>
      </c>
      <c r="I217" s="91">
        <v>61</v>
      </c>
      <c r="J217" s="91" t="s">
        <v>379</v>
      </c>
      <c r="K217" s="87"/>
      <c r="L217" s="87"/>
      <c r="M217" s="87"/>
      <c r="N217" s="85"/>
      <c r="O217" s="87"/>
      <c r="P217" s="89" t="s">
        <v>355</v>
      </c>
      <c r="Q217" s="88"/>
      <c r="R217" s="90" t="s">
        <v>62</v>
      </c>
      <c r="T217" s="35">
        <v>420203</v>
      </c>
    </row>
    <row r="218" spans="1:20" ht="18" customHeight="1">
      <c r="A218" s="65">
        <v>2</v>
      </c>
      <c r="B218" s="66" t="s">
        <v>342</v>
      </c>
      <c r="C218" s="74">
        <v>2</v>
      </c>
      <c r="D218" s="66" t="s">
        <v>376</v>
      </c>
      <c r="E218" s="75">
        <v>4</v>
      </c>
      <c r="F218" s="76" t="s">
        <v>390</v>
      </c>
      <c r="G218" s="75"/>
      <c r="H218" s="76"/>
      <c r="I218" s="75"/>
      <c r="J218" s="75"/>
      <c r="K218" s="77">
        <f>IF(C218="",SUMIFS($K219:$K$783,$A219:$A$783,A218,$E219:$E$783,""),IF(E218="",SUMIFS($K219:$K$783,$A219:$A$783,A218,$C219:$C$783,C218,$G219:$G$783,""),IF(G218="",SUMIFS($K219:$K$783,$A219:$A$783,A218,$C219:$C$783,C218,$E219:$E$783,E218,$R219:$R$783,R218),IF(I218="",SUMIFS($K219:$K$783,$A219:$A$783,A218,$C219:$C$783,C218,$E219:$E$783,E218,$G219:$G$783,G218,$R219:$R$783,R218),0))))</f>
        <v>600</v>
      </c>
      <c r="L218" s="77">
        <f>IF(C218="",SUMIFS($L219:$L$783,$A219:$A$783,A218,$E219:$E$783,""),IF(E218="",SUMIFS($L219:$L$783,$A219:$A$783,A218,$C219:$C$783,C218,$G219:$G$783,""),IF(G218="",SUMIFS($L219:$L$783,$A219:$A$783,A218,$C219:$C$783,C218,$E219:$E$783,E218,$R219:$R$783,R218),IF(I218="",SUMIFS($L219:$L$783,$A219:$A$783,A218,$C219:$C$783,C218,$E219:$E$783,E218,$G219:$G$783,G218,$R219:$R$783,R218),0))))</f>
        <v>840</v>
      </c>
      <c r="M218" s="77">
        <f t="shared" ref="M218" si="14">K218-L218</f>
        <v>-240</v>
      </c>
      <c r="N218" s="78"/>
      <c r="O218" s="79"/>
      <c r="P218" s="80"/>
      <c r="Q218" s="81">
        <f>IF(C218="",SUMIFS($Q219:$Q$781,$A219:$A$781,A218,$E219:$E$781,""),IF(E218="",SUMIFS($Q219:$Q$781,$A219:$A$781,A218,$C219:$C$781,C218,$G219:$G$781,""),IF(G218="",SUMIFS($Q219:$Q$781,$A219:$A$781,A218,$C219:$C$781,C218,$E219:$E$781,E218,$R219:$R$781,R218),IF(I218="",SUMIFS($Q219:$Q$781,$A219:$A$781,A218,$C219:$C$781,C218,$E219:$E$781,E218,$G219:$G$781,G218,$R219:$R$781,R218),0))))</f>
        <v>470</v>
      </c>
      <c r="R218" s="82" t="s">
        <v>62</v>
      </c>
      <c r="T218" s="35">
        <v>420204</v>
      </c>
    </row>
    <row r="219" spans="1:20" ht="18" customHeight="1">
      <c r="A219" s="83">
        <v>2</v>
      </c>
      <c r="B219" s="84" t="s">
        <v>340</v>
      </c>
      <c r="C219" s="84">
        <v>2</v>
      </c>
      <c r="D219" s="84" t="s">
        <v>376</v>
      </c>
      <c r="E219" s="84">
        <v>4</v>
      </c>
      <c r="F219" s="84" t="s">
        <v>168</v>
      </c>
      <c r="G219" s="85">
        <v>18</v>
      </c>
      <c r="H219" s="86" t="s">
        <v>38</v>
      </c>
      <c r="I219" s="85"/>
      <c r="J219" s="85"/>
      <c r="K219" s="87"/>
      <c r="L219" s="87"/>
      <c r="M219" s="87"/>
      <c r="N219" s="85"/>
      <c r="O219" s="88"/>
      <c r="P219" s="89" t="s">
        <v>346</v>
      </c>
      <c r="Q219" s="88">
        <v>120</v>
      </c>
      <c r="R219" s="90" t="s">
        <v>62</v>
      </c>
      <c r="T219" s="35">
        <v>420204</v>
      </c>
    </row>
    <row r="220" spans="1:20" ht="18" customHeight="1">
      <c r="A220" s="83">
        <v>2</v>
      </c>
      <c r="B220" s="84" t="s">
        <v>340</v>
      </c>
      <c r="C220" s="84">
        <v>2</v>
      </c>
      <c r="D220" s="84" t="s">
        <v>376</v>
      </c>
      <c r="E220" s="84">
        <v>4</v>
      </c>
      <c r="F220" s="84" t="s">
        <v>168</v>
      </c>
      <c r="G220" s="91">
        <v>18</v>
      </c>
      <c r="H220" s="84" t="s">
        <v>38</v>
      </c>
      <c r="I220" s="85">
        <v>61</v>
      </c>
      <c r="J220" s="85" t="s">
        <v>379</v>
      </c>
      <c r="K220" s="87">
        <v>600</v>
      </c>
      <c r="L220" s="87">
        <v>840</v>
      </c>
      <c r="M220" s="87">
        <f>K220-L220</f>
        <v>-240</v>
      </c>
      <c r="N220" s="85" t="s">
        <v>391</v>
      </c>
      <c r="O220" s="87"/>
      <c r="P220" s="89" t="s">
        <v>99</v>
      </c>
      <c r="Q220" s="88"/>
      <c r="R220" s="90" t="s">
        <v>62</v>
      </c>
      <c r="T220" s="35">
        <v>420204</v>
      </c>
    </row>
    <row r="221" spans="1:20" ht="18" customHeight="1">
      <c r="A221" s="83">
        <v>2</v>
      </c>
      <c r="B221" s="84" t="s">
        <v>340</v>
      </c>
      <c r="C221" s="84">
        <v>2</v>
      </c>
      <c r="D221" s="84" t="s">
        <v>376</v>
      </c>
      <c r="E221" s="84">
        <v>4</v>
      </c>
      <c r="F221" s="84" t="s">
        <v>168</v>
      </c>
      <c r="G221" s="91">
        <v>18</v>
      </c>
      <c r="H221" s="84" t="s">
        <v>38</v>
      </c>
      <c r="I221" s="91">
        <v>61</v>
      </c>
      <c r="J221" s="91" t="s">
        <v>379</v>
      </c>
      <c r="K221" s="87"/>
      <c r="L221" s="87"/>
      <c r="M221" s="87"/>
      <c r="N221" s="85" t="s">
        <v>367</v>
      </c>
      <c r="O221" s="87">
        <v>600000</v>
      </c>
      <c r="P221" s="89" t="s">
        <v>350</v>
      </c>
      <c r="Q221" s="88">
        <v>30</v>
      </c>
      <c r="R221" s="90" t="s">
        <v>62</v>
      </c>
      <c r="T221" s="35">
        <v>420204</v>
      </c>
    </row>
    <row r="222" spans="1:20" ht="18" customHeight="1">
      <c r="A222" s="83">
        <v>2</v>
      </c>
      <c r="B222" s="84" t="s">
        <v>340</v>
      </c>
      <c r="C222" s="84">
        <v>2</v>
      </c>
      <c r="D222" s="84" t="s">
        <v>376</v>
      </c>
      <c r="E222" s="84">
        <v>4</v>
      </c>
      <c r="F222" s="84" t="s">
        <v>168</v>
      </c>
      <c r="G222" s="91">
        <v>18</v>
      </c>
      <c r="H222" s="84" t="s">
        <v>38</v>
      </c>
      <c r="I222" s="91">
        <v>61</v>
      </c>
      <c r="J222" s="91" t="s">
        <v>379</v>
      </c>
      <c r="K222" s="87"/>
      <c r="L222" s="87"/>
      <c r="M222" s="87"/>
      <c r="N222" s="85"/>
      <c r="O222" s="87"/>
      <c r="P222" s="89" t="s">
        <v>351</v>
      </c>
      <c r="Q222" s="88"/>
      <c r="R222" s="90" t="s">
        <v>62</v>
      </c>
      <c r="T222" s="35">
        <v>420204</v>
      </c>
    </row>
    <row r="223" spans="1:20" ht="18" customHeight="1">
      <c r="A223" s="83">
        <v>2</v>
      </c>
      <c r="B223" s="84" t="s">
        <v>340</v>
      </c>
      <c r="C223" s="84">
        <v>2</v>
      </c>
      <c r="D223" s="84" t="s">
        <v>376</v>
      </c>
      <c r="E223" s="84">
        <v>4</v>
      </c>
      <c r="F223" s="84" t="s">
        <v>168</v>
      </c>
      <c r="G223" s="91">
        <v>18</v>
      </c>
      <c r="H223" s="84" t="s">
        <v>38</v>
      </c>
      <c r="I223" s="91">
        <v>61</v>
      </c>
      <c r="J223" s="91" t="s">
        <v>379</v>
      </c>
      <c r="K223" s="87"/>
      <c r="L223" s="87"/>
      <c r="M223" s="87"/>
      <c r="N223" s="85"/>
      <c r="O223" s="87"/>
      <c r="P223" s="89" t="s">
        <v>201</v>
      </c>
      <c r="Q223" s="88">
        <v>162</v>
      </c>
      <c r="R223" s="90" t="s">
        <v>62</v>
      </c>
      <c r="T223" s="35">
        <v>420204</v>
      </c>
    </row>
    <row r="224" spans="1:20" ht="18" customHeight="1">
      <c r="A224" s="83">
        <v>2</v>
      </c>
      <c r="B224" s="84" t="s">
        <v>340</v>
      </c>
      <c r="C224" s="84">
        <v>2</v>
      </c>
      <c r="D224" s="84" t="s">
        <v>376</v>
      </c>
      <c r="E224" s="84">
        <v>4</v>
      </c>
      <c r="F224" s="84" t="s">
        <v>168</v>
      </c>
      <c r="G224" s="91">
        <v>18</v>
      </c>
      <c r="H224" s="84" t="s">
        <v>38</v>
      </c>
      <c r="I224" s="91">
        <v>61</v>
      </c>
      <c r="J224" s="91" t="s">
        <v>379</v>
      </c>
      <c r="K224" s="87"/>
      <c r="L224" s="87"/>
      <c r="M224" s="87"/>
      <c r="N224" s="85"/>
      <c r="O224" s="87"/>
      <c r="P224" s="89" t="s">
        <v>206</v>
      </c>
      <c r="Q224" s="88">
        <v>75</v>
      </c>
      <c r="R224" s="90" t="s">
        <v>62</v>
      </c>
      <c r="T224" s="35">
        <v>420204</v>
      </c>
    </row>
    <row r="225" spans="1:20" ht="18" customHeight="1">
      <c r="A225" s="83">
        <v>2</v>
      </c>
      <c r="B225" s="84" t="s">
        <v>340</v>
      </c>
      <c r="C225" s="84">
        <v>2</v>
      </c>
      <c r="D225" s="84" t="s">
        <v>376</v>
      </c>
      <c r="E225" s="84">
        <v>4</v>
      </c>
      <c r="F225" s="84" t="s">
        <v>168</v>
      </c>
      <c r="G225" s="91">
        <v>18</v>
      </c>
      <c r="H225" s="84" t="s">
        <v>38</v>
      </c>
      <c r="I225" s="91">
        <v>61</v>
      </c>
      <c r="J225" s="91" t="s">
        <v>379</v>
      </c>
      <c r="K225" s="87"/>
      <c r="L225" s="87"/>
      <c r="M225" s="87"/>
      <c r="N225" s="85"/>
      <c r="O225" s="87"/>
      <c r="P225" s="89" t="s">
        <v>352</v>
      </c>
      <c r="Q225" s="88">
        <v>75</v>
      </c>
      <c r="R225" s="90" t="s">
        <v>62</v>
      </c>
      <c r="T225" s="35">
        <v>420204</v>
      </c>
    </row>
    <row r="226" spans="1:20" ht="18" customHeight="1">
      <c r="A226" s="83">
        <v>2</v>
      </c>
      <c r="B226" s="84" t="s">
        <v>340</v>
      </c>
      <c r="C226" s="84">
        <v>2</v>
      </c>
      <c r="D226" s="84" t="s">
        <v>376</v>
      </c>
      <c r="E226" s="84">
        <v>4</v>
      </c>
      <c r="F226" s="84" t="s">
        <v>168</v>
      </c>
      <c r="G226" s="91">
        <v>18</v>
      </c>
      <c r="H226" s="84" t="s">
        <v>38</v>
      </c>
      <c r="I226" s="91">
        <v>61</v>
      </c>
      <c r="J226" s="91" t="s">
        <v>379</v>
      </c>
      <c r="K226" s="87"/>
      <c r="L226" s="87"/>
      <c r="M226" s="87"/>
      <c r="N226" s="85"/>
      <c r="O226" s="87"/>
      <c r="P226" s="89" t="s">
        <v>353</v>
      </c>
      <c r="Q226" s="88"/>
      <c r="R226" s="90" t="s">
        <v>62</v>
      </c>
      <c r="T226" s="35">
        <v>420204</v>
      </c>
    </row>
    <row r="227" spans="1:20" ht="18" customHeight="1">
      <c r="A227" s="83">
        <v>2</v>
      </c>
      <c r="B227" s="84" t="s">
        <v>340</v>
      </c>
      <c r="C227" s="84">
        <v>2</v>
      </c>
      <c r="D227" s="84" t="s">
        <v>376</v>
      </c>
      <c r="E227" s="84">
        <v>4</v>
      </c>
      <c r="F227" s="84" t="s">
        <v>168</v>
      </c>
      <c r="G227" s="91">
        <v>18</v>
      </c>
      <c r="H227" s="84" t="s">
        <v>38</v>
      </c>
      <c r="I227" s="91">
        <v>61</v>
      </c>
      <c r="J227" s="91" t="s">
        <v>379</v>
      </c>
      <c r="K227" s="87"/>
      <c r="L227" s="87"/>
      <c r="M227" s="87"/>
      <c r="N227" s="85"/>
      <c r="O227" s="87"/>
      <c r="P227" s="89" t="s">
        <v>354</v>
      </c>
      <c r="Q227" s="88">
        <v>8</v>
      </c>
      <c r="R227" s="90" t="s">
        <v>62</v>
      </c>
      <c r="T227" s="35">
        <v>420204</v>
      </c>
    </row>
    <row r="228" spans="1:20" ht="18" customHeight="1">
      <c r="A228" s="83">
        <v>2</v>
      </c>
      <c r="B228" s="84" t="s">
        <v>340</v>
      </c>
      <c r="C228" s="84">
        <v>2</v>
      </c>
      <c r="D228" s="84" t="s">
        <v>376</v>
      </c>
      <c r="E228" s="84">
        <v>4</v>
      </c>
      <c r="F228" s="84" t="s">
        <v>168</v>
      </c>
      <c r="G228" s="91">
        <v>18</v>
      </c>
      <c r="H228" s="84" t="s">
        <v>38</v>
      </c>
      <c r="I228" s="91">
        <v>61</v>
      </c>
      <c r="J228" s="91" t="s">
        <v>379</v>
      </c>
      <c r="K228" s="87"/>
      <c r="L228" s="87"/>
      <c r="M228" s="87"/>
      <c r="N228" s="85"/>
      <c r="O228" s="87"/>
      <c r="P228" s="89" t="s">
        <v>355</v>
      </c>
      <c r="Q228" s="88"/>
      <c r="R228" s="90" t="s">
        <v>62</v>
      </c>
      <c r="T228" s="35">
        <v>420204</v>
      </c>
    </row>
    <row r="229" spans="1:20" ht="18" customHeight="1">
      <c r="A229" s="65">
        <v>2</v>
      </c>
      <c r="B229" s="66" t="s">
        <v>342</v>
      </c>
      <c r="C229" s="74">
        <v>2</v>
      </c>
      <c r="D229" s="66" t="s">
        <v>376</v>
      </c>
      <c r="E229" s="75">
        <v>5</v>
      </c>
      <c r="F229" s="76" t="s">
        <v>392</v>
      </c>
      <c r="G229" s="75"/>
      <c r="H229" s="76"/>
      <c r="I229" s="75"/>
      <c r="J229" s="75"/>
      <c r="K229" s="77">
        <f>IF(C229="",SUMIFS($K230:$K$783,$A230:$A$783,A229,$E230:$E$783,""),IF(E229="",SUMIFS($K230:$K$783,$A230:$A$783,A229,$C230:$C$783,C229,$G230:$G$783,""),IF(G229="",SUMIFS($K230:$K$783,$A230:$A$783,A229,$C230:$C$783,C229,$E230:$E$783,E229,$R230:$R$783,R229),IF(I229="",SUMIFS($K230:$K$783,$A230:$A$783,A229,$C230:$C$783,C229,$E230:$E$783,E229,$G230:$G$783,G229,$R230:$R$783,R229),0))))</f>
        <v>3600</v>
      </c>
      <c r="L229" s="77">
        <f>IF(C229="",SUMIFS($L230:$L$783,$A230:$A$783,A229,$E230:$E$783,""),IF(E229="",SUMIFS($L230:$L$783,$A230:$A$783,A229,$C230:$C$783,C229,$G230:$G$783,""),IF(G229="",SUMIFS($L230:$L$783,$A230:$A$783,A229,$C230:$C$783,C229,$E230:$E$783,E229,$R230:$R$783,R229),IF(I229="",SUMIFS($L230:$L$783,$A230:$A$783,A229,$C230:$C$783,C229,$E230:$E$783,E229,$G230:$G$783,G229,$R230:$R$783,R229),0))))</f>
        <v>3600</v>
      </c>
      <c r="M229" s="77">
        <f t="shared" ref="M229" si="15">K229-L229</f>
        <v>0</v>
      </c>
      <c r="N229" s="78"/>
      <c r="O229" s="79"/>
      <c r="P229" s="80"/>
      <c r="Q229" s="81">
        <f>IF(C229="",SUMIFS($Q230:$Q$781,$A230:$A$781,A229,$E230:$E$781,""),IF(E229="",SUMIFS($Q230:$Q$781,$A230:$A$781,A229,$C230:$C$781,C229,$G230:$G$781,""),IF(G229="",SUMIFS($Q230:$Q$781,$A230:$A$781,A229,$C230:$C$781,C229,$E230:$E$781,E229,$R230:$R$781,R229),IF(I229="",SUMIFS($Q230:$Q$781,$A230:$A$781,A229,$C230:$C$781,C229,$E230:$E$781,E229,$G230:$G$781,G229,$R230:$R$781,R229),0))))</f>
        <v>2816</v>
      </c>
      <c r="R229" s="82" t="s">
        <v>62</v>
      </c>
      <c r="T229" s="35">
        <v>420205</v>
      </c>
    </row>
    <row r="230" spans="1:20" ht="18" customHeight="1">
      <c r="A230" s="83">
        <v>2</v>
      </c>
      <c r="B230" s="84" t="s">
        <v>340</v>
      </c>
      <c r="C230" s="84">
        <v>2</v>
      </c>
      <c r="D230" s="84" t="s">
        <v>376</v>
      </c>
      <c r="E230" s="84">
        <v>5</v>
      </c>
      <c r="F230" s="84" t="s">
        <v>393</v>
      </c>
      <c r="G230" s="85">
        <v>18</v>
      </c>
      <c r="H230" s="86" t="s">
        <v>38</v>
      </c>
      <c r="I230" s="85"/>
      <c r="J230" s="85"/>
      <c r="K230" s="87"/>
      <c r="L230" s="87"/>
      <c r="M230" s="87"/>
      <c r="N230" s="85"/>
      <c r="O230" s="88"/>
      <c r="P230" s="89" t="s">
        <v>346</v>
      </c>
      <c r="Q230" s="88">
        <v>720</v>
      </c>
      <c r="R230" s="90" t="s">
        <v>62</v>
      </c>
      <c r="T230" s="35">
        <v>420205</v>
      </c>
    </row>
    <row r="231" spans="1:20" ht="18" customHeight="1">
      <c r="A231" s="83">
        <v>2</v>
      </c>
      <c r="B231" s="84" t="s">
        <v>340</v>
      </c>
      <c r="C231" s="84">
        <v>2</v>
      </c>
      <c r="D231" s="84" t="s">
        <v>376</v>
      </c>
      <c r="E231" s="84">
        <v>5</v>
      </c>
      <c r="F231" s="84" t="s">
        <v>393</v>
      </c>
      <c r="G231" s="91">
        <v>18</v>
      </c>
      <c r="H231" s="84" t="s">
        <v>38</v>
      </c>
      <c r="I231" s="85">
        <v>61</v>
      </c>
      <c r="J231" s="85" t="s">
        <v>379</v>
      </c>
      <c r="K231" s="87">
        <v>3600</v>
      </c>
      <c r="L231" s="87">
        <v>3600</v>
      </c>
      <c r="M231" s="87">
        <f>K231-L231</f>
        <v>0</v>
      </c>
      <c r="N231" s="85" t="s">
        <v>394</v>
      </c>
      <c r="O231" s="87"/>
      <c r="P231" s="89" t="s">
        <v>99</v>
      </c>
      <c r="Q231" s="88"/>
      <c r="R231" s="90" t="s">
        <v>62</v>
      </c>
      <c r="T231" s="35">
        <v>420205</v>
      </c>
    </row>
    <row r="232" spans="1:20" ht="18" customHeight="1">
      <c r="A232" s="83">
        <v>2</v>
      </c>
      <c r="B232" s="84" t="s">
        <v>340</v>
      </c>
      <c r="C232" s="84">
        <v>2</v>
      </c>
      <c r="D232" s="84" t="s">
        <v>376</v>
      </c>
      <c r="E232" s="84">
        <v>5</v>
      </c>
      <c r="F232" s="84" t="s">
        <v>393</v>
      </c>
      <c r="G232" s="91">
        <v>18</v>
      </c>
      <c r="H232" s="84" t="s">
        <v>38</v>
      </c>
      <c r="I232" s="91">
        <v>61</v>
      </c>
      <c r="J232" s="91" t="s">
        <v>379</v>
      </c>
      <c r="K232" s="87"/>
      <c r="L232" s="87"/>
      <c r="M232" s="87"/>
      <c r="N232" s="85" t="s">
        <v>395</v>
      </c>
      <c r="O232" s="87">
        <v>3600000</v>
      </c>
      <c r="P232" s="89" t="s">
        <v>350</v>
      </c>
      <c r="Q232" s="88">
        <v>178</v>
      </c>
      <c r="R232" s="90" t="s">
        <v>62</v>
      </c>
      <c r="T232" s="35">
        <v>420205</v>
      </c>
    </row>
    <row r="233" spans="1:20" ht="18" customHeight="1">
      <c r="A233" s="83">
        <v>2</v>
      </c>
      <c r="B233" s="84" t="s">
        <v>340</v>
      </c>
      <c r="C233" s="84">
        <v>2</v>
      </c>
      <c r="D233" s="84" t="s">
        <v>376</v>
      </c>
      <c r="E233" s="84">
        <v>5</v>
      </c>
      <c r="F233" s="84" t="s">
        <v>393</v>
      </c>
      <c r="G233" s="91">
        <v>18</v>
      </c>
      <c r="H233" s="84" t="s">
        <v>38</v>
      </c>
      <c r="I233" s="91">
        <v>61</v>
      </c>
      <c r="J233" s="91" t="s">
        <v>379</v>
      </c>
      <c r="K233" s="87"/>
      <c r="L233" s="87"/>
      <c r="M233" s="87"/>
      <c r="N233" s="85"/>
      <c r="O233" s="87"/>
      <c r="P233" s="89" t="s">
        <v>351</v>
      </c>
      <c r="Q233" s="88"/>
      <c r="R233" s="90" t="s">
        <v>62</v>
      </c>
      <c r="T233" s="35">
        <v>420205</v>
      </c>
    </row>
    <row r="234" spans="1:20" ht="18" customHeight="1">
      <c r="A234" s="83">
        <v>2</v>
      </c>
      <c r="B234" s="84" t="s">
        <v>340</v>
      </c>
      <c r="C234" s="84">
        <v>2</v>
      </c>
      <c r="D234" s="84" t="s">
        <v>376</v>
      </c>
      <c r="E234" s="84">
        <v>5</v>
      </c>
      <c r="F234" s="84" t="s">
        <v>393</v>
      </c>
      <c r="G234" s="91">
        <v>18</v>
      </c>
      <c r="H234" s="84" t="s">
        <v>38</v>
      </c>
      <c r="I234" s="91">
        <v>61</v>
      </c>
      <c r="J234" s="91" t="s">
        <v>379</v>
      </c>
      <c r="K234" s="87"/>
      <c r="L234" s="87"/>
      <c r="M234" s="87"/>
      <c r="N234" s="85"/>
      <c r="O234" s="87"/>
      <c r="P234" s="89" t="s">
        <v>201</v>
      </c>
      <c r="Q234" s="88">
        <v>972</v>
      </c>
      <c r="R234" s="90" t="s">
        <v>62</v>
      </c>
      <c r="T234" s="35">
        <v>420205</v>
      </c>
    </row>
    <row r="235" spans="1:20" ht="18" customHeight="1">
      <c r="A235" s="83">
        <v>2</v>
      </c>
      <c r="B235" s="84" t="s">
        <v>340</v>
      </c>
      <c r="C235" s="84">
        <v>2</v>
      </c>
      <c r="D235" s="84" t="s">
        <v>376</v>
      </c>
      <c r="E235" s="84">
        <v>5</v>
      </c>
      <c r="F235" s="84" t="s">
        <v>393</v>
      </c>
      <c r="G235" s="91">
        <v>18</v>
      </c>
      <c r="H235" s="84" t="s">
        <v>38</v>
      </c>
      <c r="I235" s="91">
        <v>61</v>
      </c>
      <c r="J235" s="91" t="s">
        <v>379</v>
      </c>
      <c r="K235" s="87"/>
      <c r="L235" s="87"/>
      <c r="M235" s="87"/>
      <c r="N235" s="85"/>
      <c r="O235" s="87"/>
      <c r="P235" s="89" t="s">
        <v>206</v>
      </c>
      <c r="Q235" s="88">
        <v>450</v>
      </c>
      <c r="R235" s="90" t="s">
        <v>62</v>
      </c>
      <c r="T235" s="35">
        <v>420205</v>
      </c>
    </row>
    <row r="236" spans="1:20" ht="18" customHeight="1">
      <c r="A236" s="83">
        <v>2</v>
      </c>
      <c r="B236" s="84" t="s">
        <v>340</v>
      </c>
      <c r="C236" s="84">
        <v>2</v>
      </c>
      <c r="D236" s="84" t="s">
        <v>376</v>
      </c>
      <c r="E236" s="84">
        <v>5</v>
      </c>
      <c r="F236" s="84" t="s">
        <v>393</v>
      </c>
      <c r="G236" s="91">
        <v>18</v>
      </c>
      <c r="H236" s="84" t="s">
        <v>38</v>
      </c>
      <c r="I236" s="91">
        <v>61</v>
      </c>
      <c r="J236" s="91" t="s">
        <v>379</v>
      </c>
      <c r="K236" s="87"/>
      <c r="L236" s="87"/>
      <c r="M236" s="87"/>
      <c r="N236" s="85"/>
      <c r="O236" s="87"/>
      <c r="P236" s="89" t="s">
        <v>352</v>
      </c>
      <c r="Q236" s="88">
        <v>450</v>
      </c>
      <c r="R236" s="90" t="s">
        <v>62</v>
      </c>
      <c r="T236" s="35">
        <v>420205</v>
      </c>
    </row>
    <row r="237" spans="1:20" ht="18" customHeight="1">
      <c r="A237" s="83">
        <v>2</v>
      </c>
      <c r="B237" s="84" t="s">
        <v>340</v>
      </c>
      <c r="C237" s="84">
        <v>2</v>
      </c>
      <c r="D237" s="84" t="s">
        <v>376</v>
      </c>
      <c r="E237" s="84">
        <v>5</v>
      </c>
      <c r="F237" s="84" t="s">
        <v>393</v>
      </c>
      <c r="G237" s="91">
        <v>18</v>
      </c>
      <c r="H237" s="84" t="s">
        <v>38</v>
      </c>
      <c r="I237" s="91">
        <v>61</v>
      </c>
      <c r="J237" s="91" t="s">
        <v>379</v>
      </c>
      <c r="K237" s="87"/>
      <c r="L237" s="87"/>
      <c r="M237" s="87"/>
      <c r="N237" s="85"/>
      <c r="O237" s="87"/>
      <c r="P237" s="89" t="s">
        <v>353</v>
      </c>
      <c r="Q237" s="88"/>
      <c r="R237" s="90" t="s">
        <v>62</v>
      </c>
      <c r="T237" s="35">
        <v>420205</v>
      </c>
    </row>
    <row r="238" spans="1:20" ht="18" customHeight="1">
      <c r="A238" s="83">
        <v>2</v>
      </c>
      <c r="B238" s="84" t="s">
        <v>340</v>
      </c>
      <c r="C238" s="84">
        <v>2</v>
      </c>
      <c r="D238" s="84" t="s">
        <v>376</v>
      </c>
      <c r="E238" s="84">
        <v>5</v>
      </c>
      <c r="F238" s="84" t="s">
        <v>393</v>
      </c>
      <c r="G238" s="91">
        <v>18</v>
      </c>
      <c r="H238" s="84" t="s">
        <v>38</v>
      </c>
      <c r="I238" s="91">
        <v>61</v>
      </c>
      <c r="J238" s="91" t="s">
        <v>379</v>
      </c>
      <c r="K238" s="87"/>
      <c r="L238" s="87"/>
      <c r="M238" s="87"/>
      <c r="N238" s="85"/>
      <c r="O238" s="87"/>
      <c r="P238" s="89" t="s">
        <v>354</v>
      </c>
      <c r="Q238" s="88">
        <v>46</v>
      </c>
      <c r="R238" s="90" t="s">
        <v>62</v>
      </c>
      <c r="T238" s="35">
        <v>420205</v>
      </c>
    </row>
    <row r="239" spans="1:20" ht="18" customHeight="1">
      <c r="A239" s="83">
        <v>2</v>
      </c>
      <c r="B239" s="84" t="s">
        <v>340</v>
      </c>
      <c r="C239" s="84">
        <v>2</v>
      </c>
      <c r="D239" s="84" t="s">
        <v>376</v>
      </c>
      <c r="E239" s="84">
        <v>5</v>
      </c>
      <c r="F239" s="84" t="s">
        <v>393</v>
      </c>
      <c r="G239" s="91">
        <v>18</v>
      </c>
      <c r="H239" s="84" t="s">
        <v>38</v>
      </c>
      <c r="I239" s="91">
        <v>61</v>
      </c>
      <c r="J239" s="91" t="s">
        <v>379</v>
      </c>
      <c r="K239" s="87"/>
      <c r="L239" s="87"/>
      <c r="M239" s="87"/>
      <c r="N239" s="85"/>
      <c r="O239" s="87"/>
      <c r="P239" s="89" t="s">
        <v>355</v>
      </c>
      <c r="Q239" s="88"/>
      <c r="R239" s="90" t="s">
        <v>62</v>
      </c>
      <c r="T239" s="35">
        <v>420205</v>
      </c>
    </row>
    <row r="240" spans="1:20" ht="18" customHeight="1">
      <c r="A240" s="65">
        <v>2</v>
      </c>
      <c r="B240" s="66" t="s">
        <v>340</v>
      </c>
      <c r="C240" s="67">
        <v>3</v>
      </c>
      <c r="D240" s="67" t="s">
        <v>396</v>
      </c>
      <c r="E240" s="68"/>
      <c r="F240" s="67"/>
      <c r="G240" s="68"/>
      <c r="H240" s="67"/>
      <c r="I240" s="68"/>
      <c r="J240" s="68"/>
      <c r="K240" s="69">
        <f>IF(C240="",SUMIFS($K241:$K$783,$A241:$A$783,A240,$E241:$E$783,""),IF(E240="",SUMIFS($K241:$K$783,$A241:$A$783,A240,$C241:$C$783,C240,$G241:$G$783,""),IF(G240="",SUMIFS($K241:$K$783,$A241:$A$783,A240,$C241:$C$783,C240,$E241:$E$783,E240,$R241:$R$783,R240),IF(I240="",SUMIFS($K241:$K$783,$A241:$A$783,A240,$C241:$C$783,C240,$E241:$E$783,E240,$G241:$G$783,G240,$R241:$R$783,R240),0))))</f>
        <v>720</v>
      </c>
      <c r="L240" s="69">
        <f>IF(C240="",SUMIFS($L241:$L$783,$A241:$A$783,A240,$E241:$E$783,""),IF(E240="",SUMIFS($L241:$L$783,$A241:$A$783,A240,$C241:$C$783,C240,$G241:$G$783,""),IF(G240="",SUMIFS($L241:$L$783,$A241:$A$783,A240,$C241:$C$783,C240,$E241:$E$783,E240,$R241:$R$783,R240),IF(I240="",SUMIFS($L241:$L$783,$A241:$A$783,A240,$C241:$C$783,C240,$E241:$E$783,E240,$G241:$G$783,G240,$R241:$R$783,R240),0))))</f>
        <v>720</v>
      </c>
      <c r="M240" s="69">
        <f t="shared" ref="M240:M241" si="16">K240-L240</f>
        <v>0</v>
      </c>
      <c r="N240" s="70"/>
      <c r="O240" s="71"/>
      <c r="P240" s="72"/>
      <c r="Q240" s="69">
        <f>IF(C240="",SUMIFS($Q241:$Q$783,$A241:$A$783,A240,$E241:$E$783,""),IF(E240="",SUMIFS($Q241:$Q$783,$A241:$A$783,A240,$C241:$C$783,C240,$G241:$G$783,""),IF(G240="",SUMIFS($Q241:$Q$783,$A241:$A$783,A240,$C241:$C$783,C240,$E241:$E$783,E240,$R241:$R$783,R240),IF(I240="",SUMIFS($Q241:$Q$783,$A241:$A$783,A240,$C241:$C$783,C240,$E241:$E$783,E240,$G241:$G$783,G240,$R241:$R$783,R240),0))))</f>
        <v>563</v>
      </c>
      <c r="R240" s="73"/>
      <c r="T240" s="35">
        <v>420301</v>
      </c>
    </row>
    <row r="241" spans="1:20" ht="18" customHeight="1">
      <c r="A241" s="65">
        <v>2</v>
      </c>
      <c r="B241" s="66" t="s">
        <v>342</v>
      </c>
      <c r="C241" s="74">
        <v>3</v>
      </c>
      <c r="D241" s="66" t="s">
        <v>397</v>
      </c>
      <c r="E241" s="75">
        <v>1</v>
      </c>
      <c r="F241" s="76" t="s">
        <v>244</v>
      </c>
      <c r="G241" s="75"/>
      <c r="H241" s="76"/>
      <c r="I241" s="75"/>
      <c r="J241" s="75"/>
      <c r="K241" s="77">
        <f>IF(C241="",SUMIFS($K242:$K$783,$A242:$A$783,A241,$E242:$E$783,""),IF(E241="",SUMIFS($K242:$K$783,$A242:$A$783,A241,$C242:$C$783,C241,$G242:$G$783,""),IF(G241="",SUMIFS($K242:$K$783,$A242:$A$783,A241,$C242:$C$783,C241,$E242:$E$783,E241,$R242:$R$783,R241),IF(I241="",SUMIFS($K242:$K$783,$A242:$A$783,A241,$C242:$C$783,C241,$E242:$E$783,E241,$G242:$G$783,G241,$R242:$R$783,R241),0))))</f>
        <v>720</v>
      </c>
      <c r="L241" s="77">
        <f>IF(C241="",SUMIFS($L242:$L$783,$A242:$A$783,A241,$E242:$E$783,""),IF(E241="",SUMIFS($L242:$L$783,$A242:$A$783,A241,$C242:$C$783,C241,$G242:$G$783,""),IF(G241="",SUMIFS($L242:$L$783,$A242:$A$783,A241,$C242:$C$783,C241,$E242:$E$783,E241,$R242:$R$783,R241),IF(I241="",SUMIFS($L242:$L$783,$A242:$A$783,A241,$C242:$C$783,C241,$E242:$E$783,E241,$G242:$G$783,G241,$R242:$R$783,R241),0))))</f>
        <v>720</v>
      </c>
      <c r="M241" s="77">
        <f t="shared" si="16"/>
        <v>0</v>
      </c>
      <c r="N241" s="78"/>
      <c r="O241" s="79"/>
      <c r="P241" s="80"/>
      <c r="Q241" s="81">
        <f>IF(C241="",SUMIFS($Q242:$Q$781,$A242:$A$781,A241,$E242:$E$781,""),IF(E241="",SUMIFS($Q242:$Q$781,$A242:$A$781,A241,$C242:$C$781,C241,$G242:$G$781,""),IF(G241="",SUMIFS($Q242:$Q$781,$A242:$A$781,A241,$C242:$C$781,C241,$E242:$E$781,E241,$R242:$R$781,R241),IF(I241="",SUMIFS($Q242:$Q$781,$A242:$A$781,A241,$C242:$C$781,C241,$E242:$E$781,E241,$G242:$G$781,G241,$R242:$R$781,R241),0))))</f>
        <v>563</v>
      </c>
      <c r="R241" s="82" t="s">
        <v>62</v>
      </c>
      <c r="T241" s="35">
        <v>420301</v>
      </c>
    </row>
    <row r="242" spans="1:20" ht="18" customHeight="1">
      <c r="A242" s="83">
        <v>2</v>
      </c>
      <c r="B242" s="84" t="s">
        <v>340</v>
      </c>
      <c r="C242" s="84">
        <v>3</v>
      </c>
      <c r="D242" s="84" t="s">
        <v>397</v>
      </c>
      <c r="E242" s="84">
        <v>1</v>
      </c>
      <c r="F242" s="84" t="s">
        <v>117</v>
      </c>
      <c r="G242" s="85">
        <v>11</v>
      </c>
      <c r="H242" s="86" t="s">
        <v>27</v>
      </c>
      <c r="I242" s="85"/>
      <c r="J242" s="85"/>
      <c r="K242" s="87"/>
      <c r="L242" s="87"/>
      <c r="M242" s="87"/>
      <c r="N242" s="85"/>
      <c r="O242" s="88"/>
      <c r="P242" s="89" t="s">
        <v>346</v>
      </c>
      <c r="Q242" s="88">
        <v>144</v>
      </c>
      <c r="R242" s="90" t="s">
        <v>62</v>
      </c>
      <c r="T242" s="35">
        <v>420301</v>
      </c>
    </row>
    <row r="243" spans="1:20" ht="18" customHeight="1">
      <c r="A243" s="83">
        <v>2</v>
      </c>
      <c r="B243" s="84" t="s">
        <v>340</v>
      </c>
      <c r="C243" s="84">
        <v>3</v>
      </c>
      <c r="D243" s="84" t="s">
        <v>397</v>
      </c>
      <c r="E243" s="84">
        <v>1</v>
      </c>
      <c r="F243" s="84" t="s">
        <v>117</v>
      </c>
      <c r="G243" s="91">
        <v>11</v>
      </c>
      <c r="H243" s="84" t="s">
        <v>27</v>
      </c>
      <c r="I243" s="85">
        <v>1</v>
      </c>
      <c r="J243" s="85" t="s">
        <v>398</v>
      </c>
      <c r="K243" s="87">
        <v>720</v>
      </c>
      <c r="L243" s="87">
        <v>720</v>
      </c>
      <c r="M243" s="87">
        <f>K243-L243</f>
        <v>0</v>
      </c>
      <c r="N243" s="85" t="s">
        <v>399</v>
      </c>
      <c r="O243" s="87"/>
      <c r="P243" s="89" t="s">
        <v>99</v>
      </c>
      <c r="Q243" s="88"/>
      <c r="R243" s="90" t="s">
        <v>62</v>
      </c>
      <c r="T243" s="35">
        <v>420301</v>
      </c>
    </row>
    <row r="244" spans="1:20" ht="18" customHeight="1">
      <c r="A244" s="83">
        <v>2</v>
      </c>
      <c r="B244" s="84" t="s">
        <v>340</v>
      </c>
      <c r="C244" s="84">
        <v>3</v>
      </c>
      <c r="D244" s="84" t="s">
        <v>397</v>
      </c>
      <c r="E244" s="84">
        <v>1</v>
      </c>
      <c r="F244" s="84" t="s">
        <v>117</v>
      </c>
      <c r="G244" s="91">
        <v>11</v>
      </c>
      <c r="H244" s="84" t="s">
        <v>27</v>
      </c>
      <c r="I244" s="91">
        <v>1</v>
      </c>
      <c r="J244" s="91" t="s">
        <v>398</v>
      </c>
      <c r="K244" s="87"/>
      <c r="L244" s="87"/>
      <c r="M244" s="87"/>
      <c r="N244" s="85" t="s">
        <v>385</v>
      </c>
      <c r="O244" s="87">
        <v>720000</v>
      </c>
      <c r="P244" s="89" t="s">
        <v>350</v>
      </c>
      <c r="Q244" s="88">
        <v>36</v>
      </c>
      <c r="R244" s="90" t="s">
        <v>62</v>
      </c>
      <c r="T244" s="35">
        <v>420301</v>
      </c>
    </row>
    <row r="245" spans="1:20" ht="18" customHeight="1">
      <c r="A245" s="83">
        <v>2</v>
      </c>
      <c r="B245" s="84" t="s">
        <v>340</v>
      </c>
      <c r="C245" s="84">
        <v>3</v>
      </c>
      <c r="D245" s="84" t="s">
        <v>397</v>
      </c>
      <c r="E245" s="84">
        <v>1</v>
      </c>
      <c r="F245" s="84" t="s">
        <v>117</v>
      </c>
      <c r="G245" s="91">
        <v>11</v>
      </c>
      <c r="H245" s="84" t="s">
        <v>27</v>
      </c>
      <c r="I245" s="91">
        <v>1</v>
      </c>
      <c r="J245" s="91" t="s">
        <v>398</v>
      </c>
      <c r="K245" s="87"/>
      <c r="L245" s="87"/>
      <c r="M245" s="87"/>
      <c r="N245" s="85"/>
      <c r="O245" s="87"/>
      <c r="P245" s="89" t="s">
        <v>351</v>
      </c>
      <c r="Q245" s="88"/>
      <c r="R245" s="90" t="s">
        <v>62</v>
      </c>
      <c r="T245" s="35">
        <v>420301</v>
      </c>
    </row>
    <row r="246" spans="1:20" ht="18" customHeight="1">
      <c r="A246" s="83">
        <v>2</v>
      </c>
      <c r="B246" s="84" t="s">
        <v>340</v>
      </c>
      <c r="C246" s="84">
        <v>3</v>
      </c>
      <c r="D246" s="84" t="s">
        <v>397</v>
      </c>
      <c r="E246" s="84">
        <v>1</v>
      </c>
      <c r="F246" s="84" t="s">
        <v>117</v>
      </c>
      <c r="G246" s="91">
        <v>11</v>
      </c>
      <c r="H246" s="84" t="s">
        <v>27</v>
      </c>
      <c r="I246" s="91">
        <v>1</v>
      </c>
      <c r="J246" s="91" t="s">
        <v>398</v>
      </c>
      <c r="K246" s="87"/>
      <c r="L246" s="87"/>
      <c r="M246" s="87"/>
      <c r="N246" s="85"/>
      <c r="O246" s="87"/>
      <c r="P246" s="89" t="s">
        <v>201</v>
      </c>
      <c r="Q246" s="88">
        <v>194</v>
      </c>
      <c r="R246" s="90" t="s">
        <v>62</v>
      </c>
      <c r="T246" s="35">
        <v>420301</v>
      </c>
    </row>
    <row r="247" spans="1:20" ht="18" customHeight="1">
      <c r="A247" s="83">
        <v>2</v>
      </c>
      <c r="B247" s="84" t="s">
        <v>340</v>
      </c>
      <c r="C247" s="84">
        <v>3</v>
      </c>
      <c r="D247" s="84" t="s">
        <v>397</v>
      </c>
      <c r="E247" s="84">
        <v>1</v>
      </c>
      <c r="F247" s="84" t="s">
        <v>117</v>
      </c>
      <c r="G247" s="91">
        <v>11</v>
      </c>
      <c r="H247" s="84" t="s">
        <v>27</v>
      </c>
      <c r="I247" s="91">
        <v>1</v>
      </c>
      <c r="J247" s="91" t="s">
        <v>398</v>
      </c>
      <c r="K247" s="87"/>
      <c r="L247" s="87"/>
      <c r="M247" s="87"/>
      <c r="N247" s="85"/>
      <c r="O247" s="87"/>
      <c r="P247" s="89" t="s">
        <v>206</v>
      </c>
      <c r="Q247" s="88">
        <v>90</v>
      </c>
      <c r="R247" s="90" t="s">
        <v>62</v>
      </c>
      <c r="T247" s="35">
        <v>420301</v>
      </c>
    </row>
    <row r="248" spans="1:20" ht="18" customHeight="1">
      <c r="A248" s="83">
        <v>2</v>
      </c>
      <c r="B248" s="84" t="s">
        <v>340</v>
      </c>
      <c r="C248" s="84">
        <v>3</v>
      </c>
      <c r="D248" s="84" t="s">
        <v>397</v>
      </c>
      <c r="E248" s="84">
        <v>1</v>
      </c>
      <c r="F248" s="84" t="s">
        <v>117</v>
      </c>
      <c r="G248" s="91">
        <v>11</v>
      </c>
      <c r="H248" s="84" t="s">
        <v>27</v>
      </c>
      <c r="I248" s="91">
        <v>1</v>
      </c>
      <c r="J248" s="91" t="s">
        <v>398</v>
      </c>
      <c r="K248" s="87"/>
      <c r="L248" s="87"/>
      <c r="M248" s="87"/>
      <c r="N248" s="85"/>
      <c r="O248" s="87"/>
      <c r="P248" s="89" t="s">
        <v>352</v>
      </c>
      <c r="Q248" s="88">
        <v>90</v>
      </c>
      <c r="R248" s="90" t="s">
        <v>62</v>
      </c>
      <c r="T248" s="35">
        <v>420301</v>
      </c>
    </row>
    <row r="249" spans="1:20" ht="18" customHeight="1">
      <c r="A249" s="83">
        <v>2</v>
      </c>
      <c r="B249" s="84" t="s">
        <v>340</v>
      </c>
      <c r="C249" s="84">
        <v>3</v>
      </c>
      <c r="D249" s="84" t="s">
        <v>397</v>
      </c>
      <c r="E249" s="84">
        <v>1</v>
      </c>
      <c r="F249" s="84" t="s">
        <v>117</v>
      </c>
      <c r="G249" s="91">
        <v>11</v>
      </c>
      <c r="H249" s="84" t="s">
        <v>27</v>
      </c>
      <c r="I249" s="91">
        <v>1</v>
      </c>
      <c r="J249" s="91" t="s">
        <v>398</v>
      </c>
      <c r="K249" s="87"/>
      <c r="L249" s="87"/>
      <c r="M249" s="87"/>
      <c r="N249" s="85"/>
      <c r="O249" s="87"/>
      <c r="P249" s="89" t="s">
        <v>353</v>
      </c>
      <c r="Q249" s="88"/>
      <c r="R249" s="90" t="s">
        <v>62</v>
      </c>
      <c r="T249" s="35">
        <v>420301</v>
      </c>
    </row>
    <row r="250" spans="1:20" ht="18" customHeight="1">
      <c r="A250" s="83">
        <v>2</v>
      </c>
      <c r="B250" s="84" t="s">
        <v>340</v>
      </c>
      <c r="C250" s="84">
        <v>3</v>
      </c>
      <c r="D250" s="84" t="s">
        <v>397</v>
      </c>
      <c r="E250" s="84">
        <v>1</v>
      </c>
      <c r="F250" s="84" t="s">
        <v>117</v>
      </c>
      <c r="G250" s="91">
        <v>11</v>
      </c>
      <c r="H250" s="84" t="s">
        <v>27</v>
      </c>
      <c r="I250" s="91">
        <v>1</v>
      </c>
      <c r="J250" s="91" t="s">
        <v>398</v>
      </c>
      <c r="K250" s="87"/>
      <c r="L250" s="87"/>
      <c r="M250" s="87"/>
      <c r="N250" s="85"/>
      <c r="O250" s="87"/>
      <c r="P250" s="89" t="s">
        <v>354</v>
      </c>
      <c r="Q250" s="88">
        <v>9</v>
      </c>
      <c r="R250" s="90" t="s">
        <v>62</v>
      </c>
      <c r="T250" s="35">
        <v>420301</v>
      </c>
    </row>
    <row r="251" spans="1:20" ht="18" customHeight="1">
      <c r="A251" s="83">
        <v>2</v>
      </c>
      <c r="B251" s="84" t="s">
        <v>340</v>
      </c>
      <c r="C251" s="84">
        <v>3</v>
      </c>
      <c r="D251" s="84" t="s">
        <v>397</v>
      </c>
      <c r="E251" s="84">
        <v>1</v>
      </c>
      <c r="F251" s="84" t="s">
        <v>117</v>
      </c>
      <c r="G251" s="91">
        <v>11</v>
      </c>
      <c r="H251" s="84" t="s">
        <v>27</v>
      </c>
      <c r="I251" s="91">
        <v>1</v>
      </c>
      <c r="J251" s="91" t="s">
        <v>398</v>
      </c>
      <c r="K251" s="87"/>
      <c r="L251" s="87"/>
      <c r="M251" s="87"/>
      <c r="N251" s="85"/>
      <c r="O251" s="87"/>
      <c r="P251" s="89" t="s">
        <v>355</v>
      </c>
      <c r="Q251" s="88"/>
      <c r="R251" s="90" t="s">
        <v>62</v>
      </c>
      <c r="T251" s="35">
        <v>420301</v>
      </c>
    </row>
    <row r="252" spans="1:20" ht="18" customHeight="1">
      <c r="A252" s="65">
        <v>2</v>
      </c>
      <c r="B252" s="66" t="s">
        <v>340</v>
      </c>
      <c r="C252" s="67">
        <v>4</v>
      </c>
      <c r="D252" s="67" t="s">
        <v>400</v>
      </c>
      <c r="E252" s="68"/>
      <c r="F252" s="67"/>
      <c r="G252" s="68"/>
      <c r="H252" s="67"/>
      <c r="I252" s="68"/>
      <c r="J252" s="68"/>
      <c r="K252" s="69">
        <f>IF(C252="",SUMIFS($K253:$K$783,$A253:$A$783,A252,$E253:$E$783,""),IF(E252="",SUMIFS($K253:$K$783,$A253:$A$783,A252,$C253:$C$783,C252,$G253:$G$783,""),IF(G252="",SUMIFS($K253:$K$783,$A253:$A$783,A252,$C253:$C$783,C252,$E253:$E$783,E252,$R253:$R$783,R252),IF(I252="",SUMIFS($K253:$K$783,$A253:$A$783,A252,$C253:$C$783,C252,$E253:$E$783,E252,$G253:$G$783,G252,$R253:$R$783,R252),0))))</f>
        <v>28724</v>
      </c>
      <c r="L252" s="69">
        <f>IF(C252="",SUMIFS($L253:$L$783,$A253:$A$783,A252,$E253:$E$783,""),IF(E252="",SUMIFS($L253:$L$783,$A253:$A$783,A252,$C253:$C$783,C252,$G253:$G$783,""),IF(G252="",SUMIFS($L253:$L$783,$A253:$A$783,A252,$C253:$C$783,C252,$E253:$E$783,E252,$R253:$R$783,R252),IF(I252="",SUMIFS($L253:$L$783,$A253:$A$783,A252,$C253:$C$783,C252,$E253:$E$783,E252,$G253:$G$783,G252,$R253:$R$783,R252),0))))</f>
        <v>26665</v>
      </c>
      <c r="M252" s="69">
        <f t="shared" ref="M252:M253" si="17">K252-L252</f>
        <v>2059</v>
      </c>
      <c r="N252" s="70"/>
      <c r="O252" s="71"/>
      <c r="P252" s="72"/>
      <c r="Q252" s="69">
        <f>IF(C252="",SUMIFS($Q253:$Q$783,$A253:$A$783,A252,$E253:$E$783,""),IF(E252="",SUMIFS($Q253:$Q$783,$A253:$A$783,A252,$C253:$C$783,C252,$G253:$G$783,""),IF(G252="",SUMIFS($Q253:$Q$783,$A253:$A$783,A252,$C253:$C$783,C252,$E253:$E$783,E252,$R253:$R$783,R252),IF(I252="",SUMIFS($Q253:$Q$783,$A253:$A$783,A252,$C253:$C$783,C252,$E253:$E$783,E252,$G253:$G$783,G252,$R253:$R$783,R252),0))))</f>
        <v>22467</v>
      </c>
      <c r="R252" s="73"/>
      <c r="T252" s="35">
        <v>420401</v>
      </c>
    </row>
    <row r="253" spans="1:20" ht="18" customHeight="1">
      <c r="A253" s="65">
        <v>2</v>
      </c>
      <c r="B253" s="66" t="s">
        <v>342</v>
      </c>
      <c r="C253" s="74">
        <v>4</v>
      </c>
      <c r="D253" s="66" t="s">
        <v>401</v>
      </c>
      <c r="E253" s="75">
        <v>1</v>
      </c>
      <c r="F253" s="76" t="s">
        <v>402</v>
      </c>
      <c r="G253" s="75"/>
      <c r="H253" s="76"/>
      <c r="I253" s="75"/>
      <c r="J253" s="75"/>
      <c r="K253" s="77">
        <f>IF(C253="",SUMIFS($K254:$K$783,$A254:$A$783,A253,$E254:$E$783,""),IF(E253="",SUMIFS($K254:$K$783,$A254:$A$783,A253,$C254:$C$783,C253,$G254:$G$783,""),IF(G253="",SUMIFS($K254:$K$783,$A254:$A$783,A253,$C254:$C$783,C253,$E254:$E$783,E253,$R254:$R$783,R253),IF(I253="",SUMIFS($K254:$K$783,$A254:$A$783,A253,$C254:$C$783,C253,$E254:$E$783,E253,$G254:$G$783,G253,$R254:$R$783,R253),0))))</f>
        <v>28699</v>
      </c>
      <c r="L253" s="77">
        <f>IF(C253="",SUMIFS($L254:$L$783,$A254:$A$783,A253,$E254:$E$783,""),IF(E253="",SUMIFS($L254:$L$783,$A254:$A$783,A253,$C254:$C$783,C253,$G254:$G$783,""),IF(G253="",SUMIFS($L254:$L$783,$A254:$A$783,A253,$C254:$C$783,C253,$E254:$E$783,E253,$R254:$R$783,R253),IF(I253="",SUMIFS($L254:$L$783,$A254:$A$783,A253,$C254:$C$783,C253,$E254:$E$783,E253,$G254:$G$783,G253,$R254:$R$783,R253),0))))</f>
        <v>26640</v>
      </c>
      <c r="M253" s="77">
        <f t="shared" si="17"/>
        <v>2059</v>
      </c>
      <c r="N253" s="78"/>
      <c r="O253" s="79"/>
      <c r="P253" s="80"/>
      <c r="Q253" s="81">
        <f>IF(C253="",SUMIFS($Q254:$Q$781,$A254:$A$781,A253,$E254:$E$781,""),IF(E253="",SUMIFS($Q254:$Q$781,$A254:$A$781,A253,$C254:$C$781,C253,$G254:$G$781,""),IF(G253="",SUMIFS($Q254:$Q$781,$A254:$A$781,A253,$C254:$C$781,C253,$E254:$E$781,E253,$R254:$R$781,R253),IF(I253="",SUMIFS($Q254:$Q$781,$A254:$A$781,A253,$C254:$C$781,C253,$E254:$E$781,E253,$G254:$G$781,G253,$R254:$R$781,R253),0))))</f>
        <v>22451</v>
      </c>
      <c r="R253" s="82" t="s">
        <v>62</v>
      </c>
      <c r="T253" s="35">
        <v>420401</v>
      </c>
    </row>
    <row r="254" spans="1:20" ht="18" customHeight="1">
      <c r="A254" s="83">
        <v>2</v>
      </c>
      <c r="B254" s="84" t="s">
        <v>340</v>
      </c>
      <c r="C254" s="84">
        <v>4</v>
      </c>
      <c r="D254" s="84" t="s">
        <v>401</v>
      </c>
      <c r="E254" s="84">
        <v>1</v>
      </c>
      <c r="F254" s="84" t="s">
        <v>178</v>
      </c>
      <c r="G254" s="85">
        <v>18</v>
      </c>
      <c r="H254" s="86" t="s">
        <v>38</v>
      </c>
      <c r="I254" s="85"/>
      <c r="J254" s="85"/>
      <c r="K254" s="87"/>
      <c r="L254" s="87"/>
      <c r="M254" s="87"/>
      <c r="N254" s="85"/>
      <c r="O254" s="88"/>
      <c r="P254" s="89" t="s">
        <v>346</v>
      </c>
      <c r="Q254" s="88">
        <v>5740</v>
      </c>
      <c r="R254" s="90" t="s">
        <v>62</v>
      </c>
      <c r="T254" s="35">
        <v>420401</v>
      </c>
    </row>
    <row r="255" spans="1:20" ht="18" customHeight="1">
      <c r="A255" s="83">
        <v>2</v>
      </c>
      <c r="B255" s="84" t="s">
        <v>340</v>
      </c>
      <c r="C255" s="84">
        <v>4</v>
      </c>
      <c r="D255" s="84" t="s">
        <v>401</v>
      </c>
      <c r="E255" s="84">
        <v>1</v>
      </c>
      <c r="F255" s="84" t="s">
        <v>178</v>
      </c>
      <c r="G255" s="91">
        <v>18</v>
      </c>
      <c r="H255" s="84" t="s">
        <v>38</v>
      </c>
      <c r="I255" s="85">
        <v>61</v>
      </c>
      <c r="J255" s="85" t="s">
        <v>347</v>
      </c>
      <c r="K255" s="87">
        <v>28699</v>
      </c>
      <c r="L255" s="87">
        <v>26640</v>
      </c>
      <c r="M255" s="87">
        <f>K255-L255</f>
        <v>2059</v>
      </c>
      <c r="N255" s="85" t="s">
        <v>403</v>
      </c>
      <c r="O255" s="87"/>
      <c r="P255" s="89" t="s">
        <v>99</v>
      </c>
      <c r="Q255" s="88"/>
      <c r="R255" s="90" t="s">
        <v>62</v>
      </c>
      <c r="T255" s="35">
        <v>420401</v>
      </c>
    </row>
    <row r="256" spans="1:20" ht="18" customHeight="1">
      <c r="A256" s="83">
        <v>2</v>
      </c>
      <c r="B256" s="84" t="s">
        <v>340</v>
      </c>
      <c r="C256" s="84">
        <v>4</v>
      </c>
      <c r="D256" s="84" t="s">
        <v>401</v>
      </c>
      <c r="E256" s="84">
        <v>1</v>
      </c>
      <c r="F256" s="84" t="s">
        <v>178</v>
      </c>
      <c r="G256" s="91">
        <v>18</v>
      </c>
      <c r="H256" s="84" t="s">
        <v>38</v>
      </c>
      <c r="I256" s="91">
        <v>61</v>
      </c>
      <c r="J256" s="91" t="s">
        <v>347</v>
      </c>
      <c r="K256" s="87"/>
      <c r="L256" s="87"/>
      <c r="M256" s="87"/>
      <c r="N256" s="85" t="s">
        <v>404</v>
      </c>
      <c r="O256" s="87">
        <v>28698996</v>
      </c>
      <c r="P256" s="89" t="s">
        <v>350</v>
      </c>
      <c r="Q256" s="88">
        <v>1418</v>
      </c>
      <c r="R256" s="90" t="s">
        <v>62</v>
      </c>
      <c r="T256" s="35">
        <v>420401</v>
      </c>
    </row>
    <row r="257" spans="1:20" ht="18" customHeight="1">
      <c r="A257" s="83">
        <v>2</v>
      </c>
      <c r="B257" s="84" t="s">
        <v>340</v>
      </c>
      <c r="C257" s="84">
        <v>4</v>
      </c>
      <c r="D257" s="84" t="s">
        <v>401</v>
      </c>
      <c r="E257" s="84">
        <v>1</v>
      </c>
      <c r="F257" s="84" t="s">
        <v>178</v>
      </c>
      <c r="G257" s="91">
        <v>18</v>
      </c>
      <c r="H257" s="84" t="s">
        <v>38</v>
      </c>
      <c r="I257" s="91">
        <v>61</v>
      </c>
      <c r="J257" s="91" t="s">
        <v>347</v>
      </c>
      <c r="K257" s="87"/>
      <c r="L257" s="87"/>
      <c r="M257" s="87"/>
      <c r="N257" s="85"/>
      <c r="O257" s="87"/>
      <c r="P257" s="89" t="s">
        <v>351</v>
      </c>
      <c r="Q257" s="88"/>
      <c r="R257" s="90" t="s">
        <v>62</v>
      </c>
      <c r="T257" s="35">
        <v>420401</v>
      </c>
    </row>
    <row r="258" spans="1:20" ht="18" customHeight="1">
      <c r="A258" s="83">
        <v>2</v>
      </c>
      <c r="B258" s="84" t="s">
        <v>340</v>
      </c>
      <c r="C258" s="84">
        <v>4</v>
      </c>
      <c r="D258" s="84" t="s">
        <v>401</v>
      </c>
      <c r="E258" s="84">
        <v>1</v>
      </c>
      <c r="F258" s="84" t="s">
        <v>178</v>
      </c>
      <c r="G258" s="91">
        <v>18</v>
      </c>
      <c r="H258" s="84" t="s">
        <v>38</v>
      </c>
      <c r="I258" s="91">
        <v>61</v>
      </c>
      <c r="J258" s="91" t="s">
        <v>347</v>
      </c>
      <c r="K258" s="87"/>
      <c r="L258" s="87"/>
      <c r="M258" s="87"/>
      <c r="N258" s="85"/>
      <c r="O258" s="87"/>
      <c r="P258" s="89" t="s">
        <v>201</v>
      </c>
      <c r="Q258" s="88">
        <v>7749</v>
      </c>
      <c r="R258" s="90" t="s">
        <v>62</v>
      </c>
      <c r="T258" s="35">
        <v>420401</v>
      </c>
    </row>
    <row r="259" spans="1:20" ht="18" customHeight="1">
      <c r="A259" s="83">
        <v>2</v>
      </c>
      <c r="B259" s="84" t="s">
        <v>340</v>
      </c>
      <c r="C259" s="84">
        <v>4</v>
      </c>
      <c r="D259" s="84" t="s">
        <v>401</v>
      </c>
      <c r="E259" s="84">
        <v>1</v>
      </c>
      <c r="F259" s="84" t="s">
        <v>178</v>
      </c>
      <c r="G259" s="91">
        <v>18</v>
      </c>
      <c r="H259" s="84" t="s">
        <v>38</v>
      </c>
      <c r="I259" s="91">
        <v>61</v>
      </c>
      <c r="J259" s="91" t="s">
        <v>347</v>
      </c>
      <c r="K259" s="87"/>
      <c r="L259" s="87"/>
      <c r="M259" s="87"/>
      <c r="N259" s="85"/>
      <c r="O259" s="87"/>
      <c r="P259" s="89" t="s">
        <v>206</v>
      </c>
      <c r="Q259" s="88">
        <v>3587</v>
      </c>
      <c r="R259" s="90" t="s">
        <v>62</v>
      </c>
      <c r="T259" s="35">
        <v>420401</v>
      </c>
    </row>
    <row r="260" spans="1:20" ht="18" customHeight="1">
      <c r="A260" s="83">
        <v>2</v>
      </c>
      <c r="B260" s="84" t="s">
        <v>340</v>
      </c>
      <c r="C260" s="84">
        <v>4</v>
      </c>
      <c r="D260" s="84" t="s">
        <v>401</v>
      </c>
      <c r="E260" s="84">
        <v>1</v>
      </c>
      <c r="F260" s="84" t="s">
        <v>178</v>
      </c>
      <c r="G260" s="91">
        <v>18</v>
      </c>
      <c r="H260" s="84" t="s">
        <v>38</v>
      </c>
      <c r="I260" s="91">
        <v>61</v>
      </c>
      <c r="J260" s="91" t="s">
        <v>347</v>
      </c>
      <c r="K260" s="87"/>
      <c r="L260" s="87"/>
      <c r="M260" s="87"/>
      <c r="N260" s="85"/>
      <c r="O260" s="87"/>
      <c r="P260" s="89" t="s">
        <v>352</v>
      </c>
      <c r="Q260" s="88">
        <v>3587</v>
      </c>
      <c r="R260" s="90" t="s">
        <v>62</v>
      </c>
      <c r="T260" s="35">
        <v>420401</v>
      </c>
    </row>
    <row r="261" spans="1:20" ht="18" customHeight="1">
      <c r="A261" s="83">
        <v>2</v>
      </c>
      <c r="B261" s="84" t="s">
        <v>340</v>
      </c>
      <c r="C261" s="84">
        <v>4</v>
      </c>
      <c r="D261" s="84" t="s">
        <v>401</v>
      </c>
      <c r="E261" s="84">
        <v>1</v>
      </c>
      <c r="F261" s="84" t="s">
        <v>178</v>
      </c>
      <c r="G261" s="91">
        <v>18</v>
      </c>
      <c r="H261" s="84" t="s">
        <v>38</v>
      </c>
      <c r="I261" s="91">
        <v>61</v>
      </c>
      <c r="J261" s="91" t="s">
        <v>347</v>
      </c>
      <c r="K261" s="87"/>
      <c r="L261" s="87"/>
      <c r="M261" s="87"/>
      <c r="N261" s="85"/>
      <c r="O261" s="87"/>
      <c r="P261" s="89" t="s">
        <v>353</v>
      </c>
      <c r="Q261" s="88"/>
      <c r="R261" s="90" t="s">
        <v>62</v>
      </c>
      <c r="T261" s="35">
        <v>420401</v>
      </c>
    </row>
    <row r="262" spans="1:20" ht="18" customHeight="1">
      <c r="A262" s="83">
        <v>2</v>
      </c>
      <c r="B262" s="84" t="s">
        <v>340</v>
      </c>
      <c r="C262" s="84">
        <v>4</v>
      </c>
      <c r="D262" s="84" t="s">
        <v>401</v>
      </c>
      <c r="E262" s="84">
        <v>1</v>
      </c>
      <c r="F262" s="84" t="s">
        <v>178</v>
      </c>
      <c r="G262" s="91">
        <v>18</v>
      </c>
      <c r="H262" s="84" t="s">
        <v>38</v>
      </c>
      <c r="I262" s="91">
        <v>61</v>
      </c>
      <c r="J262" s="91" t="s">
        <v>347</v>
      </c>
      <c r="K262" s="87"/>
      <c r="L262" s="87"/>
      <c r="M262" s="87"/>
      <c r="N262" s="85"/>
      <c r="O262" s="87"/>
      <c r="P262" s="89" t="s">
        <v>354</v>
      </c>
      <c r="Q262" s="88">
        <v>370</v>
      </c>
      <c r="R262" s="90" t="s">
        <v>62</v>
      </c>
      <c r="T262" s="35">
        <v>420401</v>
      </c>
    </row>
    <row r="263" spans="1:20" ht="18" customHeight="1">
      <c r="A263" s="83">
        <v>2</v>
      </c>
      <c r="B263" s="84" t="s">
        <v>340</v>
      </c>
      <c r="C263" s="84">
        <v>4</v>
      </c>
      <c r="D263" s="84" t="s">
        <v>401</v>
      </c>
      <c r="E263" s="84">
        <v>1</v>
      </c>
      <c r="F263" s="84" t="s">
        <v>178</v>
      </c>
      <c r="G263" s="91">
        <v>18</v>
      </c>
      <c r="H263" s="84" t="s">
        <v>38</v>
      </c>
      <c r="I263" s="91">
        <v>61</v>
      </c>
      <c r="J263" s="91" t="s">
        <v>347</v>
      </c>
      <c r="K263" s="87"/>
      <c r="L263" s="87"/>
      <c r="M263" s="87"/>
      <c r="N263" s="85"/>
      <c r="O263" s="87"/>
      <c r="P263" s="89" t="s">
        <v>355</v>
      </c>
      <c r="Q263" s="88"/>
      <c r="R263" s="90" t="s">
        <v>62</v>
      </c>
      <c r="T263" s="35">
        <v>420401</v>
      </c>
    </row>
    <row r="264" spans="1:20" ht="18" customHeight="1">
      <c r="A264" s="65">
        <v>2</v>
      </c>
      <c r="B264" s="66" t="s">
        <v>342</v>
      </c>
      <c r="C264" s="74">
        <v>4</v>
      </c>
      <c r="D264" s="66" t="s">
        <v>401</v>
      </c>
      <c r="E264" s="75">
        <v>2</v>
      </c>
      <c r="F264" s="76" t="s">
        <v>405</v>
      </c>
      <c r="G264" s="75"/>
      <c r="H264" s="76"/>
      <c r="I264" s="75"/>
      <c r="J264" s="75"/>
      <c r="K264" s="77">
        <f>IF(C264="",SUMIFS($K265:$K$783,$A265:$A$783,A264,$E265:$E$783,""),IF(E264="",SUMIFS($K265:$K$783,$A265:$A$783,A264,$C265:$C$783,C264,$G265:$G$783,""),IF(G264="",SUMIFS($K265:$K$783,$A265:$A$783,A264,$C265:$C$783,C264,$E265:$E$783,E264,$R265:$R$783,R264),IF(I264="",SUMIFS($K265:$K$783,$A265:$A$783,A264,$C265:$C$783,C264,$E265:$E$783,E264,$G265:$G$783,G264,$R265:$R$783,R264),0))))</f>
        <v>25</v>
      </c>
      <c r="L264" s="77">
        <f>IF(C264="",SUMIFS($L265:$L$783,$A265:$A$783,A264,$E265:$E$783,""),IF(E264="",SUMIFS($L265:$L$783,$A265:$A$783,A264,$C265:$C$783,C264,$G265:$G$783,""),IF(G264="",SUMIFS($L265:$L$783,$A265:$A$783,A264,$C265:$C$783,C264,$E265:$E$783,E264,$R265:$R$783,R264),IF(I264="",SUMIFS($L265:$L$783,$A265:$A$783,A264,$C265:$C$783,C264,$E265:$E$783,E264,$G265:$G$783,G264,$R265:$R$783,R264),0))))</f>
        <v>25</v>
      </c>
      <c r="M264" s="77">
        <f t="shared" ref="M264" si="18">K264-L264</f>
        <v>0</v>
      </c>
      <c r="N264" s="78"/>
      <c r="O264" s="79"/>
      <c r="P264" s="80"/>
      <c r="Q264" s="81">
        <f>IF(C264="",SUMIFS($Q265:$Q$781,$A265:$A$781,A264,$E265:$E$781,""),IF(E264="",SUMIFS($Q265:$Q$781,$A265:$A$781,A264,$C265:$C$781,C264,$G265:$G$781,""),IF(G264="",SUMIFS($Q265:$Q$781,$A265:$A$781,A264,$C265:$C$781,C264,$E265:$E$781,E264,$R265:$R$781,R264),IF(I264="",SUMIFS($Q265:$Q$781,$A265:$A$781,A264,$C265:$C$781,C264,$E265:$E$781,E264,$G265:$G$781,G264,$R265:$R$781,R264),0))))</f>
        <v>16</v>
      </c>
      <c r="R264" s="82" t="s">
        <v>62</v>
      </c>
      <c r="T264" s="35">
        <v>420402</v>
      </c>
    </row>
    <row r="265" spans="1:20" ht="18" customHeight="1">
      <c r="A265" s="83">
        <v>2</v>
      </c>
      <c r="B265" s="84" t="s">
        <v>340</v>
      </c>
      <c r="C265" s="84">
        <v>4</v>
      </c>
      <c r="D265" s="84" t="s">
        <v>401</v>
      </c>
      <c r="E265" s="84">
        <v>2</v>
      </c>
      <c r="F265" s="84" t="s">
        <v>406</v>
      </c>
      <c r="G265" s="85">
        <v>18</v>
      </c>
      <c r="H265" s="86" t="s">
        <v>38</v>
      </c>
      <c r="I265" s="85"/>
      <c r="J265" s="85"/>
      <c r="K265" s="87"/>
      <c r="L265" s="87"/>
      <c r="M265" s="87"/>
      <c r="N265" s="85"/>
      <c r="O265" s="88"/>
      <c r="P265" s="89" t="s">
        <v>346</v>
      </c>
      <c r="Q265" s="88">
        <v>5</v>
      </c>
      <c r="R265" s="90" t="s">
        <v>62</v>
      </c>
      <c r="T265" s="35">
        <v>420402</v>
      </c>
    </row>
    <row r="266" spans="1:20" ht="18" customHeight="1">
      <c r="A266" s="83">
        <v>2</v>
      </c>
      <c r="B266" s="84" t="s">
        <v>340</v>
      </c>
      <c r="C266" s="84">
        <v>4</v>
      </c>
      <c r="D266" s="84" t="s">
        <v>401</v>
      </c>
      <c r="E266" s="84">
        <v>2</v>
      </c>
      <c r="F266" s="84" t="s">
        <v>406</v>
      </c>
      <c r="G266" s="91">
        <v>18</v>
      </c>
      <c r="H266" s="84" t="s">
        <v>38</v>
      </c>
      <c r="I266" s="85">
        <v>61</v>
      </c>
      <c r="J266" s="85" t="s">
        <v>347</v>
      </c>
      <c r="K266" s="87">
        <v>25</v>
      </c>
      <c r="L266" s="87">
        <v>25</v>
      </c>
      <c r="M266" s="87">
        <f>K266-L266</f>
        <v>0</v>
      </c>
      <c r="N266" s="85" t="s">
        <v>407</v>
      </c>
      <c r="O266" s="87"/>
      <c r="P266" s="89" t="s">
        <v>99</v>
      </c>
      <c r="Q266" s="88"/>
      <c r="R266" s="90" t="s">
        <v>62</v>
      </c>
      <c r="T266" s="35">
        <v>420402</v>
      </c>
    </row>
    <row r="267" spans="1:20" ht="18" customHeight="1">
      <c r="A267" s="83">
        <v>2</v>
      </c>
      <c r="B267" s="84" t="s">
        <v>340</v>
      </c>
      <c r="C267" s="84">
        <v>4</v>
      </c>
      <c r="D267" s="84" t="s">
        <v>401</v>
      </c>
      <c r="E267" s="84">
        <v>2</v>
      </c>
      <c r="F267" s="84" t="s">
        <v>406</v>
      </c>
      <c r="G267" s="91">
        <v>18</v>
      </c>
      <c r="H267" s="84" t="s">
        <v>38</v>
      </c>
      <c r="I267" s="91">
        <v>61</v>
      </c>
      <c r="J267" s="91" t="s">
        <v>347</v>
      </c>
      <c r="K267" s="87"/>
      <c r="L267" s="87"/>
      <c r="M267" s="87"/>
      <c r="N267" s="85" t="s">
        <v>408</v>
      </c>
      <c r="O267" s="87">
        <v>24996</v>
      </c>
      <c r="P267" s="89" t="s">
        <v>201</v>
      </c>
      <c r="Q267" s="88">
        <v>7</v>
      </c>
      <c r="R267" s="90" t="s">
        <v>62</v>
      </c>
      <c r="T267" s="35">
        <v>420402</v>
      </c>
    </row>
    <row r="268" spans="1:20" ht="18" customHeight="1">
      <c r="A268" s="83">
        <v>2</v>
      </c>
      <c r="B268" s="84" t="s">
        <v>340</v>
      </c>
      <c r="C268" s="84">
        <v>4</v>
      </c>
      <c r="D268" s="84" t="s">
        <v>401</v>
      </c>
      <c r="E268" s="84">
        <v>2</v>
      </c>
      <c r="F268" s="84" t="s">
        <v>406</v>
      </c>
      <c r="G268" s="91">
        <v>18</v>
      </c>
      <c r="H268" s="84" t="s">
        <v>38</v>
      </c>
      <c r="I268" s="91">
        <v>61</v>
      </c>
      <c r="J268" s="91" t="s">
        <v>347</v>
      </c>
      <c r="K268" s="87"/>
      <c r="L268" s="87"/>
      <c r="M268" s="87"/>
      <c r="N268" s="85"/>
      <c r="O268" s="87"/>
      <c r="P268" s="89" t="s">
        <v>206</v>
      </c>
      <c r="Q268" s="88">
        <v>2</v>
      </c>
      <c r="R268" s="90" t="s">
        <v>62</v>
      </c>
      <c r="T268" s="35">
        <v>420402</v>
      </c>
    </row>
    <row r="269" spans="1:20" ht="18" customHeight="1">
      <c r="A269" s="83">
        <v>2</v>
      </c>
      <c r="B269" s="84" t="s">
        <v>340</v>
      </c>
      <c r="C269" s="84">
        <v>4</v>
      </c>
      <c r="D269" s="84" t="s">
        <v>401</v>
      </c>
      <c r="E269" s="84">
        <v>2</v>
      </c>
      <c r="F269" s="84" t="s">
        <v>406</v>
      </c>
      <c r="G269" s="91">
        <v>18</v>
      </c>
      <c r="H269" s="84" t="s">
        <v>38</v>
      </c>
      <c r="I269" s="91">
        <v>61</v>
      </c>
      <c r="J269" s="91" t="s">
        <v>347</v>
      </c>
      <c r="K269" s="87"/>
      <c r="L269" s="87"/>
      <c r="M269" s="87"/>
      <c r="N269" s="85"/>
      <c r="O269" s="87"/>
      <c r="P269" s="89" t="s">
        <v>352</v>
      </c>
      <c r="Q269" s="88">
        <v>2</v>
      </c>
      <c r="R269" s="90" t="s">
        <v>62</v>
      </c>
      <c r="T269" s="35">
        <v>420402</v>
      </c>
    </row>
    <row r="270" spans="1:20" ht="18" customHeight="1">
      <c r="A270" s="83">
        <v>2</v>
      </c>
      <c r="B270" s="84" t="s">
        <v>340</v>
      </c>
      <c r="C270" s="84">
        <v>4</v>
      </c>
      <c r="D270" s="84" t="s">
        <v>401</v>
      </c>
      <c r="E270" s="84">
        <v>2</v>
      </c>
      <c r="F270" s="84" t="s">
        <v>406</v>
      </c>
      <c r="G270" s="91">
        <v>18</v>
      </c>
      <c r="H270" s="84" t="s">
        <v>38</v>
      </c>
      <c r="I270" s="91">
        <v>61</v>
      </c>
      <c r="J270" s="91" t="s">
        <v>347</v>
      </c>
      <c r="K270" s="87"/>
      <c r="L270" s="87"/>
      <c r="M270" s="87"/>
      <c r="N270" s="85"/>
      <c r="O270" s="87"/>
      <c r="P270" s="89" t="s">
        <v>353</v>
      </c>
      <c r="Q270" s="88"/>
      <c r="R270" s="90" t="s">
        <v>62</v>
      </c>
      <c r="T270" s="35">
        <v>420402</v>
      </c>
    </row>
    <row r="271" spans="1:20" ht="18" customHeight="1">
      <c r="A271" s="65">
        <v>2</v>
      </c>
      <c r="B271" s="66" t="s">
        <v>340</v>
      </c>
      <c r="C271" s="67">
        <v>5</v>
      </c>
      <c r="D271" s="67" t="s">
        <v>409</v>
      </c>
      <c r="E271" s="68"/>
      <c r="F271" s="67"/>
      <c r="G271" s="68"/>
      <c r="H271" s="67"/>
      <c r="I271" s="68"/>
      <c r="J271" s="68"/>
      <c r="K271" s="69">
        <f>IF(C271="",SUMIFS($K272:$K$783,$A272:$A$783,A271,$E272:$E$783,""),IF(E271="",SUMIFS($K272:$K$783,$A272:$A$783,A271,$C272:$C$783,C271,$G272:$G$783,""),IF(G271="",SUMIFS($K272:$K$783,$A272:$A$783,A271,$C272:$C$783,C271,$E272:$E$783,E271,$R272:$R$783,R271),IF(I271="",SUMIFS($K272:$K$783,$A272:$A$783,A271,$C272:$C$783,C271,$E272:$E$783,E271,$G272:$G$783,G271,$R272:$R$783,R271),0))))</f>
        <v>2572</v>
      </c>
      <c r="L271" s="69">
        <f>IF(C271="",SUMIFS($L272:$L$783,$A272:$A$783,A271,$E272:$E$783,""),IF(E271="",SUMIFS($L272:$L$783,$A272:$A$783,A271,$C272:$C$783,C271,$G272:$G$783,""),IF(G271="",SUMIFS($L272:$L$783,$A272:$A$783,A271,$C272:$C$783,C271,$E272:$E$783,E271,$R272:$R$783,R271),IF(I271="",SUMIFS($L272:$L$783,$A272:$A$783,A271,$C272:$C$783,C271,$E272:$E$783,E271,$G272:$G$783,G271,$R272:$R$783,R271),0))))</f>
        <v>3156</v>
      </c>
      <c r="M271" s="69">
        <f t="shared" ref="M271:M272" si="19">K271-L271</f>
        <v>-584</v>
      </c>
      <c r="N271" s="70"/>
      <c r="O271" s="71"/>
      <c r="P271" s="72"/>
      <c r="Q271" s="69">
        <f>IF(C271="",SUMIFS($Q272:$Q$783,$A272:$A$783,A271,$E272:$E$783,""),IF(E271="",SUMIFS($Q272:$Q$783,$A272:$A$783,A271,$C272:$C$783,C271,$G272:$G$783,""),IF(G271="",SUMIFS($Q272:$Q$783,$A272:$A$783,A271,$C272:$C$783,C271,$E272:$E$783,E271,$R272:$R$783,R271),IF(I271="",SUMIFS($Q272:$Q$783,$A272:$A$783,A271,$C272:$C$783,C271,$E272:$E$783,E271,$G272:$G$783,G271,$R272:$R$783,R271),0))))</f>
        <v>2013</v>
      </c>
      <c r="R271" s="73"/>
      <c r="T271" s="35">
        <v>420501</v>
      </c>
    </row>
    <row r="272" spans="1:20" ht="18" customHeight="1">
      <c r="A272" s="65">
        <v>2</v>
      </c>
      <c r="B272" s="66" t="s">
        <v>342</v>
      </c>
      <c r="C272" s="74">
        <v>5</v>
      </c>
      <c r="D272" s="66" t="s">
        <v>410</v>
      </c>
      <c r="E272" s="75">
        <v>1</v>
      </c>
      <c r="F272" s="76" t="s">
        <v>411</v>
      </c>
      <c r="G272" s="75"/>
      <c r="H272" s="76"/>
      <c r="I272" s="75"/>
      <c r="J272" s="75"/>
      <c r="K272" s="77">
        <f>IF(C272="",SUMIFS($K273:$K$783,$A273:$A$783,A272,$E273:$E$783,""),IF(E272="",SUMIFS($K273:$K$783,$A273:$A$783,A272,$C273:$C$783,C272,$G273:$G$783,""),IF(G272="",SUMIFS($K273:$K$783,$A273:$A$783,A272,$C273:$C$783,C272,$E273:$E$783,E272,$R273:$R$783,R272),IF(I272="",SUMIFS($K273:$K$783,$A273:$A$783,A272,$C273:$C$783,C272,$E273:$E$783,E272,$G273:$G$783,G272,$R273:$R$783,R272),0))))</f>
        <v>2536</v>
      </c>
      <c r="L272" s="77">
        <f>IF(C272="",SUMIFS($L273:$L$783,$A273:$A$783,A272,$E273:$E$783,""),IF(E272="",SUMIFS($L273:$L$783,$A273:$A$783,A272,$C273:$C$783,C272,$G273:$G$783,""),IF(G272="",SUMIFS($L273:$L$783,$A273:$A$783,A272,$C273:$C$783,C272,$E273:$E$783,E272,$R273:$R$783,R272),IF(I272="",SUMIFS($L273:$L$783,$A273:$A$783,A272,$C273:$C$783,C272,$E273:$E$783,E272,$G273:$G$783,G272,$R273:$R$783,R272),0))))</f>
        <v>3120</v>
      </c>
      <c r="M272" s="77">
        <f t="shared" si="19"/>
        <v>-584</v>
      </c>
      <c r="N272" s="78"/>
      <c r="O272" s="79"/>
      <c r="P272" s="80"/>
      <c r="Q272" s="81">
        <f>IF(C272="",SUMIFS($Q273:$Q$781,$A273:$A$781,A272,$E273:$E$781,""),IF(E272="",SUMIFS($Q273:$Q$781,$A273:$A$781,A272,$C273:$C$781,C272,$G273:$G$781,""),IF(G272="",SUMIFS($Q273:$Q$781,$A273:$A$781,A272,$C273:$C$781,C272,$E273:$E$781,E272,$R273:$R$781,R272),IF(I272="",SUMIFS($Q273:$Q$781,$A273:$A$781,A272,$C273:$C$781,C272,$E273:$E$781,E272,$G273:$G$781,G272,$R273:$R$781,R272),0))))</f>
        <v>1984</v>
      </c>
      <c r="R272" s="82" t="s">
        <v>62</v>
      </c>
      <c r="T272" s="35">
        <v>420501</v>
      </c>
    </row>
    <row r="273" spans="1:20" ht="18" customHeight="1">
      <c r="A273" s="83">
        <v>2</v>
      </c>
      <c r="B273" s="84" t="s">
        <v>340</v>
      </c>
      <c r="C273" s="84">
        <v>5</v>
      </c>
      <c r="D273" s="84" t="s">
        <v>410</v>
      </c>
      <c r="E273" s="84">
        <v>1</v>
      </c>
      <c r="F273" s="84" t="s">
        <v>412</v>
      </c>
      <c r="G273" s="85">
        <v>18</v>
      </c>
      <c r="H273" s="86" t="s">
        <v>38</v>
      </c>
      <c r="I273" s="85"/>
      <c r="J273" s="85"/>
      <c r="K273" s="87"/>
      <c r="L273" s="87"/>
      <c r="M273" s="87"/>
      <c r="N273" s="85"/>
      <c r="O273" s="88"/>
      <c r="P273" s="89" t="s">
        <v>346</v>
      </c>
      <c r="Q273" s="88">
        <v>507</v>
      </c>
      <c r="R273" s="90" t="s">
        <v>62</v>
      </c>
      <c r="T273" s="35">
        <v>420501</v>
      </c>
    </row>
    <row r="274" spans="1:20" ht="18" customHeight="1">
      <c r="A274" s="83">
        <v>2</v>
      </c>
      <c r="B274" s="84" t="s">
        <v>340</v>
      </c>
      <c r="C274" s="84">
        <v>5</v>
      </c>
      <c r="D274" s="84" t="s">
        <v>410</v>
      </c>
      <c r="E274" s="84">
        <v>1</v>
      </c>
      <c r="F274" s="84" t="s">
        <v>412</v>
      </c>
      <c r="G274" s="91">
        <v>18</v>
      </c>
      <c r="H274" s="84" t="s">
        <v>38</v>
      </c>
      <c r="I274" s="85">
        <v>61</v>
      </c>
      <c r="J274" s="85" t="s">
        <v>347</v>
      </c>
      <c r="K274" s="87">
        <v>2536</v>
      </c>
      <c r="L274" s="87">
        <v>3120</v>
      </c>
      <c r="M274" s="87">
        <f>K274-L274</f>
        <v>-584</v>
      </c>
      <c r="N274" s="85" t="s">
        <v>413</v>
      </c>
      <c r="O274" s="87"/>
      <c r="P274" s="89" t="s">
        <v>99</v>
      </c>
      <c r="Q274" s="88"/>
      <c r="R274" s="90" t="s">
        <v>62</v>
      </c>
      <c r="T274" s="35">
        <v>420501</v>
      </c>
    </row>
    <row r="275" spans="1:20" ht="18" customHeight="1">
      <c r="A275" s="83">
        <v>2</v>
      </c>
      <c r="B275" s="84" t="s">
        <v>340</v>
      </c>
      <c r="C275" s="84">
        <v>5</v>
      </c>
      <c r="D275" s="84" t="s">
        <v>410</v>
      </c>
      <c r="E275" s="84">
        <v>1</v>
      </c>
      <c r="F275" s="84" t="s">
        <v>412</v>
      </c>
      <c r="G275" s="91">
        <v>18</v>
      </c>
      <c r="H275" s="84" t="s">
        <v>38</v>
      </c>
      <c r="I275" s="91">
        <v>61</v>
      </c>
      <c r="J275" s="91" t="s">
        <v>347</v>
      </c>
      <c r="K275" s="87"/>
      <c r="L275" s="87"/>
      <c r="M275" s="87"/>
      <c r="N275" s="85" t="s">
        <v>414</v>
      </c>
      <c r="O275" s="87">
        <v>2535996</v>
      </c>
      <c r="P275" s="89" t="s">
        <v>350</v>
      </c>
      <c r="Q275" s="88">
        <v>125</v>
      </c>
      <c r="R275" s="90" t="s">
        <v>62</v>
      </c>
      <c r="T275" s="35">
        <v>420501</v>
      </c>
    </row>
    <row r="276" spans="1:20" ht="18" customHeight="1">
      <c r="A276" s="83">
        <v>2</v>
      </c>
      <c r="B276" s="84" t="s">
        <v>340</v>
      </c>
      <c r="C276" s="84">
        <v>5</v>
      </c>
      <c r="D276" s="84" t="s">
        <v>410</v>
      </c>
      <c r="E276" s="84">
        <v>1</v>
      </c>
      <c r="F276" s="84" t="s">
        <v>412</v>
      </c>
      <c r="G276" s="91">
        <v>18</v>
      </c>
      <c r="H276" s="84" t="s">
        <v>38</v>
      </c>
      <c r="I276" s="91">
        <v>61</v>
      </c>
      <c r="J276" s="91" t="s">
        <v>347</v>
      </c>
      <c r="K276" s="87"/>
      <c r="L276" s="87"/>
      <c r="M276" s="87"/>
      <c r="N276" s="85"/>
      <c r="O276" s="87"/>
      <c r="P276" s="89" t="s">
        <v>351</v>
      </c>
      <c r="Q276" s="88"/>
      <c r="R276" s="90" t="s">
        <v>62</v>
      </c>
      <c r="T276" s="35">
        <v>420501</v>
      </c>
    </row>
    <row r="277" spans="1:20" ht="18" customHeight="1">
      <c r="A277" s="83">
        <v>2</v>
      </c>
      <c r="B277" s="84" t="s">
        <v>340</v>
      </c>
      <c r="C277" s="84">
        <v>5</v>
      </c>
      <c r="D277" s="84" t="s">
        <v>410</v>
      </c>
      <c r="E277" s="84">
        <v>1</v>
      </c>
      <c r="F277" s="84" t="s">
        <v>412</v>
      </c>
      <c r="G277" s="91">
        <v>18</v>
      </c>
      <c r="H277" s="84" t="s">
        <v>38</v>
      </c>
      <c r="I277" s="91">
        <v>61</v>
      </c>
      <c r="J277" s="91" t="s">
        <v>347</v>
      </c>
      <c r="K277" s="87"/>
      <c r="L277" s="87"/>
      <c r="M277" s="87"/>
      <c r="N277" s="85"/>
      <c r="O277" s="87"/>
      <c r="P277" s="89" t="s">
        <v>201</v>
      </c>
      <c r="Q277" s="88">
        <v>685</v>
      </c>
      <c r="R277" s="90" t="s">
        <v>62</v>
      </c>
      <c r="T277" s="35">
        <v>420501</v>
      </c>
    </row>
    <row r="278" spans="1:20" ht="18" customHeight="1">
      <c r="A278" s="83">
        <v>2</v>
      </c>
      <c r="B278" s="84" t="s">
        <v>340</v>
      </c>
      <c r="C278" s="84">
        <v>5</v>
      </c>
      <c r="D278" s="84" t="s">
        <v>410</v>
      </c>
      <c r="E278" s="84">
        <v>1</v>
      </c>
      <c r="F278" s="84" t="s">
        <v>412</v>
      </c>
      <c r="G278" s="91">
        <v>18</v>
      </c>
      <c r="H278" s="84" t="s">
        <v>38</v>
      </c>
      <c r="I278" s="91">
        <v>61</v>
      </c>
      <c r="J278" s="91" t="s">
        <v>347</v>
      </c>
      <c r="K278" s="87"/>
      <c r="L278" s="87"/>
      <c r="M278" s="87"/>
      <c r="N278" s="85"/>
      <c r="O278" s="87"/>
      <c r="P278" s="89" t="s">
        <v>206</v>
      </c>
      <c r="Q278" s="88">
        <v>317</v>
      </c>
      <c r="R278" s="90" t="s">
        <v>62</v>
      </c>
      <c r="T278" s="35">
        <v>420501</v>
      </c>
    </row>
    <row r="279" spans="1:20" ht="18" customHeight="1">
      <c r="A279" s="83">
        <v>2</v>
      </c>
      <c r="B279" s="84" t="s">
        <v>340</v>
      </c>
      <c r="C279" s="84">
        <v>5</v>
      </c>
      <c r="D279" s="84" t="s">
        <v>410</v>
      </c>
      <c r="E279" s="84">
        <v>1</v>
      </c>
      <c r="F279" s="84" t="s">
        <v>412</v>
      </c>
      <c r="G279" s="91">
        <v>18</v>
      </c>
      <c r="H279" s="84" t="s">
        <v>38</v>
      </c>
      <c r="I279" s="91">
        <v>61</v>
      </c>
      <c r="J279" s="91" t="s">
        <v>347</v>
      </c>
      <c r="K279" s="87"/>
      <c r="L279" s="87"/>
      <c r="M279" s="87"/>
      <c r="N279" s="85"/>
      <c r="O279" s="87"/>
      <c r="P279" s="89" t="s">
        <v>352</v>
      </c>
      <c r="Q279" s="88">
        <v>317</v>
      </c>
      <c r="R279" s="90" t="s">
        <v>62</v>
      </c>
      <c r="T279" s="35">
        <v>420501</v>
      </c>
    </row>
    <row r="280" spans="1:20" ht="18" customHeight="1">
      <c r="A280" s="83">
        <v>2</v>
      </c>
      <c r="B280" s="84" t="s">
        <v>340</v>
      </c>
      <c r="C280" s="84">
        <v>5</v>
      </c>
      <c r="D280" s="84" t="s">
        <v>410</v>
      </c>
      <c r="E280" s="84">
        <v>1</v>
      </c>
      <c r="F280" s="84" t="s">
        <v>412</v>
      </c>
      <c r="G280" s="91">
        <v>18</v>
      </c>
      <c r="H280" s="84" t="s">
        <v>38</v>
      </c>
      <c r="I280" s="91">
        <v>61</v>
      </c>
      <c r="J280" s="91" t="s">
        <v>347</v>
      </c>
      <c r="K280" s="87"/>
      <c r="L280" s="87"/>
      <c r="M280" s="87"/>
      <c r="N280" s="85"/>
      <c r="O280" s="87"/>
      <c r="P280" s="89" t="s">
        <v>353</v>
      </c>
      <c r="Q280" s="88"/>
      <c r="R280" s="90" t="s">
        <v>62</v>
      </c>
      <c r="T280" s="35">
        <v>420501</v>
      </c>
    </row>
    <row r="281" spans="1:20" ht="18" customHeight="1">
      <c r="A281" s="83">
        <v>2</v>
      </c>
      <c r="B281" s="84" t="s">
        <v>340</v>
      </c>
      <c r="C281" s="84">
        <v>5</v>
      </c>
      <c r="D281" s="84" t="s">
        <v>410</v>
      </c>
      <c r="E281" s="84">
        <v>1</v>
      </c>
      <c r="F281" s="84" t="s">
        <v>412</v>
      </c>
      <c r="G281" s="91">
        <v>18</v>
      </c>
      <c r="H281" s="84" t="s">
        <v>38</v>
      </c>
      <c r="I281" s="91">
        <v>61</v>
      </c>
      <c r="J281" s="91" t="s">
        <v>347</v>
      </c>
      <c r="K281" s="87"/>
      <c r="L281" s="87"/>
      <c r="M281" s="87"/>
      <c r="N281" s="85"/>
      <c r="O281" s="87"/>
      <c r="P281" s="89" t="s">
        <v>354</v>
      </c>
      <c r="Q281" s="88">
        <v>33</v>
      </c>
      <c r="R281" s="90" t="s">
        <v>62</v>
      </c>
      <c r="T281" s="35">
        <v>420501</v>
      </c>
    </row>
    <row r="282" spans="1:20" ht="18" customHeight="1">
      <c r="A282" s="83">
        <v>2</v>
      </c>
      <c r="B282" s="84" t="s">
        <v>340</v>
      </c>
      <c r="C282" s="84">
        <v>5</v>
      </c>
      <c r="D282" s="84" t="s">
        <v>410</v>
      </c>
      <c r="E282" s="84">
        <v>1</v>
      </c>
      <c r="F282" s="84" t="s">
        <v>412</v>
      </c>
      <c r="G282" s="91">
        <v>18</v>
      </c>
      <c r="H282" s="84" t="s">
        <v>38</v>
      </c>
      <c r="I282" s="91">
        <v>61</v>
      </c>
      <c r="J282" s="91" t="s">
        <v>347</v>
      </c>
      <c r="K282" s="87"/>
      <c r="L282" s="87"/>
      <c r="M282" s="87"/>
      <c r="N282" s="85"/>
      <c r="O282" s="87"/>
      <c r="P282" s="89" t="s">
        <v>355</v>
      </c>
      <c r="Q282" s="88"/>
      <c r="R282" s="90" t="s">
        <v>62</v>
      </c>
      <c r="T282" s="35">
        <v>420501</v>
      </c>
    </row>
    <row r="283" spans="1:20" ht="18" customHeight="1">
      <c r="A283" s="65">
        <v>2</v>
      </c>
      <c r="B283" s="66" t="s">
        <v>342</v>
      </c>
      <c r="C283" s="74">
        <v>5</v>
      </c>
      <c r="D283" s="66" t="s">
        <v>410</v>
      </c>
      <c r="E283" s="75">
        <v>2</v>
      </c>
      <c r="F283" s="76" t="s">
        <v>415</v>
      </c>
      <c r="G283" s="75"/>
      <c r="H283" s="76"/>
      <c r="I283" s="75"/>
      <c r="J283" s="75"/>
      <c r="K283" s="77">
        <f>IF(C283="",SUMIFS($K284:$K$783,$A284:$A$783,A283,$E284:$E$783,""),IF(E283="",SUMIFS($K284:$K$783,$A284:$A$783,A283,$C284:$C$783,C283,$G284:$G$783,""),IF(G283="",SUMIFS($K284:$K$783,$A284:$A$783,A283,$C284:$C$783,C283,$E284:$E$783,E283,$R284:$R$783,R283),IF(I283="",SUMIFS($K284:$K$783,$A284:$A$783,A283,$C284:$C$783,C283,$E284:$E$783,E283,$G284:$G$783,G283,$R284:$R$783,R283),0))))</f>
        <v>36</v>
      </c>
      <c r="L283" s="77">
        <f>IF(C283="",SUMIFS($L284:$L$783,$A284:$A$783,A283,$E284:$E$783,""),IF(E283="",SUMIFS($L284:$L$783,$A284:$A$783,A283,$C284:$C$783,C283,$G284:$G$783,""),IF(G283="",SUMIFS($L284:$L$783,$A284:$A$783,A283,$C284:$C$783,C283,$E284:$E$783,E283,$R284:$R$783,R283),IF(I283="",SUMIFS($L284:$L$783,$A284:$A$783,A283,$C284:$C$783,C283,$E284:$E$783,E283,$G284:$G$783,G283,$R284:$R$783,R283),0))))</f>
        <v>36</v>
      </c>
      <c r="M283" s="77">
        <f t="shared" ref="M283" si="20">K283-L283</f>
        <v>0</v>
      </c>
      <c r="N283" s="78"/>
      <c r="O283" s="79"/>
      <c r="P283" s="80"/>
      <c r="Q283" s="81">
        <f>IF(C283="",SUMIFS($Q284:$Q$781,$A284:$A$781,A283,$E284:$E$781,""),IF(E283="",SUMIFS($Q284:$Q$781,$A284:$A$781,A283,$C284:$C$781,C283,$G284:$G$781,""),IF(G283="",SUMIFS($Q284:$Q$781,$A284:$A$781,A283,$C284:$C$781,C283,$E284:$E$781,E283,$R284:$R$781,R283),IF(I283="",SUMIFS($Q284:$Q$781,$A284:$A$781,A283,$C284:$C$781,C283,$E284:$E$781,E283,$G284:$G$781,G283,$R284:$R$781,R283),0))))</f>
        <v>29</v>
      </c>
      <c r="R283" s="82" t="s">
        <v>62</v>
      </c>
      <c r="T283" s="35">
        <v>420502</v>
      </c>
    </row>
    <row r="284" spans="1:20" ht="18" customHeight="1">
      <c r="A284" s="83">
        <v>2</v>
      </c>
      <c r="B284" s="84" t="s">
        <v>340</v>
      </c>
      <c r="C284" s="84">
        <v>5</v>
      </c>
      <c r="D284" s="84" t="s">
        <v>410</v>
      </c>
      <c r="E284" s="84">
        <v>2</v>
      </c>
      <c r="F284" s="84" t="s">
        <v>416</v>
      </c>
      <c r="G284" s="85">
        <v>18</v>
      </c>
      <c r="H284" s="86" t="s">
        <v>38</v>
      </c>
      <c r="I284" s="85"/>
      <c r="J284" s="85"/>
      <c r="K284" s="87"/>
      <c r="L284" s="87"/>
      <c r="M284" s="87"/>
      <c r="N284" s="85"/>
      <c r="O284" s="88"/>
      <c r="P284" s="89" t="s">
        <v>346</v>
      </c>
      <c r="Q284" s="88">
        <v>7</v>
      </c>
      <c r="R284" s="90" t="s">
        <v>62</v>
      </c>
      <c r="T284" s="35">
        <v>420502</v>
      </c>
    </row>
    <row r="285" spans="1:20" ht="18" customHeight="1">
      <c r="A285" s="83">
        <v>2</v>
      </c>
      <c r="B285" s="84" t="s">
        <v>340</v>
      </c>
      <c r="C285" s="84">
        <v>5</v>
      </c>
      <c r="D285" s="84" t="s">
        <v>410</v>
      </c>
      <c r="E285" s="84">
        <v>2</v>
      </c>
      <c r="F285" s="84" t="s">
        <v>416</v>
      </c>
      <c r="G285" s="91">
        <v>18</v>
      </c>
      <c r="H285" s="84" t="s">
        <v>38</v>
      </c>
      <c r="I285" s="85">
        <v>61</v>
      </c>
      <c r="J285" s="85" t="s">
        <v>347</v>
      </c>
      <c r="K285" s="87">
        <v>36</v>
      </c>
      <c r="L285" s="87">
        <v>36</v>
      </c>
      <c r="M285" s="87">
        <f>K285-L285</f>
        <v>0</v>
      </c>
      <c r="N285" s="85" t="s">
        <v>417</v>
      </c>
      <c r="O285" s="87"/>
      <c r="P285" s="89" t="s">
        <v>99</v>
      </c>
      <c r="Q285" s="88"/>
      <c r="R285" s="90" t="s">
        <v>62</v>
      </c>
      <c r="T285" s="35">
        <v>420502</v>
      </c>
    </row>
    <row r="286" spans="1:20" ht="18" customHeight="1">
      <c r="A286" s="83">
        <v>2</v>
      </c>
      <c r="B286" s="84" t="s">
        <v>340</v>
      </c>
      <c r="C286" s="84">
        <v>5</v>
      </c>
      <c r="D286" s="84" t="s">
        <v>410</v>
      </c>
      <c r="E286" s="84">
        <v>2</v>
      </c>
      <c r="F286" s="84" t="s">
        <v>416</v>
      </c>
      <c r="G286" s="91">
        <v>18</v>
      </c>
      <c r="H286" s="84" t="s">
        <v>38</v>
      </c>
      <c r="I286" s="91">
        <v>61</v>
      </c>
      <c r="J286" s="91" t="s">
        <v>347</v>
      </c>
      <c r="K286" s="87"/>
      <c r="L286" s="87"/>
      <c r="M286" s="87"/>
      <c r="N286" s="85" t="s">
        <v>418</v>
      </c>
      <c r="O286" s="87">
        <v>36000</v>
      </c>
      <c r="P286" s="89" t="s">
        <v>350</v>
      </c>
      <c r="Q286" s="88">
        <v>2</v>
      </c>
      <c r="R286" s="90" t="s">
        <v>62</v>
      </c>
      <c r="T286" s="35">
        <v>420502</v>
      </c>
    </row>
    <row r="287" spans="1:20" ht="18" customHeight="1">
      <c r="A287" s="83">
        <v>2</v>
      </c>
      <c r="B287" s="84" t="s">
        <v>340</v>
      </c>
      <c r="C287" s="84">
        <v>5</v>
      </c>
      <c r="D287" s="84" t="s">
        <v>410</v>
      </c>
      <c r="E287" s="84">
        <v>2</v>
      </c>
      <c r="F287" s="84" t="s">
        <v>416</v>
      </c>
      <c r="G287" s="91">
        <v>18</v>
      </c>
      <c r="H287" s="84" t="s">
        <v>38</v>
      </c>
      <c r="I287" s="91">
        <v>61</v>
      </c>
      <c r="J287" s="91" t="s">
        <v>347</v>
      </c>
      <c r="K287" s="87"/>
      <c r="L287" s="87"/>
      <c r="M287" s="87"/>
      <c r="N287" s="85"/>
      <c r="O287" s="87"/>
      <c r="P287" s="89" t="s">
        <v>351</v>
      </c>
      <c r="Q287" s="88"/>
      <c r="R287" s="90" t="s">
        <v>62</v>
      </c>
      <c r="T287" s="35">
        <v>420502</v>
      </c>
    </row>
    <row r="288" spans="1:20" ht="18" customHeight="1">
      <c r="A288" s="83">
        <v>2</v>
      </c>
      <c r="B288" s="84" t="s">
        <v>340</v>
      </c>
      <c r="C288" s="84">
        <v>5</v>
      </c>
      <c r="D288" s="84" t="s">
        <v>410</v>
      </c>
      <c r="E288" s="84">
        <v>2</v>
      </c>
      <c r="F288" s="84" t="s">
        <v>416</v>
      </c>
      <c r="G288" s="91">
        <v>18</v>
      </c>
      <c r="H288" s="84" t="s">
        <v>38</v>
      </c>
      <c r="I288" s="91">
        <v>61</v>
      </c>
      <c r="J288" s="91" t="s">
        <v>347</v>
      </c>
      <c r="K288" s="87"/>
      <c r="L288" s="87"/>
      <c r="M288" s="87"/>
      <c r="N288" s="85"/>
      <c r="O288" s="87"/>
      <c r="P288" s="89" t="s">
        <v>201</v>
      </c>
      <c r="Q288" s="88">
        <v>10</v>
      </c>
      <c r="R288" s="90" t="s">
        <v>62</v>
      </c>
      <c r="T288" s="35">
        <v>420502</v>
      </c>
    </row>
    <row r="289" spans="1:20" ht="18" customHeight="1">
      <c r="A289" s="83">
        <v>2</v>
      </c>
      <c r="B289" s="84" t="s">
        <v>340</v>
      </c>
      <c r="C289" s="84">
        <v>5</v>
      </c>
      <c r="D289" s="84" t="s">
        <v>410</v>
      </c>
      <c r="E289" s="84">
        <v>2</v>
      </c>
      <c r="F289" s="84" t="s">
        <v>416</v>
      </c>
      <c r="G289" s="91">
        <v>18</v>
      </c>
      <c r="H289" s="84" t="s">
        <v>38</v>
      </c>
      <c r="I289" s="91">
        <v>61</v>
      </c>
      <c r="J289" s="91" t="s">
        <v>347</v>
      </c>
      <c r="K289" s="87"/>
      <c r="L289" s="87"/>
      <c r="M289" s="87"/>
      <c r="N289" s="85"/>
      <c r="O289" s="87"/>
      <c r="P289" s="89" t="s">
        <v>206</v>
      </c>
      <c r="Q289" s="88">
        <v>5</v>
      </c>
      <c r="R289" s="90" t="s">
        <v>62</v>
      </c>
      <c r="T289" s="35">
        <v>420502</v>
      </c>
    </row>
    <row r="290" spans="1:20" ht="18" customHeight="1">
      <c r="A290" s="83">
        <v>2</v>
      </c>
      <c r="B290" s="84" t="s">
        <v>340</v>
      </c>
      <c r="C290" s="84">
        <v>5</v>
      </c>
      <c r="D290" s="84" t="s">
        <v>410</v>
      </c>
      <c r="E290" s="84">
        <v>2</v>
      </c>
      <c r="F290" s="84" t="s">
        <v>416</v>
      </c>
      <c r="G290" s="91">
        <v>18</v>
      </c>
      <c r="H290" s="84" t="s">
        <v>38</v>
      </c>
      <c r="I290" s="91">
        <v>61</v>
      </c>
      <c r="J290" s="91" t="s">
        <v>347</v>
      </c>
      <c r="K290" s="87"/>
      <c r="L290" s="87"/>
      <c r="M290" s="87"/>
      <c r="N290" s="85"/>
      <c r="O290" s="87"/>
      <c r="P290" s="89" t="s">
        <v>352</v>
      </c>
      <c r="Q290" s="88">
        <v>5</v>
      </c>
      <c r="R290" s="90" t="s">
        <v>62</v>
      </c>
      <c r="T290" s="35">
        <v>420502</v>
      </c>
    </row>
    <row r="291" spans="1:20" ht="18" customHeight="1">
      <c r="A291" s="83">
        <v>2</v>
      </c>
      <c r="B291" s="84" t="s">
        <v>340</v>
      </c>
      <c r="C291" s="84">
        <v>5</v>
      </c>
      <c r="D291" s="84" t="s">
        <v>410</v>
      </c>
      <c r="E291" s="84">
        <v>2</v>
      </c>
      <c r="F291" s="84" t="s">
        <v>416</v>
      </c>
      <c r="G291" s="91">
        <v>18</v>
      </c>
      <c r="H291" s="84" t="s">
        <v>38</v>
      </c>
      <c r="I291" s="91">
        <v>61</v>
      </c>
      <c r="J291" s="91" t="s">
        <v>347</v>
      </c>
      <c r="K291" s="87"/>
      <c r="L291" s="87"/>
      <c r="M291" s="87"/>
      <c r="N291" s="85"/>
      <c r="O291" s="87"/>
      <c r="P291" s="89" t="s">
        <v>353</v>
      </c>
      <c r="Q291" s="88"/>
      <c r="R291" s="90" t="s">
        <v>62</v>
      </c>
      <c r="T291" s="35">
        <v>420502</v>
      </c>
    </row>
    <row r="292" spans="1:20" ht="18" customHeight="1">
      <c r="A292" s="65">
        <v>2</v>
      </c>
      <c r="B292" s="66" t="s">
        <v>340</v>
      </c>
      <c r="C292" s="67">
        <v>6</v>
      </c>
      <c r="D292" s="67" t="s">
        <v>419</v>
      </c>
      <c r="E292" s="68"/>
      <c r="F292" s="67"/>
      <c r="G292" s="68"/>
      <c r="H292" s="67"/>
      <c r="I292" s="68"/>
      <c r="J292" s="68"/>
      <c r="K292" s="69">
        <f>IF(C292="",SUMIFS($K293:$K$783,$A293:$A$783,A292,$E293:$E$783,""),IF(E292="",SUMIFS($K293:$K$783,$A293:$A$783,A292,$C293:$C$783,C292,$G293:$G$783,""),IF(G292="",SUMIFS($K293:$K$783,$A293:$A$783,A292,$C293:$C$783,C292,$E293:$E$783,E292,$R293:$R$783,R292),IF(I292="",SUMIFS($K293:$K$783,$A293:$A$783,A292,$C293:$C$783,C292,$E293:$E$783,E292,$G293:$G$783,G292,$R293:$R$783,R292),0))))</f>
        <v>46342</v>
      </c>
      <c r="L292" s="69">
        <f>IF(C292="",SUMIFS($L293:$L$783,$A293:$A$783,A292,$E293:$E$783,""),IF(E292="",SUMIFS($L293:$L$783,$A293:$A$783,A292,$C293:$C$783,C292,$G293:$G$783,""),IF(G292="",SUMIFS($L293:$L$783,$A293:$A$783,A292,$C293:$C$783,C292,$E293:$E$783,E292,$R293:$R$783,R292),IF(I292="",SUMIFS($L293:$L$783,$A293:$A$783,A292,$C293:$C$783,C292,$E293:$E$783,E292,$G293:$G$783,G292,$R293:$R$783,R292),0))))</f>
        <v>56792</v>
      </c>
      <c r="M292" s="69">
        <f t="shared" ref="M292:M293" si="21">K292-L292</f>
        <v>-10450</v>
      </c>
      <c r="N292" s="70"/>
      <c r="O292" s="71"/>
      <c r="P292" s="72"/>
      <c r="Q292" s="69">
        <f>IF(C292="",SUMIFS($Q293:$Q$783,$A293:$A$783,A292,$E293:$E$783,""),IF(E292="",SUMIFS($Q293:$Q$783,$A293:$A$783,A292,$C293:$C$783,C292,$G293:$G$783,""),IF(G292="",SUMIFS($Q293:$Q$783,$A293:$A$783,A292,$C293:$C$783,C292,$E293:$E$783,E292,$R293:$R$783,R292),IF(I292="",SUMIFS($Q293:$Q$783,$A293:$A$783,A292,$C293:$C$783,C292,$E293:$E$783,E292,$G293:$G$783,G292,$R293:$R$783,R292),0))))</f>
        <v>36254</v>
      </c>
      <c r="R292" s="73"/>
      <c r="T292" s="35">
        <v>420601</v>
      </c>
    </row>
    <row r="293" spans="1:20" ht="18" customHeight="1">
      <c r="A293" s="65">
        <v>2</v>
      </c>
      <c r="B293" s="66" t="s">
        <v>342</v>
      </c>
      <c r="C293" s="74">
        <v>6</v>
      </c>
      <c r="D293" s="66" t="s">
        <v>420</v>
      </c>
      <c r="E293" s="75">
        <v>1</v>
      </c>
      <c r="F293" s="76" t="s">
        <v>419</v>
      </c>
      <c r="G293" s="75"/>
      <c r="H293" s="76"/>
      <c r="I293" s="75"/>
      <c r="J293" s="75"/>
      <c r="K293" s="77">
        <f>IF(C293="",SUMIFS($K294:$K$783,$A294:$A$783,A293,$E294:$E$783,""),IF(E293="",SUMIFS($K294:$K$783,$A294:$A$783,A293,$C294:$C$783,C293,$G294:$G$783,""),IF(G293="",SUMIFS($K294:$K$783,$A294:$A$783,A293,$C294:$C$783,C293,$E294:$E$783,E293,$R294:$R$783,R293),IF(I293="",SUMIFS($K294:$K$783,$A294:$A$783,A293,$C294:$C$783,C293,$E294:$E$783,E293,$G294:$G$783,G293,$R294:$R$783,R293),0))))</f>
        <v>46222</v>
      </c>
      <c r="L293" s="77">
        <f>IF(C293="",SUMIFS($L294:$L$783,$A294:$A$783,A293,$E294:$E$783,""),IF(E293="",SUMIFS($L294:$L$783,$A294:$A$783,A293,$C294:$C$783,C293,$G294:$G$783,""),IF(G293="",SUMIFS($L294:$L$783,$A294:$A$783,A293,$C294:$C$783,C293,$E294:$E$783,E293,$R294:$R$783,R293),IF(I293="",SUMIFS($L294:$L$783,$A294:$A$783,A293,$C294:$C$783,C293,$E294:$E$783,E293,$G294:$G$783,G293,$R294:$R$783,R293),0))))</f>
        <v>56672</v>
      </c>
      <c r="M293" s="77">
        <f t="shared" si="21"/>
        <v>-10450</v>
      </c>
      <c r="N293" s="78"/>
      <c r="O293" s="79"/>
      <c r="P293" s="80"/>
      <c r="Q293" s="81">
        <f>IF(C293="",SUMIFS($Q294:$Q$781,$A294:$A$781,A293,$E294:$E$781,""),IF(E293="",SUMIFS($Q294:$Q$781,$A294:$A$781,A293,$C294:$C$781,C293,$G294:$G$781,""),IF(G293="",SUMIFS($Q294:$Q$781,$A294:$A$781,A293,$C294:$C$781,C293,$E294:$E$781,E293,$R294:$R$781,R293),IF(I293="",SUMIFS($Q294:$Q$781,$A294:$A$781,A293,$C294:$C$781,C293,$E294:$E$781,E293,$G294:$G$781,G293,$R294:$R$781,R293),0))))</f>
        <v>36160</v>
      </c>
      <c r="R293" s="82" t="s">
        <v>62</v>
      </c>
      <c r="T293" s="35">
        <v>420601</v>
      </c>
    </row>
    <row r="294" spans="1:20" ht="18" customHeight="1">
      <c r="A294" s="83">
        <v>2</v>
      </c>
      <c r="B294" s="84" t="s">
        <v>340</v>
      </c>
      <c r="C294" s="84">
        <v>6</v>
      </c>
      <c r="D294" s="84" t="s">
        <v>420</v>
      </c>
      <c r="E294" s="84">
        <v>1</v>
      </c>
      <c r="F294" s="84" t="s">
        <v>420</v>
      </c>
      <c r="G294" s="85">
        <v>18</v>
      </c>
      <c r="H294" s="86" t="s">
        <v>38</v>
      </c>
      <c r="I294" s="85"/>
      <c r="J294" s="85"/>
      <c r="K294" s="87"/>
      <c r="L294" s="87"/>
      <c r="M294" s="87"/>
      <c r="N294" s="85"/>
      <c r="O294" s="88"/>
      <c r="P294" s="89" t="s">
        <v>346</v>
      </c>
      <c r="Q294" s="88">
        <v>6933</v>
      </c>
      <c r="R294" s="90" t="s">
        <v>62</v>
      </c>
      <c r="T294" s="35">
        <v>420601</v>
      </c>
    </row>
    <row r="295" spans="1:20" ht="18" customHeight="1">
      <c r="A295" s="83">
        <v>2</v>
      </c>
      <c r="B295" s="84" t="s">
        <v>340</v>
      </c>
      <c r="C295" s="84">
        <v>6</v>
      </c>
      <c r="D295" s="84" t="s">
        <v>420</v>
      </c>
      <c r="E295" s="84">
        <v>1</v>
      </c>
      <c r="F295" s="84" t="s">
        <v>420</v>
      </c>
      <c r="G295" s="91">
        <v>18</v>
      </c>
      <c r="H295" s="84" t="s">
        <v>38</v>
      </c>
      <c r="I295" s="85">
        <v>61</v>
      </c>
      <c r="J295" s="85" t="s">
        <v>347</v>
      </c>
      <c r="K295" s="87">
        <v>46222</v>
      </c>
      <c r="L295" s="87">
        <v>56672</v>
      </c>
      <c r="M295" s="87">
        <f>K295-L295</f>
        <v>-10450</v>
      </c>
      <c r="N295" s="85" t="s">
        <v>421</v>
      </c>
      <c r="O295" s="87"/>
      <c r="P295" s="89" t="s">
        <v>99</v>
      </c>
      <c r="Q295" s="88"/>
      <c r="R295" s="90" t="s">
        <v>62</v>
      </c>
      <c r="T295" s="35">
        <v>420601</v>
      </c>
    </row>
    <row r="296" spans="1:20" ht="18" customHeight="1">
      <c r="A296" s="83">
        <v>2</v>
      </c>
      <c r="B296" s="84" t="s">
        <v>340</v>
      </c>
      <c r="C296" s="84">
        <v>6</v>
      </c>
      <c r="D296" s="84" t="s">
        <v>420</v>
      </c>
      <c r="E296" s="84">
        <v>1</v>
      </c>
      <c r="F296" s="84" t="s">
        <v>420</v>
      </c>
      <c r="G296" s="91">
        <v>18</v>
      </c>
      <c r="H296" s="84" t="s">
        <v>38</v>
      </c>
      <c r="I296" s="91">
        <v>61</v>
      </c>
      <c r="J296" s="91" t="s">
        <v>347</v>
      </c>
      <c r="K296" s="87"/>
      <c r="L296" s="87"/>
      <c r="M296" s="87"/>
      <c r="N296" s="85" t="s">
        <v>422</v>
      </c>
      <c r="O296" s="87">
        <v>46221996</v>
      </c>
      <c r="P296" s="89" t="s">
        <v>350</v>
      </c>
      <c r="Q296" s="88">
        <v>2284</v>
      </c>
      <c r="R296" s="90" t="s">
        <v>62</v>
      </c>
      <c r="T296" s="35">
        <v>420601</v>
      </c>
    </row>
    <row r="297" spans="1:20" ht="18" customHeight="1">
      <c r="A297" s="83">
        <v>2</v>
      </c>
      <c r="B297" s="84" t="s">
        <v>340</v>
      </c>
      <c r="C297" s="84">
        <v>6</v>
      </c>
      <c r="D297" s="84" t="s">
        <v>420</v>
      </c>
      <c r="E297" s="84">
        <v>1</v>
      </c>
      <c r="F297" s="84" t="s">
        <v>420</v>
      </c>
      <c r="G297" s="91">
        <v>18</v>
      </c>
      <c r="H297" s="84" t="s">
        <v>38</v>
      </c>
      <c r="I297" s="91">
        <v>61</v>
      </c>
      <c r="J297" s="91" t="s">
        <v>347</v>
      </c>
      <c r="K297" s="87"/>
      <c r="L297" s="87"/>
      <c r="M297" s="87"/>
      <c r="N297" s="85"/>
      <c r="O297" s="87"/>
      <c r="P297" s="89" t="s">
        <v>351</v>
      </c>
      <c r="Q297" s="88"/>
      <c r="R297" s="90" t="s">
        <v>62</v>
      </c>
      <c r="T297" s="35">
        <v>420601</v>
      </c>
    </row>
    <row r="298" spans="1:20" ht="18" customHeight="1">
      <c r="A298" s="83">
        <v>2</v>
      </c>
      <c r="B298" s="84" t="s">
        <v>340</v>
      </c>
      <c r="C298" s="84">
        <v>6</v>
      </c>
      <c r="D298" s="84" t="s">
        <v>420</v>
      </c>
      <c r="E298" s="84">
        <v>1</v>
      </c>
      <c r="F298" s="84" t="s">
        <v>420</v>
      </c>
      <c r="G298" s="91">
        <v>18</v>
      </c>
      <c r="H298" s="84" t="s">
        <v>38</v>
      </c>
      <c r="I298" s="91">
        <v>61</v>
      </c>
      <c r="J298" s="91" t="s">
        <v>347</v>
      </c>
      <c r="K298" s="87"/>
      <c r="L298" s="87"/>
      <c r="M298" s="87"/>
      <c r="N298" s="85"/>
      <c r="O298" s="87"/>
      <c r="P298" s="89" t="s">
        <v>201</v>
      </c>
      <c r="Q298" s="88">
        <v>12480</v>
      </c>
      <c r="R298" s="90" t="s">
        <v>62</v>
      </c>
      <c r="T298" s="35">
        <v>420601</v>
      </c>
    </row>
    <row r="299" spans="1:20" ht="18" customHeight="1">
      <c r="A299" s="83">
        <v>2</v>
      </c>
      <c r="B299" s="84" t="s">
        <v>340</v>
      </c>
      <c r="C299" s="84">
        <v>6</v>
      </c>
      <c r="D299" s="84" t="s">
        <v>420</v>
      </c>
      <c r="E299" s="84">
        <v>1</v>
      </c>
      <c r="F299" s="84" t="s">
        <v>420</v>
      </c>
      <c r="G299" s="91">
        <v>18</v>
      </c>
      <c r="H299" s="84" t="s">
        <v>38</v>
      </c>
      <c r="I299" s="91">
        <v>61</v>
      </c>
      <c r="J299" s="91" t="s">
        <v>347</v>
      </c>
      <c r="K299" s="87"/>
      <c r="L299" s="87"/>
      <c r="M299" s="87"/>
      <c r="N299" s="85"/>
      <c r="O299" s="87"/>
      <c r="P299" s="89" t="s">
        <v>206</v>
      </c>
      <c r="Q299" s="88">
        <v>8089</v>
      </c>
      <c r="R299" s="90" t="s">
        <v>62</v>
      </c>
      <c r="T299" s="35">
        <v>420601</v>
      </c>
    </row>
    <row r="300" spans="1:20" ht="18" customHeight="1">
      <c r="A300" s="83">
        <v>2</v>
      </c>
      <c r="B300" s="84" t="s">
        <v>340</v>
      </c>
      <c r="C300" s="84">
        <v>6</v>
      </c>
      <c r="D300" s="84" t="s">
        <v>420</v>
      </c>
      <c r="E300" s="84">
        <v>1</v>
      </c>
      <c r="F300" s="84" t="s">
        <v>420</v>
      </c>
      <c r="G300" s="91">
        <v>18</v>
      </c>
      <c r="H300" s="84" t="s">
        <v>38</v>
      </c>
      <c r="I300" s="91">
        <v>61</v>
      </c>
      <c r="J300" s="91" t="s">
        <v>347</v>
      </c>
      <c r="K300" s="87"/>
      <c r="L300" s="87"/>
      <c r="M300" s="87"/>
      <c r="N300" s="85"/>
      <c r="O300" s="87"/>
      <c r="P300" s="89" t="s">
        <v>352</v>
      </c>
      <c r="Q300" s="88">
        <v>5778</v>
      </c>
      <c r="R300" s="90" t="s">
        <v>62</v>
      </c>
      <c r="T300" s="35">
        <v>420601</v>
      </c>
    </row>
    <row r="301" spans="1:20" ht="18" customHeight="1">
      <c r="A301" s="83">
        <v>2</v>
      </c>
      <c r="B301" s="84" t="s">
        <v>340</v>
      </c>
      <c r="C301" s="84">
        <v>6</v>
      </c>
      <c r="D301" s="84" t="s">
        <v>420</v>
      </c>
      <c r="E301" s="84">
        <v>1</v>
      </c>
      <c r="F301" s="84" t="s">
        <v>420</v>
      </c>
      <c r="G301" s="91">
        <v>18</v>
      </c>
      <c r="H301" s="84" t="s">
        <v>38</v>
      </c>
      <c r="I301" s="91">
        <v>61</v>
      </c>
      <c r="J301" s="91" t="s">
        <v>347</v>
      </c>
      <c r="K301" s="87"/>
      <c r="L301" s="87"/>
      <c r="M301" s="87"/>
      <c r="N301" s="85"/>
      <c r="O301" s="87"/>
      <c r="P301" s="89" t="s">
        <v>353</v>
      </c>
      <c r="Q301" s="88"/>
      <c r="R301" s="90" t="s">
        <v>62</v>
      </c>
      <c r="T301" s="35">
        <v>420601</v>
      </c>
    </row>
    <row r="302" spans="1:20" ht="18" customHeight="1">
      <c r="A302" s="83">
        <v>2</v>
      </c>
      <c r="B302" s="84" t="s">
        <v>340</v>
      </c>
      <c r="C302" s="84">
        <v>6</v>
      </c>
      <c r="D302" s="84" t="s">
        <v>420</v>
      </c>
      <c r="E302" s="84">
        <v>1</v>
      </c>
      <c r="F302" s="84" t="s">
        <v>420</v>
      </c>
      <c r="G302" s="91">
        <v>18</v>
      </c>
      <c r="H302" s="84" t="s">
        <v>38</v>
      </c>
      <c r="I302" s="91">
        <v>61</v>
      </c>
      <c r="J302" s="91" t="s">
        <v>347</v>
      </c>
      <c r="K302" s="87"/>
      <c r="L302" s="87"/>
      <c r="M302" s="87"/>
      <c r="N302" s="85"/>
      <c r="O302" s="87"/>
      <c r="P302" s="89" t="s">
        <v>354</v>
      </c>
      <c r="Q302" s="88">
        <v>596</v>
      </c>
      <c r="R302" s="90" t="s">
        <v>62</v>
      </c>
      <c r="T302" s="35">
        <v>420601</v>
      </c>
    </row>
    <row r="303" spans="1:20" ht="18" customHeight="1">
      <c r="A303" s="83">
        <v>2</v>
      </c>
      <c r="B303" s="84" t="s">
        <v>340</v>
      </c>
      <c r="C303" s="84">
        <v>6</v>
      </c>
      <c r="D303" s="84" t="s">
        <v>420</v>
      </c>
      <c r="E303" s="84">
        <v>1</v>
      </c>
      <c r="F303" s="84" t="s">
        <v>420</v>
      </c>
      <c r="G303" s="91">
        <v>18</v>
      </c>
      <c r="H303" s="84" t="s">
        <v>38</v>
      </c>
      <c r="I303" s="91">
        <v>61</v>
      </c>
      <c r="J303" s="91" t="s">
        <v>347</v>
      </c>
      <c r="K303" s="87"/>
      <c r="L303" s="87"/>
      <c r="M303" s="87"/>
      <c r="N303" s="85"/>
      <c r="O303" s="87"/>
      <c r="P303" s="89" t="s">
        <v>355</v>
      </c>
      <c r="Q303" s="88"/>
      <c r="R303" s="90" t="s">
        <v>62</v>
      </c>
      <c r="T303" s="35">
        <v>420601</v>
      </c>
    </row>
    <row r="304" spans="1:20" ht="18" customHeight="1">
      <c r="A304" s="65">
        <v>2</v>
      </c>
      <c r="B304" s="66" t="s">
        <v>342</v>
      </c>
      <c r="C304" s="74">
        <v>6</v>
      </c>
      <c r="D304" s="66" t="s">
        <v>420</v>
      </c>
      <c r="E304" s="75">
        <v>5</v>
      </c>
      <c r="F304" s="76" t="s">
        <v>423</v>
      </c>
      <c r="G304" s="75"/>
      <c r="H304" s="76"/>
      <c r="I304" s="75"/>
      <c r="J304" s="75"/>
      <c r="K304" s="77">
        <f>IF(C304="",SUMIFS($K305:$K$783,$A305:$A$783,A304,$E305:$E$783,""),IF(E304="",SUMIFS($K305:$K$783,$A305:$A$783,A304,$C305:$C$783,C304,$G305:$G$783,""),IF(G304="",SUMIFS($K305:$K$783,$A305:$A$783,A304,$C305:$C$783,C304,$E305:$E$783,E304,$R305:$R$783,R304),IF(I304="",SUMIFS($K305:$K$783,$A305:$A$783,A304,$C305:$C$783,C304,$E305:$E$783,E304,$G305:$G$783,G304,$R305:$R$783,R304),0))))</f>
        <v>120</v>
      </c>
      <c r="L304" s="77">
        <f>IF(C304="",SUMIFS($L305:$L$783,$A305:$A$783,A304,$E305:$E$783,""),IF(E304="",SUMIFS($L305:$L$783,$A305:$A$783,A304,$C305:$C$783,C304,$G305:$G$783,""),IF(G304="",SUMIFS($L305:$L$783,$A305:$A$783,A304,$C305:$C$783,C304,$E305:$E$783,E304,$R305:$R$783,R304),IF(I304="",SUMIFS($L305:$L$783,$A305:$A$783,A304,$C305:$C$783,C304,$E305:$E$783,E304,$G305:$G$783,G304,$R305:$R$783,R304),0))))</f>
        <v>120</v>
      </c>
      <c r="M304" s="77">
        <f t="shared" ref="M304" si="22">K304-L304</f>
        <v>0</v>
      </c>
      <c r="N304" s="78"/>
      <c r="O304" s="79"/>
      <c r="P304" s="80"/>
      <c r="Q304" s="81">
        <f>IF(C304="",SUMIFS($Q305:$Q$781,$A305:$A$781,A304,$E305:$E$781,""),IF(E304="",SUMIFS($Q305:$Q$781,$A305:$A$781,A304,$C305:$C$781,C304,$G305:$G$781,""),IF(G304="",SUMIFS($Q305:$Q$781,$A305:$A$781,A304,$C305:$C$781,C304,$E305:$E$781,E304,$R305:$R$781,R304),IF(I304="",SUMIFS($Q305:$Q$781,$A305:$A$781,A304,$C305:$C$781,C304,$E305:$E$781,E304,$G305:$G$781,G304,$R305:$R$781,R304),0))))</f>
        <v>94</v>
      </c>
      <c r="R304" s="82" t="s">
        <v>62</v>
      </c>
      <c r="T304" s="35">
        <v>420605</v>
      </c>
    </row>
    <row r="305" spans="1:20" ht="18" customHeight="1">
      <c r="A305" s="83">
        <v>2</v>
      </c>
      <c r="B305" s="84" t="s">
        <v>340</v>
      </c>
      <c r="C305" s="84">
        <v>6</v>
      </c>
      <c r="D305" s="84" t="s">
        <v>420</v>
      </c>
      <c r="E305" s="84">
        <v>5</v>
      </c>
      <c r="F305" s="84" t="s">
        <v>424</v>
      </c>
      <c r="G305" s="85">
        <v>18</v>
      </c>
      <c r="H305" s="86" t="s">
        <v>425</v>
      </c>
      <c r="I305" s="85"/>
      <c r="J305" s="85"/>
      <c r="K305" s="87"/>
      <c r="L305" s="87"/>
      <c r="M305" s="87"/>
      <c r="N305" s="85"/>
      <c r="O305" s="88"/>
      <c r="P305" s="89" t="s">
        <v>346</v>
      </c>
      <c r="Q305" s="88">
        <v>18</v>
      </c>
      <c r="R305" s="90" t="s">
        <v>62</v>
      </c>
      <c r="T305" s="35">
        <v>420605</v>
      </c>
    </row>
    <row r="306" spans="1:20" ht="18" customHeight="1">
      <c r="A306" s="83">
        <v>2</v>
      </c>
      <c r="B306" s="84" t="s">
        <v>340</v>
      </c>
      <c r="C306" s="84">
        <v>6</v>
      </c>
      <c r="D306" s="84" t="s">
        <v>420</v>
      </c>
      <c r="E306" s="84">
        <v>5</v>
      </c>
      <c r="F306" s="84" t="s">
        <v>424</v>
      </c>
      <c r="G306" s="91">
        <v>18</v>
      </c>
      <c r="H306" s="84" t="s">
        <v>425</v>
      </c>
      <c r="I306" s="85">
        <v>61</v>
      </c>
      <c r="J306" s="85" t="s">
        <v>347</v>
      </c>
      <c r="K306" s="87">
        <v>120</v>
      </c>
      <c r="L306" s="87">
        <v>120</v>
      </c>
      <c r="M306" s="87">
        <f>K306-L306</f>
        <v>0</v>
      </c>
      <c r="N306" s="85" t="s">
        <v>421</v>
      </c>
      <c r="O306" s="87"/>
      <c r="P306" s="89" t="s">
        <v>99</v>
      </c>
      <c r="Q306" s="88"/>
      <c r="R306" s="90" t="s">
        <v>62</v>
      </c>
      <c r="T306" s="35">
        <v>420605</v>
      </c>
    </row>
    <row r="307" spans="1:20" ht="18" customHeight="1">
      <c r="A307" s="83">
        <v>2</v>
      </c>
      <c r="B307" s="84" t="s">
        <v>340</v>
      </c>
      <c r="C307" s="84">
        <v>6</v>
      </c>
      <c r="D307" s="84" t="s">
        <v>420</v>
      </c>
      <c r="E307" s="84">
        <v>5</v>
      </c>
      <c r="F307" s="84" t="s">
        <v>424</v>
      </c>
      <c r="G307" s="91">
        <v>18</v>
      </c>
      <c r="H307" s="84" t="s">
        <v>425</v>
      </c>
      <c r="I307" s="91">
        <v>61</v>
      </c>
      <c r="J307" s="91" t="s">
        <v>347</v>
      </c>
      <c r="K307" s="87"/>
      <c r="L307" s="87"/>
      <c r="M307" s="87"/>
      <c r="N307" s="85" t="s">
        <v>426</v>
      </c>
      <c r="O307" s="87">
        <v>120000</v>
      </c>
      <c r="P307" s="89" t="s">
        <v>350</v>
      </c>
      <c r="Q307" s="88">
        <v>6</v>
      </c>
      <c r="R307" s="90" t="s">
        <v>62</v>
      </c>
      <c r="T307" s="35">
        <v>420605</v>
      </c>
    </row>
    <row r="308" spans="1:20" ht="18" customHeight="1">
      <c r="A308" s="83">
        <v>2</v>
      </c>
      <c r="B308" s="84" t="s">
        <v>340</v>
      </c>
      <c r="C308" s="84">
        <v>6</v>
      </c>
      <c r="D308" s="84" t="s">
        <v>420</v>
      </c>
      <c r="E308" s="84">
        <v>5</v>
      </c>
      <c r="F308" s="84" t="s">
        <v>424</v>
      </c>
      <c r="G308" s="91">
        <v>18</v>
      </c>
      <c r="H308" s="84" t="s">
        <v>425</v>
      </c>
      <c r="I308" s="91">
        <v>61</v>
      </c>
      <c r="J308" s="91" t="s">
        <v>347</v>
      </c>
      <c r="K308" s="87"/>
      <c r="L308" s="87"/>
      <c r="M308" s="87"/>
      <c r="N308" s="85"/>
      <c r="O308" s="87"/>
      <c r="P308" s="89" t="s">
        <v>351</v>
      </c>
      <c r="Q308" s="88"/>
      <c r="R308" s="90" t="s">
        <v>62</v>
      </c>
      <c r="T308" s="35">
        <v>420605</v>
      </c>
    </row>
    <row r="309" spans="1:20" ht="18" customHeight="1">
      <c r="A309" s="83">
        <v>2</v>
      </c>
      <c r="B309" s="84" t="s">
        <v>340</v>
      </c>
      <c r="C309" s="84">
        <v>6</v>
      </c>
      <c r="D309" s="84" t="s">
        <v>420</v>
      </c>
      <c r="E309" s="84">
        <v>5</v>
      </c>
      <c r="F309" s="84" t="s">
        <v>424</v>
      </c>
      <c r="G309" s="91">
        <v>18</v>
      </c>
      <c r="H309" s="84" t="s">
        <v>425</v>
      </c>
      <c r="I309" s="91">
        <v>61</v>
      </c>
      <c r="J309" s="91" t="s">
        <v>347</v>
      </c>
      <c r="K309" s="87"/>
      <c r="L309" s="87"/>
      <c r="M309" s="87"/>
      <c r="N309" s="85"/>
      <c r="O309" s="87"/>
      <c r="P309" s="89" t="s">
        <v>201</v>
      </c>
      <c r="Q309" s="88">
        <v>32</v>
      </c>
      <c r="R309" s="90" t="s">
        <v>62</v>
      </c>
      <c r="T309" s="35">
        <v>420605</v>
      </c>
    </row>
    <row r="310" spans="1:20" ht="18" customHeight="1">
      <c r="A310" s="83">
        <v>2</v>
      </c>
      <c r="B310" s="84" t="s">
        <v>340</v>
      </c>
      <c r="C310" s="84">
        <v>6</v>
      </c>
      <c r="D310" s="84" t="s">
        <v>420</v>
      </c>
      <c r="E310" s="84">
        <v>5</v>
      </c>
      <c r="F310" s="84" t="s">
        <v>424</v>
      </c>
      <c r="G310" s="91">
        <v>18</v>
      </c>
      <c r="H310" s="84" t="s">
        <v>425</v>
      </c>
      <c r="I310" s="91">
        <v>61</v>
      </c>
      <c r="J310" s="91" t="s">
        <v>347</v>
      </c>
      <c r="K310" s="87"/>
      <c r="L310" s="87"/>
      <c r="M310" s="87"/>
      <c r="N310" s="85"/>
      <c r="O310" s="87"/>
      <c r="P310" s="89" t="s">
        <v>206</v>
      </c>
      <c r="Q310" s="88">
        <v>21</v>
      </c>
      <c r="R310" s="90" t="s">
        <v>62</v>
      </c>
      <c r="T310" s="35">
        <v>420605</v>
      </c>
    </row>
    <row r="311" spans="1:20" ht="18" customHeight="1">
      <c r="A311" s="83">
        <v>2</v>
      </c>
      <c r="B311" s="84" t="s">
        <v>340</v>
      </c>
      <c r="C311" s="84">
        <v>6</v>
      </c>
      <c r="D311" s="84" t="s">
        <v>420</v>
      </c>
      <c r="E311" s="84">
        <v>5</v>
      </c>
      <c r="F311" s="84" t="s">
        <v>424</v>
      </c>
      <c r="G311" s="91">
        <v>18</v>
      </c>
      <c r="H311" s="84" t="s">
        <v>425</v>
      </c>
      <c r="I311" s="91">
        <v>61</v>
      </c>
      <c r="J311" s="91" t="s">
        <v>347</v>
      </c>
      <c r="K311" s="87"/>
      <c r="L311" s="87"/>
      <c r="M311" s="87"/>
      <c r="N311" s="85"/>
      <c r="O311" s="87"/>
      <c r="P311" s="89" t="s">
        <v>352</v>
      </c>
      <c r="Q311" s="88">
        <v>15</v>
      </c>
      <c r="R311" s="90" t="s">
        <v>62</v>
      </c>
      <c r="T311" s="35">
        <v>420605</v>
      </c>
    </row>
    <row r="312" spans="1:20" ht="18" customHeight="1">
      <c r="A312" s="83">
        <v>2</v>
      </c>
      <c r="B312" s="84" t="s">
        <v>340</v>
      </c>
      <c r="C312" s="84">
        <v>6</v>
      </c>
      <c r="D312" s="84" t="s">
        <v>420</v>
      </c>
      <c r="E312" s="84">
        <v>5</v>
      </c>
      <c r="F312" s="84" t="s">
        <v>424</v>
      </c>
      <c r="G312" s="91">
        <v>18</v>
      </c>
      <c r="H312" s="84" t="s">
        <v>425</v>
      </c>
      <c r="I312" s="91">
        <v>61</v>
      </c>
      <c r="J312" s="91" t="s">
        <v>347</v>
      </c>
      <c r="K312" s="87"/>
      <c r="L312" s="87"/>
      <c r="M312" s="87"/>
      <c r="N312" s="85"/>
      <c r="O312" s="87"/>
      <c r="P312" s="89" t="s">
        <v>353</v>
      </c>
      <c r="Q312" s="88"/>
      <c r="R312" s="90" t="s">
        <v>62</v>
      </c>
      <c r="T312" s="35">
        <v>420605</v>
      </c>
    </row>
    <row r="313" spans="1:20" ht="18" customHeight="1">
      <c r="A313" s="83">
        <v>2</v>
      </c>
      <c r="B313" s="84" t="s">
        <v>340</v>
      </c>
      <c r="C313" s="84">
        <v>6</v>
      </c>
      <c r="D313" s="84" t="s">
        <v>420</v>
      </c>
      <c r="E313" s="84">
        <v>5</v>
      </c>
      <c r="F313" s="84" t="s">
        <v>424</v>
      </c>
      <c r="G313" s="91">
        <v>18</v>
      </c>
      <c r="H313" s="84" t="s">
        <v>425</v>
      </c>
      <c r="I313" s="91">
        <v>61</v>
      </c>
      <c r="J313" s="91" t="s">
        <v>347</v>
      </c>
      <c r="K313" s="87"/>
      <c r="L313" s="87"/>
      <c r="M313" s="87"/>
      <c r="N313" s="85"/>
      <c r="O313" s="87"/>
      <c r="P313" s="89" t="s">
        <v>354</v>
      </c>
      <c r="Q313" s="88">
        <v>2</v>
      </c>
      <c r="R313" s="90" t="s">
        <v>62</v>
      </c>
      <c r="T313" s="35">
        <v>420605</v>
      </c>
    </row>
    <row r="314" spans="1:20" ht="18" customHeight="1">
      <c r="A314" s="83">
        <v>2</v>
      </c>
      <c r="B314" s="84" t="s">
        <v>340</v>
      </c>
      <c r="C314" s="84">
        <v>6</v>
      </c>
      <c r="D314" s="84" t="s">
        <v>420</v>
      </c>
      <c r="E314" s="84">
        <v>5</v>
      </c>
      <c r="F314" s="84" t="s">
        <v>424</v>
      </c>
      <c r="G314" s="91">
        <v>18</v>
      </c>
      <c r="H314" s="84" t="s">
        <v>425</v>
      </c>
      <c r="I314" s="91">
        <v>61</v>
      </c>
      <c r="J314" s="91" t="s">
        <v>347</v>
      </c>
      <c r="K314" s="87"/>
      <c r="L314" s="87"/>
      <c r="M314" s="87"/>
      <c r="N314" s="85"/>
      <c r="O314" s="87"/>
      <c r="P314" s="89" t="s">
        <v>355</v>
      </c>
      <c r="Q314" s="88"/>
      <c r="R314" s="90" t="s">
        <v>62</v>
      </c>
      <c r="T314" s="35">
        <v>420605</v>
      </c>
    </row>
    <row r="315" spans="1:20" ht="18" customHeight="1">
      <c r="A315" s="57">
        <v>3</v>
      </c>
      <c r="B315" s="58" t="s">
        <v>245</v>
      </c>
      <c r="C315" s="58"/>
      <c r="D315" s="58"/>
      <c r="E315" s="59"/>
      <c r="F315" s="58"/>
      <c r="G315" s="59"/>
      <c r="H315" s="58"/>
      <c r="I315" s="59"/>
      <c r="J315" s="59"/>
      <c r="K315" s="60">
        <f>IF(C315="",SUMIFS($K316:$K$783,$A316:$A$783,A315,$E316:$E$783,""),IF(E315="",SUMIFS($K316:$K$783,$A316:$A$783,A315,$C316:$C$783,C315,$G316:$G$783,""),IF(G315="",SUMIFS($K316:$K$783,$A316:$A$783,A315,$C316:$C$783,C315,$E316:$E$783,E315,$R316:$R$783,R315),IF(I315="",SUMIFS($K316:$K$783,$A316:$A$783,A315,$C316:$C$783,C315,$E316:$E$783,E315,$G316:$G$783,G315,$R316:$R$783,R315),0))))</f>
        <v>1</v>
      </c>
      <c r="L315" s="60">
        <f>IF(C315="",SUMIFS($L316:$L$783,$A316:$A$783,A315,$E316:$E$783,""),IF(E315="",SUMIFS($L316:$L$783,$A316:$A$783,A315,$C316:$C$783,C315,$G316:$G$783,""),IF(G315="",SUMIFS($L316:$L$783,$A316:$A$783,A315,$C316:$C$783,C315,$E316:$E$783,E315,$R316:$R$783,R315),IF(I315="",SUMIFS($L316:$L$783,$A316:$A$783,A315,$C316:$C$783,C315,$E316:$E$783,E315,$G316:$G$783,G315,$R316:$R$783,R315),0))))</f>
        <v>1</v>
      </c>
      <c r="M315" s="60">
        <f>K315-L315</f>
        <v>0</v>
      </c>
      <c r="N315" s="61"/>
      <c r="O315" s="62"/>
      <c r="P315" s="63"/>
      <c r="Q315" s="60">
        <f>IF(C315="",SUMIFS($Q316:$Q$783,$A316:$A$783,A315,$E316:$E$783,""),IF(E315="",SUMIFS($Q316:$Q$783,$A316:$A$783,A315,$C316:$C$783,C315,$G316:$G$783,""),IF(G315="",SUMIFS($Q316:$Q$783,$A316:$A$783,A315,$C316:$C$783,C315,$E316:$E$783,E315,$R316:$R$783,R315),IF(I315="",SUMIFS($Q316:$Q$783,$A316:$A$783,A315,$C316:$C$783,C315,$E316:$E$783,E315,$G316:$G$783,G315,$R316:$R$783,R315),0))))</f>
        <v>0</v>
      </c>
      <c r="R315" s="64"/>
      <c r="T315" s="35">
        <v>430101</v>
      </c>
    </row>
    <row r="316" spans="1:20" ht="18" customHeight="1">
      <c r="A316" s="65">
        <v>3</v>
      </c>
      <c r="B316" s="66" t="s">
        <v>245</v>
      </c>
      <c r="C316" s="67">
        <v>1</v>
      </c>
      <c r="D316" s="67" t="s">
        <v>246</v>
      </c>
      <c r="E316" s="68"/>
      <c r="F316" s="67"/>
      <c r="G316" s="68"/>
      <c r="H316" s="67"/>
      <c r="I316" s="68"/>
      <c r="J316" s="68"/>
      <c r="K316" s="69">
        <f>IF(C316="",SUMIFS($K317:$K$783,$A317:$A$783,A316,$E317:$E$783,""),IF(E316="",SUMIFS($K317:$K$783,$A317:$A$783,A316,$C317:$C$783,C316,$G317:$G$783,""),IF(G316="",SUMIFS($K317:$K$783,$A317:$A$783,A316,$C317:$C$783,C316,$E317:$E$783,E316,$R317:$R$783,R316),IF(I316="",SUMIFS($K317:$K$783,$A317:$A$783,A316,$C317:$C$783,C316,$E317:$E$783,E316,$G317:$G$783,G316,$R317:$R$783,R316),0))))</f>
        <v>1</v>
      </c>
      <c r="L316" s="69">
        <f>IF(C316="",SUMIFS($L317:$L$783,$A317:$A$783,A316,$E317:$E$783,""),IF(E316="",SUMIFS($L317:$L$783,$A317:$A$783,A316,$C317:$C$783,C316,$G317:$G$783,""),IF(G316="",SUMIFS($L317:$L$783,$A317:$A$783,A316,$C317:$C$783,C316,$E317:$E$783,E316,$R317:$R$783,R316),IF(I316="",SUMIFS($L317:$L$783,$A317:$A$783,A316,$C317:$C$783,C316,$E317:$E$783,E316,$G317:$G$783,G316,$R317:$R$783,R316),0))))</f>
        <v>1</v>
      </c>
      <c r="M316" s="69">
        <f t="shared" ref="M316:M317" si="23">K316-L316</f>
        <v>0</v>
      </c>
      <c r="N316" s="70"/>
      <c r="O316" s="71"/>
      <c r="P316" s="72"/>
      <c r="Q316" s="69">
        <f>IF(C316="",SUMIFS($Q317:$Q$783,$A317:$A$783,A316,$E317:$E$783,""),IF(E316="",SUMIFS($Q317:$Q$783,$A317:$A$783,A316,$C317:$C$783,C316,$G317:$G$783,""),IF(G316="",SUMIFS($Q317:$Q$783,$A317:$A$783,A316,$C317:$C$783,C316,$E317:$E$783,E316,$R317:$R$783,R316),IF(I316="",SUMIFS($Q317:$Q$783,$A317:$A$783,A316,$C317:$C$783,C316,$E317:$E$783,E316,$G317:$G$783,G316,$R317:$R$783,R316),0))))</f>
        <v>0</v>
      </c>
      <c r="R316" s="73"/>
      <c r="T316" s="35">
        <v>430101</v>
      </c>
    </row>
    <row r="317" spans="1:20" ht="18" customHeight="1">
      <c r="A317" s="65">
        <v>3</v>
      </c>
      <c r="B317" s="66" t="s">
        <v>246</v>
      </c>
      <c r="C317" s="74">
        <v>1</v>
      </c>
      <c r="D317" s="66" t="s">
        <v>245</v>
      </c>
      <c r="E317" s="75">
        <v>1</v>
      </c>
      <c r="F317" s="76" t="s">
        <v>246</v>
      </c>
      <c r="G317" s="75"/>
      <c r="H317" s="76"/>
      <c r="I317" s="75"/>
      <c r="J317" s="75"/>
      <c r="K317" s="77">
        <f>IF(C317="",SUMIFS($K318:$K$783,$A318:$A$783,A317,$E318:$E$783,""),IF(E317="",SUMIFS($K318:$K$783,$A318:$A$783,A317,$C318:$C$783,C317,$G318:$G$783,""),IF(G317="",SUMIFS($K318:$K$783,$A318:$A$783,A317,$C318:$C$783,C317,$E318:$E$783,E317,$R318:$R$783,R317),IF(I317="",SUMIFS($K318:$K$783,$A318:$A$783,A317,$C318:$C$783,C317,$E318:$E$783,E317,$G318:$G$783,G317,$R318:$R$783,R317),0))))</f>
        <v>1</v>
      </c>
      <c r="L317" s="77">
        <f>IF(C317="",SUMIFS($L318:$L$783,$A318:$A$783,A317,$E318:$E$783,""),IF(E317="",SUMIFS($L318:$L$783,$A318:$A$783,A317,$C318:$C$783,C317,$G318:$G$783,""),IF(G317="",SUMIFS($L318:$L$783,$A318:$A$783,A317,$C318:$C$783,C317,$E318:$E$783,E317,$R318:$R$783,R317),IF(I317="",SUMIFS($L318:$L$783,$A318:$A$783,A317,$C318:$C$783,C317,$E318:$E$783,E317,$G318:$G$783,G317,$R318:$R$783,R317),0))))</f>
        <v>1</v>
      </c>
      <c r="M317" s="77">
        <f t="shared" si="23"/>
        <v>0</v>
      </c>
      <c r="N317" s="78"/>
      <c r="O317" s="79"/>
      <c r="P317" s="80"/>
      <c r="Q317" s="81">
        <f>IF(C317="",SUMIFS($Q318:$Q$781,$A318:$A$781,A317,$E318:$E$781,""),IF(E317="",SUMIFS($Q318:$Q$781,$A318:$A$781,A317,$C318:$C$781,C317,$G318:$G$781,""),IF(G317="",SUMIFS($Q318:$Q$781,$A318:$A$781,A317,$C318:$C$781,C317,$E318:$E$781,E317,$R318:$R$781,R317),IF(I317="",SUMIFS($Q318:$Q$781,$A318:$A$781,A317,$C318:$C$781,C317,$E318:$E$781,E317,$G318:$G$781,G317,$R318:$R$781,R317),0))))</f>
        <v>0</v>
      </c>
      <c r="R317" s="82" t="s">
        <v>62</v>
      </c>
      <c r="T317" s="35">
        <v>430101</v>
      </c>
    </row>
    <row r="318" spans="1:20" ht="18" customHeight="1">
      <c r="A318" s="83">
        <v>3</v>
      </c>
      <c r="B318" s="84" t="s">
        <v>245</v>
      </c>
      <c r="C318" s="84">
        <v>1</v>
      </c>
      <c r="D318" s="84" t="s">
        <v>245</v>
      </c>
      <c r="E318" s="84">
        <v>1</v>
      </c>
      <c r="F318" s="84" t="s">
        <v>245</v>
      </c>
      <c r="G318" s="85">
        <v>18</v>
      </c>
      <c r="H318" s="86" t="s">
        <v>38</v>
      </c>
      <c r="I318" s="85"/>
      <c r="J318" s="85"/>
      <c r="K318" s="87"/>
      <c r="L318" s="87"/>
      <c r="M318" s="87"/>
      <c r="N318" s="85"/>
      <c r="O318" s="88"/>
      <c r="P318" s="89"/>
      <c r="Q318" s="88"/>
      <c r="R318" s="90" t="s">
        <v>62</v>
      </c>
      <c r="T318" s="35">
        <v>430101</v>
      </c>
    </row>
    <row r="319" spans="1:20" ht="18" customHeight="1">
      <c r="A319" s="83">
        <v>3</v>
      </c>
      <c r="B319" s="84" t="s">
        <v>245</v>
      </c>
      <c r="C319" s="84">
        <v>1</v>
      </c>
      <c r="D319" s="84" t="s">
        <v>245</v>
      </c>
      <c r="E319" s="84">
        <v>1</v>
      </c>
      <c r="F319" s="84" t="s">
        <v>245</v>
      </c>
      <c r="G319" s="91">
        <v>18</v>
      </c>
      <c r="H319" s="84" t="s">
        <v>38</v>
      </c>
      <c r="I319" s="85">
        <v>65</v>
      </c>
      <c r="J319" s="85" t="s">
        <v>427</v>
      </c>
      <c r="K319" s="87">
        <v>1</v>
      </c>
      <c r="L319" s="87">
        <v>1</v>
      </c>
      <c r="M319" s="87">
        <f>K319-L319</f>
        <v>0</v>
      </c>
      <c r="N319" s="85" t="s">
        <v>68</v>
      </c>
      <c r="O319" s="87">
        <v>1000</v>
      </c>
      <c r="P319" s="89"/>
      <c r="Q319" s="88"/>
      <c r="R319" s="90" t="s">
        <v>62</v>
      </c>
      <c r="T319" s="35">
        <v>430101</v>
      </c>
    </row>
    <row r="320" spans="1:20" ht="18" customHeight="1">
      <c r="A320" s="57">
        <v>4</v>
      </c>
      <c r="B320" s="58" t="s">
        <v>428</v>
      </c>
      <c r="C320" s="58"/>
      <c r="D320" s="58"/>
      <c r="E320" s="59"/>
      <c r="F320" s="58"/>
      <c r="G320" s="59"/>
      <c r="H320" s="58"/>
      <c r="I320" s="59"/>
      <c r="J320" s="59"/>
      <c r="K320" s="60">
        <f>IF(C320="",SUMIFS($K321:$K$783,$A321:$A$783,A320,$E321:$E$783,""),IF(E320="",SUMIFS($K321:$K$783,$A321:$A$783,A320,$C321:$C$783,C320,$G321:$G$783,""),IF(G320="",SUMIFS($K321:$K$783,$A321:$A$783,A320,$C321:$C$783,C320,$E321:$E$783,E320,$R321:$R$783,R320),IF(I320="",SUMIFS($K321:$K$783,$A321:$A$783,A320,$C321:$C$783,C320,$E321:$E$783,E320,$G321:$G$783,G320,$R321:$R$783,R320),0))))</f>
        <v>50153</v>
      </c>
      <c r="L320" s="60">
        <f>IF(C320="",SUMIFS($L321:$L$783,$A321:$A$783,A320,$E321:$E$783,""),IF(E320="",SUMIFS($L321:$L$783,$A321:$A$783,A320,$C321:$C$783,C320,$G321:$G$783,""),IF(G320="",SUMIFS($L321:$L$783,$A321:$A$783,A320,$C321:$C$783,C320,$E321:$E$783,E320,$R321:$R$783,R320),IF(I320="",SUMIFS($L321:$L$783,$A321:$A$783,A320,$C321:$C$783,C320,$E321:$E$783,E320,$G321:$G$783,G320,$R321:$R$783,R320),0))))</f>
        <v>47246</v>
      </c>
      <c r="M320" s="60">
        <f>K320-L320</f>
        <v>2907</v>
      </c>
      <c r="N320" s="61"/>
      <c r="O320" s="62"/>
      <c r="P320" s="63"/>
      <c r="Q320" s="60">
        <f>IF(C320="",SUMIFS($Q321:$Q$783,$A321:$A$783,A320,$E321:$E$783,""),IF(E320="",SUMIFS($Q321:$Q$783,$A321:$A$783,A320,$C321:$C$783,C320,$G321:$G$783,""),IF(G320="",SUMIFS($Q321:$Q$783,$A321:$A$783,A320,$C321:$C$783,C320,$E321:$E$783,E320,$R321:$R$783,R320),IF(I320="",SUMIFS($Q321:$Q$783,$A321:$A$783,A320,$C321:$C$783,C320,$E321:$E$783,E320,$G321:$G$783,G320,$R321:$R$783,R320),0))))</f>
        <v>42705</v>
      </c>
      <c r="R320" s="64"/>
      <c r="T320" s="35">
        <v>440101</v>
      </c>
    </row>
    <row r="321" spans="1:20" ht="18" customHeight="1">
      <c r="A321" s="65">
        <v>4</v>
      </c>
      <c r="B321" s="66" t="s">
        <v>428</v>
      </c>
      <c r="C321" s="67">
        <v>1</v>
      </c>
      <c r="D321" s="67" t="s">
        <v>429</v>
      </c>
      <c r="E321" s="68"/>
      <c r="F321" s="67"/>
      <c r="G321" s="68"/>
      <c r="H321" s="67"/>
      <c r="I321" s="68"/>
      <c r="J321" s="68"/>
      <c r="K321" s="69">
        <f>IF(C321="",SUMIFS($K322:$K$783,$A322:$A$783,A321,$E322:$E$783,""),IF(E321="",SUMIFS($K322:$K$783,$A322:$A$783,A321,$C322:$C$783,C321,$G322:$G$783,""),IF(G321="",SUMIFS($K322:$K$783,$A322:$A$783,A321,$C322:$C$783,C321,$E322:$E$783,E321,$R322:$R$783,R321),IF(I321="",SUMIFS($K322:$K$783,$A322:$A$783,A321,$C322:$C$783,C321,$E322:$E$783,E321,$G322:$G$783,G321,$R322:$R$783,R321),0))))</f>
        <v>8100</v>
      </c>
      <c r="L321" s="69">
        <f>IF(C321="",SUMIFS($L322:$L$783,$A322:$A$783,A321,$E322:$E$783,""),IF(E321="",SUMIFS($L322:$L$783,$A322:$A$783,A321,$C322:$C$783,C321,$G322:$G$783,""),IF(G321="",SUMIFS($L322:$L$783,$A322:$A$783,A321,$C322:$C$783,C321,$E322:$E$783,E321,$R322:$R$783,R321),IF(I321="",SUMIFS($L322:$L$783,$A322:$A$783,A321,$C322:$C$783,C321,$E322:$E$783,E321,$G322:$G$783,G321,$R322:$R$783,R321),0))))</f>
        <v>8104</v>
      </c>
      <c r="M321" s="69">
        <f t="shared" ref="M321:M322" si="24">K321-L321</f>
        <v>-4</v>
      </c>
      <c r="N321" s="70"/>
      <c r="O321" s="71"/>
      <c r="P321" s="72"/>
      <c r="Q321" s="69">
        <f>IF(C321="",SUMIFS($Q322:$Q$783,$A322:$A$783,A321,$E322:$E$783,""),IF(E321="",SUMIFS($Q322:$Q$783,$A322:$A$783,A321,$C322:$C$783,C321,$G322:$G$783,""),IF(G321="",SUMIFS($Q322:$Q$783,$A322:$A$783,A321,$C322:$C$783,C321,$E322:$E$783,E321,$R322:$R$783,R321),IF(I321="",SUMIFS($Q322:$Q$783,$A322:$A$783,A321,$C322:$C$783,C321,$E322:$E$783,E321,$G322:$G$783,G321,$R322:$R$783,R321),0))))</f>
        <v>5956</v>
      </c>
      <c r="R321" s="73"/>
      <c r="T321" s="35">
        <v>440101</v>
      </c>
    </row>
    <row r="322" spans="1:20" ht="18" customHeight="1">
      <c r="A322" s="65">
        <v>4</v>
      </c>
      <c r="B322" s="66" t="s">
        <v>430</v>
      </c>
      <c r="C322" s="74">
        <v>1</v>
      </c>
      <c r="D322" s="66" t="s">
        <v>431</v>
      </c>
      <c r="E322" s="75">
        <v>1</v>
      </c>
      <c r="F322" s="76" t="s">
        <v>429</v>
      </c>
      <c r="G322" s="75"/>
      <c r="H322" s="76"/>
      <c r="I322" s="75"/>
      <c r="J322" s="75"/>
      <c r="K322" s="77">
        <f>IF(C322="",SUMIFS($K323:$K$783,$A323:$A$783,A322,$E323:$E$783,""),IF(E322="",SUMIFS($K323:$K$783,$A323:$A$783,A322,$C323:$C$783,C322,$G323:$G$783,""),IF(G322="",SUMIFS($K323:$K$783,$A323:$A$783,A322,$C323:$C$783,C322,$E323:$E$783,E322,$R323:$R$783,R322),IF(I322="",SUMIFS($K323:$K$783,$A323:$A$783,A322,$C323:$C$783,C322,$E323:$E$783,E322,$G323:$G$783,G322,$R323:$R$783,R322),0))))</f>
        <v>8100</v>
      </c>
      <c r="L322" s="77">
        <f>IF(C322="",SUMIFS($L323:$L$783,$A323:$A$783,A322,$E323:$E$783,""),IF(E322="",SUMIFS($L323:$L$783,$A323:$A$783,A322,$C323:$C$783,C322,$G323:$G$783,""),IF(G322="",SUMIFS($L323:$L$783,$A323:$A$783,A322,$C323:$C$783,C322,$E323:$E$783,E322,$R323:$R$783,R322),IF(I322="",SUMIFS($L323:$L$783,$A323:$A$783,A322,$C323:$C$783,C322,$E323:$E$783,E322,$G323:$G$783,G322,$R323:$R$783,R322),0))))</f>
        <v>8104</v>
      </c>
      <c r="M322" s="77">
        <f t="shared" si="24"/>
        <v>-4</v>
      </c>
      <c r="N322" s="78"/>
      <c r="O322" s="79"/>
      <c r="P322" s="80"/>
      <c r="Q322" s="81">
        <f>IF(C322="",SUMIFS($Q323:$Q$781,$A323:$A$781,A322,$E323:$E$781,""),IF(E322="",SUMIFS($Q323:$Q$781,$A323:$A$781,A322,$C323:$C$781,C322,$G323:$G$781,""),IF(G322="",SUMIFS($Q323:$Q$781,$A323:$A$781,A322,$C323:$C$781,C322,$E323:$E$781,E322,$R323:$R$781,R322),IF(I322="",SUMIFS($Q323:$Q$781,$A323:$A$781,A322,$C323:$C$781,C322,$E323:$E$781,E322,$G323:$G$781,G322,$R323:$R$781,R322),0))))</f>
        <v>5956</v>
      </c>
      <c r="R322" s="82" t="s">
        <v>62</v>
      </c>
      <c r="T322" s="35">
        <v>440101</v>
      </c>
    </row>
    <row r="323" spans="1:20" ht="18" customHeight="1">
      <c r="A323" s="83">
        <v>4</v>
      </c>
      <c r="B323" s="84" t="s">
        <v>428</v>
      </c>
      <c r="C323" s="84">
        <v>1</v>
      </c>
      <c r="D323" s="84" t="s">
        <v>431</v>
      </c>
      <c r="E323" s="84">
        <v>1</v>
      </c>
      <c r="F323" s="84" t="s">
        <v>431</v>
      </c>
      <c r="G323" s="85">
        <v>1</v>
      </c>
      <c r="H323" s="86" t="s">
        <v>6</v>
      </c>
      <c r="I323" s="85"/>
      <c r="J323" s="85"/>
      <c r="K323" s="87"/>
      <c r="L323" s="87"/>
      <c r="M323" s="87"/>
      <c r="N323" s="85"/>
      <c r="O323" s="88"/>
      <c r="P323" s="89" t="s">
        <v>432</v>
      </c>
      <c r="Q323" s="88">
        <v>450</v>
      </c>
      <c r="R323" s="90" t="s">
        <v>62</v>
      </c>
      <c r="T323" s="35">
        <v>440101</v>
      </c>
    </row>
    <row r="324" spans="1:20" ht="18" customHeight="1">
      <c r="A324" s="83">
        <v>4</v>
      </c>
      <c r="B324" s="84" t="s">
        <v>428</v>
      </c>
      <c r="C324" s="84">
        <v>1</v>
      </c>
      <c r="D324" s="84" t="s">
        <v>431</v>
      </c>
      <c r="E324" s="84">
        <v>1</v>
      </c>
      <c r="F324" s="84" t="s">
        <v>431</v>
      </c>
      <c r="G324" s="91">
        <v>1</v>
      </c>
      <c r="H324" s="84" t="s">
        <v>6</v>
      </c>
      <c r="I324" s="85">
        <v>31</v>
      </c>
      <c r="J324" s="85" t="s">
        <v>55</v>
      </c>
      <c r="K324" s="87">
        <v>2021</v>
      </c>
      <c r="L324" s="87">
        <v>2012</v>
      </c>
      <c r="M324" s="87">
        <f>K324-L324</f>
        <v>9</v>
      </c>
      <c r="N324" s="85" t="s">
        <v>316</v>
      </c>
      <c r="O324" s="87">
        <v>2020760</v>
      </c>
      <c r="P324" s="89" t="s">
        <v>433</v>
      </c>
      <c r="Q324" s="88"/>
      <c r="R324" s="90" t="s">
        <v>62</v>
      </c>
      <c r="T324" s="35">
        <v>440101</v>
      </c>
    </row>
    <row r="325" spans="1:20" ht="18" customHeight="1">
      <c r="A325" s="83">
        <v>4</v>
      </c>
      <c r="B325" s="84" t="s">
        <v>428</v>
      </c>
      <c r="C325" s="84">
        <v>1</v>
      </c>
      <c r="D325" s="84" t="s">
        <v>431</v>
      </c>
      <c r="E325" s="84">
        <v>1</v>
      </c>
      <c r="F325" s="84" t="s">
        <v>431</v>
      </c>
      <c r="G325" s="85">
        <v>3</v>
      </c>
      <c r="H325" s="86" t="s">
        <v>9</v>
      </c>
      <c r="I325" s="85"/>
      <c r="J325" s="85"/>
      <c r="K325" s="87"/>
      <c r="L325" s="87"/>
      <c r="M325" s="87"/>
      <c r="N325" s="85"/>
      <c r="O325" s="88"/>
      <c r="P325" s="89" t="s">
        <v>434</v>
      </c>
      <c r="Q325" s="88">
        <v>1529</v>
      </c>
      <c r="R325" s="90" t="s">
        <v>62</v>
      </c>
      <c r="T325" s="35">
        <v>440101</v>
      </c>
    </row>
    <row r="326" spans="1:20" ht="18" customHeight="1">
      <c r="A326" s="83">
        <v>4</v>
      </c>
      <c r="B326" s="84" t="s">
        <v>428</v>
      </c>
      <c r="C326" s="84">
        <v>1</v>
      </c>
      <c r="D326" s="84" t="s">
        <v>431</v>
      </c>
      <c r="E326" s="84">
        <v>1</v>
      </c>
      <c r="F326" s="84" t="s">
        <v>431</v>
      </c>
      <c r="G326" s="91">
        <v>3</v>
      </c>
      <c r="H326" s="84" t="s">
        <v>9</v>
      </c>
      <c r="I326" s="85">
        <v>51</v>
      </c>
      <c r="J326" s="85" t="s">
        <v>45</v>
      </c>
      <c r="K326" s="87">
        <v>38</v>
      </c>
      <c r="L326" s="87">
        <v>0</v>
      </c>
      <c r="M326" s="87">
        <f>K326-L326</f>
        <v>38</v>
      </c>
      <c r="N326" s="85" t="s">
        <v>435</v>
      </c>
      <c r="O326" s="87">
        <v>37200</v>
      </c>
      <c r="P326" s="89" t="s">
        <v>436</v>
      </c>
      <c r="Q326" s="88"/>
      <c r="R326" s="90" t="s">
        <v>62</v>
      </c>
      <c r="T326" s="35">
        <v>440101</v>
      </c>
    </row>
    <row r="327" spans="1:20" ht="18" customHeight="1">
      <c r="A327" s="83">
        <v>4</v>
      </c>
      <c r="B327" s="84" t="s">
        <v>428</v>
      </c>
      <c r="C327" s="84">
        <v>1</v>
      </c>
      <c r="D327" s="84" t="s">
        <v>431</v>
      </c>
      <c r="E327" s="84">
        <v>1</v>
      </c>
      <c r="F327" s="84" t="s">
        <v>431</v>
      </c>
      <c r="G327" s="85">
        <v>7</v>
      </c>
      <c r="H327" s="86" t="s">
        <v>18</v>
      </c>
      <c r="I327" s="85"/>
      <c r="J327" s="85"/>
      <c r="K327" s="87"/>
      <c r="L327" s="87"/>
      <c r="M327" s="87"/>
      <c r="N327" s="85"/>
      <c r="O327" s="88"/>
      <c r="P327" s="89" t="s">
        <v>434</v>
      </c>
      <c r="Q327" s="88">
        <v>2065</v>
      </c>
      <c r="R327" s="90" t="s">
        <v>62</v>
      </c>
      <c r="T327" s="35">
        <v>440101</v>
      </c>
    </row>
    <row r="328" spans="1:20" ht="18" customHeight="1">
      <c r="A328" s="83">
        <v>4</v>
      </c>
      <c r="B328" s="84" t="s">
        <v>428</v>
      </c>
      <c r="C328" s="84">
        <v>1</v>
      </c>
      <c r="D328" s="84" t="s">
        <v>431</v>
      </c>
      <c r="E328" s="84">
        <v>1</v>
      </c>
      <c r="F328" s="84" t="s">
        <v>431</v>
      </c>
      <c r="G328" s="91">
        <v>7</v>
      </c>
      <c r="H328" s="84" t="s">
        <v>18</v>
      </c>
      <c r="I328" s="85">
        <v>1</v>
      </c>
      <c r="J328" s="85" t="s">
        <v>59</v>
      </c>
      <c r="K328" s="87">
        <v>38</v>
      </c>
      <c r="L328" s="87">
        <v>66</v>
      </c>
      <c r="M328" s="87">
        <f>K328-L328</f>
        <v>-28</v>
      </c>
      <c r="N328" s="85" t="s">
        <v>437</v>
      </c>
      <c r="O328" s="87">
        <v>20000</v>
      </c>
      <c r="P328" s="89" t="s">
        <v>438</v>
      </c>
      <c r="Q328" s="88"/>
      <c r="R328" s="90" t="s">
        <v>62</v>
      </c>
      <c r="T328" s="35">
        <v>440101</v>
      </c>
    </row>
    <row r="329" spans="1:20" ht="18" customHeight="1">
      <c r="A329" s="83">
        <v>4</v>
      </c>
      <c r="B329" s="84" t="s">
        <v>428</v>
      </c>
      <c r="C329" s="84">
        <v>1</v>
      </c>
      <c r="D329" s="84" t="s">
        <v>431</v>
      </c>
      <c r="E329" s="84">
        <v>1</v>
      </c>
      <c r="F329" s="84" t="s">
        <v>431</v>
      </c>
      <c r="G329" s="91">
        <v>7</v>
      </c>
      <c r="H329" s="84" t="s">
        <v>18</v>
      </c>
      <c r="I329" s="91">
        <v>1</v>
      </c>
      <c r="J329" s="91" t="s">
        <v>59</v>
      </c>
      <c r="K329" s="87"/>
      <c r="L329" s="87"/>
      <c r="M329" s="87"/>
      <c r="N329" s="85" t="s">
        <v>439</v>
      </c>
      <c r="O329" s="87">
        <v>18000</v>
      </c>
      <c r="P329" s="89" t="s">
        <v>434</v>
      </c>
      <c r="Q329" s="88">
        <v>956</v>
      </c>
      <c r="R329" s="90" t="s">
        <v>62</v>
      </c>
      <c r="T329" s="35">
        <v>440101</v>
      </c>
    </row>
    <row r="330" spans="1:20" ht="18" customHeight="1">
      <c r="A330" s="83">
        <v>4</v>
      </c>
      <c r="B330" s="84" t="s">
        <v>428</v>
      </c>
      <c r="C330" s="84">
        <v>1</v>
      </c>
      <c r="D330" s="84" t="s">
        <v>431</v>
      </c>
      <c r="E330" s="84">
        <v>1</v>
      </c>
      <c r="F330" s="84" t="s">
        <v>431</v>
      </c>
      <c r="G330" s="91">
        <v>7</v>
      </c>
      <c r="H330" s="84" t="s">
        <v>18</v>
      </c>
      <c r="I330" s="85">
        <v>11</v>
      </c>
      <c r="J330" s="85" t="s">
        <v>19</v>
      </c>
      <c r="K330" s="87">
        <v>1731</v>
      </c>
      <c r="L330" s="87">
        <v>1815</v>
      </c>
      <c r="M330" s="87">
        <f>K330-L330</f>
        <v>-84</v>
      </c>
      <c r="N330" s="85" t="s">
        <v>440</v>
      </c>
      <c r="O330" s="87">
        <v>1596000</v>
      </c>
      <c r="P330" s="89" t="s">
        <v>441</v>
      </c>
      <c r="Q330" s="88"/>
      <c r="R330" s="90" t="s">
        <v>62</v>
      </c>
      <c r="T330" s="35">
        <v>440101</v>
      </c>
    </row>
    <row r="331" spans="1:20" ht="18" customHeight="1">
      <c r="A331" s="83">
        <v>4</v>
      </c>
      <c r="B331" s="84" t="s">
        <v>428</v>
      </c>
      <c r="C331" s="84">
        <v>1</v>
      </c>
      <c r="D331" s="84" t="s">
        <v>431</v>
      </c>
      <c r="E331" s="84">
        <v>1</v>
      </c>
      <c r="F331" s="84" t="s">
        <v>431</v>
      </c>
      <c r="G331" s="91">
        <v>7</v>
      </c>
      <c r="H331" s="84" t="s">
        <v>18</v>
      </c>
      <c r="I331" s="91">
        <v>11</v>
      </c>
      <c r="J331" s="91" t="s">
        <v>19</v>
      </c>
      <c r="K331" s="87"/>
      <c r="L331" s="87"/>
      <c r="M331" s="87"/>
      <c r="N331" s="85" t="s">
        <v>442</v>
      </c>
      <c r="O331" s="87">
        <v>135000</v>
      </c>
      <c r="P331" s="89" t="s">
        <v>434</v>
      </c>
      <c r="Q331" s="88">
        <v>956</v>
      </c>
      <c r="R331" s="90" t="s">
        <v>62</v>
      </c>
      <c r="T331" s="35">
        <v>440101</v>
      </c>
    </row>
    <row r="332" spans="1:20" ht="18" customHeight="1">
      <c r="A332" s="83">
        <v>4</v>
      </c>
      <c r="B332" s="84" t="s">
        <v>428</v>
      </c>
      <c r="C332" s="84">
        <v>1</v>
      </c>
      <c r="D332" s="84" t="s">
        <v>431</v>
      </c>
      <c r="E332" s="84">
        <v>1</v>
      </c>
      <c r="F332" s="84" t="s">
        <v>431</v>
      </c>
      <c r="G332" s="91">
        <v>7</v>
      </c>
      <c r="H332" s="84" t="s">
        <v>18</v>
      </c>
      <c r="I332" s="85">
        <v>31</v>
      </c>
      <c r="J332" s="85" t="s">
        <v>56</v>
      </c>
      <c r="K332" s="87">
        <v>60</v>
      </c>
      <c r="L332" s="87">
        <v>60</v>
      </c>
      <c r="M332" s="87">
        <f>K332-L332</f>
        <v>0</v>
      </c>
      <c r="N332" s="85" t="s">
        <v>443</v>
      </c>
      <c r="O332" s="87">
        <v>60000</v>
      </c>
      <c r="P332" s="89" t="s">
        <v>444</v>
      </c>
      <c r="Q332" s="88"/>
      <c r="R332" s="90" t="s">
        <v>62</v>
      </c>
      <c r="T332" s="35">
        <v>440101</v>
      </c>
    </row>
    <row r="333" spans="1:20" ht="18" customHeight="1">
      <c r="A333" s="83">
        <v>4</v>
      </c>
      <c r="B333" s="84" t="s">
        <v>428</v>
      </c>
      <c r="C333" s="84">
        <v>1</v>
      </c>
      <c r="D333" s="84" t="s">
        <v>431</v>
      </c>
      <c r="E333" s="84">
        <v>1</v>
      </c>
      <c r="F333" s="84" t="s">
        <v>431</v>
      </c>
      <c r="G333" s="98">
        <v>8</v>
      </c>
      <c r="H333" s="99" t="s">
        <v>445</v>
      </c>
      <c r="I333" s="85"/>
      <c r="J333" s="85"/>
      <c r="K333" s="87"/>
      <c r="L333" s="87"/>
      <c r="M333" s="87"/>
      <c r="N333" s="85"/>
      <c r="O333" s="87"/>
      <c r="P333" s="89"/>
      <c r="Q333" s="88"/>
      <c r="R333" s="90" t="s">
        <v>62</v>
      </c>
      <c r="T333" s="35">
        <v>440101</v>
      </c>
    </row>
    <row r="334" spans="1:20" ht="18" customHeight="1">
      <c r="A334" s="83">
        <v>4</v>
      </c>
      <c r="B334" s="84" t="s">
        <v>428</v>
      </c>
      <c r="C334" s="84">
        <v>1</v>
      </c>
      <c r="D334" s="84" t="s">
        <v>431</v>
      </c>
      <c r="E334" s="84">
        <v>1</v>
      </c>
      <c r="F334" s="84" t="s">
        <v>431</v>
      </c>
      <c r="G334" s="91">
        <v>8</v>
      </c>
      <c r="H334" s="84" t="s">
        <v>445</v>
      </c>
      <c r="I334" s="85">
        <v>1</v>
      </c>
      <c r="J334" s="85" t="s">
        <v>446</v>
      </c>
      <c r="K334" s="87">
        <v>0</v>
      </c>
      <c r="L334" s="87">
        <v>38</v>
      </c>
      <c r="M334" s="87">
        <f>K334-L334</f>
        <v>-38</v>
      </c>
      <c r="N334" s="85"/>
      <c r="O334" s="87"/>
      <c r="P334" s="89"/>
      <c r="Q334" s="88"/>
      <c r="R334" s="90" t="s">
        <v>62</v>
      </c>
      <c r="T334" s="35">
        <v>440101</v>
      </c>
    </row>
    <row r="335" spans="1:20" ht="18" customHeight="1">
      <c r="A335" s="83">
        <v>4</v>
      </c>
      <c r="B335" s="84" t="s">
        <v>428</v>
      </c>
      <c r="C335" s="84">
        <v>1</v>
      </c>
      <c r="D335" s="84" t="s">
        <v>431</v>
      </c>
      <c r="E335" s="84">
        <v>1</v>
      </c>
      <c r="F335" s="84" t="s">
        <v>431</v>
      </c>
      <c r="G335" s="85">
        <v>10</v>
      </c>
      <c r="H335" s="86" t="s">
        <v>23</v>
      </c>
      <c r="I335" s="85"/>
      <c r="J335" s="85"/>
      <c r="K335" s="87"/>
      <c r="L335" s="87"/>
      <c r="M335" s="87"/>
      <c r="N335" s="85"/>
      <c r="O335" s="88"/>
      <c r="P335" s="89"/>
      <c r="Q335" s="88"/>
      <c r="R335" s="90" t="s">
        <v>62</v>
      </c>
      <c r="T335" s="35">
        <v>440101</v>
      </c>
    </row>
    <row r="336" spans="1:20" ht="18" customHeight="1">
      <c r="A336" s="83">
        <v>4</v>
      </c>
      <c r="B336" s="84" t="s">
        <v>428</v>
      </c>
      <c r="C336" s="84">
        <v>1</v>
      </c>
      <c r="D336" s="84" t="s">
        <v>431</v>
      </c>
      <c r="E336" s="84">
        <v>1</v>
      </c>
      <c r="F336" s="84" t="s">
        <v>431</v>
      </c>
      <c r="G336" s="91">
        <v>10</v>
      </c>
      <c r="H336" s="84" t="s">
        <v>23</v>
      </c>
      <c r="I336" s="85">
        <v>1</v>
      </c>
      <c r="J336" s="85" t="s">
        <v>24</v>
      </c>
      <c r="K336" s="87">
        <v>236</v>
      </c>
      <c r="L336" s="87">
        <v>236</v>
      </c>
      <c r="M336" s="87">
        <f>K336-L336</f>
        <v>0</v>
      </c>
      <c r="N336" s="85" t="s">
        <v>447</v>
      </c>
      <c r="O336" s="87">
        <v>180000</v>
      </c>
      <c r="P336" s="89"/>
      <c r="Q336" s="88"/>
      <c r="R336" s="90" t="s">
        <v>62</v>
      </c>
      <c r="T336" s="35">
        <v>440101</v>
      </c>
    </row>
    <row r="337" spans="1:20" ht="18" customHeight="1">
      <c r="A337" s="83">
        <v>4</v>
      </c>
      <c r="B337" s="84" t="s">
        <v>428</v>
      </c>
      <c r="C337" s="84">
        <v>1</v>
      </c>
      <c r="D337" s="84" t="s">
        <v>431</v>
      </c>
      <c r="E337" s="84">
        <v>1</v>
      </c>
      <c r="F337" s="84" t="s">
        <v>431</v>
      </c>
      <c r="G337" s="91">
        <v>10</v>
      </c>
      <c r="H337" s="84" t="s">
        <v>23</v>
      </c>
      <c r="I337" s="91">
        <v>1</v>
      </c>
      <c r="J337" s="91" t="s">
        <v>24</v>
      </c>
      <c r="K337" s="87"/>
      <c r="L337" s="87"/>
      <c r="M337" s="87"/>
      <c r="N337" s="85" t="s">
        <v>448</v>
      </c>
      <c r="O337" s="87">
        <v>36000</v>
      </c>
      <c r="P337" s="89"/>
      <c r="Q337" s="88"/>
      <c r="R337" s="90" t="s">
        <v>62</v>
      </c>
      <c r="T337" s="35">
        <v>440101</v>
      </c>
    </row>
    <row r="338" spans="1:20" ht="18" customHeight="1">
      <c r="A338" s="83">
        <v>4</v>
      </c>
      <c r="B338" s="84" t="s">
        <v>428</v>
      </c>
      <c r="C338" s="84">
        <v>1</v>
      </c>
      <c r="D338" s="84" t="s">
        <v>431</v>
      </c>
      <c r="E338" s="84">
        <v>1</v>
      </c>
      <c r="F338" s="84" t="s">
        <v>431</v>
      </c>
      <c r="G338" s="91">
        <v>10</v>
      </c>
      <c r="H338" s="84" t="s">
        <v>23</v>
      </c>
      <c r="I338" s="91">
        <v>1</v>
      </c>
      <c r="J338" s="91" t="s">
        <v>24</v>
      </c>
      <c r="K338" s="87"/>
      <c r="L338" s="87"/>
      <c r="M338" s="87"/>
      <c r="N338" s="85" t="s">
        <v>449</v>
      </c>
      <c r="O338" s="87">
        <v>20000</v>
      </c>
      <c r="P338" s="89"/>
      <c r="Q338" s="88"/>
      <c r="R338" s="90" t="s">
        <v>62</v>
      </c>
      <c r="T338" s="35">
        <v>440101</v>
      </c>
    </row>
    <row r="339" spans="1:20" ht="18" customHeight="1">
      <c r="A339" s="83">
        <v>4</v>
      </c>
      <c r="B339" s="84" t="s">
        <v>428</v>
      </c>
      <c r="C339" s="84">
        <v>1</v>
      </c>
      <c r="D339" s="84" t="s">
        <v>431</v>
      </c>
      <c r="E339" s="84">
        <v>1</v>
      </c>
      <c r="F339" s="84" t="s">
        <v>431</v>
      </c>
      <c r="G339" s="91">
        <v>10</v>
      </c>
      <c r="H339" s="84" t="s">
        <v>23</v>
      </c>
      <c r="I339" s="85">
        <v>3</v>
      </c>
      <c r="J339" s="85" t="s">
        <v>25</v>
      </c>
      <c r="K339" s="87">
        <v>72</v>
      </c>
      <c r="L339" s="87">
        <v>72</v>
      </c>
      <c r="M339" s="87">
        <f>K339-L339</f>
        <v>0</v>
      </c>
      <c r="N339" s="85" t="s">
        <v>606</v>
      </c>
      <c r="O339" s="87">
        <v>72000</v>
      </c>
      <c r="P339" s="89"/>
      <c r="Q339" s="88"/>
      <c r="R339" s="90" t="s">
        <v>62</v>
      </c>
      <c r="T339" s="35">
        <v>440101</v>
      </c>
    </row>
    <row r="340" spans="1:20" ht="18" customHeight="1">
      <c r="A340" s="83">
        <v>4</v>
      </c>
      <c r="B340" s="84" t="s">
        <v>428</v>
      </c>
      <c r="C340" s="84">
        <v>1</v>
      </c>
      <c r="D340" s="84" t="s">
        <v>431</v>
      </c>
      <c r="E340" s="84">
        <v>1</v>
      </c>
      <c r="F340" s="84" t="s">
        <v>431</v>
      </c>
      <c r="G340" s="85">
        <v>11</v>
      </c>
      <c r="H340" s="86" t="s">
        <v>27</v>
      </c>
      <c r="I340" s="85"/>
      <c r="J340" s="85"/>
      <c r="K340" s="87"/>
      <c r="L340" s="87"/>
      <c r="M340" s="87"/>
      <c r="N340" s="85"/>
      <c r="O340" s="88"/>
      <c r="P340" s="89"/>
      <c r="Q340" s="88"/>
      <c r="R340" s="90" t="s">
        <v>62</v>
      </c>
      <c r="T340" s="35">
        <v>440101</v>
      </c>
    </row>
    <row r="341" spans="1:20" ht="18" customHeight="1">
      <c r="A341" s="83">
        <v>4</v>
      </c>
      <c r="B341" s="84" t="s">
        <v>428</v>
      </c>
      <c r="C341" s="84">
        <v>1</v>
      </c>
      <c r="D341" s="84" t="s">
        <v>431</v>
      </c>
      <c r="E341" s="84">
        <v>1</v>
      </c>
      <c r="F341" s="84" t="s">
        <v>431</v>
      </c>
      <c r="G341" s="91">
        <v>11</v>
      </c>
      <c r="H341" s="84" t="s">
        <v>27</v>
      </c>
      <c r="I341" s="85">
        <v>1</v>
      </c>
      <c r="J341" s="85" t="s">
        <v>28</v>
      </c>
      <c r="K341" s="87">
        <v>11</v>
      </c>
      <c r="L341" s="87">
        <v>9</v>
      </c>
      <c r="M341" s="87">
        <f>K341-L341</f>
        <v>2</v>
      </c>
      <c r="N341" s="85" t="s">
        <v>450</v>
      </c>
      <c r="O341" s="87">
        <v>8400</v>
      </c>
      <c r="P341" s="89"/>
      <c r="Q341" s="88"/>
      <c r="R341" s="90" t="s">
        <v>62</v>
      </c>
      <c r="T341" s="35">
        <v>440101</v>
      </c>
    </row>
    <row r="342" spans="1:20" ht="18" customHeight="1">
      <c r="A342" s="83">
        <v>4</v>
      </c>
      <c r="B342" s="84" t="s">
        <v>428</v>
      </c>
      <c r="C342" s="84">
        <v>1</v>
      </c>
      <c r="D342" s="84" t="s">
        <v>431</v>
      </c>
      <c r="E342" s="84">
        <v>1</v>
      </c>
      <c r="F342" s="84" t="s">
        <v>431</v>
      </c>
      <c r="G342" s="91">
        <v>11</v>
      </c>
      <c r="H342" s="84" t="s">
        <v>27</v>
      </c>
      <c r="I342" s="91">
        <v>1</v>
      </c>
      <c r="J342" s="91" t="s">
        <v>28</v>
      </c>
      <c r="K342" s="87"/>
      <c r="L342" s="87"/>
      <c r="M342" s="87"/>
      <c r="N342" s="85" t="s">
        <v>94</v>
      </c>
      <c r="O342" s="87">
        <v>2600</v>
      </c>
      <c r="P342" s="89"/>
      <c r="Q342" s="88"/>
      <c r="R342" s="90" t="s">
        <v>62</v>
      </c>
      <c r="T342" s="35">
        <v>440101</v>
      </c>
    </row>
    <row r="343" spans="1:20" ht="18" customHeight="1">
      <c r="A343" s="83">
        <v>4</v>
      </c>
      <c r="B343" s="84" t="s">
        <v>428</v>
      </c>
      <c r="C343" s="84">
        <v>1</v>
      </c>
      <c r="D343" s="84" t="s">
        <v>431</v>
      </c>
      <c r="E343" s="84">
        <v>1</v>
      </c>
      <c r="F343" s="84" t="s">
        <v>431</v>
      </c>
      <c r="G343" s="91">
        <v>11</v>
      </c>
      <c r="H343" s="84" t="s">
        <v>27</v>
      </c>
      <c r="I343" s="85">
        <v>3</v>
      </c>
      <c r="J343" s="85" t="s">
        <v>29</v>
      </c>
      <c r="K343" s="87">
        <v>23</v>
      </c>
      <c r="L343" s="87">
        <v>23</v>
      </c>
      <c r="M343" s="87">
        <f>K343-L343</f>
        <v>0</v>
      </c>
      <c r="N343" s="85" t="s">
        <v>451</v>
      </c>
      <c r="O343" s="87">
        <v>22800</v>
      </c>
      <c r="P343" s="89"/>
      <c r="Q343" s="88"/>
      <c r="R343" s="90" t="s">
        <v>62</v>
      </c>
      <c r="T343" s="35">
        <v>440101</v>
      </c>
    </row>
    <row r="344" spans="1:20" ht="18" customHeight="1">
      <c r="A344" s="83">
        <v>4</v>
      </c>
      <c r="B344" s="84" t="s">
        <v>428</v>
      </c>
      <c r="C344" s="84">
        <v>1</v>
      </c>
      <c r="D344" s="84" t="s">
        <v>431</v>
      </c>
      <c r="E344" s="84">
        <v>1</v>
      </c>
      <c r="F344" s="84" t="s">
        <v>431</v>
      </c>
      <c r="G344" s="85">
        <v>12</v>
      </c>
      <c r="H344" s="86" t="s">
        <v>32</v>
      </c>
      <c r="I344" s="85"/>
      <c r="J344" s="85"/>
      <c r="K344" s="87"/>
      <c r="L344" s="87"/>
      <c r="M344" s="87"/>
      <c r="N344" s="85"/>
      <c r="O344" s="88"/>
      <c r="P344" s="89"/>
      <c r="Q344" s="88"/>
      <c r="R344" s="90" t="s">
        <v>62</v>
      </c>
      <c r="T344" s="35">
        <v>440101</v>
      </c>
    </row>
    <row r="345" spans="1:20" ht="18" customHeight="1">
      <c r="A345" s="83">
        <v>4</v>
      </c>
      <c r="B345" s="84" t="s">
        <v>428</v>
      </c>
      <c r="C345" s="84">
        <v>1</v>
      </c>
      <c r="D345" s="84" t="s">
        <v>431</v>
      </c>
      <c r="E345" s="84">
        <v>1</v>
      </c>
      <c r="F345" s="84" t="s">
        <v>431</v>
      </c>
      <c r="G345" s="91">
        <v>12</v>
      </c>
      <c r="H345" s="84" t="s">
        <v>32</v>
      </c>
      <c r="I345" s="85">
        <v>21</v>
      </c>
      <c r="J345" s="85" t="s">
        <v>33</v>
      </c>
      <c r="K345" s="87">
        <v>855</v>
      </c>
      <c r="L345" s="87">
        <v>900</v>
      </c>
      <c r="M345" s="87">
        <f>K345-L345</f>
        <v>-45</v>
      </c>
      <c r="N345" s="85" t="s">
        <v>452</v>
      </c>
      <c r="O345" s="87">
        <v>855000</v>
      </c>
      <c r="P345" s="89"/>
      <c r="Q345" s="88"/>
      <c r="R345" s="90" t="s">
        <v>62</v>
      </c>
      <c r="T345" s="35">
        <v>440101</v>
      </c>
    </row>
    <row r="346" spans="1:20" ht="18" customHeight="1">
      <c r="A346" s="83">
        <v>4</v>
      </c>
      <c r="B346" s="84" t="s">
        <v>428</v>
      </c>
      <c r="C346" s="84">
        <v>1</v>
      </c>
      <c r="D346" s="84" t="s">
        <v>431</v>
      </c>
      <c r="E346" s="84">
        <v>1</v>
      </c>
      <c r="F346" s="84" t="s">
        <v>431</v>
      </c>
      <c r="G346" s="85">
        <v>13</v>
      </c>
      <c r="H346" s="86" t="s">
        <v>34</v>
      </c>
      <c r="I346" s="85"/>
      <c r="J346" s="85"/>
      <c r="K346" s="87"/>
      <c r="L346" s="87"/>
      <c r="M346" s="87"/>
      <c r="N346" s="85"/>
      <c r="O346" s="88"/>
      <c r="P346" s="89"/>
      <c r="Q346" s="88"/>
      <c r="R346" s="90" t="s">
        <v>62</v>
      </c>
      <c r="T346" s="35">
        <v>440101</v>
      </c>
    </row>
    <row r="347" spans="1:20" ht="18" customHeight="1">
      <c r="A347" s="83">
        <v>4</v>
      </c>
      <c r="B347" s="84" t="s">
        <v>428</v>
      </c>
      <c r="C347" s="84">
        <v>1</v>
      </c>
      <c r="D347" s="84" t="s">
        <v>431</v>
      </c>
      <c r="E347" s="84">
        <v>1</v>
      </c>
      <c r="F347" s="84" t="s">
        <v>431</v>
      </c>
      <c r="G347" s="91">
        <v>13</v>
      </c>
      <c r="H347" s="84" t="s">
        <v>34</v>
      </c>
      <c r="I347" s="85">
        <v>21</v>
      </c>
      <c r="J347" s="85" t="s">
        <v>57</v>
      </c>
      <c r="K347" s="87">
        <v>15</v>
      </c>
      <c r="L347" s="87">
        <v>15</v>
      </c>
      <c r="M347" s="87">
        <f>K347-L347</f>
        <v>0</v>
      </c>
      <c r="N347" s="85" t="s">
        <v>453</v>
      </c>
      <c r="O347" s="87">
        <v>15000</v>
      </c>
      <c r="P347" s="89"/>
      <c r="Q347" s="88"/>
      <c r="R347" s="90" t="s">
        <v>62</v>
      </c>
      <c r="T347" s="35">
        <v>440101</v>
      </c>
    </row>
    <row r="348" spans="1:20" ht="18" customHeight="1">
      <c r="A348" s="83">
        <v>4</v>
      </c>
      <c r="B348" s="84" t="s">
        <v>428</v>
      </c>
      <c r="C348" s="84">
        <v>1</v>
      </c>
      <c r="D348" s="84" t="s">
        <v>431</v>
      </c>
      <c r="E348" s="84">
        <v>1</v>
      </c>
      <c r="F348" s="84" t="s">
        <v>431</v>
      </c>
      <c r="G348" s="85">
        <v>18</v>
      </c>
      <c r="H348" s="86" t="s">
        <v>38</v>
      </c>
      <c r="I348" s="85"/>
      <c r="J348" s="85"/>
      <c r="K348" s="87"/>
      <c r="L348" s="87"/>
      <c r="M348" s="87"/>
      <c r="N348" s="85"/>
      <c r="O348" s="88"/>
      <c r="P348" s="89"/>
      <c r="Q348" s="88"/>
      <c r="R348" s="90" t="s">
        <v>62</v>
      </c>
      <c r="T348" s="35">
        <v>440101</v>
      </c>
    </row>
    <row r="349" spans="1:20" ht="18" customHeight="1">
      <c r="A349" s="83">
        <v>4</v>
      </c>
      <c r="B349" s="84" t="s">
        <v>428</v>
      </c>
      <c r="C349" s="84">
        <v>1</v>
      </c>
      <c r="D349" s="84" t="s">
        <v>431</v>
      </c>
      <c r="E349" s="84">
        <v>1</v>
      </c>
      <c r="F349" s="84" t="s">
        <v>431</v>
      </c>
      <c r="G349" s="91">
        <v>18</v>
      </c>
      <c r="H349" s="84" t="s">
        <v>38</v>
      </c>
      <c r="I349" s="85">
        <v>31</v>
      </c>
      <c r="J349" s="85" t="s">
        <v>58</v>
      </c>
      <c r="K349" s="87">
        <v>600</v>
      </c>
      <c r="L349" s="87">
        <v>600</v>
      </c>
      <c r="M349" s="87">
        <f>K349-L349</f>
        <v>0</v>
      </c>
      <c r="N349" s="85" t="s">
        <v>454</v>
      </c>
      <c r="O349" s="87">
        <v>600000</v>
      </c>
      <c r="P349" s="89"/>
      <c r="Q349" s="88"/>
      <c r="R349" s="90" t="s">
        <v>62</v>
      </c>
      <c r="T349" s="35">
        <v>440101</v>
      </c>
    </row>
    <row r="350" spans="1:20" ht="18" customHeight="1">
      <c r="A350" s="83">
        <v>4</v>
      </c>
      <c r="B350" s="84" t="s">
        <v>428</v>
      </c>
      <c r="C350" s="84">
        <v>1</v>
      </c>
      <c r="D350" s="84" t="s">
        <v>431</v>
      </c>
      <c r="E350" s="84">
        <v>1</v>
      </c>
      <c r="F350" s="84" t="s">
        <v>431</v>
      </c>
      <c r="G350" s="91">
        <v>18</v>
      </c>
      <c r="H350" s="84" t="s">
        <v>38</v>
      </c>
      <c r="I350" s="85">
        <v>61</v>
      </c>
      <c r="J350" s="85" t="s">
        <v>379</v>
      </c>
      <c r="K350" s="87">
        <v>2400</v>
      </c>
      <c r="L350" s="87">
        <v>2258</v>
      </c>
      <c r="M350" s="87">
        <f>K350-L350</f>
        <v>142</v>
      </c>
      <c r="N350" s="85" t="s">
        <v>455</v>
      </c>
      <c r="O350" s="87"/>
      <c r="P350" s="89"/>
      <c r="Q350" s="88"/>
      <c r="R350" s="90" t="s">
        <v>62</v>
      </c>
      <c r="T350" s="35">
        <v>440101</v>
      </c>
    </row>
    <row r="351" spans="1:20" ht="18" customHeight="1">
      <c r="A351" s="83">
        <v>4</v>
      </c>
      <c r="B351" s="84" t="s">
        <v>428</v>
      </c>
      <c r="C351" s="84">
        <v>1</v>
      </c>
      <c r="D351" s="84" t="s">
        <v>431</v>
      </c>
      <c r="E351" s="84">
        <v>1</v>
      </c>
      <c r="F351" s="84" t="s">
        <v>431</v>
      </c>
      <c r="G351" s="91">
        <v>18</v>
      </c>
      <c r="H351" s="84" t="s">
        <v>38</v>
      </c>
      <c r="I351" s="91">
        <v>61</v>
      </c>
      <c r="J351" s="91" t="s">
        <v>379</v>
      </c>
      <c r="K351" s="87"/>
      <c r="L351" s="87"/>
      <c r="M351" s="87"/>
      <c r="N351" s="85" t="s">
        <v>456</v>
      </c>
      <c r="O351" s="87">
        <v>2400000</v>
      </c>
      <c r="P351" s="89"/>
      <c r="Q351" s="88"/>
      <c r="R351" s="90" t="s">
        <v>62</v>
      </c>
      <c r="T351" s="35">
        <v>440101</v>
      </c>
    </row>
    <row r="352" spans="1:20" ht="18" customHeight="1">
      <c r="A352" s="65">
        <v>4</v>
      </c>
      <c r="B352" s="66" t="s">
        <v>428</v>
      </c>
      <c r="C352" s="67">
        <v>2</v>
      </c>
      <c r="D352" s="67" t="s">
        <v>457</v>
      </c>
      <c r="E352" s="68"/>
      <c r="F352" s="67"/>
      <c r="G352" s="68"/>
      <c r="H352" s="67"/>
      <c r="I352" s="68"/>
      <c r="J352" s="68"/>
      <c r="K352" s="69">
        <f>IF(C352="",SUMIFS($K353:$K$783,$A353:$A$783,A352,$E353:$E$783,""),IF(E352="",SUMIFS($K353:$K$783,$A353:$A$783,A352,$C353:$C$783,C352,$G353:$G$783,""),IF(G352="",SUMIFS($K353:$K$783,$A353:$A$783,A352,$C353:$C$783,C352,$E353:$E$783,E352,$R353:$R$783,R352),IF(I352="",SUMIFS($K353:$K$783,$A353:$A$783,A352,$C353:$C$783,C352,$E353:$E$783,E352,$G353:$G$783,G352,$R353:$R$783,R352),0))))</f>
        <v>5366</v>
      </c>
      <c r="L352" s="69">
        <f>IF(C352="",SUMIFS($L353:$L$783,$A353:$A$783,A352,$E353:$E$783,""),IF(E352="",SUMIFS($L353:$L$783,$A353:$A$783,A352,$C353:$C$783,C352,$G353:$G$783,""),IF(G352="",SUMIFS($L353:$L$783,$A353:$A$783,A352,$C353:$C$783,C352,$E353:$E$783,E352,$R353:$R$783,R352),IF(I352="",SUMIFS($L353:$L$783,$A353:$A$783,A352,$C353:$C$783,C352,$E353:$E$783,E352,$G353:$G$783,G352,$R353:$R$783,R352),0))))</f>
        <v>5841</v>
      </c>
      <c r="M352" s="69">
        <f t="shared" ref="M352:M353" si="25">K352-L352</f>
        <v>-475</v>
      </c>
      <c r="N352" s="70"/>
      <c r="O352" s="71"/>
      <c r="P352" s="72"/>
      <c r="Q352" s="69">
        <f>IF(C352="",SUMIFS($Q353:$Q$783,$A353:$A$783,A352,$E353:$E$783,""),IF(E352="",SUMIFS($Q353:$Q$783,$A353:$A$783,A352,$C353:$C$783,C352,$G353:$G$783,""),IF(G352="",SUMIFS($Q353:$Q$783,$A353:$A$783,A352,$C353:$C$783,C352,$E353:$E$783,E352,$R353:$R$783,R352),IF(I352="",SUMIFS($Q353:$Q$783,$A353:$A$783,A352,$C353:$C$783,C352,$E353:$E$783,E352,$G353:$G$783,G352,$R353:$R$783,R352),0))))</f>
        <v>4033</v>
      </c>
      <c r="R352" s="73"/>
      <c r="T352" s="35">
        <v>440201</v>
      </c>
    </row>
    <row r="353" spans="1:20" ht="18" customHeight="1">
      <c r="A353" s="65">
        <v>4</v>
      </c>
      <c r="B353" s="66" t="s">
        <v>430</v>
      </c>
      <c r="C353" s="74">
        <v>2</v>
      </c>
      <c r="D353" s="66" t="s">
        <v>144</v>
      </c>
      <c r="E353" s="75">
        <v>1</v>
      </c>
      <c r="F353" s="76" t="s">
        <v>457</v>
      </c>
      <c r="G353" s="75"/>
      <c r="H353" s="76"/>
      <c r="I353" s="75"/>
      <c r="J353" s="75"/>
      <c r="K353" s="77">
        <f>IF(C353="",SUMIFS($K354:$K$783,$A354:$A$783,A353,$E354:$E$783,""),IF(E353="",SUMIFS($K354:$K$783,$A354:$A$783,A353,$C354:$C$783,C353,$G354:$G$783,""),IF(G353="",SUMIFS($K354:$K$783,$A354:$A$783,A353,$C354:$C$783,C353,$E354:$E$783,E353,$R354:$R$783,R353),IF(I353="",SUMIFS($K354:$K$783,$A354:$A$783,A353,$C354:$C$783,C353,$E354:$E$783,E353,$G354:$G$783,G353,$R354:$R$783,R353),0))))</f>
        <v>5366</v>
      </c>
      <c r="L353" s="77">
        <f>IF(C353="",SUMIFS($L354:$L$783,$A354:$A$783,A353,$E354:$E$783,""),IF(E353="",SUMIFS($L354:$L$783,$A354:$A$783,A353,$C354:$C$783,C353,$G354:$G$783,""),IF(G353="",SUMIFS($L354:$L$783,$A354:$A$783,A353,$C354:$C$783,C353,$E354:$E$783,E353,$R354:$R$783,R353),IF(I353="",SUMIFS($L354:$L$783,$A354:$A$783,A353,$C354:$C$783,C353,$E354:$E$783,E353,$G354:$G$783,G353,$R354:$R$783,R353),0))))</f>
        <v>5841</v>
      </c>
      <c r="M353" s="77">
        <f t="shared" si="25"/>
        <v>-475</v>
      </c>
      <c r="N353" s="78"/>
      <c r="O353" s="79"/>
      <c r="P353" s="80"/>
      <c r="Q353" s="81">
        <f>IF(C353="",SUMIFS($Q354:$Q$781,$A354:$A$781,A353,$E354:$E$781,""),IF(E353="",SUMIFS($Q354:$Q$781,$A354:$A$781,A353,$C354:$C$781,C353,$G354:$G$781,""),IF(G353="",SUMIFS($Q354:$Q$781,$A354:$A$781,A353,$C354:$C$781,C353,$E354:$E$781,E353,$R354:$R$781,R353),IF(I353="",SUMIFS($Q354:$Q$781,$A354:$A$781,A353,$C354:$C$781,C353,$E354:$E$781,E353,$G354:$G$781,G353,$R354:$R$781,R353),0))))</f>
        <v>4033</v>
      </c>
      <c r="R353" s="82" t="s">
        <v>62</v>
      </c>
      <c r="T353" s="35">
        <v>440201</v>
      </c>
    </row>
    <row r="354" spans="1:20" ht="18" customHeight="1">
      <c r="A354" s="83">
        <v>4</v>
      </c>
      <c r="B354" s="84" t="s">
        <v>428</v>
      </c>
      <c r="C354" s="84">
        <v>2</v>
      </c>
      <c r="D354" s="84" t="s">
        <v>144</v>
      </c>
      <c r="E354" s="84">
        <v>1</v>
      </c>
      <c r="F354" s="84" t="s">
        <v>144</v>
      </c>
      <c r="G354" s="85">
        <v>7</v>
      </c>
      <c r="H354" s="86" t="s">
        <v>18</v>
      </c>
      <c r="I354" s="85"/>
      <c r="J354" s="85"/>
      <c r="K354" s="87"/>
      <c r="L354" s="87"/>
      <c r="M354" s="87"/>
      <c r="N354" s="85"/>
      <c r="O354" s="88"/>
      <c r="P354" s="89" t="s">
        <v>432</v>
      </c>
      <c r="Q354" s="88">
        <v>606</v>
      </c>
      <c r="R354" s="90" t="s">
        <v>62</v>
      </c>
      <c r="T354" s="35">
        <v>440201</v>
      </c>
    </row>
    <row r="355" spans="1:20" ht="18" customHeight="1">
      <c r="A355" s="83">
        <v>4</v>
      </c>
      <c r="B355" s="84" t="s">
        <v>428</v>
      </c>
      <c r="C355" s="84">
        <v>2</v>
      </c>
      <c r="D355" s="84" t="s">
        <v>144</v>
      </c>
      <c r="E355" s="84">
        <v>1</v>
      </c>
      <c r="F355" s="84" t="s">
        <v>144</v>
      </c>
      <c r="G355" s="91">
        <v>7</v>
      </c>
      <c r="H355" s="84" t="s">
        <v>18</v>
      </c>
      <c r="I355" s="85">
        <v>11</v>
      </c>
      <c r="J355" s="85" t="s">
        <v>19</v>
      </c>
      <c r="K355" s="87">
        <v>3219</v>
      </c>
      <c r="L355" s="87">
        <v>3298</v>
      </c>
      <c r="M355" s="87">
        <f>K355-L355</f>
        <v>-79</v>
      </c>
      <c r="N355" s="85" t="s">
        <v>458</v>
      </c>
      <c r="O355" s="87">
        <v>141000</v>
      </c>
      <c r="P355" s="89" t="s">
        <v>433</v>
      </c>
      <c r="Q355" s="88"/>
      <c r="R355" s="90" t="s">
        <v>62</v>
      </c>
      <c r="T355" s="35">
        <v>440201</v>
      </c>
    </row>
    <row r="356" spans="1:20" ht="18" customHeight="1">
      <c r="A356" s="83">
        <v>4</v>
      </c>
      <c r="B356" s="84" t="s">
        <v>428</v>
      </c>
      <c r="C356" s="84">
        <v>2</v>
      </c>
      <c r="D356" s="84" t="s">
        <v>144</v>
      </c>
      <c r="E356" s="84">
        <v>1</v>
      </c>
      <c r="F356" s="84" t="s">
        <v>144</v>
      </c>
      <c r="G356" s="91">
        <v>7</v>
      </c>
      <c r="H356" s="84" t="s">
        <v>18</v>
      </c>
      <c r="I356" s="91">
        <v>11</v>
      </c>
      <c r="J356" s="91" t="s">
        <v>19</v>
      </c>
      <c r="K356" s="87"/>
      <c r="L356" s="87"/>
      <c r="M356" s="87"/>
      <c r="N356" s="85" t="s">
        <v>459</v>
      </c>
      <c r="O356" s="87">
        <v>642600</v>
      </c>
      <c r="P356" s="89" t="s">
        <v>434</v>
      </c>
      <c r="Q356" s="88">
        <v>952</v>
      </c>
      <c r="R356" s="90" t="s">
        <v>62</v>
      </c>
      <c r="T356" s="35">
        <v>440201</v>
      </c>
    </row>
    <row r="357" spans="1:20" ht="18" customHeight="1">
      <c r="A357" s="83">
        <v>4</v>
      </c>
      <c r="B357" s="84" t="s">
        <v>428</v>
      </c>
      <c r="C357" s="84">
        <v>2</v>
      </c>
      <c r="D357" s="84" t="s">
        <v>144</v>
      </c>
      <c r="E357" s="84">
        <v>1</v>
      </c>
      <c r="F357" s="84" t="s">
        <v>144</v>
      </c>
      <c r="G357" s="91">
        <v>7</v>
      </c>
      <c r="H357" s="84" t="s">
        <v>18</v>
      </c>
      <c r="I357" s="91">
        <v>11</v>
      </c>
      <c r="J357" s="91" t="s">
        <v>19</v>
      </c>
      <c r="K357" s="87"/>
      <c r="L357" s="87"/>
      <c r="M357" s="87"/>
      <c r="N357" s="85" t="s">
        <v>460</v>
      </c>
      <c r="O357" s="87">
        <v>338400</v>
      </c>
      <c r="P357" s="89" t="s">
        <v>436</v>
      </c>
      <c r="Q357" s="88"/>
      <c r="R357" s="90" t="s">
        <v>62</v>
      </c>
      <c r="T357" s="35">
        <v>440201</v>
      </c>
    </row>
    <row r="358" spans="1:20" ht="18" customHeight="1">
      <c r="A358" s="83">
        <v>4</v>
      </c>
      <c r="B358" s="84" t="s">
        <v>428</v>
      </c>
      <c r="C358" s="84">
        <v>2</v>
      </c>
      <c r="D358" s="84" t="s">
        <v>144</v>
      </c>
      <c r="E358" s="84">
        <v>1</v>
      </c>
      <c r="F358" s="84" t="s">
        <v>144</v>
      </c>
      <c r="G358" s="91">
        <v>7</v>
      </c>
      <c r="H358" s="84" t="s">
        <v>18</v>
      </c>
      <c r="I358" s="91">
        <v>11</v>
      </c>
      <c r="J358" s="91" t="s">
        <v>19</v>
      </c>
      <c r="K358" s="87"/>
      <c r="L358" s="87"/>
      <c r="M358" s="87"/>
      <c r="N358" s="85" t="s">
        <v>461</v>
      </c>
      <c r="O358" s="87">
        <v>149760</v>
      </c>
      <c r="P358" s="89" t="s">
        <v>434</v>
      </c>
      <c r="Q358" s="88">
        <v>1285</v>
      </c>
      <c r="R358" s="90" t="s">
        <v>62</v>
      </c>
      <c r="T358" s="35">
        <v>440201</v>
      </c>
    </row>
    <row r="359" spans="1:20" ht="18" customHeight="1">
      <c r="A359" s="83">
        <v>4</v>
      </c>
      <c r="B359" s="84" t="s">
        <v>428</v>
      </c>
      <c r="C359" s="84">
        <v>2</v>
      </c>
      <c r="D359" s="84" t="s">
        <v>144</v>
      </c>
      <c r="E359" s="84">
        <v>1</v>
      </c>
      <c r="F359" s="84" t="s">
        <v>144</v>
      </c>
      <c r="G359" s="91">
        <v>7</v>
      </c>
      <c r="H359" s="84" t="s">
        <v>18</v>
      </c>
      <c r="I359" s="91">
        <v>11</v>
      </c>
      <c r="J359" s="91" t="s">
        <v>19</v>
      </c>
      <c r="K359" s="87"/>
      <c r="L359" s="87"/>
      <c r="M359" s="87"/>
      <c r="N359" s="85" t="s">
        <v>462</v>
      </c>
      <c r="O359" s="87">
        <v>78400</v>
      </c>
      <c r="P359" s="89" t="s">
        <v>438</v>
      </c>
      <c r="Q359" s="88"/>
      <c r="R359" s="90" t="s">
        <v>62</v>
      </c>
      <c r="T359" s="35">
        <v>440201</v>
      </c>
    </row>
    <row r="360" spans="1:20" ht="18" customHeight="1">
      <c r="A360" s="83">
        <v>4</v>
      </c>
      <c r="B360" s="84" t="s">
        <v>428</v>
      </c>
      <c r="C360" s="84">
        <v>2</v>
      </c>
      <c r="D360" s="84" t="s">
        <v>144</v>
      </c>
      <c r="E360" s="84">
        <v>1</v>
      </c>
      <c r="F360" s="84" t="s">
        <v>144</v>
      </c>
      <c r="G360" s="91">
        <v>7</v>
      </c>
      <c r="H360" s="84" t="s">
        <v>18</v>
      </c>
      <c r="I360" s="91">
        <v>11</v>
      </c>
      <c r="J360" s="91" t="s">
        <v>19</v>
      </c>
      <c r="K360" s="87"/>
      <c r="L360" s="87"/>
      <c r="M360" s="87"/>
      <c r="N360" s="85" t="s">
        <v>463</v>
      </c>
      <c r="O360" s="87">
        <v>134400</v>
      </c>
      <c r="P360" s="89" t="s">
        <v>434</v>
      </c>
      <c r="Q360" s="88">
        <v>595</v>
      </c>
      <c r="R360" s="90" t="s">
        <v>62</v>
      </c>
      <c r="T360" s="35">
        <v>440201</v>
      </c>
    </row>
    <row r="361" spans="1:20" ht="18" customHeight="1">
      <c r="A361" s="83">
        <v>4</v>
      </c>
      <c r="B361" s="84" t="s">
        <v>428</v>
      </c>
      <c r="C361" s="84">
        <v>2</v>
      </c>
      <c r="D361" s="84" t="s">
        <v>144</v>
      </c>
      <c r="E361" s="84">
        <v>1</v>
      </c>
      <c r="F361" s="84" t="s">
        <v>144</v>
      </c>
      <c r="G361" s="91">
        <v>7</v>
      </c>
      <c r="H361" s="84" t="s">
        <v>18</v>
      </c>
      <c r="I361" s="91">
        <v>11</v>
      </c>
      <c r="J361" s="91" t="s">
        <v>19</v>
      </c>
      <c r="K361" s="87"/>
      <c r="L361" s="87"/>
      <c r="M361" s="87"/>
      <c r="N361" s="85" t="s">
        <v>464</v>
      </c>
      <c r="O361" s="87">
        <v>80000</v>
      </c>
      <c r="P361" s="89" t="s">
        <v>441</v>
      </c>
      <c r="Q361" s="88"/>
      <c r="R361" s="90" t="s">
        <v>62</v>
      </c>
      <c r="T361" s="35">
        <v>440201</v>
      </c>
    </row>
    <row r="362" spans="1:20" ht="18" customHeight="1">
      <c r="A362" s="83">
        <v>4</v>
      </c>
      <c r="B362" s="84" t="s">
        <v>428</v>
      </c>
      <c r="C362" s="84">
        <v>2</v>
      </c>
      <c r="D362" s="84" t="s">
        <v>144</v>
      </c>
      <c r="E362" s="84">
        <v>1</v>
      </c>
      <c r="F362" s="84" t="s">
        <v>144</v>
      </c>
      <c r="G362" s="91">
        <v>7</v>
      </c>
      <c r="H362" s="84" t="s">
        <v>18</v>
      </c>
      <c r="I362" s="91">
        <v>11</v>
      </c>
      <c r="J362" s="91" t="s">
        <v>19</v>
      </c>
      <c r="K362" s="87"/>
      <c r="L362" s="87"/>
      <c r="M362" s="87"/>
      <c r="N362" s="85" t="s">
        <v>465</v>
      </c>
      <c r="O362" s="87">
        <v>1200000</v>
      </c>
      <c r="P362" s="89" t="s">
        <v>434</v>
      </c>
      <c r="Q362" s="88">
        <v>595</v>
      </c>
      <c r="R362" s="90" t="s">
        <v>62</v>
      </c>
      <c r="T362" s="35">
        <v>440201</v>
      </c>
    </row>
    <row r="363" spans="1:20" ht="18" customHeight="1">
      <c r="A363" s="83">
        <v>4</v>
      </c>
      <c r="B363" s="84" t="s">
        <v>428</v>
      </c>
      <c r="C363" s="84">
        <v>2</v>
      </c>
      <c r="D363" s="84" t="s">
        <v>144</v>
      </c>
      <c r="E363" s="84">
        <v>1</v>
      </c>
      <c r="F363" s="84" t="s">
        <v>144</v>
      </c>
      <c r="G363" s="91">
        <v>7</v>
      </c>
      <c r="H363" s="84" t="s">
        <v>18</v>
      </c>
      <c r="I363" s="91">
        <v>11</v>
      </c>
      <c r="J363" s="91" t="s">
        <v>19</v>
      </c>
      <c r="K363" s="87"/>
      <c r="L363" s="87"/>
      <c r="M363" s="87"/>
      <c r="N363" s="85" t="s">
        <v>466</v>
      </c>
      <c r="O363" s="87">
        <v>100800</v>
      </c>
      <c r="P363" s="89" t="s">
        <v>444</v>
      </c>
      <c r="Q363" s="88"/>
      <c r="R363" s="90" t="s">
        <v>62</v>
      </c>
      <c r="T363" s="35">
        <v>440201</v>
      </c>
    </row>
    <row r="364" spans="1:20" ht="18" customHeight="1">
      <c r="A364" s="83">
        <v>4</v>
      </c>
      <c r="B364" s="84" t="s">
        <v>428</v>
      </c>
      <c r="C364" s="84">
        <v>2</v>
      </c>
      <c r="D364" s="84" t="s">
        <v>144</v>
      </c>
      <c r="E364" s="84">
        <v>1</v>
      </c>
      <c r="F364" s="84" t="s">
        <v>144</v>
      </c>
      <c r="G364" s="91">
        <v>7</v>
      </c>
      <c r="H364" s="84" t="s">
        <v>18</v>
      </c>
      <c r="I364" s="91">
        <v>11</v>
      </c>
      <c r="J364" s="91" t="s">
        <v>19</v>
      </c>
      <c r="K364" s="87"/>
      <c r="L364" s="87"/>
      <c r="M364" s="87"/>
      <c r="N364" s="85" t="s">
        <v>467</v>
      </c>
      <c r="O364" s="87">
        <v>144000</v>
      </c>
      <c r="P364" s="89"/>
      <c r="Q364" s="88"/>
      <c r="R364" s="90" t="s">
        <v>62</v>
      </c>
      <c r="T364" s="35">
        <v>440201</v>
      </c>
    </row>
    <row r="365" spans="1:20" ht="18" customHeight="1">
      <c r="A365" s="83">
        <v>4</v>
      </c>
      <c r="B365" s="84" t="s">
        <v>428</v>
      </c>
      <c r="C365" s="84">
        <v>2</v>
      </c>
      <c r="D365" s="84" t="s">
        <v>144</v>
      </c>
      <c r="E365" s="84">
        <v>1</v>
      </c>
      <c r="F365" s="84" t="s">
        <v>144</v>
      </c>
      <c r="G365" s="91">
        <v>7</v>
      </c>
      <c r="H365" s="84" t="s">
        <v>18</v>
      </c>
      <c r="I365" s="91">
        <v>11</v>
      </c>
      <c r="J365" s="91" t="s">
        <v>19</v>
      </c>
      <c r="K365" s="87"/>
      <c r="L365" s="87"/>
      <c r="M365" s="87"/>
      <c r="N365" s="85" t="s">
        <v>468</v>
      </c>
      <c r="O365" s="87">
        <v>60000</v>
      </c>
      <c r="P365" s="89"/>
      <c r="Q365" s="88"/>
      <c r="R365" s="90" t="s">
        <v>62</v>
      </c>
      <c r="T365" s="35">
        <v>440201</v>
      </c>
    </row>
    <row r="366" spans="1:20" ht="18" customHeight="1">
      <c r="A366" s="83">
        <v>4</v>
      </c>
      <c r="B366" s="84" t="s">
        <v>428</v>
      </c>
      <c r="C366" s="84">
        <v>2</v>
      </c>
      <c r="D366" s="84" t="s">
        <v>144</v>
      </c>
      <c r="E366" s="84">
        <v>1</v>
      </c>
      <c r="F366" s="84" t="s">
        <v>144</v>
      </c>
      <c r="G366" s="91">
        <v>7</v>
      </c>
      <c r="H366" s="84" t="s">
        <v>18</v>
      </c>
      <c r="I366" s="91">
        <v>11</v>
      </c>
      <c r="J366" s="91" t="s">
        <v>19</v>
      </c>
      <c r="K366" s="87"/>
      <c r="L366" s="87"/>
      <c r="M366" s="87"/>
      <c r="N366" s="85" t="s">
        <v>469</v>
      </c>
      <c r="O366" s="87">
        <v>48240</v>
      </c>
      <c r="P366" s="89"/>
      <c r="Q366" s="88"/>
      <c r="R366" s="90" t="s">
        <v>62</v>
      </c>
      <c r="T366" s="35">
        <v>440201</v>
      </c>
    </row>
    <row r="367" spans="1:20" ht="18" customHeight="1">
      <c r="A367" s="83">
        <v>4</v>
      </c>
      <c r="B367" s="84" t="s">
        <v>428</v>
      </c>
      <c r="C367" s="84">
        <v>2</v>
      </c>
      <c r="D367" s="84" t="s">
        <v>144</v>
      </c>
      <c r="E367" s="84">
        <v>1</v>
      </c>
      <c r="F367" s="84" t="s">
        <v>144</v>
      </c>
      <c r="G367" s="91">
        <v>7</v>
      </c>
      <c r="H367" s="84" t="s">
        <v>18</v>
      </c>
      <c r="I367" s="91">
        <v>11</v>
      </c>
      <c r="J367" s="91" t="s">
        <v>19</v>
      </c>
      <c r="K367" s="87"/>
      <c r="L367" s="87"/>
      <c r="M367" s="87"/>
      <c r="N367" s="85" t="s">
        <v>470</v>
      </c>
      <c r="O367" s="87">
        <v>41760</v>
      </c>
      <c r="P367" s="89"/>
      <c r="Q367" s="88"/>
      <c r="R367" s="90" t="s">
        <v>62</v>
      </c>
      <c r="T367" s="35">
        <v>440201</v>
      </c>
    </row>
    <row r="368" spans="1:20" ht="18" customHeight="1">
      <c r="A368" s="83">
        <v>4</v>
      </c>
      <c r="B368" s="84" t="s">
        <v>428</v>
      </c>
      <c r="C368" s="84">
        <v>2</v>
      </c>
      <c r="D368" s="84" t="s">
        <v>144</v>
      </c>
      <c r="E368" s="84">
        <v>1</v>
      </c>
      <c r="F368" s="84" t="s">
        <v>144</v>
      </c>
      <c r="G368" s="91">
        <v>7</v>
      </c>
      <c r="H368" s="84" t="s">
        <v>18</v>
      </c>
      <c r="I368" s="91">
        <v>11</v>
      </c>
      <c r="J368" s="91" t="s">
        <v>19</v>
      </c>
      <c r="K368" s="87"/>
      <c r="L368" s="87"/>
      <c r="M368" s="87"/>
      <c r="N368" s="85" t="s">
        <v>471</v>
      </c>
      <c r="O368" s="87">
        <v>59400</v>
      </c>
      <c r="P368" s="89"/>
      <c r="Q368" s="88"/>
      <c r="R368" s="90" t="s">
        <v>62</v>
      </c>
      <c r="T368" s="35">
        <v>440201</v>
      </c>
    </row>
    <row r="369" spans="1:20" ht="18" customHeight="1">
      <c r="A369" s="83">
        <v>4</v>
      </c>
      <c r="B369" s="84" t="s">
        <v>428</v>
      </c>
      <c r="C369" s="84">
        <v>2</v>
      </c>
      <c r="D369" s="84" t="s">
        <v>144</v>
      </c>
      <c r="E369" s="84">
        <v>1</v>
      </c>
      <c r="F369" s="84" t="s">
        <v>144</v>
      </c>
      <c r="G369" s="91">
        <v>7</v>
      </c>
      <c r="H369" s="84" t="s">
        <v>18</v>
      </c>
      <c r="I369" s="85">
        <v>31</v>
      </c>
      <c r="J369" s="85" t="s">
        <v>56</v>
      </c>
      <c r="K369" s="87">
        <v>211</v>
      </c>
      <c r="L369" s="87">
        <v>211</v>
      </c>
      <c r="M369" s="87">
        <f>K369-L369</f>
        <v>0</v>
      </c>
      <c r="N369" s="85" t="s">
        <v>472</v>
      </c>
      <c r="O369" s="87">
        <v>55000</v>
      </c>
      <c r="P369" s="89"/>
      <c r="Q369" s="88"/>
      <c r="R369" s="90" t="s">
        <v>62</v>
      </c>
      <c r="T369" s="35">
        <v>440201</v>
      </c>
    </row>
    <row r="370" spans="1:20" ht="18" customHeight="1">
      <c r="A370" s="83">
        <v>4</v>
      </c>
      <c r="B370" s="84" t="s">
        <v>428</v>
      </c>
      <c r="C370" s="84">
        <v>2</v>
      </c>
      <c r="D370" s="84" t="s">
        <v>144</v>
      </c>
      <c r="E370" s="84">
        <v>1</v>
      </c>
      <c r="F370" s="84" t="s">
        <v>144</v>
      </c>
      <c r="G370" s="91">
        <v>7</v>
      </c>
      <c r="H370" s="84" t="s">
        <v>18</v>
      </c>
      <c r="I370" s="91">
        <v>31</v>
      </c>
      <c r="J370" s="91" t="s">
        <v>56</v>
      </c>
      <c r="K370" s="87"/>
      <c r="L370" s="87"/>
      <c r="M370" s="87"/>
      <c r="N370" s="85" t="s">
        <v>473</v>
      </c>
      <c r="O370" s="87">
        <v>66000</v>
      </c>
      <c r="P370" s="89"/>
      <c r="Q370" s="88"/>
      <c r="R370" s="90" t="s">
        <v>62</v>
      </c>
      <c r="T370" s="35">
        <v>440201</v>
      </c>
    </row>
    <row r="371" spans="1:20" ht="18" customHeight="1">
      <c r="A371" s="83">
        <v>4</v>
      </c>
      <c r="B371" s="84" t="s">
        <v>428</v>
      </c>
      <c r="C371" s="84">
        <v>2</v>
      </c>
      <c r="D371" s="84" t="s">
        <v>144</v>
      </c>
      <c r="E371" s="84">
        <v>1</v>
      </c>
      <c r="F371" s="84" t="s">
        <v>144</v>
      </c>
      <c r="G371" s="91">
        <v>7</v>
      </c>
      <c r="H371" s="84" t="s">
        <v>18</v>
      </c>
      <c r="I371" s="91">
        <v>31</v>
      </c>
      <c r="J371" s="91" t="s">
        <v>56</v>
      </c>
      <c r="K371" s="87"/>
      <c r="L371" s="87"/>
      <c r="M371" s="87"/>
      <c r="N371" s="85" t="s">
        <v>474</v>
      </c>
      <c r="O371" s="87">
        <v>90000</v>
      </c>
      <c r="P371" s="89"/>
      <c r="Q371" s="88"/>
      <c r="R371" s="90" t="s">
        <v>62</v>
      </c>
      <c r="T371" s="35">
        <v>440201</v>
      </c>
    </row>
    <row r="372" spans="1:20" ht="18" customHeight="1">
      <c r="A372" s="83">
        <v>4</v>
      </c>
      <c r="B372" s="84" t="s">
        <v>428</v>
      </c>
      <c r="C372" s="84">
        <v>2</v>
      </c>
      <c r="D372" s="84" t="s">
        <v>144</v>
      </c>
      <c r="E372" s="84">
        <v>1</v>
      </c>
      <c r="F372" s="84" t="s">
        <v>144</v>
      </c>
      <c r="G372" s="85">
        <v>8</v>
      </c>
      <c r="H372" s="86" t="s">
        <v>20</v>
      </c>
      <c r="I372" s="85"/>
      <c r="J372" s="85"/>
      <c r="K372" s="87"/>
      <c r="L372" s="87"/>
      <c r="M372" s="87"/>
      <c r="N372" s="85"/>
      <c r="O372" s="88"/>
      <c r="P372" s="89"/>
      <c r="Q372" s="88"/>
      <c r="R372" s="90" t="s">
        <v>62</v>
      </c>
      <c r="T372" s="35">
        <v>440201</v>
      </c>
    </row>
    <row r="373" spans="1:20" ht="18" customHeight="1">
      <c r="A373" s="83">
        <v>4</v>
      </c>
      <c r="B373" s="84" t="s">
        <v>428</v>
      </c>
      <c r="C373" s="84">
        <v>2</v>
      </c>
      <c r="D373" s="84" t="s">
        <v>144</v>
      </c>
      <c r="E373" s="84">
        <v>1</v>
      </c>
      <c r="F373" s="84" t="s">
        <v>144</v>
      </c>
      <c r="G373" s="91">
        <v>8</v>
      </c>
      <c r="H373" s="84" t="s">
        <v>20</v>
      </c>
      <c r="I373" s="85">
        <v>2</v>
      </c>
      <c r="J373" s="85" t="s">
        <v>21</v>
      </c>
      <c r="K373" s="87">
        <v>11</v>
      </c>
      <c r="L373" s="87">
        <v>11</v>
      </c>
      <c r="M373" s="87">
        <f>K373-L373</f>
        <v>0</v>
      </c>
      <c r="N373" s="85" t="s">
        <v>475</v>
      </c>
      <c r="O373" s="87">
        <v>10500</v>
      </c>
      <c r="P373" s="89"/>
      <c r="Q373" s="88"/>
      <c r="R373" s="90" t="s">
        <v>62</v>
      </c>
      <c r="T373" s="35">
        <v>440201</v>
      </c>
    </row>
    <row r="374" spans="1:20" ht="18" customHeight="1">
      <c r="A374" s="83">
        <v>4</v>
      </c>
      <c r="B374" s="84" t="s">
        <v>428</v>
      </c>
      <c r="C374" s="84">
        <v>2</v>
      </c>
      <c r="D374" s="84" t="s">
        <v>144</v>
      </c>
      <c r="E374" s="84">
        <v>1</v>
      </c>
      <c r="F374" s="84" t="s">
        <v>144</v>
      </c>
      <c r="G374" s="85">
        <v>10</v>
      </c>
      <c r="H374" s="86" t="s">
        <v>23</v>
      </c>
      <c r="I374" s="85"/>
      <c r="J374" s="85"/>
      <c r="K374" s="87"/>
      <c r="L374" s="87"/>
      <c r="M374" s="87"/>
      <c r="N374" s="85"/>
      <c r="O374" s="88"/>
      <c r="P374" s="89"/>
      <c r="Q374" s="88"/>
      <c r="R374" s="90" t="s">
        <v>62</v>
      </c>
      <c r="T374" s="35">
        <v>440201</v>
      </c>
    </row>
    <row r="375" spans="1:20" ht="18" customHeight="1">
      <c r="A375" s="83">
        <v>4</v>
      </c>
      <c r="B375" s="84" t="s">
        <v>428</v>
      </c>
      <c r="C375" s="84">
        <v>2</v>
      </c>
      <c r="D375" s="84" t="s">
        <v>144</v>
      </c>
      <c r="E375" s="84">
        <v>1</v>
      </c>
      <c r="F375" s="84" t="s">
        <v>144</v>
      </c>
      <c r="G375" s="91">
        <v>10</v>
      </c>
      <c r="H375" s="84" t="s">
        <v>23</v>
      </c>
      <c r="I375" s="85">
        <v>1</v>
      </c>
      <c r="J375" s="85" t="s">
        <v>24</v>
      </c>
      <c r="K375" s="87">
        <v>68</v>
      </c>
      <c r="L375" s="87">
        <v>144</v>
      </c>
      <c r="M375" s="87">
        <f>K375-L375</f>
        <v>-76</v>
      </c>
      <c r="N375" s="85" t="s">
        <v>476</v>
      </c>
      <c r="O375" s="87">
        <v>18000</v>
      </c>
      <c r="P375" s="89"/>
      <c r="Q375" s="88"/>
      <c r="R375" s="90" t="s">
        <v>62</v>
      </c>
      <c r="T375" s="35">
        <v>440201</v>
      </c>
    </row>
    <row r="376" spans="1:20" ht="18" customHeight="1">
      <c r="A376" s="83">
        <v>4</v>
      </c>
      <c r="B376" s="84" t="s">
        <v>428</v>
      </c>
      <c r="C376" s="84">
        <v>2</v>
      </c>
      <c r="D376" s="84" t="s">
        <v>144</v>
      </c>
      <c r="E376" s="84">
        <v>1</v>
      </c>
      <c r="F376" s="84" t="s">
        <v>144</v>
      </c>
      <c r="G376" s="91">
        <v>10</v>
      </c>
      <c r="H376" s="84" t="s">
        <v>23</v>
      </c>
      <c r="I376" s="91">
        <v>1</v>
      </c>
      <c r="J376" s="91" t="s">
        <v>24</v>
      </c>
      <c r="K376" s="87"/>
      <c r="L376" s="87"/>
      <c r="M376" s="87"/>
      <c r="N376" s="85" t="s">
        <v>477</v>
      </c>
      <c r="O376" s="87">
        <v>20000</v>
      </c>
      <c r="P376" s="89"/>
      <c r="Q376" s="88"/>
      <c r="R376" s="90" t="s">
        <v>62</v>
      </c>
      <c r="T376" s="35">
        <v>440201</v>
      </c>
    </row>
    <row r="377" spans="1:20" ht="18" customHeight="1">
      <c r="A377" s="83">
        <v>4</v>
      </c>
      <c r="B377" s="84" t="s">
        <v>428</v>
      </c>
      <c r="C377" s="84">
        <v>2</v>
      </c>
      <c r="D377" s="84" t="s">
        <v>144</v>
      </c>
      <c r="E377" s="84">
        <v>1</v>
      </c>
      <c r="F377" s="84" t="s">
        <v>144</v>
      </c>
      <c r="G377" s="91">
        <v>10</v>
      </c>
      <c r="H377" s="84" t="s">
        <v>23</v>
      </c>
      <c r="I377" s="91">
        <v>1</v>
      </c>
      <c r="J377" s="91" t="s">
        <v>24</v>
      </c>
      <c r="K377" s="87"/>
      <c r="L377" s="87"/>
      <c r="M377" s="87"/>
      <c r="N377" s="85" t="s">
        <v>478</v>
      </c>
      <c r="O377" s="87">
        <v>30000</v>
      </c>
      <c r="P377" s="89"/>
      <c r="Q377" s="88"/>
      <c r="R377" s="90" t="s">
        <v>62</v>
      </c>
      <c r="T377" s="35">
        <v>440201</v>
      </c>
    </row>
    <row r="378" spans="1:20" ht="18" customHeight="1">
      <c r="A378" s="83">
        <v>4</v>
      </c>
      <c r="B378" s="84" t="s">
        <v>428</v>
      </c>
      <c r="C378" s="84">
        <v>2</v>
      </c>
      <c r="D378" s="84" t="s">
        <v>144</v>
      </c>
      <c r="E378" s="84">
        <v>1</v>
      </c>
      <c r="F378" s="84" t="s">
        <v>144</v>
      </c>
      <c r="G378" s="91">
        <v>10</v>
      </c>
      <c r="H378" s="84" t="s">
        <v>23</v>
      </c>
      <c r="I378" s="85">
        <v>2</v>
      </c>
      <c r="J378" s="85" t="s">
        <v>53</v>
      </c>
      <c r="K378" s="87">
        <v>16</v>
      </c>
      <c r="L378" s="87">
        <v>15</v>
      </c>
      <c r="M378" s="87">
        <f>K378-L378</f>
        <v>1</v>
      </c>
      <c r="N378" s="85" t="s">
        <v>479</v>
      </c>
      <c r="O378" s="87">
        <v>15300</v>
      </c>
      <c r="P378" s="89"/>
      <c r="Q378" s="88"/>
      <c r="R378" s="90" t="s">
        <v>62</v>
      </c>
      <c r="T378" s="35">
        <v>440201</v>
      </c>
    </row>
    <row r="379" spans="1:20" ht="18" customHeight="1">
      <c r="A379" s="83">
        <v>4</v>
      </c>
      <c r="B379" s="84" t="s">
        <v>428</v>
      </c>
      <c r="C379" s="84">
        <v>2</v>
      </c>
      <c r="D379" s="84" t="s">
        <v>144</v>
      </c>
      <c r="E379" s="84">
        <v>1</v>
      </c>
      <c r="F379" s="84" t="s">
        <v>144</v>
      </c>
      <c r="G379" s="91">
        <v>10</v>
      </c>
      <c r="H379" s="84" t="s">
        <v>23</v>
      </c>
      <c r="I379" s="85">
        <v>3</v>
      </c>
      <c r="J379" s="85" t="s">
        <v>25</v>
      </c>
      <c r="K379" s="87">
        <v>72</v>
      </c>
      <c r="L379" s="87">
        <v>60</v>
      </c>
      <c r="M379" s="87">
        <f>K379-L379</f>
        <v>12</v>
      </c>
      <c r="N379" s="85" t="s">
        <v>607</v>
      </c>
      <c r="O379" s="87">
        <v>72000</v>
      </c>
      <c r="P379" s="89"/>
      <c r="Q379" s="88"/>
      <c r="R379" s="90" t="s">
        <v>62</v>
      </c>
      <c r="T379" s="35">
        <v>440201</v>
      </c>
    </row>
    <row r="380" spans="1:20" ht="18" customHeight="1">
      <c r="A380" s="83">
        <v>4</v>
      </c>
      <c r="B380" s="84" t="s">
        <v>428</v>
      </c>
      <c r="C380" s="84">
        <v>2</v>
      </c>
      <c r="D380" s="84" t="s">
        <v>144</v>
      </c>
      <c r="E380" s="84">
        <v>1</v>
      </c>
      <c r="F380" s="84" t="s">
        <v>144</v>
      </c>
      <c r="G380" s="91">
        <v>10</v>
      </c>
      <c r="H380" s="84" t="s">
        <v>23</v>
      </c>
      <c r="I380" s="85">
        <v>4</v>
      </c>
      <c r="J380" s="85" t="s">
        <v>26</v>
      </c>
      <c r="K380" s="87">
        <v>45</v>
      </c>
      <c r="L380" s="87">
        <v>45</v>
      </c>
      <c r="M380" s="87">
        <f>K380-L380</f>
        <v>0</v>
      </c>
      <c r="N380" s="85" t="s">
        <v>480</v>
      </c>
      <c r="O380" s="87">
        <v>45000</v>
      </c>
      <c r="P380" s="89"/>
      <c r="Q380" s="88"/>
      <c r="R380" s="90" t="s">
        <v>62</v>
      </c>
      <c r="T380" s="35">
        <v>440201</v>
      </c>
    </row>
    <row r="381" spans="1:20" ht="18" customHeight="1">
      <c r="A381" s="83">
        <v>4</v>
      </c>
      <c r="B381" s="84" t="s">
        <v>428</v>
      </c>
      <c r="C381" s="84">
        <v>2</v>
      </c>
      <c r="D381" s="84" t="s">
        <v>144</v>
      </c>
      <c r="E381" s="84">
        <v>1</v>
      </c>
      <c r="F381" s="84" t="s">
        <v>144</v>
      </c>
      <c r="G381" s="91">
        <v>10</v>
      </c>
      <c r="H381" s="84" t="s">
        <v>23</v>
      </c>
      <c r="I381" s="85">
        <v>7</v>
      </c>
      <c r="J381" s="85" t="s">
        <v>67</v>
      </c>
      <c r="K381" s="87">
        <v>60</v>
      </c>
      <c r="L381" s="87">
        <v>0</v>
      </c>
      <c r="M381" s="87">
        <f>K381-L381</f>
        <v>60</v>
      </c>
      <c r="N381" s="85" t="s">
        <v>481</v>
      </c>
      <c r="O381" s="87">
        <v>60000</v>
      </c>
      <c r="P381" s="89"/>
      <c r="Q381" s="88"/>
      <c r="R381" s="90" t="s">
        <v>62</v>
      </c>
      <c r="T381" s="35">
        <v>440201</v>
      </c>
    </row>
    <row r="382" spans="1:20" ht="18" customHeight="1">
      <c r="A382" s="83">
        <v>4</v>
      </c>
      <c r="B382" s="84" t="s">
        <v>428</v>
      </c>
      <c r="C382" s="84">
        <v>2</v>
      </c>
      <c r="D382" s="84" t="s">
        <v>144</v>
      </c>
      <c r="E382" s="84">
        <v>1</v>
      </c>
      <c r="F382" s="84" t="s">
        <v>144</v>
      </c>
      <c r="G382" s="85">
        <v>11</v>
      </c>
      <c r="H382" s="86" t="s">
        <v>27</v>
      </c>
      <c r="I382" s="85"/>
      <c r="J382" s="85"/>
      <c r="K382" s="87"/>
      <c r="L382" s="87"/>
      <c r="M382" s="87"/>
      <c r="N382" s="85"/>
      <c r="O382" s="88"/>
      <c r="P382" s="89"/>
      <c r="Q382" s="88"/>
      <c r="R382" s="90" t="s">
        <v>62</v>
      </c>
      <c r="T382" s="35">
        <v>440201</v>
      </c>
    </row>
    <row r="383" spans="1:20" ht="18" customHeight="1">
      <c r="A383" s="83">
        <v>4</v>
      </c>
      <c r="B383" s="84" t="s">
        <v>428</v>
      </c>
      <c r="C383" s="84">
        <v>2</v>
      </c>
      <c r="D383" s="84" t="s">
        <v>144</v>
      </c>
      <c r="E383" s="84">
        <v>1</v>
      </c>
      <c r="F383" s="84" t="s">
        <v>144</v>
      </c>
      <c r="G383" s="91">
        <v>11</v>
      </c>
      <c r="H383" s="84" t="s">
        <v>27</v>
      </c>
      <c r="I383" s="85">
        <v>1</v>
      </c>
      <c r="J383" s="85" t="s">
        <v>28</v>
      </c>
      <c r="K383" s="87">
        <v>10</v>
      </c>
      <c r="L383" s="87">
        <v>51</v>
      </c>
      <c r="M383" s="87">
        <f>K383-L383</f>
        <v>-41</v>
      </c>
      <c r="N383" s="85" t="s">
        <v>482</v>
      </c>
      <c r="O383" s="87">
        <v>8400</v>
      </c>
      <c r="P383" s="89"/>
      <c r="Q383" s="88"/>
      <c r="R383" s="90" t="s">
        <v>62</v>
      </c>
      <c r="T383" s="35">
        <v>440201</v>
      </c>
    </row>
    <row r="384" spans="1:20" ht="18" customHeight="1">
      <c r="A384" s="83">
        <v>4</v>
      </c>
      <c r="B384" s="84" t="s">
        <v>428</v>
      </c>
      <c r="C384" s="84">
        <v>2</v>
      </c>
      <c r="D384" s="84" t="s">
        <v>144</v>
      </c>
      <c r="E384" s="84">
        <v>1</v>
      </c>
      <c r="F384" s="84" t="s">
        <v>144</v>
      </c>
      <c r="G384" s="91">
        <v>11</v>
      </c>
      <c r="H384" s="84" t="s">
        <v>27</v>
      </c>
      <c r="I384" s="91">
        <v>1</v>
      </c>
      <c r="J384" s="91" t="s">
        <v>28</v>
      </c>
      <c r="K384" s="87"/>
      <c r="L384" s="87"/>
      <c r="M384" s="87"/>
      <c r="N384" s="85" t="s">
        <v>94</v>
      </c>
      <c r="O384" s="87">
        <v>1600</v>
      </c>
      <c r="P384" s="89"/>
      <c r="Q384" s="88"/>
      <c r="R384" s="90" t="s">
        <v>62</v>
      </c>
      <c r="T384" s="35">
        <v>440201</v>
      </c>
    </row>
    <row r="385" spans="1:20" ht="18" customHeight="1">
      <c r="A385" s="83">
        <v>4</v>
      </c>
      <c r="B385" s="84" t="s">
        <v>428</v>
      </c>
      <c r="C385" s="84">
        <v>2</v>
      </c>
      <c r="D385" s="84" t="s">
        <v>144</v>
      </c>
      <c r="E385" s="84">
        <v>1</v>
      </c>
      <c r="F385" s="84" t="s">
        <v>144</v>
      </c>
      <c r="G385" s="91">
        <v>11</v>
      </c>
      <c r="H385" s="84" t="s">
        <v>27</v>
      </c>
      <c r="I385" s="85">
        <v>3</v>
      </c>
      <c r="J385" s="85" t="s">
        <v>29</v>
      </c>
      <c r="K385" s="87">
        <v>50</v>
      </c>
      <c r="L385" s="87">
        <v>50</v>
      </c>
      <c r="M385" s="87">
        <f>K385-L385</f>
        <v>0</v>
      </c>
      <c r="N385" s="85" t="s">
        <v>30</v>
      </c>
      <c r="O385" s="87">
        <v>20000</v>
      </c>
      <c r="P385" s="89"/>
      <c r="Q385" s="88"/>
      <c r="R385" s="90" t="s">
        <v>62</v>
      </c>
      <c r="T385" s="35">
        <v>440201</v>
      </c>
    </row>
    <row r="386" spans="1:20" ht="18" customHeight="1">
      <c r="A386" s="83">
        <v>4</v>
      </c>
      <c r="B386" s="84" t="s">
        <v>428</v>
      </c>
      <c r="C386" s="84">
        <v>2</v>
      </c>
      <c r="D386" s="84" t="s">
        <v>144</v>
      </c>
      <c r="E386" s="84">
        <v>1</v>
      </c>
      <c r="F386" s="84" t="s">
        <v>144</v>
      </c>
      <c r="G386" s="91">
        <v>11</v>
      </c>
      <c r="H386" s="84" t="s">
        <v>27</v>
      </c>
      <c r="I386" s="91">
        <v>3</v>
      </c>
      <c r="J386" s="91" t="s">
        <v>29</v>
      </c>
      <c r="K386" s="87"/>
      <c r="L386" s="87"/>
      <c r="M386" s="87"/>
      <c r="N386" s="85" t="s">
        <v>483</v>
      </c>
      <c r="O386" s="87">
        <v>30000</v>
      </c>
      <c r="P386" s="89"/>
      <c r="Q386" s="88"/>
      <c r="R386" s="90" t="s">
        <v>62</v>
      </c>
      <c r="T386" s="35">
        <v>440201</v>
      </c>
    </row>
    <row r="387" spans="1:20" ht="18" customHeight="1">
      <c r="A387" s="83">
        <v>4</v>
      </c>
      <c r="B387" s="84" t="s">
        <v>428</v>
      </c>
      <c r="C387" s="84">
        <v>2</v>
      </c>
      <c r="D387" s="84" t="s">
        <v>144</v>
      </c>
      <c r="E387" s="84">
        <v>1</v>
      </c>
      <c r="F387" s="84" t="s">
        <v>144</v>
      </c>
      <c r="G387" s="91">
        <v>11</v>
      </c>
      <c r="H387" s="84" t="s">
        <v>27</v>
      </c>
      <c r="I387" s="85">
        <v>11</v>
      </c>
      <c r="J387" s="85" t="s">
        <v>31</v>
      </c>
      <c r="K387" s="87">
        <v>106</v>
      </c>
      <c r="L387" s="87">
        <v>106</v>
      </c>
      <c r="M387" s="87">
        <f>K387-L387</f>
        <v>0</v>
      </c>
      <c r="N387" s="85" t="s">
        <v>484</v>
      </c>
      <c r="O387" s="87">
        <v>95200</v>
      </c>
      <c r="P387" s="89"/>
      <c r="Q387" s="88"/>
      <c r="R387" s="90" t="s">
        <v>62</v>
      </c>
      <c r="T387" s="35">
        <v>440201</v>
      </c>
    </row>
    <row r="388" spans="1:20" ht="18" customHeight="1">
      <c r="A388" s="83">
        <v>4</v>
      </c>
      <c r="B388" s="84" t="s">
        <v>428</v>
      </c>
      <c r="C388" s="84">
        <v>2</v>
      </c>
      <c r="D388" s="84" t="s">
        <v>144</v>
      </c>
      <c r="E388" s="84">
        <v>1</v>
      </c>
      <c r="F388" s="84" t="s">
        <v>144</v>
      </c>
      <c r="G388" s="91">
        <v>11</v>
      </c>
      <c r="H388" s="84" t="s">
        <v>27</v>
      </c>
      <c r="I388" s="91">
        <v>11</v>
      </c>
      <c r="J388" s="91" t="s">
        <v>31</v>
      </c>
      <c r="K388" s="87"/>
      <c r="L388" s="87"/>
      <c r="M388" s="87"/>
      <c r="N388" s="85" t="s">
        <v>485</v>
      </c>
      <c r="O388" s="87">
        <v>10000</v>
      </c>
      <c r="P388" s="89"/>
      <c r="Q388" s="88"/>
      <c r="R388" s="90" t="s">
        <v>62</v>
      </c>
      <c r="T388" s="35">
        <v>440201</v>
      </c>
    </row>
    <row r="389" spans="1:20" ht="18" customHeight="1">
      <c r="A389" s="83">
        <v>4</v>
      </c>
      <c r="B389" s="84" t="s">
        <v>428</v>
      </c>
      <c r="C389" s="84">
        <v>2</v>
      </c>
      <c r="D389" s="84" t="s">
        <v>144</v>
      </c>
      <c r="E389" s="84">
        <v>1</v>
      </c>
      <c r="F389" s="84" t="s">
        <v>144</v>
      </c>
      <c r="G389" s="85">
        <v>12</v>
      </c>
      <c r="H389" s="86" t="s">
        <v>32</v>
      </c>
      <c r="I389" s="85"/>
      <c r="J389" s="85"/>
      <c r="K389" s="87"/>
      <c r="L389" s="87"/>
      <c r="M389" s="87"/>
      <c r="N389" s="85"/>
      <c r="O389" s="88"/>
      <c r="P389" s="89"/>
      <c r="Q389" s="88"/>
      <c r="R389" s="90" t="s">
        <v>62</v>
      </c>
      <c r="T389" s="35">
        <v>440201</v>
      </c>
    </row>
    <row r="390" spans="1:20" ht="18" customHeight="1">
      <c r="A390" s="83">
        <v>4</v>
      </c>
      <c r="B390" s="84" t="s">
        <v>428</v>
      </c>
      <c r="C390" s="84">
        <v>2</v>
      </c>
      <c r="D390" s="84" t="s">
        <v>144</v>
      </c>
      <c r="E390" s="84">
        <v>1</v>
      </c>
      <c r="F390" s="84" t="s">
        <v>144</v>
      </c>
      <c r="G390" s="91">
        <v>12</v>
      </c>
      <c r="H390" s="84" t="s">
        <v>32</v>
      </c>
      <c r="I390" s="85">
        <v>21</v>
      </c>
      <c r="J390" s="85" t="s">
        <v>33</v>
      </c>
      <c r="K390" s="87">
        <v>1478</v>
      </c>
      <c r="L390" s="87">
        <v>1830</v>
      </c>
      <c r="M390" s="87">
        <f>K390-L390</f>
        <v>-352</v>
      </c>
      <c r="N390" s="85" t="s">
        <v>486</v>
      </c>
      <c r="O390" s="87">
        <v>102000</v>
      </c>
      <c r="P390" s="89"/>
      <c r="Q390" s="88"/>
      <c r="R390" s="90" t="s">
        <v>62</v>
      </c>
      <c r="T390" s="35">
        <v>440201</v>
      </c>
    </row>
    <row r="391" spans="1:20" ht="18" customHeight="1">
      <c r="A391" s="83">
        <v>4</v>
      </c>
      <c r="B391" s="84" t="s">
        <v>428</v>
      </c>
      <c r="C391" s="84">
        <v>2</v>
      </c>
      <c r="D391" s="84" t="s">
        <v>144</v>
      </c>
      <c r="E391" s="84">
        <v>1</v>
      </c>
      <c r="F391" s="84" t="s">
        <v>144</v>
      </c>
      <c r="G391" s="91">
        <v>12</v>
      </c>
      <c r="H391" s="84" t="s">
        <v>32</v>
      </c>
      <c r="I391" s="91">
        <v>21</v>
      </c>
      <c r="J391" s="91" t="s">
        <v>33</v>
      </c>
      <c r="K391" s="87"/>
      <c r="L391" s="87"/>
      <c r="M391" s="87"/>
      <c r="N391" s="85" t="s">
        <v>487</v>
      </c>
      <c r="O391" s="87">
        <v>918000</v>
      </c>
      <c r="P391" s="89"/>
      <c r="Q391" s="88"/>
      <c r="R391" s="90" t="s">
        <v>62</v>
      </c>
      <c r="T391" s="35">
        <v>440201</v>
      </c>
    </row>
    <row r="392" spans="1:20" ht="18" customHeight="1">
      <c r="A392" s="83">
        <v>4</v>
      </c>
      <c r="B392" s="84" t="s">
        <v>428</v>
      </c>
      <c r="C392" s="84">
        <v>2</v>
      </c>
      <c r="D392" s="84" t="s">
        <v>144</v>
      </c>
      <c r="E392" s="84">
        <v>1</v>
      </c>
      <c r="F392" s="84" t="s">
        <v>144</v>
      </c>
      <c r="G392" s="91">
        <v>12</v>
      </c>
      <c r="H392" s="84" t="s">
        <v>32</v>
      </c>
      <c r="I392" s="91">
        <v>21</v>
      </c>
      <c r="J392" s="91" t="s">
        <v>33</v>
      </c>
      <c r="K392" s="87"/>
      <c r="L392" s="87"/>
      <c r="M392" s="87"/>
      <c r="N392" s="85" t="s">
        <v>488</v>
      </c>
      <c r="O392" s="87">
        <v>308000</v>
      </c>
      <c r="P392" s="89"/>
      <c r="Q392" s="88"/>
      <c r="R392" s="90" t="s">
        <v>62</v>
      </c>
      <c r="T392" s="35">
        <v>440201</v>
      </c>
    </row>
    <row r="393" spans="1:20" ht="18" customHeight="1">
      <c r="A393" s="83">
        <v>4</v>
      </c>
      <c r="B393" s="84" t="s">
        <v>428</v>
      </c>
      <c r="C393" s="84">
        <v>2</v>
      </c>
      <c r="D393" s="84" t="s">
        <v>144</v>
      </c>
      <c r="E393" s="84">
        <v>1</v>
      </c>
      <c r="F393" s="84" t="s">
        <v>144</v>
      </c>
      <c r="G393" s="91">
        <v>12</v>
      </c>
      <c r="H393" s="84" t="s">
        <v>32</v>
      </c>
      <c r="I393" s="91">
        <v>21</v>
      </c>
      <c r="J393" s="91" t="s">
        <v>33</v>
      </c>
      <c r="K393" s="87"/>
      <c r="L393" s="87"/>
      <c r="M393" s="87"/>
      <c r="N393" s="85" t="s">
        <v>489</v>
      </c>
      <c r="O393" s="87">
        <v>149600</v>
      </c>
      <c r="P393" s="89"/>
      <c r="Q393" s="88"/>
      <c r="R393" s="90" t="s">
        <v>62</v>
      </c>
      <c r="T393" s="35">
        <v>440201</v>
      </c>
    </row>
    <row r="394" spans="1:20" ht="18" customHeight="1">
      <c r="A394" s="83">
        <v>4</v>
      </c>
      <c r="B394" s="84" t="s">
        <v>428</v>
      </c>
      <c r="C394" s="84">
        <v>2</v>
      </c>
      <c r="D394" s="84" t="s">
        <v>144</v>
      </c>
      <c r="E394" s="84">
        <v>1</v>
      </c>
      <c r="F394" s="84" t="s">
        <v>144</v>
      </c>
      <c r="G394" s="85">
        <v>13</v>
      </c>
      <c r="H394" s="86" t="s">
        <v>34</v>
      </c>
      <c r="I394" s="85"/>
      <c r="J394" s="85"/>
      <c r="K394" s="87"/>
      <c r="L394" s="87"/>
      <c r="M394" s="87"/>
      <c r="N394" s="85"/>
      <c r="O394" s="88"/>
      <c r="P394" s="89"/>
      <c r="Q394" s="88"/>
      <c r="R394" s="90" t="s">
        <v>62</v>
      </c>
      <c r="T394" s="35">
        <v>440201</v>
      </c>
    </row>
    <row r="395" spans="1:20" ht="18" customHeight="1">
      <c r="A395" s="83">
        <v>4</v>
      </c>
      <c r="B395" s="84" t="s">
        <v>428</v>
      </c>
      <c r="C395" s="84">
        <v>2</v>
      </c>
      <c r="D395" s="84" t="s">
        <v>144</v>
      </c>
      <c r="E395" s="84">
        <v>1</v>
      </c>
      <c r="F395" s="84" t="s">
        <v>144</v>
      </c>
      <c r="G395" s="91">
        <v>13</v>
      </c>
      <c r="H395" s="84" t="s">
        <v>34</v>
      </c>
      <c r="I395" s="85">
        <v>1</v>
      </c>
      <c r="J395" s="85" t="s">
        <v>35</v>
      </c>
      <c r="K395" s="87">
        <v>20</v>
      </c>
      <c r="L395" s="87">
        <v>20</v>
      </c>
      <c r="M395" s="87">
        <f>K395-L395</f>
        <v>0</v>
      </c>
      <c r="N395" s="85" t="s">
        <v>490</v>
      </c>
      <c r="O395" s="87">
        <v>20000</v>
      </c>
      <c r="P395" s="89"/>
      <c r="Q395" s="88"/>
      <c r="R395" s="90" t="s">
        <v>62</v>
      </c>
      <c r="T395" s="35">
        <v>440201</v>
      </c>
    </row>
    <row r="396" spans="1:20" ht="18" customHeight="1">
      <c r="A396" s="65">
        <v>4</v>
      </c>
      <c r="B396" s="66" t="s">
        <v>428</v>
      </c>
      <c r="C396" s="67">
        <v>3</v>
      </c>
      <c r="D396" s="67" t="s">
        <v>491</v>
      </c>
      <c r="E396" s="68"/>
      <c r="F396" s="67"/>
      <c r="G396" s="68"/>
      <c r="H396" s="67"/>
      <c r="I396" s="68"/>
      <c r="J396" s="68"/>
      <c r="K396" s="69">
        <f>IF(C396="",SUMIFS($K397:$K$783,$A397:$A$783,A396,$E397:$E$783,""),IF(E396="",SUMIFS($K397:$K$783,$A397:$A$783,A396,$C397:$C$783,C396,$G397:$G$783,""),IF(G396="",SUMIFS($K397:$K$783,$A397:$A$783,A396,$C397:$C$783,C396,$E397:$E$783,E396,$R397:$R$783,R396),IF(I396="",SUMIFS($K397:$K$783,$A397:$A$783,A396,$C397:$C$783,C396,$E397:$E$783,E396,$G397:$G$783,G396,$R397:$R$783,R396),0))))</f>
        <v>36667</v>
      </c>
      <c r="L396" s="69">
        <f>IF(C396="",SUMIFS($L397:$L$783,$A397:$A$783,A396,$E397:$E$783,""),IF(E396="",SUMIFS($L397:$L$783,$A397:$A$783,A396,$C397:$C$783,C396,$G397:$G$783,""),IF(G396="",SUMIFS($L397:$L$783,$A397:$A$783,A396,$C397:$C$783,C396,$E397:$E$783,E396,$R397:$R$783,R396),IF(I396="",SUMIFS($L397:$L$783,$A397:$A$783,A396,$C397:$C$783,C396,$E397:$E$783,E396,$G397:$G$783,G396,$R397:$R$783,R396),0))))</f>
        <v>33281</v>
      </c>
      <c r="M396" s="69">
        <f t="shared" ref="M396:M397" si="26">K396-L396</f>
        <v>3386</v>
      </c>
      <c r="N396" s="70"/>
      <c r="O396" s="71"/>
      <c r="P396" s="72"/>
      <c r="Q396" s="69">
        <f>IF(C396="",SUMIFS($Q397:$Q$783,$A397:$A$783,A396,$E397:$E$783,""),IF(E396="",SUMIFS($Q397:$Q$783,$A397:$A$783,A396,$C397:$C$783,C396,$G397:$G$783,""),IF(G396="",SUMIFS($Q397:$Q$783,$A397:$A$783,A396,$C397:$C$783,C396,$E397:$E$783,E396,$R397:$R$783,R396),IF(I396="",SUMIFS($Q397:$Q$783,$A397:$A$783,A396,$C397:$C$783,C396,$E397:$E$783,E396,$G397:$G$783,G396,$R397:$R$783,R396),0))))</f>
        <v>32705</v>
      </c>
      <c r="R396" s="73"/>
      <c r="T396" s="35">
        <v>440301</v>
      </c>
    </row>
    <row r="397" spans="1:20" ht="18" customHeight="1">
      <c r="A397" s="65">
        <v>4</v>
      </c>
      <c r="B397" s="66" t="s">
        <v>430</v>
      </c>
      <c r="C397" s="74">
        <v>3</v>
      </c>
      <c r="D397" s="66" t="s">
        <v>492</v>
      </c>
      <c r="E397" s="75">
        <v>1</v>
      </c>
      <c r="F397" s="76" t="s">
        <v>493</v>
      </c>
      <c r="G397" s="75"/>
      <c r="H397" s="76"/>
      <c r="I397" s="75"/>
      <c r="J397" s="75"/>
      <c r="K397" s="77">
        <f>IF(C397="",SUMIFS($K398:$K$783,$A398:$A$783,A397,$E398:$E$783,""),IF(E397="",SUMIFS($K398:$K$783,$A398:$A$783,A397,$C398:$C$783,C397,$G398:$G$783,""),IF(G397="",SUMIFS($K398:$K$783,$A398:$A$783,A397,$C398:$C$783,C397,$E398:$E$783,E397,$R398:$R$783,R397),IF(I397="",SUMIFS($K398:$K$783,$A398:$A$783,A397,$C398:$C$783,C397,$E398:$E$783,E397,$G398:$G$783,G397,$R398:$R$783,R397),0))))</f>
        <v>27046</v>
      </c>
      <c r="L397" s="77">
        <f>IF(C397="",SUMIFS($L398:$L$783,$A398:$A$783,A397,$E398:$E$783,""),IF(E397="",SUMIFS($L398:$L$783,$A398:$A$783,A397,$C398:$C$783,C397,$G398:$G$783,""),IF(G397="",SUMIFS($L398:$L$783,$A398:$A$783,A397,$C398:$C$783,C397,$E398:$E$783,E397,$R398:$R$783,R397),IF(I397="",SUMIFS($L398:$L$783,$A398:$A$783,A397,$C398:$C$783,C397,$E398:$E$783,E397,$G398:$G$783,G397,$R398:$R$783,R397),0))))</f>
        <v>22766</v>
      </c>
      <c r="M397" s="77">
        <f t="shared" si="26"/>
        <v>4280</v>
      </c>
      <c r="N397" s="78"/>
      <c r="O397" s="79"/>
      <c r="P397" s="80"/>
      <c r="Q397" s="81">
        <f>IF(C397="",SUMIFS($Q398:$Q$781,$A398:$A$781,A397,$E398:$E$781,""),IF(E397="",SUMIFS($Q398:$Q$781,$A398:$A$781,A397,$C398:$C$781,C397,$G398:$G$781,""),IF(G397="",SUMIFS($Q398:$Q$781,$A398:$A$781,A397,$C398:$C$781,C397,$E398:$E$781,E397,$R398:$R$781,R397),IF(I397="",SUMIFS($Q398:$Q$781,$A398:$A$781,A397,$C398:$C$781,C397,$E398:$E$781,E397,$G398:$G$781,G397,$R398:$R$781,R397),0))))</f>
        <v>24409</v>
      </c>
      <c r="R397" s="82" t="s">
        <v>62</v>
      </c>
      <c r="T397" s="35">
        <v>440301</v>
      </c>
    </row>
    <row r="398" spans="1:20" ht="18" customHeight="1">
      <c r="A398" s="83">
        <v>4</v>
      </c>
      <c r="B398" s="84" t="s">
        <v>428</v>
      </c>
      <c r="C398" s="84">
        <v>3</v>
      </c>
      <c r="D398" s="84" t="s">
        <v>492</v>
      </c>
      <c r="E398" s="84">
        <v>1</v>
      </c>
      <c r="F398" s="84" t="s">
        <v>494</v>
      </c>
      <c r="G398" s="85">
        <v>2</v>
      </c>
      <c r="H398" s="86" t="s">
        <v>7</v>
      </c>
      <c r="I398" s="85"/>
      <c r="J398" s="85"/>
      <c r="K398" s="87"/>
      <c r="L398" s="87"/>
      <c r="M398" s="87"/>
      <c r="N398" s="85"/>
      <c r="O398" s="88"/>
      <c r="P398" s="89" t="s">
        <v>495</v>
      </c>
      <c r="Q398" s="88">
        <v>3720</v>
      </c>
      <c r="R398" s="90" t="s">
        <v>62</v>
      </c>
      <c r="T398" s="35">
        <v>440301</v>
      </c>
    </row>
    <row r="399" spans="1:20" ht="18" customHeight="1">
      <c r="A399" s="83">
        <v>4</v>
      </c>
      <c r="B399" s="84" t="s">
        <v>428</v>
      </c>
      <c r="C399" s="84">
        <v>3</v>
      </c>
      <c r="D399" s="84" t="s">
        <v>492</v>
      </c>
      <c r="E399" s="84">
        <v>1</v>
      </c>
      <c r="F399" s="84" t="s">
        <v>494</v>
      </c>
      <c r="G399" s="91">
        <v>2</v>
      </c>
      <c r="H399" s="84" t="s">
        <v>7</v>
      </c>
      <c r="I399" s="85">
        <v>3</v>
      </c>
      <c r="J399" s="85" t="s">
        <v>8</v>
      </c>
      <c r="K399" s="87">
        <v>10204</v>
      </c>
      <c r="L399" s="87">
        <v>9717</v>
      </c>
      <c r="M399" s="87">
        <f>K399-L399</f>
        <v>487</v>
      </c>
      <c r="N399" s="85" t="s">
        <v>316</v>
      </c>
      <c r="O399" s="87">
        <v>10204000</v>
      </c>
      <c r="P399" s="89" t="s">
        <v>496</v>
      </c>
      <c r="Q399" s="88"/>
      <c r="R399" s="90" t="s">
        <v>62</v>
      </c>
      <c r="T399" s="35">
        <v>440301</v>
      </c>
    </row>
    <row r="400" spans="1:20" ht="18" customHeight="1">
      <c r="A400" s="83">
        <v>4</v>
      </c>
      <c r="B400" s="84" t="s">
        <v>428</v>
      </c>
      <c r="C400" s="84">
        <v>3</v>
      </c>
      <c r="D400" s="84" t="s">
        <v>492</v>
      </c>
      <c r="E400" s="84">
        <v>1</v>
      </c>
      <c r="F400" s="84" t="s">
        <v>494</v>
      </c>
      <c r="G400" s="85">
        <v>3</v>
      </c>
      <c r="H400" s="86" t="s">
        <v>9</v>
      </c>
      <c r="I400" s="85"/>
      <c r="J400" s="85"/>
      <c r="K400" s="87"/>
      <c r="L400" s="87"/>
      <c r="M400" s="87"/>
      <c r="N400" s="85"/>
      <c r="O400" s="88"/>
      <c r="P400" s="89" t="s">
        <v>497</v>
      </c>
      <c r="Q400" s="88">
        <v>6565</v>
      </c>
      <c r="R400" s="90" t="s">
        <v>62</v>
      </c>
      <c r="T400" s="35">
        <v>440301</v>
      </c>
    </row>
    <row r="401" spans="1:20" ht="18" customHeight="1">
      <c r="A401" s="83">
        <v>4</v>
      </c>
      <c r="B401" s="84" t="s">
        <v>428</v>
      </c>
      <c r="C401" s="84">
        <v>3</v>
      </c>
      <c r="D401" s="84" t="s">
        <v>492</v>
      </c>
      <c r="E401" s="84">
        <v>1</v>
      </c>
      <c r="F401" s="84" t="s">
        <v>494</v>
      </c>
      <c r="G401" s="91">
        <v>3</v>
      </c>
      <c r="H401" s="84" t="s">
        <v>9</v>
      </c>
      <c r="I401" s="85">
        <v>31</v>
      </c>
      <c r="J401" s="85" t="s">
        <v>10</v>
      </c>
      <c r="K401" s="87">
        <v>180</v>
      </c>
      <c r="L401" s="87">
        <v>180</v>
      </c>
      <c r="M401" s="87">
        <f>K401-L401</f>
        <v>0</v>
      </c>
      <c r="N401" s="85" t="s">
        <v>316</v>
      </c>
      <c r="O401" s="87">
        <v>180000</v>
      </c>
      <c r="P401" s="89" t="s">
        <v>498</v>
      </c>
      <c r="Q401" s="88"/>
      <c r="R401" s="90" t="s">
        <v>62</v>
      </c>
      <c r="T401" s="35">
        <v>440301</v>
      </c>
    </row>
    <row r="402" spans="1:20" ht="18" customHeight="1">
      <c r="A402" s="83">
        <v>4</v>
      </c>
      <c r="B402" s="84" t="s">
        <v>428</v>
      </c>
      <c r="C402" s="84">
        <v>3</v>
      </c>
      <c r="D402" s="84" t="s">
        <v>492</v>
      </c>
      <c r="E402" s="84">
        <v>1</v>
      </c>
      <c r="F402" s="84" t="s">
        <v>494</v>
      </c>
      <c r="G402" s="91">
        <v>3</v>
      </c>
      <c r="H402" s="84" t="s">
        <v>9</v>
      </c>
      <c r="I402" s="85">
        <v>32</v>
      </c>
      <c r="J402" s="85" t="s">
        <v>43</v>
      </c>
      <c r="K402" s="87">
        <v>234</v>
      </c>
      <c r="L402" s="87">
        <v>234</v>
      </c>
      <c r="M402" s="87">
        <f>K402-L402</f>
        <v>0</v>
      </c>
      <c r="N402" s="85" t="s">
        <v>316</v>
      </c>
      <c r="O402" s="87">
        <v>234000</v>
      </c>
      <c r="P402" s="89" t="s">
        <v>499</v>
      </c>
      <c r="Q402" s="88">
        <v>1323</v>
      </c>
      <c r="R402" s="90" t="s">
        <v>62</v>
      </c>
      <c r="T402" s="35">
        <v>440301</v>
      </c>
    </row>
    <row r="403" spans="1:20" ht="18" customHeight="1">
      <c r="A403" s="83">
        <v>4</v>
      </c>
      <c r="B403" s="84" t="s">
        <v>428</v>
      </c>
      <c r="C403" s="84">
        <v>3</v>
      </c>
      <c r="D403" s="84" t="s">
        <v>492</v>
      </c>
      <c r="E403" s="84">
        <v>1</v>
      </c>
      <c r="F403" s="84" t="s">
        <v>494</v>
      </c>
      <c r="G403" s="91">
        <v>3</v>
      </c>
      <c r="H403" s="84" t="s">
        <v>9</v>
      </c>
      <c r="I403" s="85">
        <v>33</v>
      </c>
      <c r="J403" s="85" t="s">
        <v>11</v>
      </c>
      <c r="K403" s="87">
        <v>264</v>
      </c>
      <c r="L403" s="87">
        <v>264</v>
      </c>
      <c r="M403" s="87">
        <f>K403-L403</f>
        <v>0</v>
      </c>
      <c r="N403" s="85" t="s">
        <v>316</v>
      </c>
      <c r="O403" s="87">
        <v>264000</v>
      </c>
      <c r="P403" s="89" t="s">
        <v>500</v>
      </c>
      <c r="Q403" s="88"/>
      <c r="R403" s="90" t="s">
        <v>62</v>
      </c>
      <c r="T403" s="35">
        <v>440301</v>
      </c>
    </row>
    <row r="404" spans="1:20" ht="18" customHeight="1">
      <c r="A404" s="83">
        <v>4</v>
      </c>
      <c r="B404" s="84" t="s">
        <v>428</v>
      </c>
      <c r="C404" s="84">
        <v>3</v>
      </c>
      <c r="D404" s="84" t="s">
        <v>492</v>
      </c>
      <c r="E404" s="84">
        <v>1</v>
      </c>
      <c r="F404" s="84" t="s">
        <v>494</v>
      </c>
      <c r="G404" s="91">
        <v>3</v>
      </c>
      <c r="H404" s="84" t="s">
        <v>9</v>
      </c>
      <c r="I404" s="85">
        <v>35</v>
      </c>
      <c r="J404" s="85" t="s">
        <v>12</v>
      </c>
      <c r="K404" s="87">
        <v>916</v>
      </c>
      <c r="L404" s="87">
        <v>916</v>
      </c>
      <c r="M404" s="87">
        <f>K404-L404</f>
        <v>0</v>
      </c>
      <c r="N404" s="85" t="s">
        <v>501</v>
      </c>
      <c r="O404" s="87">
        <v>449568</v>
      </c>
      <c r="P404" s="89" t="s">
        <v>502</v>
      </c>
      <c r="Q404" s="88">
        <v>3282</v>
      </c>
      <c r="R404" s="90" t="s">
        <v>62</v>
      </c>
      <c r="T404" s="35">
        <v>440301</v>
      </c>
    </row>
    <row r="405" spans="1:20" ht="18" customHeight="1">
      <c r="A405" s="83">
        <v>4</v>
      </c>
      <c r="B405" s="84" t="s">
        <v>428</v>
      </c>
      <c r="C405" s="84">
        <v>3</v>
      </c>
      <c r="D405" s="84" t="s">
        <v>492</v>
      </c>
      <c r="E405" s="84">
        <v>1</v>
      </c>
      <c r="F405" s="84" t="s">
        <v>494</v>
      </c>
      <c r="G405" s="91">
        <v>3</v>
      </c>
      <c r="H405" s="84" t="s">
        <v>9</v>
      </c>
      <c r="I405" s="91">
        <v>35</v>
      </c>
      <c r="J405" s="91" t="s">
        <v>12</v>
      </c>
      <c r="K405" s="87"/>
      <c r="L405" s="87"/>
      <c r="M405" s="87"/>
      <c r="N405" s="85" t="s">
        <v>503</v>
      </c>
      <c r="O405" s="87">
        <v>409680</v>
      </c>
      <c r="P405" s="89" t="s">
        <v>504</v>
      </c>
      <c r="Q405" s="88"/>
      <c r="R405" s="90" t="s">
        <v>62</v>
      </c>
      <c r="T405" s="35">
        <v>440301</v>
      </c>
    </row>
    <row r="406" spans="1:20" ht="18" customHeight="1">
      <c r="A406" s="83">
        <v>4</v>
      </c>
      <c r="B406" s="84" t="s">
        <v>428</v>
      </c>
      <c r="C406" s="84">
        <v>3</v>
      </c>
      <c r="D406" s="84" t="s">
        <v>492</v>
      </c>
      <c r="E406" s="84">
        <v>1</v>
      </c>
      <c r="F406" s="84" t="s">
        <v>494</v>
      </c>
      <c r="G406" s="91">
        <v>3</v>
      </c>
      <c r="H406" s="84" t="s">
        <v>9</v>
      </c>
      <c r="I406" s="91">
        <v>35</v>
      </c>
      <c r="J406" s="91" t="s">
        <v>12</v>
      </c>
      <c r="K406" s="87"/>
      <c r="L406" s="87"/>
      <c r="M406" s="87"/>
      <c r="N406" s="85" t="s">
        <v>505</v>
      </c>
      <c r="O406" s="87">
        <v>56580</v>
      </c>
      <c r="P406" s="89" t="s">
        <v>506</v>
      </c>
      <c r="Q406" s="88"/>
      <c r="R406" s="90" t="s">
        <v>62</v>
      </c>
      <c r="T406" s="35">
        <v>440301</v>
      </c>
    </row>
    <row r="407" spans="1:20" ht="18" customHeight="1">
      <c r="A407" s="83">
        <v>4</v>
      </c>
      <c r="B407" s="84" t="s">
        <v>428</v>
      </c>
      <c r="C407" s="84">
        <v>3</v>
      </c>
      <c r="D407" s="84" t="s">
        <v>492</v>
      </c>
      <c r="E407" s="84">
        <v>1</v>
      </c>
      <c r="F407" s="84" t="s">
        <v>494</v>
      </c>
      <c r="G407" s="91">
        <v>3</v>
      </c>
      <c r="H407" s="84" t="s">
        <v>9</v>
      </c>
      <c r="I407" s="85">
        <v>39</v>
      </c>
      <c r="J407" s="85" t="s">
        <v>13</v>
      </c>
      <c r="K407" s="87">
        <v>2235</v>
      </c>
      <c r="L407" s="87">
        <v>2059</v>
      </c>
      <c r="M407" s="87">
        <f>K407-L407</f>
        <v>176</v>
      </c>
      <c r="N407" s="85" t="s">
        <v>316</v>
      </c>
      <c r="O407" s="87">
        <v>2235000</v>
      </c>
      <c r="P407" s="89" t="s">
        <v>497</v>
      </c>
      <c r="Q407" s="88">
        <v>3282</v>
      </c>
      <c r="R407" s="90" t="s">
        <v>62</v>
      </c>
      <c r="T407" s="35">
        <v>440301</v>
      </c>
    </row>
    <row r="408" spans="1:20" ht="18" customHeight="1">
      <c r="A408" s="83">
        <v>4</v>
      </c>
      <c r="B408" s="84" t="s">
        <v>428</v>
      </c>
      <c r="C408" s="84">
        <v>3</v>
      </c>
      <c r="D408" s="84" t="s">
        <v>492</v>
      </c>
      <c r="E408" s="84">
        <v>1</v>
      </c>
      <c r="F408" s="84" t="s">
        <v>494</v>
      </c>
      <c r="G408" s="91">
        <v>3</v>
      </c>
      <c r="H408" s="84" t="s">
        <v>9</v>
      </c>
      <c r="I408" s="85">
        <v>40</v>
      </c>
      <c r="J408" s="85" t="s">
        <v>14</v>
      </c>
      <c r="K408" s="87">
        <v>1768</v>
      </c>
      <c r="L408" s="87">
        <v>1686</v>
      </c>
      <c r="M408" s="87">
        <f>K408-L408</f>
        <v>82</v>
      </c>
      <c r="N408" s="85" t="s">
        <v>316</v>
      </c>
      <c r="O408" s="87">
        <v>1768000</v>
      </c>
      <c r="P408" s="89" t="s">
        <v>507</v>
      </c>
      <c r="Q408" s="88"/>
      <c r="R408" s="90" t="s">
        <v>62</v>
      </c>
      <c r="T408" s="35">
        <v>440301</v>
      </c>
    </row>
    <row r="409" spans="1:20" ht="18" customHeight="1">
      <c r="A409" s="83">
        <v>4</v>
      </c>
      <c r="B409" s="84" t="s">
        <v>428</v>
      </c>
      <c r="C409" s="84">
        <v>3</v>
      </c>
      <c r="D409" s="84" t="s">
        <v>492</v>
      </c>
      <c r="E409" s="84">
        <v>1</v>
      </c>
      <c r="F409" s="84" t="s">
        <v>494</v>
      </c>
      <c r="G409" s="91">
        <v>3</v>
      </c>
      <c r="H409" s="84" t="s">
        <v>9</v>
      </c>
      <c r="I409" s="85">
        <v>41</v>
      </c>
      <c r="J409" s="85" t="s">
        <v>15</v>
      </c>
      <c r="K409" s="87">
        <v>177</v>
      </c>
      <c r="L409" s="87">
        <v>177</v>
      </c>
      <c r="M409" s="87">
        <f>K409-L409</f>
        <v>0</v>
      </c>
      <c r="N409" s="85" t="s">
        <v>316</v>
      </c>
      <c r="O409" s="87">
        <v>177000</v>
      </c>
      <c r="P409" s="89" t="s">
        <v>353</v>
      </c>
      <c r="Q409" s="88"/>
      <c r="R409" s="90" t="s">
        <v>62</v>
      </c>
      <c r="T409" s="35">
        <v>440301</v>
      </c>
    </row>
    <row r="410" spans="1:20" ht="18" customHeight="1">
      <c r="A410" s="83">
        <v>4</v>
      </c>
      <c r="B410" s="84" t="s">
        <v>428</v>
      </c>
      <c r="C410" s="84">
        <v>3</v>
      </c>
      <c r="D410" s="84" t="s">
        <v>492</v>
      </c>
      <c r="E410" s="84">
        <v>1</v>
      </c>
      <c r="F410" s="84" t="s">
        <v>494</v>
      </c>
      <c r="G410" s="85">
        <v>4</v>
      </c>
      <c r="H410" s="86" t="s">
        <v>16</v>
      </c>
      <c r="I410" s="85"/>
      <c r="J410" s="85"/>
      <c r="K410" s="87"/>
      <c r="L410" s="87"/>
      <c r="M410" s="87"/>
      <c r="N410" s="85"/>
      <c r="O410" s="88"/>
      <c r="P410" s="89" t="s">
        <v>508</v>
      </c>
      <c r="Q410" s="88">
        <v>6237</v>
      </c>
      <c r="R410" s="90" t="s">
        <v>62</v>
      </c>
      <c r="T410" s="35">
        <v>440301</v>
      </c>
    </row>
    <row r="411" spans="1:20" ht="18" customHeight="1">
      <c r="A411" s="83">
        <v>4</v>
      </c>
      <c r="B411" s="84" t="s">
        <v>428</v>
      </c>
      <c r="C411" s="84">
        <v>3</v>
      </c>
      <c r="D411" s="84" t="s">
        <v>492</v>
      </c>
      <c r="E411" s="84">
        <v>1</v>
      </c>
      <c r="F411" s="84" t="s">
        <v>494</v>
      </c>
      <c r="G411" s="91">
        <v>4</v>
      </c>
      <c r="H411" s="84" t="s">
        <v>16</v>
      </c>
      <c r="I411" s="85">
        <v>31</v>
      </c>
      <c r="J411" s="85" t="s">
        <v>17</v>
      </c>
      <c r="K411" s="87">
        <v>3073</v>
      </c>
      <c r="L411" s="87">
        <v>3015</v>
      </c>
      <c r="M411" s="87">
        <f>K411-L411</f>
        <v>58</v>
      </c>
      <c r="N411" s="85" t="s">
        <v>316</v>
      </c>
      <c r="O411" s="87">
        <v>3073000</v>
      </c>
      <c r="P411" s="89" t="s">
        <v>353</v>
      </c>
      <c r="Q411" s="88"/>
      <c r="R411" s="90" t="s">
        <v>62</v>
      </c>
      <c r="T411" s="35">
        <v>440301</v>
      </c>
    </row>
    <row r="412" spans="1:20" ht="18" customHeight="1">
      <c r="A412" s="83">
        <v>4</v>
      </c>
      <c r="B412" s="84" t="s">
        <v>428</v>
      </c>
      <c r="C412" s="84">
        <v>3</v>
      </c>
      <c r="D412" s="84" t="s">
        <v>492</v>
      </c>
      <c r="E412" s="84">
        <v>1</v>
      </c>
      <c r="F412" s="84" t="s">
        <v>494</v>
      </c>
      <c r="G412" s="85">
        <v>7</v>
      </c>
      <c r="H412" s="86" t="s">
        <v>18</v>
      </c>
      <c r="I412" s="85"/>
      <c r="J412" s="85"/>
      <c r="K412" s="87"/>
      <c r="L412" s="87"/>
      <c r="M412" s="87"/>
      <c r="N412" s="85"/>
      <c r="O412" s="88"/>
      <c r="P412" s="89"/>
      <c r="Q412" s="88"/>
      <c r="R412" s="90" t="s">
        <v>62</v>
      </c>
      <c r="T412" s="35">
        <v>440301</v>
      </c>
    </row>
    <row r="413" spans="1:20" ht="18" customHeight="1">
      <c r="A413" s="83">
        <v>4</v>
      </c>
      <c r="B413" s="84" t="s">
        <v>428</v>
      </c>
      <c r="C413" s="84">
        <v>3</v>
      </c>
      <c r="D413" s="84" t="s">
        <v>492</v>
      </c>
      <c r="E413" s="84">
        <v>1</v>
      </c>
      <c r="F413" s="84" t="s">
        <v>494</v>
      </c>
      <c r="G413" s="91">
        <v>7</v>
      </c>
      <c r="H413" s="84" t="s">
        <v>18</v>
      </c>
      <c r="I413" s="85">
        <v>11</v>
      </c>
      <c r="J413" s="85" t="s">
        <v>19</v>
      </c>
      <c r="K413" s="87">
        <v>520</v>
      </c>
      <c r="L413" s="87">
        <v>561</v>
      </c>
      <c r="M413" s="87">
        <f>K413-L413</f>
        <v>-41</v>
      </c>
      <c r="N413" s="85" t="s">
        <v>509</v>
      </c>
      <c r="O413" s="87">
        <v>37800</v>
      </c>
      <c r="P413" s="89"/>
      <c r="Q413" s="88"/>
      <c r="R413" s="90" t="s">
        <v>62</v>
      </c>
      <c r="T413" s="35">
        <v>440301</v>
      </c>
    </row>
    <row r="414" spans="1:20" ht="18" customHeight="1">
      <c r="A414" s="83">
        <v>4</v>
      </c>
      <c r="B414" s="84" t="s">
        <v>428</v>
      </c>
      <c r="C414" s="84">
        <v>3</v>
      </c>
      <c r="D414" s="84" t="s">
        <v>492</v>
      </c>
      <c r="E414" s="84">
        <v>1</v>
      </c>
      <c r="F414" s="84" t="s">
        <v>494</v>
      </c>
      <c r="G414" s="91">
        <v>7</v>
      </c>
      <c r="H414" s="84" t="s">
        <v>18</v>
      </c>
      <c r="I414" s="91">
        <v>11</v>
      </c>
      <c r="J414" s="91" t="s">
        <v>19</v>
      </c>
      <c r="K414" s="87"/>
      <c r="L414" s="87"/>
      <c r="M414" s="87"/>
      <c r="N414" s="85" t="s">
        <v>510</v>
      </c>
      <c r="O414" s="87">
        <v>96000</v>
      </c>
      <c r="P414" s="89"/>
      <c r="Q414" s="88"/>
      <c r="R414" s="90" t="s">
        <v>62</v>
      </c>
      <c r="T414" s="35">
        <v>440301</v>
      </c>
    </row>
    <row r="415" spans="1:20" ht="18" customHeight="1">
      <c r="A415" s="83">
        <v>4</v>
      </c>
      <c r="B415" s="84" t="s">
        <v>428</v>
      </c>
      <c r="C415" s="84">
        <v>3</v>
      </c>
      <c r="D415" s="84" t="s">
        <v>492</v>
      </c>
      <c r="E415" s="84">
        <v>1</v>
      </c>
      <c r="F415" s="84" t="s">
        <v>494</v>
      </c>
      <c r="G415" s="91">
        <v>7</v>
      </c>
      <c r="H415" s="84" t="s">
        <v>18</v>
      </c>
      <c r="I415" s="91">
        <v>11</v>
      </c>
      <c r="J415" s="91" t="s">
        <v>19</v>
      </c>
      <c r="K415" s="87"/>
      <c r="L415" s="87"/>
      <c r="M415" s="87"/>
      <c r="N415" s="85" t="s">
        <v>511</v>
      </c>
      <c r="O415" s="87"/>
      <c r="P415" s="89"/>
      <c r="Q415" s="88"/>
      <c r="R415" s="90" t="s">
        <v>62</v>
      </c>
      <c r="T415" s="35">
        <v>440301</v>
      </c>
    </row>
    <row r="416" spans="1:20" ht="18" customHeight="1">
      <c r="A416" s="83">
        <v>4</v>
      </c>
      <c r="B416" s="84" t="s">
        <v>428</v>
      </c>
      <c r="C416" s="84">
        <v>3</v>
      </c>
      <c r="D416" s="84" t="s">
        <v>492</v>
      </c>
      <c r="E416" s="84">
        <v>1</v>
      </c>
      <c r="F416" s="84" t="s">
        <v>494</v>
      </c>
      <c r="G416" s="91">
        <v>7</v>
      </c>
      <c r="H416" s="84" t="s">
        <v>18</v>
      </c>
      <c r="I416" s="91">
        <v>11</v>
      </c>
      <c r="J416" s="91" t="s">
        <v>19</v>
      </c>
      <c r="K416" s="87"/>
      <c r="L416" s="87"/>
      <c r="M416" s="87"/>
      <c r="N416" s="85" t="s">
        <v>512</v>
      </c>
      <c r="O416" s="87">
        <v>59400</v>
      </c>
      <c r="P416" s="89"/>
      <c r="Q416" s="88"/>
      <c r="R416" s="90" t="s">
        <v>62</v>
      </c>
      <c r="T416" s="35">
        <v>440301</v>
      </c>
    </row>
    <row r="417" spans="1:20" ht="18" customHeight="1">
      <c r="A417" s="83">
        <v>4</v>
      </c>
      <c r="B417" s="84" t="s">
        <v>428</v>
      </c>
      <c r="C417" s="84">
        <v>3</v>
      </c>
      <c r="D417" s="84" t="s">
        <v>492</v>
      </c>
      <c r="E417" s="84">
        <v>1</v>
      </c>
      <c r="F417" s="84" t="s">
        <v>494</v>
      </c>
      <c r="G417" s="91">
        <v>7</v>
      </c>
      <c r="H417" s="84" t="s">
        <v>18</v>
      </c>
      <c r="I417" s="91">
        <v>11</v>
      </c>
      <c r="J417" s="91" t="s">
        <v>19</v>
      </c>
      <c r="K417" s="87"/>
      <c r="L417" s="87"/>
      <c r="M417" s="87"/>
      <c r="N417" s="85" t="s">
        <v>513</v>
      </c>
      <c r="O417" s="87">
        <v>214200</v>
      </c>
      <c r="P417" s="89"/>
      <c r="Q417" s="88"/>
      <c r="R417" s="90" t="s">
        <v>62</v>
      </c>
      <c r="T417" s="35">
        <v>440301</v>
      </c>
    </row>
    <row r="418" spans="1:20" ht="18" customHeight="1">
      <c r="A418" s="83">
        <v>4</v>
      </c>
      <c r="B418" s="84" t="s">
        <v>428</v>
      </c>
      <c r="C418" s="84">
        <v>3</v>
      </c>
      <c r="D418" s="84" t="s">
        <v>492</v>
      </c>
      <c r="E418" s="84">
        <v>1</v>
      </c>
      <c r="F418" s="84" t="s">
        <v>494</v>
      </c>
      <c r="G418" s="91">
        <v>7</v>
      </c>
      <c r="H418" s="84" t="s">
        <v>18</v>
      </c>
      <c r="I418" s="91">
        <v>11</v>
      </c>
      <c r="J418" s="91" t="s">
        <v>19</v>
      </c>
      <c r="K418" s="87"/>
      <c r="L418" s="87"/>
      <c r="M418" s="87"/>
      <c r="N418" s="85" t="s">
        <v>514</v>
      </c>
      <c r="O418" s="87">
        <v>45720</v>
      </c>
      <c r="P418" s="89"/>
      <c r="Q418" s="88"/>
      <c r="R418" s="90" t="s">
        <v>62</v>
      </c>
      <c r="T418" s="35">
        <v>440301</v>
      </c>
    </row>
    <row r="419" spans="1:20" ht="18" customHeight="1">
      <c r="A419" s="83">
        <v>4</v>
      </c>
      <c r="B419" s="84" t="s">
        <v>428</v>
      </c>
      <c r="C419" s="84">
        <v>3</v>
      </c>
      <c r="D419" s="84" t="s">
        <v>492</v>
      </c>
      <c r="E419" s="84">
        <v>1</v>
      </c>
      <c r="F419" s="84" t="s">
        <v>494</v>
      </c>
      <c r="G419" s="91">
        <v>7</v>
      </c>
      <c r="H419" s="84" t="s">
        <v>18</v>
      </c>
      <c r="I419" s="91">
        <v>11</v>
      </c>
      <c r="J419" s="91" t="s">
        <v>19</v>
      </c>
      <c r="K419" s="87"/>
      <c r="L419" s="87"/>
      <c r="M419" s="87"/>
      <c r="N419" s="85" t="s">
        <v>515</v>
      </c>
      <c r="O419" s="87">
        <v>66000</v>
      </c>
      <c r="P419" s="89"/>
      <c r="Q419" s="88"/>
      <c r="R419" s="90" t="s">
        <v>62</v>
      </c>
      <c r="T419" s="35">
        <v>440301</v>
      </c>
    </row>
    <row r="420" spans="1:20" ht="18" customHeight="1">
      <c r="A420" s="83">
        <v>4</v>
      </c>
      <c r="B420" s="84" t="s">
        <v>428</v>
      </c>
      <c r="C420" s="84">
        <v>3</v>
      </c>
      <c r="D420" s="84" t="s">
        <v>492</v>
      </c>
      <c r="E420" s="84">
        <v>1</v>
      </c>
      <c r="F420" s="84" t="s">
        <v>494</v>
      </c>
      <c r="G420" s="91">
        <v>7</v>
      </c>
      <c r="H420" s="84" t="s">
        <v>18</v>
      </c>
      <c r="I420" s="98">
        <v>31</v>
      </c>
      <c r="J420" s="98" t="s">
        <v>516</v>
      </c>
      <c r="K420" s="87">
        <v>0</v>
      </c>
      <c r="L420" s="87">
        <v>192</v>
      </c>
      <c r="M420" s="87">
        <f>K420-L420</f>
        <v>-192</v>
      </c>
      <c r="N420" s="85"/>
      <c r="O420" s="87"/>
      <c r="P420" s="89"/>
      <c r="Q420" s="88"/>
      <c r="R420" s="90" t="s">
        <v>62</v>
      </c>
      <c r="T420" s="35">
        <v>440301</v>
      </c>
    </row>
    <row r="421" spans="1:20" ht="18" customHeight="1">
      <c r="A421" s="83">
        <v>4</v>
      </c>
      <c r="B421" s="84" t="s">
        <v>428</v>
      </c>
      <c r="C421" s="84">
        <v>3</v>
      </c>
      <c r="D421" s="84" t="s">
        <v>492</v>
      </c>
      <c r="E421" s="84">
        <v>1</v>
      </c>
      <c r="F421" s="84" t="s">
        <v>494</v>
      </c>
      <c r="G421" s="85">
        <v>8</v>
      </c>
      <c r="H421" s="86" t="s">
        <v>20</v>
      </c>
      <c r="I421" s="85"/>
      <c r="J421" s="85"/>
      <c r="K421" s="87"/>
      <c r="L421" s="87"/>
      <c r="M421" s="87"/>
      <c r="N421" s="85"/>
      <c r="O421" s="88"/>
      <c r="P421" s="89"/>
      <c r="Q421" s="88"/>
      <c r="R421" s="90" t="s">
        <v>62</v>
      </c>
      <c r="T421" s="35">
        <v>440301</v>
      </c>
    </row>
    <row r="422" spans="1:20" ht="18" customHeight="1">
      <c r="A422" s="83">
        <v>4</v>
      </c>
      <c r="B422" s="84" t="s">
        <v>428</v>
      </c>
      <c r="C422" s="84">
        <v>3</v>
      </c>
      <c r="D422" s="84" t="s">
        <v>492</v>
      </c>
      <c r="E422" s="84">
        <v>1</v>
      </c>
      <c r="F422" s="84" t="s">
        <v>494</v>
      </c>
      <c r="G422" s="91">
        <v>8</v>
      </c>
      <c r="H422" s="84" t="s">
        <v>20</v>
      </c>
      <c r="I422" s="85">
        <v>2</v>
      </c>
      <c r="J422" s="85" t="s">
        <v>21</v>
      </c>
      <c r="K422" s="87">
        <v>27</v>
      </c>
      <c r="L422" s="87">
        <v>27</v>
      </c>
      <c r="M422" s="87">
        <f>K422-L422</f>
        <v>0</v>
      </c>
      <c r="N422" s="85" t="s">
        <v>517</v>
      </c>
      <c r="O422" s="87">
        <v>27000</v>
      </c>
      <c r="P422" s="89"/>
      <c r="Q422" s="88"/>
      <c r="R422" s="90" t="s">
        <v>62</v>
      </c>
      <c r="T422" s="35">
        <v>440301</v>
      </c>
    </row>
    <row r="423" spans="1:20" ht="18" customHeight="1">
      <c r="A423" s="83">
        <v>4</v>
      </c>
      <c r="B423" s="84" t="s">
        <v>428</v>
      </c>
      <c r="C423" s="84">
        <v>3</v>
      </c>
      <c r="D423" s="84" t="s">
        <v>492</v>
      </c>
      <c r="E423" s="84">
        <v>1</v>
      </c>
      <c r="F423" s="84" t="s">
        <v>494</v>
      </c>
      <c r="G423" s="91">
        <v>8</v>
      </c>
      <c r="H423" s="84" t="s">
        <v>20</v>
      </c>
      <c r="I423" s="85">
        <v>3</v>
      </c>
      <c r="J423" s="85" t="s">
        <v>22</v>
      </c>
      <c r="K423" s="87">
        <v>254</v>
      </c>
      <c r="L423" s="87">
        <v>280</v>
      </c>
      <c r="M423" s="87">
        <f>K423-L423</f>
        <v>-26</v>
      </c>
      <c r="N423" s="85" t="s">
        <v>518</v>
      </c>
      <c r="O423" s="87"/>
      <c r="P423" s="89"/>
      <c r="Q423" s="88"/>
      <c r="R423" s="90" t="s">
        <v>62</v>
      </c>
      <c r="T423" s="35">
        <v>440301</v>
      </c>
    </row>
    <row r="424" spans="1:20" ht="18" customHeight="1">
      <c r="A424" s="83">
        <v>4</v>
      </c>
      <c r="B424" s="84" t="s">
        <v>428</v>
      </c>
      <c r="C424" s="84">
        <v>3</v>
      </c>
      <c r="D424" s="84" t="s">
        <v>492</v>
      </c>
      <c r="E424" s="84">
        <v>1</v>
      </c>
      <c r="F424" s="84" t="s">
        <v>494</v>
      </c>
      <c r="G424" s="91">
        <v>8</v>
      </c>
      <c r="H424" s="84" t="s">
        <v>20</v>
      </c>
      <c r="I424" s="91">
        <v>3</v>
      </c>
      <c r="J424" s="91" t="s">
        <v>22</v>
      </c>
      <c r="K424" s="87"/>
      <c r="L424" s="87"/>
      <c r="M424" s="87"/>
      <c r="N424" s="85" t="s">
        <v>519</v>
      </c>
      <c r="O424" s="87">
        <v>134800</v>
      </c>
      <c r="P424" s="89"/>
      <c r="Q424" s="88"/>
      <c r="R424" s="90" t="s">
        <v>62</v>
      </c>
      <c r="T424" s="35">
        <v>440301</v>
      </c>
    </row>
    <row r="425" spans="1:20" ht="18" customHeight="1">
      <c r="A425" s="83">
        <v>4</v>
      </c>
      <c r="B425" s="84" t="s">
        <v>428</v>
      </c>
      <c r="C425" s="84">
        <v>3</v>
      </c>
      <c r="D425" s="84" t="s">
        <v>492</v>
      </c>
      <c r="E425" s="84">
        <v>1</v>
      </c>
      <c r="F425" s="84" t="s">
        <v>494</v>
      </c>
      <c r="G425" s="91">
        <v>8</v>
      </c>
      <c r="H425" s="84" t="s">
        <v>20</v>
      </c>
      <c r="I425" s="91">
        <v>3</v>
      </c>
      <c r="J425" s="91" t="s">
        <v>22</v>
      </c>
      <c r="K425" s="87"/>
      <c r="L425" s="87"/>
      <c r="M425" s="87"/>
      <c r="N425" s="85" t="s">
        <v>520</v>
      </c>
      <c r="O425" s="87">
        <v>118600</v>
      </c>
      <c r="P425" s="89"/>
      <c r="Q425" s="88"/>
      <c r="R425" s="90" t="s">
        <v>62</v>
      </c>
      <c r="T425" s="35">
        <v>440301</v>
      </c>
    </row>
    <row r="426" spans="1:20" ht="18" customHeight="1">
      <c r="A426" s="83">
        <v>4</v>
      </c>
      <c r="B426" s="84" t="s">
        <v>428</v>
      </c>
      <c r="C426" s="84">
        <v>3</v>
      </c>
      <c r="D426" s="84" t="s">
        <v>492</v>
      </c>
      <c r="E426" s="84">
        <v>1</v>
      </c>
      <c r="F426" s="84" t="s">
        <v>494</v>
      </c>
      <c r="G426" s="85">
        <v>10</v>
      </c>
      <c r="H426" s="86" t="s">
        <v>23</v>
      </c>
      <c r="I426" s="85"/>
      <c r="J426" s="85"/>
      <c r="K426" s="87"/>
      <c r="L426" s="87"/>
      <c r="M426" s="87"/>
      <c r="N426" s="85"/>
      <c r="O426" s="88"/>
      <c r="P426" s="89"/>
      <c r="Q426" s="88"/>
      <c r="R426" s="90" t="s">
        <v>62</v>
      </c>
      <c r="T426" s="35">
        <v>440301</v>
      </c>
    </row>
    <row r="427" spans="1:20" ht="18" customHeight="1">
      <c r="A427" s="83">
        <v>4</v>
      </c>
      <c r="B427" s="84" t="s">
        <v>428</v>
      </c>
      <c r="C427" s="84">
        <v>3</v>
      </c>
      <c r="D427" s="84" t="s">
        <v>492</v>
      </c>
      <c r="E427" s="84">
        <v>1</v>
      </c>
      <c r="F427" s="84" t="s">
        <v>494</v>
      </c>
      <c r="G427" s="91">
        <v>10</v>
      </c>
      <c r="H427" s="84" t="s">
        <v>23</v>
      </c>
      <c r="I427" s="85">
        <v>1</v>
      </c>
      <c r="J427" s="85" t="s">
        <v>24</v>
      </c>
      <c r="K427" s="87">
        <v>216</v>
      </c>
      <c r="L427" s="87">
        <v>216</v>
      </c>
      <c r="M427" s="87">
        <f>K427-L427</f>
        <v>0</v>
      </c>
      <c r="N427" s="85" t="s">
        <v>521</v>
      </c>
      <c r="O427" s="87">
        <v>116000</v>
      </c>
      <c r="P427" s="89"/>
      <c r="Q427" s="88"/>
      <c r="R427" s="90" t="s">
        <v>62</v>
      </c>
      <c r="T427" s="35">
        <v>440301</v>
      </c>
    </row>
    <row r="428" spans="1:20" ht="18" customHeight="1">
      <c r="A428" s="83">
        <v>4</v>
      </c>
      <c r="B428" s="84" t="s">
        <v>428</v>
      </c>
      <c r="C428" s="84">
        <v>3</v>
      </c>
      <c r="D428" s="84" t="s">
        <v>492</v>
      </c>
      <c r="E428" s="84">
        <v>1</v>
      </c>
      <c r="F428" s="84" t="s">
        <v>494</v>
      </c>
      <c r="G428" s="91">
        <v>10</v>
      </c>
      <c r="H428" s="84" t="s">
        <v>23</v>
      </c>
      <c r="I428" s="91">
        <v>1</v>
      </c>
      <c r="J428" s="91" t="s">
        <v>24</v>
      </c>
      <c r="K428" s="87"/>
      <c r="L428" s="87"/>
      <c r="M428" s="87"/>
      <c r="N428" s="85" t="s">
        <v>522</v>
      </c>
      <c r="O428" s="87">
        <v>50000</v>
      </c>
      <c r="P428" s="89"/>
      <c r="Q428" s="88"/>
      <c r="R428" s="90" t="s">
        <v>62</v>
      </c>
      <c r="T428" s="35">
        <v>440301</v>
      </c>
    </row>
    <row r="429" spans="1:20" ht="18" customHeight="1">
      <c r="A429" s="83">
        <v>4</v>
      </c>
      <c r="B429" s="84" t="s">
        <v>428</v>
      </c>
      <c r="C429" s="84">
        <v>3</v>
      </c>
      <c r="D429" s="84" t="s">
        <v>492</v>
      </c>
      <c r="E429" s="84">
        <v>1</v>
      </c>
      <c r="F429" s="84" t="s">
        <v>494</v>
      </c>
      <c r="G429" s="91">
        <v>10</v>
      </c>
      <c r="H429" s="84" t="s">
        <v>23</v>
      </c>
      <c r="I429" s="91">
        <v>1</v>
      </c>
      <c r="J429" s="91" t="s">
        <v>24</v>
      </c>
      <c r="K429" s="87"/>
      <c r="L429" s="87"/>
      <c r="M429" s="87"/>
      <c r="N429" s="85" t="s">
        <v>523</v>
      </c>
      <c r="O429" s="87">
        <v>50000</v>
      </c>
      <c r="P429" s="89"/>
      <c r="Q429" s="88"/>
      <c r="R429" s="90" t="s">
        <v>62</v>
      </c>
      <c r="T429" s="35">
        <v>440301</v>
      </c>
    </row>
    <row r="430" spans="1:20" ht="18" customHeight="1">
      <c r="A430" s="83">
        <v>4</v>
      </c>
      <c r="B430" s="84" t="s">
        <v>428</v>
      </c>
      <c r="C430" s="84">
        <v>3</v>
      </c>
      <c r="D430" s="84" t="s">
        <v>492</v>
      </c>
      <c r="E430" s="84">
        <v>1</v>
      </c>
      <c r="F430" s="84" t="s">
        <v>494</v>
      </c>
      <c r="G430" s="91">
        <v>10</v>
      </c>
      <c r="H430" s="84" t="s">
        <v>23</v>
      </c>
      <c r="I430" s="85">
        <v>3</v>
      </c>
      <c r="J430" s="85" t="s">
        <v>25</v>
      </c>
      <c r="K430" s="87">
        <v>33</v>
      </c>
      <c r="L430" s="87">
        <v>33</v>
      </c>
      <c r="M430" s="87">
        <f>K430-L430</f>
        <v>0</v>
      </c>
      <c r="N430" s="85" t="s">
        <v>524</v>
      </c>
      <c r="O430" s="87">
        <v>30000</v>
      </c>
      <c r="P430" s="89"/>
      <c r="Q430" s="88"/>
      <c r="R430" s="90" t="s">
        <v>62</v>
      </c>
      <c r="T430" s="35">
        <v>440301</v>
      </c>
    </row>
    <row r="431" spans="1:20" ht="18" customHeight="1">
      <c r="A431" s="83">
        <v>4</v>
      </c>
      <c r="B431" s="84" t="s">
        <v>428</v>
      </c>
      <c r="C431" s="84">
        <v>3</v>
      </c>
      <c r="D431" s="84" t="s">
        <v>492</v>
      </c>
      <c r="E431" s="84">
        <v>1</v>
      </c>
      <c r="F431" s="84" t="s">
        <v>494</v>
      </c>
      <c r="G431" s="91">
        <v>10</v>
      </c>
      <c r="H431" s="84" t="s">
        <v>23</v>
      </c>
      <c r="I431" s="91">
        <v>3</v>
      </c>
      <c r="J431" s="91" t="s">
        <v>25</v>
      </c>
      <c r="K431" s="87"/>
      <c r="L431" s="87"/>
      <c r="M431" s="87"/>
      <c r="N431" s="85" t="s">
        <v>525</v>
      </c>
      <c r="O431" s="87">
        <v>3000</v>
      </c>
      <c r="P431" s="89"/>
      <c r="Q431" s="88"/>
      <c r="R431" s="90" t="s">
        <v>62</v>
      </c>
      <c r="T431" s="35">
        <v>440301</v>
      </c>
    </row>
    <row r="432" spans="1:20" ht="18" customHeight="1">
      <c r="A432" s="83">
        <v>4</v>
      </c>
      <c r="B432" s="84" t="s">
        <v>428</v>
      </c>
      <c r="C432" s="84">
        <v>3</v>
      </c>
      <c r="D432" s="84" t="s">
        <v>492</v>
      </c>
      <c r="E432" s="84">
        <v>1</v>
      </c>
      <c r="F432" s="84" t="s">
        <v>494</v>
      </c>
      <c r="G432" s="91">
        <v>10</v>
      </c>
      <c r="H432" s="84" t="s">
        <v>23</v>
      </c>
      <c r="I432" s="85">
        <v>7</v>
      </c>
      <c r="J432" s="85" t="s">
        <v>67</v>
      </c>
      <c r="K432" s="87">
        <v>192</v>
      </c>
      <c r="L432" s="87">
        <v>0</v>
      </c>
      <c r="M432" s="87">
        <f>K432-L432</f>
        <v>192</v>
      </c>
      <c r="N432" s="85" t="s">
        <v>608</v>
      </c>
      <c r="O432" s="87">
        <v>192000</v>
      </c>
      <c r="P432" s="89"/>
      <c r="Q432" s="88"/>
      <c r="R432" s="90" t="s">
        <v>62</v>
      </c>
      <c r="T432" s="35">
        <v>440301</v>
      </c>
    </row>
    <row r="433" spans="1:20" ht="18" customHeight="1">
      <c r="A433" s="83">
        <v>4</v>
      </c>
      <c r="B433" s="84" t="s">
        <v>428</v>
      </c>
      <c r="C433" s="84">
        <v>3</v>
      </c>
      <c r="D433" s="84" t="s">
        <v>492</v>
      </c>
      <c r="E433" s="84">
        <v>1</v>
      </c>
      <c r="F433" s="84" t="s">
        <v>494</v>
      </c>
      <c r="G433" s="91">
        <v>10</v>
      </c>
      <c r="H433" s="84" t="s">
        <v>23</v>
      </c>
      <c r="I433" s="85">
        <v>8</v>
      </c>
      <c r="J433" s="85" t="s">
        <v>61</v>
      </c>
      <c r="K433" s="87">
        <v>15</v>
      </c>
      <c r="L433" s="87">
        <v>0</v>
      </c>
      <c r="M433" s="87">
        <f>K433-L433</f>
        <v>15</v>
      </c>
      <c r="N433" s="85" t="s">
        <v>526</v>
      </c>
      <c r="O433" s="87">
        <v>15000</v>
      </c>
      <c r="P433" s="89"/>
      <c r="Q433" s="88"/>
      <c r="R433" s="90" t="s">
        <v>62</v>
      </c>
      <c r="T433" s="35">
        <v>440301</v>
      </c>
    </row>
    <row r="434" spans="1:20" ht="18" customHeight="1">
      <c r="A434" s="83">
        <v>4</v>
      </c>
      <c r="B434" s="84" t="s">
        <v>428</v>
      </c>
      <c r="C434" s="84">
        <v>3</v>
      </c>
      <c r="D434" s="84" t="s">
        <v>492</v>
      </c>
      <c r="E434" s="84">
        <v>1</v>
      </c>
      <c r="F434" s="84" t="s">
        <v>494</v>
      </c>
      <c r="G434" s="85">
        <v>11</v>
      </c>
      <c r="H434" s="86" t="s">
        <v>27</v>
      </c>
      <c r="I434" s="85"/>
      <c r="J434" s="85"/>
      <c r="K434" s="87"/>
      <c r="L434" s="87"/>
      <c r="M434" s="87"/>
      <c r="N434" s="85"/>
      <c r="O434" s="88"/>
      <c r="P434" s="89"/>
      <c r="Q434" s="88"/>
      <c r="R434" s="90" t="s">
        <v>62</v>
      </c>
      <c r="T434" s="35">
        <v>440301</v>
      </c>
    </row>
    <row r="435" spans="1:20" ht="18" customHeight="1">
      <c r="A435" s="83">
        <v>4</v>
      </c>
      <c r="B435" s="84" t="s">
        <v>428</v>
      </c>
      <c r="C435" s="84">
        <v>3</v>
      </c>
      <c r="D435" s="84" t="s">
        <v>492</v>
      </c>
      <c r="E435" s="84">
        <v>1</v>
      </c>
      <c r="F435" s="84" t="s">
        <v>494</v>
      </c>
      <c r="G435" s="91">
        <v>11</v>
      </c>
      <c r="H435" s="84" t="s">
        <v>27</v>
      </c>
      <c r="I435" s="85">
        <v>1</v>
      </c>
      <c r="J435" s="85" t="s">
        <v>28</v>
      </c>
      <c r="K435" s="87">
        <v>422</v>
      </c>
      <c r="L435" s="87">
        <v>310</v>
      </c>
      <c r="M435" s="87">
        <f>K435-L435</f>
        <v>112</v>
      </c>
      <c r="N435" s="85" t="s">
        <v>527</v>
      </c>
      <c r="O435" s="87">
        <v>33600</v>
      </c>
      <c r="P435" s="89"/>
      <c r="Q435" s="88"/>
      <c r="R435" s="90" t="s">
        <v>62</v>
      </c>
      <c r="T435" s="35">
        <v>440301</v>
      </c>
    </row>
    <row r="436" spans="1:20" ht="18" customHeight="1">
      <c r="A436" s="83">
        <v>4</v>
      </c>
      <c r="B436" s="84" t="s">
        <v>428</v>
      </c>
      <c r="C436" s="84">
        <v>3</v>
      </c>
      <c r="D436" s="84" t="s">
        <v>492</v>
      </c>
      <c r="E436" s="84">
        <v>1</v>
      </c>
      <c r="F436" s="84" t="s">
        <v>494</v>
      </c>
      <c r="G436" s="91">
        <v>11</v>
      </c>
      <c r="H436" s="84" t="s">
        <v>27</v>
      </c>
      <c r="I436" s="91">
        <v>1</v>
      </c>
      <c r="J436" s="91" t="s">
        <v>28</v>
      </c>
      <c r="K436" s="87"/>
      <c r="L436" s="87"/>
      <c r="M436" s="87"/>
      <c r="N436" s="85" t="s">
        <v>528</v>
      </c>
      <c r="O436" s="87">
        <v>50400</v>
      </c>
      <c r="P436" s="89"/>
      <c r="Q436" s="88"/>
      <c r="R436" s="90" t="s">
        <v>62</v>
      </c>
      <c r="T436" s="35">
        <v>440301</v>
      </c>
    </row>
    <row r="437" spans="1:20" ht="18" customHeight="1">
      <c r="A437" s="83">
        <v>4</v>
      </c>
      <c r="B437" s="84" t="s">
        <v>428</v>
      </c>
      <c r="C437" s="84">
        <v>3</v>
      </c>
      <c r="D437" s="84" t="s">
        <v>492</v>
      </c>
      <c r="E437" s="84">
        <v>1</v>
      </c>
      <c r="F437" s="84" t="s">
        <v>494</v>
      </c>
      <c r="G437" s="91">
        <v>11</v>
      </c>
      <c r="H437" s="84" t="s">
        <v>27</v>
      </c>
      <c r="I437" s="91">
        <v>1</v>
      </c>
      <c r="J437" s="91" t="s">
        <v>28</v>
      </c>
      <c r="K437" s="87"/>
      <c r="L437" s="87"/>
      <c r="M437" s="87"/>
      <c r="N437" s="85" t="s">
        <v>94</v>
      </c>
      <c r="O437" s="87">
        <v>26000</v>
      </c>
      <c r="P437" s="89"/>
      <c r="Q437" s="88"/>
      <c r="R437" s="90" t="s">
        <v>62</v>
      </c>
      <c r="T437" s="35">
        <v>440301</v>
      </c>
    </row>
    <row r="438" spans="1:20" ht="18" customHeight="1">
      <c r="A438" s="83">
        <v>4</v>
      </c>
      <c r="B438" s="84" t="s">
        <v>428</v>
      </c>
      <c r="C438" s="84">
        <v>3</v>
      </c>
      <c r="D438" s="84" t="s">
        <v>492</v>
      </c>
      <c r="E438" s="84">
        <v>1</v>
      </c>
      <c r="F438" s="84" t="s">
        <v>494</v>
      </c>
      <c r="G438" s="91">
        <v>11</v>
      </c>
      <c r="H438" s="84" t="s">
        <v>27</v>
      </c>
      <c r="I438" s="91">
        <v>1</v>
      </c>
      <c r="J438" s="91" t="s">
        <v>28</v>
      </c>
      <c r="K438" s="87"/>
      <c r="L438" s="87"/>
      <c r="M438" s="87"/>
      <c r="N438" s="85" t="s">
        <v>529</v>
      </c>
      <c r="O438" s="87">
        <v>72000</v>
      </c>
      <c r="P438" s="89"/>
      <c r="Q438" s="88"/>
      <c r="R438" s="90" t="s">
        <v>62</v>
      </c>
      <c r="T438" s="35">
        <v>440301</v>
      </c>
    </row>
    <row r="439" spans="1:20" ht="18" customHeight="1">
      <c r="A439" s="83">
        <v>4</v>
      </c>
      <c r="B439" s="84" t="s">
        <v>428</v>
      </c>
      <c r="C439" s="84">
        <v>3</v>
      </c>
      <c r="D439" s="84" t="s">
        <v>492</v>
      </c>
      <c r="E439" s="84">
        <v>1</v>
      </c>
      <c r="F439" s="84" t="s">
        <v>494</v>
      </c>
      <c r="G439" s="91">
        <v>11</v>
      </c>
      <c r="H439" s="84" t="s">
        <v>27</v>
      </c>
      <c r="I439" s="91">
        <v>1</v>
      </c>
      <c r="J439" s="91" t="s">
        <v>28</v>
      </c>
      <c r="K439" s="87"/>
      <c r="L439" s="87"/>
      <c r="M439" s="87"/>
      <c r="N439" s="85" t="s">
        <v>530</v>
      </c>
      <c r="O439" s="87">
        <v>240000</v>
      </c>
      <c r="P439" s="89"/>
      <c r="Q439" s="88"/>
      <c r="R439" s="90" t="s">
        <v>62</v>
      </c>
      <c r="T439" s="35">
        <v>440301</v>
      </c>
    </row>
    <row r="440" spans="1:20" ht="18" customHeight="1">
      <c r="A440" s="83">
        <v>4</v>
      </c>
      <c r="B440" s="84" t="s">
        <v>428</v>
      </c>
      <c r="C440" s="84">
        <v>3</v>
      </c>
      <c r="D440" s="84" t="s">
        <v>492</v>
      </c>
      <c r="E440" s="84">
        <v>1</v>
      </c>
      <c r="F440" s="84" t="s">
        <v>494</v>
      </c>
      <c r="G440" s="91">
        <v>11</v>
      </c>
      <c r="H440" s="84" t="s">
        <v>27</v>
      </c>
      <c r="I440" s="85">
        <v>3</v>
      </c>
      <c r="J440" s="85" t="s">
        <v>29</v>
      </c>
      <c r="K440" s="87">
        <v>8</v>
      </c>
      <c r="L440" s="87">
        <v>0</v>
      </c>
      <c r="M440" s="87">
        <f>K440-L440</f>
        <v>8</v>
      </c>
      <c r="N440" s="85" t="s">
        <v>531</v>
      </c>
      <c r="O440" s="87">
        <v>8000</v>
      </c>
      <c r="P440" s="89"/>
      <c r="Q440" s="88"/>
      <c r="R440" s="90" t="s">
        <v>62</v>
      </c>
      <c r="T440" s="35">
        <v>440301</v>
      </c>
    </row>
    <row r="441" spans="1:20" ht="18" customHeight="1">
      <c r="A441" s="83">
        <v>4</v>
      </c>
      <c r="B441" s="84" t="s">
        <v>428</v>
      </c>
      <c r="C441" s="84">
        <v>3</v>
      </c>
      <c r="D441" s="84" t="s">
        <v>492</v>
      </c>
      <c r="E441" s="84">
        <v>1</v>
      </c>
      <c r="F441" s="84" t="s">
        <v>494</v>
      </c>
      <c r="G441" s="85">
        <v>12</v>
      </c>
      <c r="H441" s="86" t="s">
        <v>32</v>
      </c>
      <c r="I441" s="85"/>
      <c r="J441" s="85"/>
      <c r="K441" s="87"/>
      <c r="L441" s="87"/>
      <c r="M441" s="87"/>
      <c r="N441" s="85"/>
      <c r="O441" s="88"/>
      <c r="P441" s="89"/>
      <c r="Q441" s="88"/>
      <c r="R441" s="90" t="s">
        <v>62</v>
      </c>
      <c r="T441" s="35">
        <v>440301</v>
      </c>
    </row>
    <row r="442" spans="1:20" ht="18" customHeight="1">
      <c r="A442" s="83">
        <v>4</v>
      </c>
      <c r="B442" s="84" t="s">
        <v>428</v>
      </c>
      <c r="C442" s="84">
        <v>3</v>
      </c>
      <c r="D442" s="84" t="s">
        <v>492</v>
      </c>
      <c r="E442" s="84">
        <v>1</v>
      </c>
      <c r="F442" s="84" t="s">
        <v>494</v>
      </c>
      <c r="G442" s="91">
        <v>12</v>
      </c>
      <c r="H442" s="84" t="s">
        <v>32</v>
      </c>
      <c r="I442" s="85">
        <v>21</v>
      </c>
      <c r="J442" s="85" t="s">
        <v>33</v>
      </c>
      <c r="K442" s="87">
        <v>3750</v>
      </c>
      <c r="L442" s="87">
        <v>30</v>
      </c>
      <c r="M442" s="87">
        <f>K442-L442</f>
        <v>3720</v>
      </c>
      <c r="N442" s="85" t="s">
        <v>532</v>
      </c>
      <c r="O442" s="87">
        <v>30000</v>
      </c>
      <c r="P442" s="89"/>
      <c r="Q442" s="88"/>
      <c r="R442" s="90" t="s">
        <v>62</v>
      </c>
      <c r="T442" s="35">
        <v>440301</v>
      </c>
    </row>
    <row r="443" spans="1:20" ht="18" customHeight="1">
      <c r="A443" s="83">
        <v>4</v>
      </c>
      <c r="B443" s="84" t="s">
        <v>428</v>
      </c>
      <c r="C443" s="84">
        <v>3</v>
      </c>
      <c r="D443" s="84" t="s">
        <v>492</v>
      </c>
      <c r="E443" s="84">
        <v>1</v>
      </c>
      <c r="F443" s="84" t="s">
        <v>494</v>
      </c>
      <c r="G443" s="91">
        <v>12</v>
      </c>
      <c r="H443" s="84" t="s">
        <v>32</v>
      </c>
      <c r="I443" s="91">
        <v>21</v>
      </c>
      <c r="J443" s="91" t="s">
        <v>33</v>
      </c>
      <c r="K443" s="87"/>
      <c r="L443" s="87"/>
      <c r="M443" s="87"/>
      <c r="N443" s="85" t="s">
        <v>533</v>
      </c>
      <c r="O443" s="87">
        <v>3720000</v>
      </c>
      <c r="P443" s="89"/>
      <c r="Q443" s="88"/>
      <c r="R443" s="90" t="s">
        <v>62</v>
      </c>
      <c r="T443" s="35">
        <v>440301</v>
      </c>
    </row>
    <row r="444" spans="1:20" ht="18" customHeight="1">
      <c r="A444" s="83">
        <v>4</v>
      </c>
      <c r="B444" s="84" t="s">
        <v>428</v>
      </c>
      <c r="C444" s="84">
        <v>3</v>
      </c>
      <c r="D444" s="84" t="s">
        <v>492</v>
      </c>
      <c r="E444" s="84">
        <v>1</v>
      </c>
      <c r="F444" s="84" t="s">
        <v>494</v>
      </c>
      <c r="G444" s="85">
        <v>13</v>
      </c>
      <c r="H444" s="86" t="s">
        <v>34</v>
      </c>
      <c r="I444" s="85"/>
      <c r="J444" s="85"/>
      <c r="K444" s="87"/>
      <c r="L444" s="87"/>
      <c r="M444" s="87"/>
      <c r="N444" s="85"/>
      <c r="O444" s="88"/>
      <c r="P444" s="89"/>
      <c r="Q444" s="88"/>
      <c r="R444" s="90" t="s">
        <v>62</v>
      </c>
      <c r="T444" s="35">
        <v>440301</v>
      </c>
    </row>
    <row r="445" spans="1:20" ht="18" customHeight="1">
      <c r="A445" s="83">
        <v>4</v>
      </c>
      <c r="B445" s="84" t="s">
        <v>428</v>
      </c>
      <c r="C445" s="84">
        <v>3</v>
      </c>
      <c r="D445" s="84" t="s">
        <v>492</v>
      </c>
      <c r="E445" s="84">
        <v>1</v>
      </c>
      <c r="F445" s="84" t="s">
        <v>494</v>
      </c>
      <c r="G445" s="91">
        <v>13</v>
      </c>
      <c r="H445" s="84" t="s">
        <v>34</v>
      </c>
      <c r="I445" s="85">
        <v>1</v>
      </c>
      <c r="J445" s="85" t="s">
        <v>35</v>
      </c>
      <c r="K445" s="87">
        <v>55</v>
      </c>
      <c r="L445" s="87">
        <v>55</v>
      </c>
      <c r="M445" s="87">
        <f>K445-L445</f>
        <v>0</v>
      </c>
      <c r="N445" s="85" t="s">
        <v>534</v>
      </c>
      <c r="O445" s="87">
        <v>30000</v>
      </c>
      <c r="P445" s="89"/>
      <c r="Q445" s="88"/>
      <c r="R445" s="90" t="s">
        <v>62</v>
      </c>
      <c r="T445" s="35">
        <v>440301</v>
      </c>
    </row>
    <row r="446" spans="1:20" ht="18" customHeight="1">
      <c r="A446" s="83">
        <v>4</v>
      </c>
      <c r="B446" s="84" t="s">
        <v>428</v>
      </c>
      <c r="C446" s="84">
        <v>3</v>
      </c>
      <c r="D446" s="84" t="s">
        <v>492</v>
      </c>
      <c r="E446" s="84">
        <v>1</v>
      </c>
      <c r="F446" s="84" t="s">
        <v>494</v>
      </c>
      <c r="G446" s="91">
        <v>13</v>
      </c>
      <c r="H446" s="84" t="s">
        <v>34</v>
      </c>
      <c r="I446" s="91">
        <v>1</v>
      </c>
      <c r="J446" s="91" t="s">
        <v>35</v>
      </c>
      <c r="K446" s="87"/>
      <c r="L446" s="87"/>
      <c r="M446" s="87"/>
      <c r="N446" s="85" t="s">
        <v>535</v>
      </c>
      <c r="O446" s="87">
        <v>25000</v>
      </c>
      <c r="P446" s="89"/>
      <c r="Q446" s="88"/>
      <c r="R446" s="90" t="s">
        <v>62</v>
      </c>
      <c r="T446" s="35">
        <v>440301</v>
      </c>
    </row>
    <row r="447" spans="1:20" ht="18" customHeight="1">
      <c r="A447" s="83">
        <v>4</v>
      </c>
      <c r="B447" s="84" t="s">
        <v>428</v>
      </c>
      <c r="C447" s="84">
        <v>3</v>
      </c>
      <c r="D447" s="84" t="s">
        <v>492</v>
      </c>
      <c r="E447" s="84">
        <v>1</v>
      </c>
      <c r="F447" s="84" t="s">
        <v>494</v>
      </c>
      <c r="G447" s="91">
        <v>13</v>
      </c>
      <c r="H447" s="84" t="s">
        <v>34</v>
      </c>
      <c r="I447" s="85">
        <v>41</v>
      </c>
      <c r="J447" s="85" t="s">
        <v>48</v>
      </c>
      <c r="K447" s="87">
        <v>410</v>
      </c>
      <c r="L447" s="87">
        <v>410</v>
      </c>
      <c r="M447" s="87">
        <f>K447-L447</f>
        <v>0</v>
      </c>
      <c r="N447" s="85" t="s">
        <v>536</v>
      </c>
      <c r="O447" s="87">
        <v>409200</v>
      </c>
      <c r="P447" s="89"/>
      <c r="Q447" s="88"/>
      <c r="R447" s="90" t="s">
        <v>62</v>
      </c>
      <c r="T447" s="35">
        <v>440301</v>
      </c>
    </row>
    <row r="448" spans="1:20" ht="18" customHeight="1">
      <c r="A448" s="83">
        <v>4</v>
      </c>
      <c r="B448" s="84" t="s">
        <v>428</v>
      </c>
      <c r="C448" s="84">
        <v>3</v>
      </c>
      <c r="D448" s="84" t="s">
        <v>492</v>
      </c>
      <c r="E448" s="84">
        <v>1</v>
      </c>
      <c r="F448" s="84" t="s">
        <v>494</v>
      </c>
      <c r="G448" s="85">
        <v>17</v>
      </c>
      <c r="H448" s="86" t="s">
        <v>36</v>
      </c>
      <c r="I448" s="85"/>
      <c r="J448" s="85"/>
      <c r="K448" s="87"/>
      <c r="L448" s="87"/>
      <c r="M448" s="87"/>
      <c r="N448" s="85"/>
      <c r="O448" s="88"/>
      <c r="P448" s="89"/>
      <c r="Q448" s="88"/>
      <c r="R448" s="90" t="s">
        <v>62</v>
      </c>
      <c r="T448" s="35">
        <v>440301</v>
      </c>
    </row>
    <row r="449" spans="1:20" ht="18" customHeight="1">
      <c r="A449" s="83">
        <v>4</v>
      </c>
      <c r="B449" s="84" t="s">
        <v>428</v>
      </c>
      <c r="C449" s="84">
        <v>3</v>
      </c>
      <c r="D449" s="84" t="s">
        <v>492</v>
      </c>
      <c r="E449" s="84">
        <v>1</v>
      </c>
      <c r="F449" s="84" t="s">
        <v>494</v>
      </c>
      <c r="G449" s="91">
        <v>17</v>
      </c>
      <c r="H449" s="84" t="s">
        <v>36</v>
      </c>
      <c r="I449" s="85">
        <v>11</v>
      </c>
      <c r="J449" s="85" t="s">
        <v>37</v>
      </c>
      <c r="K449" s="87">
        <v>100</v>
      </c>
      <c r="L449" s="87">
        <v>100</v>
      </c>
      <c r="M449" s="87">
        <f>K449-L449</f>
        <v>0</v>
      </c>
      <c r="N449" s="85" t="s">
        <v>537</v>
      </c>
      <c r="O449" s="87">
        <v>100000</v>
      </c>
      <c r="P449" s="89"/>
      <c r="Q449" s="88"/>
      <c r="R449" s="90" t="s">
        <v>62</v>
      </c>
      <c r="T449" s="35">
        <v>440301</v>
      </c>
    </row>
    <row r="450" spans="1:20" ht="18" customHeight="1">
      <c r="A450" s="83">
        <v>4</v>
      </c>
      <c r="B450" s="84" t="s">
        <v>428</v>
      </c>
      <c r="C450" s="84">
        <v>3</v>
      </c>
      <c r="D450" s="84" t="s">
        <v>492</v>
      </c>
      <c r="E450" s="84">
        <v>1</v>
      </c>
      <c r="F450" s="84" t="s">
        <v>494</v>
      </c>
      <c r="G450" s="85">
        <v>18</v>
      </c>
      <c r="H450" s="86" t="s">
        <v>38</v>
      </c>
      <c r="I450" s="85"/>
      <c r="J450" s="85"/>
      <c r="K450" s="87"/>
      <c r="L450" s="87"/>
      <c r="M450" s="87"/>
      <c r="N450" s="85"/>
      <c r="O450" s="88"/>
      <c r="P450" s="89"/>
      <c r="Q450" s="88"/>
      <c r="R450" s="90" t="s">
        <v>62</v>
      </c>
      <c r="T450" s="35">
        <v>440301</v>
      </c>
    </row>
    <row r="451" spans="1:20" ht="18" customHeight="1">
      <c r="A451" s="83">
        <v>4</v>
      </c>
      <c r="B451" s="84" t="s">
        <v>428</v>
      </c>
      <c r="C451" s="84">
        <v>3</v>
      </c>
      <c r="D451" s="84" t="s">
        <v>492</v>
      </c>
      <c r="E451" s="84">
        <v>1</v>
      </c>
      <c r="F451" s="84" t="s">
        <v>494</v>
      </c>
      <c r="G451" s="91">
        <v>18</v>
      </c>
      <c r="H451" s="84" t="s">
        <v>38</v>
      </c>
      <c r="I451" s="85">
        <v>41</v>
      </c>
      <c r="J451" s="85" t="s">
        <v>49</v>
      </c>
      <c r="K451" s="87">
        <v>253</v>
      </c>
      <c r="L451" s="87">
        <v>253</v>
      </c>
      <c r="M451" s="87">
        <f>K451-L451</f>
        <v>0</v>
      </c>
      <c r="N451" s="85" t="s">
        <v>538</v>
      </c>
      <c r="O451" s="87">
        <v>17000</v>
      </c>
      <c r="P451" s="89"/>
      <c r="Q451" s="88"/>
      <c r="R451" s="90" t="s">
        <v>62</v>
      </c>
      <c r="T451" s="35">
        <v>440301</v>
      </c>
    </row>
    <row r="452" spans="1:20" ht="18" customHeight="1">
      <c r="A452" s="83">
        <v>4</v>
      </c>
      <c r="B452" s="84" t="s">
        <v>428</v>
      </c>
      <c r="C452" s="84">
        <v>3</v>
      </c>
      <c r="D452" s="84" t="s">
        <v>492</v>
      </c>
      <c r="E452" s="84">
        <v>1</v>
      </c>
      <c r="F452" s="84" t="s">
        <v>494</v>
      </c>
      <c r="G452" s="91">
        <v>18</v>
      </c>
      <c r="H452" s="84" t="s">
        <v>38</v>
      </c>
      <c r="I452" s="91">
        <v>41</v>
      </c>
      <c r="J452" s="91" t="s">
        <v>49</v>
      </c>
      <c r="K452" s="87"/>
      <c r="L452" s="87"/>
      <c r="M452" s="87"/>
      <c r="N452" s="85" t="s">
        <v>539</v>
      </c>
      <c r="O452" s="87">
        <v>225000</v>
      </c>
      <c r="P452" s="89"/>
      <c r="Q452" s="88"/>
      <c r="R452" s="90" t="s">
        <v>62</v>
      </c>
      <c r="T452" s="35">
        <v>440301</v>
      </c>
    </row>
    <row r="453" spans="1:20" ht="18" customHeight="1">
      <c r="A453" s="83">
        <v>4</v>
      </c>
      <c r="B453" s="84" t="s">
        <v>428</v>
      </c>
      <c r="C453" s="84">
        <v>3</v>
      </c>
      <c r="D453" s="84" t="s">
        <v>492</v>
      </c>
      <c r="E453" s="84">
        <v>1</v>
      </c>
      <c r="F453" s="84" t="s">
        <v>494</v>
      </c>
      <c r="G453" s="91">
        <v>18</v>
      </c>
      <c r="H453" s="84" t="s">
        <v>38</v>
      </c>
      <c r="I453" s="91">
        <v>41</v>
      </c>
      <c r="J453" s="91" t="s">
        <v>49</v>
      </c>
      <c r="K453" s="87"/>
      <c r="L453" s="87"/>
      <c r="M453" s="87"/>
      <c r="N453" s="85" t="s">
        <v>540</v>
      </c>
      <c r="O453" s="87">
        <v>6000</v>
      </c>
      <c r="P453" s="89"/>
      <c r="Q453" s="88"/>
      <c r="R453" s="90" t="s">
        <v>62</v>
      </c>
      <c r="T453" s="35">
        <v>440301</v>
      </c>
    </row>
    <row r="454" spans="1:20" ht="18" customHeight="1">
      <c r="A454" s="83">
        <v>4</v>
      </c>
      <c r="B454" s="84" t="s">
        <v>428</v>
      </c>
      <c r="C454" s="84">
        <v>3</v>
      </c>
      <c r="D454" s="84" t="s">
        <v>492</v>
      </c>
      <c r="E454" s="84">
        <v>1</v>
      </c>
      <c r="F454" s="84" t="s">
        <v>494</v>
      </c>
      <c r="G454" s="91">
        <v>18</v>
      </c>
      <c r="H454" s="84" t="s">
        <v>38</v>
      </c>
      <c r="I454" s="91">
        <v>41</v>
      </c>
      <c r="J454" s="91" t="s">
        <v>49</v>
      </c>
      <c r="K454" s="87"/>
      <c r="L454" s="87"/>
      <c r="M454" s="87"/>
      <c r="N454" s="85" t="s">
        <v>541</v>
      </c>
      <c r="O454" s="87">
        <v>5000</v>
      </c>
      <c r="P454" s="89"/>
      <c r="Q454" s="88"/>
      <c r="R454" s="90" t="s">
        <v>62</v>
      </c>
      <c r="T454" s="35">
        <v>440301</v>
      </c>
    </row>
    <row r="455" spans="1:20" ht="18" customHeight="1">
      <c r="A455" s="83">
        <v>4</v>
      </c>
      <c r="B455" s="84" t="s">
        <v>428</v>
      </c>
      <c r="C455" s="84">
        <v>3</v>
      </c>
      <c r="D455" s="84" t="s">
        <v>492</v>
      </c>
      <c r="E455" s="84">
        <v>1</v>
      </c>
      <c r="F455" s="84" t="s">
        <v>494</v>
      </c>
      <c r="G455" s="91">
        <v>18</v>
      </c>
      <c r="H455" s="84" t="s">
        <v>38</v>
      </c>
      <c r="I455" s="85">
        <v>83</v>
      </c>
      <c r="J455" s="85" t="s">
        <v>50</v>
      </c>
      <c r="K455" s="87">
        <v>1740</v>
      </c>
      <c r="L455" s="87">
        <v>2051</v>
      </c>
      <c r="M455" s="87">
        <f>K455-L455</f>
        <v>-311</v>
      </c>
      <c r="N455" s="85" t="s">
        <v>50</v>
      </c>
      <c r="O455" s="87">
        <v>1740000</v>
      </c>
      <c r="P455" s="89"/>
      <c r="Q455" s="88"/>
      <c r="R455" s="90" t="s">
        <v>62</v>
      </c>
      <c r="T455" s="35">
        <v>440301</v>
      </c>
    </row>
    <row r="456" spans="1:20" ht="18" customHeight="1">
      <c r="A456" s="65">
        <v>4</v>
      </c>
      <c r="B456" s="66" t="s">
        <v>430</v>
      </c>
      <c r="C456" s="74">
        <v>3</v>
      </c>
      <c r="D456" s="66" t="s">
        <v>492</v>
      </c>
      <c r="E456" s="75">
        <v>2</v>
      </c>
      <c r="F456" s="76" t="s">
        <v>542</v>
      </c>
      <c r="G456" s="75"/>
      <c r="H456" s="76"/>
      <c r="I456" s="75"/>
      <c r="J456" s="75"/>
      <c r="K456" s="77">
        <f>IF(C456="",SUMIFS($K457:$K$783,$A457:$A$783,A456,$E457:$E$783,""),IF(E456="",SUMIFS($K457:$K$783,$A457:$A$783,A456,$C457:$C$783,C456,$G457:$G$783,""),IF(G456="",SUMIFS($K457:$K$783,$A457:$A$783,A456,$C457:$C$783,C456,$E457:$E$783,E456,$R457:$R$783,R456),IF(I456="",SUMIFS($K457:$K$783,$A457:$A$783,A456,$C457:$C$783,C456,$E457:$E$783,E456,$G457:$G$783,G456,$R457:$R$783,R456),0))))</f>
        <v>6727</v>
      </c>
      <c r="L456" s="77">
        <f>IF(C456="",SUMIFS($L457:$L$783,$A457:$A$783,A456,$E457:$E$783,""),IF(E456="",SUMIFS($L457:$L$783,$A457:$A$783,A456,$C457:$C$783,C456,$G457:$G$783,""),IF(G456="",SUMIFS($L457:$L$783,$A457:$A$783,A456,$C457:$C$783,C456,$E457:$E$783,E456,$R457:$R$783,R456),IF(I456="",SUMIFS($L457:$L$783,$A457:$A$783,A456,$C457:$C$783,C456,$E457:$E$783,E456,$G457:$G$783,G456,$R457:$R$783,R456),0))))</f>
        <v>7614</v>
      </c>
      <c r="M456" s="77">
        <f t="shared" ref="M456" si="27">K456-L456</f>
        <v>-887</v>
      </c>
      <c r="N456" s="78"/>
      <c r="O456" s="79"/>
      <c r="P456" s="80"/>
      <c r="Q456" s="81">
        <f>IF(C456="",SUMIFS($Q457:$Q$781,$A457:$A$781,A456,$E457:$E$781,""),IF(E456="",SUMIFS($Q457:$Q$781,$A457:$A$781,A456,$C457:$C$781,C456,$G457:$G$781,""),IF(G456="",SUMIFS($Q457:$Q$781,$A457:$A$781,A456,$C457:$C$781,C456,$E457:$E$781,E456,$R457:$R$781,R456),IF(I456="",SUMIFS($Q457:$Q$781,$A457:$A$781,A456,$C457:$C$781,C456,$E457:$E$781,E456,$G457:$G$781,G456,$R457:$R$781,R456),0))))</f>
        <v>5841</v>
      </c>
      <c r="R456" s="82" t="s">
        <v>62</v>
      </c>
      <c r="T456" s="35">
        <v>440302</v>
      </c>
    </row>
    <row r="457" spans="1:20" ht="18" customHeight="1">
      <c r="A457" s="83">
        <v>4</v>
      </c>
      <c r="B457" s="84" t="s">
        <v>428</v>
      </c>
      <c r="C457" s="84">
        <v>3</v>
      </c>
      <c r="D457" s="84" t="s">
        <v>492</v>
      </c>
      <c r="E457" s="84">
        <v>2</v>
      </c>
      <c r="F457" s="84" t="s">
        <v>136</v>
      </c>
      <c r="G457" s="85">
        <v>7</v>
      </c>
      <c r="H457" s="86" t="s">
        <v>18</v>
      </c>
      <c r="I457" s="85"/>
      <c r="J457" s="85"/>
      <c r="K457" s="87"/>
      <c r="L457" s="87"/>
      <c r="M457" s="87"/>
      <c r="N457" s="85"/>
      <c r="O457" s="88"/>
      <c r="P457" s="89" t="s">
        <v>543</v>
      </c>
      <c r="Q457" s="88">
        <v>1188</v>
      </c>
      <c r="R457" s="90" t="s">
        <v>62</v>
      </c>
      <c r="T457" s="35">
        <v>440302</v>
      </c>
    </row>
    <row r="458" spans="1:20" ht="18" customHeight="1">
      <c r="A458" s="83">
        <v>4</v>
      </c>
      <c r="B458" s="84" t="s">
        <v>428</v>
      </c>
      <c r="C458" s="84">
        <v>3</v>
      </c>
      <c r="D458" s="84" t="s">
        <v>492</v>
      </c>
      <c r="E458" s="84">
        <v>2</v>
      </c>
      <c r="F458" s="84" t="s">
        <v>136</v>
      </c>
      <c r="G458" s="91">
        <v>7</v>
      </c>
      <c r="H458" s="84" t="s">
        <v>18</v>
      </c>
      <c r="I458" s="85">
        <v>11</v>
      </c>
      <c r="J458" s="85" t="s">
        <v>19</v>
      </c>
      <c r="K458" s="87">
        <v>422</v>
      </c>
      <c r="L458" s="87">
        <v>394</v>
      </c>
      <c r="M458" s="87">
        <f>K458-L458</f>
        <v>28</v>
      </c>
      <c r="N458" s="85" t="s">
        <v>544</v>
      </c>
      <c r="O458" s="87">
        <v>30600</v>
      </c>
      <c r="P458" s="89" t="s">
        <v>99</v>
      </c>
      <c r="Q458" s="88"/>
      <c r="R458" s="90" t="s">
        <v>62</v>
      </c>
      <c r="T458" s="35">
        <v>440302</v>
      </c>
    </row>
    <row r="459" spans="1:20" ht="18" customHeight="1">
      <c r="A459" s="83">
        <v>4</v>
      </c>
      <c r="B459" s="84" t="s">
        <v>428</v>
      </c>
      <c r="C459" s="84">
        <v>3</v>
      </c>
      <c r="D459" s="84" t="s">
        <v>492</v>
      </c>
      <c r="E459" s="84">
        <v>2</v>
      </c>
      <c r="F459" s="84" t="s">
        <v>136</v>
      </c>
      <c r="G459" s="91">
        <v>7</v>
      </c>
      <c r="H459" s="84" t="s">
        <v>18</v>
      </c>
      <c r="I459" s="91">
        <v>11</v>
      </c>
      <c r="J459" s="91" t="s">
        <v>19</v>
      </c>
      <c r="K459" s="87"/>
      <c r="L459" s="87"/>
      <c r="M459" s="87"/>
      <c r="N459" s="85" t="s">
        <v>545</v>
      </c>
      <c r="O459" s="87">
        <v>45000</v>
      </c>
      <c r="P459" s="89" t="s">
        <v>497</v>
      </c>
      <c r="Q459" s="88">
        <v>2100</v>
      </c>
      <c r="R459" s="90" t="s">
        <v>62</v>
      </c>
      <c r="T459" s="35">
        <v>440302</v>
      </c>
    </row>
    <row r="460" spans="1:20" ht="18" customHeight="1">
      <c r="A460" s="83">
        <v>4</v>
      </c>
      <c r="B460" s="84" t="s">
        <v>428</v>
      </c>
      <c r="C460" s="84">
        <v>3</v>
      </c>
      <c r="D460" s="84" t="s">
        <v>492</v>
      </c>
      <c r="E460" s="84">
        <v>2</v>
      </c>
      <c r="F460" s="84" t="s">
        <v>136</v>
      </c>
      <c r="G460" s="91">
        <v>7</v>
      </c>
      <c r="H460" s="84" t="s">
        <v>18</v>
      </c>
      <c r="I460" s="91">
        <v>11</v>
      </c>
      <c r="J460" s="91" t="s">
        <v>19</v>
      </c>
      <c r="K460" s="87"/>
      <c r="L460" s="87"/>
      <c r="M460" s="87"/>
      <c r="N460" s="85" t="s">
        <v>546</v>
      </c>
      <c r="O460" s="87">
        <v>30600</v>
      </c>
      <c r="P460" s="89" t="s">
        <v>498</v>
      </c>
      <c r="Q460" s="88"/>
      <c r="R460" s="90" t="s">
        <v>62</v>
      </c>
      <c r="T460" s="35">
        <v>440302</v>
      </c>
    </row>
    <row r="461" spans="1:20" ht="18" customHeight="1">
      <c r="A461" s="83">
        <v>4</v>
      </c>
      <c r="B461" s="84" t="s">
        <v>428</v>
      </c>
      <c r="C461" s="84">
        <v>3</v>
      </c>
      <c r="D461" s="84" t="s">
        <v>492</v>
      </c>
      <c r="E461" s="84">
        <v>2</v>
      </c>
      <c r="F461" s="84" t="s">
        <v>136</v>
      </c>
      <c r="G461" s="91">
        <v>7</v>
      </c>
      <c r="H461" s="84" t="s">
        <v>18</v>
      </c>
      <c r="I461" s="91">
        <v>11</v>
      </c>
      <c r="J461" s="91" t="s">
        <v>19</v>
      </c>
      <c r="K461" s="87"/>
      <c r="L461" s="87"/>
      <c r="M461" s="87"/>
      <c r="N461" s="85" t="s">
        <v>547</v>
      </c>
      <c r="O461" s="87">
        <v>45000</v>
      </c>
      <c r="P461" s="89" t="s">
        <v>499</v>
      </c>
      <c r="Q461" s="88">
        <v>453</v>
      </c>
      <c r="R461" s="90" t="s">
        <v>62</v>
      </c>
      <c r="T461" s="35">
        <v>440302</v>
      </c>
    </row>
    <row r="462" spans="1:20" ht="18" customHeight="1">
      <c r="A462" s="83">
        <v>4</v>
      </c>
      <c r="B462" s="84" t="s">
        <v>428</v>
      </c>
      <c r="C462" s="84">
        <v>3</v>
      </c>
      <c r="D462" s="84" t="s">
        <v>492</v>
      </c>
      <c r="E462" s="84">
        <v>2</v>
      </c>
      <c r="F462" s="84" t="s">
        <v>136</v>
      </c>
      <c r="G462" s="91">
        <v>7</v>
      </c>
      <c r="H462" s="84" t="s">
        <v>18</v>
      </c>
      <c r="I462" s="91">
        <v>11</v>
      </c>
      <c r="J462" s="91" t="s">
        <v>19</v>
      </c>
      <c r="K462" s="87"/>
      <c r="L462" s="87"/>
      <c r="M462" s="87"/>
      <c r="N462" s="85" t="s">
        <v>548</v>
      </c>
      <c r="O462" s="87">
        <v>210000</v>
      </c>
      <c r="P462" s="89" t="s">
        <v>500</v>
      </c>
      <c r="Q462" s="88"/>
      <c r="R462" s="90" t="s">
        <v>62</v>
      </c>
      <c r="T462" s="35">
        <v>440302</v>
      </c>
    </row>
    <row r="463" spans="1:20" ht="18" customHeight="1">
      <c r="A463" s="83">
        <v>4</v>
      </c>
      <c r="B463" s="84" t="s">
        <v>428</v>
      </c>
      <c r="C463" s="84">
        <v>3</v>
      </c>
      <c r="D463" s="84" t="s">
        <v>492</v>
      </c>
      <c r="E463" s="84">
        <v>2</v>
      </c>
      <c r="F463" s="84" t="s">
        <v>136</v>
      </c>
      <c r="G463" s="91">
        <v>7</v>
      </c>
      <c r="H463" s="84" t="s">
        <v>18</v>
      </c>
      <c r="I463" s="91">
        <v>11</v>
      </c>
      <c r="J463" s="91" t="s">
        <v>19</v>
      </c>
      <c r="K463" s="87"/>
      <c r="L463" s="87"/>
      <c r="M463" s="87"/>
      <c r="N463" s="85" t="s">
        <v>549</v>
      </c>
      <c r="O463" s="87"/>
      <c r="P463" s="89" t="s">
        <v>497</v>
      </c>
      <c r="Q463" s="88">
        <v>1050</v>
      </c>
      <c r="R463" s="90" t="s">
        <v>62</v>
      </c>
      <c r="T463" s="35">
        <v>440302</v>
      </c>
    </row>
    <row r="464" spans="1:20" ht="18" customHeight="1">
      <c r="A464" s="83">
        <v>4</v>
      </c>
      <c r="B464" s="84" t="s">
        <v>428</v>
      </c>
      <c r="C464" s="84">
        <v>3</v>
      </c>
      <c r="D464" s="84" t="s">
        <v>492</v>
      </c>
      <c r="E464" s="84">
        <v>2</v>
      </c>
      <c r="F464" s="84" t="s">
        <v>136</v>
      </c>
      <c r="G464" s="91">
        <v>7</v>
      </c>
      <c r="H464" s="84" t="s">
        <v>18</v>
      </c>
      <c r="I464" s="91">
        <v>11</v>
      </c>
      <c r="J464" s="91" t="s">
        <v>19</v>
      </c>
      <c r="K464" s="87"/>
      <c r="L464" s="87"/>
      <c r="M464" s="87"/>
      <c r="N464" s="85" t="s">
        <v>550</v>
      </c>
      <c r="O464" s="87">
        <v>60000</v>
      </c>
      <c r="P464" s="89" t="s">
        <v>551</v>
      </c>
      <c r="Q464" s="88"/>
      <c r="R464" s="90" t="s">
        <v>62</v>
      </c>
      <c r="T464" s="35">
        <v>440302</v>
      </c>
    </row>
    <row r="465" spans="1:20" ht="18" customHeight="1">
      <c r="A465" s="83">
        <v>4</v>
      </c>
      <c r="B465" s="84" t="s">
        <v>428</v>
      </c>
      <c r="C465" s="84">
        <v>3</v>
      </c>
      <c r="D465" s="84" t="s">
        <v>492</v>
      </c>
      <c r="E465" s="84">
        <v>2</v>
      </c>
      <c r="F465" s="84" t="s">
        <v>136</v>
      </c>
      <c r="G465" s="91">
        <v>7</v>
      </c>
      <c r="H465" s="84" t="s">
        <v>18</v>
      </c>
      <c r="I465" s="85">
        <v>31</v>
      </c>
      <c r="J465" s="85" t="s">
        <v>56</v>
      </c>
      <c r="K465" s="87">
        <v>28</v>
      </c>
      <c r="L465" s="87">
        <v>28</v>
      </c>
      <c r="M465" s="87">
        <f>K465-L465</f>
        <v>0</v>
      </c>
      <c r="N465" s="85" t="s">
        <v>552</v>
      </c>
      <c r="O465" s="87">
        <v>27500</v>
      </c>
      <c r="P465" s="89" t="s">
        <v>506</v>
      </c>
      <c r="Q465" s="88"/>
      <c r="R465" s="90" t="s">
        <v>62</v>
      </c>
      <c r="T465" s="35">
        <v>440302</v>
      </c>
    </row>
    <row r="466" spans="1:20" ht="18" customHeight="1">
      <c r="A466" s="83">
        <v>4</v>
      </c>
      <c r="B466" s="84" t="s">
        <v>428</v>
      </c>
      <c r="C466" s="84">
        <v>3</v>
      </c>
      <c r="D466" s="84" t="s">
        <v>492</v>
      </c>
      <c r="E466" s="84">
        <v>2</v>
      </c>
      <c r="F466" s="84" t="s">
        <v>136</v>
      </c>
      <c r="G466" s="85">
        <v>10</v>
      </c>
      <c r="H466" s="86" t="s">
        <v>23</v>
      </c>
      <c r="I466" s="85"/>
      <c r="J466" s="85"/>
      <c r="K466" s="87"/>
      <c r="L466" s="87"/>
      <c r="M466" s="87"/>
      <c r="N466" s="85"/>
      <c r="O466" s="88"/>
      <c r="P466" s="89" t="s">
        <v>497</v>
      </c>
      <c r="Q466" s="88">
        <v>1050</v>
      </c>
      <c r="R466" s="90" t="s">
        <v>62</v>
      </c>
      <c r="T466" s="35">
        <v>440302</v>
      </c>
    </row>
    <row r="467" spans="1:20" ht="18" customHeight="1">
      <c r="A467" s="83">
        <v>4</v>
      </c>
      <c r="B467" s="84" t="s">
        <v>428</v>
      </c>
      <c r="C467" s="84">
        <v>3</v>
      </c>
      <c r="D467" s="84" t="s">
        <v>492</v>
      </c>
      <c r="E467" s="84">
        <v>2</v>
      </c>
      <c r="F467" s="84" t="s">
        <v>136</v>
      </c>
      <c r="G467" s="91">
        <v>10</v>
      </c>
      <c r="H467" s="84" t="s">
        <v>23</v>
      </c>
      <c r="I467" s="85">
        <v>1</v>
      </c>
      <c r="J467" s="85" t="s">
        <v>24</v>
      </c>
      <c r="K467" s="87">
        <v>85</v>
      </c>
      <c r="L467" s="87">
        <v>80</v>
      </c>
      <c r="M467" s="87">
        <f>K467-L467</f>
        <v>5</v>
      </c>
      <c r="N467" s="85" t="s">
        <v>553</v>
      </c>
      <c r="O467" s="87">
        <v>15000</v>
      </c>
      <c r="P467" s="89" t="s">
        <v>507</v>
      </c>
      <c r="Q467" s="88"/>
      <c r="R467" s="90" t="s">
        <v>62</v>
      </c>
      <c r="T467" s="35">
        <v>440302</v>
      </c>
    </row>
    <row r="468" spans="1:20" ht="18" customHeight="1">
      <c r="A468" s="83">
        <v>4</v>
      </c>
      <c r="B468" s="84" t="s">
        <v>428</v>
      </c>
      <c r="C468" s="84">
        <v>3</v>
      </c>
      <c r="D468" s="84" t="s">
        <v>492</v>
      </c>
      <c r="E468" s="84">
        <v>2</v>
      </c>
      <c r="F468" s="84" t="s">
        <v>136</v>
      </c>
      <c r="G468" s="91">
        <v>10</v>
      </c>
      <c r="H468" s="84" t="s">
        <v>23</v>
      </c>
      <c r="I468" s="91">
        <v>1</v>
      </c>
      <c r="J468" s="91" t="s">
        <v>24</v>
      </c>
      <c r="K468" s="87"/>
      <c r="L468" s="87"/>
      <c r="M468" s="87"/>
      <c r="N468" s="85" t="s">
        <v>554</v>
      </c>
      <c r="O468" s="87">
        <v>25000</v>
      </c>
      <c r="P468" s="89" t="s">
        <v>353</v>
      </c>
      <c r="Q468" s="88"/>
      <c r="R468" s="90" t="s">
        <v>62</v>
      </c>
      <c r="T468" s="35">
        <v>440302</v>
      </c>
    </row>
    <row r="469" spans="1:20" ht="18" customHeight="1">
      <c r="A469" s="83">
        <v>4</v>
      </c>
      <c r="B469" s="84" t="s">
        <v>428</v>
      </c>
      <c r="C469" s="84">
        <v>3</v>
      </c>
      <c r="D469" s="84" t="s">
        <v>492</v>
      </c>
      <c r="E469" s="84">
        <v>2</v>
      </c>
      <c r="F469" s="84" t="s">
        <v>136</v>
      </c>
      <c r="G469" s="91">
        <v>10</v>
      </c>
      <c r="H469" s="84" t="s">
        <v>23</v>
      </c>
      <c r="I469" s="91">
        <v>1</v>
      </c>
      <c r="J469" s="91" t="s">
        <v>24</v>
      </c>
      <c r="K469" s="87"/>
      <c r="L469" s="87"/>
      <c r="M469" s="87"/>
      <c r="N469" s="85" t="s">
        <v>609</v>
      </c>
      <c r="O469" s="87">
        <v>20000</v>
      </c>
      <c r="P469" s="89"/>
      <c r="Q469" s="88"/>
      <c r="R469" s="90" t="s">
        <v>62</v>
      </c>
      <c r="T469" s="35">
        <v>440302</v>
      </c>
    </row>
    <row r="470" spans="1:20" ht="18" customHeight="1">
      <c r="A470" s="83">
        <v>4</v>
      </c>
      <c r="B470" s="84" t="s">
        <v>428</v>
      </c>
      <c r="C470" s="84">
        <v>3</v>
      </c>
      <c r="D470" s="84" t="s">
        <v>492</v>
      </c>
      <c r="E470" s="84">
        <v>2</v>
      </c>
      <c r="F470" s="84" t="s">
        <v>136</v>
      </c>
      <c r="G470" s="91">
        <v>10</v>
      </c>
      <c r="H470" s="84" t="s">
        <v>23</v>
      </c>
      <c r="I470" s="91">
        <v>1</v>
      </c>
      <c r="J470" s="91" t="s">
        <v>24</v>
      </c>
      <c r="K470" s="87"/>
      <c r="L470" s="87"/>
      <c r="M470" s="87"/>
      <c r="N470" s="85" t="s">
        <v>555</v>
      </c>
      <c r="O470" s="87">
        <v>25000</v>
      </c>
      <c r="P470" s="89"/>
      <c r="Q470" s="88"/>
      <c r="R470" s="90" t="s">
        <v>62</v>
      </c>
      <c r="T470" s="35">
        <v>440302</v>
      </c>
    </row>
    <row r="471" spans="1:20" ht="18" customHeight="1">
      <c r="A471" s="83">
        <v>4</v>
      </c>
      <c r="B471" s="84" t="s">
        <v>428</v>
      </c>
      <c r="C471" s="84">
        <v>3</v>
      </c>
      <c r="D471" s="84" t="s">
        <v>492</v>
      </c>
      <c r="E471" s="84">
        <v>2</v>
      </c>
      <c r="F471" s="84" t="s">
        <v>136</v>
      </c>
      <c r="G471" s="91">
        <v>10</v>
      </c>
      <c r="H471" s="84" t="s">
        <v>23</v>
      </c>
      <c r="I471" s="85">
        <v>2</v>
      </c>
      <c r="J471" s="85" t="s">
        <v>53</v>
      </c>
      <c r="K471" s="87">
        <v>8</v>
      </c>
      <c r="L471" s="87">
        <v>8</v>
      </c>
      <c r="M471" s="87">
        <f>K471-L471</f>
        <v>0</v>
      </c>
      <c r="N471" s="85" t="s">
        <v>556</v>
      </c>
      <c r="O471" s="87">
        <v>7650</v>
      </c>
      <c r="P471" s="89"/>
      <c r="Q471" s="88"/>
      <c r="R471" s="90" t="s">
        <v>62</v>
      </c>
      <c r="T471" s="35">
        <v>440302</v>
      </c>
    </row>
    <row r="472" spans="1:20" ht="18" customHeight="1">
      <c r="A472" s="83">
        <v>4</v>
      </c>
      <c r="B472" s="84" t="s">
        <v>428</v>
      </c>
      <c r="C472" s="84">
        <v>3</v>
      </c>
      <c r="D472" s="84" t="s">
        <v>492</v>
      </c>
      <c r="E472" s="84">
        <v>2</v>
      </c>
      <c r="F472" s="84" t="s">
        <v>136</v>
      </c>
      <c r="G472" s="91">
        <v>10</v>
      </c>
      <c r="H472" s="84" t="s">
        <v>23</v>
      </c>
      <c r="I472" s="85">
        <v>3</v>
      </c>
      <c r="J472" s="85" t="s">
        <v>25</v>
      </c>
      <c r="K472" s="87">
        <v>18</v>
      </c>
      <c r="L472" s="87">
        <v>0</v>
      </c>
      <c r="M472" s="87">
        <f>K472-L472</f>
        <v>18</v>
      </c>
      <c r="N472" s="85" t="s">
        <v>557</v>
      </c>
      <c r="O472" s="87">
        <v>12000</v>
      </c>
      <c r="P472" s="89"/>
      <c r="Q472" s="88"/>
      <c r="R472" s="90" t="s">
        <v>62</v>
      </c>
      <c r="T472" s="35">
        <v>440302</v>
      </c>
    </row>
    <row r="473" spans="1:20" ht="18" customHeight="1">
      <c r="A473" s="83">
        <v>4</v>
      </c>
      <c r="B473" s="84" t="s">
        <v>428</v>
      </c>
      <c r="C473" s="84">
        <v>3</v>
      </c>
      <c r="D473" s="84" t="s">
        <v>492</v>
      </c>
      <c r="E473" s="84">
        <v>2</v>
      </c>
      <c r="F473" s="84" t="s">
        <v>136</v>
      </c>
      <c r="G473" s="91">
        <v>10</v>
      </c>
      <c r="H473" s="84" t="s">
        <v>23</v>
      </c>
      <c r="I473" s="91">
        <v>3</v>
      </c>
      <c r="J473" s="91" t="s">
        <v>25</v>
      </c>
      <c r="K473" s="87"/>
      <c r="L473" s="87"/>
      <c r="M473" s="87"/>
      <c r="N473" s="85" t="s">
        <v>558</v>
      </c>
      <c r="O473" s="87">
        <v>6000</v>
      </c>
      <c r="P473" s="89"/>
      <c r="Q473" s="88"/>
      <c r="R473" s="90" t="s">
        <v>62</v>
      </c>
      <c r="T473" s="35">
        <v>440302</v>
      </c>
    </row>
    <row r="474" spans="1:20" ht="18" customHeight="1">
      <c r="A474" s="83">
        <v>4</v>
      </c>
      <c r="B474" s="84" t="s">
        <v>428</v>
      </c>
      <c r="C474" s="84">
        <v>3</v>
      </c>
      <c r="D474" s="84" t="s">
        <v>492</v>
      </c>
      <c r="E474" s="84">
        <v>2</v>
      </c>
      <c r="F474" s="84" t="s">
        <v>136</v>
      </c>
      <c r="G474" s="91">
        <v>10</v>
      </c>
      <c r="H474" s="84" t="s">
        <v>23</v>
      </c>
      <c r="I474" s="85">
        <v>4</v>
      </c>
      <c r="J474" s="85" t="s">
        <v>26</v>
      </c>
      <c r="K474" s="87">
        <v>44</v>
      </c>
      <c r="L474" s="87">
        <v>0</v>
      </c>
      <c r="M474" s="87">
        <f>K474-L474</f>
        <v>44</v>
      </c>
      <c r="N474" s="85" t="s">
        <v>559</v>
      </c>
      <c r="O474" s="87">
        <v>44000</v>
      </c>
      <c r="P474" s="89"/>
      <c r="Q474" s="88"/>
      <c r="R474" s="90" t="s">
        <v>62</v>
      </c>
      <c r="T474" s="35">
        <v>440302</v>
      </c>
    </row>
    <row r="475" spans="1:20" ht="18" customHeight="1">
      <c r="A475" s="83">
        <v>4</v>
      </c>
      <c r="B475" s="84" t="s">
        <v>428</v>
      </c>
      <c r="C475" s="84">
        <v>3</v>
      </c>
      <c r="D475" s="84" t="s">
        <v>492</v>
      </c>
      <c r="E475" s="84">
        <v>2</v>
      </c>
      <c r="F475" s="84" t="s">
        <v>136</v>
      </c>
      <c r="G475" s="91">
        <v>10</v>
      </c>
      <c r="H475" s="84" t="s">
        <v>23</v>
      </c>
      <c r="I475" s="85">
        <v>7</v>
      </c>
      <c r="J475" s="85" t="s">
        <v>67</v>
      </c>
      <c r="K475" s="87">
        <v>10</v>
      </c>
      <c r="L475" s="87">
        <v>10</v>
      </c>
      <c r="M475" s="87">
        <f>K475-L475</f>
        <v>0</v>
      </c>
      <c r="N475" s="85" t="s">
        <v>560</v>
      </c>
      <c r="O475" s="87">
        <v>10000</v>
      </c>
      <c r="P475" s="89"/>
      <c r="Q475" s="88"/>
      <c r="R475" s="90" t="s">
        <v>62</v>
      </c>
      <c r="T475" s="35">
        <v>440302</v>
      </c>
    </row>
    <row r="476" spans="1:20" ht="18" customHeight="1">
      <c r="A476" s="83">
        <v>4</v>
      </c>
      <c r="B476" s="84" t="s">
        <v>428</v>
      </c>
      <c r="C476" s="84">
        <v>3</v>
      </c>
      <c r="D476" s="84" t="s">
        <v>492</v>
      </c>
      <c r="E476" s="84">
        <v>2</v>
      </c>
      <c r="F476" s="84" t="s">
        <v>136</v>
      </c>
      <c r="G476" s="85">
        <v>11</v>
      </c>
      <c r="H476" s="86" t="s">
        <v>27</v>
      </c>
      <c r="I476" s="85"/>
      <c r="J476" s="85"/>
      <c r="K476" s="87"/>
      <c r="L476" s="87"/>
      <c r="M476" s="87"/>
      <c r="N476" s="85"/>
      <c r="O476" s="88"/>
      <c r="P476" s="89"/>
      <c r="Q476" s="88"/>
      <c r="R476" s="90" t="s">
        <v>62</v>
      </c>
      <c r="T476" s="35">
        <v>440302</v>
      </c>
    </row>
    <row r="477" spans="1:20" ht="18" customHeight="1">
      <c r="A477" s="83">
        <v>4</v>
      </c>
      <c r="B477" s="84" t="s">
        <v>428</v>
      </c>
      <c r="C477" s="84">
        <v>3</v>
      </c>
      <c r="D477" s="84" t="s">
        <v>492</v>
      </c>
      <c r="E477" s="84">
        <v>2</v>
      </c>
      <c r="F477" s="84" t="s">
        <v>136</v>
      </c>
      <c r="G477" s="91">
        <v>11</v>
      </c>
      <c r="H477" s="84" t="s">
        <v>27</v>
      </c>
      <c r="I477" s="85">
        <v>1</v>
      </c>
      <c r="J477" s="85" t="s">
        <v>28</v>
      </c>
      <c r="K477" s="87">
        <v>215</v>
      </c>
      <c r="L477" s="87">
        <v>136</v>
      </c>
      <c r="M477" s="87">
        <f>K477-L477</f>
        <v>79</v>
      </c>
      <c r="N477" s="85" t="s">
        <v>561</v>
      </c>
      <c r="O477" s="87">
        <v>168000</v>
      </c>
      <c r="P477" s="89"/>
      <c r="Q477" s="88"/>
      <c r="R477" s="90" t="s">
        <v>62</v>
      </c>
      <c r="T477" s="35">
        <v>440302</v>
      </c>
    </row>
    <row r="478" spans="1:20" ht="18" customHeight="1">
      <c r="A478" s="83">
        <v>4</v>
      </c>
      <c r="B478" s="84" t="s">
        <v>428</v>
      </c>
      <c r="C478" s="84">
        <v>3</v>
      </c>
      <c r="D478" s="84" t="s">
        <v>492</v>
      </c>
      <c r="E478" s="84">
        <v>2</v>
      </c>
      <c r="F478" s="84" t="s">
        <v>136</v>
      </c>
      <c r="G478" s="91">
        <v>11</v>
      </c>
      <c r="H478" s="84" t="s">
        <v>27</v>
      </c>
      <c r="I478" s="91">
        <v>1</v>
      </c>
      <c r="J478" s="91" t="s">
        <v>28</v>
      </c>
      <c r="K478" s="87"/>
      <c r="L478" s="87"/>
      <c r="M478" s="87"/>
      <c r="N478" s="85" t="s">
        <v>94</v>
      </c>
      <c r="O478" s="87">
        <v>47000</v>
      </c>
      <c r="P478" s="89"/>
      <c r="Q478" s="88"/>
      <c r="R478" s="90" t="s">
        <v>62</v>
      </c>
      <c r="T478" s="35">
        <v>440302</v>
      </c>
    </row>
    <row r="479" spans="1:20" ht="18" customHeight="1">
      <c r="A479" s="83">
        <v>4</v>
      </c>
      <c r="B479" s="84" t="s">
        <v>428</v>
      </c>
      <c r="C479" s="84">
        <v>3</v>
      </c>
      <c r="D479" s="84" t="s">
        <v>492</v>
      </c>
      <c r="E479" s="84">
        <v>2</v>
      </c>
      <c r="F479" s="84" t="s">
        <v>136</v>
      </c>
      <c r="G479" s="91">
        <v>11</v>
      </c>
      <c r="H479" s="84" t="s">
        <v>27</v>
      </c>
      <c r="I479" s="85">
        <v>3</v>
      </c>
      <c r="J479" s="85" t="s">
        <v>29</v>
      </c>
      <c r="K479" s="87">
        <v>2100</v>
      </c>
      <c r="L479" s="87">
        <v>1500</v>
      </c>
      <c r="M479" s="87">
        <f>K479-L479</f>
        <v>600</v>
      </c>
      <c r="N479" s="85" t="s">
        <v>610</v>
      </c>
      <c r="O479" s="87">
        <v>2100000</v>
      </c>
      <c r="P479" s="89"/>
      <c r="Q479" s="88"/>
      <c r="R479" s="90" t="s">
        <v>62</v>
      </c>
      <c r="T479" s="35">
        <v>440302</v>
      </c>
    </row>
    <row r="480" spans="1:20" ht="18" customHeight="1">
      <c r="A480" s="83">
        <v>4</v>
      </c>
      <c r="B480" s="84" t="s">
        <v>428</v>
      </c>
      <c r="C480" s="84">
        <v>3</v>
      </c>
      <c r="D480" s="84" t="s">
        <v>492</v>
      </c>
      <c r="E480" s="84">
        <v>2</v>
      </c>
      <c r="F480" s="84" t="s">
        <v>136</v>
      </c>
      <c r="G480" s="85">
        <v>12</v>
      </c>
      <c r="H480" s="86" t="s">
        <v>32</v>
      </c>
      <c r="I480" s="85"/>
      <c r="J480" s="85"/>
      <c r="K480" s="87"/>
      <c r="L480" s="87"/>
      <c r="M480" s="87"/>
      <c r="N480" s="85"/>
      <c r="O480" s="88"/>
      <c r="P480" s="89"/>
      <c r="Q480" s="88"/>
      <c r="R480" s="90" t="s">
        <v>62</v>
      </c>
      <c r="T480" s="35">
        <v>440302</v>
      </c>
    </row>
    <row r="481" spans="1:20" ht="18" customHeight="1">
      <c r="A481" s="83">
        <v>4</v>
      </c>
      <c r="B481" s="84" t="s">
        <v>428</v>
      </c>
      <c r="C481" s="84">
        <v>3</v>
      </c>
      <c r="D481" s="84" t="s">
        <v>492</v>
      </c>
      <c r="E481" s="84">
        <v>2</v>
      </c>
      <c r="F481" s="84" t="s">
        <v>136</v>
      </c>
      <c r="G481" s="91">
        <v>12</v>
      </c>
      <c r="H481" s="84" t="s">
        <v>32</v>
      </c>
      <c r="I481" s="85">
        <v>21</v>
      </c>
      <c r="J481" s="85" t="s">
        <v>33</v>
      </c>
      <c r="K481" s="87">
        <v>3797</v>
      </c>
      <c r="L481" s="87">
        <v>5458</v>
      </c>
      <c r="M481" s="87">
        <f>K481-L481</f>
        <v>-1661</v>
      </c>
      <c r="N481" s="85" t="s">
        <v>562</v>
      </c>
      <c r="O481" s="87"/>
      <c r="P481" s="89"/>
      <c r="Q481" s="88"/>
      <c r="R481" s="90" t="s">
        <v>62</v>
      </c>
      <c r="T481" s="35">
        <v>440302</v>
      </c>
    </row>
    <row r="482" spans="1:20" ht="18" customHeight="1">
      <c r="A482" s="83">
        <v>4</v>
      </c>
      <c r="B482" s="84" t="s">
        <v>428</v>
      </c>
      <c r="C482" s="84">
        <v>3</v>
      </c>
      <c r="D482" s="84" t="s">
        <v>492</v>
      </c>
      <c r="E482" s="84">
        <v>2</v>
      </c>
      <c r="F482" s="84" t="s">
        <v>136</v>
      </c>
      <c r="G482" s="91">
        <v>12</v>
      </c>
      <c r="H482" s="84" t="s">
        <v>32</v>
      </c>
      <c r="I482" s="91">
        <v>21</v>
      </c>
      <c r="J482" s="91" t="s">
        <v>33</v>
      </c>
      <c r="K482" s="87"/>
      <c r="L482" s="87"/>
      <c r="M482" s="87"/>
      <c r="N482" s="85" t="s">
        <v>563</v>
      </c>
      <c r="O482" s="87">
        <v>3660000</v>
      </c>
      <c r="P482" s="89"/>
      <c r="Q482" s="88"/>
      <c r="R482" s="90" t="s">
        <v>62</v>
      </c>
      <c r="T482" s="35">
        <v>440302</v>
      </c>
    </row>
    <row r="483" spans="1:20" ht="18" customHeight="1">
      <c r="A483" s="83">
        <v>4</v>
      </c>
      <c r="B483" s="84" t="s">
        <v>428</v>
      </c>
      <c r="C483" s="84">
        <v>3</v>
      </c>
      <c r="D483" s="84" t="s">
        <v>492</v>
      </c>
      <c r="E483" s="84">
        <v>2</v>
      </c>
      <c r="F483" s="84" t="s">
        <v>136</v>
      </c>
      <c r="G483" s="91">
        <v>12</v>
      </c>
      <c r="H483" s="84" t="s">
        <v>32</v>
      </c>
      <c r="I483" s="91">
        <v>21</v>
      </c>
      <c r="J483" s="91" t="s">
        <v>33</v>
      </c>
      <c r="K483" s="87"/>
      <c r="L483" s="87"/>
      <c r="M483" s="87"/>
      <c r="N483" s="85" t="s">
        <v>564</v>
      </c>
      <c r="O483" s="87">
        <v>97760</v>
      </c>
      <c r="P483" s="89"/>
      <c r="Q483" s="88"/>
      <c r="R483" s="90" t="s">
        <v>62</v>
      </c>
      <c r="T483" s="35">
        <v>440302</v>
      </c>
    </row>
    <row r="484" spans="1:20" ht="18" customHeight="1">
      <c r="A484" s="83">
        <v>4</v>
      </c>
      <c r="B484" s="84" t="s">
        <v>428</v>
      </c>
      <c r="C484" s="84">
        <v>3</v>
      </c>
      <c r="D484" s="84" t="s">
        <v>492</v>
      </c>
      <c r="E484" s="84">
        <v>2</v>
      </c>
      <c r="F484" s="84" t="s">
        <v>136</v>
      </c>
      <c r="G484" s="91">
        <v>12</v>
      </c>
      <c r="H484" s="84" t="s">
        <v>32</v>
      </c>
      <c r="I484" s="91">
        <v>21</v>
      </c>
      <c r="J484" s="91" t="s">
        <v>33</v>
      </c>
      <c r="K484" s="87"/>
      <c r="L484" s="87"/>
      <c r="M484" s="87"/>
      <c r="N484" s="85" t="s">
        <v>611</v>
      </c>
      <c r="O484" s="87">
        <v>38500</v>
      </c>
      <c r="P484" s="89"/>
      <c r="Q484" s="88"/>
      <c r="R484" s="90" t="s">
        <v>62</v>
      </c>
      <c r="T484" s="35">
        <v>440302</v>
      </c>
    </row>
    <row r="485" spans="1:20" ht="18" customHeight="1">
      <c r="A485" s="65">
        <v>4</v>
      </c>
      <c r="B485" s="66" t="s">
        <v>430</v>
      </c>
      <c r="C485" s="74">
        <v>3</v>
      </c>
      <c r="D485" s="66" t="s">
        <v>492</v>
      </c>
      <c r="E485" s="75">
        <v>3</v>
      </c>
      <c r="F485" s="76" t="s">
        <v>565</v>
      </c>
      <c r="G485" s="75"/>
      <c r="H485" s="76"/>
      <c r="I485" s="75"/>
      <c r="J485" s="75"/>
      <c r="K485" s="77">
        <f>IF(C485="",SUMIFS($K486:$K$783,$A486:$A$783,A485,$E486:$E$783,""),IF(E485="",SUMIFS($K486:$K$783,$A486:$A$783,A485,$C486:$C$783,C485,$G486:$G$783,""),IF(G485="",SUMIFS($K486:$K$783,$A486:$A$783,A485,$C486:$C$783,C485,$E486:$E$783,E485,$R486:$R$783,R485),IF(I485="",SUMIFS($K486:$K$783,$A486:$A$783,A485,$C486:$C$783,C485,$E486:$E$783,E485,$G486:$G$783,G485,$R486:$R$783,R485),0))))</f>
        <v>238</v>
      </c>
      <c r="L485" s="77">
        <f>IF(C485="",SUMIFS($L486:$L$783,$A486:$A$783,A485,$E486:$E$783,""),IF(E485="",SUMIFS($L486:$L$783,$A486:$A$783,A485,$C486:$C$783,C485,$G486:$G$783,""),IF(G485="",SUMIFS($L486:$L$783,$A486:$A$783,A485,$C486:$C$783,C485,$E486:$E$783,E485,$R486:$R$783,R485),IF(I485="",SUMIFS($L486:$L$783,$A486:$A$783,A485,$C486:$C$783,C485,$E486:$E$783,E485,$G486:$G$783,G485,$R486:$R$783,R485),0))))</f>
        <v>238</v>
      </c>
      <c r="M485" s="77">
        <f t="shared" ref="M485" si="28">K485-L485</f>
        <v>0</v>
      </c>
      <c r="N485" s="78"/>
      <c r="O485" s="79"/>
      <c r="P485" s="80"/>
      <c r="Q485" s="81">
        <f>IF(C485="",SUMIFS($Q486:$Q$781,$A486:$A$781,A485,$E486:$E$781,""),IF(E485="",SUMIFS($Q486:$Q$781,$A486:$A$781,A485,$C486:$C$781,C485,$G486:$G$781,""),IF(G485="",SUMIFS($Q486:$Q$781,$A486:$A$781,A485,$C486:$C$781,C485,$E486:$E$781,E485,$R486:$R$781,R485),IF(I485="",SUMIFS($Q486:$Q$781,$A486:$A$781,A485,$C486:$C$781,C485,$E486:$E$781,E485,$G486:$G$781,G485,$R486:$R$781,R485),0))))</f>
        <v>202</v>
      </c>
      <c r="R485" s="82" t="s">
        <v>62</v>
      </c>
      <c r="T485" s="35">
        <v>440303</v>
      </c>
    </row>
    <row r="486" spans="1:20" ht="18" customHeight="1">
      <c r="A486" s="83">
        <v>4</v>
      </c>
      <c r="B486" s="84" t="s">
        <v>428</v>
      </c>
      <c r="C486" s="84">
        <v>3</v>
      </c>
      <c r="D486" s="84" t="s">
        <v>492</v>
      </c>
      <c r="E486" s="84">
        <v>3</v>
      </c>
      <c r="F486" s="84" t="s">
        <v>566</v>
      </c>
      <c r="G486" s="85">
        <v>7</v>
      </c>
      <c r="H486" s="86" t="s">
        <v>18</v>
      </c>
      <c r="I486" s="85"/>
      <c r="J486" s="85"/>
      <c r="K486" s="87"/>
      <c r="L486" s="87"/>
      <c r="M486" s="87"/>
      <c r="N486" s="85"/>
      <c r="O486" s="88"/>
      <c r="P486" s="89" t="s">
        <v>497</v>
      </c>
      <c r="Q486" s="88">
        <v>92</v>
      </c>
      <c r="R486" s="90" t="s">
        <v>62</v>
      </c>
      <c r="T486" s="35">
        <v>440303</v>
      </c>
    </row>
    <row r="487" spans="1:20" ht="18" customHeight="1">
      <c r="A487" s="83">
        <v>4</v>
      </c>
      <c r="B487" s="84" t="s">
        <v>428</v>
      </c>
      <c r="C487" s="84">
        <v>3</v>
      </c>
      <c r="D487" s="84" t="s">
        <v>492</v>
      </c>
      <c r="E487" s="84">
        <v>3</v>
      </c>
      <c r="F487" s="84" t="s">
        <v>566</v>
      </c>
      <c r="G487" s="91">
        <v>7</v>
      </c>
      <c r="H487" s="84" t="s">
        <v>18</v>
      </c>
      <c r="I487" s="85">
        <v>1</v>
      </c>
      <c r="J487" s="85" t="s">
        <v>59</v>
      </c>
      <c r="K487" s="87">
        <v>45</v>
      </c>
      <c r="L487" s="87">
        <v>45</v>
      </c>
      <c r="M487" s="87">
        <f>K487-L487</f>
        <v>0</v>
      </c>
      <c r="N487" s="85" t="s">
        <v>59</v>
      </c>
      <c r="O487" s="87">
        <v>45000</v>
      </c>
      <c r="P487" s="89" t="s">
        <v>498</v>
      </c>
      <c r="Q487" s="88"/>
      <c r="R487" s="90" t="s">
        <v>62</v>
      </c>
      <c r="T487" s="35">
        <v>440303</v>
      </c>
    </row>
    <row r="488" spans="1:20" ht="18" customHeight="1">
      <c r="A488" s="83">
        <v>4</v>
      </c>
      <c r="B488" s="84" t="s">
        <v>428</v>
      </c>
      <c r="C488" s="84">
        <v>3</v>
      </c>
      <c r="D488" s="84" t="s">
        <v>492</v>
      </c>
      <c r="E488" s="84">
        <v>3</v>
      </c>
      <c r="F488" s="84" t="s">
        <v>566</v>
      </c>
      <c r="G488" s="91">
        <v>7</v>
      </c>
      <c r="H488" s="84" t="s">
        <v>18</v>
      </c>
      <c r="I488" s="85">
        <v>11</v>
      </c>
      <c r="J488" s="85" t="s">
        <v>19</v>
      </c>
      <c r="K488" s="87">
        <v>63</v>
      </c>
      <c r="L488" s="87">
        <v>63</v>
      </c>
      <c r="M488" s="87">
        <f>K488-L488</f>
        <v>0</v>
      </c>
      <c r="N488" s="85" t="s">
        <v>567</v>
      </c>
      <c r="O488" s="87">
        <v>63000</v>
      </c>
      <c r="P488" s="89" t="s">
        <v>499</v>
      </c>
      <c r="Q488" s="88">
        <v>18</v>
      </c>
      <c r="R488" s="90" t="s">
        <v>62</v>
      </c>
      <c r="T488" s="35">
        <v>440303</v>
      </c>
    </row>
    <row r="489" spans="1:20" ht="18" customHeight="1">
      <c r="A489" s="83">
        <v>4</v>
      </c>
      <c r="B489" s="84" t="s">
        <v>428</v>
      </c>
      <c r="C489" s="84">
        <v>3</v>
      </c>
      <c r="D489" s="84" t="s">
        <v>492</v>
      </c>
      <c r="E489" s="84">
        <v>3</v>
      </c>
      <c r="F489" s="84" t="s">
        <v>566</v>
      </c>
      <c r="G489" s="85">
        <v>10</v>
      </c>
      <c r="H489" s="86" t="s">
        <v>23</v>
      </c>
      <c r="I489" s="85"/>
      <c r="J489" s="85"/>
      <c r="K489" s="87"/>
      <c r="L489" s="87"/>
      <c r="M489" s="87"/>
      <c r="N489" s="85"/>
      <c r="O489" s="88"/>
      <c r="P489" s="89" t="s">
        <v>500</v>
      </c>
      <c r="Q489" s="88"/>
      <c r="R489" s="90" t="s">
        <v>62</v>
      </c>
      <c r="T489" s="35">
        <v>440303</v>
      </c>
    </row>
    <row r="490" spans="1:20" ht="18" customHeight="1">
      <c r="A490" s="83">
        <v>4</v>
      </c>
      <c r="B490" s="84" t="s">
        <v>428</v>
      </c>
      <c r="C490" s="84">
        <v>3</v>
      </c>
      <c r="D490" s="84" t="s">
        <v>492</v>
      </c>
      <c r="E490" s="84">
        <v>3</v>
      </c>
      <c r="F490" s="84" t="s">
        <v>566</v>
      </c>
      <c r="G490" s="91">
        <v>10</v>
      </c>
      <c r="H490" s="84" t="s">
        <v>23</v>
      </c>
      <c r="I490" s="85">
        <v>1</v>
      </c>
      <c r="J490" s="85" t="s">
        <v>24</v>
      </c>
      <c r="K490" s="87">
        <v>30</v>
      </c>
      <c r="L490" s="87">
        <v>30</v>
      </c>
      <c r="M490" s="87">
        <f>K490-L490</f>
        <v>0</v>
      </c>
      <c r="N490" s="85" t="s">
        <v>568</v>
      </c>
      <c r="O490" s="87">
        <v>30000</v>
      </c>
      <c r="P490" s="89" t="s">
        <v>497</v>
      </c>
      <c r="Q490" s="88">
        <v>46</v>
      </c>
      <c r="R490" s="90" t="s">
        <v>62</v>
      </c>
      <c r="T490" s="35">
        <v>440303</v>
      </c>
    </row>
    <row r="491" spans="1:20" ht="18" customHeight="1">
      <c r="A491" s="83">
        <v>4</v>
      </c>
      <c r="B491" s="84" t="s">
        <v>428</v>
      </c>
      <c r="C491" s="84">
        <v>3</v>
      </c>
      <c r="D491" s="84" t="s">
        <v>492</v>
      </c>
      <c r="E491" s="84">
        <v>3</v>
      </c>
      <c r="F491" s="84" t="s">
        <v>566</v>
      </c>
      <c r="G491" s="91">
        <v>10</v>
      </c>
      <c r="H491" s="84" t="s">
        <v>23</v>
      </c>
      <c r="I491" s="85">
        <v>3</v>
      </c>
      <c r="J491" s="85" t="s">
        <v>25</v>
      </c>
      <c r="K491" s="87">
        <v>50</v>
      </c>
      <c r="L491" s="87">
        <v>50</v>
      </c>
      <c r="M491" s="87">
        <f>K491-L491</f>
        <v>0</v>
      </c>
      <c r="N491" s="85" t="s">
        <v>569</v>
      </c>
      <c r="O491" s="87">
        <v>50000</v>
      </c>
      <c r="P491" s="89" t="s">
        <v>551</v>
      </c>
      <c r="Q491" s="88"/>
      <c r="R491" s="90" t="s">
        <v>62</v>
      </c>
      <c r="T491" s="35">
        <v>440303</v>
      </c>
    </row>
    <row r="492" spans="1:20" ht="18" customHeight="1">
      <c r="A492" s="83">
        <v>4</v>
      </c>
      <c r="B492" s="84" t="s">
        <v>428</v>
      </c>
      <c r="C492" s="84">
        <v>3</v>
      </c>
      <c r="D492" s="84" t="s">
        <v>492</v>
      </c>
      <c r="E492" s="84">
        <v>3</v>
      </c>
      <c r="F492" s="84" t="s">
        <v>566</v>
      </c>
      <c r="G492" s="91">
        <v>10</v>
      </c>
      <c r="H492" s="84" t="s">
        <v>23</v>
      </c>
      <c r="I492" s="85">
        <v>4</v>
      </c>
      <c r="J492" s="85" t="s">
        <v>26</v>
      </c>
      <c r="K492" s="87">
        <v>30</v>
      </c>
      <c r="L492" s="87">
        <v>30</v>
      </c>
      <c r="M492" s="87">
        <f>K492-L492</f>
        <v>0</v>
      </c>
      <c r="N492" s="85" t="s">
        <v>570</v>
      </c>
      <c r="O492" s="87">
        <v>30000</v>
      </c>
      <c r="P492" s="89" t="s">
        <v>506</v>
      </c>
      <c r="Q492" s="88"/>
      <c r="R492" s="90" t="s">
        <v>62</v>
      </c>
      <c r="T492" s="35">
        <v>440303</v>
      </c>
    </row>
    <row r="493" spans="1:20" ht="18" customHeight="1">
      <c r="A493" s="83">
        <v>4</v>
      </c>
      <c r="B493" s="84" t="s">
        <v>428</v>
      </c>
      <c r="C493" s="84">
        <v>3</v>
      </c>
      <c r="D493" s="84" t="s">
        <v>492</v>
      </c>
      <c r="E493" s="84">
        <v>3</v>
      </c>
      <c r="F493" s="84" t="s">
        <v>566</v>
      </c>
      <c r="G493" s="85">
        <v>13</v>
      </c>
      <c r="H493" s="86" t="s">
        <v>34</v>
      </c>
      <c r="I493" s="85"/>
      <c r="J493" s="85"/>
      <c r="K493" s="87"/>
      <c r="L493" s="87"/>
      <c r="M493" s="87"/>
      <c r="N493" s="85"/>
      <c r="O493" s="88"/>
      <c r="P493" s="89" t="s">
        <v>497</v>
      </c>
      <c r="Q493" s="88">
        <v>46</v>
      </c>
      <c r="R493" s="90" t="s">
        <v>62</v>
      </c>
      <c r="T493" s="35">
        <v>440303</v>
      </c>
    </row>
    <row r="494" spans="1:20" ht="18" customHeight="1">
      <c r="A494" s="83">
        <v>4</v>
      </c>
      <c r="B494" s="84" t="s">
        <v>428</v>
      </c>
      <c r="C494" s="84">
        <v>3</v>
      </c>
      <c r="D494" s="84" t="s">
        <v>492</v>
      </c>
      <c r="E494" s="84">
        <v>3</v>
      </c>
      <c r="F494" s="84" t="s">
        <v>566</v>
      </c>
      <c r="G494" s="91">
        <v>13</v>
      </c>
      <c r="H494" s="84" t="s">
        <v>34</v>
      </c>
      <c r="I494" s="85">
        <v>1</v>
      </c>
      <c r="J494" s="85" t="s">
        <v>35</v>
      </c>
      <c r="K494" s="87">
        <v>20</v>
      </c>
      <c r="L494" s="87">
        <v>20</v>
      </c>
      <c r="M494" s="87">
        <f>K494-L494</f>
        <v>0</v>
      </c>
      <c r="N494" s="85" t="s">
        <v>571</v>
      </c>
      <c r="O494" s="87">
        <v>20000</v>
      </c>
      <c r="P494" s="89" t="s">
        <v>507</v>
      </c>
      <c r="Q494" s="88"/>
      <c r="R494" s="90" t="s">
        <v>62</v>
      </c>
      <c r="T494" s="35">
        <v>440303</v>
      </c>
    </row>
    <row r="495" spans="1:20" ht="18" customHeight="1">
      <c r="A495" s="83">
        <v>4</v>
      </c>
      <c r="B495" s="84" t="s">
        <v>428</v>
      </c>
      <c r="C495" s="84">
        <v>3</v>
      </c>
      <c r="D495" s="84" t="s">
        <v>492</v>
      </c>
      <c r="E495" s="84">
        <v>3</v>
      </c>
      <c r="F495" s="84" t="s">
        <v>566</v>
      </c>
      <c r="G495" s="91">
        <v>13</v>
      </c>
      <c r="H495" s="84" t="s">
        <v>34</v>
      </c>
      <c r="I495" s="91">
        <v>1</v>
      </c>
      <c r="J495" s="91" t="s">
        <v>35</v>
      </c>
      <c r="K495" s="87"/>
      <c r="L495" s="87"/>
      <c r="M495" s="87"/>
      <c r="N495" s="85"/>
      <c r="O495" s="87"/>
      <c r="P495" s="89" t="s">
        <v>353</v>
      </c>
      <c r="Q495" s="88"/>
      <c r="R495" s="90" t="s">
        <v>62</v>
      </c>
      <c r="T495" s="35">
        <v>440303</v>
      </c>
    </row>
    <row r="496" spans="1:20" ht="18" customHeight="1">
      <c r="A496" s="65">
        <v>4</v>
      </c>
      <c r="B496" s="66" t="s">
        <v>430</v>
      </c>
      <c r="C496" s="74">
        <v>3</v>
      </c>
      <c r="D496" s="66" t="s">
        <v>492</v>
      </c>
      <c r="E496" s="75">
        <v>4</v>
      </c>
      <c r="F496" s="76" t="s">
        <v>572</v>
      </c>
      <c r="G496" s="75"/>
      <c r="H496" s="76"/>
      <c r="I496" s="75"/>
      <c r="J496" s="75"/>
      <c r="K496" s="77">
        <f>IF(C496="",SUMIFS($K497:$K$783,$A497:$A$783,A496,$E497:$E$783,""),IF(E496="",SUMIFS($K497:$K$783,$A497:$A$783,A496,$C497:$C$783,C496,$G497:$G$783,""),IF(G496="",SUMIFS($K497:$K$783,$A497:$A$783,A496,$C497:$C$783,C496,$E497:$E$783,E496,$R497:$R$783,R496),IF(I496="",SUMIFS($K497:$K$783,$A497:$A$783,A496,$C497:$C$783,C496,$E497:$E$783,E496,$G497:$G$783,G496,$R497:$R$783,R496),0))))</f>
        <v>285</v>
      </c>
      <c r="L496" s="77">
        <f>IF(C496="",SUMIFS($L497:$L$783,$A497:$A$783,A496,$E497:$E$783,""),IF(E496="",SUMIFS($L497:$L$783,$A497:$A$783,A496,$C497:$C$783,C496,$G497:$G$783,""),IF(G496="",SUMIFS($L497:$L$783,$A497:$A$783,A496,$C497:$C$783,C496,$E497:$E$783,E496,$R497:$R$783,R496),IF(I496="",SUMIFS($L497:$L$783,$A497:$A$783,A496,$C497:$C$783,C496,$E497:$E$783,E496,$G497:$G$783,G496,$R497:$R$783,R496),0))))</f>
        <v>375</v>
      </c>
      <c r="M496" s="77">
        <f t="shared" ref="M496" si="29">K496-L496</f>
        <v>-90</v>
      </c>
      <c r="N496" s="78"/>
      <c r="O496" s="79"/>
      <c r="P496" s="80"/>
      <c r="Q496" s="81">
        <f>IF(C496="",SUMIFS($Q497:$Q$781,$A497:$A$781,A496,$E497:$E$781,""),IF(E496="",SUMIFS($Q497:$Q$781,$A497:$A$781,A496,$C497:$C$781,C496,$G497:$G$781,""),IF(G496="",SUMIFS($Q497:$Q$781,$A497:$A$781,A496,$C497:$C$781,C496,$E497:$E$781,E496,$R497:$R$781,R496),IF(I496="",SUMIFS($Q497:$Q$781,$A497:$A$781,A496,$C497:$C$781,C496,$E497:$E$781,E496,$G497:$G$781,G496,$R497:$R$781,R496),0))))</f>
        <v>242</v>
      </c>
      <c r="R496" s="82" t="s">
        <v>62</v>
      </c>
      <c r="T496" s="35">
        <v>440304</v>
      </c>
    </row>
    <row r="497" spans="1:20" ht="18" customHeight="1">
      <c r="A497" s="83">
        <v>4</v>
      </c>
      <c r="B497" s="84" t="s">
        <v>428</v>
      </c>
      <c r="C497" s="84">
        <v>3</v>
      </c>
      <c r="D497" s="84" t="s">
        <v>492</v>
      </c>
      <c r="E497" s="84">
        <v>4</v>
      </c>
      <c r="F497" s="84" t="s">
        <v>573</v>
      </c>
      <c r="G497" s="85">
        <v>7</v>
      </c>
      <c r="H497" s="86" t="s">
        <v>18</v>
      </c>
      <c r="I497" s="85"/>
      <c r="J497" s="85"/>
      <c r="K497" s="87"/>
      <c r="L497" s="87"/>
      <c r="M497" s="87"/>
      <c r="N497" s="85"/>
      <c r="O497" s="88"/>
      <c r="P497" s="89" t="s">
        <v>497</v>
      </c>
      <c r="Q497" s="88">
        <v>110</v>
      </c>
      <c r="R497" s="90" t="s">
        <v>62</v>
      </c>
      <c r="T497" s="35">
        <v>440304</v>
      </c>
    </row>
    <row r="498" spans="1:20" ht="18" customHeight="1">
      <c r="A498" s="83">
        <v>4</v>
      </c>
      <c r="B498" s="84" t="s">
        <v>428</v>
      </c>
      <c r="C498" s="84">
        <v>3</v>
      </c>
      <c r="D498" s="84" t="s">
        <v>492</v>
      </c>
      <c r="E498" s="84">
        <v>4</v>
      </c>
      <c r="F498" s="84" t="s">
        <v>573</v>
      </c>
      <c r="G498" s="91">
        <v>7</v>
      </c>
      <c r="H498" s="84" t="s">
        <v>18</v>
      </c>
      <c r="I498" s="85">
        <v>1</v>
      </c>
      <c r="J498" s="85" t="s">
        <v>59</v>
      </c>
      <c r="K498" s="87">
        <v>20</v>
      </c>
      <c r="L498" s="87">
        <v>20</v>
      </c>
      <c r="M498" s="87">
        <f>K498-L498</f>
        <v>0</v>
      </c>
      <c r="N498" s="85" t="s">
        <v>574</v>
      </c>
      <c r="O498" s="87">
        <v>20000</v>
      </c>
      <c r="P498" s="89" t="s">
        <v>498</v>
      </c>
      <c r="Q498" s="88"/>
      <c r="R498" s="90" t="s">
        <v>62</v>
      </c>
      <c r="T498" s="35">
        <v>440304</v>
      </c>
    </row>
    <row r="499" spans="1:20" ht="18" customHeight="1">
      <c r="A499" s="83">
        <v>4</v>
      </c>
      <c r="B499" s="84" t="s">
        <v>428</v>
      </c>
      <c r="C499" s="84">
        <v>3</v>
      </c>
      <c r="D499" s="84" t="s">
        <v>492</v>
      </c>
      <c r="E499" s="84">
        <v>4</v>
      </c>
      <c r="F499" s="84" t="s">
        <v>573</v>
      </c>
      <c r="G499" s="91">
        <v>7</v>
      </c>
      <c r="H499" s="84" t="s">
        <v>18</v>
      </c>
      <c r="I499" s="85">
        <v>11</v>
      </c>
      <c r="J499" s="85" t="s">
        <v>19</v>
      </c>
      <c r="K499" s="87">
        <v>210</v>
      </c>
      <c r="L499" s="87">
        <v>300</v>
      </c>
      <c r="M499" s="87">
        <f>K499-L499</f>
        <v>-90</v>
      </c>
      <c r="N499" s="85" t="s">
        <v>575</v>
      </c>
      <c r="O499" s="87">
        <v>180000</v>
      </c>
      <c r="P499" s="89" t="s">
        <v>499</v>
      </c>
      <c r="Q499" s="88">
        <v>22</v>
      </c>
      <c r="R499" s="90" t="s">
        <v>62</v>
      </c>
      <c r="T499" s="35">
        <v>440304</v>
      </c>
    </row>
    <row r="500" spans="1:20" ht="18" customHeight="1">
      <c r="A500" s="83">
        <v>4</v>
      </c>
      <c r="B500" s="84" t="s">
        <v>428</v>
      </c>
      <c r="C500" s="84">
        <v>3</v>
      </c>
      <c r="D500" s="84" t="s">
        <v>492</v>
      </c>
      <c r="E500" s="84">
        <v>4</v>
      </c>
      <c r="F500" s="84" t="s">
        <v>573</v>
      </c>
      <c r="G500" s="91">
        <v>7</v>
      </c>
      <c r="H500" s="84" t="s">
        <v>18</v>
      </c>
      <c r="I500" s="91">
        <v>11</v>
      </c>
      <c r="J500" s="91" t="s">
        <v>19</v>
      </c>
      <c r="K500" s="87"/>
      <c r="L500" s="87"/>
      <c r="M500" s="87"/>
      <c r="N500" s="85" t="s">
        <v>576</v>
      </c>
      <c r="O500" s="87">
        <v>30000</v>
      </c>
      <c r="P500" s="89" t="s">
        <v>500</v>
      </c>
      <c r="Q500" s="88"/>
      <c r="R500" s="90" t="s">
        <v>62</v>
      </c>
      <c r="T500" s="35">
        <v>440304</v>
      </c>
    </row>
    <row r="501" spans="1:20" ht="18" customHeight="1">
      <c r="A501" s="83">
        <v>4</v>
      </c>
      <c r="B501" s="84" t="s">
        <v>428</v>
      </c>
      <c r="C501" s="84">
        <v>3</v>
      </c>
      <c r="D501" s="84" t="s">
        <v>492</v>
      </c>
      <c r="E501" s="84">
        <v>4</v>
      </c>
      <c r="F501" s="84" t="s">
        <v>573</v>
      </c>
      <c r="G501" s="85">
        <v>10</v>
      </c>
      <c r="H501" s="86" t="s">
        <v>23</v>
      </c>
      <c r="I501" s="85"/>
      <c r="J501" s="85"/>
      <c r="K501" s="87"/>
      <c r="L501" s="87"/>
      <c r="M501" s="87"/>
      <c r="N501" s="85"/>
      <c r="O501" s="88"/>
      <c r="P501" s="89" t="s">
        <v>497</v>
      </c>
      <c r="Q501" s="88">
        <v>55</v>
      </c>
      <c r="R501" s="90" t="s">
        <v>62</v>
      </c>
      <c r="T501" s="35">
        <v>440304</v>
      </c>
    </row>
    <row r="502" spans="1:20" ht="18" customHeight="1">
      <c r="A502" s="83">
        <v>4</v>
      </c>
      <c r="B502" s="84" t="s">
        <v>428</v>
      </c>
      <c r="C502" s="84">
        <v>3</v>
      </c>
      <c r="D502" s="84" t="s">
        <v>492</v>
      </c>
      <c r="E502" s="84">
        <v>4</v>
      </c>
      <c r="F502" s="84" t="s">
        <v>573</v>
      </c>
      <c r="G502" s="91">
        <v>10</v>
      </c>
      <c r="H502" s="84" t="s">
        <v>23</v>
      </c>
      <c r="I502" s="85">
        <v>1</v>
      </c>
      <c r="J502" s="85" t="s">
        <v>24</v>
      </c>
      <c r="K502" s="87">
        <v>50</v>
      </c>
      <c r="L502" s="87">
        <v>50</v>
      </c>
      <c r="M502" s="87">
        <f>K502-L502</f>
        <v>0</v>
      </c>
      <c r="N502" s="85" t="s">
        <v>577</v>
      </c>
      <c r="O502" s="87">
        <v>50000</v>
      </c>
      <c r="P502" s="89" t="s">
        <v>551</v>
      </c>
      <c r="Q502" s="88"/>
      <c r="R502" s="90" t="s">
        <v>62</v>
      </c>
      <c r="T502" s="35">
        <v>440304</v>
      </c>
    </row>
    <row r="503" spans="1:20" ht="18" customHeight="1">
      <c r="A503" s="83">
        <v>4</v>
      </c>
      <c r="B503" s="84" t="s">
        <v>428</v>
      </c>
      <c r="C503" s="84">
        <v>3</v>
      </c>
      <c r="D503" s="84" t="s">
        <v>492</v>
      </c>
      <c r="E503" s="84">
        <v>4</v>
      </c>
      <c r="F503" s="84" t="s">
        <v>573</v>
      </c>
      <c r="G503" s="91">
        <v>10</v>
      </c>
      <c r="H503" s="84" t="s">
        <v>23</v>
      </c>
      <c r="I503" s="85">
        <v>3</v>
      </c>
      <c r="J503" s="85" t="s">
        <v>25</v>
      </c>
      <c r="K503" s="87">
        <v>5</v>
      </c>
      <c r="L503" s="87">
        <v>5</v>
      </c>
      <c r="M503" s="87">
        <f>K503-L503</f>
        <v>0</v>
      </c>
      <c r="N503" s="85" t="s">
        <v>578</v>
      </c>
      <c r="O503" s="87">
        <v>5000</v>
      </c>
      <c r="P503" s="89" t="s">
        <v>506</v>
      </c>
      <c r="Q503" s="88"/>
      <c r="R503" s="90" t="s">
        <v>62</v>
      </c>
      <c r="T503" s="35">
        <v>440304</v>
      </c>
    </row>
    <row r="504" spans="1:20" ht="18" customHeight="1">
      <c r="A504" s="83">
        <v>4</v>
      </c>
      <c r="B504" s="84" t="s">
        <v>428</v>
      </c>
      <c r="C504" s="84">
        <v>3</v>
      </c>
      <c r="D504" s="84" t="s">
        <v>492</v>
      </c>
      <c r="E504" s="84">
        <v>4</v>
      </c>
      <c r="F504" s="84" t="s">
        <v>573</v>
      </c>
      <c r="G504" s="91">
        <v>10</v>
      </c>
      <c r="H504" s="84" t="s">
        <v>23</v>
      </c>
      <c r="I504" s="91">
        <v>3</v>
      </c>
      <c r="J504" s="91" t="s">
        <v>25</v>
      </c>
      <c r="K504" s="87"/>
      <c r="L504" s="87"/>
      <c r="M504" s="87"/>
      <c r="N504" s="85"/>
      <c r="O504" s="87"/>
      <c r="P504" s="89" t="s">
        <v>497</v>
      </c>
      <c r="Q504" s="88">
        <v>55</v>
      </c>
      <c r="R504" s="90" t="s">
        <v>62</v>
      </c>
      <c r="T504" s="35">
        <v>440304</v>
      </c>
    </row>
    <row r="505" spans="1:20" ht="18" customHeight="1">
      <c r="A505" s="83">
        <v>4</v>
      </c>
      <c r="B505" s="84" t="s">
        <v>428</v>
      </c>
      <c r="C505" s="84">
        <v>3</v>
      </c>
      <c r="D505" s="84" t="s">
        <v>492</v>
      </c>
      <c r="E505" s="84">
        <v>4</v>
      </c>
      <c r="F505" s="84" t="s">
        <v>573</v>
      </c>
      <c r="G505" s="91">
        <v>10</v>
      </c>
      <c r="H505" s="84" t="s">
        <v>23</v>
      </c>
      <c r="I505" s="91">
        <v>3</v>
      </c>
      <c r="J505" s="91" t="s">
        <v>25</v>
      </c>
      <c r="K505" s="87"/>
      <c r="L505" s="87"/>
      <c r="M505" s="87"/>
      <c r="N505" s="85"/>
      <c r="O505" s="87"/>
      <c r="P505" s="89" t="s">
        <v>507</v>
      </c>
      <c r="Q505" s="88"/>
      <c r="R505" s="90" t="s">
        <v>62</v>
      </c>
      <c r="T505" s="35">
        <v>440304</v>
      </c>
    </row>
    <row r="506" spans="1:20" ht="18" customHeight="1">
      <c r="A506" s="83">
        <v>4</v>
      </c>
      <c r="B506" s="84" t="s">
        <v>428</v>
      </c>
      <c r="C506" s="84">
        <v>3</v>
      </c>
      <c r="D506" s="84" t="s">
        <v>492</v>
      </c>
      <c r="E506" s="84">
        <v>4</v>
      </c>
      <c r="F506" s="84" t="s">
        <v>573</v>
      </c>
      <c r="G506" s="91">
        <v>10</v>
      </c>
      <c r="H506" s="84" t="s">
        <v>23</v>
      </c>
      <c r="I506" s="91">
        <v>3</v>
      </c>
      <c r="J506" s="91" t="s">
        <v>25</v>
      </c>
      <c r="K506" s="87"/>
      <c r="L506" s="87"/>
      <c r="M506" s="87"/>
      <c r="N506" s="85"/>
      <c r="O506" s="87"/>
      <c r="P506" s="89" t="s">
        <v>353</v>
      </c>
      <c r="Q506" s="88"/>
      <c r="R506" s="90" t="s">
        <v>62</v>
      </c>
      <c r="T506" s="35">
        <v>440304</v>
      </c>
    </row>
    <row r="507" spans="1:20" ht="18" customHeight="1">
      <c r="A507" s="65">
        <v>4</v>
      </c>
      <c r="B507" s="66" t="s">
        <v>430</v>
      </c>
      <c r="C507" s="74">
        <v>3</v>
      </c>
      <c r="D507" s="66" t="s">
        <v>492</v>
      </c>
      <c r="E507" s="75">
        <v>5</v>
      </c>
      <c r="F507" s="76" t="s">
        <v>579</v>
      </c>
      <c r="G507" s="75"/>
      <c r="H507" s="76"/>
      <c r="I507" s="75"/>
      <c r="J507" s="75"/>
      <c r="K507" s="77">
        <f>IF(C507="",SUMIFS($K508:$K$783,$A508:$A$783,A507,$E508:$E$783,""),IF(E507="",SUMIFS($K508:$K$783,$A508:$A$783,A507,$C508:$C$783,C507,$G508:$G$783,""),IF(G507="",SUMIFS($K508:$K$783,$A508:$A$783,A507,$C508:$C$783,C507,$E508:$E$783,E507,$R508:$R$783,R507),IF(I507="",SUMIFS($K508:$K$783,$A508:$A$783,A507,$C508:$C$783,C507,$E508:$E$783,E507,$G508:$G$783,G507,$R508:$R$783,R507),0))))</f>
        <v>1951</v>
      </c>
      <c r="L507" s="77">
        <f>IF(C507="",SUMIFS($L508:$L$783,$A508:$A$783,A507,$E508:$E$783,""),IF(E507="",SUMIFS($L508:$L$783,$A508:$A$783,A507,$C508:$C$783,C507,$G508:$G$783,""),IF(G507="",SUMIFS($L508:$L$783,$A508:$A$783,A507,$C508:$C$783,C507,$E508:$E$783,E507,$R508:$R$783,R507),IF(I507="",SUMIFS($L508:$L$783,$A508:$A$783,A507,$C508:$C$783,C507,$E508:$E$783,E507,$G508:$G$783,G507,$R508:$R$783,R507),0))))</f>
        <v>1838</v>
      </c>
      <c r="M507" s="77">
        <f t="shared" ref="M507" si="30">K507-L507</f>
        <v>113</v>
      </c>
      <c r="N507" s="78"/>
      <c r="O507" s="79"/>
      <c r="P507" s="80"/>
      <c r="Q507" s="81">
        <f>IF(C507="",SUMIFS($Q508:$Q$781,$A508:$A$781,A507,$E508:$E$781,""),IF(E507="",SUMIFS($Q508:$Q$781,$A508:$A$781,A507,$C508:$C$781,C507,$G508:$G$781,""),IF(G507="",SUMIFS($Q508:$Q$781,$A508:$A$781,A507,$C508:$C$781,C507,$E508:$E$781,E507,$R508:$R$781,R507),IF(I507="",SUMIFS($Q508:$Q$781,$A508:$A$781,A507,$C508:$C$781,C507,$E508:$E$781,E507,$G508:$G$781,G507,$R508:$R$781,R507),0))))</f>
        <v>1654</v>
      </c>
      <c r="R507" s="82" t="s">
        <v>62</v>
      </c>
      <c r="T507" s="35">
        <v>440305</v>
      </c>
    </row>
    <row r="508" spans="1:20" ht="18" customHeight="1">
      <c r="A508" s="83">
        <v>4</v>
      </c>
      <c r="B508" s="84" t="s">
        <v>428</v>
      </c>
      <c r="C508" s="84">
        <v>3</v>
      </c>
      <c r="D508" s="84" t="s">
        <v>492</v>
      </c>
      <c r="E508" s="84">
        <v>5</v>
      </c>
      <c r="F508" s="84" t="s">
        <v>580</v>
      </c>
      <c r="G508" s="85">
        <v>7</v>
      </c>
      <c r="H508" s="86" t="s">
        <v>18</v>
      </c>
      <c r="I508" s="85"/>
      <c r="J508" s="85"/>
      <c r="K508" s="87"/>
      <c r="L508" s="87"/>
      <c r="M508" s="87"/>
      <c r="N508" s="85"/>
      <c r="O508" s="88"/>
      <c r="P508" s="89" t="s">
        <v>497</v>
      </c>
      <c r="Q508" s="88">
        <v>751</v>
      </c>
      <c r="R508" s="90" t="s">
        <v>62</v>
      </c>
      <c r="T508" s="35">
        <v>440305</v>
      </c>
    </row>
    <row r="509" spans="1:20" ht="18" customHeight="1">
      <c r="A509" s="83">
        <v>4</v>
      </c>
      <c r="B509" s="84" t="s">
        <v>428</v>
      </c>
      <c r="C509" s="84">
        <v>3</v>
      </c>
      <c r="D509" s="84" t="s">
        <v>492</v>
      </c>
      <c r="E509" s="84">
        <v>5</v>
      </c>
      <c r="F509" s="84" t="s">
        <v>580</v>
      </c>
      <c r="G509" s="91">
        <v>7</v>
      </c>
      <c r="H509" s="84" t="s">
        <v>18</v>
      </c>
      <c r="I509" s="85">
        <v>11</v>
      </c>
      <c r="J509" s="85" t="s">
        <v>19</v>
      </c>
      <c r="K509" s="87">
        <v>1555</v>
      </c>
      <c r="L509" s="87">
        <v>1540</v>
      </c>
      <c r="M509" s="87">
        <f>K509-L509</f>
        <v>15</v>
      </c>
      <c r="N509" s="85" t="s">
        <v>581</v>
      </c>
      <c r="O509" s="87">
        <v>75000</v>
      </c>
      <c r="P509" s="89" t="s">
        <v>498</v>
      </c>
      <c r="Q509" s="88"/>
      <c r="R509" s="90" t="s">
        <v>62</v>
      </c>
      <c r="T509" s="35">
        <v>440305</v>
      </c>
    </row>
    <row r="510" spans="1:20" ht="18" customHeight="1">
      <c r="A510" s="83">
        <v>4</v>
      </c>
      <c r="B510" s="84" t="s">
        <v>428</v>
      </c>
      <c r="C510" s="84">
        <v>3</v>
      </c>
      <c r="D510" s="84" t="s">
        <v>492</v>
      </c>
      <c r="E510" s="84">
        <v>5</v>
      </c>
      <c r="F510" s="84" t="s">
        <v>580</v>
      </c>
      <c r="G510" s="91">
        <v>7</v>
      </c>
      <c r="H510" s="84" t="s">
        <v>18</v>
      </c>
      <c r="I510" s="91">
        <v>11</v>
      </c>
      <c r="J510" s="91" t="s">
        <v>19</v>
      </c>
      <c r="K510" s="87"/>
      <c r="L510" s="87"/>
      <c r="M510" s="87"/>
      <c r="N510" s="85" t="s">
        <v>582</v>
      </c>
      <c r="O510" s="87">
        <v>90000</v>
      </c>
      <c r="P510" s="89" t="s">
        <v>499</v>
      </c>
      <c r="Q510" s="88">
        <v>151</v>
      </c>
      <c r="R510" s="90" t="s">
        <v>62</v>
      </c>
      <c r="T510" s="35">
        <v>440305</v>
      </c>
    </row>
    <row r="511" spans="1:20" ht="18" customHeight="1">
      <c r="A511" s="83">
        <v>4</v>
      </c>
      <c r="B511" s="84" t="s">
        <v>428</v>
      </c>
      <c r="C511" s="84">
        <v>3</v>
      </c>
      <c r="D511" s="84" t="s">
        <v>492</v>
      </c>
      <c r="E511" s="84">
        <v>5</v>
      </c>
      <c r="F511" s="84" t="s">
        <v>580</v>
      </c>
      <c r="G511" s="91">
        <v>7</v>
      </c>
      <c r="H511" s="84" t="s">
        <v>18</v>
      </c>
      <c r="I511" s="91">
        <v>11</v>
      </c>
      <c r="J511" s="91" t="s">
        <v>19</v>
      </c>
      <c r="K511" s="87"/>
      <c r="L511" s="87"/>
      <c r="M511" s="87"/>
      <c r="N511" s="85" t="s">
        <v>583</v>
      </c>
      <c r="O511" s="87">
        <v>300000</v>
      </c>
      <c r="P511" s="89" t="s">
        <v>500</v>
      </c>
      <c r="Q511" s="88"/>
      <c r="R511" s="90" t="s">
        <v>62</v>
      </c>
      <c r="T511" s="35">
        <v>440305</v>
      </c>
    </row>
    <row r="512" spans="1:20" ht="18" customHeight="1">
      <c r="A512" s="83">
        <v>4</v>
      </c>
      <c r="B512" s="84" t="s">
        <v>428</v>
      </c>
      <c r="C512" s="84">
        <v>3</v>
      </c>
      <c r="D512" s="84" t="s">
        <v>492</v>
      </c>
      <c r="E512" s="84">
        <v>5</v>
      </c>
      <c r="F512" s="84" t="s">
        <v>580</v>
      </c>
      <c r="G512" s="91">
        <v>7</v>
      </c>
      <c r="H512" s="84" t="s">
        <v>18</v>
      </c>
      <c r="I512" s="91">
        <v>11</v>
      </c>
      <c r="J512" s="91" t="s">
        <v>19</v>
      </c>
      <c r="K512" s="87"/>
      <c r="L512" s="87"/>
      <c r="M512" s="87"/>
      <c r="N512" s="85" t="s">
        <v>584</v>
      </c>
      <c r="O512" s="87">
        <v>553500</v>
      </c>
      <c r="P512" s="89" t="s">
        <v>497</v>
      </c>
      <c r="Q512" s="88">
        <v>376</v>
      </c>
      <c r="R512" s="90" t="s">
        <v>62</v>
      </c>
      <c r="T512" s="35">
        <v>440305</v>
      </c>
    </row>
    <row r="513" spans="1:20" ht="18" customHeight="1">
      <c r="A513" s="83">
        <v>4</v>
      </c>
      <c r="B513" s="84" t="s">
        <v>428</v>
      </c>
      <c r="C513" s="84">
        <v>3</v>
      </c>
      <c r="D513" s="84" t="s">
        <v>492</v>
      </c>
      <c r="E513" s="84">
        <v>5</v>
      </c>
      <c r="F513" s="84" t="s">
        <v>580</v>
      </c>
      <c r="G513" s="91">
        <v>7</v>
      </c>
      <c r="H513" s="84" t="s">
        <v>18</v>
      </c>
      <c r="I513" s="91">
        <v>11</v>
      </c>
      <c r="J513" s="91" t="s">
        <v>19</v>
      </c>
      <c r="K513" s="87"/>
      <c r="L513" s="87"/>
      <c r="M513" s="87"/>
      <c r="N513" s="85" t="s">
        <v>585</v>
      </c>
      <c r="O513" s="87">
        <v>268200</v>
      </c>
      <c r="P513" s="89" t="s">
        <v>551</v>
      </c>
      <c r="Q513" s="88"/>
      <c r="R513" s="90" t="s">
        <v>62</v>
      </c>
      <c r="T513" s="35">
        <v>440305</v>
      </c>
    </row>
    <row r="514" spans="1:20" ht="18" customHeight="1">
      <c r="A514" s="83">
        <v>4</v>
      </c>
      <c r="B514" s="84" t="s">
        <v>428</v>
      </c>
      <c r="C514" s="84">
        <v>3</v>
      </c>
      <c r="D514" s="84" t="s">
        <v>492</v>
      </c>
      <c r="E514" s="84">
        <v>5</v>
      </c>
      <c r="F514" s="84" t="s">
        <v>580</v>
      </c>
      <c r="G514" s="91">
        <v>7</v>
      </c>
      <c r="H514" s="84" t="s">
        <v>18</v>
      </c>
      <c r="I514" s="91">
        <v>11</v>
      </c>
      <c r="J514" s="91" t="s">
        <v>19</v>
      </c>
      <c r="K514" s="87"/>
      <c r="L514" s="87"/>
      <c r="M514" s="87"/>
      <c r="N514" s="85" t="s">
        <v>586</v>
      </c>
      <c r="O514" s="87">
        <v>268200</v>
      </c>
      <c r="P514" s="89" t="s">
        <v>506</v>
      </c>
      <c r="Q514" s="88"/>
      <c r="R514" s="90" t="s">
        <v>62</v>
      </c>
      <c r="T514" s="35">
        <v>440305</v>
      </c>
    </row>
    <row r="515" spans="1:20" ht="18" customHeight="1">
      <c r="A515" s="83">
        <v>4</v>
      </c>
      <c r="B515" s="84" t="s">
        <v>428</v>
      </c>
      <c r="C515" s="84">
        <v>3</v>
      </c>
      <c r="D515" s="84" t="s">
        <v>492</v>
      </c>
      <c r="E515" s="84">
        <v>5</v>
      </c>
      <c r="F515" s="84" t="s">
        <v>580</v>
      </c>
      <c r="G515" s="85">
        <v>10</v>
      </c>
      <c r="H515" s="86" t="s">
        <v>23</v>
      </c>
      <c r="I515" s="85"/>
      <c r="J515" s="85"/>
      <c r="K515" s="87"/>
      <c r="L515" s="87"/>
      <c r="M515" s="87"/>
      <c r="N515" s="85"/>
      <c r="O515" s="88"/>
      <c r="P515" s="89" t="s">
        <v>497</v>
      </c>
      <c r="Q515" s="88">
        <v>376</v>
      </c>
      <c r="R515" s="90" t="s">
        <v>62</v>
      </c>
      <c r="T515" s="35">
        <v>440305</v>
      </c>
    </row>
    <row r="516" spans="1:20" ht="18" customHeight="1">
      <c r="A516" s="83">
        <v>4</v>
      </c>
      <c r="B516" s="84" t="s">
        <v>428</v>
      </c>
      <c r="C516" s="84">
        <v>3</v>
      </c>
      <c r="D516" s="84" t="s">
        <v>492</v>
      </c>
      <c r="E516" s="84">
        <v>5</v>
      </c>
      <c r="F516" s="84" t="s">
        <v>580</v>
      </c>
      <c r="G516" s="91">
        <v>10</v>
      </c>
      <c r="H516" s="84" t="s">
        <v>23</v>
      </c>
      <c r="I516" s="85">
        <v>1</v>
      </c>
      <c r="J516" s="85" t="s">
        <v>24</v>
      </c>
      <c r="K516" s="87">
        <v>41</v>
      </c>
      <c r="L516" s="87">
        <v>41</v>
      </c>
      <c r="M516" s="87">
        <f>K516-L516</f>
        <v>0</v>
      </c>
      <c r="N516" s="85" t="s">
        <v>587</v>
      </c>
      <c r="O516" s="87">
        <v>5000</v>
      </c>
      <c r="P516" s="89" t="s">
        <v>507</v>
      </c>
      <c r="Q516" s="88"/>
      <c r="R516" s="90" t="s">
        <v>62</v>
      </c>
      <c r="T516" s="35">
        <v>440305</v>
      </c>
    </row>
    <row r="517" spans="1:20" ht="18" customHeight="1">
      <c r="A517" s="83">
        <v>4</v>
      </c>
      <c r="B517" s="84" t="s">
        <v>428</v>
      </c>
      <c r="C517" s="84">
        <v>3</v>
      </c>
      <c r="D517" s="84" t="s">
        <v>492</v>
      </c>
      <c r="E517" s="84">
        <v>5</v>
      </c>
      <c r="F517" s="84" t="s">
        <v>580</v>
      </c>
      <c r="G517" s="91">
        <v>10</v>
      </c>
      <c r="H517" s="84" t="s">
        <v>23</v>
      </c>
      <c r="I517" s="91">
        <v>1</v>
      </c>
      <c r="J517" s="91" t="s">
        <v>24</v>
      </c>
      <c r="K517" s="87"/>
      <c r="L517" s="87"/>
      <c r="M517" s="87"/>
      <c r="N517" s="85" t="s">
        <v>588</v>
      </c>
      <c r="O517" s="87">
        <v>36000</v>
      </c>
      <c r="P517" s="89" t="s">
        <v>353</v>
      </c>
      <c r="Q517" s="88"/>
      <c r="R517" s="90" t="s">
        <v>62</v>
      </c>
      <c r="T517" s="35">
        <v>440305</v>
      </c>
    </row>
    <row r="518" spans="1:20" ht="18" customHeight="1">
      <c r="A518" s="83">
        <v>4</v>
      </c>
      <c r="B518" s="84" t="s">
        <v>428</v>
      </c>
      <c r="C518" s="84">
        <v>3</v>
      </c>
      <c r="D518" s="84" t="s">
        <v>492</v>
      </c>
      <c r="E518" s="84">
        <v>5</v>
      </c>
      <c r="F518" s="84" t="s">
        <v>580</v>
      </c>
      <c r="G518" s="91">
        <v>10</v>
      </c>
      <c r="H518" s="84" t="s">
        <v>23</v>
      </c>
      <c r="I518" s="85">
        <v>2</v>
      </c>
      <c r="J518" s="85" t="s">
        <v>53</v>
      </c>
      <c r="K518" s="87">
        <v>8</v>
      </c>
      <c r="L518" s="87">
        <v>8</v>
      </c>
      <c r="M518" s="87">
        <f>K518-L518</f>
        <v>0</v>
      </c>
      <c r="N518" s="85" t="s">
        <v>589</v>
      </c>
      <c r="O518" s="87">
        <v>7650</v>
      </c>
      <c r="P518" s="89"/>
      <c r="Q518" s="88"/>
      <c r="R518" s="90" t="s">
        <v>62</v>
      </c>
      <c r="T518" s="35">
        <v>440305</v>
      </c>
    </row>
    <row r="519" spans="1:20" ht="18" customHeight="1">
      <c r="A519" s="83">
        <v>4</v>
      </c>
      <c r="B519" s="84" t="s">
        <v>428</v>
      </c>
      <c r="C519" s="84">
        <v>3</v>
      </c>
      <c r="D519" s="84" t="s">
        <v>492</v>
      </c>
      <c r="E519" s="84">
        <v>5</v>
      </c>
      <c r="F519" s="84" t="s">
        <v>580</v>
      </c>
      <c r="G519" s="91">
        <v>10</v>
      </c>
      <c r="H519" s="84" t="s">
        <v>23</v>
      </c>
      <c r="I519" s="85">
        <v>3</v>
      </c>
      <c r="J519" s="85" t="s">
        <v>25</v>
      </c>
      <c r="K519" s="87">
        <v>15</v>
      </c>
      <c r="L519" s="87">
        <v>15</v>
      </c>
      <c r="M519" s="87">
        <f>K519-L519</f>
        <v>0</v>
      </c>
      <c r="N519" s="85" t="s">
        <v>590</v>
      </c>
      <c r="O519" s="87">
        <v>15000</v>
      </c>
      <c r="P519" s="89"/>
      <c r="Q519" s="88"/>
      <c r="R519" s="90" t="s">
        <v>62</v>
      </c>
      <c r="T519" s="35">
        <v>440305</v>
      </c>
    </row>
    <row r="520" spans="1:20" ht="18" customHeight="1">
      <c r="A520" s="83">
        <v>4</v>
      </c>
      <c r="B520" s="84" t="s">
        <v>428</v>
      </c>
      <c r="C520" s="84">
        <v>3</v>
      </c>
      <c r="D520" s="84" t="s">
        <v>492</v>
      </c>
      <c r="E520" s="84">
        <v>5</v>
      </c>
      <c r="F520" s="84" t="s">
        <v>580</v>
      </c>
      <c r="G520" s="85">
        <v>11</v>
      </c>
      <c r="H520" s="86" t="s">
        <v>27</v>
      </c>
      <c r="I520" s="85"/>
      <c r="J520" s="85"/>
      <c r="K520" s="87"/>
      <c r="L520" s="87"/>
      <c r="M520" s="87"/>
      <c r="N520" s="85"/>
      <c r="O520" s="88"/>
      <c r="P520" s="89"/>
      <c r="Q520" s="88"/>
      <c r="R520" s="90" t="s">
        <v>62</v>
      </c>
      <c r="T520" s="35">
        <v>440305</v>
      </c>
    </row>
    <row r="521" spans="1:20" ht="18" customHeight="1">
      <c r="A521" s="83">
        <v>4</v>
      </c>
      <c r="B521" s="84" t="s">
        <v>428</v>
      </c>
      <c r="C521" s="84">
        <v>3</v>
      </c>
      <c r="D521" s="84" t="s">
        <v>492</v>
      </c>
      <c r="E521" s="84">
        <v>5</v>
      </c>
      <c r="F521" s="84" t="s">
        <v>580</v>
      </c>
      <c r="G521" s="91">
        <v>11</v>
      </c>
      <c r="H521" s="84" t="s">
        <v>27</v>
      </c>
      <c r="I521" s="85">
        <v>1</v>
      </c>
      <c r="J521" s="85" t="s">
        <v>28</v>
      </c>
      <c r="K521" s="87">
        <v>306</v>
      </c>
      <c r="L521" s="87">
        <v>204</v>
      </c>
      <c r="M521" s="87">
        <f>K521-L521</f>
        <v>102</v>
      </c>
      <c r="N521" s="85" t="s">
        <v>591</v>
      </c>
      <c r="O521" s="87">
        <v>306000</v>
      </c>
      <c r="P521" s="89"/>
      <c r="Q521" s="88"/>
      <c r="R521" s="90" t="s">
        <v>62</v>
      </c>
      <c r="T521" s="35">
        <v>440305</v>
      </c>
    </row>
    <row r="522" spans="1:20" ht="18" customHeight="1">
      <c r="A522" s="83">
        <v>4</v>
      </c>
      <c r="B522" s="84" t="s">
        <v>428</v>
      </c>
      <c r="C522" s="84">
        <v>3</v>
      </c>
      <c r="D522" s="84" t="s">
        <v>492</v>
      </c>
      <c r="E522" s="84">
        <v>5</v>
      </c>
      <c r="F522" s="84" t="s">
        <v>580</v>
      </c>
      <c r="G522" s="85">
        <v>13</v>
      </c>
      <c r="H522" s="86" t="s">
        <v>34</v>
      </c>
      <c r="I522" s="85"/>
      <c r="J522" s="85"/>
      <c r="K522" s="87"/>
      <c r="L522" s="87"/>
      <c r="M522" s="87"/>
      <c r="N522" s="85"/>
      <c r="O522" s="88"/>
      <c r="P522" s="89"/>
      <c r="Q522" s="88"/>
      <c r="R522" s="90" t="s">
        <v>62</v>
      </c>
      <c r="T522" s="35">
        <v>440305</v>
      </c>
    </row>
    <row r="523" spans="1:20" ht="18" customHeight="1">
      <c r="A523" s="83">
        <v>4</v>
      </c>
      <c r="B523" s="84" t="s">
        <v>428</v>
      </c>
      <c r="C523" s="84">
        <v>3</v>
      </c>
      <c r="D523" s="84" t="s">
        <v>492</v>
      </c>
      <c r="E523" s="84">
        <v>5</v>
      </c>
      <c r="F523" s="84" t="s">
        <v>580</v>
      </c>
      <c r="G523" s="91">
        <v>13</v>
      </c>
      <c r="H523" s="84" t="s">
        <v>34</v>
      </c>
      <c r="I523" s="85">
        <v>1</v>
      </c>
      <c r="J523" s="85" t="s">
        <v>35</v>
      </c>
      <c r="K523" s="87">
        <v>26</v>
      </c>
      <c r="L523" s="87">
        <v>30</v>
      </c>
      <c r="M523" s="87">
        <f>K523-L523</f>
        <v>-4</v>
      </c>
      <c r="N523" s="85" t="s">
        <v>592</v>
      </c>
      <c r="O523" s="87">
        <v>26000</v>
      </c>
      <c r="P523" s="89"/>
      <c r="Q523" s="88"/>
      <c r="R523" s="90" t="s">
        <v>62</v>
      </c>
      <c r="T523" s="35">
        <v>440305</v>
      </c>
    </row>
    <row r="524" spans="1:20" ht="18" customHeight="1">
      <c r="A524" s="65">
        <v>4</v>
      </c>
      <c r="B524" s="66" t="s">
        <v>430</v>
      </c>
      <c r="C524" s="74">
        <v>3</v>
      </c>
      <c r="D524" s="66" t="s">
        <v>492</v>
      </c>
      <c r="E524" s="75">
        <v>6</v>
      </c>
      <c r="F524" s="76" t="s">
        <v>593</v>
      </c>
      <c r="G524" s="75"/>
      <c r="H524" s="76"/>
      <c r="I524" s="75"/>
      <c r="J524" s="75"/>
      <c r="K524" s="77">
        <f>IF(C524="",SUMIFS($K525:$K$783,$A525:$A$783,A524,$E525:$E$783,""),IF(E524="",SUMIFS($K525:$K$783,$A525:$A$783,A524,$C525:$C$783,C524,$G525:$G$783,""),IF(G524="",SUMIFS($K525:$K$783,$A525:$A$783,A524,$C525:$C$783,C524,$E525:$E$783,E524,$R525:$R$783,R524),IF(I524="",SUMIFS($K525:$K$783,$A525:$A$783,A524,$C525:$C$783,C524,$E525:$E$783,E524,$G525:$G$783,G524,$R525:$R$783,R524),0))))</f>
        <v>420</v>
      </c>
      <c r="L524" s="77">
        <f>IF(C524="",SUMIFS($L525:$L$783,$A525:$A$783,A524,$E525:$E$783,""),IF(E524="",SUMIFS($L525:$L$783,$A525:$A$783,A524,$C525:$C$783,C524,$G525:$G$783,""),IF(G524="",SUMIFS($L525:$L$783,$A525:$A$783,A524,$C525:$C$783,C524,$E525:$E$783,E524,$R525:$R$783,R524),IF(I524="",SUMIFS($L525:$L$783,$A525:$A$783,A524,$C525:$C$783,C524,$E525:$E$783,E524,$G525:$G$783,G524,$R525:$R$783,R524),0))))</f>
        <v>450</v>
      </c>
      <c r="M524" s="77">
        <f t="shared" ref="M524" si="31">K524-L524</f>
        <v>-30</v>
      </c>
      <c r="N524" s="78"/>
      <c r="O524" s="79"/>
      <c r="P524" s="80"/>
      <c r="Q524" s="81">
        <f>IF(C524="",SUMIFS($Q525:$Q$781,$A525:$A$781,A524,$E525:$E$781,""),IF(E524="",SUMIFS($Q525:$Q$781,$A525:$A$781,A524,$C525:$C$781,C524,$G525:$G$781,""),IF(G524="",SUMIFS($Q525:$Q$781,$A525:$A$781,A524,$C525:$C$781,C524,$E525:$E$781,E524,$R525:$R$781,R524),IF(I524="",SUMIFS($Q525:$Q$781,$A525:$A$781,A524,$C525:$C$781,C524,$E525:$E$781,E524,$G525:$G$781,G524,$R525:$R$781,R524),0))))</f>
        <v>357</v>
      </c>
      <c r="R524" s="82" t="s">
        <v>62</v>
      </c>
      <c r="T524" s="35">
        <v>440306</v>
      </c>
    </row>
    <row r="525" spans="1:20" ht="18" customHeight="1">
      <c r="A525" s="83">
        <v>4</v>
      </c>
      <c r="B525" s="84" t="s">
        <v>428</v>
      </c>
      <c r="C525" s="84">
        <v>3</v>
      </c>
      <c r="D525" s="84" t="s">
        <v>492</v>
      </c>
      <c r="E525" s="84">
        <v>6</v>
      </c>
      <c r="F525" s="84" t="s">
        <v>217</v>
      </c>
      <c r="G525" s="85">
        <v>7</v>
      </c>
      <c r="H525" s="86" t="s">
        <v>18</v>
      </c>
      <c r="I525" s="85"/>
      <c r="J525" s="85"/>
      <c r="K525" s="87"/>
      <c r="L525" s="87"/>
      <c r="M525" s="87"/>
      <c r="N525" s="85"/>
      <c r="O525" s="88"/>
      <c r="P525" s="89" t="s">
        <v>497</v>
      </c>
      <c r="Q525" s="88">
        <v>162</v>
      </c>
      <c r="R525" s="90" t="s">
        <v>62</v>
      </c>
      <c r="T525" s="35">
        <v>440306</v>
      </c>
    </row>
    <row r="526" spans="1:20" ht="18" customHeight="1">
      <c r="A526" s="83">
        <v>4</v>
      </c>
      <c r="B526" s="84" t="s">
        <v>428</v>
      </c>
      <c r="C526" s="84">
        <v>3</v>
      </c>
      <c r="D526" s="84" t="s">
        <v>492</v>
      </c>
      <c r="E526" s="84">
        <v>6</v>
      </c>
      <c r="F526" s="84" t="s">
        <v>217</v>
      </c>
      <c r="G526" s="91">
        <v>7</v>
      </c>
      <c r="H526" s="84" t="s">
        <v>18</v>
      </c>
      <c r="I526" s="85">
        <v>11</v>
      </c>
      <c r="J526" s="85" t="s">
        <v>19</v>
      </c>
      <c r="K526" s="87">
        <v>360</v>
      </c>
      <c r="L526" s="87">
        <v>360</v>
      </c>
      <c r="M526" s="87">
        <f>K526-L526</f>
        <v>0</v>
      </c>
      <c r="N526" s="85" t="s">
        <v>594</v>
      </c>
      <c r="O526" s="87">
        <v>360000</v>
      </c>
      <c r="P526" s="89" t="s">
        <v>498</v>
      </c>
      <c r="Q526" s="88"/>
      <c r="R526" s="90" t="s">
        <v>62</v>
      </c>
      <c r="T526" s="35">
        <v>440306</v>
      </c>
    </row>
    <row r="527" spans="1:20" ht="18" customHeight="1">
      <c r="A527" s="83">
        <v>4</v>
      </c>
      <c r="B527" s="84" t="s">
        <v>428</v>
      </c>
      <c r="C527" s="84">
        <v>3</v>
      </c>
      <c r="D527" s="84" t="s">
        <v>492</v>
      </c>
      <c r="E527" s="84">
        <v>6</v>
      </c>
      <c r="F527" s="84" t="s">
        <v>217</v>
      </c>
      <c r="G527" s="85">
        <v>10</v>
      </c>
      <c r="H527" s="86" t="s">
        <v>23</v>
      </c>
      <c r="I527" s="85"/>
      <c r="J527" s="85"/>
      <c r="K527" s="87"/>
      <c r="L527" s="87"/>
      <c r="M527" s="87"/>
      <c r="N527" s="85"/>
      <c r="O527" s="88"/>
      <c r="P527" s="89" t="s">
        <v>499</v>
      </c>
      <c r="Q527" s="88">
        <v>33</v>
      </c>
      <c r="R527" s="90" t="s">
        <v>62</v>
      </c>
      <c r="T527" s="35">
        <v>440306</v>
      </c>
    </row>
    <row r="528" spans="1:20" ht="18" customHeight="1">
      <c r="A528" s="83">
        <v>4</v>
      </c>
      <c r="B528" s="84" t="s">
        <v>428</v>
      </c>
      <c r="C528" s="84">
        <v>3</v>
      </c>
      <c r="D528" s="84" t="s">
        <v>492</v>
      </c>
      <c r="E528" s="84">
        <v>6</v>
      </c>
      <c r="F528" s="84" t="s">
        <v>217</v>
      </c>
      <c r="G528" s="91">
        <v>10</v>
      </c>
      <c r="H528" s="84" t="s">
        <v>23</v>
      </c>
      <c r="I528" s="85">
        <v>1</v>
      </c>
      <c r="J528" s="85" t="s">
        <v>24</v>
      </c>
      <c r="K528" s="87">
        <v>20</v>
      </c>
      <c r="L528" s="87">
        <v>50</v>
      </c>
      <c r="M528" s="87">
        <f>K528-L528</f>
        <v>-30</v>
      </c>
      <c r="N528" s="85" t="s">
        <v>595</v>
      </c>
      <c r="O528" s="87">
        <v>20000</v>
      </c>
      <c r="P528" s="89" t="s">
        <v>500</v>
      </c>
      <c r="Q528" s="88"/>
      <c r="R528" s="90" t="s">
        <v>62</v>
      </c>
      <c r="T528" s="35">
        <v>440306</v>
      </c>
    </row>
    <row r="529" spans="1:20" ht="18" customHeight="1">
      <c r="A529" s="83">
        <v>4</v>
      </c>
      <c r="B529" s="84" t="s">
        <v>428</v>
      </c>
      <c r="C529" s="84">
        <v>3</v>
      </c>
      <c r="D529" s="84" t="s">
        <v>492</v>
      </c>
      <c r="E529" s="84">
        <v>6</v>
      </c>
      <c r="F529" s="84" t="s">
        <v>217</v>
      </c>
      <c r="G529" s="91">
        <v>10</v>
      </c>
      <c r="H529" s="84" t="s">
        <v>23</v>
      </c>
      <c r="I529" s="85">
        <v>3</v>
      </c>
      <c r="J529" s="85" t="s">
        <v>25</v>
      </c>
      <c r="K529" s="87">
        <v>40</v>
      </c>
      <c r="L529" s="87">
        <v>40</v>
      </c>
      <c r="M529" s="87">
        <f>K529-L529</f>
        <v>0</v>
      </c>
      <c r="N529" s="85" t="s">
        <v>596</v>
      </c>
      <c r="O529" s="87">
        <v>7200</v>
      </c>
      <c r="P529" s="89" t="s">
        <v>497</v>
      </c>
      <c r="Q529" s="88">
        <v>81</v>
      </c>
      <c r="R529" s="90" t="s">
        <v>62</v>
      </c>
      <c r="T529" s="35">
        <v>440306</v>
      </c>
    </row>
    <row r="530" spans="1:20" ht="18" customHeight="1">
      <c r="A530" s="83">
        <v>4</v>
      </c>
      <c r="B530" s="84" t="s">
        <v>428</v>
      </c>
      <c r="C530" s="84">
        <v>3</v>
      </c>
      <c r="D530" s="84" t="s">
        <v>492</v>
      </c>
      <c r="E530" s="84">
        <v>6</v>
      </c>
      <c r="F530" s="84" t="s">
        <v>217</v>
      </c>
      <c r="G530" s="91">
        <v>10</v>
      </c>
      <c r="H530" s="84" t="s">
        <v>23</v>
      </c>
      <c r="I530" s="91">
        <v>3</v>
      </c>
      <c r="J530" s="91" t="s">
        <v>25</v>
      </c>
      <c r="K530" s="87"/>
      <c r="L530" s="87"/>
      <c r="M530" s="87"/>
      <c r="N530" s="85" t="s">
        <v>597</v>
      </c>
      <c r="O530" s="87">
        <v>32400</v>
      </c>
      <c r="P530" s="89" t="s">
        <v>551</v>
      </c>
      <c r="Q530" s="88"/>
      <c r="R530" s="90" t="s">
        <v>62</v>
      </c>
      <c r="T530" s="35">
        <v>440306</v>
      </c>
    </row>
    <row r="531" spans="1:20" ht="18" customHeight="1">
      <c r="A531" s="83">
        <v>4</v>
      </c>
      <c r="B531" s="84" t="s">
        <v>428</v>
      </c>
      <c r="C531" s="84">
        <v>3</v>
      </c>
      <c r="D531" s="84" t="s">
        <v>492</v>
      </c>
      <c r="E531" s="84">
        <v>6</v>
      </c>
      <c r="F531" s="84" t="s">
        <v>217</v>
      </c>
      <c r="G531" s="91">
        <v>10</v>
      </c>
      <c r="H531" s="84" t="s">
        <v>23</v>
      </c>
      <c r="I531" s="91">
        <v>3</v>
      </c>
      <c r="J531" s="91" t="s">
        <v>25</v>
      </c>
      <c r="K531" s="87"/>
      <c r="L531" s="87"/>
      <c r="M531" s="87"/>
      <c r="N531" s="85"/>
      <c r="O531" s="87"/>
      <c r="P531" s="89" t="s">
        <v>506</v>
      </c>
      <c r="Q531" s="88"/>
      <c r="R531" s="90" t="s">
        <v>62</v>
      </c>
      <c r="T531" s="35">
        <v>440306</v>
      </c>
    </row>
    <row r="532" spans="1:20" ht="18" customHeight="1">
      <c r="A532" s="83">
        <v>4</v>
      </c>
      <c r="B532" s="84" t="s">
        <v>428</v>
      </c>
      <c r="C532" s="84">
        <v>3</v>
      </c>
      <c r="D532" s="84" t="s">
        <v>492</v>
      </c>
      <c r="E532" s="84">
        <v>6</v>
      </c>
      <c r="F532" s="84" t="s">
        <v>217</v>
      </c>
      <c r="G532" s="91">
        <v>10</v>
      </c>
      <c r="H532" s="84" t="s">
        <v>23</v>
      </c>
      <c r="I532" s="91">
        <v>3</v>
      </c>
      <c r="J532" s="91" t="s">
        <v>25</v>
      </c>
      <c r="K532" s="87"/>
      <c r="L532" s="87"/>
      <c r="M532" s="87"/>
      <c r="N532" s="85"/>
      <c r="O532" s="87"/>
      <c r="P532" s="89" t="s">
        <v>497</v>
      </c>
      <c r="Q532" s="88">
        <v>81</v>
      </c>
      <c r="R532" s="90" t="s">
        <v>62</v>
      </c>
      <c r="T532" s="35">
        <v>440306</v>
      </c>
    </row>
    <row r="533" spans="1:20" ht="18" customHeight="1">
      <c r="A533" s="83">
        <v>4</v>
      </c>
      <c r="B533" s="84" t="s">
        <v>428</v>
      </c>
      <c r="C533" s="84">
        <v>3</v>
      </c>
      <c r="D533" s="84" t="s">
        <v>492</v>
      </c>
      <c r="E533" s="84">
        <v>6</v>
      </c>
      <c r="F533" s="84" t="s">
        <v>217</v>
      </c>
      <c r="G533" s="91">
        <v>10</v>
      </c>
      <c r="H533" s="84" t="s">
        <v>23</v>
      </c>
      <c r="I533" s="91">
        <v>3</v>
      </c>
      <c r="J533" s="91" t="s">
        <v>25</v>
      </c>
      <c r="K533" s="87"/>
      <c r="L533" s="87"/>
      <c r="M533" s="87"/>
      <c r="N533" s="85"/>
      <c r="O533" s="87"/>
      <c r="P533" s="89" t="s">
        <v>507</v>
      </c>
      <c r="Q533" s="88"/>
      <c r="R533" s="90" t="s">
        <v>62</v>
      </c>
      <c r="T533" s="35">
        <v>440306</v>
      </c>
    </row>
    <row r="534" spans="1:20" ht="18" customHeight="1">
      <c r="A534" s="83">
        <v>4</v>
      </c>
      <c r="B534" s="84" t="s">
        <v>428</v>
      </c>
      <c r="C534" s="84">
        <v>3</v>
      </c>
      <c r="D534" s="84" t="s">
        <v>492</v>
      </c>
      <c r="E534" s="84">
        <v>6</v>
      </c>
      <c r="F534" s="84" t="s">
        <v>217</v>
      </c>
      <c r="G534" s="91">
        <v>10</v>
      </c>
      <c r="H534" s="84" t="s">
        <v>23</v>
      </c>
      <c r="I534" s="91">
        <v>3</v>
      </c>
      <c r="J534" s="91" t="s">
        <v>25</v>
      </c>
      <c r="K534" s="87"/>
      <c r="L534" s="87"/>
      <c r="M534" s="87"/>
      <c r="N534" s="85"/>
      <c r="O534" s="87"/>
      <c r="P534" s="89" t="s">
        <v>353</v>
      </c>
      <c r="Q534" s="88"/>
      <c r="R534" s="90" t="s">
        <v>62</v>
      </c>
      <c r="T534" s="35">
        <v>440306</v>
      </c>
    </row>
    <row r="535" spans="1:20" ht="18" customHeight="1">
      <c r="A535" s="65">
        <v>4</v>
      </c>
      <c r="B535" s="66" t="s">
        <v>428</v>
      </c>
      <c r="C535" s="67">
        <v>4</v>
      </c>
      <c r="D535" s="67" t="s">
        <v>396</v>
      </c>
      <c r="E535" s="68"/>
      <c r="F535" s="67"/>
      <c r="G535" s="68"/>
      <c r="H535" s="67"/>
      <c r="I535" s="68"/>
      <c r="J535" s="68"/>
      <c r="K535" s="69">
        <f>IF(C535="",SUMIFS($K536:$K$783,$A536:$A$783,A535,$E536:$E$783,""),IF(E535="",SUMIFS($K536:$K$783,$A536:$A$783,A535,$C536:$C$783,C535,$G536:$G$783,""),IF(G535="",SUMIFS($K536:$K$783,$A536:$A$783,A535,$C536:$C$783,C535,$E536:$E$783,E535,$R536:$R$783,R535),IF(I535="",SUMIFS($K536:$K$783,$A536:$A$783,A535,$C536:$C$783,C535,$E536:$E$783,E535,$G536:$G$783,G535,$R536:$R$783,R535),0))))</f>
        <v>20</v>
      </c>
      <c r="L535" s="69">
        <f>IF(C535="",SUMIFS($L536:$L$783,$A536:$A$783,A535,$E536:$E$783,""),IF(E535="",SUMIFS($L536:$L$783,$A536:$A$783,A535,$C536:$C$783,C535,$G536:$G$783,""),IF(G535="",SUMIFS($L536:$L$783,$A536:$A$783,A535,$C536:$C$783,C535,$E536:$E$783,E535,$R536:$R$783,R535),IF(I535="",SUMIFS($L536:$L$783,$A536:$A$783,A535,$C536:$C$783,C535,$E536:$E$783,E535,$G536:$G$783,G535,$R536:$R$783,R535),0))))</f>
        <v>20</v>
      </c>
      <c r="M535" s="69">
        <f t="shared" ref="M535:M536" si="32">K535-L535</f>
        <v>0</v>
      </c>
      <c r="N535" s="70"/>
      <c r="O535" s="71"/>
      <c r="P535" s="72"/>
      <c r="Q535" s="69">
        <f>IF(C535="",SUMIFS($Q536:$Q$783,$A536:$A$783,A535,$E536:$E$783,""),IF(E535="",SUMIFS($Q536:$Q$783,$A536:$A$783,A535,$C536:$C$783,C535,$G536:$G$783,""),IF(G535="",SUMIFS($Q536:$Q$783,$A536:$A$783,A535,$C536:$C$783,C535,$E536:$E$783,E535,$R536:$R$783,R535),IF(I535="",SUMIFS($Q536:$Q$783,$A536:$A$783,A535,$C536:$C$783,C535,$E536:$E$783,E535,$G536:$G$783,G535,$R536:$R$783,R535),0))))</f>
        <v>11</v>
      </c>
      <c r="R535" s="73"/>
      <c r="T535" s="35">
        <v>440401</v>
      </c>
    </row>
    <row r="536" spans="1:20" ht="18" customHeight="1">
      <c r="A536" s="65">
        <v>4</v>
      </c>
      <c r="B536" s="66" t="s">
        <v>430</v>
      </c>
      <c r="C536" s="74">
        <v>4</v>
      </c>
      <c r="D536" s="66" t="s">
        <v>397</v>
      </c>
      <c r="E536" s="75">
        <v>1</v>
      </c>
      <c r="F536" s="76" t="s">
        <v>244</v>
      </c>
      <c r="G536" s="75"/>
      <c r="H536" s="76"/>
      <c r="I536" s="75"/>
      <c r="J536" s="75"/>
      <c r="K536" s="77">
        <f>IF(C536="",SUMIFS($K537:$K$783,$A537:$A$783,A536,$E537:$E$783,""),IF(E536="",SUMIFS($K537:$K$783,$A537:$A$783,A536,$C537:$C$783,C536,$G537:$G$783,""),IF(G536="",SUMIFS($K537:$K$783,$A537:$A$783,A536,$C537:$C$783,C536,$E537:$E$783,E536,$R537:$R$783,R536),IF(I536="",SUMIFS($K537:$K$783,$A537:$A$783,A536,$C537:$C$783,C536,$E537:$E$783,E536,$G537:$G$783,G536,$R537:$R$783,R536),0))))</f>
        <v>20</v>
      </c>
      <c r="L536" s="77">
        <f>IF(C536="",SUMIFS($L537:$L$783,$A537:$A$783,A536,$E537:$E$783,""),IF(E536="",SUMIFS($L537:$L$783,$A537:$A$783,A536,$C537:$C$783,C536,$G537:$G$783,""),IF(G536="",SUMIFS($L537:$L$783,$A537:$A$783,A536,$C537:$C$783,C536,$E537:$E$783,E536,$R537:$R$783,R536),IF(I536="",SUMIFS($L537:$L$783,$A537:$A$783,A536,$C537:$C$783,C536,$E537:$E$783,E536,$G537:$G$783,G536,$R537:$R$783,R536),0))))</f>
        <v>20</v>
      </c>
      <c r="M536" s="77">
        <f t="shared" si="32"/>
        <v>0</v>
      </c>
      <c r="N536" s="78"/>
      <c r="O536" s="79"/>
      <c r="P536" s="80"/>
      <c r="Q536" s="81">
        <f>IF(C536="",SUMIFS($Q537:$Q$781,$A537:$A$781,A536,$E537:$E$781,""),IF(E536="",SUMIFS($Q537:$Q$781,$A537:$A$781,A536,$C537:$C$781,C536,$G537:$G$781,""),IF(G536="",SUMIFS($Q537:$Q$781,$A537:$A$781,A536,$C537:$C$781,C536,$E537:$E$781,E536,$R537:$R$781,R536),IF(I536="",SUMIFS($Q537:$Q$781,$A537:$A$781,A536,$C537:$C$781,C536,$E537:$E$781,E536,$G537:$G$781,G536,$R537:$R$781,R536),0))))</f>
        <v>11</v>
      </c>
      <c r="R536" s="82" t="s">
        <v>62</v>
      </c>
      <c r="T536" s="35">
        <v>440401</v>
      </c>
    </row>
    <row r="537" spans="1:20" ht="18" customHeight="1">
      <c r="A537" s="83">
        <v>4</v>
      </c>
      <c r="B537" s="84" t="s">
        <v>428</v>
      </c>
      <c r="C537" s="84">
        <v>4</v>
      </c>
      <c r="D537" s="84" t="s">
        <v>397</v>
      </c>
      <c r="E537" s="84">
        <v>1</v>
      </c>
      <c r="F537" s="84" t="s">
        <v>117</v>
      </c>
      <c r="G537" s="85">
        <v>11</v>
      </c>
      <c r="H537" s="86" t="s">
        <v>27</v>
      </c>
      <c r="I537" s="85"/>
      <c r="J537" s="85"/>
      <c r="K537" s="87"/>
      <c r="L537" s="87"/>
      <c r="M537" s="87"/>
      <c r="N537" s="85"/>
      <c r="O537" s="88"/>
      <c r="P537" s="89" t="s">
        <v>434</v>
      </c>
      <c r="Q537" s="88">
        <v>4</v>
      </c>
      <c r="R537" s="90" t="s">
        <v>62</v>
      </c>
      <c r="T537" s="35">
        <v>440401</v>
      </c>
    </row>
    <row r="538" spans="1:20" ht="18" customHeight="1">
      <c r="A538" s="83">
        <v>4</v>
      </c>
      <c r="B538" s="84" t="s">
        <v>428</v>
      </c>
      <c r="C538" s="84">
        <v>4</v>
      </c>
      <c r="D538" s="84" t="s">
        <v>397</v>
      </c>
      <c r="E538" s="84">
        <v>1</v>
      </c>
      <c r="F538" s="84" t="s">
        <v>117</v>
      </c>
      <c r="G538" s="91">
        <v>11</v>
      </c>
      <c r="H538" s="84" t="s">
        <v>27</v>
      </c>
      <c r="I538" s="85">
        <v>3</v>
      </c>
      <c r="J538" s="85" t="s">
        <v>29</v>
      </c>
      <c r="K538" s="87">
        <v>20</v>
      </c>
      <c r="L538" s="87">
        <v>20</v>
      </c>
      <c r="M538" s="87">
        <f>K538-L538</f>
        <v>0</v>
      </c>
      <c r="N538" s="85" t="s">
        <v>598</v>
      </c>
      <c r="O538" s="87">
        <v>20000</v>
      </c>
      <c r="P538" s="89" t="s">
        <v>436</v>
      </c>
      <c r="Q538" s="88"/>
      <c r="R538" s="90" t="s">
        <v>62</v>
      </c>
      <c r="T538" s="35">
        <v>440401</v>
      </c>
    </row>
    <row r="539" spans="1:20" ht="18" customHeight="1">
      <c r="A539" s="83">
        <v>4</v>
      </c>
      <c r="B539" s="84" t="s">
        <v>428</v>
      </c>
      <c r="C539" s="84">
        <v>4</v>
      </c>
      <c r="D539" s="84" t="s">
        <v>397</v>
      </c>
      <c r="E539" s="84">
        <v>1</v>
      </c>
      <c r="F539" s="84" t="s">
        <v>117</v>
      </c>
      <c r="G539" s="91">
        <v>11</v>
      </c>
      <c r="H539" s="84" t="s">
        <v>27</v>
      </c>
      <c r="I539" s="91">
        <v>3</v>
      </c>
      <c r="J539" s="91" t="s">
        <v>29</v>
      </c>
      <c r="K539" s="87"/>
      <c r="L539" s="87"/>
      <c r="M539" s="87"/>
      <c r="N539" s="85"/>
      <c r="O539" s="87"/>
      <c r="P539" s="89" t="s">
        <v>434</v>
      </c>
      <c r="Q539" s="88">
        <v>5</v>
      </c>
      <c r="R539" s="90" t="s">
        <v>62</v>
      </c>
      <c r="T539" s="35">
        <v>440401</v>
      </c>
    </row>
    <row r="540" spans="1:20" ht="18" customHeight="1">
      <c r="A540" s="83">
        <v>4</v>
      </c>
      <c r="B540" s="84" t="s">
        <v>428</v>
      </c>
      <c r="C540" s="84">
        <v>4</v>
      </c>
      <c r="D540" s="84" t="s">
        <v>397</v>
      </c>
      <c r="E540" s="84">
        <v>1</v>
      </c>
      <c r="F540" s="84" t="s">
        <v>117</v>
      </c>
      <c r="G540" s="91">
        <v>11</v>
      </c>
      <c r="H540" s="84" t="s">
        <v>27</v>
      </c>
      <c r="I540" s="91">
        <v>3</v>
      </c>
      <c r="J540" s="91" t="s">
        <v>29</v>
      </c>
      <c r="K540" s="87"/>
      <c r="L540" s="87"/>
      <c r="M540" s="87"/>
      <c r="N540" s="85"/>
      <c r="O540" s="87"/>
      <c r="P540" s="89" t="s">
        <v>438</v>
      </c>
      <c r="Q540" s="88"/>
      <c r="R540" s="90" t="s">
        <v>62</v>
      </c>
      <c r="T540" s="35">
        <v>440401</v>
      </c>
    </row>
    <row r="541" spans="1:20" ht="18" customHeight="1">
      <c r="A541" s="83">
        <v>4</v>
      </c>
      <c r="B541" s="84" t="s">
        <v>428</v>
      </c>
      <c r="C541" s="84">
        <v>4</v>
      </c>
      <c r="D541" s="84" t="s">
        <v>397</v>
      </c>
      <c r="E541" s="84">
        <v>1</v>
      </c>
      <c r="F541" s="84" t="s">
        <v>117</v>
      </c>
      <c r="G541" s="91">
        <v>11</v>
      </c>
      <c r="H541" s="84" t="s">
        <v>27</v>
      </c>
      <c r="I541" s="91">
        <v>3</v>
      </c>
      <c r="J541" s="91" t="s">
        <v>29</v>
      </c>
      <c r="K541" s="87"/>
      <c r="L541" s="87"/>
      <c r="M541" s="87"/>
      <c r="N541" s="85"/>
      <c r="O541" s="87"/>
      <c r="P541" s="89" t="s">
        <v>434</v>
      </c>
      <c r="Q541" s="88">
        <v>2</v>
      </c>
      <c r="R541" s="90" t="s">
        <v>62</v>
      </c>
      <c r="T541" s="35">
        <v>440401</v>
      </c>
    </row>
    <row r="542" spans="1:20" ht="18" customHeight="1">
      <c r="A542" s="83">
        <v>4</v>
      </c>
      <c r="B542" s="84" t="s">
        <v>428</v>
      </c>
      <c r="C542" s="84">
        <v>4</v>
      </c>
      <c r="D542" s="84" t="s">
        <v>397</v>
      </c>
      <c r="E542" s="84">
        <v>1</v>
      </c>
      <c r="F542" s="84" t="s">
        <v>117</v>
      </c>
      <c r="G542" s="91">
        <v>11</v>
      </c>
      <c r="H542" s="84" t="s">
        <v>27</v>
      </c>
      <c r="I542" s="91">
        <v>3</v>
      </c>
      <c r="J542" s="91" t="s">
        <v>29</v>
      </c>
      <c r="K542" s="87"/>
      <c r="L542" s="87"/>
      <c r="M542" s="87"/>
      <c r="N542" s="85"/>
      <c r="O542" s="87"/>
      <c r="P542" s="89" t="s">
        <v>444</v>
      </c>
      <c r="Q542" s="88"/>
      <c r="R542" s="90" t="s">
        <v>62</v>
      </c>
      <c r="T542" s="35">
        <v>440401</v>
      </c>
    </row>
    <row r="543" spans="1:20" ht="18" customHeight="1">
      <c r="A543" s="57">
        <v>5</v>
      </c>
      <c r="B543" s="58" t="s">
        <v>238</v>
      </c>
      <c r="C543" s="58"/>
      <c r="D543" s="58"/>
      <c r="E543" s="59"/>
      <c r="F543" s="58"/>
      <c r="G543" s="59"/>
      <c r="H543" s="58"/>
      <c r="I543" s="59"/>
      <c r="J543" s="59"/>
      <c r="K543" s="60">
        <f>IF(C543="",SUMIFS($K544:$K$783,$A544:$A$783,A543,$E544:$E$783,""),IF(E543="",SUMIFS($K544:$K$783,$A544:$A$783,A543,$C544:$C$783,C543,$G544:$G$783,""),IF(G543="",SUMIFS($K544:$K$783,$A544:$A$783,A543,$C544:$C$783,C543,$E544:$E$783,E543,$R544:$R$783,R543),IF(I543="",SUMIFS($K544:$K$783,$A544:$A$783,A543,$C544:$C$783,C543,$E544:$E$783,E543,$G544:$G$783,G543,$R544:$R$783,R543),0))))</f>
        <v>1</v>
      </c>
      <c r="L543" s="60">
        <f>IF(C543="",SUMIFS($L544:$L$783,$A544:$A$783,A543,$E544:$E$783,""),IF(E543="",SUMIFS($L544:$L$783,$A544:$A$783,A543,$C544:$C$783,C543,$G544:$G$783,""),IF(G543="",SUMIFS($L544:$L$783,$A544:$A$783,A543,$C544:$C$783,C543,$E544:$E$783,E543,$R544:$R$783,R543),IF(I543="",SUMIFS($L544:$L$783,$A544:$A$783,A543,$C544:$C$783,C543,$E544:$E$783,E543,$G544:$G$783,G543,$R544:$R$783,R543),0))))</f>
        <v>1</v>
      </c>
      <c r="M543" s="60">
        <f>K543-L543</f>
        <v>0</v>
      </c>
      <c r="N543" s="61"/>
      <c r="O543" s="62"/>
      <c r="P543" s="63"/>
      <c r="Q543" s="60">
        <f>IF(C543="",SUMIFS($Q544:$Q$783,$A544:$A$783,A543,$E544:$E$783,""),IF(E543="",SUMIFS($Q544:$Q$783,$A544:$A$783,A543,$C544:$C$783,C543,$G544:$G$783,""),IF(G543="",SUMIFS($Q544:$Q$783,$A544:$A$783,A543,$C544:$C$783,C543,$E544:$E$783,E543,$R544:$R$783,R543),IF(I543="",SUMIFS($Q544:$Q$783,$A544:$A$783,A543,$C544:$C$783,C543,$E544:$E$783,E543,$G544:$G$783,G543,$R544:$R$783,R543),0))))</f>
        <v>1</v>
      </c>
      <c r="R543" s="64"/>
      <c r="T543" s="35">
        <v>450101</v>
      </c>
    </row>
    <row r="544" spans="1:20" ht="18" customHeight="1">
      <c r="A544" s="65">
        <v>5</v>
      </c>
      <c r="B544" s="66" t="s">
        <v>238</v>
      </c>
      <c r="C544" s="67">
        <v>1</v>
      </c>
      <c r="D544" s="67" t="s">
        <v>247</v>
      </c>
      <c r="E544" s="68"/>
      <c r="F544" s="67"/>
      <c r="G544" s="68"/>
      <c r="H544" s="67"/>
      <c r="I544" s="68"/>
      <c r="J544" s="68"/>
      <c r="K544" s="69">
        <f>IF(C544="",SUMIFS($K545:$K$783,$A545:$A$783,A544,$E545:$E$783,""),IF(E544="",SUMIFS($K545:$K$783,$A545:$A$783,A544,$C545:$C$783,C544,$G545:$G$783,""),IF(G544="",SUMIFS($K545:$K$783,$A545:$A$783,A544,$C545:$C$783,C544,$E545:$E$783,E544,$R545:$R$783,R544),IF(I544="",SUMIFS($K545:$K$783,$A545:$A$783,A544,$C545:$C$783,C544,$E545:$E$783,E544,$G545:$G$783,G544,$R545:$R$783,R544),0))))</f>
        <v>1</v>
      </c>
      <c r="L544" s="69">
        <f>IF(C544="",SUMIFS($L545:$L$783,$A545:$A$783,A544,$E545:$E$783,""),IF(E544="",SUMIFS($L545:$L$783,$A545:$A$783,A544,$C545:$C$783,C544,$G545:$G$783,""),IF(G544="",SUMIFS($L545:$L$783,$A545:$A$783,A544,$C545:$C$783,C544,$E545:$E$783,E544,$R545:$R$783,R544),IF(I544="",SUMIFS($L545:$L$783,$A545:$A$783,A544,$C545:$C$783,C544,$E545:$E$783,E544,$G545:$G$783,G544,$R545:$R$783,R544),0))))</f>
        <v>1</v>
      </c>
      <c r="M544" s="69">
        <f t="shared" ref="M544:M545" si="33">K544-L544</f>
        <v>0</v>
      </c>
      <c r="N544" s="70"/>
      <c r="O544" s="71"/>
      <c r="P544" s="72"/>
      <c r="Q544" s="69">
        <f>IF(C544="",SUMIFS($Q545:$Q$783,$A545:$A$783,A544,$E545:$E$783,""),IF(E544="",SUMIFS($Q545:$Q$783,$A545:$A$783,A544,$C545:$C$783,C544,$G545:$G$783,""),IF(G544="",SUMIFS($Q545:$Q$783,$A545:$A$783,A544,$C545:$C$783,C544,$E545:$E$783,E544,$R545:$R$783,R544),IF(I544="",SUMIFS($Q545:$Q$783,$A545:$A$783,A544,$C545:$C$783,C544,$E545:$E$783,E544,$G545:$G$783,G544,$R545:$R$783,R544),0))))</f>
        <v>1</v>
      </c>
      <c r="R544" s="73"/>
      <c r="T544" s="35">
        <v>450101</v>
      </c>
    </row>
    <row r="545" spans="1:20" ht="18" customHeight="1">
      <c r="A545" s="65">
        <v>5</v>
      </c>
      <c r="B545" s="66" t="s">
        <v>247</v>
      </c>
      <c r="C545" s="74">
        <v>1</v>
      </c>
      <c r="D545" s="66" t="s">
        <v>238</v>
      </c>
      <c r="E545" s="75">
        <v>1</v>
      </c>
      <c r="F545" s="76" t="s">
        <v>247</v>
      </c>
      <c r="G545" s="75"/>
      <c r="H545" s="76"/>
      <c r="I545" s="75"/>
      <c r="J545" s="75"/>
      <c r="K545" s="77">
        <f>IF(C545="",SUMIFS($K546:$K$783,$A546:$A$783,A545,$E546:$E$783,""),IF(E545="",SUMIFS($K546:$K$783,$A546:$A$783,A545,$C546:$C$783,C545,$G546:$G$783,""),IF(G545="",SUMIFS($K546:$K$783,$A546:$A$783,A545,$C546:$C$783,C545,$E546:$E$783,E545,$R546:$R$783,R545),IF(I545="",SUMIFS($K546:$K$783,$A546:$A$783,A545,$C546:$C$783,C545,$E546:$E$783,E545,$G546:$G$783,G545,$R546:$R$783,R545),0))))</f>
        <v>1</v>
      </c>
      <c r="L545" s="77">
        <f>IF(C545="",SUMIFS($L546:$L$783,$A546:$A$783,A545,$E546:$E$783,""),IF(E545="",SUMIFS($L546:$L$783,$A546:$A$783,A545,$C546:$C$783,C545,$G546:$G$783,""),IF(G545="",SUMIFS($L546:$L$783,$A546:$A$783,A545,$C546:$C$783,C545,$E546:$E$783,E545,$R546:$R$783,R545),IF(I545="",SUMIFS($L546:$L$783,$A546:$A$783,A545,$C546:$C$783,C545,$E546:$E$783,E545,$G546:$G$783,G545,$R546:$R$783,R545),0))))</f>
        <v>1</v>
      </c>
      <c r="M545" s="77">
        <f t="shared" si="33"/>
        <v>0</v>
      </c>
      <c r="N545" s="78"/>
      <c r="O545" s="79"/>
      <c r="P545" s="80"/>
      <c r="Q545" s="81">
        <f>IF(C545="",SUMIFS($Q546:$Q$781,$A546:$A$781,A545,$E546:$E$781,""),IF(E545="",SUMIFS($Q546:$Q$781,$A546:$A$781,A545,$C546:$C$781,C545,$G546:$G$781,""),IF(G545="",SUMIFS($Q546:$Q$781,$A546:$A$781,A545,$C546:$C$781,C545,$E546:$E$781,E545,$R546:$R$781,R545),IF(I545="",SUMIFS($Q546:$Q$781,$A546:$A$781,A545,$C546:$C$781,C545,$E546:$E$781,E545,$G546:$G$781,G545,$R546:$R$781,R545),0))))</f>
        <v>1</v>
      </c>
      <c r="R545" s="82" t="s">
        <v>62</v>
      </c>
      <c r="T545" s="35">
        <v>450101</v>
      </c>
    </row>
    <row r="546" spans="1:20" ht="18" customHeight="1">
      <c r="A546" s="83">
        <v>5</v>
      </c>
      <c r="B546" s="84" t="s">
        <v>238</v>
      </c>
      <c r="C546" s="84">
        <v>1</v>
      </c>
      <c r="D546" s="84" t="s">
        <v>238</v>
      </c>
      <c r="E546" s="84">
        <v>1</v>
      </c>
      <c r="F546" s="84" t="s">
        <v>238</v>
      </c>
      <c r="G546" s="85">
        <v>24</v>
      </c>
      <c r="H546" s="86" t="s">
        <v>54</v>
      </c>
      <c r="I546" s="85"/>
      <c r="J546" s="85"/>
      <c r="K546" s="87"/>
      <c r="L546" s="87"/>
      <c r="M546" s="87"/>
      <c r="N546" s="85"/>
      <c r="O546" s="88"/>
      <c r="P546" s="89" t="s">
        <v>253</v>
      </c>
      <c r="Q546" s="88">
        <v>1</v>
      </c>
      <c r="R546" s="90" t="s">
        <v>62</v>
      </c>
      <c r="T546" s="35">
        <v>450101</v>
      </c>
    </row>
    <row r="547" spans="1:20" ht="18" customHeight="1">
      <c r="A547" s="83">
        <v>5</v>
      </c>
      <c r="B547" s="84" t="s">
        <v>238</v>
      </c>
      <c r="C547" s="84">
        <v>1</v>
      </c>
      <c r="D547" s="84" t="s">
        <v>238</v>
      </c>
      <c r="E547" s="84">
        <v>1</v>
      </c>
      <c r="F547" s="84" t="s">
        <v>238</v>
      </c>
      <c r="G547" s="91">
        <v>24</v>
      </c>
      <c r="H547" s="84" t="s">
        <v>54</v>
      </c>
      <c r="I547" s="85">
        <v>21</v>
      </c>
      <c r="J547" s="85" t="s">
        <v>599</v>
      </c>
      <c r="K547" s="87">
        <v>1</v>
      </c>
      <c r="L547" s="87">
        <v>1</v>
      </c>
      <c r="M547" s="87">
        <f>K547-L547</f>
        <v>0</v>
      </c>
      <c r="N547" s="85" t="s">
        <v>68</v>
      </c>
      <c r="O547" s="87">
        <v>1000</v>
      </c>
      <c r="P547" s="89" t="s">
        <v>255</v>
      </c>
      <c r="Q547" s="88"/>
      <c r="R547" s="90" t="s">
        <v>62</v>
      </c>
      <c r="T547" s="35">
        <v>450101</v>
      </c>
    </row>
    <row r="548" spans="1:20" ht="18" customHeight="1">
      <c r="A548" s="57">
        <v>6</v>
      </c>
      <c r="B548" s="58" t="s">
        <v>69</v>
      </c>
      <c r="C548" s="58"/>
      <c r="D548" s="58"/>
      <c r="E548" s="59"/>
      <c r="F548" s="58"/>
      <c r="G548" s="59"/>
      <c r="H548" s="58"/>
      <c r="I548" s="59"/>
      <c r="J548" s="59"/>
      <c r="K548" s="60">
        <f>IF(C548="",SUMIFS($K549:$K$783,$A549:$A$783,A548,$E549:$E$783,""),IF(E548="",SUMIFS($K549:$K$783,$A549:$A$783,A548,$C549:$C$783,C548,$G549:$G$783,""),IF(G548="",SUMIFS($K549:$K$783,$A549:$A$783,A548,$C549:$C$783,C548,$E549:$E$783,E548,$R549:$R$783,R548),IF(I548="",SUMIFS($K549:$K$783,$A549:$A$783,A548,$C549:$C$783,C548,$E549:$E$783,E548,$G549:$G$783,G548,$R549:$R$783,R548),0))))</f>
        <v>1</v>
      </c>
      <c r="L548" s="60">
        <f>IF(C548="",SUMIFS($L549:$L$783,$A549:$A$783,A548,$E549:$E$783,""),IF(E548="",SUMIFS($L549:$L$783,$A549:$A$783,A548,$C549:$C$783,C548,$G549:$G$783,""),IF(G548="",SUMIFS($L549:$L$783,$A549:$A$783,A548,$C549:$C$783,C548,$E549:$E$783,E548,$R549:$R$783,R548),IF(I548="",SUMIFS($L549:$L$783,$A549:$A$783,A548,$C549:$C$783,C548,$E549:$E$783,E548,$G549:$G$783,G548,$R549:$R$783,R548),0))))</f>
        <v>1</v>
      </c>
      <c r="M548" s="60">
        <f>K548-L548</f>
        <v>0</v>
      </c>
      <c r="N548" s="61"/>
      <c r="O548" s="62"/>
      <c r="P548" s="63"/>
      <c r="Q548" s="60">
        <f>IF(C548="",SUMIFS($Q549:$Q$783,$A549:$A$783,A548,$E549:$E$783,""),IF(E548="",SUMIFS($Q549:$Q$783,$A549:$A$783,A548,$C549:$C$783,C548,$G549:$G$783,""),IF(G548="",SUMIFS($Q549:$Q$783,$A549:$A$783,A548,$C549:$C$783,C548,$E549:$E$783,E548,$R549:$R$783,R548),IF(I548="",SUMIFS($Q549:$Q$783,$A549:$A$783,A548,$C549:$C$783,C548,$E549:$E$783,E548,$G549:$G$783,G548,$R549:$R$783,R548),0))))</f>
        <v>1</v>
      </c>
      <c r="R548" s="64"/>
      <c r="T548" s="35">
        <v>460101</v>
      </c>
    </row>
    <row r="549" spans="1:20" ht="18" customHeight="1">
      <c r="A549" s="65">
        <v>6</v>
      </c>
      <c r="B549" s="66" t="s">
        <v>69</v>
      </c>
      <c r="C549" s="67">
        <v>1</v>
      </c>
      <c r="D549" s="67" t="s">
        <v>84</v>
      </c>
      <c r="E549" s="68"/>
      <c r="F549" s="67"/>
      <c r="G549" s="68"/>
      <c r="H549" s="67"/>
      <c r="I549" s="68"/>
      <c r="J549" s="68"/>
      <c r="K549" s="69">
        <f>IF(C549="",SUMIFS($K550:$K$783,$A550:$A$783,A549,$E550:$E$783,""),IF(E549="",SUMIFS($K550:$K$783,$A550:$A$783,A549,$C550:$C$783,C549,$G550:$G$783,""),IF(G549="",SUMIFS($K550:$K$783,$A550:$A$783,A549,$C550:$C$783,C549,$E550:$E$783,E549,$R550:$R$783,R549),IF(I549="",SUMIFS($K550:$K$783,$A550:$A$783,A549,$C550:$C$783,C549,$E550:$E$783,E549,$G550:$G$783,G549,$R550:$R$783,R549),0))))</f>
        <v>1</v>
      </c>
      <c r="L549" s="69">
        <f>IF(C549="",SUMIFS($L550:$L$783,$A550:$A$783,A549,$E550:$E$783,""),IF(E549="",SUMIFS($L550:$L$783,$A550:$A$783,A549,$C550:$C$783,C549,$G550:$G$783,""),IF(G549="",SUMIFS($L550:$L$783,$A550:$A$783,A549,$C550:$C$783,C549,$E550:$E$783,E549,$R550:$R$783,R549),IF(I549="",SUMIFS($L550:$L$783,$A550:$A$783,A549,$C550:$C$783,C549,$E550:$E$783,E549,$G550:$G$783,G549,$R550:$R$783,R549),0))))</f>
        <v>1</v>
      </c>
      <c r="M549" s="69">
        <f t="shared" ref="M549:M550" si="34">K549-L549</f>
        <v>0</v>
      </c>
      <c r="N549" s="70"/>
      <c r="O549" s="71"/>
      <c r="P549" s="72"/>
      <c r="Q549" s="69">
        <f>IF(C549="",SUMIFS($Q550:$Q$783,$A550:$A$783,A549,$E550:$E$783,""),IF(E549="",SUMIFS($Q550:$Q$783,$A550:$A$783,A549,$C550:$C$783,C549,$G550:$G$783,""),IF(G549="",SUMIFS($Q550:$Q$783,$A550:$A$783,A549,$C550:$C$783,C549,$E550:$E$783,E549,$R550:$R$783,R549),IF(I549="",SUMIFS($Q550:$Q$783,$A550:$A$783,A549,$C550:$C$783,C549,$E550:$E$783,E549,$G550:$G$783,G549,$R550:$R$783,R549),0))))</f>
        <v>1</v>
      </c>
      <c r="R549" s="73"/>
      <c r="T549" s="35">
        <v>460101</v>
      </c>
    </row>
    <row r="550" spans="1:20" ht="18" customHeight="1">
      <c r="A550" s="65">
        <v>6</v>
      </c>
      <c r="B550" s="66" t="s">
        <v>84</v>
      </c>
      <c r="C550" s="74">
        <v>1</v>
      </c>
      <c r="D550" s="66" t="s">
        <v>69</v>
      </c>
      <c r="E550" s="75">
        <v>1</v>
      </c>
      <c r="F550" s="76" t="s">
        <v>90</v>
      </c>
      <c r="G550" s="75"/>
      <c r="H550" s="76"/>
      <c r="I550" s="75"/>
      <c r="J550" s="75"/>
      <c r="K550" s="77">
        <f>IF(C550="",SUMIFS($K551:$K$783,$A551:$A$783,A550,$E551:$E$783,""),IF(E550="",SUMIFS($K551:$K$783,$A551:$A$783,A550,$C551:$C$783,C550,$G551:$G$783,""),IF(G550="",SUMIFS($K551:$K$783,$A551:$A$783,A550,$C551:$C$783,C550,$E551:$E$783,E550,$R551:$R$783,R550),IF(I550="",SUMIFS($K551:$K$783,$A551:$A$783,A550,$C551:$C$783,C550,$E551:$E$783,E550,$G551:$G$783,G550,$R551:$R$783,R550),0))))</f>
        <v>1</v>
      </c>
      <c r="L550" s="77">
        <f>IF(C550="",SUMIFS($L551:$L$783,$A551:$A$783,A550,$E551:$E$783,""),IF(E550="",SUMIFS($L551:$L$783,$A551:$A$783,A550,$C551:$C$783,C550,$G551:$G$783,""),IF(G550="",SUMIFS($L551:$L$783,$A551:$A$783,A550,$C551:$C$783,C550,$E551:$E$783,E550,$R551:$R$783,R550),IF(I550="",SUMIFS($L551:$L$783,$A551:$A$783,A550,$C551:$C$783,C550,$E551:$E$783,E550,$G551:$G$783,G550,$R551:$R$783,R550),0))))</f>
        <v>1</v>
      </c>
      <c r="M550" s="77">
        <f t="shared" si="34"/>
        <v>0</v>
      </c>
      <c r="N550" s="78"/>
      <c r="O550" s="79"/>
      <c r="P550" s="80"/>
      <c r="Q550" s="81">
        <f>IF(C550="",SUMIFS($Q551:$Q$781,$A551:$A$781,A550,$E551:$E$781,""),IF(E550="",SUMIFS($Q551:$Q$781,$A551:$A$781,A550,$C551:$C$781,C550,$G551:$G$781,""),IF(G550="",SUMIFS($Q551:$Q$781,$A551:$A$781,A550,$C551:$C$781,C550,$E551:$E$781,E550,$R551:$R$781,R550),IF(I550="",SUMIFS($Q551:$Q$781,$A551:$A$781,A550,$C551:$C$781,C550,$E551:$E$781,E550,$G551:$G$781,G550,$R551:$R$781,R550),0))))</f>
        <v>1</v>
      </c>
      <c r="R550" s="82" t="s">
        <v>62</v>
      </c>
      <c r="T550" s="35">
        <v>460101</v>
      </c>
    </row>
    <row r="551" spans="1:20" ht="18" customHeight="1">
      <c r="A551" s="83">
        <v>6</v>
      </c>
      <c r="B551" s="84" t="s">
        <v>69</v>
      </c>
      <c r="C551" s="84">
        <v>1</v>
      </c>
      <c r="D551" s="84" t="s">
        <v>69</v>
      </c>
      <c r="E551" s="84">
        <v>1</v>
      </c>
      <c r="F551" s="84" t="s">
        <v>70</v>
      </c>
      <c r="G551" s="85">
        <v>22</v>
      </c>
      <c r="H551" s="86" t="s">
        <v>51</v>
      </c>
      <c r="I551" s="85"/>
      <c r="J551" s="85"/>
      <c r="K551" s="87"/>
      <c r="L551" s="87"/>
      <c r="M551" s="87"/>
      <c r="N551" s="85"/>
      <c r="O551" s="88"/>
      <c r="P551" s="89" t="s">
        <v>111</v>
      </c>
      <c r="Q551" s="88">
        <v>1</v>
      </c>
      <c r="R551" s="90" t="s">
        <v>62</v>
      </c>
      <c r="T551" s="35">
        <v>460101</v>
      </c>
    </row>
    <row r="552" spans="1:20" ht="18" customHeight="1">
      <c r="A552" s="83">
        <v>6</v>
      </c>
      <c r="B552" s="84" t="s">
        <v>69</v>
      </c>
      <c r="C552" s="84">
        <v>1</v>
      </c>
      <c r="D552" s="84" t="s">
        <v>69</v>
      </c>
      <c r="E552" s="84">
        <v>1</v>
      </c>
      <c r="F552" s="84" t="s">
        <v>70</v>
      </c>
      <c r="G552" s="91">
        <v>22</v>
      </c>
      <c r="H552" s="84" t="s">
        <v>51</v>
      </c>
      <c r="I552" s="85">
        <v>83</v>
      </c>
      <c r="J552" s="85" t="s">
        <v>248</v>
      </c>
      <c r="K552" s="87">
        <v>1</v>
      </c>
      <c r="L552" s="87">
        <v>1</v>
      </c>
      <c r="M552" s="87">
        <f>K552-L552</f>
        <v>0</v>
      </c>
      <c r="N552" s="85" t="s">
        <v>68</v>
      </c>
      <c r="O552" s="87">
        <v>1000</v>
      </c>
      <c r="P552" s="89"/>
      <c r="Q552" s="88"/>
      <c r="R552" s="90" t="s">
        <v>62</v>
      </c>
      <c r="T552" s="35">
        <v>460101</v>
      </c>
    </row>
    <row r="553" spans="1:20" ht="18" customHeight="1">
      <c r="A553" s="57">
        <v>7</v>
      </c>
      <c r="B553" s="58" t="s">
        <v>71</v>
      </c>
      <c r="C553" s="58"/>
      <c r="D553" s="58"/>
      <c r="E553" s="59"/>
      <c r="F553" s="58"/>
      <c r="G553" s="59"/>
      <c r="H553" s="58"/>
      <c r="I553" s="59"/>
      <c r="J553" s="59"/>
      <c r="K553" s="60">
        <f>IF(C553="",SUMIFS($K554:$K$783,$A554:$A$783,A553,$E554:$E$783,""),IF(E553="",SUMIFS($K554:$K$783,$A554:$A$783,A553,$C554:$C$783,C553,$G554:$G$783,""),IF(G553="",SUMIFS($K554:$K$783,$A554:$A$783,A553,$C554:$C$783,C553,$E554:$E$783,E553,$R554:$R$783,R553),IF(I553="",SUMIFS($K554:$K$783,$A554:$A$783,A553,$C554:$C$783,C553,$E554:$E$783,E553,$G554:$G$783,G553,$R554:$R$783,R553),0))))</f>
        <v>203</v>
      </c>
      <c r="L553" s="60">
        <f>IF(C553="",SUMIFS($L554:$L$783,$A554:$A$783,A553,$E554:$E$783,""),IF(E553="",SUMIFS($L554:$L$783,$A554:$A$783,A553,$C554:$C$783,C553,$G554:$G$783,""),IF(G553="",SUMIFS($L554:$L$783,$A554:$A$783,A553,$C554:$C$783,C553,$E554:$E$783,E553,$R554:$R$783,R553),IF(I553="",SUMIFS($L554:$L$783,$A554:$A$783,A553,$C554:$C$783,C553,$E554:$E$783,E553,$G554:$G$783,G553,$R554:$R$783,R553),0))))</f>
        <v>203</v>
      </c>
      <c r="M553" s="60">
        <f>K553-L553</f>
        <v>0</v>
      </c>
      <c r="N553" s="61"/>
      <c r="O553" s="62"/>
      <c r="P553" s="63"/>
      <c r="Q553" s="60">
        <f>IF(C553="",SUMIFS($Q554:$Q$783,$A554:$A$783,A553,$E554:$E$783,""),IF(E553="",SUMIFS($Q554:$Q$783,$A554:$A$783,A553,$C554:$C$783,C553,$G554:$G$783,""),IF(G553="",SUMIFS($Q554:$Q$783,$A554:$A$783,A553,$C554:$C$783,C553,$E554:$E$783,E553,$R554:$R$783,R553),IF(I553="",SUMIFS($Q554:$Q$783,$A554:$A$783,A553,$C554:$C$783,C553,$E554:$E$783,E553,$G554:$G$783,G553,$R554:$R$783,R553),0))))</f>
        <v>203</v>
      </c>
      <c r="R553" s="64"/>
      <c r="T553" s="35">
        <v>470101</v>
      </c>
    </row>
    <row r="554" spans="1:20" ht="18" customHeight="1">
      <c r="A554" s="65">
        <v>7</v>
      </c>
      <c r="B554" s="66" t="s">
        <v>71</v>
      </c>
      <c r="C554" s="67">
        <v>1</v>
      </c>
      <c r="D554" s="67" t="s">
        <v>600</v>
      </c>
      <c r="E554" s="68"/>
      <c r="F554" s="67"/>
      <c r="G554" s="68"/>
      <c r="H554" s="67"/>
      <c r="I554" s="68"/>
      <c r="J554" s="68"/>
      <c r="K554" s="69">
        <f>IF(C554="",SUMIFS($K555:$K$783,$A555:$A$783,A554,$E555:$E$783,""),IF(E554="",SUMIFS($K555:$K$783,$A555:$A$783,A554,$C555:$C$783,C554,$G555:$G$783,""),IF(G554="",SUMIFS($K555:$K$783,$A555:$A$783,A554,$C555:$C$783,C554,$E555:$E$783,E554,$R555:$R$783,R554),IF(I554="",SUMIFS($K555:$K$783,$A555:$A$783,A554,$C555:$C$783,C554,$E555:$E$783,E554,$G555:$G$783,G554,$R555:$R$783,R554),0))))</f>
        <v>203</v>
      </c>
      <c r="L554" s="69">
        <f>IF(C554="",SUMIFS($L555:$L$783,$A555:$A$783,A554,$E555:$E$783,""),IF(E554="",SUMIFS($L555:$L$783,$A555:$A$783,A554,$C555:$C$783,C554,$G555:$G$783,""),IF(G554="",SUMIFS($L555:$L$783,$A555:$A$783,A554,$C555:$C$783,C554,$E555:$E$783,E554,$R555:$R$783,R554),IF(I554="",SUMIFS($L555:$L$783,$A555:$A$783,A554,$C555:$C$783,C554,$E555:$E$783,E554,$G555:$G$783,G554,$R555:$R$783,R554),0))))</f>
        <v>203</v>
      </c>
      <c r="M554" s="69">
        <f t="shared" ref="M554:M555" si="35">K554-L554</f>
        <v>0</v>
      </c>
      <c r="N554" s="70"/>
      <c r="O554" s="71"/>
      <c r="P554" s="72"/>
      <c r="Q554" s="69">
        <f>IF(C554="",SUMIFS($Q555:$Q$783,$A555:$A$783,A554,$E555:$E$783,""),IF(E554="",SUMIFS($Q555:$Q$783,$A555:$A$783,A554,$C555:$C$783,C554,$G555:$G$783,""),IF(G554="",SUMIFS($Q555:$Q$783,$A555:$A$783,A554,$C555:$C$783,C554,$E555:$E$783,E554,$R555:$R$783,R554),IF(I554="",SUMIFS($Q555:$Q$783,$A555:$A$783,A554,$C555:$C$783,C554,$E555:$E$783,E554,$G555:$G$783,G554,$R555:$R$783,R554),0))))</f>
        <v>203</v>
      </c>
      <c r="R554" s="73"/>
      <c r="T554" s="35">
        <v>470101</v>
      </c>
    </row>
    <row r="555" spans="1:20" ht="18" customHeight="1">
      <c r="A555" s="65">
        <v>7</v>
      </c>
      <c r="B555" s="66" t="s">
        <v>91</v>
      </c>
      <c r="C555" s="74">
        <v>1</v>
      </c>
      <c r="D555" s="66" t="s">
        <v>601</v>
      </c>
      <c r="E555" s="75">
        <v>1</v>
      </c>
      <c r="F555" s="76" t="s">
        <v>602</v>
      </c>
      <c r="G555" s="75"/>
      <c r="H555" s="76"/>
      <c r="I555" s="75"/>
      <c r="J555" s="75"/>
      <c r="K555" s="77">
        <f>IF(C555="",SUMIFS($K556:$K$783,$A556:$A$783,A555,$E556:$E$783,""),IF(E555="",SUMIFS($K556:$K$783,$A556:$A$783,A555,$C556:$C$783,C555,$G556:$G$783,""),IF(G555="",SUMIFS($K556:$K$783,$A556:$A$783,A555,$C556:$C$783,C555,$E556:$E$783,E555,$R556:$R$783,R555),IF(I555="",SUMIFS($K556:$K$783,$A556:$A$783,A555,$C556:$C$783,C555,$E556:$E$783,E555,$G556:$G$783,G555,$R556:$R$783,R555),0))))</f>
        <v>200</v>
      </c>
      <c r="L555" s="77">
        <f>IF(C555="",SUMIFS($L556:$L$783,$A556:$A$783,A555,$E556:$E$783,""),IF(E555="",SUMIFS($L556:$L$783,$A556:$A$783,A555,$C556:$C$783,C555,$G556:$G$783,""),IF(G555="",SUMIFS($L556:$L$783,$A556:$A$783,A555,$C556:$C$783,C555,$E556:$E$783,E555,$R556:$R$783,R555),IF(I555="",SUMIFS($L556:$L$783,$A556:$A$783,A555,$C556:$C$783,C555,$E556:$E$783,E555,$G556:$G$783,G555,$R556:$R$783,R555),0))))</f>
        <v>200</v>
      </c>
      <c r="M555" s="77">
        <f t="shared" si="35"/>
        <v>0</v>
      </c>
      <c r="N555" s="78"/>
      <c r="O555" s="79"/>
      <c r="P555" s="80"/>
      <c r="Q555" s="81">
        <f>IF(C555="",SUMIFS($Q556:$Q$781,$A556:$A$781,A555,$E556:$E$781,""),IF(E555="",SUMIFS($Q556:$Q$781,$A556:$A$781,A555,$C556:$C$781,C555,$G556:$G$781,""),IF(G555="",SUMIFS($Q556:$Q$781,$A556:$A$781,A555,$C556:$C$781,C555,$E556:$E$781,E555,$R556:$R$781,R555),IF(I555="",SUMIFS($Q556:$Q$781,$A556:$A$781,A555,$C556:$C$781,C555,$E556:$E$781,E555,$G556:$G$781,G555,$R556:$R$781,R555),0))))</f>
        <v>200</v>
      </c>
      <c r="R555" s="82" t="s">
        <v>62</v>
      </c>
      <c r="T555" s="35">
        <v>470101</v>
      </c>
    </row>
    <row r="556" spans="1:20" ht="18" customHeight="1">
      <c r="A556" s="83">
        <v>7</v>
      </c>
      <c r="B556" s="84" t="s">
        <v>71</v>
      </c>
      <c r="C556" s="84">
        <v>1</v>
      </c>
      <c r="D556" s="84" t="s">
        <v>601</v>
      </c>
      <c r="E556" s="84">
        <v>1</v>
      </c>
      <c r="F556" s="84" t="s">
        <v>239</v>
      </c>
      <c r="G556" s="85">
        <v>22</v>
      </c>
      <c r="H556" s="86" t="s">
        <v>51</v>
      </c>
      <c r="I556" s="85"/>
      <c r="J556" s="85"/>
      <c r="K556" s="87"/>
      <c r="L556" s="87"/>
      <c r="M556" s="87"/>
      <c r="N556" s="85"/>
      <c r="O556" s="88"/>
      <c r="P556" s="89" t="s">
        <v>253</v>
      </c>
      <c r="Q556" s="88">
        <v>200</v>
      </c>
      <c r="R556" s="90" t="s">
        <v>62</v>
      </c>
      <c r="T556" s="35">
        <v>470101</v>
      </c>
    </row>
    <row r="557" spans="1:20" ht="18" customHeight="1">
      <c r="A557" s="83">
        <v>7</v>
      </c>
      <c r="B557" s="84" t="s">
        <v>71</v>
      </c>
      <c r="C557" s="84">
        <v>1</v>
      </c>
      <c r="D557" s="84" t="s">
        <v>601</v>
      </c>
      <c r="E557" s="84">
        <v>1</v>
      </c>
      <c r="F557" s="84" t="s">
        <v>239</v>
      </c>
      <c r="G557" s="91">
        <v>22</v>
      </c>
      <c r="H557" s="84" t="s">
        <v>51</v>
      </c>
      <c r="I557" s="85">
        <v>1</v>
      </c>
      <c r="J557" s="85" t="s">
        <v>124</v>
      </c>
      <c r="K557" s="87">
        <v>200</v>
      </c>
      <c r="L557" s="87">
        <v>200</v>
      </c>
      <c r="M557" s="87">
        <f>K557-L557</f>
        <v>0</v>
      </c>
      <c r="N557" s="85" t="s">
        <v>603</v>
      </c>
      <c r="O557" s="87">
        <v>200000</v>
      </c>
      <c r="P557" s="89" t="s">
        <v>255</v>
      </c>
      <c r="Q557" s="88"/>
      <c r="R557" s="90" t="s">
        <v>62</v>
      </c>
      <c r="T557" s="35">
        <v>470101</v>
      </c>
    </row>
    <row r="558" spans="1:20" ht="18" customHeight="1">
      <c r="A558" s="65">
        <v>7</v>
      </c>
      <c r="B558" s="66" t="s">
        <v>91</v>
      </c>
      <c r="C558" s="74">
        <v>1</v>
      </c>
      <c r="D558" s="66" t="s">
        <v>601</v>
      </c>
      <c r="E558" s="75">
        <v>2</v>
      </c>
      <c r="F558" s="76" t="s">
        <v>249</v>
      </c>
      <c r="G558" s="75"/>
      <c r="H558" s="76"/>
      <c r="I558" s="75"/>
      <c r="J558" s="75"/>
      <c r="K558" s="77">
        <f>IF(C558="",SUMIFS($K559:$K$783,$A559:$A$783,A558,$E559:$E$783,""),IF(E558="",SUMIFS($K559:$K$783,$A559:$A$783,A558,$C559:$C$783,C558,$G559:$G$783,""),IF(G558="",SUMIFS($K559:$K$783,$A559:$A$783,A558,$C559:$C$783,C558,$E559:$E$783,E558,$R559:$R$783,R558),IF(I558="",SUMIFS($K559:$K$783,$A559:$A$783,A558,$C559:$C$783,C558,$E559:$E$783,E558,$G559:$G$783,G558,$R559:$R$783,R558),0))))</f>
        <v>3</v>
      </c>
      <c r="L558" s="77">
        <f>IF(C558="",SUMIFS($L559:$L$783,$A559:$A$783,A558,$E559:$E$783,""),IF(E558="",SUMIFS($L559:$L$783,$A559:$A$783,A558,$C559:$C$783,C558,$G559:$G$783,""),IF(G558="",SUMIFS($L559:$L$783,$A559:$A$783,A558,$C559:$C$783,C558,$E559:$E$783,E558,$R559:$R$783,R558),IF(I558="",SUMIFS($L559:$L$783,$A559:$A$783,A558,$C559:$C$783,C558,$E559:$E$783,E558,$G559:$G$783,G558,$R559:$R$783,R558),0))))</f>
        <v>3</v>
      </c>
      <c r="M558" s="77">
        <f t="shared" ref="M558" si="36">K558-L558</f>
        <v>0</v>
      </c>
      <c r="N558" s="78"/>
      <c r="O558" s="79"/>
      <c r="P558" s="80"/>
      <c r="Q558" s="81">
        <f>IF(C558="",SUMIFS($Q559:$Q$781,$A559:$A$781,A558,$E559:$E$781,""),IF(E558="",SUMIFS($Q559:$Q$781,$A559:$A$781,A558,$C559:$C$781,C558,$G559:$G$781,""),IF(G558="",SUMIFS($Q559:$Q$781,$A559:$A$781,A558,$C559:$C$781,C558,$E559:$E$781,E558,$R559:$R$781,R558),IF(I558="",SUMIFS($Q559:$Q$781,$A559:$A$781,A558,$C559:$C$781,C558,$E559:$E$781,E558,$G559:$G$781,G558,$R559:$R$781,R558),0))))</f>
        <v>3</v>
      </c>
      <c r="R558" s="82" t="s">
        <v>62</v>
      </c>
      <c r="T558" s="35">
        <v>470102</v>
      </c>
    </row>
    <row r="559" spans="1:20" ht="18" customHeight="1">
      <c r="A559" s="83">
        <v>7</v>
      </c>
      <c r="B559" s="84" t="s">
        <v>71</v>
      </c>
      <c r="C559" s="84">
        <v>1</v>
      </c>
      <c r="D559" s="84" t="s">
        <v>601</v>
      </c>
      <c r="E559" s="84">
        <v>2</v>
      </c>
      <c r="F559" s="84" t="s">
        <v>240</v>
      </c>
      <c r="G559" s="85">
        <v>22</v>
      </c>
      <c r="H559" s="86" t="s">
        <v>51</v>
      </c>
      <c r="I559" s="85"/>
      <c r="J559" s="85"/>
      <c r="K559" s="87"/>
      <c r="L559" s="87"/>
      <c r="M559" s="87"/>
      <c r="N559" s="85"/>
      <c r="O559" s="88"/>
      <c r="P559" s="89" t="s">
        <v>253</v>
      </c>
      <c r="Q559" s="88">
        <v>3</v>
      </c>
      <c r="R559" s="90" t="s">
        <v>62</v>
      </c>
      <c r="T559" s="35">
        <v>470102</v>
      </c>
    </row>
    <row r="560" spans="1:20" ht="18" customHeight="1">
      <c r="A560" s="83">
        <v>7</v>
      </c>
      <c r="B560" s="84" t="s">
        <v>71</v>
      </c>
      <c r="C560" s="84">
        <v>1</v>
      </c>
      <c r="D560" s="84" t="s">
        <v>601</v>
      </c>
      <c r="E560" s="84">
        <v>2</v>
      </c>
      <c r="F560" s="84" t="s">
        <v>240</v>
      </c>
      <c r="G560" s="91">
        <v>22</v>
      </c>
      <c r="H560" s="84" t="s">
        <v>51</v>
      </c>
      <c r="I560" s="85">
        <v>11</v>
      </c>
      <c r="J560" s="85" t="s">
        <v>250</v>
      </c>
      <c r="K560" s="87">
        <v>1</v>
      </c>
      <c r="L560" s="87">
        <v>1</v>
      </c>
      <c r="M560" s="87">
        <f>K560-L560</f>
        <v>0</v>
      </c>
      <c r="N560" s="85" t="s">
        <v>68</v>
      </c>
      <c r="O560" s="87">
        <v>1000</v>
      </c>
      <c r="P560" s="89" t="s">
        <v>255</v>
      </c>
      <c r="Q560" s="88"/>
      <c r="R560" s="90" t="s">
        <v>62</v>
      </c>
      <c r="T560" s="35">
        <v>470102</v>
      </c>
    </row>
    <row r="561" spans="1:20" ht="18" customHeight="1">
      <c r="A561" s="83">
        <v>7</v>
      </c>
      <c r="B561" s="84" t="s">
        <v>71</v>
      </c>
      <c r="C561" s="84">
        <v>1</v>
      </c>
      <c r="D561" s="84" t="s">
        <v>601</v>
      </c>
      <c r="E561" s="84">
        <v>2</v>
      </c>
      <c r="F561" s="84" t="s">
        <v>240</v>
      </c>
      <c r="G561" s="91">
        <v>22</v>
      </c>
      <c r="H561" s="84" t="s">
        <v>51</v>
      </c>
      <c r="I561" s="85">
        <v>12</v>
      </c>
      <c r="J561" s="85" t="s">
        <v>52</v>
      </c>
      <c r="K561" s="87">
        <v>1</v>
      </c>
      <c r="L561" s="87">
        <v>1</v>
      </c>
      <c r="M561" s="87">
        <f>K561-L561</f>
        <v>0</v>
      </c>
      <c r="N561" s="85" t="s">
        <v>68</v>
      </c>
      <c r="O561" s="87">
        <v>1000</v>
      </c>
      <c r="P561" s="89"/>
      <c r="Q561" s="88"/>
      <c r="R561" s="90" t="s">
        <v>62</v>
      </c>
      <c r="T561" s="35">
        <v>470102</v>
      </c>
    </row>
    <row r="562" spans="1:20" ht="18" customHeight="1">
      <c r="A562" s="83">
        <v>7</v>
      </c>
      <c r="B562" s="84" t="s">
        <v>71</v>
      </c>
      <c r="C562" s="84">
        <v>1</v>
      </c>
      <c r="D562" s="84" t="s">
        <v>601</v>
      </c>
      <c r="E562" s="84">
        <v>2</v>
      </c>
      <c r="F562" s="84" t="s">
        <v>240</v>
      </c>
      <c r="G562" s="91">
        <v>22</v>
      </c>
      <c r="H562" s="84" t="s">
        <v>51</v>
      </c>
      <c r="I562" s="85">
        <v>13</v>
      </c>
      <c r="J562" s="85" t="s">
        <v>604</v>
      </c>
      <c r="K562" s="87">
        <v>1</v>
      </c>
      <c r="L562" s="87">
        <v>1</v>
      </c>
      <c r="M562" s="87">
        <f>K562-L562</f>
        <v>0</v>
      </c>
      <c r="N562" s="85" t="s">
        <v>68</v>
      </c>
      <c r="O562" s="87">
        <v>1000</v>
      </c>
      <c r="P562" s="89"/>
      <c r="Q562" s="88"/>
      <c r="R562" s="90" t="s">
        <v>62</v>
      </c>
      <c r="T562" s="35">
        <v>470102</v>
      </c>
    </row>
    <row r="563" spans="1:20" ht="18" customHeight="1">
      <c r="A563" s="57">
        <v>8</v>
      </c>
      <c r="B563" s="58" t="s">
        <v>72</v>
      </c>
      <c r="C563" s="58"/>
      <c r="D563" s="58"/>
      <c r="E563" s="59"/>
      <c r="F563" s="58"/>
      <c r="G563" s="59"/>
      <c r="H563" s="58"/>
      <c r="I563" s="59"/>
      <c r="J563" s="59"/>
      <c r="K563" s="60">
        <f>IF(C563="",SUMIFS($K564:$K$783,$A564:$A$783,A563,$E564:$E$783,""),IF(E563="",SUMIFS($K564:$K$783,$A564:$A$783,A563,$C564:$C$783,C563,$G564:$G$783,""),IF(G563="",SUMIFS($K564:$K$783,$A564:$A$783,A563,$C564:$C$783,C563,$E564:$E$783,E563,$R564:$R$783,R563),IF(I563="",SUMIFS($K564:$K$783,$A564:$A$783,A563,$C564:$C$783,C563,$E564:$E$783,E563,$G564:$G$783,G563,$R564:$R$783,R563),0))))</f>
        <v>1000</v>
      </c>
      <c r="L563" s="60">
        <f>IF(C563="",SUMIFS($L564:$L$783,$A564:$A$783,A563,$E564:$E$783,""),IF(E563="",SUMIFS($L564:$L$783,$A564:$A$783,A563,$C564:$C$783,C563,$G564:$G$783,""),IF(G563="",SUMIFS($L564:$L$783,$A564:$A$783,A563,$C564:$C$783,C563,$E564:$E$783,E563,$R564:$R$783,R563),IF(I563="",SUMIFS($L564:$L$783,$A564:$A$783,A563,$C564:$C$783,C563,$E564:$E$783,E563,$G564:$G$783,G563,$R564:$R$783,R563),0))))</f>
        <v>1000</v>
      </c>
      <c r="M563" s="60">
        <f>K563-L563</f>
        <v>0</v>
      </c>
      <c r="N563" s="61"/>
      <c r="O563" s="62"/>
      <c r="P563" s="63"/>
      <c r="Q563" s="60">
        <f>IF(C563="",SUMIFS($Q564:$Q$783,$A564:$A$783,A563,$E564:$E$783,""),IF(E563="",SUMIFS($Q564:$Q$783,$A564:$A$783,A563,$C564:$C$783,C563,$G564:$G$783,""),IF(G563="",SUMIFS($Q564:$Q$783,$A564:$A$783,A563,$C564:$C$783,C563,$E564:$E$783,E563,$R564:$R$783,R563),IF(I563="",SUMIFS($Q564:$Q$783,$A564:$A$783,A563,$C564:$C$783,C563,$E564:$E$783,E563,$G564:$G$783,G563,$R564:$R$783,R563),0))))</f>
        <v>1000</v>
      </c>
      <c r="R563" s="64"/>
      <c r="T563" s="35">
        <v>480101</v>
      </c>
    </row>
    <row r="564" spans="1:20" ht="18" customHeight="1">
      <c r="A564" s="65">
        <v>8</v>
      </c>
      <c r="B564" s="66" t="s">
        <v>72</v>
      </c>
      <c r="C564" s="67">
        <v>1</v>
      </c>
      <c r="D564" s="67" t="s">
        <v>85</v>
      </c>
      <c r="E564" s="68"/>
      <c r="F564" s="67"/>
      <c r="G564" s="68"/>
      <c r="H564" s="67"/>
      <c r="I564" s="68"/>
      <c r="J564" s="68"/>
      <c r="K564" s="69">
        <f>IF(C564="",SUMIFS($K565:$K$783,$A565:$A$783,A564,$E565:$E$783,""),IF(E564="",SUMIFS($K565:$K$783,$A565:$A$783,A564,$C565:$C$783,C564,$G565:$G$783,""),IF(G564="",SUMIFS($K565:$K$783,$A565:$A$783,A564,$C565:$C$783,C564,$E565:$E$783,E564,$R565:$R$783,R564),IF(I564="",SUMIFS($K565:$K$783,$A565:$A$783,A564,$C565:$C$783,C564,$E565:$E$783,E564,$G565:$G$783,G564,$R565:$R$783,R564),0))))</f>
        <v>1000</v>
      </c>
      <c r="L564" s="69">
        <f>IF(C564="",SUMIFS($L565:$L$783,$A565:$A$783,A564,$E565:$E$783,""),IF(E564="",SUMIFS($L565:$L$783,$A565:$A$783,A564,$C565:$C$783,C564,$G565:$G$783,""),IF(G564="",SUMIFS($L565:$L$783,$A565:$A$783,A564,$C565:$C$783,C564,$E565:$E$783,E564,$R565:$R$783,R564),IF(I564="",SUMIFS($L565:$L$783,$A565:$A$783,A564,$C565:$C$783,C564,$E565:$E$783,E564,$G565:$G$783,G564,$R565:$R$783,R564),0))))</f>
        <v>1000</v>
      </c>
      <c r="M564" s="69">
        <f t="shared" ref="M564:M565" si="37">K564-L564</f>
        <v>0</v>
      </c>
      <c r="N564" s="70"/>
      <c r="O564" s="71"/>
      <c r="P564" s="72"/>
      <c r="Q564" s="69">
        <f>IF(C564="",SUMIFS($Q565:$Q$783,$A565:$A$783,A564,$E565:$E$783,""),IF(E564="",SUMIFS($Q565:$Q$783,$A565:$A$783,A564,$C565:$C$783,C564,$G565:$G$783,""),IF(G564="",SUMIFS($Q565:$Q$783,$A565:$A$783,A564,$C565:$C$783,C564,$E565:$E$783,E564,$R565:$R$783,R564),IF(I564="",SUMIFS($Q565:$Q$783,$A565:$A$783,A564,$C565:$C$783,C564,$E565:$E$783,E564,$G565:$G$783,G564,$R565:$R$783,R564),0))))</f>
        <v>1000</v>
      </c>
      <c r="R564" s="73"/>
      <c r="T564" s="35">
        <v>480101</v>
      </c>
    </row>
    <row r="565" spans="1:20" ht="18" customHeight="1">
      <c r="A565" s="65">
        <v>8</v>
      </c>
      <c r="B565" s="66" t="s">
        <v>85</v>
      </c>
      <c r="C565" s="74">
        <v>1</v>
      </c>
      <c r="D565" s="66" t="s">
        <v>72</v>
      </c>
      <c r="E565" s="75">
        <v>1</v>
      </c>
      <c r="F565" s="76" t="s">
        <v>85</v>
      </c>
      <c r="G565" s="75"/>
      <c r="H565" s="76"/>
      <c r="I565" s="75"/>
      <c r="J565" s="75"/>
      <c r="K565" s="77">
        <f>IF(C565="",SUMIFS($K566:$K$783,$A566:$A$783,A565,$E566:$E$783,""),IF(E565="",SUMIFS($K566:$K$783,$A566:$A$783,A565,$C566:$C$783,C565,$G566:$G$783,""),IF(G565="",SUMIFS($K566:$K$783,$A566:$A$783,A565,$C566:$C$783,C565,$E566:$E$783,E565,$R566:$R$783,R565),IF(I565="",SUMIFS($K566:$K$783,$A566:$A$783,A565,$C566:$C$783,C565,$E566:$E$783,E565,$G566:$G$783,G565,$R566:$R$783,R565),0))))</f>
        <v>1000</v>
      </c>
      <c r="L565" s="77">
        <f>IF(C565="",SUMIFS($L566:$L$783,$A566:$A$783,A565,$E566:$E$783,""),IF(E565="",SUMIFS($L566:$L$783,$A566:$A$783,A565,$C566:$C$783,C565,$G566:$G$783,""),IF(G565="",SUMIFS($L566:$L$783,$A566:$A$783,A565,$C566:$C$783,C565,$E566:$E$783,E565,$R566:$R$783,R565),IF(I565="",SUMIFS($L566:$L$783,$A566:$A$783,A565,$C566:$C$783,C565,$E566:$E$783,E565,$G566:$G$783,G565,$R566:$R$783,R565),0))))</f>
        <v>1000</v>
      </c>
      <c r="M565" s="77">
        <f t="shared" si="37"/>
        <v>0</v>
      </c>
      <c r="N565" s="78"/>
      <c r="O565" s="79"/>
      <c r="P565" s="80"/>
      <c r="Q565" s="81">
        <f>IF(C565="",SUMIFS($Q566:$Q$781,$A566:$A$781,A565,$E566:$E$781,""),IF(E565="",SUMIFS($Q566:$Q$781,$A566:$A$781,A565,$C566:$C$781,C565,$G566:$G$781,""),IF(G565="",SUMIFS($Q566:$Q$781,$A566:$A$781,A565,$C566:$C$781,C565,$E566:$E$781,E565,$R566:$R$781,R565),IF(I565="",SUMIFS($Q566:$Q$781,$A566:$A$781,A565,$C566:$C$781,C565,$E566:$E$781,E565,$G566:$G$781,G565,$R566:$R$781,R565),0))))</f>
        <v>1000</v>
      </c>
      <c r="R565" s="82" t="s">
        <v>62</v>
      </c>
      <c r="T565" s="35">
        <v>480101</v>
      </c>
    </row>
    <row r="566" spans="1:20" ht="18" customHeight="1">
      <c r="A566" s="83">
        <v>8</v>
      </c>
      <c r="B566" s="84" t="s">
        <v>72</v>
      </c>
      <c r="C566" s="84">
        <v>1</v>
      </c>
      <c r="D566" s="84" t="s">
        <v>72</v>
      </c>
      <c r="E566" s="84">
        <v>1</v>
      </c>
      <c r="F566" s="84" t="s">
        <v>72</v>
      </c>
      <c r="G566" s="85">
        <v>28</v>
      </c>
      <c r="H566" s="86" t="s">
        <v>72</v>
      </c>
      <c r="I566" s="85"/>
      <c r="J566" s="85"/>
      <c r="K566" s="87"/>
      <c r="L566" s="87"/>
      <c r="M566" s="87"/>
      <c r="N566" s="85"/>
      <c r="O566" s="88"/>
      <c r="P566" s="89" t="s">
        <v>253</v>
      </c>
      <c r="Q566" s="88">
        <v>1000</v>
      </c>
      <c r="R566" s="90" t="s">
        <v>62</v>
      </c>
      <c r="T566" s="35">
        <v>480101</v>
      </c>
    </row>
    <row r="567" spans="1:20" ht="18" customHeight="1">
      <c r="A567" s="83">
        <v>8</v>
      </c>
      <c r="B567" s="84" t="s">
        <v>72</v>
      </c>
      <c r="C567" s="84">
        <v>1</v>
      </c>
      <c r="D567" s="84" t="s">
        <v>72</v>
      </c>
      <c r="E567" s="84">
        <v>1</v>
      </c>
      <c r="F567" s="84" t="s">
        <v>72</v>
      </c>
      <c r="G567" s="91">
        <v>28</v>
      </c>
      <c r="H567" s="84" t="s">
        <v>72</v>
      </c>
      <c r="I567" s="85">
        <v>1</v>
      </c>
      <c r="J567" s="85" t="s">
        <v>72</v>
      </c>
      <c r="K567" s="87">
        <v>1000</v>
      </c>
      <c r="L567" s="87">
        <v>1000</v>
      </c>
      <c r="M567" s="87">
        <f>K567-L567</f>
        <v>0</v>
      </c>
      <c r="N567" s="85" t="s">
        <v>72</v>
      </c>
      <c r="O567" s="87">
        <v>1000000</v>
      </c>
      <c r="P567" s="89" t="s">
        <v>255</v>
      </c>
      <c r="Q567" s="88"/>
      <c r="R567" s="90" t="s">
        <v>62</v>
      </c>
      <c r="T567" s="35">
        <v>480101</v>
      </c>
    </row>
    <row r="568" spans="1:20" ht="18.75" customHeight="1">
      <c r="A568" s="109" t="s">
        <v>605</v>
      </c>
      <c r="B568" s="110"/>
      <c r="C568" s="110"/>
      <c r="D568" s="110"/>
      <c r="E568" s="110"/>
      <c r="F568" s="110"/>
      <c r="G568" s="110"/>
      <c r="H568" s="110"/>
      <c r="I568" s="110"/>
      <c r="J568" s="110"/>
      <c r="K568" s="45">
        <f>SUMIFS(K3:K567,C3:C567,"")</f>
        <v>1159044</v>
      </c>
      <c r="L568" s="45">
        <f>SUMIFS(L3:L567,D3:D567,"")</f>
        <v>1153417</v>
      </c>
      <c r="M568" s="45">
        <f>SUMIFS(M3:M567,C3:C567,"")</f>
        <v>5627</v>
      </c>
      <c r="N568" s="100"/>
      <c r="O568" s="101"/>
      <c r="P568" s="102"/>
      <c r="Q568" s="45">
        <f>SUMIFS(Q3:Q567,C3:C567,"")</f>
        <v>914357</v>
      </c>
      <c r="R568" s="103"/>
    </row>
  </sheetData>
  <autoFilter ref="A2:T568"/>
  <mergeCells count="2">
    <mergeCell ref="Q1:R1"/>
    <mergeCell ref="A568:J568"/>
  </mergeCells>
  <phoneticPr fontId="19"/>
  <conditionalFormatting sqref="O568">
    <cfRule type="cellIs" dxfId="23" priority="1" operator="equal">
      <formula>0</formula>
    </cfRule>
  </conditionalFormatting>
  <conditionalFormatting sqref="P1">
    <cfRule type="cellIs" dxfId="22" priority="24" operator="equal">
      <formula>0</formula>
    </cfRule>
  </conditionalFormatting>
  <conditionalFormatting sqref="O2">
    <cfRule type="cellIs" dxfId="21" priority="23" operator="equal">
      <formula>0</formula>
    </cfRule>
  </conditionalFormatting>
  <conditionalFormatting sqref="O563 O553 O548 O543 O320 O315 O116 O3">
    <cfRule type="cellIs" dxfId="20" priority="22" operator="equal">
      <formula>0</formula>
    </cfRule>
  </conditionalFormatting>
  <conditionalFormatting sqref="E563:F563 E553:F553 E548:F548 E543:F543 E320:F320 E315:F315 E116:F116 E3:F3">
    <cfRule type="expression" dxfId="19" priority="21">
      <formula>$G3=""</formula>
    </cfRule>
  </conditionalFormatting>
  <conditionalFormatting sqref="G563:H563 G553:H553 G548:H548 G543:H543 G320:H320 G315:H315 G116:H116 G3:H3">
    <cfRule type="expression" dxfId="18" priority="20">
      <formula>$I3=""</formula>
    </cfRule>
  </conditionalFormatting>
  <conditionalFormatting sqref="I563:J563 I553:J553 I548:J548 I543:J543 I320:J320 I315:J315 I116:J116 I3:J3">
    <cfRule type="expression" dxfId="17" priority="19">
      <formula>$K3=""</formula>
    </cfRule>
  </conditionalFormatting>
  <conditionalFormatting sqref="C563 A563 R563 C553 A553 R553 C548 A548 R548 C543 A543 R543 C320 A320 R320 C315 A315 R315 C116 A116 R116 C3 A3 R3">
    <cfRule type="expression" dxfId="16" priority="18">
      <formula>$G3=""</formula>
    </cfRule>
  </conditionalFormatting>
  <conditionalFormatting sqref="B563 B553 B548 B543 B320 B315 B116 B3">
    <cfRule type="expression" dxfId="15" priority="17">
      <formula>$C3=""</formula>
    </cfRule>
  </conditionalFormatting>
  <conditionalFormatting sqref="D563 D553 D548 D543 D320 D315 D116 D3">
    <cfRule type="expression" dxfId="14" priority="16">
      <formula>$E3=""</formula>
    </cfRule>
  </conditionalFormatting>
  <conditionalFormatting sqref="O564 O554 O549 O544 O535 O396 O352 O321 O316 O292 O271 O252 O240 O184 O117 O110 O74 O43 O4">
    <cfRule type="cellIs" dxfId="13" priority="15" operator="equal">
      <formula>0</formula>
    </cfRule>
  </conditionalFormatting>
  <conditionalFormatting sqref="E564:F564 E554:F554 E549:F549 E544:F544 E535:F535 E396:F396 E352:F352 E321:F321 E316:F316 E292:F292 E271:F271 E252:F252 E240:F240 E184:F184 E117:F117 E110:F110 E74:F74 E43:F43 E4:F4">
    <cfRule type="expression" dxfId="12" priority="14">
      <formula>$G4=""</formula>
    </cfRule>
  </conditionalFormatting>
  <conditionalFormatting sqref="G564:H564 G554:H554 G549:H549 G544:H544 G535:H535 G396:H396 G352:H352 G321:H321 G316:H316 G292:H292 G271:H271 G252:H252 G240:H240 G184:H184 G117:H117 G110:H110 G74:H74 G43:H43 G4:H4">
    <cfRule type="expression" dxfId="11" priority="13">
      <formula>$I4=""</formula>
    </cfRule>
  </conditionalFormatting>
  <conditionalFormatting sqref="I564:J564 I554:J554 I549:J549 I544:J544 I535:J535 I396:J396 I352:J352 I321:J321 I316:J316 I292:J292 I271:J271 I252:J252 I240:J240 I184:J184 I117:J117 I110:J110 I74:J74 I43:J43 I4:J4">
    <cfRule type="expression" dxfId="10" priority="12">
      <formula>$K4=""</formula>
    </cfRule>
  </conditionalFormatting>
  <conditionalFormatting sqref="A564 R564 A554 R554 A549 R549 A544 R544 A535 R535 A396 R396 A352 R352 A321 R321 A316 R316 A292 R292 A271 R271 A252 R252 A240 R240 A184 R184 A117 R117 A110 R110 A74 R74 A43 R43 A4 R4">
    <cfRule type="expression" dxfId="9" priority="11">
      <formula>$G4=""</formula>
    </cfRule>
  </conditionalFormatting>
  <conditionalFormatting sqref="B564 B554 B549 B544 B535 B396 B352 B321 B316 B292 B271 B252 B240 B184 B117 B110 B74 B43 B4">
    <cfRule type="expression" dxfId="8" priority="10">
      <formula>$C4=""</formula>
    </cfRule>
  </conditionalFormatting>
  <conditionalFormatting sqref="D564 D554 D549 D544 D535 D396 D352 D321 D316 D292 D271 D252 D240 D184 D117 D110 D74 D43 D4">
    <cfRule type="expression" dxfId="7" priority="9">
      <formula>$E4=""</formula>
    </cfRule>
  </conditionalFormatting>
  <conditionalFormatting sqref="O565 O558 O555 O550 O545 O536 O524 O507 O496 O485 O456 O397 O353 O322 O317 O304 O293 O283 O272 O264 O253 O241 O229 O218 O207 O196 O185 O173 O162 O151 O140 O129 O118 O111 O78 O75 O44 O5">
    <cfRule type="cellIs" dxfId="6" priority="8" operator="equal">
      <formula>0</formula>
    </cfRule>
  </conditionalFormatting>
  <conditionalFormatting sqref="D565 D558 D555 D550 D545 D536 D524 D507 D496 D485 D456 D397 D353 D322 D317 D304 D293 D283 D272 D264 D253 D241 D229 D218 D207 D196 D185 D173 D162 D151 D140 D129 D118 D111 D78 D75 D44 D5">
    <cfRule type="expression" dxfId="5" priority="2">
      <formula>$E5=""</formula>
    </cfRule>
  </conditionalFormatting>
  <conditionalFormatting sqref="F565 F558 F555 F550 F545 F536 F524 F507 F496 F485 F456 F397 F353 F322 F317 F304 F293 F283 F272 F264 F253 F241 F229 F218 F207 F196 F185 F173 F162 F151 F140 F129 F118 F111 F78 F75 F44 F5">
    <cfRule type="expression" dxfId="4" priority="7">
      <formula>$G5=""</formula>
    </cfRule>
  </conditionalFormatting>
  <conditionalFormatting sqref="G565:H565 G558:H558 G555:H555 G550:H550 G545:H545 G536:H536 G524:H524 G507:H507 G496:H496 G485:H485 G456:H456 G397:H397 G353:H353 G322:H322 G317:H317 G304:H304 G293:H293 G283:H283 G272:H272 G264:H264 G253:H253 G241:H241 G229:H229 G218:H218 G207:H207 G196:H196 G185:H185 G173:H173 G162:H162 G151:H151 G140:H140 G129:H129 G118:H118 G111:H111 G78:H78 G75:H75 G44:H44 G5:H5">
    <cfRule type="expression" dxfId="3" priority="6">
      <formula>$I5=""</formula>
    </cfRule>
  </conditionalFormatting>
  <conditionalFormatting sqref="I565:J565 I558:J558 I555:J555 I550:J550 I545:J545 I536:J536 I524:J524 I507:J507 I496:J496 I485:J485 I456:J456 I397:J397 I353:J353 I322:J322 I317:J317 I304:J304 I293:J293 I283:J283 I272:J272 I264:J264 I253:J253 I241:J241 I229:J229 I218:J218 I207:J207 I196:J196 I185:J185 I173:J173 I162:J162 I151:J151 I140:J140 I129:J129 I118:J118 I111:J111 I78:J78 I75:J75 I44:J44 I5:J5">
    <cfRule type="expression" dxfId="2" priority="5">
      <formula>$K5=""</formula>
    </cfRule>
  </conditionalFormatting>
  <conditionalFormatting sqref="A565 C565 R565 A558 C558 R558 A555 C555 R555 A550 C550 R550 A545 C545 R545 A536 C536 R536 A524 C524 R524 A507 C507 R507 A496 C496 R496 A485 C485 R485 A456 C456 R456 A397 C397 R397 A353 C353 R353 A322 C322 R322 A317 C317 R317 A304 C304 R304 A293 C293 R293 A283 C283 R283 A272 C272 R272 A264 C264 R264 A253 C253 R253 A241 C241 R241 A229 C229 R229 A218 C218 R218 A207 C207 R207 A196 C196 R196 A185 C185 R185 A173 C173 R173 A162 C162 R162 A151 C151 R151 A140 C140 R140 A129 C129 R129 A118 C118 R118 A111 C111 R111 A78 C78 R78 A75 C75 R75 A44 C44 R44 A5 C5 R5">
    <cfRule type="expression" dxfId="1" priority="4">
      <formula>$G5=""</formula>
    </cfRule>
  </conditionalFormatting>
  <conditionalFormatting sqref="B565 B558 B555 B550 B545 B536 B524 B507 B496 B485 B456 B397 B353 B322 B317 B304 B293 B283 B272 B264 B253 B241 B229 B218 B207 B196 B185 B173 B162 B151 B140 B129 B118 B111 B78 B75 B44 B5">
    <cfRule type="expression" dxfId="0" priority="3">
      <formula>$C5=""</formula>
    </cfRule>
  </conditionalFormatting>
  <dataValidations count="1">
    <dataValidation imeMode="off" allowBlank="1" showInputMessage="1" showErrorMessage="1" sqref="Q1"/>
  </dataValidations>
  <printOptions horizontalCentered="1"/>
  <pageMargins left="0" right="0" top="0.98425196850393704" bottom="0.98425196850393704" header="0.31496062992125984" footer="0.31496062992125984"/>
  <pageSetup paperSize="8" firstPageNumber="179" orientation="landscape" useFirstPageNumber="1" r:id="rId1"/>
  <headerFooter differentOddEven="1">
    <oddHeader>&amp;C&amp;18&amp;P</oddHeader>
    <evenFooter>&amp;C&amp;18&amp;P</evenFooter>
  </headerFooter>
  <rowBreaks count="1" manualBreakCount="1">
    <brk id="547" max="1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3</vt:i4>
      </vt:variant>
    </vt:vector>
  </HeadingPairs>
  <TitlesOfParts>
    <vt:vector size="5" baseType="lpstr">
      <vt:lpstr>介護（歳入）</vt:lpstr>
      <vt:lpstr>介護（歳出）</vt:lpstr>
      <vt:lpstr>'介護（歳出）'!Print_Area</vt:lpstr>
      <vt:lpstr>'介護（歳出）'!Print_Titles</vt:lpstr>
      <vt:lpstr>'介護（歳入）'!Print_Titles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NTW15008</dc:creator>
  <cp:lastModifiedBy>NTWL17005</cp:lastModifiedBy>
  <cp:lastPrinted>2024-02-18T23:43:19Z</cp:lastPrinted>
  <dcterms:created xsi:type="dcterms:W3CDTF">2021-01-21T07:06:01Z</dcterms:created>
  <dcterms:modified xsi:type="dcterms:W3CDTF">2026-06-24T02:53:06Z</dcterms:modified>
</cp:coreProperties>
</file>