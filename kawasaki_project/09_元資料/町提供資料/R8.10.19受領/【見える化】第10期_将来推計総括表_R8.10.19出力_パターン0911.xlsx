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>
    <mc:Choice Requires="x15">
      <x15ac:absPath xmlns:x15ac="http://schemas.microsoft.com/office/spreadsheetml/2010/11/ac" url="C:\work\見える化\JJSVN\ソースコード\01_画面系\mieruka\src\template\excel\"/>
    </mc:Choice>
  </mc:AlternateContent>
  <xr:revisionPtr revIDLastSave="0" documentId="13_ncr:1_{091F3A9E-357D-4E87-8B9D-C2BA15D3F67E}" xr6:coauthVersionLast="47" xr6:coauthVersionMax="47" xr10:uidLastSave="{00000000-0000-0000-0000-000000000000}"/>
  <bookViews>
    <workbookView xWindow="-120" yWindow="-120" windowWidth="29040" windowHeight="15720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'(参考)保険料の推計に要する係数'!$A$1:$L$49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'5_保険料推計'!$A$1:$Q$382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8" l="1"/>
  <c r="N101" i="8"/>
  <c r="M101" i="8"/>
  <c r="L101" i="8"/>
  <c r="K101" i="8"/>
  <c r="J101" i="8"/>
  <c r="I101" i="8"/>
  <c r="H101" i="8"/>
  <c r="M260" i="8"/>
  <c r="H93" i="8"/>
  <c r="I93" i="8"/>
  <c r="J93" i="8"/>
  <c r="K93" i="8"/>
  <c r="L93" i="8"/>
  <c r="M93" i="8"/>
  <c r="N93" i="8"/>
  <c r="G93" i="8"/>
  <c r="G255" i="8"/>
  <c r="N254" i="8"/>
  <c r="M254" i="8"/>
  <c r="L254" i="8"/>
  <c r="K254" i="8"/>
  <c r="J254" i="8"/>
  <c r="I254" i="8"/>
  <c r="H254" i="8"/>
  <c r="H255" i="8"/>
  <c r="I255" i="8"/>
  <c r="G254" i="8"/>
  <c r="G117" i="8"/>
  <c r="G130" i="8"/>
  <c r="S62" i="1" l="1"/>
  <c r="Q62" i="1"/>
  <c r="O62" i="1"/>
  <c r="M62" i="1"/>
  <c r="K62" i="1"/>
  <c r="I62" i="1"/>
  <c r="H62" i="1"/>
  <c r="G62" i="1"/>
  <c r="F157" i="8"/>
  <c r="F158" i="8"/>
  <c r="F159" i="8"/>
  <c r="F160" i="8"/>
  <c r="F161" i="8"/>
  <c r="F162" i="8"/>
  <c r="F163" i="8"/>
  <c r="F164" i="8"/>
  <c r="F165" i="8"/>
  <c r="F166" i="8"/>
  <c r="N260" i="8"/>
  <c r="L260" i="8"/>
  <c r="K260" i="8"/>
  <c r="J260" i="8"/>
  <c r="I260" i="8"/>
  <c r="H260" i="8"/>
  <c r="G260" i="8"/>
  <c r="J255" i="8"/>
  <c r="K255" i="8"/>
  <c r="L255" i="8"/>
  <c r="M255" i="8"/>
  <c r="N255" i="8"/>
  <c r="N253" i="8"/>
  <c r="M253" i="8"/>
  <c r="L253" i="8"/>
  <c r="K253" i="8"/>
  <c r="J253" i="8"/>
  <c r="I253" i="8"/>
  <c r="H253" i="8"/>
  <c r="G253" i="8"/>
  <c r="K325" i="8"/>
  <c r="L325" i="8" s="1"/>
  <c r="M325" i="8" s="1"/>
  <c r="N325" i="8" s="1"/>
  <c r="K324" i="8"/>
  <c r="L324" i="8" s="1"/>
  <c r="M324" i="8" s="1"/>
  <c r="N324" i="8" s="1"/>
  <c r="K334" i="8"/>
  <c r="L334" i="8" s="1"/>
  <c r="M334" i="8" s="1"/>
  <c r="N334" i="8" s="1"/>
  <c r="K333" i="8"/>
  <c r="L333" i="8" s="1"/>
  <c r="M333" i="8" s="1"/>
  <c r="N333" i="8" s="1"/>
  <c r="K332" i="8"/>
  <c r="L332" i="8" s="1"/>
  <c r="M332" i="8" s="1"/>
  <c r="N332" i="8" s="1"/>
  <c r="K331" i="8"/>
  <c r="L331" i="8" s="1"/>
  <c r="M331" i="8" s="1"/>
  <c r="N331" i="8" s="1"/>
  <c r="K330" i="8"/>
  <c r="L330" i="8" s="1"/>
  <c r="M330" i="8" s="1"/>
  <c r="N330" i="8" s="1"/>
  <c r="K329" i="8"/>
  <c r="L329" i="8" s="1"/>
  <c r="M329" i="8" s="1"/>
  <c r="N329" i="8" s="1"/>
  <c r="K328" i="8"/>
  <c r="L328" i="8" s="1"/>
  <c r="M328" i="8" s="1"/>
  <c r="N328" i="8" s="1"/>
  <c r="K327" i="8"/>
  <c r="L327" i="8" s="1"/>
  <c r="M327" i="8" s="1"/>
  <c r="N327" i="8" s="1"/>
  <c r="K326" i="8"/>
  <c r="L326" i="8" s="1"/>
  <c r="M326" i="8" s="1"/>
  <c r="N326" i="8" s="1"/>
  <c r="F252" i="8"/>
  <c r="F251" i="8"/>
  <c r="F250" i="8"/>
  <c r="F249" i="8"/>
  <c r="F248" i="8"/>
  <c r="F247" i="8"/>
  <c r="F246" i="8"/>
  <c r="F245" i="8"/>
  <c r="F244" i="8"/>
  <c r="F243" i="8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J90" i="8"/>
  <c r="G90" i="8"/>
  <c r="L64" i="11"/>
  <c r="N90" i="8" s="1"/>
  <c r="K64" i="11"/>
  <c r="M90" i="8" s="1"/>
  <c r="J64" i="11"/>
  <c r="L90" i="8" s="1"/>
  <c r="I64" i="11"/>
  <c r="K90" i="8" s="1"/>
  <c r="H64" i="11"/>
  <c r="G64" i="11"/>
  <c r="I90" i="8" s="1"/>
  <c r="F64" i="11"/>
  <c r="H90" i="8" s="1"/>
  <c r="E64" i="1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F73" i="8"/>
  <c r="F72" i="8"/>
  <c r="B63" i="11"/>
  <c r="B62" i="11"/>
  <c r="B66" i="11" l="1"/>
  <c r="F91" i="8"/>
  <c r="F74" i="8"/>
  <c r="F71" i="8"/>
  <c r="F234" i="8"/>
  <c r="F240" i="8"/>
  <c r="F236" i="8"/>
  <c r="K323" i="8"/>
  <c r="L323" i="8" s="1"/>
  <c r="M323" i="8" s="1"/>
  <c r="N323" i="8" s="1"/>
  <c r="K322" i="8"/>
  <c r="L322" i="8" s="1"/>
  <c r="M322" i="8" s="1"/>
  <c r="N322" i="8" s="1"/>
  <c r="K321" i="8"/>
  <c r="L321" i="8" s="1"/>
  <c r="M321" i="8" s="1"/>
  <c r="N321" i="8" s="1"/>
  <c r="K320" i="8"/>
  <c r="L320" i="8" s="1"/>
  <c r="M320" i="8" s="1"/>
  <c r="N320" i="8" s="1"/>
  <c r="K319" i="8"/>
  <c r="L319" i="8" s="1"/>
  <c r="M319" i="8" s="1"/>
  <c r="N319" i="8" s="1"/>
  <c r="F242" i="8"/>
  <c r="F241" i="8"/>
  <c r="F239" i="8"/>
  <c r="F238" i="8"/>
  <c r="L144" i="1" l="1"/>
  <c r="T2" i="10"/>
  <c r="N111" i="8" l="1"/>
  <c r="F254" i="8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302" i="8"/>
  <c r="L302" i="8" s="1"/>
  <c r="M302" i="8" s="1"/>
  <c r="N302" i="8" s="1"/>
  <c r="K303" i="8"/>
  <c r="L303" i="8" s="1"/>
  <c r="M303" i="8" s="1"/>
  <c r="N303" i="8" s="1"/>
  <c r="K304" i="8"/>
  <c r="L304" i="8" s="1"/>
  <c r="M304" i="8" s="1"/>
  <c r="N304" i="8" s="1"/>
  <c r="K305" i="8"/>
  <c r="L305" i="8" s="1"/>
  <c r="M305" i="8" s="1"/>
  <c r="N305" i="8" s="1"/>
  <c r="K306" i="8"/>
  <c r="L306" i="8" s="1"/>
  <c r="M306" i="8" s="1"/>
  <c r="N306" i="8" s="1"/>
  <c r="K307" i="8"/>
  <c r="L307" i="8" s="1"/>
  <c r="M307" i="8" s="1"/>
  <c r="N307" i="8" s="1"/>
  <c r="K308" i="8"/>
  <c r="L308" i="8" s="1"/>
  <c r="M308" i="8" s="1"/>
  <c r="N308" i="8" s="1"/>
  <c r="K309" i="8"/>
  <c r="L309" i="8" s="1"/>
  <c r="M309" i="8" s="1"/>
  <c r="N309" i="8" s="1"/>
  <c r="K310" i="8"/>
  <c r="L310" i="8" s="1"/>
  <c r="M310" i="8" s="1"/>
  <c r="N310" i="8" s="1"/>
  <c r="K311" i="8"/>
  <c r="L311" i="8" s="1"/>
  <c r="M311" i="8" s="1"/>
  <c r="N311" i="8" s="1"/>
  <c r="K312" i="8"/>
  <c r="L312" i="8" s="1"/>
  <c r="M312" i="8" s="1"/>
  <c r="N312" i="8" s="1"/>
  <c r="K313" i="8"/>
  <c r="L313" i="8" s="1"/>
  <c r="M313" i="8" s="1"/>
  <c r="N313" i="8" s="1"/>
  <c r="K314" i="8"/>
  <c r="L314" i="8" s="1"/>
  <c r="M314" i="8" s="1"/>
  <c r="N314" i="8" s="1"/>
  <c r="K315" i="8"/>
  <c r="L315" i="8" s="1"/>
  <c r="M315" i="8" s="1"/>
  <c r="N315" i="8" s="1"/>
  <c r="K316" i="8"/>
  <c r="L316" i="8" s="1"/>
  <c r="M316" i="8" s="1"/>
  <c r="N316" i="8" s="1"/>
  <c r="K317" i="8"/>
  <c r="L317" i="8" s="1"/>
  <c r="M317" i="8" s="1"/>
  <c r="N317" i="8" s="1"/>
  <c r="K318" i="8"/>
  <c r="L318" i="8" s="1"/>
  <c r="M318" i="8" s="1"/>
  <c r="N318" i="8" s="1"/>
  <c r="K301" i="8"/>
  <c r="L301" i="8" s="1"/>
  <c r="M301" i="8" s="1"/>
  <c r="N30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N131" i="8" l="1"/>
  <c r="N130" i="8"/>
  <c r="N133" i="8"/>
  <c r="N132" i="8"/>
  <c r="N135" i="8"/>
  <c r="N134" i="8"/>
  <c r="N137" i="8"/>
  <c r="N136" i="8"/>
  <c r="N139" i="8"/>
  <c r="N138" i="8"/>
  <c r="N210" i="8"/>
  <c r="N209" i="8"/>
  <c r="N208" i="8"/>
  <c r="N207" i="8"/>
  <c r="N206" i="8"/>
  <c r="N205" i="8"/>
  <c r="N204" i="8"/>
  <c r="N203" i="8"/>
  <c r="N202" i="8"/>
  <c r="N201" i="8"/>
  <c r="F75" i="8"/>
  <c r="N197" i="8"/>
  <c r="N200" i="8"/>
  <c r="N198" i="8"/>
  <c r="N211" i="8"/>
  <c r="N199" i="8"/>
  <c r="N196" i="8"/>
  <c r="N169" i="8"/>
  <c r="G169" i="8"/>
  <c r="F168" i="8"/>
  <c r="F167" i="8"/>
  <c r="F156" i="8"/>
  <c r="F155" i="8"/>
  <c r="F154" i="8"/>
  <c r="N97" i="8" l="1"/>
  <c r="N94" i="8" s="1"/>
  <c r="S41" i="1"/>
  <c r="S64" i="1" l="1"/>
  <c r="S63" i="1"/>
  <c r="H169" i="8" l="1"/>
  <c r="I169" i="8"/>
  <c r="J169" i="8"/>
  <c r="K169" i="8"/>
  <c r="L169" i="8"/>
  <c r="M169" i="8"/>
  <c r="F15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97" i="8" l="1"/>
  <c r="K94" i="8" s="1"/>
  <c r="M97" i="8"/>
  <c r="M94" i="8" s="1"/>
  <c r="L97" i="8"/>
  <c r="L94" i="8" s="1"/>
  <c r="K85" i="8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42" i="8"/>
  <c r="N129" i="8"/>
  <c r="N127" i="8"/>
  <c r="N140" i="8"/>
  <c r="N117" i="8"/>
  <c r="N118" i="8"/>
  <c r="N119" i="8"/>
  <c r="N120" i="8"/>
  <c r="N122" i="8"/>
  <c r="N14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95" i="8"/>
  <c r="K46" i="8" l="1"/>
  <c r="K60" i="8"/>
  <c r="K62" i="8"/>
  <c r="K57" i="8"/>
  <c r="K48" i="8"/>
  <c r="K50" i="8"/>
  <c r="K58" i="8"/>
  <c r="S85" i="1"/>
  <c r="N172" i="8"/>
  <c r="N176" i="8"/>
  <c r="N180" i="8"/>
  <c r="N184" i="8"/>
  <c r="N188" i="8"/>
  <c r="N192" i="8"/>
  <c r="N173" i="8"/>
  <c r="N177" i="8"/>
  <c r="N181" i="8"/>
  <c r="N185" i="8"/>
  <c r="N189" i="8"/>
  <c r="N193" i="8"/>
  <c r="N174" i="8"/>
  <c r="N178" i="8"/>
  <c r="N182" i="8"/>
  <c r="N186" i="8"/>
  <c r="N190" i="8"/>
  <c r="N194" i="8"/>
  <c r="N171" i="8"/>
  <c r="N175" i="8"/>
  <c r="N179" i="8"/>
  <c r="N183" i="8"/>
  <c r="N187" i="8"/>
  <c r="N19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M131" i="8" l="1"/>
  <c r="M130" i="8"/>
  <c r="L131" i="8"/>
  <c r="L130" i="8"/>
  <c r="K131" i="8"/>
  <c r="K130" i="8"/>
  <c r="M133" i="8"/>
  <c r="M132" i="8"/>
  <c r="L133" i="8"/>
  <c r="L132" i="8"/>
  <c r="K133" i="8"/>
  <c r="K132" i="8"/>
  <c r="M135" i="8"/>
  <c r="M134" i="8"/>
  <c r="L135" i="8"/>
  <c r="L134" i="8"/>
  <c r="K135" i="8"/>
  <c r="K134" i="8"/>
  <c r="M137" i="8"/>
  <c r="M136" i="8"/>
  <c r="L137" i="8"/>
  <c r="L136" i="8"/>
  <c r="K137" i="8"/>
  <c r="K136" i="8"/>
  <c r="M139" i="8"/>
  <c r="M138" i="8"/>
  <c r="L139" i="8"/>
  <c r="L138" i="8"/>
  <c r="K139" i="8"/>
  <c r="K138" i="8"/>
  <c r="M210" i="8"/>
  <c r="M209" i="8"/>
  <c r="M208" i="8"/>
  <c r="M207" i="8"/>
  <c r="M206" i="8"/>
  <c r="M205" i="8"/>
  <c r="M204" i="8"/>
  <c r="M203" i="8"/>
  <c r="M202" i="8"/>
  <c r="M201" i="8"/>
  <c r="L210" i="8"/>
  <c r="L209" i="8"/>
  <c r="L208" i="8"/>
  <c r="L207" i="8"/>
  <c r="L206" i="8"/>
  <c r="L205" i="8"/>
  <c r="L204" i="8"/>
  <c r="L203" i="8"/>
  <c r="L202" i="8"/>
  <c r="L201" i="8"/>
  <c r="K210" i="8"/>
  <c r="K209" i="8"/>
  <c r="K208" i="8"/>
  <c r="K207" i="8"/>
  <c r="K206" i="8"/>
  <c r="K205" i="8"/>
  <c r="K204" i="8"/>
  <c r="K203" i="8"/>
  <c r="K202" i="8"/>
  <c r="K201" i="8"/>
  <c r="K196" i="8"/>
  <c r="K200" i="8"/>
  <c r="K197" i="8"/>
  <c r="K198" i="8"/>
  <c r="K199" i="8"/>
  <c r="L199" i="8"/>
  <c r="L196" i="8"/>
  <c r="L200" i="8"/>
  <c r="L197" i="8"/>
  <c r="L198" i="8"/>
  <c r="M198" i="8"/>
  <c r="M199" i="8"/>
  <c r="M196" i="8"/>
  <c r="M200" i="8"/>
  <c r="M197" i="8"/>
  <c r="M127" i="8"/>
  <c r="M140" i="8"/>
  <c r="M141" i="8"/>
  <c r="M128" i="8"/>
  <c r="M117" i="8"/>
  <c r="M118" i="8"/>
  <c r="M119" i="8"/>
  <c r="M120" i="8"/>
  <c r="M121" i="8"/>
  <c r="M122" i="8"/>
  <c r="M123" i="8"/>
  <c r="M124" i="8"/>
  <c r="M125" i="8"/>
  <c r="M126" i="8"/>
  <c r="M142" i="8"/>
  <c r="M129" i="8"/>
  <c r="K140" i="8"/>
  <c r="K141" i="8"/>
  <c r="K127" i="8"/>
  <c r="K117" i="8"/>
  <c r="K118" i="8"/>
  <c r="K119" i="8"/>
  <c r="K120" i="8"/>
  <c r="K125" i="8"/>
  <c r="K126" i="8"/>
  <c r="K14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42" i="8"/>
  <c r="L127" i="8"/>
  <c r="L129" i="8"/>
  <c r="L141" i="8"/>
  <c r="L128" i="8"/>
  <c r="L140" i="8"/>
  <c r="M211" i="8"/>
  <c r="M193" i="8"/>
  <c r="M189" i="8"/>
  <c r="M185" i="8"/>
  <c r="M181" i="8"/>
  <c r="M177" i="8"/>
  <c r="M173" i="8"/>
  <c r="M113" i="8"/>
  <c r="M98" i="8" s="1"/>
  <c r="L211" i="8"/>
  <c r="L193" i="8"/>
  <c r="L189" i="8"/>
  <c r="L185" i="8"/>
  <c r="L181" i="8"/>
  <c r="L177" i="8"/>
  <c r="L173" i="8"/>
  <c r="L113" i="8"/>
  <c r="L98" i="8" s="1"/>
  <c r="K211" i="8"/>
  <c r="K193" i="8"/>
  <c r="K189" i="8"/>
  <c r="K185" i="8"/>
  <c r="K181" i="8"/>
  <c r="K177" i="8"/>
  <c r="K17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74" i="8"/>
  <c r="M178" i="8"/>
  <c r="M182" i="8"/>
  <c r="M186" i="8"/>
  <c r="M190" i="8"/>
  <c r="M194" i="8"/>
  <c r="M171" i="8"/>
  <c r="M175" i="8"/>
  <c r="M179" i="8"/>
  <c r="M183" i="8"/>
  <c r="M187" i="8"/>
  <c r="M191" i="8"/>
  <c r="M195" i="8"/>
  <c r="M172" i="8"/>
  <c r="M176" i="8"/>
  <c r="M180" i="8"/>
  <c r="M184" i="8"/>
  <c r="M188" i="8"/>
  <c r="M192" i="8"/>
  <c r="L174" i="8"/>
  <c r="L178" i="8"/>
  <c r="L182" i="8"/>
  <c r="L186" i="8"/>
  <c r="L190" i="8"/>
  <c r="L194" i="8"/>
  <c r="L171" i="8"/>
  <c r="L175" i="8"/>
  <c r="L179" i="8"/>
  <c r="L183" i="8"/>
  <c r="L187" i="8"/>
  <c r="L191" i="8"/>
  <c r="L195" i="8"/>
  <c r="L172" i="8"/>
  <c r="L176" i="8"/>
  <c r="L180" i="8"/>
  <c r="L184" i="8"/>
  <c r="L188" i="8"/>
  <c r="L192" i="8"/>
  <c r="K174" i="8"/>
  <c r="K178" i="8"/>
  <c r="K182" i="8"/>
  <c r="K186" i="8"/>
  <c r="K190" i="8"/>
  <c r="K194" i="8"/>
  <c r="K171" i="8"/>
  <c r="K175" i="8"/>
  <c r="K179" i="8"/>
  <c r="K183" i="8"/>
  <c r="K187" i="8"/>
  <c r="K191" i="8"/>
  <c r="K195" i="8"/>
  <c r="K172" i="8"/>
  <c r="K176" i="8"/>
  <c r="K180" i="8"/>
  <c r="K184" i="8"/>
  <c r="K188" i="8"/>
  <c r="K192" i="8"/>
  <c r="Q65" i="1"/>
  <c r="M65" i="1"/>
  <c r="K68" i="8" l="1"/>
  <c r="K92" i="8" s="1"/>
  <c r="L68" i="8"/>
  <c r="L92" i="8" s="1"/>
  <c r="M68" i="8"/>
  <c r="M92" i="8" s="1"/>
  <c r="N68" i="8"/>
  <c r="N92" i="8" s="1"/>
  <c r="J18" i="8" l="1"/>
  <c r="K18" i="8"/>
  <c r="K59" i="8" s="1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G97" i="8"/>
  <c r="G94" i="8" s="1"/>
  <c r="I70" i="8" l="1"/>
  <c r="I69" i="8" s="1"/>
  <c r="H70" i="8"/>
  <c r="H69" i="8" s="1"/>
  <c r="J68" i="8"/>
  <c r="O56" i="8"/>
  <c r="N55" i="8"/>
  <c r="N56" i="8"/>
  <c r="O55" i="8"/>
  <c r="F237" i="8"/>
  <c r="F69" i="8" l="1"/>
  <c r="H68" i="8"/>
  <c r="I68" i="8"/>
  <c r="F70" i="8"/>
  <c r="G68" i="8"/>
  <c r="G92" i="8" s="1"/>
  <c r="J92" i="8"/>
  <c r="G113" i="8"/>
  <c r="G98" i="8" s="1"/>
  <c r="G111" i="8"/>
  <c r="J113" i="8"/>
  <c r="J98" i="8" s="1"/>
  <c r="I113" i="8"/>
  <c r="I98" i="8" s="1"/>
  <c r="H113" i="8"/>
  <c r="H98" i="8" s="1"/>
  <c r="G131" i="8" l="1"/>
  <c r="G133" i="8"/>
  <c r="G132" i="8"/>
  <c r="G135" i="8"/>
  <c r="G134" i="8"/>
  <c r="G137" i="8"/>
  <c r="G136" i="8"/>
  <c r="G139" i="8"/>
  <c r="G138" i="8"/>
  <c r="G210" i="8"/>
  <c r="G209" i="8"/>
  <c r="G208" i="8"/>
  <c r="G207" i="8"/>
  <c r="G206" i="8"/>
  <c r="G205" i="8"/>
  <c r="G204" i="8"/>
  <c r="G203" i="8"/>
  <c r="G202" i="8"/>
  <c r="G201" i="8"/>
  <c r="G196" i="8"/>
  <c r="G200" i="8"/>
  <c r="G197" i="8"/>
  <c r="G198" i="8"/>
  <c r="G211" i="8"/>
  <c r="G199" i="8"/>
  <c r="I92" i="8"/>
  <c r="H92" i="8"/>
  <c r="G142" i="8"/>
  <c r="G140" i="8"/>
  <c r="G128" i="8"/>
  <c r="G118" i="8"/>
  <c r="G120" i="8"/>
  <c r="G121" i="8"/>
  <c r="G122" i="8"/>
  <c r="G123" i="8"/>
  <c r="G124" i="8"/>
  <c r="G141" i="8"/>
  <c r="G129" i="8"/>
  <c r="G119" i="8"/>
  <c r="G125" i="8"/>
  <c r="G126" i="8"/>
  <c r="G127" i="8"/>
  <c r="F68" i="8"/>
  <c r="G16" i="8"/>
  <c r="F16" i="8"/>
  <c r="F92" i="8" l="1"/>
  <c r="F93" i="8"/>
  <c r="J111" i="8"/>
  <c r="I111" i="8"/>
  <c r="H111" i="8"/>
  <c r="F235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J97" i="8"/>
  <c r="J94" i="8" s="1"/>
  <c r="I97" i="8"/>
  <c r="I94" i="8" s="1"/>
  <c r="H97" i="8"/>
  <c r="H94" i="8" s="1"/>
  <c r="F152" i="8"/>
  <c r="F151" i="8"/>
  <c r="F150" i="8"/>
  <c r="F149" i="8"/>
  <c r="F148" i="8"/>
  <c r="F147" i="8"/>
  <c r="F146" i="8"/>
  <c r="F145" i="8"/>
  <c r="F144" i="8"/>
  <c r="F115" i="8"/>
  <c r="F114" i="8"/>
  <c r="F112" i="8"/>
  <c r="J131" i="8" l="1"/>
  <c r="J130" i="8"/>
  <c r="I131" i="8"/>
  <c r="I130" i="8"/>
  <c r="H131" i="8"/>
  <c r="H130" i="8"/>
  <c r="J133" i="8"/>
  <c r="J132" i="8"/>
  <c r="I133" i="8"/>
  <c r="I132" i="8"/>
  <c r="H133" i="8"/>
  <c r="H132" i="8"/>
  <c r="J135" i="8"/>
  <c r="J134" i="8"/>
  <c r="I135" i="8"/>
  <c r="I134" i="8"/>
  <c r="H135" i="8"/>
  <c r="H134" i="8"/>
  <c r="J137" i="8"/>
  <c r="J136" i="8"/>
  <c r="I137" i="8"/>
  <c r="I136" i="8"/>
  <c r="H137" i="8"/>
  <c r="H136" i="8"/>
  <c r="J139" i="8"/>
  <c r="J138" i="8"/>
  <c r="I139" i="8"/>
  <c r="I138" i="8"/>
  <c r="H139" i="8"/>
  <c r="H138" i="8"/>
  <c r="F253" i="8"/>
  <c r="J210" i="8"/>
  <c r="J209" i="8"/>
  <c r="J208" i="8"/>
  <c r="J207" i="8"/>
  <c r="J206" i="8"/>
  <c r="J205" i="8"/>
  <c r="J204" i="8"/>
  <c r="J203" i="8"/>
  <c r="J202" i="8"/>
  <c r="J201" i="8"/>
  <c r="I210" i="8"/>
  <c r="I209" i="8"/>
  <c r="I208" i="8"/>
  <c r="I207" i="8"/>
  <c r="I206" i="8"/>
  <c r="I205" i="8"/>
  <c r="I204" i="8"/>
  <c r="I203" i="8"/>
  <c r="I202" i="8"/>
  <c r="I201" i="8"/>
  <c r="H210" i="8"/>
  <c r="H209" i="8"/>
  <c r="H208" i="8"/>
  <c r="H207" i="8"/>
  <c r="H206" i="8"/>
  <c r="H205" i="8"/>
  <c r="H204" i="8"/>
  <c r="H203" i="8"/>
  <c r="H202" i="8"/>
  <c r="H201" i="8"/>
  <c r="I198" i="8"/>
  <c r="I199" i="8"/>
  <c r="I196" i="8"/>
  <c r="I200" i="8"/>
  <c r="I197" i="8"/>
  <c r="J197" i="8"/>
  <c r="J198" i="8"/>
  <c r="J199" i="8"/>
  <c r="J196" i="8"/>
  <c r="J200" i="8"/>
  <c r="H199" i="8"/>
  <c r="H196" i="8"/>
  <c r="H200" i="8"/>
  <c r="H197" i="8"/>
  <c r="H198" i="8"/>
  <c r="F169" i="8"/>
  <c r="H117" i="8"/>
  <c r="H118" i="8"/>
  <c r="H119" i="8"/>
  <c r="H120" i="8"/>
  <c r="H121" i="8"/>
  <c r="H122" i="8"/>
  <c r="H123" i="8"/>
  <c r="H124" i="8"/>
  <c r="H125" i="8"/>
  <c r="H126" i="8"/>
  <c r="H127" i="8"/>
  <c r="H140" i="8"/>
  <c r="H142" i="8"/>
  <c r="H129" i="8"/>
  <c r="H141" i="8"/>
  <c r="H128" i="8"/>
  <c r="I128" i="8"/>
  <c r="I141" i="8"/>
  <c r="I117" i="8"/>
  <c r="I118" i="8"/>
  <c r="I119" i="8"/>
  <c r="I120" i="8"/>
  <c r="I121" i="8"/>
  <c r="I122" i="8"/>
  <c r="I123" i="8"/>
  <c r="I124" i="8"/>
  <c r="I125" i="8"/>
  <c r="I126" i="8"/>
  <c r="I127" i="8"/>
  <c r="I140" i="8"/>
  <c r="I142" i="8"/>
  <c r="I129" i="8"/>
  <c r="J129" i="8"/>
  <c r="J141" i="8"/>
  <c r="J118" i="8"/>
  <c r="J119" i="8"/>
  <c r="J120" i="8"/>
  <c r="J140" i="8"/>
  <c r="J128" i="8"/>
  <c r="J117" i="8"/>
  <c r="J121" i="8"/>
  <c r="J122" i="8"/>
  <c r="J123" i="8"/>
  <c r="J124" i="8"/>
  <c r="J125" i="8"/>
  <c r="J126" i="8"/>
  <c r="J127" i="8"/>
  <c r="J142" i="8"/>
  <c r="F94" i="8"/>
  <c r="F41" i="8" s="1"/>
  <c r="F111" i="8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3" i="8"/>
  <c r="H171" i="8"/>
  <c r="I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21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211" i="8"/>
  <c r="H173" i="8"/>
  <c r="H175" i="8"/>
  <c r="H177" i="8"/>
  <c r="H179" i="8"/>
  <c r="H181" i="8"/>
  <c r="H183" i="8"/>
  <c r="H185" i="8"/>
  <c r="H187" i="8"/>
  <c r="H189" i="8"/>
  <c r="H191" i="8"/>
  <c r="H193" i="8"/>
  <c r="H195" i="8"/>
  <c r="H172" i="8"/>
  <c r="H174" i="8"/>
  <c r="H176" i="8"/>
  <c r="H178" i="8"/>
  <c r="H180" i="8"/>
  <c r="H182" i="8"/>
  <c r="H184" i="8"/>
  <c r="H186" i="8"/>
  <c r="H188" i="8"/>
  <c r="H190" i="8"/>
  <c r="H192" i="8"/>
  <c r="H194" i="8"/>
  <c r="H211" i="8"/>
  <c r="G173" i="8"/>
  <c r="G179" i="8"/>
  <c r="G182" i="8"/>
  <c r="G184" i="8"/>
  <c r="G186" i="8"/>
  <c r="G188" i="8"/>
  <c r="G190" i="8"/>
  <c r="G192" i="8"/>
  <c r="G194" i="8"/>
  <c r="G172" i="8"/>
  <c r="G174" i="8"/>
  <c r="G175" i="8"/>
  <c r="G176" i="8"/>
  <c r="G177" i="8"/>
  <c r="G178" i="8"/>
  <c r="G180" i="8"/>
  <c r="G181" i="8"/>
  <c r="G183" i="8"/>
  <c r="G185" i="8"/>
  <c r="G187" i="8"/>
  <c r="G189" i="8"/>
  <c r="G191" i="8"/>
  <c r="G193" i="8"/>
  <c r="G195" i="8"/>
  <c r="J171" i="8"/>
  <c r="F255" i="8"/>
  <c r="G171" i="8"/>
  <c r="F131" i="8" l="1"/>
  <c r="F130" i="8"/>
  <c r="F133" i="8"/>
  <c r="F132" i="8"/>
  <c r="F135" i="8"/>
  <c r="F134" i="8"/>
  <c r="F137" i="8"/>
  <c r="F136" i="8"/>
  <c r="F139" i="8"/>
  <c r="F138" i="8"/>
  <c r="F200" i="8"/>
  <c r="F210" i="8"/>
  <c r="F209" i="8"/>
  <c r="F208" i="8"/>
  <c r="F207" i="8"/>
  <c r="F206" i="8"/>
  <c r="F205" i="8"/>
  <c r="F204" i="8"/>
  <c r="F203" i="8"/>
  <c r="F202" i="8"/>
  <c r="F201" i="8"/>
  <c r="F53" i="8"/>
  <c r="F54" i="8" s="1"/>
  <c r="F197" i="8"/>
  <c r="F198" i="8"/>
  <c r="F199" i="8"/>
  <c r="F196" i="8"/>
  <c r="F141" i="8"/>
  <c r="F127" i="8"/>
  <c r="F123" i="8"/>
  <c r="F119" i="8"/>
  <c r="F125" i="8"/>
  <c r="F128" i="8"/>
  <c r="F120" i="8"/>
  <c r="F140" i="8"/>
  <c r="F126" i="8"/>
  <c r="F122" i="8"/>
  <c r="F118" i="8"/>
  <c r="F129" i="8"/>
  <c r="F121" i="8"/>
  <c r="F142" i="8"/>
  <c r="F124" i="8"/>
  <c r="G56" i="8"/>
  <c r="G55" i="8"/>
  <c r="G54" i="8"/>
  <c r="F62" i="8"/>
  <c r="F60" i="8"/>
  <c r="F57" i="8"/>
  <c r="F58" i="8"/>
  <c r="F171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7" i="8"/>
  <c r="F175" i="8"/>
  <c r="F179" i="8"/>
  <c r="F183" i="8"/>
  <c r="F187" i="8"/>
  <c r="F191" i="8"/>
  <c r="F195" i="8"/>
  <c r="F194" i="8"/>
  <c r="F173" i="8"/>
  <c r="F181" i="8"/>
  <c r="F185" i="8"/>
  <c r="F193" i="8"/>
  <c r="F176" i="8"/>
  <c r="F188" i="8"/>
  <c r="F211" i="8"/>
  <c r="F174" i="8"/>
  <c r="F178" i="8"/>
  <c r="F182" i="8"/>
  <c r="F186" i="8"/>
  <c r="F190" i="8"/>
  <c r="F177" i="8"/>
  <c r="F189" i="8"/>
  <c r="F172" i="8"/>
  <c r="F180" i="8"/>
  <c r="F184" i="8"/>
  <c r="F192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5" i="8"/>
  <c r="F12" i="8" s="1"/>
  <c r="F22" i="8" s="1"/>
  <c r="J105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<sst xmlns="http://schemas.openxmlformats.org/spreadsheetml/2006/main" count="1247" uniqueCount="458">
  <si>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</si>
  <si>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</si>
  <si>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</si>
  <si>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</si>
  <si>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</si>
  <si>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</si>
  <si>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</si>
  <si>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</si>
  <si>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</si>
  <si>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</si>
  <si>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</si>
  <si>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</si>
  <si>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</si>
  <si>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</si>
  <si>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</si>
  <si>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</si>
  <si>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</si>
  <si>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</si>
  <si>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</si>
  <si>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</si>
  <si>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</si>
  <si>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</si>
  <si>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</si>
  <si>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</si>
  <si>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</si>
  <si>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</si>
  <si>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</si>
  <si>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</si>
  <si>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</si>
  <si>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</si>
  <si>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</si>
  <si>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</si>
  <si>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</si>
  <si>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</si>
  <si>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</si>
  <si>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</si>
  <si>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</si>
  <si>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</si>
  <si>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</si>
  <si>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</si>
  <si>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</si>
  <si>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</si>
  <si>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</si>
  <si>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</si>
  <si>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</si>
  <si>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</si>
  <si>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</si>
  <si>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</si>
  <si>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</si>
  <si>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</si>
  <si>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</si>
  <si>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</si>
  <si>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</si>
  <si>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</si>
  <si>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</si>
  <si>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</si>
  <si>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</si>
  <si>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</si>
  <si>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</si>
  <si>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</si>
  <si>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</si>
  <si>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</si>
  <si>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</si>
  <si>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</si>
  <si>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</si>
  <si>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</si>
  <si>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</si>
  <si>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</si>
  <si>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</si>
  <si>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</si>
  <si>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</si>
  <si>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</si>
  <si>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</si>
  <si>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</si>
  <si>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</si>
  <si>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</si>
  <si>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</si>
  <si>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</si>
  <si>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</si>
  <si>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</si>
  <si>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</si>
  <si>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</si>
  <si>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</si>
  <si>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</si>
  <si>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</si>
  <si>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</si>
  <si>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</si>
  <si>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</si>
  <si>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</si>
  <si>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</si>
  <si>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</si>
  <si>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</si>
  <si>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</si>
  <si>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</si>
  <si>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</si>
  <si>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</si>
  <si>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</si>
  <si>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</si>
  <si>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</si>
  <si>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</si>
  <si>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</si>
  <si>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</si>
  <si>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</si>
  <si>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</si>
  <si>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</si>
  <si>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</si>
  <si>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</si>
  <si>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</si>
  <si>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</si>
  <si>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</si>
  <si>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</si>
  <si>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</si>
  <si>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</si>
  <si>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</si>
  <si>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</si>
  <si>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</si>
  <si>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</si>
  <si>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</si>
  <si>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</si>
  <si>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</si>
  <si>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</si>
  <si>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</si>
  <si>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</si>
  <si>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</si>
  <si>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</si>
  <si>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</si>
  <si>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</si>
  <si>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</si>
  <si>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</si>
  <si>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</si>
  <si>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</si>
  <si>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</si>
  <si>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</si>
  <si>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</si>
  <si>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</si>
  <si>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</si>
  <si>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</si>
  <si>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</si>
  <si>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</si>
  <si>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</si>
  <si>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</si>
  <si>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</si>
  <si>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</si>
  <si>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</si>
  <si>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</si>
  <si>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</si>
  <si>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</si>
  <si>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</si>
  <si>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</si>
  <si>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</si>
  <si>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</si>
  <si>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</si>
  <si>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</si>
  <si>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</si>
  <si>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</si>
  <si>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</si>
  <si>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</si>
  <si>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</si>
  <si>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</si>
  <si>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</si>
  <si>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</si>
  <si>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</si>
  <si>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</si>
  <si>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</si>
  <si>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</si>
  <si>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</si>
  <si>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</si>
  <si>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</si>
  <si>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</si>
  <si>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</si>
  <si>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</si>
  <si>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</si>
  <si>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</si>
  <si>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</si>
  <si>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</si>
  <si>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</si>
  <si>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</si>
  <si>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</si>
  <si>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</si>
  <si>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</si>
  <si>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</si>
  <si>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</si>
  <si>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</si>
  <si>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</si>
  <si>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</si>
  <si>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</si>
  <si>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</si>
  <si>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</si>
  <si>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</si>
  <si>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</si>
  <si>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</si>
  <si>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</si>
  <si>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</si>
  <si>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</si>
  <si>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</si>
  <si>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</si>
  <si>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</si>
  <si>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</si>
  <si>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</si>
  <si>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</si>
  <si>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</si>
  <si>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</si>
  <si>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</si>
  <si>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</si>
  <si>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</si>
  <si>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</si>
  <si>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</si>
  <si>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</si>
  <si>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</si>
  <si>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</si>
  <si>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</si>
  <si>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</si>
  <si>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</si>
  <si>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</si>
  <si>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</si>
  <si>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</si>
  <si>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</si>
  <si>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</si>
  <si>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</si>
  <si>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</si>
  <si>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</si>
  <si>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</si>
  <si>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</si>
  <si>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</si>
  <si>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</si>
  <si>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</si>
  <si>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</si>
  <si>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</si>
  <si>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</si>
  <si>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</si>
  <si>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</si>
  <si>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</si>
  <si>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</si>
  <si>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</si>
  <si>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</si>
  <si>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</si>
  <si>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</si>
  <si>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</si>
  <si>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</si>
  <si>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</si>
  <si>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</si>
  <si>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</si>
  <si>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</si>
  <si>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</si>
  <si>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</si>
  <si>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</si>
  <si>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</si>
  <si>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</si>
  <si>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</si>
  <si>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</si>
  <si>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</si>
  <si>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</si>
  <si>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</si>
  <si>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</si>
  <si>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</si>
  <si>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</si>
  <si>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</si>
  <si>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</si>
  <si>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</si>
  <si>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</si>
  <si>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</si>
  <si>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</si>
  <si>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</si>
  <si>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</si>
  <si>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</si>
  <si>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</si>
  <si>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</si>
  <si>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</si>
  <si>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</si>
  <si>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</si>
  <si>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</si>
  <si>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</si>
  <si>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</si>
  <si>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</si>
  <si>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</si>
  <si>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</si>
  <si>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</si>
  <si>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</si>
  <si>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</si>
  <si>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</si>
  <si>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</si>
  <si>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</si>
  <si>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</si>
  <si>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</si>
  <si>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</si>
  <si>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</si>
  <si>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</si>
  <si>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</si>
  <si>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</si>
  <si>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</si>
  <si>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</si>
  <si>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</si>
  <si>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</si>
  <si>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</si>
  <si>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</si>
  <si>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</si>
  <si>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</si>
  <si>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</si>
  <si>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</si>
  <si>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</si>
  <si>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</si>
  <si>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</si>
  <si>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</si>
  <si>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</si>
  <si>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</si>
  <si>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</si>
  <si>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</si>
  <si>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</si>
  <si>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</si>
  <si>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</si>
  <si>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</si>
  <si>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</si>
  <si>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</si>
  <si>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</si>
  <si>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</si>
  <si>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</si>
  <si>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</si>
  <si>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</si>
  <si>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</si>
  <si>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</si>
  <si>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</si>
  <si>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</si>
  <si>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</si>
  <si>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</si>
  <si>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</si>
  <si>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</si>
  <si>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</si>
  <si>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</si>
  <si>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</si>
  <si>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</si>
  <si>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</si>
  <si>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</si>
  <si>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</si>
  <si>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</si>
  <si>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</si>
  <si>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</si>
  <si>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</si>
  <si>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</si>
  <si>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</si>
  <si>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</si>
  <si>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</si>
  <si>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</si>
  <si>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</si>
  <si>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</si>
  <si>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</si>
  <si>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</si>
  <si>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</si>
  <si>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</si>
  <si>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</si>
  <si>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</si>
  <si>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</si>
  <si>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</si>
  <si>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</si>
  <si>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</si>
  <si>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</si>
  <si>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</si>
  <si>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</si>
  <si>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</si>
  <si>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</si>
  <si>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</si>
  <si>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</si>
  <si>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</si>
  <si>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</si>
  <si>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</si>
  <si>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</si>
  <si>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</si>
  <si>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</si>
  <si>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</si>
  <si>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</si>
  <si>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</si>
  <si>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</si>
  <si>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</si>
  <si>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</si>
  <si>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</si>
  <si>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</si>
  <si>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</si>
  <si>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</si>
  <si>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</si>
  <si>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</si>
  <si>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</si>
  <si>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</si>
  <si>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</si>
  <si>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</si>
  <si>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</si>
  <si>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</si>
  <si>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</si>
  <si>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</si>
  <si>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</si>
  <si>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</si>
  <si>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</si>
  <si>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</si>
  <si>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</si>
  <si>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</si>
  <si>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</si>
  <si>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</si>
  <si>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</si>
  <si>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</si>
  <si>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</si>
  <si>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</si>
  <si>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</si>
  <si>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</si>
  <si>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</si>
  <si>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</si>
  <si>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</si>
  <si>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</si>
  <si>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</si>
  <si>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</si>
  <si>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</si>
  <si>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</si>
  <si>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</si>
  <si>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</si>
  <si>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</si>
  <si>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</si>
  <si>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</si>
  <si>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第9期</t>
    <rPh sb="0" eb="1">
      <t>ダイ</t>
    </rPh>
    <rPh sb="2" eb="3">
      <t>キ</t>
    </rPh>
    <phoneticPr fontId="8"/>
  </si>
  <si>
    <t>第10期</t>
    <rPh sb="0" eb="1">
      <t>ダイ</t>
    </rPh>
    <rPh sb="3" eb="4">
      <t>キ</t>
    </rPh>
    <phoneticPr fontId="8"/>
  </si>
  <si>
    <t>第11期</t>
    <rPh sb="0" eb="1">
      <t>ダイ</t>
    </rPh>
    <rPh sb="3" eb="4">
      <t>キ</t>
    </rPh>
    <phoneticPr fontId="8"/>
  </si>
  <si>
    <t>第12期</t>
    <rPh sb="0" eb="1">
      <t>ダイ</t>
    </rPh>
    <rPh sb="3" eb="4">
      <t>キ</t>
    </rPh>
    <phoneticPr fontId="8"/>
  </si>
  <si>
    <t>第14期</t>
    <rPh sb="0" eb="1">
      <t>ダイ</t>
    </rPh>
    <rPh sb="3" eb="4">
      <t>キ</t>
    </rPh>
    <phoneticPr fontId="8"/>
  </si>
  <si>
    <t>第16期</t>
    <rPh sb="0" eb="1">
      <t>ダイ</t>
    </rPh>
    <rPh sb="3" eb="4">
      <t>キ</t>
    </rPh>
    <phoneticPr fontId="8"/>
  </si>
  <si>
    <t>第17期</t>
    <phoneticPr fontId="8"/>
  </si>
  <si>
    <t>第11期</t>
    <phoneticPr fontId="8"/>
  </si>
  <si>
    <t>第12期</t>
    <phoneticPr fontId="8"/>
  </si>
  <si>
    <t>第14期</t>
    <phoneticPr fontId="8"/>
  </si>
  <si>
    <t>第16期</t>
    <phoneticPr fontId="8"/>
  </si>
  <si>
    <t>第10期</t>
    <phoneticPr fontId="8"/>
  </si>
  <si>
    <t>令和9年度</t>
    <phoneticPr fontId="8"/>
  </si>
  <si>
    <t>令和10年度</t>
    <phoneticPr fontId="8"/>
  </si>
  <si>
    <t>令和11年度</t>
    <phoneticPr fontId="8"/>
  </si>
  <si>
    <t>令和9～11年度</t>
    <phoneticPr fontId="3"/>
  </si>
  <si>
    <t>第31段階</t>
    <rPh sb="0" eb="1">
      <t>ダイ</t>
    </rPh>
    <rPh sb="3" eb="5">
      <t>ダンカイ</t>
    </rPh>
    <phoneticPr fontId="3"/>
  </si>
  <si>
    <t>第32段階</t>
    <rPh sb="0" eb="1">
      <t>ダイ</t>
    </rPh>
    <rPh sb="3" eb="5">
      <t>ダンカイ</t>
    </rPh>
    <phoneticPr fontId="3"/>
  </si>
  <si>
    <t>第33段階</t>
    <rPh sb="0" eb="1">
      <t>ダイ</t>
    </rPh>
    <rPh sb="3" eb="5">
      <t>ダンカイ</t>
    </rPh>
    <phoneticPr fontId="3"/>
  </si>
  <si>
    <t>第34段階</t>
    <rPh sb="0" eb="1">
      <t>ダイ</t>
    </rPh>
    <rPh sb="3" eb="5">
      <t>ダンカイ</t>
    </rPh>
    <phoneticPr fontId="3"/>
  </si>
  <si>
    <t>第35段階</t>
    <rPh sb="0" eb="1">
      <t>ダイ</t>
    </rPh>
    <rPh sb="3" eb="5">
      <t>ダンカイ</t>
    </rPh>
    <phoneticPr fontId="3"/>
  </si>
  <si>
    <t>第36段階</t>
    <rPh sb="0" eb="1">
      <t>ダイ</t>
    </rPh>
    <rPh sb="3" eb="5">
      <t>ダンカイ</t>
    </rPh>
    <phoneticPr fontId="3"/>
  </si>
  <si>
    <t>第37段階</t>
    <rPh sb="0" eb="1">
      <t>ダイ</t>
    </rPh>
    <rPh sb="3" eb="5">
      <t>ダンカイ</t>
    </rPh>
    <phoneticPr fontId="3"/>
  </si>
  <si>
    <t>第38段階</t>
    <rPh sb="0" eb="1">
      <t>ダイ</t>
    </rPh>
    <rPh sb="3" eb="5">
      <t>ダンカイ</t>
    </rPh>
    <phoneticPr fontId="3"/>
  </si>
  <si>
    <t>第39段階</t>
    <rPh sb="0" eb="1">
      <t>ダイ</t>
    </rPh>
    <rPh sb="3" eb="5">
      <t>ダンカイ</t>
    </rPh>
    <phoneticPr fontId="3"/>
  </si>
  <si>
    <t>第40段階</t>
    <rPh sb="0" eb="1">
      <t>ダイ</t>
    </rPh>
    <rPh sb="3" eb="5">
      <t>ダンカイ</t>
    </rPh>
    <phoneticPr fontId="3"/>
  </si>
  <si>
    <t>第30段階と第31段階を区分</t>
    <phoneticPr fontId="3"/>
  </si>
  <si>
    <t>第31段階と第32段階を区分</t>
    <phoneticPr fontId="3"/>
  </si>
  <si>
    <t>第32段階と第33段階を区分</t>
    <phoneticPr fontId="3"/>
  </si>
  <si>
    <t>第33段階と第34段階を区分</t>
    <phoneticPr fontId="3"/>
  </si>
  <si>
    <t>第34段階と第35段階を区分</t>
    <phoneticPr fontId="3"/>
  </si>
  <si>
    <t>第35段階と第36段階を区分</t>
    <phoneticPr fontId="3"/>
  </si>
  <si>
    <t>第36段階と第37段階を区分</t>
    <phoneticPr fontId="3"/>
  </si>
  <si>
    <t>第37段階と第38段階を区分</t>
    <phoneticPr fontId="3"/>
  </si>
  <si>
    <t>第38段階と第39段階を区分</t>
    <phoneticPr fontId="3"/>
  </si>
  <si>
    <t>第39段階と第40段階を区分</t>
    <phoneticPr fontId="3"/>
  </si>
  <si>
    <t>2026/10/19</t>
  </si>
  <si>
    <t>川崎町</t>
  </si>
  <si>
    <t>04324</t>
  </si>
  <si>
    <t>0911</t>
  </si>
  <si>
    <t>性別／年齢５歳階級別／要介護度別に推計する　※初期値</t>
  </si>
  <si>
    <t>サービス別／要介護度別に推計する　※初期値</t>
  </si>
  <si>
    <t>当該市町村における令和６年度→令和７年度の伸び</t>
  </si>
  <si>
    <t>令和8年度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</si>
</sst>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Up="1">
      <left style="hair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theme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theme="1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indexed="64"/>
      </bottom>
      <diagonal/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60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2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48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1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27" xfId="81" applyNumberFormat="1" applyFont="1" applyFill="1" applyBorder="1" applyAlignment="1">
      <alignment vertical="center" shrinkToFit="1"/>
    </xf>
    <xf numFmtId="0" fontId="26" fillId="27" borderId="160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3" xfId="0" applyNumberFormat="1" applyFont="1" applyFill="1" applyBorder="1">
      <alignment vertical="center"/>
    </xf>
    <xf numFmtId="0" fontId="6" fillId="2" borderId="169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53" xfId="0" applyFont="1" applyFill="1" applyBorder="1">
      <alignment vertical="center"/>
    </xf>
    <xf numFmtId="0" fontId="6" fillId="2" borderId="160" xfId="0" applyFont="1" applyFill="1" applyBorder="1">
      <alignment vertical="center"/>
    </xf>
    <xf numFmtId="0" fontId="6" fillId="2" borderId="154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0" fontId="6" fillId="2" borderId="168" xfId="0" applyFont="1" applyFill="1" applyBorder="1">
      <alignment vertical="center"/>
    </xf>
    <xf numFmtId="0" fontId="6" fillId="2" borderId="167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4" xfId="0" applyFont="1" applyFill="1" applyBorder="1">
      <alignment vertical="center"/>
    </xf>
    <xf numFmtId="10" fontId="6" fillId="28" borderId="163" xfId="0" applyNumberFormat="1" applyFont="1" applyFill="1" applyBorder="1" applyAlignment="1">
      <alignment vertical="center" shrinkToFit="1"/>
    </xf>
    <xf numFmtId="176" fontId="6" fillId="29" borderId="152" xfId="81" applyNumberFormat="1" applyFont="1" applyFill="1" applyBorder="1" applyAlignment="1">
      <alignment vertical="center" shrinkToFit="1"/>
    </xf>
    <xf numFmtId="187" fontId="6" fillId="27" borderId="163" xfId="0" applyNumberFormat="1" applyFont="1" applyFill="1" applyBorder="1" applyAlignment="1">
      <alignment vertical="center" shrinkToFit="1"/>
    </xf>
    <xf numFmtId="187" fontId="6" fillId="27" borderId="164" xfId="0" applyNumberFormat="1" applyFont="1" applyFill="1" applyBorder="1" applyAlignment="1">
      <alignment vertical="center" shrinkToFit="1"/>
    </xf>
    <xf numFmtId="176" fontId="6" fillId="27" borderId="163" xfId="0" applyNumberFormat="1" applyFont="1" applyFill="1" applyBorder="1" applyAlignment="1">
      <alignment vertical="center" shrinkToFit="1"/>
    </xf>
    <xf numFmtId="176" fontId="6" fillId="27" borderId="164" xfId="0" applyNumberFormat="1" applyFont="1" applyFill="1" applyBorder="1" applyAlignment="1">
      <alignment vertical="center" shrinkToFit="1"/>
    </xf>
    <xf numFmtId="176" fontId="6" fillId="27" borderId="158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3" xfId="0" applyFont="1" applyFill="1" applyBorder="1" applyAlignment="1">
      <alignment horizontal="center" vertical="center" wrapText="1"/>
    </xf>
    <xf numFmtId="0" fontId="37" fillId="2" borderId="123" xfId="0" applyFont="1" applyFill="1" applyBorder="1" applyAlignment="1">
      <alignment horizontal="center" vertical="center" wrapText="1"/>
    </xf>
    <xf numFmtId="176" fontId="28" fillId="29" borderId="124" xfId="0" applyNumberFormat="1" applyFont="1" applyFill="1" applyBorder="1" applyAlignment="1">
      <alignment vertical="center" shrinkToFit="1"/>
    </xf>
    <xf numFmtId="176" fontId="28" fillId="29" borderId="124" xfId="0" applyNumberFormat="1" applyFont="1" applyFill="1" applyBorder="1" applyAlignment="1">
      <alignment horizontal="right" vertical="center" shrinkToFit="1"/>
    </xf>
    <xf numFmtId="176" fontId="28" fillId="29" borderId="125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3" xfId="81" applyFill="1" applyBorder="1" applyAlignment="1">
      <alignment vertical="center"/>
    </xf>
    <xf numFmtId="176" fontId="28" fillId="29" borderId="155" xfId="0" applyNumberFormat="1" applyFont="1" applyFill="1" applyBorder="1" applyAlignment="1">
      <alignment vertical="center" shrinkToFit="1"/>
    </xf>
    <xf numFmtId="0" fontId="26" fillId="2" borderId="158" xfId="81" applyFill="1" applyBorder="1" applyAlignment="1">
      <alignment vertical="center"/>
    </xf>
    <xf numFmtId="0" fontId="28" fillId="2" borderId="153" xfId="0" applyFont="1" applyFill="1" applyBorder="1">
      <alignment vertical="center"/>
    </xf>
    <xf numFmtId="176" fontId="6" fillId="29" borderId="152" xfId="0" applyNumberFormat="1" applyFont="1" applyFill="1" applyBorder="1">
      <alignment vertical="center"/>
    </xf>
    <xf numFmtId="176" fontId="28" fillId="29" borderId="155" xfId="0" applyNumberFormat="1" applyFont="1" applyFill="1" applyBorder="1">
      <alignment vertical="center"/>
    </xf>
    <xf numFmtId="176" fontId="28" fillId="29" borderId="155" xfId="0" applyNumberFormat="1" applyFont="1" applyFill="1" applyBorder="1" applyAlignment="1">
      <alignment horizontal="right" vertical="center" shrinkToFit="1"/>
    </xf>
    <xf numFmtId="176" fontId="28" fillId="29" borderId="156" xfId="0" applyNumberFormat="1" applyFont="1" applyFill="1" applyBorder="1" applyAlignment="1">
      <alignment horizontal="right" vertical="center" shrinkToFit="1"/>
    </xf>
    <xf numFmtId="176" fontId="28" fillId="27" borderId="155" xfId="0" applyNumberFormat="1" applyFont="1" applyFill="1" applyBorder="1">
      <alignment vertical="center"/>
    </xf>
    <xf numFmtId="176" fontId="28" fillId="27" borderId="155" xfId="0" applyNumberFormat="1" applyFont="1" applyFill="1" applyBorder="1" applyAlignment="1">
      <alignment horizontal="right" vertical="center" shrinkToFit="1"/>
    </xf>
    <xf numFmtId="176" fontId="28" fillId="27" borderId="156" xfId="0" applyNumberFormat="1" applyFont="1" applyFill="1" applyBorder="1" applyAlignment="1">
      <alignment horizontal="right" vertical="center" shrinkToFit="1"/>
    </xf>
    <xf numFmtId="0" fontId="28" fillId="27" borderId="153" xfId="0" applyFont="1" applyFill="1" applyBorder="1">
      <alignment vertical="center"/>
    </xf>
    <xf numFmtId="176" fontId="28" fillId="27" borderId="126" xfId="0" applyNumberFormat="1" applyFont="1" applyFill="1" applyBorder="1">
      <alignment vertical="center"/>
    </xf>
    <xf numFmtId="176" fontId="28" fillId="29" borderId="126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28" xfId="81" applyFill="1" applyBorder="1" applyAlignment="1">
      <alignment vertical="center"/>
    </xf>
    <xf numFmtId="0" fontId="35" fillId="27" borderId="129" xfId="55" applyFont="1" applyFill="1" applyBorder="1">
      <alignment vertical="center"/>
    </xf>
    <xf numFmtId="0" fontId="26" fillId="2" borderId="128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65" xfId="0" applyFont="1" applyFill="1" applyBorder="1">
      <alignment vertical="center"/>
    </xf>
    <xf numFmtId="0" fontId="28" fillId="2" borderId="154" xfId="0" applyFont="1" applyFill="1" applyBorder="1">
      <alignment vertical="center"/>
    </xf>
    <xf numFmtId="0" fontId="6" fillId="2" borderId="161" xfId="0" applyFont="1" applyFill="1" applyBorder="1">
      <alignment vertical="center"/>
    </xf>
    <xf numFmtId="176" fontId="6" fillId="28" borderId="162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2" xfId="0" applyFont="1" applyFill="1" applyBorder="1">
      <alignment vertical="center"/>
    </xf>
    <xf numFmtId="0" fontId="6" fillId="27" borderId="160" xfId="0" applyFont="1" applyFill="1" applyBorder="1">
      <alignment vertical="center"/>
    </xf>
    <xf numFmtId="0" fontId="6" fillId="27" borderId="154" xfId="0" applyFont="1" applyFill="1" applyBorder="1">
      <alignment vertical="center"/>
    </xf>
    <xf numFmtId="0" fontId="6" fillId="27" borderId="170" xfId="0" applyFont="1" applyFill="1" applyBorder="1">
      <alignment vertical="center"/>
    </xf>
    <xf numFmtId="0" fontId="6" fillId="2" borderId="170" xfId="0" applyFont="1" applyFill="1" applyBorder="1">
      <alignment vertical="center"/>
    </xf>
    <xf numFmtId="0" fontId="28" fillId="27" borderId="152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0" xfId="0" applyNumberFormat="1" applyFont="1" applyFill="1" applyBorder="1">
      <alignment vertical="center"/>
    </xf>
    <xf numFmtId="176" fontId="28" fillId="2" borderId="130" xfId="0" applyNumberFormat="1" applyFont="1" applyFill="1" applyBorder="1" applyAlignment="1">
      <alignment vertical="center" shrinkToFit="1"/>
    </xf>
    <xf numFmtId="176" fontId="28" fillId="2" borderId="131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2" xfId="0" applyNumberFormat="1" applyFont="1" applyFill="1" applyBorder="1">
      <alignment vertical="center"/>
    </xf>
    <xf numFmtId="176" fontId="28" fillId="2" borderId="132" xfId="0" applyNumberFormat="1" applyFont="1" applyFill="1" applyBorder="1" applyAlignment="1">
      <alignment vertical="center" shrinkToFit="1"/>
    </xf>
    <xf numFmtId="176" fontId="28" fillId="2" borderId="133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4" xfId="0" applyNumberFormat="1" applyFont="1" applyFill="1" applyBorder="1">
      <alignment vertical="center"/>
    </xf>
    <xf numFmtId="176" fontId="28" fillId="2" borderId="134" xfId="0" applyNumberFormat="1" applyFont="1" applyFill="1" applyBorder="1" applyAlignment="1">
      <alignment vertical="center" shrinkToFit="1"/>
    </xf>
    <xf numFmtId="176" fontId="28" fillId="2" borderId="135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>
      <alignment vertical="center"/>
    </xf>
    <xf numFmtId="176" fontId="28" fillId="2" borderId="136" xfId="0" applyNumberFormat="1" applyFont="1" applyFill="1" applyBorder="1" applyAlignment="1">
      <alignment vertical="center" shrinkToFit="1"/>
    </xf>
    <xf numFmtId="176" fontId="28" fillId="2" borderId="137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38" xfId="0" applyNumberFormat="1" applyFont="1" applyFill="1" applyBorder="1">
      <alignment vertical="center"/>
    </xf>
    <xf numFmtId="176" fontId="28" fillId="29" borderId="139" xfId="0" applyNumberFormat="1" applyFont="1" applyFill="1" applyBorder="1">
      <alignment vertical="center"/>
    </xf>
    <xf numFmtId="176" fontId="28" fillId="27" borderId="118" xfId="0" applyNumberFormat="1" applyFont="1" applyFill="1" applyBorder="1">
      <alignment vertical="center"/>
    </xf>
    <xf numFmtId="0" fontId="26" fillId="27" borderId="153" xfId="81" applyFill="1" applyBorder="1" applyAlignment="1">
      <alignment vertical="center"/>
    </xf>
    <xf numFmtId="0" fontId="26" fillId="27" borderId="159" xfId="81" applyFill="1" applyBorder="1" applyAlignment="1">
      <alignment vertical="center"/>
    </xf>
    <xf numFmtId="176" fontId="28" fillId="29" borderId="152" xfId="0" applyNumberFormat="1" applyFont="1" applyFill="1" applyBorder="1">
      <alignment vertical="center"/>
    </xf>
    <xf numFmtId="176" fontId="28" fillId="28" borderId="155" xfId="0" applyNumberFormat="1" applyFont="1" applyFill="1" applyBorder="1">
      <alignment vertical="center"/>
    </xf>
    <xf numFmtId="176" fontId="28" fillId="28" borderId="156" xfId="0" applyNumberFormat="1" applyFont="1" applyFill="1" applyBorder="1">
      <alignment vertical="center"/>
    </xf>
    <xf numFmtId="0" fontId="26" fillId="2" borderId="140" xfId="81" applyFill="1" applyBorder="1" applyAlignment="1">
      <alignment vertical="center"/>
    </xf>
    <xf numFmtId="0" fontId="28" fillId="2" borderId="126" xfId="0" applyFont="1" applyFill="1" applyBorder="1">
      <alignment vertical="center"/>
    </xf>
    <xf numFmtId="0" fontId="28" fillId="2" borderId="118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26" xfId="0" applyNumberFormat="1" applyFont="1" applyFill="1" applyBorder="1">
      <alignment vertical="center"/>
    </xf>
    <xf numFmtId="180" fontId="28" fillId="29" borderId="118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26" xfId="0" applyNumberFormat="1" applyFont="1" applyFill="1" applyBorder="1">
      <alignment vertical="center"/>
    </xf>
    <xf numFmtId="176" fontId="28" fillId="2" borderId="118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1" xfId="0" applyNumberFormat="1" applyFont="1" applyFill="1" applyBorder="1">
      <alignment vertical="center"/>
    </xf>
    <xf numFmtId="176" fontId="28" fillId="29" borderId="142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20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38" xfId="0" applyFont="1" applyFill="1" applyBorder="1">
      <alignment vertical="center"/>
    </xf>
    <xf numFmtId="0" fontId="28" fillId="29" borderId="139" xfId="0" applyFont="1" applyFill="1" applyBorder="1">
      <alignment vertical="center"/>
    </xf>
    <xf numFmtId="185" fontId="28" fillId="2" borderId="144" xfId="0" applyNumberFormat="1" applyFont="1" applyFill="1" applyBorder="1">
      <alignment vertical="center"/>
    </xf>
    <xf numFmtId="186" fontId="28" fillId="27" borderId="126" xfId="0" applyNumberFormat="1" applyFont="1" applyFill="1" applyBorder="1">
      <alignment vertical="center"/>
    </xf>
    <xf numFmtId="186" fontId="28" fillId="27" borderId="118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26" xfId="0" applyNumberFormat="1" applyFont="1" applyFill="1" applyBorder="1">
      <alignment vertical="center"/>
    </xf>
    <xf numFmtId="186" fontId="28" fillId="30" borderId="118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3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45" xfId="0" applyNumberFormat="1" applyFont="1" applyFill="1" applyBorder="1">
      <alignment vertical="center"/>
    </xf>
    <xf numFmtId="176" fontId="28" fillId="2" borderId="146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0" xfId="3" applyFont="1" applyFill="1" applyBorder="1">
      <alignment vertical="center"/>
    </xf>
    <xf numFmtId="176" fontId="35" fillId="27" borderId="152" xfId="0" applyNumberFormat="1" applyFont="1" applyFill="1" applyBorder="1">
      <alignment vertical="center"/>
    </xf>
    <xf numFmtId="176" fontId="35" fillId="27" borderId="159" xfId="0" applyNumberFormat="1" applyFont="1" applyFill="1" applyBorder="1">
      <alignment vertical="center"/>
    </xf>
    <xf numFmtId="180" fontId="35" fillId="28" borderId="158" xfId="86" applyNumberFormat="1" applyFont="1" applyFill="1" applyBorder="1" applyAlignment="1">
      <alignment horizontal="right" vertical="center"/>
    </xf>
    <xf numFmtId="180" fontId="35" fillId="28" borderId="157" xfId="86" applyNumberFormat="1" applyFont="1" applyFill="1" applyBorder="1" applyAlignment="1">
      <alignment horizontal="right" vertical="center"/>
    </xf>
    <xf numFmtId="177" fontId="35" fillId="27" borderId="152" xfId="0" applyNumberFormat="1" applyFont="1" applyFill="1" applyBorder="1">
      <alignment vertical="center"/>
    </xf>
    <xf numFmtId="177" fontId="35" fillId="27" borderId="159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2" xfId="0" applyNumberFormat="1" applyFont="1" applyFill="1" applyBorder="1" applyAlignment="1">
      <alignment vertical="center" shrinkToFit="1"/>
    </xf>
    <xf numFmtId="176" fontId="35" fillId="27" borderId="158" xfId="0" applyNumberFormat="1" applyFont="1" applyFill="1" applyBorder="1" applyAlignment="1">
      <alignment vertical="center" shrinkToFit="1"/>
    </xf>
    <xf numFmtId="180" fontId="35" fillId="28" borderId="158" xfId="86" applyNumberFormat="1" applyFont="1" applyFill="1" applyBorder="1" applyAlignment="1">
      <alignment horizontal="right" vertical="center" shrinkToFit="1"/>
    </xf>
    <xf numFmtId="180" fontId="35" fillId="28" borderId="157" xfId="86" applyNumberFormat="1" applyFont="1" applyFill="1" applyBorder="1" applyAlignment="1">
      <alignment horizontal="right" vertical="center" shrinkToFit="1"/>
    </xf>
    <xf numFmtId="177" fontId="35" fillId="27" borderId="152" xfId="0" applyNumberFormat="1" applyFont="1" applyFill="1" applyBorder="1" applyAlignment="1">
      <alignment vertical="center" shrinkToFit="1"/>
    </xf>
    <xf numFmtId="177" fontId="35" fillId="27" borderId="158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49" xfId="0" applyNumberFormat="1" applyFont="1" applyBorder="1" applyAlignment="1">
      <alignment vertical="center" shrinkToFit="1"/>
    </xf>
    <xf numFmtId="180" fontId="35" fillId="0" borderId="150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2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47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2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58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76" xfId="0" applyNumberFormat="1" applyFont="1" applyFill="1" applyBorder="1" applyAlignment="1">
      <alignment horizontal="right" vertical="center" shrinkToFit="1"/>
    </xf>
    <xf numFmtId="176" fontId="6" fillId="28" borderId="177" xfId="0" applyNumberFormat="1" applyFont="1" applyFill="1" applyBorder="1" applyAlignment="1">
      <alignment horizontal="right" vertical="center" shrinkToFit="1"/>
    </xf>
    <xf numFmtId="187" fontId="6" fillId="27" borderId="177" xfId="0" applyNumberFormat="1" applyFont="1" applyFill="1" applyBorder="1" applyAlignment="1">
      <alignment horizontal="right" vertical="center" shrinkToFit="1"/>
    </xf>
    <xf numFmtId="176" fontId="6" fillId="27" borderId="177" xfId="0" applyNumberFormat="1" applyFont="1" applyFill="1" applyBorder="1" applyAlignment="1">
      <alignment horizontal="right" vertical="center" shrinkToFit="1"/>
    </xf>
    <xf numFmtId="10" fontId="6" fillId="28" borderId="177" xfId="0" applyNumberFormat="1" applyFont="1" applyFill="1" applyBorder="1" applyAlignment="1">
      <alignment vertical="center" shrinkToFit="1"/>
    </xf>
    <xf numFmtId="184" fontId="6" fillId="28" borderId="1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176" fontId="35" fillId="29" borderId="155" xfId="55" applyNumberFormat="1" applyFont="1" applyFill="1" applyBorder="1" applyAlignment="1">
      <alignment horizontal="right" vertical="center"/>
    </xf>
    <xf numFmtId="176" fontId="35" fillId="29" borderId="143" xfId="55" applyNumberFormat="1" applyFont="1" applyFill="1" applyBorder="1" applyAlignment="1">
      <alignment horizontal="right" vertical="center"/>
    </xf>
    <xf numFmtId="180" fontId="35" fillId="29" borderId="128" xfId="55" applyNumberFormat="1" applyFont="1" applyFill="1" applyBorder="1" applyAlignment="1">
      <alignment horizontal="right" vertical="center"/>
    </xf>
    <xf numFmtId="180" fontId="35" fillId="29" borderId="155" xfId="55" applyNumberFormat="1" applyFont="1" applyFill="1" applyBorder="1" applyAlignment="1">
      <alignment horizontal="right" vertical="center"/>
    </xf>
    <xf numFmtId="180" fontId="35" fillId="29" borderId="143" xfId="55" applyNumberFormat="1" applyFont="1" applyFill="1" applyBorder="1" applyAlignment="1">
      <alignment horizontal="right" vertical="center"/>
    </xf>
    <xf numFmtId="180" fontId="35" fillId="29" borderId="179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183" fontId="31" fillId="28" borderId="182" xfId="2" applyNumberFormat="1" applyFont="1" applyFill="1" applyBorder="1" applyAlignment="1">
      <alignment horizontal="right" vertical="center"/>
    </xf>
    <xf numFmtId="183" fontId="31" fillId="28" borderId="183" xfId="2" applyNumberFormat="1" applyFont="1" applyFill="1" applyBorder="1" applyAlignment="1">
      <alignment vertical="center"/>
    </xf>
    <xf numFmtId="0" fontId="31" fillId="2" borderId="184" xfId="2" applyFont="1" applyFill="1" applyBorder="1" applyAlignment="1">
      <alignment horizontal="center" vertical="center" shrinkToFit="1"/>
    </xf>
    <xf numFmtId="0" fontId="31" fillId="2" borderId="185" xfId="2" applyFont="1" applyFill="1" applyBorder="1" applyAlignment="1">
      <alignment horizontal="left" vertical="center"/>
    </xf>
    <xf numFmtId="0" fontId="31" fillId="2" borderId="186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176" fontId="41" fillId="27" borderId="7" xfId="2" applyNumberFormat="1" applyFont="1" applyFill="1" applyBorder="1" applyAlignment="1">
      <alignment vertical="center"/>
    </xf>
    <xf numFmtId="176" fontId="41" fillId="27" borderId="159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0" xfId="2" applyNumberFormat="1" applyFont="1" applyFill="1" applyBorder="1" applyAlignment="1">
      <alignment vertical="center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75" xfId="2" applyNumberFormat="1" applyFont="1" applyFill="1" applyBorder="1" applyAlignment="1">
      <alignment vertical="center"/>
    </xf>
    <xf numFmtId="176" fontId="41" fillId="27" borderId="122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41" fillId="2" borderId="187" xfId="2" applyFont="1" applyFill="1" applyBorder="1" applyAlignment="1">
      <alignment horizontal="right" vertical="center" wrapText="1"/>
    </xf>
    <xf numFmtId="190" fontId="41" fillId="27" borderId="188" xfId="2" applyNumberFormat="1" applyFont="1" applyFill="1" applyBorder="1" applyAlignment="1">
      <alignment vertical="center"/>
    </xf>
    <xf numFmtId="190" fontId="41" fillId="27" borderId="189" xfId="2" applyNumberFormat="1" applyFont="1" applyFill="1" applyBorder="1" applyAlignment="1">
      <alignment vertical="center"/>
    </xf>
    <xf numFmtId="190" fontId="41" fillId="27" borderId="190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59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57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57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57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57" xfId="0" applyNumberFormat="1" applyFont="1" applyFill="1" applyBorder="1" applyAlignment="1">
      <alignment horizontal="right" vertical="center"/>
    </xf>
    <xf numFmtId="176" fontId="35" fillId="29" borderId="156" xfId="55" applyNumberFormat="1" applyFont="1" applyFill="1" applyBorder="1" applyAlignment="1">
      <alignment horizontal="right" vertical="center"/>
    </xf>
    <xf numFmtId="180" fontId="35" fillId="29" borderId="119" xfId="55" applyNumberFormat="1" applyFont="1" applyFill="1" applyBorder="1" applyAlignment="1">
      <alignment horizontal="right" vertical="center"/>
    </xf>
    <xf numFmtId="176" fontId="35" fillId="29" borderId="120" xfId="55" applyNumberFormat="1" applyFont="1" applyFill="1" applyBorder="1" applyAlignment="1">
      <alignment horizontal="right" vertical="center"/>
    </xf>
    <xf numFmtId="180" fontId="35" fillId="29" borderId="121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57" xfId="0" applyNumberFormat="1" applyFont="1" applyFill="1" applyBorder="1" applyAlignment="1">
      <alignment horizontal="right" vertical="center" shrinkToFit="1"/>
    </xf>
    <xf numFmtId="176" fontId="28" fillId="28" borderId="155" xfId="0" applyNumberFormat="1" applyFont="1" applyFill="1" applyBorder="1" applyAlignment="1">
      <alignment horizontal="right" vertical="center" shrinkToFit="1"/>
    </xf>
    <xf numFmtId="176" fontId="28" fillId="28" borderId="156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58" xfId="81" applyFill="1" applyBorder="1" applyAlignment="1">
      <alignment vertical="center"/>
    </xf>
    <xf numFmtId="176" fontId="28" fillId="27" borderId="155" xfId="0" applyNumberFormat="1" applyFont="1" applyFill="1" applyBorder="1" applyAlignment="1">
      <alignment vertical="center" shrinkToFit="1"/>
    </xf>
    <xf numFmtId="0" fontId="26" fillId="0" borderId="160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0" xfId="0" applyFont="1" applyFill="1" applyBorder="1">
      <alignment vertical="center"/>
    </xf>
    <xf numFmtId="0" fontId="6" fillId="2" borderId="181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57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57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57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57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57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57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57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57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1" xfId="0" applyNumberFormat="1" applyFont="1" applyBorder="1" applyAlignment="1">
      <alignment vertical="center" shrinkToFit="1"/>
    </xf>
    <xf numFmtId="0" fontId="45" fillId="2" borderId="180" xfId="0" applyFont="1" applyFill="1" applyBorder="1">
      <alignment vertical="center"/>
    </xf>
    <xf numFmtId="184" fontId="6" fillId="28" borderId="192" xfId="0" applyNumberFormat="1" applyFont="1" applyFill="1" applyBorder="1" applyAlignment="1">
      <alignment vertical="center" shrinkToFit="1"/>
    </xf>
    <xf numFmtId="184" fontId="6" fillId="28" borderId="193" xfId="0" applyNumberFormat="1" applyFont="1" applyFill="1" applyBorder="1" applyAlignment="1">
      <alignment vertical="center" shrinkToFit="1"/>
    </xf>
    <xf numFmtId="184" fontId="6" fillId="28" borderId="194" xfId="0" applyNumberFormat="1" applyFont="1" applyFill="1" applyBorder="1" applyAlignment="1">
      <alignment vertical="center" shrinkToFit="1"/>
    </xf>
    <xf numFmtId="184" fontId="6" fillId="0" borderId="195" xfId="0" applyNumberFormat="1" applyFont="1" applyBorder="1" applyAlignment="1">
      <alignment vertical="center" shrinkToFit="1"/>
    </xf>
    <xf numFmtId="184" fontId="6" fillId="28" borderId="195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180" fontId="35" fillId="29" borderId="129" xfId="55" applyNumberFormat="1" applyFont="1" applyFill="1" applyBorder="1" applyAlignment="1">
      <alignment horizontal="right" vertical="center"/>
    </xf>
    <xf numFmtId="180" fontId="35" fillId="29" borderId="196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58" xfId="0" applyNumberFormat="1" applyFont="1" applyFill="1" applyBorder="1" applyAlignment="1">
      <alignment horizontal="right" vertical="center" shrinkToFit="1"/>
    </xf>
    <xf numFmtId="176" fontId="35" fillId="27" borderId="158" xfId="0" applyNumberFormat="1" applyFont="1" applyFill="1" applyBorder="1" applyAlignment="1">
      <alignment horizontal="right" vertical="center" shrinkToFit="1"/>
    </xf>
    <xf numFmtId="176" fontId="35" fillId="28" borderId="158" xfId="0" applyNumberFormat="1" applyFont="1" applyFill="1" applyBorder="1" applyAlignment="1">
      <alignment horizontal="right" vertical="center" shrinkToFit="1"/>
    </xf>
    <xf numFmtId="187" fontId="6" fillId="27" borderId="197" xfId="0" applyNumberFormat="1" applyFont="1" applyFill="1" applyBorder="1" applyAlignment="1">
      <alignment horizontal="right" vertical="center" shrinkToFit="1"/>
    </xf>
    <xf numFmtId="176" fontId="6" fillId="27" borderId="197" xfId="0" applyNumberFormat="1" applyFont="1" applyFill="1" applyBorder="1" applyAlignment="1">
      <alignment horizontal="right" vertical="center" shrinkToFit="1"/>
    </xf>
    <xf numFmtId="176" fontId="35" fillId="27" borderId="160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58" xfId="0" applyNumberFormat="1" applyFont="1" applyFill="1" applyBorder="1">
      <alignment vertical="center"/>
    </xf>
    <xf numFmtId="176" fontId="35" fillId="28" borderId="158" xfId="0" applyNumberFormat="1" applyFont="1" applyFill="1" applyBorder="1">
      <alignment vertical="center"/>
    </xf>
    <xf numFmtId="0" fontId="35" fillId="2" borderId="158" xfId="0" applyFont="1" applyFill="1" applyBorder="1">
      <alignment vertical="center"/>
    </xf>
    <xf numFmtId="180" fontId="35" fillId="29" borderId="158" xfId="0" applyNumberFormat="1" applyFont="1" applyFill="1" applyBorder="1">
      <alignment vertical="center"/>
    </xf>
    <xf numFmtId="176" fontId="35" fillId="2" borderId="158" xfId="0" applyNumberFormat="1" applyFont="1" applyFill="1" applyBorder="1">
      <alignment vertical="center"/>
    </xf>
    <xf numFmtId="176" fontId="35" fillId="29" borderId="160" xfId="0" applyNumberFormat="1" applyFont="1" applyFill="1" applyBorder="1">
      <alignment vertical="center"/>
    </xf>
    <xf numFmtId="176" fontId="35" fillId="27" borderId="160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58" xfId="0" applyNumberFormat="1" applyFont="1" applyFill="1" applyBorder="1" applyAlignment="1">
      <alignment horizontal="right" vertical="center"/>
    </xf>
    <xf numFmtId="186" fontId="35" fillId="30" borderId="158" xfId="0" applyNumberFormat="1" applyFont="1" applyFill="1" applyBorder="1" applyAlignment="1">
      <alignment horizontal="right" vertical="center"/>
    </xf>
    <xf numFmtId="185" fontId="35" fillId="2" borderId="158" xfId="0" applyNumberFormat="1" applyFont="1" applyFill="1" applyBorder="1" applyAlignment="1">
      <alignment horizontal="right" vertical="center"/>
    </xf>
    <xf numFmtId="176" fontId="35" fillId="2" borderId="158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57" xfId="0" applyNumberFormat="1" applyFont="1" applyFill="1" applyBorder="1" applyAlignment="1">
      <alignment horizontal="right" vertical="center"/>
    </xf>
    <xf numFmtId="183" fontId="31" fillId="28" borderId="198" xfId="2" applyNumberFormat="1" applyFont="1" applyFill="1" applyBorder="1" applyAlignment="1">
      <alignment horizontal="right" vertical="center"/>
    </xf>
    <xf numFmtId="183" fontId="31" fillId="28" borderId="199" xfId="2" applyNumberFormat="1" applyFont="1" applyFill="1" applyBorder="1" applyAlignment="1">
      <alignment vertical="center"/>
    </xf>
    <xf numFmtId="182" fontId="31" fillId="28" borderId="159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183" fontId="31" fillId="28" borderId="200" xfId="2" applyNumberFormat="1" applyFont="1" applyFill="1" applyBorder="1" applyAlignment="1">
      <alignment horizontal="right" vertical="center"/>
    </xf>
    <xf numFmtId="183" fontId="31" fillId="28" borderId="201" xfId="2" applyNumberFormat="1" applyFont="1" applyFill="1" applyBorder="1" applyAlignment="1">
      <alignment vertical="center"/>
    </xf>
    <xf numFmtId="188" fontId="35" fillId="27" borderId="157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57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57" xfId="0" applyNumberFormat="1" applyFont="1" applyFill="1" applyBorder="1" applyAlignment="1">
      <alignment horizontal="right" vertical="center" shrinkToFit="1"/>
    </xf>
    <xf numFmtId="176" fontId="28" fillId="28" borderId="157" xfId="0" applyNumberFormat="1" applyFont="1" applyFill="1" applyBorder="1" applyAlignment="1">
      <alignment horizontal="right" vertical="center" shrinkToFit="1"/>
    </xf>
    <xf numFmtId="176" fontId="35" fillId="28" borderId="157" xfId="0" applyNumberFormat="1" applyFont="1" applyFill="1" applyBorder="1" applyAlignment="1">
      <alignment horizontal="right" vertical="center" shrinkToFit="1"/>
    </xf>
    <xf numFmtId="176" fontId="35" fillId="29" borderId="157" xfId="0" applyNumberFormat="1" applyFont="1" applyFill="1" applyBorder="1" applyAlignment="1">
      <alignment horizontal="right" vertical="center" shrinkToFit="1"/>
    </xf>
    <xf numFmtId="176" fontId="35" fillId="28" borderId="155" xfId="0" applyNumberFormat="1" applyFont="1" applyFill="1" applyBorder="1" applyAlignment="1">
      <alignment horizontal="right" vertical="center" shrinkToFit="1"/>
    </xf>
    <xf numFmtId="176" fontId="6" fillId="28" borderId="202" xfId="0" applyNumberFormat="1" applyFont="1" applyFill="1" applyBorder="1" applyAlignment="1">
      <alignment horizontal="right" vertical="center" shrinkToFit="1"/>
    </xf>
    <xf numFmtId="176" fontId="6" fillId="28" borderId="203" xfId="0" applyNumberFormat="1" applyFont="1" applyFill="1" applyBorder="1" applyAlignment="1">
      <alignment horizontal="right" vertical="center" shrinkToFit="1"/>
    </xf>
    <xf numFmtId="187" fontId="6" fillId="27" borderId="203" xfId="0" applyNumberFormat="1" applyFont="1" applyFill="1" applyBorder="1" applyAlignment="1">
      <alignment horizontal="right" vertical="center" shrinkToFit="1"/>
    </xf>
    <xf numFmtId="176" fontId="6" fillId="27" borderId="203" xfId="0" applyNumberFormat="1" applyFont="1" applyFill="1" applyBorder="1" applyAlignment="1">
      <alignment horizontal="right" vertical="center" shrinkToFit="1"/>
    </xf>
    <xf numFmtId="10" fontId="6" fillId="28" borderId="203" xfId="0" applyNumberFormat="1" applyFont="1" applyFill="1" applyBorder="1" applyAlignment="1">
      <alignment vertical="center" shrinkToFit="1"/>
    </xf>
    <xf numFmtId="184" fontId="6" fillId="28" borderId="203" xfId="0" applyNumberFormat="1" applyFont="1" applyFill="1" applyBorder="1" applyAlignment="1">
      <alignment vertical="center" shrinkToFit="1"/>
    </xf>
    <xf numFmtId="184" fontId="6" fillId="0" borderId="204" xfId="0" applyNumberFormat="1" applyFont="1" applyBorder="1" applyAlignment="1">
      <alignment vertical="center" shrinkToFit="1"/>
    </xf>
    <xf numFmtId="184" fontId="6" fillId="28" borderId="204" xfId="0" applyNumberFormat="1" applyFont="1" applyFill="1" applyBorder="1" applyAlignment="1">
      <alignment vertical="center" shrinkToFit="1"/>
    </xf>
    <xf numFmtId="176" fontId="28" fillId="27" borderId="156" xfId="0" applyNumberFormat="1" applyFont="1" applyFill="1" applyBorder="1" applyAlignment="1">
      <alignment vertical="center" shrinkToFit="1"/>
    </xf>
    <xf numFmtId="176" fontId="6" fillId="27" borderId="152" xfId="0" applyNumberFormat="1" applyFont="1" applyFill="1" applyBorder="1" applyAlignment="1">
      <alignment vertical="center" shrinkToFit="1"/>
    </xf>
    <xf numFmtId="176" fontId="6" fillId="27" borderId="165" xfId="0" applyNumberFormat="1" applyFont="1" applyFill="1" applyBorder="1" applyAlignment="1">
      <alignment vertical="center" shrinkToFit="1"/>
    </xf>
    <xf numFmtId="176" fontId="6" fillId="28" borderId="205" xfId="81" applyNumberFormat="1" applyFont="1" applyFill="1" applyBorder="1" applyAlignment="1">
      <alignment vertical="center" shrinkToFit="1"/>
    </xf>
    <xf numFmtId="176" fontId="6" fillId="28" borderId="161" xfId="0" applyNumberFormat="1" applyFont="1" applyFill="1" applyBorder="1" applyAlignment="1">
      <alignment vertical="center" shrinkToFit="1"/>
    </xf>
    <xf numFmtId="176" fontId="6" fillId="28" borderId="206" xfId="0" applyNumberFormat="1" applyFont="1" applyFill="1" applyBorder="1" applyAlignment="1">
      <alignment vertical="center" shrinkToFit="1"/>
    </xf>
    <xf numFmtId="176" fontId="28" fillId="29" borderId="156" xfId="0" applyNumberFormat="1" applyFont="1" applyFill="1" applyBorder="1" applyAlignment="1">
      <alignment vertical="center" shrinkToFit="1"/>
    </xf>
    <xf numFmtId="176" fontId="28" fillId="29" borderId="156" xfId="0" applyNumberFormat="1" applyFont="1" applyFill="1" applyBorder="1">
      <alignment vertical="center"/>
    </xf>
    <xf numFmtId="176" fontId="35" fillId="28" borderId="156" xfId="0" applyNumberFormat="1" applyFont="1" applyFill="1" applyBorder="1" applyAlignment="1">
      <alignment horizontal="right" vertical="center" shrinkToFit="1"/>
    </xf>
    <xf numFmtId="176" fontId="6" fillId="28" borderId="207" xfId="0" applyNumberFormat="1" applyFont="1" applyFill="1" applyBorder="1" applyAlignment="1">
      <alignment vertical="center" shrinkToFit="1"/>
    </xf>
    <xf numFmtId="176" fontId="6" fillId="28" borderId="208" xfId="0" applyNumberFormat="1" applyFont="1" applyFill="1" applyBorder="1" applyAlignment="1">
      <alignment vertical="center" shrinkToFit="1"/>
    </xf>
    <xf numFmtId="176" fontId="6" fillId="28" borderId="209" xfId="0" applyNumberFormat="1" applyFont="1" applyFill="1" applyBorder="1">
      <alignment vertical="center"/>
    </xf>
    <xf numFmtId="176" fontId="6" fillId="28" borderId="164" xfId="0" applyNumberFormat="1" applyFont="1" applyFill="1" applyBorder="1">
      <alignment vertical="center"/>
    </xf>
    <xf numFmtId="187" fontId="6" fillId="27" borderId="209" xfId="0" applyNumberFormat="1" applyFont="1" applyFill="1" applyBorder="1">
      <alignment vertical="center"/>
    </xf>
    <xf numFmtId="176" fontId="6" fillId="27" borderId="209" xfId="0" applyNumberFormat="1" applyFont="1" applyFill="1" applyBorder="1">
      <alignment vertical="center"/>
    </xf>
    <xf numFmtId="10" fontId="6" fillId="28" borderId="209" xfId="0" applyNumberFormat="1" applyFont="1" applyFill="1" applyBorder="1" applyAlignment="1">
      <alignment vertical="center" shrinkToFit="1"/>
    </xf>
    <xf numFmtId="10" fontId="6" fillId="28" borderId="164" xfId="0" applyNumberFormat="1" applyFont="1" applyFill="1" applyBorder="1" applyAlignment="1">
      <alignment vertical="center" shrinkToFit="1"/>
    </xf>
    <xf numFmtId="184" fontId="6" fillId="28" borderId="210" xfId="0" applyNumberFormat="1" applyFont="1" applyFill="1" applyBorder="1" applyAlignment="1">
      <alignment vertical="center" shrinkToFit="1"/>
    </xf>
    <xf numFmtId="184" fontId="6" fillId="28" borderId="211" xfId="0" applyNumberFormat="1" applyFont="1" applyFill="1" applyBorder="1" applyAlignment="1">
      <alignment vertical="center" shrinkToFit="1"/>
    </xf>
    <xf numFmtId="184" fontId="6" fillId="28" borderId="209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0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2" xfId="55" applyNumberFormat="1" applyFont="1" applyFill="1" applyBorder="1" applyAlignment="1">
      <alignment horizontal="right" vertical="center"/>
    </xf>
    <xf numFmtId="176" fontId="28" fillId="27" borderId="152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58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185" fontId="28" fillId="2" borderId="155" xfId="0" applyNumberFormat="1" applyFont="1" applyFill="1" applyBorder="1">
      <alignment vertical="center"/>
    </xf>
    <xf numFmtId="185" fontId="28" fillId="2" borderId="156" xfId="0" applyNumberFormat="1" applyFont="1" applyFill="1" applyBorder="1">
      <alignment vertical="center"/>
    </xf>
    <xf numFmtId="176" fontId="28" fillId="2" borderId="152" xfId="0" applyNumberFormat="1" applyFont="1" applyFill="1" applyBorder="1">
      <alignment vertical="center"/>
    </xf>
    <xf numFmtId="0" fontId="31" fillId="2" borderId="212" xfId="2" applyFont="1" applyFill="1" applyBorder="1" applyAlignment="1">
      <alignment horizontal="left" vertical="center"/>
    </xf>
    <xf numFmtId="10" fontId="31" fillId="28" borderId="212" xfId="2" applyNumberFormat="1" applyFont="1" applyFill="1" applyBorder="1" applyAlignment="1">
      <alignment vertical="center"/>
    </xf>
    <xf numFmtId="0" fontId="31" fillId="2" borderId="213" xfId="0" applyFont="1" applyFill="1" applyBorder="1">
      <alignment vertical="center"/>
    </xf>
    <xf numFmtId="180" fontId="28" fillId="29" borderId="153" xfId="0" applyNumberFormat="1" applyFont="1" applyFill="1" applyBorder="1">
      <alignment vertical="center"/>
    </xf>
    <xf numFmtId="180" fontId="28" fillId="29" borderId="155" xfId="0" applyNumberFormat="1" applyFont="1" applyFill="1" applyBorder="1">
      <alignment vertical="center"/>
    </xf>
    <xf numFmtId="180" fontId="28" fillId="29" borderId="157" xfId="0" applyNumberFormat="1" applyFont="1" applyFill="1" applyBorder="1">
      <alignment vertical="center"/>
    </xf>
    <xf numFmtId="193" fontId="28" fillId="2" borderId="155" xfId="0" applyNumberFormat="1" applyFont="1" applyFill="1" applyBorder="1">
      <alignment vertical="center"/>
    </xf>
    <xf numFmtId="193" fontId="28" fillId="2" borderId="156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58" xfId="0" applyNumberFormat="1" applyFont="1" applyFill="1" applyBorder="1" applyAlignment="1">
      <alignment horizontal="right" vertical="center"/>
    </xf>
    <xf numFmtId="193" fontId="35" fillId="2" borderId="157" xfId="0" applyNumberFormat="1" applyFont="1" applyFill="1" applyBorder="1" applyAlignment="1">
      <alignment horizontal="right" vertical="center"/>
    </xf>
    <xf numFmtId="176" fontId="28" fillId="2" borderId="214" xfId="0" applyNumberFormat="1" applyFont="1" applyFill="1" applyBorder="1">
      <alignment vertical="center"/>
    </xf>
    <xf numFmtId="0" fontId="46" fillId="0" borderId="215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4" xfId="0" applyFont="1" applyFill="1" applyBorder="1">
      <alignment vertical="center"/>
    </xf>
    <xf numFmtId="0" fontId="28" fillId="27" borderId="158" xfId="0" applyFont="1" applyFill="1" applyBorder="1">
      <alignment vertical="center"/>
    </xf>
    <xf numFmtId="0" fontId="35" fillId="2" borderId="158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16" xfId="0" applyNumberFormat="1" applyFont="1" applyBorder="1" applyAlignment="1">
      <alignment vertical="center" shrinkToFit="1"/>
    </xf>
    <xf numFmtId="176" fontId="35" fillId="0" borderId="217" xfId="0" applyNumberFormat="1" applyFont="1" applyBorder="1" applyAlignment="1">
      <alignment vertical="center" shrinkToFit="1"/>
    </xf>
    <xf numFmtId="176" fontId="35" fillId="0" borderId="218" xfId="0" applyNumberFormat="1" applyFont="1" applyBorder="1" applyAlignment="1">
      <alignment vertical="center" shrinkToFit="1"/>
    </xf>
    <xf numFmtId="176" fontId="35" fillId="0" borderId="219" xfId="0" applyNumberFormat="1" applyFont="1" applyBorder="1" applyAlignment="1">
      <alignment vertical="center" shrinkToFit="1"/>
    </xf>
    <xf numFmtId="176" fontId="35" fillId="0" borderId="220" xfId="0" applyNumberFormat="1" applyFont="1" applyBorder="1" applyAlignment="1">
      <alignment vertical="center" shrinkToFit="1"/>
    </xf>
    <xf numFmtId="176" fontId="35" fillId="0" borderId="221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0" fontId="35" fillId="2" borderId="50" xfId="0" applyFont="1" applyFill="1" applyBorder="1" applyAlignment="1">
      <alignment horizontal="center" vertical="center"/>
    </xf>
    <xf numFmtId="0" fontId="6" fillId="2" borderId="46" xfId="2" applyFill="1" applyBorder="1" applyAlignment="1">
      <alignment horizontal="center" vertical="center"/>
    </xf>
    <xf numFmtId="0" fontId="6" fillId="2" borderId="123" xfId="2" applyFill="1" applyBorder="1" applyAlignment="1">
      <alignment horizontal="center" vertical="center"/>
    </xf>
    <xf numFmtId="0" fontId="6" fillId="2" borderId="47" xfId="2" applyFill="1" applyBorder="1" applyAlignment="1">
      <alignment horizontal="center" vertical="center"/>
    </xf>
    <xf numFmtId="0" fontId="6" fillId="2" borderId="222" xfId="2" applyFill="1" applyBorder="1" applyAlignment="1">
      <alignment horizontal="center" vertical="center"/>
    </xf>
    <xf numFmtId="0" fontId="27" fillId="2" borderId="53" xfId="2" applyFont="1" applyFill="1" applyBorder="1" applyAlignment="1">
      <alignment horizontal="center" vertical="center" wrapText="1"/>
    </xf>
    <xf numFmtId="0" fontId="27" fillId="2" borderId="223" xfId="2" applyFont="1" applyFill="1" applyBorder="1" applyAlignment="1">
      <alignment horizontal="center" vertical="center" wrapText="1"/>
    </xf>
    <xf numFmtId="0" fontId="6" fillId="2" borderId="53" xfId="2" applyFill="1" applyBorder="1" applyAlignment="1">
      <alignment horizontal="center" vertical="center"/>
    </xf>
    <xf numFmtId="0" fontId="6" fillId="2" borderId="55" xfId="2" applyFill="1" applyBorder="1" applyAlignment="1">
      <alignment horizontal="center" vertical="center"/>
    </xf>
    <xf numFmtId="0" fontId="6" fillId="2" borderId="224" xfId="2" applyFill="1" applyBorder="1" applyAlignment="1">
      <alignment horizontal="center" vertical="center"/>
    </xf>
    <xf numFmtId="0" fontId="6" fillId="2" borderId="48" xfId="2" applyFill="1" applyBorder="1" applyAlignment="1">
      <alignment horizontal="center" vertical="center"/>
    </xf>
    <xf numFmtId="0" fontId="28" fillId="2" borderId="55" xfId="0" applyFont="1" applyFill="1" applyBorder="1" applyAlignment="1">
      <alignment horizontal="center" vertical="center"/>
    </xf>
    <xf numFmtId="0" fontId="28" fillId="2" borderId="50" xfId="0" applyFont="1" applyFill="1" applyBorder="1" applyAlignment="1">
      <alignment horizontal="center" vertical="center"/>
    </xf>
    <xf numFmtId="0" fontId="6" fillId="2" borderId="225" xfId="2" applyFill="1" applyBorder="1" applyAlignment="1">
      <alignment horizontal="center" vertical="center"/>
    </xf>
    <xf numFmtId="0" fontId="6" fillId="2" borderId="223" xfId="2" applyFill="1" applyBorder="1" applyAlignment="1">
      <alignment horizontal="center" vertical="center"/>
    </xf>
    <xf numFmtId="0" fontId="6" fillId="2" borderId="0" xfId="2" applyFill="1" applyAlignment="1">
      <alignment horizontal="right"/>
    </xf>
    <xf numFmtId="0" fontId="6" fillId="2" borderId="226" xfId="2" applyFill="1" applyBorder="1" applyAlignment="1">
      <alignment horizontal="center" vertical="center"/>
    </xf>
    <xf numFmtId="0" fontId="6" fillId="2" borderId="114" xfId="2" applyFill="1" applyBorder="1" applyAlignment="1">
      <alignment horizontal="center" vertical="center"/>
    </xf>
    <xf numFmtId="0" fontId="6" fillId="2" borderId="227" xfId="2" applyFill="1" applyBorder="1" applyAlignment="1">
      <alignment horizontal="center" vertical="center"/>
    </xf>
    <xf numFmtId="0" fontId="6" fillId="2" borderId="115" xfId="2" applyFill="1" applyBorder="1" applyAlignment="1">
      <alignment horizontal="center" vertical="center"/>
    </xf>
    <xf numFmtId="0" fontId="6" fillId="2" borderId="228" xfId="2" applyFill="1" applyBorder="1" applyAlignment="1">
      <alignment horizontal="center" vertical="center"/>
    </xf>
    <xf numFmtId="0" fontId="6" fillId="2" borderId="17" xfId="2" applyFill="1" applyBorder="1" applyAlignment="1">
      <alignment horizontal="center" vertical="center"/>
    </xf>
    <xf numFmtId="0" fontId="6" fillId="2" borderId="30" xfId="2" applyFill="1" applyBorder="1" applyAlignment="1">
      <alignment horizontal="center" vertical="center"/>
    </xf>
    <xf numFmtId="0" fontId="6" fillId="2" borderId="49" xfId="2" applyFill="1" applyBorder="1" applyAlignment="1">
      <alignment horizontal="center" vertical="center"/>
    </xf>
    <xf numFmtId="0" fontId="6" fillId="2" borderId="50" xfId="2" applyFill="1" applyBorder="1" applyAlignment="1">
      <alignment horizontal="center" vertical="center"/>
    </xf>
    <xf numFmtId="0" fontId="35" fillId="2" borderId="43" xfId="55" applyFont="1" applyFill="1" applyBorder="1" applyAlignment="1">
      <alignment horizontal="centerContinuous" vertical="center"/>
    </xf>
    <xf numFmtId="0" fontId="35" fillId="2" borderId="51" xfId="55" applyFont="1" applyFill="1" applyBorder="1" applyAlignment="1">
      <alignment horizontal="centerContinuous" vertical="center"/>
    </xf>
    <xf numFmtId="0" fontId="35" fillId="2" borderId="44" xfId="55" applyFont="1" applyFill="1" applyBorder="1" applyAlignment="1">
      <alignment horizontal="centerContinuous" vertical="center"/>
    </xf>
    <xf numFmtId="0" fontId="6" fillId="2" borderId="230" xfId="2" applyFill="1" applyBorder="1" applyAlignment="1">
      <alignment horizontal="center" vertical="center"/>
    </xf>
    <xf numFmtId="0" fontId="6" fillId="2" borderId="231" xfId="2" applyFill="1" applyBorder="1" applyAlignment="1">
      <alignment horizontal="center" vertical="center"/>
    </xf>
    <xf numFmtId="0" fontId="6" fillId="2" borderId="233" xfId="2" applyFill="1" applyBorder="1" applyAlignment="1">
      <alignment horizontal="center" vertical="center"/>
    </xf>
    <xf numFmtId="0" fontId="6" fillId="2" borderId="178" xfId="2" applyFill="1" applyBorder="1" applyAlignment="1">
      <alignment horizontal="center" vertical="center"/>
    </xf>
    <xf numFmtId="0" fontId="6" fillId="2" borderId="235" xfId="2" applyFill="1" applyBorder="1" applyAlignment="1">
      <alignment horizontal="center" vertical="center"/>
    </xf>
    <xf numFmtId="0" fontId="6" fillId="2" borderId="117" xfId="2" applyFill="1" applyBorder="1" applyAlignment="1">
      <alignment horizontal="center" vertical="center"/>
    </xf>
    <xf numFmtId="0" fontId="6" fillId="2" borderId="237" xfId="2" applyFill="1" applyBorder="1" applyAlignment="1">
      <alignment horizontal="center" vertical="center"/>
    </xf>
    <xf numFmtId="0" fontId="6" fillId="2" borderId="238" xfId="2" applyFill="1" applyBorder="1" applyAlignment="1">
      <alignment horizontal="center" vertical="center"/>
    </xf>
    <xf numFmtId="0" fontId="6" fillId="2" borderId="239" xfId="2" applyFill="1" applyBorder="1" applyAlignment="1">
      <alignment horizontal="center" vertical="center"/>
    </xf>
    <xf numFmtId="0" fontId="37" fillId="2" borderId="240" xfId="0" applyFont="1" applyFill="1" applyBorder="1" applyAlignment="1">
      <alignment horizontal="center" vertical="center" wrapText="1"/>
    </xf>
    <xf numFmtId="0" fontId="6" fillId="2" borderId="241" xfId="2" applyFill="1" applyBorder="1" applyAlignment="1">
      <alignment horizontal="center" vertical="center"/>
    </xf>
    <xf numFmtId="176" fontId="28" fillId="2" borderId="242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6" fillId="2" borderId="243" xfId="2" applyFill="1" applyBorder="1" applyAlignment="1">
      <alignment horizontal="center" vertical="center"/>
    </xf>
    <xf numFmtId="0" fontId="31" fillId="2" borderId="225" xfId="0" applyFont="1" applyFill="1" applyBorder="1" applyAlignment="1">
      <alignment horizontal="center" vertical="center"/>
    </xf>
    <xf numFmtId="0" fontId="6" fillId="2" borderId="244" xfId="2" applyFill="1" applyBorder="1" applyAlignment="1">
      <alignment horizontal="center" vertical="center"/>
    </xf>
    <xf numFmtId="0" fontId="6" fillId="2" borderId="240" xfId="2" applyFill="1" applyBorder="1" applyAlignment="1">
      <alignment horizontal="center" vertical="center"/>
    </xf>
    <xf numFmtId="0" fontId="6" fillId="2" borderId="245" xfId="2" applyFill="1" applyBorder="1" applyAlignment="1">
      <alignment horizontal="center" vertical="center"/>
    </xf>
    <xf numFmtId="176" fontId="28" fillId="27" borderId="156" xfId="0" applyNumberFormat="1" applyFont="1" applyFill="1" applyBorder="1">
      <alignment vertical="center"/>
    </xf>
    <xf numFmtId="186" fontId="28" fillId="27" borderId="155" xfId="0" applyNumberFormat="1" applyFont="1" applyFill="1" applyBorder="1">
      <alignment vertical="center"/>
    </xf>
    <xf numFmtId="186" fontId="28" fillId="27" borderId="156" xfId="0" applyNumberFormat="1" applyFont="1" applyFill="1" applyBorder="1">
      <alignment vertical="center"/>
    </xf>
    <xf numFmtId="176" fontId="28" fillId="27" borderId="152" xfId="0" applyNumberFormat="1" applyFont="1" applyFill="1" applyBorder="1">
      <alignment vertical="center"/>
    </xf>
    <xf numFmtId="0" fontId="26" fillId="2" borderId="159" xfId="81" applyFill="1" applyBorder="1" applyAlignment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56" xfId="0" applyNumberFormat="1" applyFont="1" applyFill="1" applyBorder="1">
      <alignment vertical="center"/>
    </xf>
    <xf numFmtId="184" fontId="6" fillId="28" borderId="246" xfId="0" applyNumberFormat="1" applyFont="1" applyFill="1" applyBorder="1" applyAlignment="1">
      <alignment vertical="center" shrinkToFit="1"/>
    </xf>
    <xf numFmtId="0" fontId="38" fillId="2" borderId="5" xfId="0" applyFont="1" applyFill="1" applyBorder="1">
      <alignment vertical="center"/>
    </xf>
    <xf numFmtId="184" fontId="6" fillId="28" borderId="247" xfId="0" applyNumberFormat="1" applyFont="1" applyFill="1" applyBorder="1" applyAlignment="1">
      <alignment vertical="center" shrinkToFit="1"/>
    </xf>
    <xf numFmtId="184" fontId="6" fillId="28" borderId="248" xfId="0" applyNumberFormat="1" applyFont="1" applyFill="1" applyBorder="1" applyAlignment="1">
      <alignment vertical="center" shrinkToFit="1"/>
    </xf>
    <xf numFmtId="184" fontId="6" fillId="28" borderId="166" xfId="0" applyNumberFormat="1" applyFont="1" applyFill="1" applyBorder="1" applyAlignment="1">
      <alignment vertical="center" shrinkToFit="1"/>
    </xf>
    <xf numFmtId="184" fontId="6" fillId="28" borderId="24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157" xfId="0" applyNumberFormat="1" applyFont="1" applyFill="1" applyBorder="1">
      <alignment vertical="center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6" fillId="2" borderId="112" xfId="2" applyFill="1" applyBorder="1" applyAlignment="1">
      <alignment horizontal="center" vertical="center"/>
    </xf>
    <xf numFmtId="0" fontId="6" fillId="2" borderId="113" xfId="2" applyFill="1" applyBorder="1" applyAlignment="1">
      <alignment horizontal="center" vertical="center"/>
    </xf>
    <xf numFmtId="0" fontId="6" fillId="2" borderId="116" xfId="2" applyFill="1" applyBorder="1" applyAlignment="1">
      <alignment horizontal="center" vertical="center"/>
    </xf>
    <xf numFmtId="0" fontId="28" fillId="0" borderId="112" xfId="0" applyFont="1" applyBorder="1" applyAlignment="1">
      <alignment horizontal="center" vertical="center"/>
    </xf>
    <xf numFmtId="0" fontId="28" fillId="0" borderId="116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28" fillId="0" borderId="46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180" fontId="35" fillId="2" borderId="112" xfId="55" applyNumberFormat="1" applyFont="1" applyFill="1" applyBorder="1" applyAlignment="1">
      <alignment horizontal="center" vertical="center"/>
    </xf>
    <xf numFmtId="180" fontId="35" fillId="2" borderId="116" xfId="55" applyNumberFormat="1" applyFont="1" applyFill="1" applyBorder="1" applyAlignment="1">
      <alignment horizontal="center" vertical="center"/>
    </xf>
    <xf numFmtId="0" fontId="28" fillId="0" borderId="104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6" fillId="2" borderId="43" xfId="2" applyFill="1" applyBorder="1" applyAlignment="1">
      <alignment horizontal="center" vertical="center"/>
    </xf>
    <xf numFmtId="0" fontId="6" fillId="2" borderId="48" xfId="2" applyFill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122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6" fillId="2" borderId="51" xfId="2" applyFill="1" applyBorder="1" applyAlignment="1">
      <alignment horizontal="center" vertical="center"/>
    </xf>
    <xf numFmtId="0" fontId="6" fillId="2" borderId="122" xfId="2" applyFill="1" applyBorder="1" applyAlignment="1">
      <alignment horizontal="center" vertical="center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6" fillId="0" borderId="160" xfId="81" applyBorder="1" applyAlignment="1">
      <alignment vertical="center" shrinkToFit="1"/>
    </xf>
    <xf numFmtId="0" fontId="28" fillId="0" borderId="154" xfId="0" applyFont="1" applyBorder="1" applyAlignment="1">
      <alignment vertical="center" shrinkToFit="1"/>
    </xf>
    <xf numFmtId="0" fontId="26" fillId="27" borderId="158" xfId="81" applyFill="1" applyBorder="1" applyAlignment="1">
      <alignment vertical="center"/>
    </xf>
    <xf numFmtId="0" fontId="26" fillId="27" borderId="153" xfId="81" applyFill="1" applyBorder="1" applyAlignment="1">
      <alignment vertical="center"/>
    </xf>
    <xf numFmtId="0" fontId="26" fillId="27" borderId="159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0" xfId="0" applyFont="1" applyFill="1" applyBorder="1" applyAlignment="1">
      <alignment vertical="center" shrinkToFit="1"/>
    </xf>
    <xf numFmtId="0" fontId="28" fillId="2" borderId="46" xfId="0" applyFont="1" applyFill="1" applyBorder="1" applyAlignment="1">
      <alignment horizontal="center" vertical="center"/>
    </xf>
    <xf numFmtId="0" fontId="35" fillId="2" borderId="229" xfId="55" applyFont="1" applyFill="1" applyBorder="1" applyAlignment="1">
      <alignment horizontal="center" vertical="center"/>
    </xf>
    <xf numFmtId="0" fontId="35" fillId="2" borderId="234" xfId="55" applyFont="1" applyFill="1" applyBorder="1" applyAlignment="1">
      <alignment horizontal="center" vertical="center"/>
    </xf>
    <xf numFmtId="0" fontId="35" fillId="2" borderId="232" xfId="55" applyFont="1" applyFill="1" applyBorder="1" applyAlignment="1">
      <alignment horizontal="center" vertical="center"/>
    </xf>
    <xf numFmtId="0" fontId="35" fillId="2" borderId="236" xfId="55" applyFont="1" applyFill="1" applyBorder="1" applyAlignment="1">
      <alignment horizontal="center" vertical="center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41" width="9.0" collapsed="false"/>
    <col min="2" max="2" customWidth="true" style="541" width="28.5" collapsed="false"/>
    <col min="3" max="18" customWidth="true" style="541" width="11.125" collapsed="false"/>
    <col min="19" max="20" customWidth="true" style="541" width="11.25" collapsed="false"/>
    <col min="21" max="16384" style="541" width="9.0" collapsed="false"/>
  </cols>
  <sheetData>
    <row r="1" spans="1:20" ht="54.75" customHeight="1">
      <c r="A1" s="1053" t="s">
        <v>335</v>
      </c>
      <c r="B1" s="1053"/>
      <c r="C1" s="1053"/>
      <c r="D1" s="1053"/>
      <c r="E1" s="1053"/>
      <c r="F1" s="1053"/>
      <c r="G1" s="1053"/>
      <c r="H1" s="1053"/>
      <c r="I1" s="1053"/>
      <c r="J1" s="1053"/>
      <c r="K1" s="1053"/>
      <c r="L1" s="1053"/>
      <c r="M1" s="1053"/>
    </row>
    <row r="2" spans="1:20" ht="15" thickBot="1">
      <c r="A2" s="346"/>
      <c r="S2" s="542" t="s">
        <v>98</v>
      </c>
      <c r="T2" s="543" t="s">
        <v>450</v>
      </c>
    </row>
    <row r="3" spans="1:20" ht="14.25" thickBot="1">
      <c r="Q3" s="1058" t="s">
        <v>67</v>
      </c>
      <c r="R3" s="1059"/>
      <c r="S3" s="847" t="s">
        <v>451</v>
      </c>
      <c r="T3" s="848"/>
    </row>
    <row r="4" spans="1:20" ht="14.25" thickBot="1">
      <c r="Q4" s="1058" t="s">
        <v>68</v>
      </c>
      <c r="R4" s="1059"/>
      <c r="S4" s="849" t="s">
        <v>452</v>
      </c>
      <c r="T4" s="850"/>
    </row>
    <row r="5" spans="1:20" ht="31.5" customHeight="1" thickBot="1">
      <c r="Q5" s="1060" t="s">
        <v>103</v>
      </c>
      <c r="R5" s="1061"/>
      <c r="S5" s="851" t="s">
        <v>453</v>
      </c>
      <c r="T5" s="852"/>
    </row>
    <row r="6" spans="1:20" ht="14.25">
      <c r="A6" s="346" t="s">
        <v>72</v>
      </c>
    </row>
    <row r="7" spans="1:20" ht="14.25">
      <c r="A7" s="346"/>
    </row>
    <row r="8" spans="1:20" ht="14.25" thickBot="1">
      <c r="A8" s="367" t="s">
        <v>0</v>
      </c>
      <c r="B8" s="190"/>
      <c r="C8" s="187"/>
      <c r="D8" s="187"/>
      <c r="E8" s="187"/>
      <c r="F8" s="187"/>
      <c r="G8" s="187"/>
      <c r="H8" s="187"/>
      <c r="I8" s="187"/>
      <c r="J8" s="187"/>
      <c r="K8" s="187"/>
      <c r="L8" s="187"/>
      <c r="T8" s="927" t="s">
        <v>322</v>
      </c>
    </row>
    <row r="9" spans="1:20" ht="14.25" thickBot="1">
      <c r="A9" s="544"/>
      <c r="B9" s="545"/>
      <c r="C9" s="1"/>
      <c r="D9" s="1062" t="s">
        <v>414</v>
      </c>
      <c r="E9" s="1063"/>
      <c r="F9" s="1064"/>
      <c r="G9" s="1062" t="s">
        <v>415</v>
      </c>
      <c r="H9" s="1063"/>
      <c r="I9" s="1063"/>
      <c r="J9" s="1064"/>
      <c r="K9" s="1065" t="s">
        <v>416</v>
      </c>
      <c r="L9" s="1066"/>
      <c r="M9" s="1065" t="s">
        <v>417</v>
      </c>
      <c r="N9" s="1066"/>
      <c r="O9" s="1065" t="s">
        <v>418</v>
      </c>
      <c r="P9" s="1066"/>
      <c r="Q9" s="1065" t="s">
        <v>419</v>
      </c>
      <c r="R9" s="1066"/>
      <c r="S9" s="1065" t="s">
        <v>420</v>
      </c>
      <c r="T9" s="1066"/>
    </row>
    <row r="10" spans="1:20" ht="30" customHeight="1" thickBot="1">
      <c r="A10" s="1055"/>
      <c r="B10" s="1056"/>
      <c r="C10" s="1057"/>
      <c r="D10" s="992" t="s">
        <v>352</v>
      </c>
      <c r="E10" s="993" t="s">
        <v>351</v>
      </c>
      <c r="F10" s="994" t="s">
        <v>348</v>
      </c>
      <c r="G10" s="992" t="s">
        <v>347</v>
      </c>
      <c r="H10" s="995" t="s">
        <v>346</v>
      </c>
      <c r="I10" s="993" t="s">
        <v>345</v>
      </c>
      <c r="J10" s="996" t="s">
        <v>104</v>
      </c>
      <c r="K10" s="992" t="s">
        <v>368</v>
      </c>
      <c r="L10" s="997" t="s">
        <v>105</v>
      </c>
      <c r="M10" s="992" t="s">
        <v>371</v>
      </c>
      <c r="N10" s="997" t="s">
        <v>105</v>
      </c>
      <c r="O10" s="992" t="s">
        <v>374</v>
      </c>
      <c r="P10" s="997" t="s">
        <v>105</v>
      </c>
      <c r="Q10" s="992" t="s">
        <v>377</v>
      </c>
      <c r="R10" s="997" t="s">
        <v>105</v>
      </c>
      <c r="S10" s="992" t="s">
        <v>380</v>
      </c>
      <c r="T10" s="997" t="s">
        <v>105</v>
      </c>
    </row>
    <row r="11" spans="1:20">
      <c r="A11" s="13" t="s">
        <v>1</v>
      </c>
      <c r="B11" s="3"/>
      <c r="C11" s="4"/>
      <c r="D11" s="54" t="n">
        <f t="shared" ref="D11:I11" si="0">SUM(D12:D13)</f>
        <v>5774.0</v>
      </c>
      <c r="E11" s="55" t="n">
        <f t="shared" si="0"/>
        <v>5740.0</v>
      </c>
      <c r="F11" s="56" t="n">
        <f t="shared" si="0"/>
        <v>5672.0</v>
      </c>
      <c r="G11" s="57" t="n">
        <f t="shared" si="0"/>
        <v>5605.0</v>
      </c>
      <c r="H11" s="58" t="n">
        <f t="shared" si="0"/>
        <v>5536.0</v>
      </c>
      <c r="I11" s="46" t="n">
        <f t="shared" si="0"/>
        <v>5469.0</v>
      </c>
      <c r="J11" s="84" t="n">
        <f>IFERROR((SUM(G11:I11)/3)/F11,"－")</f>
        <v>0.976140103432064</v>
      </c>
      <c r="K11" s="57" t="n">
        <f>SUM(K12:K13)</f>
        <v>5401.0</v>
      </c>
      <c r="L11" s="86" t="n">
        <f>IFERROR(K11/F11,"－")</f>
        <v>0.9522214386459803</v>
      </c>
      <c r="M11" s="57" t="n">
        <f>SUM(M12:M13)</f>
        <v>5009.0</v>
      </c>
      <c r="N11" s="86" t="n">
        <f>IFERROR(M11/F11,"－")</f>
        <v>0.8831100141043724</v>
      </c>
      <c r="O11" s="57" t="n">
        <f>SUM(O12:O13)</f>
        <v>4640.0</v>
      </c>
      <c r="P11" s="86" t="n">
        <f>IFERROR(O11/F11,"－")</f>
        <v>0.8180535966149506</v>
      </c>
      <c r="Q11" s="57" t="n">
        <f>SUM(Q12:Q13)</f>
        <v>4192.0</v>
      </c>
      <c r="R11" s="86" t="n">
        <f>IFERROR(Q11/F11,"－")</f>
        <v>0.7390691114245416</v>
      </c>
      <c r="S11" s="57" t="n">
        <f>SUM(S12:S13)</f>
        <v>3748.0</v>
      </c>
      <c r="T11" s="86" t="n">
        <f>IFERROR(S11/F11,"－")</f>
        <v>0.6607898448519041</v>
      </c>
    </row>
    <row r="12" spans="1:20">
      <c r="A12" s="5"/>
      <c r="B12" s="6" t="s">
        <v>2</v>
      </c>
      <c r="C12" s="546"/>
      <c r="D12" s="53" t="n">
        <v>3270.0</v>
      </c>
      <c r="E12" s="48" t="n">
        <v>3285.0</v>
      </c>
      <c r="F12" s="49" t="n">
        <v>3257.0</v>
      </c>
      <c r="G12" s="50" t="n">
        <v>3231.0</v>
      </c>
      <c r="H12" s="51" t="n">
        <v>3203.0</v>
      </c>
      <c r="I12" s="52" t="n">
        <v>3177.0</v>
      </c>
      <c r="J12" s="84" t="n">
        <f>IFERROR((SUM(G12:I12)/3)/F12,"－")</f>
        <v>0.9836250127929587</v>
      </c>
      <c r="K12" s="59" t="n">
        <v>3149.0</v>
      </c>
      <c r="L12" s="86" t="n">
        <f>IFERROR(K12/F12,"－")</f>
        <v>0.9668406509057414</v>
      </c>
      <c r="M12" s="59" t="n">
        <v>2967.0</v>
      </c>
      <c r="N12" s="86" t="n">
        <f>IFERROR(M12/F12,"－")</f>
        <v>0.9109610070617132</v>
      </c>
      <c r="O12" s="59" t="n">
        <v>2835.0</v>
      </c>
      <c r="P12" s="86" t="n">
        <f>IFERROR(O12/F12,"－")</f>
        <v>0.8704329137242861</v>
      </c>
      <c r="Q12" s="59" t="n">
        <v>2639.0</v>
      </c>
      <c r="R12" s="86" t="n">
        <f>IFERROR(Q12/F12,"－")</f>
        <v>0.8102548357384096</v>
      </c>
      <c r="S12" s="59" t="n">
        <v>2494.0</v>
      </c>
      <c r="T12" s="86" t="n">
        <f>IFERROR(S12/F12,"－")</f>
        <v>0.7657353392692662</v>
      </c>
    </row>
    <row r="13" spans="1:20" ht="14.25" thickBot="1">
      <c r="A13" s="5"/>
      <c r="B13" s="60" t="s">
        <v>3</v>
      </c>
      <c r="C13" s="546"/>
      <c r="D13" s="53" t="n">
        <v>2504.0</v>
      </c>
      <c r="E13" s="48" t="n">
        <v>2455.0</v>
      </c>
      <c r="F13" s="49" t="n">
        <v>2415.0</v>
      </c>
      <c r="G13" s="61" t="n">
        <v>2374.0</v>
      </c>
      <c r="H13" s="48" t="n">
        <v>2333.0</v>
      </c>
      <c r="I13" s="62" t="n">
        <v>2292.0</v>
      </c>
      <c r="J13" s="85" t="n">
        <f>IFERROR((SUM(G13:I13)/3)/F13,"－")</f>
        <v>0.9660455486542443</v>
      </c>
      <c r="K13" s="45" t="n">
        <v>2252.0</v>
      </c>
      <c r="L13" s="87" t="n">
        <f>IFERROR(K13/F13,"－")</f>
        <v>0.9325051759834369</v>
      </c>
      <c r="M13" s="45" t="n">
        <v>2042.0</v>
      </c>
      <c r="N13" s="87" t="n">
        <f>IFERROR(M13/F13,"－")</f>
        <v>0.8455486542443064</v>
      </c>
      <c r="O13" s="45" t="n">
        <v>1805.0</v>
      </c>
      <c r="P13" s="87" t="n">
        <f>IFERROR(O13/F13,"－")</f>
        <v>0.7474120082815735</v>
      </c>
      <c r="Q13" s="45" t="n">
        <v>1553.0</v>
      </c>
      <c r="R13" s="87" t="n">
        <f>IFERROR(Q13/F13,"－")</f>
        <v>0.643064182194617</v>
      </c>
      <c r="S13" s="45" t="n">
        <v>1254.0</v>
      </c>
      <c r="T13" s="87" t="n">
        <f>IFERROR(S13/F13,"－")</f>
        <v>0.5192546583850932</v>
      </c>
    </row>
    <row r="14" spans="1:20" ht="13.5" customHeight="1">
      <c r="A14" s="227"/>
      <c r="B14" s="547"/>
      <c r="C14" s="227"/>
      <c r="D14" s="227"/>
      <c r="E14" s="227"/>
      <c r="F14" s="227"/>
      <c r="G14" s="548" t="s">
        <v>350</v>
      </c>
      <c r="H14" s="227"/>
      <c r="I14" s="227"/>
      <c r="J14" s="227"/>
      <c r="K14" s="622" t="s">
        <v>384</v>
      </c>
      <c r="L14" s="621"/>
      <c r="M14" s="621"/>
    </row>
    <row r="15" spans="1:20">
      <c r="A15" s="187"/>
      <c r="B15" s="190"/>
      <c r="C15" s="187"/>
      <c r="D15" s="187"/>
      <c r="E15" s="187"/>
      <c r="F15" s="187"/>
      <c r="G15" s="549"/>
      <c r="H15" s="549"/>
      <c r="I15" s="549"/>
      <c r="J15" s="549"/>
      <c r="K15" s="621"/>
      <c r="L15" s="621"/>
      <c r="M15" s="621"/>
    </row>
    <row r="16" spans="1:20" ht="14.25" thickBot="1">
      <c r="A16" s="367" t="s">
        <v>4</v>
      </c>
      <c r="B16" s="190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T16" s="927" t="s">
        <v>322</v>
      </c>
    </row>
    <row r="17" spans="1:20" ht="14.25" thickBot="1">
      <c r="A17" s="187"/>
      <c r="B17" s="190"/>
      <c r="C17" s="187"/>
      <c r="D17" s="1062" t="s">
        <v>414</v>
      </c>
      <c r="E17" s="1063"/>
      <c r="F17" s="1064"/>
      <c r="G17" s="1062" t="s">
        <v>415</v>
      </c>
      <c r="H17" s="1063"/>
      <c r="I17" s="1063"/>
      <c r="J17" s="1064"/>
      <c r="K17" s="1065" t="s">
        <v>416</v>
      </c>
      <c r="L17" s="1066"/>
      <c r="M17" s="1065" t="s">
        <v>417</v>
      </c>
      <c r="N17" s="1066"/>
      <c r="O17" s="1065" t="s">
        <v>418</v>
      </c>
      <c r="P17" s="1066"/>
      <c r="Q17" s="1065" t="s">
        <v>419</v>
      </c>
      <c r="R17" s="1066"/>
      <c r="S17" s="1065" t="s">
        <v>420</v>
      </c>
      <c r="T17" s="1066"/>
    </row>
    <row r="18" spans="1:20" ht="23.25" thickBot="1">
      <c r="A18" s="1055"/>
      <c r="B18" s="1056"/>
      <c r="C18" s="1057"/>
      <c r="D18" s="992" t="s">
        <v>352</v>
      </c>
      <c r="E18" s="993" t="s">
        <v>351</v>
      </c>
      <c r="F18" s="994" t="s">
        <v>348</v>
      </c>
      <c r="G18" s="992" t="s">
        <v>347</v>
      </c>
      <c r="H18" s="995" t="s">
        <v>346</v>
      </c>
      <c r="I18" s="993" t="s">
        <v>345</v>
      </c>
      <c r="J18" s="996" t="s">
        <v>104</v>
      </c>
      <c r="K18" s="992" t="s">
        <v>368</v>
      </c>
      <c r="L18" s="997" t="s">
        <v>105</v>
      </c>
      <c r="M18" s="992" t="s">
        <v>371</v>
      </c>
      <c r="N18" s="997" t="s">
        <v>105</v>
      </c>
      <c r="O18" s="992" t="s">
        <v>374</v>
      </c>
      <c r="P18" s="997" t="s">
        <v>105</v>
      </c>
      <c r="Q18" s="992" t="s">
        <v>377</v>
      </c>
      <c r="R18" s="997" t="s">
        <v>105</v>
      </c>
      <c r="S18" s="992" t="s">
        <v>380</v>
      </c>
      <c r="T18" s="997" t="s">
        <v>105</v>
      </c>
    </row>
    <row r="19" spans="1:20">
      <c r="A19" s="13" t="s">
        <v>5</v>
      </c>
      <c r="B19" s="14"/>
      <c r="C19" s="4"/>
      <c r="D19" s="57" t="n">
        <f>SUM(D20:D26)</f>
        <v>562.0</v>
      </c>
      <c r="E19" s="58" t="n">
        <f t="shared" ref="E19:I19" si="1">SUM(E20:E26)</f>
        <v>568.0</v>
      </c>
      <c r="F19" s="46" t="n">
        <f t="shared" si="1"/>
        <v>567.0</v>
      </c>
      <c r="G19" s="57" t="n">
        <f t="shared" si="1"/>
        <v>580.0</v>
      </c>
      <c r="H19" s="58" t="n">
        <f t="shared" si="1"/>
        <v>584.0</v>
      </c>
      <c r="I19" s="46" t="n">
        <f t="shared" si="1"/>
        <v>589.0</v>
      </c>
      <c r="J19" s="84" t="n">
        <f t="shared" ref="J19:J34" si="2">IFERROR((SUM(G19:I19)/3)/F19,"－")</f>
        <v>1.0305702527924752</v>
      </c>
      <c r="K19" s="57" t="n">
        <f t="shared" ref="K19:M19" si="3">SUM(K20:K26)</f>
        <v>590.0</v>
      </c>
      <c r="L19" s="86" t="n">
        <f t="shared" ref="L19:L34" si="4">IFERROR(K19/F19,"－")</f>
        <v>1.0405643738977073</v>
      </c>
      <c r="M19" s="57" t="n">
        <f t="shared" si="3"/>
        <v>641.0</v>
      </c>
      <c r="N19" s="86" t="n">
        <f>IFERROR(M19/F19,"－")</f>
        <v>1.1305114638447973</v>
      </c>
      <c r="O19" s="57" t="n">
        <f t="shared" ref="O19" si="5">SUM(O20:O26)</f>
        <v>694.0</v>
      </c>
      <c r="P19" s="86" t="n">
        <f>IFERROR(O19/F19,"－")</f>
        <v>1.2239858906525574</v>
      </c>
      <c r="Q19" s="57" t="n">
        <f t="shared" ref="Q19:S19" si="6">SUM(Q20:Q26)</f>
        <v>673.0</v>
      </c>
      <c r="R19" s="86" t="n">
        <f>IFERROR(Q19/F19,"－")</f>
        <v>1.1869488536155204</v>
      </c>
      <c r="S19" s="57" t="n">
        <f t="shared" si="6"/>
        <v>593.0</v>
      </c>
      <c r="T19" s="88" t="n">
        <f t="shared" ref="T19:T34" si="7">IFERROR(S19/F19,"－")</f>
        <v>1.0458553791887126</v>
      </c>
    </row>
    <row r="20" spans="1:20">
      <c r="A20" s="13"/>
      <c r="B20" s="7"/>
      <c r="C20" s="8" t="s">
        <v>6</v>
      </c>
      <c r="D20" s="38" t="n">
        <v>27.0</v>
      </c>
      <c r="E20" s="40" t="n">
        <v>33.0</v>
      </c>
      <c r="F20" s="39" t="n">
        <v>33.0</v>
      </c>
      <c r="G20" s="38" t="n">
        <v>34.0</v>
      </c>
      <c r="H20" s="40" t="n">
        <v>34.0</v>
      </c>
      <c r="I20" s="39" t="n">
        <v>34.0</v>
      </c>
      <c r="J20" s="91" t="n">
        <f t="shared" si="2"/>
        <v>1.0303030303030303</v>
      </c>
      <c r="K20" s="44" t="n">
        <v>33.0</v>
      </c>
      <c r="L20" s="88" t="n">
        <f t="shared" si="4"/>
        <v>1.0</v>
      </c>
      <c r="M20" s="44" t="n">
        <v>37.0</v>
      </c>
      <c r="N20" s="88" t="n">
        <f t="shared" ref="N20:N34" si="8">IFERROR(M20/F20,"－")</f>
        <v>1.121212121212121</v>
      </c>
      <c r="O20" s="44" t="n">
        <v>40.0</v>
      </c>
      <c r="P20" s="88" t="n">
        <f t="shared" ref="P20:P34" si="9">IFERROR(O20/F20,"－")</f>
        <v>1.2121212121212122</v>
      </c>
      <c r="Q20" s="44" t="n">
        <v>37.0</v>
      </c>
      <c r="R20" s="88" t="n">
        <f t="shared" ref="R20:R34" si="10">IFERROR(Q20/F20,"－")</f>
        <v>1.121212121212121</v>
      </c>
      <c r="S20" s="44" t="n">
        <v>32.0</v>
      </c>
      <c r="T20" s="88" t="n">
        <f t="shared" si="7"/>
        <v>0.9696969696969697</v>
      </c>
    </row>
    <row r="21" spans="1:20">
      <c r="A21" s="13"/>
      <c r="B21" s="7"/>
      <c r="C21" s="8" t="s">
        <v>7</v>
      </c>
      <c r="D21" s="38" t="n">
        <v>73.0</v>
      </c>
      <c r="E21" s="40" t="n">
        <v>85.0</v>
      </c>
      <c r="F21" s="39" t="n">
        <v>92.0</v>
      </c>
      <c r="G21" s="38" t="n">
        <v>97.0</v>
      </c>
      <c r="H21" s="40" t="n">
        <v>98.0</v>
      </c>
      <c r="I21" s="39" t="n">
        <v>100.0</v>
      </c>
      <c r="J21" s="91" t="n">
        <f t="shared" si="2"/>
        <v>1.0688405797101448</v>
      </c>
      <c r="K21" s="44" t="n">
        <v>100.0</v>
      </c>
      <c r="L21" s="88" t="n">
        <f t="shared" si="4"/>
        <v>1.0869565217391304</v>
      </c>
      <c r="M21" s="44" t="n">
        <v>106.0</v>
      </c>
      <c r="N21" s="88" t="n">
        <f t="shared" si="8"/>
        <v>1.1521739130434783</v>
      </c>
      <c r="O21" s="44" t="n">
        <v>112.0</v>
      </c>
      <c r="P21" s="88" t="n">
        <f t="shared" si="9"/>
        <v>1.2173913043478262</v>
      </c>
      <c r="Q21" s="44" t="n">
        <v>106.0</v>
      </c>
      <c r="R21" s="88" t="n">
        <f t="shared" si="10"/>
        <v>1.1521739130434783</v>
      </c>
      <c r="S21" s="44" t="n">
        <v>95.0</v>
      </c>
      <c r="T21" s="88" t="n">
        <f t="shared" si="7"/>
        <v>1.0326086956521738</v>
      </c>
    </row>
    <row r="22" spans="1:20">
      <c r="A22" s="13"/>
      <c r="B22" s="7"/>
      <c r="C22" s="8" t="s">
        <v>8</v>
      </c>
      <c r="D22" s="38" t="n">
        <v>69.0</v>
      </c>
      <c r="E22" s="40" t="n">
        <v>70.0</v>
      </c>
      <c r="F22" s="39" t="n">
        <v>65.0</v>
      </c>
      <c r="G22" s="38" t="n">
        <v>64.0</v>
      </c>
      <c r="H22" s="40" t="n">
        <v>65.0</v>
      </c>
      <c r="I22" s="39" t="n">
        <v>66.0</v>
      </c>
      <c r="J22" s="91" t="n">
        <f t="shared" si="2"/>
        <v>1.0</v>
      </c>
      <c r="K22" s="44" t="n">
        <v>69.0</v>
      </c>
      <c r="L22" s="88" t="n">
        <f t="shared" si="4"/>
        <v>1.0615384615384615</v>
      </c>
      <c r="M22" s="44" t="n">
        <v>73.0</v>
      </c>
      <c r="N22" s="88" t="n">
        <f t="shared" si="8"/>
        <v>1.123076923076923</v>
      </c>
      <c r="O22" s="44" t="n">
        <v>77.0</v>
      </c>
      <c r="P22" s="88" t="n">
        <f t="shared" si="9"/>
        <v>1.1846153846153846</v>
      </c>
      <c r="Q22" s="44" t="n">
        <v>70.0</v>
      </c>
      <c r="R22" s="88" t="n">
        <f t="shared" si="10"/>
        <v>1.0769230769230769</v>
      </c>
      <c r="S22" s="44" t="n">
        <v>60.0</v>
      </c>
      <c r="T22" s="88" t="n">
        <f t="shared" si="7"/>
        <v>0.9230769230769231</v>
      </c>
    </row>
    <row r="23" spans="1:20">
      <c r="A23" s="13"/>
      <c r="B23" s="7"/>
      <c r="C23" s="8" t="s">
        <v>9</v>
      </c>
      <c r="D23" s="38" t="n">
        <v>126.0</v>
      </c>
      <c r="E23" s="40" t="n">
        <v>116.0</v>
      </c>
      <c r="F23" s="39" t="n">
        <v>97.0</v>
      </c>
      <c r="G23" s="38" t="n">
        <v>98.0</v>
      </c>
      <c r="H23" s="40" t="n">
        <v>100.0</v>
      </c>
      <c r="I23" s="39" t="n">
        <v>100.0</v>
      </c>
      <c r="J23" s="91" t="n">
        <f t="shared" si="2"/>
        <v>1.0240549828178693</v>
      </c>
      <c r="K23" s="44" t="n">
        <v>101.0</v>
      </c>
      <c r="L23" s="88" t="n">
        <f t="shared" si="4"/>
        <v>1.041237113402062</v>
      </c>
      <c r="M23" s="44" t="n">
        <v>116.0</v>
      </c>
      <c r="N23" s="88" t="n">
        <f t="shared" si="8"/>
        <v>1.1958762886597938</v>
      </c>
      <c r="O23" s="44" t="n">
        <v>120.0</v>
      </c>
      <c r="P23" s="88" t="n">
        <f t="shared" si="9"/>
        <v>1.2371134020618557</v>
      </c>
      <c r="Q23" s="44" t="n">
        <v>114.0</v>
      </c>
      <c r="R23" s="88" t="n">
        <f t="shared" si="10"/>
        <v>1.175257731958763</v>
      </c>
      <c r="S23" s="44" t="n">
        <v>99.0</v>
      </c>
      <c r="T23" s="88" t="n">
        <f t="shared" si="7"/>
        <v>1.0206185567010309</v>
      </c>
    </row>
    <row r="24" spans="1:20">
      <c r="A24" s="13"/>
      <c r="B24" s="7"/>
      <c r="C24" s="8" t="s">
        <v>10</v>
      </c>
      <c r="D24" s="38" t="n">
        <v>126.0</v>
      </c>
      <c r="E24" s="40" t="n">
        <v>131.0</v>
      </c>
      <c r="F24" s="39" t="n">
        <v>133.0</v>
      </c>
      <c r="G24" s="38" t="n">
        <v>138.0</v>
      </c>
      <c r="H24" s="40" t="n">
        <v>138.0</v>
      </c>
      <c r="I24" s="39" t="n">
        <v>140.0</v>
      </c>
      <c r="J24" s="91" t="n">
        <f t="shared" si="2"/>
        <v>1.0426065162907268</v>
      </c>
      <c r="K24" s="44" t="n">
        <v>138.0</v>
      </c>
      <c r="L24" s="88" t="n">
        <f t="shared" si="4"/>
        <v>1.037593984962406</v>
      </c>
      <c r="M24" s="44" t="n">
        <v>152.0</v>
      </c>
      <c r="N24" s="88" t="n">
        <f t="shared" si="8"/>
        <v>1.1428571428571428</v>
      </c>
      <c r="O24" s="44" t="n">
        <v>169.0</v>
      </c>
      <c r="P24" s="88" t="n">
        <f t="shared" si="9"/>
        <v>1.2706766917293233</v>
      </c>
      <c r="Q24" s="44" t="n">
        <v>170.0</v>
      </c>
      <c r="R24" s="88" t="n">
        <f t="shared" si="10"/>
        <v>1.2781954887218046</v>
      </c>
      <c r="S24" s="44" t="n">
        <v>150.0</v>
      </c>
      <c r="T24" s="88" t="n">
        <f t="shared" si="7"/>
        <v>1.1278195488721805</v>
      </c>
    </row>
    <row r="25" spans="1:20">
      <c r="A25" s="13"/>
      <c r="B25" s="7"/>
      <c r="C25" s="8" t="s">
        <v>11</v>
      </c>
      <c r="D25" s="38" t="n">
        <v>89.0</v>
      </c>
      <c r="E25" s="40" t="n">
        <v>84.0</v>
      </c>
      <c r="F25" s="39" t="n">
        <v>98.0</v>
      </c>
      <c r="G25" s="38" t="n">
        <v>99.0</v>
      </c>
      <c r="H25" s="40" t="n">
        <v>99.0</v>
      </c>
      <c r="I25" s="39" t="n">
        <v>98.0</v>
      </c>
      <c r="J25" s="91" t="n">
        <f t="shared" si="2"/>
        <v>1.0068027210884354</v>
      </c>
      <c r="K25" s="44" t="n">
        <v>99.0</v>
      </c>
      <c r="L25" s="88" t="n">
        <f t="shared" si="4"/>
        <v>1.010204081632653</v>
      </c>
      <c r="M25" s="44" t="n">
        <v>105.0</v>
      </c>
      <c r="N25" s="88" t="n">
        <f t="shared" si="8"/>
        <v>1.0714285714285714</v>
      </c>
      <c r="O25" s="44" t="n">
        <v>115.0</v>
      </c>
      <c r="P25" s="88" t="n">
        <f t="shared" si="9"/>
        <v>1.1734693877551021</v>
      </c>
      <c r="Q25" s="44" t="n">
        <v>112.0</v>
      </c>
      <c r="R25" s="88" t="n">
        <f t="shared" si="10"/>
        <v>1.1428571428571428</v>
      </c>
      <c r="S25" s="44" t="n">
        <v>100.0</v>
      </c>
      <c r="T25" s="88" t="n">
        <f t="shared" si="7"/>
        <v>1.0204081632653061</v>
      </c>
    </row>
    <row r="26" spans="1:20">
      <c r="A26" s="228"/>
      <c r="B26" s="550"/>
      <c r="C26" s="8" t="s">
        <v>12</v>
      </c>
      <c r="D26" s="38" t="n">
        <v>52.0</v>
      </c>
      <c r="E26" s="40" t="n">
        <v>49.0</v>
      </c>
      <c r="F26" s="39" t="n">
        <v>49.0</v>
      </c>
      <c r="G26" s="38" t="n">
        <v>50.0</v>
      </c>
      <c r="H26" s="40" t="n">
        <v>50.0</v>
      </c>
      <c r="I26" s="39" t="n">
        <v>51.0</v>
      </c>
      <c r="J26" s="91" t="n">
        <f t="shared" si="2"/>
        <v>1.0272108843537415</v>
      </c>
      <c r="K26" s="44" t="n">
        <v>50.0</v>
      </c>
      <c r="L26" s="88" t="n">
        <f t="shared" si="4"/>
        <v>1.0204081632653061</v>
      </c>
      <c r="M26" s="44" t="n">
        <v>52.0</v>
      </c>
      <c r="N26" s="88" t="n">
        <f t="shared" si="8"/>
        <v>1.0612244897959184</v>
      </c>
      <c r="O26" s="44" t="n">
        <v>61.0</v>
      </c>
      <c r="P26" s="88" t="n">
        <f t="shared" si="9"/>
        <v>1.2448979591836735</v>
      </c>
      <c r="Q26" s="44" t="n">
        <v>64.0</v>
      </c>
      <c r="R26" s="88" t="n">
        <f t="shared" si="10"/>
        <v>1.3061224489795917</v>
      </c>
      <c r="S26" s="44" t="n">
        <v>57.0</v>
      </c>
      <c r="T26" s="88" t="n">
        <f t="shared" si="7"/>
        <v>1.163265306122449</v>
      </c>
    </row>
    <row r="27" spans="1:20">
      <c r="A27" s="204"/>
      <c r="B27" s="9" t="s">
        <v>13</v>
      </c>
      <c r="C27" s="10"/>
      <c r="D27" s="63" t="n">
        <f t="shared" ref="D27:K27" si="11">SUM(D28:D34)</f>
        <v>554.0</v>
      </c>
      <c r="E27" s="64" t="n">
        <f t="shared" si="11"/>
        <v>560.0</v>
      </c>
      <c r="F27" s="47" t="n">
        <f t="shared" si="11"/>
        <v>562.0</v>
      </c>
      <c r="G27" s="63" t="n">
        <f t="shared" si="11"/>
        <v>575.0</v>
      </c>
      <c r="H27" s="64" t="n">
        <f t="shared" si="11"/>
        <v>579.0</v>
      </c>
      <c r="I27" s="47" t="n">
        <f t="shared" si="11"/>
        <v>584.0</v>
      </c>
      <c r="J27" s="92" t="n">
        <f t="shared" si="2"/>
        <v>1.0308422301304865</v>
      </c>
      <c r="K27" s="65" t="n">
        <f t="shared" si="11"/>
        <v>585.0</v>
      </c>
      <c r="L27" s="89" t="n">
        <f t="shared" si="4"/>
        <v>1.0409252669039146</v>
      </c>
      <c r="M27" s="65" t="n">
        <f t="shared" ref="M27" si="12">SUM(M28:M34)</f>
        <v>636.0</v>
      </c>
      <c r="N27" s="89" t="n">
        <f t="shared" si="8"/>
        <v>1.1316725978647686</v>
      </c>
      <c r="O27" s="65" t="n">
        <f t="shared" ref="O27" si="13">SUM(O28:O34)</f>
        <v>689.0</v>
      </c>
      <c r="P27" s="89" t="n">
        <f t="shared" si="9"/>
        <v>1.2259786476868328</v>
      </c>
      <c r="Q27" s="65" t="n">
        <f t="shared" ref="Q27:S27" si="14">SUM(Q28:Q34)</f>
        <v>669.0</v>
      </c>
      <c r="R27" s="89" t="n">
        <f t="shared" si="10"/>
        <v>1.190391459074733</v>
      </c>
      <c r="S27" s="65" t="n">
        <f t="shared" si="14"/>
        <v>590.0</v>
      </c>
      <c r="T27" s="88" t="n">
        <f t="shared" si="7"/>
        <v>1.0498220640569396</v>
      </c>
    </row>
    <row r="28" spans="1:20">
      <c r="A28" s="5"/>
      <c r="B28" s="11"/>
      <c r="C28" s="8" t="s">
        <v>6</v>
      </c>
      <c r="D28" s="38" t="n">
        <v>27.0</v>
      </c>
      <c r="E28" s="40" t="n">
        <v>33.0</v>
      </c>
      <c r="F28" s="39" t="n">
        <v>33.0</v>
      </c>
      <c r="G28" s="38" t="n">
        <v>34.0</v>
      </c>
      <c r="H28" s="40" t="n">
        <v>34.0</v>
      </c>
      <c r="I28" s="39" t="n">
        <v>34.0</v>
      </c>
      <c r="J28" s="91" t="n">
        <f t="shared" si="2"/>
        <v>1.0303030303030303</v>
      </c>
      <c r="K28" s="44" t="n">
        <v>33.0</v>
      </c>
      <c r="L28" s="88" t="n">
        <f t="shared" si="4"/>
        <v>1.0</v>
      </c>
      <c r="M28" s="44" t="n">
        <v>37.0</v>
      </c>
      <c r="N28" s="88" t="n">
        <f t="shared" si="8"/>
        <v>1.121212121212121</v>
      </c>
      <c r="O28" s="44" t="n">
        <v>40.0</v>
      </c>
      <c r="P28" s="88" t="n">
        <f t="shared" si="9"/>
        <v>1.2121212121212122</v>
      </c>
      <c r="Q28" s="44" t="n">
        <v>37.0</v>
      </c>
      <c r="R28" s="88" t="n">
        <f t="shared" si="10"/>
        <v>1.121212121212121</v>
      </c>
      <c r="S28" s="44" t="n">
        <v>32.0</v>
      </c>
      <c r="T28" s="88" t="n">
        <f t="shared" si="7"/>
        <v>0.9696969696969697</v>
      </c>
    </row>
    <row r="29" spans="1:20">
      <c r="A29" s="5"/>
      <c r="B29" s="11"/>
      <c r="C29" s="8" t="s">
        <v>7</v>
      </c>
      <c r="D29" s="38" t="n">
        <v>72.0</v>
      </c>
      <c r="E29" s="40" t="n">
        <v>84.0</v>
      </c>
      <c r="F29" s="39" t="n">
        <v>91.0</v>
      </c>
      <c r="G29" s="38" t="n">
        <v>96.0</v>
      </c>
      <c r="H29" s="40" t="n">
        <v>97.0</v>
      </c>
      <c r="I29" s="39" t="n">
        <v>99.0</v>
      </c>
      <c r="J29" s="91" t="n">
        <f t="shared" si="2"/>
        <v>1.0695970695970696</v>
      </c>
      <c r="K29" s="44" t="n">
        <v>99.0</v>
      </c>
      <c r="L29" s="88" t="n">
        <f t="shared" si="4"/>
        <v>1.0879120879120878</v>
      </c>
      <c r="M29" s="44" t="n">
        <v>105.0</v>
      </c>
      <c r="N29" s="88" t="n">
        <f t="shared" si="8"/>
        <v>1.1538461538461537</v>
      </c>
      <c r="O29" s="44" t="n">
        <v>111.0</v>
      </c>
      <c r="P29" s="88" t="n">
        <f t="shared" si="9"/>
        <v>1.2197802197802199</v>
      </c>
      <c r="Q29" s="44" t="n">
        <v>105.0</v>
      </c>
      <c r="R29" s="88" t="n">
        <f t="shared" si="10"/>
        <v>1.1538461538461537</v>
      </c>
      <c r="S29" s="44" t="n">
        <v>95.0</v>
      </c>
      <c r="T29" s="88" t="n">
        <f t="shared" si="7"/>
        <v>1.043956043956044</v>
      </c>
    </row>
    <row r="30" spans="1:20">
      <c r="A30" s="204"/>
      <c r="B30" s="551"/>
      <c r="C30" s="8" t="s">
        <v>8</v>
      </c>
      <c r="D30" s="38" t="n">
        <v>68.0</v>
      </c>
      <c r="E30" s="40" t="n">
        <v>69.0</v>
      </c>
      <c r="F30" s="39" t="n">
        <v>65.0</v>
      </c>
      <c r="G30" s="38" t="n">
        <v>64.0</v>
      </c>
      <c r="H30" s="40" t="n">
        <v>65.0</v>
      </c>
      <c r="I30" s="39" t="n">
        <v>66.0</v>
      </c>
      <c r="J30" s="91" t="n">
        <f t="shared" si="2"/>
        <v>1.0</v>
      </c>
      <c r="K30" s="44" t="n">
        <v>69.0</v>
      </c>
      <c r="L30" s="88" t="n">
        <f t="shared" si="4"/>
        <v>1.0615384615384615</v>
      </c>
      <c r="M30" s="44" t="n">
        <v>73.0</v>
      </c>
      <c r="N30" s="88" t="n">
        <f t="shared" si="8"/>
        <v>1.123076923076923</v>
      </c>
      <c r="O30" s="44" t="n">
        <v>77.0</v>
      </c>
      <c r="P30" s="88" t="n">
        <f t="shared" si="9"/>
        <v>1.1846153846153846</v>
      </c>
      <c r="Q30" s="44" t="n">
        <v>70.0</v>
      </c>
      <c r="R30" s="88" t="n">
        <f t="shared" si="10"/>
        <v>1.0769230769230769</v>
      </c>
      <c r="S30" s="44" t="n">
        <v>60.0</v>
      </c>
      <c r="T30" s="88" t="n">
        <f t="shared" si="7"/>
        <v>0.9230769230769231</v>
      </c>
    </row>
    <row r="31" spans="1:20">
      <c r="A31" s="204"/>
      <c r="B31" s="551"/>
      <c r="C31" s="8" t="s">
        <v>9</v>
      </c>
      <c r="D31" s="38" t="n">
        <v>124.0</v>
      </c>
      <c r="E31" s="40" t="n">
        <v>115.0</v>
      </c>
      <c r="F31" s="39" t="n">
        <v>97.0</v>
      </c>
      <c r="G31" s="38" t="n">
        <v>98.0</v>
      </c>
      <c r="H31" s="40" t="n">
        <v>100.0</v>
      </c>
      <c r="I31" s="39" t="n">
        <v>100.0</v>
      </c>
      <c r="J31" s="91" t="n">
        <f t="shared" si="2"/>
        <v>1.0240549828178693</v>
      </c>
      <c r="K31" s="44" t="n">
        <v>101.0</v>
      </c>
      <c r="L31" s="88" t="n">
        <f t="shared" si="4"/>
        <v>1.041237113402062</v>
      </c>
      <c r="M31" s="44" t="n">
        <v>116.0</v>
      </c>
      <c r="N31" s="88" t="n">
        <f t="shared" si="8"/>
        <v>1.1958762886597938</v>
      </c>
      <c r="O31" s="44" t="n">
        <v>120.0</v>
      </c>
      <c r="P31" s="88" t="n">
        <f t="shared" si="9"/>
        <v>1.2371134020618557</v>
      </c>
      <c r="Q31" s="44" t="n">
        <v>114.0</v>
      </c>
      <c r="R31" s="88" t="n">
        <f t="shared" si="10"/>
        <v>1.175257731958763</v>
      </c>
      <c r="S31" s="44" t="n">
        <v>99.0</v>
      </c>
      <c r="T31" s="88" t="n">
        <f t="shared" si="7"/>
        <v>1.0206185567010309</v>
      </c>
    </row>
    <row r="32" spans="1:20">
      <c r="A32" s="204"/>
      <c r="B32" s="551"/>
      <c r="C32" s="8" t="s">
        <v>10</v>
      </c>
      <c r="D32" s="38" t="n">
        <v>125.0</v>
      </c>
      <c r="E32" s="40" t="n">
        <v>128.0</v>
      </c>
      <c r="F32" s="39" t="n">
        <v>131.0</v>
      </c>
      <c r="G32" s="38" t="n">
        <v>136.0</v>
      </c>
      <c r="H32" s="40" t="n">
        <v>136.0</v>
      </c>
      <c r="I32" s="39" t="n">
        <v>138.0</v>
      </c>
      <c r="J32" s="91" t="n">
        <f t="shared" si="2"/>
        <v>1.0432569974554706</v>
      </c>
      <c r="K32" s="44" t="n">
        <v>136.0</v>
      </c>
      <c r="L32" s="88" t="n">
        <f t="shared" si="4"/>
        <v>1.0381679389312977</v>
      </c>
      <c r="M32" s="44" t="n">
        <v>150.0</v>
      </c>
      <c r="N32" s="88" t="n">
        <f t="shared" si="8"/>
        <v>1.1450381679389312</v>
      </c>
      <c r="O32" s="44" t="n">
        <v>167.0</v>
      </c>
      <c r="P32" s="88" t="n">
        <f t="shared" si="9"/>
        <v>1.2748091603053435</v>
      </c>
      <c r="Q32" s="44" t="n">
        <v>168.0</v>
      </c>
      <c r="R32" s="88" t="n">
        <f t="shared" si="10"/>
        <v>1.282442748091603</v>
      </c>
      <c r="S32" s="44" t="n">
        <v>148.0</v>
      </c>
      <c r="T32" s="88" t="n">
        <f t="shared" si="7"/>
        <v>1.1297709923664123</v>
      </c>
    </row>
    <row r="33" spans="1:20">
      <c r="A33" s="204"/>
      <c r="B33" s="551"/>
      <c r="C33" s="8" t="s">
        <v>11</v>
      </c>
      <c r="D33" s="38" t="n">
        <v>87.0</v>
      </c>
      <c r="E33" s="40" t="n">
        <v>83.0</v>
      </c>
      <c r="F33" s="39" t="n">
        <v>98.0</v>
      </c>
      <c r="G33" s="38" t="n">
        <v>99.0</v>
      </c>
      <c r="H33" s="40" t="n">
        <v>99.0</v>
      </c>
      <c r="I33" s="39" t="n">
        <v>98.0</v>
      </c>
      <c r="J33" s="91" t="n">
        <f t="shared" si="2"/>
        <v>1.0068027210884354</v>
      </c>
      <c r="K33" s="44" t="n">
        <v>99.0</v>
      </c>
      <c r="L33" s="88" t="n">
        <f t="shared" si="4"/>
        <v>1.010204081632653</v>
      </c>
      <c r="M33" s="44" t="n">
        <v>105.0</v>
      </c>
      <c r="N33" s="88" t="n">
        <f t="shared" si="8"/>
        <v>1.0714285714285714</v>
      </c>
      <c r="O33" s="44" t="n">
        <v>115.0</v>
      </c>
      <c r="P33" s="88" t="n">
        <f t="shared" si="9"/>
        <v>1.1734693877551021</v>
      </c>
      <c r="Q33" s="44" t="n">
        <v>112.0</v>
      </c>
      <c r="R33" s="88" t="n">
        <f t="shared" si="10"/>
        <v>1.1428571428571428</v>
      </c>
      <c r="S33" s="44" t="n">
        <v>100.0</v>
      </c>
      <c r="T33" s="88" t="n">
        <f t="shared" si="7"/>
        <v>1.0204081632653061</v>
      </c>
    </row>
    <row r="34" spans="1:20" ht="14.25" thickBot="1">
      <c r="A34" s="552"/>
      <c r="B34" s="553"/>
      <c r="C34" s="12" t="s">
        <v>12</v>
      </c>
      <c r="D34" s="41" t="n">
        <v>51.0</v>
      </c>
      <c r="E34" s="42" t="n">
        <v>48.0</v>
      </c>
      <c r="F34" s="43" t="n">
        <v>47.0</v>
      </c>
      <c r="G34" s="41" t="n">
        <v>48.0</v>
      </c>
      <c r="H34" s="42" t="n">
        <v>48.0</v>
      </c>
      <c r="I34" s="43" t="n">
        <v>49.0</v>
      </c>
      <c r="J34" s="93" t="n">
        <f t="shared" si="2"/>
        <v>1.0283687943262412</v>
      </c>
      <c r="K34" s="45" t="n">
        <v>48.0</v>
      </c>
      <c r="L34" s="90" t="n">
        <f t="shared" si="4"/>
        <v>1.0212765957446808</v>
      </c>
      <c r="M34" s="45" t="n">
        <v>50.0</v>
      </c>
      <c r="N34" s="90" t="n">
        <f t="shared" si="8"/>
        <v>1.0638297872340425</v>
      </c>
      <c r="O34" s="45" t="n">
        <v>59.0</v>
      </c>
      <c r="P34" s="90" t="n">
        <f t="shared" si="9"/>
        <v>1.2553191489361701</v>
      </c>
      <c r="Q34" s="45" t="n">
        <v>63.0</v>
      </c>
      <c r="R34" s="90" t="n">
        <f t="shared" si="10"/>
        <v>1.3404255319148937</v>
      </c>
      <c r="S34" s="45" t="n">
        <v>56.0</v>
      </c>
      <c r="T34" s="90" t="n">
        <f t="shared" si="7"/>
        <v>1.1914893617021276</v>
      </c>
    </row>
    <row r="35" spans="1:20" ht="13.5" customHeight="1">
      <c r="A35" s="187"/>
      <c r="B35" s="190"/>
      <c r="C35" s="1"/>
      <c r="D35" s="26"/>
      <c r="E35" s="26"/>
      <c r="F35" s="27"/>
      <c r="G35" s="548" t="s">
        <v>350</v>
      </c>
      <c r="H35" s="227"/>
      <c r="I35" s="227"/>
      <c r="J35" s="227"/>
      <c r="K35" s="622" t="s">
        <v>383</v>
      </c>
      <c r="L35" s="622"/>
      <c r="M35" s="622"/>
    </row>
    <row r="36" spans="1:20">
      <c r="A36" s="187"/>
      <c r="B36" s="190"/>
      <c r="C36" s="187"/>
      <c r="D36" s="187"/>
      <c r="E36" s="187"/>
      <c r="F36" s="187"/>
      <c r="G36" s="549"/>
      <c r="H36" s="549"/>
      <c r="I36" s="549"/>
      <c r="J36" s="549"/>
      <c r="K36" s="622"/>
      <c r="L36" s="622"/>
      <c r="M36" s="622"/>
    </row>
    <row r="37" spans="1:20" ht="14.25" thickBot="1">
      <c r="A37" s="367" t="s">
        <v>14</v>
      </c>
      <c r="B37" s="190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T37" s="2" t="s">
        <v>63</v>
      </c>
    </row>
    <row r="38" spans="1:20" ht="14.25" thickBot="1">
      <c r="A38" s="187"/>
      <c r="B38" s="190"/>
      <c r="C38" s="187"/>
      <c r="D38" s="1062" t="s">
        <v>414</v>
      </c>
      <c r="E38" s="1063"/>
      <c r="F38" s="1064"/>
      <c r="G38" s="1062" t="s">
        <v>415</v>
      </c>
      <c r="H38" s="1063"/>
      <c r="I38" s="1063"/>
      <c r="J38" s="1064"/>
      <c r="K38" s="1065" t="s">
        <v>416</v>
      </c>
      <c r="L38" s="1066"/>
      <c r="M38" s="1065" t="s">
        <v>417</v>
      </c>
      <c r="N38" s="1066"/>
      <c r="O38" s="1065" t="s">
        <v>418</v>
      </c>
      <c r="P38" s="1066"/>
      <c r="Q38" s="1065" t="s">
        <v>419</v>
      </c>
      <c r="R38" s="1066"/>
      <c r="S38" s="1065" t="s">
        <v>420</v>
      </c>
      <c r="T38" s="1066"/>
    </row>
    <row r="39" spans="1:20" ht="23.25" thickBot="1">
      <c r="A39" s="29"/>
      <c r="B39" s="369"/>
      <c r="C39" s="370"/>
      <c r="D39" s="992" t="s">
        <v>352</v>
      </c>
      <c r="E39" s="993" t="s">
        <v>351</v>
      </c>
      <c r="F39" s="994" t="s">
        <v>348</v>
      </c>
      <c r="G39" s="992" t="s">
        <v>347</v>
      </c>
      <c r="H39" s="995" t="s">
        <v>346</v>
      </c>
      <c r="I39" s="993" t="s">
        <v>345</v>
      </c>
      <c r="J39" s="996" t="s">
        <v>104</v>
      </c>
      <c r="K39" s="992" t="s">
        <v>368</v>
      </c>
      <c r="L39" s="997" t="s">
        <v>105</v>
      </c>
      <c r="M39" s="992" t="s">
        <v>371</v>
      </c>
      <c r="N39" s="997" t="s">
        <v>105</v>
      </c>
      <c r="O39" s="992" t="s">
        <v>374</v>
      </c>
      <c r="P39" s="997" t="s">
        <v>105</v>
      </c>
      <c r="Q39" s="992" t="s">
        <v>377</v>
      </c>
      <c r="R39" s="997" t="s">
        <v>105</v>
      </c>
      <c r="S39" s="992" t="s">
        <v>380</v>
      </c>
      <c r="T39" s="997" t="s">
        <v>105</v>
      </c>
    </row>
    <row r="40" spans="1:20">
      <c r="A40" s="554" t="s">
        <v>76</v>
      </c>
      <c r="B40" s="517"/>
      <c r="C40" s="555"/>
      <c r="D40" s="67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27005.507</v>
      </c>
      <c r="E40" s="66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27938.341000000004</v>
      </c>
      <c r="F40" s="175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34325.974799999996</v>
      </c>
      <c r="G40" s="68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33168.0</v>
      </c>
      <c r="H40" s="66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33965.0</v>
      </c>
      <c r="I40" s="66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34358.0</v>
      </c>
      <c r="J40" s="94" t="n">
        <f>IFERROR((SUM(G40:I40)/3)/F40,"－")</f>
        <v>0.9855607460660765</v>
      </c>
      <c r="K40" s="68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33959.0</v>
      </c>
      <c r="L40" s="94" t="n">
        <f>IFERROR(K40/F40,"－")</f>
        <v>0.9893091222568865</v>
      </c>
      <c r="M40" s="727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36228.0</v>
      </c>
      <c r="N40" s="598" t="n">
        <f>IFERROR(M40/F40,"－")</f>
        <v>1.055410668191716</v>
      </c>
      <c r="O40" s="727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38436.0</v>
      </c>
      <c r="P40" s="598" t="n">
        <f>IFERROR(O40/F40,"－")</f>
        <v>1.1197351342226123</v>
      </c>
      <c r="Q40" s="727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36228.0</v>
      </c>
      <c r="R40" s="598" t="n">
        <f>IFERROR(Q40/F40,"－")</f>
        <v>1.055410668191716</v>
      </c>
      <c r="S40" s="727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32680.0</v>
      </c>
      <c r="T40" s="598" t="n">
        <f>IFERROR(S40/F40,"－")</f>
        <v>0.9520487091891707</v>
      </c>
    </row>
    <row r="41" spans="1:20" ht="14.25" thickBot="1">
      <c r="A41" s="556" t="s">
        <v>78</v>
      </c>
      <c r="B41" s="557"/>
      <c r="C41" s="558"/>
      <c r="D41" s="69" t="n">
        <f>('2_サービス別給付費'!D47+'2_サービス別給付費'!D55)</f>
        <v>0.0</v>
      </c>
      <c r="E41" s="70" t="n">
        <f>('2_サービス別給付費'!E47+'2_サービス別給付費'!E55)</f>
        <v>4349.2970000000005</v>
      </c>
      <c r="F41" s="176" t="n">
        <f>('2_サービス別給付費'!F47+'2_サービス別給付費'!F55)</f>
        <v>0.0</v>
      </c>
      <c r="G41" s="71" t="n">
        <f>('2_サービス別給付費'!G47+'2_サービス別給付費'!G55)</f>
        <v>0.0</v>
      </c>
      <c r="H41" s="70" t="n">
        <f>('2_サービス別給付費'!H47+'2_サービス別給付費'!H55)</f>
        <v>0.0</v>
      </c>
      <c r="I41" s="70" t="n">
        <f>('2_サービス別給付費'!I47+'2_サービス別給付費'!I55)</f>
        <v>0.0</v>
      </c>
      <c r="J41" s="95" t="str">
        <f>IFERROR((SUM(G41:I41)/3)/F41,"－")</f>
        <v>－</v>
      </c>
      <c r="K41" s="71" t="n">
        <f>('2_サービス別給付費'!K47+'2_サービス別給付費'!K55)</f>
        <v>0.0</v>
      </c>
      <c r="L41" s="95" t="str">
        <f>IFERROR(K41/F41,"－")</f>
        <v>－</v>
      </c>
      <c r="M41" s="728" t="n">
        <f>('2_サービス別給付費'!M47+'2_サービス別給付費'!M55)</f>
        <v>0.0</v>
      </c>
      <c r="N41" s="448" t="str">
        <f t="shared" ref="N41:N42" si="15">IFERROR(M41/F41,"－")</f>
        <v>－</v>
      </c>
      <c r="O41" s="728" t="n">
        <f>('2_サービス別給付費'!O47+'2_サービス別給付費'!O55)</f>
        <v>0.0</v>
      </c>
      <c r="P41" s="448" t="str">
        <f t="shared" ref="P41:P42" si="16">IFERROR(O41/F41,"－")</f>
        <v>－</v>
      </c>
      <c r="Q41" s="728" t="n">
        <f>('2_サービス別給付費'!Q47+'2_サービス別給付費'!Q55)</f>
        <v>0.0</v>
      </c>
      <c r="R41" s="448" t="str">
        <f t="shared" ref="R41:R42" si="17">IFERROR(Q41/F41,"－")</f>
        <v>－</v>
      </c>
      <c r="S41" s="728" t="n">
        <f>('2_サービス別給付費'!S47+'2_サービス別給付費'!S55)</f>
        <v>0.0</v>
      </c>
      <c r="T41" s="448" t="str">
        <f>IFERROR(S41/F41,"－")</f>
        <v>－</v>
      </c>
    </row>
    <row r="42" spans="1:20" ht="14.25" thickBot="1">
      <c r="A42" s="559" t="s">
        <v>36</v>
      </c>
      <c r="B42" s="369"/>
      <c r="C42" s="560"/>
      <c r="D42" s="76" t="n">
        <f>SUM(D40:D41)</f>
        <v>27005.507</v>
      </c>
      <c r="E42" s="77" t="n">
        <f t="shared" ref="E42:K42" si="18">SUM(E40:E41)</f>
        <v>32287.638000000006</v>
      </c>
      <c r="F42" s="177" t="n">
        <f t="shared" si="18"/>
        <v>34325.974799999996</v>
      </c>
      <c r="G42" s="79" t="n">
        <f t="shared" si="18"/>
        <v>33168.0</v>
      </c>
      <c r="H42" s="79" t="n">
        <f t="shared" si="18"/>
        <v>33965.0</v>
      </c>
      <c r="I42" s="77" t="n">
        <f t="shared" si="18"/>
        <v>34358.0</v>
      </c>
      <c r="J42" s="96" t="n">
        <f>IFERROR((SUM(G42:I42)/3)/F42,"－")</f>
        <v>0.9855607460660765</v>
      </c>
      <c r="K42" s="79" t="n">
        <f t="shared" si="18"/>
        <v>33959.0</v>
      </c>
      <c r="L42" s="96" t="n">
        <f>IFERROR(K42/F42,"－")</f>
        <v>0.9893091222568865</v>
      </c>
      <c r="M42" s="729" t="n">
        <f t="shared" ref="M42" si="19">SUM(M40:M41)</f>
        <v>36228.0</v>
      </c>
      <c r="N42" s="730" t="n">
        <f t="shared" si="15"/>
        <v>1.055410668191716</v>
      </c>
      <c r="O42" s="729" t="n">
        <f t="shared" ref="O42" si="20">SUM(O40:O41)</f>
        <v>38436.0</v>
      </c>
      <c r="P42" s="730" t="n">
        <f t="shared" si="16"/>
        <v>1.1197351342226123</v>
      </c>
      <c r="Q42" s="729" t="n">
        <f t="shared" ref="Q42:S42" si="21">SUM(Q40:Q41)</f>
        <v>36228.0</v>
      </c>
      <c r="R42" s="730" t="n">
        <f t="shared" si="17"/>
        <v>1.055410668191716</v>
      </c>
      <c r="S42" s="729" t="n">
        <f t="shared" si="21"/>
        <v>32680.0</v>
      </c>
      <c r="T42" s="730" t="n">
        <f>IFERROR(S42/F42,"－")</f>
        <v>0.9520487091891707</v>
      </c>
    </row>
    <row r="43" spans="1:20" ht="13.5" customHeight="1">
      <c r="A43" s="373"/>
      <c r="B43" s="15"/>
      <c r="C43" s="561"/>
      <c r="D43" s="211"/>
      <c r="E43" s="549"/>
      <c r="F43" s="549"/>
      <c r="G43" s="548" t="s">
        <v>349</v>
      </c>
      <c r="H43" s="227"/>
      <c r="I43" s="227"/>
      <c r="J43" s="227"/>
      <c r="K43" s="622" t="s">
        <v>383</v>
      </c>
      <c r="L43" s="622"/>
      <c r="M43" s="622"/>
    </row>
    <row r="44" spans="1:20" ht="13.5" customHeight="1">
      <c r="A44" s="373"/>
      <c r="B44" s="15"/>
      <c r="C44" s="561"/>
      <c r="D44" s="211"/>
      <c r="E44" s="549"/>
      <c r="F44" s="549"/>
      <c r="G44" s="549"/>
      <c r="H44" s="549"/>
      <c r="I44" s="549"/>
      <c r="J44" s="549"/>
      <c r="K44" s="622"/>
      <c r="L44" s="622"/>
      <c r="M44" s="622"/>
    </row>
    <row r="45" spans="1:20" ht="13.5" customHeight="1">
      <c r="A45" s="373"/>
      <c r="B45" s="15"/>
      <c r="C45" s="561"/>
      <c r="D45" s="211"/>
      <c r="E45" s="549"/>
      <c r="F45" s="549"/>
      <c r="G45" s="549"/>
      <c r="H45" s="549"/>
      <c r="I45" s="549"/>
      <c r="J45" s="549"/>
    </row>
    <row r="46" spans="1:20" ht="13.5" customHeight="1">
      <c r="A46" s="373"/>
      <c r="B46" s="15"/>
      <c r="C46" s="561"/>
      <c r="D46" s="211"/>
      <c r="E46" s="549"/>
      <c r="F46" s="549"/>
      <c r="G46" s="549"/>
      <c r="H46" s="549"/>
      <c r="I46" s="549"/>
      <c r="J46" s="549"/>
    </row>
    <row r="47" spans="1:20" ht="13.5" customHeight="1">
      <c r="A47" s="373"/>
      <c r="B47" s="15"/>
      <c r="C47" s="561"/>
      <c r="D47" s="211"/>
      <c r="E47" s="549"/>
      <c r="F47" s="549"/>
      <c r="G47" s="549"/>
      <c r="H47" s="549"/>
      <c r="I47" s="549"/>
      <c r="J47" s="549"/>
    </row>
    <row r="48" spans="1:20" ht="13.5" customHeight="1">
      <c r="A48" s="373"/>
      <c r="B48" s="15"/>
      <c r="C48" s="561"/>
      <c r="D48" s="211"/>
      <c r="E48" s="549"/>
      <c r="F48" s="549"/>
      <c r="G48" s="549"/>
      <c r="H48" s="549"/>
      <c r="I48" s="549"/>
      <c r="J48" s="549"/>
    </row>
    <row r="49" spans="1:20" ht="13.5" customHeight="1">
      <c r="A49" s="373"/>
      <c r="B49" s="15"/>
      <c r="C49" s="561"/>
      <c r="D49" s="211"/>
      <c r="E49" s="549"/>
      <c r="F49" s="549"/>
      <c r="G49" s="549"/>
      <c r="H49" s="549"/>
      <c r="I49" s="549"/>
      <c r="J49" s="549"/>
    </row>
    <row r="50" spans="1:20" ht="13.5" customHeight="1">
      <c r="A50" s="373"/>
      <c r="B50" s="15"/>
      <c r="C50" s="561"/>
      <c r="D50" s="211"/>
      <c r="E50" s="549"/>
      <c r="F50" s="549"/>
      <c r="G50" s="549"/>
      <c r="H50" s="549"/>
      <c r="I50" s="549"/>
      <c r="J50" s="549"/>
    </row>
    <row r="51" spans="1:20" ht="13.5" customHeight="1">
      <c r="A51" s="373"/>
      <c r="B51" s="15"/>
      <c r="C51" s="561"/>
      <c r="D51" s="211"/>
      <c r="E51" s="549"/>
      <c r="F51" s="549"/>
      <c r="G51" s="549"/>
      <c r="H51" s="549"/>
      <c r="I51" s="549"/>
      <c r="J51" s="549"/>
    </row>
    <row r="52" spans="1:20" ht="13.5" customHeight="1">
      <c r="A52" s="373"/>
      <c r="B52" s="15"/>
      <c r="C52" s="561"/>
      <c r="D52" s="211"/>
      <c r="E52" s="549"/>
      <c r="F52" s="549"/>
      <c r="G52" s="549"/>
      <c r="H52" s="549"/>
      <c r="I52" s="549"/>
      <c r="J52" s="549"/>
    </row>
    <row r="53" spans="1:20" ht="13.5" customHeight="1">
      <c r="A53" s="373"/>
      <c r="B53" s="15"/>
      <c r="C53" s="561"/>
      <c r="D53" s="211"/>
      <c r="E53" s="549"/>
      <c r="F53" s="549"/>
      <c r="G53" s="549"/>
      <c r="H53" s="549"/>
      <c r="I53" s="549"/>
      <c r="J53" s="549"/>
    </row>
    <row r="54" spans="1:20" ht="13.5" customHeight="1">
      <c r="A54" s="373"/>
      <c r="B54" s="15"/>
      <c r="C54" s="561"/>
      <c r="D54" s="211"/>
      <c r="E54" s="549"/>
      <c r="F54" s="549"/>
      <c r="G54" s="549"/>
      <c r="H54" s="549"/>
      <c r="I54" s="549"/>
      <c r="J54" s="549"/>
    </row>
    <row r="55" spans="1:20" ht="16.5" customHeight="1">
      <c r="A55" s="373"/>
      <c r="B55" s="15"/>
      <c r="C55" s="561"/>
      <c r="D55" s="211"/>
      <c r="E55" s="549"/>
      <c r="F55" s="549"/>
      <c r="G55" s="549"/>
      <c r="H55" s="549"/>
      <c r="I55" s="549"/>
      <c r="J55" s="549"/>
    </row>
    <row r="56" spans="1:20" ht="13.5" customHeight="1">
      <c r="A56" s="373"/>
      <c r="B56" s="15"/>
      <c r="C56" s="561"/>
      <c r="D56" s="211"/>
      <c r="E56" s="549"/>
      <c r="F56" s="549"/>
      <c r="G56" s="549"/>
      <c r="H56" s="549"/>
      <c r="I56" s="549"/>
      <c r="J56" s="549"/>
    </row>
    <row r="57" spans="1:20" ht="13.5" customHeight="1">
      <c r="A57" s="373"/>
      <c r="B57" s="15"/>
      <c r="C57" s="561"/>
      <c r="D57" s="211"/>
      <c r="E57" s="549"/>
      <c r="F57" s="549"/>
      <c r="G57" s="549"/>
      <c r="H57" s="549"/>
      <c r="I57" s="549"/>
      <c r="J57" s="549"/>
    </row>
    <row r="58" spans="1:20">
      <c r="A58" s="561"/>
      <c r="B58" s="186"/>
      <c r="C58" s="561"/>
      <c r="D58" s="549"/>
      <c r="E58" s="549"/>
      <c r="F58" s="549"/>
      <c r="G58" s="549"/>
      <c r="H58" s="549"/>
      <c r="I58" s="549"/>
      <c r="J58" s="549"/>
    </row>
    <row r="59" spans="1:20" ht="14.25" thickBot="1">
      <c r="A59" s="22" t="s">
        <v>37</v>
      </c>
      <c r="B59" s="190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T59" s="2" t="s">
        <v>63</v>
      </c>
    </row>
    <row r="60" spans="1:20" ht="14.25" thickBot="1">
      <c r="A60" s="187"/>
      <c r="B60" s="190"/>
      <c r="C60" s="187"/>
      <c r="D60" s="1062" t="s">
        <v>414</v>
      </c>
      <c r="E60" s="1063"/>
      <c r="F60" s="1064"/>
      <c r="G60" s="1062" t="s">
        <v>415</v>
      </c>
      <c r="H60" s="1063"/>
      <c r="I60" s="1063"/>
      <c r="J60" s="1064"/>
      <c r="K60" s="1065" t="s">
        <v>416</v>
      </c>
      <c r="L60" s="1066"/>
      <c r="M60" s="1065" t="s">
        <v>417</v>
      </c>
      <c r="N60" s="1066"/>
      <c r="O60" s="1065" t="s">
        <v>418</v>
      </c>
      <c r="P60" s="1066"/>
      <c r="Q60" s="1065" t="s">
        <v>419</v>
      </c>
      <c r="R60" s="1066"/>
      <c r="S60" s="1065" t="s">
        <v>420</v>
      </c>
      <c r="T60" s="1066"/>
    </row>
    <row r="61" spans="1:20" ht="23.25" thickBot="1">
      <c r="A61" s="29"/>
      <c r="B61" s="369"/>
      <c r="C61" s="370"/>
      <c r="D61" s="992" t="s">
        <v>352</v>
      </c>
      <c r="E61" s="993" t="s">
        <v>351</v>
      </c>
      <c r="F61" s="994" t="s">
        <v>348</v>
      </c>
      <c r="G61" s="992" t="s">
        <v>347</v>
      </c>
      <c r="H61" s="995" t="s">
        <v>346</v>
      </c>
      <c r="I61" s="993" t="s">
        <v>345</v>
      </c>
      <c r="J61" s="996" t="s">
        <v>104</v>
      </c>
      <c r="K61" s="992" t="s">
        <v>368</v>
      </c>
      <c r="L61" s="997" t="s">
        <v>105</v>
      </c>
      <c r="M61" s="992" t="s">
        <v>371</v>
      </c>
      <c r="N61" s="997" t="s">
        <v>105</v>
      </c>
      <c r="O61" s="992" t="s">
        <v>374</v>
      </c>
      <c r="P61" s="997" t="s">
        <v>105</v>
      </c>
      <c r="Q61" s="992" t="s">
        <v>377</v>
      </c>
      <c r="R61" s="997" t="s">
        <v>105</v>
      </c>
      <c r="S61" s="992" t="s">
        <v>380</v>
      </c>
      <c r="T61" s="997" t="s">
        <v>105</v>
      </c>
    </row>
    <row r="62" spans="1:20">
      <c r="A62" s="562" t="s">
        <v>76</v>
      </c>
      <c r="B62" s="28"/>
      <c r="C62" s="563"/>
      <c r="D62" s="178" t="n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312648.599</v>
      </c>
      <c r="E62" s="179" t="n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290059.00999999995</v>
      </c>
      <c r="F62" s="180" t="n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267245.4756</v>
      </c>
      <c r="G62" s="178" t="n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289936.0</v>
      </c>
      <c r="H62" s="181" t="n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291204.0</v>
      </c>
      <c r="I62" s="179" t="n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289889.0</v>
      </c>
      <c r="J62" s="97" t="n">
        <f>IFERROR((SUM(G62:I62)/3)/F62,"－")</f>
        <v>1.0864281213672304</v>
      </c>
      <c r="K62" s="178" t="n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273854.0</v>
      </c>
      <c r="L62" s="97" t="n">
        <f>IFERROR(K62/F62,"－")</f>
        <v>1.024728292911837</v>
      </c>
      <c r="M62" s="731" t="n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300577.0</v>
      </c>
      <c r="N62" s="732" t="n">
        <f>IFERROR(M62/F62,"－")</f>
        <v>1.124722502130921</v>
      </c>
      <c r="O62" s="731" t="n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327507.0</v>
      </c>
      <c r="P62" s="732" t="n">
        <f>IFERROR(O62/F62,"－")</f>
        <v>1.2254912801225362</v>
      </c>
      <c r="Q62" s="731" t="n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316592.0</v>
      </c>
      <c r="R62" s="732" t="n">
        <f>IFERROR(Q62/F62,"－")</f>
        <v>1.1846486803535619</v>
      </c>
      <c r="S62" s="731" t="n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283303.0</v>
      </c>
      <c r="T62" s="732" t="n">
        <f>IFERROR(S62/F62,"－")</f>
        <v>1.0600852993449144</v>
      </c>
    </row>
    <row r="63" spans="1:20">
      <c r="A63" s="37" t="s">
        <v>77</v>
      </c>
      <c r="B63" s="524"/>
      <c r="C63" s="564"/>
      <c r="D63" s="72" t="n">
        <f>('2_サービス別給付費'!D106+'2_サービス別給付費'!D121+'2_サービス別給付費'!D123)</f>
        <v>91870.496</v>
      </c>
      <c r="E63" s="74" t="n">
        <f>('2_サービス別給付費'!E106+'2_サービス別給付費'!E121+'2_サービス別給付費'!E123)</f>
        <v>86313.202</v>
      </c>
      <c r="F63" s="75" t="n">
        <f>('2_サービス別給付費'!F106+'2_サービス別給付費'!F121+'2_サービス別給付費'!F123)</f>
        <v>67176.948</v>
      </c>
      <c r="G63" s="72" t="n">
        <f>('2_サービス別給付費'!G106+'2_サービス別給付費'!G121+'2_サービス別給付費'!G123)</f>
        <v>66637.0</v>
      </c>
      <c r="H63" s="73" t="n">
        <f>('2_サービス別給付費'!H106+'2_サービス別給付費'!H121+'2_サービス別給付費'!H123)</f>
        <v>70338.0</v>
      </c>
      <c r="I63" s="74" t="n">
        <f>('2_サービス別給付費'!I106+'2_サービス別給付費'!I121+'2_サービス別給付費'!I123)</f>
        <v>73499.0</v>
      </c>
      <c r="J63" s="98" t="n">
        <f>IFERROR((SUM(G63:I63)/3)/F63,"－")</f>
        <v>1.0443761154496032</v>
      </c>
      <c r="K63" s="72" t="n">
        <f>('2_サービス別給付費'!K106+'2_サービス別給付費'!K121+'2_サービス別給付費'!K123)</f>
        <v>70338.0</v>
      </c>
      <c r="L63" s="98" t="n">
        <f>IFERROR(K63/F63,"－")</f>
        <v>1.047055606039143</v>
      </c>
      <c r="M63" s="400" t="n">
        <f>('2_サービス別給付費'!M106+'2_サービス別給付費'!M121+'2_サービス別給付費'!M123)</f>
        <v>81786.0</v>
      </c>
      <c r="N63" s="403" t="n">
        <f t="shared" ref="N63:N65" si="22">IFERROR(M63/F63,"－")</f>
        <v>1.21747120753387</v>
      </c>
      <c r="O63" s="400" t="n">
        <f>('2_サービス別給付費'!O106+'2_サービス別給付費'!O121+'2_サービス別給付費'!O123)</f>
        <v>84947.0</v>
      </c>
      <c r="P63" s="403" t="n">
        <f t="shared" ref="P63:P65" si="23">IFERROR(O63/F63,"－")</f>
        <v>1.2645260394979538</v>
      </c>
      <c r="Q63" s="400" t="n">
        <f>('2_サービス別給付費'!Q106+'2_サービス別給付費'!Q121+'2_サービス別給付費'!Q123)</f>
        <v>84947.0</v>
      </c>
      <c r="R63" s="403" t="n">
        <f t="shared" ref="R63:R65" si="24">IFERROR(Q63/F63,"－")</f>
        <v>1.2645260394979538</v>
      </c>
      <c r="S63" s="400" t="n">
        <f>('2_サービス別給付費'!S106+'2_サービス別給付費'!S121+'2_サービス別給付費'!S123)</f>
        <v>69799.0</v>
      </c>
      <c r="T63" s="403" t="n">
        <f>IFERROR(S63/F63,"－")</f>
        <v>1.0390320203293546</v>
      </c>
    </row>
    <row r="64" spans="1:20" ht="14.25" thickBot="1">
      <c r="A64" s="565" t="s">
        <v>61</v>
      </c>
      <c r="B64" s="566"/>
      <c r="C64" s="567"/>
      <c r="D64" s="182" t="n">
        <f>('2_サービス別給付費'!D125+'2_サービス別給付費'!D132+'2_サービス別給付費'!D134+'2_サービス別給付費'!D136+'2_サービス別給付費'!D138)</f>
        <v>578238.232</v>
      </c>
      <c r="E64" s="183" t="n">
        <f>('2_サービス別給付費'!E125+'2_サービス別給付費'!E132+'2_サービス別給付費'!E134+'2_サービス別給付費'!E136+'2_サービス別給付費'!E138)</f>
        <v>589563.917</v>
      </c>
      <c r="F64" s="184" t="n">
        <f>('2_サービス別給付費'!F125+'2_サービス別給付費'!F132+'2_サービス別給付費'!F134+'2_サービス別給付費'!F136+'2_サービス別給付費'!F138)</f>
        <v>653839.788</v>
      </c>
      <c r="G64" s="182" t="n">
        <f>('2_サービス別給付費'!G125+'2_サービス別給付費'!G132+'2_サービス別給付費'!G134+'2_サービス別給付費'!G136+'2_サービス別給付費'!G138)</f>
        <v>653839.0</v>
      </c>
      <c r="H64" s="185" t="n">
        <f>('2_サービス別給付費'!H125+'2_サービス別給付費'!H132+'2_サービス別給付費'!H134+'2_サービス別給付費'!H136+'2_サービス別給付費'!H138)</f>
        <v>653839.0</v>
      </c>
      <c r="I64" s="183" t="n">
        <f>('2_サービス別給付費'!I125+'2_サービス別給付費'!I132+'2_サービス別給付費'!I134+'2_サービス別給付費'!I136+'2_サービス別給付費'!I138)</f>
        <v>653839.0</v>
      </c>
      <c r="J64" s="99" t="n">
        <f>IFERROR((SUM(G64:I64)/3)/F64,"－")</f>
        <v>0.9999987948117958</v>
      </c>
      <c r="K64" s="183" t="n">
        <f>('2_サービス別給付費'!K125+'2_サービス別給付費'!K132+'2_サービス別給付費'!K134+'2_サービス別給付費'!K136+'2_サービス別給付費'!K138)</f>
        <v>702887.0</v>
      </c>
      <c r="L64" s="100" t="n">
        <f>IFERROR(K64/F64,"－")</f>
        <v>1.0750141133962317</v>
      </c>
      <c r="M64" s="494" t="n">
        <f>('2_サービス別給付費'!M125+'2_サービス別給付費'!M132+'2_サービス別給付費'!M134+'2_サービス別給付費'!M136+'2_サービス別給付費'!M138)</f>
        <v>753655.0</v>
      </c>
      <c r="N64" s="733" t="n">
        <f t="shared" si="22"/>
        <v>1.152660045827618</v>
      </c>
      <c r="O64" s="494" t="n">
        <f>('2_サービス別給付費'!O125+'2_サービス別給付費'!O132+'2_サービス別給付費'!O134+'2_サービス別給付費'!O136+'2_サービス別給付費'!O138)</f>
        <v>832165.0</v>
      </c>
      <c r="P64" s="733" t="n">
        <f t="shared" si="23"/>
        <v>1.2727353325276682</v>
      </c>
      <c r="Q64" s="494" t="n">
        <f>('2_サービス別給付費'!Q125+'2_サービス別給付費'!Q132+'2_サービス別給付費'!Q134+'2_サービス別給付費'!Q136+'2_サービス別給付費'!Q138)</f>
        <v>840198.0</v>
      </c>
      <c r="R64" s="733" t="n">
        <f t="shared" si="24"/>
        <v>1.2850212168489203</v>
      </c>
      <c r="S64" s="494" t="n">
        <f>('2_サービス別給付費'!S125+'2_サービス別給付費'!S132+'2_サービス別給付費'!S134+'2_サービス別給付費'!S136+'2_サービス別給付費'!S138)</f>
        <v>740959.0</v>
      </c>
      <c r="T64" s="733" t="n">
        <f>IFERROR(S64/F64,"－")</f>
        <v>1.1332424450131506</v>
      </c>
    </row>
    <row r="65" spans="1:20" ht="14.25" thickBot="1">
      <c r="A65" s="559" t="s">
        <v>36</v>
      </c>
      <c r="B65" s="369"/>
      <c r="C65" s="560"/>
      <c r="D65" s="76" t="n">
        <f>SUM(D62:D64)</f>
        <v>982757.3269999999</v>
      </c>
      <c r="E65" s="77" t="n">
        <f t="shared" ref="E65:I65" si="25">SUM(E62:E64)</f>
        <v>965936.129</v>
      </c>
      <c r="F65" s="78" t="n">
        <f>SUM(F62:F64)</f>
        <v>988262.2115999999</v>
      </c>
      <c r="G65" s="76" t="n">
        <f t="shared" si="25"/>
        <v>1010412.0</v>
      </c>
      <c r="H65" s="79" t="n">
        <f t="shared" si="25"/>
        <v>1015381.0</v>
      </c>
      <c r="I65" s="77" t="n">
        <f t="shared" si="25"/>
        <v>1017227.0</v>
      </c>
      <c r="J65" s="96" t="n">
        <f>IFERROR((SUM(G65:I65)/3)/F65,"－")</f>
        <v>1.026387519520533</v>
      </c>
      <c r="K65" s="79" t="n">
        <f>SUM(K62:K64)</f>
        <v>1047079.0</v>
      </c>
      <c r="L65" s="96" t="n">
        <f>IFERROR(K65/F65,"－")</f>
        <v>1.0595153671865845</v>
      </c>
      <c r="M65" s="729" t="n">
        <f>SUM(M62:M64)</f>
        <v>1136018.0</v>
      </c>
      <c r="N65" s="730" t="n">
        <f t="shared" si="22"/>
        <v>1.149510713518817</v>
      </c>
      <c r="O65" s="729" t="n">
        <f>SUM(O62:O64)</f>
        <v>1244619.0</v>
      </c>
      <c r="P65" s="730" t="n">
        <f t="shared" si="23"/>
        <v>1.259401589366609</v>
      </c>
      <c r="Q65" s="729" t="n">
        <f>SUM(Q62:Q64)</f>
        <v>1241737.0</v>
      </c>
      <c r="R65" s="730" t="n">
        <f t="shared" si="24"/>
        <v>1.2564853592748664</v>
      </c>
      <c r="S65" s="729" t="n">
        <f>SUM(S62:S64)</f>
        <v>1094061.0</v>
      </c>
      <c r="T65" s="730" t="n">
        <f>IFERROR(S65/F65,"－")</f>
        <v>1.1070553818188713</v>
      </c>
    </row>
    <row r="66" spans="1:20" ht="13.5" customHeight="1">
      <c r="A66" s="561"/>
      <c r="B66" s="186"/>
      <c r="C66" s="561"/>
      <c r="D66" s="549"/>
      <c r="E66" s="549"/>
      <c r="F66" s="549"/>
      <c r="G66" s="548" t="s">
        <v>349</v>
      </c>
      <c r="H66" s="227"/>
      <c r="I66" s="227"/>
      <c r="J66" s="227"/>
      <c r="K66" s="623" t="s">
        <v>383</v>
      </c>
      <c r="L66" s="623"/>
      <c r="M66" s="623"/>
    </row>
    <row r="67" spans="1:20">
      <c r="A67" s="561"/>
      <c r="B67" s="186"/>
      <c r="C67" s="561"/>
      <c r="D67" s="549"/>
      <c r="E67" s="549"/>
      <c r="F67" s="549"/>
      <c r="G67" s="549"/>
      <c r="H67" s="549"/>
      <c r="I67" s="549"/>
      <c r="J67" s="549"/>
      <c r="K67" s="623"/>
      <c r="L67" s="623"/>
      <c r="M67" s="623"/>
    </row>
    <row r="68" spans="1:20">
      <c r="A68" s="561"/>
      <c r="B68" s="186"/>
      <c r="C68" s="561"/>
      <c r="D68" s="549"/>
      <c r="E68" s="549"/>
      <c r="F68" s="549"/>
      <c r="G68" s="549"/>
      <c r="H68" s="549"/>
      <c r="I68" s="549"/>
      <c r="J68" s="549"/>
    </row>
    <row r="69" spans="1:20">
      <c r="A69" s="561"/>
      <c r="B69" s="186"/>
      <c r="C69" s="561"/>
      <c r="D69" s="549"/>
      <c r="E69" s="549"/>
      <c r="F69" s="549"/>
      <c r="G69" s="549"/>
      <c r="H69" s="549"/>
      <c r="I69" s="549"/>
      <c r="J69" s="549"/>
    </row>
    <row r="70" spans="1:20">
      <c r="A70" s="561"/>
      <c r="B70" s="186"/>
      <c r="C70" s="561"/>
      <c r="D70" s="549"/>
      <c r="E70" s="549"/>
      <c r="F70" s="549"/>
      <c r="G70" s="549"/>
      <c r="H70" s="549"/>
      <c r="I70" s="549"/>
      <c r="J70" s="549"/>
    </row>
    <row r="71" spans="1:20">
      <c r="A71" s="561"/>
      <c r="B71" s="186"/>
      <c r="C71" s="561"/>
      <c r="D71" s="549"/>
      <c r="E71" s="549"/>
      <c r="F71" s="549"/>
      <c r="G71" s="549"/>
      <c r="H71" s="549"/>
      <c r="I71" s="549"/>
      <c r="J71" s="549"/>
    </row>
    <row r="72" spans="1:20">
      <c r="A72" s="561"/>
      <c r="B72" s="186"/>
      <c r="C72" s="561"/>
      <c r="D72" s="549"/>
      <c r="E72" s="549"/>
      <c r="F72" s="549"/>
      <c r="G72" s="549"/>
      <c r="H72" s="549"/>
      <c r="I72" s="549"/>
      <c r="J72" s="549"/>
    </row>
    <row r="73" spans="1:20">
      <c r="A73" s="561"/>
      <c r="B73" s="186"/>
      <c r="C73" s="561"/>
      <c r="D73" s="549"/>
      <c r="E73" s="549"/>
      <c r="F73" s="549"/>
      <c r="G73" s="549"/>
      <c r="H73" s="549"/>
      <c r="I73" s="549"/>
      <c r="J73" s="549"/>
    </row>
    <row r="74" spans="1:20">
      <c r="A74" s="561"/>
      <c r="B74" s="186"/>
      <c r="C74" s="561"/>
      <c r="D74" s="549"/>
      <c r="E74" s="549"/>
      <c r="F74" s="549"/>
      <c r="G74" s="549"/>
      <c r="H74" s="549"/>
      <c r="I74" s="549"/>
      <c r="J74" s="549"/>
    </row>
    <row r="75" spans="1:20">
      <c r="A75" s="561"/>
      <c r="B75" s="186"/>
      <c r="C75" s="561"/>
      <c r="D75" s="549"/>
      <c r="E75" s="549"/>
      <c r="F75" s="549"/>
      <c r="G75" s="549"/>
      <c r="H75" s="549"/>
      <c r="I75" s="549"/>
      <c r="J75" s="549"/>
    </row>
    <row r="76" spans="1:20">
      <c r="A76" s="561"/>
      <c r="B76" s="186"/>
      <c r="C76" s="561"/>
      <c r="D76" s="549"/>
      <c r="E76" s="549"/>
      <c r="F76" s="549"/>
      <c r="G76" s="549"/>
      <c r="H76" s="549"/>
      <c r="I76" s="549"/>
      <c r="J76" s="549"/>
    </row>
    <row r="77" spans="1:20">
      <c r="A77" s="561"/>
      <c r="B77" s="186"/>
      <c r="C77" s="561"/>
      <c r="D77" s="549"/>
      <c r="E77" s="549"/>
      <c r="F77" s="549"/>
      <c r="G77" s="549"/>
      <c r="H77" s="549"/>
      <c r="I77" s="549"/>
      <c r="J77" s="549"/>
    </row>
    <row r="78" spans="1:20">
      <c r="A78" s="561"/>
      <c r="B78" s="186"/>
      <c r="C78" s="561"/>
      <c r="D78" s="549"/>
      <c r="E78" s="549"/>
      <c r="F78" s="549"/>
      <c r="G78" s="549"/>
      <c r="H78" s="549"/>
      <c r="I78" s="549"/>
      <c r="J78" s="549"/>
    </row>
    <row r="79" spans="1:20">
      <c r="A79" s="561"/>
      <c r="B79" s="186"/>
      <c r="C79" s="561"/>
      <c r="D79" s="549"/>
      <c r="E79" s="549"/>
      <c r="F79" s="549"/>
      <c r="G79" s="549"/>
      <c r="H79" s="549"/>
      <c r="I79" s="549"/>
      <c r="J79" s="549"/>
    </row>
    <row r="80" spans="1:20">
      <c r="A80" s="561"/>
      <c r="B80" s="186"/>
      <c r="C80" s="561"/>
      <c r="D80" s="549"/>
      <c r="E80" s="549"/>
      <c r="F80" s="549"/>
      <c r="G80" s="549"/>
      <c r="H80" s="549"/>
      <c r="I80" s="549"/>
      <c r="J80" s="549"/>
    </row>
    <row r="81" spans="1:20">
      <c r="A81" s="187"/>
      <c r="B81" s="190"/>
      <c r="C81" s="187"/>
      <c r="D81" s="187"/>
      <c r="E81" s="187"/>
      <c r="F81" s="187"/>
      <c r="G81" s="187"/>
      <c r="H81" s="187"/>
      <c r="I81" s="187"/>
      <c r="J81" s="187"/>
    </row>
    <row r="82" spans="1:20" ht="14.25" thickBot="1">
      <c r="A82" s="367" t="s">
        <v>106</v>
      </c>
      <c r="B82" s="190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T82" s="2" t="s">
        <v>63</v>
      </c>
    </row>
    <row r="83" spans="1:20" ht="14.25" thickBot="1">
      <c r="A83" s="187"/>
      <c r="B83" s="190"/>
      <c r="C83" s="187"/>
      <c r="D83" s="1062" t="s">
        <v>414</v>
      </c>
      <c r="E83" s="1063"/>
      <c r="F83" s="1064"/>
      <c r="G83" s="1062" t="s">
        <v>415</v>
      </c>
      <c r="H83" s="1063"/>
      <c r="I83" s="1063"/>
      <c r="J83" s="1064"/>
      <c r="K83" s="1065" t="s">
        <v>416</v>
      </c>
      <c r="L83" s="1066"/>
      <c r="M83" s="1065" t="s">
        <v>417</v>
      </c>
      <c r="N83" s="1066"/>
      <c r="O83" s="1065" t="s">
        <v>418</v>
      </c>
      <c r="P83" s="1066"/>
      <c r="Q83" s="1065" t="s">
        <v>419</v>
      </c>
      <c r="R83" s="1066"/>
      <c r="S83" s="1065" t="s">
        <v>420</v>
      </c>
      <c r="T83" s="1066"/>
    </row>
    <row r="84" spans="1:20" ht="23.25" thickBot="1">
      <c r="A84" s="199"/>
      <c r="B84" s="568"/>
      <c r="C84" s="200"/>
      <c r="D84" s="992" t="s">
        <v>352</v>
      </c>
      <c r="E84" s="993" t="s">
        <v>351</v>
      </c>
      <c r="F84" s="994" t="s">
        <v>348</v>
      </c>
      <c r="G84" s="992" t="s">
        <v>347</v>
      </c>
      <c r="H84" s="995" t="s">
        <v>346</v>
      </c>
      <c r="I84" s="993" t="s">
        <v>345</v>
      </c>
      <c r="J84" s="996" t="s">
        <v>104</v>
      </c>
      <c r="K84" s="992" t="s">
        <v>368</v>
      </c>
      <c r="L84" s="997" t="s">
        <v>105</v>
      </c>
      <c r="M84" s="992" t="s">
        <v>371</v>
      </c>
      <c r="N84" s="997" t="s">
        <v>105</v>
      </c>
      <c r="O84" s="992" t="s">
        <v>374</v>
      </c>
      <c r="P84" s="997" t="s">
        <v>105</v>
      </c>
      <c r="Q84" s="992" t="s">
        <v>377</v>
      </c>
      <c r="R84" s="997" t="s">
        <v>105</v>
      </c>
      <c r="S84" s="992" t="s">
        <v>380</v>
      </c>
      <c r="T84" s="997" t="s">
        <v>105</v>
      </c>
    </row>
    <row r="85" spans="1:20" ht="14.25" thickBot="1">
      <c r="A85" s="332" t="s">
        <v>64</v>
      </c>
      <c r="B85" s="569"/>
      <c r="C85" s="333"/>
      <c r="D85" s="570" t="n">
        <f>D42+D65</f>
        <v>1009762.8339999999</v>
      </c>
      <c r="E85" s="571" t="n">
        <f>E65+E42</f>
        <v>998223.767</v>
      </c>
      <c r="F85" s="572" t="n">
        <f>F65+F42</f>
        <v>1022588.1863999999</v>
      </c>
      <c r="G85" s="570" t="n">
        <f>G65+G42</f>
        <v>1043580.0</v>
      </c>
      <c r="H85" s="571" t="n">
        <f>H65+H42</f>
        <v>1049346.0</v>
      </c>
      <c r="I85" s="572" t="n">
        <f>I65+I42</f>
        <v>1051585.0</v>
      </c>
      <c r="J85" s="96" t="n">
        <f>IFERROR((SUM(G85:I85)/3)/F85,"－")</f>
        <v>1.0250170569869332</v>
      </c>
      <c r="K85" s="570" t="n">
        <f>K65+K42</f>
        <v>1081038.0</v>
      </c>
      <c r="L85" s="96" t="n">
        <f>IFERROR(K85/F85,"－")</f>
        <v>1.0571587021807591</v>
      </c>
      <c r="M85" s="734" t="n">
        <f>M65+M42</f>
        <v>1172246.0</v>
      </c>
      <c r="N85" s="730" t="n">
        <f>IFERROR(M85/F85,"－")</f>
        <v>1.1463519876235488</v>
      </c>
      <c r="O85" s="734" t="n">
        <f>O65+O42</f>
        <v>1283055.0</v>
      </c>
      <c r="P85" s="730" t="n">
        <f>IFERROR(O85/F85,"－")</f>
        <v>1.2547133020546306</v>
      </c>
      <c r="Q85" s="734" t="n">
        <f>Q65+Q42</f>
        <v>1277965.0</v>
      </c>
      <c r="R85" s="730" t="n">
        <f>IFERROR(Q85/F85,"－")</f>
        <v>1.2497357362390904</v>
      </c>
      <c r="S85" s="734" t="n">
        <f>S65+S42</f>
        <v>1126741.0</v>
      </c>
      <c r="T85" s="730" t="n">
        <f>IFERROR(S85/F85,"－")</f>
        <v>1.101852158068311</v>
      </c>
    </row>
    <row r="86" spans="1:20" ht="13.5" customHeight="1">
      <c r="A86" s="187" t="s">
        <v>110</v>
      </c>
      <c r="B86" s="190"/>
      <c r="C86" s="187"/>
      <c r="D86" s="187"/>
      <c r="E86" s="187"/>
      <c r="F86" s="187"/>
      <c r="G86" s="548" t="s">
        <v>349</v>
      </c>
      <c r="H86" s="227"/>
      <c r="I86" s="227"/>
      <c r="J86" s="227"/>
      <c r="K86" s="623" t="s">
        <v>383</v>
      </c>
      <c r="L86" s="623"/>
      <c r="M86" s="623"/>
    </row>
    <row r="87" spans="1:20">
      <c r="K87" s="623"/>
      <c r="L87" s="623"/>
      <c r="M87" s="623"/>
    </row>
    <row r="88" spans="1:20" ht="14.25" thickBot="1">
      <c r="A88" s="367" t="s">
        <v>93</v>
      </c>
      <c r="I88" s="927" t="s">
        <v>69</v>
      </c>
    </row>
    <row r="89" spans="1:20" ht="14.25" thickBot="1">
      <c r="D89" s="1062" t="s">
        <v>414</v>
      </c>
      <c r="E89" s="1063"/>
      <c r="F89" s="1064"/>
      <c r="G89" s="1062" t="s">
        <v>415</v>
      </c>
      <c r="H89" s="1063"/>
      <c r="I89" s="1064"/>
    </row>
    <row r="90" spans="1:20" ht="14.25" thickBot="1">
      <c r="A90" s="199"/>
      <c r="B90" s="568"/>
      <c r="C90" s="200"/>
      <c r="D90" s="992" t="s">
        <v>352</v>
      </c>
      <c r="E90" s="993" t="s">
        <v>351</v>
      </c>
      <c r="F90" s="998" t="s">
        <v>348</v>
      </c>
      <c r="G90" s="992" t="s">
        <v>347</v>
      </c>
      <c r="H90" s="993" t="s">
        <v>346</v>
      </c>
      <c r="I90" s="999" t="s">
        <v>345</v>
      </c>
    </row>
    <row r="91" spans="1:20">
      <c r="A91" s="314" t="s">
        <v>70</v>
      </c>
      <c r="B91" s="573"/>
      <c r="C91" s="315"/>
      <c r="D91" s="101" t="n">
        <f t="shared" ref="D91:I91" si="26">IFERROR((D62+D40)/D12,"－")</f>
        <v>103.86975718654433</v>
      </c>
      <c r="E91" s="102" t="n">
        <f t="shared" si="26"/>
        <v>96.80284657534246</v>
      </c>
      <c r="F91" s="103" t="n">
        <f t="shared" si="26"/>
        <v>92.59178704329136</v>
      </c>
      <c r="G91" s="101" t="n">
        <f t="shared" si="26"/>
        <v>100.00123800680903</v>
      </c>
      <c r="H91" s="102" t="n">
        <f t="shared" si="26"/>
        <v>101.52013737121449</v>
      </c>
      <c r="I91" s="103" t="n">
        <f t="shared" si="26"/>
        <v>102.06074913440352</v>
      </c>
    </row>
    <row r="92" spans="1:20" ht="14.25" thickBot="1">
      <c r="A92" s="209" t="s">
        <v>71</v>
      </c>
      <c r="B92" s="574"/>
      <c r="C92" s="210"/>
      <c r="D92" s="104" t="n">
        <f t="shared" ref="D92:I92" si="27">IFERROR(D64/D12,"－")</f>
        <v>176.83126360856267</v>
      </c>
      <c r="E92" s="105" t="n">
        <f t="shared" si="27"/>
        <v>179.47151202435313</v>
      </c>
      <c r="F92" s="106" t="n">
        <f t="shared" si="27"/>
        <v>200.74909057414797</v>
      </c>
      <c r="G92" s="104" t="n">
        <f t="shared" si="27"/>
        <v>202.36428350355928</v>
      </c>
      <c r="H92" s="105" t="n">
        <f t="shared" si="27"/>
        <v>204.13331251951297</v>
      </c>
      <c r="I92" s="106" t="n">
        <f t="shared" si="27"/>
        <v>205.80390305319483</v>
      </c>
    </row>
    <row r="101" spans="1:12">
      <c r="H101" s="1054"/>
      <c r="I101" s="1054"/>
      <c r="J101" s="1054"/>
      <c r="K101" s="1054"/>
      <c r="L101" s="1054"/>
    </row>
    <row r="102" spans="1:12">
      <c r="H102" s="1054"/>
      <c r="I102" s="1054"/>
      <c r="J102" s="1054"/>
      <c r="K102" s="1054"/>
      <c r="L102" s="1054"/>
    </row>
    <row r="103" spans="1:12">
      <c r="H103" s="1054"/>
      <c r="I103" s="1054"/>
      <c r="J103" s="1054"/>
      <c r="K103" s="1054"/>
      <c r="L103" s="1054"/>
    </row>
    <row r="104" spans="1:12">
      <c r="H104" s="1054"/>
      <c r="I104" s="1054"/>
      <c r="J104" s="1054"/>
      <c r="K104" s="1054"/>
      <c r="L104" s="1054"/>
    </row>
    <row r="105" spans="1:12">
      <c r="H105" s="1054"/>
      <c r="I105" s="1054"/>
      <c r="J105" s="1054"/>
      <c r="K105" s="1054"/>
      <c r="L105" s="1054"/>
    </row>
    <row r="106" spans="1:12">
      <c r="H106" s="1054" t="s">
        <v>353</v>
      </c>
      <c r="I106" s="1054"/>
      <c r="J106" s="1054"/>
      <c r="K106" s="1054"/>
      <c r="L106" s="1054"/>
    </row>
    <row r="107" spans="1:12">
      <c r="H107" s="1054"/>
      <c r="I107" s="1054"/>
      <c r="J107" s="1054"/>
      <c r="K107" s="1054"/>
      <c r="L107" s="1054"/>
    </row>
    <row r="108" spans="1:12">
      <c r="H108" s="1054"/>
      <c r="I108" s="1054"/>
      <c r="J108" s="1054"/>
      <c r="K108" s="1054"/>
      <c r="L108" s="1054"/>
    </row>
    <row r="109" spans="1:12">
      <c r="H109" s="1054"/>
      <c r="I109" s="1054"/>
      <c r="J109" s="1054"/>
      <c r="K109" s="1054"/>
      <c r="L109" s="1054"/>
    </row>
    <row r="110" spans="1:12">
      <c r="H110" s="1054"/>
      <c r="I110" s="1054"/>
      <c r="J110" s="1054"/>
      <c r="K110" s="1054"/>
      <c r="L110" s="1054"/>
    </row>
    <row r="112" spans="1:12">
      <c r="A112" s="187"/>
      <c r="B112" s="190"/>
      <c r="C112" s="187"/>
      <c r="D112" s="187"/>
      <c r="E112" s="187"/>
      <c r="F112" s="187"/>
      <c r="G112" s="187"/>
      <c r="H112" s="187"/>
      <c r="I112" s="187"/>
      <c r="J112" s="187"/>
    </row>
    <row r="113" spans="1:12" ht="14.25" thickBot="1">
      <c r="A113" s="367" t="s">
        <v>251</v>
      </c>
      <c r="B113" s="368"/>
      <c r="C113" s="364"/>
      <c r="D113" s="575"/>
      <c r="E113" s="575"/>
      <c r="F113" s="575"/>
      <c r="G113" s="575"/>
      <c r="H113" s="575"/>
      <c r="I113" s="575"/>
      <c r="J113" s="575"/>
      <c r="K113" s="347"/>
      <c r="L113" s="347"/>
    </row>
    <row r="114" spans="1:12" ht="14.25" thickBot="1">
      <c r="A114" s="364"/>
      <c r="B114" s="368"/>
      <c r="C114" s="364"/>
      <c r="D114" s="1062" t="s">
        <v>414</v>
      </c>
      <c r="E114" s="1063"/>
      <c r="F114" s="1064"/>
      <c r="G114" s="1062" t="s">
        <v>415</v>
      </c>
      <c r="H114" s="1063"/>
      <c r="I114" s="1064"/>
      <c r="J114" s="347"/>
      <c r="K114" s="347"/>
      <c r="L114" s="2"/>
    </row>
    <row r="115" spans="1:12" ht="14.25" thickBot="1">
      <c r="A115" s="576"/>
      <c r="B115" s="577"/>
      <c r="C115" s="578"/>
      <c r="D115" s="992" t="s">
        <v>352</v>
      </c>
      <c r="E115" s="993" t="s">
        <v>351</v>
      </c>
      <c r="F115" s="998" t="s">
        <v>348</v>
      </c>
      <c r="G115" s="992" t="s">
        <v>347</v>
      </c>
      <c r="H115" s="993" t="s">
        <v>346</v>
      </c>
      <c r="I115" s="999" t="s">
        <v>345</v>
      </c>
      <c r="J115" s="347"/>
      <c r="K115" s="347"/>
      <c r="L115" s="347"/>
    </row>
    <row r="116" spans="1:12">
      <c r="A116" s="462" t="s">
        <v>252</v>
      </c>
      <c r="B116" s="579"/>
      <c r="C116" s="580"/>
      <c r="D116" s="608" t="n">
        <f>IFERROR(('2_サービス別給付費'!D54+'2_サービス別給付費'!D58+'2_サービス別給付費'!D120+'2_サービス別給付費'!D128+'2_サービス別給付費'!D141)/D12,"－")</f>
        <v>0.07742099898063201</v>
      </c>
      <c r="E116" s="609" t="n">
        <f>IFERROR(('2_サービス別給付費'!E54+'2_サービス別給付費'!E58+'2_サービス別給付費'!E120+'2_サービス別給付費'!E128+'2_サービス別給付費'!E141)/E12,"－")</f>
        <v>0.07813292744799592</v>
      </c>
      <c r="F116" s="610" t="n">
        <f>IFERROR(('2_サービス別給付費'!F54+'2_サービス別給付費'!F58+'2_サービス別給付費'!F120+'2_サービス別給付費'!F128+'2_サービス別給付費'!F141)/F12,"－")</f>
        <v>0.07921400061406202</v>
      </c>
      <c r="G116" s="608" t="n">
        <f>IFERROR(('2_サービス別給付費'!G54+'2_サービス別給付費'!G58+'2_サービス別給付費'!G120+'2_サービス別給付費'!G128+'2_サービス別給付費'!G141)/G12,"－")</f>
        <v>0.08511296812132467</v>
      </c>
      <c r="H116" s="609" t="n">
        <f>IFERROR(('2_サービス別給付費'!H54+'2_サービス別給付費'!H58+'2_サービス別給付費'!H120+'2_サービス別給付費'!H128+'2_サービス別給付費'!H141)/H12,"－")</f>
        <v>0.08710583827661568</v>
      </c>
      <c r="I116" s="610" t="n">
        <f>IFERROR(('2_サービス別給付費'!I54+'2_サービス別給付費'!I58+'2_サービス別給付費'!I120+'2_サービス別給付費'!I128+'2_サービス別給付費'!I141)/I12,"－")</f>
        <v>0.0881334592382751</v>
      </c>
      <c r="J116" s="347"/>
      <c r="K116" s="347"/>
      <c r="L116" s="347"/>
    </row>
    <row r="117" spans="1:12" ht="14.25" thickBot="1">
      <c r="A117" s="581" t="s">
        <v>253</v>
      </c>
      <c r="B117" s="582"/>
      <c r="C117" s="583"/>
      <c r="D117" s="611" t="n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0.05693170234454638</v>
      </c>
      <c r="E117" s="612" t="n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0.057711821410451544</v>
      </c>
      <c r="F117" s="613" t="n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0.06079214000614062</v>
      </c>
      <c r="G117" s="611" t="n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0.06128133704735376</v>
      </c>
      <c r="H117" s="612" t="n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0.062129253824539495</v>
      </c>
      <c r="I117" s="613" t="n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0.06295247088448222</v>
      </c>
      <c r="J117" s="347"/>
      <c r="K117" s="347"/>
      <c r="L117" s="347"/>
    </row>
    <row r="118" spans="1:12">
      <c r="A118" s="347"/>
      <c r="B118" s="347"/>
      <c r="C118" s="347"/>
      <c r="D118" s="347"/>
      <c r="E118" s="347"/>
      <c r="F118" s="347"/>
      <c r="G118" s="347"/>
      <c r="H118" s="347"/>
      <c r="I118" s="347"/>
      <c r="J118" s="347"/>
      <c r="K118" s="347"/>
      <c r="L118" s="347"/>
    </row>
    <row r="119" spans="1:12">
      <c r="A119" s="347"/>
      <c r="B119" s="347"/>
      <c r="C119" s="347"/>
      <c r="D119" s="347"/>
      <c r="E119" s="347"/>
      <c r="F119" s="347"/>
      <c r="G119" s="347"/>
      <c r="H119" s="347"/>
      <c r="I119" s="347"/>
      <c r="J119" s="347"/>
      <c r="K119" s="347"/>
      <c r="L119" s="347"/>
    </row>
    <row r="120" spans="1:12">
      <c r="A120" s="347"/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</row>
    <row r="121" spans="1:12">
      <c r="A121" s="347"/>
      <c r="B121" s="347"/>
      <c r="C121" s="347"/>
      <c r="D121" s="347"/>
      <c r="E121" s="347"/>
      <c r="F121" s="347"/>
      <c r="G121" s="347"/>
      <c r="H121" s="347"/>
      <c r="I121" s="347"/>
      <c r="J121" s="347"/>
      <c r="K121" s="347"/>
      <c r="L121" s="347"/>
    </row>
    <row r="122" spans="1:12">
      <c r="A122" s="347"/>
      <c r="B122" s="347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</row>
    <row r="123" spans="1:12">
      <c r="A123" s="347"/>
      <c r="B123" s="347"/>
      <c r="C123" s="347"/>
      <c r="D123" s="347"/>
      <c r="E123" s="347"/>
      <c r="F123" s="347"/>
      <c r="G123" s="347"/>
      <c r="H123" s="347"/>
      <c r="I123" s="347"/>
      <c r="J123" s="347"/>
      <c r="K123" s="347"/>
      <c r="L123" s="347"/>
    </row>
    <row r="124" spans="1:12">
      <c r="A124" s="347"/>
      <c r="B124" s="347"/>
      <c r="C124" s="347"/>
      <c r="D124" s="347"/>
      <c r="E124" s="347"/>
      <c r="F124" s="347"/>
      <c r="G124" s="347"/>
      <c r="H124" s="347"/>
      <c r="I124" s="347"/>
      <c r="J124" s="347"/>
      <c r="K124" s="347"/>
      <c r="L124" s="347"/>
    </row>
    <row r="125" spans="1:12">
      <c r="A125" s="347"/>
      <c r="B125" s="347"/>
      <c r="C125" s="347"/>
      <c r="D125" s="347"/>
      <c r="E125" s="347"/>
      <c r="F125" s="347"/>
      <c r="G125" s="347"/>
      <c r="H125" s="347"/>
      <c r="I125" s="347"/>
      <c r="J125" s="347"/>
      <c r="K125" s="347"/>
      <c r="L125" s="347"/>
    </row>
    <row r="126" spans="1:12">
      <c r="A126" s="347"/>
      <c r="B126" s="347"/>
      <c r="C126" s="347"/>
      <c r="D126" s="347"/>
      <c r="E126" s="347"/>
      <c r="F126" s="347"/>
      <c r="G126" s="347"/>
      <c r="H126" s="1067"/>
      <c r="I126" s="1067"/>
      <c r="J126" s="1067"/>
      <c r="K126" s="1067"/>
      <c r="L126" s="1067"/>
    </row>
    <row r="127" spans="1:12">
      <c r="A127" s="347"/>
      <c r="B127" s="347"/>
      <c r="C127" s="347"/>
      <c r="D127" s="347"/>
      <c r="E127" s="347"/>
      <c r="F127" s="347"/>
      <c r="G127" s="347"/>
      <c r="H127" s="1067"/>
      <c r="I127" s="1067"/>
      <c r="J127" s="1067"/>
      <c r="K127" s="1067"/>
      <c r="L127" s="1067"/>
    </row>
    <row r="128" spans="1:12">
      <c r="A128" s="347"/>
      <c r="B128" s="347"/>
      <c r="C128" s="347"/>
      <c r="D128" s="347"/>
      <c r="E128" s="347"/>
      <c r="F128" s="347"/>
      <c r="G128" s="347"/>
      <c r="H128" s="1067"/>
      <c r="I128" s="1067"/>
      <c r="J128" s="1067"/>
      <c r="K128" s="1067"/>
      <c r="L128" s="1067"/>
    </row>
    <row r="129" spans="1:12">
      <c r="A129" s="347"/>
      <c r="B129" s="347"/>
      <c r="C129" s="347"/>
      <c r="D129" s="347"/>
      <c r="E129" s="347"/>
      <c r="F129" s="347"/>
      <c r="G129" s="347"/>
      <c r="H129" s="1067"/>
      <c r="I129" s="1067"/>
      <c r="J129" s="1067"/>
      <c r="K129" s="1067"/>
      <c r="L129" s="1067"/>
    </row>
    <row r="130" spans="1:12">
      <c r="A130" s="347"/>
      <c r="B130" s="347"/>
      <c r="C130" s="347"/>
      <c r="D130" s="347"/>
      <c r="E130" s="347"/>
      <c r="F130" s="347"/>
      <c r="G130" s="347"/>
      <c r="H130" s="1067"/>
      <c r="I130" s="1067"/>
      <c r="J130" s="1067"/>
      <c r="K130" s="1067"/>
      <c r="L130" s="1067"/>
    </row>
    <row r="131" spans="1:12">
      <c r="A131" s="347"/>
      <c r="B131" s="347"/>
      <c r="C131" s="347"/>
      <c r="D131" s="347"/>
      <c r="E131" s="347"/>
      <c r="F131" s="347"/>
      <c r="G131" s="347"/>
      <c r="H131" s="1067" t="s">
        <v>354</v>
      </c>
      <c r="I131" s="1067"/>
      <c r="J131" s="1067"/>
      <c r="K131" s="1067"/>
      <c r="L131" s="1067"/>
    </row>
    <row r="132" spans="1:12">
      <c r="A132" s="347"/>
      <c r="B132" s="347"/>
      <c r="C132" s="347"/>
      <c r="D132" s="347"/>
      <c r="E132" s="347"/>
      <c r="F132" s="347"/>
      <c r="G132" s="347"/>
      <c r="H132" s="1067"/>
      <c r="I132" s="1067"/>
      <c r="J132" s="1067"/>
      <c r="K132" s="1067"/>
      <c r="L132" s="1067"/>
    </row>
    <row r="133" spans="1:12">
      <c r="A133" s="347"/>
      <c r="B133" s="347"/>
      <c r="C133" s="347"/>
      <c r="D133" s="347"/>
      <c r="E133" s="347"/>
      <c r="F133" s="347"/>
      <c r="G133" s="347"/>
      <c r="H133" s="1067"/>
      <c r="I133" s="1067"/>
      <c r="J133" s="1067"/>
      <c r="K133" s="1067"/>
      <c r="L133" s="1067"/>
    </row>
    <row r="134" spans="1:12">
      <c r="A134" s="347"/>
      <c r="B134" s="347"/>
      <c r="C134" s="347"/>
      <c r="D134" s="347"/>
      <c r="E134" s="347"/>
      <c r="F134" s="347"/>
      <c r="G134" s="347"/>
      <c r="H134" s="1067"/>
      <c r="I134" s="1067"/>
      <c r="J134" s="1067"/>
      <c r="K134" s="1067"/>
      <c r="L134" s="1067"/>
    </row>
    <row r="135" spans="1:12">
      <c r="A135" s="347"/>
      <c r="B135" s="347"/>
      <c r="C135" s="347"/>
      <c r="D135" s="347"/>
      <c r="E135" s="347"/>
      <c r="F135" s="347"/>
      <c r="G135" s="347"/>
      <c r="H135" s="1067"/>
      <c r="I135" s="1067"/>
      <c r="J135" s="1067"/>
      <c r="K135" s="1067"/>
      <c r="L135" s="1067"/>
    </row>
    <row r="136" spans="1:12">
      <c r="A136" s="347"/>
      <c r="B136" s="347"/>
      <c r="C136" s="347"/>
      <c r="D136" s="347"/>
      <c r="E136" s="347"/>
      <c r="F136" s="347"/>
      <c r="G136" s="347"/>
      <c r="H136" s="721"/>
      <c r="I136" s="721"/>
      <c r="J136" s="721"/>
      <c r="K136" s="721"/>
      <c r="L136" s="721"/>
    </row>
    <row r="137" spans="1:12">
      <c r="A137" s="347"/>
      <c r="B137" s="584" t="s">
        <v>254</v>
      </c>
      <c r="C137" s="347"/>
      <c r="D137" s="347"/>
      <c r="E137" s="347"/>
      <c r="F137" s="347"/>
      <c r="G137" s="347"/>
      <c r="H137" s="721"/>
      <c r="I137" s="721"/>
      <c r="J137" s="721"/>
      <c r="K137" s="721"/>
      <c r="L137" s="721"/>
    </row>
    <row r="138" spans="1:12">
      <c r="A138" s="347"/>
      <c r="B138" s="584" t="s">
        <v>255</v>
      </c>
      <c r="C138" s="347"/>
      <c r="D138" s="347"/>
      <c r="E138" s="347"/>
      <c r="F138" s="347"/>
      <c r="G138" s="347"/>
      <c r="H138" s="721"/>
      <c r="I138" s="721"/>
      <c r="J138" s="721"/>
      <c r="K138" s="721"/>
      <c r="L138" s="721"/>
    </row>
    <row r="139" spans="1:12" ht="12.75" customHeight="1">
      <c r="H139" s="720"/>
      <c r="I139" s="720"/>
      <c r="J139" s="720"/>
      <c r="K139" s="720"/>
      <c r="L139" s="720"/>
    </row>
    <row r="140" spans="1:12" ht="14.25" thickBot="1">
      <c r="A140" s="367" t="s">
        <v>256</v>
      </c>
      <c r="L140" s="2" t="s">
        <v>88</v>
      </c>
    </row>
    <row r="141" spans="1:12" ht="14.25" thickBot="1">
      <c r="A141" s="367"/>
      <c r="F141" s="1072" t="s">
        <v>339</v>
      </c>
      <c r="G141" s="1074" t="s">
        <v>337</v>
      </c>
      <c r="H141" s="1000" t="s">
        <v>421</v>
      </c>
      <c r="I141" s="1000" t="s">
        <v>422</v>
      </c>
      <c r="J141" s="1000" t="s">
        <v>423</v>
      </c>
      <c r="K141" s="1000" t="s">
        <v>424</v>
      </c>
      <c r="L141" s="1000" t="s">
        <v>420</v>
      </c>
    </row>
    <row r="142" spans="1:12" ht="14.25" thickBot="1">
      <c r="A142" s="199"/>
      <c r="B142" s="568"/>
      <c r="C142" s="200"/>
      <c r="D142" s="585"/>
      <c r="E142" s="586"/>
      <c r="F142" s="1073"/>
      <c r="G142" s="1075"/>
      <c r="H142" s="1002" t="s">
        <v>369</v>
      </c>
      <c r="I142" s="1003" t="s">
        <v>372</v>
      </c>
      <c r="J142" s="991" t="s">
        <v>375</v>
      </c>
      <c r="K142" s="991" t="s">
        <v>378</v>
      </c>
      <c r="L142" s="991" t="s">
        <v>381</v>
      </c>
    </row>
    <row r="143" spans="1:12" ht="14.25" thickBot="1">
      <c r="A143" s="199" t="s">
        <v>79</v>
      </c>
      <c r="B143" s="568"/>
      <c r="C143" s="200"/>
      <c r="D143" s="585"/>
      <c r="E143" s="586"/>
      <c r="F143" s="80" t="n">
        <v>6508.33057624376</v>
      </c>
      <c r="G143" s="80" t="n">
        <v>7146.90015510733</v>
      </c>
      <c r="H143" s="81" t="n">
        <v>8262.77265787957</v>
      </c>
      <c r="I143" s="735" t="n">
        <v>8925.37952571401</v>
      </c>
      <c r="J143" s="735" t="n">
        <v>9207.08712366642</v>
      </c>
      <c r="K143" s="735" t="n">
        <v>9635.87919140233</v>
      </c>
      <c r="L143" s="735" t="n">
        <v>10180.3064027337</v>
      </c>
    </row>
    <row r="144" spans="1:12" ht="14.25" thickBot="1">
      <c r="A144" s="199" t="s">
        <v>340</v>
      </c>
      <c r="B144" s="568"/>
      <c r="C144" s="200"/>
      <c r="D144" s="585"/>
      <c r="E144" s="586"/>
      <c r="F144" s="587"/>
      <c r="G144" s="107" t="n">
        <f>IFERROR(G143/F143,"－")</f>
        <v>1.0981157258966578</v>
      </c>
      <c r="H144" s="108" t="n">
        <f>IFERROR(H143/F143,"－")</f>
        <v>1.2695686798761803</v>
      </c>
      <c r="I144" s="736" t="n">
        <f>IFERROR(I143/F143,"－")</f>
        <v>1.371377716782363</v>
      </c>
      <c r="J144" s="736" t="n">
        <f>IFERROR(J143/F143,"－")</f>
        <v>1.4146618730882337</v>
      </c>
      <c r="K144" s="736" t="n">
        <f>IFERROR(K143/F143,"－")</f>
        <v>1.480545445336554</v>
      </c>
      <c r="L144" s="736" t="n">
        <f>IFERROR(L143/F143,"－")</f>
        <v>1.5641962686857245</v>
      </c>
    </row>
    <row r="145" spans="1:17">
      <c r="A145" s="187"/>
      <c r="B145" s="190"/>
      <c r="C145" s="187"/>
    </row>
    <row r="147" spans="1:17" ht="14.25" thickBot="1">
      <c r="A147" s="367" t="s">
        <v>257</v>
      </c>
      <c r="E147" s="34"/>
      <c r="H147" s="588"/>
      <c r="I147" s="589"/>
      <c r="J147" s="589"/>
      <c r="K147" s="589"/>
      <c r="L147" s="589"/>
      <c r="Q147" s="2" t="s">
        <v>88</v>
      </c>
    </row>
    <row r="148" spans="1:17">
      <c r="D148" s="1076" t="s">
        <v>339</v>
      </c>
      <c r="E148" s="1077"/>
      <c r="F148" s="1076" t="s">
        <v>338</v>
      </c>
      <c r="G148" s="1079"/>
      <c r="H148" s="1070" t="s">
        <v>421</v>
      </c>
      <c r="I148" s="1071"/>
      <c r="J148" s="1070" t="s">
        <v>422</v>
      </c>
      <c r="K148" s="1071"/>
      <c r="L148" s="1065" t="s">
        <v>423</v>
      </c>
      <c r="M148" s="1066"/>
      <c r="N148" s="1065" t="s">
        <v>424</v>
      </c>
      <c r="O148" s="1066"/>
      <c r="P148" s="1065" t="s">
        <v>420</v>
      </c>
      <c r="Q148" s="1066"/>
    </row>
    <row r="149" spans="1:17" ht="14.25" thickBot="1">
      <c r="D149" s="1068"/>
      <c r="E149" s="1078"/>
      <c r="F149" s="1068"/>
      <c r="G149" s="1078"/>
      <c r="H149" s="1080" t="s">
        <v>370</v>
      </c>
      <c r="I149" s="1078"/>
      <c r="J149" s="1068" t="s">
        <v>373</v>
      </c>
      <c r="K149" s="1069"/>
      <c r="L149" s="1068" t="s">
        <v>376</v>
      </c>
      <c r="M149" s="1069"/>
      <c r="N149" s="1068" t="s">
        <v>379</v>
      </c>
      <c r="O149" s="1069"/>
      <c r="P149" s="1068" t="s">
        <v>382</v>
      </c>
      <c r="Q149" s="1069"/>
    </row>
    <row r="150" spans="1:17" ht="14.25" thickBot="1">
      <c r="A150" s="590"/>
      <c r="B150" s="591"/>
      <c r="C150" s="592"/>
      <c r="D150" s="593" t="s">
        <v>80</v>
      </c>
      <c r="E150" s="594" t="s">
        <v>107</v>
      </c>
      <c r="F150" s="593" t="s">
        <v>80</v>
      </c>
      <c r="G150" s="594" t="s">
        <v>107</v>
      </c>
      <c r="H150" s="595" t="s">
        <v>80</v>
      </c>
      <c r="I150" s="594" t="s">
        <v>107</v>
      </c>
      <c r="J150" s="595" t="s">
        <v>80</v>
      </c>
      <c r="K150" s="594" t="s">
        <v>107</v>
      </c>
      <c r="L150" s="595" t="s">
        <v>80</v>
      </c>
      <c r="M150" s="594" t="s">
        <v>107</v>
      </c>
      <c r="N150" s="595" t="s">
        <v>80</v>
      </c>
      <c r="O150" s="594" t="s">
        <v>107</v>
      </c>
      <c r="P150" s="595" t="s">
        <v>80</v>
      </c>
      <c r="Q150" s="594" t="s">
        <v>107</v>
      </c>
    </row>
    <row r="151" spans="1:17">
      <c r="A151" s="82" t="s">
        <v>64</v>
      </c>
      <c r="B151" s="83"/>
      <c r="C151" s="596"/>
      <c r="D151" s="597" t="n">
        <v>6582.325181103817</v>
      </c>
      <c r="E151" s="598" t="n">
        <f t="shared" ref="E151:E161" si="28">IFERROR(D151/D$159,"－")</f>
        <v>0.913334336905903</v>
      </c>
      <c r="F151" s="597" t="n">
        <v>6448.13663704754</v>
      </c>
      <c r="G151" s="598" t="n">
        <f t="shared" ref="G151:G161" si="29">IFERROR(F151/F$159,"－")</f>
        <v>0.9022284482930074</v>
      </c>
      <c r="H151" s="599" t="n">
        <v>7450.75861304</v>
      </c>
      <c r="I151" s="598" t="n">
        <f t="shared" ref="I151:I161" si="30">IFERROR(H151/H$159,"－")</f>
        <v>0.9017262027577129</v>
      </c>
      <c r="J151" s="599" t="n">
        <v>7978.10999634923</v>
      </c>
      <c r="K151" s="598" t="n">
        <f t="shared" ref="K151:K161" si="31">IFERROR(J151/J$159,"－")</f>
        <v>0.8938678712052862</v>
      </c>
      <c r="L151" s="599" t="n">
        <v>8117.64703880459</v>
      </c>
      <c r="M151" s="598" t="n">
        <f t="shared" ref="M151:M161" si="32">IFERROR(L151/L$159,"－")</f>
        <v>0.8816737508585664</v>
      </c>
      <c r="N151" s="599" t="n">
        <v>8462.95609748575</v>
      </c>
      <c r="O151" s="598" t="n">
        <f t="shared" ref="O151:O161" si="33">IFERROR(N151/N$159,"－")</f>
        <v>0.8782754463170183</v>
      </c>
      <c r="P151" s="599" t="n">
        <v>9013.80837629632</v>
      </c>
      <c r="Q151" s="598" t="n">
        <f t="shared" ref="Q151:Q161" si="34">IFERROR(P151/P$159,"－")</f>
        <v>0.8854162163405864</v>
      </c>
    </row>
    <row r="152" spans="1:17">
      <c r="A152" s="33"/>
      <c r="B152" s="35" t="s">
        <v>70</v>
      </c>
      <c r="C152" s="600"/>
      <c r="D152" s="601" t="n">
        <v>2286.03982717116</v>
      </c>
      <c r="E152" s="395" t="n">
        <f t="shared" si="28"/>
        <v>0.31720077818150655</v>
      </c>
      <c r="F152" s="601" t="n">
        <v>1994.25024821394</v>
      </c>
      <c r="G152" s="395" t="n">
        <f t="shared" si="29"/>
        <v>0.2790370936956221</v>
      </c>
      <c r="H152" s="602" t="n">
        <v>2121.51687633153</v>
      </c>
      <c r="I152" s="395" t="n">
        <f t="shared" si="30"/>
        <v>0.2567560508043753</v>
      </c>
      <c r="J152" s="602" t="n">
        <v>2292.23843572117</v>
      </c>
      <c r="K152" s="395" t="n">
        <f t="shared" si="31"/>
        <v>0.25682251708369747</v>
      </c>
      <c r="L152" s="602" t="n">
        <v>2315.25235498187</v>
      </c>
      <c r="M152" s="395" t="n">
        <f t="shared" si="32"/>
        <v>0.2514641518956209</v>
      </c>
      <c r="N152" s="602" t="n">
        <v>2336.44909705268</v>
      </c>
      <c r="O152" s="395" t="n">
        <f t="shared" si="33"/>
        <v>0.24247388854121277</v>
      </c>
      <c r="P152" s="602" t="n">
        <v>2527.83045275466</v>
      </c>
      <c r="Q152" s="395" t="n">
        <f t="shared" si="34"/>
        <v>0.2483059303672693</v>
      </c>
    </row>
    <row r="153" spans="1:17">
      <c r="A153" s="33"/>
      <c r="B153" s="35" t="s">
        <v>81</v>
      </c>
      <c r="C153" s="600"/>
      <c r="D153" s="601" t="n">
        <v>582.481499689197</v>
      </c>
      <c r="E153" s="395" t="n">
        <f t="shared" si="28"/>
        <v>0.08082255732454946</v>
      </c>
      <c r="F153" s="601" t="n">
        <v>431.598143732346</v>
      </c>
      <c r="G153" s="395" t="n">
        <f t="shared" si="29"/>
        <v>0.060389558321157825</v>
      </c>
      <c r="H153" s="602" t="n">
        <v>484.785418573637</v>
      </c>
      <c r="I153" s="395" t="n">
        <f t="shared" si="30"/>
        <v>0.05867103436657361</v>
      </c>
      <c r="J153" s="602" t="n">
        <v>556.621821837241</v>
      </c>
      <c r="K153" s="395" t="n">
        <f t="shared" si="31"/>
        <v>0.062363938724803135</v>
      </c>
      <c r="L153" s="602" t="n">
        <v>537.443650510175</v>
      </c>
      <c r="M153" s="395" t="n">
        <f t="shared" si="32"/>
        <v>0.058372821207339144</v>
      </c>
      <c r="N153" s="602" t="n">
        <v>562.537105173555</v>
      </c>
      <c r="O153" s="395" t="n">
        <f t="shared" si="33"/>
        <v>0.0583794269313258</v>
      </c>
      <c r="P153" s="602" t="n">
        <v>558.384589588119</v>
      </c>
      <c r="Q153" s="395" t="n">
        <f t="shared" si="34"/>
        <v>0.054849487579094566</v>
      </c>
    </row>
    <row r="154" spans="1:17">
      <c r="A154" s="31"/>
      <c r="B154" s="35" t="s">
        <v>71</v>
      </c>
      <c r="C154" s="600"/>
      <c r="D154" s="601" t="n">
        <v>3713.80385424346</v>
      </c>
      <c r="E154" s="395" t="n">
        <f t="shared" si="28"/>
        <v>0.5153110013998471</v>
      </c>
      <c r="F154" s="601" t="n">
        <v>4022.28824510125</v>
      </c>
      <c r="G154" s="395" t="n">
        <f t="shared" si="29"/>
        <v>0.562801796276227</v>
      </c>
      <c r="H154" s="602" t="n">
        <v>4844.45631813484</v>
      </c>
      <c r="I154" s="395" t="n">
        <f t="shared" si="30"/>
        <v>0.5862991175867649</v>
      </c>
      <c r="J154" s="602" t="n">
        <v>5129.24973879082</v>
      </c>
      <c r="K154" s="395" t="n">
        <f t="shared" si="31"/>
        <v>0.5746814153967857</v>
      </c>
      <c r="L154" s="602" t="n">
        <v>5264.95103331254</v>
      </c>
      <c r="M154" s="395" t="n">
        <f t="shared" si="32"/>
        <v>0.5718367777556058</v>
      </c>
      <c r="N154" s="602" t="n">
        <v>5563.96989525952</v>
      </c>
      <c r="O154" s="395" t="n">
        <f t="shared" si="33"/>
        <v>0.5774221308444802</v>
      </c>
      <c r="P154" s="602" t="n">
        <v>5927.59333395354</v>
      </c>
      <c r="Q154" s="395" t="n">
        <f t="shared" si="34"/>
        <v>0.5822607983942226</v>
      </c>
    </row>
    <row r="155" spans="1:17">
      <c r="A155" s="30" t="s">
        <v>82</v>
      </c>
      <c r="B155" s="35"/>
      <c r="C155" s="600"/>
      <c r="D155" s="601" t="n">
        <v>532.7119840050973</v>
      </c>
      <c r="E155" s="395" t="n">
        <f t="shared" si="28"/>
        <v>0.07391675939527693</v>
      </c>
      <c r="F155" s="601" t="n">
        <v>520.257075361418</v>
      </c>
      <c r="G155" s="395" t="n">
        <f t="shared" si="29"/>
        <v>0.07279478712034769</v>
      </c>
      <c r="H155" s="602" t="n">
        <v>587.022949968817</v>
      </c>
      <c r="I155" s="395" t="n">
        <f t="shared" si="30"/>
        <v>0.07104430610335362</v>
      </c>
      <c r="J155" s="602" t="n">
        <v>703.093574968174</v>
      </c>
      <c r="K155" s="395" t="n">
        <f t="shared" si="31"/>
        <v>0.07877464178890792</v>
      </c>
      <c r="L155" s="602" t="n">
        <v>833.159604980754</v>
      </c>
      <c r="M155" s="395" t="n">
        <f t="shared" si="32"/>
        <v>0.0904911177433254</v>
      </c>
      <c r="N155" s="602" t="n">
        <v>904.980069331934</v>
      </c>
      <c r="O155" s="395" t="n">
        <f t="shared" si="33"/>
        <v>0.0939177475511947</v>
      </c>
      <c r="P155" s="602" t="n">
        <v>883.820160159706</v>
      </c>
      <c r="Q155" s="395" t="n">
        <f t="shared" si="34"/>
        <v>0.08681665611973872</v>
      </c>
    </row>
    <row r="156" spans="1:17">
      <c r="A156" s="30" t="s">
        <v>83</v>
      </c>
      <c r="B156" s="603"/>
      <c r="C156" s="600"/>
      <c r="D156" s="601" t="n">
        <v>188.607711608201</v>
      </c>
      <c r="E156" s="395" t="n">
        <f t="shared" si="28"/>
        <v>0.02617037209154239</v>
      </c>
      <c r="F156" s="601" t="n">
        <v>217.590651940973</v>
      </c>
      <c r="G156" s="395" t="n">
        <f t="shared" si="29"/>
        <v>0.030445458481111985</v>
      </c>
      <c r="H156" s="602" t="n">
        <v>264.057246422308</v>
      </c>
      <c r="I156" s="395" t="n">
        <f t="shared" si="30"/>
        <v>0.03195746238649044</v>
      </c>
      <c r="J156" s="602" t="n">
        <v>282.567817306237</v>
      </c>
      <c r="K156" s="395" t="n">
        <f t="shared" si="31"/>
        <v>0.031658913382020266</v>
      </c>
      <c r="L156" s="602" t="n">
        <v>296.684012462637</v>
      </c>
      <c r="M156" s="395" t="n">
        <f t="shared" si="32"/>
        <v>0.032223439235197764</v>
      </c>
      <c r="N156" s="602" t="n">
        <v>311.522713901686</v>
      </c>
      <c r="O156" s="395" t="n">
        <f t="shared" si="33"/>
        <v>0.03232945408651906</v>
      </c>
      <c r="P156" s="602" t="n">
        <v>329.255251120036</v>
      </c>
      <c r="Q156" s="395" t="n">
        <f t="shared" si="34"/>
        <v>0.032342371446857594</v>
      </c>
    </row>
    <row r="157" spans="1:17">
      <c r="A157" s="30" t="s">
        <v>84</v>
      </c>
      <c r="B157" s="603"/>
      <c r="C157" s="600"/>
      <c r="D157" s="601" t="n">
        <v>0.0</v>
      </c>
      <c r="E157" s="395" t="n">
        <f t="shared" si="28"/>
        <v>0.0</v>
      </c>
      <c r="F157" s="601" t="n">
        <v>0.0</v>
      </c>
      <c r="G157" s="395" t="n">
        <f t="shared" si="29"/>
        <v>0.0</v>
      </c>
      <c r="H157" s="602" t="n">
        <v>0.0</v>
      </c>
      <c r="I157" s="395" t="n">
        <f t="shared" si="30"/>
        <v>0.0</v>
      </c>
      <c r="J157" s="602" t="n">
        <v>0.0</v>
      </c>
      <c r="K157" s="395" t="n">
        <f t="shared" si="31"/>
        <v>0.0</v>
      </c>
      <c r="L157" s="602" t="n">
        <v>0.0</v>
      </c>
      <c r="M157" s="395" t="n">
        <f t="shared" si="32"/>
        <v>0.0</v>
      </c>
      <c r="N157" s="602" t="n">
        <v>0.0</v>
      </c>
      <c r="O157" s="395" t="n">
        <f t="shared" si="33"/>
        <v>0.0</v>
      </c>
      <c r="P157" s="602" t="n">
        <v>0.0</v>
      </c>
      <c r="Q157" s="395" t="n">
        <f t="shared" si="34"/>
        <v>0.0</v>
      </c>
    </row>
    <row r="158" spans="1:17">
      <c r="A158" s="30" t="s">
        <v>85</v>
      </c>
      <c r="B158" s="35"/>
      <c r="C158" s="600"/>
      <c r="D158" s="601" t="n">
        <v>-96.7274149224349</v>
      </c>
      <c r="E158" s="395" t="n">
        <f t="shared" si="28"/>
        <v>-0.013421468392722189</v>
      </c>
      <c r="F158" s="601" t="n">
        <v>-39.0842092425984</v>
      </c>
      <c r="G158" s="395" t="n">
        <f t="shared" si="29"/>
        <v>-0.005468693894466676</v>
      </c>
      <c r="H158" s="602" t="n">
        <v>-39.0661515515541</v>
      </c>
      <c r="I158" s="395" t="n">
        <f t="shared" si="30"/>
        <v>-0.004727971247556923</v>
      </c>
      <c r="J158" s="602" t="n">
        <v>-38.3918629096272</v>
      </c>
      <c r="K158" s="395" t="n">
        <f t="shared" si="31"/>
        <v>-0.004301426376214062</v>
      </c>
      <c r="L158" s="602" t="n">
        <v>-40.4035325815516</v>
      </c>
      <c r="M158" s="395" t="n">
        <f t="shared" si="32"/>
        <v>-0.004388307837089542</v>
      </c>
      <c r="N158" s="602" t="n">
        <v>-43.5796893170426</v>
      </c>
      <c r="O158" s="395" t="n">
        <f t="shared" si="33"/>
        <v>-0.00452264795473223</v>
      </c>
      <c r="P158" s="602" t="n">
        <v>-46.5773848423603</v>
      </c>
      <c r="Q158" s="395" t="n">
        <f t="shared" si="34"/>
        <v>-0.0045752439071826915</v>
      </c>
    </row>
    <row r="159" spans="1:17">
      <c r="A159" s="30" t="s">
        <v>86</v>
      </c>
      <c r="B159" s="35"/>
      <c r="C159" s="604"/>
      <c r="D159" s="601" t="n">
        <v>7206.917461794679</v>
      </c>
      <c r="E159" s="395" t="n">
        <f t="shared" si="28"/>
        <v>1.0</v>
      </c>
      <c r="F159" s="601" t="n">
        <v>7146.90015510733</v>
      </c>
      <c r="G159" s="395" t="n">
        <f t="shared" si="29"/>
        <v>1.0</v>
      </c>
      <c r="H159" s="602" t="n">
        <v>8262.77265787957</v>
      </c>
      <c r="I159" s="395" t="n">
        <f t="shared" si="30"/>
        <v>1.0</v>
      </c>
      <c r="J159" s="602" t="n">
        <v>8925.37952571401</v>
      </c>
      <c r="K159" s="395" t="n">
        <f t="shared" si="31"/>
        <v>1.0</v>
      </c>
      <c r="L159" s="602" t="n">
        <v>9207.08712366643</v>
      </c>
      <c r="M159" s="395" t="n">
        <f t="shared" si="32"/>
        <v>1.0</v>
      </c>
      <c r="N159" s="602" t="n">
        <v>9635.87919140233</v>
      </c>
      <c r="O159" s="395" t="n">
        <f t="shared" si="33"/>
        <v>1.0</v>
      </c>
      <c r="P159" s="602" t="n">
        <v>10180.3064027337</v>
      </c>
      <c r="Q159" s="395" t="n">
        <f t="shared" si="34"/>
        <v>1.0</v>
      </c>
    </row>
    <row r="160" spans="1:17">
      <c r="A160" s="30" t="s">
        <v>87</v>
      </c>
      <c r="B160" s="603"/>
      <c r="C160" s="604"/>
      <c r="D160" s="601" t="n">
        <v>698.586885550919</v>
      </c>
      <c r="E160" s="395" t="n">
        <f t="shared" si="28"/>
        <v>0.09693282728077139</v>
      </c>
      <c r="F160" s="601" t="n">
        <v>0.0</v>
      </c>
      <c r="G160" s="395" t="n">
        <f t="shared" si="29"/>
        <v>0.0</v>
      </c>
      <c r="H160" s="602" t="n">
        <v>0.0</v>
      </c>
      <c r="I160" s="395" t="n">
        <f t="shared" si="30"/>
        <v>0.0</v>
      </c>
      <c r="J160" s="602" t="n">
        <v>0.0</v>
      </c>
      <c r="K160" s="395" t="n">
        <f t="shared" si="31"/>
        <v>0.0</v>
      </c>
      <c r="L160" s="602" t="n">
        <v>0.0</v>
      </c>
      <c r="M160" s="395" t="n">
        <f t="shared" si="32"/>
        <v>0.0</v>
      </c>
      <c r="N160" s="602" t="n">
        <v>0.0</v>
      </c>
      <c r="O160" s="395" t="n">
        <f t="shared" si="33"/>
        <v>0.0</v>
      </c>
      <c r="P160" s="602" t="n">
        <v>0.0</v>
      </c>
      <c r="Q160" s="395" t="n">
        <f t="shared" si="34"/>
        <v>0.0</v>
      </c>
    </row>
    <row r="161" spans="1:17" ht="14.25" thickBot="1">
      <c r="A161" s="32" t="s">
        <v>112</v>
      </c>
      <c r="B161" s="36"/>
      <c r="C161" s="605"/>
      <c r="D161" s="606" t="n">
        <v>6508.33057624376</v>
      </c>
      <c r="E161" s="448" t="n">
        <f t="shared" si="28"/>
        <v>0.9030671727192287</v>
      </c>
      <c r="F161" s="606" t="n">
        <v>7146.90015510733</v>
      </c>
      <c r="G161" s="448" t="n">
        <f t="shared" si="29"/>
        <v>1.0</v>
      </c>
      <c r="H161" s="607" t="n">
        <v>8262.77265787957</v>
      </c>
      <c r="I161" s="448" t="n">
        <f t="shared" si="30"/>
        <v>1.0</v>
      </c>
      <c r="J161" s="607" t="n">
        <v>8925.37952571401</v>
      </c>
      <c r="K161" s="448" t="n">
        <f t="shared" si="31"/>
        <v>1.0</v>
      </c>
      <c r="L161" s="607" t="n">
        <v>9207.08712366642</v>
      </c>
      <c r="M161" s="448" t="n">
        <f t="shared" si="32"/>
        <v>0.999999999999999</v>
      </c>
      <c r="N161" s="607" t="n">
        <v>9635.87919140233</v>
      </c>
      <c r="O161" s="448" t="n">
        <f t="shared" si="33"/>
        <v>1.0</v>
      </c>
      <c r="P161" s="607" t="n">
        <v>10180.3064027337</v>
      </c>
      <c r="Q161" s="448" t="n">
        <f t="shared" si="34"/>
        <v>1.0</v>
      </c>
    </row>
  </sheetData>
  <mergeCells count="63">
    <mergeCell ref="N148:O148"/>
    <mergeCell ref="P148:Q148"/>
    <mergeCell ref="F141:F142"/>
    <mergeCell ref="G141:G142"/>
    <mergeCell ref="D148:E149"/>
    <mergeCell ref="F148:G149"/>
    <mergeCell ref="H148:I148"/>
    <mergeCell ref="P149:Q149"/>
    <mergeCell ref="N149:O149"/>
    <mergeCell ref="H149:I149"/>
    <mergeCell ref="Q83:R83"/>
    <mergeCell ref="S83:T83"/>
    <mergeCell ref="D89:F89"/>
    <mergeCell ref="G89:I89"/>
    <mergeCell ref="D114:F114"/>
    <mergeCell ref="G114:I114"/>
    <mergeCell ref="D83:F83"/>
    <mergeCell ref="G83:J83"/>
    <mergeCell ref="K83:L83"/>
    <mergeCell ref="M83:N83"/>
    <mergeCell ref="O83:P83"/>
    <mergeCell ref="H106:L110"/>
    <mergeCell ref="M38:N38"/>
    <mergeCell ref="O38:P38"/>
    <mergeCell ref="Q38:R38"/>
    <mergeCell ref="S38:T38"/>
    <mergeCell ref="D60:F60"/>
    <mergeCell ref="G60:J60"/>
    <mergeCell ref="K60:L60"/>
    <mergeCell ref="M60:N60"/>
    <mergeCell ref="O60:P60"/>
    <mergeCell ref="Q60:R60"/>
    <mergeCell ref="S60:T60"/>
    <mergeCell ref="S9:T9"/>
    <mergeCell ref="D17:F17"/>
    <mergeCell ref="G17:J17"/>
    <mergeCell ref="K17:L17"/>
    <mergeCell ref="M17:N17"/>
    <mergeCell ref="O17:P17"/>
    <mergeCell ref="Q17:R17"/>
    <mergeCell ref="S17:T17"/>
    <mergeCell ref="H126:L130"/>
    <mergeCell ref="H131:L135"/>
    <mergeCell ref="J149:K149"/>
    <mergeCell ref="L149:M149"/>
    <mergeCell ref="J148:K148"/>
    <mergeCell ref="L148:M148"/>
    <mergeCell ref="A1:M1"/>
    <mergeCell ref="H101:L105"/>
    <mergeCell ref="A10:C10"/>
    <mergeCell ref="A18:C18"/>
    <mergeCell ref="Q3:R3"/>
    <mergeCell ref="Q4:R4"/>
    <mergeCell ref="Q5:R5"/>
    <mergeCell ref="D9:F9"/>
    <mergeCell ref="G9:J9"/>
    <mergeCell ref="K9:L9"/>
    <mergeCell ref="M9:N9"/>
    <mergeCell ref="O9:P9"/>
    <mergeCell ref="Q9:R9"/>
    <mergeCell ref="D38:F38"/>
    <mergeCell ref="G38:J38"/>
    <mergeCell ref="K38:L38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8"/>
  <sheetViews>
    <sheetView zoomScale="85" zoomScaleNormal="85" zoomScaleSheetLayoutView="65" workbookViewId="0"/>
  </sheetViews>
  <sheetFormatPr defaultColWidth="9" defaultRowHeight="13.5"/>
  <cols>
    <col min="1" max="1" style="364" width="9.0" collapsed="false"/>
    <col min="2" max="2" bestFit="true" customWidth="true" style="364" width="42.125" collapsed="false"/>
    <col min="3" max="3" customWidth="true" style="364" width="15.375" collapsed="false"/>
    <col min="4" max="20" customWidth="true" style="364" width="11.125" collapsed="false"/>
    <col min="21" max="21" customWidth="true" style="364" width="3.375" collapsed="false"/>
    <col min="22" max="16384" style="364" width="9.0" collapsed="false"/>
  </cols>
  <sheetData>
    <row r="1" spans="1:21" ht="14.25">
      <c r="A1" s="188" t="s">
        <v>73</v>
      </c>
      <c r="K1" s="365"/>
      <c r="L1" s="366"/>
    </row>
    <row r="2" spans="1:21" ht="15" thickBot="1">
      <c r="A2" s="188"/>
      <c r="S2" s="365" t="s">
        <v>98</v>
      </c>
      <c r="T2" s="366" t="str">
        <f>'1_推計値サマリ'!T2</f>
        <v>2026/10/19</v>
      </c>
    </row>
    <row r="3" spans="1:21" s="347" customFormat="1" ht="14.25" thickBot="1">
      <c r="A3" s="364"/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1081" t="s">
        <v>67</v>
      </c>
      <c r="R3" s="1082"/>
      <c r="S3" s="1095" t="str">
        <f>保険者名</f>
        <v>川崎町</v>
      </c>
      <c r="T3" s="1096"/>
      <c r="U3" s="364"/>
    </row>
    <row r="4" spans="1:21" s="347" customFormat="1" ht="14.25" thickBot="1">
      <c r="A4" s="364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1081" t="s">
        <v>68</v>
      </c>
      <c r="R4" s="1082"/>
      <c r="S4" s="1095" t="str">
        <f>保険者番号</f>
        <v>04324</v>
      </c>
      <c r="T4" s="1096"/>
      <c r="U4" s="364"/>
    </row>
    <row r="5" spans="1:21" s="347" customFormat="1" ht="31.5" customHeight="1" thickBot="1">
      <c r="A5" s="364"/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1083" t="s">
        <v>103</v>
      </c>
      <c r="R5" s="1084"/>
      <c r="S5" s="1095" t="str">
        <f>推計パターン名</f>
        <v>0911</v>
      </c>
      <c r="T5" s="1096"/>
      <c r="U5" s="364"/>
    </row>
    <row r="8" spans="1:21" ht="14.25" thickBot="1">
      <c r="A8" s="367" t="s">
        <v>89</v>
      </c>
      <c r="B8" s="368"/>
      <c r="T8" s="2" t="s">
        <v>108</v>
      </c>
    </row>
    <row r="9" spans="1:21" ht="14.25" thickBot="1">
      <c r="B9" s="368"/>
      <c r="D9" s="1074" t="s">
        <v>414</v>
      </c>
      <c r="E9" s="1098"/>
      <c r="F9" s="1099"/>
      <c r="G9" s="1074" t="s">
        <v>415</v>
      </c>
      <c r="H9" s="1098"/>
      <c r="I9" s="1098"/>
      <c r="J9" s="1099"/>
      <c r="K9" s="1076" t="s">
        <v>416</v>
      </c>
      <c r="L9" s="1077"/>
      <c r="M9" s="1076" t="s">
        <v>417</v>
      </c>
      <c r="N9" s="1077"/>
      <c r="O9" s="1076" t="s">
        <v>418</v>
      </c>
      <c r="P9" s="1077"/>
      <c r="Q9" s="1076" t="s">
        <v>419</v>
      </c>
      <c r="R9" s="1077"/>
      <c r="S9" s="1076" t="s">
        <v>420</v>
      </c>
      <c r="T9" s="1077"/>
    </row>
    <row r="10" spans="1:21" ht="23.25" thickBot="1">
      <c r="A10" s="29"/>
      <c r="B10" s="369"/>
      <c r="C10" s="370"/>
      <c r="D10" s="1004" t="s">
        <v>352</v>
      </c>
      <c r="E10" s="993" t="s">
        <v>351</v>
      </c>
      <c r="F10" s="1005" t="s">
        <v>348</v>
      </c>
      <c r="G10" s="1004" t="s">
        <v>347</v>
      </c>
      <c r="H10" s="993" t="s">
        <v>346</v>
      </c>
      <c r="I10" s="993" t="s">
        <v>345</v>
      </c>
      <c r="J10" s="997" t="s">
        <v>104</v>
      </c>
      <c r="K10" s="1004" t="s">
        <v>368</v>
      </c>
      <c r="L10" s="997" t="s">
        <v>105</v>
      </c>
      <c r="M10" s="1004" t="s">
        <v>371</v>
      </c>
      <c r="N10" s="997" t="s">
        <v>105</v>
      </c>
      <c r="O10" s="1004" t="s">
        <v>374</v>
      </c>
      <c r="P10" s="997" t="s">
        <v>105</v>
      </c>
      <c r="Q10" s="1004" t="s">
        <v>377</v>
      </c>
      <c r="R10" s="997" t="s">
        <v>105</v>
      </c>
      <c r="S10" s="1004" t="s">
        <v>380</v>
      </c>
      <c r="T10" s="997" t="s">
        <v>105</v>
      </c>
    </row>
    <row r="11" spans="1:21">
      <c r="A11" s="371" t="s">
        <v>15</v>
      </c>
      <c r="B11" s="372"/>
      <c r="C11" s="373"/>
      <c r="D11" s="374"/>
      <c r="E11" s="375"/>
      <c r="F11" s="376"/>
      <c r="G11" s="377"/>
      <c r="H11" s="378"/>
      <c r="I11" s="378"/>
      <c r="J11" s="379"/>
      <c r="K11" s="377"/>
      <c r="L11" s="380"/>
      <c r="M11" s="377"/>
      <c r="N11" s="380"/>
      <c r="O11" s="377"/>
      <c r="P11" s="380"/>
      <c r="Q11" s="377"/>
      <c r="R11" s="380"/>
      <c r="S11" s="377"/>
      <c r="T11" s="380"/>
    </row>
    <row r="12" spans="1:21" ht="13.5" hidden="1" customHeight="1">
      <c r="A12" s="19"/>
      <c r="B12" s="1085" t="s">
        <v>262</v>
      </c>
      <c r="C12" s="381" t="s">
        <v>16</v>
      </c>
      <c r="D12" s="382"/>
      <c r="E12" s="383"/>
      <c r="F12" s="384"/>
      <c r="G12" s="385"/>
      <c r="H12" s="386"/>
      <c r="I12" s="386"/>
      <c r="J12" s="387"/>
      <c r="K12" s="385"/>
      <c r="L12" s="388"/>
      <c r="M12" s="385"/>
      <c r="N12" s="388"/>
      <c r="O12" s="385"/>
      <c r="P12" s="388"/>
      <c r="Q12" s="385"/>
      <c r="R12" s="388"/>
      <c r="S12" s="385"/>
      <c r="T12" s="388"/>
    </row>
    <row r="13" spans="1:21" ht="13.5" hidden="1" customHeight="1">
      <c r="A13" s="19"/>
      <c r="B13" s="1089"/>
      <c r="C13" s="381" t="s">
        <v>17</v>
      </c>
      <c r="D13" s="382"/>
      <c r="E13" s="383"/>
      <c r="F13" s="384"/>
      <c r="G13" s="389"/>
      <c r="H13" s="390"/>
      <c r="I13" s="390"/>
      <c r="J13" s="391"/>
      <c r="K13" s="389"/>
      <c r="L13" s="392"/>
      <c r="M13" s="389"/>
      <c r="N13" s="392"/>
      <c r="O13" s="389"/>
      <c r="P13" s="392"/>
      <c r="Q13" s="389"/>
      <c r="R13" s="392"/>
      <c r="S13" s="389"/>
      <c r="T13" s="392"/>
    </row>
    <row r="14" spans="1:21">
      <c r="A14" s="19"/>
      <c r="B14" s="1085" t="s">
        <v>18</v>
      </c>
      <c r="C14" s="381" t="s">
        <v>16</v>
      </c>
      <c r="D14" s="382" t="n">
        <v>52.542</v>
      </c>
      <c r="E14" s="383" t="n">
        <v>168.56</v>
      </c>
      <c r="F14" s="384" t="n">
        <v>0.0</v>
      </c>
      <c r="G14" s="393" t="n">
        <v>0.0</v>
      </c>
      <c r="H14" s="383" t="n">
        <v>0.0</v>
      </c>
      <c r="I14" s="383" t="n">
        <v>0.0</v>
      </c>
      <c r="J14" s="394" t="str">
        <f t="shared" ref="J14:J24" si="0">IFERROR(SUM(G14:I14)/3/F14,"－")</f>
        <v>－</v>
      </c>
      <c r="K14" s="393" t="n">
        <v>0.0</v>
      </c>
      <c r="L14" s="395" t="str">
        <f t="shared" ref="L14:L24" si="1">IFERROR(K14/F14,"－")</f>
        <v>－</v>
      </c>
      <c r="M14" s="393" t="n">
        <v>0.0</v>
      </c>
      <c r="N14" s="395" t="str">
        <f>IFERROR(M14/F14,"－")</f>
        <v>－</v>
      </c>
      <c r="O14" s="393" t="n">
        <v>0.0</v>
      </c>
      <c r="P14" s="395" t="str">
        <f>IFERROR(O14/F14,"－")</f>
        <v>－</v>
      </c>
      <c r="Q14" s="393" t="n">
        <v>0.0</v>
      </c>
      <c r="R14" s="395" t="str">
        <f>IFERROR(Q14/F14,"－")</f>
        <v>－</v>
      </c>
      <c r="S14" s="393" t="n">
        <v>0.0</v>
      </c>
      <c r="T14" s="395" t="str">
        <f>IFERROR(S14/F14,"－")</f>
        <v>－</v>
      </c>
    </row>
    <row r="15" spans="1:21">
      <c r="A15" s="19"/>
      <c r="B15" s="1086"/>
      <c r="C15" s="381" t="s">
        <v>19</v>
      </c>
      <c r="D15" s="396" t="n">
        <v>0.5</v>
      </c>
      <c r="E15" s="397" t="n">
        <v>1.6666666666666667</v>
      </c>
      <c r="F15" s="398" t="n">
        <v>0.0</v>
      </c>
      <c r="G15" s="399" t="n">
        <v>0.0</v>
      </c>
      <c r="H15" s="397" t="n">
        <v>0.0</v>
      </c>
      <c r="I15" s="397" t="n">
        <v>0.0</v>
      </c>
      <c r="J15" s="394" t="str">
        <f t="shared" si="0"/>
        <v>－</v>
      </c>
      <c r="K15" s="399" t="n">
        <v>0.0</v>
      </c>
      <c r="L15" s="395" t="str">
        <f t="shared" si="1"/>
        <v>－</v>
      </c>
      <c r="M15" s="399" t="n">
        <v>0.0</v>
      </c>
      <c r="N15" s="395" t="str">
        <f t="shared" ref="N15:N61" si="2">IFERROR(M15/F15,"－")</f>
        <v>－</v>
      </c>
      <c r="O15" s="399" t="n">
        <v>0.0</v>
      </c>
      <c r="P15" s="395" t="str">
        <f t="shared" ref="P15:P61" si="3">IFERROR(O15/F15,"－")</f>
        <v>－</v>
      </c>
      <c r="Q15" s="399" t="n">
        <v>0.0</v>
      </c>
      <c r="R15" s="395" t="str">
        <f t="shared" ref="R15:R61" si="4">IFERROR(Q15/F15,"－")</f>
        <v>－</v>
      </c>
      <c r="S15" s="399" t="n">
        <v>0.0</v>
      </c>
      <c r="T15" s="395" t="str">
        <f t="shared" ref="T15:T47" si="5">IFERROR(S15/F15,"－")</f>
        <v>－</v>
      </c>
    </row>
    <row r="16" spans="1:21">
      <c r="A16" s="19"/>
      <c r="B16" s="724"/>
      <c r="C16" s="381" t="s">
        <v>17</v>
      </c>
      <c r="D16" s="382" t="n">
        <v>0.16666666666666666</v>
      </c>
      <c r="E16" s="383" t="n">
        <v>0.4166666666666667</v>
      </c>
      <c r="F16" s="384" t="n">
        <v>0.0</v>
      </c>
      <c r="G16" s="393" t="n">
        <v>0.0</v>
      </c>
      <c r="H16" s="383" t="n">
        <v>0.0</v>
      </c>
      <c r="I16" s="383" t="n">
        <v>0.0</v>
      </c>
      <c r="J16" s="394" t="str">
        <f t="shared" si="0"/>
        <v>－</v>
      </c>
      <c r="K16" s="393" t="n">
        <v>0.0</v>
      </c>
      <c r="L16" s="395" t="str">
        <f t="shared" si="1"/>
        <v>－</v>
      </c>
      <c r="M16" s="393" t="n">
        <v>0.0</v>
      </c>
      <c r="N16" s="395" t="str">
        <f t="shared" si="2"/>
        <v>－</v>
      </c>
      <c r="O16" s="393" t="n">
        <v>0.0</v>
      </c>
      <c r="P16" s="395" t="str">
        <f t="shared" si="3"/>
        <v>－</v>
      </c>
      <c r="Q16" s="393" t="n">
        <v>0.0</v>
      </c>
      <c r="R16" s="395" t="str">
        <f t="shared" si="4"/>
        <v>－</v>
      </c>
      <c r="S16" s="393" t="n">
        <v>0.0</v>
      </c>
      <c r="T16" s="395" t="str">
        <f t="shared" si="5"/>
        <v>－</v>
      </c>
    </row>
    <row r="17" spans="1:20">
      <c r="A17" s="19"/>
      <c r="B17" s="1085" t="s">
        <v>20</v>
      </c>
      <c r="C17" s="381" t="s">
        <v>16</v>
      </c>
      <c r="D17" s="382" t="n">
        <v>153.405</v>
      </c>
      <c r="E17" s="383" t="n">
        <v>118.694</v>
      </c>
      <c r="F17" s="384" t="n">
        <v>289.8504</v>
      </c>
      <c r="G17" s="400" t="n">
        <v>261.0</v>
      </c>
      <c r="H17" s="401" t="n">
        <v>261.0</v>
      </c>
      <c r="I17" s="401" t="n">
        <v>261.0</v>
      </c>
      <c r="J17" s="402" t="n">
        <f t="shared" si="0"/>
        <v>0.9004645154879898</v>
      </c>
      <c r="K17" s="400" t="n">
        <v>261.0</v>
      </c>
      <c r="L17" s="403" t="n">
        <f t="shared" si="1"/>
        <v>0.9004645154879898</v>
      </c>
      <c r="M17" s="400" t="n">
        <v>261.0</v>
      </c>
      <c r="N17" s="403" t="n">
        <f t="shared" si="2"/>
        <v>0.9004645154879898</v>
      </c>
      <c r="O17" s="400" t="n">
        <v>261.0</v>
      </c>
      <c r="P17" s="403" t="n">
        <f t="shared" si="3"/>
        <v>0.9004645154879898</v>
      </c>
      <c r="Q17" s="400" t="n">
        <v>261.0</v>
      </c>
      <c r="R17" s="403" t="n">
        <f t="shared" si="4"/>
        <v>0.9004645154879898</v>
      </c>
      <c r="S17" s="400" t="n">
        <v>261.0</v>
      </c>
      <c r="T17" s="395" t="n">
        <f t="shared" si="5"/>
        <v>0.9004645154879898</v>
      </c>
    </row>
    <row r="18" spans="1:20">
      <c r="A18" s="19"/>
      <c r="B18" s="1086"/>
      <c r="C18" s="381" t="s">
        <v>19</v>
      </c>
      <c r="D18" s="396" t="n">
        <v>3.75</v>
      </c>
      <c r="E18" s="397" t="n">
        <v>2.8333333333333335</v>
      </c>
      <c r="F18" s="398" t="n">
        <v>7.1</v>
      </c>
      <c r="G18" s="399" t="n">
        <v>6.4</v>
      </c>
      <c r="H18" s="397" t="n">
        <v>6.4</v>
      </c>
      <c r="I18" s="397" t="n">
        <v>6.4</v>
      </c>
      <c r="J18" s="404" t="n">
        <f t="shared" si="0"/>
        <v>0.9014084507042256</v>
      </c>
      <c r="K18" s="399" t="n">
        <v>6.4</v>
      </c>
      <c r="L18" s="395" t="n">
        <f t="shared" si="1"/>
        <v>0.9014084507042255</v>
      </c>
      <c r="M18" s="399" t="n">
        <v>6.4</v>
      </c>
      <c r="N18" s="395" t="n">
        <f t="shared" si="2"/>
        <v>0.9014084507042255</v>
      </c>
      <c r="O18" s="399" t="n">
        <v>6.4</v>
      </c>
      <c r="P18" s="395" t="n">
        <f t="shared" si="3"/>
        <v>0.9014084507042255</v>
      </c>
      <c r="Q18" s="399" t="n">
        <v>6.4</v>
      </c>
      <c r="R18" s="395" t="n">
        <f t="shared" si="4"/>
        <v>0.9014084507042255</v>
      </c>
      <c r="S18" s="399" t="n">
        <v>6.4</v>
      </c>
      <c r="T18" s="395" t="n">
        <f t="shared" si="5"/>
        <v>0.9014084507042255</v>
      </c>
    </row>
    <row r="19" spans="1:20">
      <c r="A19" s="19"/>
      <c r="B19" s="724"/>
      <c r="C19" s="381" t="s">
        <v>17</v>
      </c>
      <c r="D19" s="382" t="n">
        <v>0.9166666666666666</v>
      </c>
      <c r="E19" s="383" t="n">
        <v>1.0</v>
      </c>
      <c r="F19" s="384" t="n">
        <v>1.0</v>
      </c>
      <c r="G19" s="393" t="n">
        <v>1.0</v>
      </c>
      <c r="H19" s="383" t="n">
        <v>1.0</v>
      </c>
      <c r="I19" s="383" t="n">
        <v>1.0</v>
      </c>
      <c r="J19" s="394" t="n">
        <f t="shared" si="0"/>
        <v>1.0</v>
      </c>
      <c r="K19" s="393" t="n">
        <v>1.0</v>
      </c>
      <c r="L19" s="395" t="n">
        <f t="shared" si="1"/>
        <v>1.0</v>
      </c>
      <c r="M19" s="393" t="n">
        <v>1.0</v>
      </c>
      <c r="N19" s="395" t="n">
        <f t="shared" si="2"/>
        <v>1.0</v>
      </c>
      <c r="O19" s="393" t="n">
        <v>1.0</v>
      </c>
      <c r="P19" s="395" t="n">
        <f t="shared" si="3"/>
        <v>1.0</v>
      </c>
      <c r="Q19" s="393" t="n">
        <v>1.0</v>
      </c>
      <c r="R19" s="395" t="n">
        <f t="shared" si="4"/>
        <v>1.0</v>
      </c>
      <c r="S19" s="393" t="n">
        <v>1.0</v>
      </c>
      <c r="T19" s="395" t="n">
        <f t="shared" si="5"/>
        <v>1.0</v>
      </c>
    </row>
    <row r="20" spans="1:20">
      <c r="A20" s="19"/>
      <c r="B20" s="1085" t="s">
        <v>21</v>
      </c>
      <c r="C20" s="381" t="s">
        <v>16</v>
      </c>
      <c r="D20" s="382" t="n">
        <v>2263.051</v>
      </c>
      <c r="E20" s="383" t="n">
        <v>2212.932</v>
      </c>
      <c r="F20" s="384" t="n">
        <v>3748.4604</v>
      </c>
      <c r="G20" s="400" t="n">
        <v>3517.0</v>
      </c>
      <c r="H20" s="401" t="n">
        <v>3469.0</v>
      </c>
      <c r="I20" s="401" t="n">
        <v>3457.0</v>
      </c>
      <c r="J20" s="402" t="n">
        <f t="shared" si="0"/>
        <v>0.9286479323617771</v>
      </c>
      <c r="K20" s="400" t="n">
        <v>3457.0</v>
      </c>
      <c r="L20" s="403" t="n">
        <f t="shared" si="1"/>
        <v>0.9222453036985532</v>
      </c>
      <c r="M20" s="400" t="n">
        <v>3457.0</v>
      </c>
      <c r="N20" s="403" t="n">
        <f t="shared" si="2"/>
        <v>0.9222453036985532</v>
      </c>
      <c r="O20" s="400" t="n">
        <v>3457.0</v>
      </c>
      <c r="P20" s="403" t="n">
        <f t="shared" si="3"/>
        <v>0.9222453036985532</v>
      </c>
      <c r="Q20" s="400" t="n">
        <v>3457.0</v>
      </c>
      <c r="R20" s="403" t="n">
        <f t="shared" si="4"/>
        <v>0.9222453036985532</v>
      </c>
      <c r="S20" s="400" t="n">
        <v>3457.0</v>
      </c>
      <c r="T20" s="395" t="n">
        <f t="shared" si="5"/>
        <v>0.9222453036985532</v>
      </c>
    </row>
    <row r="21" spans="1:20">
      <c r="A21" s="19"/>
      <c r="B21" s="1086"/>
      <c r="C21" s="381" t="s">
        <v>19</v>
      </c>
      <c r="D21" s="396" t="n">
        <v>60.083333333333336</v>
      </c>
      <c r="E21" s="397" t="n">
        <v>57.666666666666664</v>
      </c>
      <c r="F21" s="398" t="n">
        <v>91.2</v>
      </c>
      <c r="G21" s="399" t="n">
        <v>85.8</v>
      </c>
      <c r="H21" s="397" t="n">
        <v>84.6</v>
      </c>
      <c r="I21" s="397" t="n">
        <v>84.3</v>
      </c>
      <c r="J21" s="394" t="n">
        <f t="shared" si="0"/>
        <v>0.9309210526315789</v>
      </c>
      <c r="K21" s="399" t="n">
        <v>84.3</v>
      </c>
      <c r="L21" s="395" t="n">
        <f t="shared" si="1"/>
        <v>0.9243421052631579</v>
      </c>
      <c r="M21" s="399" t="n">
        <v>84.3</v>
      </c>
      <c r="N21" s="395" t="n">
        <f t="shared" si="2"/>
        <v>0.9243421052631579</v>
      </c>
      <c r="O21" s="399" t="n">
        <v>84.3</v>
      </c>
      <c r="P21" s="395" t="n">
        <f t="shared" si="3"/>
        <v>0.9243421052631579</v>
      </c>
      <c r="Q21" s="399" t="n">
        <v>84.3</v>
      </c>
      <c r="R21" s="395" t="n">
        <f t="shared" si="4"/>
        <v>0.9243421052631579</v>
      </c>
      <c r="S21" s="399" t="n">
        <v>84.3</v>
      </c>
      <c r="T21" s="395" t="n">
        <f t="shared" si="5"/>
        <v>0.9243421052631579</v>
      </c>
    </row>
    <row r="22" spans="1:20">
      <c r="A22" s="19"/>
      <c r="B22" s="724"/>
      <c r="C22" s="381" t="s">
        <v>17</v>
      </c>
      <c r="D22" s="382" t="n">
        <v>5.0</v>
      </c>
      <c r="E22" s="383" t="n">
        <v>5.25</v>
      </c>
      <c r="F22" s="384" t="n">
        <v>6.0</v>
      </c>
      <c r="G22" s="393" t="n">
        <v>6.0</v>
      </c>
      <c r="H22" s="383" t="n">
        <v>6.0</v>
      </c>
      <c r="I22" s="383" t="n">
        <v>6.0</v>
      </c>
      <c r="J22" s="394" t="n">
        <f t="shared" si="0"/>
        <v>1.0</v>
      </c>
      <c r="K22" s="393" t="n">
        <v>6.0</v>
      </c>
      <c r="L22" s="395" t="n">
        <f t="shared" si="1"/>
        <v>1.0</v>
      </c>
      <c r="M22" s="393" t="n">
        <v>6.0</v>
      </c>
      <c r="N22" s="395" t="n">
        <f t="shared" si="2"/>
        <v>1.0</v>
      </c>
      <c r="O22" s="393" t="n">
        <v>6.0</v>
      </c>
      <c r="P22" s="395" t="n">
        <f t="shared" si="3"/>
        <v>1.0</v>
      </c>
      <c r="Q22" s="393" t="n">
        <v>6.0</v>
      </c>
      <c r="R22" s="395" t="n">
        <f t="shared" si="4"/>
        <v>1.0</v>
      </c>
      <c r="S22" s="393" t="n">
        <v>6.0</v>
      </c>
      <c r="T22" s="395" t="n">
        <f t="shared" si="5"/>
        <v>1.0</v>
      </c>
    </row>
    <row r="23" spans="1:20">
      <c r="A23" s="19"/>
      <c r="B23" s="1085" t="s">
        <v>22</v>
      </c>
      <c r="C23" s="381" t="s">
        <v>16</v>
      </c>
      <c r="D23" s="382" t="n">
        <v>0.0</v>
      </c>
      <c r="E23" s="383" t="n">
        <v>0.0</v>
      </c>
      <c r="F23" s="384" t="n">
        <v>0.0</v>
      </c>
      <c r="G23" s="400" t="n">
        <v>0.0</v>
      </c>
      <c r="H23" s="401" t="n">
        <v>0.0</v>
      </c>
      <c r="I23" s="401" t="n">
        <v>0.0</v>
      </c>
      <c r="J23" s="402" t="str">
        <f t="shared" si="0"/>
        <v>－</v>
      </c>
      <c r="K23" s="400" t="n">
        <v>0.0</v>
      </c>
      <c r="L23" s="403" t="str">
        <f t="shared" si="1"/>
        <v>－</v>
      </c>
      <c r="M23" s="400" t="n">
        <v>0.0</v>
      </c>
      <c r="N23" s="403" t="str">
        <f t="shared" si="2"/>
        <v>－</v>
      </c>
      <c r="O23" s="400" t="n">
        <v>0.0</v>
      </c>
      <c r="P23" s="403" t="str">
        <f t="shared" si="3"/>
        <v>－</v>
      </c>
      <c r="Q23" s="400" t="n">
        <v>0.0</v>
      </c>
      <c r="R23" s="403" t="str">
        <f t="shared" si="4"/>
        <v>－</v>
      </c>
      <c r="S23" s="400" t="n">
        <v>0.0</v>
      </c>
      <c r="T23" s="395" t="str">
        <f t="shared" si="5"/>
        <v>－</v>
      </c>
    </row>
    <row r="24" spans="1:20">
      <c r="A24" s="19"/>
      <c r="B24" s="1089"/>
      <c r="C24" s="381" t="s">
        <v>17</v>
      </c>
      <c r="D24" s="382" t="n">
        <v>0.0</v>
      </c>
      <c r="E24" s="383" t="n">
        <v>0.0</v>
      </c>
      <c r="F24" s="384" t="n">
        <v>0.0</v>
      </c>
      <c r="G24" s="393" t="n">
        <v>0.0</v>
      </c>
      <c r="H24" s="383" t="n">
        <v>0.0</v>
      </c>
      <c r="I24" s="383" t="n">
        <v>0.0</v>
      </c>
      <c r="J24" s="394" t="str">
        <f t="shared" si="0"/>
        <v>－</v>
      </c>
      <c r="K24" s="393" t="n">
        <v>0.0</v>
      </c>
      <c r="L24" s="395" t="str">
        <f t="shared" si="1"/>
        <v>－</v>
      </c>
      <c r="M24" s="393" t="n">
        <v>0.0</v>
      </c>
      <c r="N24" s="395" t="str">
        <f t="shared" si="2"/>
        <v>－</v>
      </c>
      <c r="O24" s="393" t="n">
        <v>0.0</v>
      </c>
      <c r="P24" s="395" t="str">
        <f t="shared" si="3"/>
        <v>－</v>
      </c>
      <c r="Q24" s="393" t="n">
        <v>0.0</v>
      </c>
      <c r="R24" s="395" t="str">
        <f t="shared" si="4"/>
        <v>－</v>
      </c>
      <c r="S24" s="393" t="n">
        <v>0.0</v>
      </c>
      <c r="T24" s="395" t="str">
        <f t="shared" si="5"/>
        <v>－</v>
      </c>
    </row>
    <row r="25" spans="1:20" hidden="1">
      <c r="A25" s="19"/>
      <c r="B25" s="1085" t="s">
        <v>262</v>
      </c>
      <c r="C25" s="381" t="s">
        <v>16</v>
      </c>
      <c r="D25" s="382"/>
      <c r="E25" s="383"/>
      <c r="F25" s="384"/>
      <c r="G25" s="405"/>
      <c r="H25" s="406"/>
      <c r="I25" s="406"/>
      <c r="J25" s="407"/>
      <c r="K25" s="405"/>
      <c r="L25" s="408"/>
      <c r="M25" s="405"/>
      <c r="N25" s="408" t="str">
        <f t="shared" si="2"/>
        <v>－</v>
      </c>
      <c r="O25" s="405"/>
      <c r="P25" s="408" t="str">
        <f t="shared" si="3"/>
        <v>－</v>
      </c>
      <c r="Q25" s="405"/>
      <c r="R25" s="408" t="str">
        <f t="shared" si="4"/>
        <v>－</v>
      </c>
      <c r="S25" s="405"/>
      <c r="T25" s="395" t="str">
        <f t="shared" si="5"/>
        <v>－</v>
      </c>
    </row>
    <row r="26" spans="1:20" hidden="1">
      <c r="A26" s="19"/>
      <c r="B26" s="1097"/>
      <c r="C26" s="381" t="s">
        <v>17</v>
      </c>
      <c r="D26" s="382"/>
      <c r="E26" s="383"/>
      <c r="F26" s="384"/>
      <c r="G26" s="389"/>
      <c r="H26" s="390"/>
      <c r="I26" s="390"/>
      <c r="J26" s="409"/>
      <c r="K26" s="389"/>
      <c r="L26" s="410"/>
      <c r="M26" s="389"/>
      <c r="N26" s="410" t="str">
        <f t="shared" si="2"/>
        <v>－</v>
      </c>
      <c r="O26" s="389"/>
      <c r="P26" s="410" t="str">
        <f t="shared" si="3"/>
        <v>－</v>
      </c>
      <c r="Q26" s="389"/>
      <c r="R26" s="410" t="str">
        <f t="shared" si="4"/>
        <v>－</v>
      </c>
      <c r="S26" s="389"/>
      <c r="T26" s="395" t="str">
        <f t="shared" si="5"/>
        <v>－</v>
      </c>
    </row>
    <row r="27" spans="1:20">
      <c r="A27" s="19"/>
      <c r="B27" s="1085" t="s">
        <v>23</v>
      </c>
      <c r="C27" s="381" t="s">
        <v>16</v>
      </c>
      <c r="D27" s="382" t="n">
        <v>18826.216</v>
      </c>
      <c r="E27" s="383" t="n">
        <v>17070.292</v>
      </c>
      <c r="F27" s="384" t="n">
        <v>21512.58</v>
      </c>
      <c r="G27" s="400" t="n">
        <v>20748.0</v>
      </c>
      <c r="H27" s="401" t="n">
        <v>21573.0</v>
      </c>
      <c r="I27" s="401" t="n">
        <v>21868.0</v>
      </c>
      <c r="J27" s="402" t="n">
        <f t="shared" ref="J27:J46" si="6">IFERROR(SUM(G27:I27)/3/F27,"－")</f>
        <v>0.9945963400639687</v>
      </c>
      <c r="K27" s="400" t="n">
        <v>21573.0</v>
      </c>
      <c r="L27" s="403" t="n">
        <f t="shared" ref="L27:L47" si="7">IFERROR(K27/F27,"－")</f>
        <v>1.0028085892068732</v>
      </c>
      <c r="M27" s="400" t="n">
        <v>23224.0</v>
      </c>
      <c r="N27" s="403" t="n">
        <f t="shared" si="2"/>
        <v>1.0795543816687723</v>
      </c>
      <c r="O27" s="400" t="n">
        <v>24874.0</v>
      </c>
      <c r="P27" s="403" t="n">
        <f t="shared" si="3"/>
        <v>1.1562536897015605</v>
      </c>
      <c r="Q27" s="400" t="n">
        <v>23224.0</v>
      </c>
      <c r="R27" s="403" t="n">
        <f t="shared" si="4"/>
        <v>1.0795543816687723</v>
      </c>
      <c r="S27" s="400" t="n">
        <v>20748.0</v>
      </c>
      <c r="T27" s="395" t="n">
        <f t="shared" si="5"/>
        <v>0.9644589351904792</v>
      </c>
    </row>
    <row r="28" spans="1:20">
      <c r="A28" s="19"/>
      <c r="B28" s="1089"/>
      <c r="C28" s="381" t="s">
        <v>17</v>
      </c>
      <c r="D28" s="382" t="n">
        <v>37.5</v>
      </c>
      <c r="E28" s="383" t="n">
        <v>34.666666666666664</v>
      </c>
      <c r="F28" s="384" t="n">
        <v>49.0</v>
      </c>
      <c r="G28" s="393" t="n">
        <v>48.0</v>
      </c>
      <c r="H28" s="383" t="n">
        <v>50.0</v>
      </c>
      <c r="I28" s="383" t="n">
        <v>51.0</v>
      </c>
      <c r="J28" s="394" t="n">
        <f t="shared" si="6"/>
        <v>1.0136054421768708</v>
      </c>
      <c r="K28" s="393" t="n">
        <v>50.0</v>
      </c>
      <c r="L28" s="395" t="n">
        <f t="shared" si="7"/>
        <v>1.0204081632653061</v>
      </c>
      <c r="M28" s="393" t="n">
        <v>54.0</v>
      </c>
      <c r="N28" s="395" t="n">
        <f t="shared" si="2"/>
        <v>1.1020408163265305</v>
      </c>
      <c r="O28" s="393" t="n">
        <v>58.0</v>
      </c>
      <c r="P28" s="395" t="n">
        <f t="shared" si="3"/>
        <v>1.183673469387755</v>
      </c>
      <c r="Q28" s="393" t="n">
        <v>54.0</v>
      </c>
      <c r="R28" s="395" t="n">
        <f t="shared" si="4"/>
        <v>1.1020408163265305</v>
      </c>
      <c r="S28" s="393" t="n">
        <v>48.0</v>
      </c>
      <c r="T28" s="395" t="n">
        <f t="shared" si="5"/>
        <v>0.9795918367346939</v>
      </c>
    </row>
    <row r="29" spans="1:20">
      <c r="A29" s="19"/>
      <c r="B29" s="1085" t="s">
        <v>24</v>
      </c>
      <c r="C29" s="381" t="s">
        <v>16</v>
      </c>
      <c r="D29" s="382" t="n">
        <v>57.912</v>
      </c>
      <c r="E29" s="383" t="n">
        <v>37.6</v>
      </c>
      <c r="F29" s="384" t="n">
        <v>0.0</v>
      </c>
      <c r="G29" s="400" t="n">
        <v>0.0</v>
      </c>
      <c r="H29" s="401" t="n">
        <v>0.0</v>
      </c>
      <c r="I29" s="401" t="n">
        <v>0.0</v>
      </c>
      <c r="J29" s="402" t="str">
        <f t="shared" si="6"/>
        <v>－</v>
      </c>
      <c r="K29" s="400" t="n">
        <v>0.0</v>
      </c>
      <c r="L29" s="403" t="str">
        <f t="shared" si="7"/>
        <v>－</v>
      </c>
      <c r="M29" s="400" t="n">
        <v>0.0</v>
      </c>
      <c r="N29" s="403" t="str">
        <f t="shared" si="2"/>
        <v>－</v>
      </c>
      <c r="O29" s="400" t="n">
        <v>0.0</v>
      </c>
      <c r="P29" s="403" t="str">
        <f t="shared" si="3"/>
        <v>－</v>
      </c>
      <c r="Q29" s="400" t="n">
        <v>0.0</v>
      </c>
      <c r="R29" s="403" t="str">
        <f t="shared" si="4"/>
        <v>－</v>
      </c>
      <c r="S29" s="400" t="n">
        <v>0.0</v>
      </c>
      <c r="T29" s="395" t="str">
        <f t="shared" si="5"/>
        <v>－</v>
      </c>
    </row>
    <row r="30" spans="1:20">
      <c r="A30" s="19"/>
      <c r="B30" s="1086"/>
      <c r="C30" s="381" t="s">
        <v>25</v>
      </c>
      <c r="D30" s="396" t="n">
        <v>0.75</v>
      </c>
      <c r="E30" s="397" t="n">
        <v>0.4166666666666667</v>
      </c>
      <c r="F30" s="398" t="n">
        <v>0.0</v>
      </c>
      <c r="G30" s="399" t="n">
        <v>0.0</v>
      </c>
      <c r="H30" s="397" t="n">
        <v>0.0</v>
      </c>
      <c r="I30" s="397" t="n">
        <v>0.0</v>
      </c>
      <c r="J30" s="394" t="str">
        <f t="shared" si="6"/>
        <v>－</v>
      </c>
      <c r="K30" s="399" t="n">
        <v>0.0</v>
      </c>
      <c r="L30" s="395" t="str">
        <f t="shared" si="7"/>
        <v>－</v>
      </c>
      <c r="M30" s="399" t="n">
        <v>0.0</v>
      </c>
      <c r="N30" s="395" t="str">
        <f t="shared" si="2"/>
        <v>－</v>
      </c>
      <c r="O30" s="399" t="n">
        <v>0.0</v>
      </c>
      <c r="P30" s="395" t="str">
        <f t="shared" si="3"/>
        <v>－</v>
      </c>
      <c r="Q30" s="399" t="n">
        <v>0.0</v>
      </c>
      <c r="R30" s="395" t="str">
        <f t="shared" si="4"/>
        <v>－</v>
      </c>
      <c r="S30" s="399" t="n">
        <v>0.0</v>
      </c>
      <c r="T30" s="395" t="str">
        <f t="shared" si="5"/>
        <v>－</v>
      </c>
    </row>
    <row r="31" spans="1:20">
      <c r="A31" s="19"/>
      <c r="B31" s="722"/>
      <c r="C31" s="381" t="s">
        <v>17</v>
      </c>
      <c r="D31" s="382" t="n">
        <v>0.16666666666666666</v>
      </c>
      <c r="E31" s="383" t="n">
        <v>0.08333333333333333</v>
      </c>
      <c r="F31" s="384" t="n">
        <v>0.0</v>
      </c>
      <c r="G31" s="393" t="n">
        <v>0.0</v>
      </c>
      <c r="H31" s="383" t="n">
        <v>0.0</v>
      </c>
      <c r="I31" s="383" t="n">
        <v>0.0</v>
      </c>
      <c r="J31" s="394" t="str">
        <f t="shared" si="6"/>
        <v>－</v>
      </c>
      <c r="K31" s="393" t="n">
        <v>0.0</v>
      </c>
      <c r="L31" s="395" t="str">
        <f t="shared" si="7"/>
        <v>－</v>
      </c>
      <c r="M31" s="393" t="n">
        <v>0.0</v>
      </c>
      <c r="N31" s="395" t="str">
        <f t="shared" si="2"/>
        <v>－</v>
      </c>
      <c r="O31" s="393" t="n">
        <v>0.0</v>
      </c>
      <c r="P31" s="395" t="str">
        <f t="shared" si="3"/>
        <v>－</v>
      </c>
      <c r="Q31" s="393" t="n">
        <v>0.0</v>
      </c>
      <c r="R31" s="395" t="str">
        <f t="shared" si="4"/>
        <v>－</v>
      </c>
      <c r="S31" s="393" t="n">
        <v>0.0</v>
      </c>
      <c r="T31" s="395" t="str">
        <f t="shared" si="5"/>
        <v>－</v>
      </c>
    </row>
    <row r="32" spans="1:20">
      <c r="A32" s="19"/>
      <c r="B32" s="1087" t="s">
        <v>26</v>
      </c>
      <c r="C32" s="381" t="s">
        <v>16</v>
      </c>
      <c r="D32" s="382" t="n">
        <v>260.084</v>
      </c>
      <c r="E32" s="383" t="n">
        <v>44.84</v>
      </c>
      <c r="F32" s="384" t="n">
        <v>0.0</v>
      </c>
      <c r="G32" s="400" t="n">
        <v>0.0</v>
      </c>
      <c r="H32" s="401" t="n">
        <v>0.0</v>
      </c>
      <c r="I32" s="401" t="n">
        <v>0.0</v>
      </c>
      <c r="J32" s="402" t="str">
        <f t="shared" si="6"/>
        <v>－</v>
      </c>
      <c r="K32" s="400" t="n">
        <v>0.0</v>
      </c>
      <c r="L32" s="403" t="str">
        <f t="shared" si="7"/>
        <v>－</v>
      </c>
      <c r="M32" s="400" t="n">
        <v>0.0</v>
      </c>
      <c r="N32" s="403" t="str">
        <f t="shared" si="2"/>
        <v>－</v>
      </c>
      <c r="O32" s="400" t="n">
        <v>0.0</v>
      </c>
      <c r="P32" s="403" t="str">
        <f t="shared" si="3"/>
        <v>－</v>
      </c>
      <c r="Q32" s="400" t="n">
        <v>0.0</v>
      </c>
      <c r="R32" s="403" t="str">
        <f t="shared" si="4"/>
        <v>－</v>
      </c>
      <c r="S32" s="400" t="n">
        <v>0.0</v>
      </c>
      <c r="T32" s="395" t="str">
        <f t="shared" si="5"/>
        <v>－</v>
      </c>
    </row>
    <row r="33" spans="1:20">
      <c r="A33" s="19"/>
      <c r="B33" s="1088"/>
      <c r="C33" s="381" t="s">
        <v>25</v>
      </c>
      <c r="D33" s="396" t="n">
        <v>1.9166666666666667</v>
      </c>
      <c r="E33" s="397" t="n">
        <v>0.3333333333333333</v>
      </c>
      <c r="F33" s="398" t="n">
        <v>0.0</v>
      </c>
      <c r="G33" s="399" t="n">
        <v>0.0</v>
      </c>
      <c r="H33" s="397" t="n">
        <v>0.0</v>
      </c>
      <c r="I33" s="397" t="n">
        <v>0.0</v>
      </c>
      <c r="J33" s="394" t="str">
        <f t="shared" si="6"/>
        <v>－</v>
      </c>
      <c r="K33" s="399" t="n">
        <v>0.0</v>
      </c>
      <c r="L33" s="395" t="str">
        <f t="shared" si="7"/>
        <v>－</v>
      </c>
      <c r="M33" s="399" t="n">
        <v>0.0</v>
      </c>
      <c r="N33" s="395" t="str">
        <f t="shared" si="2"/>
        <v>－</v>
      </c>
      <c r="O33" s="399" t="n">
        <v>0.0</v>
      </c>
      <c r="P33" s="395" t="str">
        <f t="shared" si="3"/>
        <v>－</v>
      </c>
      <c r="Q33" s="399" t="n">
        <v>0.0</v>
      </c>
      <c r="R33" s="395" t="str">
        <f t="shared" si="4"/>
        <v>－</v>
      </c>
      <c r="S33" s="399" t="n">
        <v>0.0</v>
      </c>
      <c r="T33" s="395" t="str">
        <f t="shared" si="5"/>
        <v>－</v>
      </c>
    </row>
    <row r="34" spans="1:20">
      <c r="A34" s="19"/>
      <c r="B34" s="724"/>
      <c r="C34" s="381" t="s">
        <v>17</v>
      </c>
      <c r="D34" s="382" t="n">
        <v>0.5</v>
      </c>
      <c r="E34" s="383" t="n">
        <v>0.08333333333333333</v>
      </c>
      <c r="F34" s="384" t="n">
        <v>0.0</v>
      </c>
      <c r="G34" s="393" t="n">
        <v>0.0</v>
      </c>
      <c r="H34" s="383" t="n">
        <v>0.0</v>
      </c>
      <c r="I34" s="383" t="n">
        <v>0.0</v>
      </c>
      <c r="J34" s="394" t="str">
        <f t="shared" si="6"/>
        <v>－</v>
      </c>
      <c r="K34" s="393" t="n">
        <v>0.0</v>
      </c>
      <c r="L34" s="395" t="str">
        <f t="shared" si="7"/>
        <v>－</v>
      </c>
      <c r="M34" s="393" t="n">
        <v>0.0</v>
      </c>
      <c r="N34" s="395" t="str">
        <f t="shared" si="2"/>
        <v>－</v>
      </c>
      <c r="O34" s="393" t="n">
        <v>0.0</v>
      </c>
      <c r="P34" s="395" t="str">
        <f t="shared" si="3"/>
        <v>－</v>
      </c>
      <c r="Q34" s="393" t="n">
        <v>0.0</v>
      </c>
      <c r="R34" s="395" t="str">
        <f t="shared" si="4"/>
        <v>－</v>
      </c>
      <c r="S34" s="393" t="n">
        <v>0.0</v>
      </c>
      <c r="T34" s="395" t="str">
        <f t="shared" si="5"/>
        <v>－</v>
      </c>
    </row>
    <row r="35" spans="1:20">
      <c r="A35" s="19"/>
      <c r="B35" s="1087" t="s">
        <v>27</v>
      </c>
      <c r="C35" s="381" t="s">
        <v>16</v>
      </c>
      <c r="D35" s="382" t="n">
        <v>0.0</v>
      </c>
      <c r="E35" s="383" t="n">
        <v>0.0</v>
      </c>
      <c r="F35" s="384" t="n">
        <v>0.0</v>
      </c>
      <c r="G35" s="400" t="n">
        <v>0.0</v>
      </c>
      <c r="H35" s="401" t="n">
        <v>0.0</v>
      </c>
      <c r="I35" s="401" t="n">
        <v>0.0</v>
      </c>
      <c r="J35" s="394" t="str">
        <f t="shared" si="6"/>
        <v>－</v>
      </c>
      <c r="K35" s="400" t="n">
        <v>0.0</v>
      </c>
      <c r="L35" s="395" t="str">
        <f t="shared" si="7"/>
        <v>－</v>
      </c>
      <c r="M35" s="400" t="n">
        <v>0.0</v>
      </c>
      <c r="N35" s="395" t="str">
        <f t="shared" si="2"/>
        <v>－</v>
      </c>
      <c r="O35" s="400" t="n">
        <v>0.0</v>
      </c>
      <c r="P35" s="395" t="str">
        <f t="shared" si="3"/>
        <v>－</v>
      </c>
      <c r="Q35" s="400" t="n">
        <v>0.0</v>
      </c>
      <c r="R35" s="395" t="str">
        <f t="shared" si="4"/>
        <v>－</v>
      </c>
      <c r="S35" s="400" t="n">
        <v>0.0</v>
      </c>
      <c r="T35" s="395" t="str">
        <f t="shared" si="5"/>
        <v>－</v>
      </c>
    </row>
    <row r="36" spans="1:20">
      <c r="A36" s="19"/>
      <c r="B36" s="1088"/>
      <c r="C36" s="381" t="s">
        <v>25</v>
      </c>
      <c r="D36" s="396" t="n">
        <v>0.0</v>
      </c>
      <c r="E36" s="397" t="n">
        <v>0.0</v>
      </c>
      <c r="F36" s="398" t="n">
        <v>0.0</v>
      </c>
      <c r="G36" s="399" t="n">
        <v>0.0</v>
      </c>
      <c r="H36" s="397" t="n">
        <v>0.0</v>
      </c>
      <c r="I36" s="397" t="n">
        <v>0.0</v>
      </c>
      <c r="J36" s="394" t="str">
        <f t="shared" si="6"/>
        <v>－</v>
      </c>
      <c r="K36" s="399" t="n">
        <v>0.0</v>
      </c>
      <c r="L36" s="395" t="str">
        <f t="shared" si="7"/>
        <v>－</v>
      </c>
      <c r="M36" s="399" t="n">
        <v>0.0</v>
      </c>
      <c r="N36" s="395" t="str">
        <f t="shared" si="2"/>
        <v>－</v>
      </c>
      <c r="O36" s="399" t="n">
        <v>0.0</v>
      </c>
      <c r="P36" s="395" t="str">
        <f t="shared" si="3"/>
        <v>－</v>
      </c>
      <c r="Q36" s="399" t="n">
        <v>0.0</v>
      </c>
      <c r="R36" s="395" t="str">
        <f t="shared" si="4"/>
        <v>－</v>
      </c>
      <c r="S36" s="399" t="n">
        <v>0.0</v>
      </c>
      <c r="T36" s="395" t="str">
        <f t="shared" si="5"/>
        <v>－</v>
      </c>
    </row>
    <row r="37" spans="1:20">
      <c r="A37" s="19"/>
      <c r="B37" s="28"/>
      <c r="C37" s="381" t="s">
        <v>17</v>
      </c>
      <c r="D37" s="382" t="n">
        <v>0.0</v>
      </c>
      <c r="E37" s="383" t="n">
        <v>0.0</v>
      </c>
      <c r="F37" s="384" t="n">
        <v>0.0</v>
      </c>
      <c r="G37" s="393" t="n">
        <v>0.0</v>
      </c>
      <c r="H37" s="383" t="n">
        <v>0.0</v>
      </c>
      <c r="I37" s="383" t="n">
        <v>0.0</v>
      </c>
      <c r="J37" s="394" t="str">
        <f t="shared" si="6"/>
        <v>－</v>
      </c>
      <c r="K37" s="393" t="n">
        <v>0.0</v>
      </c>
      <c r="L37" s="395" t="str">
        <f t="shared" si="7"/>
        <v>－</v>
      </c>
      <c r="M37" s="393" t="n">
        <v>0.0</v>
      </c>
      <c r="N37" s="395" t="str">
        <f t="shared" si="2"/>
        <v>－</v>
      </c>
      <c r="O37" s="393" t="n">
        <v>0.0</v>
      </c>
      <c r="P37" s="395" t="str">
        <f t="shared" si="3"/>
        <v>－</v>
      </c>
      <c r="Q37" s="393" t="n">
        <v>0.0</v>
      </c>
      <c r="R37" s="395" t="str">
        <f t="shared" si="4"/>
        <v>－</v>
      </c>
      <c r="S37" s="393" t="n">
        <v>0.0</v>
      </c>
      <c r="T37" s="395" t="str">
        <f t="shared" si="5"/>
        <v>－</v>
      </c>
    </row>
    <row r="38" spans="1:20">
      <c r="A38" s="19"/>
      <c r="B38" s="1087" t="s">
        <v>264</v>
      </c>
      <c r="C38" s="411" t="s">
        <v>16</v>
      </c>
      <c r="D38" s="412" t="n">
        <v>0.0</v>
      </c>
      <c r="E38" s="383" t="n">
        <v>0.0</v>
      </c>
      <c r="F38" s="413" t="n">
        <v>0.0</v>
      </c>
      <c r="G38" s="400" t="n">
        <v>0.0</v>
      </c>
      <c r="H38" s="401" t="n">
        <v>0.0</v>
      </c>
      <c r="I38" s="401" t="n">
        <v>0.0</v>
      </c>
      <c r="J38" s="414" t="str">
        <f t="shared" si="6"/>
        <v>－</v>
      </c>
      <c r="K38" s="400" t="n">
        <v>0.0</v>
      </c>
      <c r="L38" s="415" t="str">
        <f t="shared" si="7"/>
        <v>－</v>
      </c>
      <c r="M38" s="400" t="n">
        <v>0.0</v>
      </c>
      <c r="N38" s="415" t="str">
        <f t="shared" si="2"/>
        <v>－</v>
      </c>
      <c r="O38" s="400" t="n">
        <v>0.0</v>
      </c>
      <c r="P38" s="415" t="str">
        <f t="shared" si="3"/>
        <v>－</v>
      </c>
      <c r="Q38" s="400" t="n">
        <v>0.0</v>
      </c>
      <c r="R38" s="415" t="str">
        <f t="shared" si="4"/>
        <v>－</v>
      </c>
      <c r="S38" s="400" t="n">
        <v>0.0</v>
      </c>
      <c r="T38" s="395" t="str">
        <f t="shared" si="5"/>
        <v>－</v>
      </c>
    </row>
    <row r="39" spans="1:20">
      <c r="A39" s="19"/>
      <c r="B39" s="1088"/>
      <c r="C39" s="411" t="s">
        <v>25</v>
      </c>
      <c r="D39" s="416" t="n">
        <v>0.0</v>
      </c>
      <c r="E39" s="397" t="n">
        <v>0.0</v>
      </c>
      <c r="F39" s="417" t="n">
        <v>0.0</v>
      </c>
      <c r="G39" s="399" t="n">
        <v>0.0</v>
      </c>
      <c r="H39" s="397" t="n">
        <v>0.0</v>
      </c>
      <c r="I39" s="397" t="n">
        <v>0.0</v>
      </c>
      <c r="J39" s="414" t="str">
        <f t="shared" si="6"/>
        <v>－</v>
      </c>
      <c r="K39" s="399" t="n">
        <v>0.0</v>
      </c>
      <c r="L39" s="415" t="str">
        <f t="shared" si="7"/>
        <v>－</v>
      </c>
      <c r="M39" s="399" t="n">
        <v>0.0</v>
      </c>
      <c r="N39" s="415" t="str">
        <f t="shared" si="2"/>
        <v>－</v>
      </c>
      <c r="O39" s="399" t="n">
        <v>0.0</v>
      </c>
      <c r="P39" s="415" t="str">
        <f t="shared" si="3"/>
        <v>－</v>
      </c>
      <c r="Q39" s="399" t="n">
        <v>0.0</v>
      </c>
      <c r="R39" s="415" t="str">
        <f t="shared" si="4"/>
        <v>－</v>
      </c>
      <c r="S39" s="399" t="n">
        <v>0.0</v>
      </c>
      <c r="T39" s="395" t="str">
        <f t="shared" si="5"/>
        <v>－</v>
      </c>
    </row>
    <row r="40" spans="1:20">
      <c r="A40" s="19"/>
      <c r="B40" s="28"/>
      <c r="C40" s="411" t="s">
        <v>17</v>
      </c>
      <c r="D40" s="412" t="n">
        <v>0.0</v>
      </c>
      <c r="E40" s="383" t="n">
        <v>0.0</v>
      </c>
      <c r="F40" s="413" t="n">
        <v>0.0</v>
      </c>
      <c r="G40" s="393" t="n">
        <v>0.0</v>
      </c>
      <c r="H40" s="383" t="n">
        <v>0.0</v>
      </c>
      <c r="I40" s="383" t="n">
        <v>0.0</v>
      </c>
      <c r="J40" s="414" t="str">
        <f t="shared" si="6"/>
        <v>－</v>
      </c>
      <c r="K40" s="393" t="n">
        <v>0.0</v>
      </c>
      <c r="L40" s="415" t="str">
        <f t="shared" si="7"/>
        <v>－</v>
      </c>
      <c r="M40" s="393" t="n">
        <v>0.0</v>
      </c>
      <c r="N40" s="415" t="str">
        <f t="shared" si="2"/>
        <v>－</v>
      </c>
      <c r="O40" s="393" t="n">
        <v>0.0</v>
      </c>
      <c r="P40" s="415" t="str">
        <f t="shared" si="3"/>
        <v>－</v>
      </c>
      <c r="Q40" s="393" t="n">
        <v>0.0</v>
      </c>
      <c r="R40" s="415" t="str">
        <f t="shared" si="4"/>
        <v>－</v>
      </c>
      <c r="S40" s="393" t="n">
        <v>0.0</v>
      </c>
      <c r="T40" s="395" t="str">
        <f t="shared" si="5"/>
        <v>－</v>
      </c>
    </row>
    <row r="41" spans="1:20">
      <c r="A41" s="19"/>
      <c r="B41" s="1085" t="s">
        <v>28</v>
      </c>
      <c r="C41" s="381" t="s">
        <v>16</v>
      </c>
      <c r="D41" s="382" t="n">
        <v>2636.495</v>
      </c>
      <c r="E41" s="383" t="n">
        <v>3245.792</v>
      </c>
      <c r="F41" s="384" t="n">
        <v>3974.172</v>
      </c>
      <c r="G41" s="400" t="n">
        <v>3974.0</v>
      </c>
      <c r="H41" s="401" t="n">
        <v>3872.0</v>
      </c>
      <c r="I41" s="401" t="n">
        <v>3918.0</v>
      </c>
      <c r="J41" s="394" t="n">
        <f t="shared" si="6"/>
        <v>0.9867044841877336</v>
      </c>
      <c r="K41" s="400" t="n">
        <v>3872.0</v>
      </c>
      <c r="L41" s="395" t="n">
        <f t="shared" si="7"/>
        <v>0.9742909969674186</v>
      </c>
      <c r="M41" s="400" t="n">
        <v>4122.0</v>
      </c>
      <c r="N41" s="395" t="n">
        <f t="shared" si="2"/>
        <v>1.0371971822055008</v>
      </c>
      <c r="O41" s="400" t="n">
        <v>4371.0</v>
      </c>
      <c r="P41" s="395" t="n">
        <f t="shared" si="3"/>
        <v>1.0998517427026309</v>
      </c>
      <c r="Q41" s="400" t="n">
        <v>4122.0</v>
      </c>
      <c r="R41" s="395" t="n">
        <f t="shared" si="4"/>
        <v>1.0371971822055008</v>
      </c>
      <c r="S41" s="400" t="n">
        <v>3669.0</v>
      </c>
      <c r="T41" s="395" t="n">
        <f t="shared" si="5"/>
        <v>0.9232111745540957</v>
      </c>
    </row>
    <row r="42" spans="1:20">
      <c r="A42" s="19"/>
      <c r="B42" s="1089"/>
      <c r="C42" s="381" t="s">
        <v>17</v>
      </c>
      <c r="D42" s="382" t="n">
        <v>33.166666666666664</v>
      </c>
      <c r="E42" s="383" t="n">
        <v>36.666666666666664</v>
      </c>
      <c r="F42" s="384" t="n">
        <v>44.0</v>
      </c>
      <c r="G42" s="393" t="n">
        <v>44.0</v>
      </c>
      <c r="H42" s="383" t="n">
        <v>43.0</v>
      </c>
      <c r="I42" s="383" t="n">
        <v>44.0</v>
      </c>
      <c r="J42" s="394" t="n">
        <f t="shared" si="6"/>
        <v>0.9924242424242423</v>
      </c>
      <c r="K42" s="393" t="n">
        <v>43.0</v>
      </c>
      <c r="L42" s="395" t="n">
        <f t="shared" si="7"/>
        <v>0.9772727272727273</v>
      </c>
      <c r="M42" s="393" t="n">
        <v>46.0</v>
      </c>
      <c r="N42" s="395" t="n">
        <f t="shared" si="2"/>
        <v>1.0454545454545454</v>
      </c>
      <c r="O42" s="393" t="n">
        <v>49.0</v>
      </c>
      <c r="P42" s="395" t="n">
        <f t="shared" si="3"/>
        <v>1.1136363636363635</v>
      </c>
      <c r="Q42" s="393" t="n">
        <v>46.0</v>
      </c>
      <c r="R42" s="395" t="n">
        <f t="shared" si="4"/>
        <v>1.0454545454545454</v>
      </c>
      <c r="S42" s="393" t="n">
        <v>41.0</v>
      </c>
      <c r="T42" s="395" t="n">
        <f t="shared" si="5"/>
        <v>0.9318181818181818</v>
      </c>
    </row>
    <row r="43" spans="1:20">
      <c r="A43" s="19"/>
      <c r="B43" s="1085" t="s">
        <v>29</v>
      </c>
      <c r="C43" s="381" t="s">
        <v>16</v>
      </c>
      <c r="D43" s="382" t="n">
        <v>70.686</v>
      </c>
      <c r="E43" s="383" t="n">
        <v>79.812</v>
      </c>
      <c r="F43" s="384" t="n">
        <v>0.0</v>
      </c>
      <c r="G43" s="400" t="n">
        <v>0.0</v>
      </c>
      <c r="H43" s="401" t="n">
        <v>0.0</v>
      </c>
      <c r="I43" s="401" t="n">
        <v>0.0</v>
      </c>
      <c r="J43" s="394" t="str">
        <f t="shared" si="6"/>
        <v>－</v>
      </c>
      <c r="K43" s="400" t="n">
        <v>0.0</v>
      </c>
      <c r="L43" s="395" t="str">
        <f t="shared" si="7"/>
        <v>－</v>
      </c>
      <c r="M43" s="400" t="n">
        <v>0.0</v>
      </c>
      <c r="N43" s="395" t="str">
        <f t="shared" si="2"/>
        <v>－</v>
      </c>
      <c r="O43" s="400" t="n">
        <v>0.0</v>
      </c>
      <c r="P43" s="395" t="str">
        <f t="shared" si="3"/>
        <v>－</v>
      </c>
      <c r="Q43" s="400" t="n">
        <v>0.0</v>
      </c>
      <c r="R43" s="395" t="str">
        <f t="shared" si="4"/>
        <v>－</v>
      </c>
      <c r="S43" s="400" t="n">
        <v>0.0</v>
      </c>
      <c r="T43" s="395" t="str">
        <f t="shared" si="5"/>
        <v>－</v>
      </c>
    </row>
    <row r="44" spans="1:20">
      <c r="A44" s="19"/>
      <c r="B44" s="1089"/>
      <c r="C44" s="381" t="s">
        <v>17</v>
      </c>
      <c r="D44" s="382" t="n">
        <v>0.25</v>
      </c>
      <c r="E44" s="383" t="n">
        <v>0.25</v>
      </c>
      <c r="F44" s="384" t="n">
        <v>0.0</v>
      </c>
      <c r="G44" s="393" t="n">
        <v>0.0</v>
      </c>
      <c r="H44" s="383" t="n">
        <v>0.0</v>
      </c>
      <c r="I44" s="383" t="n">
        <v>0.0</v>
      </c>
      <c r="J44" s="394" t="str">
        <f t="shared" si="6"/>
        <v>－</v>
      </c>
      <c r="K44" s="393" t="n">
        <v>0.0</v>
      </c>
      <c r="L44" s="395" t="str">
        <f t="shared" si="7"/>
        <v>－</v>
      </c>
      <c r="M44" s="393" t="n">
        <v>0.0</v>
      </c>
      <c r="N44" s="395" t="str">
        <f t="shared" si="2"/>
        <v>－</v>
      </c>
      <c r="O44" s="393" t="n">
        <v>0.0</v>
      </c>
      <c r="P44" s="395" t="str">
        <f t="shared" si="3"/>
        <v>－</v>
      </c>
      <c r="Q44" s="393" t="n">
        <v>0.0</v>
      </c>
      <c r="R44" s="395" t="str">
        <f t="shared" si="4"/>
        <v>－</v>
      </c>
      <c r="S44" s="393" t="n">
        <v>0.0</v>
      </c>
      <c r="T44" s="395" t="str">
        <f t="shared" si="5"/>
        <v>－</v>
      </c>
    </row>
    <row r="45" spans="1:20">
      <c r="A45" s="19"/>
      <c r="B45" s="16" t="s">
        <v>30</v>
      </c>
      <c r="C45" s="381" t="s">
        <v>16</v>
      </c>
      <c r="D45" s="382" t="n">
        <v>311.4</v>
      </c>
      <c r="E45" s="383" t="n">
        <v>350.1</v>
      </c>
      <c r="F45" s="384" t="n">
        <v>0.0</v>
      </c>
      <c r="G45" s="400" t="n">
        <v>0.0</v>
      </c>
      <c r="H45" s="401" t="n">
        <v>0.0</v>
      </c>
      <c r="I45" s="401" t="n">
        <v>0.0</v>
      </c>
      <c r="J45" s="394" t="str">
        <f t="shared" si="6"/>
        <v>－</v>
      </c>
      <c r="K45" s="400" t="n">
        <v>0.0</v>
      </c>
      <c r="L45" s="395" t="str">
        <f t="shared" si="7"/>
        <v>－</v>
      </c>
      <c r="M45" s="400" t="n">
        <v>0.0</v>
      </c>
      <c r="N45" s="395" t="str">
        <f t="shared" si="2"/>
        <v>－</v>
      </c>
      <c r="O45" s="400" t="n">
        <v>0.0</v>
      </c>
      <c r="P45" s="395" t="str">
        <f t="shared" si="3"/>
        <v>－</v>
      </c>
      <c r="Q45" s="400" t="n">
        <v>0.0</v>
      </c>
      <c r="R45" s="395" t="str">
        <f t="shared" si="4"/>
        <v>－</v>
      </c>
      <c r="S45" s="400" t="n">
        <v>0.0</v>
      </c>
      <c r="T45" s="395" t="str">
        <f t="shared" si="5"/>
        <v>－</v>
      </c>
    </row>
    <row r="46" spans="1:20">
      <c r="A46" s="19"/>
      <c r="B46" s="17"/>
      <c r="C46" s="381" t="s">
        <v>17</v>
      </c>
      <c r="D46" s="382" t="n">
        <v>0.3333333333333333</v>
      </c>
      <c r="E46" s="383" t="n">
        <v>0.3333333333333333</v>
      </c>
      <c r="F46" s="384" t="n">
        <v>0.0</v>
      </c>
      <c r="G46" s="393" t="n">
        <v>0.0</v>
      </c>
      <c r="H46" s="383" t="n">
        <v>0.0</v>
      </c>
      <c r="I46" s="383" t="n">
        <v>0.0</v>
      </c>
      <c r="J46" s="394" t="str">
        <f t="shared" si="6"/>
        <v>－</v>
      </c>
      <c r="K46" s="393" t="n">
        <v>0.0</v>
      </c>
      <c r="L46" s="395" t="str">
        <f t="shared" si="7"/>
        <v>－</v>
      </c>
      <c r="M46" s="393" t="n">
        <v>0.0</v>
      </c>
      <c r="N46" s="395" t="str">
        <f t="shared" si="2"/>
        <v>－</v>
      </c>
      <c r="O46" s="393" t="n">
        <v>0.0</v>
      </c>
      <c r="P46" s="395" t="str">
        <f t="shared" si="3"/>
        <v>－</v>
      </c>
      <c r="Q46" s="393" t="n">
        <v>0.0</v>
      </c>
      <c r="R46" s="395" t="str">
        <f t="shared" si="4"/>
        <v>－</v>
      </c>
      <c r="S46" s="393" t="n">
        <v>0.0</v>
      </c>
      <c r="T46" s="395" t="str">
        <f t="shared" si="5"/>
        <v>－</v>
      </c>
    </row>
    <row r="47" spans="1:20">
      <c r="A47" s="19"/>
      <c r="B47" s="1090" t="s">
        <v>31</v>
      </c>
      <c r="C47" s="411" t="s">
        <v>16</v>
      </c>
      <c r="D47" s="412" t="n">
        <v>0.0</v>
      </c>
      <c r="E47" s="383" t="n">
        <v>0.0</v>
      </c>
      <c r="F47" s="413" t="n">
        <v>0.0</v>
      </c>
      <c r="G47" s="400" t="n">
        <v>0.0</v>
      </c>
      <c r="H47" s="401" t="n">
        <v>0.0</v>
      </c>
      <c r="I47" s="401" t="n">
        <v>0.0</v>
      </c>
      <c r="J47" s="474" t="str">
        <f>IFERROR(SUM(G47:I47)/3/F47,"－")</f>
        <v>－</v>
      </c>
      <c r="K47" s="400" t="n">
        <v>0.0</v>
      </c>
      <c r="L47" s="415" t="str">
        <f t="shared" si="7"/>
        <v>－</v>
      </c>
      <c r="M47" s="400" t="n">
        <v>0.0</v>
      </c>
      <c r="N47" s="415" t="str">
        <f t="shared" si="2"/>
        <v>－</v>
      </c>
      <c r="O47" s="400" t="n">
        <v>0.0</v>
      </c>
      <c r="P47" s="415" t="str">
        <f t="shared" si="3"/>
        <v>－</v>
      </c>
      <c r="Q47" s="400" t="n">
        <v>0.0</v>
      </c>
      <c r="R47" s="415" t="str">
        <f t="shared" si="4"/>
        <v>－</v>
      </c>
      <c r="S47" s="400" t="n">
        <v>0.0</v>
      </c>
      <c r="T47" s="415" t="str">
        <f t="shared" si="5"/>
        <v>－</v>
      </c>
    </row>
    <row r="48" spans="1:20" ht="14.25" thickBot="1">
      <c r="A48" s="19"/>
      <c r="B48" s="1091"/>
      <c r="C48" s="974" t="s">
        <v>17</v>
      </c>
      <c r="D48" s="412" t="n">
        <v>0.0</v>
      </c>
      <c r="E48" s="383" t="n">
        <v>0.0</v>
      </c>
      <c r="F48" s="413" t="n">
        <v>0.0</v>
      </c>
      <c r="G48" s="393" t="n">
        <v>0.0</v>
      </c>
      <c r="H48" s="383" t="n">
        <v>0.0</v>
      </c>
      <c r="I48" s="383" t="n">
        <v>0.0</v>
      </c>
      <c r="J48" s="414" t="str">
        <f>IFERROR(SUM(G48:I48)/3/F48,"－")</f>
        <v>－</v>
      </c>
      <c r="K48" s="393" t="n">
        <v>0.0</v>
      </c>
      <c r="L48" s="415" t="str">
        <f>IFERROR(K48/F48,"－")</f>
        <v>－</v>
      </c>
      <c r="M48" s="393" t="n">
        <v>0.0</v>
      </c>
      <c r="N48" s="415" t="str">
        <f t="shared" si="2"/>
        <v>－</v>
      </c>
      <c r="O48" s="393" t="n">
        <v>0.0</v>
      </c>
      <c r="P48" s="415" t="str">
        <f t="shared" si="3"/>
        <v>－</v>
      </c>
      <c r="Q48" s="393" t="n">
        <v>0.0</v>
      </c>
      <c r="R48" s="415" t="str">
        <f t="shared" si="4"/>
        <v>－</v>
      </c>
      <c r="S48" s="393" t="n">
        <v>0.0</v>
      </c>
      <c r="T48" s="415" t="str">
        <f>IFERROR(S48/F48,"－")</f>
        <v>－</v>
      </c>
    </row>
    <row r="49" spans="1:20">
      <c r="A49" s="18" t="s">
        <v>32</v>
      </c>
      <c r="B49" s="362"/>
      <c r="C49" s="422"/>
      <c r="D49" s="423"/>
      <c r="E49" s="424"/>
      <c r="F49" s="425"/>
      <c r="G49" s="426"/>
      <c r="H49" s="424"/>
      <c r="I49" s="424"/>
      <c r="J49" s="427"/>
      <c r="K49" s="426"/>
      <c r="L49" s="428"/>
      <c r="M49" s="426"/>
      <c r="N49" s="428"/>
      <c r="O49" s="426"/>
      <c r="P49" s="428"/>
      <c r="Q49" s="426"/>
      <c r="R49" s="428"/>
      <c r="S49" s="426"/>
      <c r="T49" s="428"/>
    </row>
    <row r="50" spans="1:20">
      <c r="A50" s="24"/>
      <c r="B50" s="1085" t="s">
        <v>33</v>
      </c>
      <c r="C50" s="381" t="s">
        <v>16</v>
      </c>
      <c r="D50" s="382" t="n">
        <v>0.0</v>
      </c>
      <c r="E50" s="383" t="n">
        <v>0.0</v>
      </c>
      <c r="F50" s="384" t="n">
        <v>0.0</v>
      </c>
      <c r="G50" s="400" t="n">
        <v>0.0</v>
      </c>
      <c r="H50" s="401" t="n">
        <v>0.0</v>
      </c>
      <c r="I50" s="401" t="n">
        <v>0.0</v>
      </c>
      <c r="J50" s="402" t="str">
        <f t="shared" ref="J50:J61" si="8">IFERROR(SUM(G50:I50)/3/F50,"－")</f>
        <v>－</v>
      </c>
      <c r="K50" s="400" t="n">
        <v>0.0</v>
      </c>
      <c r="L50" s="403" t="str">
        <f t="shared" ref="L50:L61" si="9">IFERROR(K50/F50,"－")</f>
        <v>－</v>
      </c>
      <c r="M50" s="400" t="n">
        <v>0.0</v>
      </c>
      <c r="N50" s="395" t="str">
        <f t="shared" si="2"/>
        <v>－</v>
      </c>
      <c r="O50" s="400" t="n">
        <v>0.0</v>
      </c>
      <c r="P50" s="403" t="str">
        <f t="shared" si="3"/>
        <v>－</v>
      </c>
      <c r="Q50" s="400" t="n">
        <v>0.0</v>
      </c>
      <c r="R50" s="403" t="str">
        <f t="shared" si="4"/>
        <v>－</v>
      </c>
      <c r="S50" s="400" t="n">
        <v>0.0</v>
      </c>
      <c r="T50" s="403" t="str">
        <f>IFERROR(S50/F50,"－")</f>
        <v>－</v>
      </c>
    </row>
    <row r="51" spans="1:20">
      <c r="A51" s="19"/>
      <c r="B51" s="1086"/>
      <c r="C51" s="381" t="s">
        <v>19</v>
      </c>
      <c r="D51" s="396" t="n">
        <v>0.0</v>
      </c>
      <c r="E51" s="397" t="n">
        <v>0.0</v>
      </c>
      <c r="F51" s="398" t="n">
        <v>0.0</v>
      </c>
      <c r="G51" s="399" t="n">
        <v>0.0</v>
      </c>
      <c r="H51" s="397" t="n">
        <v>0.0</v>
      </c>
      <c r="I51" s="397" t="n">
        <v>0.0</v>
      </c>
      <c r="J51" s="394" t="str">
        <f t="shared" si="8"/>
        <v>－</v>
      </c>
      <c r="K51" s="399" t="n">
        <v>0.0</v>
      </c>
      <c r="L51" s="395" t="str">
        <f t="shared" si="9"/>
        <v>－</v>
      </c>
      <c r="M51" s="399" t="n">
        <v>0.0</v>
      </c>
      <c r="N51" s="395" t="str">
        <f t="shared" si="2"/>
        <v>－</v>
      </c>
      <c r="O51" s="399" t="n">
        <v>0.0</v>
      </c>
      <c r="P51" s="395" t="str">
        <f t="shared" si="3"/>
        <v>－</v>
      </c>
      <c r="Q51" s="399" t="n">
        <v>0.0</v>
      </c>
      <c r="R51" s="395" t="str">
        <f t="shared" si="4"/>
        <v>－</v>
      </c>
      <c r="S51" s="399" t="n">
        <v>0.0</v>
      </c>
      <c r="T51" s="395" t="str">
        <f>IFERROR(S51/F51,"－")</f>
        <v>－</v>
      </c>
    </row>
    <row r="52" spans="1:20">
      <c r="A52" s="19"/>
      <c r="B52" s="429"/>
      <c r="C52" s="381" t="s">
        <v>17</v>
      </c>
      <c r="D52" s="382" t="n">
        <v>0.0</v>
      </c>
      <c r="E52" s="383" t="n">
        <v>0.0</v>
      </c>
      <c r="F52" s="384" t="n">
        <v>0.0</v>
      </c>
      <c r="G52" s="393" t="n">
        <v>0.0</v>
      </c>
      <c r="H52" s="383" t="n">
        <v>0.0</v>
      </c>
      <c r="I52" s="383" t="n">
        <v>0.0</v>
      </c>
      <c r="J52" s="394" t="str">
        <f t="shared" si="8"/>
        <v>－</v>
      </c>
      <c r="K52" s="393" t="n">
        <v>0.0</v>
      </c>
      <c r="L52" s="395" t="str">
        <f t="shared" si="9"/>
        <v>－</v>
      </c>
      <c r="M52" s="393" t="n">
        <v>0.0</v>
      </c>
      <c r="N52" s="395" t="str">
        <f t="shared" si="2"/>
        <v>－</v>
      </c>
      <c r="O52" s="393" t="n">
        <v>0.0</v>
      </c>
      <c r="P52" s="395" t="str">
        <f t="shared" si="3"/>
        <v>－</v>
      </c>
      <c r="Q52" s="393" t="n">
        <v>0.0</v>
      </c>
      <c r="R52" s="395" t="str">
        <f t="shared" si="4"/>
        <v>－</v>
      </c>
      <c r="S52" s="393" t="n">
        <v>0.0</v>
      </c>
      <c r="T52" s="395" t="str">
        <f t="shared" ref="T52:T55" si="10">IFERROR(S52/F52,"－")</f>
        <v>－</v>
      </c>
    </row>
    <row r="53" spans="1:20">
      <c r="A53" s="24"/>
      <c r="B53" s="1085" t="s">
        <v>34</v>
      </c>
      <c r="C53" s="381" t="s">
        <v>16</v>
      </c>
      <c r="D53" s="382" t="n">
        <v>0.0</v>
      </c>
      <c r="E53" s="383" t="n">
        <v>0.0</v>
      </c>
      <c r="F53" s="384" t="n">
        <v>0.0</v>
      </c>
      <c r="G53" s="400" t="n">
        <v>0.0</v>
      </c>
      <c r="H53" s="401" t="n">
        <v>0.0</v>
      </c>
      <c r="I53" s="401" t="n">
        <v>0.0</v>
      </c>
      <c r="J53" s="402" t="str">
        <f t="shared" si="8"/>
        <v>－</v>
      </c>
      <c r="K53" s="400" t="n">
        <v>0.0</v>
      </c>
      <c r="L53" s="403" t="str">
        <f t="shared" si="9"/>
        <v>－</v>
      </c>
      <c r="M53" s="400" t="n">
        <v>0.0</v>
      </c>
      <c r="N53" s="403" t="str">
        <f t="shared" si="2"/>
        <v>－</v>
      </c>
      <c r="O53" s="400" t="n">
        <v>0.0</v>
      </c>
      <c r="P53" s="403" t="str">
        <f t="shared" si="3"/>
        <v>－</v>
      </c>
      <c r="Q53" s="400" t="n">
        <v>0.0</v>
      </c>
      <c r="R53" s="403" t="str">
        <f t="shared" si="4"/>
        <v>－</v>
      </c>
      <c r="S53" s="400" t="n">
        <v>0.0</v>
      </c>
      <c r="T53" s="395" t="str">
        <f t="shared" si="10"/>
        <v>－</v>
      </c>
    </row>
    <row r="54" spans="1:20">
      <c r="A54" s="19"/>
      <c r="B54" s="1089"/>
      <c r="C54" s="381" t="s">
        <v>17</v>
      </c>
      <c r="D54" s="382" t="n">
        <v>0.0</v>
      </c>
      <c r="E54" s="383" t="n">
        <v>0.0</v>
      </c>
      <c r="F54" s="384" t="n">
        <v>0.0</v>
      </c>
      <c r="G54" s="393" t="n">
        <v>0.0</v>
      </c>
      <c r="H54" s="383" t="n">
        <v>0.0</v>
      </c>
      <c r="I54" s="383" t="n">
        <v>0.0</v>
      </c>
      <c r="J54" s="394" t="str">
        <f t="shared" si="8"/>
        <v>－</v>
      </c>
      <c r="K54" s="393" t="n">
        <v>0.0</v>
      </c>
      <c r="L54" s="395" t="str">
        <f t="shared" si="9"/>
        <v>－</v>
      </c>
      <c r="M54" s="393" t="n">
        <v>0.0</v>
      </c>
      <c r="N54" s="395" t="str">
        <f t="shared" si="2"/>
        <v>－</v>
      </c>
      <c r="O54" s="393" t="n">
        <v>0.0</v>
      </c>
      <c r="P54" s="395" t="str">
        <f t="shared" si="3"/>
        <v>－</v>
      </c>
      <c r="Q54" s="393" t="n">
        <v>0.0</v>
      </c>
      <c r="R54" s="395" t="str">
        <f t="shared" si="4"/>
        <v>－</v>
      </c>
      <c r="S54" s="393" t="n">
        <v>0.0</v>
      </c>
      <c r="T54" s="395" t="str">
        <f t="shared" si="10"/>
        <v>－</v>
      </c>
    </row>
    <row r="55" spans="1:20">
      <c r="A55" s="19"/>
      <c r="B55" s="1090" t="s">
        <v>35</v>
      </c>
      <c r="C55" s="381" t="s">
        <v>16</v>
      </c>
      <c r="D55" s="382" t="n">
        <v>0.0</v>
      </c>
      <c r="E55" s="383" t="n">
        <v>4349.2970000000005</v>
      </c>
      <c r="F55" s="384" t="n">
        <v>0.0</v>
      </c>
      <c r="G55" s="400" t="n">
        <v>0.0</v>
      </c>
      <c r="H55" s="401" t="n">
        <v>0.0</v>
      </c>
      <c r="I55" s="401" t="n">
        <v>0.0</v>
      </c>
      <c r="J55" s="402" t="str">
        <f t="shared" si="8"/>
        <v>－</v>
      </c>
      <c r="K55" s="400" t="n">
        <v>0.0</v>
      </c>
      <c r="L55" s="403" t="str">
        <f t="shared" si="9"/>
        <v>－</v>
      </c>
      <c r="M55" s="400" t="n">
        <v>0.0</v>
      </c>
      <c r="N55" s="403" t="str">
        <f t="shared" si="2"/>
        <v>－</v>
      </c>
      <c r="O55" s="400" t="n">
        <v>0.0</v>
      </c>
      <c r="P55" s="403" t="str">
        <f t="shared" si="3"/>
        <v>－</v>
      </c>
      <c r="Q55" s="400" t="n">
        <v>0.0</v>
      </c>
      <c r="R55" s="403" t="str">
        <f t="shared" si="4"/>
        <v>－</v>
      </c>
      <c r="S55" s="400" t="n">
        <v>0.0</v>
      </c>
      <c r="T55" s="395" t="str">
        <f t="shared" si="10"/>
        <v>－</v>
      </c>
    </row>
    <row r="56" spans="1:20" ht="14.25" thickBot="1">
      <c r="A56" s="19"/>
      <c r="B56" s="1092"/>
      <c r="C56" s="381" t="s">
        <v>17</v>
      </c>
      <c r="D56" s="430" t="n">
        <v>0.0</v>
      </c>
      <c r="E56" s="419" t="n">
        <v>1.4166666666666667</v>
      </c>
      <c r="F56" s="431" t="n">
        <v>0.0</v>
      </c>
      <c r="G56" s="418" t="n">
        <v>0.0</v>
      </c>
      <c r="H56" s="419" t="n">
        <v>0.0</v>
      </c>
      <c r="I56" s="419" t="n">
        <v>0.0</v>
      </c>
      <c r="J56" s="420" t="str">
        <f t="shared" si="8"/>
        <v>－</v>
      </c>
      <c r="K56" s="418" t="n">
        <v>0.0</v>
      </c>
      <c r="L56" s="421" t="str">
        <f t="shared" si="9"/>
        <v>－</v>
      </c>
      <c r="M56" s="418" t="n">
        <v>0.0</v>
      </c>
      <c r="N56" s="421" t="str">
        <f t="shared" si="2"/>
        <v>－</v>
      </c>
      <c r="O56" s="418" t="n">
        <v>0.0</v>
      </c>
      <c r="P56" s="421" t="str">
        <f t="shared" si="3"/>
        <v>－</v>
      </c>
      <c r="Q56" s="418" t="n">
        <v>0.0</v>
      </c>
      <c r="R56" s="421" t="str">
        <f t="shared" si="4"/>
        <v>－</v>
      </c>
      <c r="S56" s="418" t="n">
        <v>0.0</v>
      </c>
      <c r="T56" s="421" t="str">
        <f t="shared" ref="T56:T61" si="11">IFERROR(S56/F56,"－")</f>
        <v>－</v>
      </c>
    </row>
    <row r="57" spans="1:20">
      <c r="A57" s="20" t="s">
        <v>111</v>
      </c>
      <c r="B57" s="432"/>
      <c r="C57" s="433" t="s">
        <v>16</v>
      </c>
      <c r="D57" s="434" t="n">
        <v>2373.716</v>
      </c>
      <c r="E57" s="435" t="n">
        <v>4609.719</v>
      </c>
      <c r="F57" s="436" t="n">
        <v>4800.912</v>
      </c>
      <c r="G57" s="437" t="n">
        <v>4668.0</v>
      </c>
      <c r="H57" s="438" t="n">
        <v>4790.0</v>
      </c>
      <c r="I57" s="438" t="n">
        <v>4854.0</v>
      </c>
      <c r="J57" s="439" t="n">
        <f t="shared" si="8"/>
        <v>0.9937000858725731</v>
      </c>
      <c r="K57" s="437" t="n">
        <v>4796.0</v>
      </c>
      <c r="L57" s="440" t="n">
        <f t="shared" si="9"/>
        <v>0.9989768610630646</v>
      </c>
      <c r="M57" s="437" t="n">
        <v>5164.0</v>
      </c>
      <c r="N57" s="440" t="n">
        <f t="shared" si="2"/>
        <v>1.0756289638302055</v>
      </c>
      <c r="O57" s="437" t="n">
        <v>5473.0</v>
      </c>
      <c r="P57" s="440" t="n">
        <f t="shared" si="3"/>
        <v>1.1399917349037016</v>
      </c>
      <c r="Q57" s="437" t="n">
        <v>5164.0</v>
      </c>
      <c r="R57" s="440" t="n">
        <f t="shared" si="4"/>
        <v>1.0756289638302055</v>
      </c>
      <c r="S57" s="437" t="n">
        <v>4545.0</v>
      </c>
      <c r="T57" s="440" t="n">
        <f t="shared" si="11"/>
        <v>0.9466951279256941</v>
      </c>
    </row>
    <row r="58" spans="1:20" ht="14.25" thickBot="1">
      <c r="A58" s="21"/>
      <c r="B58" s="441"/>
      <c r="C58" s="442" t="s">
        <v>17</v>
      </c>
      <c r="D58" s="443" t="n">
        <v>58.0</v>
      </c>
      <c r="E58" s="444" t="n">
        <v>59.75</v>
      </c>
      <c r="F58" s="445" t="n">
        <v>77.0</v>
      </c>
      <c r="G58" s="446" t="n">
        <v>75.0</v>
      </c>
      <c r="H58" s="444" t="n">
        <v>77.0</v>
      </c>
      <c r="I58" s="444" t="n">
        <v>78.0</v>
      </c>
      <c r="J58" s="447" t="n">
        <f t="shared" si="8"/>
        <v>0.9956709956709957</v>
      </c>
      <c r="K58" s="446" t="n">
        <v>77.0</v>
      </c>
      <c r="L58" s="448" t="n">
        <f t="shared" si="9"/>
        <v>1.0</v>
      </c>
      <c r="M58" s="446" t="n">
        <v>83.0</v>
      </c>
      <c r="N58" s="448" t="n">
        <f t="shared" si="2"/>
        <v>1.077922077922078</v>
      </c>
      <c r="O58" s="446" t="n">
        <v>88.0</v>
      </c>
      <c r="P58" s="448" t="n">
        <f t="shared" si="3"/>
        <v>1.1428571428571428</v>
      </c>
      <c r="Q58" s="446" t="n">
        <v>83.0</v>
      </c>
      <c r="R58" s="448" t="n">
        <f t="shared" si="4"/>
        <v>1.077922077922078</v>
      </c>
      <c r="S58" s="446" t="n">
        <v>73.0</v>
      </c>
      <c r="T58" s="448" t="n">
        <f t="shared" si="11"/>
        <v>0.948051948051948</v>
      </c>
    </row>
    <row r="59" spans="1:20">
      <c r="A59" s="20" t="s">
        <v>400</v>
      </c>
      <c r="B59" s="432"/>
      <c r="C59" s="433" t="s">
        <v>16</v>
      </c>
      <c r="D59" s="499"/>
      <c r="E59" s="839"/>
      <c r="F59" s="889"/>
      <c r="G59" s="499"/>
      <c r="H59" s="438"/>
      <c r="I59" s="438"/>
      <c r="J59" s="439" t="str">
        <f t="shared" ref="J59:J60" si="12">IFERROR(SUM(G59:I59)/3/F59,"－")</f>
        <v>－</v>
      </c>
      <c r="K59" s="437"/>
      <c r="L59" s="440" t="str">
        <f t="shared" ref="L59:L60" si="13">IFERROR(K59/F59,"－")</f>
        <v>－</v>
      </c>
      <c r="M59" s="437"/>
      <c r="N59" s="440" t="str">
        <f t="shared" ref="N59:N60" si="14">IFERROR(M59/F59,"－")</f>
        <v>－</v>
      </c>
      <c r="O59" s="437"/>
      <c r="P59" s="440" t="str">
        <f t="shared" ref="P59:P60" si="15">IFERROR(O59/F59,"－")</f>
        <v>－</v>
      </c>
      <c r="Q59" s="437"/>
      <c r="R59" s="440" t="str">
        <f t="shared" ref="R59:R60" si="16">IFERROR(Q59/F59,"－")</f>
        <v>－</v>
      </c>
      <c r="S59" s="437"/>
      <c r="T59" s="440" t="str">
        <f t="shared" si="11"/>
        <v>－</v>
      </c>
    </row>
    <row r="60" spans="1:20" ht="14.25" thickBot="1">
      <c r="A60" s="21"/>
      <c r="B60" s="441"/>
      <c r="C60" s="442" t="s">
        <v>17</v>
      </c>
      <c r="D60" s="504"/>
      <c r="E60" s="840"/>
      <c r="F60" s="926"/>
      <c r="G60" s="504"/>
      <c r="H60" s="444"/>
      <c r="I60" s="444"/>
      <c r="J60" s="447" t="str">
        <f t="shared" si="12"/>
        <v>－</v>
      </c>
      <c r="K60" s="446"/>
      <c r="L60" s="448" t="str">
        <f t="shared" si="13"/>
        <v>－</v>
      </c>
      <c r="M60" s="446"/>
      <c r="N60" s="448" t="str">
        <f t="shared" si="14"/>
        <v>－</v>
      </c>
      <c r="O60" s="446"/>
      <c r="P60" s="448" t="str">
        <f t="shared" si="15"/>
        <v>－</v>
      </c>
      <c r="Q60" s="446"/>
      <c r="R60" s="448" t="str">
        <f t="shared" si="16"/>
        <v>－</v>
      </c>
      <c r="S60" s="446"/>
      <c r="T60" s="448" t="str">
        <f t="shared" si="11"/>
        <v>－</v>
      </c>
    </row>
    <row r="61" spans="1:20" ht="14.25" thickBot="1">
      <c r="A61" s="449" t="s">
        <v>36</v>
      </c>
      <c r="B61" s="369"/>
      <c r="C61" s="450" t="s">
        <v>16</v>
      </c>
      <c r="D61" s="451" t="n">
        <f>IF(ISERROR(SUM(D12,D14,D17,D20,D23,D25,D27,D29,D32,D35,D38,D41,D43,D45,D47,D50,D53,D55,D57)),0,(SUM(D12,D14,D17,D20,D23,D25,D27,D29,D32,D35,D38,D41,D43,D45,D47,D50,D53,D55,D57)))</f>
        <v>27005.507</v>
      </c>
      <c r="E61" s="452" t="n">
        <f>IF(ISERROR(SUM(E12,E14,E17,E20,E23,E25,E27,E29,E32,E35,E38,E41,E43,E45,E47,E50,E53,E55,E57)),0,(SUM(E12,E14,E17,E20,E23,E25,E27,E29,E32,E35,E38,E41,E43,E45,E47,E50,E53,E55,E57)))</f>
        <v>32287.638000000003</v>
      </c>
      <c r="F61" s="453" t="n">
        <f>IF(ISERROR(SUM(F12,F14,F17,F20,F23,F25,F27,F29,F32,F35,F38,F41,F43,F45,F47,F50,F53,F55,F57)),0,(SUM(F12,F14,F17,F20,F23,F25,F27,F29,F32,F35,F38,F41,F43,F45,F47,F50,F53,F55,F57)))</f>
        <v>34325.974799999996</v>
      </c>
      <c r="G61" s="454" t="n">
        <f>IF(ISERROR(SUM(G12,G14,G17,G20,G23,G25,G27,G29,G32,G35,G38,G41,G43,G45,G47,G50,G53,G55,G57)),0,(SUM(G12,G14,G17,G20,G23,G25,G27,G29,G32,G35,G38,G41,G43,G45,G47,G50,G53,G55,G57)))</f>
        <v>33168.0</v>
      </c>
      <c r="H61" s="452" t="n">
        <f>IF(ISERROR(SUM(H12,H14,H17,H20,H23,H25,H27,H29,H32,H35,H38,H41,H43,H45,H47,H50,H53,H55,H57,H59)),0,(SUM(H12,H14,H17,H20,H23,H25,H27,H29,H32,H35,H38,H41,H43,H45,H47,H50,H53,H55,H57,H59)))</f>
        <v>33965.0</v>
      </c>
      <c r="I61" s="452" t="n">
        <f>IF(ISERROR(SUM(I12,I14,I17,I20,I23,I25,I27,I29,I32,I35,I38,I41,I43,I45,I47,I50,I53,I55,I57,I59)),0,(SUM(I12,I14,I17,I20,I23,I25,I27,I29,I32,I35,I38,I41,I43,I45,I47,I50,I53,I55,I57,I59)))</f>
        <v>34358.0</v>
      </c>
      <c r="J61" s="455" t="n">
        <f t="shared" si="8"/>
        <v>0.9855607460660765</v>
      </c>
      <c r="K61" s="454" t="n">
        <f>IF(ISERROR(SUM(K12,K14,K17,K20,K23,K25,K27,K29,K32,K35,K38,K41,K43,K45,K47,K50,K53,K55,K57,K59)),0,(SUM(K12,K14,K17,K20,K23,K25,K27,K29,K32,K35,K38,K41,K43,K45,K47,K50,K53,K55,K57,K59)))</f>
        <v>33959.0</v>
      </c>
      <c r="L61" s="456" t="n">
        <f t="shared" si="9"/>
        <v>0.9893091222568865</v>
      </c>
      <c r="M61" s="454" t="n">
        <f>IF(ISERROR(SUM(M12,M14,M17,M20,M23,M25,M27,M29,M32,M35,M38,M41,M43,M45,M47,M50,M53,M55,M57,M59)),0,(SUM(M12,M14,M17,M20,M23,M25,M27,M29,M32,M35,M38,M41,M43,M45,M47,M50,M53,M55,M57,M59)))</f>
        <v>36228.0</v>
      </c>
      <c r="N61" s="456" t="n">
        <f t="shared" si="2"/>
        <v>1.055410668191716</v>
      </c>
      <c r="O61" s="454" t="n">
        <f>IF(ISERROR(SUM(O12,O14,O17,O20,O23,O25,O27,O29,O32,O35,O38,O41,O43,O45,O47,O50,O53,O55,O57,O59)),0,(SUM(O12,O14,O17,O20,O23,O25,O27,O29,O32,O35,O38,O41,O43,O45,O47,O50,O53,O55,O57,O59)))</f>
        <v>38436.0</v>
      </c>
      <c r="P61" s="456" t="n">
        <f t="shared" si="3"/>
        <v>1.1197351342226123</v>
      </c>
      <c r="Q61" s="454" t="n">
        <f>IF(ISERROR(SUM(Q12,Q14,Q17,Q20,Q23,Q25,Q27,Q29,Q32,Q35,Q38,Q41,Q43,Q45,Q47,Q50,Q53,Q55,Q57,Q59)),0,(SUM(Q12,Q14,Q17,Q20,Q23,Q25,Q27,Q29,Q32,Q35,Q38,Q41,Q43,Q45,Q47,Q50,Q53,Q55,Q57,Q59)))</f>
        <v>36228.0</v>
      </c>
      <c r="R61" s="456" t="n">
        <f t="shared" si="4"/>
        <v>1.055410668191716</v>
      </c>
      <c r="S61" s="454" t="n">
        <f>IF(ISERROR(SUM(S12,S14,S17,S20,S23,S25,S27,S29,S32,S35,S38,S41,S43,S45,S47,S50,S53,S55,S57,S59)),0,(SUM(S12,S14,S17,S20,S23,S25,S27,S29,S32,S35,S38,S41,S43,S45,S47,S50,S53,S55,S57,S59)))</f>
        <v>32680.0</v>
      </c>
      <c r="T61" s="456" t="n">
        <f t="shared" si="11"/>
        <v>0.9520487091891707</v>
      </c>
    </row>
    <row r="62" spans="1:20" ht="50.1" customHeight="1">
      <c r="A62" s="701" t="s">
        <v>109</v>
      </c>
      <c r="B62" s="186"/>
      <c r="C62" s="457"/>
      <c r="D62" s="458"/>
      <c r="E62" s="458"/>
      <c r="F62" s="458"/>
      <c r="G62" s="700" t="s">
        <v>350</v>
      </c>
      <c r="H62" s="459"/>
      <c r="I62" s="459"/>
      <c r="J62" s="459"/>
      <c r="K62" s="624" t="s">
        <v>384</v>
      </c>
      <c r="L62" s="514"/>
      <c r="M62" s="514"/>
    </row>
    <row r="63" spans="1:20" ht="13.5" customHeight="1">
      <c r="A63" s="457"/>
      <c r="B63" s="186"/>
      <c r="C63" s="457"/>
      <c r="D63" s="458"/>
      <c r="E63" s="458"/>
      <c r="F63" s="458"/>
      <c r="G63" s="458"/>
      <c r="H63" s="458"/>
      <c r="I63" s="458"/>
      <c r="J63" s="458"/>
      <c r="K63" s="514"/>
      <c r="L63" s="514"/>
      <c r="M63" s="514"/>
    </row>
    <row r="64" spans="1:20" ht="14.25" thickBot="1">
      <c r="A64" s="22" t="s">
        <v>90</v>
      </c>
      <c r="B64" s="186"/>
      <c r="C64" s="373"/>
      <c r="T64" s="2" t="s">
        <v>108</v>
      </c>
    </row>
    <row r="65" spans="1:20" ht="14.25" thickBot="1">
      <c r="A65" s="23"/>
      <c r="B65" s="186"/>
      <c r="C65" s="373"/>
      <c r="D65" s="1074" t="s">
        <v>414</v>
      </c>
      <c r="E65" s="1098"/>
      <c r="F65" s="1099"/>
      <c r="G65" s="1074" t="s">
        <v>415</v>
      </c>
      <c r="H65" s="1098"/>
      <c r="I65" s="1098"/>
      <c r="J65" s="1099"/>
      <c r="K65" s="1076" t="s">
        <v>416</v>
      </c>
      <c r="L65" s="1077"/>
      <c r="M65" s="1076" t="s">
        <v>417</v>
      </c>
      <c r="N65" s="1077"/>
      <c r="O65" s="1076" t="s">
        <v>418</v>
      </c>
      <c r="P65" s="1077"/>
      <c r="Q65" s="1076" t="s">
        <v>419</v>
      </c>
      <c r="R65" s="1077"/>
      <c r="S65" s="1076" t="s">
        <v>420</v>
      </c>
      <c r="T65" s="1077"/>
    </row>
    <row r="66" spans="1:20" ht="23.25" thickBot="1">
      <c r="A66" s="29"/>
      <c r="B66" s="369"/>
      <c r="C66" s="370"/>
      <c r="D66" s="1004" t="s">
        <v>352</v>
      </c>
      <c r="E66" s="993" t="s">
        <v>351</v>
      </c>
      <c r="F66" s="1005" t="s">
        <v>348</v>
      </c>
      <c r="G66" s="1004" t="s">
        <v>347</v>
      </c>
      <c r="H66" s="993" t="s">
        <v>346</v>
      </c>
      <c r="I66" s="993" t="s">
        <v>345</v>
      </c>
      <c r="J66" s="997" t="s">
        <v>104</v>
      </c>
      <c r="K66" s="1004" t="s">
        <v>368</v>
      </c>
      <c r="L66" s="997" t="s">
        <v>105</v>
      </c>
      <c r="M66" s="1004" t="s">
        <v>371</v>
      </c>
      <c r="N66" s="997" t="s">
        <v>105</v>
      </c>
      <c r="O66" s="1004" t="s">
        <v>374</v>
      </c>
      <c r="P66" s="997" t="s">
        <v>105</v>
      </c>
      <c r="Q66" s="1004" t="s">
        <v>377</v>
      </c>
      <c r="R66" s="997" t="s">
        <v>105</v>
      </c>
      <c r="S66" s="1004" t="s">
        <v>380</v>
      </c>
      <c r="T66" s="997" t="s">
        <v>105</v>
      </c>
    </row>
    <row r="67" spans="1:20">
      <c r="A67" s="460" t="s">
        <v>38</v>
      </c>
      <c r="B67" s="362"/>
      <c r="C67" s="461"/>
      <c r="D67" s="462"/>
      <c r="E67" s="378"/>
      <c r="F67" s="463"/>
      <c r="G67" s="377"/>
      <c r="H67" s="378"/>
      <c r="I67" s="379"/>
      <c r="J67" s="379"/>
      <c r="K67" s="377"/>
      <c r="L67" s="380"/>
      <c r="M67" s="377"/>
      <c r="N67" s="380"/>
      <c r="O67" s="377"/>
      <c r="P67" s="380"/>
      <c r="Q67" s="377"/>
      <c r="R67" s="380"/>
      <c r="S67" s="377"/>
      <c r="T67" s="380"/>
    </row>
    <row r="68" spans="1:20">
      <c r="A68" s="19"/>
      <c r="B68" s="1085" t="s">
        <v>39</v>
      </c>
      <c r="C68" s="381" t="s">
        <v>16</v>
      </c>
      <c r="D68" s="464" t="n">
        <v>40913.158</v>
      </c>
      <c r="E68" s="401" t="n">
        <v>27780.871</v>
      </c>
      <c r="F68" s="465" t="n">
        <v>18100.3968</v>
      </c>
      <c r="G68" s="400" t="n">
        <v>16826.0</v>
      </c>
      <c r="H68" s="401" t="n">
        <v>17153.0</v>
      </c>
      <c r="I68" s="466" t="n">
        <v>17153.0</v>
      </c>
      <c r="J68" s="402" t="n">
        <f t="shared" ref="J68:J101" si="17">IFERROR(SUM(G68:I68)/3/F68,"－")</f>
        <v>0.9416368153873843</v>
      </c>
      <c r="K68" s="400" t="n">
        <v>16203.0</v>
      </c>
      <c r="L68" s="403" t="n">
        <f t="shared" ref="L68:L105" si="18">IFERROR(K68/F68,"－")</f>
        <v>0.8951737455833013</v>
      </c>
      <c r="M68" s="400" t="n">
        <v>18978.0</v>
      </c>
      <c r="N68" s="403" t="n">
        <f>IFERROR(M68/F68,"－")</f>
        <v>1.0484853017144906</v>
      </c>
      <c r="O68" s="400" t="n">
        <v>21899.0</v>
      </c>
      <c r="P68" s="403" t="n">
        <f>IFERROR(O68/F68,"－")</f>
        <v>1.2098629793574471</v>
      </c>
      <c r="Q68" s="400" t="n">
        <v>19790.0</v>
      </c>
      <c r="R68" s="403" t="n">
        <f>IFERROR(Q68/F68,"－")</f>
        <v>1.0933461966977431</v>
      </c>
      <c r="S68" s="400" t="n">
        <v>16868.0</v>
      </c>
      <c r="T68" s="403" t="n">
        <f>IFERROR(S68/F68,"－")</f>
        <v>0.931913271647172</v>
      </c>
    </row>
    <row r="69" spans="1:20">
      <c r="A69" s="19"/>
      <c r="B69" s="1086"/>
      <c r="C69" s="381" t="s">
        <v>19</v>
      </c>
      <c r="D69" s="467" t="n">
        <v>1180.25</v>
      </c>
      <c r="E69" s="468" t="n">
        <v>705.3333333333334</v>
      </c>
      <c r="F69" s="469" t="n">
        <v>426.5</v>
      </c>
      <c r="G69" s="470" t="n">
        <v>395.5</v>
      </c>
      <c r="H69" s="468" t="n">
        <v>402.6</v>
      </c>
      <c r="I69" s="471" t="n">
        <v>402.6</v>
      </c>
      <c r="J69" s="394" t="n">
        <f t="shared" si="17"/>
        <v>0.9384134427510746</v>
      </c>
      <c r="K69" s="470" t="n">
        <v>380.5</v>
      </c>
      <c r="L69" s="395" t="n">
        <f t="shared" si="18"/>
        <v>0.8921453692848769</v>
      </c>
      <c r="M69" s="470" t="n">
        <v>442.3</v>
      </c>
      <c r="N69" s="395" t="n">
        <f t="shared" ref="N69:N134" si="19">IFERROR(M69/F69,"－")</f>
        <v>1.0370457209847597</v>
      </c>
      <c r="O69" s="470" t="n">
        <v>516.3</v>
      </c>
      <c r="P69" s="395" t="n">
        <f t="shared" ref="P69:P134" si="20">IFERROR(O69/F69,"－")</f>
        <v>1.210550996483001</v>
      </c>
      <c r="Q69" s="470" t="n">
        <v>470.3</v>
      </c>
      <c r="R69" s="395" t="n">
        <f t="shared" ref="R69:R134" si="21">IFERROR(Q69/F69,"－")</f>
        <v>1.102696365767878</v>
      </c>
      <c r="S69" s="470" t="n">
        <v>396.3</v>
      </c>
      <c r="T69" s="403" t="n">
        <f t="shared" ref="T69:T106" si="22">IFERROR(S69/F69,"－")</f>
        <v>0.9291910902696366</v>
      </c>
    </row>
    <row r="70" spans="1:20">
      <c r="A70" s="19"/>
      <c r="B70" s="724"/>
      <c r="C70" s="381" t="s">
        <v>17</v>
      </c>
      <c r="D70" s="464" t="n">
        <v>34.75</v>
      </c>
      <c r="E70" s="401" t="n">
        <v>33.166666666666664</v>
      </c>
      <c r="F70" s="465" t="n">
        <v>27.0</v>
      </c>
      <c r="G70" s="400" t="n">
        <v>27.0</v>
      </c>
      <c r="H70" s="401" t="n">
        <v>28.0</v>
      </c>
      <c r="I70" s="466" t="n">
        <v>28.0</v>
      </c>
      <c r="J70" s="394" t="n">
        <f t="shared" si="17"/>
        <v>1.0246913580246915</v>
      </c>
      <c r="K70" s="400" t="n">
        <v>26.0</v>
      </c>
      <c r="L70" s="395" t="n">
        <f t="shared" si="18"/>
        <v>0.9629629629629629</v>
      </c>
      <c r="M70" s="400" t="n">
        <v>30.0</v>
      </c>
      <c r="N70" s="395" t="n">
        <f t="shared" si="19"/>
        <v>1.1111111111111112</v>
      </c>
      <c r="O70" s="400" t="n">
        <v>33.0</v>
      </c>
      <c r="P70" s="395" t="n">
        <f t="shared" si="20"/>
        <v>1.2222222222222223</v>
      </c>
      <c r="Q70" s="400" t="n">
        <v>30.0</v>
      </c>
      <c r="R70" s="395" t="n">
        <f t="shared" si="21"/>
        <v>1.1111111111111112</v>
      </c>
      <c r="S70" s="400" t="n">
        <v>27.0</v>
      </c>
      <c r="T70" s="403" t="n">
        <f t="shared" si="22"/>
        <v>1.0</v>
      </c>
    </row>
    <row r="71" spans="1:20">
      <c r="A71" s="19"/>
      <c r="B71" s="1085" t="s">
        <v>40</v>
      </c>
      <c r="C71" s="381" t="s">
        <v>16</v>
      </c>
      <c r="D71" s="464" t="n">
        <v>4766.748</v>
      </c>
      <c r="E71" s="401" t="n">
        <v>2668.09</v>
      </c>
      <c r="F71" s="465" t="n">
        <v>0.0</v>
      </c>
      <c r="G71" s="400" t="n">
        <v>0.0</v>
      </c>
      <c r="H71" s="401" t="n">
        <v>0.0</v>
      </c>
      <c r="I71" s="466" t="n">
        <v>0.0</v>
      </c>
      <c r="J71" s="402" t="str">
        <f t="shared" si="17"/>
        <v>－</v>
      </c>
      <c r="K71" s="400" t="n">
        <v>0.0</v>
      </c>
      <c r="L71" s="403" t="str">
        <f t="shared" si="18"/>
        <v>－</v>
      </c>
      <c r="M71" s="400" t="n">
        <v>0.0</v>
      </c>
      <c r="N71" s="403" t="str">
        <f t="shared" si="19"/>
        <v>－</v>
      </c>
      <c r="O71" s="400" t="n">
        <v>0.0</v>
      </c>
      <c r="P71" s="403" t="str">
        <f t="shared" si="20"/>
        <v>－</v>
      </c>
      <c r="Q71" s="400" t="n">
        <v>0.0</v>
      </c>
      <c r="R71" s="403" t="str">
        <f t="shared" si="21"/>
        <v>－</v>
      </c>
      <c r="S71" s="400" t="n">
        <v>0.0</v>
      </c>
      <c r="T71" s="403" t="str">
        <f t="shared" si="22"/>
        <v>－</v>
      </c>
    </row>
    <row r="72" spans="1:20">
      <c r="A72" s="19"/>
      <c r="B72" s="1086"/>
      <c r="C72" s="381" t="s">
        <v>19</v>
      </c>
      <c r="D72" s="464" t="n">
        <v>29.25</v>
      </c>
      <c r="E72" s="401" t="n">
        <v>17.166666666666668</v>
      </c>
      <c r="F72" s="465" t="n">
        <v>0.0</v>
      </c>
      <c r="G72" s="470" t="n">
        <v>0.0</v>
      </c>
      <c r="H72" s="468" t="n">
        <v>0.0</v>
      </c>
      <c r="I72" s="471" t="n">
        <v>0.0</v>
      </c>
      <c r="J72" s="394" t="str">
        <f t="shared" si="17"/>
        <v>－</v>
      </c>
      <c r="K72" s="470" t="n">
        <v>0.0</v>
      </c>
      <c r="L72" s="395" t="str">
        <f t="shared" si="18"/>
        <v>－</v>
      </c>
      <c r="M72" s="470" t="n">
        <v>0.0</v>
      </c>
      <c r="N72" s="395" t="str">
        <f t="shared" si="19"/>
        <v>－</v>
      </c>
      <c r="O72" s="470" t="n">
        <v>0.0</v>
      </c>
      <c r="P72" s="395" t="str">
        <f t="shared" si="20"/>
        <v>－</v>
      </c>
      <c r="Q72" s="470" t="n">
        <v>0.0</v>
      </c>
      <c r="R72" s="395" t="str">
        <f t="shared" si="21"/>
        <v>－</v>
      </c>
      <c r="S72" s="470" t="n">
        <v>0.0</v>
      </c>
      <c r="T72" s="403" t="str">
        <f t="shared" si="22"/>
        <v>－</v>
      </c>
    </row>
    <row r="73" spans="1:20">
      <c r="A73" s="19"/>
      <c r="B73" s="724"/>
      <c r="C73" s="381" t="s">
        <v>17</v>
      </c>
      <c r="D73" s="464" t="n">
        <v>6.25</v>
      </c>
      <c r="E73" s="401" t="n">
        <v>3.8333333333333335</v>
      </c>
      <c r="F73" s="465" t="n">
        <v>0.0</v>
      </c>
      <c r="G73" s="400" t="n">
        <v>0.0</v>
      </c>
      <c r="H73" s="401" t="n">
        <v>0.0</v>
      </c>
      <c r="I73" s="466" t="n">
        <v>0.0</v>
      </c>
      <c r="J73" s="394" t="str">
        <f t="shared" si="17"/>
        <v>－</v>
      </c>
      <c r="K73" s="400" t="n">
        <v>0.0</v>
      </c>
      <c r="L73" s="395" t="str">
        <f t="shared" si="18"/>
        <v>－</v>
      </c>
      <c r="M73" s="400" t="n">
        <v>0.0</v>
      </c>
      <c r="N73" s="395" t="str">
        <f t="shared" si="19"/>
        <v>－</v>
      </c>
      <c r="O73" s="400" t="n">
        <v>0.0</v>
      </c>
      <c r="P73" s="395" t="str">
        <f t="shared" si="20"/>
        <v>－</v>
      </c>
      <c r="Q73" s="400" t="n">
        <v>0.0</v>
      </c>
      <c r="R73" s="395" t="str">
        <f t="shared" si="21"/>
        <v>－</v>
      </c>
      <c r="S73" s="400" t="n">
        <v>0.0</v>
      </c>
      <c r="T73" s="403" t="str">
        <f t="shared" si="22"/>
        <v>－</v>
      </c>
    </row>
    <row r="74" spans="1:20">
      <c r="A74" s="19"/>
      <c r="B74" s="1085" t="s">
        <v>41</v>
      </c>
      <c r="C74" s="381" t="s">
        <v>16</v>
      </c>
      <c r="D74" s="464" t="n">
        <v>1431.81</v>
      </c>
      <c r="E74" s="401" t="n">
        <v>3032.9519999999998</v>
      </c>
      <c r="F74" s="465" t="n">
        <v>11259.468</v>
      </c>
      <c r="G74" s="400" t="n">
        <v>13714.0</v>
      </c>
      <c r="H74" s="401" t="n">
        <v>13714.0</v>
      </c>
      <c r="I74" s="466" t="n">
        <v>13714.0</v>
      </c>
      <c r="J74" s="402" t="n">
        <f t="shared" si="17"/>
        <v>1.2179971558158875</v>
      </c>
      <c r="K74" s="400" t="n">
        <v>13714.0</v>
      </c>
      <c r="L74" s="403" t="n">
        <f t="shared" si="18"/>
        <v>1.2179971558158875</v>
      </c>
      <c r="M74" s="400" t="n">
        <v>15299.0</v>
      </c>
      <c r="N74" s="403" t="n">
        <f t="shared" si="19"/>
        <v>1.3587675723222445</v>
      </c>
      <c r="O74" s="400" t="n">
        <v>16091.0</v>
      </c>
      <c r="P74" s="403" t="n">
        <f t="shared" si="20"/>
        <v>1.42910837350397</v>
      </c>
      <c r="Q74" s="400" t="n">
        <v>15299.0</v>
      </c>
      <c r="R74" s="403" t="n">
        <f t="shared" si="21"/>
        <v>1.3587675723222445</v>
      </c>
      <c r="S74" s="400" t="n">
        <v>13714.0</v>
      </c>
      <c r="T74" s="403" t="n">
        <f t="shared" si="22"/>
        <v>1.2179971558158875</v>
      </c>
    </row>
    <row r="75" spans="1:20">
      <c r="A75" s="19"/>
      <c r="B75" s="1086"/>
      <c r="C75" s="381" t="s">
        <v>19</v>
      </c>
      <c r="D75" s="467" t="n">
        <v>23.25</v>
      </c>
      <c r="E75" s="468" t="n">
        <v>57.166666666666664</v>
      </c>
      <c r="F75" s="469" t="n">
        <v>243.4</v>
      </c>
      <c r="G75" s="470" t="n">
        <v>300.0</v>
      </c>
      <c r="H75" s="468" t="n">
        <v>300.0</v>
      </c>
      <c r="I75" s="471" t="n">
        <v>300.0</v>
      </c>
      <c r="J75" s="394" t="n">
        <f t="shared" si="17"/>
        <v>1.2325390304026294</v>
      </c>
      <c r="K75" s="470" t="n">
        <v>300.0</v>
      </c>
      <c r="L75" s="395" t="n">
        <f t="shared" si="18"/>
        <v>1.2325390304026294</v>
      </c>
      <c r="M75" s="470" t="n">
        <v>335.8</v>
      </c>
      <c r="N75" s="395" t="n">
        <f t="shared" si="19"/>
        <v>1.3796220213640098</v>
      </c>
      <c r="O75" s="470" t="n">
        <v>353.7</v>
      </c>
      <c r="P75" s="395" t="n">
        <f t="shared" si="20"/>
        <v>1.4531635168447</v>
      </c>
      <c r="Q75" s="470" t="n">
        <v>335.8</v>
      </c>
      <c r="R75" s="395" t="n">
        <f t="shared" si="21"/>
        <v>1.3796220213640098</v>
      </c>
      <c r="S75" s="470" t="n">
        <v>300.0</v>
      </c>
      <c r="T75" s="403" t="n">
        <f t="shared" si="22"/>
        <v>1.2325390304026294</v>
      </c>
    </row>
    <row r="76" spans="1:20">
      <c r="A76" s="19"/>
      <c r="B76" s="724"/>
      <c r="C76" s="381" t="s">
        <v>17</v>
      </c>
      <c r="D76" s="464" t="n">
        <v>4.333333333333333</v>
      </c>
      <c r="E76" s="401" t="n">
        <v>7.0</v>
      </c>
      <c r="F76" s="465" t="n">
        <v>16.0</v>
      </c>
      <c r="G76" s="400" t="n">
        <v>18.0</v>
      </c>
      <c r="H76" s="401" t="n">
        <v>18.0</v>
      </c>
      <c r="I76" s="466" t="n">
        <v>18.0</v>
      </c>
      <c r="J76" s="394" t="n">
        <f t="shared" si="17"/>
        <v>1.125</v>
      </c>
      <c r="K76" s="400" t="n">
        <v>18.0</v>
      </c>
      <c r="L76" s="395" t="n">
        <f t="shared" si="18"/>
        <v>1.125</v>
      </c>
      <c r="M76" s="400" t="n">
        <v>20.0</v>
      </c>
      <c r="N76" s="395" t="n">
        <f t="shared" si="19"/>
        <v>1.25</v>
      </c>
      <c r="O76" s="400" t="n">
        <v>21.0</v>
      </c>
      <c r="P76" s="395" t="n">
        <f t="shared" si="20"/>
        <v>1.3125</v>
      </c>
      <c r="Q76" s="400" t="n">
        <v>20.0</v>
      </c>
      <c r="R76" s="395" t="n">
        <f t="shared" si="21"/>
        <v>1.25</v>
      </c>
      <c r="S76" s="400" t="n">
        <v>18.0</v>
      </c>
      <c r="T76" s="403" t="n">
        <f t="shared" si="22"/>
        <v>1.125</v>
      </c>
    </row>
    <row r="77" spans="1:20">
      <c r="A77" s="19"/>
      <c r="B77" s="1085" t="s">
        <v>42</v>
      </c>
      <c r="C77" s="381" t="s">
        <v>16</v>
      </c>
      <c r="D77" s="464" t="n">
        <v>7120.221</v>
      </c>
      <c r="E77" s="401" t="n">
        <v>4721.447</v>
      </c>
      <c r="F77" s="465" t="n">
        <v>5159.5296</v>
      </c>
      <c r="G77" s="400" t="n">
        <v>5730.0</v>
      </c>
      <c r="H77" s="401" t="n">
        <v>5757.0</v>
      </c>
      <c r="I77" s="466" t="n">
        <v>5791.0</v>
      </c>
      <c r="J77" s="402" t="n">
        <f t="shared" si="17"/>
        <v>1.1162516314148743</v>
      </c>
      <c r="K77" s="400" t="n">
        <v>5791.0</v>
      </c>
      <c r="L77" s="403" t="n">
        <f t="shared" si="18"/>
        <v>1.1223891418318446</v>
      </c>
      <c r="M77" s="400" t="n">
        <v>6386.0</v>
      </c>
      <c r="N77" s="403" t="n">
        <f t="shared" si="19"/>
        <v>1.2377097322980761</v>
      </c>
      <c r="O77" s="400" t="n">
        <v>6386.0</v>
      </c>
      <c r="P77" s="403" t="n">
        <f t="shared" si="20"/>
        <v>1.2377097322980761</v>
      </c>
      <c r="Q77" s="400" t="n">
        <v>5791.0</v>
      </c>
      <c r="R77" s="403" t="n">
        <f t="shared" si="21"/>
        <v>1.1223891418318446</v>
      </c>
      <c r="S77" s="400" t="n">
        <v>5791.0</v>
      </c>
      <c r="T77" s="403" t="n">
        <f t="shared" si="22"/>
        <v>1.1223891418318446</v>
      </c>
    </row>
    <row r="78" spans="1:20">
      <c r="A78" s="19"/>
      <c r="B78" s="1086"/>
      <c r="C78" s="381" t="s">
        <v>19</v>
      </c>
      <c r="D78" s="467" t="n">
        <v>165.41666666666666</v>
      </c>
      <c r="E78" s="468" t="n">
        <v>114.08333333333333</v>
      </c>
      <c r="F78" s="469" t="n">
        <v>124.9</v>
      </c>
      <c r="G78" s="470" t="n">
        <v>139.2</v>
      </c>
      <c r="H78" s="468" t="n">
        <v>139.8</v>
      </c>
      <c r="I78" s="471" t="n">
        <v>140.6</v>
      </c>
      <c r="J78" s="394" t="n">
        <f t="shared" si="17"/>
        <v>1.119829196690686</v>
      </c>
      <c r="K78" s="470" t="n">
        <v>140.6</v>
      </c>
      <c r="L78" s="395" t="n">
        <f t="shared" si="18"/>
        <v>1.1257005604483585</v>
      </c>
      <c r="M78" s="470" t="n">
        <v>155.4</v>
      </c>
      <c r="N78" s="395" t="n">
        <f t="shared" si="19"/>
        <v>1.244195356285028</v>
      </c>
      <c r="O78" s="470" t="n">
        <v>155.4</v>
      </c>
      <c r="P78" s="395" t="n">
        <f t="shared" si="20"/>
        <v>1.244195356285028</v>
      </c>
      <c r="Q78" s="470" t="n">
        <v>140.6</v>
      </c>
      <c r="R78" s="395" t="n">
        <f t="shared" si="21"/>
        <v>1.1257005604483585</v>
      </c>
      <c r="S78" s="470" t="n">
        <v>140.6</v>
      </c>
      <c r="T78" s="403" t="n">
        <f t="shared" si="22"/>
        <v>1.1257005604483585</v>
      </c>
    </row>
    <row r="79" spans="1:20">
      <c r="A79" s="19"/>
      <c r="B79" s="724"/>
      <c r="C79" s="381" t="s">
        <v>17</v>
      </c>
      <c r="D79" s="464" t="n">
        <v>12.833333333333334</v>
      </c>
      <c r="E79" s="401" t="n">
        <v>9.083333333333334</v>
      </c>
      <c r="F79" s="465" t="n">
        <v>9.0</v>
      </c>
      <c r="G79" s="400" t="n">
        <v>10.0</v>
      </c>
      <c r="H79" s="401" t="n">
        <v>10.0</v>
      </c>
      <c r="I79" s="466" t="n">
        <v>10.0</v>
      </c>
      <c r="J79" s="394" t="n">
        <f t="shared" si="17"/>
        <v>1.1111111111111112</v>
      </c>
      <c r="K79" s="400" t="n">
        <v>10.0</v>
      </c>
      <c r="L79" s="395" t="n">
        <f t="shared" si="18"/>
        <v>1.1111111111111112</v>
      </c>
      <c r="M79" s="400" t="n">
        <v>11.0</v>
      </c>
      <c r="N79" s="395" t="n">
        <f t="shared" si="19"/>
        <v>1.2222222222222223</v>
      </c>
      <c r="O79" s="400" t="n">
        <v>11.0</v>
      </c>
      <c r="P79" s="395" t="n">
        <f t="shared" si="20"/>
        <v>1.2222222222222223</v>
      </c>
      <c r="Q79" s="400" t="n">
        <v>10.0</v>
      </c>
      <c r="R79" s="395" t="n">
        <f t="shared" si="21"/>
        <v>1.1111111111111112</v>
      </c>
      <c r="S79" s="400" t="n">
        <v>10.0</v>
      </c>
      <c r="T79" s="403" t="n">
        <f t="shared" si="22"/>
        <v>1.1111111111111112</v>
      </c>
    </row>
    <row r="80" spans="1:20">
      <c r="A80" s="19"/>
      <c r="B80" s="1085" t="s">
        <v>43</v>
      </c>
      <c r="C80" s="381" t="s">
        <v>16</v>
      </c>
      <c r="D80" s="464" t="n">
        <v>1323.69</v>
      </c>
      <c r="E80" s="401" t="n">
        <v>1217.366</v>
      </c>
      <c r="F80" s="465" t="n">
        <v>1452.468</v>
      </c>
      <c r="G80" s="400" t="n">
        <v>1546.0</v>
      </c>
      <c r="H80" s="401" t="n">
        <v>1546.0</v>
      </c>
      <c r="I80" s="466" t="n">
        <v>1546.0</v>
      </c>
      <c r="J80" s="402" t="n">
        <f t="shared" si="17"/>
        <v>1.064395222476502</v>
      </c>
      <c r="K80" s="400" t="n">
        <v>1546.0</v>
      </c>
      <c r="L80" s="403" t="n">
        <f t="shared" si="18"/>
        <v>1.064395222476502</v>
      </c>
      <c r="M80" s="400" t="n">
        <v>1641.0</v>
      </c>
      <c r="N80" s="403" t="n">
        <f t="shared" si="19"/>
        <v>1.1298011384760283</v>
      </c>
      <c r="O80" s="400" t="n">
        <v>1759.0</v>
      </c>
      <c r="P80" s="403" t="n">
        <f t="shared" si="20"/>
        <v>1.211042170980703</v>
      </c>
      <c r="Q80" s="400" t="n">
        <v>1641.0</v>
      </c>
      <c r="R80" s="403" t="n">
        <f t="shared" si="21"/>
        <v>1.1298011384760283</v>
      </c>
      <c r="S80" s="400" t="n">
        <v>1546.0</v>
      </c>
      <c r="T80" s="403" t="n">
        <f t="shared" si="22"/>
        <v>1.064395222476502</v>
      </c>
    </row>
    <row r="81" spans="1:20">
      <c r="A81" s="19"/>
      <c r="B81" s="1089"/>
      <c r="C81" s="381" t="s">
        <v>17</v>
      </c>
      <c r="D81" s="464" t="n">
        <v>7.833333333333333</v>
      </c>
      <c r="E81" s="401" t="n">
        <v>8.166666666666666</v>
      </c>
      <c r="F81" s="465" t="n">
        <v>11.0</v>
      </c>
      <c r="G81" s="400" t="n">
        <v>12.0</v>
      </c>
      <c r="H81" s="401" t="n">
        <v>12.0</v>
      </c>
      <c r="I81" s="466" t="n">
        <v>12.0</v>
      </c>
      <c r="J81" s="394" t="n">
        <f t="shared" si="17"/>
        <v>1.0909090909090908</v>
      </c>
      <c r="K81" s="400" t="n">
        <v>12.0</v>
      </c>
      <c r="L81" s="395" t="n">
        <f t="shared" si="18"/>
        <v>1.0909090909090908</v>
      </c>
      <c r="M81" s="400" t="n">
        <v>13.0</v>
      </c>
      <c r="N81" s="395" t="n">
        <f t="shared" si="19"/>
        <v>1.1818181818181819</v>
      </c>
      <c r="O81" s="400" t="n">
        <v>14.0</v>
      </c>
      <c r="P81" s="395" t="n">
        <f t="shared" si="20"/>
        <v>1.2727272727272727</v>
      </c>
      <c r="Q81" s="400" t="n">
        <v>13.0</v>
      </c>
      <c r="R81" s="395" t="n">
        <f t="shared" si="21"/>
        <v>1.1818181818181819</v>
      </c>
      <c r="S81" s="400" t="n">
        <v>12.0</v>
      </c>
      <c r="T81" s="403" t="n">
        <f t="shared" si="22"/>
        <v>1.0909090909090908</v>
      </c>
    </row>
    <row r="82" spans="1:20">
      <c r="A82" s="19"/>
      <c r="B82" s="1085" t="s">
        <v>44</v>
      </c>
      <c r="C82" s="381" t="s">
        <v>16</v>
      </c>
      <c r="D82" s="464" t="n">
        <v>64272.218</v>
      </c>
      <c r="E82" s="401" t="n">
        <v>62331.952</v>
      </c>
      <c r="F82" s="465" t="n">
        <v>53780.4852</v>
      </c>
      <c r="G82" s="400" t="n">
        <v>56938.0</v>
      </c>
      <c r="H82" s="401" t="n">
        <v>58708.0</v>
      </c>
      <c r="I82" s="466" t="n">
        <v>59108.0</v>
      </c>
      <c r="J82" s="402" t="n">
        <f t="shared" si="17"/>
        <v>1.0831314205646723</v>
      </c>
      <c r="K82" s="400" t="n">
        <v>55096.0</v>
      </c>
      <c r="L82" s="403" t="n">
        <f t="shared" si="18"/>
        <v>1.0244608205951997</v>
      </c>
      <c r="M82" s="400" t="n">
        <v>58062.0</v>
      </c>
      <c r="N82" s="403" t="n">
        <f t="shared" si="19"/>
        <v>1.079610936645101</v>
      </c>
      <c r="O82" s="400" t="n">
        <v>65142.0</v>
      </c>
      <c r="P82" s="403" t="n">
        <f t="shared" si="20"/>
        <v>1.2112572015248386</v>
      </c>
      <c r="Q82" s="400" t="n">
        <v>65034.0</v>
      </c>
      <c r="R82" s="403" t="n">
        <f t="shared" si="21"/>
        <v>1.2092490381622663</v>
      </c>
      <c r="S82" s="400" t="n">
        <v>57180.0</v>
      </c>
      <c r="T82" s="403" t="n">
        <f t="shared" si="22"/>
        <v>1.0632109358507609</v>
      </c>
    </row>
    <row r="83" spans="1:20">
      <c r="A83" s="19"/>
      <c r="B83" s="1086"/>
      <c r="C83" s="381" t="s">
        <v>19</v>
      </c>
      <c r="D83" s="464" t="n">
        <v>601.5</v>
      </c>
      <c r="E83" s="401" t="n">
        <v>534.8333333333334</v>
      </c>
      <c r="F83" s="465" t="n">
        <v>444.7</v>
      </c>
      <c r="G83" s="470" t="n">
        <v>464.7</v>
      </c>
      <c r="H83" s="468" t="n">
        <v>479.3</v>
      </c>
      <c r="I83" s="471" t="n">
        <v>482.6</v>
      </c>
      <c r="J83" s="394" t="n">
        <f t="shared" si="17"/>
        <v>1.0693351322989282</v>
      </c>
      <c r="K83" s="470" t="n">
        <v>453.6</v>
      </c>
      <c r="L83" s="395" t="n">
        <f t="shared" si="18"/>
        <v>1.020013492241961</v>
      </c>
      <c r="M83" s="470" t="n">
        <v>479.3</v>
      </c>
      <c r="N83" s="395" t="n">
        <f t="shared" si="19"/>
        <v>1.0778052619743648</v>
      </c>
      <c r="O83" s="470" t="n">
        <v>534.5</v>
      </c>
      <c r="P83" s="395" t="n">
        <f t="shared" si="20"/>
        <v>1.2019338880143917</v>
      </c>
      <c r="Q83" s="470" t="n">
        <v>531.6</v>
      </c>
      <c r="R83" s="395" t="n">
        <f t="shared" si="21"/>
        <v>1.1954126377333034</v>
      </c>
      <c r="S83" s="470" t="n">
        <v>465.3</v>
      </c>
      <c r="T83" s="403" t="n">
        <f t="shared" si="22"/>
        <v>1.0463233640656624</v>
      </c>
    </row>
    <row r="84" spans="1:20">
      <c r="A84" s="19"/>
      <c r="B84" s="724"/>
      <c r="C84" s="381" t="s">
        <v>17</v>
      </c>
      <c r="D84" s="464" t="n">
        <v>58.833333333333336</v>
      </c>
      <c r="E84" s="401" t="n">
        <v>53.166666666666664</v>
      </c>
      <c r="F84" s="465" t="n">
        <v>47.0</v>
      </c>
      <c r="G84" s="400" t="n">
        <v>49.0</v>
      </c>
      <c r="H84" s="401" t="n">
        <v>50.0</v>
      </c>
      <c r="I84" s="466" t="n">
        <v>50.0</v>
      </c>
      <c r="J84" s="394" t="n">
        <f t="shared" si="17"/>
        <v>1.0567375886524821</v>
      </c>
      <c r="K84" s="400" t="n">
        <v>47.0</v>
      </c>
      <c r="L84" s="395" t="n">
        <f t="shared" si="18"/>
        <v>1.0</v>
      </c>
      <c r="M84" s="400" t="n">
        <v>50.0</v>
      </c>
      <c r="N84" s="395" t="n">
        <f t="shared" si="19"/>
        <v>1.0638297872340425</v>
      </c>
      <c r="O84" s="400" t="n">
        <v>56.0</v>
      </c>
      <c r="P84" s="395" t="n">
        <f t="shared" si="20"/>
        <v>1.1914893617021276</v>
      </c>
      <c r="Q84" s="400" t="n">
        <v>55.0</v>
      </c>
      <c r="R84" s="395" t="n">
        <f t="shared" si="21"/>
        <v>1.1702127659574468</v>
      </c>
      <c r="S84" s="400" t="n">
        <v>48.0</v>
      </c>
      <c r="T84" s="403" t="n">
        <f t="shared" si="22"/>
        <v>1.0212765957446808</v>
      </c>
    </row>
    <row r="85" spans="1:20">
      <c r="A85" s="19"/>
      <c r="B85" s="1085" t="s">
        <v>45</v>
      </c>
      <c r="C85" s="381" t="s">
        <v>16</v>
      </c>
      <c r="D85" s="464" t="n">
        <v>103573.781</v>
      </c>
      <c r="E85" s="401" t="n">
        <v>98355.296</v>
      </c>
      <c r="F85" s="465" t="n">
        <v>79890.3744</v>
      </c>
      <c r="G85" s="400" t="n">
        <v>85579.0</v>
      </c>
      <c r="H85" s="401" t="n">
        <v>83946.0</v>
      </c>
      <c r="I85" s="466" t="n">
        <v>82130.0</v>
      </c>
      <c r="J85" s="402" t="n">
        <f t="shared" si="17"/>
        <v>1.0500013378332598</v>
      </c>
      <c r="K85" s="400" t="n">
        <v>78792.0</v>
      </c>
      <c r="L85" s="403" t="n">
        <f t="shared" si="18"/>
        <v>0.9862514801282494</v>
      </c>
      <c r="M85" s="400" t="n">
        <v>86217.0</v>
      </c>
      <c r="N85" s="403" t="n">
        <f t="shared" si="19"/>
        <v>1.0791913374735669</v>
      </c>
      <c r="O85" s="400" t="n">
        <v>92609.0</v>
      </c>
      <c r="P85" s="403" t="n">
        <f t="shared" si="20"/>
        <v>1.1592009762818185</v>
      </c>
      <c r="Q85" s="400" t="n">
        <v>90385.0</v>
      </c>
      <c r="R85" s="403" t="n">
        <f t="shared" si="21"/>
        <v>1.1313628291119888</v>
      </c>
      <c r="S85" s="400" t="n">
        <v>79932.0</v>
      </c>
      <c r="T85" s="403" t="n">
        <f t="shared" si="22"/>
        <v>1.000521033983288</v>
      </c>
    </row>
    <row r="86" spans="1:20">
      <c r="A86" s="19"/>
      <c r="B86" s="1086"/>
      <c r="C86" s="381" t="s">
        <v>19</v>
      </c>
      <c r="D86" s="467" t="n">
        <v>823.5833333333334</v>
      </c>
      <c r="E86" s="468" t="n">
        <v>760.0</v>
      </c>
      <c r="F86" s="469" t="n">
        <v>609.2</v>
      </c>
      <c r="G86" s="470" t="n">
        <v>651.2</v>
      </c>
      <c r="H86" s="468" t="n">
        <v>638.3</v>
      </c>
      <c r="I86" s="471" t="n">
        <v>625.4</v>
      </c>
      <c r="J86" s="394" t="n">
        <f t="shared" si="17"/>
        <v>1.0477675640183848</v>
      </c>
      <c r="K86" s="470" t="n">
        <v>602.4</v>
      </c>
      <c r="L86" s="395" t="n">
        <f t="shared" si="18"/>
        <v>0.9888378200919237</v>
      </c>
      <c r="M86" s="470" t="n">
        <v>660.1</v>
      </c>
      <c r="N86" s="395" t="n">
        <f t="shared" si="19"/>
        <v>1.0835521996060407</v>
      </c>
      <c r="O86" s="470" t="n">
        <v>708.5</v>
      </c>
      <c r="P86" s="395" t="n">
        <f t="shared" si="20"/>
        <v>1.163000656598818</v>
      </c>
      <c r="Q86" s="470" t="n">
        <v>688.8</v>
      </c>
      <c r="R86" s="395" t="n">
        <f t="shared" si="21"/>
        <v>1.1306631648063032</v>
      </c>
      <c r="S86" s="470" t="n">
        <v>608.0</v>
      </c>
      <c r="T86" s="403" t="n">
        <f t="shared" si="22"/>
        <v>0.9980302035456335</v>
      </c>
    </row>
    <row r="87" spans="1:20">
      <c r="A87" s="19"/>
      <c r="B87" s="724"/>
      <c r="C87" s="381" t="s">
        <v>17</v>
      </c>
      <c r="D87" s="464" t="n">
        <v>87.41666666666667</v>
      </c>
      <c r="E87" s="401" t="n">
        <v>86.91666666666667</v>
      </c>
      <c r="F87" s="465" t="n">
        <v>72.0</v>
      </c>
      <c r="G87" s="400" t="n">
        <v>79.0</v>
      </c>
      <c r="H87" s="401" t="n">
        <v>79.0</v>
      </c>
      <c r="I87" s="466" t="n">
        <v>78.0</v>
      </c>
      <c r="J87" s="394" t="n">
        <f t="shared" si="17"/>
        <v>1.0925925925925926</v>
      </c>
      <c r="K87" s="400" t="n">
        <v>76.0</v>
      </c>
      <c r="L87" s="395" t="n">
        <f t="shared" si="18"/>
        <v>1.0555555555555556</v>
      </c>
      <c r="M87" s="400" t="n">
        <v>83.0</v>
      </c>
      <c r="N87" s="395" t="n">
        <f t="shared" si="19"/>
        <v>1.1527777777777777</v>
      </c>
      <c r="O87" s="400" t="n">
        <v>89.0</v>
      </c>
      <c r="P87" s="395" t="n">
        <f t="shared" si="20"/>
        <v>1.2361111111111112</v>
      </c>
      <c r="Q87" s="400" t="n">
        <v>86.0</v>
      </c>
      <c r="R87" s="395" t="n">
        <f t="shared" si="21"/>
        <v>1.1944444444444444</v>
      </c>
      <c r="S87" s="400" t="n">
        <v>76.0</v>
      </c>
      <c r="T87" s="403" t="n">
        <f t="shared" si="22"/>
        <v>1.0555555555555556</v>
      </c>
    </row>
    <row r="88" spans="1:20">
      <c r="A88" s="19"/>
      <c r="B88" s="1085" t="s">
        <v>46</v>
      </c>
      <c r="C88" s="381" t="s">
        <v>16</v>
      </c>
      <c r="D88" s="464" t="n">
        <v>12160.06</v>
      </c>
      <c r="E88" s="401" t="n">
        <v>15794.416</v>
      </c>
      <c r="F88" s="465" t="n">
        <v>21874.2456</v>
      </c>
      <c r="G88" s="400" t="n">
        <v>24878.0</v>
      </c>
      <c r="H88" s="401" t="n">
        <v>24878.0</v>
      </c>
      <c r="I88" s="466" t="n">
        <v>24878.0</v>
      </c>
      <c r="J88" s="402" t="n">
        <f t="shared" si="17"/>
        <v>1.1373192225655546</v>
      </c>
      <c r="K88" s="400" t="n">
        <v>23313.0</v>
      </c>
      <c r="L88" s="403" t="n">
        <f t="shared" si="18"/>
        <v>1.0657738980493114</v>
      </c>
      <c r="M88" s="400" t="n">
        <v>26092.0</v>
      </c>
      <c r="N88" s="403" t="n">
        <f t="shared" si="19"/>
        <v>1.1928182794107425</v>
      </c>
      <c r="O88" s="400" t="n">
        <v>27184.0</v>
      </c>
      <c r="P88" s="403" t="n">
        <f t="shared" si="20"/>
        <v>1.242740001054025</v>
      </c>
      <c r="Q88" s="400" t="n">
        <v>24878.0</v>
      </c>
      <c r="R88" s="403" t="n">
        <f t="shared" si="21"/>
        <v>1.1373192225655546</v>
      </c>
      <c r="S88" s="400" t="n">
        <v>24878.0</v>
      </c>
      <c r="T88" s="403" t="n">
        <f t="shared" si="22"/>
        <v>1.1373192225655546</v>
      </c>
    </row>
    <row r="89" spans="1:20">
      <c r="A89" s="19"/>
      <c r="B89" s="1086"/>
      <c r="C89" s="381" t="s">
        <v>25</v>
      </c>
      <c r="D89" s="467" t="n">
        <v>109.91666666666667</v>
      </c>
      <c r="E89" s="468" t="n">
        <v>138.5</v>
      </c>
      <c r="F89" s="469" t="n">
        <v>228.0</v>
      </c>
      <c r="G89" s="470" t="n">
        <v>256.1</v>
      </c>
      <c r="H89" s="468" t="n">
        <v>256.1</v>
      </c>
      <c r="I89" s="471" t="n">
        <v>256.1</v>
      </c>
      <c r="J89" s="394" t="n">
        <f t="shared" si="17"/>
        <v>1.1232456140350877</v>
      </c>
      <c r="K89" s="470" t="n">
        <v>243.1</v>
      </c>
      <c r="L89" s="395" t="n">
        <f t="shared" si="18"/>
        <v>1.0662280701754385</v>
      </c>
      <c r="M89" s="470" t="n">
        <v>275.0</v>
      </c>
      <c r="N89" s="395" t="n">
        <f t="shared" si="19"/>
        <v>1.206140350877193</v>
      </c>
      <c r="O89" s="470" t="n">
        <v>283.5</v>
      </c>
      <c r="P89" s="395" t="n">
        <f t="shared" si="20"/>
        <v>1.243421052631579</v>
      </c>
      <c r="Q89" s="470" t="n">
        <v>256.1</v>
      </c>
      <c r="R89" s="395" t="n">
        <f t="shared" si="21"/>
        <v>1.1232456140350877</v>
      </c>
      <c r="S89" s="470" t="n">
        <v>256.1</v>
      </c>
      <c r="T89" s="403" t="n">
        <f t="shared" si="22"/>
        <v>1.1232456140350877</v>
      </c>
    </row>
    <row r="90" spans="1:20">
      <c r="A90" s="19"/>
      <c r="B90" s="724"/>
      <c r="C90" s="381" t="s">
        <v>17</v>
      </c>
      <c r="D90" s="464" t="n">
        <v>9.916666666666666</v>
      </c>
      <c r="E90" s="401" t="n">
        <v>15.166666666666666</v>
      </c>
      <c r="F90" s="465" t="n">
        <v>15.0</v>
      </c>
      <c r="G90" s="400" t="n">
        <v>18.0</v>
      </c>
      <c r="H90" s="401" t="n">
        <v>18.0</v>
      </c>
      <c r="I90" s="466" t="n">
        <v>18.0</v>
      </c>
      <c r="J90" s="394" t="n">
        <f t="shared" si="17"/>
        <v>1.2</v>
      </c>
      <c r="K90" s="400" t="n">
        <v>16.0</v>
      </c>
      <c r="L90" s="395" t="n">
        <f t="shared" si="18"/>
        <v>1.0666666666666667</v>
      </c>
      <c r="M90" s="400" t="n">
        <v>18.0</v>
      </c>
      <c r="N90" s="395" t="n">
        <f t="shared" si="19"/>
        <v>1.2</v>
      </c>
      <c r="O90" s="400" t="n">
        <v>19.0</v>
      </c>
      <c r="P90" s="395" t="n">
        <f t="shared" si="20"/>
        <v>1.2666666666666666</v>
      </c>
      <c r="Q90" s="400" t="n">
        <v>18.0</v>
      </c>
      <c r="R90" s="395" t="n">
        <f t="shared" si="21"/>
        <v>1.2</v>
      </c>
      <c r="S90" s="400" t="n">
        <v>18.0</v>
      </c>
      <c r="T90" s="403" t="n">
        <f t="shared" si="22"/>
        <v>1.2</v>
      </c>
    </row>
    <row r="91" spans="1:20">
      <c r="A91" s="19"/>
      <c r="B91" s="1087" t="s">
        <v>47</v>
      </c>
      <c r="C91" s="381" t="s">
        <v>16</v>
      </c>
      <c r="D91" s="464" t="n">
        <v>9878.141</v>
      </c>
      <c r="E91" s="401" t="n">
        <v>8613.493</v>
      </c>
      <c r="F91" s="465" t="n">
        <v>13565.22</v>
      </c>
      <c r="G91" s="400" t="n">
        <v>17001.0</v>
      </c>
      <c r="H91" s="401" t="n">
        <v>17107.0</v>
      </c>
      <c r="I91" s="466" t="n">
        <v>17107.0</v>
      </c>
      <c r="J91" s="402" t="n">
        <f t="shared" si="17"/>
        <v>1.258488005846324</v>
      </c>
      <c r="K91" s="400" t="n">
        <v>14795.0</v>
      </c>
      <c r="L91" s="403" t="n">
        <f t="shared" si="18"/>
        <v>1.090656841540351</v>
      </c>
      <c r="M91" s="400" t="n">
        <v>17107.0</v>
      </c>
      <c r="N91" s="403" t="n">
        <f t="shared" si="19"/>
        <v>1.2610927062001207</v>
      </c>
      <c r="O91" s="400" t="n">
        <v>19419.0</v>
      </c>
      <c r="P91" s="403" t="n">
        <f t="shared" si="20"/>
        <v>1.4315285708598904</v>
      </c>
      <c r="Q91" s="400" t="n">
        <v>19419.0</v>
      </c>
      <c r="R91" s="403" t="n">
        <f t="shared" si="21"/>
        <v>1.4315285708598904</v>
      </c>
      <c r="S91" s="400" t="n">
        <v>17107.0</v>
      </c>
      <c r="T91" s="403" t="n">
        <f t="shared" si="22"/>
        <v>1.2610927062001207</v>
      </c>
    </row>
    <row r="92" spans="1:20">
      <c r="A92" s="19"/>
      <c r="B92" s="1088"/>
      <c r="C92" s="381" t="s">
        <v>25</v>
      </c>
      <c r="D92" s="467" t="n">
        <v>71.25</v>
      </c>
      <c r="E92" s="468" t="n">
        <v>58.916666666666664</v>
      </c>
      <c r="F92" s="469" t="n">
        <v>89.5</v>
      </c>
      <c r="G92" s="470" t="n">
        <v>112.3</v>
      </c>
      <c r="H92" s="468" t="n">
        <v>113.0</v>
      </c>
      <c r="I92" s="471" t="n">
        <v>113.0</v>
      </c>
      <c r="J92" s="394" t="n">
        <f t="shared" si="17"/>
        <v>1.2599627560521416</v>
      </c>
      <c r="K92" s="470" t="n">
        <v>97.7</v>
      </c>
      <c r="L92" s="395" t="n">
        <f t="shared" si="18"/>
        <v>1.0916201117318436</v>
      </c>
      <c r="M92" s="470" t="n">
        <v>113.0</v>
      </c>
      <c r="N92" s="395" t="n">
        <f t="shared" si="19"/>
        <v>1.2625698324022345</v>
      </c>
      <c r="O92" s="470" t="n">
        <v>128.3</v>
      </c>
      <c r="P92" s="395" t="n">
        <f t="shared" si="20"/>
        <v>1.433519553072626</v>
      </c>
      <c r="Q92" s="470" t="n">
        <v>128.3</v>
      </c>
      <c r="R92" s="395" t="n">
        <f t="shared" si="21"/>
        <v>1.433519553072626</v>
      </c>
      <c r="S92" s="470" t="n">
        <v>113.0</v>
      </c>
      <c r="T92" s="403" t="n">
        <f t="shared" si="22"/>
        <v>1.2625698324022345</v>
      </c>
    </row>
    <row r="93" spans="1:20">
      <c r="A93" s="19"/>
      <c r="B93" s="724"/>
      <c r="C93" s="381" t="s">
        <v>17</v>
      </c>
      <c r="D93" s="464" t="n">
        <v>10.583333333333334</v>
      </c>
      <c r="E93" s="401" t="n">
        <v>8.416666666666666</v>
      </c>
      <c r="F93" s="465" t="n">
        <v>8.0</v>
      </c>
      <c r="G93" s="400" t="n">
        <v>9.0</v>
      </c>
      <c r="H93" s="401" t="n">
        <v>9.0</v>
      </c>
      <c r="I93" s="466" t="n">
        <v>9.0</v>
      </c>
      <c r="J93" s="394" t="n">
        <f t="shared" si="17"/>
        <v>1.125</v>
      </c>
      <c r="K93" s="400" t="n">
        <v>8.0</v>
      </c>
      <c r="L93" s="395" t="n">
        <f t="shared" si="18"/>
        <v>1.0</v>
      </c>
      <c r="M93" s="400" t="n">
        <v>9.0</v>
      </c>
      <c r="N93" s="395" t="n">
        <f t="shared" si="19"/>
        <v>1.125</v>
      </c>
      <c r="O93" s="400" t="n">
        <v>10.0</v>
      </c>
      <c r="P93" s="395" t="n">
        <f t="shared" si="20"/>
        <v>1.25</v>
      </c>
      <c r="Q93" s="400" t="n">
        <v>10.0</v>
      </c>
      <c r="R93" s="395" t="n">
        <f t="shared" si="21"/>
        <v>1.25</v>
      </c>
      <c r="S93" s="400" t="n">
        <v>9.0</v>
      </c>
      <c r="T93" s="403" t="n">
        <f t="shared" si="22"/>
        <v>1.125</v>
      </c>
    </row>
    <row r="94" spans="1:20">
      <c r="A94" s="19"/>
      <c r="B94" s="1087" t="s">
        <v>48</v>
      </c>
      <c r="C94" s="381" t="s">
        <v>16</v>
      </c>
      <c r="D94" s="464" t="n">
        <v>0.0</v>
      </c>
      <c r="E94" s="401" t="n">
        <v>0.0</v>
      </c>
      <c r="F94" s="465" t="n">
        <v>0.0</v>
      </c>
      <c r="G94" s="400" t="n">
        <v>0.0</v>
      </c>
      <c r="H94" s="401" t="n">
        <v>0.0</v>
      </c>
      <c r="I94" s="466" t="n">
        <v>0.0</v>
      </c>
      <c r="J94" s="402" t="str">
        <f t="shared" si="17"/>
        <v>－</v>
      </c>
      <c r="K94" s="400" t="n">
        <v>0.0</v>
      </c>
      <c r="L94" s="403" t="str">
        <f t="shared" si="18"/>
        <v>－</v>
      </c>
      <c r="M94" s="400" t="n">
        <v>0.0</v>
      </c>
      <c r="N94" s="403" t="str">
        <f t="shared" si="19"/>
        <v>－</v>
      </c>
      <c r="O94" s="400" t="n">
        <v>0.0</v>
      </c>
      <c r="P94" s="403" t="str">
        <f t="shared" si="20"/>
        <v>－</v>
      </c>
      <c r="Q94" s="400" t="n">
        <v>0.0</v>
      </c>
      <c r="R94" s="403" t="str">
        <f t="shared" si="21"/>
        <v>－</v>
      </c>
      <c r="S94" s="400" t="n">
        <v>0.0</v>
      </c>
      <c r="T94" s="403" t="str">
        <f t="shared" si="22"/>
        <v>－</v>
      </c>
    </row>
    <row r="95" spans="1:20">
      <c r="A95" s="19"/>
      <c r="B95" s="1088"/>
      <c r="C95" s="381" t="s">
        <v>25</v>
      </c>
      <c r="D95" s="467" t="n">
        <v>0.0</v>
      </c>
      <c r="E95" s="468" t="n">
        <v>0.0</v>
      </c>
      <c r="F95" s="469" t="n">
        <v>0.0</v>
      </c>
      <c r="G95" s="470" t="n">
        <v>0.0</v>
      </c>
      <c r="H95" s="468" t="n">
        <v>0.0</v>
      </c>
      <c r="I95" s="471" t="n">
        <v>0.0</v>
      </c>
      <c r="J95" s="394" t="str">
        <f t="shared" si="17"/>
        <v>－</v>
      </c>
      <c r="K95" s="470" t="n">
        <v>0.0</v>
      </c>
      <c r="L95" s="395" t="str">
        <f t="shared" si="18"/>
        <v>－</v>
      </c>
      <c r="M95" s="470" t="n">
        <v>0.0</v>
      </c>
      <c r="N95" s="395" t="str">
        <f t="shared" si="19"/>
        <v>－</v>
      </c>
      <c r="O95" s="470" t="n">
        <v>0.0</v>
      </c>
      <c r="P95" s="395" t="str">
        <f t="shared" si="20"/>
        <v>－</v>
      </c>
      <c r="Q95" s="470" t="n">
        <v>0.0</v>
      </c>
      <c r="R95" s="395" t="str">
        <f t="shared" si="21"/>
        <v>－</v>
      </c>
      <c r="S95" s="470" t="n">
        <v>0.0</v>
      </c>
      <c r="T95" s="403" t="str">
        <f t="shared" si="22"/>
        <v>－</v>
      </c>
    </row>
    <row r="96" spans="1:20">
      <c r="A96" s="19"/>
      <c r="B96" s="28"/>
      <c r="C96" s="381" t="s">
        <v>17</v>
      </c>
      <c r="D96" s="464" t="n">
        <v>0.0</v>
      </c>
      <c r="E96" s="401" t="n">
        <v>0.0</v>
      </c>
      <c r="F96" s="465" t="n">
        <v>0.0</v>
      </c>
      <c r="G96" s="400" t="n">
        <v>0.0</v>
      </c>
      <c r="H96" s="401" t="n">
        <v>0.0</v>
      </c>
      <c r="I96" s="466" t="n">
        <v>0.0</v>
      </c>
      <c r="J96" s="394" t="str">
        <f t="shared" si="17"/>
        <v>－</v>
      </c>
      <c r="K96" s="400" t="n">
        <v>0.0</v>
      </c>
      <c r="L96" s="395" t="str">
        <f t="shared" si="18"/>
        <v>－</v>
      </c>
      <c r="M96" s="400" t="n">
        <v>0.0</v>
      </c>
      <c r="N96" s="395" t="str">
        <f t="shared" si="19"/>
        <v>－</v>
      </c>
      <c r="O96" s="400" t="n">
        <v>0.0</v>
      </c>
      <c r="P96" s="395" t="str">
        <f t="shared" si="20"/>
        <v>－</v>
      </c>
      <c r="Q96" s="400" t="n">
        <v>0.0</v>
      </c>
      <c r="R96" s="395" t="str">
        <f t="shared" si="21"/>
        <v>－</v>
      </c>
      <c r="S96" s="400" t="n">
        <v>0.0</v>
      </c>
      <c r="T96" s="403" t="str">
        <f t="shared" si="22"/>
        <v>－</v>
      </c>
    </row>
    <row r="97" spans="1:20">
      <c r="A97" s="19"/>
      <c r="B97" s="1087" t="s">
        <v>238</v>
      </c>
      <c r="C97" s="411" t="s">
        <v>16</v>
      </c>
      <c r="D97" s="472" t="n">
        <v>0.0</v>
      </c>
      <c r="E97" s="401" t="n">
        <v>0.0</v>
      </c>
      <c r="F97" s="465" t="n">
        <v>0.0</v>
      </c>
      <c r="G97" s="400" t="n">
        <v>0.0</v>
      </c>
      <c r="H97" s="401" t="n">
        <v>0.0</v>
      </c>
      <c r="I97" s="473" t="n">
        <v>0.0</v>
      </c>
      <c r="J97" s="474" t="str">
        <f t="shared" ref="J97:J99" si="23">IFERROR(SUM(G97:I97)/3/F97,"－")</f>
        <v>－</v>
      </c>
      <c r="K97" s="400" t="n">
        <v>0.0</v>
      </c>
      <c r="L97" s="475" t="str">
        <f t="shared" si="18"/>
        <v>－</v>
      </c>
      <c r="M97" s="400" t="n">
        <v>0.0</v>
      </c>
      <c r="N97" s="475" t="str">
        <f t="shared" si="19"/>
        <v>－</v>
      </c>
      <c r="O97" s="400" t="n">
        <v>0.0</v>
      </c>
      <c r="P97" s="475" t="str">
        <f t="shared" si="20"/>
        <v>－</v>
      </c>
      <c r="Q97" s="400" t="n">
        <v>0.0</v>
      </c>
      <c r="R97" s="475" t="str">
        <f t="shared" si="21"/>
        <v>－</v>
      </c>
      <c r="S97" s="400" t="n">
        <v>0.0</v>
      </c>
      <c r="T97" s="403" t="str">
        <f t="shared" si="22"/>
        <v>－</v>
      </c>
    </row>
    <row r="98" spans="1:20">
      <c r="A98" s="19"/>
      <c r="B98" s="1088"/>
      <c r="C98" s="411" t="s">
        <v>25</v>
      </c>
      <c r="D98" s="476" t="n">
        <v>0.0</v>
      </c>
      <c r="E98" s="468" t="n">
        <v>0.0</v>
      </c>
      <c r="F98" s="469" t="n">
        <v>0.0</v>
      </c>
      <c r="G98" s="470" t="n">
        <v>0.0</v>
      </c>
      <c r="H98" s="468" t="n">
        <v>0.0</v>
      </c>
      <c r="I98" s="477" t="n">
        <v>0.0</v>
      </c>
      <c r="J98" s="414" t="str">
        <f t="shared" si="23"/>
        <v>－</v>
      </c>
      <c r="K98" s="470" t="n">
        <v>0.0</v>
      </c>
      <c r="L98" s="415" t="str">
        <f t="shared" si="18"/>
        <v>－</v>
      </c>
      <c r="M98" s="470" t="n">
        <v>0.0</v>
      </c>
      <c r="N98" s="415" t="str">
        <f t="shared" si="19"/>
        <v>－</v>
      </c>
      <c r="O98" s="470" t="n">
        <v>0.0</v>
      </c>
      <c r="P98" s="415" t="str">
        <f t="shared" si="20"/>
        <v>－</v>
      </c>
      <c r="Q98" s="470" t="n">
        <v>0.0</v>
      </c>
      <c r="R98" s="415" t="str">
        <f t="shared" si="21"/>
        <v>－</v>
      </c>
      <c r="S98" s="470" t="n">
        <v>0.0</v>
      </c>
      <c r="T98" s="403" t="str">
        <f t="shared" si="22"/>
        <v>－</v>
      </c>
    </row>
    <row r="99" spans="1:20">
      <c r="A99" s="19"/>
      <c r="B99" s="28"/>
      <c r="C99" s="411" t="s">
        <v>17</v>
      </c>
      <c r="D99" s="472" t="n">
        <v>0.0</v>
      </c>
      <c r="E99" s="401" t="n">
        <v>0.0</v>
      </c>
      <c r="F99" s="465" t="n">
        <v>0.0</v>
      </c>
      <c r="G99" s="400" t="n">
        <v>0.0</v>
      </c>
      <c r="H99" s="401" t="n">
        <v>0.0</v>
      </c>
      <c r="I99" s="473" t="n">
        <v>0.0</v>
      </c>
      <c r="J99" s="414" t="str">
        <f t="shared" si="23"/>
        <v>－</v>
      </c>
      <c r="K99" s="400" t="n">
        <v>0.0</v>
      </c>
      <c r="L99" s="415" t="str">
        <f t="shared" si="18"/>
        <v>－</v>
      </c>
      <c r="M99" s="400" t="n">
        <v>0.0</v>
      </c>
      <c r="N99" s="415" t="str">
        <f t="shared" si="19"/>
        <v>－</v>
      </c>
      <c r="O99" s="400" t="n">
        <v>0.0</v>
      </c>
      <c r="P99" s="415" t="str">
        <f t="shared" si="20"/>
        <v>－</v>
      </c>
      <c r="Q99" s="400" t="n">
        <v>0.0</v>
      </c>
      <c r="R99" s="415" t="str">
        <f t="shared" si="21"/>
        <v>－</v>
      </c>
      <c r="S99" s="400" t="n">
        <v>0.0</v>
      </c>
      <c r="T99" s="403" t="str">
        <f t="shared" si="22"/>
        <v>－</v>
      </c>
    </row>
    <row r="100" spans="1:20">
      <c r="A100" s="19"/>
      <c r="B100" s="1085" t="s">
        <v>49</v>
      </c>
      <c r="C100" s="381" t="s">
        <v>16</v>
      </c>
      <c r="D100" s="464" t="n">
        <v>21282.201</v>
      </c>
      <c r="E100" s="401" t="n">
        <v>20500.129</v>
      </c>
      <c r="F100" s="465" t="n">
        <v>22575.288</v>
      </c>
      <c r="G100" s="400" t="n">
        <v>23658.0</v>
      </c>
      <c r="H100" s="401" t="n">
        <v>23947.0</v>
      </c>
      <c r="I100" s="466" t="n">
        <v>24073.0</v>
      </c>
      <c r="J100" s="402" t="n">
        <f t="shared" si="17"/>
        <v>1.0583548996879537</v>
      </c>
      <c r="K100" s="400" t="n">
        <v>22516.0</v>
      </c>
      <c r="L100" s="403" t="n">
        <f t="shared" si="18"/>
        <v>0.9973737655085507</v>
      </c>
      <c r="M100" s="400" t="n">
        <v>24696.0</v>
      </c>
      <c r="N100" s="403" t="n">
        <f t="shared" si="19"/>
        <v>1.0939395324657653</v>
      </c>
      <c r="O100" s="400" t="n">
        <v>26957.0</v>
      </c>
      <c r="P100" s="403" t="n">
        <f t="shared" si="20"/>
        <v>1.194093293516344</v>
      </c>
      <c r="Q100" s="400" t="n">
        <v>26087.0</v>
      </c>
      <c r="R100" s="403" t="n">
        <f t="shared" si="21"/>
        <v>1.155555579180208</v>
      </c>
      <c r="S100" s="400" t="n">
        <v>23340.0</v>
      </c>
      <c r="T100" s="403" t="n">
        <f t="shared" si="22"/>
        <v>1.0338738535694427</v>
      </c>
    </row>
    <row r="101" spans="1:20">
      <c r="A101" s="19"/>
      <c r="B101" s="1089"/>
      <c r="C101" s="381" t="s">
        <v>17</v>
      </c>
      <c r="D101" s="464" t="n">
        <v>125.83333333333333</v>
      </c>
      <c r="E101" s="401" t="n">
        <v>128.25</v>
      </c>
      <c r="F101" s="465" t="n">
        <v>145.0</v>
      </c>
      <c r="G101" s="400" t="n">
        <v>152.0</v>
      </c>
      <c r="H101" s="401" t="n">
        <v>154.0</v>
      </c>
      <c r="I101" s="466" t="n">
        <v>155.0</v>
      </c>
      <c r="J101" s="394" t="n">
        <f t="shared" si="17"/>
        <v>1.0597701149425287</v>
      </c>
      <c r="K101" s="400" t="n">
        <v>146.0</v>
      </c>
      <c r="L101" s="395" t="n">
        <f t="shared" si="18"/>
        <v>1.006896551724138</v>
      </c>
      <c r="M101" s="400" t="n">
        <v>161.0</v>
      </c>
      <c r="N101" s="395" t="n">
        <f t="shared" si="19"/>
        <v>1.110344827586207</v>
      </c>
      <c r="O101" s="400" t="n">
        <v>174.0</v>
      </c>
      <c r="P101" s="395" t="n">
        <f t="shared" si="20"/>
        <v>1.2</v>
      </c>
      <c r="Q101" s="400" t="n">
        <v>168.0</v>
      </c>
      <c r="R101" s="395" t="n">
        <f t="shared" si="21"/>
        <v>1.1586206896551725</v>
      </c>
      <c r="S101" s="400" t="n">
        <v>150.0</v>
      </c>
      <c r="T101" s="403" t="n">
        <f t="shared" si="22"/>
        <v>1.0344827586206897</v>
      </c>
    </row>
    <row r="102" spans="1:20">
      <c r="A102" s="19"/>
      <c r="B102" s="1087" t="s">
        <v>50</v>
      </c>
      <c r="C102" s="381" t="s">
        <v>16</v>
      </c>
      <c r="D102" s="464" t="n">
        <v>473.139</v>
      </c>
      <c r="E102" s="401" t="n">
        <v>575.31</v>
      </c>
      <c r="F102" s="465" t="n">
        <v>0.0</v>
      </c>
      <c r="G102" s="400" t="n">
        <v>0.0</v>
      </c>
      <c r="H102" s="401" t="n">
        <v>0.0</v>
      </c>
      <c r="I102" s="466" t="n">
        <v>0.0</v>
      </c>
      <c r="J102" s="394" t="str">
        <f t="shared" ref="J102:J105" si="24">IFERROR(SUM(G102:I102)/3/F102,"－")</f>
        <v>－</v>
      </c>
      <c r="K102" s="400" t="n">
        <v>0.0</v>
      </c>
      <c r="L102" s="395" t="str">
        <f t="shared" si="18"/>
        <v>－</v>
      </c>
      <c r="M102" s="400" t="n">
        <v>0.0</v>
      </c>
      <c r="N102" s="395" t="str">
        <f t="shared" si="19"/>
        <v>－</v>
      </c>
      <c r="O102" s="400" t="n">
        <v>0.0</v>
      </c>
      <c r="P102" s="395" t="str">
        <f t="shared" si="20"/>
        <v>－</v>
      </c>
      <c r="Q102" s="400" t="n">
        <v>0.0</v>
      </c>
      <c r="R102" s="395" t="str">
        <f t="shared" si="21"/>
        <v>－</v>
      </c>
      <c r="S102" s="400" t="n">
        <v>0.0</v>
      </c>
      <c r="T102" s="403" t="str">
        <f t="shared" si="22"/>
        <v>－</v>
      </c>
    </row>
    <row r="103" spans="1:20">
      <c r="A103" s="19"/>
      <c r="B103" s="1093"/>
      <c r="C103" s="381" t="s">
        <v>17</v>
      </c>
      <c r="D103" s="464" t="n">
        <v>1.25</v>
      </c>
      <c r="E103" s="401" t="n">
        <v>1.5833333333333333</v>
      </c>
      <c r="F103" s="465" t="n">
        <v>0.0</v>
      </c>
      <c r="G103" s="400" t="n">
        <v>0.0</v>
      </c>
      <c r="H103" s="401" t="n">
        <v>0.0</v>
      </c>
      <c r="I103" s="466" t="n">
        <v>0.0</v>
      </c>
      <c r="J103" s="394" t="str">
        <f t="shared" si="24"/>
        <v>－</v>
      </c>
      <c r="K103" s="400" t="n">
        <v>0.0</v>
      </c>
      <c r="L103" s="395" t="str">
        <f t="shared" si="18"/>
        <v>－</v>
      </c>
      <c r="M103" s="400" t="n">
        <v>0.0</v>
      </c>
      <c r="N103" s="395" t="str">
        <f t="shared" si="19"/>
        <v>－</v>
      </c>
      <c r="O103" s="400" t="n">
        <v>0.0</v>
      </c>
      <c r="P103" s="395" t="str">
        <f t="shared" si="20"/>
        <v>－</v>
      </c>
      <c r="Q103" s="400" t="n">
        <v>0.0</v>
      </c>
      <c r="R103" s="395" t="str">
        <f t="shared" si="21"/>
        <v>－</v>
      </c>
      <c r="S103" s="400" t="n">
        <v>0.0</v>
      </c>
      <c r="T103" s="403" t="str">
        <f t="shared" si="22"/>
        <v>－</v>
      </c>
    </row>
    <row r="104" spans="1:20">
      <c r="A104" s="19"/>
      <c r="B104" s="1087" t="s">
        <v>51</v>
      </c>
      <c r="C104" s="381" t="s">
        <v>16</v>
      </c>
      <c r="D104" s="464" t="n">
        <v>894.224</v>
      </c>
      <c r="E104" s="401" t="n">
        <v>1009.424</v>
      </c>
      <c r="F104" s="465" t="n">
        <v>0.0</v>
      </c>
      <c r="G104" s="400" t="n">
        <v>0.0</v>
      </c>
      <c r="H104" s="401" t="n">
        <v>0.0</v>
      </c>
      <c r="I104" s="466" t="n">
        <v>0.0</v>
      </c>
      <c r="J104" s="394" t="str">
        <f t="shared" si="24"/>
        <v>－</v>
      </c>
      <c r="K104" s="400" t="n">
        <v>0.0</v>
      </c>
      <c r="L104" s="395" t="str">
        <f t="shared" si="18"/>
        <v>－</v>
      </c>
      <c r="M104" s="400" t="n">
        <v>0.0</v>
      </c>
      <c r="N104" s="395" t="str">
        <f t="shared" si="19"/>
        <v>－</v>
      </c>
      <c r="O104" s="400" t="n">
        <v>0.0</v>
      </c>
      <c r="P104" s="395" t="str">
        <f t="shared" si="20"/>
        <v>－</v>
      </c>
      <c r="Q104" s="400" t="n">
        <v>0.0</v>
      </c>
      <c r="R104" s="395" t="str">
        <f t="shared" si="21"/>
        <v>－</v>
      </c>
      <c r="S104" s="400" t="n">
        <v>0.0</v>
      </c>
      <c r="T104" s="403" t="str">
        <f t="shared" si="22"/>
        <v>－</v>
      </c>
    </row>
    <row r="105" spans="1:20">
      <c r="A105" s="19"/>
      <c r="B105" s="1093"/>
      <c r="C105" s="381" t="s">
        <v>17</v>
      </c>
      <c r="D105" s="464" t="n">
        <v>0.5833333333333334</v>
      </c>
      <c r="E105" s="401" t="n">
        <v>0.8333333333333334</v>
      </c>
      <c r="F105" s="465" t="n">
        <v>0.0</v>
      </c>
      <c r="G105" s="400" t="n">
        <v>0.0</v>
      </c>
      <c r="H105" s="401" t="n">
        <v>0.0</v>
      </c>
      <c r="I105" s="466" t="n">
        <v>0.0</v>
      </c>
      <c r="J105" s="394" t="str">
        <f t="shared" si="24"/>
        <v>－</v>
      </c>
      <c r="K105" s="400" t="n">
        <v>0.0</v>
      </c>
      <c r="L105" s="395" t="str">
        <f t="shared" si="18"/>
        <v>－</v>
      </c>
      <c r="M105" s="400" t="n">
        <v>0.0</v>
      </c>
      <c r="N105" s="395" t="str">
        <f t="shared" si="19"/>
        <v>－</v>
      </c>
      <c r="O105" s="400" t="n">
        <v>0.0</v>
      </c>
      <c r="P105" s="395" t="str">
        <f t="shared" si="20"/>
        <v>－</v>
      </c>
      <c r="Q105" s="400" t="n">
        <v>0.0</v>
      </c>
      <c r="R105" s="395" t="str">
        <f t="shared" si="21"/>
        <v>－</v>
      </c>
      <c r="S105" s="400" t="n">
        <v>0.0</v>
      </c>
      <c r="T105" s="403" t="str">
        <f t="shared" si="22"/>
        <v>－</v>
      </c>
    </row>
    <row r="106" spans="1:20">
      <c r="A106" s="19"/>
      <c r="B106" s="1090" t="s">
        <v>52</v>
      </c>
      <c r="C106" s="975" t="s">
        <v>16</v>
      </c>
      <c r="D106" s="472" t="n">
        <v>3625.33</v>
      </c>
      <c r="E106" s="401" t="n">
        <v>6254.5960000000005</v>
      </c>
      <c r="F106" s="465" t="n">
        <v>3439.272</v>
      </c>
      <c r="G106" s="400" t="n">
        <v>3439.0</v>
      </c>
      <c r="H106" s="401" t="n">
        <v>3439.0</v>
      </c>
      <c r="I106" s="473" t="n">
        <v>3439.0</v>
      </c>
      <c r="J106" s="474" t="n">
        <f>IFERROR(SUM(G106:I106)/3/F106,"－")</f>
        <v>0.9999209134956468</v>
      </c>
      <c r="K106" s="400" t="n">
        <v>3439.0</v>
      </c>
      <c r="L106" s="475" t="n">
        <f>IFERROR(K106/F106,"－")</f>
        <v>0.9999209134956468</v>
      </c>
      <c r="M106" s="400" t="n">
        <v>5159.0</v>
      </c>
      <c r="N106" s="475" t="n">
        <f t="shared" si="19"/>
        <v>1.5000267498470607</v>
      </c>
      <c r="O106" s="400" t="n">
        <v>5159.0</v>
      </c>
      <c r="P106" s="475" t="n">
        <f t="shared" si="20"/>
        <v>1.5000267498470607</v>
      </c>
      <c r="Q106" s="400" t="n">
        <v>5159.0</v>
      </c>
      <c r="R106" s="475" t="n">
        <f t="shared" si="21"/>
        <v>1.5000267498470607</v>
      </c>
      <c r="S106" s="400" t="n">
        <v>3439.0</v>
      </c>
      <c r="T106" s="475" t="n">
        <f t="shared" si="22"/>
        <v>0.9999209134956468</v>
      </c>
    </row>
    <row r="107" spans="1:20" ht="14.25" thickBot="1">
      <c r="A107" s="25"/>
      <c r="B107" s="1094"/>
      <c r="C107" s="964" t="s">
        <v>17</v>
      </c>
      <c r="D107" s="472" t="n">
        <v>1.6666666666666667</v>
      </c>
      <c r="E107" s="401" t="n">
        <v>2.6666666666666665</v>
      </c>
      <c r="F107" s="465" t="n">
        <v>2.0</v>
      </c>
      <c r="G107" s="400" t="n">
        <v>2.0</v>
      </c>
      <c r="H107" s="401" t="n">
        <v>2.0</v>
      </c>
      <c r="I107" s="473" t="n">
        <v>2.0</v>
      </c>
      <c r="J107" s="414" t="n">
        <f>IFERROR(SUM(G107:I107)/3/F107,"－")</f>
        <v>1.0</v>
      </c>
      <c r="K107" s="400" t="n">
        <v>2.0</v>
      </c>
      <c r="L107" s="415" t="n">
        <f>IFERROR(K107/F107,"－")</f>
        <v>1.0</v>
      </c>
      <c r="M107" s="400" t="n">
        <v>3.0</v>
      </c>
      <c r="N107" s="415" t="n">
        <f t="shared" si="19"/>
        <v>1.5</v>
      </c>
      <c r="O107" s="400" t="n">
        <v>3.0</v>
      </c>
      <c r="P107" s="415" t="n">
        <f t="shared" si="20"/>
        <v>1.5</v>
      </c>
      <c r="Q107" s="400" t="n">
        <v>3.0</v>
      </c>
      <c r="R107" s="415" t="n">
        <f t="shared" si="21"/>
        <v>1.5</v>
      </c>
      <c r="S107" s="400" t="n">
        <v>2.0</v>
      </c>
      <c r="T107" s="415" t="n">
        <f>IFERROR(S107/F107,"－")</f>
        <v>1.0</v>
      </c>
    </row>
    <row r="108" spans="1:20">
      <c r="A108" s="19" t="s">
        <v>53</v>
      </c>
      <c r="B108" s="372"/>
      <c r="C108" s="481"/>
      <c r="D108" s="482"/>
      <c r="E108" s="483"/>
      <c r="F108" s="484"/>
      <c r="G108" s="485"/>
      <c r="H108" s="483"/>
      <c r="I108" s="486"/>
      <c r="J108" s="487"/>
      <c r="K108" s="488"/>
      <c r="L108" s="489"/>
      <c r="M108" s="488"/>
      <c r="N108" s="489"/>
      <c r="O108" s="488"/>
      <c r="P108" s="489"/>
      <c r="Q108" s="488"/>
      <c r="R108" s="489"/>
      <c r="S108" s="488"/>
      <c r="T108" s="489"/>
    </row>
    <row r="109" spans="1:20">
      <c r="A109" s="24"/>
      <c r="B109" s="1087" t="s">
        <v>54</v>
      </c>
      <c r="C109" s="381" t="s">
        <v>16</v>
      </c>
      <c r="D109" s="464" t="n">
        <v>0.0</v>
      </c>
      <c r="E109" s="401" t="n">
        <v>388.75</v>
      </c>
      <c r="F109" s="490" t="n">
        <v>0.0</v>
      </c>
      <c r="G109" s="465" t="n">
        <v>0.0</v>
      </c>
      <c r="H109" s="401" t="n">
        <v>0.0</v>
      </c>
      <c r="I109" s="466" t="n">
        <v>0.0</v>
      </c>
      <c r="J109" s="402" t="str">
        <f t="shared" ref="J109:J128" si="25">IFERROR(SUM(G109:I109)/3/F109,"－")</f>
        <v>－</v>
      </c>
      <c r="K109" s="400" t="n">
        <v>0.0</v>
      </c>
      <c r="L109" s="403" t="str">
        <f t="shared" ref="L109:L124" si="26">IFERROR(K109/F109,"－")</f>
        <v>－</v>
      </c>
      <c r="M109" s="400" t="n">
        <v>0.0</v>
      </c>
      <c r="N109" s="403" t="str">
        <f t="shared" si="19"/>
        <v>－</v>
      </c>
      <c r="O109" s="400" t="n">
        <v>0.0</v>
      </c>
      <c r="P109" s="403" t="str">
        <f t="shared" si="20"/>
        <v>－</v>
      </c>
      <c r="Q109" s="400" t="n">
        <v>0.0</v>
      </c>
      <c r="R109" s="403" t="str">
        <f t="shared" si="21"/>
        <v>－</v>
      </c>
      <c r="S109" s="400" t="n">
        <v>0.0</v>
      </c>
      <c r="T109" s="403" t="str">
        <f>IFERROR(S109/F109,"－")</f>
        <v>－</v>
      </c>
    </row>
    <row r="110" spans="1:20">
      <c r="A110" s="24"/>
      <c r="B110" s="1093"/>
      <c r="C110" s="381" t="s">
        <v>17</v>
      </c>
      <c r="D110" s="464" t="n">
        <v>0.0</v>
      </c>
      <c r="E110" s="401" t="n">
        <v>0.4166666666666667</v>
      </c>
      <c r="F110" s="490" t="n">
        <v>0.0</v>
      </c>
      <c r="G110" s="465" t="n">
        <v>0.0</v>
      </c>
      <c r="H110" s="401" t="n">
        <v>0.0</v>
      </c>
      <c r="I110" s="466" t="n">
        <v>0.0</v>
      </c>
      <c r="J110" s="404" t="str">
        <f t="shared" si="25"/>
        <v>－</v>
      </c>
      <c r="K110" s="400" t="n">
        <v>0.0</v>
      </c>
      <c r="L110" s="395" t="str">
        <f t="shared" si="26"/>
        <v>－</v>
      </c>
      <c r="M110" s="400" t="n">
        <v>0.0</v>
      </c>
      <c r="N110" s="395" t="str">
        <f t="shared" si="19"/>
        <v>－</v>
      </c>
      <c r="O110" s="400" t="n">
        <v>0.0</v>
      </c>
      <c r="P110" s="395" t="str">
        <f t="shared" si="20"/>
        <v>－</v>
      </c>
      <c r="Q110" s="400" t="n">
        <v>0.0</v>
      </c>
      <c r="R110" s="395" t="str">
        <f t="shared" si="21"/>
        <v>－</v>
      </c>
      <c r="S110" s="400" t="n">
        <v>0.0</v>
      </c>
      <c r="T110" s="403" t="str">
        <f t="shared" ref="T110:T127" si="27">IFERROR(S110/F110,"－")</f>
        <v>－</v>
      </c>
    </row>
    <row r="111" spans="1:20">
      <c r="A111" s="24"/>
      <c r="B111" s="1085" t="s">
        <v>55</v>
      </c>
      <c r="C111" s="381" t="s">
        <v>16</v>
      </c>
      <c r="D111" s="464" t="n">
        <v>0.0</v>
      </c>
      <c r="E111" s="401" t="n">
        <v>0.0</v>
      </c>
      <c r="F111" s="490" t="n">
        <v>0.0</v>
      </c>
      <c r="G111" s="465" t="n">
        <v>0.0</v>
      </c>
      <c r="H111" s="401" t="n">
        <v>0.0</v>
      </c>
      <c r="I111" s="466" t="n">
        <v>0.0</v>
      </c>
      <c r="J111" s="402" t="str">
        <f t="shared" si="25"/>
        <v>－</v>
      </c>
      <c r="K111" s="400" t="n">
        <v>0.0</v>
      </c>
      <c r="L111" s="403" t="str">
        <f t="shared" si="26"/>
        <v>－</v>
      </c>
      <c r="M111" s="400" t="n">
        <v>0.0</v>
      </c>
      <c r="N111" s="403" t="str">
        <f t="shared" si="19"/>
        <v>－</v>
      </c>
      <c r="O111" s="400" t="n">
        <v>0.0</v>
      </c>
      <c r="P111" s="403" t="str">
        <f t="shared" si="20"/>
        <v>－</v>
      </c>
      <c r="Q111" s="400" t="n">
        <v>0.0</v>
      </c>
      <c r="R111" s="403" t="str">
        <f t="shared" si="21"/>
        <v>－</v>
      </c>
      <c r="S111" s="400" t="n">
        <v>0.0</v>
      </c>
      <c r="T111" s="403" t="str">
        <f t="shared" si="27"/>
        <v>－</v>
      </c>
    </row>
    <row r="112" spans="1:20">
      <c r="A112" s="19"/>
      <c r="B112" s="1089"/>
      <c r="C112" s="381" t="s">
        <v>17</v>
      </c>
      <c r="D112" s="464" t="n">
        <v>0.0</v>
      </c>
      <c r="E112" s="401" t="n">
        <v>0.0</v>
      </c>
      <c r="F112" s="490" t="n">
        <v>0.0</v>
      </c>
      <c r="G112" s="465" t="n">
        <v>0.0</v>
      </c>
      <c r="H112" s="401" t="n">
        <v>0.0</v>
      </c>
      <c r="I112" s="466" t="n">
        <v>0.0</v>
      </c>
      <c r="J112" s="394" t="str">
        <f t="shared" si="25"/>
        <v>－</v>
      </c>
      <c r="K112" s="400" t="n">
        <v>0.0</v>
      </c>
      <c r="L112" s="395" t="str">
        <f t="shared" si="26"/>
        <v>－</v>
      </c>
      <c r="M112" s="400" t="n">
        <v>0.0</v>
      </c>
      <c r="N112" s="395" t="str">
        <f t="shared" si="19"/>
        <v>－</v>
      </c>
      <c r="O112" s="400" t="n">
        <v>0.0</v>
      </c>
      <c r="P112" s="395" t="str">
        <f t="shared" si="20"/>
        <v>－</v>
      </c>
      <c r="Q112" s="400" t="n">
        <v>0.0</v>
      </c>
      <c r="R112" s="395" t="str">
        <f t="shared" si="21"/>
        <v>－</v>
      </c>
      <c r="S112" s="400" t="n">
        <v>0.0</v>
      </c>
      <c r="T112" s="403" t="str">
        <f t="shared" si="27"/>
        <v>－</v>
      </c>
    </row>
    <row r="113" spans="1:20">
      <c r="A113" s="19"/>
      <c r="B113" s="1085" t="s">
        <v>94</v>
      </c>
      <c r="C113" s="381" t="s">
        <v>16</v>
      </c>
      <c r="D113" s="464" t="n">
        <v>324.896</v>
      </c>
      <c r="E113" s="401" t="n">
        <v>377.368</v>
      </c>
      <c r="F113" s="490" t="n">
        <v>0.0</v>
      </c>
      <c r="G113" s="465" t="n">
        <v>0.0</v>
      </c>
      <c r="H113" s="401" t="n">
        <v>0.0</v>
      </c>
      <c r="I113" s="466" t="n">
        <v>0.0</v>
      </c>
      <c r="J113" s="402" t="str">
        <f>IFERROR(SUM(G113:I113)/3/F113,"－")</f>
        <v>－</v>
      </c>
      <c r="K113" s="400" t="n">
        <v>0.0</v>
      </c>
      <c r="L113" s="421" t="str">
        <f t="shared" ref="L113:L115" si="28">IFERROR(K113/F113,"－")</f>
        <v>－</v>
      </c>
      <c r="M113" s="400" t="n">
        <v>0.0</v>
      </c>
      <c r="N113" s="421" t="str">
        <f t="shared" si="19"/>
        <v>－</v>
      </c>
      <c r="O113" s="400" t="n">
        <v>0.0</v>
      </c>
      <c r="P113" s="421" t="str">
        <f t="shared" si="20"/>
        <v>－</v>
      </c>
      <c r="Q113" s="400" t="n">
        <v>0.0</v>
      </c>
      <c r="R113" s="421" t="str">
        <f t="shared" si="21"/>
        <v>－</v>
      </c>
      <c r="S113" s="400" t="n">
        <v>0.0</v>
      </c>
      <c r="T113" s="403" t="str">
        <f t="shared" si="27"/>
        <v>－</v>
      </c>
    </row>
    <row r="114" spans="1:20">
      <c r="A114" s="19"/>
      <c r="B114" s="1086"/>
      <c r="C114" s="381" t="s">
        <v>19</v>
      </c>
      <c r="D114" s="467" t="n">
        <v>7.333333333333333</v>
      </c>
      <c r="E114" s="468" t="n">
        <v>8.166666666666666</v>
      </c>
      <c r="F114" s="491" t="n">
        <v>0.0</v>
      </c>
      <c r="G114" s="469" t="n">
        <v>0.0</v>
      </c>
      <c r="H114" s="468" t="n">
        <v>0.0</v>
      </c>
      <c r="I114" s="471" t="n">
        <v>0.0</v>
      </c>
      <c r="J114" s="394" t="str">
        <f>IFERROR(SUM(G114:I114)/3/F114,"－")</f>
        <v>－</v>
      </c>
      <c r="K114" s="470" t="n">
        <v>0.0</v>
      </c>
      <c r="L114" s="421" t="str">
        <f t="shared" si="28"/>
        <v>－</v>
      </c>
      <c r="M114" s="470" t="n">
        <v>0.0</v>
      </c>
      <c r="N114" s="421" t="str">
        <f t="shared" si="19"/>
        <v>－</v>
      </c>
      <c r="O114" s="470" t="n">
        <v>0.0</v>
      </c>
      <c r="P114" s="421" t="str">
        <f t="shared" si="20"/>
        <v>－</v>
      </c>
      <c r="Q114" s="470" t="n">
        <v>0.0</v>
      </c>
      <c r="R114" s="421" t="str">
        <f t="shared" si="21"/>
        <v>－</v>
      </c>
      <c r="S114" s="470" t="n">
        <v>0.0</v>
      </c>
      <c r="T114" s="403" t="str">
        <f t="shared" si="27"/>
        <v>－</v>
      </c>
    </row>
    <row r="115" spans="1:20">
      <c r="A115" s="19"/>
      <c r="B115" s="492"/>
      <c r="C115" s="381" t="s">
        <v>17</v>
      </c>
      <c r="D115" s="464" t="n">
        <v>0.9166666666666666</v>
      </c>
      <c r="E115" s="401" t="n">
        <v>0.9166666666666666</v>
      </c>
      <c r="F115" s="490" t="n">
        <v>0.0</v>
      </c>
      <c r="G115" s="465" t="n">
        <v>0.0</v>
      </c>
      <c r="H115" s="401" t="n">
        <v>0.0</v>
      </c>
      <c r="I115" s="466" t="n">
        <v>0.0</v>
      </c>
      <c r="J115" s="394" t="str">
        <f>IFERROR(SUM(G115:I115)/3/F115,"－")</f>
        <v>－</v>
      </c>
      <c r="K115" s="400" t="n">
        <v>0.0</v>
      </c>
      <c r="L115" s="421" t="str">
        <f t="shared" si="28"/>
        <v>－</v>
      </c>
      <c r="M115" s="400" t="n">
        <v>0.0</v>
      </c>
      <c r="N115" s="421" t="str">
        <f t="shared" si="19"/>
        <v>－</v>
      </c>
      <c r="O115" s="400" t="n">
        <v>0.0</v>
      </c>
      <c r="P115" s="421" t="str">
        <f t="shared" si="20"/>
        <v>－</v>
      </c>
      <c r="Q115" s="400" t="n">
        <v>0.0</v>
      </c>
      <c r="R115" s="421" t="str">
        <f t="shared" si="21"/>
        <v>－</v>
      </c>
      <c r="S115" s="400" t="n">
        <v>0.0</v>
      </c>
      <c r="T115" s="403" t="str">
        <f t="shared" si="27"/>
        <v>－</v>
      </c>
    </row>
    <row r="116" spans="1:20">
      <c r="A116" s="24"/>
      <c r="B116" s="1085" t="s">
        <v>56</v>
      </c>
      <c r="C116" s="381" t="s">
        <v>16</v>
      </c>
      <c r="D116" s="464" t="n">
        <v>0.0</v>
      </c>
      <c r="E116" s="401" t="n">
        <v>0.0</v>
      </c>
      <c r="F116" s="490" t="n">
        <v>0.0</v>
      </c>
      <c r="G116" s="465" t="n">
        <v>0.0</v>
      </c>
      <c r="H116" s="401" t="n">
        <v>0.0</v>
      </c>
      <c r="I116" s="466" t="n">
        <v>0.0</v>
      </c>
      <c r="J116" s="402" t="str">
        <f t="shared" si="25"/>
        <v>－</v>
      </c>
      <c r="K116" s="400" t="n">
        <v>0.0</v>
      </c>
      <c r="L116" s="403" t="str">
        <f t="shared" si="26"/>
        <v>－</v>
      </c>
      <c r="M116" s="400" t="n">
        <v>0.0</v>
      </c>
      <c r="N116" s="403" t="str">
        <f t="shared" si="19"/>
        <v>－</v>
      </c>
      <c r="O116" s="400" t="n">
        <v>0.0</v>
      </c>
      <c r="P116" s="403" t="str">
        <f t="shared" si="20"/>
        <v>－</v>
      </c>
      <c r="Q116" s="400" t="n">
        <v>0.0</v>
      </c>
      <c r="R116" s="403" t="str">
        <f t="shared" si="21"/>
        <v>－</v>
      </c>
      <c r="S116" s="400" t="n">
        <v>0.0</v>
      </c>
      <c r="T116" s="403" t="str">
        <f t="shared" si="27"/>
        <v>－</v>
      </c>
    </row>
    <row r="117" spans="1:20">
      <c r="A117" s="19"/>
      <c r="B117" s="1086"/>
      <c r="C117" s="381" t="s">
        <v>19</v>
      </c>
      <c r="D117" s="467" t="n">
        <v>0.0</v>
      </c>
      <c r="E117" s="468" t="n">
        <v>0.0</v>
      </c>
      <c r="F117" s="491" t="n">
        <v>0.0</v>
      </c>
      <c r="G117" s="469" t="n">
        <v>0.0</v>
      </c>
      <c r="H117" s="468" t="n">
        <v>0.0</v>
      </c>
      <c r="I117" s="471" t="n">
        <v>0.0</v>
      </c>
      <c r="J117" s="394" t="str">
        <f t="shared" si="25"/>
        <v>－</v>
      </c>
      <c r="K117" s="470" t="n">
        <v>0.0</v>
      </c>
      <c r="L117" s="395" t="str">
        <f t="shared" si="26"/>
        <v>－</v>
      </c>
      <c r="M117" s="470" t="n">
        <v>0.0</v>
      </c>
      <c r="N117" s="395" t="str">
        <f t="shared" si="19"/>
        <v>－</v>
      </c>
      <c r="O117" s="470" t="n">
        <v>0.0</v>
      </c>
      <c r="P117" s="395" t="str">
        <f t="shared" si="20"/>
        <v>－</v>
      </c>
      <c r="Q117" s="470" t="n">
        <v>0.0</v>
      </c>
      <c r="R117" s="395" t="str">
        <f t="shared" si="21"/>
        <v>－</v>
      </c>
      <c r="S117" s="470" t="n">
        <v>0.0</v>
      </c>
      <c r="T117" s="403" t="str">
        <f t="shared" si="27"/>
        <v>－</v>
      </c>
    </row>
    <row r="118" spans="1:20">
      <c r="A118" s="19"/>
      <c r="B118" s="429"/>
      <c r="C118" s="381" t="s">
        <v>17</v>
      </c>
      <c r="D118" s="464" t="n">
        <v>0.0</v>
      </c>
      <c r="E118" s="401" t="n">
        <v>0.0</v>
      </c>
      <c r="F118" s="490" t="n">
        <v>0.0</v>
      </c>
      <c r="G118" s="465" t="n">
        <v>0.0</v>
      </c>
      <c r="H118" s="401" t="n">
        <v>0.0</v>
      </c>
      <c r="I118" s="466" t="n">
        <v>0.0</v>
      </c>
      <c r="J118" s="394" t="str">
        <f t="shared" si="25"/>
        <v>－</v>
      </c>
      <c r="K118" s="400" t="n">
        <v>0.0</v>
      </c>
      <c r="L118" s="395" t="str">
        <f t="shared" si="26"/>
        <v>－</v>
      </c>
      <c r="M118" s="400" t="n">
        <v>0.0</v>
      </c>
      <c r="N118" s="395" t="str">
        <f t="shared" si="19"/>
        <v>－</v>
      </c>
      <c r="O118" s="400" t="n">
        <v>0.0</v>
      </c>
      <c r="P118" s="395" t="str">
        <f t="shared" si="20"/>
        <v>－</v>
      </c>
      <c r="Q118" s="400" t="n">
        <v>0.0</v>
      </c>
      <c r="R118" s="395" t="str">
        <f t="shared" si="21"/>
        <v>－</v>
      </c>
      <c r="S118" s="400" t="n">
        <v>0.0</v>
      </c>
      <c r="T118" s="403" t="str">
        <f t="shared" si="27"/>
        <v>－</v>
      </c>
    </row>
    <row r="119" spans="1:20">
      <c r="A119" s="24"/>
      <c r="B119" s="1085" t="s">
        <v>57</v>
      </c>
      <c r="C119" s="381" t="s">
        <v>16</v>
      </c>
      <c r="D119" s="464" t="n">
        <v>0.0</v>
      </c>
      <c r="E119" s="401" t="n">
        <v>0.0</v>
      </c>
      <c r="F119" s="490" t="n">
        <v>0.0</v>
      </c>
      <c r="G119" s="465" t="n">
        <v>0.0</v>
      </c>
      <c r="H119" s="401" t="n">
        <v>0.0</v>
      </c>
      <c r="I119" s="466" t="n">
        <v>0.0</v>
      </c>
      <c r="J119" s="402" t="str">
        <f t="shared" si="25"/>
        <v>－</v>
      </c>
      <c r="K119" s="400" t="n">
        <v>0.0</v>
      </c>
      <c r="L119" s="403" t="str">
        <f t="shared" si="26"/>
        <v>－</v>
      </c>
      <c r="M119" s="400" t="n">
        <v>0.0</v>
      </c>
      <c r="N119" s="403" t="str">
        <f t="shared" si="19"/>
        <v>－</v>
      </c>
      <c r="O119" s="400" t="n">
        <v>0.0</v>
      </c>
      <c r="P119" s="403" t="str">
        <f t="shared" si="20"/>
        <v>－</v>
      </c>
      <c r="Q119" s="400" t="n">
        <v>0.0</v>
      </c>
      <c r="R119" s="403" t="str">
        <f t="shared" si="21"/>
        <v>－</v>
      </c>
      <c r="S119" s="400" t="n">
        <v>0.0</v>
      </c>
      <c r="T119" s="403" t="str">
        <f t="shared" si="27"/>
        <v>－</v>
      </c>
    </row>
    <row r="120" spans="1:20">
      <c r="A120" s="19"/>
      <c r="B120" s="1089"/>
      <c r="C120" s="381" t="s">
        <v>17</v>
      </c>
      <c r="D120" s="464" t="n">
        <v>0.0</v>
      </c>
      <c r="E120" s="401" t="n">
        <v>0.0</v>
      </c>
      <c r="F120" s="490" t="n">
        <v>0.0</v>
      </c>
      <c r="G120" s="465" t="n">
        <v>0.0</v>
      </c>
      <c r="H120" s="401" t="n">
        <v>0.0</v>
      </c>
      <c r="I120" s="466" t="n">
        <v>0.0</v>
      </c>
      <c r="J120" s="394" t="str">
        <f t="shared" si="25"/>
        <v>－</v>
      </c>
      <c r="K120" s="400" t="n">
        <v>0.0</v>
      </c>
      <c r="L120" s="395" t="str">
        <f t="shared" si="26"/>
        <v>－</v>
      </c>
      <c r="M120" s="400" t="n">
        <v>0.0</v>
      </c>
      <c r="N120" s="395" t="str">
        <f t="shared" si="19"/>
        <v>－</v>
      </c>
      <c r="O120" s="400" t="n">
        <v>0.0</v>
      </c>
      <c r="P120" s="395" t="str">
        <f t="shared" si="20"/>
        <v>－</v>
      </c>
      <c r="Q120" s="400" t="n">
        <v>0.0</v>
      </c>
      <c r="R120" s="395" t="str">
        <f t="shared" si="21"/>
        <v>－</v>
      </c>
      <c r="S120" s="400" t="n">
        <v>0.0</v>
      </c>
      <c r="T120" s="403" t="str">
        <f t="shared" si="27"/>
        <v>－</v>
      </c>
    </row>
    <row r="121" spans="1:20">
      <c r="A121" s="19"/>
      <c r="B121" s="1090" t="s">
        <v>58</v>
      </c>
      <c r="C121" s="381" t="s">
        <v>16</v>
      </c>
      <c r="D121" s="464" t="n">
        <v>88245.166</v>
      </c>
      <c r="E121" s="401" t="n">
        <v>80058.606</v>
      </c>
      <c r="F121" s="490" t="n">
        <v>63737.676</v>
      </c>
      <c r="G121" s="465" t="n">
        <v>63198.0</v>
      </c>
      <c r="H121" s="401" t="n">
        <v>66899.0</v>
      </c>
      <c r="I121" s="466" t="n">
        <v>70060.0</v>
      </c>
      <c r="J121" s="402" t="n">
        <f t="shared" si="25"/>
        <v>1.0467749090820317</v>
      </c>
      <c r="K121" s="400" t="n">
        <v>66899.0</v>
      </c>
      <c r="L121" s="403" t="n">
        <f t="shared" si="26"/>
        <v>1.0495989844373994</v>
      </c>
      <c r="M121" s="400" t="n">
        <v>76627.0</v>
      </c>
      <c r="N121" s="403" t="n">
        <f t="shared" si="19"/>
        <v>1.2022245680874841</v>
      </c>
      <c r="O121" s="400" t="n">
        <v>79788.0</v>
      </c>
      <c r="P121" s="403" t="n">
        <f t="shared" si="20"/>
        <v>1.2518184691892438</v>
      </c>
      <c r="Q121" s="400" t="n">
        <v>79788.0</v>
      </c>
      <c r="R121" s="403" t="n">
        <f t="shared" si="21"/>
        <v>1.2518184691892438</v>
      </c>
      <c r="S121" s="400" t="n">
        <v>66360.0</v>
      </c>
      <c r="T121" s="403" t="n">
        <f t="shared" si="27"/>
        <v>1.0411424476788267</v>
      </c>
    </row>
    <row r="122" spans="1:20">
      <c r="A122" s="19"/>
      <c r="B122" s="1091"/>
      <c r="C122" s="381" t="s">
        <v>17</v>
      </c>
      <c r="D122" s="464" t="n">
        <v>26.75</v>
      </c>
      <c r="E122" s="401" t="n">
        <v>24.5</v>
      </c>
      <c r="F122" s="490" t="n">
        <v>19.0</v>
      </c>
      <c r="G122" s="465" t="n">
        <v>19.0</v>
      </c>
      <c r="H122" s="401" t="n">
        <v>20.0</v>
      </c>
      <c r="I122" s="466" t="n">
        <v>21.0</v>
      </c>
      <c r="J122" s="394" t="n">
        <f t="shared" si="25"/>
        <v>1.0526315789473684</v>
      </c>
      <c r="K122" s="400" t="n">
        <v>20.0</v>
      </c>
      <c r="L122" s="395" t="n">
        <f t="shared" si="26"/>
        <v>1.0526315789473684</v>
      </c>
      <c r="M122" s="400" t="n">
        <v>23.0</v>
      </c>
      <c r="N122" s="395" t="n">
        <f t="shared" si="19"/>
        <v>1.2105263157894737</v>
      </c>
      <c r="O122" s="400" t="n">
        <v>24.0</v>
      </c>
      <c r="P122" s="395" t="n">
        <f t="shared" si="20"/>
        <v>1.263157894736842</v>
      </c>
      <c r="Q122" s="400" t="n">
        <v>24.0</v>
      </c>
      <c r="R122" s="395" t="n">
        <f t="shared" si="21"/>
        <v>1.263157894736842</v>
      </c>
      <c r="S122" s="400" t="n">
        <v>20.0</v>
      </c>
      <c r="T122" s="403" t="n">
        <f t="shared" si="27"/>
        <v>1.0526315789473684</v>
      </c>
    </row>
    <row r="123" spans="1:20">
      <c r="A123" s="19"/>
      <c r="B123" s="1090" t="s">
        <v>59</v>
      </c>
      <c r="C123" s="381" t="s">
        <v>16</v>
      </c>
      <c r="D123" s="464" t="n">
        <v>0.0</v>
      </c>
      <c r="E123" s="401" t="n">
        <v>0.0</v>
      </c>
      <c r="F123" s="490" t="n">
        <v>0.0</v>
      </c>
      <c r="G123" s="465" t="n">
        <v>0.0</v>
      </c>
      <c r="H123" s="401" t="n">
        <v>0.0</v>
      </c>
      <c r="I123" s="466" t="n">
        <v>0.0</v>
      </c>
      <c r="J123" s="402" t="str">
        <f t="shared" si="25"/>
        <v>－</v>
      </c>
      <c r="K123" s="400" t="n">
        <v>0.0</v>
      </c>
      <c r="L123" s="395" t="str">
        <f t="shared" si="26"/>
        <v>－</v>
      </c>
      <c r="M123" s="400" t="n">
        <v>0.0</v>
      </c>
      <c r="N123" s="395" t="str">
        <f t="shared" si="19"/>
        <v>－</v>
      </c>
      <c r="O123" s="400" t="n">
        <v>0.0</v>
      </c>
      <c r="P123" s="395" t="str">
        <f t="shared" si="20"/>
        <v>－</v>
      </c>
      <c r="Q123" s="400" t="n">
        <v>0.0</v>
      </c>
      <c r="R123" s="395" t="str">
        <f t="shared" si="21"/>
        <v>－</v>
      </c>
      <c r="S123" s="400" t="n">
        <v>0.0</v>
      </c>
      <c r="T123" s="403" t="str">
        <f t="shared" si="27"/>
        <v>－</v>
      </c>
    </row>
    <row r="124" spans="1:20">
      <c r="A124" s="19"/>
      <c r="B124" s="1091"/>
      <c r="C124" s="381" t="s">
        <v>17</v>
      </c>
      <c r="D124" s="464" t="n">
        <v>0.0</v>
      </c>
      <c r="E124" s="401" t="n">
        <v>0.0</v>
      </c>
      <c r="F124" s="490" t="n">
        <v>0.0</v>
      </c>
      <c r="G124" s="465" t="n">
        <v>0.0</v>
      </c>
      <c r="H124" s="401" t="n">
        <v>0.0</v>
      </c>
      <c r="I124" s="466" t="n">
        <v>0.0</v>
      </c>
      <c r="J124" s="394" t="str">
        <f t="shared" si="25"/>
        <v>－</v>
      </c>
      <c r="K124" s="400" t="n">
        <v>0.0</v>
      </c>
      <c r="L124" s="395" t="str">
        <f t="shared" si="26"/>
        <v>－</v>
      </c>
      <c r="M124" s="400" t="n">
        <v>0.0</v>
      </c>
      <c r="N124" s="395" t="str">
        <f t="shared" si="19"/>
        <v>－</v>
      </c>
      <c r="O124" s="400" t="n">
        <v>0.0</v>
      </c>
      <c r="P124" s="395" t="str">
        <f t="shared" si="20"/>
        <v>－</v>
      </c>
      <c r="Q124" s="400" t="n">
        <v>0.0</v>
      </c>
      <c r="R124" s="395" t="str">
        <f t="shared" si="21"/>
        <v>－</v>
      </c>
      <c r="S124" s="400" t="n">
        <v>0.0</v>
      </c>
      <c r="T124" s="403" t="str">
        <f t="shared" si="27"/>
        <v>－</v>
      </c>
    </row>
    <row r="125" spans="1:20">
      <c r="A125" s="19"/>
      <c r="B125" s="1090" t="s">
        <v>60</v>
      </c>
      <c r="C125" s="381" t="s">
        <v>16</v>
      </c>
      <c r="D125" s="464" t="n">
        <v>96379.412</v>
      </c>
      <c r="E125" s="401" t="n">
        <v>96211.827</v>
      </c>
      <c r="F125" s="490" t="n">
        <v>115802.46</v>
      </c>
      <c r="G125" s="465" t="n">
        <v>115802.0</v>
      </c>
      <c r="H125" s="401" t="n">
        <v>115802.0</v>
      </c>
      <c r="I125" s="466" t="n">
        <v>115802.0</v>
      </c>
      <c r="J125" s="402" t="n">
        <f t="shared" si="25"/>
        <v>0.9999960277182367</v>
      </c>
      <c r="K125" s="400" t="n">
        <v>119678.0</v>
      </c>
      <c r="L125" s="403" t="n">
        <f t="shared" ref="L125:L130" si="29">IFERROR(K125/F125,"－")</f>
        <v>1.0334668192713694</v>
      </c>
      <c r="M125" s="400" t="n">
        <v>127153.0</v>
      </c>
      <c r="N125" s="403" t="n">
        <f t="shared" si="19"/>
        <v>1.0980163979245345</v>
      </c>
      <c r="O125" s="400" t="n">
        <v>142126.0</v>
      </c>
      <c r="P125" s="403" t="n">
        <f t="shared" si="20"/>
        <v>1.2273141693190281</v>
      </c>
      <c r="Q125" s="400" t="n">
        <v>145926.0</v>
      </c>
      <c r="R125" s="403" t="n">
        <f t="shared" si="21"/>
        <v>1.2601286708417074</v>
      </c>
      <c r="S125" s="400" t="n">
        <v>127177.0</v>
      </c>
      <c r="T125" s="403" t="n">
        <f t="shared" si="27"/>
        <v>1.0982236474078357</v>
      </c>
    </row>
    <row r="126" spans="1:20">
      <c r="A126" s="19"/>
      <c r="B126" s="1091"/>
      <c r="C126" s="381" t="s">
        <v>17</v>
      </c>
      <c r="D126" s="464" t="n">
        <v>26.416666666666668</v>
      </c>
      <c r="E126" s="401" t="n">
        <v>26.583333333333332</v>
      </c>
      <c r="F126" s="490" t="n">
        <v>31.0</v>
      </c>
      <c r="G126" s="465" t="n">
        <v>31.0</v>
      </c>
      <c r="H126" s="401" t="n">
        <v>31.0</v>
      </c>
      <c r="I126" s="466" t="n">
        <v>31.0</v>
      </c>
      <c r="J126" s="394" t="n">
        <f t="shared" si="25"/>
        <v>1.0</v>
      </c>
      <c r="K126" s="400" t="n">
        <v>32.0</v>
      </c>
      <c r="L126" s="395" t="n">
        <f t="shared" si="29"/>
        <v>1.032258064516129</v>
      </c>
      <c r="M126" s="400" t="n">
        <v>34.0</v>
      </c>
      <c r="N126" s="395" t="n">
        <f t="shared" si="19"/>
        <v>1.096774193548387</v>
      </c>
      <c r="O126" s="400" t="n">
        <v>38.0</v>
      </c>
      <c r="P126" s="395" t="n">
        <f t="shared" si="20"/>
        <v>1.2258064516129032</v>
      </c>
      <c r="Q126" s="400" t="n">
        <v>39.0</v>
      </c>
      <c r="R126" s="395" t="n">
        <f t="shared" si="21"/>
        <v>1.2580645161290323</v>
      </c>
      <c r="S126" s="400" t="n">
        <v>34.0</v>
      </c>
      <c r="T126" s="403" t="n">
        <f t="shared" si="27"/>
        <v>1.096774193548387</v>
      </c>
    </row>
    <row r="127" spans="1:20">
      <c r="A127" s="19"/>
      <c r="B127" s="1087" t="s">
        <v>91</v>
      </c>
      <c r="C127" s="381" t="s">
        <v>16</v>
      </c>
      <c r="D127" s="464" t="n">
        <v>3466.68</v>
      </c>
      <c r="E127" s="401" t="n">
        <v>808.716</v>
      </c>
      <c r="F127" s="490" t="n">
        <v>0.0</v>
      </c>
      <c r="G127" s="465" t="n">
        <v>0.0</v>
      </c>
      <c r="H127" s="401" t="n">
        <v>0.0</v>
      </c>
      <c r="I127" s="466" t="n">
        <v>0.0</v>
      </c>
      <c r="J127" s="402" t="str">
        <f t="shared" si="25"/>
        <v>－</v>
      </c>
      <c r="K127" s="400" t="n">
        <v>0.0</v>
      </c>
      <c r="L127" s="403" t="str">
        <f t="shared" si="29"/>
        <v>－</v>
      </c>
      <c r="M127" s="400" t="n">
        <v>0.0</v>
      </c>
      <c r="N127" s="403" t="str">
        <f t="shared" si="19"/>
        <v>－</v>
      </c>
      <c r="O127" s="400" t="n">
        <v>0.0</v>
      </c>
      <c r="P127" s="403" t="str">
        <f t="shared" si="20"/>
        <v>－</v>
      </c>
      <c r="Q127" s="400" t="n">
        <v>0.0</v>
      </c>
      <c r="R127" s="403" t="str">
        <f t="shared" si="21"/>
        <v>－</v>
      </c>
      <c r="S127" s="400" t="n">
        <v>0.0</v>
      </c>
      <c r="T127" s="403" t="str">
        <f t="shared" si="27"/>
        <v>－</v>
      </c>
    </row>
    <row r="128" spans="1:20" ht="14.25" thickBot="1">
      <c r="A128" s="19"/>
      <c r="B128" s="1093"/>
      <c r="C128" s="381" t="s">
        <v>17</v>
      </c>
      <c r="D128" s="464" t="n">
        <v>0.6666666666666666</v>
      </c>
      <c r="E128" s="401" t="n">
        <v>0.25</v>
      </c>
      <c r="F128" s="490" t="n">
        <v>0.0</v>
      </c>
      <c r="G128" s="493" t="n">
        <v>0.0</v>
      </c>
      <c r="H128" s="494" t="n">
        <v>0.0</v>
      </c>
      <c r="I128" s="495" t="n">
        <v>0.0</v>
      </c>
      <c r="J128" s="420" t="str">
        <f t="shared" si="25"/>
        <v>－</v>
      </c>
      <c r="K128" s="496" t="n">
        <v>0.0</v>
      </c>
      <c r="L128" s="421" t="str">
        <f t="shared" si="29"/>
        <v>－</v>
      </c>
      <c r="M128" s="496" t="n">
        <v>0.0</v>
      </c>
      <c r="N128" s="421" t="str">
        <f t="shared" si="19"/>
        <v>－</v>
      </c>
      <c r="O128" s="496" t="n">
        <v>0.0</v>
      </c>
      <c r="P128" s="421" t="str">
        <f t="shared" si="20"/>
        <v>－</v>
      </c>
      <c r="Q128" s="496" t="n">
        <v>0.0</v>
      </c>
      <c r="R128" s="421" t="str">
        <f t="shared" si="21"/>
        <v>－</v>
      </c>
      <c r="S128" s="496" t="n">
        <v>0.0</v>
      </c>
      <c r="T128" s="421" t="str">
        <f>IFERROR(S128/F128,"－")</f>
        <v>－</v>
      </c>
    </row>
    <row r="129" spans="1:20" hidden="1">
      <c r="A129" s="19"/>
      <c r="B129" s="1087"/>
      <c r="C129" s="381" t="s">
        <v>16</v>
      </c>
      <c r="D129" s="499"/>
      <c r="E129" s="839"/>
      <c r="F129" s="889"/>
      <c r="G129" s="465"/>
      <c r="H129" s="401"/>
      <c r="I129" s="466"/>
      <c r="J129" s="402" t="str">
        <f>IFERROR(SUM(G129:I129)/3/F129,"－")</f>
        <v>－</v>
      </c>
      <c r="K129" s="400"/>
      <c r="L129" s="403" t="str">
        <f t="shared" si="29"/>
        <v>－</v>
      </c>
      <c r="M129" s="400"/>
      <c r="N129" s="403" t="str">
        <f t="shared" ref="N129:N130" si="30">IFERROR(M129/F129,"－")</f>
        <v>－</v>
      </c>
      <c r="O129" s="400"/>
      <c r="P129" s="403" t="str">
        <f t="shared" ref="P129:P130" si="31">IFERROR(O129/F129,"－")</f>
        <v>－</v>
      </c>
      <c r="Q129" s="400"/>
      <c r="R129" s="403" t="str">
        <f t="shared" ref="R129:R130" si="32">IFERROR(Q129/F129,"－")</f>
        <v>－</v>
      </c>
      <c r="S129" s="400"/>
      <c r="T129" s="403" t="str">
        <f t="shared" ref="T129" si="33">IFERROR(S129/F129,"－")</f>
        <v>－</v>
      </c>
    </row>
    <row r="130" spans="1:20" ht="14.25" hidden="1" thickBot="1">
      <c r="A130" s="19"/>
      <c r="B130" s="1093"/>
      <c r="C130" s="381" t="s">
        <v>17</v>
      </c>
      <c r="D130" s="504"/>
      <c r="E130" s="840"/>
      <c r="F130" s="926"/>
      <c r="G130" s="465"/>
      <c r="H130" s="494"/>
      <c r="I130" s="495"/>
      <c r="J130" s="420" t="str">
        <f>IFERROR(SUM(G130:I130)/3/F130,"－")</f>
        <v>－</v>
      </c>
      <c r="K130" s="496"/>
      <c r="L130" s="421" t="str">
        <f t="shared" si="29"/>
        <v>－</v>
      </c>
      <c r="M130" s="496"/>
      <c r="N130" s="421" t="str">
        <f t="shared" si="30"/>
        <v>－</v>
      </c>
      <c r="O130" s="496"/>
      <c r="P130" s="421" t="str">
        <f t="shared" si="31"/>
        <v>－</v>
      </c>
      <c r="Q130" s="496"/>
      <c r="R130" s="421" t="str">
        <f t="shared" si="32"/>
        <v>－</v>
      </c>
      <c r="S130" s="496"/>
      <c r="T130" s="421" t="str">
        <f>IFERROR(S130/F130,"－")</f>
        <v>－</v>
      </c>
    </row>
    <row r="131" spans="1:20">
      <c r="A131" s="497" t="s">
        <v>61</v>
      </c>
      <c r="B131" s="498"/>
      <c r="C131" s="422"/>
      <c r="D131" s="488"/>
      <c r="E131" s="483"/>
      <c r="F131" s="925"/>
      <c r="G131" s="485"/>
      <c r="H131" s="483"/>
      <c r="I131" s="486"/>
      <c r="J131" s="487"/>
      <c r="K131" s="488"/>
      <c r="L131" s="489"/>
      <c r="M131" s="488"/>
      <c r="N131" s="489"/>
      <c r="O131" s="488"/>
      <c r="P131" s="489"/>
      <c r="Q131" s="488"/>
      <c r="R131" s="489"/>
      <c r="S131" s="488"/>
      <c r="T131" s="489"/>
    </row>
    <row r="132" spans="1:20">
      <c r="A132" s="19"/>
      <c r="B132" s="1090" t="s">
        <v>62</v>
      </c>
      <c r="C132" s="381" t="s">
        <v>16</v>
      </c>
      <c r="D132" s="464" t="n">
        <v>232501.547</v>
      </c>
      <c r="E132" s="401" t="n">
        <v>232975.253</v>
      </c>
      <c r="F132" s="490" t="n">
        <v>248516.016</v>
      </c>
      <c r="G132" s="465" t="n">
        <v>248516.0</v>
      </c>
      <c r="H132" s="401" t="n">
        <v>248516.0</v>
      </c>
      <c r="I132" s="466" t="n">
        <v>248516.0</v>
      </c>
      <c r="J132" s="402" t="n">
        <f t="shared" ref="J132:J141" si="34">IFERROR(SUM(G132:I132)/3/F132,"－")</f>
        <v>0.9999999356178315</v>
      </c>
      <c r="K132" s="400" t="n">
        <v>263704.0</v>
      </c>
      <c r="L132" s="403" t="n">
        <f t="shared" ref="L132:L144" si="35">IFERROR(K132/F132,"－")</f>
        <v>1.0611147090012902</v>
      </c>
      <c r="M132" s="400" t="n">
        <v>281473.0</v>
      </c>
      <c r="N132" s="403" t="n">
        <f t="shared" si="19"/>
        <v>1.1326151309298311</v>
      </c>
      <c r="O132" s="400" t="n">
        <v>313703.0</v>
      </c>
      <c r="P132" s="403" t="n">
        <f t="shared" si="20"/>
        <v>1.2623049614637312</v>
      </c>
      <c r="Q132" s="400" t="n">
        <v>317502.0</v>
      </c>
      <c r="R132" s="403" t="n">
        <f t="shared" si="21"/>
        <v>1.2775917025806498</v>
      </c>
      <c r="S132" s="400" t="n">
        <v>278407.0</v>
      </c>
      <c r="T132" s="403" t="n">
        <f>IFERROR(S132/F132,"－")</f>
        <v>1.1202778979041736</v>
      </c>
    </row>
    <row r="133" spans="1:20">
      <c r="A133" s="19"/>
      <c r="B133" s="1091"/>
      <c r="C133" s="381" t="s">
        <v>17</v>
      </c>
      <c r="D133" s="464" t="n">
        <v>68.08333333333333</v>
      </c>
      <c r="E133" s="401" t="n">
        <v>67.83333333333333</v>
      </c>
      <c r="F133" s="490" t="n">
        <v>71.0</v>
      </c>
      <c r="G133" s="465" t="n">
        <v>71.0</v>
      </c>
      <c r="H133" s="401" t="n">
        <v>71.0</v>
      </c>
      <c r="I133" s="466" t="n">
        <v>71.0</v>
      </c>
      <c r="J133" s="394" t="n">
        <f t="shared" si="34"/>
        <v>1.0</v>
      </c>
      <c r="K133" s="400" t="n">
        <v>75.0</v>
      </c>
      <c r="L133" s="395" t="n">
        <f t="shared" si="35"/>
        <v>1.056338028169014</v>
      </c>
      <c r="M133" s="400" t="n">
        <v>80.0</v>
      </c>
      <c r="N133" s="395" t="n">
        <f t="shared" si="19"/>
        <v>1.1267605633802817</v>
      </c>
      <c r="O133" s="400" t="n">
        <v>89.0</v>
      </c>
      <c r="P133" s="395" t="n">
        <f t="shared" si="20"/>
        <v>1.2535211267605635</v>
      </c>
      <c r="Q133" s="400" t="n">
        <v>90.0</v>
      </c>
      <c r="R133" s="395" t="n">
        <f t="shared" si="21"/>
        <v>1.267605633802817</v>
      </c>
      <c r="S133" s="400" t="n">
        <v>79.0</v>
      </c>
      <c r="T133" s="403" t="n">
        <f t="shared" ref="T133:T137" si="36">IFERROR(S133/F133,"－")</f>
        <v>1.1126760563380282</v>
      </c>
    </row>
    <row r="134" spans="1:20">
      <c r="A134" s="19"/>
      <c r="B134" s="1090" t="s">
        <v>65</v>
      </c>
      <c r="C134" s="381" t="s">
        <v>16</v>
      </c>
      <c r="D134" s="464" t="n">
        <v>249357.273</v>
      </c>
      <c r="E134" s="401" t="n">
        <v>260376.837</v>
      </c>
      <c r="F134" s="490" t="n">
        <v>289521.312</v>
      </c>
      <c r="G134" s="465" t="n">
        <v>289521.0</v>
      </c>
      <c r="H134" s="401" t="n">
        <v>289521.0</v>
      </c>
      <c r="I134" s="466" t="n">
        <v>289521.0</v>
      </c>
      <c r="J134" s="402" t="n">
        <f t="shared" si="34"/>
        <v>0.999998922359125</v>
      </c>
      <c r="K134" s="400" t="n">
        <v>319505.0</v>
      </c>
      <c r="L134" s="403" t="n">
        <f t="shared" si="35"/>
        <v>1.1035629736300727</v>
      </c>
      <c r="M134" s="400" t="n">
        <v>345029.0</v>
      </c>
      <c r="N134" s="403" t="n">
        <f t="shared" si="19"/>
        <v>1.1917222867517263</v>
      </c>
      <c r="O134" s="400" t="n">
        <v>376336.0</v>
      </c>
      <c r="P134" s="403" t="n">
        <f t="shared" si="20"/>
        <v>1.2998559498100093</v>
      </c>
      <c r="Q134" s="400" t="n">
        <v>376770.0</v>
      </c>
      <c r="R134" s="403" t="n">
        <f t="shared" si="21"/>
        <v>1.3013549758989764</v>
      </c>
      <c r="S134" s="400" t="n">
        <v>335375.0</v>
      </c>
      <c r="T134" s="403" t="n">
        <f t="shared" si="36"/>
        <v>1.158377591215116</v>
      </c>
    </row>
    <row r="135" spans="1:20">
      <c r="A135" s="19"/>
      <c r="B135" s="1091"/>
      <c r="C135" s="381" t="s">
        <v>17</v>
      </c>
      <c r="D135" s="464" t="n">
        <v>63.25</v>
      </c>
      <c r="E135" s="401" t="n">
        <v>66.58333333333333</v>
      </c>
      <c r="F135" s="490" t="n">
        <v>75.0</v>
      </c>
      <c r="G135" s="465" t="n">
        <v>75.0</v>
      </c>
      <c r="H135" s="401" t="n">
        <v>75.0</v>
      </c>
      <c r="I135" s="466" t="n">
        <v>75.0</v>
      </c>
      <c r="J135" s="394" t="n">
        <f t="shared" si="34"/>
        <v>1.0</v>
      </c>
      <c r="K135" s="400" t="n">
        <v>83.0</v>
      </c>
      <c r="L135" s="395" t="n">
        <f t="shared" si="35"/>
        <v>1.1066666666666667</v>
      </c>
      <c r="M135" s="400" t="n">
        <v>90.0</v>
      </c>
      <c r="N135" s="395" t="n">
        <f t="shared" ref="N135:N144" si="37">IFERROR(M135/F135,"－")</f>
        <v>1.2</v>
      </c>
      <c r="O135" s="400" t="n">
        <v>98.0</v>
      </c>
      <c r="P135" s="395" t="n">
        <f t="shared" ref="P135:P144" si="38">IFERROR(O135/F135,"－")</f>
        <v>1.3066666666666666</v>
      </c>
      <c r="Q135" s="400" t="n">
        <v>98.0</v>
      </c>
      <c r="R135" s="395" t="n">
        <f t="shared" ref="R135:R144" si="39">IFERROR(Q135/F135,"－")</f>
        <v>1.3066666666666666</v>
      </c>
      <c r="S135" s="400" t="n">
        <v>87.0</v>
      </c>
      <c r="T135" s="403" t="n">
        <f t="shared" si="36"/>
        <v>1.16</v>
      </c>
    </row>
    <row r="136" spans="1:20">
      <c r="A136" s="19"/>
      <c r="B136" s="723" t="s">
        <v>215</v>
      </c>
      <c r="C136" s="381" t="s">
        <v>216</v>
      </c>
      <c r="D136" s="464" t="n">
        <v>0.0</v>
      </c>
      <c r="E136" s="401" t="n">
        <v>0.0</v>
      </c>
      <c r="F136" s="490" t="n">
        <v>0.0</v>
      </c>
      <c r="G136" s="465" t="n">
        <v>0.0</v>
      </c>
      <c r="H136" s="401" t="n">
        <v>0.0</v>
      </c>
      <c r="I136" s="466" t="n">
        <v>0.0</v>
      </c>
      <c r="J136" s="394" t="str">
        <f t="shared" si="34"/>
        <v>－</v>
      </c>
      <c r="K136" s="400" t="n">
        <v>0.0</v>
      </c>
      <c r="L136" s="395" t="str">
        <f t="shared" si="35"/>
        <v>－</v>
      </c>
      <c r="M136" s="400" t="n">
        <v>0.0</v>
      </c>
      <c r="N136" s="395" t="str">
        <f t="shared" si="37"/>
        <v>－</v>
      </c>
      <c r="O136" s="400" t="n">
        <v>0.0</v>
      </c>
      <c r="P136" s="395" t="str">
        <f t="shared" si="38"/>
        <v>－</v>
      </c>
      <c r="Q136" s="400" t="n">
        <v>0.0</v>
      </c>
      <c r="R136" s="395" t="str">
        <f t="shared" si="39"/>
        <v>－</v>
      </c>
      <c r="S136" s="400" t="n">
        <v>0.0</v>
      </c>
      <c r="T136" s="403" t="str">
        <f t="shared" si="36"/>
        <v>－</v>
      </c>
    </row>
    <row r="137" spans="1:20" ht="14.25" thickBot="1">
      <c r="A137" s="25"/>
      <c r="B137" s="963"/>
      <c r="C137" s="964" t="s">
        <v>217</v>
      </c>
      <c r="D137" s="464" t="n">
        <v>0.0</v>
      </c>
      <c r="E137" s="401" t="n">
        <v>0.0</v>
      </c>
      <c r="F137" s="490" t="n">
        <v>0.0</v>
      </c>
      <c r="G137" s="465" t="n">
        <v>0.0</v>
      </c>
      <c r="H137" s="401" t="n">
        <v>0.0</v>
      </c>
      <c r="I137" s="466" t="n">
        <v>0.0</v>
      </c>
      <c r="J137" s="394" t="str">
        <f t="shared" si="34"/>
        <v>－</v>
      </c>
      <c r="K137" s="400" t="n">
        <v>0.0</v>
      </c>
      <c r="L137" s="395" t="str">
        <f t="shared" si="35"/>
        <v>－</v>
      </c>
      <c r="M137" s="400" t="n">
        <v>0.0</v>
      </c>
      <c r="N137" s="395" t="str">
        <f t="shared" si="37"/>
        <v>－</v>
      </c>
      <c r="O137" s="400" t="n">
        <v>0.0</v>
      </c>
      <c r="P137" s="395" t="str">
        <f t="shared" si="38"/>
        <v>－</v>
      </c>
      <c r="Q137" s="400" t="n">
        <v>0.0</v>
      </c>
      <c r="R137" s="395" t="str">
        <f t="shared" si="39"/>
        <v>－</v>
      </c>
      <c r="S137" s="400" t="n">
        <v>0.0</v>
      </c>
      <c r="T137" s="403" t="str">
        <f t="shared" si="36"/>
        <v>－</v>
      </c>
    </row>
    <row r="138" spans="1:20" hidden="1">
      <c r="A138" s="19"/>
      <c r="B138" s="1092"/>
      <c r="C138" s="507" t="s">
        <v>16</v>
      </c>
      <c r="D138" s="464"/>
      <c r="E138" s="401"/>
      <c r="F138" s="490"/>
      <c r="G138" s="499"/>
      <c r="H138" s="839"/>
      <c r="I138" s="839"/>
      <c r="J138" s="500"/>
      <c r="K138" s="499"/>
      <c r="L138" s="500"/>
      <c r="M138" s="499"/>
      <c r="N138" s="500"/>
      <c r="O138" s="499"/>
      <c r="P138" s="500"/>
      <c r="Q138" s="499"/>
      <c r="R138" s="500"/>
      <c r="S138" s="499"/>
      <c r="T138" s="500"/>
    </row>
    <row r="139" spans="1:20" ht="14.25" hidden="1" thickBot="1">
      <c r="A139" s="25"/>
      <c r="B139" s="1094"/>
      <c r="C139" s="442" t="s">
        <v>17</v>
      </c>
      <c r="D139" s="501"/>
      <c r="E139" s="494"/>
      <c r="F139" s="502"/>
      <c r="G139" s="504"/>
      <c r="H139" s="840"/>
      <c r="I139" s="840"/>
      <c r="J139" s="505"/>
      <c r="K139" s="504"/>
      <c r="L139" s="505"/>
      <c r="M139" s="504"/>
      <c r="N139" s="505"/>
      <c r="O139" s="504"/>
      <c r="P139" s="505"/>
      <c r="Q139" s="504"/>
      <c r="R139" s="505"/>
      <c r="S139" s="504"/>
      <c r="T139" s="505"/>
    </row>
    <row r="140" spans="1:20">
      <c r="A140" s="24" t="s">
        <v>66</v>
      </c>
      <c r="B140" s="506"/>
      <c r="C140" s="507" t="s">
        <v>16</v>
      </c>
      <c r="D140" s="508" t="n">
        <v>40767.632</v>
      </c>
      <c r="E140" s="438" t="n">
        <v>41883.43</v>
      </c>
      <c r="F140" s="509" t="n">
        <v>39588.0</v>
      </c>
      <c r="G140" s="510" t="n">
        <v>44066.0</v>
      </c>
      <c r="H140" s="438" t="n">
        <v>44448.0</v>
      </c>
      <c r="I140" s="511" t="n">
        <v>44389.0</v>
      </c>
      <c r="J140" s="439" t="n">
        <f t="shared" si="34"/>
        <v>1.1190512276447409</v>
      </c>
      <c r="K140" s="437" t="n">
        <v>42088.0</v>
      </c>
      <c r="L140" s="440" t="n">
        <f t="shared" si="35"/>
        <v>1.0631504496312014</v>
      </c>
      <c r="M140" s="437" t="n">
        <v>46099.0</v>
      </c>
      <c r="N140" s="440" t="n">
        <f t="shared" si="37"/>
        <v>1.164469031019501</v>
      </c>
      <c r="O140" s="437" t="n">
        <v>50061.0</v>
      </c>
      <c r="P140" s="440" t="n">
        <f t="shared" si="38"/>
        <v>1.2645498635950287</v>
      </c>
      <c r="Q140" s="437" t="n">
        <v>48268.0</v>
      </c>
      <c r="R140" s="440" t="n">
        <f t="shared" si="39"/>
        <v>1.2192583611195311</v>
      </c>
      <c r="S140" s="437" t="n">
        <v>42947.0</v>
      </c>
      <c r="T140" s="440" t="n">
        <f>IFERROR(S140/F140,"－")</f>
        <v>1.0848489441244822</v>
      </c>
    </row>
    <row r="141" spans="1:20" ht="14.25" thickBot="1">
      <c r="A141" s="21"/>
      <c r="B141" s="441"/>
      <c r="C141" s="442" t="s">
        <v>17</v>
      </c>
      <c r="D141" s="512" t="n">
        <v>194.5</v>
      </c>
      <c r="E141" s="479" t="n">
        <v>196.66666666666666</v>
      </c>
      <c r="F141" s="513" t="n">
        <v>181.0</v>
      </c>
      <c r="G141" s="503" t="n">
        <v>200.0</v>
      </c>
      <c r="H141" s="479" t="n">
        <v>202.0</v>
      </c>
      <c r="I141" s="480" t="n">
        <v>202.0</v>
      </c>
      <c r="J141" s="447" t="n">
        <f t="shared" si="34"/>
        <v>1.1123388581952118</v>
      </c>
      <c r="K141" s="478" t="n">
        <v>193.0</v>
      </c>
      <c r="L141" s="448" t="n">
        <f t="shared" si="35"/>
        <v>1.0662983425414365</v>
      </c>
      <c r="M141" s="478" t="n">
        <v>212.0</v>
      </c>
      <c r="N141" s="448" t="n">
        <f t="shared" si="37"/>
        <v>1.171270718232044</v>
      </c>
      <c r="O141" s="478" t="n">
        <v>229.0</v>
      </c>
      <c r="P141" s="448" t="n">
        <f t="shared" si="38"/>
        <v>1.2651933701657458</v>
      </c>
      <c r="Q141" s="478" t="n">
        <v>220.0</v>
      </c>
      <c r="R141" s="448" t="n">
        <f t="shared" si="39"/>
        <v>1.2154696132596685</v>
      </c>
      <c r="S141" s="478" t="n">
        <v>195.0</v>
      </c>
      <c r="T141" s="448" t="n">
        <f>IFERROR(S141/F141,"－")</f>
        <v>1.0773480662983426</v>
      </c>
    </row>
    <row r="142" spans="1:20">
      <c r="A142" s="24" t="s">
        <v>401</v>
      </c>
      <c r="B142" s="506"/>
      <c r="C142" s="507" t="s">
        <v>16</v>
      </c>
      <c r="D142" s="499"/>
      <c r="E142" s="839"/>
      <c r="F142" s="889"/>
      <c r="G142" s="499"/>
      <c r="H142" s="438"/>
      <c r="I142" s="511"/>
      <c r="J142" s="439" t="str">
        <f t="shared" ref="J142:J143" si="40">IFERROR(SUM(G142:I142)/3/F142,"－")</f>
        <v>－</v>
      </c>
      <c r="K142" s="437"/>
      <c r="L142" s="440" t="str">
        <f t="shared" ref="L142:L143" si="41">IFERROR(K142/F142,"－")</f>
        <v>－</v>
      </c>
      <c r="M142" s="437"/>
      <c r="N142" s="440" t="str">
        <f t="shared" ref="N142:N143" si="42">IFERROR(M142/F142,"－")</f>
        <v>－</v>
      </c>
      <c r="O142" s="437"/>
      <c r="P142" s="440" t="str">
        <f t="shared" ref="P142:P143" si="43">IFERROR(O142/F142,"－")</f>
        <v>－</v>
      </c>
      <c r="Q142" s="437"/>
      <c r="R142" s="440" t="str">
        <f t="shared" ref="R142:R143" si="44">IFERROR(Q142/F142,"－")</f>
        <v>－</v>
      </c>
      <c r="S142" s="437"/>
      <c r="T142" s="440" t="str">
        <f>IFERROR(S142/F142,"－")</f>
        <v>－</v>
      </c>
    </row>
    <row r="143" spans="1:20" ht="14.25" thickBot="1">
      <c r="A143" s="21"/>
      <c r="B143" s="441"/>
      <c r="C143" s="442" t="s">
        <v>17</v>
      </c>
      <c r="D143" s="504"/>
      <c r="E143" s="840"/>
      <c r="F143" s="926"/>
      <c r="G143" s="504"/>
      <c r="H143" s="479"/>
      <c r="I143" s="480"/>
      <c r="J143" s="447" t="str">
        <f t="shared" si="40"/>
        <v>－</v>
      </c>
      <c r="K143" s="478"/>
      <c r="L143" s="448" t="str">
        <f t="shared" si="41"/>
        <v>－</v>
      </c>
      <c r="M143" s="478"/>
      <c r="N143" s="448" t="str">
        <f t="shared" si="42"/>
        <v>－</v>
      </c>
      <c r="O143" s="478"/>
      <c r="P143" s="448" t="str">
        <f t="shared" si="43"/>
        <v>－</v>
      </c>
      <c r="Q143" s="478"/>
      <c r="R143" s="448" t="str">
        <f t="shared" si="44"/>
        <v>－</v>
      </c>
      <c r="S143" s="478"/>
      <c r="T143" s="448" t="str">
        <f>IFERROR(S143/F143,"－")</f>
        <v>－</v>
      </c>
    </row>
    <row r="144" spans="1:20" ht="14.25" thickBot="1">
      <c r="A144" s="449" t="s">
        <v>36</v>
      </c>
      <c r="B144" s="369"/>
      <c r="C144" s="450" t="s">
        <v>16</v>
      </c>
      <c r="D144" s="451" t="n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982757.327</v>
      </c>
      <c r="E144" s="452" t="n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965936.1290000001</v>
      </c>
      <c r="F144" s="453" t="n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988262.2116</v>
      </c>
      <c r="G144" s="454" t="n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1010412.0</v>
      </c>
      <c r="H144" s="452" t="n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1015381.0</v>
      </c>
      <c r="I144" s="452" t="n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1017227.0</v>
      </c>
      <c r="J144" s="455" t="n">
        <f t="shared" ref="J144" si="45">IFERROR(SUM(G144:I144)/3/F144,"－")</f>
        <v>1.0263875195205328</v>
      </c>
      <c r="K144" s="454" t="n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1047079.0</v>
      </c>
      <c r="L144" s="456" t="n">
        <f t="shared" si="35"/>
        <v>1.0595153671865845</v>
      </c>
      <c r="M144" s="454" t="n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1136018.0</v>
      </c>
      <c r="N144" s="456" t="n">
        <f t="shared" si="37"/>
        <v>1.149510713518817</v>
      </c>
      <c r="O144" s="454" t="n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1244619.0</v>
      </c>
      <c r="P144" s="456" t="n">
        <f t="shared" si="38"/>
        <v>1.2594015893666088</v>
      </c>
      <c r="Q144" s="454" t="n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1241737.0</v>
      </c>
      <c r="R144" s="456" t="n">
        <f t="shared" si="39"/>
        <v>1.2564853592748664</v>
      </c>
      <c r="S144" s="454" t="n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1094061.0</v>
      </c>
      <c r="T144" s="456" t="n">
        <f>IFERROR(S144/F144,"－")</f>
        <v>1.107055381818871</v>
      </c>
    </row>
    <row r="145" spans="1:14" ht="50.1" customHeight="1">
      <c r="A145" s="701" t="s">
        <v>109</v>
      </c>
      <c r="G145" s="700" t="s">
        <v>350</v>
      </c>
      <c r="H145" s="459"/>
      <c r="I145" s="459"/>
      <c r="J145" s="459"/>
      <c r="K145" s="624" t="s">
        <v>384</v>
      </c>
      <c r="L145" s="624"/>
      <c r="M145" s="624"/>
    </row>
    <row r="146" spans="1:14" ht="13.5" customHeight="1">
      <c r="G146" s="514"/>
      <c r="K146" s="624"/>
      <c r="L146" s="624"/>
      <c r="M146" s="624"/>
    </row>
    <row r="147" spans="1:14" ht="14.25" thickBot="1">
      <c r="A147" s="22" t="s">
        <v>214</v>
      </c>
      <c r="D147" s="515"/>
      <c r="G147" s="458"/>
      <c r="H147" s="458"/>
      <c r="I147" s="458"/>
      <c r="J147" s="458"/>
      <c r="K147" s="624"/>
      <c r="L147" s="624"/>
      <c r="M147" s="624"/>
    </row>
    <row r="148" spans="1:14" ht="14.25" thickBot="1">
      <c r="A148" s="22"/>
      <c r="D148" s="1074" t="s">
        <v>414</v>
      </c>
      <c r="E148" s="1098"/>
      <c r="F148" s="1099"/>
      <c r="G148" s="1074" t="s">
        <v>415</v>
      </c>
      <c r="H148" s="1098"/>
      <c r="I148" s="1099"/>
      <c r="J148" s="1000" t="s">
        <v>421</v>
      </c>
      <c r="K148" s="1000" t="s">
        <v>422</v>
      </c>
      <c r="L148" s="1000" t="s">
        <v>423</v>
      </c>
      <c r="M148" s="1000" t="s">
        <v>424</v>
      </c>
      <c r="N148" s="1000" t="s">
        <v>420</v>
      </c>
    </row>
    <row r="149" spans="1:14" ht="14.25" thickBot="1">
      <c r="A149" s="29"/>
      <c r="B149" s="369"/>
      <c r="C149" s="370"/>
      <c r="D149" s="1004" t="s">
        <v>352</v>
      </c>
      <c r="E149" s="993" t="s">
        <v>351</v>
      </c>
      <c r="F149" s="1005" t="s">
        <v>348</v>
      </c>
      <c r="G149" s="1004" t="s">
        <v>347</v>
      </c>
      <c r="H149" s="993" t="s">
        <v>346</v>
      </c>
      <c r="I149" s="1005" t="s">
        <v>345</v>
      </c>
      <c r="J149" s="1001" t="s">
        <v>368</v>
      </c>
      <c r="K149" s="1001" t="s">
        <v>371</v>
      </c>
      <c r="L149" s="1001" t="s">
        <v>374</v>
      </c>
      <c r="M149" s="1001" t="s">
        <v>377</v>
      </c>
      <c r="N149" s="1001" t="s">
        <v>380</v>
      </c>
    </row>
    <row r="150" spans="1:14">
      <c r="A150" s="516" t="s">
        <v>36</v>
      </c>
      <c r="B150" s="517"/>
      <c r="C150" s="518"/>
      <c r="D150" s="519" t="n">
        <f t="shared" ref="D150:I150" si="46">D61+D144</f>
        <v>1009762.834</v>
      </c>
      <c r="E150" s="520" t="n">
        <f t="shared" si="46"/>
        <v>998223.7670000001</v>
      </c>
      <c r="F150" s="521" t="n">
        <f t="shared" si="46"/>
        <v>1022588.1864</v>
      </c>
      <c r="G150" s="522" t="n">
        <f t="shared" si="46"/>
        <v>1043580.0</v>
      </c>
      <c r="H150" s="520" t="n">
        <f t="shared" si="46"/>
        <v>1049346.0</v>
      </c>
      <c r="I150" s="521" t="n">
        <f t="shared" si="46"/>
        <v>1051585.0</v>
      </c>
      <c r="J150" s="523" t="n">
        <f>K61+K144</f>
        <v>1081038.0</v>
      </c>
      <c r="K150" s="523" t="n">
        <f>M61+M144</f>
        <v>1172246.0</v>
      </c>
      <c r="L150" s="523" t="n">
        <f>O61+O144</f>
        <v>1283055.0</v>
      </c>
      <c r="M150" s="523" t="n">
        <f>Q61+Q144</f>
        <v>1277965.0</v>
      </c>
      <c r="N150" s="523" t="n">
        <f>S61+S144</f>
        <v>1126741.0</v>
      </c>
    </row>
    <row r="151" spans="1:14">
      <c r="A151" s="371"/>
      <c r="B151" s="524" t="s">
        <v>144</v>
      </c>
      <c r="C151" s="525"/>
      <c r="D151" s="526" t="n">
        <f>D12+D14+D17+D20+D23+D25+D27+D29+D32+D35+D38+D41+D43+D45+D50+D53+D57+D68+D71+D74+D77+D80+D82+D85+D88+D91+D94+D97+D100+D102+D104+D109+D111+D116+D119+D127+D113+D140</f>
        <v>339654.106</v>
      </c>
      <c r="E151" s="527" t="n">
        <f>E12+E14+E17+E20+E23+E25+E27+E29+E32+E35+E38+E41+E43+E45+E50+E53+E57+E68+E71+E74+E77+E80+E82+E85+E88+E91+E94+E97+E100+E102+E104+E109+E111+E116+E119+E127+E113+E140</f>
        <v>317997.351</v>
      </c>
      <c r="F151" s="527" t="n">
        <f>F12+F14+F17+F20+F23+F25+F27+F29+F32+F35+F38+F41+F43+F45+F50+F53+F57+F68+F71+F74+F77+F80+F82+F85+F88+F91+F94+F97+F100+F102+F104+F109+F111+F116+F119+F127+F113+F140</f>
        <v>301571.4504</v>
      </c>
      <c r="G151" s="526" t="n">
        <f>G14+G17+G20+G23+G27+G29+G32+G35+G38+G41+G43+G45+G50+G53+G57+G68+G71+G74+G77+G80+G82+G85+G88+G91+G94+G97+G100+G102+G104+G109+G111+G116+G119+G127+G113+G140</f>
        <v>323104.0</v>
      </c>
      <c r="H151" s="527" t="n">
        <f>H14+H17+H20+H23+H27+H29+H32+H35+H38+H41+H43+H45+H50+H53+H57+H59+H68+H71+H74+H77+H80+H82+H85+H88+H91+H94+H97+H100+H102+H104+H109+H111+H116+H119+H127+H113+H140+H142</f>
        <v>325169.0</v>
      </c>
      <c r="I151" s="528" t="n">
        <f>I14+I17+I20+I23+I27+I29+I32+I35+I38+I41+I43+I45+I50+I53+I57+I59+I68+I71+I74+I77+I80+I82+I85+I88+I91+I94+I97+I100+I102+I104+I109+I111+I116+I119+I127+I113+I140+I142</f>
        <v>324247.0</v>
      </c>
      <c r="J151" s="529" t="n">
        <f>K14+K17+K20+K23+K27+K29+K32+K35+K38+K41+K43+K45+K50+K53+K57+K59+K68+K71+K74+K77+K80+K82+K85+K88+K91+K94+K97+K100+K102+K104+K109+K111+K116+K119+K127+K113+K140+K142</f>
        <v>307813.0</v>
      </c>
      <c r="K151" s="529" t="n">
        <f>M14+M17+M20+M23+M27+M29+M32+M35+M38+M41+M43+M45+M50+M53+M57+M59+M68+M71+M74+M77+M80+M82+M85+M88+M91+M94+M97+M100+M102+M104+M109+M111+M116+M119+M127+M113+M140+M142</f>
        <v>336805.0</v>
      </c>
      <c r="L151" s="529" t="n">
        <f>O14+O17+O20+O23+O27+O29+O32+O35+O38+O41+O43+O45+O50+O53+O57+O59+O68+O71+O74+O77+O80+O82+O85+O88+O91+O94+O97+O100+O102+O104+O109+O111+O116+O119+O127+O113+O140+O142</f>
        <v>365943.0</v>
      </c>
      <c r="M151" s="529" t="n">
        <f>Q14+Q17+Q20+Q23+Q27+Q29+Q32+Q35+Q38+Q41+Q43+Q45+Q50+Q53+Q57+Q59+Q68+Q71+Q74+Q77+Q80+Q82+Q85+Q88+Q91+Q94+Q97+Q100+Q102+Q104+Q109+Q111+Q116+Q119+Q127+Q113+Q140+Q142</f>
        <v>352820.0</v>
      </c>
      <c r="N151" s="529" t="n">
        <f>S14+S17+S20+S23+S27+S29+S32+S35+S38+S41+S43+S45+S50+S53+S57+S59+S68+S71+S74+S77+S80+S82+S85+S88+S91+S94+S97+S100+S102+S104+S109+S111+S116+S119+S127+S113+S140+S142</f>
        <v>315983.0</v>
      </c>
    </row>
    <row r="152" spans="1:14">
      <c r="A152" s="371"/>
      <c r="B152" s="524" t="s">
        <v>145</v>
      </c>
      <c r="C152" s="525"/>
      <c r="D152" s="530" t="n">
        <f t="shared" ref="D152:I152" si="47">D47+D55+D106+D121+D123</f>
        <v>91870.496</v>
      </c>
      <c r="E152" s="527" t="n">
        <f t="shared" si="47"/>
        <v>90662.499</v>
      </c>
      <c r="F152" s="531" t="n">
        <f t="shared" si="47"/>
        <v>67176.948</v>
      </c>
      <c r="G152" s="530" t="n">
        <f t="shared" si="47"/>
        <v>66637.0</v>
      </c>
      <c r="H152" s="527" t="n">
        <f t="shared" si="47"/>
        <v>70338.0</v>
      </c>
      <c r="I152" s="531" t="n">
        <f t="shared" si="47"/>
        <v>73499.0</v>
      </c>
      <c r="J152" s="529" t="n">
        <f>K47+K55+K106+K121+K123</f>
        <v>70338.0</v>
      </c>
      <c r="K152" s="529" t="n">
        <f>M47+M55+M106+M121+M123</f>
        <v>81786.0</v>
      </c>
      <c r="L152" s="529" t="n">
        <f>O47+O55+O106+O121+O123</f>
        <v>84947.0</v>
      </c>
      <c r="M152" s="529" t="n">
        <f>Q47+Q55+Q106+Q121+Q123</f>
        <v>84947.0</v>
      </c>
      <c r="N152" s="529" t="n">
        <f>S47+S55+S106+S121+S123</f>
        <v>69799.0</v>
      </c>
    </row>
    <row r="153" spans="1:14" ht="14.25" thickBot="1">
      <c r="A153" s="532"/>
      <c r="B153" s="533" t="s">
        <v>146</v>
      </c>
      <c r="C153" s="534"/>
      <c r="D153" s="535" t="n">
        <f t="shared" ref="D153:I153" si="48">D125+D132+D134+D136+D138</f>
        <v>578238.232</v>
      </c>
      <c r="E153" s="536" t="n">
        <f t="shared" si="48"/>
        <v>589563.917</v>
      </c>
      <c r="F153" s="537" t="n">
        <f t="shared" si="48"/>
        <v>653839.788</v>
      </c>
      <c r="G153" s="535" t="n">
        <f t="shared" si="48"/>
        <v>653839.0</v>
      </c>
      <c r="H153" s="536" t="n">
        <f t="shared" si="48"/>
        <v>653839.0</v>
      </c>
      <c r="I153" s="537" t="n">
        <f t="shared" si="48"/>
        <v>653839.0</v>
      </c>
      <c r="J153" s="538" t="n">
        <f>K125+K132+K134+K136</f>
        <v>702887.0</v>
      </c>
      <c r="K153" s="538" t="n">
        <f>M125+M132+M134+M136</f>
        <v>753655.0</v>
      </c>
      <c r="L153" s="538" t="n">
        <f>O125+O132+O134+O136</f>
        <v>832165.0</v>
      </c>
      <c r="M153" s="538" t="n">
        <f>Q125+Q132+Q134+Q136</f>
        <v>840198.0</v>
      </c>
      <c r="N153" s="538" t="n">
        <f>S125+S132+S134+S136</f>
        <v>740959.0</v>
      </c>
    </row>
    <row r="154" spans="1:14" ht="14.25" thickBot="1"/>
    <row r="155" spans="1:14" ht="14.25" thickBot="1">
      <c r="A155" s="22" t="s">
        <v>218</v>
      </c>
      <c r="D155" s="1074" t="s">
        <v>414</v>
      </c>
      <c r="E155" s="1098"/>
      <c r="F155" s="1099"/>
      <c r="G155" s="1074" t="s">
        <v>415</v>
      </c>
      <c r="H155" s="1098"/>
      <c r="I155" s="1099"/>
      <c r="J155" s="1000" t="s">
        <v>421</v>
      </c>
      <c r="K155" s="1000" t="s">
        <v>422</v>
      </c>
      <c r="L155" s="1000" t="s">
        <v>423</v>
      </c>
      <c r="M155" s="1000" t="s">
        <v>424</v>
      </c>
      <c r="N155" s="1000" t="s">
        <v>420</v>
      </c>
    </row>
    <row r="156" spans="1:14" ht="14.25" thickBot="1">
      <c r="A156" s="1055"/>
      <c r="B156" s="1056"/>
      <c r="C156" s="1057"/>
      <c r="D156" s="1004" t="s">
        <v>352</v>
      </c>
      <c r="E156" s="993" t="s">
        <v>351</v>
      </c>
      <c r="F156" s="1005" t="s">
        <v>348</v>
      </c>
      <c r="G156" s="1004" t="s">
        <v>347</v>
      </c>
      <c r="H156" s="993" t="s">
        <v>346</v>
      </c>
      <c r="I156" s="1005" t="s">
        <v>345</v>
      </c>
      <c r="J156" s="1001" t="s">
        <v>368</v>
      </c>
      <c r="K156" s="1001" t="s">
        <v>371</v>
      </c>
      <c r="L156" s="1001" t="s">
        <v>374</v>
      </c>
      <c r="M156" s="1001" t="s">
        <v>377</v>
      </c>
      <c r="N156" s="1001" t="s">
        <v>380</v>
      </c>
    </row>
    <row r="157" spans="1:14">
      <c r="A157" s="13" t="s">
        <v>1</v>
      </c>
      <c r="B157" s="3"/>
      <c r="C157" s="141"/>
      <c r="D157" s="142" t="n">
        <f>D133+D135+D137+D139</f>
        <v>131.33333333333331</v>
      </c>
      <c r="E157" s="143" t="n">
        <f>E133+E135+E137+E139</f>
        <v>134.41666666666666</v>
      </c>
      <c r="F157" s="144" t="n">
        <f>F133+F135+F137+F139</f>
        <v>146.0</v>
      </c>
      <c r="G157" s="142" t="n">
        <f>G133+G135+G137+G139</f>
        <v>146.0</v>
      </c>
      <c r="H157" s="144" t="n">
        <f>H133+H135+H137+H139</f>
        <v>146.0</v>
      </c>
      <c r="I157" s="144" t="n">
        <f t="shared" ref="I157" si="49">I133+I135+I137+I139</f>
        <v>146.0</v>
      </c>
      <c r="J157" s="149" t="n">
        <f>K133+K135+K137</f>
        <v>158.0</v>
      </c>
      <c r="K157" s="149" t="n">
        <f>M133+M135+M137</f>
        <v>170.0</v>
      </c>
      <c r="L157" s="149" t="n">
        <f>O133+O135+O137</f>
        <v>187.0</v>
      </c>
      <c r="M157" s="149" t="n">
        <f>Q133+Q135+Q137</f>
        <v>188.0</v>
      </c>
      <c r="N157" s="149" t="n">
        <f>S133+S135+S137</f>
        <v>166.0</v>
      </c>
    </row>
    <row r="158" spans="1:14">
      <c r="A158" s="5"/>
      <c r="B158" s="145" t="s">
        <v>219</v>
      </c>
      <c r="C158" s="539"/>
      <c r="D158" s="44" t="n">
        <v>74.91666666666667</v>
      </c>
      <c r="E158" s="146" t="n">
        <v>72.25</v>
      </c>
      <c r="F158" s="174" t="n">
        <v>78.0</v>
      </c>
      <c r="G158" s="44" t="n">
        <v>78.0</v>
      </c>
      <c r="H158" s="174" t="n">
        <v>78.0</v>
      </c>
      <c r="I158" s="174" t="n">
        <v>78.0</v>
      </c>
      <c r="J158" s="150" t="n">
        <v>81.0</v>
      </c>
      <c r="K158" s="150" t="n">
        <v>85.0</v>
      </c>
      <c r="L158" s="150" t="n">
        <v>94.0</v>
      </c>
      <c r="M158" s="150" t="n">
        <v>95.0</v>
      </c>
      <c r="N158" s="150" t="n">
        <v>85.0</v>
      </c>
    </row>
    <row r="159" spans="1:14" ht="14.25" thickBot="1">
      <c r="A159" s="147"/>
      <c r="B159" s="148" t="s">
        <v>220</v>
      </c>
      <c r="C159" s="540"/>
      <c r="D159" s="709" t="n">
        <f>IFERROR(ROUND(D158/D157*100,1),"－")</f>
        <v>57.0</v>
      </c>
      <c r="E159" s="710" t="n">
        <f t="shared" ref="E159:J159" si="50">IFERROR(ROUND(E158/E157*100,1),"－")</f>
        <v>53.8</v>
      </c>
      <c r="F159" s="711" t="n">
        <f t="shared" si="50"/>
        <v>53.4</v>
      </c>
      <c r="G159" s="709" t="n">
        <f t="shared" si="50"/>
        <v>53.4</v>
      </c>
      <c r="H159" s="711" t="n">
        <f t="shared" si="50"/>
        <v>53.4</v>
      </c>
      <c r="I159" s="711" t="n">
        <f t="shared" si="50"/>
        <v>53.4</v>
      </c>
      <c r="J159" s="712" t="n">
        <f t="shared" si="50"/>
        <v>51.3</v>
      </c>
      <c r="K159" s="712" t="n">
        <f t="shared" ref="K159:M159" si="51">IFERROR(ROUND(K158/K157*100,1),"－")</f>
        <v>50.0</v>
      </c>
      <c r="L159" s="712" t="n">
        <f t="shared" si="51"/>
        <v>50.3</v>
      </c>
      <c r="M159" s="712" t="n">
        <f t="shared" si="51"/>
        <v>50.5</v>
      </c>
      <c r="N159" s="712" t="n">
        <f>IFERROR(ROUND(N158/N157*100,1),"－")</f>
        <v>51.2</v>
      </c>
    </row>
    <row r="162" spans="1:13" s="982" customFormat="1" ht="13.5" customHeight="1"/>
    <row r="163" spans="1:13" s="982" customFormat="1" ht="13.5" customHeight="1"/>
    <row r="164" spans="1:13" s="982" customFormat="1" ht="13.5" customHeight="1">
      <c r="D164" s="983"/>
      <c r="E164" s="983"/>
      <c r="F164" s="983"/>
      <c r="G164" s="983"/>
      <c r="H164" s="983"/>
      <c r="I164" s="983"/>
      <c r="J164" s="984"/>
      <c r="K164" s="985"/>
      <c r="L164" s="985"/>
      <c r="M164" s="985"/>
    </row>
    <row r="165" spans="1:13" s="982" customFormat="1" ht="13.5" customHeight="1">
      <c r="D165" s="986"/>
      <c r="E165" s="986"/>
      <c r="F165" s="986"/>
      <c r="G165" s="986"/>
      <c r="H165" s="986"/>
      <c r="I165" s="986"/>
      <c r="J165" s="987" t="n">
        <v>1.066666667</v>
      </c>
      <c r="K165" s="988"/>
      <c r="L165" s="988"/>
      <c r="M165" s="988"/>
    </row>
    <row r="166" spans="1:13" s="982" customFormat="1" ht="13.5" customHeight="1">
      <c r="A166" s="989"/>
      <c r="B166" s="989"/>
      <c r="C166" s="989"/>
      <c r="D166" s="989"/>
      <c r="E166" s="989"/>
      <c r="F166" s="989"/>
      <c r="G166" s="989"/>
      <c r="H166" s="989"/>
      <c r="I166" s="989"/>
      <c r="J166" s="989"/>
      <c r="K166" s="989"/>
      <c r="L166" s="989"/>
      <c r="M166" s="989"/>
    </row>
    <row r="167" spans="1:13" s="982" customFormat="1" ht="13.5" customHeight="1">
      <c r="A167" s="990"/>
      <c r="B167" s="990"/>
      <c r="C167" s="990"/>
      <c r="D167" s="990"/>
      <c r="E167" s="990"/>
      <c r="F167" s="990"/>
      <c r="G167" s="990"/>
      <c r="H167" s="990"/>
      <c r="I167" s="990"/>
      <c r="J167" s="990"/>
      <c r="K167" s="990"/>
      <c r="L167" s="990"/>
      <c r="M167" s="990"/>
    </row>
    <row r="168" spans="1:13" s="982" customFormat="1" ht="13.5" customHeight="1">
      <c r="A168" s="990"/>
      <c r="B168" s="990"/>
      <c r="C168" s="990"/>
      <c r="D168" s="990"/>
      <c r="E168" s="990"/>
      <c r="F168" s="990"/>
      <c r="G168" s="990"/>
      <c r="H168" s="990"/>
      <c r="I168" s="990"/>
      <c r="J168" s="990"/>
      <c r="K168" s="990"/>
      <c r="L168" s="990"/>
      <c r="M168" s="990"/>
    </row>
  </sheetData>
  <mergeCells count="70">
    <mergeCell ref="D148:F148"/>
    <mergeCell ref="G148:I148"/>
    <mergeCell ref="D155:F155"/>
    <mergeCell ref="G155:I155"/>
    <mergeCell ref="Q9:R9"/>
    <mergeCell ref="Q65:R65"/>
    <mergeCell ref="S65:T65"/>
    <mergeCell ref="D9:F9"/>
    <mergeCell ref="G9:J9"/>
    <mergeCell ref="K9:L9"/>
    <mergeCell ref="M9:N9"/>
    <mergeCell ref="O9:P9"/>
    <mergeCell ref="D65:F65"/>
    <mergeCell ref="G65:J65"/>
    <mergeCell ref="K65:L65"/>
    <mergeCell ref="M65:N65"/>
    <mergeCell ref="O65:P65"/>
    <mergeCell ref="B25:B26"/>
    <mergeCell ref="B27:B28"/>
    <mergeCell ref="B29:B30"/>
    <mergeCell ref="B32:B33"/>
    <mergeCell ref="S9:T9"/>
    <mergeCell ref="B121:B122"/>
    <mergeCell ref="B134:B135"/>
    <mergeCell ref="B129:B130"/>
    <mergeCell ref="B50:B51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Q3:R3"/>
    <mergeCell ref="Q4:R4"/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68"/>
  <sheetViews>
    <sheetView zoomScale="85" zoomScaleNormal="85" zoomScaleSheetLayoutView="80" workbookViewId="0"/>
  </sheetViews>
  <sheetFormatPr defaultColWidth="9" defaultRowHeight="13.5"/>
  <cols>
    <col min="1" max="1" bestFit="true" customWidth="true" style="737" width="56.625" collapsed="false"/>
    <col min="2" max="12" customWidth="true" style="737" width="17.375" collapsed="false"/>
    <col min="13" max="16384" style="737" width="9.0" collapsed="false"/>
  </cols>
  <sheetData>
    <row r="1" spans="1:12" ht="14.25" customHeight="1">
      <c r="A1" s="698" t="s">
        <v>309</v>
      </c>
      <c r="B1" s="698"/>
      <c r="C1" s="698"/>
      <c r="D1" s="698"/>
    </row>
    <row r="2" spans="1:12" ht="14.25" thickBot="1"/>
    <row r="3" spans="1:12" ht="14.25" thickBot="1">
      <c r="K3" s="738" t="s">
        <v>67</v>
      </c>
      <c r="L3" s="739" t="str">
        <f>保険者名</f>
        <v>川崎町</v>
      </c>
    </row>
    <row r="4" spans="1:12" ht="14.25" thickBot="1">
      <c r="K4" s="740" t="s">
        <v>68</v>
      </c>
      <c r="L4" s="739" t="str">
        <f>保険者番号</f>
        <v>04324</v>
      </c>
    </row>
    <row r="5" spans="1:12" ht="14.25" thickBot="1">
      <c r="K5" s="741" t="s">
        <v>103</v>
      </c>
      <c r="L5" s="352" t="str">
        <f>推計パターン名</f>
        <v>0911</v>
      </c>
    </row>
    <row r="6" spans="1:12" ht="20.25" customHeight="1" thickBot="1">
      <c r="L6" s="1006" t="s">
        <v>315</v>
      </c>
    </row>
    <row r="7" spans="1:12" ht="14.25" thickBot="1">
      <c r="A7" s="742" t="s">
        <v>304</v>
      </c>
      <c r="B7" s="1074" t="s">
        <v>414</v>
      </c>
      <c r="C7" s="1098"/>
      <c r="D7" s="1099"/>
      <c r="E7" s="1074" t="s">
        <v>425</v>
      </c>
      <c r="F7" s="1098"/>
      <c r="G7" s="1099"/>
      <c r="H7" s="1007" t="s">
        <v>421</v>
      </c>
      <c r="I7" s="1008" t="s">
        <v>422</v>
      </c>
      <c r="J7" s="1009" t="s">
        <v>423</v>
      </c>
      <c r="K7" s="1010" t="s">
        <v>424</v>
      </c>
      <c r="L7" s="1011" t="s">
        <v>420</v>
      </c>
    </row>
    <row r="8" spans="1:12" ht="14.25" thickBot="1">
      <c r="A8" s="678" t="s">
        <v>273</v>
      </c>
      <c r="B8" s="1004" t="s">
        <v>352</v>
      </c>
      <c r="C8" s="993" t="s">
        <v>351</v>
      </c>
      <c r="D8" s="1005" t="s">
        <v>348</v>
      </c>
      <c r="E8" s="1004" t="s">
        <v>426</v>
      </c>
      <c r="F8" s="993" t="s">
        <v>427</v>
      </c>
      <c r="G8" s="1005" t="s">
        <v>428</v>
      </c>
      <c r="H8" s="1012" t="s">
        <v>368</v>
      </c>
      <c r="I8" s="994" t="s">
        <v>371</v>
      </c>
      <c r="J8" s="1013" t="s">
        <v>374</v>
      </c>
      <c r="K8" s="1014" t="s">
        <v>377</v>
      </c>
      <c r="L8" s="1015" t="s">
        <v>380</v>
      </c>
    </row>
    <row r="9" spans="1:12">
      <c r="A9" s="702" t="s">
        <v>274</v>
      </c>
      <c r="B9" s="713" t="n">
        <v>1395761.0</v>
      </c>
      <c r="C9" s="714" t="n">
        <v>2668301.0</v>
      </c>
      <c r="D9" s="715" t="n">
        <v>2400000.0</v>
      </c>
      <c r="E9" s="713" t="n">
        <v>2100000.0</v>
      </c>
      <c r="F9" s="714" t="n">
        <v>2100000.0</v>
      </c>
      <c r="G9" s="715" t="n">
        <v>2100000.0</v>
      </c>
      <c r="H9" s="713" t="n">
        <v>1953000.0</v>
      </c>
      <c r="I9" s="714" t="n">
        <v>1806000.0</v>
      </c>
      <c r="J9" s="714" t="n">
        <v>1659000.0</v>
      </c>
      <c r="K9" s="714" t="n">
        <v>1449000.0</v>
      </c>
      <c r="L9" s="715" t="n">
        <v>1302000.0</v>
      </c>
    </row>
    <row r="10" spans="1:12">
      <c r="A10" s="743" t="s">
        <v>313</v>
      </c>
      <c r="B10" s="744" t="n">
        <v>417.0</v>
      </c>
      <c r="C10" s="745" t="n">
        <v>398.0</v>
      </c>
      <c r="D10" s="746" t="n">
        <v>400.0</v>
      </c>
      <c r="E10" s="744" t="n">
        <v>395.0</v>
      </c>
      <c r="F10" s="745" t="n">
        <v>395.0</v>
      </c>
      <c r="G10" s="746" t="n">
        <v>395.0</v>
      </c>
      <c r="H10" s="744" t="n">
        <v>381.0</v>
      </c>
      <c r="I10" s="745" t="n">
        <v>353.0</v>
      </c>
      <c r="J10" s="745" t="n">
        <v>327.0</v>
      </c>
      <c r="K10" s="745" t="n">
        <v>296.0</v>
      </c>
      <c r="L10" s="746" t="n">
        <v>264.0</v>
      </c>
    </row>
    <row r="11" spans="1:12">
      <c r="A11" s="703" t="s">
        <v>275</v>
      </c>
      <c r="B11" s="716" t="n">
        <v>0.0</v>
      </c>
      <c r="C11" s="717" t="n">
        <v>0.0</v>
      </c>
      <c r="D11" s="718" t="n">
        <v>0.0</v>
      </c>
      <c r="E11" s="716" t="n">
        <v>0.0</v>
      </c>
      <c r="F11" s="717" t="n">
        <v>0.0</v>
      </c>
      <c r="G11" s="718" t="n">
        <v>0.0</v>
      </c>
      <c r="H11" s="716" t="n">
        <v>0.0</v>
      </c>
      <c r="I11" s="717" t="n">
        <v>0.0</v>
      </c>
      <c r="J11" s="717" t="n">
        <v>0.0</v>
      </c>
      <c r="K11" s="717" t="n">
        <v>0.0</v>
      </c>
      <c r="L11" s="718" t="n">
        <v>0.0</v>
      </c>
    </row>
    <row r="12" spans="1:12">
      <c r="A12" s="743" t="s">
        <v>312</v>
      </c>
      <c r="B12" s="744" t="n">
        <v>0.0</v>
      </c>
      <c r="C12" s="745" t="n">
        <v>0.0</v>
      </c>
      <c r="D12" s="746" t="n">
        <v>0.0</v>
      </c>
      <c r="E12" s="744" t="n">
        <v>0.0</v>
      </c>
      <c r="F12" s="745" t="n">
        <v>0.0</v>
      </c>
      <c r="G12" s="746" t="n">
        <v>0.0</v>
      </c>
      <c r="H12" s="744" t="n">
        <v>0.0</v>
      </c>
      <c r="I12" s="745" t="n">
        <v>0.0</v>
      </c>
      <c r="J12" s="745" t="n">
        <v>0.0</v>
      </c>
      <c r="K12" s="745" t="n">
        <v>0.0</v>
      </c>
      <c r="L12" s="746" t="n">
        <v>0.0</v>
      </c>
    </row>
    <row r="13" spans="1:12">
      <c r="A13" s="704" t="s">
        <v>276</v>
      </c>
      <c r="B13" s="680" t="n">
        <v>340500.0</v>
      </c>
      <c r="C13" s="688" t="n">
        <v>314100.0</v>
      </c>
      <c r="D13" s="684" t="n">
        <v>600000.0</v>
      </c>
      <c r="E13" s="680" t="n">
        <v>400000.0</v>
      </c>
      <c r="F13" s="688" t="n">
        <v>400000.0</v>
      </c>
      <c r="G13" s="684" t="n">
        <v>400000.0</v>
      </c>
      <c r="H13" s="680" t="n">
        <v>464000.0</v>
      </c>
      <c r="I13" s="688" t="n">
        <v>488000.0</v>
      </c>
      <c r="J13" s="688" t="n">
        <v>460000.0</v>
      </c>
      <c r="K13" s="688" t="n">
        <v>404000.0</v>
      </c>
      <c r="L13" s="684" t="n">
        <v>368000.0</v>
      </c>
    </row>
    <row r="14" spans="1:12">
      <c r="A14" s="704" t="s">
        <v>277</v>
      </c>
      <c r="B14" s="680" t="n">
        <v>0.0</v>
      </c>
      <c r="C14" s="688" t="n">
        <v>0.0</v>
      </c>
      <c r="D14" s="684" t="n">
        <v>0.0</v>
      </c>
      <c r="E14" s="680" t="n">
        <v>0.0</v>
      </c>
      <c r="F14" s="688" t="n">
        <v>0.0</v>
      </c>
      <c r="G14" s="684" t="n">
        <v>0.0</v>
      </c>
      <c r="H14" s="680" t="n">
        <v>0.0</v>
      </c>
      <c r="I14" s="688" t="n">
        <v>0.0</v>
      </c>
      <c r="J14" s="688" t="n">
        <v>0.0</v>
      </c>
      <c r="K14" s="688" t="n">
        <v>0.0</v>
      </c>
      <c r="L14" s="684" t="n">
        <v>0.0</v>
      </c>
    </row>
    <row r="15" spans="1:12">
      <c r="A15" s="704" t="s">
        <v>278</v>
      </c>
      <c r="B15" s="680" t="n">
        <v>0.0</v>
      </c>
      <c r="C15" s="688" t="n">
        <v>0.0</v>
      </c>
      <c r="D15" s="684" t="n">
        <v>0.0</v>
      </c>
      <c r="E15" s="680" t="n">
        <v>0.0</v>
      </c>
      <c r="F15" s="688" t="n">
        <v>0.0</v>
      </c>
      <c r="G15" s="684" t="n">
        <v>0.0</v>
      </c>
      <c r="H15" s="680" t="n">
        <v>0.0</v>
      </c>
      <c r="I15" s="688" t="n">
        <v>0.0</v>
      </c>
      <c r="J15" s="688" t="n">
        <v>0.0</v>
      </c>
      <c r="K15" s="688" t="n">
        <v>0.0</v>
      </c>
      <c r="L15" s="684" t="n">
        <v>0.0</v>
      </c>
    </row>
    <row r="16" spans="1:12" ht="14.25" thickBot="1">
      <c r="A16" s="705" t="s">
        <v>279</v>
      </c>
      <c r="B16" s="681" t="n">
        <v>0.0</v>
      </c>
      <c r="C16" s="689" t="n">
        <v>0.0</v>
      </c>
      <c r="D16" s="685" t="n">
        <v>0.0</v>
      </c>
      <c r="E16" s="681" t="n">
        <v>0.0</v>
      </c>
      <c r="F16" s="689" t="n">
        <v>0.0</v>
      </c>
      <c r="G16" s="685" t="n">
        <v>0.0</v>
      </c>
      <c r="H16" s="681" t="n">
        <v>0.0</v>
      </c>
      <c r="I16" s="689" t="n">
        <v>0.0</v>
      </c>
      <c r="J16" s="689" t="n">
        <v>0.0</v>
      </c>
      <c r="K16" s="689" t="n">
        <v>0.0</v>
      </c>
      <c r="L16" s="685" t="n">
        <v>0.0</v>
      </c>
    </row>
    <row r="17" spans="1:12">
      <c r="A17" s="702" t="s">
        <v>280</v>
      </c>
      <c r="B17" s="713" t="n">
        <v>4544841.0</v>
      </c>
      <c r="C17" s="714" t="n">
        <v>2646409.0</v>
      </c>
      <c r="D17" s="715" t="n">
        <v>5187000.0</v>
      </c>
      <c r="E17" s="713" t="n">
        <v>4200000.0</v>
      </c>
      <c r="F17" s="714" t="n">
        <v>4200000.0</v>
      </c>
      <c r="G17" s="715" t="n">
        <v>4200000.0</v>
      </c>
      <c r="H17" s="713" t="n">
        <v>3906000.0</v>
      </c>
      <c r="I17" s="714" t="n">
        <v>3612000.0</v>
      </c>
      <c r="J17" s="714" t="n">
        <v>3318000.0</v>
      </c>
      <c r="K17" s="714" t="n">
        <v>2898000.0</v>
      </c>
      <c r="L17" s="715" t="n">
        <v>2604000.0</v>
      </c>
    </row>
    <row r="18" spans="1:12">
      <c r="A18" s="743" t="s">
        <v>313</v>
      </c>
      <c r="B18" s="744" t="n">
        <v>706.0</v>
      </c>
      <c r="C18" s="745" t="n">
        <v>638.0</v>
      </c>
      <c r="D18" s="746" t="n">
        <v>640.0</v>
      </c>
      <c r="E18" s="744" t="n">
        <v>635.0</v>
      </c>
      <c r="F18" s="745" t="n">
        <v>635.0</v>
      </c>
      <c r="G18" s="746" t="n">
        <v>635.0</v>
      </c>
      <c r="H18" s="744" t="n">
        <v>609.0</v>
      </c>
      <c r="I18" s="745" t="n">
        <v>565.0</v>
      </c>
      <c r="J18" s="745" t="n">
        <v>524.0</v>
      </c>
      <c r="K18" s="745" t="n">
        <v>473.0</v>
      </c>
      <c r="L18" s="746" t="n">
        <v>423.0</v>
      </c>
    </row>
    <row r="19" spans="1:12">
      <c r="A19" s="706" t="s">
        <v>281</v>
      </c>
      <c r="B19" s="716" t="n">
        <v>0.0</v>
      </c>
      <c r="C19" s="717" t="n">
        <v>0.0</v>
      </c>
      <c r="D19" s="718" t="n">
        <v>0.0</v>
      </c>
      <c r="E19" s="716" t="n">
        <v>0.0</v>
      </c>
      <c r="F19" s="717" t="n">
        <v>0.0</v>
      </c>
      <c r="G19" s="718" t="n">
        <v>0.0</v>
      </c>
      <c r="H19" s="716" t="n">
        <v>0.0</v>
      </c>
      <c r="I19" s="717" t="n">
        <v>0.0</v>
      </c>
      <c r="J19" s="717" t="n">
        <v>0.0</v>
      </c>
      <c r="K19" s="717" t="n">
        <v>0.0</v>
      </c>
      <c r="L19" s="718" t="n">
        <v>0.0</v>
      </c>
    </row>
    <row r="20" spans="1:12">
      <c r="A20" s="743" t="s">
        <v>312</v>
      </c>
      <c r="B20" s="744" t="n">
        <v>0.0</v>
      </c>
      <c r="C20" s="745" t="n">
        <v>0.0</v>
      </c>
      <c r="D20" s="746" t="n">
        <v>0.0</v>
      </c>
      <c r="E20" s="744" t="n">
        <v>0.0</v>
      </c>
      <c r="F20" s="745" t="n">
        <v>0.0</v>
      </c>
      <c r="G20" s="746" t="n">
        <v>0.0</v>
      </c>
      <c r="H20" s="744" t="n">
        <v>0.0</v>
      </c>
      <c r="I20" s="745" t="n">
        <v>0.0</v>
      </c>
      <c r="J20" s="745" t="n">
        <v>0.0</v>
      </c>
      <c r="K20" s="745" t="n">
        <v>0.0</v>
      </c>
      <c r="L20" s="746" t="n">
        <v>0.0</v>
      </c>
    </row>
    <row r="21" spans="1:12">
      <c r="A21" s="704" t="s">
        <v>282</v>
      </c>
      <c r="B21" s="680" t="n">
        <v>14744.0</v>
      </c>
      <c r="C21" s="688" t="n">
        <v>0.0</v>
      </c>
      <c r="D21" s="684" t="n">
        <v>0.0</v>
      </c>
      <c r="E21" s="680" t="n">
        <v>10000.0</v>
      </c>
      <c r="F21" s="688" t="n">
        <v>10000.0</v>
      </c>
      <c r="G21" s="684" t="n">
        <v>10000.0</v>
      </c>
      <c r="H21" s="680" t="n">
        <v>0.0</v>
      </c>
      <c r="I21" s="688" t="n">
        <v>0.0</v>
      </c>
      <c r="J21" s="688" t="n">
        <v>0.0</v>
      </c>
      <c r="K21" s="688" t="n">
        <v>0.0</v>
      </c>
      <c r="L21" s="684" t="n">
        <v>0.0</v>
      </c>
    </row>
    <row r="22" spans="1:12">
      <c r="A22" s="704" t="s">
        <v>283</v>
      </c>
      <c r="B22" s="680" t="n">
        <v>0.0</v>
      </c>
      <c r="C22" s="688" t="n">
        <v>0.0</v>
      </c>
      <c r="D22" s="684" t="n">
        <v>25000.0</v>
      </c>
      <c r="E22" s="680" t="n">
        <v>20000.0</v>
      </c>
      <c r="F22" s="688" t="n">
        <v>20000.0</v>
      </c>
      <c r="G22" s="684" t="n">
        <v>20000.0</v>
      </c>
      <c r="H22" s="680" t="n">
        <v>27300.0</v>
      </c>
      <c r="I22" s="688" t="n">
        <v>28021.0</v>
      </c>
      <c r="J22" s="688" t="n">
        <v>26206.0</v>
      </c>
      <c r="K22" s="688" t="n">
        <v>23531.0</v>
      </c>
      <c r="L22" s="684" t="n">
        <v>21854.0</v>
      </c>
    </row>
    <row r="23" spans="1:12" ht="14.25" thickBot="1">
      <c r="A23" s="706" t="s">
        <v>284</v>
      </c>
      <c r="B23" s="682" t="n">
        <v>0.0</v>
      </c>
      <c r="C23" s="690" t="n">
        <v>0.0</v>
      </c>
      <c r="D23" s="686" t="n">
        <v>0.0</v>
      </c>
      <c r="E23" s="682" t="n">
        <v>0.0</v>
      </c>
      <c r="F23" s="690" t="n">
        <v>0.0</v>
      </c>
      <c r="G23" s="686" t="n">
        <v>0.0</v>
      </c>
      <c r="H23" s="682" t="n">
        <v>0.0</v>
      </c>
      <c r="I23" s="690" t="n">
        <v>0.0</v>
      </c>
      <c r="J23" s="690" t="n">
        <v>0.0</v>
      </c>
      <c r="K23" s="690" t="n">
        <v>0.0</v>
      </c>
      <c r="L23" s="686" t="n">
        <v>0.0</v>
      </c>
    </row>
    <row r="24" spans="1:12">
      <c r="A24" s="707" t="s">
        <v>285</v>
      </c>
      <c r="B24" s="679" t="n">
        <v>0.0</v>
      </c>
      <c r="C24" s="687" t="n">
        <v>0.0</v>
      </c>
      <c r="D24" s="683" t="n">
        <v>0.0</v>
      </c>
      <c r="E24" s="679" t="n">
        <v>0.0</v>
      </c>
      <c r="F24" s="687" t="n">
        <v>0.0</v>
      </c>
      <c r="G24" s="683" t="n">
        <v>0.0</v>
      </c>
      <c r="H24" s="679" t="n">
        <v>0.0</v>
      </c>
      <c r="I24" s="687" t="n">
        <v>0.0</v>
      </c>
      <c r="J24" s="687" t="n">
        <v>0.0</v>
      </c>
      <c r="K24" s="687" t="n">
        <v>0.0</v>
      </c>
      <c r="L24" s="683" t="n">
        <v>0.0</v>
      </c>
    </row>
    <row r="25" spans="1:12">
      <c r="A25" s="704" t="s">
        <v>286</v>
      </c>
      <c r="B25" s="680" t="n">
        <v>0.0</v>
      </c>
      <c r="C25" s="688" t="n">
        <v>0.0</v>
      </c>
      <c r="D25" s="684" t="n">
        <v>0.0</v>
      </c>
      <c r="E25" s="680" t="n">
        <v>0.0</v>
      </c>
      <c r="F25" s="688" t="n">
        <v>0.0</v>
      </c>
      <c r="G25" s="684" t="n">
        <v>0.0</v>
      </c>
      <c r="H25" s="680" t="n">
        <v>0.0</v>
      </c>
      <c r="I25" s="688" t="n">
        <v>0.0</v>
      </c>
      <c r="J25" s="688" t="n">
        <v>0.0</v>
      </c>
      <c r="K25" s="688" t="n">
        <v>0.0</v>
      </c>
      <c r="L25" s="684" t="n">
        <v>0.0</v>
      </c>
    </row>
    <row r="26" spans="1:12" ht="14.25" thickBot="1">
      <c r="A26" s="705" t="s">
        <v>287</v>
      </c>
      <c r="B26" s="681" t="n">
        <v>0.0</v>
      </c>
      <c r="C26" s="689" t="n">
        <v>0.0</v>
      </c>
      <c r="D26" s="685" t="n">
        <v>0.0</v>
      </c>
      <c r="E26" s="681" t="n">
        <v>0.0</v>
      </c>
      <c r="F26" s="689" t="n">
        <v>0.0</v>
      </c>
      <c r="G26" s="685" t="n">
        <v>0.0</v>
      </c>
      <c r="H26" s="681" t="n">
        <v>0.0</v>
      </c>
      <c r="I26" s="689" t="n">
        <v>0.0</v>
      </c>
      <c r="J26" s="689" t="n">
        <v>0.0</v>
      </c>
      <c r="K26" s="689" t="n">
        <v>0.0</v>
      </c>
      <c r="L26" s="685" t="n">
        <v>0.0</v>
      </c>
    </row>
    <row r="27" spans="1:12" ht="14.25" thickBot="1">
      <c r="A27" s="959" t="s">
        <v>288</v>
      </c>
      <c r="B27" s="960" t="n">
        <v>0.0</v>
      </c>
      <c r="C27" s="961" t="n">
        <v>0.0</v>
      </c>
      <c r="D27" s="962" t="n">
        <v>0.0</v>
      </c>
      <c r="E27" s="960" t="n">
        <v>0.0</v>
      </c>
      <c r="F27" s="961" t="n">
        <v>0.0</v>
      </c>
      <c r="G27" s="962" t="n">
        <v>0.0</v>
      </c>
      <c r="H27" s="960" t="n">
        <v>0.0</v>
      </c>
      <c r="I27" s="961" t="n">
        <v>0.0</v>
      </c>
      <c r="J27" s="961" t="n">
        <v>0.0</v>
      </c>
      <c r="K27" s="961" t="n">
        <v>0.0</v>
      </c>
      <c r="L27" s="962" t="n">
        <v>0.0</v>
      </c>
    </row>
    <row r="28" spans="1:12">
      <c r="A28" s="955" t="s">
        <v>367</v>
      </c>
      <c r="B28" s="956" t="n">
        <v>632700.0</v>
      </c>
      <c r="C28" s="957" t="n">
        <v>615942.0</v>
      </c>
      <c r="D28" s="958" t="n">
        <v>600000.0</v>
      </c>
      <c r="E28" s="956" t="n">
        <v>600000.0</v>
      </c>
      <c r="F28" s="957" t="n">
        <v>600000.0</v>
      </c>
      <c r="G28" s="958" t="n">
        <v>600000.0</v>
      </c>
      <c r="H28" s="956" t="n">
        <v>655211.0</v>
      </c>
      <c r="I28" s="957" t="n">
        <v>672506.0</v>
      </c>
      <c r="J28" s="957" t="n">
        <v>628936.0</v>
      </c>
      <c r="K28" s="957" t="n">
        <v>564745.0</v>
      </c>
      <c r="L28" s="958" t="n">
        <v>524501.0</v>
      </c>
    </row>
    <row r="29" spans="1:12" ht="14.25" thickBot="1">
      <c r="A29" s="705" t="s">
        <v>366</v>
      </c>
      <c r="B29" s="681" t="n">
        <v>8564.0</v>
      </c>
      <c r="C29" s="689" t="n">
        <v>49953.0</v>
      </c>
      <c r="D29" s="685" t="n">
        <v>105000.0</v>
      </c>
      <c r="E29" s="681" t="n">
        <v>60000.0</v>
      </c>
      <c r="F29" s="689" t="n">
        <v>60000.0</v>
      </c>
      <c r="G29" s="685" t="n">
        <v>60000.0</v>
      </c>
      <c r="H29" s="681" t="n">
        <v>114662.0</v>
      </c>
      <c r="I29" s="689" t="n">
        <v>117688.0</v>
      </c>
      <c r="J29" s="689" t="n">
        <v>110064.0</v>
      </c>
      <c r="K29" s="689" t="n">
        <v>98830.0</v>
      </c>
      <c r="L29" s="685" t="n">
        <v>91788.0</v>
      </c>
    </row>
    <row r="30" spans="1:12">
      <c r="A30" s="707" t="s">
        <v>289</v>
      </c>
      <c r="B30" s="679" t="n">
        <v>0.0</v>
      </c>
      <c r="C30" s="687" t="n">
        <v>0.0</v>
      </c>
      <c r="D30" s="683" t="n">
        <v>0.0</v>
      </c>
      <c r="E30" s="679" t="n">
        <v>0.0</v>
      </c>
      <c r="F30" s="687" t="n">
        <v>0.0</v>
      </c>
      <c r="G30" s="683" t="n">
        <v>0.0</v>
      </c>
      <c r="H30" s="679" t="n">
        <v>0.0</v>
      </c>
      <c r="I30" s="687" t="n">
        <v>0.0</v>
      </c>
      <c r="J30" s="687" t="n">
        <v>0.0</v>
      </c>
      <c r="K30" s="687" t="n">
        <v>0.0</v>
      </c>
      <c r="L30" s="683" t="n">
        <v>0.0</v>
      </c>
    </row>
    <row r="31" spans="1:12">
      <c r="A31" s="704" t="s">
        <v>290</v>
      </c>
      <c r="B31" s="680" t="n">
        <v>206536.0</v>
      </c>
      <c r="C31" s="688" t="n">
        <v>194330.0</v>
      </c>
      <c r="D31" s="684" t="n">
        <v>372000.0</v>
      </c>
      <c r="E31" s="680" t="n">
        <v>260000.0</v>
      </c>
      <c r="F31" s="688" t="n">
        <v>260000.0</v>
      </c>
      <c r="G31" s="684" t="n">
        <v>260000.0</v>
      </c>
      <c r="H31" s="680" t="n">
        <v>406231.0</v>
      </c>
      <c r="I31" s="688" t="n">
        <v>416953.0</v>
      </c>
      <c r="J31" s="688" t="n">
        <v>389940.0</v>
      </c>
      <c r="K31" s="688" t="n">
        <v>350142.0</v>
      </c>
      <c r="L31" s="684" t="n">
        <v>325191.0</v>
      </c>
    </row>
    <row r="32" spans="1:12">
      <c r="A32" s="704" t="s">
        <v>291</v>
      </c>
      <c r="B32" s="680" t="n">
        <v>3448613.0</v>
      </c>
      <c r="C32" s="688" t="n">
        <v>3716661.0</v>
      </c>
      <c r="D32" s="684" t="n">
        <v>4802000.0</v>
      </c>
      <c r="E32" s="680" t="n">
        <v>3989000.0</v>
      </c>
      <c r="F32" s="688" t="n">
        <v>3989000.0</v>
      </c>
      <c r="G32" s="684" t="n">
        <v>3989000.0</v>
      </c>
      <c r="H32" s="680" t="n">
        <v>5243869.0</v>
      </c>
      <c r="I32" s="688" t="n">
        <v>5382286.0</v>
      </c>
      <c r="J32" s="688" t="n">
        <v>5033582.0</v>
      </c>
      <c r="K32" s="688" t="n">
        <v>4519843.0</v>
      </c>
      <c r="L32" s="684" t="n">
        <v>4197757.0</v>
      </c>
    </row>
    <row r="33" spans="1:12">
      <c r="A33" s="704" t="s">
        <v>292</v>
      </c>
      <c r="B33" s="680" t="n">
        <v>0.0</v>
      </c>
      <c r="C33" s="688" t="n">
        <v>0.0</v>
      </c>
      <c r="D33" s="684" t="n">
        <v>0.0</v>
      </c>
      <c r="E33" s="680" t="n">
        <v>0.0</v>
      </c>
      <c r="F33" s="688" t="n">
        <v>0.0</v>
      </c>
      <c r="G33" s="684" t="n">
        <v>0.0</v>
      </c>
      <c r="H33" s="680" t="n">
        <v>0.0</v>
      </c>
      <c r="I33" s="688" t="n">
        <v>0.0</v>
      </c>
      <c r="J33" s="688" t="n">
        <v>0.0</v>
      </c>
      <c r="K33" s="688" t="n">
        <v>0.0</v>
      </c>
      <c r="L33" s="684" t="n">
        <v>0.0</v>
      </c>
    </row>
    <row r="34" spans="1:12">
      <c r="A34" s="704" t="s">
        <v>293</v>
      </c>
      <c r="B34" s="680" t="n">
        <v>0.0</v>
      </c>
      <c r="C34" s="688" t="n">
        <v>0.0</v>
      </c>
      <c r="D34" s="684" t="n">
        <v>0.0</v>
      </c>
      <c r="E34" s="680" t="n">
        <v>0.0</v>
      </c>
      <c r="F34" s="688" t="n">
        <v>0.0</v>
      </c>
      <c r="G34" s="684" t="n">
        <v>0.0</v>
      </c>
      <c r="H34" s="680" t="n">
        <v>0.0</v>
      </c>
      <c r="I34" s="688" t="n">
        <v>0.0</v>
      </c>
      <c r="J34" s="688" t="n">
        <v>0.0</v>
      </c>
      <c r="K34" s="688" t="n">
        <v>0.0</v>
      </c>
      <c r="L34" s="684" t="n">
        <v>0.0</v>
      </c>
    </row>
    <row r="35" spans="1:12" ht="14.25" thickBot="1">
      <c r="A35" s="705" t="s">
        <v>410</v>
      </c>
      <c r="B35" s="504"/>
      <c r="C35" s="840"/>
      <c r="D35" s="926"/>
      <c r="E35" s="681" t="n">
        <v>0.0</v>
      </c>
      <c r="F35" s="689" t="n">
        <v>0.0</v>
      </c>
      <c r="G35" s="685" t="n">
        <v>0.0</v>
      </c>
      <c r="H35" s="681" t="n">
        <v>0.0</v>
      </c>
      <c r="I35" s="689" t="n">
        <v>0.0</v>
      </c>
      <c r="J35" s="689" t="n">
        <v>0.0</v>
      </c>
      <c r="K35" s="689" t="n">
        <v>0.0</v>
      </c>
      <c r="L35" s="685" t="n">
        <v>0.0</v>
      </c>
    </row>
    <row r="36" spans="1:12" ht="20.25" customHeight="1" thickBot="1">
      <c r="L36" s="1006" t="s">
        <v>314</v>
      </c>
    </row>
    <row r="37" spans="1:12" ht="14.25" thickBot="1">
      <c r="A37" s="742" t="s">
        <v>317</v>
      </c>
      <c r="B37" s="1074" t="s">
        <v>414</v>
      </c>
      <c r="C37" s="1098"/>
      <c r="D37" s="1099"/>
      <c r="E37" s="1074" t="s">
        <v>425</v>
      </c>
      <c r="F37" s="1098"/>
      <c r="G37" s="1099"/>
      <c r="H37" s="1007" t="s">
        <v>421</v>
      </c>
      <c r="I37" s="1008" t="s">
        <v>422</v>
      </c>
      <c r="J37" s="1009" t="s">
        <v>423</v>
      </c>
      <c r="K37" s="1010" t="s">
        <v>424</v>
      </c>
      <c r="L37" s="1011" t="s">
        <v>420</v>
      </c>
    </row>
    <row r="38" spans="1:12" ht="14.25" thickBot="1">
      <c r="A38" s="693" t="s">
        <v>273</v>
      </c>
      <c r="B38" s="1004" t="s">
        <v>352</v>
      </c>
      <c r="C38" s="993" t="s">
        <v>351</v>
      </c>
      <c r="D38" s="1005" t="s">
        <v>348</v>
      </c>
      <c r="E38" s="1004" t="s">
        <v>426</v>
      </c>
      <c r="F38" s="993" t="s">
        <v>427</v>
      </c>
      <c r="G38" s="1005" t="s">
        <v>428</v>
      </c>
      <c r="H38" s="1012" t="s">
        <v>368</v>
      </c>
      <c r="I38" s="994" t="s">
        <v>371</v>
      </c>
      <c r="J38" s="1013" t="s">
        <v>374</v>
      </c>
      <c r="K38" s="1014" t="s">
        <v>377</v>
      </c>
      <c r="L38" s="1015" t="s">
        <v>380</v>
      </c>
    </row>
    <row r="39" spans="1:12">
      <c r="A39" s="707" t="s">
        <v>294</v>
      </c>
      <c r="B39" s="679" t="n">
        <v>1.1031753E7</v>
      </c>
      <c r="C39" s="691" t="n">
        <v>8308039.0</v>
      </c>
      <c r="D39" s="683" t="n">
        <v>8791803.0</v>
      </c>
      <c r="E39" s="679" t="n">
        <v>9300000.0</v>
      </c>
      <c r="F39" s="691" t="n">
        <v>9300000.0</v>
      </c>
      <c r="G39" s="683" t="n">
        <v>9300000.0</v>
      </c>
      <c r="H39" s="679" t="n">
        <v>8500273.0</v>
      </c>
      <c r="I39" s="691" t="n">
        <v>8008990.0</v>
      </c>
      <c r="J39" s="691" t="n">
        <v>7652675.0</v>
      </c>
      <c r="K39" s="687" t="n">
        <v>7123601.0</v>
      </c>
      <c r="L39" s="683" t="n">
        <v>6732194.0</v>
      </c>
    </row>
    <row r="40" spans="1:12" ht="14.25" thickBot="1">
      <c r="A40" s="708" t="s">
        <v>295</v>
      </c>
      <c r="B40" s="681" t="n">
        <v>4519729.0</v>
      </c>
      <c r="C40" s="692" t="n">
        <v>3612985.0</v>
      </c>
      <c r="D40" s="685" t="n">
        <v>7485000.0</v>
      </c>
      <c r="E40" s="681" t="n">
        <v>5200000.0</v>
      </c>
      <c r="F40" s="692" t="n">
        <v>5200000.0</v>
      </c>
      <c r="G40" s="685" t="n">
        <v>5200000.0</v>
      </c>
      <c r="H40" s="681" t="n">
        <v>7236802.0</v>
      </c>
      <c r="I40" s="692" t="n">
        <v>6818543.0</v>
      </c>
      <c r="J40" s="692" t="n">
        <v>6515190.0</v>
      </c>
      <c r="K40" s="689" t="n">
        <v>6064757.0</v>
      </c>
      <c r="L40" s="685" t="n">
        <v>5731529.0</v>
      </c>
    </row>
    <row r="41" spans="1:12" ht="20.25" customHeight="1" thickBot="1">
      <c r="E41" s="677"/>
      <c r="F41" s="677"/>
      <c r="G41" s="677"/>
      <c r="H41" s="677"/>
      <c r="I41" s="677"/>
      <c r="J41" s="677"/>
      <c r="K41" s="677"/>
      <c r="L41" s="1006" t="s">
        <v>314</v>
      </c>
    </row>
    <row r="42" spans="1:12" ht="14.25" thickBot="1">
      <c r="A42" s="742" t="s">
        <v>305</v>
      </c>
      <c r="B42" s="1074" t="s">
        <v>414</v>
      </c>
      <c r="C42" s="1098"/>
      <c r="D42" s="1099"/>
      <c r="E42" s="1074" t="s">
        <v>425</v>
      </c>
      <c r="F42" s="1098"/>
      <c r="G42" s="1099"/>
      <c r="H42" s="1007" t="s">
        <v>421</v>
      </c>
      <c r="I42" s="1008" t="s">
        <v>422</v>
      </c>
      <c r="J42" s="1009" t="s">
        <v>423</v>
      </c>
      <c r="K42" s="1010" t="s">
        <v>424</v>
      </c>
      <c r="L42" s="1011" t="s">
        <v>420</v>
      </c>
    </row>
    <row r="43" spans="1:12" ht="14.25" thickBot="1">
      <c r="A43" s="693" t="s">
        <v>273</v>
      </c>
      <c r="B43" s="1004" t="s">
        <v>352</v>
      </c>
      <c r="C43" s="993" t="s">
        <v>351</v>
      </c>
      <c r="D43" s="1005" t="s">
        <v>348</v>
      </c>
      <c r="E43" s="1004" t="s">
        <v>426</v>
      </c>
      <c r="F43" s="993" t="s">
        <v>427</v>
      </c>
      <c r="G43" s="1005" t="s">
        <v>428</v>
      </c>
      <c r="H43" s="1012" t="s">
        <v>368</v>
      </c>
      <c r="I43" s="994" t="s">
        <v>371</v>
      </c>
      <c r="J43" s="1013" t="s">
        <v>374</v>
      </c>
      <c r="K43" s="1014" t="s">
        <v>377</v>
      </c>
      <c r="L43" s="1015" t="s">
        <v>380</v>
      </c>
    </row>
    <row r="44" spans="1:12">
      <c r="A44" s="707" t="s">
        <v>296</v>
      </c>
      <c r="B44" s="679" t="n">
        <v>2242541.0</v>
      </c>
      <c r="C44" s="687" t="n">
        <v>2646068.0</v>
      </c>
      <c r="D44" s="683" t="n">
        <v>2616855.0</v>
      </c>
      <c r="E44" s="679" t="n">
        <v>2500000.0</v>
      </c>
      <c r="F44" s="687" t="n">
        <v>2500000.0</v>
      </c>
      <c r="G44" s="683" t="n">
        <v>2500000.0</v>
      </c>
      <c r="H44" s="679" t="n">
        <v>2616855.0</v>
      </c>
      <c r="I44" s="687" t="n">
        <v>2616855.0</v>
      </c>
      <c r="J44" s="687" t="n">
        <v>2616855.0</v>
      </c>
      <c r="K44" s="687" t="n">
        <v>2616855.0</v>
      </c>
      <c r="L44" s="683" t="n">
        <v>2616855.0</v>
      </c>
    </row>
    <row r="45" spans="1:12">
      <c r="A45" s="704" t="s">
        <v>297</v>
      </c>
      <c r="B45" s="680" t="n">
        <v>2254541.0</v>
      </c>
      <c r="C45" s="688" t="n">
        <v>2615701.0</v>
      </c>
      <c r="D45" s="684" t="n">
        <v>2593855.0</v>
      </c>
      <c r="E45" s="680" t="n">
        <v>2480000.0</v>
      </c>
      <c r="F45" s="688" t="n">
        <v>2480000.0</v>
      </c>
      <c r="G45" s="684" t="n">
        <v>2480000.0</v>
      </c>
      <c r="H45" s="680" t="n">
        <v>2593855.0</v>
      </c>
      <c r="I45" s="688" t="n">
        <v>2593855.0</v>
      </c>
      <c r="J45" s="688" t="n">
        <v>2593855.0</v>
      </c>
      <c r="K45" s="688" t="n">
        <v>2593855.0</v>
      </c>
      <c r="L45" s="684" t="n">
        <v>2593855.0</v>
      </c>
    </row>
    <row r="46" spans="1:12">
      <c r="A46" s="704" t="s">
        <v>298</v>
      </c>
      <c r="B46" s="680" t="n">
        <v>1451594.0</v>
      </c>
      <c r="C46" s="688" t="n">
        <v>1703079.0</v>
      </c>
      <c r="D46" s="684" t="n">
        <v>2362928.0</v>
      </c>
      <c r="E46" s="680" t="n">
        <v>1839000.0</v>
      </c>
      <c r="F46" s="688" t="n">
        <v>1839000.0</v>
      </c>
      <c r="G46" s="684" t="n">
        <v>1839000.0</v>
      </c>
      <c r="H46" s="680" t="n">
        <v>2362928.0</v>
      </c>
      <c r="I46" s="688" t="n">
        <v>2362928.0</v>
      </c>
      <c r="J46" s="688" t="n">
        <v>2362928.0</v>
      </c>
      <c r="K46" s="688" t="n">
        <v>2362928.0</v>
      </c>
      <c r="L46" s="684" t="n">
        <v>2362928.0</v>
      </c>
    </row>
    <row r="47" spans="1:12">
      <c r="A47" s="704" t="s">
        <v>299</v>
      </c>
      <c r="B47" s="680" t="n">
        <v>2110977.0</v>
      </c>
      <c r="C47" s="688" t="n">
        <v>2337705.0</v>
      </c>
      <c r="D47" s="684" t="n">
        <v>1941926.0</v>
      </c>
      <c r="E47" s="680" t="n">
        <v>2130000.0</v>
      </c>
      <c r="F47" s="688" t="n">
        <v>2130000.0</v>
      </c>
      <c r="G47" s="684" t="n">
        <v>2130000.0</v>
      </c>
      <c r="H47" s="680" t="n">
        <v>1941926.0</v>
      </c>
      <c r="I47" s="688" t="n">
        <v>1941926.0</v>
      </c>
      <c r="J47" s="688" t="n">
        <v>1941926.0</v>
      </c>
      <c r="K47" s="688" t="n">
        <v>1941926.0</v>
      </c>
      <c r="L47" s="684" t="n">
        <v>1941926.0</v>
      </c>
    </row>
    <row r="48" spans="1:12">
      <c r="A48" s="704" t="s">
        <v>321</v>
      </c>
      <c r="B48" s="680" t="n">
        <v>0.0</v>
      </c>
      <c r="C48" s="688" t="n">
        <v>0.0</v>
      </c>
      <c r="D48" s="684" t="n">
        <v>0.0</v>
      </c>
      <c r="E48" s="680" t="n">
        <v>0.0</v>
      </c>
      <c r="F48" s="688" t="n">
        <v>0.0</v>
      </c>
      <c r="G48" s="684" t="n">
        <v>0.0</v>
      </c>
      <c r="H48" s="680" t="n">
        <v>0.0</v>
      </c>
      <c r="I48" s="688" t="n">
        <v>0.0</v>
      </c>
      <c r="J48" s="688" t="n">
        <v>0.0</v>
      </c>
      <c r="K48" s="688" t="n">
        <v>0.0</v>
      </c>
      <c r="L48" s="684" t="n">
        <v>0.0</v>
      </c>
    </row>
    <row r="49" spans="1:12" ht="14.25" thickBot="1">
      <c r="A49" s="705" t="s">
        <v>300</v>
      </c>
      <c r="B49" s="681" t="n">
        <v>1081600.0</v>
      </c>
      <c r="C49" s="689" t="n">
        <v>1187860.0</v>
      </c>
      <c r="D49" s="685" t="n">
        <v>1405951.0</v>
      </c>
      <c r="E49" s="681" t="n">
        <v>1220000.0</v>
      </c>
      <c r="F49" s="689" t="n">
        <v>1220000.0</v>
      </c>
      <c r="G49" s="685" t="n">
        <v>1220000.0</v>
      </c>
      <c r="H49" s="681" t="n">
        <v>1405951.0</v>
      </c>
      <c r="I49" s="689" t="n">
        <v>1405951.0</v>
      </c>
      <c r="J49" s="689" t="n">
        <v>1405951.0</v>
      </c>
      <c r="K49" s="689" t="n">
        <v>1405951.0</v>
      </c>
      <c r="L49" s="685" t="n">
        <v>1405951.0</v>
      </c>
    </row>
    <row r="50" spans="1:12" ht="20.25" customHeight="1" thickBot="1">
      <c r="E50" s="677"/>
      <c r="F50" s="677"/>
      <c r="G50" s="677"/>
      <c r="H50" s="677"/>
      <c r="I50" s="677"/>
      <c r="J50" s="677"/>
      <c r="K50" s="677"/>
      <c r="L50" s="1006" t="s">
        <v>314</v>
      </c>
    </row>
    <row r="51" spans="1:12" ht="14.25" thickBot="1">
      <c r="A51" s="742" t="s">
        <v>406</v>
      </c>
      <c r="B51" s="1074" t="s">
        <v>414</v>
      </c>
      <c r="C51" s="1098"/>
      <c r="D51" s="1099"/>
      <c r="E51" s="1074" t="s">
        <v>425</v>
      </c>
      <c r="F51" s="1098"/>
      <c r="G51" s="1099"/>
      <c r="H51" s="1007" t="s">
        <v>421</v>
      </c>
      <c r="I51" s="1008" t="s">
        <v>422</v>
      </c>
      <c r="J51" s="1009" t="s">
        <v>423</v>
      </c>
      <c r="K51" s="1010" t="s">
        <v>424</v>
      </c>
      <c r="L51" s="1011" t="s">
        <v>420</v>
      </c>
    </row>
    <row r="52" spans="1:12" ht="14.25" thickBot="1">
      <c r="A52" s="693" t="s">
        <v>273</v>
      </c>
      <c r="B52" s="1004" t="s">
        <v>352</v>
      </c>
      <c r="C52" s="993" t="s">
        <v>351</v>
      </c>
      <c r="D52" s="1005" t="s">
        <v>348</v>
      </c>
      <c r="E52" s="1004" t="s">
        <v>426</v>
      </c>
      <c r="F52" s="993" t="s">
        <v>427</v>
      </c>
      <c r="G52" s="1005" t="s">
        <v>428</v>
      </c>
      <c r="H52" s="1012" t="s">
        <v>368</v>
      </c>
      <c r="I52" s="994" t="s">
        <v>371</v>
      </c>
      <c r="J52" s="1013" t="s">
        <v>374</v>
      </c>
      <c r="K52" s="1014" t="s">
        <v>377</v>
      </c>
      <c r="L52" s="1015" t="s">
        <v>380</v>
      </c>
    </row>
    <row r="53" spans="1:12" ht="14.25" thickBot="1">
      <c r="A53" s="959" t="s">
        <v>407</v>
      </c>
      <c r="B53" s="976"/>
      <c r="C53" s="977"/>
      <c r="D53" s="978"/>
      <c r="E53" s="965" t="n">
        <v>0.0</v>
      </c>
      <c r="F53" s="966" t="n">
        <v>0.0</v>
      </c>
      <c r="G53" s="967" t="n">
        <v>0.0</v>
      </c>
      <c r="H53" s="965" t="n">
        <v>0.0</v>
      </c>
      <c r="I53" s="966" t="n">
        <v>0.0</v>
      </c>
      <c r="J53" s="966" t="n">
        <v>0.0</v>
      </c>
      <c r="K53" s="966" t="n">
        <v>0.0</v>
      </c>
      <c r="L53" s="967" t="n">
        <v>0.0</v>
      </c>
    </row>
    <row r="54" spans="1:12" ht="20.25" customHeight="1" thickBot="1">
      <c r="E54" s="677"/>
      <c r="F54" s="677"/>
      <c r="G54" s="677"/>
      <c r="H54" s="677"/>
      <c r="I54" s="677"/>
      <c r="J54" s="677"/>
      <c r="K54" s="677"/>
      <c r="L54" s="1006" t="s">
        <v>314</v>
      </c>
    </row>
    <row r="55" spans="1:12" ht="14.25" thickBot="1">
      <c r="A55" s="742" t="s">
        <v>408</v>
      </c>
      <c r="B55" s="1074" t="s">
        <v>414</v>
      </c>
      <c r="C55" s="1098"/>
      <c r="D55" s="1099"/>
      <c r="E55" s="1074" t="s">
        <v>425</v>
      </c>
      <c r="F55" s="1098"/>
      <c r="G55" s="1099"/>
      <c r="H55" s="1007" t="s">
        <v>421</v>
      </c>
      <c r="I55" s="1008" t="s">
        <v>422</v>
      </c>
      <c r="J55" s="1009" t="s">
        <v>423</v>
      </c>
      <c r="K55" s="1010" t="s">
        <v>424</v>
      </c>
      <c r="L55" s="1011" t="s">
        <v>420</v>
      </c>
    </row>
    <row r="56" spans="1:12" ht="14.25" thickBot="1">
      <c r="A56" s="693" t="s">
        <v>273</v>
      </c>
      <c r="B56" s="1004" t="s">
        <v>352</v>
      </c>
      <c r="C56" s="993" t="s">
        <v>351</v>
      </c>
      <c r="D56" s="1005" t="s">
        <v>348</v>
      </c>
      <c r="E56" s="1004" t="s">
        <v>426</v>
      </c>
      <c r="F56" s="993" t="s">
        <v>427</v>
      </c>
      <c r="G56" s="1005" t="s">
        <v>428</v>
      </c>
      <c r="H56" s="1012" t="s">
        <v>368</v>
      </c>
      <c r="I56" s="994" t="s">
        <v>371</v>
      </c>
      <c r="J56" s="1013" t="s">
        <v>374</v>
      </c>
      <c r="K56" s="1014" t="s">
        <v>377</v>
      </c>
      <c r="L56" s="1015" t="s">
        <v>380</v>
      </c>
    </row>
    <row r="57" spans="1:12" ht="14.25" thickBot="1">
      <c r="A57" s="959" t="s">
        <v>396</v>
      </c>
      <c r="B57" s="976"/>
      <c r="C57" s="977"/>
      <c r="D57" s="978"/>
      <c r="E57" s="965" t="n">
        <v>0.0</v>
      </c>
      <c r="F57" s="966" t="n">
        <v>0.0</v>
      </c>
      <c r="G57" s="967" t="n">
        <v>0.0</v>
      </c>
      <c r="H57" s="965" t="n">
        <v>0.0</v>
      </c>
      <c r="I57" s="966" t="n">
        <v>0.0</v>
      </c>
      <c r="J57" s="966" t="n">
        <v>0.0</v>
      </c>
      <c r="K57" s="966" t="n">
        <v>0.0</v>
      </c>
      <c r="L57" s="967" t="n">
        <v>0.0</v>
      </c>
    </row>
    <row r="58" spans="1:12" ht="20.25" customHeight="1" thickBot="1">
      <c r="E58" s="677"/>
      <c r="F58" s="677"/>
      <c r="G58" s="677"/>
      <c r="H58" s="677"/>
      <c r="I58" s="677"/>
      <c r="J58" s="677"/>
      <c r="K58" s="677"/>
      <c r="L58" s="1006" t="s">
        <v>314</v>
      </c>
    </row>
    <row r="59" spans="1:12" ht="14.25" thickBot="1">
      <c r="A59" s="742" t="s">
        <v>409</v>
      </c>
      <c r="B59" s="1062" t="s">
        <v>414</v>
      </c>
      <c r="C59" s="1063"/>
      <c r="D59" s="1064"/>
      <c r="E59" s="1062" t="s">
        <v>425</v>
      </c>
      <c r="F59" s="1063"/>
      <c r="G59" s="1064"/>
      <c r="H59" s="1007" t="s">
        <v>421</v>
      </c>
      <c r="I59" s="1008" t="s">
        <v>422</v>
      </c>
      <c r="J59" s="1009" t="s">
        <v>423</v>
      </c>
      <c r="K59" s="1010" t="s">
        <v>424</v>
      </c>
      <c r="L59" s="1011" t="s">
        <v>420</v>
      </c>
    </row>
    <row r="60" spans="1:12" ht="14.25" thickBot="1">
      <c r="A60" s="693"/>
      <c r="B60" s="1004" t="s">
        <v>352</v>
      </c>
      <c r="C60" s="993" t="s">
        <v>351</v>
      </c>
      <c r="D60" s="1005" t="s">
        <v>348</v>
      </c>
      <c r="E60" s="1004" t="s">
        <v>426</v>
      </c>
      <c r="F60" s="993" t="s">
        <v>427</v>
      </c>
      <c r="G60" s="1005" t="s">
        <v>428</v>
      </c>
      <c r="H60" s="1012" t="s">
        <v>368</v>
      </c>
      <c r="I60" s="994" t="s">
        <v>371</v>
      </c>
      <c r="J60" s="1013" t="s">
        <v>374</v>
      </c>
      <c r="K60" s="1014" t="s">
        <v>377</v>
      </c>
      <c r="L60" s="1015" t="s">
        <v>380</v>
      </c>
    </row>
    <row r="61" spans="1:12">
      <c r="A61" s="707" t="s">
        <v>301</v>
      </c>
      <c r="B61" s="747" t="n">
        <f>SUM(B9,B11,B13:B17,B19,B21:B34)</f>
        <v>1.0592259E7</v>
      </c>
      <c r="C61" s="748" t="n">
        <f t="shared" ref="C61:D61" si="0">SUM(C9,C11,C13:C17,C19,C21:C34)</f>
        <v>1.0205696E7</v>
      </c>
      <c r="D61" s="749" t="n">
        <f t="shared" si="0"/>
        <v>1.4091E7</v>
      </c>
      <c r="E61" s="747" t="n">
        <f t="shared" ref="E61:L61" si="1">SUM(E9,E11,E13:E17,E19,E21:E35)</f>
        <v>1.1639E7</v>
      </c>
      <c r="F61" s="748" t="n">
        <f t="shared" si="1"/>
        <v>1.1639E7</v>
      </c>
      <c r="G61" s="749" t="n">
        <f t="shared" si="1"/>
        <v>1.1639E7</v>
      </c>
      <c r="H61" s="747" t="n">
        <f t="shared" si="1"/>
        <v>1.2770273E7</v>
      </c>
      <c r="I61" s="748" t="n">
        <f t="shared" si="1"/>
        <v>1.2523454E7</v>
      </c>
      <c r="J61" s="748" t="n">
        <f t="shared" si="1"/>
        <v>1.1625728E7</v>
      </c>
      <c r="K61" s="748" t="n">
        <f t="shared" si="1"/>
        <v>1.0308091E7</v>
      </c>
      <c r="L61" s="749" t="n">
        <f t="shared" si="1"/>
        <v>9435091.0</v>
      </c>
    </row>
    <row r="62" spans="1:12">
      <c r="A62" s="704" t="s">
        <v>318</v>
      </c>
      <c r="B62" s="750" t="n">
        <f t="shared" ref="B62:L62" si="2">SUM(B39:B40)</f>
        <v>1.5551482E7</v>
      </c>
      <c r="C62" s="751" t="n">
        <f t="shared" si="2"/>
        <v>1.1921024E7</v>
      </c>
      <c r="D62" s="752" t="n">
        <f t="shared" si="2"/>
        <v>1.6276803E7</v>
      </c>
      <c r="E62" s="750" t="n">
        <f t="shared" si="2"/>
        <v>1.45E7</v>
      </c>
      <c r="F62" s="751" t="n">
        <f t="shared" si="2"/>
        <v>1.45E7</v>
      </c>
      <c r="G62" s="752" t="n">
        <f t="shared" si="2"/>
        <v>1.45E7</v>
      </c>
      <c r="H62" s="750" t="n">
        <f t="shared" si="2"/>
        <v>1.5737075E7</v>
      </c>
      <c r="I62" s="751" t="n">
        <f t="shared" si="2"/>
        <v>1.4827533E7</v>
      </c>
      <c r="J62" s="751" t="n">
        <f t="shared" si="2"/>
        <v>1.4167865E7</v>
      </c>
      <c r="K62" s="751" t="n">
        <f t="shared" si="2"/>
        <v>1.3188358E7</v>
      </c>
      <c r="L62" s="752" t="n">
        <f t="shared" si="2"/>
        <v>1.2463723E7</v>
      </c>
    </row>
    <row r="63" spans="1:12">
      <c r="A63" s="704" t="s">
        <v>302</v>
      </c>
      <c r="B63" s="750" t="n">
        <f t="shared" ref="B63:L63" si="3">SUM(B44:B49)</f>
        <v>9141253.0</v>
      </c>
      <c r="C63" s="751" t="n">
        <f t="shared" si="3"/>
        <v>1.0490413E7</v>
      </c>
      <c r="D63" s="752" t="n">
        <f t="shared" si="3"/>
        <v>1.0921515E7</v>
      </c>
      <c r="E63" s="750" t="n">
        <f t="shared" si="3"/>
        <v>1.0169E7</v>
      </c>
      <c r="F63" s="751" t="n">
        <f t="shared" si="3"/>
        <v>1.0169E7</v>
      </c>
      <c r="G63" s="752" t="n">
        <f t="shared" si="3"/>
        <v>1.0169E7</v>
      </c>
      <c r="H63" s="750" t="n">
        <f t="shared" si="3"/>
        <v>1.0921515E7</v>
      </c>
      <c r="I63" s="751" t="n">
        <f t="shared" si="3"/>
        <v>1.0921515E7</v>
      </c>
      <c r="J63" s="751" t="n">
        <f t="shared" si="3"/>
        <v>1.0921515E7</v>
      </c>
      <c r="K63" s="751" t="n">
        <f t="shared" si="3"/>
        <v>1.0921515E7</v>
      </c>
      <c r="L63" s="752" t="n">
        <f t="shared" si="3"/>
        <v>1.0921515E7</v>
      </c>
    </row>
    <row r="64" spans="1:12">
      <c r="A64" s="704" t="s">
        <v>411</v>
      </c>
      <c r="B64" s="499"/>
      <c r="C64" s="839"/>
      <c r="D64" s="889"/>
      <c r="E64" s="750" t="n">
        <f t="shared" ref="E64:L64" si="4">SUM(E53)</f>
        <v>0.0</v>
      </c>
      <c r="F64" s="751" t="n">
        <f t="shared" si="4"/>
        <v>0.0</v>
      </c>
      <c r="G64" s="752" t="n">
        <f t="shared" si="4"/>
        <v>0.0</v>
      </c>
      <c r="H64" s="750" t="n">
        <f t="shared" si="4"/>
        <v>0.0</v>
      </c>
      <c r="I64" s="751" t="n">
        <f t="shared" si="4"/>
        <v>0.0</v>
      </c>
      <c r="J64" s="751" t="n">
        <f t="shared" si="4"/>
        <v>0.0</v>
      </c>
      <c r="K64" s="751" t="n">
        <f t="shared" si="4"/>
        <v>0.0</v>
      </c>
      <c r="L64" s="752" t="n">
        <f t="shared" si="4"/>
        <v>0.0</v>
      </c>
    </row>
    <row r="65" spans="1:12" ht="14.25" thickBot="1">
      <c r="A65" s="968" t="s">
        <v>397</v>
      </c>
      <c r="B65" s="979"/>
      <c r="C65" s="980"/>
      <c r="D65" s="981"/>
      <c r="E65" s="969" t="n">
        <f t="shared" ref="E65:L65" si="5">SUM(E57)</f>
        <v>0.0</v>
      </c>
      <c r="F65" s="970" t="n">
        <f t="shared" si="5"/>
        <v>0.0</v>
      </c>
      <c r="G65" s="971" t="n">
        <f t="shared" si="5"/>
        <v>0.0</v>
      </c>
      <c r="H65" s="969" t="n">
        <f t="shared" si="5"/>
        <v>0.0</v>
      </c>
      <c r="I65" s="970" t="n">
        <f t="shared" si="5"/>
        <v>0.0</v>
      </c>
      <c r="J65" s="970" t="n">
        <f t="shared" si="5"/>
        <v>0.0</v>
      </c>
      <c r="K65" s="970" t="n">
        <f t="shared" si="5"/>
        <v>0.0</v>
      </c>
      <c r="L65" s="971" t="n">
        <f t="shared" si="5"/>
        <v>0.0</v>
      </c>
    </row>
    <row r="66" spans="1:12" ht="14.25" thickBot="1">
      <c r="A66" s="708" t="s">
        <v>303</v>
      </c>
      <c r="B66" s="694" t="n">
        <f>SUM(B61:B65)</f>
        <v>3.5284994E7</v>
      </c>
      <c r="C66" s="696" t="n">
        <f t="shared" ref="C66:L66" si="6">SUM(C61:C65)</f>
        <v>3.2617133E7</v>
      </c>
      <c r="D66" s="695" t="n">
        <f t="shared" si="6"/>
        <v>4.1289318E7</v>
      </c>
      <c r="E66" s="694" t="n">
        <f t="shared" si="6"/>
        <v>3.6308E7</v>
      </c>
      <c r="F66" s="696" t="n">
        <f t="shared" si="6"/>
        <v>3.6308E7</v>
      </c>
      <c r="G66" s="695" t="n">
        <f t="shared" si="6"/>
        <v>3.6308E7</v>
      </c>
      <c r="H66" s="694" t="n">
        <f t="shared" si="6"/>
        <v>3.9428863E7</v>
      </c>
      <c r="I66" s="696" t="n">
        <f t="shared" si="6"/>
        <v>3.8272502E7</v>
      </c>
      <c r="J66" s="696" t="n">
        <f t="shared" si="6"/>
        <v>3.6715108E7</v>
      </c>
      <c r="K66" s="696" t="n">
        <f t="shared" si="6"/>
        <v>3.4417964E7</v>
      </c>
      <c r="L66" s="695" t="n">
        <f t="shared" si="6"/>
        <v>3.2820329E7</v>
      </c>
    </row>
    <row r="68" spans="1:12">
      <c r="A68" s="737" t="s">
        <v>316</v>
      </c>
    </row>
  </sheetData>
  <mergeCells count="12">
    <mergeCell ref="B51:D51"/>
    <mergeCell ref="E51:G51"/>
    <mergeCell ref="B55:D55"/>
    <mergeCell ref="E55:G55"/>
    <mergeCell ref="B59:D59"/>
    <mergeCell ref="E59:G59"/>
    <mergeCell ref="B7:D7"/>
    <mergeCell ref="E7:G7"/>
    <mergeCell ref="B37:D37"/>
    <mergeCell ref="E37:G37"/>
    <mergeCell ref="B42:D42"/>
    <mergeCell ref="E42:G42"/>
  </mergeCells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47" width="43.125" collapsed="false"/>
    <col min="2" max="4" customWidth="true" style="347" width="11.375" collapsed="false"/>
    <col min="5" max="11" style="347" width="9.0" collapsed="false"/>
    <col min="12" max="12" customWidth="true" style="347" width="10.125" collapsed="false"/>
    <col min="13" max="16384" style="347" width="9.0" collapsed="false"/>
  </cols>
  <sheetData>
    <row r="1" spans="1:12" ht="14.25">
      <c r="A1" s="346" t="s">
        <v>310</v>
      </c>
      <c r="C1" s="348"/>
      <c r="D1" s="349"/>
    </row>
    <row r="2" spans="1:12" ht="15" thickBot="1">
      <c r="A2" s="346"/>
      <c r="K2" s="348" t="s">
        <v>98</v>
      </c>
      <c r="L2" s="349" t="str">
        <f>'1_推計値サマリ'!T2</f>
        <v>2026/10/19</v>
      </c>
    </row>
    <row r="3" spans="1:12" ht="14.25" thickBot="1">
      <c r="I3" s="1081" t="s">
        <v>67</v>
      </c>
      <c r="J3" s="1082"/>
      <c r="K3" s="1095" t="str">
        <f>保険者名</f>
        <v>川崎町</v>
      </c>
      <c r="L3" s="1096"/>
    </row>
    <row r="4" spans="1:12" ht="14.25" thickBot="1">
      <c r="I4" s="1081" t="s">
        <v>68</v>
      </c>
      <c r="J4" s="1082"/>
      <c r="K4" s="1095" t="str">
        <f>保険者番号</f>
        <v>04324</v>
      </c>
      <c r="L4" s="1096"/>
    </row>
    <row r="5" spans="1:12" ht="31.5" customHeight="1" thickBot="1">
      <c r="I5" s="1083" t="s">
        <v>103</v>
      </c>
      <c r="J5" s="1084"/>
      <c r="K5" s="1095" t="str">
        <f>推計パターン名</f>
        <v>0911</v>
      </c>
      <c r="L5" s="1096"/>
    </row>
    <row r="6" spans="1:12">
      <c r="C6" s="348"/>
      <c r="D6" s="348"/>
    </row>
    <row r="7" spans="1:12" ht="14.25" thickBot="1">
      <c r="A7" s="347" t="s">
        <v>75</v>
      </c>
      <c r="C7" s="348"/>
      <c r="D7" s="348"/>
    </row>
    <row r="8" spans="1:12" ht="125.1" customHeight="1" thickBot="1">
      <c r="A8" s="1124" t="s">
        <v>263</v>
      </c>
      <c r="B8" s="1125"/>
      <c r="C8" s="1125"/>
      <c r="D8" s="1125"/>
      <c r="E8" s="1126"/>
      <c r="F8" s="1126"/>
      <c r="G8" s="1126"/>
      <c r="H8" s="1126"/>
      <c r="I8" s="1126"/>
      <c r="J8" s="1126"/>
      <c r="K8" s="1126"/>
      <c r="L8" s="1127"/>
    </row>
    <row r="9" spans="1:12" ht="27" customHeight="1" thickBot="1">
      <c r="A9" s="350" t="s">
        <v>113</v>
      </c>
      <c r="B9" s="351"/>
      <c r="C9" s="348"/>
      <c r="D9" s="348"/>
    </row>
    <row r="10" spans="1:12" ht="27" customHeight="1" thickBot="1">
      <c r="A10" s="352" t="s">
        <v>114</v>
      </c>
      <c r="B10" s="1134" t="s">
        <v>454</v>
      </c>
      <c r="C10" s="1135"/>
      <c r="D10" s="1135"/>
      <c r="E10" s="1135"/>
      <c r="F10" s="1135"/>
      <c r="G10" s="1135"/>
      <c r="H10" s="1135"/>
      <c r="I10" s="1135"/>
      <c r="J10" s="1135"/>
      <c r="K10" s="1135"/>
      <c r="L10" s="1136"/>
    </row>
    <row r="11" spans="1:12" ht="27" customHeight="1" thickBot="1">
      <c r="A11" s="352" t="s">
        <v>115</v>
      </c>
      <c r="B11" s="1134" t="s">
        <v>455</v>
      </c>
      <c r="C11" s="1135"/>
      <c r="D11" s="1135"/>
      <c r="E11" s="1135"/>
      <c r="F11" s="1135"/>
      <c r="G11" s="1135"/>
      <c r="H11" s="1135"/>
      <c r="I11" s="1135"/>
      <c r="J11" s="1135"/>
      <c r="K11" s="1135"/>
      <c r="L11" s="1136"/>
    </row>
    <row r="12" spans="1:12" ht="27" customHeight="1" thickBot="1">
      <c r="A12" s="350" t="s">
        <v>116</v>
      </c>
      <c r="B12" s="351"/>
      <c r="C12" s="348"/>
      <c r="D12" s="348"/>
    </row>
    <row r="13" spans="1:12" ht="23.25" customHeight="1" thickBot="1">
      <c r="A13" s="352" t="s">
        <v>101</v>
      </c>
      <c r="B13" s="1134" t="s">
        <v>456</v>
      </c>
      <c r="C13" s="1135"/>
      <c r="D13" s="1135"/>
      <c r="E13" s="1135"/>
      <c r="F13" s="1135"/>
      <c r="G13" s="1135"/>
      <c r="H13" s="1135"/>
      <c r="I13" s="1135"/>
      <c r="J13" s="1135"/>
      <c r="K13" s="1135"/>
      <c r="L13" s="1136"/>
    </row>
    <row r="14" spans="1:12" ht="23.25" customHeight="1" thickBot="1">
      <c r="A14" s="353"/>
      <c r="B14" s="1128" t="s">
        <v>244</v>
      </c>
      <c r="C14" s="1128"/>
      <c r="D14" s="1128"/>
      <c r="E14" s="1129"/>
      <c r="F14" s="1129"/>
      <c r="G14" s="1129"/>
      <c r="H14" s="1129"/>
      <c r="I14" s="1129"/>
      <c r="J14" s="1129"/>
      <c r="K14" s="1129"/>
      <c r="L14" s="1129"/>
    </row>
    <row r="15" spans="1:12" ht="23.25" customHeight="1" thickBot="1">
      <c r="A15" s="1132" t="s">
        <v>74</v>
      </c>
      <c r="B15" s="1130"/>
      <c r="C15" s="1130"/>
      <c r="D15" s="1130"/>
      <c r="E15" s="1131"/>
      <c r="F15" s="1131"/>
      <c r="G15" s="1131"/>
      <c r="H15" s="1131"/>
      <c r="I15" s="1131"/>
      <c r="J15" s="1131"/>
      <c r="K15" s="1131"/>
      <c r="L15" s="1131"/>
    </row>
    <row r="16" spans="1:12" ht="125.1" customHeight="1" thickBot="1">
      <c r="A16" s="1133"/>
      <c r="B16" s="1130"/>
      <c r="C16" s="1130"/>
      <c r="D16" s="1130"/>
      <c r="E16" s="1131"/>
      <c r="F16" s="1131"/>
      <c r="G16" s="1131"/>
      <c r="H16" s="1131"/>
      <c r="I16" s="1131"/>
      <c r="J16" s="1131"/>
      <c r="K16" s="1131"/>
      <c r="L16" s="1131"/>
    </row>
    <row r="17" spans="1:12" ht="23.25" customHeight="1" thickBot="1">
      <c r="A17" s="354"/>
      <c r="B17" s="1100" t="s">
        <v>92</v>
      </c>
      <c r="C17" s="1101"/>
      <c r="D17" s="1101"/>
      <c r="E17" s="1101"/>
      <c r="F17" s="1101"/>
      <c r="G17" s="1101"/>
      <c r="H17" s="1101"/>
      <c r="I17" s="1101"/>
      <c r="J17" s="1101"/>
      <c r="K17" s="1101"/>
      <c r="L17" s="1102"/>
    </row>
    <row r="18" spans="1:12" ht="125.1" customHeight="1" thickBot="1">
      <c r="A18" s="355" t="s">
        <v>240</v>
      </c>
      <c r="B18" s="1137"/>
      <c r="C18" s="1138"/>
      <c r="D18" s="1138"/>
      <c r="E18" s="1138"/>
      <c r="F18" s="1138"/>
      <c r="G18" s="1138"/>
      <c r="H18" s="1138"/>
      <c r="I18" s="1138"/>
      <c r="J18" s="1138"/>
      <c r="K18" s="1138"/>
      <c r="L18" s="1139"/>
    </row>
    <row r="19" spans="1:12" ht="27" customHeight="1" thickBot="1">
      <c r="A19" s="350" t="s">
        <v>241</v>
      </c>
      <c r="B19" s="351"/>
      <c r="C19" s="348"/>
      <c r="D19" s="348"/>
    </row>
    <row r="20" spans="1:12" ht="23.25" customHeight="1">
      <c r="A20" s="356" t="s">
        <v>100</v>
      </c>
      <c r="B20" s="1112" t="s">
        <v>456</v>
      </c>
      <c r="C20" s="1113"/>
      <c r="D20" s="1113"/>
      <c r="E20" s="1113"/>
      <c r="F20" s="1113"/>
      <c r="G20" s="1113"/>
      <c r="H20" s="1113"/>
      <c r="I20" s="1113"/>
      <c r="J20" s="1113"/>
      <c r="K20" s="1113"/>
      <c r="L20" s="1114"/>
    </row>
    <row r="21" spans="1:12" ht="23.25" customHeight="1" thickBot="1">
      <c r="A21" s="357" t="s">
        <v>102</v>
      </c>
      <c r="B21" s="1118" t="s">
        <v>457</v>
      </c>
      <c r="C21" s="1119"/>
      <c r="D21" s="1119"/>
      <c r="E21" s="1119"/>
      <c r="F21" s="1119"/>
      <c r="G21" s="1119"/>
      <c r="H21" s="1119"/>
      <c r="I21" s="1119"/>
      <c r="J21" s="1119"/>
      <c r="K21" s="1119"/>
      <c r="L21" s="1120"/>
    </row>
    <row r="22" spans="1:12" ht="23.25" customHeight="1" thickBot="1">
      <c r="A22" s="354"/>
      <c r="B22" s="1100" t="s">
        <v>117</v>
      </c>
      <c r="C22" s="1101"/>
      <c r="D22" s="1101"/>
      <c r="E22" s="1101"/>
      <c r="F22" s="1101"/>
      <c r="G22" s="1101"/>
      <c r="H22" s="1101"/>
      <c r="I22" s="1101"/>
      <c r="J22" s="1101"/>
      <c r="K22" s="1101"/>
      <c r="L22" s="1102"/>
    </row>
    <row r="23" spans="1:12" ht="125.1" customHeight="1" thickBot="1">
      <c r="A23" s="358" t="s">
        <v>118</v>
      </c>
      <c r="B23" s="1106"/>
      <c r="C23" s="1107"/>
      <c r="D23" s="1107"/>
      <c r="E23" s="1107"/>
      <c r="F23" s="1107"/>
      <c r="G23" s="1107"/>
      <c r="H23" s="1107"/>
      <c r="I23" s="1107"/>
      <c r="J23" s="1107"/>
      <c r="K23" s="1107"/>
      <c r="L23" s="1108"/>
    </row>
    <row r="24" spans="1:12" ht="23.25" customHeight="1" thickBot="1">
      <c r="A24" s="354"/>
      <c r="B24" s="1100" t="s">
        <v>242</v>
      </c>
      <c r="C24" s="1101"/>
      <c r="D24" s="1101"/>
      <c r="E24" s="1101"/>
      <c r="F24" s="1101"/>
      <c r="G24" s="1101"/>
      <c r="H24" s="1101"/>
      <c r="I24" s="1101"/>
      <c r="J24" s="1101"/>
      <c r="K24" s="1101"/>
      <c r="L24" s="1102"/>
    </row>
    <row r="25" spans="1:12" ht="125.1" customHeight="1" thickBot="1">
      <c r="A25" s="358" t="s">
        <v>245</v>
      </c>
      <c r="B25" s="1106"/>
      <c r="C25" s="1107"/>
      <c r="D25" s="1107"/>
      <c r="E25" s="1107"/>
      <c r="F25" s="1107"/>
      <c r="G25" s="1107"/>
      <c r="H25" s="1107"/>
      <c r="I25" s="1107"/>
      <c r="J25" s="1107"/>
      <c r="K25" s="1107"/>
      <c r="L25" s="1108"/>
    </row>
    <row r="26" spans="1:12" ht="23.25" customHeight="1" thickBot="1">
      <c r="A26" s="354"/>
      <c r="B26" s="1100" t="s">
        <v>92</v>
      </c>
      <c r="C26" s="1101"/>
      <c r="D26" s="1101"/>
      <c r="E26" s="1101"/>
      <c r="F26" s="1101"/>
      <c r="G26" s="1101"/>
      <c r="H26" s="1101"/>
      <c r="I26" s="1101"/>
      <c r="J26" s="1101"/>
      <c r="K26" s="1101"/>
      <c r="L26" s="1102"/>
    </row>
    <row r="27" spans="1:12" ht="125.1" customHeight="1">
      <c r="A27" s="358" t="s">
        <v>97</v>
      </c>
      <c r="B27" s="1106"/>
      <c r="C27" s="1107"/>
      <c r="D27" s="1107"/>
      <c r="E27" s="1107"/>
      <c r="F27" s="1107"/>
      <c r="G27" s="1107"/>
      <c r="H27" s="1107"/>
      <c r="I27" s="1107"/>
      <c r="J27" s="1107"/>
      <c r="K27" s="1107"/>
      <c r="L27" s="1108"/>
    </row>
    <row r="28" spans="1:12" ht="125.1" customHeight="1">
      <c r="A28" s="359" t="s">
        <v>96</v>
      </c>
      <c r="B28" s="1121"/>
      <c r="C28" s="1122"/>
      <c r="D28" s="1122"/>
      <c r="E28" s="1122"/>
      <c r="F28" s="1122"/>
      <c r="G28" s="1122"/>
      <c r="H28" s="1122"/>
      <c r="I28" s="1122"/>
      <c r="J28" s="1122"/>
      <c r="K28" s="1122"/>
      <c r="L28" s="1123"/>
    </row>
    <row r="29" spans="1:12" ht="125.1" customHeight="1" thickBot="1">
      <c r="A29" s="360" t="s">
        <v>95</v>
      </c>
      <c r="B29" s="1109"/>
      <c r="C29" s="1110"/>
      <c r="D29" s="1110"/>
      <c r="E29" s="1110"/>
      <c r="F29" s="1110"/>
      <c r="G29" s="1110"/>
      <c r="H29" s="1110"/>
      <c r="I29" s="1110"/>
      <c r="J29" s="1110"/>
      <c r="K29" s="1110"/>
      <c r="L29" s="1111"/>
    </row>
    <row r="30" spans="1:12" ht="27" customHeight="1" thickBot="1">
      <c r="A30" s="350" t="s">
        <v>236</v>
      </c>
      <c r="B30" s="351"/>
      <c r="C30" s="348"/>
      <c r="D30" s="348"/>
    </row>
    <row r="31" spans="1:12" ht="23.25" customHeight="1">
      <c r="A31" s="356" t="s">
        <v>100</v>
      </c>
      <c r="B31" s="1112" t="s">
        <v>456</v>
      </c>
      <c r="C31" s="1113"/>
      <c r="D31" s="1113"/>
      <c r="E31" s="1113"/>
      <c r="F31" s="1113"/>
      <c r="G31" s="1113"/>
      <c r="H31" s="1113"/>
      <c r="I31" s="1113"/>
      <c r="J31" s="1113"/>
      <c r="K31" s="1113"/>
      <c r="L31" s="1114"/>
    </row>
    <row r="32" spans="1:12" ht="23.25" customHeight="1">
      <c r="A32" s="361" t="s">
        <v>99</v>
      </c>
      <c r="B32" s="1115" t="s">
        <v>456</v>
      </c>
      <c r="C32" s="1116"/>
      <c r="D32" s="1116"/>
      <c r="E32" s="1116"/>
      <c r="F32" s="1116"/>
      <c r="G32" s="1116"/>
      <c r="H32" s="1116"/>
      <c r="I32" s="1116"/>
      <c r="J32" s="1116"/>
      <c r="K32" s="1116"/>
      <c r="L32" s="1117"/>
    </row>
    <row r="33" spans="1:12" ht="23.25" customHeight="1" thickBot="1">
      <c r="A33" s="357" t="s">
        <v>102</v>
      </c>
      <c r="B33" s="1118" t="s">
        <v>457</v>
      </c>
      <c r="C33" s="1119"/>
      <c r="D33" s="1119"/>
      <c r="E33" s="1119"/>
      <c r="F33" s="1119"/>
      <c r="G33" s="1119"/>
      <c r="H33" s="1119"/>
      <c r="I33" s="1119"/>
      <c r="J33" s="1119"/>
      <c r="K33" s="1119"/>
      <c r="L33" s="1120"/>
    </row>
    <row r="34" spans="1:12" ht="23.25" customHeight="1" thickBot="1">
      <c r="A34" s="354"/>
      <c r="B34" s="1100" t="s">
        <v>242</v>
      </c>
      <c r="C34" s="1101"/>
      <c r="D34" s="1101"/>
      <c r="E34" s="1101"/>
      <c r="F34" s="1101"/>
      <c r="G34" s="1101"/>
      <c r="H34" s="1101"/>
      <c r="I34" s="1101"/>
      <c r="J34" s="1101"/>
      <c r="K34" s="1101"/>
      <c r="L34" s="1102"/>
    </row>
    <row r="35" spans="1:12" ht="125.1" customHeight="1" thickBot="1">
      <c r="A35" s="362" t="s">
        <v>247</v>
      </c>
      <c r="B35" s="1103"/>
      <c r="C35" s="1104"/>
      <c r="D35" s="1104"/>
      <c r="E35" s="1104"/>
      <c r="F35" s="1104"/>
      <c r="G35" s="1104"/>
      <c r="H35" s="1104"/>
      <c r="I35" s="1104"/>
      <c r="J35" s="1104"/>
      <c r="K35" s="1104"/>
      <c r="L35" s="1105"/>
    </row>
    <row r="36" spans="1:12" ht="23.25" customHeight="1" thickBot="1">
      <c r="A36" s="354"/>
      <c r="B36" s="1100" t="s">
        <v>243</v>
      </c>
      <c r="C36" s="1101"/>
      <c r="D36" s="1101"/>
      <c r="E36" s="1101"/>
      <c r="F36" s="1101"/>
      <c r="G36" s="1101"/>
      <c r="H36" s="1101"/>
      <c r="I36" s="1101"/>
      <c r="J36" s="1101"/>
      <c r="K36" s="1101"/>
      <c r="L36" s="1102"/>
    </row>
    <row r="37" spans="1:12" ht="125.1" customHeight="1" thickBot="1">
      <c r="A37" s="362" t="s">
        <v>248</v>
      </c>
      <c r="B37" s="1103"/>
      <c r="C37" s="1104"/>
      <c r="D37" s="1104"/>
      <c r="E37" s="1104"/>
      <c r="F37" s="1104"/>
      <c r="G37" s="1104"/>
      <c r="H37" s="1104"/>
      <c r="I37" s="1104"/>
      <c r="J37" s="1104"/>
      <c r="K37" s="1104"/>
      <c r="L37" s="1105"/>
    </row>
    <row r="38" spans="1:12" ht="23.25" customHeight="1" thickBot="1">
      <c r="A38" s="354"/>
      <c r="B38" s="1100" t="s">
        <v>117</v>
      </c>
      <c r="C38" s="1101"/>
      <c r="D38" s="1101"/>
      <c r="E38" s="1101"/>
      <c r="F38" s="1101"/>
      <c r="G38" s="1101"/>
      <c r="H38" s="1101"/>
      <c r="I38" s="1101"/>
      <c r="J38" s="1101"/>
      <c r="K38" s="1101"/>
      <c r="L38" s="1102"/>
    </row>
    <row r="39" spans="1:12" ht="125.1" customHeight="1" thickBot="1">
      <c r="A39" s="362" t="s">
        <v>246</v>
      </c>
      <c r="B39" s="1103"/>
      <c r="C39" s="1104"/>
      <c r="D39" s="1104"/>
      <c r="E39" s="1104"/>
      <c r="F39" s="1104"/>
      <c r="G39" s="1104"/>
      <c r="H39" s="1104"/>
      <c r="I39" s="1104"/>
      <c r="J39" s="1104"/>
      <c r="K39" s="1104"/>
      <c r="L39" s="1105"/>
    </row>
    <row r="40" spans="1:12" ht="23.25" customHeight="1" thickBot="1">
      <c r="A40" s="354"/>
      <c r="B40" s="1100" t="s">
        <v>92</v>
      </c>
      <c r="C40" s="1101"/>
      <c r="D40" s="1101"/>
      <c r="E40" s="1101"/>
      <c r="F40" s="1101"/>
      <c r="G40" s="1101"/>
      <c r="H40" s="1101"/>
      <c r="I40" s="1101"/>
      <c r="J40" s="1101"/>
      <c r="K40" s="1101"/>
      <c r="L40" s="1102"/>
    </row>
    <row r="41" spans="1:12" ht="125.1" customHeight="1">
      <c r="A41" s="362" t="s">
        <v>249</v>
      </c>
      <c r="B41" s="1103"/>
      <c r="C41" s="1104"/>
      <c r="D41" s="1104"/>
      <c r="E41" s="1104"/>
      <c r="F41" s="1104"/>
      <c r="G41" s="1104"/>
      <c r="H41" s="1104"/>
      <c r="I41" s="1104"/>
      <c r="J41" s="1104"/>
      <c r="K41" s="1104"/>
      <c r="L41" s="1105"/>
    </row>
    <row r="42" spans="1:12" ht="125.1" customHeight="1" thickBot="1">
      <c r="A42" s="363" t="s">
        <v>250</v>
      </c>
      <c r="B42" s="1109"/>
      <c r="C42" s="1110"/>
      <c r="D42" s="1110"/>
      <c r="E42" s="1110"/>
      <c r="F42" s="1110"/>
      <c r="G42" s="1110"/>
      <c r="H42" s="1110"/>
      <c r="I42" s="1110"/>
      <c r="J42" s="1110"/>
      <c r="K42" s="1110"/>
      <c r="L42" s="1111"/>
    </row>
    <row r="43" spans="1:12" ht="27" customHeight="1" thickBot="1">
      <c r="A43" s="350" t="s">
        <v>308</v>
      </c>
    </row>
    <row r="44" spans="1:12" ht="23.25" customHeight="1" thickBot="1">
      <c r="A44" s="354"/>
      <c r="B44" s="1100" t="s">
        <v>92</v>
      </c>
      <c r="C44" s="1101"/>
      <c r="D44" s="1101"/>
      <c r="E44" s="1101"/>
      <c r="F44" s="1101"/>
      <c r="G44" s="1101"/>
      <c r="H44" s="1101"/>
      <c r="I44" s="1101"/>
      <c r="J44" s="1101"/>
      <c r="K44" s="1101"/>
      <c r="L44" s="1102"/>
    </row>
    <row r="45" spans="1:12" ht="125.1" customHeight="1">
      <c r="A45" s="835" t="s">
        <v>307</v>
      </c>
      <c r="B45" s="1103"/>
      <c r="C45" s="1104"/>
      <c r="D45" s="1104"/>
      <c r="E45" s="1104"/>
      <c r="F45" s="1104"/>
      <c r="G45" s="1104"/>
      <c r="H45" s="1104"/>
      <c r="I45" s="1104"/>
      <c r="J45" s="1104"/>
      <c r="K45" s="1104"/>
      <c r="L45" s="1105"/>
    </row>
    <row r="46" spans="1:12" ht="27" customHeight="1" thickBot="1">
      <c r="A46" s="350" t="s">
        <v>320</v>
      </c>
      <c r="B46" s="351"/>
      <c r="C46" s="348"/>
      <c r="D46" s="348"/>
    </row>
    <row r="47" spans="1:12" ht="125.1" customHeight="1">
      <c r="A47" s="362" t="s">
        <v>239</v>
      </c>
      <c r="B47" s="1103"/>
      <c r="C47" s="1104"/>
      <c r="D47" s="1104"/>
      <c r="E47" s="1104"/>
      <c r="F47" s="1104"/>
      <c r="G47" s="1104"/>
      <c r="H47" s="1104"/>
      <c r="I47" s="1104"/>
      <c r="J47" s="1104"/>
      <c r="K47" s="1104"/>
      <c r="L47" s="1105"/>
    </row>
    <row r="52" spans="2:2">
      <c r="B52" s="351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83"/>
  <sheetViews>
    <sheetView zoomScale="85" zoomScaleNormal="85" zoomScaleSheetLayoutView="80" workbookViewId="0"/>
  </sheetViews>
  <sheetFormatPr defaultColWidth="9" defaultRowHeight="13.5"/>
  <cols>
    <col min="1" max="2" customWidth="true" style="187" width="2.625" collapsed="false"/>
    <col min="3" max="3" customWidth="true" style="187" width="15.625" collapsed="false"/>
    <col min="4" max="4" customWidth="true" style="187" width="21.125" collapsed="false"/>
    <col min="5" max="5" customWidth="true" style="187" width="20.25" collapsed="false"/>
    <col min="6" max="6" customWidth="true" style="187" width="17.0" collapsed="false"/>
    <col min="7" max="16" customWidth="true" style="187" width="14.625" collapsed="false"/>
    <col min="17" max="17" customWidth="true" style="187" width="14.5" collapsed="false"/>
    <col min="18" max="18" customWidth="true" style="187" width="2.875" collapsed="false"/>
    <col min="19" max="16384" style="187" width="9.0" collapsed="false"/>
  </cols>
  <sheetData>
    <row r="1" spans="1:17" ht="14.25">
      <c r="A1" s="699" t="s">
        <v>311</v>
      </c>
      <c r="B1" s="186"/>
      <c r="C1" s="726"/>
      <c r="D1" s="726"/>
      <c r="E1" s="726"/>
      <c r="F1" s="726"/>
      <c r="G1" s="726"/>
      <c r="H1" s="726"/>
    </row>
    <row r="2" spans="1:17" ht="15" thickBot="1">
      <c r="A2" s="188"/>
      <c r="J2" s="189"/>
    </row>
    <row r="3" spans="1:17" ht="14.25" thickBot="1">
      <c r="B3" s="190"/>
      <c r="P3" s="725" t="s">
        <v>67</v>
      </c>
      <c r="Q3" s="191" t="str">
        <f>保険者名</f>
        <v>川崎町</v>
      </c>
    </row>
    <row r="4" spans="1:17" ht="14.25" thickBot="1">
      <c r="B4" s="190"/>
      <c r="P4" s="616" t="s">
        <v>68</v>
      </c>
      <c r="Q4" s="192" t="str">
        <f>保険者番号</f>
        <v>04324</v>
      </c>
    </row>
    <row r="5" spans="1:17" ht="14.25" thickBot="1">
      <c r="B5" s="190"/>
      <c r="P5" s="193" t="s">
        <v>103</v>
      </c>
      <c r="Q5" s="194" t="str">
        <f>推計パターン名</f>
        <v>0911</v>
      </c>
    </row>
    <row r="6" spans="1:17">
      <c r="B6" s="190"/>
    </row>
    <row r="7" spans="1:17" ht="14.25" thickBot="1">
      <c r="A7" s="195" t="s">
        <v>341</v>
      </c>
      <c r="B7" s="190"/>
    </row>
    <row r="8" spans="1:17" ht="14.25" thickBot="1">
      <c r="A8" s="196" t="s">
        <v>342</v>
      </c>
      <c r="B8" s="197"/>
      <c r="C8" s="197"/>
      <c r="D8" s="197"/>
      <c r="E8" s="197"/>
      <c r="F8" s="671" t="n">
        <v>6508.33057624376</v>
      </c>
      <c r="G8" s="189"/>
    </row>
    <row r="9" spans="1:17" ht="14.25" thickBot="1">
      <c r="G9" s="189"/>
      <c r="H9" s="189"/>
      <c r="I9" s="189"/>
      <c r="J9" s="189"/>
    </row>
    <row r="10" spans="1:17" ht="14.25" thickBot="1">
      <c r="A10" s="195" t="s">
        <v>131</v>
      </c>
      <c r="B10" s="198"/>
      <c r="C10" s="198"/>
      <c r="D10" s="198"/>
      <c r="E10" s="198"/>
      <c r="F10" s="1144" t="s">
        <v>336</v>
      </c>
      <c r="G10" s="1009" t="s">
        <v>421</v>
      </c>
      <c r="H10" s="1008" t="s">
        <v>422</v>
      </c>
      <c r="I10" s="1009" t="s">
        <v>423</v>
      </c>
      <c r="J10" s="1010" t="s">
        <v>424</v>
      </c>
      <c r="K10" s="1011" t="s">
        <v>420</v>
      </c>
    </row>
    <row r="11" spans="1:17" ht="14.25" thickBot="1">
      <c r="A11" s="199"/>
      <c r="B11" s="200"/>
      <c r="C11" s="200"/>
      <c r="D11" s="200"/>
      <c r="E11" s="200"/>
      <c r="F11" s="1155"/>
      <c r="G11" s="1013" t="s">
        <v>368</v>
      </c>
      <c r="H11" s="994" t="s">
        <v>371</v>
      </c>
      <c r="I11" s="1013" t="s">
        <v>374</v>
      </c>
      <c r="J11" s="1014" t="s">
        <v>377</v>
      </c>
      <c r="K11" s="1015" t="s">
        <v>380</v>
      </c>
    </row>
    <row r="12" spans="1:17">
      <c r="A12" s="201" t="s">
        <v>229</v>
      </c>
      <c r="B12" s="202"/>
      <c r="C12" s="202"/>
      <c r="D12" s="202"/>
      <c r="E12" s="202"/>
      <c r="F12" s="928" t="n">
        <f>F105/F106/F254/12</f>
        <v>7146.900155107335</v>
      </c>
      <c r="G12" s="656" t="n">
        <f>J105/J106/J254/12</f>
        <v>8262.772657879574</v>
      </c>
      <c r="H12" s="656" t="n">
        <f>K105/K106/K254/12</f>
        <v>8925.379525714014</v>
      </c>
      <c r="I12" s="656" t="n">
        <f>L105/L106/L254/12</f>
        <v>9207.087123666422</v>
      </c>
      <c r="J12" s="656" t="n">
        <f>M105/M106/M254/12</f>
        <v>9635.879191402333</v>
      </c>
      <c r="K12" s="879" t="n">
        <f>N105/N106/N254/12</f>
        <v>10180.306402733697</v>
      </c>
    </row>
    <row r="13" spans="1:17">
      <c r="A13" s="203" t="s">
        <v>132</v>
      </c>
      <c r="B13" s="202"/>
      <c r="C13" s="202"/>
      <c r="D13" s="202"/>
      <c r="E13" s="202"/>
      <c r="F13" s="929" t="n">
        <f>(F105+F15)/F106/F254/12-F12</f>
        <v>0.0</v>
      </c>
      <c r="G13" s="656" t="n">
        <f>(J105+G15)/J106/J254/12-G12</f>
        <v>0.0</v>
      </c>
      <c r="H13" s="656" t="n">
        <f>(K105+H15)/K106/K254/12-H12</f>
        <v>0.0</v>
      </c>
      <c r="I13" s="656" t="n">
        <f>(L105+I15)/L106/L254/12-I12</f>
        <v>0.0</v>
      </c>
      <c r="J13" s="656" t="n">
        <f>(M105+J15)/M106/M254/12-J12</f>
        <v>0.0</v>
      </c>
      <c r="K13" s="880" t="n">
        <f>(N105+K15)/N106/N254/12-K12</f>
        <v>0.0</v>
      </c>
    </row>
    <row r="14" spans="1:17">
      <c r="A14" s="204"/>
      <c r="B14" s="205" t="s">
        <v>133</v>
      </c>
      <c r="C14" s="205"/>
      <c r="D14" s="205"/>
      <c r="E14" s="205"/>
      <c r="F14" s="934" t="n">
        <v>1.525E8</v>
      </c>
      <c r="G14" s="631" t="n">
        <v>0.0</v>
      </c>
      <c r="H14" s="755" t="n">
        <v>0.0</v>
      </c>
      <c r="I14" s="755" t="n">
        <v>0.0</v>
      </c>
      <c r="J14" s="755" t="n">
        <v>0.0</v>
      </c>
      <c r="K14" s="756" t="n">
        <v>0.0</v>
      </c>
    </row>
    <row r="15" spans="1:17">
      <c r="A15" s="204"/>
      <c r="B15" s="205" t="s">
        <v>134</v>
      </c>
      <c r="C15" s="205"/>
      <c r="D15" s="205"/>
      <c r="E15" s="205"/>
      <c r="F15" s="934" t="n">
        <v>0.0</v>
      </c>
      <c r="G15" s="631" t="n">
        <v>0.0</v>
      </c>
      <c r="H15" s="755" t="n">
        <v>0.0</v>
      </c>
      <c r="I15" s="755" t="n">
        <v>0.0</v>
      </c>
      <c r="J15" s="755" t="n">
        <v>0.0</v>
      </c>
      <c r="K15" s="756" t="n">
        <v>0.0</v>
      </c>
    </row>
    <row r="16" spans="1:17">
      <c r="A16" s="206"/>
      <c r="B16" s="202" t="s">
        <v>135</v>
      </c>
      <c r="C16" s="202"/>
      <c r="D16" s="202"/>
      <c r="E16" s="202"/>
      <c r="F16" s="930" t="n">
        <f>IF(F14=0,0, F15/F14)</f>
        <v>0.0</v>
      </c>
      <c r="G16" s="657" t="n">
        <f>IF(G14=0,0,G15/G14)</f>
        <v>0.0</v>
      </c>
      <c r="H16" s="757" t="n">
        <f>IF(H14=0,0,H15/H14)</f>
        <v>0.0</v>
      </c>
      <c r="I16" s="757" t="n">
        <f>IF(I14=0,0,I15/I14)</f>
        <v>0.0</v>
      </c>
      <c r="J16" s="757" t="n">
        <f>IF(J14=0,0,J15/J14)</f>
        <v>0.0</v>
      </c>
      <c r="K16" s="758" t="n">
        <f>IF(K14=0,0,K15/K14)</f>
        <v>0.0</v>
      </c>
    </row>
    <row r="17" spans="1:14">
      <c r="A17" s="203" t="s">
        <v>136</v>
      </c>
      <c r="B17" s="202"/>
      <c r="C17" s="202"/>
      <c r="D17" s="202"/>
      <c r="E17" s="202"/>
      <c r="F17" s="929" t="n">
        <f>F12-(F105-F18)/F106/F254/12</f>
        <v>0.0</v>
      </c>
      <c r="G17" s="656" t="n">
        <f>G12-(J105-G18)/J106/J254/12</f>
        <v>0.0</v>
      </c>
      <c r="H17" s="753" t="n">
        <f>H12-(K105-H18)/K106/K254/12</f>
        <v>0.0</v>
      </c>
      <c r="I17" s="753" t="n">
        <f>I12-(L105-I18)/L106/L254/12</f>
        <v>0.0</v>
      </c>
      <c r="J17" s="753" t="n">
        <f>J12-(M105-J18)/M106/M254/12</f>
        <v>0.0</v>
      </c>
      <c r="K17" s="754" t="n">
        <f>K12-(N105-K18)/N106/N254/12</f>
        <v>0.0</v>
      </c>
    </row>
    <row r="18" spans="1:14">
      <c r="A18" s="204"/>
      <c r="B18" s="202" t="s">
        <v>137</v>
      </c>
      <c r="C18" s="202"/>
      <c r="D18" s="202"/>
      <c r="E18" s="202"/>
      <c r="F18" s="929" t="n">
        <f>(F68+F86)*F19</f>
        <v>0.0</v>
      </c>
      <c r="G18" s="656" t="n">
        <f>(J68+J86)*G19</f>
        <v>0.0</v>
      </c>
      <c r="H18" s="753" t="n">
        <f>(K68+K86)*H19</f>
        <v>0.0</v>
      </c>
      <c r="I18" s="753" t="n">
        <f>(L68+L86)*I19</f>
        <v>0.0</v>
      </c>
      <c r="J18" s="753" t="n">
        <f>(M68+M86)*J19</f>
        <v>0.0</v>
      </c>
      <c r="K18" s="754" t="n">
        <f>(N68+N86)*K19</f>
        <v>0.0</v>
      </c>
    </row>
    <row r="19" spans="1:14">
      <c r="A19" s="206"/>
      <c r="B19" s="205" t="s">
        <v>138</v>
      </c>
      <c r="C19" s="205"/>
      <c r="D19" s="205"/>
      <c r="E19" s="205"/>
      <c r="F19" s="935" t="n">
        <v>0.0</v>
      </c>
      <c r="G19" s="660" t="n">
        <v>0.0</v>
      </c>
      <c r="H19" s="759" t="n">
        <v>0.0</v>
      </c>
      <c r="I19" s="759" t="n">
        <v>0.0</v>
      </c>
      <c r="J19" s="759" t="n">
        <v>0.0</v>
      </c>
      <c r="K19" s="887" t="n">
        <v>0.0</v>
      </c>
    </row>
    <row r="20" spans="1:14">
      <c r="A20" s="203" t="s">
        <v>139</v>
      </c>
      <c r="B20" s="202"/>
      <c r="C20" s="202"/>
      <c r="D20" s="202"/>
      <c r="E20" s="202"/>
      <c r="F20" s="929" t="n">
        <f>F12-(F105-F21)/F106/F254/12</f>
        <v>0.0</v>
      </c>
      <c r="G20" s="656" t="n">
        <f>G12-(J105-G21)/J106/J254/12</f>
        <v>0.0</v>
      </c>
      <c r="H20" s="753" t="n">
        <f>H12-(K105-H21)/K106/K254/12</f>
        <v>0.0</v>
      </c>
      <c r="I20" s="753" t="n">
        <f>I12-(L105-I21)/L106/L254/12</f>
        <v>0.0</v>
      </c>
      <c r="J20" s="753" t="n">
        <f>J12-(M105-J21)/M106/M254/12</f>
        <v>0.0</v>
      </c>
      <c r="K20" s="754" t="n">
        <f>K12-(N105-K21)/N106/N254/12</f>
        <v>0.0</v>
      </c>
    </row>
    <row r="21" spans="1:14">
      <c r="A21" s="207"/>
      <c r="B21" s="208" t="s">
        <v>140</v>
      </c>
      <c r="C21" s="205"/>
      <c r="D21" s="205"/>
      <c r="E21" s="205"/>
      <c r="F21" s="936" t="n">
        <v>0.0</v>
      </c>
      <c r="G21" s="631" t="n">
        <v>0.0</v>
      </c>
      <c r="H21" s="755" t="n">
        <v>0.0</v>
      </c>
      <c r="I21" s="755" t="n">
        <v>0.0</v>
      </c>
      <c r="J21" s="755" t="n">
        <v>0.0</v>
      </c>
      <c r="K21" s="756" t="n">
        <v>0.0</v>
      </c>
    </row>
    <row r="22" spans="1:14" ht="14.25" thickBot="1">
      <c r="A22" s="209" t="s">
        <v>343</v>
      </c>
      <c r="B22" s="210"/>
      <c r="C22" s="210"/>
      <c r="D22" s="210"/>
      <c r="E22" s="210"/>
      <c r="F22" s="932" t="n">
        <f>F12/$F$8-1</f>
        <v>0.09811572589665851</v>
      </c>
      <c r="G22" s="659" t="n">
        <f t="shared" ref="G22:K22" si="0">G12/ROUND($F$8,0)-1</f>
        <v>0.26963316808229476</v>
      </c>
      <c r="H22" s="760" t="n">
        <f t="shared" si="0"/>
        <v>0.37144737641579795</v>
      </c>
      <c r="I22" s="760" t="n">
        <f t="shared" si="0"/>
        <v>0.41473373135624203</v>
      </c>
      <c r="J22" s="760" t="n">
        <f t="shared" si="0"/>
        <v>0.480620650184747</v>
      </c>
      <c r="K22" s="761" t="n">
        <f t="shared" si="0"/>
        <v>0.5642757226081279</v>
      </c>
    </row>
    <row r="23" spans="1:14" ht="14.25" thickBot="1"/>
    <row r="24" spans="1:14" ht="14.25" thickBot="1">
      <c r="A24" s="195" t="s">
        <v>141</v>
      </c>
      <c r="B24" s="198"/>
      <c r="C24" s="198"/>
      <c r="D24" s="198"/>
      <c r="E24" s="198"/>
      <c r="F24" s="1144" t="s">
        <v>336</v>
      </c>
      <c r="G24" s="1009" t="s">
        <v>421</v>
      </c>
      <c r="H24" s="1008" t="s">
        <v>422</v>
      </c>
      <c r="I24" s="1009" t="s">
        <v>423</v>
      </c>
      <c r="J24" s="1010" t="s">
        <v>424</v>
      </c>
      <c r="K24" s="1011" t="s">
        <v>420</v>
      </c>
    </row>
    <row r="25" spans="1:14" ht="14.25" thickBot="1">
      <c r="A25" s="199"/>
      <c r="B25" s="200"/>
      <c r="C25" s="200"/>
      <c r="D25" s="200"/>
      <c r="E25" s="200"/>
      <c r="F25" s="1155"/>
      <c r="G25" s="1013" t="s">
        <v>368</v>
      </c>
      <c r="H25" s="994" t="s">
        <v>371</v>
      </c>
      <c r="I25" s="1013" t="s">
        <v>374</v>
      </c>
      <c r="J25" s="1014" t="s">
        <v>377</v>
      </c>
      <c r="K25" s="1015" t="s">
        <v>380</v>
      </c>
    </row>
    <row r="26" spans="1:14">
      <c r="A26" s="201" t="s">
        <v>229</v>
      </c>
      <c r="B26" s="202"/>
      <c r="C26" s="202"/>
      <c r="D26" s="202"/>
      <c r="E26" s="202"/>
      <c r="F26" s="928" t="str">
        <f>IFERROR(F105/F106/F255/12,"－")</f>
        <v>－</v>
      </c>
      <c r="G26" s="656" t="str">
        <f>IFERROR(J105/J106/J255/12,"－")</f>
        <v>－</v>
      </c>
      <c r="H26" s="753" t="str">
        <f>IFERROR(K105/K106/K255/12,"－")</f>
        <v>－</v>
      </c>
      <c r="I26" s="753" t="str">
        <f>IFERROR(L105/L106/L255/12,"－")</f>
        <v>－</v>
      </c>
      <c r="J26" s="753" t="str">
        <f>IFERROR(M105/M106/M255/12,"－")</f>
        <v>－</v>
      </c>
      <c r="K26" s="888" t="str">
        <f>IFERROR(N105/N106/N255/12,"－")</f>
        <v>－</v>
      </c>
      <c r="M26" s="211"/>
      <c r="N26" s="211"/>
    </row>
    <row r="27" spans="1:14">
      <c r="A27" s="203" t="s">
        <v>132</v>
      </c>
      <c r="B27" s="202"/>
      <c r="C27" s="202"/>
      <c r="D27" s="202"/>
      <c r="E27" s="202"/>
      <c r="F27" s="929" t="str">
        <f>IFERROR((F105+F29)/F106/F255/12-F26,"－")</f>
        <v>－</v>
      </c>
      <c r="G27" s="656" t="str">
        <f>IFERROR((J105+G29)/J106/J255/12-G26,"－")</f>
        <v>－</v>
      </c>
      <c r="H27" s="753" t="str">
        <f>IFERROR((K105+H29)/K106/K255/12-H26,"－")</f>
        <v>－</v>
      </c>
      <c r="I27" s="753" t="str">
        <f>IFERROR((L105+I29)/L106/L255/12-I26,"－")</f>
        <v>－</v>
      </c>
      <c r="J27" s="753" t="str">
        <f>IFERROR((M105+J29)/M106/M255/12-J26,"－")</f>
        <v>－</v>
      </c>
      <c r="K27" s="754" t="str">
        <f>IFERROR((N105+K29)/N106/N255/12-K26,"－")</f>
        <v>－</v>
      </c>
      <c r="M27" s="211"/>
      <c r="N27" s="719"/>
    </row>
    <row r="28" spans="1:14">
      <c r="A28" s="204"/>
      <c r="B28" s="202" t="s">
        <v>133</v>
      </c>
      <c r="C28" s="202"/>
      <c r="D28" s="202"/>
      <c r="E28" s="202"/>
      <c r="F28" s="929" t="str">
        <f t="shared" ref="F28:K28" si="1">IF(F26="－","－",F14)</f>
        <v>－</v>
      </c>
      <c r="G28" s="656" t="str">
        <f t="shared" si="1"/>
        <v>－</v>
      </c>
      <c r="H28" s="753" t="str">
        <f t="shared" si="1"/>
        <v>－</v>
      </c>
      <c r="I28" s="753" t="str">
        <f t="shared" si="1"/>
        <v>－</v>
      </c>
      <c r="J28" s="753" t="str">
        <f t="shared" si="1"/>
        <v>－</v>
      </c>
      <c r="K28" s="754" t="str">
        <f t="shared" si="1"/>
        <v>－</v>
      </c>
      <c r="M28" s="211"/>
    </row>
    <row r="29" spans="1:14">
      <c r="A29" s="204"/>
      <c r="B29" s="202" t="s">
        <v>134</v>
      </c>
      <c r="C29" s="202"/>
      <c r="D29" s="202"/>
      <c r="E29" s="202"/>
      <c r="F29" s="929" t="str">
        <f t="shared" ref="F29:K29" si="2">IF(F26="－","－",F15)</f>
        <v>－</v>
      </c>
      <c r="G29" s="656" t="str">
        <f t="shared" si="2"/>
        <v>－</v>
      </c>
      <c r="H29" s="753" t="str">
        <f t="shared" si="2"/>
        <v>－</v>
      </c>
      <c r="I29" s="753" t="str">
        <f t="shared" si="2"/>
        <v>－</v>
      </c>
      <c r="J29" s="753" t="str">
        <f t="shared" si="2"/>
        <v>－</v>
      </c>
      <c r="K29" s="754" t="str">
        <f t="shared" si="2"/>
        <v>－</v>
      </c>
      <c r="M29" s="211"/>
      <c r="N29" s="211"/>
    </row>
    <row r="30" spans="1:14">
      <c r="A30" s="206"/>
      <c r="B30" s="202" t="s">
        <v>135</v>
      </c>
      <c r="C30" s="202"/>
      <c r="D30" s="202"/>
      <c r="E30" s="202"/>
      <c r="F30" s="930" t="str">
        <f>IFERROR(F29/F28,"－")</f>
        <v>－</v>
      </c>
      <c r="G30" s="657" t="str">
        <f>IFERROR(G29/G28,"－")</f>
        <v>－</v>
      </c>
      <c r="H30" s="757" t="str">
        <f t="shared" ref="H30:I30" si="3">IFERROR(H29/H28,"－")</f>
        <v>－</v>
      </c>
      <c r="I30" s="757" t="str">
        <f t="shared" si="3"/>
        <v>－</v>
      </c>
      <c r="J30" s="757" t="str">
        <f t="shared" ref="J30:K30" si="4">IFERROR(J29/J28,"－")</f>
        <v>－</v>
      </c>
      <c r="K30" s="758" t="str">
        <f t="shared" si="4"/>
        <v>－</v>
      </c>
    </row>
    <row r="31" spans="1:14">
      <c r="A31" s="203" t="s">
        <v>136</v>
      </c>
      <c r="B31" s="202"/>
      <c r="C31" s="202"/>
      <c r="D31" s="202"/>
      <c r="E31" s="202"/>
      <c r="F31" s="929" t="str">
        <f>IFERROR(F26-(F105-F32)/F106/F255/12,"－")</f>
        <v>－</v>
      </c>
      <c r="G31" s="656" t="str">
        <f>IFERROR(G26-(J105-G32)/J106/J255/12,"－")</f>
        <v>－</v>
      </c>
      <c r="H31" s="753" t="str">
        <f>IFERROR(H26-(K105-H32)/K106/K255/12,"－")</f>
        <v>－</v>
      </c>
      <c r="I31" s="753" t="str">
        <f>IFERROR(I26-(L105-I32)/L106/L255/12,"－")</f>
        <v>－</v>
      </c>
      <c r="J31" s="753" t="str">
        <f>IFERROR(J26-(M105-J32)/M106/M255/12,"－")</f>
        <v>－</v>
      </c>
      <c r="K31" s="754" t="str">
        <f>IFERROR(K26-(N105-K32)/N106/N255/12,"－")</f>
        <v>－</v>
      </c>
    </row>
    <row r="32" spans="1:14">
      <c r="A32" s="204"/>
      <c r="B32" s="202" t="s">
        <v>137</v>
      </c>
      <c r="C32" s="202"/>
      <c r="D32" s="202"/>
      <c r="E32" s="202"/>
      <c r="F32" s="929" t="str">
        <f>IF(F26="－","－",(F68+F86)*F33)</f>
        <v>－</v>
      </c>
      <c r="G32" s="656" t="str">
        <f>IF(G26="－","－",(J68+J86)*G33)</f>
        <v>－</v>
      </c>
      <c r="H32" s="753" t="str">
        <f>IF(H26="－","－",(K68+K86)*H33)</f>
        <v>－</v>
      </c>
      <c r="I32" s="753" t="str">
        <f>IF(I26="－","－",(L68+L86)*I33)</f>
        <v>－</v>
      </c>
      <c r="J32" s="753" t="str">
        <f>IF(J26="－","－",(M68+M86)*J33)</f>
        <v>－</v>
      </c>
      <c r="K32" s="754" t="str">
        <f>IF(K26="－","－",(N68+N86)*K33)</f>
        <v>－</v>
      </c>
    </row>
    <row r="33" spans="1:17">
      <c r="A33" s="206"/>
      <c r="B33" s="202" t="s">
        <v>138</v>
      </c>
      <c r="C33" s="202"/>
      <c r="D33" s="202"/>
      <c r="E33" s="202"/>
      <c r="F33" s="931" t="str">
        <f t="shared" ref="F33:K33" si="5">IF(F26="－","－",F19)</f>
        <v>－</v>
      </c>
      <c r="G33" s="658" t="str">
        <f t="shared" si="5"/>
        <v>－</v>
      </c>
      <c r="H33" s="762" t="str">
        <f t="shared" si="5"/>
        <v>－</v>
      </c>
      <c r="I33" s="762" t="str">
        <f t="shared" si="5"/>
        <v>－</v>
      </c>
      <c r="J33" s="762" t="str">
        <f t="shared" si="5"/>
        <v>－</v>
      </c>
      <c r="K33" s="763" t="str">
        <f t="shared" si="5"/>
        <v>－</v>
      </c>
    </row>
    <row r="34" spans="1:17">
      <c r="A34" s="203" t="s">
        <v>139</v>
      </c>
      <c r="B34" s="202"/>
      <c r="C34" s="202"/>
      <c r="D34" s="202"/>
      <c r="E34" s="202"/>
      <c r="F34" s="929" t="str">
        <f>IFERROR(F26-(F105-F35)/F106/F255/12,"－")</f>
        <v>－</v>
      </c>
      <c r="G34" s="656" t="str">
        <f>IFERROR(G26-(J105-G35)/J106/J255/12,"－")</f>
        <v>－</v>
      </c>
      <c r="H34" s="753" t="str">
        <f>IFERROR(H26-(K105-H35)/K106/K255/12,"－")</f>
        <v>－</v>
      </c>
      <c r="I34" s="753" t="str">
        <f>IFERROR(I26-(L105-I35)/L106/L255/12,"－")</f>
        <v>－</v>
      </c>
      <c r="J34" s="753" t="str">
        <f>IFERROR(J26-(M105-J35)/M106/M255/12,"－")</f>
        <v>－</v>
      </c>
      <c r="K34" s="754" t="str">
        <f>IFERROR(K26-(N105-K35)/N106/N255/12,"－")</f>
        <v>－</v>
      </c>
    </row>
    <row r="35" spans="1:17">
      <c r="A35" s="207"/>
      <c r="B35" s="212" t="s">
        <v>140</v>
      </c>
      <c r="C35" s="202"/>
      <c r="D35" s="202"/>
      <c r="E35" s="202"/>
      <c r="F35" s="929" t="str">
        <f t="shared" ref="F35:K35" si="6">IF(F26="－","－",F21)</f>
        <v>－</v>
      </c>
      <c r="G35" s="656" t="str">
        <f t="shared" si="6"/>
        <v>－</v>
      </c>
      <c r="H35" s="753" t="str">
        <f t="shared" si="6"/>
        <v>－</v>
      </c>
      <c r="I35" s="753" t="str">
        <f t="shared" si="6"/>
        <v>－</v>
      </c>
      <c r="J35" s="753" t="str">
        <f t="shared" si="6"/>
        <v>－</v>
      </c>
      <c r="K35" s="754" t="str">
        <f t="shared" si="6"/>
        <v>－</v>
      </c>
    </row>
    <row r="36" spans="1:17" ht="14.25" thickBot="1">
      <c r="A36" s="209" t="s">
        <v>344</v>
      </c>
      <c r="B36" s="210"/>
      <c r="C36" s="210"/>
      <c r="D36" s="210"/>
      <c r="E36" s="210"/>
      <c r="F36" s="932" t="str">
        <f>IFERROR(F26/$F$8-1,"－")</f>
        <v>－</v>
      </c>
      <c r="G36" s="659" t="str">
        <f t="shared" ref="G36:K36" si="7">IFERROR(G26/ROUND($F$8,0)-1,"－")</f>
        <v>－</v>
      </c>
      <c r="H36" s="760" t="str">
        <f t="shared" si="7"/>
        <v>－</v>
      </c>
      <c r="I36" s="760" t="str">
        <f t="shared" si="7"/>
        <v>－</v>
      </c>
      <c r="J36" s="760" t="str">
        <f t="shared" si="7"/>
        <v>－</v>
      </c>
      <c r="K36" s="761" t="str">
        <f t="shared" si="7"/>
        <v>－</v>
      </c>
    </row>
    <row r="37" spans="1:17" ht="14.25" thickBot="1">
      <c r="A37" s="195"/>
      <c r="B37" s="198"/>
      <c r="C37" s="198"/>
      <c r="D37" s="198"/>
      <c r="E37" s="198"/>
      <c r="F37" s="198"/>
      <c r="G37" s="198"/>
      <c r="H37" s="198"/>
      <c r="I37" s="198"/>
      <c r="J37" s="198"/>
    </row>
    <row r="38" spans="1:17" ht="14.25" thickBot="1">
      <c r="A38" s="195" t="s">
        <v>142</v>
      </c>
      <c r="B38" s="198"/>
      <c r="C38" s="198"/>
      <c r="D38" s="198"/>
      <c r="E38" s="198"/>
      <c r="F38" s="1016" t="s">
        <v>80</v>
      </c>
      <c r="G38" s="1017"/>
      <c r="H38" s="1017"/>
      <c r="I38" s="1017"/>
      <c r="J38" s="1018"/>
      <c r="K38" s="1018"/>
      <c r="L38" s="662" t="s">
        <v>143</v>
      </c>
      <c r="M38" s="661"/>
      <c r="N38" s="661"/>
      <c r="O38" s="661"/>
      <c r="P38" s="663"/>
      <c r="Q38" s="663"/>
    </row>
    <row r="39" spans="1:17">
      <c r="A39" s="123"/>
      <c r="B39" s="213"/>
      <c r="C39" s="213"/>
      <c r="D39" s="213"/>
      <c r="E39" s="214"/>
      <c r="F39" s="1156" t="s">
        <v>415</v>
      </c>
      <c r="G39" s="1019" t="s">
        <v>421</v>
      </c>
      <c r="H39" s="1019" t="s">
        <v>422</v>
      </c>
      <c r="I39" s="1019" t="s">
        <v>423</v>
      </c>
      <c r="J39" s="1019" t="s">
        <v>424</v>
      </c>
      <c r="K39" s="1020" t="s">
        <v>420</v>
      </c>
      <c r="L39" s="1158" t="s">
        <v>415</v>
      </c>
      <c r="M39" s="1019" t="s">
        <v>421</v>
      </c>
      <c r="N39" s="1019" t="s">
        <v>422</v>
      </c>
      <c r="O39" s="1019" t="s">
        <v>423</v>
      </c>
      <c r="P39" s="1019" t="s">
        <v>424</v>
      </c>
      <c r="Q39" s="1021" t="s">
        <v>420</v>
      </c>
    </row>
    <row r="40" spans="1:17">
      <c r="A40" s="215"/>
      <c r="B40" s="216"/>
      <c r="C40" s="216"/>
      <c r="D40" s="216"/>
      <c r="E40" s="217"/>
      <c r="F40" s="1157"/>
      <c r="G40" s="1022" t="s">
        <v>368</v>
      </c>
      <c r="H40" s="1022" t="s">
        <v>371</v>
      </c>
      <c r="I40" s="1022" t="s">
        <v>374</v>
      </c>
      <c r="J40" s="1022" t="s">
        <v>377</v>
      </c>
      <c r="K40" s="1023" t="s">
        <v>380</v>
      </c>
      <c r="L40" s="1159"/>
      <c r="M40" s="1022" t="s">
        <v>368</v>
      </c>
      <c r="N40" s="1022" t="s">
        <v>371</v>
      </c>
      <c r="O40" s="1022" t="s">
        <v>374</v>
      </c>
      <c r="P40" s="1022" t="s">
        <v>377</v>
      </c>
      <c r="Q40" s="1024" t="s">
        <v>380</v>
      </c>
    </row>
    <row r="41" spans="1:17">
      <c r="A41" s="82" t="s">
        <v>64</v>
      </c>
      <c r="B41" s="82"/>
      <c r="C41" s="34"/>
      <c r="D41" s="124"/>
      <c r="E41" s="218"/>
      <c r="F41" s="933" t="n">
        <f>(F69*'(参考)保険料の推計に要する係数'!D5+(F93-F94))/(F254*F106*12)</f>
        <v>6448.136637047541</v>
      </c>
      <c r="G41" s="664" t="n">
        <f>(J69*'(参考)保険料の推計に要する係数'!E5+(J93-J94))/(J254*J106*12)</f>
        <v>7450.758613040004</v>
      </c>
      <c r="H41" s="664" t="n">
        <f>(K69*'(参考)保険料の推計に要する係数'!F5+(K93-K94))/(K254*K106*12)</f>
        <v>7978.109996349231</v>
      </c>
      <c r="I41" s="664" t="n">
        <f>(L69*'(参考)保険料の推計に要する係数'!G5+(L93-L94))/(L254*L106*12)</f>
        <v>8117.647038804583</v>
      </c>
      <c r="J41" s="664" t="n">
        <f>(M69*'(参考)保険料の推計に要する係数'!H5+(M93-M94))/(M254*M106*12)</f>
        <v>8462.956097485754</v>
      </c>
      <c r="K41" s="664" t="n">
        <f>(N69*'(参考)保険料の推計に要する係数'!I5+(N93-N94))/(N254*N106*12)</f>
        <v>9013.808376296314</v>
      </c>
      <c r="L41" s="666" t="n">
        <f t="shared" ref="L41:L51" si="8">F41/$F$49</f>
        <v>0.902228448293007</v>
      </c>
      <c r="M41" s="666" t="n">
        <f>G41/$G$49</f>
        <v>0.9017262027577129</v>
      </c>
      <c r="N41" s="666" t="n">
        <f>H41/$H$49</f>
        <v>0.8938678712052858</v>
      </c>
      <c r="O41" s="666" t="n">
        <f>I41/$I$49</f>
        <v>0.8816737508585663</v>
      </c>
      <c r="P41" s="666" t="n">
        <f>J41/$J$49</f>
        <v>0.8782754463170185</v>
      </c>
      <c r="Q41" s="890" t="n">
        <f>K41/$K$49</f>
        <v>0.8854162163405864</v>
      </c>
    </row>
    <row r="42" spans="1:17">
      <c r="A42" s="82"/>
      <c r="B42" s="35" t="s">
        <v>70</v>
      </c>
      <c r="C42" s="125"/>
      <c r="D42" s="219"/>
      <c r="E42" s="220"/>
      <c r="F42" s="933" t="n">
        <f>$F$41*SUM('2_サービス別給付費'!G151:I151)/SUM('2_サービス別給付費'!$G$150:$I$150)</f>
        <v>1994.2502482139432</v>
      </c>
      <c r="G42" s="664" t="n">
        <f>$G$41*SUM('2_サービス別給付費'!J151)/SUM('2_サービス別給付費'!$J$150)</f>
        <v>2121.5168763315282</v>
      </c>
      <c r="H42" s="664" t="n">
        <f>$H$41*SUM('2_サービス別給付費'!K151)/SUM('2_サービス別給付費'!$K$150)</f>
        <v>2292.2384357211736</v>
      </c>
      <c r="I42" s="664" t="n">
        <f>$I$41*SUM('2_サービス別給付費'!L151)/SUM('2_サービス別給付費'!$L$150)</f>
        <v>2315.2523549818716</v>
      </c>
      <c r="J42" s="664" t="n">
        <f>$J$41*SUM('2_サービス別給付費'!M151)/SUM('2_サービス別給付費'!$M$150)</f>
        <v>2336.4490970526767</v>
      </c>
      <c r="K42" s="664" t="n">
        <f>$K$41*SUM('2_サービス別給付費'!N151)/SUM('2_サービス別給付費'!$N$150)</f>
        <v>2527.8304527546597</v>
      </c>
      <c r="L42" s="666" t="n">
        <f t="shared" si="8"/>
        <v>0.27903709369562235</v>
      </c>
      <c r="M42" s="666" t="n">
        <f t="shared" ref="M42:M51" si="9">G42/$G$49</f>
        <v>0.2567560508043749</v>
      </c>
      <c r="N42" s="666" t="n">
        <f t="shared" ref="N42:N51" si="10">H42/$H$49</f>
        <v>0.25682251708369774</v>
      </c>
      <c r="O42" s="666" t="n">
        <f t="shared" ref="O42:O51" si="11">I42/$I$49</f>
        <v>0.2514641518956212</v>
      </c>
      <c r="P42" s="666" t="n">
        <f t="shared" ref="P42:P51" si="12">J42/$J$49</f>
        <v>0.2424738885412124</v>
      </c>
      <c r="Q42" s="890" t="n">
        <f t="shared" ref="Q42:Q51" si="13">K42/$K$49</f>
        <v>0.24830593036726942</v>
      </c>
    </row>
    <row r="43" spans="1:17">
      <c r="A43" s="82"/>
      <c r="B43" s="35" t="s">
        <v>81</v>
      </c>
      <c r="C43" s="125"/>
      <c r="D43" s="219"/>
      <c r="E43" s="220"/>
      <c r="F43" s="933" t="n">
        <f>$F$41*SUM('2_サービス別給付費'!G152:I152)/SUM('2_サービス別給付費'!$G$150:$I$150)</f>
        <v>431.5981437323463</v>
      </c>
      <c r="G43" s="664" t="n">
        <f>$G$41*SUM('2_サービス別給付費'!J152)/SUM('2_サービス別給付費'!$J$150)</f>
        <v>484.7854185736374</v>
      </c>
      <c r="H43" s="664" t="n">
        <f>$H$41*SUM('2_サービス別給付費'!K152)/SUM('2_サービス別給付費'!$K$150)</f>
        <v>556.6218218372409</v>
      </c>
      <c r="I43" s="664" t="n">
        <f>$I$41*SUM('2_サービス別給付費'!L152)/SUM('2_サービス別給付費'!$L$150)</f>
        <v>537.4436505101753</v>
      </c>
      <c r="J43" s="664" t="n">
        <f>$J$41*SUM('2_サービス別給付費'!M152)/SUM('2_サービス別給付費'!$M$150)</f>
        <v>562.5371051735551</v>
      </c>
      <c r="K43" s="664" t="n">
        <f>$K$41*SUM('2_サービス別給付費'!N152)/SUM('2_サービス別給付費'!$N$150)</f>
        <v>558.3845895881187</v>
      </c>
      <c r="L43" s="666" t="n">
        <f t="shared" si="8"/>
        <v>0.060389558321157825</v>
      </c>
      <c r="M43" s="666" t="n">
        <f t="shared" si="9"/>
        <v>0.058671034366573616</v>
      </c>
      <c r="N43" s="666" t="n">
        <f t="shared" si="10"/>
        <v>0.062363938724803086</v>
      </c>
      <c r="O43" s="666" t="n">
        <f t="shared" si="11"/>
        <v>0.05837282120733923</v>
      </c>
      <c r="P43" s="666" t="n">
        <f t="shared" si="12"/>
        <v>0.0583794269313258</v>
      </c>
      <c r="Q43" s="890" t="n">
        <f t="shared" si="13"/>
        <v>0.05484948757909457</v>
      </c>
    </row>
    <row r="44" spans="1:17">
      <c r="A44" s="82"/>
      <c r="B44" s="35" t="s">
        <v>71</v>
      </c>
      <c r="C44" s="124"/>
      <c r="D44" s="221"/>
      <c r="E44" s="218"/>
      <c r="F44" s="933" t="n">
        <f>$F$41*SUM('2_サービス別給付費'!G153:I153)/SUM('2_サービス別給付費'!$G$150:$I$150)</f>
        <v>4022.288245101251</v>
      </c>
      <c r="G44" s="664" t="n">
        <f>$G$41*SUM('2_サービス別給付費'!J153)/SUM('2_サービス別給付費'!$J$150)</f>
        <v>4844.4563181348385</v>
      </c>
      <c r="H44" s="664" t="n">
        <f>$H$41*SUM('2_サービス別給付費'!K153)/SUM('2_サービス別給付費'!$K$150)</f>
        <v>5129.249738790816</v>
      </c>
      <c r="I44" s="664" t="n">
        <f>$I$41*SUM('2_サービス別給付費'!L153)/SUM('2_サービス別給付費'!$L$150)</f>
        <v>5264.951033312536</v>
      </c>
      <c r="J44" s="664" t="n">
        <f>$J$41*SUM('2_サービス別給付費'!M153)/SUM('2_サービス別給付費'!$M$150)</f>
        <v>5563.969895259523</v>
      </c>
      <c r="K44" s="664" t="n">
        <f>$K$41*SUM('2_サービス別給付費'!N153)/SUM('2_サービス別給付費'!$N$150)</f>
        <v>5927.593333953536</v>
      </c>
      <c r="L44" s="666" t="n">
        <f t="shared" si="8"/>
        <v>0.5628017962762267</v>
      </c>
      <c r="M44" s="666" t="n">
        <f t="shared" si="9"/>
        <v>0.5862991175867643</v>
      </c>
      <c r="N44" s="666" t="n">
        <f t="shared" si="10"/>
        <v>0.574681415396785</v>
      </c>
      <c r="O44" s="666" t="n">
        <f t="shared" si="11"/>
        <v>0.5718367777556058</v>
      </c>
      <c r="P44" s="666" t="n">
        <f t="shared" si="12"/>
        <v>0.5774221308444804</v>
      </c>
      <c r="Q44" s="890" t="n">
        <f t="shared" si="13"/>
        <v>0.5822607983942224</v>
      </c>
    </row>
    <row r="45" spans="1:17">
      <c r="A45" s="126" t="s">
        <v>82</v>
      </c>
      <c r="B45" s="126"/>
      <c r="C45" s="125"/>
      <c r="D45" s="219"/>
      <c r="E45" s="220"/>
      <c r="F45" s="933" t="n">
        <f>((F75+F78+F81+F82)*'(参考)保険料の推計に要する係数'!D5+F85)/(F254*F106*12)</f>
        <v>520.2570753614184</v>
      </c>
      <c r="G45" s="664" t="n">
        <f>((J75+J78+J81+J82)*'(参考)保険料の推計に要する係数'!E5+J85)/(J254*J106*12)</f>
        <v>587.022949968817</v>
      </c>
      <c r="H45" s="664" t="n">
        <f>((K75+K78+K81+K82)*'(参考)保険料の推計に要する係数'!F5+K85)/(K254*K106*12)</f>
        <v>703.0935749681747</v>
      </c>
      <c r="I45" s="664" t="n">
        <f>((L75+L78+L81+L82)*'(参考)保険料の推計に要する係数'!G5+L85)/(L254*L106*12)</f>
        <v>833.1596049807534</v>
      </c>
      <c r="J45" s="664" t="n">
        <f>((M75+M78+M81+M82)*'(参考)保険料の推計に要する係数'!H5+M85)/(M254*M106*12)</f>
        <v>904.9800693319336</v>
      </c>
      <c r="K45" s="664" t="n">
        <f>((N75+N78+N81+N82)*'(参考)保険料の推計に要する係数'!I5+N85)/(N254*N106*12)</f>
        <v>883.8201601597057</v>
      </c>
      <c r="L45" s="666" t="n">
        <f t="shared" si="8"/>
        <v>0.0727947871203477</v>
      </c>
      <c r="M45" s="666" t="n">
        <f t="shared" si="9"/>
        <v>0.07104430610335358</v>
      </c>
      <c r="N45" s="666" t="n">
        <f t="shared" si="10"/>
        <v>0.07877464178890795</v>
      </c>
      <c r="O45" s="666" t="n">
        <f t="shared" si="11"/>
        <v>0.0904911177433254</v>
      </c>
      <c r="P45" s="666" t="n">
        <f t="shared" si="12"/>
        <v>0.09391774755119463</v>
      </c>
      <c r="Q45" s="890" t="n">
        <f t="shared" si="13"/>
        <v>0.08681665611973874</v>
      </c>
    </row>
    <row r="46" spans="1:17">
      <c r="A46" s="126" t="s">
        <v>83</v>
      </c>
      <c r="B46" s="222"/>
      <c r="C46" s="219"/>
      <c r="D46" s="219"/>
      <c r="E46" s="220"/>
      <c r="F46" s="933" t="n">
        <f>F86*'(参考)保険料の推計に要する係数'!D5/(F254*F106*12)</f>
        <v>217.5906519409734</v>
      </c>
      <c r="G46" s="664" t="n">
        <f>J86*'(参考)保険料の推計に要する係数'!E5/(J254*J106*12)</f>
        <v>264.0572464223079</v>
      </c>
      <c r="H46" s="664" t="n">
        <f>K86*'(参考)保険料の推計に要する係数'!F5/(K254*K106*12)</f>
        <v>282.56781730623675</v>
      </c>
      <c r="I46" s="664" t="n">
        <f>L86*'(参考)保険料の推計に要する係数'!G5/(L254*L106*12)</f>
        <v>296.6840124626374</v>
      </c>
      <c r="J46" s="664" t="n">
        <f>M86*'(参考)保険料の推計に要する係数'!H5/(M254*M106*12)</f>
        <v>311.5227139016863</v>
      </c>
      <c r="K46" s="664" t="n">
        <f>N86*'(参考)保険料の推計に要する係数'!I5/(N254*N106*12)</f>
        <v>329.2552511200356</v>
      </c>
      <c r="L46" s="666" t="n">
        <f t="shared" si="8"/>
        <v>0.03044545848111202</v>
      </c>
      <c r="M46" s="666" t="n">
        <f t="shared" si="9"/>
        <v>0.03195746238649041</v>
      </c>
      <c r="N46" s="666" t="n">
        <f t="shared" si="10"/>
        <v>0.031658913382020225</v>
      </c>
      <c r="O46" s="666" t="n">
        <f t="shared" si="11"/>
        <v>0.03222343923519783</v>
      </c>
      <c r="P46" s="666" t="n">
        <f t="shared" si="12"/>
        <v>0.032329454086519084</v>
      </c>
      <c r="Q46" s="890" t="n">
        <f t="shared" si="13"/>
        <v>0.032342371446857573</v>
      </c>
    </row>
    <row r="47" spans="1:17">
      <c r="A47" s="126" t="s">
        <v>84</v>
      </c>
      <c r="B47" s="222"/>
      <c r="C47" s="219"/>
      <c r="D47" s="219"/>
      <c r="E47" s="220"/>
      <c r="F47" s="933" t="n">
        <f>(F18+F21)/(F254*F106*12)</f>
        <v>0.0</v>
      </c>
      <c r="G47" s="664" t="n">
        <f>(G18+G21)/(J254*J106*12)</f>
        <v>0.0</v>
      </c>
      <c r="H47" s="664" t="n">
        <f>(H18+H21)/(K254*K106*12)</f>
        <v>0.0</v>
      </c>
      <c r="I47" s="664" t="n">
        <f>(I18+I21)/(L254*L106*12)</f>
        <v>0.0</v>
      </c>
      <c r="J47" s="664" t="n">
        <f>(J18+J21)/(M254*M106*12)</f>
        <v>0.0</v>
      </c>
      <c r="K47" s="664" t="n">
        <f>(K18+K21)/(N254*N106*12)</f>
        <v>0.0</v>
      </c>
      <c r="L47" s="666" t="n">
        <f t="shared" si="8"/>
        <v>0.0</v>
      </c>
      <c r="M47" s="666" t="n">
        <f t="shared" si="9"/>
        <v>0.0</v>
      </c>
      <c r="N47" s="666" t="n">
        <f t="shared" si="10"/>
        <v>0.0</v>
      </c>
      <c r="O47" s="666" t="n">
        <f t="shared" si="11"/>
        <v>0.0</v>
      </c>
      <c r="P47" s="666" t="n">
        <f t="shared" si="12"/>
        <v>0.0</v>
      </c>
      <c r="Q47" s="890" t="n">
        <f t="shared" si="13"/>
        <v>0.0</v>
      </c>
    </row>
    <row r="48" spans="1:17">
      <c r="A48" s="126" t="s">
        <v>85</v>
      </c>
      <c r="B48" s="126"/>
      <c r="C48" s="125"/>
      <c r="D48" s="125"/>
      <c r="E48" s="220"/>
      <c r="F48" s="933" t="n">
        <f>(F102+F103-F104)/(F254*F106*12)</f>
        <v>-39.08420924259836</v>
      </c>
      <c r="G48" s="664" t="n">
        <f>(J102+J103-J104)/(J254*J106*12)</f>
        <v>-39.06615155155407</v>
      </c>
      <c r="H48" s="664" t="n">
        <f>(K102+K103-K104)/(K254*K106*12)</f>
        <v>-38.39186290962715</v>
      </c>
      <c r="I48" s="664" t="n">
        <f>(L102+L103-L104)/(L254*L106*12)</f>
        <v>-40.40353258155163</v>
      </c>
      <c r="J48" s="664" t="n">
        <f>(M102+M103-M104)/(M254*M106*12)</f>
        <v>-43.57968931704258</v>
      </c>
      <c r="K48" s="664" t="n">
        <f>(N102+N103-N104)/(N254*N106*12)</f>
        <v>-46.57738484236034</v>
      </c>
      <c r="L48" s="666" t="n">
        <f t="shared" si="8"/>
        <v>-0.005468693894466668</v>
      </c>
      <c r="M48" s="666" t="n">
        <f t="shared" si="9"/>
        <v>-0.004727971247556916</v>
      </c>
      <c r="N48" s="666" t="n">
        <f t="shared" si="10"/>
        <v>-0.004301426376214054</v>
      </c>
      <c r="O48" s="666" t="n">
        <f t="shared" si="11"/>
        <v>-0.004388307837089549</v>
      </c>
      <c r="P48" s="666" t="n">
        <f t="shared" si="12"/>
        <v>-0.004522647954732227</v>
      </c>
      <c r="Q48" s="890" t="n">
        <f t="shared" si="13"/>
        <v>-0.004575243907182697</v>
      </c>
    </row>
    <row r="49" spans="1:17">
      <c r="A49" s="126" t="s">
        <v>86</v>
      </c>
      <c r="B49" s="126"/>
      <c r="C49" s="125"/>
      <c r="D49" s="125"/>
      <c r="E49" s="220"/>
      <c r="F49" s="933" t="n">
        <f>F41+SUM(F45:F48)</f>
        <v>7146.900155107334</v>
      </c>
      <c r="G49" s="664" t="n">
        <f>G41+SUM(G45:G48)</f>
        <v>8262.772657879575</v>
      </c>
      <c r="H49" s="664" t="n">
        <f t="shared" ref="H49:K49" si="14">H41+SUM(H45:H48)</f>
        <v>8925.379525714015</v>
      </c>
      <c r="I49" s="664" t="n">
        <f t="shared" si="14"/>
        <v>9207.087123666422</v>
      </c>
      <c r="J49" s="664" t="n">
        <f t="shared" si="14"/>
        <v>9635.879191402331</v>
      </c>
      <c r="K49" s="664" t="n">
        <f t="shared" si="14"/>
        <v>10180.306402733695</v>
      </c>
      <c r="L49" s="666" t="n">
        <f t="shared" si="8"/>
        <v>1.0</v>
      </c>
      <c r="M49" s="666" t="n">
        <f t="shared" si="9"/>
        <v>1.0</v>
      </c>
      <c r="N49" s="666" t="n">
        <f t="shared" si="10"/>
        <v>1.0</v>
      </c>
      <c r="O49" s="666" t="n">
        <f t="shared" si="11"/>
        <v>1.0</v>
      </c>
      <c r="P49" s="666" t="n">
        <f t="shared" si="12"/>
        <v>1.0</v>
      </c>
      <c r="Q49" s="890" t="n">
        <f t="shared" si="13"/>
        <v>1.0</v>
      </c>
    </row>
    <row r="50" spans="1:17">
      <c r="A50" s="126" t="s">
        <v>87</v>
      </c>
      <c r="B50" s="222"/>
      <c r="C50" s="219"/>
      <c r="D50" s="219"/>
      <c r="E50" s="220"/>
      <c r="F50" s="933" t="n">
        <f>F15/(F254*F106*12)</f>
        <v>0.0</v>
      </c>
      <c r="G50" s="664" t="n">
        <f>G15/(J254*J106*12)</f>
        <v>0.0</v>
      </c>
      <c r="H50" s="664" t="n">
        <f>H15/(K254*K106*12)</f>
        <v>0.0</v>
      </c>
      <c r="I50" s="664" t="n">
        <f>I15/(L254*L106*12)</f>
        <v>0.0</v>
      </c>
      <c r="J50" s="664" t="n">
        <f>J15/(M254*M106*12)</f>
        <v>0.0</v>
      </c>
      <c r="K50" s="664" t="n">
        <f>K15/(N254*N106*12)</f>
        <v>0.0</v>
      </c>
      <c r="L50" s="666" t="n">
        <f t="shared" si="8"/>
        <v>0.0</v>
      </c>
      <c r="M50" s="666" t="n">
        <f t="shared" si="9"/>
        <v>0.0</v>
      </c>
      <c r="N50" s="666" t="n">
        <f t="shared" si="10"/>
        <v>0.0</v>
      </c>
      <c r="O50" s="666" t="n">
        <f t="shared" si="11"/>
        <v>0.0</v>
      </c>
      <c r="P50" s="666" t="n">
        <f t="shared" si="12"/>
        <v>0.0</v>
      </c>
      <c r="Q50" s="890" t="n">
        <f t="shared" si="13"/>
        <v>0.0</v>
      </c>
    </row>
    <row r="51" spans="1:17" ht="14.25" thickBot="1">
      <c r="A51" s="127" t="s">
        <v>147</v>
      </c>
      <c r="B51" s="127"/>
      <c r="C51" s="128"/>
      <c r="D51" s="128"/>
      <c r="E51" s="223"/>
      <c r="F51" s="620" t="n">
        <f>F49-F50</f>
        <v>7146.900155107334</v>
      </c>
      <c r="G51" s="665" t="n">
        <f>G49-G50</f>
        <v>8262.772657879575</v>
      </c>
      <c r="H51" s="665" t="n">
        <f t="shared" ref="H51:K51" si="15">H49-H50</f>
        <v>8925.379525714015</v>
      </c>
      <c r="I51" s="665" t="n">
        <f t="shared" si="15"/>
        <v>9207.087123666422</v>
      </c>
      <c r="J51" s="665" t="n">
        <f t="shared" si="15"/>
        <v>9635.879191402331</v>
      </c>
      <c r="K51" s="665" t="n">
        <f t="shared" si="15"/>
        <v>10180.306402733695</v>
      </c>
      <c r="L51" s="669" t="n">
        <f t="shared" si="8"/>
        <v>1.0</v>
      </c>
      <c r="M51" s="669" t="n">
        <f t="shared" si="9"/>
        <v>1.0</v>
      </c>
      <c r="N51" s="669" t="n">
        <f t="shared" si="10"/>
        <v>1.0</v>
      </c>
      <c r="O51" s="669" t="n">
        <f t="shared" si="11"/>
        <v>1.0</v>
      </c>
      <c r="P51" s="669" t="n">
        <f t="shared" si="12"/>
        <v>1.0</v>
      </c>
      <c r="Q51" s="891" t="n">
        <f t="shared" si="13"/>
        <v>1.0</v>
      </c>
    </row>
    <row r="52" spans="1:17">
      <c r="A52" s="224" t="s">
        <v>148</v>
      </c>
      <c r="B52" s="225"/>
      <c r="C52" s="225"/>
      <c r="D52" s="225"/>
      <c r="E52" s="214"/>
      <c r="F52" s="670"/>
      <c r="G52" s="225"/>
      <c r="H52" s="768"/>
      <c r="I52" s="768"/>
      <c r="J52" s="768"/>
      <c r="K52" s="768"/>
      <c r="L52" s="225"/>
      <c r="M52" s="225"/>
      <c r="N52" s="768"/>
      <c r="O52" s="768"/>
      <c r="P52" s="768"/>
      <c r="Q52" s="769"/>
    </row>
    <row r="53" spans="1:17">
      <c r="A53" s="82" t="s">
        <v>64</v>
      </c>
      <c r="B53" s="82"/>
      <c r="C53" s="34"/>
      <c r="D53" s="124"/>
      <c r="E53" s="218"/>
      <c r="F53" s="619" t="str">
        <f>IFERROR((F69*'(参考)保険料の推計に要する係数'!D5+(F93-F94))/(F255*F106*12),"－")</f>
        <v>－</v>
      </c>
      <c r="G53" s="664" t="str">
        <f>IFERROR((J69*'(参考)保険料の推計に要する係数'!E5+(J93-J94))/(J255*J106*12),"－")</f>
        <v>－</v>
      </c>
      <c r="H53" s="664" t="str">
        <f>IFERROR((K69*'(参考)保険料の推計に要する係数'!F5+(K93-K94))/(K255*K106*12),"－")</f>
        <v>－</v>
      </c>
      <c r="I53" s="664" t="str">
        <f>IFERROR((L69*'(参考)保険料の推計に要する係数'!G5+(L93-L94))/(L255*L106*12),"－")</f>
        <v>－</v>
      </c>
      <c r="J53" s="664" t="str">
        <f>IFERROR((M69*'(参考)保険料の推計に要する係数'!H5+(M93-M94))/(M255*M106*12),"－")</f>
        <v>－</v>
      </c>
      <c r="K53" s="764" t="str">
        <f>IFERROR((N69*'(参考)保険料の推計に要する係数'!I5+(N93-N94))/(N255*N106*12),"－")</f>
        <v>－</v>
      </c>
      <c r="L53" s="666" t="str">
        <f t="shared" ref="L53:L63" si="16">IFERROR(F53/$F$61,"－")</f>
        <v>－</v>
      </c>
      <c r="M53" s="667" t="str">
        <f t="shared" ref="M53:M63" si="17">IFERROR(G53/$G$61,"－")</f>
        <v>－</v>
      </c>
      <c r="N53" s="667" t="str">
        <f t="shared" ref="N53:N63" si="18">IFERROR(H53/$H$61,"－")</f>
        <v>－</v>
      </c>
      <c r="O53" s="667" t="str">
        <f t="shared" ref="O53:O63" si="19">IFERROR(I53/$I$61,"－")</f>
        <v>－</v>
      </c>
      <c r="P53" s="853" t="str">
        <f>IFERROR(J53/$J$61,"－")</f>
        <v>－</v>
      </c>
      <c r="Q53" s="765" t="str">
        <f t="shared" ref="Q53:Q63" si="20">IFERROR(K53/$K$61,"－")</f>
        <v>－</v>
      </c>
    </row>
    <row r="54" spans="1:17">
      <c r="A54" s="82"/>
      <c r="B54" s="35" t="s">
        <v>70</v>
      </c>
      <c r="C54" s="125"/>
      <c r="D54" s="219"/>
      <c r="E54" s="220"/>
      <c r="F54" s="619" t="str">
        <f>IFERROR($F$53*SUM('2_サービス別給付費'!G151:I151)/SUM('2_サービス別給付費'!$G$150:$I$150),"－")</f>
        <v>－</v>
      </c>
      <c r="G54" s="664" t="str">
        <f>IFERROR(G53*SUM('2_サービス別給付費'!J151)/SUM('2_サービス別給付費'!J150),"－")</f>
        <v>－</v>
      </c>
      <c r="H54" s="664" t="str">
        <f>IFERROR(H53*SUM('2_サービス別給付費'!K151)/SUM('2_サービス別給付費'!K150),"－")</f>
        <v>－</v>
      </c>
      <c r="I54" s="664" t="str">
        <f>IFERROR(I53*SUM('2_サービス別給付費'!L151)/SUM('2_サービス別給付費'!L150),"－")</f>
        <v>－</v>
      </c>
      <c r="J54" s="664" t="str">
        <f>IFERROR(J53*SUM('2_サービス別給付費'!M151)/SUM('2_サービス別給付費'!M150),"－")</f>
        <v>－</v>
      </c>
      <c r="K54" s="764" t="str">
        <f>IFERROR(K53*SUM('2_サービス別給付費'!N151)/SUM('2_サービス別給付費'!N150),"－")</f>
        <v>－</v>
      </c>
      <c r="L54" s="666" t="str">
        <f t="shared" si="16"/>
        <v>－</v>
      </c>
      <c r="M54" s="667" t="str">
        <f t="shared" si="17"/>
        <v>－</v>
      </c>
      <c r="N54" s="667" t="str">
        <f t="shared" si="18"/>
        <v>－</v>
      </c>
      <c r="O54" s="667" t="str">
        <f t="shared" si="19"/>
        <v>－</v>
      </c>
      <c r="P54" s="853" t="str">
        <f t="shared" ref="P54:P63" si="21">IFERROR(J54/$J$61,"－")</f>
        <v>－</v>
      </c>
      <c r="Q54" s="765" t="str">
        <f t="shared" si="20"/>
        <v>－</v>
      </c>
    </row>
    <row r="55" spans="1:17">
      <c r="A55" s="82"/>
      <c r="B55" s="35" t="s">
        <v>81</v>
      </c>
      <c r="C55" s="125"/>
      <c r="D55" s="219"/>
      <c r="E55" s="220"/>
      <c r="F55" s="619" t="str">
        <f>IFERROR($F$53*SUM('2_サービス別給付費'!G152:I152)/SUM('2_サービス別給付費'!$G$150:$I$150),"－")</f>
        <v>－</v>
      </c>
      <c r="G55" s="664" t="str">
        <f>IFERROR(G53*SUM('2_サービス別給付費'!J152)/SUM('2_サービス別給付費'!J150),"－")</f>
        <v>－</v>
      </c>
      <c r="H55" s="664" t="str">
        <f>IFERROR(H53*SUM('2_サービス別給付費'!K152)/SUM('2_サービス別給付費'!K150),"－")</f>
        <v>－</v>
      </c>
      <c r="I55" s="664" t="str">
        <f>IFERROR(I53*SUM('2_サービス別給付費'!L152)/SUM('2_サービス別給付費'!L150),"－")</f>
        <v>－</v>
      </c>
      <c r="J55" s="664" t="str">
        <f>IFERROR(J53*SUM('2_サービス別給付費'!M152)/SUM('2_サービス別給付費'!M150),"－")</f>
        <v>－</v>
      </c>
      <c r="K55" s="764" t="str">
        <f>IFERROR(K53*SUM('2_サービス別給付費'!N152)/SUM('2_サービス別給付費'!N150),"－")</f>
        <v>－</v>
      </c>
      <c r="L55" s="666" t="str">
        <f t="shared" si="16"/>
        <v>－</v>
      </c>
      <c r="M55" s="667" t="str">
        <f t="shared" si="17"/>
        <v>－</v>
      </c>
      <c r="N55" s="667" t="str">
        <f t="shared" si="18"/>
        <v>－</v>
      </c>
      <c r="O55" s="667" t="str">
        <f t="shared" si="19"/>
        <v>－</v>
      </c>
      <c r="P55" s="853" t="str">
        <f t="shared" si="21"/>
        <v>－</v>
      </c>
      <c r="Q55" s="765" t="str">
        <f t="shared" si="20"/>
        <v>－</v>
      </c>
    </row>
    <row r="56" spans="1:17">
      <c r="A56" s="82"/>
      <c r="B56" s="35" t="s">
        <v>71</v>
      </c>
      <c r="C56" s="124"/>
      <c r="D56" s="221"/>
      <c r="E56" s="218"/>
      <c r="F56" s="619" t="str">
        <f>IFERROR($F$53*SUM('2_サービス別給付費'!G153:I153)/SUM('2_サービス別給付費'!$G$150:$I$150),"－")</f>
        <v>－</v>
      </c>
      <c r="G56" s="664" t="str">
        <f>IFERROR(G53*SUM('2_サービス別給付費'!J153)/SUM('2_サービス別給付費'!J150),"－")</f>
        <v>－</v>
      </c>
      <c r="H56" s="664" t="str">
        <f>IFERROR(H53*SUM('2_サービス別給付費'!K153)/SUM('2_サービス別給付費'!K150),"－")</f>
        <v>－</v>
      </c>
      <c r="I56" s="664" t="str">
        <f>IFERROR(I53*SUM('2_サービス別給付費'!L153)/SUM('2_サービス別給付費'!L150),"－")</f>
        <v>－</v>
      </c>
      <c r="J56" s="664" t="str">
        <f>IFERROR(J53*SUM('2_サービス別給付費'!M153)/SUM('2_サービス別給付費'!M150),"－")</f>
        <v>－</v>
      </c>
      <c r="K56" s="764" t="str">
        <f>IFERROR(K53*SUM('2_サービス別給付費'!N153)/SUM('2_サービス別給付費'!N150),"－")</f>
        <v>－</v>
      </c>
      <c r="L56" s="666" t="str">
        <f t="shared" si="16"/>
        <v>－</v>
      </c>
      <c r="M56" s="667" t="str">
        <f t="shared" si="17"/>
        <v>－</v>
      </c>
      <c r="N56" s="667" t="str">
        <f t="shared" si="18"/>
        <v>－</v>
      </c>
      <c r="O56" s="667" t="str">
        <f t="shared" si="19"/>
        <v>－</v>
      </c>
      <c r="P56" s="853" t="str">
        <f t="shared" si="21"/>
        <v>－</v>
      </c>
      <c r="Q56" s="765" t="str">
        <f t="shared" si="20"/>
        <v>－</v>
      </c>
    </row>
    <row r="57" spans="1:17">
      <c r="A57" s="126" t="s">
        <v>82</v>
      </c>
      <c r="B57" s="126"/>
      <c r="C57" s="125"/>
      <c r="D57" s="219"/>
      <c r="E57" s="220"/>
      <c r="F57" s="619" t="str">
        <f>IFERROR(((F75+F78+F81+F82)*'(参考)保険料の推計に要する係数'!D5+F85)/(F255*F106*12),"－")</f>
        <v>－</v>
      </c>
      <c r="G57" s="664" t="str">
        <f>IFERROR(((J75+J78+J81+J82)*'(参考)保険料の推計に要する係数'!E5+J85)/(J255*J106*12),"－")</f>
        <v>－</v>
      </c>
      <c r="H57" s="664" t="str">
        <f>IFERROR(((K75+K78+K81+K82)*'(参考)保険料の推計に要する係数'!F5+K85)/(K255*K106*12),"－")</f>
        <v>－</v>
      </c>
      <c r="I57" s="664" t="str">
        <f>IFERROR(((L75+L78+L81+L82)*'(参考)保険料の推計に要する係数'!G5+L85)/(L255*L106*12),"－")</f>
        <v>－</v>
      </c>
      <c r="J57" s="664" t="str">
        <f>IFERROR(((M75+M78+M81+M82)*'(参考)保険料の推計に要する係数'!H5+M85)/(M255*M106*12),"－")</f>
        <v>－</v>
      </c>
      <c r="K57" s="764" t="str">
        <f>IFERROR(((N75+N78+N81+N82)*'(参考)保険料の推計に要する係数'!I5+N85)/(N255*N106*12),"－")</f>
        <v>－</v>
      </c>
      <c r="L57" s="666" t="str">
        <f t="shared" si="16"/>
        <v>－</v>
      </c>
      <c r="M57" s="667" t="str">
        <f t="shared" si="17"/>
        <v>－</v>
      </c>
      <c r="N57" s="667" t="str">
        <f t="shared" si="18"/>
        <v>－</v>
      </c>
      <c r="O57" s="667" t="str">
        <f t="shared" si="19"/>
        <v>－</v>
      </c>
      <c r="P57" s="853" t="str">
        <f t="shared" si="21"/>
        <v>－</v>
      </c>
      <c r="Q57" s="765" t="str">
        <f t="shared" si="20"/>
        <v>－</v>
      </c>
    </row>
    <row r="58" spans="1:17">
      <c r="A58" s="126" t="s">
        <v>83</v>
      </c>
      <c r="B58" s="222"/>
      <c r="C58" s="219"/>
      <c r="D58" s="219"/>
      <c r="E58" s="220"/>
      <c r="F58" s="619" t="str">
        <f>IFERROR(F86*'(参考)保険料の推計に要する係数'!D5/(F255*F106*12),"－")</f>
        <v>－</v>
      </c>
      <c r="G58" s="664" t="str">
        <f>IFERROR(J86*'(参考)保険料の推計に要する係数'!E5/(J255*J106*12),"－")</f>
        <v>－</v>
      </c>
      <c r="H58" s="664" t="str">
        <f>IFERROR(K86*'(参考)保険料の推計に要する係数'!F5/(K255*K106*12),"－")</f>
        <v>－</v>
      </c>
      <c r="I58" s="664" t="str">
        <f>IFERROR(L86*'(参考)保険料の推計に要する係数'!G5/(L255*L106*12),"－")</f>
        <v>－</v>
      </c>
      <c r="J58" s="664" t="str">
        <f>IFERROR(M86*'(参考)保険料の推計に要する係数'!H5/(M255*M106*12),"－")</f>
        <v>－</v>
      </c>
      <c r="K58" s="764" t="str">
        <f>IFERROR(N86*'(参考)保険料の推計に要する係数'!I5/(N255*N106*12),"－")</f>
        <v>－</v>
      </c>
      <c r="L58" s="666" t="str">
        <f t="shared" si="16"/>
        <v>－</v>
      </c>
      <c r="M58" s="667" t="str">
        <f t="shared" si="17"/>
        <v>－</v>
      </c>
      <c r="N58" s="667" t="str">
        <f t="shared" si="18"/>
        <v>－</v>
      </c>
      <c r="O58" s="667" t="str">
        <f t="shared" si="19"/>
        <v>－</v>
      </c>
      <c r="P58" s="853" t="str">
        <f t="shared" si="21"/>
        <v>－</v>
      </c>
      <c r="Q58" s="765" t="str">
        <f t="shared" si="20"/>
        <v>－</v>
      </c>
    </row>
    <row r="59" spans="1:17">
      <c r="A59" s="126" t="s">
        <v>84</v>
      </c>
      <c r="B59" s="222"/>
      <c r="C59" s="219"/>
      <c r="D59" s="219"/>
      <c r="E59" s="220"/>
      <c r="F59" s="619" t="str">
        <f>IFERROR((F18+F21)/(F255*F106*12),"－")</f>
        <v>－</v>
      </c>
      <c r="G59" s="664" t="str">
        <f>IFERROR((G18+G21)/(J255*J106*12),"－")</f>
        <v>－</v>
      </c>
      <c r="H59" s="664" t="str">
        <f>IFERROR((H18+H21)/(K255*K106*12),"－")</f>
        <v>－</v>
      </c>
      <c r="I59" s="664" t="str">
        <f>IFERROR((I18+I21)/(L255*L106*12),"－")</f>
        <v>－</v>
      </c>
      <c r="J59" s="664" t="str">
        <f>IFERROR((J18+J21)/(M255*M106*12),"－")</f>
        <v>－</v>
      </c>
      <c r="K59" s="764" t="str">
        <f>IFERROR((K18+K21)/(N255*N106*12),"－")</f>
        <v>－</v>
      </c>
      <c r="L59" s="666" t="str">
        <f t="shared" si="16"/>
        <v>－</v>
      </c>
      <c r="M59" s="667" t="str">
        <f t="shared" si="17"/>
        <v>－</v>
      </c>
      <c r="N59" s="667" t="str">
        <f t="shared" si="18"/>
        <v>－</v>
      </c>
      <c r="O59" s="667" t="str">
        <f t="shared" si="19"/>
        <v>－</v>
      </c>
      <c r="P59" s="853" t="str">
        <f t="shared" si="21"/>
        <v>－</v>
      </c>
      <c r="Q59" s="765" t="str">
        <f t="shared" si="20"/>
        <v>－</v>
      </c>
    </row>
    <row r="60" spans="1:17">
      <c r="A60" s="126" t="s">
        <v>85</v>
      </c>
      <c r="B60" s="126"/>
      <c r="C60" s="125"/>
      <c r="D60" s="125"/>
      <c r="E60" s="220"/>
      <c r="F60" s="619" t="str">
        <f>IFERROR((F102+F103-F104)/(F255*F106*12),"－")</f>
        <v>－</v>
      </c>
      <c r="G60" s="664" t="str">
        <f>IFERROR((J102+J103-J104)/(J255*J106*12),"－")</f>
        <v>－</v>
      </c>
      <c r="H60" s="664" t="str">
        <f>IFERROR((K102+K103-K104)/(K255*K106*12),"－")</f>
        <v>－</v>
      </c>
      <c r="I60" s="664" t="str">
        <f>IFERROR((L102+L103-L104)/(L255*L106*12),"－")</f>
        <v>－</v>
      </c>
      <c r="J60" s="664" t="str">
        <f>IFERROR((M102+M103-M104)/(M255*M106*12),"－")</f>
        <v>－</v>
      </c>
      <c r="K60" s="764" t="str">
        <f>IFERROR((N102+N103-N104)/(N255*N106*12),"－")</f>
        <v>－</v>
      </c>
      <c r="L60" s="666" t="str">
        <f t="shared" si="16"/>
        <v>－</v>
      </c>
      <c r="M60" s="667" t="str">
        <f t="shared" si="17"/>
        <v>－</v>
      </c>
      <c r="N60" s="667" t="str">
        <f t="shared" si="18"/>
        <v>－</v>
      </c>
      <c r="O60" s="667" t="str">
        <f t="shared" si="19"/>
        <v>－</v>
      </c>
      <c r="P60" s="853" t="str">
        <f t="shared" si="21"/>
        <v>－</v>
      </c>
      <c r="Q60" s="765" t="str">
        <f t="shared" si="20"/>
        <v>－</v>
      </c>
    </row>
    <row r="61" spans="1:17">
      <c r="A61" s="126" t="s">
        <v>86</v>
      </c>
      <c r="B61" s="126"/>
      <c r="C61" s="125"/>
      <c r="D61" s="125"/>
      <c r="E61" s="220"/>
      <c r="F61" s="619" t="str">
        <f>IFERROR(F53+SUM(F57:F60),"－")</f>
        <v>－</v>
      </c>
      <c r="G61" s="664" t="str">
        <f>IFERROR(G53+SUM(G57:G60),"－")</f>
        <v>－</v>
      </c>
      <c r="H61" s="664" t="str">
        <f t="shared" ref="H61:K61" si="22">IFERROR(H53+SUM(H57:H60),"－")</f>
        <v>－</v>
      </c>
      <c r="I61" s="664" t="str">
        <f t="shared" si="22"/>
        <v>－</v>
      </c>
      <c r="J61" s="664" t="str">
        <f t="shared" si="22"/>
        <v>－</v>
      </c>
      <c r="K61" s="764" t="str">
        <f t="shared" si="22"/>
        <v>－</v>
      </c>
      <c r="L61" s="666" t="str">
        <f t="shared" si="16"/>
        <v>－</v>
      </c>
      <c r="M61" s="667" t="str">
        <f t="shared" si="17"/>
        <v>－</v>
      </c>
      <c r="N61" s="667" t="str">
        <f t="shared" si="18"/>
        <v>－</v>
      </c>
      <c r="O61" s="667" t="str">
        <f t="shared" si="19"/>
        <v>－</v>
      </c>
      <c r="P61" s="853" t="str">
        <f t="shared" si="21"/>
        <v>－</v>
      </c>
      <c r="Q61" s="765" t="str">
        <f t="shared" si="20"/>
        <v>－</v>
      </c>
    </row>
    <row r="62" spans="1:17">
      <c r="A62" s="126" t="s">
        <v>87</v>
      </c>
      <c r="B62" s="222"/>
      <c r="C62" s="219"/>
      <c r="D62" s="219"/>
      <c r="E62" s="220"/>
      <c r="F62" s="619" t="str">
        <f>IFERROR(F15/(F255*F106*12),"－")</f>
        <v>－</v>
      </c>
      <c r="G62" s="664" t="str">
        <f>IFERROR(G15/(J255*J106*12),"－")</f>
        <v>－</v>
      </c>
      <c r="H62" s="664" t="str">
        <f>IFERROR(H15/(K255*K106*12),"－")</f>
        <v>－</v>
      </c>
      <c r="I62" s="664" t="str">
        <f>IFERROR(I15/(L255*L106*12),"－")</f>
        <v>－</v>
      </c>
      <c r="J62" s="664" t="str">
        <f>IFERROR(J15/(M255*M106*12),"－")</f>
        <v>－</v>
      </c>
      <c r="K62" s="764" t="str">
        <f>IFERROR(K15/(N255*N106*12),"－")</f>
        <v>－</v>
      </c>
      <c r="L62" s="666" t="str">
        <f t="shared" si="16"/>
        <v>－</v>
      </c>
      <c r="M62" s="667" t="str">
        <f t="shared" si="17"/>
        <v>－</v>
      </c>
      <c r="N62" s="667" t="str">
        <f t="shared" si="18"/>
        <v>－</v>
      </c>
      <c r="O62" s="667" t="str">
        <f t="shared" si="19"/>
        <v>－</v>
      </c>
      <c r="P62" s="853" t="str">
        <f t="shared" si="21"/>
        <v>－</v>
      </c>
      <c r="Q62" s="765" t="str">
        <f t="shared" si="20"/>
        <v>－</v>
      </c>
    </row>
    <row r="63" spans="1:17" ht="14.25" thickBot="1">
      <c r="A63" s="127" t="s">
        <v>147</v>
      </c>
      <c r="B63" s="127"/>
      <c r="C63" s="128"/>
      <c r="D63" s="128"/>
      <c r="E63" s="223"/>
      <c r="F63" s="620" t="str">
        <f>IFERROR(F61-F62,"－")</f>
        <v>－</v>
      </c>
      <c r="G63" s="665" t="str">
        <f>IFERROR(G61-G62,"－")</f>
        <v>－</v>
      </c>
      <c r="H63" s="665" t="str">
        <f t="shared" ref="H63:K63" si="23">IFERROR(H61-H62,"－")</f>
        <v>－</v>
      </c>
      <c r="I63" s="665" t="str">
        <f t="shared" si="23"/>
        <v>－</v>
      </c>
      <c r="J63" s="665" t="str">
        <f t="shared" si="23"/>
        <v>－</v>
      </c>
      <c r="K63" s="766" t="str">
        <f t="shared" si="23"/>
        <v>－</v>
      </c>
      <c r="L63" s="669" t="str">
        <f t="shared" si="16"/>
        <v>－</v>
      </c>
      <c r="M63" s="668" t="str">
        <f t="shared" si="17"/>
        <v>－</v>
      </c>
      <c r="N63" s="668" t="str">
        <f t="shared" si="18"/>
        <v>－</v>
      </c>
      <c r="O63" s="668" t="str">
        <f t="shared" si="19"/>
        <v>－</v>
      </c>
      <c r="P63" s="854" t="str">
        <f t="shared" si="21"/>
        <v>－</v>
      </c>
      <c r="Q63" s="767" t="str">
        <f t="shared" si="20"/>
        <v>－</v>
      </c>
    </row>
    <row r="64" spans="1:17">
      <c r="A64" s="195"/>
      <c r="B64" s="198"/>
      <c r="C64" s="198"/>
      <c r="D64" s="198"/>
      <c r="E64" s="198"/>
      <c r="F64" s="198"/>
      <c r="G64" s="198"/>
      <c r="H64" s="198"/>
      <c r="I64" s="198"/>
      <c r="J64" s="198"/>
    </row>
    <row r="65" spans="1:14" ht="14.25" thickBot="1">
      <c r="A65" s="195" t="s">
        <v>149</v>
      </c>
    </row>
    <row r="66" spans="1:14">
      <c r="A66" s="226"/>
      <c r="B66" s="227"/>
      <c r="C66" s="227"/>
      <c r="D66" s="227"/>
      <c r="E66" s="227"/>
      <c r="F66" s="1144" t="s">
        <v>336</v>
      </c>
      <c r="G66" s="1145"/>
      <c r="H66" s="1145"/>
      <c r="I66" s="1145"/>
      <c r="J66" s="1025" t="s">
        <v>421</v>
      </c>
      <c r="K66" s="1026" t="s">
        <v>422</v>
      </c>
      <c r="L66" s="1026" t="s">
        <v>423</v>
      </c>
      <c r="M66" s="1026" t="s">
        <v>424</v>
      </c>
      <c r="N66" s="1027" t="s">
        <v>420</v>
      </c>
    </row>
    <row r="67" spans="1:14" ht="14.25" thickBot="1">
      <c r="A67" s="228"/>
      <c r="F67" s="229" t="s">
        <v>150</v>
      </c>
      <c r="G67" s="230" t="s">
        <v>347</v>
      </c>
      <c r="H67" s="231" t="s">
        <v>346</v>
      </c>
      <c r="I67" s="1028" t="s">
        <v>345</v>
      </c>
      <c r="J67" s="1029" t="s">
        <v>368</v>
      </c>
      <c r="K67" s="993" t="s">
        <v>371</v>
      </c>
      <c r="L67" s="993" t="s">
        <v>374</v>
      </c>
      <c r="M67" s="993" t="s">
        <v>377</v>
      </c>
      <c r="N67" s="1005" t="s">
        <v>380</v>
      </c>
    </row>
    <row r="68" spans="1:14">
      <c r="A68" s="129" t="s">
        <v>385</v>
      </c>
      <c r="B68" s="83"/>
      <c r="C68" s="83"/>
      <c r="D68" s="83"/>
      <c r="E68" s="83"/>
      <c r="F68" s="152" t="n">
        <f t="shared" ref="F68:F75" si="24">SUM(G68:I68)</f>
        <v>3.404947196E9</v>
      </c>
      <c r="G68" s="232" t="n">
        <f t="shared" ref="G68:N68" si="25">G69+G75+G78+G81+G82</f>
        <v>1.129748278E9</v>
      </c>
      <c r="H68" s="233" t="n">
        <f t="shared" si="25"/>
        <v>1.136108539E9</v>
      </c>
      <c r="I68" s="234" t="n">
        <f t="shared" si="25"/>
        <v>1.139090379E9</v>
      </c>
      <c r="J68" s="644" t="n">
        <f t="shared" si="25"/>
        <v>1.1686919E9</v>
      </c>
      <c r="K68" s="770" t="n">
        <f t="shared" si="25"/>
        <v>1.267476768E9</v>
      </c>
      <c r="L68" s="770" t="n">
        <f t="shared" si="25"/>
        <v>1.386159797E9</v>
      </c>
      <c r="M68" s="855" t="n">
        <f t="shared" si="25"/>
        <v>1.377949913E9</v>
      </c>
      <c r="N68" s="771" t="n">
        <f t="shared" si="25"/>
        <v>1.214840638E9</v>
      </c>
    </row>
    <row r="69" spans="1:14">
      <c r="A69" s="235"/>
      <c r="B69" s="130" t="s">
        <v>329</v>
      </c>
      <c r="C69" s="130"/>
      <c r="D69" s="236"/>
      <c r="E69" s="34"/>
      <c r="F69" s="169" t="n">
        <f t="shared" si="24"/>
        <v>3.144511E9</v>
      </c>
      <c r="G69" s="237" t="n">
        <f>SUM(G70:G74)</f>
        <v>1.04358E9</v>
      </c>
      <c r="H69" s="237" t="n">
        <f t="shared" ref="H69:I69" si="26">SUM(H70:H74)</f>
        <v>1.049346E9</v>
      </c>
      <c r="I69" s="237" t="n">
        <f t="shared" si="26"/>
        <v>1.051585E9</v>
      </c>
      <c r="J69" s="645" t="n">
        <f>SUM(J70:J73)</f>
        <v>1.081038E9</v>
      </c>
      <c r="K69" s="645" t="n">
        <f t="shared" ref="K69:N69" si="27">SUM(K70:K73)</f>
        <v>1.172246E9</v>
      </c>
      <c r="L69" s="645" t="n">
        <f t="shared" si="27"/>
        <v>1.283055E9</v>
      </c>
      <c r="M69" s="645" t="n">
        <f t="shared" si="27"/>
        <v>1.277965E9</v>
      </c>
      <c r="N69" s="892" t="n">
        <f t="shared" si="27"/>
        <v>1.126741E9</v>
      </c>
    </row>
    <row r="70" spans="1:14" ht="13.15" customHeight="1">
      <c r="A70" s="82"/>
      <c r="B70" s="130"/>
      <c r="C70" s="238" t="s">
        <v>328</v>
      </c>
      <c r="D70" s="239"/>
      <c r="E70" s="239"/>
      <c r="F70" s="240" t="n">
        <f t="shared" si="24"/>
        <v>3.144511E9</v>
      </c>
      <c r="G70" s="237" t="n">
        <f>'2_サービス別給付費'!G150*1000</f>
        <v>1.04358E9</v>
      </c>
      <c r="H70" s="237" t="n">
        <f>'2_サービス別給付費'!H150*1000</f>
        <v>1.049346E9</v>
      </c>
      <c r="I70" s="911" t="n">
        <f>'2_サービス別給付費'!I150*1000</f>
        <v>1.051585E9</v>
      </c>
      <c r="J70" s="645" t="n">
        <f>'2_サービス別給付費'!J150*1000</f>
        <v>1.081038E9</v>
      </c>
      <c r="K70" s="645" t="n">
        <f>'2_サービス別給付費'!K150*1000</f>
        <v>1.172246E9</v>
      </c>
      <c r="L70" s="645" t="n">
        <f>'2_サービス別給付費'!L150*1000</f>
        <v>1.283055E9</v>
      </c>
      <c r="M70" s="645" t="n">
        <f>'2_サービス別給付費'!M150*1000</f>
        <v>1.277965E9</v>
      </c>
      <c r="N70" s="892" t="n">
        <f>'2_サービス別給付費'!N150*1000</f>
        <v>1.126741E9</v>
      </c>
    </row>
    <row r="71" spans="1:14" ht="13.15" customHeight="1">
      <c r="A71" s="82"/>
      <c r="B71" s="130"/>
      <c r="C71" s="1148" t="s">
        <v>402</v>
      </c>
      <c r="D71" s="1149"/>
      <c r="E71" s="1150"/>
      <c r="F71" s="240" t="n">
        <f t="shared" si="24"/>
        <v>0.0</v>
      </c>
      <c r="G71" s="244" t="n">
        <v>0.0</v>
      </c>
      <c r="H71" s="245" t="n">
        <v>0.0</v>
      </c>
      <c r="I71" s="246" t="n">
        <v>0.0</v>
      </c>
      <c r="J71" s="646" t="n">
        <v>0.0</v>
      </c>
      <c r="K71" s="773" t="n">
        <v>0.0</v>
      </c>
      <c r="L71" s="773" t="n">
        <v>0.0</v>
      </c>
      <c r="M71" s="857" t="n">
        <v>0.0</v>
      </c>
      <c r="N71" s="774" t="n">
        <v>0.0</v>
      </c>
    </row>
    <row r="72" spans="1:14" ht="13.15" customHeight="1">
      <c r="A72" s="82"/>
      <c r="B72" s="130"/>
      <c r="C72" s="1148" t="s">
        <v>403</v>
      </c>
      <c r="D72" s="1149"/>
      <c r="E72" s="1150"/>
      <c r="F72" s="240" t="n">
        <f>SUM(G72:I72)</f>
        <v>0.0</v>
      </c>
      <c r="G72" s="244" t="n">
        <v>0.0</v>
      </c>
      <c r="H72" s="245" t="n">
        <v>0.0</v>
      </c>
      <c r="I72" s="246" t="n">
        <v>0.0</v>
      </c>
      <c r="J72" s="646" t="n">
        <v>0.0</v>
      </c>
      <c r="K72" s="773" t="n">
        <v>0.0</v>
      </c>
      <c r="L72" s="773" t="n">
        <v>0.0</v>
      </c>
      <c r="M72" s="857" t="n">
        <v>0.0</v>
      </c>
      <c r="N72" s="774" t="n">
        <v>0.0</v>
      </c>
    </row>
    <row r="73" spans="1:14" ht="13.15" customHeight="1">
      <c r="A73" s="82"/>
      <c r="B73" s="130"/>
      <c r="C73" s="1148" t="s">
        <v>404</v>
      </c>
      <c r="D73" s="1149"/>
      <c r="E73" s="1150"/>
      <c r="F73" s="240" t="n">
        <f>SUM(G73:I73)</f>
        <v>0.0</v>
      </c>
      <c r="G73" s="244" t="n">
        <v>0.0</v>
      </c>
      <c r="H73" s="245" t="n">
        <v>0.0</v>
      </c>
      <c r="I73" s="246" t="n">
        <v>0.0</v>
      </c>
      <c r="J73" s="646" t="n">
        <v>0.0</v>
      </c>
      <c r="K73" s="773" t="n">
        <v>0.0</v>
      </c>
      <c r="L73" s="773" t="n">
        <v>0.0</v>
      </c>
      <c r="M73" s="857" t="n">
        <v>0.0</v>
      </c>
      <c r="N73" s="774" t="n">
        <v>0.0</v>
      </c>
    </row>
    <row r="74" spans="1:14" ht="13.15" customHeight="1">
      <c r="A74" s="82"/>
      <c r="B74" s="130"/>
      <c r="C74" s="1148" t="s">
        <v>405</v>
      </c>
      <c r="D74" s="1149"/>
      <c r="E74" s="1150"/>
      <c r="F74" s="240" t="n">
        <f t="shared" si="24"/>
        <v>0.0</v>
      </c>
      <c r="G74" s="244" t="n">
        <v>0.0</v>
      </c>
      <c r="H74" s="245" t="n">
        <v>0.0</v>
      </c>
      <c r="I74" s="246" t="n">
        <v>0.0</v>
      </c>
      <c r="J74" s="268"/>
      <c r="K74" s="268"/>
      <c r="L74" s="268"/>
      <c r="M74" s="268"/>
      <c r="N74" s="954"/>
    </row>
    <row r="75" spans="1:14">
      <c r="A75" s="235"/>
      <c r="B75" s="1146" t="s">
        <v>270</v>
      </c>
      <c r="C75" s="1147"/>
      <c r="D75" s="1147"/>
      <c r="E75" s="1147"/>
      <c r="F75" s="240" t="n">
        <f t="shared" si="24"/>
        <v>1.58569224E8</v>
      </c>
      <c r="G75" s="291" t="n">
        <f t="shared" ref="G75:N75" si="28">G76+G77</f>
        <v>5.2464432E7</v>
      </c>
      <c r="H75" s="775" t="n">
        <f t="shared" si="28"/>
        <v>5.2826256E7</v>
      </c>
      <c r="I75" s="776" t="n">
        <f t="shared" si="28"/>
        <v>5.3278536E7</v>
      </c>
      <c r="J75" s="697" t="n">
        <f t="shared" si="28"/>
        <v>5.3368992E7</v>
      </c>
      <c r="K75" s="697" t="n">
        <f t="shared" si="28"/>
        <v>5.7982243E7</v>
      </c>
      <c r="L75" s="697" t="n">
        <f t="shared" si="28"/>
        <v>6.2776406E7</v>
      </c>
      <c r="M75" s="697" t="n">
        <f t="shared" si="28"/>
        <v>6.0876832E7</v>
      </c>
      <c r="N75" s="893" t="n">
        <f t="shared" si="28"/>
        <v>5.3640358E7</v>
      </c>
    </row>
    <row r="76" spans="1:14">
      <c r="A76" s="82"/>
      <c r="B76" s="778"/>
      <c r="C76" s="779" t="s">
        <v>269</v>
      </c>
      <c r="D76" s="247"/>
      <c r="E76" s="247"/>
      <c r="F76" s="240" t="n">
        <f t="shared" ref="F76:F80" si="29">SUM(G76:I76)</f>
        <v>1.58569224E8</v>
      </c>
      <c r="G76" s="244" t="n">
        <v>5.2464432E7</v>
      </c>
      <c r="H76" s="245" t="n">
        <v>5.2826256E7</v>
      </c>
      <c r="I76" s="246" t="n">
        <v>5.3278536E7</v>
      </c>
      <c r="J76" s="646" t="n">
        <v>5.3368992E7</v>
      </c>
      <c r="K76" s="773" t="n">
        <v>5.7982243E7</v>
      </c>
      <c r="L76" s="773" t="n">
        <v>6.2776406E7</v>
      </c>
      <c r="M76" s="857" t="n">
        <v>6.0876832E7</v>
      </c>
      <c r="N76" s="774" t="n">
        <v>5.3640358E7</v>
      </c>
    </row>
    <row r="77" spans="1:14">
      <c r="A77" s="235"/>
      <c r="B77" s="131"/>
      <c r="C77" s="779" t="s">
        <v>330</v>
      </c>
      <c r="D77" s="247"/>
      <c r="E77" s="247"/>
      <c r="F77" s="240" t="n">
        <f t="shared" si="29"/>
        <v>0.0</v>
      </c>
      <c r="G77" s="780" t="n">
        <v>0.0</v>
      </c>
      <c r="H77" s="245" t="n">
        <v>0.0</v>
      </c>
      <c r="I77" s="246" t="n">
        <v>0.0</v>
      </c>
      <c r="J77" s="646" t="n">
        <v>0.0</v>
      </c>
      <c r="K77" s="773" t="n">
        <v>0.0</v>
      </c>
      <c r="L77" s="773" t="n">
        <v>0.0</v>
      </c>
      <c r="M77" s="857" t="n">
        <v>0.0</v>
      </c>
      <c r="N77" s="774" t="n">
        <v>0.0</v>
      </c>
    </row>
    <row r="78" spans="1:14">
      <c r="A78" s="235"/>
      <c r="B78" s="781" t="s">
        <v>272</v>
      </c>
      <c r="C78" s="782"/>
      <c r="D78" s="782"/>
      <c r="E78" s="782"/>
      <c r="F78" s="240" t="n">
        <f>SUM(G78:I78)</f>
        <v>9.4319735E7</v>
      </c>
      <c r="G78" s="291" t="n">
        <f t="shared" ref="G78:N78" si="30">G79+G80</f>
        <v>3.1206758E7</v>
      </c>
      <c r="H78" s="775" t="n">
        <f t="shared" si="30"/>
        <v>3.1421977E7</v>
      </c>
      <c r="I78" s="776" t="n">
        <f t="shared" si="30"/>
        <v>3.1691E7</v>
      </c>
      <c r="J78" s="697" t="n">
        <f t="shared" si="30"/>
        <v>3.1744805E7</v>
      </c>
      <c r="K78" s="777" t="n">
        <f t="shared" si="30"/>
        <v>3.4488848E7</v>
      </c>
      <c r="L78" s="777" t="n">
        <f t="shared" si="30"/>
        <v>3.73405E7</v>
      </c>
      <c r="M78" s="858" t="n">
        <f t="shared" si="30"/>
        <v>3.62106E7</v>
      </c>
      <c r="N78" s="894" t="n">
        <f t="shared" si="30"/>
        <v>3.1906219E7</v>
      </c>
    </row>
    <row r="79" spans="1:14">
      <c r="A79" s="235"/>
      <c r="B79" s="783"/>
      <c r="C79" s="288" t="s">
        <v>271</v>
      </c>
      <c r="D79" s="288"/>
      <c r="E79" s="288"/>
      <c r="F79" s="240" t="n">
        <f t="shared" si="29"/>
        <v>9.4319735E7</v>
      </c>
      <c r="G79" s="244" t="n">
        <v>3.1206758E7</v>
      </c>
      <c r="H79" s="245" t="n">
        <v>3.1421977E7</v>
      </c>
      <c r="I79" s="246" t="n">
        <v>3.1691E7</v>
      </c>
      <c r="J79" s="646" t="n">
        <v>3.1744805E7</v>
      </c>
      <c r="K79" s="773" t="n">
        <v>3.4488848E7</v>
      </c>
      <c r="L79" s="773" t="n">
        <v>3.73405E7</v>
      </c>
      <c r="M79" s="857" t="n">
        <v>3.62106E7</v>
      </c>
      <c r="N79" s="774" t="n">
        <v>3.1906219E7</v>
      </c>
    </row>
    <row r="80" spans="1:14">
      <c r="A80" s="235"/>
      <c r="B80" s="784"/>
      <c r="C80" s="779" t="s">
        <v>330</v>
      </c>
      <c r="D80" s="288"/>
      <c r="E80" s="288"/>
      <c r="F80" s="240" t="n">
        <f t="shared" si="29"/>
        <v>0.0</v>
      </c>
      <c r="G80" s="244" t="n">
        <v>0.0</v>
      </c>
      <c r="H80" s="245" t="n">
        <v>0.0</v>
      </c>
      <c r="I80" s="246" t="n">
        <v>0.0</v>
      </c>
      <c r="J80" s="646" t="n">
        <v>0.0</v>
      </c>
      <c r="K80" s="773" t="n">
        <v>0.0</v>
      </c>
      <c r="L80" s="773" t="n">
        <v>0.0</v>
      </c>
      <c r="M80" s="857" t="n">
        <v>0.0</v>
      </c>
      <c r="N80" s="774" t="n">
        <v>0.0</v>
      </c>
    </row>
    <row r="81" spans="1:14">
      <c r="A81" s="235"/>
      <c r="B81" s="132" t="s">
        <v>151</v>
      </c>
      <c r="C81" s="133"/>
      <c r="D81" s="133"/>
      <c r="E81" s="133"/>
      <c r="F81" s="240" t="n">
        <f>SUM(G81:I81)</f>
        <v>5573657.0</v>
      </c>
      <c r="G81" s="244" t="n">
        <v>1844108.0</v>
      </c>
      <c r="H81" s="245" t="n">
        <v>1856826.0</v>
      </c>
      <c r="I81" s="246" t="n">
        <v>1872723.0</v>
      </c>
      <c r="J81" s="646" t="n">
        <v>1875903.0</v>
      </c>
      <c r="K81" s="773" t="n">
        <v>2038057.0</v>
      </c>
      <c r="L81" s="773" t="n">
        <v>2206571.0</v>
      </c>
      <c r="M81" s="857" t="n">
        <v>2139801.0</v>
      </c>
      <c r="N81" s="774" t="n">
        <v>1885441.0</v>
      </c>
    </row>
    <row r="82" spans="1:14">
      <c r="A82" s="235"/>
      <c r="B82" s="130" t="s">
        <v>152</v>
      </c>
      <c r="C82" s="34"/>
      <c r="D82" s="34"/>
      <c r="E82" s="34"/>
      <c r="F82" s="240" t="n">
        <f>SUM(G82:I82)</f>
        <v>1973580.0</v>
      </c>
      <c r="G82" s="241" t="n">
        <f t="shared" ref="G82:N82" si="31">G83*G84-G85</f>
        <v>652980.0</v>
      </c>
      <c r="H82" s="242" t="n">
        <f t="shared" si="31"/>
        <v>657480.0</v>
      </c>
      <c r="I82" s="243" t="n">
        <f t="shared" si="31"/>
        <v>663120.0</v>
      </c>
      <c r="J82" s="645" t="n">
        <f t="shared" si="31"/>
        <v>664200.0</v>
      </c>
      <c r="K82" s="772" t="n">
        <f t="shared" si="31"/>
        <v>721620.0</v>
      </c>
      <c r="L82" s="772" t="n">
        <f t="shared" si="31"/>
        <v>781320.0</v>
      </c>
      <c r="M82" s="856" t="n">
        <f t="shared" si="31"/>
        <v>757680.0</v>
      </c>
      <c r="N82" s="895" t="n">
        <f t="shared" si="31"/>
        <v>667620.0</v>
      </c>
    </row>
    <row r="83" spans="1:14">
      <c r="A83" s="82"/>
      <c r="B83" s="130"/>
      <c r="C83" s="132" t="s">
        <v>230</v>
      </c>
      <c r="D83" s="250"/>
      <c r="E83" s="133"/>
      <c r="F83" s="153"/>
      <c r="G83" s="244" t="n">
        <v>60.0</v>
      </c>
      <c r="H83" s="245" t="n">
        <v>60.0</v>
      </c>
      <c r="I83" s="246" t="n">
        <v>60.0</v>
      </c>
      <c r="J83" s="646" t="n">
        <v>60.0</v>
      </c>
      <c r="K83" s="773" t="n">
        <v>60.0</v>
      </c>
      <c r="L83" s="773" t="n">
        <v>60.0</v>
      </c>
      <c r="M83" s="857" t="n">
        <v>60.0</v>
      </c>
      <c r="N83" s="774" t="n">
        <v>60.0</v>
      </c>
    </row>
    <row r="84" spans="1:14">
      <c r="A84" s="82"/>
      <c r="B84" s="130"/>
      <c r="C84" s="251" t="s">
        <v>231</v>
      </c>
      <c r="D84" s="252"/>
      <c r="E84" s="133"/>
      <c r="F84" s="169" t="n">
        <f t="shared" ref="F84:F86" si="32">SUM(G84:I84)</f>
        <v>32893.0</v>
      </c>
      <c r="G84" s="244" t="n">
        <v>10883.0</v>
      </c>
      <c r="H84" s="245" t="n">
        <v>10958.0</v>
      </c>
      <c r="I84" s="246" t="n">
        <v>11052.0</v>
      </c>
      <c r="J84" s="646" t="n">
        <v>11070.0</v>
      </c>
      <c r="K84" s="773" t="n">
        <v>12027.0</v>
      </c>
      <c r="L84" s="773" t="n">
        <v>13022.0</v>
      </c>
      <c r="M84" s="857" t="n">
        <v>12628.0</v>
      </c>
      <c r="N84" s="774" t="n">
        <v>11127.0</v>
      </c>
    </row>
    <row r="85" spans="1:14" ht="13.5" customHeight="1">
      <c r="A85" s="134"/>
      <c r="B85" s="135"/>
      <c r="C85" s="253" t="s">
        <v>386</v>
      </c>
      <c r="D85" s="125"/>
      <c r="E85" s="125"/>
      <c r="F85" s="169" t="n">
        <f t="shared" si="32"/>
        <v>0.0</v>
      </c>
      <c r="G85" s="241" t="n">
        <f>IF(G83-'(参考)保険料の推計に要する係数'!$D$48&gt;0,(G83-'(参考)保険料の推計に要する係数'!$D$48)*G84,0)</f>
        <v>0.0</v>
      </c>
      <c r="H85" s="241" t="n">
        <f>IF(H83-'(参考)保険料の推計に要する係数'!$D$48&gt;0,(H83-'(参考)保険料の推計に要する係数'!$D$48)*H84,0)</f>
        <v>0.0</v>
      </c>
      <c r="I85" s="912" t="n">
        <f>IF(I83-'(参考)保険料の推計に要する係数'!$D$48&gt;0,(I83-'(参考)保険料の推計に要する係数'!$D$48)*I84,0)</f>
        <v>0.0</v>
      </c>
      <c r="J85" s="645" t="n">
        <f>IF(J83-'(参考)保険料の推計に要する係数'!$D$48&gt;0,(J83-'(参考)保険料の推計に要する係数'!$D$48)*J84,0)</f>
        <v>0.0</v>
      </c>
      <c r="K85" s="645" t="n">
        <f>IF(K83-'(参考)保険料の推計に要する係数'!$D$48&gt;0,(K83-'(参考)保険料の推計に要する係数'!$D$48)*K84,0)</f>
        <v>0.0</v>
      </c>
      <c r="L85" s="645" t="n">
        <f>IF(L83-'(参考)保険料の推計に要する係数'!$D$48&gt;0,(L83-'(参考)保険料の推計に要する係数'!$D$48)*L84,0)</f>
        <v>0.0</v>
      </c>
      <c r="M85" s="645" t="n">
        <f>IF(M83-'(参考)保険料の推計に要する係数'!$D$48&gt;0,(M83-'(参考)保険料の推計に要する係数'!$D$48)*M84,0)</f>
        <v>0.0</v>
      </c>
      <c r="N85" s="892" t="n">
        <f>IF(N83-'(参考)保険料の推計に要する係数'!$D$48&gt;0,(N83-'(参考)保険料の推計に要する係数'!$D$48)*N84,0)</f>
        <v>0.0</v>
      </c>
    </row>
    <row r="86" spans="1:14">
      <c r="A86" s="203" t="s">
        <v>83</v>
      </c>
      <c r="B86" s="254"/>
      <c r="C86" s="254"/>
      <c r="D86" s="254"/>
      <c r="E86" s="254"/>
      <c r="F86" s="169" t="n">
        <f t="shared" si="32"/>
        <v>1.08924E8</v>
      </c>
      <c r="G86" s="242" t="n">
        <f>SUM(G87:G91)</f>
        <v>3.6308E7</v>
      </c>
      <c r="H86" s="242" t="n">
        <f t="shared" ref="H86:N86" si="33">SUM(H87:H91)</f>
        <v>3.6308E7</v>
      </c>
      <c r="I86" s="243" t="n">
        <f t="shared" si="33"/>
        <v>3.6308E7</v>
      </c>
      <c r="J86" s="645" t="n">
        <f t="shared" si="33"/>
        <v>3.9428863E7</v>
      </c>
      <c r="K86" s="645" t="n">
        <f t="shared" si="33"/>
        <v>3.8272502E7</v>
      </c>
      <c r="L86" s="645" t="n">
        <f t="shared" si="33"/>
        <v>3.6715108E7</v>
      </c>
      <c r="M86" s="645" t="n">
        <f t="shared" si="33"/>
        <v>3.4417964E7</v>
      </c>
      <c r="N86" s="892" t="n">
        <f t="shared" si="33"/>
        <v>3.2820329E7</v>
      </c>
    </row>
    <row r="87" spans="1:14">
      <c r="A87" s="228"/>
      <c r="B87" s="208" t="s">
        <v>153</v>
      </c>
      <c r="C87" s="205"/>
      <c r="D87" s="205"/>
      <c r="E87" s="205"/>
      <c r="F87" s="169" t="n">
        <f t="shared" ref="F87:F92" si="34">SUM(G87:I87)</f>
        <v>3.4917E7</v>
      </c>
      <c r="G87" s="775" t="n">
        <f>'3_地域支援事業費'!E61</f>
        <v>1.1639E7</v>
      </c>
      <c r="H87" s="775" t="n">
        <f>'3_地域支援事業費'!F61</f>
        <v>1.1639E7</v>
      </c>
      <c r="I87" s="776" t="n">
        <f>'3_地域支援事業費'!G61</f>
        <v>1.1639E7</v>
      </c>
      <c r="J87" s="697" t="n">
        <f>'3_地域支援事業費'!H61</f>
        <v>1.2770273E7</v>
      </c>
      <c r="K87" s="697" t="n">
        <f>'3_地域支援事業費'!I61</f>
        <v>1.2523454E7</v>
      </c>
      <c r="L87" s="697" t="n">
        <f>'3_地域支援事業費'!J61</f>
        <v>1.1625728E7</v>
      </c>
      <c r="M87" s="697" t="n">
        <f>'3_地域支援事業費'!K61</f>
        <v>1.0308091E7</v>
      </c>
      <c r="N87" s="893" t="n">
        <f>'3_地域支援事業費'!L61</f>
        <v>9435091.0</v>
      </c>
    </row>
    <row r="88" spans="1:14">
      <c r="A88" s="228"/>
      <c r="B88" s="208" t="s">
        <v>319</v>
      </c>
      <c r="C88" s="205"/>
      <c r="D88" s="205"/>
      <c r="E88" s="205"/>
      <c r="F88" s="169" t="n">
        <f t="shared" si="34"/>
        <v>4.35E7</v>
      </c>
      <c r="G88" s="775" t="n">
        <f>'3_地域支援事業費'!E62</f>
        <v>1.45E7</v>
      </c>
      <c r="H88" s="775" t="n">
        <f>'3_地域支援事業費'!F62</f>
        <v>1.45E7</v>
      </c>
      <c r="I88" s="776" t="n">
        <f>'3_地域支援事業費'!G62</f>
        <v>1.45E7</v>
      </c>
      <c r="J88" s="697" t="n">
        <f>'3_地域支援事業費'!H62</f>
        <v>1.5737075E7</v>
      </c>
      <c r="K88" s="697" t="n">
        <f>'3_地域支援事業費'!I62</f>
        <v>1.4827533E7</v>
      </c>
      <c r="L88" s="697" t="n">
        <f>'3_地域支援事業費'!J62</f>
        <v>1.4167865E7</v>
      </c>
      <c r="M88" s="697" t="n">
        <f>'3_地域支援事業費'!K62</f>
        <v>1.3188358E7</v>
      </c>
      <c r="N88" s="893" t="n">
        <f>'3_地域支援事業費'!L62</f>
        <v>1.2463723E7</v>
      </c>
    </row>
    <row r="89" spans="1:14" s="364" customFormat="1">
      <c r="A89" s="228"/>
      <c r="B89" s="208" t="s">
        <v>306</v>
      </c>
      <c r="C89" s="785"/>
      <c r="D89" s="785"/>
      <c r="E89" s="785"/>
      <c r="F89" s="169" t="n">
        <f t="shared" si="34"/>
        <v>3.0507E7</v>
      </c>
      <c r="G89" s="896" t="n">
        <f>'3_地域支援事業費'!E63</f>
        <v>1.0169E7</v>
      </c>
      <c r="H89" s="896" t="n">
        <f>'3_地域支援事業費'!F63</f>
        <v>1.0169E7</v>
      </c>
      <c r="I89" s="913" t="n">
        <f>'3_地域支援事業費'!G63</f>
        <v>1.0169E7</v>
      </c>
      <c r="J89" s="777" t="n">
        <f>'3_地域支援事業費'!H63</f>
        <v>1.0921515E7</v>
      </c>
      <c r="K89" s="777" t="n">
        <f>'3_地域支援事業費'!I63</f>
        <v>1.0921515E7</v>
      </c>
      <c r="L89" s="777" t="n">
        <f>'3_地域支援事業費'!J63</f>
        <v>1.0921515E7</v>
      </c>
      <c r="M89" s="777" t="n">
        <f>'3_地域支援事業費'!K63</f>
        <v>1.0921515E7</v>
      </c>
      <c r="N89" s="894" t="n">
        <f>'3_地域支援事業費'!L63</f>
        <v>1.0921515E7</v>
      </c>
    </row>
    <row r="90" spans="1:14" s="364" customFormat="1">
      <c r="A90" s="228"/>
      <c r="B90" s="208" t="s">
        <v>407</v>
      </c>
      <c r="C90" s="785"/>
      <c r="D90" s="785"/>
      <c r="E90" s="785"/>
      <c r="F90" s="169" t="n">
        <f t="shared" si="34"/>
        <v>0.0</v>
      </c>
      <c r="G90" s="896" t="n">
        <f>'3_地域支援事業費'!E64</f>
        <v>0.0</v>
      </c>
      <c r="H90" s="896" t="n">
        <f>'3_地域支援事業費'!F64</f>
        <v>0.0</v>
      </c>
      <c r="I90" s="913" t="n">
        <f>'3_地域支援事業費'!G64</f>
        <v>0.0</v>
      </c>
      <c r="J90" s="777" t="n">
        <f>'3_地域支援事業費'!H64</f>
        <v>0.0</v>
      </c>
      <c r="K90" s="777" t="n">
        <f>'3_地域支援事業費'!I64</f>
        <v>0.0</v>
      </c>
      <c r="L90" s="777" t="n">
        <f>'3_地域支援事業費'!J64</f>
        <v>0.0</v>
      </c>
      <c r="M90" s="777" t="n">
        <f>'3_地域支援事業費'!K64</f>
        <v>0.0</v>
      </c>
      <c r="N90" s="894" t="n">
        <f>'3_地域支援事業費'!L64</f>
        <v>0.0</v>
      </c>
    </row>
    <row r="91" spans="1:14" s="364" customFormat="1">
      <c r="A91" s="228"/>
      <c r="B91" s="973" t="s">
        <v>398</v>
      </c>
      <c r="C91" s="972"/>
      <c r="D91" s="972"/>
      <c r="E91" s="972"/>
      <c r="F91" s="169" t="n">
        <f t="shared" si="34"/>
        <v>0.0</v>
      </c>
      <c r="G91" s="896" t="n">
        <f>'3_地域支援事業費'!E65</f>
        <v>0.0</v>
      </c>
      <c r="H91" s="896" t="n">
        <f>'3_地域支援事業費'!F65</f>
        <v>0.0</v>
      </c>
      <c r="I91" s="913" t="n">
        <f>'3_地域支援事業費'!G65</f>
        <v>0.0</v>
      </c>
      <c r="J91" s="777" t="n">
        <f>'3_地域支援事業費'!H65</f>
        <v>0.0</v>
      </c>
      <c r="K91" s="777" t="n">
        <f>'3_地域支援事業費'!I65</f>
        <v>0.0</v>
      </c>
      <c r="L91" s="777" t="n">
        <f>'3_地域支援事業費'!J65</f>
        <v>0.0</v>
      </c>
      <c r="M91" s="777" t="n">
        <f>'3_地域支援事業費'!K65</f>
        <v>0.0</v>
      </c>
      <c r="N91" s="894" t="n">
        <f>'3_地域支援事業費'!L65</f>
        <v>0.0</v>
      </c>
    </row>
    <row r="92" spans="1:14">
      <c r="A92" s="255" t="s">
        <v>387</v>
      </c>
      <c r="B92" s="256"/>
      <c r="C92" s="256"/>
      <c r="D92" s="256"/>
      <c r="E92" s="256"/>
      <c r="F92" s="169" t="n">
        <f t="shared" si="34"/>
        <v>8.081903750800002E8</v>
      </c>
      <c r="G92" s="237" t="n">
        <f>(G68+G86)*'(参考)保険料の推計に要する係数'!$D$5</f>
        <v>2.6819294394E8</v>
      </c>
      <c r="H92" s="237" t="n">
        <f>(H68+H86)*'(参考)保険料の推計に要する係数'!$D$5</f>
        <v>2.6965580397E8</v>
      </c>
      <c r="I92" s="911" t="n">
        <f>(I68+I86)*'(参考)保険料の推計に要する係数'!$D$5</f>
        <v>2.7034162717E8</v>
      </c>
      <c r="J92" s="645" t="n">
        <f>(J68+J86)*'(参考)保険料の推計に要する係数'!$E$5</f>
        <v>2.8994898312E8</v>
      </c>
      <c r="K92" s="645" t="n">
        <f>(K68+K86)*'(参考)保険料の推計に要する係数'!$F$5</f>
        <v>3.264373175E8</v>
      </c>
      <c r="L92" s="645" t="n">
        <f>(L68+L86)*'(参考)保険料の推計に要する係数'!$G$5</f>
        <v>3.699474753E8</v>
      </c>
      <c r="M92" s="645" t="n">
        <f>(M68+M86)*'(参考)保険料の推計に要する係数'!$H$5</f>
        <v>3.8133932679E8</v>
      </c>
      <c r="N92" s="892" t="n">
        <f>(N68+N86)*'(参考)保険料の推計に要する係数'!$I$5</f>
        <v>3.4934507076000005E8</v>
      </c>
    </row>
    <row r="93" spans="1:14" s="259" customFormat="1" ht="13.5" customHeight="1">
      <c r="A93" s="257" t="s">
        <v>388</v>
      </c>
      <c r="B93" s="163"/>
      <c r="C93" s="163"/>
      <c r="D93" s="163"/>
      <c r="E93" s="164"/>
      <c r="F93" s="908" t="n">
        <f t="shared" ref="F93" si="35">SUM(G93:I93)</f>
        <v>1.719932098E8</v>
      </c>
      <c r="G93" s="914" t="n">
        <f>(G68+G87+G90)*0.05</f>
        <v>5.7069363900000006E7</v>
      </c>
      <c r="H93" s="258" t="n">
        <f t="shared" ref="H93:N93" si="36">(H68+H87+H90)*0.05</f>
        <v>5.738737695E7</v>
      </c>
      <c r="I93" s="915" t="n">
        <f t="shared" si="36"/>
        <v>5.753646895E7</v>
      </c>
      <c r="J93" s="647" t="n">
        <f t="shared" si="36"/>
        <v>5.9073108650000006E7</v>
      </c>
      <c r="K93" s="647" t="n">
        <f t="shared" si="36"/>
        <v>6.40000111E7</v>
      </c>
      <c r="L93" s="647" t="n">
        <f t="shared" si="36"/>
        <v>6.988927625E7</v>
      </c>
      <c r="M93" s="647" t="n">
        <f t="shared" si="36"/>
        <v>6.94129002E7</v>
      </c>
      <c r="N93" s="897" t="n">
        <f t="shared" si="36"/>
        <v>6.121378645E7</v>
      </c>
    </row>
    <row r="94" spans="1:14" s="259" customFormat="1" ht="13.5" customHeight="1">
      <c r="A94" s="158" t="s">
        <v>389</v>
      </c>
      <c r="B94" s="159"/>
      <c r="C94" s="160"/>
      <c r="D94" s="160"/>
      <c r="E94" s="260"/>
      <c r="F94" s="909" t="n">
        <f>SUM(G94:I94)</f>
        <v>1.52818E8</v>
      </c>
      <c r="G94" s="916" t="n">
        <f>ROUND((G68+G87+G90)*G97*G95,-3)+G96</f>
        <v>5.3759E7</v>
      </c>
      <c r="H94" s="157" t="n">
        <f t="shared" ref="H94:N94" si="37">ROUND((H68+H87+H90)*H97*H95,-3)+H96</f>
        <v>5.1304E7</v>
      </c>
      <c r="I94" s="917" t="n">
        <f t="shared" si="37"/>
        <v>4.7755E7</v>
      </c>
      <c r="J94" s="648" t="n">
        <f t="shared" si="37"/>
        <v>5.1512E7</v>
      </c>
      <c r="K94" s="648" t="n">
        <f t="shared" si="37"/>
        <v>8.6912E7</v>
      </c>
      <c r="L94" s="648" t="n">
        <f t="shared" si="37"/>
        <v>1.42295E8</v>
      </c>
      <c r="M94" s="648" t="n">
        <f t="shared" si="37"/>
        <v>1.6201E8</v>
      </c>
      <c r="N94" s="898" t="n">
        <f t="shared" si="37"/>
        <v>1.25121E8</v>
      </c>
    </row>
    <row r="95" spans="1:14" s="259" customFormat="1" ht="13.5" customHeight="1">
      <c r="A95" s="158"/>
      <c r="B95" s="261" t="s">
        <v>260</v>
      </c>
      <c r="C95" s="262"/>
      <c r="D95" s="262"/>
      <c r="E95" s="263"/>
      <c r="F95" s="910"/>
      <c r="G95" s="918" t="n">
        <v>1.0</v>
      </c>
      <c r="H95" s="170" t="n">
        <v>1.0</v>
      </c>
      <c r="I95" s="171" t="n">
        <v>1.0</v>
      </c>
      <c r="J95" s="649" t="n">
        <v>1.0</v>
      </c>
      <c r="K95" s="649" t="n">
        <v>1.0</v>
      </c>
      <c r="L95" s="649" t="n">
        <v>1.0</v>
      </c>
      <c r="M95" s="859" t="n">
        <v>1.0</v>
      </c>
      <c r="N95" s="899" t="n">
        <v>1.0</v>
      </c>
    </row>
    <row r="96" spans="1:14" s="259" customFormat="1" ht="13.5" customHeight="1">
      <c r="A96" s="158"/>
      <c r="B96" s="261" t="s">
        <v>261</v>
      </c>
      <c r="C96" s="262"/>
      <c r="D96" s="262"/>
      <c r="E96" s="263"/>
      <c r="F96" s="910"/>
      <c r="G96" s="919" t="n">
        <v>0.0</v>
      </c>
      <c r="H96" s="172" t="n">
        <v>0.0</v>
      </c>
      <c r="I96" s="173" t="n">
        <v>0.0</v>
      </c>
      <c r="J96" s="650" t="n">
        <v>0.0</v>
      </c>
      <c r="K96" s="650" t="n">
        <v>0.0</v>
      </c>
      <c r="L96" s="650" t="n">
        <v>0.0</v>
      </c>
      <c r="M96" s="860" t="n">
        <v>0.0</v>
      </c>
      <c r="N96" s="900" t="n">
        <v>0.0</v>
      </c>
    </row>
    <row r="97" spans="1:15" s="259" customFormat="1" ht="13.5" customHeight="1">
      <c r="A97" s="167" t="s">
        <v>390</v>
      </c>
      <c r="B97" s="161"/>
      <c r="C97" s="162"/>
      <c r="D97" s="162"/>
      <c r="E97" s="264"/>
      <c r="F97" s="910"/>
      <c r="G97" s="920" t="n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0.0471</v>
      </c>
      <c r="H97" s="168" t="n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0.0447</v>
      </c>
      <c r="I97" s="921" t="n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0.0415</v>
      </c>
      <c r="J97" s="651" t="n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0.0436</v>
      </c>
      <c r="K97" s="651" t="n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0.0679</v>
      </c>
      <c r="L97" s="651" t="n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0.1018</v>
      </c>
      <c r="M97" s="651" t="n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0.1167</v>
      </c>
      <c r="N97" s="901" t="n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0.1022</v>
      </c>
    </row>
    <row r="98" spans="1:15" s="259" customFormat="1" ht="13.5" customHeight="1">
      <c r="A98" s="786"/>
      <c r="B98" s="161" t="s">
        <v>391</v>
      </c>
      <c r="C98" s="163"/>
      <c r="D98" s="163"/>
      <c r="E98" s="164"/>
      <c r="F98" s="910"/>
      <c r="G98" s="842" t="n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0.9832</v>
      </c>
      <c r="H98" s="842" t="n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0.9935</v>
      </c>
      <c r="I98" s="843" t="n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1.0055</v>
      </c>
      <c r="J98" s="652" t="n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1.0491</v>
      </c>
      <c r="K98" s="652" t="n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0.9463</v>
      </c>
      <c r="L98" s="652" t="n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0.8211</v>
      </c>
      <c r="M98" s="652" t="n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0.775</v>
      </c>
      <c r="N98" s="902" t="n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0.8368</v>
      </c>
    </row>
    <row r="99" spans="1:15" s="259" customFormat="1" ht="13.5" hidden="1" customHeight="1">
      <c r="A99" s="158"/>
      <c r="B99" s="787"/>
      <c r="C99" s="841"/>
      <c r="D99" s="788"/>
      <c r="E99" s="789"/>
      <c r="F99" s="910"/>
      <c r="G99" s="922"/>
      <c r="H99" s="844"/>
      <c r="I99" s="923"/>
      <c r="J99" s="845"/>
      <c r="K99" s="845"/>
      <c r="L99" s="845"/>
      <c r="M99" s="845"/>
      <c r="N99" s="903"/>
    </row>
    <row r="100" spans="1:15" s="259" customFormat="1" ht="13.5" hidden="1" customHeight="1">
      <c r="A100" s="158"/>
      <c r="B100" s="790"/>
      <c r="C100" s="841"/>
      <c r="D100" s="788"/>
      <c r="E100" s="789"/>
      <c r="F100" s="910"/>
      <c r="G100" s="922"/>
      <c r="H100" s="844"/>
      <c r="I100" s="923"/>
      <c r="J100" s="846"/>
      <c r="K100" s="846"/>
      <c r="L100" s="846"/>
      <c r="M100" s="846"/>
      <c r="N100" s="904"/>
    </row>
    <row r="101" spans="1:15" s="259" customFormat="1" ht="13.5" customHeight="1">
      <c r="A101" s="158"/>
      <c r="B101" s="159" t="s">
        <v>392</v>
      </c>
      <c r="C101" s="165"/>
      <c r="D101" s="165"/>
      <c r="E101" s="166"/>
      <c r="F101" s="910"/>
      <c r="G101" s="924" t="n">
        <f>IF(G169&gt;0,ROUND(
                            1-(
                                    (1-G339)*(ROUND(G117,3)-'(参考)保険料の推計に要する係数'!$D17)
                                 +(1-G340)*(ROUND(G118,3)-'(参考)保険料の推計に要する係数'!$D18)
                                 +(1-G341)*(ROUND(G119,3)-'(参考)保険料の推計に要する係数'!$D19)
                                   +(1-G342)*(ROUND(G120,3)-'(参考)保険料の推計に要する係数'!$D20)
                                     +(1-G343)*(ROUND(G121,3)-'(参考)保険料の推計に要する係数'!$D21)
                                   +(1-G344)*(ROUND(G122,3)-'(参考)保険料の推計に要する係数'!$D22)
                                   +(1-G345)*(ROUND(G123,3)-'(参考)保険料の推計に要する係数'!$D23)
                                   +(1-G346)*(ROUND(G124,3)-'(参考)保険料の推計に要する係数'!$D24)
                                   +(1-G347)*(ROUND(G125,3)-'(参考)保険料の推計に要する係数'!$D25)
                                   +(1-G348)*(ROUND(G126,3)-'(参考)保険料の推計に要する係数'!$D26)
                                   +(1-G349)*(ROUND(G127,3)-'(参考)保険料の推計に要する係数'!$D27)
                                   +(1-G350)*(ROUND(G128,3)-'(参考)保険料の推計に要する係数'!$D28)
                                   +(1-G351)*(ROUND(G129,3)-'(参考)保険料の推計に要する係数'!$D29)
                                   +(1-G352)*(ROUND(G130,3)-'(参考)保険料の推計に要する係数'!$D30)
                                   +(1-G353)*(ROUND(G131,3)-'(参考)保険料の推計に要する係数'!$D31)
                                   +(1-G354)*(ROUND(G132,3)-'(参考)保険料の推計に要する係数'!$D32)
                                   +(1-G355)*(ROUND(G133,3)-'(参考)保険料の推計に要する係数'!$D33)
                                   +(1-G356)*(ROUND(G134,3)-'(参考)保険料の推計に要する係数'!$D34)
                                   +(1-G357)*(ROUND(G135,3)-'(参考)保険料の推計に要する係数'!$D35)
                                   +(1-G358)*(ROUND(G136,3)-'(参考)保険料の推計に要する係数'!$D36)
                                   +(1-G359)*(ROUND(G137,3)-'(参考)保険料の推計に要する係数'!$D37)
                                   +(1-G360)*(ROUND(G138,3)-'(参考)保険料の推計に要する係数'!$D38)
                                   +(1-G361)*(ROUND(G139,3)-'(参考)保険料の推計に要する係数'!$D39)
                                   +(1-G362)*(ROUND(G140,3)-'(参考)保険料の推計に要する係数'!$D40)
                                   +(1-G363)*(ROUND(G141,3)-'(参考)保険料の推計に要する係数'!$D41)
                                 ),4),0)</f>
        <v>1.03</v>
      </c>
      <c r="H101" s="924" t="n">
        <f>IF(H169&gt;0,ROUND(
                            1-(
                                    (1-H339)*(ROUND(H117,3)-'(参考)保険料の推計に要する係数'!$D17)
                                 +(1-H340)*(ROUND(H118,3)-'(参考)保険料の推計に要する係数'!$D18)
                                 +(1-H341)*(ROUND(H119,3)-'(参考)保険料の推計に要する係数'!$D19)
                                   +(1-H342)*(ROUND(H120,3)-'(参考)保険料の推計に要する係数'!$D20)
                                     +(1-H343)*(ROUND(H121,3)-'(参考)保険料の推計に要する係数'!$D21)
                                   +(1-H344)*(ROUND(H122,3)-'(参考)保険料の推計に要する係数'!$D22)
                                   +(1-H345)*(ROUND(H123,3)-'(参考)保険料の推計に要する係数'!$D23)
                                   +(1-H346)*(ROUND(H124,3)-'(参考)保険料の推計に要する係数'!$D24)
                                   +(1-H347)*(ROUND(H125,3)-'(参考)保険料の推計に要する係数'!$D25)
                                   +(1-H348)*(ROUND(H126,3)-'(参考)保険料の推計に要する係数'!$D26)
                                   +(1-H349)*(ROUND(H127,3)-'(参考)保険料の推計に要する係数'!$D27)
                                   +(1-H350)*(ROUND(H128,3)-'(参考)保険料の推計に要する係数'!$D28)
                                   +(1-H351)*(ROUND(H129,3)-'(参考)保険料の推計に要する係数'!$D29)
                                   +(1-H352)*(ROUND(H130,3)-'(参考)保険料の推計に要する係数'!$D30)
                                   +(1-H353)*(ROUND(H131,3)-'(参考)保険料の推計に要する係数'!$D31)
                                   +(1-H354)*(ROUND(H132,3)-'(参考)保険料の推計に要する係数'!$D32)
                                   +(1-H355)*(ROUND(H133,3)-'(参考)保険料の推計に要する係数'!$D33)
                                   +(1-H356)*(ROUND(H134,3)-'(参考)保険料の推計に要する係数'!$D34)
                                   +(1-H357)*(ROUND(H135,3)-'(参考)保険料の推計に要する係数'!$D35)
                                   +(1-H358)*(ROUND(H136,3)-'(参考)保険料の推計に要する係数'!$D36)
                                   +(1-H359)*(ROUND(H137,3)-'(参考)保険料の推計に要する係数'!$D37)
                                   +(1-H360)*(ROUND(H138,3)-'(参考)保険料の推計に要する係数'!$D38)
                                   +(1-H361)*(ROUND(H139,3)-'(参考)保険料の推計に要する係数'!$D39)
                                   +(1-H362)*(ROUND(H140,3)-'(参考)保険料の推計に要する係数'!$D40)
                                   +(1-H363)*(ROUND(H141,3)-'(参考)保険料の推計に要する係数'!$D41)
                                 ),4),0)</f>
        <v>1.0297</v>
      </c>
      <c r="I101" s="1044" t="n">
        <f>IF(I169&gt;0,ROUND(
                            1-(
                                    (1-I339)*(ROUND(I117,3)-'(参考)保険料の推計に要する係数'!$D17)
                                 +(1-I340)*(ROUND(I118,3)-'(参考)保険料の推計に要する係数'!$D18)
                                 +(1-I341)*(ROUND(I119,3)-'(参考)保険料の推計に要する係数'!$D19)
                                   +(1-I342)*(ROUND(I120,3)-'(参考)保険料の推計に要する係数'!$D20)
                                     +(1-I343)*(ROUND(I121,3)-'(参考)保険料の推計に要する係数'!$D21)
                                   +(1-I344)*(ROUND(I122,3)-'(参考)保険料の推計に要する係数'!$D22)
                                   +(1-I345)*(ROUND(I123,3)-'(参考)保険料の推計に要する係数'!$D23)
                                   +(1-I346)*(ROUND(I124,3)-'(参考)保険料の推計に要する係数'!$D24)
                                   +(1-I347)*(ROUND(I125,3)-'(参考)保険料の推計に要する係数'!$D25)
                                   +(1-I348)*(ROUND(I126,3)-'(参考)保険料の推計に要する係数'!$D26)
                                   +(1-I349)*(ROUND(I127,3)-'(参考)保険料の推計に要する係数'!$D27)
                                   +(1-I350)*(ROUND(I128,3)-'(参考)保険料の推計に要する係数'!$D28)
                                   +(1-I351)*(ROUND(I129,3)-'(参考)保険料の推計に要する係数'!$D29)
                                   +(1-I352)*(ROUND(I130,3)-'(参考)保険料の推計に要する係数'!$D30)
                                   +(1-I353)*(ROUND(I131,3)-'(参考)保険料の推計に要する係数'!$D31)
                                   +(1-I354)*(ROUND(I132,3)-'(参考)保険料の推計に要する係数'!$D32)
                                   +(1-I355)*(ROUND(I133,3)-'(参考)保険料の推計に要する係数'!$D33)
                                   +(1-I356)*(ROUND(I134,3)-'(参考)保険料の推計に要する係数'!$D34)
                                   +(1-I357)*(ROUND(I135,3)-'(参考)保険料の推計に要する係数'!$D35)
                                   +(1-I358)*(ROUND(I136,3)-'(参考)保険料の推計に要する係数'!$D36)
                                   +(1-I359)*(ROUND(I137,3)-'(参考)保険料の推計に要する係数'!$D37)
                                   +(1-I360)*(ROUND(I138,3)-'(参考)保険料の推計に要する係数'!$D38)
                                   +(1-I361)*(ROUND(I139,3)-'(参考)保険料の推計に要する係数'!$D39)
                                   +(1-I362)*(ROUND(I140,3)-'(参考)保険料の推計に要する係数'!$D40)
                                   +(1-I363)*(ROUND(I141,3)-'(参考)保険料の推計に要する係数'!$D41)
                                 ),4),0)</f>
        <v>1.0312</v>
      </c>
      <c r="J101" s="1046" t="n">
        <f>IF(J169&gt;0,ROUND(
                            1-(
                                    (1-J339)*(ROUND(J117,3)-'(参考)保険料の推計に要する係数'!$D17)
                                 +(1-J340)*(ROUND(J118,3)-'(参考)保険料の推計に要する係数'!$D18)
                                 +(1-J341)*(ROUND(J119,3)-'(参考)保険料の推計に要する係数'!$D19)
                                   +(1-J342)*(ROUND(J120,3)-'(参考)保険料の推計に要する係数'!$D20)
                                     +(1-J343)*(ROUND(J121,3)-'(参考)保険料の推計に要する係数'!$D21)
                                   +(1-J344)*(ROUND(J122,3)-'(参考)保険料の推計に要する係数'!$D22)
                                   +(1-J345)*(ROUND(J123,3)-'(参考)保険料の推計に要する係数'!$D23)
                                   +(1-J346)*(ROUND(J124,3)-'(参考)保険料の推計に要する係数'!$D24)
                                   +(1-J347)*(ROUND(J125,3)-'(参考)保険料の推計に要する係数'!$D25)
                                   +(1-J348)*(ROUND(J126,3)-'(参考)保険料の推計に要する係数'!$D26)
                                   +(1-J349)*(ROUND(J127,3)-'(参考)保険料の推計に要する係数'!$D27)
                                   +(1-J350)*(ROUND(J128,3)-'(参考)保険料の推計に要する係数'!$D28)
                                   +(1-J351)*(ROUND(J129,3)-'(参考)保険料の推計に要する係数'!$D29)
                                   +(1-J352)*(ROUND(J130,3)-'(参考)保険料の推計に要する係数'!$D30)
                                   +(1-J353)*(ROUND(J131,3)-'(参考)保険料の推計に要する係数'!$D31)
                                   +(1-J354)*(ROUND(J132,3)-'(参考)保険料の推計に要する係数'!$D32)
                                   +(1-J355)*(ROUND(J133,3)-'(参考)保険料の推計に要する係数'!$D33)
                                   +(1-J356)*(ROUND(J134,3)-'(参考)保険料の推計に要する係数'!$D34)
                                   +(1-J357)*(ROUND(J135,3)-'(参考)保険料の推計に要する係数'!$D35)
                                   +(1-J358)*(ROUND(J136,3)-'(参考)保険料の推計に要する係数'!$D36)
                                   +(1-J359)*(ROUND(J137,3)-'(参考)保険料の推計に要する係数'!$D37)
                                   +(1-J360)*(ROUND(J138,3)-'(参考)保険料の推計に要する係数'!$D38)
                                   +(1-J361)*(ROUND(J139,3)-'(参考)保険料の推計に要する係数'!$D39)
                                   +(1-J362)*(ROUND(J140,3)-'(参考)保険料の推計に要する係数'!$D40)
                                   +(1-J363)*(ROUND(J141,3)-'(参考)保険料の推計に要する係数'!$D41)
                                 ),4),0)</f>
        <v>0.9785</v>
      </c>
      <c r="K101" s="1047" t="n">
        <f>IF(K169&gt;0,ROUND(
                            1-(
                                    (1-K339)*(ROUND(K117,3)-'(参考)保険料の推計に要する係数'!$D17)
                                 +(1-K340)*(ROUND(K118,3)-'(参考)保険料の推計に要する係数'!$D18)
                                 +(1-K341)*(ROUND(K119,3)-'(参考)保険料の推計に要する係数'!$D19)
                                   +(1-K342)*(ROUND(K120,3)-'(参考)保険料の推計に要する係数'!$D20)
                                     +(1-K343)*(ROUND(K121,3)-'(参考)保険料の推計に要する係数'!$D21)
                                   +(1-K344)*(ROUND(K122,3)-'(参考)保険料の推計に要する係数'!$D22)
                                   +(1-K345)*(ROUND(K123,3)-'(参考)保険料の推計に要する係数'!$D23)
                                   +(1-K346)*(ROUND(K124,3)-'(参考)保険料の推計に要する係数'!$D24)
                                   +(1-K347)*(ROUND(K125,3)-'(参考)保険料の推計に要する係数'!$D25)
                                   +(1-K348)*(ROUND(K126,3)-'(参考)保険料の推計に要する係数'!$D26)
                                   +(1-K349)*(ROUND(K127,3)-'(参考)保険料の推計に要する係数'!$D27)
                                   +(1-K350)*(ROUND(K128,3)-'(参考)保険料の推計に要する係数'!$D28)
                                   +(1-K351)*(ROUND(K129,3)-'(参考)保険料の推計に要する係数'!$D29)
                                   +(1-K352)*(ROUND(K130,3)-'(参考)保険料の推計に要する係数'!$D30)
                                   +(1-K353)*(ROUND(K131,3)-'(参考)保険料の推計に要する係数'!$D31)
                                   +(1-K354)*(ROUND(K132,3)-'(参考)保険料の推計に要する係数'!$D32)
                                   +(1-K355)*(ROUND(K133,3)-'(参考)保険料の推計に要する係数'!$D33)
                                   +(1-K356)*(ROUND(K134,3)-'(参考)保険料の推計に要する係数'!$D34)
                                   +(1-K357)*(ROUND(K135,3)-'(参考)保険料の推計に要する係数'!$D35)
                                   +(1-K358)*(ROUND(K136,3)-'(参考)保険料の推計に要する係数'!$D36)
                                   +(1-K359)*(ROUND(K137,3)-'(参考)保険料の推計に要する係数'!$D37)
                                   +(1-K360)*(ROUND(K138,3)-'(参考)保険料の推計に要する係数'!$D38)
                                   +(1-K361)*(ROUND(K139,3)-'(参考)保険料の推計に要する係数'!$D39)
                                   +(1-K362)*(ROUND(K140,3)-'(参考)保険料の推計に要する係数'!$D40)
                                   +(1-K363)*(ROUND(K141,3)-'(参考)保険料の推計に要する係数'!$D41)
                                 ),4),0)</f>
        <v>0.9811</v>
      </c>
      <c r="L101" s="1046" t="n">
        <f>IF(L169&gt;0,ROUND(
                            1-(
                                    (1-L339)*(ROUND(L117,3)-'(参考)保険料の推計に要する係数'!$D17)
                                 +(1-L340)*(ROUND(L118,3)-'(参考)保険料の推計に要する係数'!$D18)
                                 +(1-L341)*(ROUND(L119,3)-'(参考)保険料の推計に要する係数'!$D19)
                                   +(1-L342)*(ROUND(L120,3)-'(参考)保険料の推計に要する係数'!$D20)
                                     +(1-L343)*(ROUND(L121,3)-'(参考)保険料の推計に要する係数'!$D21)
                                   +(1-L344)*(ROUND(L122,3)-'(参考)保険料の推計に要する係数'!$D22)
                                   +(1-L345)*(ROUND(L123,3)-'(参考)保険料の推計に要する係数'!$D23)
                                   +(1-L346)*(ROUND(L124,3)-'(参考)保険料の推計に要する係数'!$D24)
                                   +(1-L347)*(ROUND(L125,3)-'(参考)保険料の推計に要する係数'!$D25)
                                   +(1-L348)*(ROUND(L126,3)-'(参考)保険料の推計に要する係数'!$D26)
                                   +(1-L349)*(ROUND(L127,3)-'(参考)保険料の推計に要する係数'!$D27)
                                   +(1-L350)*(ROUND(L128,3)-'(参考)保険料の推計に要する係数'!$D28)
                                   +(1-L351)*(ROUND(L129,3)-'(参考)保険料の推計に要する係数'!$D29)
                                   +(1-L352)*(ROUND(L130,3)-'(参考)保険料の推計に要する係数'!$D30)
                                   +(1-L353)*(ROUND(L131,3)-'(参考)保険料の推計に要する係数'!$D31)
                                   +(1-L354)*(ROUND(L132,3)-'(参考)保険料の推計に要する係数'!$D32)
                                   +(1-L355)*(ROUND(L133,3)-'(参考)保険料の推計に要する係数'!$D33)
                                   +(1-L356)*(ROUND(L134,3)-'(参考)保険料の推計に要する係数'!$D34)
                                   +(1-L357)*(ROUND(L135,3)-'(参考)保険料の推計に要する係数'!$D35)
                                   +(1-L358)*(ROUND(L136,3)-'(参考)保険料の推計に要する係数'!$D36)
                                   +(1-L359)*(ROUND(L137,3)-'(参考)保険料の推計に要する係数'!$D37)
                                   +(1-L360)*(ROUND(L138,3)-'(参考)保険料の推計に要する係数'!$D38)
                                   +(1-L361)*(ROUND(L139,3)-'(参考)保険料の推計に要する係数'!$D39)
                                   +(1-L362)*(ROUND(L140,3)-'(参考)保険料の推計に要する係数'!$D40)
                                   +(1-L363)*(ROUND(L141,3)-'(参考)保険料の推計に要する係数'!$D41)
                                 ),4),0)</f>
        <v>0.9754</v>
      </c>
      <c r="M101" s="1048" t="n">
        <f>IF(M169&gt;0,ROUND(
                            1-(
                                    (1-M339)*(ROUND(M117,3)-'(参考)保険料の推計に要する係数'!$D17)
                                 +(1-M340)*(ROUND(M118,3)-'(参考)保険料の推計に要する係数'!$D18)
                                 +(1-M341)*(ROUND(M119,3)-'(参考)保険料の推計に要する係数'!$D19)
                                   +(1-M342)*(ROUND(M120,3)-'(参考)保険料の推計に要する係数'!$D20)
                                     +(1-M343)*(ROUND(M121,3)-'(参考)保険料の推計に要する係数'!$D21)
                                   +(1-M344)*(ROUND(M122,3)-'(参考)保険料の推計に要する係数'!$D22)
                                   +(1-M345)*(ROUND(M123,3)-'(参考)保険料の推計に要する係数'!$D23)
                                   +(1-M346)*(ROUND(M124,3)-'(参考)保険料の推計に要する係数'!$D24)
                                   +(1-M347)*(ROUND(M125,3)-'(参考)保険料の推計に要する係数'!$D25)
                                   +(1-M348)*(ROUND(M126,3)-'(参考)保険料の推計に要する係数'!$D26)
                                   +(1-M349)*(ROUND(M127,3)-'(参考)保険料の推計に要する係数'!$D27)
                                   +(1-M350)*(ROUND(M128,3)-'(参考)保険料の推計に要する係数'!$D28)
                                   +(1-M351)*(ROUND(M129,3)-'(参考)保険料の推計に要する係数'!$D29)
                                   +(1-M352)*(ROUND(M130,3)-'(参考)保険料の推計に要する係数'!$D30)
                                   +(1-M353)*(ROUND(M131,3)-'(参考)保険料の推計に要する係数'!$D31)
                                   +(1-M354)*(ROUND(M132,3)-'(参考)保険料の推計に要する係数'!$D32)
                                   +(1-M355)*(ROUND(M133,3)-'(参考)保険料の推計に要する係数'!$D33)
                                   +(1-M356)*(ROUND(M134,3)-'(参考)保険料の推計に要する係数'!$D34)
                                   +(1-M357)*(ROUND(M135,3)-'(参考)保険料の推計に要する係数'!$D35)
                                   +(1-M358)*(ROUND(M136,3)-'(参考)保険料の推計に要する係数'!$D36)
                                   +(1-M359)*(ROUND(M137,3)-'(参考)保険料の推計に要する係数'!$D37)
                                   +(1-M360)*(ROUND(M138,3)-'(参考)保険料の推計に要する係数'!$D38)
                                   +(1-M361)*(ROUND(M139,3)-'(参考)保険料の推計に要する係数'!$D39)
                                   +(1-M362)*(ROUND(M140,3)-'(参考)保険料の推計に要する係数'!$D40)
                                   +(1-M363)*(ROUND(M141,3)-'(参考)保険料の推計に要する係数'!$D41)
                                 ),4),0)</f>
        <v>0.9714</v>
      </c>
      <c r="N101" s="1049" t="n">
        <f>IF(N169&gt;0,ROUND(
                            1-(
                                    (1-N339)*(ROUND(N117,3)-'(参考)保険料の推計に要する係数'!$D17)
                                 +(1-N340)*(ROUND(N118,3)-'(参考)保険料の推計に要する係数'!$D18)
                                 +(1-N341)*(ROUND(N119,3)-'(参考)保険料の推計に要する係数'!$D19)
                                   +(1-N342)*(ROUND(N120,3)-'(参考)保険料の推計に要する係数'!$D20)
                                     +(1-N343)*(ROUND(N121,3)-'(参考)保険料の推計に要する係数'!$D21)
                                   +(1-N344)*(ROUND(N122,3)-'(参考)保険料の推計に要する係数'!$D22)
                                   +(1-N345)*(ROUND(N123,3)-'(参考)保険料の推計に要する係数'!$D23)
                                   +(1-N346)*(ROUND(N124,3)-'(参考)保険料の推計に要する係数'!$D24)
                                   +(1-N347)*(ROUND(N125,3)-'(参考)保険料の推計に要する係数'!$D25)
                                   +(1-N348)*(ROUND(N126,3)-'(参考)保険料の推計に要する係数'!$D26)
                                   +(1-N349)*(ROUND(N127,3)-'(参考)保険料の推計に要する係数'!$D27)
                                   +(1-N350)*(ROUND(N128,3)-'(参考)保険料の推計に要する係数'!$D28)
                                   +(1-N351)*(ROUND(N129,3)-'(参考)保険料の推計に要する係数'!$D29)
                                   +(1-N352)*(ROUND(N130,3)-'(参考)保険料の推計に要する係数'!$D30)
                                   +(1-N353)*(ROUND(N131,3)-'(参考)保険料の推計に要する係数'!$D31)
                                   +(1-N354)*(ROUND(N132,3)-'(参考)保険料の推計に要する係数'!$D32)
                                   +(1-N355)*(ROUND(N133,3)-'(参考)保険料の推計に要する係数'!$D33)
                                   +(1-N356)*(ROUND(N134,3)-'(参考)保険料の推計に要する係数'!$D34)
                                   +(1-N357)*(ROUND(N135,3)-'(参考)保険料の推計に要する係数'!$D35)
                                   +(1-N358)*(ROUND(N136,3)-'(参考)保険料の推計に要する係数'!$D36)
                                   +(1-N359)*(ROUND(N137,3)-'(参考)保険料の推計に要する係数'!$D37)
                                   +(1-N360)*(ROUND(N138,3)-'(参考)保険料の推計に要する係数'!$D38)
                                   +(1-N361)*(ROUND(N139,3)-'(参考)保険料の推計に要する係数'!$D39)
                                   +(1-N362)*(ROUND(N140,3)-'(参考)保険料の推計に要する係数'!$D40)
                                   +(1-N363)*(ROUND(N141,3)-'(参考)保険料の推計に要する係数'!$D41)
                                 ),4),0)</f>
        <v>0.9722</v>
      </c>
      <c r="O101" s="1045"/>
    </row>
    <row r="102" spans="1:15">
      <c r="A102" s="265" t="s">
        <v>154</v>
      </c>
      <c r="B102" s="266"/>
      <c r="C102" s="266"/>
      <c r="D102" s="266"/>
      <c r="E102" s="266"/>
      <c r="F102" s="169" t="n">
        <f>SUM(G102:I102)</f>
        <v>0.0</v>
      </c>
      <c r="G102" s="244" t="n">
        <v>0.0</v>
      </c>
      <c r="H102" s="780" t="n">
        <v>0.0</v>
      </c>
      <c r="I102" s="905" t="n">
        <v>0.0</v>
      </c>
      <c r="J102" s="646" t="n">
        <v>0.0</v>
      </c>
      <c r="K102" s="773" t="n">
        <v>0.0</v>
      </c>
      <c r="L102" s="773" t="n">
        <v>0.0</v>
      </c>
      <c r="M102" s="857" t="n">
        <v>0.0</v>
      </c>
      <c r="N102" s="774" t="n">
        <v>0.0</v>
      </c>
    </row>
    <row r="103" spans="1:15">
      <c r="A103" s="267" t="s">
        <v>155</v>
      </c>
      <c r="B103" s="205"/>
      <c r="C103" s="205"/>
      <c r="D103" s="205"/>
      <c r="E103" s="205"/>
      <c r="F103" s="906" t="n">
        <v>0.0</v>
      </c>
      <c r="G103" s="268"/>
      <c r="H103" s="269"/>
      <c r="I103" s="270"/>
      <c r="J103" s="646" t="n">
        <v>0.0</v>
      </c>
      <c r="K103" s="773" t="n">
        <v>0.0</v>
      </c>
      <c r="L103" s="773" t="n">
        <v>0.0</v>
      </c>
      <c r="M103" s="857" t="n">
        <v>0.0</v>
      </c>
      <c r="N103" s="774" t="n">
        <v>0.0</v>
      </c>
    </row>
    <row r="104" spans="1:15" ht="14.25" thickBot="1">
      <c r="A104" s="271" t="s">
        <v>399</v>
      </c>
      <c r="B104" s="272"/>
      <c r="C104" s="272"/>
      <c r="D104" s="272"/>
      <c r="E104" s="272"/>
      <c r="F104" s="907" t="n">
        <v>4500000.0</v>
      </c>
      <c r="G104" s="273"/>
      <c r="H104" s="274"/>
      <c r="I104" s="275"/>
      <c r="J104" s="653" t="n">
        <v>1400000.0</v>
      </c>
      <c r="K104" s="791" t="n">
        <v>1300000.0</v>
      </c>
      <c r="L104" s="791" t="n">
        <v>1300000.0</v>
      </c>
      <c r="M104" s="861" t="n">
        <v>1300000.0</v>
      </c>
      <c r="N104" s="792" t="n">
        <v>1300000.0</v>
      </c>
    </row>
    <row r="105" spans="1:15" ht="14.25" thickBot="1">
      <c r="A105" s="199" t="s">
        <v>393</v>
      </c>
      <c r="B105" s="200"/>
      <c r="C105" s="200"/>
      <c r="D105" s="200"/>
      <c r="E105" s="200"/>
      <c r="F105" s="276" t="n">
        <f>F92+F93-F94+F18+F21-F15+F85+F102+F103-F104</f>
        <v>8.228655848800001E8</v>
      </c>
      <c r="G105" s="277"/>
      <c r="H105" s="278"/>
      <c r="I105" s="279"/>
      <c r="J105" s="654" t="n">
        <f>J92+J93-J94+G18+G21-G15+J85+J102+J103-J104</f>
        <v>2.9611009177E8</v>
      </c>
      <c r="K105" s="793" t="n">
        <f>K92+K93-K94+H18+H21-H15+K85+K102+K103-K104</f>
        <v>3.022253286E8</v>
      </c>
      <c r="L105" s="793" t="n">
        <f>L92+L93-L94+I18+I21-I15+L85+L102+L103-L104</f>
        <v>2.9624175155E8</v>
      </c>
      <c r="M105" s="862" t="n">
        <f>M92+M93-M94+J18+J21-J15+M85+M102+M103-M104</f>
        <v>2.8744222699E8</v>
      </c>
      <c r="N105" s="794" t="n">
        <f>N92+N93-N94+K18+K21-K15+N85+N102+N103-N104</f>
        <v>2.8413785721000004E8</v>
      </c>
    </row>
    <row r="106" spans="1:15" ht="14.25" thickBot="1">
      <c r="A106" s="196" t="s">
        <v>156</v>
      </c>
      <c r="B106" s="197"/>
      <c r="C106" s="197"/>
      <c r="D106" s="197"/>
      <c r="E106" s="197"/>
      <c r="F106" s="280" t="n">
        <v>0.97</v>
      </c>
      <c r="G106" s="281"/>
      <c r="H106" s="282"/>
      <c r="I106" s="283"/>
      <c r="J106" s="655" t="n">
        <v>0.97</v>
      </c>
      <c r="K106" s="795" t="n">
        <v>0.97</v>
      </c>
      <c r="L106" s="795" t="n">
        <v>0.97</v>
      </c>
      <c r="M106" s="863" t="n">
        <v>0.97</v>
      </c>
      <c r="N106" s="796" t="n">
        <v>0.96</v>
      </c>
    </row>
    <row r="107" spans="1:15">
      <c r="F107" s="211"/>
    </row>
    <row r="108" spans="1:15" ht="14.25" thickBot="1">
      <c r="A108" s="195" t="s">
        <v>157</v>
      </c>
    </row>
    <row r="109" spans="1:15">
      <c r="A109" s="226"/>
      <c r="B109" s="227"/>
      <c r="C109" s="227"/>
      <c r="D109" s="227"/>
      <c r="E109" s="227"/>
      <c r="F109" s="1144" t="s">
        <v>336</v>
      </c>
      <c r="G109" s="1145"/>
      <c r="H109" s="1145"/>
      <c r="I109" s="1145"/>
      <c r="J109" s="1025" t="s">
        <v>421</v>
      </c>
      <c r="K109" s="1026" t="s">
        <v>422</v>
      </c>
      <c r="L109" s="1026" t="s">
        <v>423</v>
      </c>
      <c r="M109" s="1026" t="s">
        <v>424</v>
      </c>
      <c r="N109" s="1027" t="s">
        <v>420</v>
      </c>
    </row>
    <row r="110" spans="1:15" ht="14.25" thickBot="1">
      <c r="A110" s="228"/>
      <c r="F110" s="229" t="s">
        <v>150</v>
      </c>
      <c r="G110" s="230" t="s">
        <v>347</v>
      </c>
      <c r="H110" s="231" t="s">
        <v>346</v>
      </c>
      <c r="I110" s="1028" t="s">
        <v>345</v>
      </c>
      <c r="J110" s="1029" t="s">
        <v>368</v>
      </c>
      <c r="K110" s="993" t="s">
        <v>371</v>
      </c>
      <c r="L110" s="993" t="s">
        <v>374</v>
      </c>
      <c r="M110" s="993" t="s">
        <v>377</v>
      </c>
      <c r="N110" s="1005" t="s">
        <v>380</v>
      </c>
    </row>
    <row r="111" spans="1:15">
      <c r="A111" s="129" t="s">
        <v>158</v>
      </c>
      <c r="B111" s="83"/>
      <c r="C111" s="83"/>
      <c r="D111" s="83"/>
      <c r="E111" s="284"/>
      <c r="F111" s="617" t="n">
        <f>SUM(G111:I111)</f>
        <v>9611.0</v>
      </c>
      <c r="G111" s="285" t="n">
        <f>'1_推計値サマリ'!G12</f>
        <v>3231.0</v>
      </c>
      <c r="H111" s="285" t="n">
        <f>'1_推計値サマリ'!H12</f>
        <v>3203.0</v>
      </c>
      <c r="I111" s="286" t="n">
        <f>'1_推計値サマリ'!I12</f>
        <v>3177.0</v>
      </c>
      <c r="J111" s="636" t="n">
        <f>'1_推計値サマリ'!K12</f>
        <v>3149.0</v>
      </c>
      <c r="K111" s="797" t="n">
        <f>'1_推計値サマリ'!M12</f>
        <v>2967.0</v>
      </c>
      <c r="L111" s="797" t="n">
        <f>'1_推計値サマリ'!O12</f>
        <v>2835.0</v>
      </c>
      <c r="M111" s="864" t="n">
        <f>'1_推計値サマリ'!Q12</f>
        <v>2639.0</v>
      </c>
      <c r="N111" s="798" t="n">
        <f>'1_推計値サマリ'!S12</f>
        <v>2494.0</v>
      </c>
    </row>
    <row r="112" spans="1:15">
      <c r="A112" s="82"/>
      <c r="B112" s="132" t="s">
        <v>159</v>
      </c>
      <c r="C112" s="133"/>
      <c r="D112" s="133"/>
      <c r="E112" s="138"/>
      <c r="F112" s="618" t="n">
        <f>SUM(G112:I112)</f>
        <v>3949.0</v>
      </c>
      <c r="G112" s="248" t="n">
        <v>1385.0</v>
      </c>
      <c r="H112" s="248" t="n">
        <v>1316.0</v>
      </c>
      <c r="I112" s="287" t="n">
        <v>1248.0</v>
      </c>
      <c r="J112" s="633" t="n">
        <v>1179.0</v>
      </c>
      <c r="K112" s="383" t="n">
        <v>945.0</v>
      </c>
      <c r="L112" s="383" t="n">
        <v>944.0</v>
      </c>
      <c r="M112" s="865" t="n">
        <v>941.0</v>
      </c>
      <c r="N112" s="799" t="n">
        <v>917.0</v>
      </c>
    </row>
    <row r="113" spans="1:14">
      <c r="A113" s="82"/>
      <c r="B113" s="154" t="s">
        <v>237</v>
      </c>
      <c r="C113" s="288"/>
      <c r="D113" s="288"/>
      <c r="E113" s="289"/>
      <c r="F113" s="290" t="n">
        <f>SUM(F114:F115)</f>
        <v>5662.0</v>
      </c>
      <c r="G113" s="291" t="n">
        <f>SUM(G114:G115)</f>
        <v>1846.0</v>
      </c>
      <c r="H113" s="291" t="n">
        <f t="shared" ref="H113:J113" si="38">SUM(H114:H115)</f>
        <v>1887.0</v>
      </c>
      <c r="I113" s="292" t="n">
        <f t="shared" si="38"/>
        <v>1929.0</v>
      </c>
      <c r="J113" s="637" t="n">
        <f t="shared" si="38"/>
        <v>1970.0</v>
      </c>
      <c r="K113" s="800" t="n">
        <f t="shared" ref="K113:M113" si="39">SUM(K114:K115)</f>
        <v>2022.0</v>
      </c>
      <c r="L113" s="800" t="n">
        <f t="shared" si="39"/>
        <v>1891.0</v>
      </c>
      <c r="M113" s="866" t="n">
        <f t="shared" si="39"/>
        <v>1698.0</v>
      </c>
      <c r="N113" s="801" t="n">
        <f t="shared" ref="N113" si="40">SUM(N114:N115)</f>
        <v>1577.0</v>
      </c>
    </row>
    <row r="114" spans="1:14">
      <c r="A114" s="82"/>
      <c r="B114" s="155"/>
      <c r="C114" s="133" t="s">
        <v>224</v>
      </c>
      <c r="D114" s="133"/>
      <c r="E114" s="138"/>
      <c r="F114" s="618" t="n">
        <f>SUM(G114:I114)</f>
        <v>3815.0</v>
      </c>
      <c r="G114" s="248" t="n">
        <v>1225.0</v>
      </c>
      <c r="H114" s="248" t="n">
        <v>1271.0</v>
      </c>
      <c r="I114" s="287" t="n">
        <v>1319.0</v>
      </c>
      <c r="J114" s="633" t="n">
        <v>1365.0</v>
      </c>
      <c r="K114" s="383" t="n">
        <v>1263.0</v>
      </c>
      <c r="L114" s="383" t="n">
        <v>998.0</v>
      </c>
      <c r="M114" s="865" t="n">
        <v>818.0</v>
      </c>
      <c r="N114" s="799" t="n">
        <v>826.0</v>
      </c>
    </row>
    <row r="115" spans="1:14">
      <c r="A115" s="82"/>
      <c r="B115" s="156"/>
      <c r="C115" s="133" t="s">
        <v>221</v>
      </c>
      <c r="D115" s="133"/>
      <c r="E115" s="138"/>
      <c r="F115" s="618" t="n">
        <f>SUM(G115:I115)</f>
        <v>1847.0</v>
      </c>
      <c r="G115" s="248" t="n">
        <v>621.0</v>
      </c>
      <c r="H115" s="248" t="n">
        <v>616.0</v>
      </c>
      <c r="I115" s="287" t="n">
        <v>610.0</v>
      </c>
      <c r="J115" s="633" t="n">
        <v>605.0</v>
      </c>
      <c r="K115" s="383" t="n">
        <v>759.0</v>
      </c>
      <c r="L115" s="383" t="n">
        <v>893.0</v>
      </c>
      <c r="M115" s="865" t="n">
        <v>880.0</v>
      </c>
      <c r="N115" s="799" t="n">
        <v>751.0</v>
      </c>
    </row>
    <row r="116" spans="1:14">
      <c r="A116" s="82"/>
      <c r="B116" s="130" t="s">
        <v>160</v>
      </c>
      <c r="C116" s="34"/>
      <c r="D116" s="34"/>
      <c r="E116" s="293"/>
      <c r="F116" s="201"/>
      <c r="G116" s="294"/>
      <c r="H116" s="294"/>
      <c r="I116" s="295"/>
      <c r="J116" s="638"/>
      <c r="K116" s="802"/>
      <c r="L116" s="802"/>
      <c r="M116" s="867"/>
      <c r="N116" s="803"/>
    </row>
    <row r="117" spans="1:14">
      <c r="A117" s="82"/>
      <c r="B117" s="130"/>
      <c r="C117" s="35" t="s">
        <v>161</v>
      </c>
      <c r="D117" s="125"/>
      <c r="E117" s="136"/>
      <c r="F117" s="296" t="n">
        <f t="shared" ref="F117" si="41">IF(F$111&gt;0,F144/F$111,0)</f>
        <v>0.11070648215586307</v>
      </c>
      <c r="G117" s="946" t="n">
        <f>IF(G$111&gt;0,G144/G$111,0)</f>
        <v>0.1120396162178892</v>
      </c>
      <c r="H117" s="946" t="n">
        <f t="shared" ref="H117:N117" si="42">IF(H$111&gt;0,H144/H$111,0)</f>
        <v>0.10989697158913518</v>
      </c>
      <c r="I117" s="945" t="n">
        <f t="shared" si="42"/>
        <v>0.11016682404784388</v>
      </c>
      <c r="J117" s="296" t="n">
        <f t="shared" si="42"/>
        <v>0.12702445220704986</v>
      </c>
      <c r="K117" s="296" t="n">
        <f t="shared" si="42"/>
        <v>0.12807549713515334</v>
      </c>
      <c r="L117" s="296" t="n">
        <f t="shared" si="42"/>
        <v>0.1347442680776014</v>
      </c>
      <c r="M117" s="296" t="n">
        <f t="shared" si="42"/>
        <v>0.13262599469496023</v>
      </c>
      <c r="N117" s="947" t="n">
        <f t="shared" si="42"/>
        <v>0.13191659983961507</v>
      </c>
    </row>
    <row r="118" spans="1:14">
      <c r="A118" s="82"/>
      <c r="B118" s="130"/>
      <c r="C118" s="35" t="s">
        <v>162</v>
      </c>
      <c r="D118" s="125"/>
      <c r="E118" s="136"/>
      <c r="F118" s="296" t="n">
        <f t="shared" ref="F118:F142" si="43">IF(F$111&gt;0,F145/F$111,0)</f>
        <v>0.09093746748517324</v>
      </c>
      <c r="G118" s="946" t="n">
        <f t="shared" ref="G118:N118" si="44">IF(G$111&gt;0,G145/G$111,0)</f>
        <v>0.09068399876199319</v>
      </c>
      <c r="H118" s="946" t="n">
        <f t="shared" si="44"/>
        <v>0.091476740555729</v>
      </c>
      <c r="I118" s="945" t="n">
        <f t="shared" si="44"/>
        <v>0.0906515580736544</v>
      </c>
      <c r="J118" s="296" t="n">
        <f t="shared" si="44"/>
        <v>0.09209272785011115</v>
      </c>
      <c r="K118" s="296" t="n">
        <f t="shared" si="44"/>
        <v>0.08763060330299967</v>
      </c>
      <c r="L118" s="296" t="n">
        <f t="shared" si="44"/>
        <v>0.09171075837742504</v>
      </c>
      <c r="M118" s="296" t="n">
        <f t="shared" si="44"/>
        <v>0.09094353921940129</v>
      </c>
      <c r="N118" s="947" t="n">
        <f t="shared" si="44"/>
        <v>0.09182036888532479</v>
      </c>
    </row>
    <row r="119" spans="1:14">
      <c r="A119" s="82"/>
      <c r="B119" s="130"/>
      <c r="C119" s="35" t="s">
        <v>123</v>
      </c>
      <c r="D119" s="125"/>
      <c r="E119" s="136"/>
      <c r="F119" s="296" t="n">
        <f t="shared" si="43"/>
        <v>0.09468317552804079</v>
      </c>
      <c r="G119" s="946" t="n">
        <f t="shared" ref="G119:N119" si="45">IF(G$111&gt;0,G146/G$111,0)</f>
        <v>0.09439801918910554</v>
      </c>
      <c r="H119" s="946" t="n">
        <f t="shared" si="45"/>
        <v>0.09522322822354043</v>
      </c>
      <c r="I119" s="945" t="n">
        <f t="shared" si="45"/>
        <v>0.09442870632672333</v>
      </c>
      <c r="J119" s="296" t="n">
        <f t="shared" si="45"/>
        <v>0.0889171165449349</v>
      </c>
      <c r="K119" s="296" t="n">
        <f t="shared" si="45"/>
        <v>0.09268621503201888</v>
      </c>
      <c r="L119" s="296" t="n">
        <f t="shared" si="45"/>
        <v>0.09523809523809523</v>
      </c>
      <c r="M119" s="296" t="n">
        <f t="shared" si="45"/>
        <v>0.094732853353543</v>
      </c>
      <c r="N119" s="947" t="n">
        <f t="shared" si="45"/>
        <v>0.09502806736166801</v>
      </c>
    </row>
    <row r="120" spans="1:14">
      <c r="A120" s="82"/>
      <c r="B120" s="130"/>
      <c r="C120" s="35" t="s">
        <v>124</v>
      </c>
      <c r="D120" s="125"/>
      <c r="E120" s="136"/>
      <c r="F120" s="296" t="n">
        <f t="shared" si="43"/>
        <v>0.09572364998439288</v>
      </c>
      <c r="G120" s="946" t="n">
        <f t="shared" ref="G120:N120" si="46">IF(G$111&gt;0,G147/G$111,0)</f>
        <v>0.09563602599814298</v>
      </c>
      <c r="H120" s="946" t="n">
        <f t="shared" si="46"/>
        <v>0.09709647205744615</v>
      </c>
      <c r="I120" s="945" t="n">
        <f t="shared" si="46"/>
        <v>0.09442870632672333</v>
      </c>
      <c r="J120" s="296" t="n">
        <f t="shared" si="46"/>
        <v>0.12480152429342649</v>
      </c>
      <c r="K120" s="296" t="n">
        <f t="shared" si="46"/>
        <v>0.12470508931580722</v>
      </c>
      <c r="L120" s="296" t="n">
        <f t="shared" si="46"/>
        <v>0.10582010582010581</v>
      </c>
      <c r="M120" s="296" t="n">
        <f t="shared" si="46"/>
        <v>0.12428950359984843</v>
      </c>
      <c r="N120" s="947" t="n">
        <f t="shared" si="46"/>
        <v>0.12389735364875702</v>
      </c>
    </row>
    <row r="121" spans="1:14">
      <c r="A121" s="82"/>
      <c r="B121" s="130"/>
      <c r="C121" s="35" t="s">
        <v>125</v>
      </c>
      <c r="D121" s="125"/>
      <c r="E121" s="136"/>
      <c r="F121" s="296" t="n">
        <f t="shared" si="43"/>
        <v>0.2112163146394756</v>
      </c>
      <c r="G121" s="946" t="n">
        <f t="shared" ref="G121:N121" si="47">IF(G$111&gt;0,G148/G$111,0)</f>
        <v>0.21108016094088516</v>
      </c>
      <c r="H121" s="946" t="n">
        <f t="shared" si="47"/>
        <v>0.21167655323134563</v>
      </c>
      <c r="I121" s="945" t="n">
        <f t="shared" si="47"/>
        <v>0.21089077746301543</v>
      </c>
      <c r="J121" s="296" t="n">
        <f t="shared" si="47"/>
        <v>0.21213083518577325</v>
      </c>
      <c r="K121" s="296" t="n">
        <f t="shared" si="47"/>
        <v>0.20559487698011458</v>
      </c>
      <c r="L121" s="296" t="n">
        <f t="shared" si="47"/>
        <v>0.2126984126984127</v>
      </c>
      <c r="M121" s="296" t="n">
        <f t="shared" si="47"/>
        <v>0.21068586585827964</v>
      </c>
      <c r="N121" s="947" t="n">
        <f t="shared" si="47"/>
        <v>0.20809943865276664</v>
      </c>
    </row>
    <row r="122" spans="1:14">
      <c r="A122" s="82"/>
      <c r="B122" s="130"/>
      <c r="C122" s="35" t="s">
        <v>225</v>
      </c>
      <c r="D122" s="125"/>
      <c r="E122" s="136"/>
      <c r="F122" s="296" t="n">
        <f t="shared" si="43"/>
        <v>0.12839454791384872</v>
      </c>
      <c r="G122" s="946" t="n">
        <f t="shared" ref="G122:N122" si="48">IF(G$111&gt;0,G149/G$111,0)</f>
        <v>0.12875270813989476</v>
      </c>
      <c r="H122" s="946" t="n">
        <f t="shared" si="48"/>
        <v>0.12644395878863565</v>
      </c>
      <c r="I122" s="945" t="n">
        <f t="shared" si="48"/>
        <v>0.12999685237645578</v>
      </c>
      <c r="J122" s="296" t="n">
        <f t="shared" si="48"/>
        <v>0.1467132422991426</v>
      </c>
      <c r="K122" s="296" t="n">
        <f t="shared" si="48"/>
        <v>0.1459386585776879</v>
      </c>
      <c r="L122" s="296" t="n">
        <f t="shared" si="48"/>
        <v>0.14885361552028217</v>
      </c>
      <c r="M122" s="296" t="n">
        <f t="shared" si="48"/>
        <v>0.1398256915498295</v>
      </c>
      <c r="N122" s="947" t="n">
        <f t="shared" si="48"/>
        <v>0.14314354450681635</v>
      </c>
    </row>
    <row r="123" spans="1:14">
      <c r="A123" s="82"/>
      <c r="B123" s="130"/>
      <c r="C123" s="35" t="s">
        <v>226</v>
      </c>
      <c r="D123" s="125"/>
      <c r="E123" s="136"/>
      <c r="F123" s="296" t="n">
        <f t="shared" si="43"/>
        <v>0.1367183435646655</v>
      </c>
      <c r="G123" s="946" t="n">
        <f t="shared" ref="G123:N123" si="49">IF(G$111&gt;0,G150/G$111,0)</f>
        <v>0.13556174558960074</v>
      </c>
      <c r="H123" s="946" t="n">
        <f t="shared" si="49"/>
        <v>0.13674679987511706</v>
      </c>
      <c r="I123" s="945" t="n">
        <f t="shared" si="49"/>
        <v>0.13786591123701605</v>
      </c>
      <c r="J123" s="296" t="n">
        <f t="shared" si="49"/>
        <v>0.11876786281359161</v>
      </c>
      <c r="K123" s="296" t="n">
        <f t="shared" si="49"/>
        <v>0.11998651836872262</v>
      </c>
      <c r="L123" s="296" t="n">
        <f t="shared" si="49"/>
        <v>0.12028218694885362</v>
      </c>
      <c r="M123" s="296" t="n">
        <f t="shared" si="49"/>
        <v>0.11822660098522167</v>
      </c>
      <c r="N123" s="947" t="n">
        <f t="shared" si="49"/>
        <v>0.11788291900561347</v>
      </c>
    </row>
    <row r="124" spans="1:14">
      <c r="A124" s="82"/>
      <c r="B124" s="130"/>
      <c r="C124" s="35" t="s">
        <v>227</v>
      </c>
      <c r="D124" s="125"/>
      <c r="E124" s="136"/>
      <c r="F124" s="296" t="n">
        <f t="shared" si="43"/>
        <v>0.07741129955259599</v>
      </c>
      <c r="G124" s="946" t="n">
        <f t="shared" ref="G124:N124" si="50">IF(G$111&gt;0,G151/G$111,0)</f>
        <v>0.07675642216032189</v>
      </c>
      <c r="H124" s="946" t="n">
        <f t="shared" si="50"/>
        <v>0.07742741180143616</v>
      </c>
      <c r="I124" s="945" t="n">
        <f t="shared" si="50"/>
        <v>0.07806106389675795</v>
      </c>
      <c r="J124" s="296" t="n">
        <f t="shared" si="50"/>
        <v>0.05843124801524294</v>
      </c>
      <c r="K124" s="296" t="n">
        <f t="shared" si="50"/>
        <v>0.0643747893495113</v>
      </c>
      <c r="L124" s="296" t="n">
        <f t="shared" si="50"/>
        <v>0.05925925925925926</v>
      </c>
      <c r="M124" s="296" t="n">
        <f t="shared" si="50"/>
        <v>0.058355437665782495</v>
      </c>
      <c r="N124" s="947" t="n">
        <f t="shared" si="50"/>
        <v>0.05813953488372093</v>
      </c>
    </row>
    <row r="125" spans="1:14">
      <c r="A125" s="82"/>
      <c r="B125" s="130"/>
      <c r="C125" s="35" t="s">
        <v>228</v>
      </c>
      <c r="D125" s="125"/>
      <c r="E125" s="136"/>
      <c r="F125" s="296" t="n">
        <f t="shared" si="43"/>
        <v>0.02424305483300385</v>
      </c>
      <c r="G125" s="946" t="n">
        <f t="shared" ref="G125:N125" si="51">IF(G$111&gt;0,G152/G$111,0)</f>
        <v>0.025379139585267718</v>
      </c>
      <c r="H125" s="946" t="n">
        <f t="shared" si="51"/>
        <v>0.024039962535123322</v>
      </c>
      <c r="I125" s="945" t="n">
        <f t="shared" si="51"/>
        <v>0.02329241422725842</v>
      </c>
      <c r="J125" s="296" t="n">
        <f t="shared" si="51"/>
        <v>0.031120990790727214</v>
      </c>
      <c r="K125" s="296" t="n">
        <f t="shared" si="51"/>
        <v>0.031007751937984496</v>
      </c>
      <c r="L125" s="296" t="n">
        <f t="shared" si="51"/>
        <v>0.03139329805996473</v>
      </c>
      <c r="M125" s="296" t="n">
        <f t="shared" si="51"/>
        <v>0.030314513073133764</v>
      </c>
      <c r="N125" s="947" t="n">
        <f t="shared" si="51"/>
        <v>0.030072173215717722</v>
      </c>
    </row>
    <row r="126" spans="1:14">
      <c r="A126" s="82"/>
      <c r="B126" s="130"/>
      <c r="C126" s="35" t="s">
        <v>323</v>
      </c>
      <c r="D126" s="125"/>
      <c r="E126" s="136"/>
      <c r="F126" s="296" t="n">
        <f t="shared" si="43"/>
        <v>0.009364270107168868</v>
      </c>
      <c r="G126" s="946" t="n">
        <f t="shared" ref="G126:N126" si="52">IF(G$111&gt;0,G153/G$111,0)</f>
        <v>0.009285051067780872</v>
      </c>
      <c r="H126" s="946" t="n">
        <f t="shared" si="52"/>
        <v>0.009366219169528567</v>
      </c>
      <c r="I126" s="945" t="n">
        <f t="shared" si="52"/>
        <v>0.009442870632672332</v>
      </c>
      <c r="J126" s="296" t="n">
        <f t="shared" si="52"/>
        <v>0.0</v>
      </c>
      <c r="K126" s="296" t="n">
        <f t="shared" si="52"/>
        <v>0.0</v>
      </c>
      <c r="L126" s="296" t="n">
        <f t="shared" si="52"/>
        <v>0.0</v>
      </c>
      <c r="M126" s="296" t="n">
        <f t="shared" si="52"/>
        <v>0.0</v>
      </c>
      <c r="N126" s="947" t="n">
        <f t="shared" si="52"/>
        <v>0.0</v>
      </c>
    </row>
    <row r="127" spans="1:14">
      <c r="A127" s="82"/>
      <c r="B127" s="130"/>
      <c r="C127" s="35" t="s">
        <v>324</v>
      </c>
      <c r="D127" s="125"/>
      <c r="E127" s="136"/>
      <c r="F127" s="296" t="n">
        <f t="shared" si="43"/>
        <v>0.007803558422640724</v>
      </c>
      <c r="G127" s="946" t="n">
        <f t="shared" ref="G127:N127" si="53">IF(G$111&gt;0,G154/G$111,0)</f>
        <v>0.00773754255648406</v>
      </c>
      <c r="H127" s="946" t="n">
        <f t="shared" si="53"/>
        <v>0.007805182641273806</v>
      </c>
      <c r="I127" s="945" t="n">
        <f t="shared" si="53"/>
        <v>0.007869058860560278</v>
      </c>
      <c r="J127" s="296" t="n">
        <f t="shared" si="53"/>
        <v>0.0</v>
      </c>
      <c r="K127" s="296" t="n">
        <f t="shared" ref="K127:K141" si="54">IF(K$111&gt;0,K154/K$111,0)</f>
        <v>0.0</v>
      </c>
      <c r="L127" s="296" t="n">
        <f t="shared" si="53"/>
        <v>0.0</v>
      </c>
      <c r="M127" s="296" t="n">
        <f t="shared" si="53"/>
        <v>0.0</v>
      </c>
      <c r="N127" s="947" t="n">
        <f t="shared" si="53"/>
        <v>0.0</v>
      </c>
    </row>
    <row r="128" spans="1:14">
      <c r="A128" s="82"/>
      <c r="B128" s="130"/>
      <c r="C128" s="35" t="s">
        <v>325</v>
      </c>
      <c r="D128" s="125"/>
      <c r="E128" s="136"/>
      <c r="F128" s="296" t="n">
        <f t="shared" si="43"/>
        <v>0.0021849963583394027</v>
      </c>
      <c r="G128" s="946" t="n">
        <f t="shared" ref="G128:N128" si="55">IF(G$111&gt;0,G155/G$111,0)</f>
        <v>0.002166511915815537</v>
      </c>
      <c r="H128" s="946" t="n">
        <f t="shared" si="55"/>
        <v>0.0021854511395566654</v>
      </c>
      <c r="I128" s="945" t="n">
        <f t="shared" si="55"/>
        <v>0.0022033364809568774</v>
      </c>
      <c r="J128" s="296" t="n">
        <f t="shared" si="55"/>
        <v>0.0</v>
      </c>
      <c r="K128" s="296" t="n">
        <f t="shared" si="54"/>
        <v>0.0</v>
      </c>
      <c r="L128" s="296" t="n">
        <f t="shared" si="55"/>
        <v>0.0</v>
      </c>
      <c r="M128" s="296" t="n">
        <f t="shared" si="55"/>
        <v>0.0</v>
      </c>
      <c r="N128" s="947" t="n">
        <f t="shared" si="55"/>
        <v>0.0</v>
      </c>
    </row>
    <row r="129" spans="1:14">
      <c r="A129" s="82"/>
      <c r="B129" s="130"/>
      <c r="C129" s="35" t="s">
        <v>333</v>
      </c>
      <c r="D129" s="125"/>
      <c r="E129" s="136"/>
      <c r="F129" s="296" t="n">
        <f t="shared" si="43"/>
        <v>0.010612839454791384</v>
      </c>
      <c r="G129" s="946" t="n">
        <f t="shared" ref="G129:N129" si="56">IF(G$111&gt;0,G156/G$111,0)</f>
        <v>0.010523057876818322</v>
      </c>
      <c r="H129" s="946" t="n">
        <f t="shared" si="56"/>
        <v>0.010615048392132375</v>
      </c>
      <c r="I129" s="945" t="n">
        <f t="shared" si="56"/>
        <v>0.010701920050361977</v>
      </c>
      <c r="J129" s="296" t="n">
        <f t="shared" si="56"/>
        <v>0.0</v>
      </c>
      <c r="K129" s="296" t="n">
        <f t="shared" si="54"/>
        <v>0.0</v>
      </c>
      <c r="L129" s="296" t="n">
        <f t="shared" si="56"/>
        <v>0.0</v>
      </c>
      <c r="M129" s="296" t="n">
        <f t="shared" si="56"/>
        <v>0.0</v>
      </c>
      <c r="N129" s="947" t="n">
        <f t="shared" si="56"/>
        <v>0.0</v>
      </c>
    </row>
    <row r="130" spans="1:14" hidden="1">
      <c r="A130" s="82"/>
      <c r="B130" s="130"/>
      <c r="C130" s="35"/>
      <c r="D130" s="125"/>
      <c r="E130" s="136"/>
      <c r="F130" s="296" t="n">
        <f t="shared" si="43"/>
        <v>0.0</v>
      </c>
      <c r="G130" s="946" t="n">
        <f>IF(G$111&gt;0,G157/G$111,0)</f>
        <v>0.0</v>
      </c>
      <c r="H130" s="946" t="n">
        <f t="shared" ref="H130:N140" si="57">IF(H$111&gt;0,H157/H$111,0)</f>
        <v>0.0</v>
      </c>
      <c r="I130" s="945" t="n">
        <f t="shared" si="57"/>
        <v>0.0</v>
      </c>
      <c r="J130" s="296" t="n">
        <f t="shared" si="57"/>
        <v>0.0</v>
      </c>
      <c r="K130" s="296" t="n">
        <f t="shared" si="54"/>
        <v>0.0</v>
      </c>
      <c r="L130" s="296" t="n">
        <f t="shared" si="57"/>
        <v>0.0</v>
      </c>
      <c r="M130" s="296" t="n">
        <f t="shared" si="57"/>
        <v>0.0</v>
      </c>
      <c r="N130" s="947" t="n">
        <f t="shared" si="57"/>
        <v>0.0</v>
      </c>
    </row>
    <row r="131" spans="1:14" hidden="1">
      <c r="A131" s="82"/>
      <c r="B131" s="130"/>
      <c r="C131" s="35"/>
      <c r="D131" s="125"/>
      <c r="E131" s="136"/>
      <c r="F131" s="296" t="n">
        <f t="shared" si="43"/>
        <v>0.0</v>
      </c>
      <c r="G131" s="946" t="n">
        <f t="shared" ref="G131:G142" si="58">IF(G$111&gt;0,G158/G$111,0)</f>
        <v>0.0</v>
      </c>
      <c r="H131" s="946" t="n">
        <f t="shared" si="57"/>
        <v>0.0</v>
      </c>
      <c r="I131" s="945" t="n">
        <f t="shared" si="57"/>
        <v>0.0</v>
      </c>
      <c r="J131" s="296" t="n">
        <f t="shared" si="57"/>
        <v>0.0</v>
      </c>
      <c r="K131" s="296" t="n">
        <f t="shared" si="54"/>
        <v>0.0</v>
      </c>
      <c r="L131" s="296" t="n">
        <f t="shared" si="57"/>
        <v>0.0</v>
      </c>
      <c r="M131" s="296" t="n">
        <f t="shared" si="57"/>
        <v>0.0</v>
      </c>
      <c r="N131" s="947" t="n">
        <f t="shared" si="57"/>
        <v>0.0</v>
      </c>
    </row>
    <row r="132" spans="1:14" hidden="1">
      <c r="A132" s="82"/>
      <c r="B132" s="130"/>
      <c r="C132" s="35"/>
      <c r="D132" s="125"/>
      <c r="E132" s="136"/>
      <c r="F132" s="296" t="n">
        <f t="shared" si="43"/>
        <v>0.0</v>
      </c>
      <c r="G132" s="946" t="n">
        <f t="shared" si="58"/>
        <v>0.0</v>
      </c>
      <c r="H132" s="946" t="n">
        <f t="shared" si="57"/>
        <v>0.0</v>
      </c>
      <c r="I132" s="945" t="n">
        <f t="shared" si="57"/>
        <v>0.0</v>
      </c>
      <c r="J132" s="296" t="n">
        <f t="shared" si="57"/>
        <v>0.0</v>
      </c>
      <c r="K132" s="296" t="n">
        <f t="shared" si="54"/>
        <v>0.0</v>
      </c>
      <c r="L132" s="296" t="n">
        <f t="shared" si="57"/>
        <v>0.0</v>
      </c>
      <c r="M132" s="296" t="n">
        <f t="shared" si="57"/>
        <v>0.0</v>
      </c>
      <c r="N132" s="947" t="n">
        <f t="shared" si="57"/>
        <v>0.0</v>
      </c>
    </row>
    <row r="133" spans="1:14" hidden="1">
      <c r="A133" s="82"/>
      <c r="B133" s="130"/>
      <c r="C133" s="35"/>
      <c r="D133" s="125"/>
      <c r="E133" s="136"/>
      <c r="F133" s="296" t="n">
        <f t="shared" si="43"/>
        <v>0.0</v>
      </c>
      <c r="G133" s="946" t="n">
        <f t="shared" si="58"/>
        <v>0.0</v>
      </c>
      <c r="H133" s="946" t="n">
        <f t="shared" si="57"/>
        <v>0.0</v>
      </c>
      <c r="I133" s="945" t="n">
        <f t="shared" si="57"/>
        <v>0.0</v>
      </c>
      <c r="J133" s="296" t="n">
        <f t="shared" si="57"/>
        <v>0.0</v>
      </c>
      <c r="K133" s="296" t="n">
        <f t="shared" si="54"/>
        <v>0.0</v>
      </c>
      <c r="L133" s="296" t="n">
        <f t="shared" si="57"/>
        <v>0.0</v>
      </c>
      <c r="M133" s="296" t="n">
        <f t="shared" si="57"/>
        <v>0.0</v>
      </c>
      <c r="N133" s="947" t="n">
        <f t="shared" si="57"/>
        <v>0.0</v>
      </c>
    </row>
    <row r="134" spans="1:14" hidden="1">
      <c r="A134" s="82"/>
      <c r="B134" s="130"/>
      <c r="C134" s="35"/>
      <c r="D134" s="125"/>
      <c r="E134" s="136"/>
      <c r="F134" s="296" t="n">
        <f t="shared" si="43"/>
        <v>0.0</v>
      </c>
      <c r="G134" s="946" t="n">
        <f t="shared" si="58"/>
        <v>0.0</v>
      </c>
      <c r="H134" s="946" t="n">
        <f t="shared" si="57"/>
        <v>0.0</v>
      </c>
      <c r="I134" s="945" t="n">
        <f t="shared" si="57"/>
        <v>0.0</v>
      </c>
      <c r="J134" s="296" t="n">
        <f t="shared" si="57"/>
        <v>0.0</v>
      </c>
      <c r="K134" s="296" t="n">
        <f t="shared" si="54"/>
        <v>0.0</v>
      </c>
      <c r="L134" s="296" t="n">
        <f t="shared" si="57"/>
        <v>0.0</v>
      </c>
      <c r="M134" s="296" t="n">
        <f t="shared" si="57"/>
        <v>0.0</v>
      </c>
      <c r="N134" s="947" t="n">
        <f t="shared" si="57"/>
        <v>0.0</v>
      </c>
    </row>
    <row r="135" spans="1:14" hidden="1">
      <c r="A135" s="82"/>
      <c r="B135" s="130"/>
      <c r="C135" s="35"/>
      <c r="D135" s="125"/>
      <c r="E135" s="136"/>
      <c r="F135" s="296" t="n">
        <f t="shared" si="43"/>
        <v>0.0</v>
      </c>
      <c r="G135" s="946" t="n">
        <f t="shared" si="58"/>
        <v>0.0</v>
      </c>
      <c r="H135" s="946" t="n">
        <f t="shared" si="57"/>
        <v>0.0</v>
      </c>
      <c r="I135" s="945" t="n">
        <f t="shared" si="57"/>
        <v>0.0</v>
      </c>
      <c r="J135" s="296" t="n">
        <f t="shared" si="57"/>
        <v>0.0</v>
      </c>
      <c r="K135" s="296" t="n">
        <f t="shared" si="54"/>
        <v>0.0</v>
      </c>
      <c r="L135" s="296" t="n">
        <f t="shared" si="57"/>
        <v>0.0</v>
      </c>
      <c r="M135" s="296" t="n">
        <f t="shared" si="57"/>
        <v>0.0</v>
      </c>
      <c r="N135" s="947" t="n">
        <f t="shared" si="57"/>
        <v>0.0</v>
      </c>
    </row>
    <row r="136" spans="1:14" hidden="1">
      <c r="A136" s="82"/>
      <c r="B136" s="130"/>
      <c r="C136" s="35"/>
      <c r="D136" s="125"/>
      <c r="E136" s="136"/>
      <c r="F136" s="296" t="n">
        <f t="shared" si="43"/>
        <v>0.0</v>
      </c>
      <c r="G136" s="946" t="n">
        <f t="shared" si="58"/>
        <v>0.0</v>
      </c>
      <c r="H136" s="946" t="n">
        <f t="shared" si="57"/>
        <v>0.0</v>
      </c>
      <c r="I136" s="945" t="n">
        <f t="shared" si="57"/>
        <v>0.0</v>
      </c>
      <c r="J136" s="296" t="n">
        <f t="shared" si="57"/>
        <v>0.0</v>
      </c>
      <c r="K136" s="296" t="n">
        <f t="shared" si="54"/>
        <v>0.0</v>
      </c>
      <c r="L136" s="296" t="n">
        <f t="shared" si="57"/>
        <v>0.0</v>
      </c>
      <c r="M136" s="296" t="n">
        <f t="shared" si="57"/>
        <v>0.0</v>
      </c>
      <c r="N136" s="947" t="n">
        <f t="shared" si="57"/>
        <v>0.0</v>
      </c>
    </row>
    <row r="137" spans="1:14" hidden="1">
      <c r="A137" s="82"/>
      <c r="B137" s="130"/>
      <c r="C137" s="35"/>
      <c r="D137" s="125"/>
      <c r="E137" s="136"/>
      <c r="F137" s="296" t="n">
        <f t="shared" si="43"/>
        <v>0.0</v>
      </c>
      <c r="G137" s="946" t="n">
        <f t="shared" si="58"/>
        <v>0.0</v>
      </c>
      <c r="H137" s="946" t="n">
        <f t="shared" si="57"/>
        <v>0.0</v>
      </c>
      <c r="I137" s="945" t="n">
        <f t="shared" si="57"/>
        <v>0.0</v>
      </c>
      <c r="J137" s="296" t="n">
        <f t="shared" si="57"/>
        <v>0.0</v>
      </c>
      <c r="K137" s="296" t="n">
        <f t="shared" si="54"/>
        <v>0.0</v>
      </c>
      <c r="L137" s="296" t="n">
        <f t="shared" si="57"/>
        <v>0.0</v>
      </c>
      <c r="M137" s="296" t="n">
        <f t="shared" si="57"/>
        <v>0.0</v>
      </c>
      <c r="N137" s="947" t="n">
        <f t="shared" si="57"/>
        <v>0.0</v>
      </c>
    </row>
    <row r="138" spans="1:14" hidden="1">
      <c r="A138" s="82"/>
      <c r="B138" s="130"/>
      <c r="C138" s="35"/>
      <c r="D138" s="125"/>
      <c r="E138" s="136"/>
      <c r="F138" s="296" t="n">
        <f t="shared" si="43"/>
        <v>0.0</v>
      </c>
      <c r="G138" s="946" t="n">
        <f t="shared" si="58"/>
        <v>0.0</v>
      </c>
      <c r="H138" s="946" t="n">
        <f t="shared" si="57"/>
        <v>0.0</v>
      </c>
      <c r="I138" s="945" t="n">
        <f t="shared" si="57"/>
        <v>0.0</v>
      </c>
      <c r="J138" s="296" t="n">
        <f t="shared" si="57"/>
        <v>0.0</v>
      </c>
      <c r="K138" s="296" t="n">
        <f t="shared" si="54"/>
        <v>0.0</v>
      </c>
      <c r="L138" s="296" t="n">
        <f t="shared" si="57"/>
        <v>0.0</v>
      </c>
      <c r="M138" s="296" t="n">
        <f t="shared" si="57"/>
        <v>0.0</v>
      </c>
      <c r="N138" s="947" t="n">
        <f t="shared" si="57"/>
        <v>0.0</v>
      </c>
    </row>
    <row r="139" spans="1:14" hidden="1">
      <c r="A139" s="82"/>
      <c r="B139" s="130"/>
      <c r="C139" s="35"/>
      <c r="D139" s="125"/>
      <c r="E139" s="136"/>
      <c r="F139" s="296" t="n">
        <f t="shared" si="43"/>
        <v>0.0</v>
      </c>
      <c r="G139" s="946" t="n">
        <f t="shared" si="58"/>
        <v>0.0</v>
      </c>
      <c r="H139" s="946" t="n">
        <f t="shared" si="57"/>
        <v>0.0</v>
      </c>
      <c r="I139" s="945" t="n">
        <f t="shared" si="57"/>
        <v>0.0</v>
      </c>
      <c r="J139" s="296" t="n">
        <f t="shared" si="57"/>
        <v>0.0</v>
      </c>
      <c r="K139" s="296" t="n">
        <f t="shared" si="54"/>
        <v>0.0</v>
      </c>
      <c r="L139" s="296" t="n">
        <f t="shared" si="57"/>
        <v>0.0</v>
      </c>
      <c r="M139" s="296" t="n">
        <f t="shared" si="57"/>
        <v>0.0</v>
      </c>
      <c r="N139" s="947" t="n">
        <f t="shared" si="57"/>
        <v>0.0</v>
      </c>
    </row>
    <row r="140" spans="1:14" hidden="1">
      <c r="A140" s="82"/>
      <c r="B140" s="130"/>
      <c r="C140" s="35"/>
      <c r="D140" s="125"/>
      <c r="E140" s="136"/>
      <c r="F140" s="296" t="n">
        <f t="shared" si="43"/>
        <v>0.0</v>
      </c>
      <c r="G140" s="946" t="n">
        <f t="shared" si="58"/>
        <v>0.0</v>
      </c>
      <c r="H140" s="946" t="n">
        <f t="shared" si="57"/>
        <v>0.0</v>
      </c>
      <c r="I140" s="945" t="n">
        <f t="shared" si="57"/>
        <v>0.0</v>
      </c>
      <c r="J140" s="296" t="n">
        <f t="shared" si="57"/>
        <v>0.0</v>
      </c>
      <c r="K140" s="296" t="n">
        <f t="shared" si="54"/>
        <v>0.0</v>
      </c>
      <c r="L140" s="296" t="n">
        <f t="shared" si="57"/>
        <v>0.0</v>
      </c>
      <c r="M140" s="296" t="n">
        <f t="shared" si="57"/>
        <v>0.0</v>
      </c>
      <c r="N140" s="947" t="n">
        <f t="shared" si="57"/>
        <v>0.0</v>
      </c>
    </row>
    <row r="141" spans="1:14" hidden="1">
      <c r="A141" s="82"/>
      <c r="B141" s="130"/>
      <c r="C141" s="35"/>
      <c r="D141" s="125"/>
      <c r="E141" s="136"/>
      <c r="F141" s="296" t="n">
        <f t="shared" si="43"/>
        <v>0.0</v>
      </c>
      <c r="G141" s="946" t="n">
        <f t="shared" si="58"/>
        <v>0.0</v>
      </c>
      <c r="H141" s="946" t="n">
        <f t="shared" ref="H141:N141" si="59">IF(H$111&gt;0,H168/H$111,0)</f>
        <v>0.0</v>
      </c>
      <c r="I141" s="945" t="n">
        <f t="shared" si="59"/>
        <v>0.0</v>
      </c>
      <c r="J141" s="296" t="n">
        <f t="shared" si="59"/>
        <v>0.0</v>
      </c>
      <c r="K141" s="296" t="n">
        <f t="shared" si="54"/>
        <v>0.0</v>
      </c>
      <c r="L141" s="296" t="n">
        <f t="shared" si="59"/>
        <v>0.0</v>
      </c>
      <c r="M141" s="296" t="n">
        <f t="shared" si="59"/>
        <v>0.0</v>
      </c>
      <c r="N141" s="947" t="n">
        <f t="shared" si="59"/>
        <v>0.0</v>
      </c>
    </row>
    <row r="142" spans="1:14">
      <c r="A142" s="82"/>
      <c r="B142" s="130"/>
      <c r="C142" s="35" t="s">
        <v>36</v>
      </c>
      <c r="D142" s="125"/>
      <c r="E142" s="136"/>
      <c r="F142" s="296" t="n">
        <f t="shared" si="43"/>
        <v>1.0</v>
      </c>
      <c r="G142" s="946" t="n">
        <f t="shared" si="58"/>
        <v>1.0</v>
      </c>
      <c r="H142" s="946" t="n">
        <f t="shared" ref="H142:N142" si="60">IF(H$111&gt;0,H169/H$111,0)</f>
        <v>1.0</v>
      </c>
      <c r="I142" s="945" t="n">
        <f t="shared" si="60"/>
        <v>1.0</v>
      </c>
      <c r="J142" s="296" t="n">
        <f t="shared" si="60"/>
        <v>1.0</v>
      </c>
      <c r="K142" s="296" t="n">
        <f t="shared" si="60"/>
        <v>1.0</v>
      </c>
      <c r="L142" s="296" t="n">
        <f t="shared" si="60"/>
        <v>1.0</v>
      </c>
      <c r="M142" s="296" t="n">
        <f t="shared" si="60"/>
        <v>1.0</v>
      </c>
      <c r="N142" s="947" t="n">
        <f t="shared" si="60"/>
        <v>1.0</v>
      </c>
    </row>
    <row r="143" spans="1:14">
      <c r="A143" s="82"/>
      <c r="B143" s="137" t="s">
        <v>163</v>
      </c>
      <c r="C143" s="35"/>
      <c r="D143" s="125"/>
      <c r="E143" s="136"/>
      <c r="F143" s="299"/>
      <c r="G143" s="300"/>
      <c r="H143" s="300"/>
      <c r="I143" s="301"/>
      <c r="J143" s="640"/>
      <c r="K143" s="806"/>
      <c r="L143" s="806"/>
      <c r="M143" s="869"/>
      <c r="N143" s="807"/>
    </row>
    <row r="144" spans="1:14">
      <c r="A144" s="82"/>
      <c r="B144" s="302"/>
      <c r="C144" s="132" t="s">
        <v>161</v>
      </c>
      <c r="D144" s="133"/>
      <c r="E144" s="138"/>
      <c r="F144" s="618" t="n">
        <f>SUM(G144:I144)</f>
        <v>1064.0</v>
      </c>
      <c r="G144" s="248" t="n">
        <v>362.0</v>
      </c>
      <c r="H144" s="248" t="n">
        <v>352.0</v>
      </c>
      <c r="I144" s="287" t="n">
        <v>350.0</v>
      </c>
      <c r="J144" s="633" t="n">
        <v>400.0</v>
      </c>
      <c r="K144" s="383" t="n">
        <v>380.0</v>
      </c>
      <c r="L144" s="383" t="n">
        <v>382.0</v>
      </c>
      <c r="M144" s="865" t="n">
        <v>350.0</v>
      </c>
      <c r="N144" s="799" t="n">
        <v>329.0</v>
      </c>
    </row>
    <row r="145" spans="1:14">
      <c r="A145" s="82"/>
      <c r="B145" s="302"/>
      <c r="C145" s="132" t="s">
        <v>162</v>
      </c>
      <c r="D145" s="133"/>
      <c r="E145" s="138"/>
      <c r="F145" s="618" t="n">
        <f t="shared" ref="F145:F152" si="61">SUM(G145:I145)</f>
        <v>874.0</v>
      </c>
      <c r="G145" s="248" t="n">
        <v>293.0</v>
      </c>
      <c r="H145" s="248" t="n">
        <v>293.0</v>
      </c>
      <c r="I145" s="287" t="n">
        <v>288.0</v>
      </c>
      <c r="J145" s="633" t="n">
        <v>290.0</v>
      </c>
      <c r="K145" s="383" t="n">
        <v>260.0</v>
      </c>
      <c r="L145" s="383" t="n">
        <v>260.0</v>
      </c>
      <c r="M145" s="865" t="n">
        <v>240.0</v>
      </c>
      <c r="N145" s="799" t="n">
        <v>229.0</v>
      </c>
    </row>
    <row r="146" spans="1:14">
      <c r="A146" s="82"/>
      <c r="B146" s="302"/>
      <c r="C146" s="132" t="s">
        <v>123</v>
      </c>
      <c r="D146" s="133"/>
      <c r="E146" s="138"/>
      <c r="F146" s="618" t="n">
        <f t="shared" si="61"/>
        <v>910.0</v>
      </c>
      <c r="G146" s="248" t="n">
        <v>305.0</v>
      </c>
      <c r="H146" s="248" t="n">
        <v>305.0</v>
      </c>
      <c r="I146" s="287" t="n">
        <v>300.0</v>
      </c>
      <c r="J146" s="633" t="n">
        <v>280.0</v>
      </c>
      <c r="K146" s="383" t="n">
        <v>275.0</v>
      </c>
      <c r="L146" s="383" t="n">
        <v>270.0</v>
      </c>
      <c r="M146" s="865" t="n">
        <v>250.0</v>
      </c>
      <c r="N146" s="799" t="n">
        <v>237.0</v>
      </c>
    </row>
    <row r="147" spans="1:14">
      <c r="A147" s="82"/>
      <c r="B147" s="302"/>
      <c r="C147" s="132" t="s">
        <v>124</v>
      </c>
      <c r="D147" s="133"/>
      <c r="E147" s="138"/>
      <c r="F147" s="618" t="n">
        <f t="shared" si="61"/>
        <v>920.0</v>
      </c>
      <c r="G147" s="248" t="n">
        <v>309.0</v>
      </c>
      <c r="H147" s="248" t="n">
        <v>311.0</v>
      </c>
      <c r="I147" s="287" t="n">
        <v>300.0</v>
      </c>
      <c r="J147" s="633" t="n">
        <v>393.0</v>
      </c>
      <c r="K147" s="383" t="n">
        <v>370.0</v>
      </c>
      <c r="L147" s="383" t="n">
        <v>300.0</v>
      </c>
      <c r="M147" s="865" t="n">
        <v>328.0</v>
      </c>
      <c r="N147" s="799" t="n">
        <v>309.0</v>
      </c>
    </row>
    <row r="148" spans="1:14">
      <c r="A148" s="82"/>
      <c r="B148" s="302"/>
      <c r="C148" s="132" t="s">
        <v>125</v>
      </c>
      <c r="D148" s="133"/>
      <c r="E148" s="138"/>
      <c r="F148" s="618" t="n">
        <f t="shared" si="61"/>
        <v>2030.0</v>
      </c>
      <c r="G148" s="248" t="n">
        <v>682.0</v>
      </c>
      <c r="H148" s="248" t="n">
        <v>678.0</v>
      </c>
      <c r="I148" s="287" t="n">
        <v>670.0</v>
      </c>
      <c r="J148" s="633" t="n">
        <v>668.0</v>
      </c>
      <c r="K148" s="383" t="n">
        <v>610.0</v>
      </c>
      <c r="L148" s="383" t="n">
        <v>603.0</v>
      </c>
      <c r="M148" s="865" t="n">
        <v>556.0</v>
      </c>
      <c r="N148" s="799" t="n">
        <v>519.0</v>
      </c>
    </row>
    <row r="149" spans="1:14">
      <c r="A149" s="82"/>
      <c r="B149" s="302"/>
      <c r="C149" s="132" t="s">
        <v>232</v>
      </c>
      <c r="D149" s="133"/>
      <c r="E149" s="138"/>
      <c r="F149" s="618" t="n">
        <f t="shared" si="61"/>
        <v>1234.0</v>
      </c>
      <c r="G149" s="248" t="n">
        <v>416.0</v>
      </c>
      <c r="H149" s="248" t="n">
        <v>405.0</v>
      </c>
      <c r="I149" s="287" t="n">
        <v>413.0</v>
      </c>
      <c r="J149" s="633" t="n">
        <v>462.0</v>
      </c>
      <c r="K149" s="383" t="n">
        <v>433.0</v>
      </c>
      <c r="L149" s="383" t="n">
        <v>422.0</v>
      </c>
      <c r="M149" s="865" t="n">
        <v>369.0</v>
      </c>
      <c r="N149" s="799" t="n">
        <v>357.0</v>
      </c>
    </row>
    <row r="150" spans="1:14">
      <c r="A150" s="82"/>
      <c r="B150" s="302"/>
      <c r="C150" s="132" t="s">
        <v>233</v>
      </c>
      <c r="D150" s="133"/>
      <c r="E150" s="138"/>
      <c r="F150" s="618" t="n">
        <f t="shared" si="61"/>
        <v>1314.0</v>
      </c>
      <c r="G150" s="248" t="n">
        <v>438.0</v>
      </c>
      <c r="H150" s="248" t="n">
        <v>438.0</v>
      </c>
      <c r="I150" s="287" t="n">
        <v>438.0</v>
      </c>
      <c r="J150" s="633" t="n">
        <v>374.0</v>
      </c>
      <c r="K150" s="383" t="n">
        <v>356.0</v>
      </c>
      <c r="L150" s="383" t="n">
        <v>341.0</v>
      </c>
      <c r="M150" s="865" t="n">
        <v>312.0</v>
      </c>
      <c r="N150" s="799" t="n">
        <v>294.0</v>
      </c>
    </row>
    <row r="151" spans="1:14">
      <c r="A151" s="82"/>
      <c r="B151" s="302"/>
      <c r="C151" s="132" t="s">
        <v>234</v>
      </c>
      <c r="D151" s="133"/>
      <c r="E151" s="138"/>
      <c r="F151" s="618" t="n">
        <f t="shared" si="61"/>
        <v>744.0</v>
      </c>
      <c r="G151" s="248" t="n">
        <v>248.0</v>
      </c>
      <c r="H151" s="248" t="n">
        <v>248.0</v>
      </c>
      <c r="I151" s="287" t="n">
        <v>248.0</v>
      </c>
      <c r="J151" s="633" t="n">
        <v>184.0</v>
      </c>
      <c r="K151" s="383" t="n">
        <v>191.0</v>
      </c>
      <c r="L151" s="383" t="n">
        <v>168.0</v>
      </c>
      <c r="M151" s="865" t="n">
        <v>154.0</v>
      </c>
      <c r="N151" s="799" t="n">
        <v>145.0</v>
      </c>
    </row>
    <row r="152" spans="1:14">
      <c r="A152" s="82"/>
      <c r="B152" s="302"/>
      <c r="C152" s="132" t="s">
        <v>235</v>
      </c>
      <c r="D152" s="133"/>
      <c r="E152" s="138"/>
      <c r="F152" s="618" t="n">
        <f t="shared" si="61"/>
        <v>233.0</v>
      </c>
      <c r="G152" s="248" t="n">
        <v>82.0</v>
      </c>
      <c r="H152" s="248" t="n">
        <v>77.0</v>
      </c>
      <c r="I152" s="287" t="n">
        <v>74.0</v>
      </c>
      <c r="J152" s="633" t="n">
        <v>98.0</v>
      </c>
      <c r="K152" s="383" t="n">
        <v>92.0</v>
      </c>
      <c r="L152" s="383" t="n">
        <v>89.0</v>
      </c>
      <c r="M152" s="865" t="n">
        <v>80.0</v>
      </c>
      <c r="N152" s="799" t="n">
        <v>75.0</v>
      </c>
    </row>
    <row r="153" spans="1:14">
      <c r="A153" s="82"/>
      <c r="B153" s="302"/>
      <c r="C153" s="132" t="s">
        <v>323</v>
      </c>
      <c r="D153" s="133"/>
      <c r="E153" s="138"/>
      <c r="F153" s="618" t="n">
        <f t="shared" ref="F153" si="62">SUM(G153:I153)</f>
        <v>90.0</v>
      </c>
      <c r="G153" s="248" t="n">
        <v>30.0</v>
      </c>
      <c r="H153" s="248" t="n">
        <v>30.0</v>
      </c>
      <c r="I153" s="287" t="n">
        <v>30.0</v>
      </c>
      <c r="J153" s="633" t="n">
        <v>0.0</v>
      </c>
      <c r="K153" s="383" t="n">
        <v>0.0</v>
      </c>
      <c r="L153" s="383" t="n">
        <v>0.0</v>
      </c>
      <c r="M153" s="865" t="n">
        <v>0.0</v>
      </c>
      <c r="N153" s="799" t="n">
        <v>0.0</v>
      </c>
    </row>
    <row r="154" spans="1:14">
      <c r="A154" s="82"/>
      <c r="B154" s="302"/>
      <c r="C154" s="132" t="s">
        <v>324</v>
      </c>
      <c r="D154" s="133"/>
      <c r="E154" s="138"/>
      <c r="F154" s="618" t="n">
        <f t="shared" ref="F154:F168" si="63">SUM(G154:I154)</f>
        <v>75.0</v>
      </c>
      <c r="G154" s="248" t="n">
        <v>25.0</v>
      </c>
      <c r="H154" s="248" t="n">
        <v>25.0</v>
      </c>
      <c r="I154" s="287" t="n">
        <v>25.0</v>
      </c>
      <c r="J154" s="633" t="n">
        <v>0.0</v>
      </c>
      <c r="K154" s="383" t="n">
        <v>0.0</v>
      </c>
      <c r="L154" s="383" t="n">
        <v>0.0</v>
      </c>
      <c r="M154" s="865" t="n">
        <v>0.0</v>
      </c>
      <c r="N154" s="799" t="n">
        <v>0.0</v>
      </c>
    </row>
    <row r="155" spans="1:14">
      <c r="A155" s="82"/>
      <c r="B155" s="302"/>
      <c r="C155" s="132" t="s">
        <v>325</v>
      </c>
      <c r="D155" s="133"/>
      <c r="E155" s="138"/>
      <c r="F155" s="618" t="n">
        <f t="shared" si="63"/>
        <v>21.0</v>
      </c>
      <c r="G155" s="248" t="n">
        <v>7.0</v>
      </c>
      <c r="H155" s="248" t="n">
        <v>7.0</v>
      </c>
      <c r="I155" s="287" t="n">
        <v>7.0</v>
      </c>
      <c r="J155" s="633" t="n">
        <v>0.0</v>
      </c>
      <c r="K155" s="383" t="n">
        <v>0.0</v>
      </c>
      <c r="L155" s="383" t="n">
        <v>0.0</v>
      </c>
      <c r="M155" s="865" t="n">
        <v>0.0</v>
      </c>
      <c r="N155" s="799" t="n">
        <v>0.0</v>
      </c>
    </row>
    <row r="156" spans="1:14">
      <c r="A156" s="82"/>
      <c r="B156" s="302"/>
      <c r="C156" s="132" t="s">
        <v>333</v>
      </c>
      <c r="D156" s="133"/>
      <c r="E156" s="138"/>
      <c r="F156" s="618" t="n">
        <f t="shared" si="63"/>
        <v>102.0</v>
      </c>
      <c r="G156" s="248" t="n">
        <v>34.0</v>
      </c>
      <c r="H156" s="248" t="n">
        <v>34.0</v>
      </c>
      <c r="I156" s="287" t="n">
        <v>34.0</v>
      </c>
      <c r="J156" s="633" t="n">
        <v>0.0</v>
      </c>
      <c r="K156" s="383" t="n">
        <v>0.0</v>
      </c>
      <c r="L156" s="383" t="n">
        <v>0.0</v>
      </c>
      <c r="M156" s="865" t="n">
        <v>0.0</v>
      </c>
      <c r="N156" s="799" t="n">
        <v>0.0</v>
      </c>
    </row>
    <row r="157" spans="1:14" hidden="1">
      <c r="A157" s="82"/>
      <c r="B157" s="302"/>
      <c r="C157" s="132"/>
      <c r="D157" s="133"/>
      <c r="E157" s="138"/>
      <c r="F157" s="618" t="n">
        <f t="shared" si="63"/>
        <v>0.0</v>
      </c>
      <c r="G157" s="248"/>
      <c r="H157" s="248"/>
      <c r="I157" s="287"/>
      <c r="J157" s="633"/>
      <c r="K157" s="383"/>
      <c r="L157" s="383"/>
      <c r="M157" s="865"/>
      <c r="N157" s="799"/>
    </row>
    <row r="158" spans="1:14" hidden="1">
      <c r="A158" s="82"/>
      <c r="B158" s="302"/>
      <c r="C158" s="132"/>
      <c r="D158" s="133"/>
      <c r="E158" s="138"/>
      <c r="F158" s="618" t="n">
        <f t="shared" si="63"/>
        <v>0.0</v>
      </c>
      <c r="G158" s="248"/>
      <c r="H158" s="248"/>
      <c r="I158" s="287"/>
      <c r="J158" s="633"/>
      <c r="K158" s="383"/>
      <c r="L158" s="383"/>
      <c r="M158" s="865"/>
      <c r="N158" s="799"/>
    </row>
    <row r="159" spans="1:14" hidden="1">
      <c r="A159" s="82"/>
      <c r="B159" s="302"/>
      <c r="C159" s="132"/>
      <c r="D159" s="133"/>
      <c r="E159" s="138"/>
      <c r="F159" s="618" t="n">
        <f t="shared" si="63"/>
        <v>0.0</v>
      </c>
      <c r="G159" s="248"/>
      <c r="H159" s="248"/>
      <c r="I159" s="287"/>
      <c r="J159" s="633"/>
      <c r="K159" s="383"/>
      <c r="L159" s="383"/>
      <c r="M159" s="865"/>
      <c r="N159" s="799"/>
    </row>
    <row r="160" spans="1:14" hidden="1">
      <c r="A160" s="82"/>
      <c r="B160" s="302"/>
      <c r="C160" s="132"/>
      <c r="D160" s="133"/>
      <c r="E160" s="138"/>
      <c r="F160" s="618" t="n">
        <f t="shared" si="63"/>
        <v>0.0</v>
      </c>
      <c r="G160" s="248"/>
      <c r="H160" s="248"/>
      <c r="I160" s="287"/>
      <c r="J160" s="633"/>
      <c r="K160" s="383"/>
      <c r="L160" s="383"/>
      <c r="M160" s="865"/>
      <c r="N160" s="799"/>
    </row>
    <row r="161" spans="1:14" hidden="1">
      <c r="A161" s="82"/>
      <c r="B161" s="302"/>
      <c r="C161" s="132"/>
      <c r="D161" s="133"/>
      <c r="E161" s="138"/>
      <c r="F161" s="618" t="n">
        <f t="shared" si="63"/>
        <v>0.0</v>
      </c>
      <c r="G161" s="248"/>
      <c r="H161" s="248"/>
      <c r="I161" s="287"/>
      <c r="J161" s="633"/>
      <c r="K161" s="383"/>
      <c r="L161" s="383"/>
      <c r="M161" s="865"/>
      <c r="N161" s="799"/>
    </row>
    <row r="162" spans="1:14" hidden="1">
      <c r="A162" s="82"/>
      <c r="B162" s="302"/>
      <c r="C162" s="132"/>
      <c r="D162" s="133"/>
      <c r="E162" s="138"/>
      <c r="F162" s="618" t="n">
        <f t="shared" si="63"/>
        <v>0.0</v>
      </c>
      <c r="G162" s="248"/>
      <c r="H162" s="248"/>
      <c r="I162" s="287"/>
      <c r="J162" s="633"/>
      <c r="K162" s="383"/>
      <c r="L162" s="383"/>
      <c r="M162" s="865"/>
      <c r="N162" s="799"/>
    </row>
    <row r="163" spans="1:14" hidden="1">
      <c r="A163" s="82"/>
      <c r="B163" s="302"/>
      <c r="C163" s="132"/>
      <c r="D163" s="133"/>
      <c r="E163" s="138"/>
      <c r="F163" s="618" t="n">
        <f t="shared" si="63"/>
        <v>0.0</v>
      </c>
      <c r="G163" s="248"/>
      <c r="H163" s="248"/>
      <c r="I163" s="287"/>
      <c r="J163" s="633"/>
      <c r="K163" s="383"/>
      <c r="L163" s="383"/>
      <c r="M163" s="865"/>
      <c r="N163" s="799"/>
    </row>
    <row r="164" spans="1:14" hidden="1">
      <c r="A164" s="82"/>
      <c r="B164" s="302"/>
      <c r="C164" s="132"/>
      <c r="D164" s="133"/>
      <c r="E164" s="138"/>
      <c r="F164" s="618" t="n">
        <f t="shared" si="63"/>
        <v>0.0</v>
      </c>
      <c r="G164" s="248"/>
      <c r="H164" s="248"/>
      <c r="I164" s="287"/>
      <c r="J164" s="633"/>
      <c r="K164" s="383"/>
      <c r="L164" s="383"/>
      <c r="M164" s="865"/>
      <c r="N164" s="799"/>
    </row>
    <row r="165" spans="1:14" hidden="1">
      <c r="A165" s="82"/>
      <c r="B165" s="302"/>
      <c r="C165" s="132"/>
      <c r="D165" s="133"/>
      <c r="E165" s="138"/>
      <c r="F165" s="618" t="n">
        <f t="shared" si="63"/>
        <v>0.0</v>
      </c>
      <c r="G165" s="248"/>
      <c r="H165" s="248"/>
      <c r="I165" s="287"/>
      <c r="J165" s="633"/>
      <c r="K165" s="383"/>
      <c r="L165" s="383"/>
      <c r="M165" s="865"/>
      <c r="N165" s="799"/>
    </row>
    <row r="166" spans="1:14" hidden="1">
      <c r="A166" s="82"/>
      <c r="B166" s="302"/>
      <c r="C166" s="132"/>
      <c r="D166" s="133"/>
      <c r="E166" s="138"/>
      <c r="F166" s="618" t="n">
        <f t="shared" si="63"/>
        <v>0.0</v>
      </c>
      <c r="G166" s="248"/>
      <c r="H166" s="248"/>
      <c r="I166" s="287"/>
      <c r="J166" s="633"/>
      <c r="K166" s="383"/>
      <c r="L166" s="383"/>
      <c r="M166" s="865"/>
      <c r="N166" s="799"/>
    </row>
    <row r="167" spans="1:14" hidden="1">
      <c r="A167" s="82"/>
      <c r="B167" s="302"/>
      <c r="C167" s="132"/>
      <c r="D167" s="133"/>
      <c r="E167" s="138"/>
      <c r="F167" s="618" t="n">
        <f t="shared" si="63"/>
        <v>0.0</v>
      </c>
      <c r="G167" s="248"/>
      <c r="H167" s="248"/>
      <c r="I167" s="287"/>
      <c r="J167" s="633"/>
      <c r="K167" s="383"/>
      <c r="L167" s="383"/>
      <c r="M167" s="865"/>
      <c r="N167" s="799"/>
    </row>
    <row r="168" spans="1:14" hidden="1">
      <c r="A168" s="82"/>
      <c r="B168" s="302"/>
      <c r="C168" s="132"/>
      <c r="D168" s="133"/>
      <c r="E168" s="138"/>
      <c r="F168" s="618" t="n">
        <f t="shared" si="63"/>
        <v>0.0</v>
      </c>
      <c r="G168" s="248"/>
      <c r="H168" s="248"/>
      <c r="I168" s="287"/>
      <c r="J168" s="633"/>
      <c r="K168" s="383"/>
      <c r="L168" s="383"/>
      <c r="M168" s="865"/>
      <c r="N168" s="799"/>
    </row>
    <row r="169" spans="1:14">
      <c r="A169" s="82"/>
      <c r="B169" s="302"/>
      <c r="C169" s="303" t="s">
        <v>36</v>
      </c>
      <c r="D169" s="124"/>
      <c r="E169" s="304"/>
      <c r="F169" s="305" t="n">
        <f>SUM(F144:F168)</f>
        <v>9611.0</v>
      </c>
      <c r="G169" s="306" t="n">
        <f>SUM(G144:G168)</f>
        <v>3231.0</v>
      </c>
      <c r="H169" s="306" t="n">
        <f t="shared" ref="H169:M169" si="64">SUM(H144:H168)</f>
        <v>3203.0</v>
      </c>
      <c r="I169" s="307" t="n">
        <f t="shared" si="64"/>
        <v>3177.0</v>
      </c>
      <c r="J169" s="641" t="n">
        <f t="shared" si="64"/>
        <v>3149.0</v>
      </c>
      <c r="K169" s="808" t="n">
        <f t="shared" si="64"/>
        <v>2967.0</v>
      </c>
      <c r="L169" s="808" t="n">
        <f t="shared" si="64"/>
        <v>2835.0</v>
      </c>
      <c r="M169" s="870" t="n">
        <f t="shared" si="64"/>
        <v>2639.0</v>
      </c>
      <c r="N169" s="809" t="n">
        <f>SUM(N144:N168)</f>
        <v>2494.0</v>
      </c>
    </row>
    <row r="170" spans="1:14">
      <c r="A170" s="82"/>
      <c r="B170" s="1140" t="s">
        <v>164</v>
      </c>
      <c r="C170" s="1141"/>
      <c r="D170" s="1141"/>
      <c r="E170" s="1151"/>
      <c r="F170" s="201"/>
      <c r="G170" s="294"/>
      <c r="H170" s="294"/>
      <c r="I170" s="295"/>
      <c r="J170" s="638"/>
      <c r="K170" s="802"/>
      <c r="L170" s="802"/>
      <c r="M170" s="867"/>
      <c r="N170" s="803"/>
    </row>
    <row r="171" spans="1:14">
      <c r="A171" s="82"/>
      <c r="B171" s="137"/>
      <c r="C171" s="125" t="s">
        <v>161</v>
      </c>
      <c r="D171" s="125"/>
      <c r="E171" s="136"/>
      <c r="F171" s="296" t="str">
        <f t="shared" ref="F171:N171" si="65">IF(AND(F$111&gt;0,F213&lt;&gt;""),F213/F$111,"")</f>
        <v/>
      </c>
      <c r="G171" s="297" t="str">
        <f t="shared" si="65"/>
        <v/>
      </c>
      <c r="H171" s="297" t="str">
        <f t="shared" si="65"/>
        <v/>
      </c>
      <c r="I171" s="298" t="str">
        <f t="shared" si="65"/>
        <v/>
      </c>
      <c r="J171" s="639" t="str">
        <f t="shared" si="65"/>
        <v/>
      </c>
      <c r="K171" s="804" t="str">
        <f t="shared" si="65"/>
        <v/>
      </c>
      <c r="L171" s="804" t="str">
        <f t="shared" si="65"/>
        <v/>
      </c>
      <c r="M171" s="868" t="str">
        <f t="shared" si="65"/>
        <v/>
      </c>
      <c r="N171" s="805" t="str">
        <f t="shared" si="65"/>
        <v/>
      </c>
    </row>
    <row r="172" spans="1:14">
      <c r="A172" s="82"/>
      <c r="B172" s="302"/>
      <c r="C172" s="125" t="s">
        <v>162</v>
      </c>
      <c r="D172" s="125"/>
      <c r="E172" s="136"/>
      <c r="F172" s="296" t="str">
        <f t="shared" ref="F172:N172" si="66">IF(AND(F$111&gt;0,F214&lt;&gt;""),F214/F$111,"")</f>
        <v/>
      </c>
      <c r="G172" s="297" t="str">
        <f t="shared" si="66"/>
        <v/>
      </c>
      <c r="H172" s="297" t="str">
        <f t="shared" si="66"/>
        <v/>
      </c>
      <c r="I172" s="298" t="str">
        <f t="shared" si="66"/>
        <v/>
      </c>
      <c r="J172" s="639" t="str">
        <f t="shared" si="66"/>
        <v/>
      </c>
      <c r="K172" s="804" t="str">
        <f t="shared" si="66"/>
        <v/>
      </c>
      <c r="L172" s="804" t="str">
        <f t="shared" si="66"/>
        <v/>
      </c>
      <c r="M172" s="868" t="str">
        <f t="shared" si="66"/>
        <v/>
      </c>
      <c r="N172" s="805" t="str">
        <f t="shared" si="66"/>
        <v/>
      </c>
    </row>
    <row r="173" spans="1:14">
      <c r="A173" s="82"/>
      <c r="B173" s="302"/>
      <c r="C173" s="125" t="s">
        <v>123</v>
      </c>
      <c r="D173" s="125"/>
      <c r="E173" s="136"/>
      <c r="F173" s="296" t="str">
        <f t="shared" ref="F173:N173" si="67">IF(AND(F$111&gt;0,F215&lt;&gt;""),F215/F$111,"")</f>
        <v/>
      </c>
      <c r="G173" s="297" t="str">
        <f t="shared" si="67"/>
        <v/>
      </c>
      <c r="H173" s="297" t="str">
        <f t="shared" si="67"/>
        <v/>
      </c>
      <c r="I173" s="298" t="str">
        <f t="shared" si="67"/>
        <v/>
      </c>
      <c r="J173" s="639" t="str">
        <f t="shared" si="67"/>
        <v/>
      </c>
      <c r="K173" s="804" t="str">
        <f t="shared" si="67"/>
        <v/>
      </c>
      <c r="L173" s="804" t="str">
        <f t="shared" si="67"/>
        <v/>
      </c>
      <c r="M173" s="868" t="str">
        <f t="shared" si="67"/>
        <v/>
      </c>
      <c r="N173" s="805" t="str">
        <f t="shared" si="67"/>
        <v/>
      </c>
    </row>
    <row r="174" spans="1:14">
      <c r="A174" s="82"/>
      <c r="B174" s="302"/>
      <c r="C174" s="125" t="s">
        <v>124</v>
      </c>
      <c r="D174" s="125"/>
      <c r="E174" s="136"/>
      <c r="F174" s="296" t="str">
        <f t="shared" ref="F174:N174" si="68">IF(AND(F$111&gt;0,F216&lt;&gt;""),F216/F$111,"")</f>
        <v/>
      </c>
      <c r="G174" s="297" t="str">
        <f t="shared" si="68"/>
        <v/>
      </c>
      <c r="H174" s="297" t="str">
        <f t="shared" si="68"/>
        <v/>
      </c>
      <c r="I174" s="298" t="str">
        <f t="shared" si="68"/>
        <v/>
      </c>
      <c r="J174" s="639" t="str">
        <f t="shared" si="68"/>
        <v/>
      </c>
      <c r="K174" s="804" t="str">
        <f t="shared" si="68"/>
        <v/>
      </c>
      <c r="L174" s="804" t="str">
        <f t="shared" si="68"/>
        <v/>
      </c>
      <c r="M174" s="868" t="str">
        <f t="shared" si="68"/>
        <v/>
      </c>
      <c r="N174" s="805" t="str">
        <f t="shared" si="68"/>
        <v/>
      </c>
    </row>
    <row r="175" spans="1:14">
      <c r="A175" s="82"/>
      <c r="B175" s="302"/>
      <c r="C175" s="125" t="s">
        <v>125</v>
      </c>
      <c r="D175" s="125"/>
      <c r="E175" s="136"/>
      <c r="F175" s="296" t="str">
        <f t="shared" ref="F175:N175" si="69">IF(AND(F$111&gt;0,F217&lt;&gt;""),F217/F$111,"")</f>
        <v/>
      </c>
      <c r="G175" s="297" t="str">
        <f t="shared" si="69"/>
        <v/>
      </c>
      <c r="H175" s="297" t="str">
        <f t="shared" si="69"/>
        <v/>
      </c>
      <c r="I175" s="298" t="str">
        <f t="shared" si="69"/>
        <v/>
      </c>
      <c r="J175" s="639" t="str">
        <f t="shared" si="69"/>
        <v/>
      </c>
      <c r="K175" s="804" t="str">
        <f t="shared" si="69"/>
        <v/>
      </c>
      <c r="L175" s="804" t="str">
        <f t="shared" si="69"/>
        <v/>
      </c>
      <c r="M175" s="868" t="str">
        <f t="shared" si="69"/>
        <v/>
      </c>
      <c r="N175" s="805" t="str">
        <f t="shared" si="69"/>
        <v/>
      </c>
    </row>
    <row r="176" spans="1:14">
      <c r="A176" s="82"/>
      <c r="B176" s="302"/>
      <c r="C176" s="125" t="s">
        <v>225</v>
      </c>
      <c r="D176" s="125"/>
      <c r="E176" s="136"/>
      <c r="F176" s="296" t="str">
        <f t="shared" ref="F176:N176" si="70">IF(AND(F$111&gt;0,F218&lt;&gt;""),F218/F$111,"")</f>
        <v/>
      </c>
      <c r="G176" s="297" t="str">
        <f t="shared" si="70"/>
        <v/>
      </c>
      <c r="H176" s="297" t="str">
        <f t="shared" si="70"/>
        <v/>
      </c>
      <c r="I176" s="298" t="str">
        <f t="shared" si="70"/>
        <v/>
      </c>
      <c r="J176" s="639" t="str">
        <f t="shared" si="70"/>
        <v/>
      </c>
      <c r="K176" s="804" t="str">
        <f t="shared" si="70"/>
        <v/>
      </c>
      <c r="L176" s="804" t="str">
        <f t="shared" si="70"/>
        <v/>
      </c>
      <c r="M176" s="868" t="str">
        <f t="shared" si="70"/>
        <v/>
      </c>
      <c r="N176" s="805" t="str">
        <f t="shared" si="70"/>
        <v/>
      </c>
    </row>
    <row r="177" spans="1:14">
      <c r="A177" s="82"/>
      <c r="B177" s="302"/>
      <c r="C177" s="125" t="s">
        <v>226</v>
      </c>
      <c r="D177" s="125"/>
      <c r="E177" s="136"/>
      <c r="F177" s="296" t="str">
        <f t="shared" ref="F177:N177" si="71">IF(AND(F$111&gt;0,F219&lt;&gt;""),F219/F$111,"")</f>
        <v/>
      </c>
      <c r="G177" s="297" t="str">
        <f t="shared" si="71"/>
        <v/>
      </c>
      <c r="H177" s="297" t="str">
        <f t="shared" si="71"/>
        <v/>
      </c>
      <c r="I177" s="298" t="str">
        <f t="shared" si="71"/>
        <v/>
      </c>
      <c r="J177" s="639" t="str">
        <f t="shared" si="71"/>
        <v/>
      </c>
      <c r="K177" s="804" t="str">
        <f t="shared" si="71"/>
        <v/>
      </c>
      <c r="L177" s="804" t="str">
        <f t="shared" si="71"/>
        <v/>
      </c>
      <c r="M177" s="868" t="str">
        <f t="shared" si="71"/>
        <v/>
      </c>
      <c r="N177" s="805" t="str">
        <f t="shared" si="71"/>
        <v/>
      </c>
    </row>
    <row r="178" spans="1:14">
      <c r="A178" s="82"/>
      <c r="B178" s="302"/>
      <c r="C178" s="125" t="s">
        <v>227</v>
      </c>
      <c r="D178" s="125"/>
      <c r="E178" s="136"/>
      <c r="F178" s="296" t="str">
        <f t="shared" ref="F178:N178" si="72">IF(AND(F$111&gt;0,F220&lt;&gt;""),F220/F$111,"")</f>
        <v/>
      </c>
      <c r="G178" s="297" t="str">
        <f t="shared" si="72"/>
        <v/>
      </c>
      <c r="H178" s="297" t="str">
        <f t="shared" si="72"/>
        <v/>
      </c>
      <c r="I178" s="298" t="str">
        <f t="shared" si="72"/>
        <v/>
      </c>
      <c r="J178" s="639" t="str">
        <f t="shared" si="72"/>
        <v/>
      </c>
      <c r="K178" s="804" t="str">
        <f t="shared" si="72"/>
        <v/>
      </c>
      <c r="L178" s="804" t="str">
        <f t="shared" si="72"/>
        <v/>
      </c>
      <c r="M178" s="868" t="str">
        <f t="shared" si="72"/>
        <v/>
      </c>
      <c r="N178" s="805" t="str">
        <f t="shared" si="72"/>
        <v/>
      </c>
    </row>
    <row r="179" spans="1:14">
      <c r="A179" s="82"/>
      <c r="B179" s="302"/>
      <c r="C179" s="125" t="s">
        <v>228</v>
      </c>
      <c r="D179" s="125"/>
      <c r="E179" s="136"/>
      <c r="F179" s="296" t="str">
        <f t="shared" ref="F179:N179" si="73">IF(AND(F$111&gt;0,F221&lt;&gt;""),F221/F$111,"")</f>
        <v/>
      </c>
      <c r="G179" s="297" t="str">
        <f t="shared" si="73"/>
        <v/>
      </c>
      <c r="H179" s="297" t="str">
        <f t="shared" si="73"/>
        <v/>
      </c>
      <c r="I179" s="298" t="str">
        <f t="shared" si="73"/>
        <v/>
      </c>
      <c r="J179" s="639" t="str">
        <f t="shared" si="73"/>
        <v/>
      </c>
      <c r="K179" s="804" t="str">
        <f t="shared" si="73"/>
        <v/>
      </c>
      <c r="L179" s="804" t="str">
        <f t="shared" si="73"/>
        <v/>
      </c>
      <c r="M179" s="868" t="str">
        <f t="shared" si="73"/>
        <v/>
      </c>
      <c r="N179" s="805" t="str">
        <f t="shared" si="73"/>
        <v/>
      </c>
    </row>
    <row r="180" spans="1:14">
      <c r="A180" s="82"/>
      <c r="B180" s="302"/>
      <c r="C180" s="125" t="s">
        <v>165</v>
      </c>
      <c r="D180" s="125"/>
      <c r="E180" s="136"/>
      <c r="F180" s="296" t="str">
        <f t="shared" ref="F180:N180" si="74">IF(AND(F$111&gt;0,F222&lt;&gt;""),F222/F$111,"")</f>
        <v/>
      </c>
      <c r="G180" s="297" t="str">
        <f t="shared" si="74"/>
        <v/>
      </c>
      <c r="H180" s="297" t="str">
        <f t="shared" si="74"/>
        <v/>
      </c>
      <c r="I180" s="298" t="str">
        <f t="shared" si="74"/>
        <v/>
      </c>
      <c r="J180" s="639" t="str">
        <f t="shared" si="74"/>
        <v/>
      </c>
      <c r="K180" s="804" t="str">
        <f t="shared" si="74"/>
        <v/>
      </c>
      <c r="L180" s="804" t="str">
        <f t="shared" si="74"/>
        <v/>
      </c>
      <c r="M180" s="868" t="str">
        <f t="shared" si="74"/>
        <v/>
      </c>
      <c r="N180" s="805" t="str">
        <f t="shared" si="74"/>
        <v/>
      </c>
    </row>
    <row r="181" spans="1:14">
      <c r="A181" s="82"/>
      <c r="B181" s="302"/>
      <c r="C181" s="125" t="s">
        <v>166</v>
      </c>
      <c r="D181" s="125"/>
      <c r="E181" s="136"/>
      <c r="F181" s="296" t="str">
        <f t="shared" ref="F181:N181" si="75">IF(AND(F$111&gt;0,F223&lt;&gt;""),F223/F$111,"")</f>
        <v/>
      </c>
      <c r="G181" s="297" t="str">
        <f t="shared" si="75"/>
        <v/>
      </c>
      <c r="H181" s="297" t="str">
        <f t="shared" si="75"/>
        <v/>
      </c>
      <c r="I181" s="298" t="str">
        <f t="shared" si="75"/>
        <v/>
      </c>
      <c r="J181" s="639" t="str">
        <f t="shared" si="75"/>
        <v/>
      </c>
      <c r="K181" s="804" t="str">
        <f t="shared" si="75"/>
        <v/>
      </c>
      <c r="L181" s="804" t="str">
        <f t="shared" si="75"/>
        <v/>
      </c>
      <c r="M181" s="868" t="str">
        <f t="shared" si="75"/>
        <v/>
      </c>
      <c r="N181" s="805" t="str">
        <f t="shared" si="75"/>
        <v/>
      </c>
    </row>
    <row r="182" spans="1:14">
      <c r="A182" s="82"/>
      <c r="B182" s="302"/>
      <c r="C182" s="125" t="s">
        <v>167</v>
      </c>
      <c r="D182" s="125"/>
      <c r="E182" s="136"/>
      <c r="F182" s="296" t="str">
        <f t="shared" ref="F182:N182" si="76">IF(AND(F$111&gt;0,F224&lt;&gt;""),F224/F$111,"")</f>
        <v/>
      </c>
      <c r="G182" s="297" t="str">
        <f t="shared" si="76"/>
        <v/>
      </c>
      <c r="H182" s="297" t="str">
        <f t="shared" si="76"/>
        <v/>
      </c>
      <c r="I182" s="298" t="str">
        <f t="shared" si="76"/>
        <v/>
      </c>
      <c r="J182" s="639" t="str">
        <f t="shared" si="76"/>
        <v/>
      </c>
      <c r="K182" s="804" t="str">
        <f t="shared" si="76"/>
        <v/>
      </c>
      <c r="L182" s="804" t="str">
        <f t="shared" si="76"/>
        <v/>
      </c>
      <c r="M182" s="868" t="str">
        <f t="shared" si="76"/>
        <v/>
      </c>
      <c r="N182" s="805" t="str">
        <f t="shared" si="76"/>
        <v/>
      </c>
    </row>
    <row r="183" spans="1:14">
      <c r="A183" s="82"/>
      <c r="B183" s="302"/>
      <c r="C183" s="125" t="s">
        <v>168</v>
      </c>
      <c r="D183" s="125"/>
      <c r="E183" s="136"/>
      <c r="F183" s="296" t="str">
        <f t="shared" ref="F183:N183" si="77">IF(AND(F$111&gt;0,F225&lt;&gt;""),F225/F$111,"")</f>
        <v/>
      </c>
      <c r="G183" s="297" t="str">
        <f t="shared" si="77"/>
        <v/>
      </c>
      <c r="H183" s="297" t="str">
        <f t="shared" si="77"/>
        <v/>
      </c>
      <c r="I183" s="298" t="str">
        <f t="shared" si="77"/>
        <v/>
      </c>
      <c r="J183" s="639" t="str">
        <f t="shared" si="77"/>
        <v/>
      </c>
      <c r="K183" s="804" t="str">
        <f t="shared" si="77"/>
        <v/>
      </c>
      <c r="L183" s="804" t="str">
        <f t="shared" si="77"/>
        <v/>
      </c>
      <c r="M183" s="868" t="str">
        <f t="shared" si="77"/>
        <v/>
      </c>
      <c r="N183" s="805" t="str">
        <f t="shared" si="77"/>
        <v/>
      </c>
    </row>
    <row r="184" spans="1:14">
      <c r="A184" s="82"/>
      <c r="B184" s="302"/>
      <c r="C184" s="125" t="s">
        <v>169</v>
      </c>
      <c r="D184" s="125"/>
      <c r="E184" s="136"/>
      <c r="F184" s="296" t="str">
        <f t="shared" ref="F184:N184" si="78">IF(AND(F$111&gt;0,F226&lt;&gt;""),F226/F$111,"")</f>
        <v/>
      </c>
      <c r="G184" s="297" t="str">
        <f t="shared" si="78"/>
        <v/>
      </c>
      <c r="H184" s="297" t="str">
        <f t="shared" si="78"/>
        <v/>
      </c>
      <c r="I184" s="298" t="str">
        <f t="shared" si="78"/>
        <v/>
      </c>
      <c r="J184" s="639" t="str">
        <f t="shared" si="78"/>
        <v/>
      </c>
      <c r="K184" s="804" t="str">
        <f t="shared" si="78"/>
        <v/>
      </c>
      <c r="L184" s="804" t="str">
        <f t="shared" si="78"/>
        <v/>
      </c>
      <c r="M184" s="868" t="str">
        <f t="shared" si="78"/>
        <v/>
      </c>
      <c r="N184" s="805" t="str">
        <f t="shared" si="78"/>
        <v/>
      </c>
    </row>
    <row r="185" spans="1:14">
      <c r="A185" s="82"/>
      <c r="B185" s="302"/>
      <c r="C185" s="125" t="s">
        <v>170</v>
      </c>
      <c r="D185" s="125"/>
      <c r="E185" s="136"/>
      <c r="F185" s="296" t="str">
        <f t="shared" ref="F185:N185" si="79">IF(AND(F$111&gt;0,F227&lt;&gt;""),F227/F$111,"")</f>
        <v/>
      </c>
      <c r="G185" s="297" t="str">
        <f t="shared" si="79"/>
        <v/>
      </c>
      <c r="H185" s="297" t="str">
        <f t="shared" si="79"/>
        <v/>
      </c>
      <c r="I185" s="298" t="str">
        <f t="shared" si="79"/>
        <v/>
      </c>
      <c r="J185" s="639" t="str">
        <f t="shared" si="79"/>
        <v/>
      </c>
      <c r="K185" s="804" t="str">
        <f t="shared" si="79"/>
        <v/>
      </c>
      <c r="L185" s="804" t="str">
        <f t="shared" si="79"/>
        <v/>
      </c>
      <c r="M185" s="868" t="str">
        <f t="shared" si="79"/>
        <v/>
      </c>
      <c r="N185" s="805" t="str">
        <f t="shared" si="79"/>
        <v/>
      </c>
    </row>
    <row r="186" spans="1:14">
      <c r="A186" s="82"/>
      <c r="B186" s="302"/>
      <c r="C186" s="125" t="s">
        <v>171</v>
      </c>
      <c r="D186" s="125"/>
      <c r="E186" s="136"/>
      <c r="F186" s="296" t="str">
        <f t="shared" ref="F186:N186" si="80">IF(AND(F$111&gt;0,F228&lt;&gt;""),F228/F$111,"")</f>
        <v/>
      </c>
      <c r="G186" s="297" t="str">
        <f t="shared" si="80"/>
        <v/>
      </c>
      <c r="H186" s="297" t="str">
        <f t="shared" si="80"/>
        <v/>
      </c>
      <c r="I186" s="298" t="str">
        <f t="shared" si="80"/>
        <v/>
      </c>
      <c r="J186" s="639" t="str">
        <f t="shared" si="80"/>
        <v/>
      </c>
      <c r="K186" s="804" t="str">
        <f t="shared" si="80"/>
        <v/>
      </c>
      <c r="L186" s="804" t="str">
        <f t="shared" si="80"/>
        <v/>
      </c>
      <c r="M186" s="868" t="str">
        <f t="shared" si="80"/>
        <v/>
      </c>
      <c r="N186" s="805" t="str">
        <f t="shared" si="80"/>
        <v/>
      </c>
    </row>
    <row r="187" spans="1:14">
      <c r="A187" s="82"/>
      <c r="B187" s="302"/>
      <c r="C187" s="125" t="s">
        <v>172</v>
      </c>
      <c r="D187" s="125"/>
      <c r="E187" s="136"/>
      <c r="F187" s="296" t="str">
        <f t="shared" ref="F187:N187" si="81">IF(AND(F$111&gt;0,F229&lt;&gt;""),F229/F$111,"")</f>
        <v/>
      </c>
      <c r="G187" s="297" t="str">
        <f t="shared" si="81"/>
        <v/>
      </c>
      <c r="H187" s="297" t="str">
        <f t="shared" si="81"/>
        <v/>
      </c>
      <c r="I187" s="298" t="str">
        <f t="shared" si="81"/>
        <v/>
      </c>
      <c r="J187" s="639" t="str">
        <f t="shared" si="81"/>
        <v/>
      </c>
      <c r="K187" s="804" t="str">
        <f t="shared" si="81"/>
        <v/>
      </c>
      <c r="L187" s="804" t="str">
        <f t="shared" si="81"/>
        <v/>
      </c>
      <c r="M187" s="868" t="str">
        <f t="shared" si="81"/>
        <v/>
      </c>
      <c r="N187" s="805" t="str">
        <f t="shared" si="81"/>
        <v/>
      </c>
    </row>
    <row r="188" spans="1:14">
      <c r="A188" s="82"/>
      <c r="B188" s="302"/>
      <c r="C188" s="125" t="s">
        <v>173</v>
      </c>
      <c r="D188" s="125"/>
      <c r="E188" s="136"/>
      <c r="F188" s="296" t="str">
        <f t="shared" ref="F188:N188" si="82">IF(AND(F$111&gt;0,F230&lt;&gt;""),F230/F$111,"")</f>
        <v/>
      </c>
      <c r="G188" s="297" t="str">
        <f t="shared" si="82"/>
        <v/>
      </c>
      <c r="H188" s="297" t="str">
        <f t="shared" si="82"/>
        <v/>
      </c>
      <c r="I188" s="298" t="str">
        <f t="shared" si="82"/>
        <v/>
      </c>
      <c r="J188" s="639" t="str">
        <f t="shared" si="82"/>
        <v/>
      </c>
      <c r="K188" s="804" t="str">
        <f t="shared" si="82"/>
        <v/>
      </c>
      <c r="L188" s="804" t="str">
        <f t="shared" si="82"/>
        <v/>
      </c>
      <c r="M188" s="868" t="str">
        <f t="shared" si="82"/>
        <v/>
      </c>
      <c r="N188" s="805" t="str">
        <f t="shared" si="82"/>
        <v/>
      </c>
    </row>
    <row r="189" spans="1:14">
      <c r="A189" s="82"/>
      <c r="B189" s="302"/>
      <c r="C189" s="125" t="s">
        <v>174</v>
      </c>
      <c r="D189" s="125"/>
      <c r="E189" s="136"/>
      <c r="F189" s="296" t="str">
        <f t="shared" ref="F189:N189" si="83">IF(AND(F$111&gt;0,F231&lt;&gt;""),F231/F$111,"")</f>
        <v/>
      </c>
      <c r="G189" s="297" t="str">
        <f t="shared" si="83"/>
        <v/>
      </c>
      <c r="H189" s="297" t="str">
        <f t="shared" si="83"/>
        <v/>
      </c>
      <c r="I189" s="298" t="str">
        <f t="shared" si="83"/>
        <v/>
      </c>
      <c r="J189" s="639" t="str">
        <f t="shared" si="83"/>
        <v/>
      </c>
      <c r="K189" s="804" t="str">
        <f t="shared" si="83"/>
        <v/>
      </c>
      <c r="L189" s="804" t="str">
        <f t="shared" si="83"/>
        <v/>
      </c>
      <c r="M189" s="868" t="str">
        <f t="shared" si="83"/>
        <v/>
      </c>
      <c r="N189" s="805" t="str">
        <f t="shared" si="83"/>
        <v/>
      </c>
    </row>
    <row r="190" spans="1:14">
      <c r="A190" s="82"/>
      <c r="B190" s="302"/>
      <c r="C190" s="125" t="s">
        <v>175</v>
      </c>
      <c r="D190" s="125"/>
      <c r="E190" s="136"/>
      <c r="F190" s="296" t="str">
        <f t="shared" ref="F190:N190" si="84">IF(AND(F$111&gt;0,F232&lt;&gt;""),F232/F$111,"")</f>
        <v/>
      </c>
      <c r="G190" s="297" t="str">
        <f t="shared" si="84"/>
        <v/>
      </c>
      <c r="H190" s="297" t="str">
        <f t="shared" si="84"/>
        <v/>
      </c>
      <c r="I190" s="298" t="str">
        <f t="shared" si="84"/>
        <v/>
      </c>
      <c r="J190" s="639" t="str">
        <f t="shared" si="84"/>
        <v/>
      </c>
      <c r="K190" s="804" t="str">
        <f t="shared" si="84"/>
        <v/>
      </c>
      <c r="L190" s="804" t="str">
        <f t="shared" si="84"/>
        <v/>
      </c>
      <c r="M190" s="868" t="str">
        <f t="shared" si="84"/>
        <v/>
      </c>
      <c r="N190" s="805" t="str">
        <f t="shared" si="84"/>
        <v/>
      </c>
    </row>
    <row r="191" spans="1:14">
      <c r="A191" s="82"/>
      <c r="B191" s="302"/>
      <c r="C191" s="125" t="s">
        <v>176</v>
      </c>
      <c r="D191" s="125"/>
      <c r="E191" s="136"/>
      <c r="F191" s="296" t="str">
        <f t="shared" ref="F191:N191" si="85">IF(AND(F$111&gt;0,F233&lt;&gt;""),F233/F$111,"")</f>
        <v/>
      </c>
      <c r="G191" s="297" t="str">
        <f t="shared" si="85"/>
        <v/>
      </c>
      <c r="H191" s="297" t="str">
        <f t="shared" si="85"/>
        <v/>
      </c>
      <c r="I191" s="298" t="str">
        <f t="shared" si="85"/>
        <v/>
      </c>
      <c r="J191" s="639" t="str">
        <f t="shared" si="85"/>
        <v/>
      </c>
      <c r="K191" s="804" t="str">
        <f t="shared" si="85"/>
        <v/>
      </c>
      <c r="L191" s="804" t="str">
        <f t="shared" si="85"/>
        <v/>
      </c>
      <c r="M191" s="868" t="str">
        <f t="shared" si="85"/>
        <v/>
      </c>
      <c r="N191" s="805" t="str">
        <f t="shared" si="85"/>
        <v/>
      </c>
    </row>
    <row r="192" spans="1:14">
      <c r="A192" s="82"/>
      <c r="B192" s="302"/>
      <c r="C192" s="125" t="s">
        <v>177</v>
      </c>
      <c r="D192" s="125"/>
      <c r="E192" s="136"/>
      <c r="F192" s="296" t="str">
        <f t="shared" ref="F192:N192" si="86">IF(AND(F$111&gt;0,F234&lt;&gt;""),F234/F$111,"")</f>
        <v/>
      </c>
      <c r="G192" s="297" t="str">
        <f t="shared" si="86"/>
        <v/>
      </c>
      <c r="H192" s="297" t="str">
        <f t="shared" si="86"/>
        <v/>
      </c>
      <c r="I192" s="298" t="str">
        <f t="shared" si="86"/>
        <v/>
      </c>
      <c r="J192" s="639" t="str">
        <f t="shared" si="86"/>
        <v/>
      </c>
      <c r="K192" s="804" t="str">
        <f t="shared" si="86"/>
        <v/>
      </c>
      <c r="L192" s="804" t="str">
        <f t="shared" si="86"/>
        <v/>
      </c>
      <c r="M192" s="868" t="str">
        <f t="shared" si="86"/>
        <v/>
      </c>
      <c r="N192" s="805" t="str">
        <f t="shared" si="86"/>
        <v/>
      </c>
    </row>
    <row r="193" spans="1:14">
      <c r="A193" s="82"/>
      <c r="B193" s="302"/>
      <c r="C193" s="125" t="s">
        <v>178</v>
      </c>
      <c r="D193" s="125"/>
      <c r="E193" s="136"/>
      <c r="F193" s="296" t="str">
        <f t="shared" ref="F193:N193" si="87">IF(AND(F$111&gt;0,F235&lt;&gt;""),F235/F$111,"")</f>
        <v/>
      </c>
      <c r="G193" s="297" t="str">
        <f t="shared" si="87"/>
        <v/>
      </c>
      <c r="H193" s="297" t="str">
        <f t="shared" si="87"/>
        <v/>
      </c>
      <c r="I193" s="298" t="str">
        <f t="shared" si="87"/>
        <v/>
      </c>
      <c r="J193" s="639" t="str">
        <f t="shared" si="87"/>
        <v/>
      </c>
      <c r="K193" s="804" t="str">
        <f t="shared" si="87"/>
        <v/>
      </c>
      <c r="L193" s="804" t="str">
        <f t="shared" si="87"/>
        <v/>
      </c>
      <c r="M193" s="868" t="str">
        <f t="shared" si="87"/>
        <v/>
      </c>
      <c r="N193" s="805" t="str">
        <f t="shared" si="87"/>
        <v/>
      </c>
    </row>
    <row r="194" spans="1:14">
      <c r="A194" s="82"/>
      <c r="B194" s="302"/>
      <c r="C194" s="125" t="s">
        <v>179</v>
      </c>
      <c r="D194" s="125"/>
      <c r="E194" s="136"/>
      <c r="F194" s="296" t="str">
        <f t="shared" ref="F194:N194" si="88">IF(AND(F$111&gt;0,F236&lt;&gt;""),F236/F$111,"")</f>
        <v/>
      </c>
      <c r="G194" s="297" t="str">
        <f t="shared" si="88"/>
        <v/>
      </c>
      <c r="H194" s="297" t="str">
        <f t="shared" si="88"/>
        <v/>
      </c>
      <c r="I194" s="298" t="str">
        <f t="shared" si="88"/>
        <v/>
      </c>
      <c r="J194" s="639" t="str">
        <f t="shared" si="88"/>
        <v/>
      </c>
      <c r="K194" s="804" t="str">
        <f t="shared" si="88"/>
        <v/>
      </c>
      <c r="L194" s="804" t="str">
        <f t="shared" si="88"/>
        <v/>
      </c>
      <c r="M194" s="868" t="str">
        <f t="shared" si="88"/>
        <v/>
      </c>
      <c r="N194" s="805" t="str">
        <f t="shared" si="88"/>
        <v/>
      </c>
    </row>
    <row r="195" spans="1:14">
      <c r="A195" s="82"/>
      <c r="B195" s="302"/>
      <c r="C195" s="125" t="s">
        <v>180</v>
      </c>
      <c r="D195" s="125"/>
      <c r="E195" s="136"/>
      <c r="F195" s="296" t="str">
        <f t="shared" ref="F195:N195" si="89">IF(AND(F$111&gt;0,F237&lt;&gt;""),F237/F$111,"")</f>
        <v/>
      </c>
      <c r="G195" s="297" t="str">
        <f t="shared" si="89"/>
        <v/>
      </c>
      <c r="H195" s="297" t="str">
        <f t="shared" si="89"/>
        <v/>
      </c>
      <c r="I195" s="298" t="str">
        <f t="shared" si="89"/>
        <v/>
      </c>
      <c r="J195" s="639" t="str">
        <f t="shared" si="89"/>
        <v/>
      </c>
      <c r="K195" s="804" t="str">
        <f t="shared" si="89"/>
        <v/>
      </c>
      <c r="L195" s="804" t="str">
        <f t="shared" si="89"/>
        <v/>
      </c>
      <c r="M195" s="868" t="str">
        <f t="shared" si="89"/>
        <v/>
      </c>
      <c r="N195" s="805" t="str">
        <f t="shared" si="89"/>
        <v/>
      </c>
    </row>
    <row r="196" spans="1:14">
      <c r="A196" s="82"/>
      <c r="B196" s="302"/>
      <c r="C196" s="125" t="s">
        <v>355</v>
      </c>
      <c r="D196" s="125"/>
      <c r="E196" s="136"/>
      <c r="F196" s="296" t="str">
        <f t="shared" ref="F196:N196" si="90">IF(AND(F$111&gt;0,F238&lt;&gt;""),F238/F$111,"")</f>
        <v/>
      </c>
      <c r="G196" s="297" t="str">
        <f t="shared" si="90"/>
        <v/>
      </c>
      <c r="H196" s="297" t="str">
        <f t="shared" si="90"/>
        <v/>
      </c>
      <c r="I196" s="298" t="str">
        <f t="shared" si="90"/>
        <v/>
      </c>
      <c r="J196" s="639" t="str">
        <f t="shared" si="90"/>
        <v/>
      </c>
      <c r="K196" s="804" t="str">
        <f t="shared" si="90"/>
        <v/>
      </c>
      <c r="L196" s="804" t="str">
        <f t="shared" si="90"/>
        <v/>
      </c>
      <c r="M196" s="868" t="str">
        <f t="shared" si="90"/>
        <v/>
      </c>
      <c r="N196" s="805" t="str">
        <f t="shared" si="90"/>
        <v/>
      </c>
    </row>
    <row r="197" spans="1:14">
      <c r="A197" s="82"/>
      <c r="B197" s="302"/>
      <c r="C197" s="125" t="s">
        <v>356</v>
      </c>
      <c r="D197" s="125"/>
      <c r="E197" s="136"/>
      <c r="F197" s="296" t="str">
        <f t="shared" ref="F197:N197" si="91">IF(AND(F$111&gt;0,F239&lt;&gt;""),F239/F$111,"")</f>
        <v/>
      </c>
      <c r="G197" s="297" t="str">
        <f t="shared" si="91"/>
        <v/>
      </c>
      <c r="H197" s="297" t="str">
        <f t="shared" si="91"/>
        <v/>
      </c>
      <c r="I197" s="298" t="str">
        <f t="shared" si="91"/>
        <v/>
      </c>
      <c r="J197" s="639" t="str">
        <f t="shared" si="91"/>
        <v/>
      </c>
      <c r="K197" s="804" t="str">
        <f t="shared" si="91"/>
        <v/>
      </c>
      <c r="L197" s="804" t="str">
        <f t="shared" si="91"/>
        <v/>
      </c>
      <c r="M197" s="868" t="str">
        <f t="shared" si="91"/>
        <v/>
      </c>
      <c r="N197" s="805" t="str">
        <f t="shared" si="91"/>
        <v/>
      </c>
    </row>
    <row r="198" spans="1:14">
      <c r="A198" s="82"/>
      <c r="B198" s="302"/>
      <c r="C198" s="125" t="s">
        <v>357</v>
      </c>
      <c r="D198" s="125"/>
      <c r="E198" s="136"/>
      <c r="F198" s="296" t="str">
        <f t="shared" ref="F198:N198" si="92">IF(AND(F$111&gt;0,F240&lt;&gt;""),F240/F$111,"")</f>
        <v/>
      </c>
      <c r="G198" s="297" t="str">
        <f t="shared" si="92"/>
        <v/>
      </c>
      <c r="H198" s="297" t="str">
        <f t="shared" si="92"/>
        <v/>
      </c>
      <c r="I198" s="298" t="str">
        <f t="shared" si="92"/>
        <v/>
      </c>
      <c r="J198" s="639" t="str">
        <f t="shared" si="92"/>
        <v/>
      </c>
      <c r="K198" s="804" t="str">
        <f t="shared" si="92"/>
        <v/>
      </c>
      <c r="L198" s="804" t="str">
        <f t="shared" si="92"/>
        <v/>
      </c>
      <c r="M198" s="868" t="str">
        <f t="shared" si="92"/>
        <v/>
      </c>
      <c r="N198" s="805" t="str">
        <f t="shared" si="92"/>
        <v/>
      </c>
    </row>
    <row r="199" spans="1:14">
      <c r="A199" s="82"/>
      <c r="B199" s="302"/>
      <c r="C199" s="125" t="s">
        <v>358</v>
      </c>
      <c r="D199" s="125"/>
      <c r="E199" s="136"/>
      <c r="F199" s="296" t="str">
        <f t="shared" ref="F199:N199" si="93">IF(AND(F$111&gt;0,F241&lt;&gt;""),F241/F$111,"")</f>
        <v/>
      </c>
      <c r="G199" s="297" t="str">
        <f t="shared" si="93"/>
        <v/>
      </c>
      <c r="H199" s="297" t="str">
        <f t="shared" si="93"/>
        <v/>
      </c>
      <c r="I199" s="298" t="str">
        <f t="shared" si="93"/>
        <v/>
      </c>
      <c r="J199" s="639" t="str">
        <f t="shared" si="93"/>
        <v/>
      </c>
      <c r="K199" s="804" t="str">
        <f t="shared" si="93"/>
        <v/>
      </c>
      <c r="L199" s="804" t="str">
        <f t="shared" si="93"/>
        <v/>
      </c>
      <c r="M199" s="868" t="str">
        <f t="shared" si="93"/>
        <v/>
      </c>
      <c r="N199" s="805" t="str">
        <f t="shared" si="93"/>
        <v/>
      </c>
    </row>
    <row r="200" spans="1:14">
      <c r="A200" s="82"/>
      <c r="B200" s="302"/>
      <c r="C200" s="125" t="s">
        <v>359</v>
      </c>
      <c r="D200" s="125"/>
      <c r="E200" s="136"/>
      <c r="F200" s="296" t="str">
        <f t="shared" ref="F200:N210" si="94">IF(AND(F$111&gt;0,F242&lt;&gt;""),F242/F$111,"")</f>
        <v/>
      </c>
      <c r="G200" s="297" t="str">
        <f t="shared" si="94"/>
        <v/>
      </c>
      <c r="H200" s="297" t="str">
        <f t="shared" si="94"/>
        <v/>
      </c>
      <c r="I200" s="298" t="str">
        <f t="shared" si="94"/>
        <v/>
      </c>
      <c r="J200" s="639" t="str">
        <f t="shared" si="94"/>
        <v/>
      </c>
      <c r="K200" s="804" t="str">
        <f t="shared" si="94"/>
        <v/>
      </c>
      <c r="L200" s="804" t="str">
        <f t="shared" si="94"/>
        <v/>
      </c>
      <c r="M200" s="868" t="str">
        <f t="shared" si="94"/>
        <v/>
      </c>
      <c r="N200" s="805" t="str">
        <f t="shared" si="94"/>
        <v/>
      </c>
    </row>
    <row r="201" spans="1:14">
      <c r="A201" s="82"/>
      <c r="B201" s="302"/>
      <c r="C201" s="236" t="s">
        <v>430</v>
      </c>
      <c r="D201" s="236"/>
      <c r="E201" s="1041"/>
      <c r="F201" s="1042" t="str">
        <f t="shared" si="94"/>
        <v/>
      </c>
      <c r="G201" s="946" t="str">
        <f t="shared" si="94"/>
        <v/>
      </c>
      <c r="H201" s="946" t="str">
        <f t="shared" si="94"/>
        <v/>
      </c>
      <c r="I201" s="1043" t="str">
        <f t="shared" si="94"/>
        <v/>
      </c>
      <c r="J201" s="639" t="str">
        <f t="shared" si="94"/>
        <v/>
      </c>
      <c r="K201" s="804" t="str">
        <f t="shared" si="94"/>
        <v/>
      </c>
      <c r="L201" s="804" t="str">
        <f t="shared" si="94"/>
        <v/>
      </c>
      <c r="M201" s="868" t="str">
        <f t="shared" si="94"/>
        <v/>
      </c>
      <c r="N201" s="805" t="str">
        <f t="shared" si="94"/>
        <v/>
      </c>
    </row>
    <row r="202" spans="1:14">
      <c r="A202" s="82"/>
      <c r="B202" s="302"/>
      <c r="C202" s="236" t="s">
        <v>431</v>
      </c>
      <c r="D202" s="236"/>
      <c r="E202" s="1041"/>
      <c r="F202" s="1042" t="str">
        <f t="shared" si="94"/>
        <v/>
      </c>
      <c r="G202" s="946" t="str">
        <f t="shared" si="94"/>
        <v/>
      </c>
      <c r="H202" s="946" t="str">
        <f t="shared" si="94"/>
        <v/>
      </c>
      <c r="I202" s="1043" t="str">
        <f t="shared" si="94"/>
        <v/>
      </c>
      <c r="J202" s="639" t="str">
        <f t="shared" si="94"/>
        <v/>
      </c>
      <c r="K202" s="804" t="str">
        <f t="shared" si="94"/>
        <v/>
      </c>
      <c r="L202" s="804" t="str">
        <f t="shared" si="94"/>
        <v/>
      </c>
      <c r="M202" s="868" t="str">
        <f t="shared" si="94"/>
        <v/>
      </c>
      <c r="N202" s="805" t="str">
        <f t="shared" si="94"/>
        <v/>
      </c>
    </row>
    <row r="203" spans="1:14">
      <c r="A203" s="82"/>
      <c r="B203" s="302"/>
      <c r="C203" s="236" t="s">
        <v>432</v>
      </c>
      <c r="D203" s="236"/>
      <c r="E203" s="1041"/>
      <c r="F203" s="1042" t="str">
        <f t="shared" si="94"/>
        <v/>
      </c>
      <c r="G203" s="946" t="str">
        <f t="shared" si="94"/>
        <v/>
      </c>
      <c r="H203" s="946" t="str">
        <f t="shared" si="94"/>
        <v/>
      </c>
      <c r="I203" s="1043" t="str">
        <f t="shared" si="94"/>
        <v/>
      </c>
      <c r="J203" s="639" t="str">
        <f t="shared" si="94"/>
        <v/>
      </c>
      <c r="K203" s="804" t="str">
        <f t="shared" si="94"/>
        <v/>
      </c>
      <c r="L203" s="804" t="str">
        <f t="shared" si="94"/>
        <v/>
      </c>
      <c r="M203" s="868" t="str">
        <f t="shared" si="94"/>
        <v/>
      </c>
      <c r="N203" s="805" t="str">
        <f t="shared" si="94"/>
        <v/>
      </c>
    </row>
    <row r="204" spans="1:14">
      <c r="A204" s="82"/>
      <c r="B204" s="302"/>
      <c r="C204" s="236" t="s">
        <v>433</v>
      </c>
      <c r="D204" s="236"/>
      <c r="E204" s="1041"/>
      <c r="F204" s="1042" t="str">
        <f t="shared" si="94"/>
        <v/>
      </c>
      <c r="G204" s="946" t="str">
        <f t="shared" si="94"/>
        <v/>
      </c>
      <c r="H204" s="946" t="str">
        <f t="shared" si="94"/>
        <v/>
      </c>
      <c r="I204" s="1043" t="str">
        <f t="shared" si="94"/>
        <v/>
      </c>
      <c r="J204" s="639" t="str">
        <f t="shared" si="94"/>
        <v/>
      </c>
      <c r="K204" s="804" t="str">
        <f t="shared" si="94"/>
        <v/>
      </c>
      <c r="L204" s="804" t="str">
        <f t="shared" si="94"/>
        <v/>
      </c>
      <c r="M204" s="868" t="str">
        <f t="shared" si="94"/>
        <v/>
      </c>
      <c r="N204" s="805" t="str">
        <f t="shared" si="94"/>
        <v/>
      </c>
    </row>
    <row r="205" spans="1:14">
      <c r="A205" s="82"/>
      <c r="B205" s="302"/>
      <c r="C205" s="236" t="s">
        <v>434</v>
      </c>
      <c r="D205" s="236"/>
      <c r="E205" s="1041"/>
      <c r="F205" s="1042" t="str">
        <f t="shared" si="94"/>
        <v/>
      </c>
      <c r="G205" s="946" t="str">
        <f t="shared" si="94"/>
        <v/>
      </c>
      <c r="H205" s="946" t="str">
        <f t="shared" si="94"/>
        <v/>
      </c>
      <c r="I205" s="1043" t="str">
        <f t="shared" si="94"/>
        <v/>
      </c>
      <c r="J205" s="639" t="str">
        <f t="shared" si="94"/>
        <v/>
      </c>
      <c r="K205" s="804" t="str">
        <f t="shared" si="94"/>
        <v/>
      </c>
      <c r="L205" s="804" t="str">
        <f t="shared" si="94"/>
        <v/>
      </c>
      <c r="M205" s="868" t="str">
        <f t="shared" si="94"/>
        <v/>
      </c>
      <c r="N205" s="805" t="str">
        <f t="shared" si="94"/>
        <v/>
      </c>
    </row>
    <row r="206" spans="1:14">
      <c r="A206" s="82"/>
      <c r="B206" s="302"/>
      <c r="C206" s="236" t="s">
        <v>435</v>
      </c>
      <c r="D206" s="236"/>
      <c r="E206" s="1041"/>
      <c r="F206" s="1042" t="str">
        <f t="shared" si="94"/>
        <v/>
      </c>
      <c r="G206" s="946" t="str">
        <f t="shared" si="94"/>
        <v/>
      </c>
      <c r="H206" s="946" t="str">
        <f t="shared" si="94"/>
        <v/>
      </c>
      <c r="I206" s="1043" t="str">
        <f t="shared" si="94"/>
        <v/>
      </c>
      <c r="J206" s="639" t="str">
        <f t="shared" si="94"/>
        <v/>
      </c>
      <c r="K206" s="804" t="str">
        <f t="shared" si="94"/>
        <v/>
      </c>
      <c r="L206" s="804" t="str">
        <f t="shared" si="94"/>
        <v/>
      </c>
      <c r="M206" s="868" t="str">
        <f t="shared" si="94"/>
        <v/>
      </c>
      <c r="N206" s="805" t="str">
        <f t="shared" si="94"/>
        <v/>
      </c>
    </row>
    <row r="207" spans="1:14">
      <c r="A207" s="82"/>
      <c r="B207" s="302"/>
      <c r="C207" s="236" t="s">
        <v>436</v>
      </c>
      <c r="D207" s="236"/>
      <c r="E207" s="1041"/>
      <c r="F207" s="1042" t="str">
        <f t="shared" si="94"/>
        <v/>
      </c>
      <c r="G207" s="946" t="str">
        <f t="shared" si="94"/>
        <v/>
      </c>
      <c r="H207" s="946" t="str">
        <f t="shared" si="94"/>
        <v/>
      </c>
      <c r="I207" s="1043" t="str">
        <f t="shared" si="94"/>
        <v/>
      </c>
      <c r="J207" s="639" t="str">
        <f t="shared" si="94"/>
        <v/>
      </c>
      <c r="K207" s="804" t="str">
        <f t="shared" si="94"/>
        <v/>
      </c>
      <c r="L207" s="804" t="str">
        <f t="shared" si="94"/>
        <v/>
      </c>
      <c r="M207" s="868" t="str">
        <f t="shared" si="94"/>
        <v/>
      </c>
      <c r="N207" s="805" t="str">
        <f t="shared" si="94"/>
        <v/>
      </c>
    </row>
    <row r="208" spans="1:14">
      <c r="A208" s="82"/>
      <c r="B208" s="302"/>
      <c r="C208" s="236" t="s">
        <v>437</v>
      </c>
      <c r="D208" s="236"/>
      <c r="E208" s="1041"/>
      <c r="F208" s="1042" t="str">
        <f t="shared" si="94"/>
        <v/>
      </c>
      <c r="G208" s="946" t="str">
        <f t="shared" si="94"/>
        <v/>
      </c>
      <c r="H208" s="946" t="str">
        <f t="shared" si="94"/>
        <v/>
      </c>
      <c r="I208" s="1043" t="str">
        <f t="shared" si="94"/>
        <v/>
      </c>
      <c r="J208" s="639" t="str">
        <f t="shared" si="94"/>
        <v/>
      </c>
      <c r="K208" s="804" t="str">
        <f t="shared" si="94"/>
        <v/>
      </c>
      <c r="L208" s="804" t="str">
        <f t="shared" si="94"/>
        <v/>
      </c>
      <c r="M208" s="868" t="str">
        <f t="shared" si="94"/>
        <v/>
      </c>
      <c r="N208" s="805" t="str">
        <f t="shared" si="94"/>
        <v/>
      </c>
    </row>
    <row r="209" spans="1:14">
      <c r="A209" s="82"/>
      <c r="B209" s="302"/>
      <c r="C209" s="236" t="s">
        <v>438</v>
      </c>
      <c r="D209" s="236"/>
      <c r="E209" s="1041"/>
      <c r="F209" s="1042" t="str">
        <f t="shared" si="94"/>
        <v/>
      </c>
      <c r="G209" s="946" t="str">
        <f t="shared" si="94"/>
        <v/>
      </c>
      <c r="H209" s="946" t="str">
        <f t="shared" si="94"/>
        <v/>
      </c>
      <c r="I209" s="1043" t="str">
        <f t="shared" si="94"/>
        <v/>
      </c>
      <c r="J209" s="639" t="str">
        <f t="shared" si="94"/>
        <v/>
      </c>
      <c r="K209" s="804" t="str">
        <f t="shared" si="94"/>
        <v/>
      </c>
      <c r="L209" s="804" t="str">
        <f t="shared" si="94"/>
        <v/>
      </c>
      <c r="M209" s="868" t="str">
        <f t="shared" si="94"/>
        <v/>
      </c>
      <c r="N209" s="805" t="str">
        <f t="shared" si="94"/>
        <v/>
      </c>
    </row>
    <row r="210" spans="1:14">
      <c r="A210" s="82"/>
      <c r="B210" s="302"/>
      <c r="C210" s="236" t="s">
        <v>439</v>
      </c>
      <c r="D210" s="236"/>
      <c r="E210" s="1041"/>
      <c r="F210" s="1042" t="str">
        <f t="shared" si="94"/>
        <v/>
      </c>
      <c r="G210" s="946" t="str">
        <f t="shared" si="94"/>
        <v/>
      </c>
      <c r="H210" s="946" t="str">
        <f t="shared" si="94"/>
        <v/>
      </c>
      <c r="I210" s="1043" t="str">
        <f t="shared" si="94"/>
        <v/>
      </c>
      <c r="J210" s="639" t="str">
        <f t="shared" si="94"/>
        <v/>
      </c>
      <c r="K210" s="804" t="str">
        <f t="shared" si="94"/>
        <v/>
      </c>
      <c r="L210" s="804" t="str">
        <f t="shared" si="94"/>
        <v/>
      </c>
      <c r="M210" s="868" t="str">
        <f t="shared" si="94"/>
        <v/>
      </c>
      <c r="N210" s="805" t="str">
        <f t="shared" si="94"/>
        <v/>
      </c>
    </row>
    <row r="211" spans="1:14">
      <c r="A211" s="82"/>
      <c r="B211" s="308"/>
      <c r="C211" s="125" t="s">
        <v>36</v>
      </c>
      <c r="D211" s="125"/>
      <c r="E211" s="136"/>
      <c r="F211" s="296" t="n">
        <f t="shared" ref="F211:N211" si="95">IF(AND(F$111&gt;0,F253&lt;&gt;""),F253/F$111,"")</f>
        <v>0.0</v>
      </c>
      <c r="G211" s="297" t="n">
        <f t="shared" si="95"/>
        <v>0.0</v>
      </c>
      <c r="H211" s="297" t="n">
        <f t="shared" si="95"/>
        <v>0.0</v>
      </c>
      <c r="I211" s="298" t="n">
        <f t="shared" si="95"/>
        <v>0.0</v>
      </c>
      <c r="J211" s="639" t="n">
        <f t="shared" si="95"/>
        <v>0.0</v>
      </c>
      <c r="K211" s="804" t="n">
        <f t="shared" si="95"/>
        <v>0.0</v>
      </c>
      <c r="L211" s="804" t="n">
        <f t="shared" si="95"/>
        <v>0.0</v>
      </c>
      <c r="M211" s="868" t="n">
        <f t="shared" si="95"/>
        <v>0.0</v>
      </c>
      <c r="N211" s="805" t="n">
        <f t="shared" si="95"/>
        <v>0.0</v>
      </c>
    </row>
    <row r="212" spans="1:14">
      <c r="A212" s="82"/>
      <c r="B212" s="1152" t="s">
        <v>181</v>
      </c>
      <c r="C212" s="1153"/>
      <c r="D212" s="1153"/>
      <c r="E212" s="1154"/>
      <c r="F212" s="201"/>
      <c r="G212" s="294"/>
      <c r="H212" s="294"/>
      <c r="I212" s="295"/>
      <c r="J212" s="638"/>
      <c r="K212" s="802"/>
      <c r="L212" s="802"/>
      <c r="M212" s="867"/>
      <c r="N212" s="803"/>
    </row>
    <row r="213" spans="1:14">
      <c r="A213" s="82"/>
      <c r="B213" s="130"/>
      <c r="C213" s="132" t="s">
        <v>161</v>
      </c>
      <c r="D213" s="133"/>
      <c r="E213" s="138"/>
      <c r="F213" s="618" t="str">
        <f t="shared" ref="F213:F225" si="96">IF(SUM(G213:I213)=0,"",SUM(G213:I213))</f>
        <v/>
      </c>
      <c r="G213" s="248"/>
      <c r="H213" s="248"/>
      <c r="I213" s="287"/>
      <c r="J213" s="633"/>
      <c r="K213" s="383"/>
      <c r="L213" s="383"/>
      <c r="M213" s="865"/>
      <c r="N213" s="799"/>
    </row>
    <row r="214" spans="1:14">
      <c r="A214" s="82"/>
      <c r="B214" s="130"/>
      <c r="C214" s="132" t="s">
        <v>162</v>
      </c>
      <c r="D214" s="133"/>
      <c r="E214" s="138"/>
      <c r="F214" s="618" t="str">
        <f t="shared" si="96"/>
        <v/>
      </c>
      <c r="G214" s="248"/>
      <c r="H214" s="248"/>
      <c r="I214" s="287"/>
      <c r="J214" s="633"/>
      <c r="K214" s="383"/>
      <c r="L214" s="383"/>
      <c r="M214" s="865"/>
      <c r="N214" s="799"/>
    </row>
    <row r="215" spans="1:14">
      <c r="A215" s="82"/>
      <c r="B215" s="130"/>
      <c r="C215" s="132" t="s">
        <v>123</v>
      </c>
      <c r="D215" s="133"/>
      <c r="E215" s="138"/>
      <c r="F215" s="618" t="str">
        <f t="shared" si="96"/>
        <v/>
      </c>
      <c r="G215" s="248"/>
      <c r="H215" s="248"/>
      <c r="I215" s="287"/>
      <c r="J215" s="633"/>
      <c r="K215" s="383"/>
      <c r="L215" s="383"/>
      <c r="M215" s="865"/>
      <c r="N215" s="799"/>
    </row>
    <row r="216" spans="1:14">
      <c r="A216" s="82"/>
      <c r="B216" s="130"/>
      <c r="C216" s="132" t="s">
        <v>124</v>
      </c>
      <c r="D216" s="133"/>
      <c r="E216" s="138"/>
      <c r="F216" s="618" t="str">
        <f t="shared" si="96"/>
        <v/>
      </c>
      <c r="G216" s="248"/>
      <c r="H216" s="248"/>
      <c r="I216" s="287"/>
      <c r="J216" s="633"/>
      <c r="K216" s="383"/>
      <c r="L216" s="383"/>
      <c r="M216" s="865"/>
      <c r="N216" s="799"/>
    </row>
    <row r="217" spans="1:14">
      <c r="A217" s="82"/>
      <c r="B217" s="130"/>
      <c r="C217" s="132" t="s">
        <v>125</v>
      </c>
      <c r="D217" s="133"/>
      <c r="E217" s="138"/>
      <c r="F217" s="618" t="str">
        <f t="shared" si="96"/>
        <v/>
      </c>
      <c r="G217" s="248"/>
      <c r="H217" s="248"/>
      <c r="I217" s="287"/>
      <c r="J217" s="633"/>
      <c r="K217" s="383"/>
      <c r="L217" s="383"/>
      <c r="M217" s="865"/>
      <c r="N217" s="799"/>
    </row>
    <row r="218" spans="1:14">
      <c r="A218" s="82"/>
      <c r="B218" s="130"/>
      <c r="C218" s="132" t="s">
        <v>225</v>
      </c>
      <c r="D218" s="133"/>
      <c r="E218" s="138"/>
      <c r="F218" s="618" t="str">
        <f t="shared" si="96"/>
        <v/>
      </c>
      <c r="G218" s="248"/>
      <c r="H218" s="248"/>
      <c r="I218" s="287"/>
      <c r="J218" s="633"/>
      <c r="K218" s="383"/>
      <c r="L218" s="383"/>
      <c r="M218" s="865"/>
      <c r="N218" s="799"/>
    </row>
    <row r="219" spans="1:14">
      <c r="A219" s="82"/>
      <c r="B219" s="130"/>
      <c r="C219" s="132" t="s">
        <v>226</v>
      </c>
      <c r="D219" s="133"/>
      <c r="E219" s="138"/>
      <c r="F219" s="618" t="str">
        <f t="shared" si="96"/>
        <v/>
      </c>
      <c r="G219" s="248"/>
      <c r="H219" s="248"/>
      <c r="I219" s="287"/>
      <c r="J219" s="633"/>
      <c r="K219" s="383"/>
      <c r="L219" s="383"/>
      <c r="M219" s="865"/>
      <c r="N219" s="799"/>
    </row>
    <row r="220" spans="1:14">
      <c r="A220" s="82"/>
      <c r="B220" s="130"/>
      <c r="C220" s="132" t="s">
        <v>227</v>
      </c>
      <c r="D220" s="133"/>
      <c r="E220" s="138"/>
      <c r="F220" s="618" t="str">
        <f t="shared" si="96"/>
        <v/>
      </c>
      <c r="G220" s="248"/>
      <c r="H220" s="248"/>
      <c r="I220" s="287"/>
      <c r="J220" s="633"/>
      <c r="K220" s="383"/>
      <c r="L220" s="383"/>
      <c r="M220" s="865"/>
      <c r="N220" s="799"/>
    </row>
    <row r="221" spans="1:14">
      <c r="A221" s="82"/>
      <c r="B221" s="130"/>
      <c r="C221" s="132" t="s">
        <v>228</v>
      </c>
      <c r="D221" s="133"/>
      <c r="E221" s="138"/>
      <c r="F221" s="618" t="str">
        <f t="shared" si="96"/>
        <v/>
      </c>
      <c r="G221" s="248"/>
      <c r="H221" s="248"/>
      <c r="I221" s="287"/>
      <c r="J221" s="633"/>
      <c r="K221" s="383"/>
      <c r="L221" s="383"/>
      <c r="M221" s="865"/>
      <c r="N221" s="799"/>
    </row>
    <row r="222" spans="1:14">
      <c r="A222" s="82"/>
      <c r="B222" s="130"/>
      <c r="C222" s="132" t="s">
        <v>165</v>
      </c>
      <c r="D222" s="133"/>
      <c r="E222" s="138"/>
      <c r="F222" s="618" t="str">
        <f t="shared" si="96"/>
        <v/>
      </c>
      <c r="G222" s="248"/>
      <c r="H222" s="248"/>
      <c r="I222" s="287"/>
      <c r="J222" s="633"/>
      <c r="K222" s="383"/>
      <c r="L222" s="383"/>
      <c r="M222" s="865"/>
      <c r="N222" s="799"/>
    </row>
    <row r="223" spans="1:14">
      <c r="A223" s="82"/>
      <c r="B223" s="130"/>
      <c r="C223" s="132" t="s">
        <v>166</v>
      </c>
      <c r="D223" s="133"/>
      <c r="E223" s="138"/>
      <c r="F223" s="618" t="str">
        <f t="shared" si="96"/>
        <v/>
      </c>
      <c r="G223" s="248"/>
      <c r="H223" s="248"/>
      <c r="I223" s="287"/>
      <c r="J223" s="633"/>
      <c r="K223" s="383"/>
      <c r="L223" s="383"/>
      <c r="M223" s="865"/>
      <c r="N223" s="799"/>
    </row>
    <row r="224" spans="1:14">
      <c r="A224" s="82"/>
      <c r="B224" s="130"/>
      <c r="C224" s="132" t="s">
        <v>167</v>
      </c>
      <c r="D224" s="133"/>
      <c r="E224" s="138"/>
      <c r="F224" s="618" t="str">
        <f t="shared" si="96"/>
        <v/>
      </c>
      <c r="G224" s="248"/>
      <c r="H224" s="248"/>
      <c r="I224" s="287"/>
      <c r="J224" s="633"/>
      <c r="K224" s="383"/>
      <c r="L224" s="383"/>
      <c r="M224" s="865"/>
      <c r="N224" s="799"/>
    </row>
    <row r="225" spans="1:14">
      <c r="A225" s="82"/>
      <c r="B225" s="130"/>
      <c r="C225" s="132" t="s">
        <v>168</v>
      </c>
      <c r="D225" s="133"/>
      <c r="E225" s="138"/>
      <c r="F225" s="618" t="str">
        <f t="shared" si="96"/>
        <v/>
      </c>
      <c r="G225" s="248"/>
      <c r="H225" s="248"/>
      <c r="I225" s="287"/>
      <c r="J225" s="633"/>
      <c r="K225" s="383"/>
      <c r="L225" s="383"/>
      <c r="M225" s="865"/>
      <c r="N225" s="799"/>
    </row>
    <row r="226" spans="1:14">
      <c r="A226" s="82"/>
      <c r="B226" s="130"/>
      <c r="C226" s="132" t="s">
        <v>169</v>
      </c>
      <c r="D226" s="133"/>
      <c r="E226" s="138"/>
      <c r="F226" s="618" t="str">
        <f>IF(SUM(G226:I226)=0,"",SUM(G226:I226))</f>
        <v/>
      </c>
      <c r="G226" s="248"/>
      <c r="H226" s="248"/>
      <c r="I226" s="287"/>
      <c r="J226" s="633"/>
      <c r="K226" s="383"/>
      <c r="L226" s="383"/>
      <c r="M226" s="865"/>
      <c r="N226" s="799"/>
    </row>
    <row r="227" spans="1:14">
      <c r="A227" s="82"/>
      <c r="B227" s="130"/>
      <c r="C227" s="132" t="s">
        <v>170</v>
      </c>
      <c r="D227" s="133"/>
      <c r="E227" s="138"/>
      <c r="F227" s="618" t="str">
        <f t="shared" ref="F227:F233" si="97">IF(SUM(G227:I227)=0,"",SUM(G227:I227))</f>
        <v/>
      </c>
      <c r="G227" s="248"/>
      <c r="H227" s="248"/>
      <c r="I227" s="287"/>
      <c r="J227" s="633"/>
      <c r="K227" s="383"/>
      <c r="L227" s="383"/>
      <c r="M227" s="865"/>
      <c r="N227" s="799"/>
    </row>
    <row r="228" spans="1:14">
      <c r="A228" s="82"/>
      <c r="B228" s="130"/>
      <c r="C228" s="132" t="s">
        <v>171</v>
      </c>
      <c r="D228" s="133"/>
      <c r="E228" s="138"/>
      <c r="F228" s="618" t="str">
        <f t="shared" si="97"/>
        <v/>
      </c>
      <c r="G228" s="248"/>
      <c r="H228" s="248"/>
      <c r="I228" s="287"/>
      <c r="J228" s="633"/>
      <c r="K228" s="383"/>
      <c r="L228" s="383"/>
      <c r="M228" s="865"/>
      <c r="N228" s="799"/>
    </row>
    <row r="229" spans="1:14">
      <c r="A229" s="82"/>
      <c r="B229" s="130"/>
      <c r="C229" s="132" t="s">
        <v>172</v>
      </c>
      <c r="D229" s="133"/>
      <c r="E229" s="138"/>
      <c r="F229" s="618" t="str">
        <f t="shared" si="97"/>
        <v/>
      </c>
      <c r="G229" s="248"/>
      <c r="H229" s="248"/>
      <c r="I229" s="287"/>
      <c r="J229" s="633"/>
      <c r="K229" s="383"/>
      <c r="L229" s="383"/>
      <c r="M229" s="865"/>
      <c r="N229" s="799"/>
    </row>
    <row r="230" spans="1:14">
      <c r="A230" s="82"/>
      <c r="B230" s="130"/>
      <c r="C230" s="132" t="s">
        <v>173</v>
      </c>
      <c r="D230" s="133"/>
      <c r="E230" s="138"/>
      <c r="F230" s="618" t="str">
        <f t="shared" si="97"/>
        <v/>
      </c>
      <c r="G230" s="248"/>
      <c r="H230" s="248"/>
      <c r="I230" s="287"/>
      <c r="J230" s="633"/>
      <c r="K230" s="383"/>
      <c r="L230" s="383"/>
      <c r="M230" s="865"/>
      <c r="N230" s="799"/>
    </row>
    <row r="231" spans="1:14">
      <c r="A231" s="82"/>
      <c r="B231" s="130"/>
      <c r="C231" s="309" t="s">
        <v>174</v>
      </c>
      <c r="D231" s="139"/>
      <c r="E231" s="140"/>
      <c r="F231" s="305" t="str">
        <f t="shared" si="97"/>
        <v/>
      </c>
      <c r="G231" s="248"/>
      <c r="H231" s="248"/>
      <c r="I231" s="287"/>
      <c r="J231" s="642"/>
      <c r="K231" s="419"/>
      <c r="L231" s="419"/>
      <c r="M231" s="871"/>
      <c r="N231" s="810"/>
    </row>
    <row r="232" spans="1:14">
      <c r="A232" s="82"/>
      <c r="B232" s="130"/>
      <c r="C232" s="309" t="s">
        <v>175</v>
      </c>
      <c r="D232" s="139"/>
      <c r="E232" s="140"/>
      <c r="F232" s="305" t="str">
        <f t="shared" si="97"/>
        <v/>
      </c>
      <c r="G232" s="248"/>
      <c r="H232" s="248"/>
      <c r="I232" s="287"/>
      <c r="J232" s="642"/>
      <c r="K232" s="419"/>
      <c r="L232" s="419"/>
      <c r="M232" s="871"/>
      <c r="N232" s="810"/>
    </row>
    <row r="233" spans="1:14">
      <c r="A233" s="82"/>
      <c r="B233" s="130"/>
      <c r="C233" s="309" t="s">
        <v>176</v>
      </c>
      <c r="D233" s="133"/>
      <c r="E233" s="138"/>
      <c r="F233" s="618" t="str">
        <f t="shared" si="97"/>
        <v/>
      </c>
      <c r="G233" s="248"/>
      <c r="H233" s="248"/>
      <c r="I233" s="287"/>
      <c r="J233" s="633"/>
      <c r="K233" s="383"/>
      <c r="L233" s="383"/>
      <c r="M233" s="865"/>
      <c r="N233" s="799"/>
    </row>
    <row r="234" spans="1:14">
      <c r="A234" s="82"/>
      <c r="B234" s="130"/>
      <c r="C234" s="309" t="s">
        <v>177</v>
      </c>
      <c r="D234" s="133"/>
      <c r="E234" s="138"/>
      <c r="F234" s="618" t="str">
        <f>IF(SUM(G234:I234)=0,"",SUM(G234:I234))</f>
        <v/>
      </c>
      <c r="G234" s="248"/>
      <c r="H234" s="248"/>
      <c r="I234" s="287"/>
      <c r="J234" s="633"/>
      <c r="K234" s="383"/>
      <c r="L234" s="383"/>
      <c r="M234" s="865"/>
      <c r="N234" s="799"/>
    </row>
    <row r="235" spans="1:14">
      <c r="A235" s="82"/>
      <c r="B235" s="130"/>
      <c r="C235" s="309" t="s">
        <v>178</v>
      </c>
      <c r="D235" s="139"/>
      <c r="E235" s="140"/>
      <c r="F235" s="305" t="str">
        <f>IF(SUM(G235:I235)=0,"",SUM(G235:I235))</f>
        <v/>
      </c>
      <c r="G235" s="248"/>
      <c r="H235" s="248"/>
      <c r="I235" s="287"/>
      <c r="J235" s="642"/>
      <c r="K235" s="419"/>
      <c r="L235" s="419"/>
      <c r="M235" s="871"/>
      <c r="N235" s="810"/>
    </row>
    <row r="236" spans="1:14">
      <c r="A236" s="82"/>
      <c r="B236" s="130"/>
      <c r="C236" s="309" t="s">
        <v>179</v>
      </c>
      <c r="D236" s="133"/>
      <c r="E236" s="138"/>
      <c r="F236" s="618" t="str">
        <f>IF(SUM(G236:I236)=0,"",SUM(G236:I236))</f>
        <v/>
      </c>
      <c r="G236" s="248"/>
      <c r="H236" s="248"/>
      <c r="I236" s="287"/>
      <c r="J236" s="633"/>
      <c r="K236" s="383"/>
      <c r="L236" s="383"/>
      <c r="M236" s="865"/>
      <c r="N236" s="799"/>
    </row>
    <row r="237" spans="1:14">
      <c r="A237" s="82"/>
      <c r="B237" s="130"/>
      <c r="C237" s="309" t="s">
        <v>180</v>
      </c>
      <c r="D237" s="133"/>
      <c r="E237" s="138"/>
      <c r="F237" s="618" t="str">
        <f>IF(SUM(G237:I237)=0,"",SUM(G237:I237))</f>
        <v/>
      </c>
      <c r="G237" s="248"/>
      <c r="H237" s="248"/>
      <c r="I237" s="287"/>
      <c r="J237" s="633"/>
      <c r="K237" s="383"/>
      <c r="L237" s="383"/>
      <c r="M237" s="865"/>
      <c r="N237" s="799"/>
    </row>
    <row r="238" spans="1:14">
      <c r="A238" s="82"/>
      <c r="B238" s="130"/>
      <c r="C238" s="309" t="s">
        <v>355</v>
      </c>
      <c r="D238" s="133"/>
      <c r="E238" s="138"/>
      <c r="F238" s="618" t="str">
        <f t="shared" ref="F238:F239" si="98">IF(SUM(G238:I238)=0,"",SUM(G238:I238))</f>
        <v/>
      </c>
      <c r="G238" s="248"/>
      <c r="H238" s="248"/>
      <c r="I238" s="287"/>
      <c r="J238" s="633"/>
      <c r="K238" s="383"/>
      <c r="L238" s="383"/>
      <c r="M238" s="865"/>
      <c r="N238" s="799"/>
    </row>
    <row r="239" spans="1:14">
      <c r="A239" s="82"/>
      <c r="B239" s="130"/>
      <c r="C239" s="309" t="s">
        <v>356</v>
      </c>
      <c r="D239" s="133"/>
      <c r="E239" s="138"/>
      <c r="F239" s="618" t="str">
        <f t="shared" si="98"/>
        <v/>
      </c>
      <c r="G239" s="248"/>
      <c r="H239" s="248"/>
      <c r="I239" s="287"/>
      <c r="J239" s="633"/>
      <c r="K239" s="383"/>
      <c r="L239" s="383"/>
      <c r="M239" s="865"/>
      <c r="N239" s="799"/>
    </row>
    <row r="240" spans="1:14">
      <c r="A240" s="82"/>
      <c r="B240" s="130"/>
      <c r="C240" s="309" t="s">
        <v>357</v>
      </c>
      <c r="D240" s="139"/>
      <c r="E240" s="140"/>
      <c r="F240" s="305" t="str">
        <f>IF(SUM(G240:I240)=0,"",SUM(G240:I240))</f>
        <v/>
      </c>
      <c r="G240" s="248"/>
      <c r="H240" s="248"/>
      <c r="I240" s="287"/>
      <c r="J240" s="642"/>
      <c r="K240" s="419"/>
      <c r="L240" s="419"/>
      <c r="M240" s="871"/>
      <c r="N240" s="810"/>
    </row>
    <row r="241" spans="1:14">
      <c r="A241" s="82"/>
      <c r="B241" s="130"/>
      <c r="C241" s="309" t="s">
        <v>358</v>
      </c>
      <c r="D241" s="133"/>
      <c r="E241" s="138"/>
      <c r="F241" s="618" t="str">
        <f>IF(SUM(G241:I241)=0,"",SUM(G241:I241))</f>
        <v/>
      </c>
      <c r="G241" s="248"/>
      <c r="H241" s="248"/>
      <c r="I241" s="287"/>
      <c r="J241" s="633"/>
      <c r="K241" s="383"/>
      <c r="L241" s="383"/>
      <c r="M241" s="865"/>
      <c r="N241" s="799"/>
    </row>
    <row r="242" spans="1:14">
      <c r="A242" s="82"/>
      <c r="B242" s="130"/>
      <c r="C242" s="309" t="s">
        <v>359</v>
      </c>
      <c r="D242" s="133"/>
      <c r="E242" s="138"/>
      <c r="F242" s="618" t="str">
        <f>IF(SUM(G242:I242)=0,"",SUM(G242:I242))</f>
        <v/>
      </c>
      <c r="G242" s="248"/>
      <c r="H242" s="248"/>
      <c r="I242" s="287"/>
      <c r="J242" s="633"/>
      <c r="K242" s="383"/>
      <c r="L242" s="383"/>
      <c r="M242" s="865"/>
      <c r="N242" s="799"/>
    </row>
    <row r="243" spans="1:14">
      <c r="A243" s="82"/>
      <c r="B243" s="130"/>
      <c r="C243" s="154" t="s">
        <v>430</v>
      </c>
      <c r="D243" s="288"/>
      <c r="E243" s="289"/>
      <c r="F243" s="290" t="str">
        <f t="shared" ref="F243:F252" si="99">IF(SUM(G243:I243)=0,"",SUM(G243:I243))</f>
        <v/>
      </c>
      <c r="G243" s="244"/>
      <c r="H243" s="244"/>
      <c r="I243" s="1037"/>
      <c r="J243" s="633"/>
      <c r="K243" s="383"/>
      <c r="L243" s="383"/>
      <c r="M243" s="865"/>
      <c r="N243" s="799"/>
    </row>
    <row r="244" spans="1:14">
      <c r="A244" s="82"/>
      <c r="B244" s="130"/>
      <c r="C244" s="154" t="s">
        <v>431</v>
      </c>
      <c r="D244" s="288"/>
      <c r="E244" s="289"/>
      <c r="F244" s="290" t="str">
        <f t="shared" si="99"/>
        <v/>
      </c>
      <c r="G244" s="244"/>
      <c r="H244" s="244"/>
      <c r="I244" s="1037"/>
      <c r="J244" s="633"/>
      <c r="K244" s="383"/>
      <c r="L244" s="383"/>
      <c r="M244" s="865"/>
      <c r="N244" s="799"/>
    </row>
    <row r="245" spans="1:14">
      <c r="A245" s="82"/>
      <c r="B245" s="130"/>
      <c r="C245" s="154" t="s">
        <v>432</v>
      </c>
      <c r="D245" s="288"/>
      <c r="E245" s="289"/>
      <c r="F245" s="290" t="str">
        <f t="shared" si="99"/>
        <v/>
      </c>
      <c r="G245" s="244"/>
      <c r="H245" s="244"/>
      <c r="I245" s="1037"/>
      <c r="J245" s="633"/>
      <c r="K245" s="383"/>
      <c r="L245" s="383"/>
      <c r="M245" s="865"/>
      <c r="N245" s="799"/>
    </row>
    <row r="246" spans="1:14">
      <c r="A246" s="82"/>
      <c r="B246" s="130"/>
      <c r="C246" s="154" t="s">
        <v>433</v>
      </c>
      <c r="D246" s="288"/>
      <c r="E246" s="289"/>
      <c r="F246" s="290" t="str">
        <f t="shared" si="99"/>
        <v/>
      </c>
      <c r="G246" s="244"/>
      <c r="H246" s="244"/>
      <c r="I246" s="1037"/>
      <c r="J246" s="633"/>
      <c r="K246" s="383"/>
      <c r="L246" s="383"/>
      <c r="M246" s="865"/>
      <c r="N246" s="799"/>
    </row>
    <row r="247" spans="1:14">
      <c r="A247" s="82"/>
      <c r="B247" s="130"/>
      <c r="C247" s="154" t="s">
        <v>434</v>
      </c>
      <c r="D247" s="288"/>
      <c r="E247" s="289"/>
      <c r="F247" s="290" t="str">
        <f t="shared" si="99"/>
        <v/>
      </c>
      <c r="G247" s="244"/>
      <c r="H247" s="244"/>
      <c r="I247" s="1037"/>
      <c r="J247" s="633"/>
      <c r="K247" s="383"/>
      <c r="L247" s="383"/>
      <c r="M247" s="865"/>
      <c r="N247" s="799"/>
    </row>
    <row r="248" spans="1:14">
      <c r="A248" s="82"/>
      <c r="B248" s="130"/>
      <c r="C248" s="154" t="s">
        <v>435</v>
      </c>
      <c r="D248" s="288"/>
      <c r="E248" s="289"/>
      <c r="F248" s="290" t="str">
        <f t="shared" si="99"/>
        <v/>
      </c>
      <c r="G248" s="244"/>
      <c r="H248" s="244"/>
      <c r="I248" s="1037"/>
      <c r="J248" s="633"/>
      <c r="K248" s="383"/>
      <c r="L248" s="383"/>
      <c r="M248" s="865"/>
      <c r="N248" s="799"/>
    </row>
    <row r="249" spans="1:14">
      <c r="A249" s="82"/>
      <c r="B249" s="130"/>
      <c r="C249" s="154" t="s">
        <v>436</v>
      </c>
      <c r="D249" s="288"/>
      <c r="E249" s="289"/>
      <c r="F249" s="290" t="str">
        <f t="shared" si="99"/>
        <v/>
      </c>
      <c r="G249" s="244"/>
      <c r="H249" s="244"/>
      <c r="I249" s="1037"/>
      <c r="J249" s="633"/>
      <c r="K249" s="383"/>
      <c r="L249" s="383"/>
      <c r="M249" s="865"/>
      <c r="N249" s="799"/>
    </row>
    <row r="250" spans="1:14">
      <c r="A250" s="82"/>
      <c r="B250" s="130"/>
      <c r="C250" s="154" t="s">
        <v>437</v>
      </c>
      <c r="D250" s="288"/>
      <c r="E250" s="289"/>
      <c r="F250" s="290" t="str">
        <f t="shared" si="99"/>
        <v/>
      </c>
      <c r="G250" s="244"/>
      <c r="H250" s="244"/>
      <c r="I250" s="1037"/>
      <c r="J250" s="633"/>
      <c r="K250" s="383"/>
      <c r="L250" s="383"/>
      <c r="M250" s="865"/>
      <c r="N250" s="799"/>
    </row>
    <row r="251" spans="1:14">
      <c r="A251" s="82"/>
      <c r="B251" s="130"/>
      <c r="C251" s="154" t="s">
        <v>438</v>
      </c>
      <c r="D251" s="288"/>
      <c r="E251" s="289"/>
      <c r="F251" s="290" t="str">
        <f t="shared" si="99"/>
        <v/>
      </c>
      <c r="G251" s="244"/>
      <c r="H251" s="244"/>
      <c r="I251" s="1037"/>
      <c r="J251" s="633"/>
      <c r="K251" s="383"/>
      <c r="L251" s="383"/>
      <c r="M251" s="865"/>
      <c r="N251" s="799"/>
    </row>
    <row r="252" spans="1:14">
      <c r="A252" s="82"/>
      <c r="B252" s="130"/>
      <c r="C252" s="154" t="s">
        <v>439</v>
      </c>
      <c r="D252" s="288"/>
      <c r="E252" s="289"/>
      <c r="F252" s="290" t="str">
        <f t="shared" si="99"/>
        <v/>
      </c>
      <c r="G252" s="244"/>
      <c r="H252" s="244"/>
      <c r="I252" s="1037"/>
      <c r="J252" s="633"/>
      <c r="K252" s="383"/>
      <c r="L252" s="383"/>
      <c r="M252" s="865"/>
      <c r="N252" s="799"/>
    </row>
    <row r="253" spans="1:14">
      <c r="A253" s="82"/>
      <c r="B253" s="130"/>
      <c r="C253" s="303" t="s">
        <v>36</v>
      </c>
      <c r="D253" s="124"/>
      <c r="E253" s="304"/>
      <c r="F253" s="305" t="n">
        <f t="shared" ref="F253:N253" si="100">SUM(F213:F252)</f>
        <v>0.0</v>
      </c>
      <c r="G253" s="306" t="n">
        <f t="shared" si="100"/>
        <v>0.0</v>
      </c>
      <c r="H253" s="306" t="n">
        <f t="shared" si="100"/>
        <v>0.0</v>
      </c>
      <c r="I253" s="307" t="n">
        <f t="shared" si="100"/>
        <v>0.0</v>
      </c>
      <c r="J253" s="641" t="n">
        <f t="shared" si="100"/>
        <v>0.0</v>
      </c>
      <c r="K253" s="808" t="n">
        <f t="shared" si="100"/>
        <v>0.0</v>
      </c>
      <c r="L253" s="808" t="n">
        <f t="shared" si="100"/>
        <v>0.0</v>
      </c>
      <c r="M253" s="870" t="n">
        <f t="shared" si="100"/>
        <v>0.0</v>
      </c>
      <c r="N253" s="809" t="n">
        <f t="shared" si="100"/>
        <v>0.0</v>
      </c>
    </row>
    <row r="254" spans="1:14">
      <c r="A254" s="82"/>
      <c r="B254" s="1140" t="s">
        <v>394</v>
      </c>
      <c r="C254" s="1141"/>
      <c r="D254" s="1141"/>
      <c r="E254" s="1141"/>
      <c r="F254" s="618" t="n">
        <f>SUM(G254:I254)</f>
        <v>9891.41</v>
      </c>
      <c r="G254" s="249" t="n">
        <f>SUMPRODUCT(G144:G168,G339:G363)</f>
        <v>3323.165</v>
      </c>
      <c r="H254" s="249" t="n">
        <f t="shared" ref="H254:N254" si="101">SUMPRODUCT(H144:H168,H339:H363)</f>
        <v>3294.715</v>
      </c>
      <c r="I254" s="1050" t="n">
        <f t="shared" si="101"/>
        <v>3273.5299999999997</v>
      </c>
      <c r="J254" s="1051" t="n">
        <f t="shared" si="101"/>
        <v>3078.7499999999995</v>
      </c>
      <c r="K254" s="1051" t="n">
        <f t="shared" si="101"/>
        <v>2909.05</v>
      </c>
      <c r="L254" s="1051" t="n">
        <f t="shared" si="101"/>
        <v>2764.2100000000005</v>
      </c>
      <c r="M254" s="1051" t="n">
        <f t="shared" si="101"/>
        <v>2562.75</v>
      </c>
      <c r="N254" s="1052" t="n">
        <f t="shared" si="101"/>
        <v>2422.79</v>
      </c>
    </row>
    <row r="255" spans="1:14" ht="14.25" thickBot="1">
      <c r="A255" s="310"/>
      <c r="B255" s="1142" t="s">
        <v>395</v>
      </c>
      <c r="C255" s="1143"/>
      <c r="D255" s="1143"/>
      <c r="E255" s="1143"/>
      <c r="F255" s="311" t="n">
        <f>SUM(G255:I255)</f>
        <v>0.0</v>
      </c>
      <c r="G255" s="312" t="n">
        <f>SUMPRODUCT(G213:G252,G261:G300)</f>
        <v>0.0</v>
      </c>
      <c r="H255" s="312" t="n">
        <f t="shared" ref="H255:N255" si="102">SUMPRODUCT(H213:H252,H261:H300)</f>
        <v>0.0</v>
      </c>
      <c r="I255" s="313" t="n">
        <f t="shared" si="102"/>
        <v>0.0</v>
      </c>
      <c r="J255" s="643" t="n">
        <f t="shared" si="102"/>
        <v>0.0</v>
      </c>
      <c r="K255" s="811" t="n">
        <f t="shared" si="102"/>
        <v>0.0</v>
      </c>
      <c r="L255" s="811" t="n">
        <f t="shared" si="102"/>
        <v>0.0</v>
      </c>
      <c r="M255" s="872" t="n">
        <f t="shared" si="102"/>
        <v>0.0</v>
      </c>
      <c r="N255" s="812" t="n">
        <f t="shared" si="102"/>
        <v>0.0</v>
      </c>
    </row>
    <row r="256" spans="1:14">
      <c r="K256" s="364"/>
      <c r="L256" s="364"/>
      <c r="M256" s="364"/>
    </row>
    <row r="257" spans="1:14" ht="14.25" thickBot="1">
      <c r="A257" s="195" t="s">
        <v>182</v>
      </c>
      <c r="B257" s="198"/>
      <c r="C257" s="198"/>
      <c r="D257" s="198"/>
      <c r="E257" s="198"/>
      <c r="F257" s="198"/>
      <c r="G257" s="198"/>
      <c r="H257" s="198"/>
      <c r="I257" s="198"/>
      <c r="J257" s="198"/>
      <c r="K257" s="701"/>
      <c r="L257" s="701"/>
      <c r="M257" s="701"/>
    </row>
    <row r="258" spans="1:14">
      <c r="A258" s="226"/>
      <c r="B258" s="227"/>
      <c r="C258" s="227"/>
      <c r="D258" s="227"/>
      <c r="E258" s="227"/>
      <c r="F258" s="1144" t="s">
        <v>336</v>
      </c>
      <c r="G258" s="1145"/>
      <c r="H258" s="1145"/>
      <c r="I258" s="1145"/>
      <c r="J258" s="1025" t="s">
        <v>421</v>
      </c>
      <c r="K258" s="1026" t="s">
        <v>422</v>
      </c>
      <c r="L258" s="1026" t="s">
        <v>423</v>
      </c>
      <c r="M258" s="1026" t="s">
        <v>424</v>
      </c>
      <c r="N258" s="1027" t="s">
        <v>420</v>
      </c>
    </row>
    <row r="259" spans="1:14" ht="14.25" thickBot="1">
      <c r="A259" s="228"/>
      <c r="F259" s="229"/>
      <c r="G259" s="230" t="s">
        <v>347</v>
      </c>
      <c r="H259" s="231" t="s">
        <v>346</v>
      </c>
      <c r="I259" s="1028" t="s">
        <v>345</v>
      </c>
      <c r="J259" s="1029" t="s">
        <v>368</v>
      </c>
      <c r="K259" s="993" t="s">
        <v>371</v>
      </c>
      <c r="L259" s="993" t="s">
        <v>374</v>
      </c>
      <c r="M259" s="993" t="s">
        <v>377</v>
      </c>
      <c r="N259" s="1005" t="s">
        <v>380</v>
      </c>
    </row>
    <row r="260" spans="1:14">
      <c r="A260" s="314" t="s">
        <v>183</v>
      </c>
      <c r="B260" s="315"/>
      <c r="C260" s="315"/>
      <c r="D260" s="315"/>
      <c r="E260" s="315"/>
      <c r="F260" s="314"/>
      <c r="G260" s="316" t="n">
        <f t="shared" ref="G260:L260" si="103">COUNT(G261:G300)</f>
        <v>0.0</v>
      </c>
      <c r="H260" s="316" t="n">
        <f t="shared" si="103"/>
        <v>0.0</v>
      </c>
      <c r="I260" s="317" t="n">
        <f t="shared" si="103"/>
        <v>0.0</v>
      </c>
      <c r="J260" s="628" t="n">
        <f t="shared" si="103"/>
        <v>0.0</v>
      </c>
      <c r="K260" s="813" t="n">
        <f t="shared" si="103"/>
        <v>0.0</v>
      </c>
      <c r="L260" s="813" t="n">
        <f t="shared" si="103"/>
        <v>0.0</v>
      </c>
      <c r="M260" s="873" t="n">
        <f>COUNT(M261:M300)</f>
        <v>0.0</v>
      </c>
      <c r="N260" s="814" t="n">
        <f>COUNT(N261:N300)</f>
        <v>0.0</v>
      </c>
    </row>
    <row r="261" spans="1:14">
      <c r="A261" s="203" t="s">
        <v>184</v>
      </c>
      <c r="B261" s="254"/>
      <c r="D261" s="208" t="s">
        <v>185</v>
      </c>
      <c r="E261" s="205"/>
      <c r="F261" s="318"/>
      <c r="G261" s="319"/>
      <c r="H261" s="319"/>
      <c r="I261" s="320"/>
      <c r="J261" s="629"/>
      <c r="K261" s="815"/>
      <c r="L261" s="815"/>
      <c r="M261" s="874"/>
      <c r="N261" s="816"/>
    </row>
    <row r="262" spans="1:14">
      <c r="A262" s="228"/>
      <c r="D262" s="208" t="s">
        <v>186</v>
      </c>
      <c r="E262" s="205"/>
      <c r="F262" s="318"/>
      <c r="G262" s="319"/>
      <c r="H262" s="319"/>
      <c r="I262" s="320"/>
      <c r="J262" s="629"/>
      <c r="K262" s="815"/>
      <c r="L262" s="815"/>
      <c r="M262" s="874"/>
      <c r="N262" s="816"/>
    </row>
    <row r="263" spans="1:14">
      <c r="A263" s="228"/>
      <c r="C263" s="321"/>
      <c r="D263" s="208" t="s">
        <v>187</v>
      </c>
      <c r="E263" s="205"/>
      <c r="F263" s="318"/>
      <c r="G263" s="319"/>
      <c r="H263" s="319"/>
      <c r="I263" s="320"/>
      <c r="J263" s="629"/>
      <c r="K263" s="815"/>
      <c r="L263" s="815"/>
      <c r="M263" s="874"/>
      <c r="N263" s="816"/>
    </row>
    <row r="264" spans="1:14">
      <c r="A264" s="228"/>
      <c r="C264" s="321"/>
      <c r="D264" s="322" t="s">
        <v>188</v>
      </c>
      <c r="E264" s="323"/>
      <c r="F264" s="318"/>
      <c r="G264" s="324"/>
      <c r="H264" s="324"/>
      <c r="I264" s="325"/>
      <c r="J264" s="630"/>
      <c r="K264" s="817"/>
      <c r="L264" s="817"/>
      <c r="M264" s="875"/>
      <c r="N264" s="818"/>
    </row>
    <row r="265" spans="1:14">
      <c r="A265" s="228"/>
      <c r="C265" s="321"/>
      <c r="D265" s="322" t="s">
        <v>189</v>
      </c>
      <c r="E265" s="323"/>
      <c r="F265" s="318"/>
      <c r="G265" s="324"/>
      <c r="H265" s="324"/>
      <c r="I265" s="325"/>
      <c r="J265" s="630"/>
      <c r="K265" s="817"/>
      <c r="L265" s="817"/>
      <c r="M265" s="875"/>
      <c r="N265" s="818"/>
    </row>
    <row r="266" spans="1:14">
      <c r="A266" s="228"/>
      <c r="C266" s="321"/>
      <c r="D266" s="208" t="s">
        <v>190</v>
      </c>
      <c r="E266" s="205"/>
      <c r="F266" s="318"/>
      <c r="G266" s="319"/>
      <c r="H266" s="319"/>
      <c r="I266" s="320"/>
      <c r="J266" s="629"/>
      <c r="K266" s="815"/>
      <c r="L266" s="815"/>
      <c r="M266" s="874"/>
      <c r="N266" s="816"/>
    </row>
    <row r="267" spans="1:14">
      <c r="A267" s="228"/>
      <c r="C267" s="321"/>
      <c r="D267" s="208" t="s">
        <v>191</v>
      </c>
      <c r="E267" s="205"/>
      <c r="F267" s="318"/>
      <c r="G267" s="319"/>
      <c r="H267" s="319"/>
      <c r="I267" s="320"/>
      <c r="J267" s="629"/>
      <c r="K267" s="815"/>
      <c r="L267" s="815"/>
      <c r="M267" s="874"/>
      <c r="N267" s="816"/>
    </row>
    <row r="268" spans="1:14">
      <c r="A268" s="228"/>
      <c r="C268" s="321"/>
      <c r="D268" s="208" t="s">
        <v>192</v>
      </c>
      <c r="E268" s="205"/>
      <c r="F268" s="318"/>
      <c r="G268" s="319"/>
      <c r="H268" s="319"/>
      <c r="I268" s="320"/>
      <c r="J268" s="629"/>
      <c r="K268" s="815"/>
      <c r="L268" s="815"/>
      <c r="M268" s="874"/>
      <c r="N268" s="816"/>
    </row>
    <row r="269" spans="1:14">
      <c r="A269" s="228"/>
      <c r="C269" s="321"/>
      <c r="D269" s="208" t="s">
        <v>193</v>
      </c>
      <c r="E269" s="205"/>
      <c r="F269" s="318"/>
      <c r="G269" s="319"/>
      <c r="H269" s="319"/>
      <c r="I269" s="320"/>
      <c r="J269" s="629"/>
      <c r="K269" s="815"/>
      <c r="L269" s="815"/>
      <c r="M269" s="874"/>
      <c r="N269" s="816"/>
    </row>
    <row r="270" spans="1:14">
      <c r="A270" s="228"/>
      <c r="C270" s="321"/>
      <c r="D270" s="208" t="s">
        <v>165</v>
      </c>
      <c r="E270" s="205"/>
      <c r="F270" s="318"/>
      <c r="G270" s="319"/>
      <c r="H270" s="319"/>
      <c r="I270" s="320"/>
      <c r="J270" s="629"/>
      <c r="K270" s="815"/>
      <c r="L270" s="815"/>
      <c r="M270" s="874"/>
      <c r="N270" s="816"/>
    </row>
    <row r="271" spans="1:14">
      <c r="A271" s="228"/>
      <c r="C271" s="321"/>
      <c r="D271" s="208" t="s">
        <v>166</v>
      </c>
      <c r="E271" s="205"/>
      <c r="F271" s="318"/>
      <c r="G271" s="319"/>
      <c r="H271" s="319"/>
      <c r="I271" s="320"/>
      <c r="J271" s="629"/>
      <c r="K271" s="815"/>
      <c r="L271" s="815"/>
      <c r="M271" s="874"/>
      <c r="N271" s="816"/>
    </row>
    <row r="272" spans="1:14">
      <c r="A272" s="228"/>
      <c r="C272" s="321"/>
      <c r="D272" s="208" t="s">
        <v>167</v>
      </c>
      <c r="E272" s="205"/>
      <c r="F272" s="318"/>
      <c r="G272" s="319"/>
      <c r="H272" s="319"/>
      <c r="I272" s="320"/>
      <c r="J272" s="629"/>
      <c r="K272" s="815"/>
      <c r="L272" s="815"/>
      <c r="M272" s="874"/>
      <c r="N272" s="816"/>
    </row>
    <row r="273" spans="1:14">
      <c r="A273" s="228"/>
      <c r="C273" s="321"/>
      <c r="D273" s="208" t="s">
        <v>168</v>
      </c>
      <c r="E273" s="205"/>
      <c r="F273" s="318"/>
      <c r="G273" s="319"/>
      <c r="H273" s="319"/>
      <c r="I273" s="320"/>
      <c r="J273" s="629"/>
      <c r="K273" s="815"/>
      <c r="L273" s="815"/>
      <c r="M273" s="874"/>
      <c r="N273" s="816"/>
    </row>
    <row r="274" spans="1:14">
      <c r="A274" s="228"/>
      <c r="C274" s="321"/>
      <c r="D274" s="208" t="s">
        <v>169</v>
      </c>
      <c r="E274" s="205"/>
      <c r="F274" s="318"/>
      <c r="G274" s="319"/>
      <c r="H274" s="319"/>
      <c r="I274" s="320"/>
      <c r="J274" s="629"/>
      <c r="K274" s="815"/>
      <c r="L274" s="815"/>
      <c r="M274" s="874"/>
      <c r="N274" s="816"/>
    </row>
    <row r="275" spans="1:14">
      <c r="A275" s="228"/>
      <c r="C275" s="321"/>
      <c r="D275" s="208" t="s">
        <v>170</v>
      </c>
      <c r="E275" s="205"/>
      <c r="F275" s="318"/>
      <c r="G275" s="319"/>
      <c r="H275" s="319"/>
      <c r="I275" s="320"/>
      <c r="J275" s="629"/>
      <c r="K275" s="815"/>
      <c r="L275" s="815"/>
      <c r="M275" s="874"/>
      <c r="N275" s="816"/>
    </row>
    <row r="276" spans="1:14">
      <c r="A276" s="228"/>
      <c r="C276" s="321"/>
      <c r="D276" s="208" t="s">
        <v>171</v>
      </c>
      <c r="E276" s="205"/>
      <c r="F276" s="318"/>
      <c r="G276" s="319"/>
      <c r="H276" s="319"/>
      <c r="I276" s="320"/>
      <c r="J276" s="629"/>
      <c r="K276" s="815"/>
      <c r="L276" s="815"/>
      <c r="M276" s="874"/>
      <c r="N276" s="816"/>
    </row>
    <row r="277" spans="1:14">
      <c r="A277" s="228"/>
      <c r="C277" s="321"/>
      <c r="D277" s="208" t="s">
        <v>172</v>
      </c>
      <c r="E277" s="205"/>
      <c r="F277" s="318"/>
      <c r="G277" s="319"/>
      <c r="H277" s="319"/>
      <c r="I277" s="320"/>
      <c r="J277" s="629"/>
      <c r="K277" s="815"/>
      <c r="L277" s="815"/>
      <c r="M277" s="874"/>
      <c r="N277" s="816"/>
    </row>
    <row r="278" spans="1:14">
      <c r="A278" s="228"/>
      <c r="C278" s="321"/>
      <c r="D278" s="208" t="s">
        <v>173</v>
      </c>
      <c r="E278" s="205"/>
      <c r="F278" s="318"/>
      <c r="G278" s="319"/>
      <c r="H278" s="319"/>
      <c r="I278" s="320"/>
      <c r="J278" s="629"/>
      <c r="K278" s="815"/>
      <c r="L278" s="815"/>
      <c r="M278" s="874"/>
      <c r="N278" s="816"/>
    </row>
    <row r="279" spans="1:14">
      <c r="A279" s="228"/>
      <c r="C279" s="321"/>
      <c r="D279" s="208" t="s">
        <v>174</v>
      </c>
      <c r="E279" s="205"/>
      <c r="F279" s="318"/>
      <c r="G279" s="319"/>
      <c r="H279" s="319"/>
      <c r="I279" s="320"/>
      <c r="J279" s="629"/>
      <c r="K279" s="815"/>
      <c r="L279" s="815"/>
      <c r="M279" s="874"/>
      <c r="N279" s="816"/>
    </row>
    <row r="280" spans="1:14">
      <c r="A280" s="228"/>
      <c r="D280" s="208" t="s">
        <v>175</v>
      </c>
      <c r="E280" s="205"/>
      <c r="F280" s="318"/>
      <c r="G280" s="319"/>
      <c r="H280" s="319"/>
      <c r="I280" s="320"/>
      <c r="J280" s="629"/>
      <c r="K280" s="815"/>
      <c r="L280" s="815"/>
      <c r="M280" s="874"/>
      <c r="N280" s="816"/>
    </row>
    <row r="281" spans="1:14">
      <c r="A281" s="228"/>
      <c r="C281" s="321"/>
      <c r="D281" s="208" t="s">
        <v>176</v>
      </c>
      <c r="E281" s="205"/>
      <c r="F281" s="318"/>
      <c r="G281" s="319"/>
      <c r="H281" s="319"/>
      <c r="I281" s="320"/>
      <c r="J281" s="629"/>
      <c r="K281" s="815"/>
      <c r="L281" s="815"/>
      <c r="M281" s="874"/>
      <c r="N281" s="816"/>
    </row>
    <row r="282" spans="1:14">
      <c r="A282" s="228"/>
      <c r="C282" s="321"/>
      <c r="D282" s="208" t="s">
        <v>177</v>
      </c>
      <c r="E282" s="205"/>
      <c r="F282" s="318"/>
      <c r="G282" s="319"/>
      <c r="H282" s="319"/>
      <c r="I282" s="320"/>
      <c r="J282" s="629"/>
      <c r="K282" s="815"/>
      <c r="L282" s="815"/>
      <c r="M282" s="874"/>
      <c r="N282" s="816"/>
    </row>
    <row r="283" spans="1:14">
      <c r="A283" s="228"/>
      <c r="D283" s="208" t="s">
        <v>178</v>
      </c>
      <c r="E283" s="205"/>
      <c r="F283" s="318"/>
      <c r="G283" s="319"/>
      <c r="H283" s="319"/>
      <c r="I283" s="320"/>
      <c r="J283" s="629"/>
      <c r="K283" s="815"/>
      <c r="L283" s="815"/>
      <c r="M283" s="874"/>
      <c r="N283" s="816"/>
    </row>
    <row r="284" spans="1:14">
      <c r="A284" s="228"/>
      <c r="C284" s="321"/>
      <c r="D284" s="208" t="s">
        <v>179</v>
      </c>
      <c r="E284" s="205"/>
      <c r="F284" s="318"/>
      <c r="G284" s="319"/>
      <c r="H284" s="319"/>
      <c r="I284" s="320"/>
      <c r="J284" s="629"/>
      <c r="K284" s="815"/>
      <c r="L284" s="815"/>
      <c r="M284" s="874"/>
      <c r="N284" s="816"/>
    </row>
    <row r="285" spans="1:14">
      <c r="A285" s="228"/>
      <c r="C285" s="321"/>
      <c r="D285" s="208" t="s">
        <v>180</v>
      </c>
      <c r="E285" s="205"/>
      <c r="F285" s="318"/>
      <c r="G285" s="319"/>
      <c r="H285" s="319"/>
      <c r="I285" s="320"/>
      <c r="J285" s="629"/>
      <c r="K285" s="815"/>
      <c r="L285" s="815"/>
      <c r="M285" s="874"/>
      <c r="N285" s="816"/>
    </row>
    <row r="286" spans="1:14">
      <c r="A286" s="228"/>
      <c r="C286" s="321"/>
      <c r="D286" s="208" t="s">
        <v>355</v>
      </c>
      <c r="E286" s="205"/>
      <c r="F286" s="318"/>
      <c r="G286" s="319"/>
      <c r="H286" s="319"/>
      <c r="I286" s="320"/>
      <c r="J286" s="629"/>
      <c r="K286" s="815"/>
      <c r="L286" s="815"/>
      <c r="M286" s="874"/>
      <c r="N286" s="816"/>
    </row>
    <row r="287" spans="1:14">
      <c r="A287" s="228"/>
      <c r="C287" s="321"/>
      <c r="D287" s="208" t="s">
        <v>356</v>
      </c>
      <c r="E287" s="205"/>
      <c r="F287" s="318"/>
      <c r="G287" s="319"/>
      <c r="H287" s="319"/>
      <c r="I287" s="320"/>
      <c r="J287" s="629"/>
      <c r="K287" s="815"/>
      <c r="L287" s="815"/>
      <c r="M287" s="874"/>
      <c r="N287" s="816"/>
    </row>
    <row r="288" spans="1:14">
      <c r="A288" s="228"/>
      <c r="D288" s="208" t="s">
        <v>357</v>
      </c>
      <c r="E288" s="205"/>
      <c r="F288" s="318"/>
      <c r="G288" s="319"/>
      <c r="H288" s="319"/>
      <c r="I288" s="320"/>
      <c r="J288" s="629"/>
      <c r="K288" s="815"/>
      <c r="L288" s="815"/>
      <c r="M288" s="874"/>
      <c r="N288" s="816"/>
    </row>
    <row r="289" spans="1:14">
      <c r="A289" s="228"/>
      <c r="C289" s="321"/>
      <c r="D289" s="208" t="s">
        <v>358</v>
      </c>
      <c r="E289" s="205"/>
      <c r="F289" s="318"/>
      <c r="G289" s="319"/>
      <c r="H289" s="319"/>
      <c r="I289" s="320"/>
      <c r="J289" s="629"/>
      <c r="K289" s="815"/>
      <c r="L289" s="815"/>
      <c r="M289" s="874"/>
      <c r="N289" s="816"/>
    </row>
    <row r="290" spans="1:14">
      <c r="A290" s="228"/>
      <c r="C290" s="321"/>
      <c r="D290" s="208" t="s">
        <v>359</v>
      </c>
      <c r="E290" s="205"/>
      <c r="F290" s="318"/>
      <c r="G290" s="319"/>
      <c r="H290" s="319"/>
      <c r="I290" s="320"/>
      <c r="J290" s="629"/>
      <c r="K290" s="815"/>
      <c r="L290" s="815"/>
      <c r="M290" s="874"/>
      <c r="N290" s="816"/>
    </row>
    <row r="291" spans="1:14">
      <c r="A291" s="228"/>
      <c r="C291" s="321"/>
      <c r="D291" s="973" t="s">
        <v>430</v>
      </c>
      <c r="E291" s="247"/>
      <c r="F291" s="318"/>
      <c r="G291" s="1038"/>
      <c r="H291" s="1038"/>
      <c r="I291" s="1039"/>
      <c r="J291" s="629"/>
      <c r="K291" s="815"/>
      <c r="L291" s="815"/>
      <c r="M291" s="874"/>
      <c r="N291" s="816"/>
    </row>
    <row r="292" spans="1:14">
      <c r="A292" s="228"/>
      <c r="C292" s="321"/>
      <c r="D292" s="973" t="s">
        <v>431</v>
      </c>
      <c r="E292" s="247"/>
      <c r="F292" s="318"/>
      <c r="G292" s="1038"/>
      <c r="H292" s="1038"/>
      <c r="I292" s="1039"/>
      <c r="J292" s="629"/>
      <c r="K292" s="815"/>
      <c r="L292" s="815"/>
      <c r="M292" s="874"/>
      <c r="N292" s="816"/>
    </row>
    <row r="293" spans="1:14">
      <c r="A293" s="228"/>
      <c r="C293" s="321"/>
      <c r="D293" s="973" t="s">
        <v>432</v>
      </c>
      <c r="E293" s="247"/>
      <c r="F293" s="318"/>
      <c r="G293" s="1038"/>
      <c r="H293" s="1038"/>
      <c r="I293" s="1039"/>
      <c r="J293" s="629"/>
      <c r="K293" s="815"/>
      <c r="L293" s="815"/>
      <c r="M293" s="874"/>
      <c r="N293" s="816"/>
    </row>
    <row r="294" spans="1:14">
      <c r="A294" s="228"/>
      <c r="C294" s="321"/>
      <c r="D294" s="973" t="s">
        <v>433</v>
      </c>
      <c r="E294" s="247"/>
      <c r="F294" s="318"/>
      <c r="G294" s="1038"/>
      <c r="H294" s="1038"/>
      <c r="I294" s="1039"/>
      <c r="J294" s="629"/>
      <c r="K294" s="815"/>
      <c r="L294" s="815"/>
      <c r="M294" s="874"/>
      <c r="N294" s="816"/>
    </row>
    <row r="295" spans="1:14">
      <c r="A295" s="228"/>
      <c r="C295" s="321"/>
      <c r="D295" s="973" t="s">
        <v>434</v>
      </c>
      <c r="E295" s="247"/>
      <c r="F295" s="318"/>
      <c r="G295" s="1038"/>
      <c r="H295" s="1038"/>
      <c r="I295" s="1039"/>
      <c r="J295" s="629"/>
      <c r="K295" s="815"/>
      <c r="L295" s="815"/>
      <c r="M295" s="874"/>
      <c r="N295" s="816"/>
    </row>
    <row r="296" spans="1:14">
      <c r="A296" s="228"/>
      <c r="C296" s="321"/>
      <c r="D296" s="973" t="s">
        <v>435</v>
      </c>
      <c r="E296" s="247"/>
      <c r="F296" s="318"/>
      <c r="G296" s="1038"/>
      <c r="H296" s="1038"/>
      <c r="I296" s="1039"/>
      <c r="J296" s="629"/>
      <c r="K296" s="815"/>
      <c r="L296" s="815"/>
      <c r="M296" s="874"/>
      <c r="N296" s="816"/>
    </row>
    <row r="297" spans="1:14">
      <c r="A297" s="228"/>
      <c r="C297" s="321"/>
      <c r="D297" s="973" t="s">
        <v>436</v>
      </c>
      <c r="E297" s="247"/>
      <c r="F297" s="318"/>
      <c r="G297" s="1038"/>
      <c r="H297" s="1038"/>
      <c r="I297" s="1039"/>
      <c r="J297" s="629"/>
      <c r="K297" s="815"/>
      <c r="L297" s="815"/>
      <c r="M297" s="874"/>
      <c r="N297" s="816"/>
    </row>
    <row r="298" spans="1:14">
      <c r="A298" s="228"/>
      <c r="C298" s="321"/>
      <c r="D298" s="973" t="s">
        <v>437</v>
      </c>
      <c r="E298" s="247"/>
      <c r="F298" s="318"/>
      <c r="G298" s="1038"/>
      <c r="H298" s="1038"/>
      <c r="I298" s="1039"/>
      <c r="J298" s="629"/>
      <c r="K298" s="815"/>
      <c r="L298" s="815"/>
      <c r="M298" s="874"/>
      <c r="N298" s="816"/>
    </row>
    <row r="299" spans="1:14">
      <c r="A299" s="228"/>
      <c r="C299" s="321"/>
      <c r="D299" s="973" t="s">
        <v>438</v>
      </c>
      <c r="E299" s="247"/>
      <c r="F299" s="318"/>
      <c r="G299" s="1038"/>
      <c r="H299" s="1038"/>
      <c r="I299" s="1039"/>
      <c r="J299" s="629"/>
      <c r="K299" s="815"/>
      <c r="L299" s="815"/>
      <c r="M299" s="874"/>
      <c r="N299" s="816"/>
    </row>
    <row r="300" spans="1:14">
      <c r="A300" s="228"/>
      <c r="C300" s="321"/>
      <c r="D300" s="973" t="s">
        <v>439</v>
      </c>
      <c r="E300" s="247"/>
      <c r="F300" s="318"/>
      <c r="G300" s="1038"/>
      <c r="H300" s="1038"/>
      <c r="I300" s="1039"/>
      <c r="J300" s="629"/>
      <c r="K300" s="815"/>
      <c r="L300" s="815"/>
      <c r="M300" s="874"/>
      <c r="N300" s="816"/>
    </row>
    <row r="301" spans="1:14">
      <c r="A301" s="203" t="s">
        <v>194</v>
      </c>
      <c r="B301" s="254"/>
      <c r="C301" s="254"/>
      <c r="D301" s="208" t="s">
        <v>195</v>
      </c>
      <c r="E301" s="205"/>
      <c r="F301" s="615"/>
      <c r="G301" s="268"/>
      <c r="H301" s="268"/>
      <c r="I301" s="326"/>
      <c r="J301" s="631"/>
      <c r="K301" s="755" t="str">
        <f>IF(J301="","",$J301)</f>
        <v/>
      </c>
      <c r="L301" s="755" t="str">
        <f t="shared" ref="L301:N301" si="104">IF(K301="","",$J301)</f>
        <v/>
      </c>
      <c r="M301" s="755" t="str">
        <f t="shared" si="104"/>
        <v/>
      </c>
      <c r="N301" s="756" t="str">
        <f t="shared" si="104"/>
        <v/>
      </c>
    </row>
    <row r="302" spans="1:14">
      <c r="A302" s="228"/>
      <c r="D302" s="208" t="s">
        <v>196</v>
      </c>
      <c r="E302" s="205"/>
      <c r="F302" s="615"/>
      <c r="G302" s="268"/>
      <c r="H302" s="268"/>
      <c r="I302" s="326"/>
      <c r="J302" s="631"/>
      <c r="K302" s="755" t="str">
        <f t="shared" ref="K302:N302" si="105">IF(J302="","",$J302)</f>
        <v/>
      </c>
      <c r="L302" s="755" t="str">
        <f t="shared" si="105"/>
        <v/>
      </c>
      <c r="M302" s="755" t="str">
        <f t="shared" si="105"/>
        <v/>
      </c>
      <c r="N302" s="756" t="str">
        <f t="shared" si="105"/>
        <v/>
      </c>
    </row>
    <row r="303" spans="1:14">
      <c r="A303" s="228"/>
      <c r="C303" s="321"/>
      <c r="D303" s="208" t="s">
        <v>197</v>
      </c>
      <c r="E303" s="205"/>
      <c r="F303" s="615"/>
      <c r="G303" s="268"/>
      <c r="H303" s="268"/>
      <c r="I303" s="326"/>
      <c r="J303" s="631"/>
      <c r="K303" s="755" t="str">
        <f t="shared" ref="K303:N303" si="106">IF(J303="","",$J303)</f>
        <v/>
      </c>
      <c r="L303" s="755" t="str">
        <f t="shared" si="106"/>
        <v/>
      </c>
      <c r="M303" s="755" t="str">
        <f t="shared" si="106"/>
        <v/>
      </c>
      <c r="N303" s="756" t="str">
        <f t="shared" si="106"/>
        <v/>
      </c>
    </row>
    <row r="304" spans="1:14">
      <c r="A304" s="228"/>
      <c r="C304" s="321"/>
      <c r="D304" s="208" t="s">
        <v>198</v>
      </c>
      <c r="E304" s="205"/>
      <c r="F304" s="615"/>
      <c r="G304" s="268"/>
      <c r="H304" s="268"/>
      <c r="I304" s="326"/>
      <c r="J304" s="631"/>
      <c r="K304" s="755" t="str">
        <f t="shared" ref="K304:N304" si="107">IF(J304="","",$J304)</f>
        <v/>
      </c>
      <c r="L304" s="755" t="str">
        <f t="shared" si="107"/>
        <v/>
      </c>
      <c r="M304" s="755" t="str">
        <f t="shared" si="107"/>
        <v/>
      </c>
      <c r="N304" s="756" t="str">
        <f t="shared" si="107"/>
        <v/>
      </c>
    </row>
    <row r="305" spans="1:14">
      <c r="A305" s="228"/>
      <c r="C305" s="321"/>
      <c r="D305" s="208" t="s">
        <v>199</v>
      </c>
      <c r="E305" s="205"/>
      <c r="F305" s="615"/>
      <c r="G305" s="268"/>
      <c r="H305" s="268"/>
      <c r="I305" s="326"/>
      <c r="J305" s="631"/>
      <c r="K305" s="755" t="str">
        <f t="shared" ref="K305:N305" si="108">IF(J305="","",$J305)</f>
        <v/>
      </c>
      <c r="L305" s="755" t="str">
        <f t="shared" si="108"/>
        <v/>
      </c>
      <c r="M305" s="755" t="str">
        <f t="shared" si="108"/>
        <v/>
      </c>
      <c r="N305" s="756" t="str">
        <f t="shared" si="108"/>
        <v/>
      </c>
    </row>
    <row r="306" spans="1:14">
      <c r="A306" s="228"/>
      <c r="C306" s="321"/>
      <c r="D306" s="208" t="s">
        <v>200</v>
      </c>
      <c r="E306" s="205"/>
      <c r="F306" s="615"/>
      <c r="G306" s="268"/>
      <c r="H306" s="268"/>
      <c r="I306" s="326"/>
      <c r="J306" s="631"/>
      <c r="K306" s="755" t="str">
        <f t="shared" ref="K306:N306" si="109">IF(J306="","",$J306)</f>
        <v/>
      </c>
      <c r="L306" s="755" t="str">
        <f t="shared" si="109"/>
        <v/>
      </c>
      <c r="M306" s="755" t="str">
        <f t="shared" si="109"/>
        <v/>
      </c>
      <c r="N306" s="756" t="str">
        <f t="shared" si="109"/>
        <v/>
      </c>
    </row>
    <row r="307" spans="1:14">
      <c r="A307" s="228"/>
      <c r="C307" s="321"/>
      <c r="D307" s="208" t="s">
        <v>201</v>
      </c>
      <c r="E307" s="205"/>
      <c r="F307" s="615"/>
      <c r="G307" s="268"/>
      <c r="H307" s="268"/>
      <c r="I307" s="326"/>
      <c r="J307" s="631"/>
      <c r="K307" s="755" t="str">
        <f t="shared" ref="K307:N307" si="110">IF(J307="","",$J307)</f>
        <v/>
      </c>
      <c r="L307" s="755" t="str">
        <f t="shared" si="110"/>
        <v/>
      </c>
      <c r="M307" s="755" t="str">
        <f t="shared" si="110"/>
        <v/>
      </c>
      <c r="N307" s="756" t="str">
        <f t="shared" si="110"/>
        <v/>
      </c>
    </row>
    <row r="308" spans="1:14">
      <c r="A308" s="228"/>
      <c r="C308" s="321"/>
      <c r="D308" s="208" t="s">
        <v>202</v>
      </c>
      <c r="E308" s="205"/>
      <c r="F308" s="615"/>
      <c r="G308" s="268"/>
      <c r="H308" s="268"/>
      <c r="I308" s="326"/>
      <c r="J308" s="631"/>
      <c r="K308" s="755" t="str">
        <f t="shared" ref="K308:N308" si="111">IF(J308="","",$J308)</f>
        <v/>
      </c>
      <c r="L308" s="755" t="str">
        <f t="shared" si="111"/>
        <v/>
      </c>
      <c r="M308" s="755" t="str">
        <f t="shared" si="111"/>
        <v/>
      </c>
      <c r="N308" s="756" t="str">
        <f t="shared" si="111"/>
        <v/>
      </c>
    </row>
    <row r="309" spans="1:14">
      <c r="A309" s="228"/>
      <c r="C309" s="321"/>
      <c r="D309" s="208" t="s">
        <v>203</v>
      </c>
      <c r="E309" s="205"/>
      <c r="F309" s="615"/>
      <c r="G309" s="268"/>
      <c r="H309" s="268"/>
      <c r="I309" s="326"/>
      <c r="J309" s="631"/>
      <c r="K309" s="755" t="str">
        <f t="shared" ref="K309:N309" si="112">IF(J309="","",$J309)</f>
        <v/>
      </c>
      <c r="L309" s="755" t="str">
        <f t="shared" si="112"/>
        <v/>
      </c>
      <c r="M309" s="755" t="str">
        <f t="shared" si="112"/>
        <v/>
      </c>
      <c r="N309" s="756" t="str">
        <f t="shared" si="112"/>
        <v/>
      </c>
    </row>
    <row r="310" spans="1:14">
      <c r="A310" s="228"/>
      <c r="C310" s="321"/>
      <c r="D310" s="208" t="s">
        <v>204</v>
      </c>
      <c r="E310" s="205"/>
      <c r="F310" s="615"/>
      <c r="G310" s="268"/>
      <c r="H310" s="268"/>
      <c r="I310" s="326"/>
      <c r="J310" s="631"/>
      <c r="K310" s="755" t="str">
        <f t="shared" ref="K310:N310" si="113">IF(J310="","",$J310)</f>
        <v/>
      </c>
      <c r="L310" s="755" t="str">
        <f t="shared" si="113"/>
        <v/>
      </c>
      <c r="M310" s="755" t="str">
        <f t="shared" si="113"/>
        <v/>
      </c>
      <c r="N310" s="756" t="str">
        <f t="shared" si="113"/>
        <v/>
      </c>
    </row>
    <row r="311" spans="1:14">
      <c r="A311" s="228"/>
      <c r="C311" s="321"/>
      <c r="D311" s="208" t="s">
        <v>205</v>
      </c>
      <c r="E311" s="205"/>
      <c r="F311" s="615"/>
      <c r="G311" s="268"/>
      <c r="H311" s="268"/>
      <c r="I311" s="326"/>
      <c r="J311" s="631"/>
      <c r="K311" s="755" t="str">
        <f t="shared" ref="K311:N311" si="114">IF(J311="","",$J311)</f>
        <v/>
      </c>
      <c r="L311" s="755" t="str">
        <f t="shared" si="114"/>
        <v/>
      </c>
      <c r="M311" s="755" t="str">
        <f t="shared" si="114"/>
        <v/>
      </c>
      <c r="N311" s="756" t="str">
        <f t="shared" si="114"/>
        <v/>
      </c>
    </row>
    <row r="312" spans="1:14">
      <c r="A312" s="228"/>
      <c r="C312" s="321"/>
      <c r="D312" s="327" t="s">
        <v>206</v>
      </c>
      <c r="E312" s="272"/>
      <c r="F312" s="615"/>
      <c r="G312" s="268"/>
      <c r="H312" s="268"/>
      <c r="I312" s="326"/>
      <c r="J312" s="632"/>
      <c r="K312" s="755" t="str">
        <f t="shared" ref="K312:N312" si="115">IF(J312="","",$J312)</f>
        <v/>
      </c>
      <c r="L312" s="755" t="str">
        <f t="shared" si="115"/>
        <v/>
      </c>
      <c r="M312" s="755" t="str">
        <f t="shared" si="115"/>
        <v/>
      </c>
      <c r="N312" s="756" t="str">
        <f t="shared" si="115"/>
        <v/>
      </c>
    </row>
    <row r="313" spans="1:14">
      <c r="A313" s="228"/>
      <c r="D313" s="208" t="s">
        <v>207</v>
      </c>
      <c r="E313" s="205"/>
      <c r="F313" s="615"/>
      <c r="G313" s="268"/>
      <c r="H313" s="268"/>
      <c r="I313" s="326"/>
      <c r="J313" s="633"/>
      <c r="K313" s="755" t="str">
        <f t="shared" ref="K313:N313" si="116">IF(J313="","",$J313)</f>
        <v/>
      </c>
      <c r="L313" s="755" t="str">
        <f t="shared" si="116"/>
        <v/>
      </c>
      <c r="M313" s="755" t="str">
        <f t="shared" si="116"/>
        <v/>
      </c>
      <c r="N313" s="756" t="str">
        <f t="shared" si="116"/>
        <v/>
      </c>
    </row>
    <row r="314" spans="1:14">
      <c r="A314" s="228"/>
      <c r="D314" s="328" t="s">
        <v>208</v>
      </c>
      <c r="E314" s="329"/>
      <c r="F314" s="615"/>
      <c r="G314" s="268"/>
      <c r="H314" s="268"/>
      <c r="I314" s="326"/>
      <c r="J314" s="634"/>
      <c r="K314" s="755" t="str">
        <f t="shared" ref="K314:N314" si="117">IF(J314="","",$J314)</f>
        <v/>
      </c>
      <c r="L314" s="755" t="str">
        <f t="shared" si="117"/>
        <v/>
      </c>
      <c r="M314" s="755" t="str">
        <f t="shared" si="117"/>
        <v/>
      </c>
      <c r="N314" s="756" t="str">
        <f t="shared" si="117"/>
        <v/>
      </c>
    </row>
    <row r="315" spans="1:14">
      <c r="A315" s="228"/>
      <c r="C315" s="321"/>
      <c r="D315" s="208" t="s">
        <v>209</v>
      </c>
      <c r="E315" s="205"/>
      <c r="F315" s="615"/>
      <c r="G315" s="268"/>
      <c r="H315" s="268"/>
      <c r="I315" s="326"/>
      <c r="J315" s="631"/>
      <c r="K315" s="755" t="str">
        <f t="shared" ref="K315:N315" si="118">IF(J315="","",$J315)</f>
        <v/>
      </c>
      <c r="L315" s="755" t="str">
        <f t="shared" si="118"/>
        <v/>
      </c>
      <c r="M315" s="755" t="str">
        <f t="shared" si="118"/>
        <v/>
      </c>
      <c r="N315" s="756" t="str">
        <f t="shared" si="118"/>
        <v/>
      </c>
    </row>
    <row r="316" spans="1:14">
      <c r="A316" s="228"/>
      <c r="C316" s="321"/>
      <c r="D316" s="327" t="s">
        <v>210</v>
      </c>
      <c r="E316" s="272"/>
      <c r="F316" s="330"/>
      <c r="G316" s="273"/>
      <c r="H316" s="273"/>
      <c r="I316" s="331"/>
      <c r="J316" s="632"/>
      <c r="K316" s="755" t="str">
        <f t="shared" ref="K316:N316" si="119">IF(J316="","",$J316)</f>
        <v/>
      </c>
      <c r="L316" s="755" t="str">
        <f t="shared" si="119"/>
        <v/>
      </c>
      <c r="M316" s="755" t="str">
        <f t="shared" si="119"/>
        <v/>
      </c>
      <c r="N316" s="756" t="str">
        <f t="shared" si="119"/>
        <v/>
      </c>
    </row>
    <row r="317" spans="1:14">
      <c r="A317" s="228"/>
      <c r="C317" s="321"/>
      <c r="D317" s="327" t="s">
        <v>211</v>
      </c>
      <c r="E317" s="205"/>
      <c r="F317" s="615"/>
      <c r="G317" s="268"/>
      <c r="H317" s="268"/>
      <c r="I317" s="326"/>
      <c r="J317" s="633"/>
      <c r="K317" s="755" t="str">
        <f t="shared" ref="K317:N317" si="120">IF(J317="","",$J317)</f>
        <v/>
      </c>
      <c r="L317" s="755" t="str">
        <f t="shared" si="120"/>
        <v/>
      </c>
      <c r="M317" s="755" t="str">
        <f t="shared" si="120"/>
        <v/>
      </c>
      <c r="N317" s="756" t="str">
        <f t="shared" si="120"/>
        <v/>
      </c>
    </row>
    <row r="318" spans="1:14">
      <c r="A318" s="228"/>
      <c r="C318" s="321"/>
      <c r="D318" s="208" t="s">
        <v>212</v>
      </c>
      <c r="E318" s="205"/>
      <c r="F318" s="615"/>
      <c r="G318" s="268"/>
      <c r="H318" s="268"/>
      <c r="I318" s="326"/>
      <c r="J318" s="631"/>
      <c r="K318" s="755" t="str">
        <f t="shared" ref="K318:N322" si="121">IF(J318="","",$J318)</f>
        <v/>
      </c>
      <c r="L318" s="755" t="str">
        <f t="shared" si="121"/>
        <v/>
      </c>
      <c r="M318" s="755" t="str">
        <f t="shared" si="121"/>
        <v/>
      </c>
      <c r="N318" s="756" t="str">
        <f t="shared" si="121"/>
        <v/>
      </c>
    </row>
    <row r="319" spans="1:14">
      <c r="A319" s="228"/>
      <c r="D319" s="328" t="s">
        <v>360</v>
      </c>
      <c r="E319" s="329"/>
      <c r="F319" s="615"/>
      <c r="G319" s="268"/>
      <c r="H319" s="268"/>
      <c r="I319" s="326"/>
      <c r="J319" s="634"/>
      <c r="K319" s="755" t="str">
        <f t="shared" si="121"/>
        <v/>
      </c>
      <c r="L319" s="755" t="str">
        <f t="shared" si="121"/>
        <v/>
      </c>
      <c r="M319" s="755" t="str">
        <f t="shared" si="121"/>
        <v/>
      </c>
      <c r="N319" s="756" t="str">
        <f t="shared" si="121"/>
        <v/>
      </c>
    </row>
    <row r="320" spans="1:14">
      <c r="A320" s="228"/>
      <c r="C320" s="321"/>
      <c r="D320" s="208" t="s">
        <v>361</v>
      </c>
      <c r="E320" s="205"/>
      <c r="F320" s="615"/>
      <c r="G320" s="268"/>
      <c r="H320" s="268"/>
      <c r="I320" s="326"/>
      <c r="J320" s="631"/>
      <c r="K320" s="755" t="str">
        <f t="shared" si="121"/>
        <v/>
      </c>
      <c r="L320" s="755" t="str">
        <f t="shared" si="121"/>
        <v/>
      </c>
      <c r="M320" s="755" t="str">
        <f t="shared" si="121"/>
        <v/>
      </c>
      <c r="N320" s="756" t="str">
        <f t="shared" si="121"/>
        <v/>
      </c>
    </row>
    <row r="321" spans="1:14">
      <c r="A321" s="228"/>
      <c r="C321" s="321"/>
      <c r="D321" s="327" t="s">
        <v>362</v>
      </c>
      <c r="E321" s="272"/>
      <c r="F321" s="330"/>
      <c r="G321" s="273"/>
      <c r="H321" s="273"/>
      <c r="I321" s="331"/>
      <c r="J321" s="632"/>
      <c r="K321" s="755" t="str">
        <f t="shared" si="121"/>
        <v/>
      </c>
      <c r="L321" s="755" t="str">
        <f t="shared" si="121"/>
        <v/>
      </c>
      <c r="M321" s="755" t="str">
        <f t="shared" si="121"/>
        <v/>
      </c>
      <c r="N321" s="756" t="str">
        <f t="shared" si="121"/>
        <v/>
      </c>
    </row>
    <row r="322" spans="1:14">
      <c r="A322" s="228"/>
      <c r="C322" s="321"/>
      <c r="D322" s="327" t="s">
        <v>363</v>
      </c>
      <c r="E322" s="205"/>
      <c r="F322" s="615"/>
      <c r="G322" s="268"/>
      <c r="H322" s="268"/>
      <c r="I322" s="326"/>
      <c r="J322" s="633"/>
      <c r="K322" s="755" t="str">
        <f t="shared" si="121"/>
        <v/>
      </c>
      <c r="L322" s="755" t="str">
        <f t="shared" si="121"/>
        <v/>
      </c>
      <c r="M322" s="755" t="str">
        <f t="shared" si="121"/>
        <v/>
      </c>
      <c r="N322" s="756" t="str">
        <f t="shared" si="121"/>
        <v/>
      </c>
    </row>
    <row r="323" spans="1:14">
      <c r="A323" s="228"/>
      <c r="C323" s="321"/>
      <c r="D323" s="208" t="s">
        <v>364</v>
      </c>
      <c r="E323" s="205"/>
      <c r="F323" s="615"/>
      <c r="G323" s="268"/>
      <c r="H323" s="268"/>
      <c r="I323" s="326"/>
      <c r="J323" s="631"/>
      <c r="K323" s="755" t="str">
        <f t="shared" ref="K323:N325" si="122">IF(J323="","",$J323)</f>
        <v/>
      </c>
      <c r="L323" s="755" t="str">
        <f t="shared" ref="L323" si="123">IF(K323="","",$J323)</f>
        <v/>
      </c>
      <c r="M323" s="755" t="str">
        <f t="shared" ref="M323" si="124">IF(L323="","",$J323)</f>
        <v/>
      </c>
      <c r="N323" s="756" t="str">
        <f t="shared" ref="N323" si="125">IF(M323="","",$J323)</f>
        <v/>
      </c>
    </row>
    <row r="324" spans="1:14">
      <c r="A324" s="228"/>
      <c r="C324" s="321"/>
      <c r="D324" s="973" t="s">
        <v>365</v>
      </c>
      <c r="E324" s="247"/>
      <c r="F324" s="1040"/>
      <c r="G324" s="268"/>
      <c r="H324" s="268"/>
      <c r="I324" s="326"/>
      <c r="J324" s="631"/>
      <c r="K324" s="755" t="str">
        <f t="shared" si="122"/>
        <v/>
      </c>
      <c r="L324" s="755" t="str">
        <f t="shared" si="122"/>
        <v/>
      </c>
      <c r="M324" s="755" t="str">
        <f t="shared" si="122"/>
        <v/>
      </c>
      <c r="N324" s="756" t="str">
        <f t="shared" si="122"/>
        <v/>
      </c>
    </row>
    <row r="325" spans="1:14">
      <c r="A325" s="228"/>
      <c r="C325" s="321"/>
      <c r="D325" s="973" t="s">
        <v>440</v>
      </c>
      <c r="E325" s="247"/>
      <c r="F325" s="1040"/>
      <c r="G325" s="268"/>
      <c r="H325" s="268"/>
      <c r="I325" s="326"/>
      <c r="J325" s="631"/>
      <c r="K325" s="755" t="str">
        <f t="shared" si="122"/>
        <v/>
      </c>
      <c r="L325" s="755" t="str">
        <f t="shared" si="122"/>
        <v/>
      </c>
      <c r="M325" s="755" t="str">
        <f t="shared" si="122"/>
        <v/>
      </c>
      <c r="N325" s="756" t="str">
        <f t="shared" si="122"/>
        <v/>
      </c>
    </row>
    <row r="326" spans="1:14">
      <c r="A326" s="228"/>
      <c r="C326" s="321"/>
      <c r="D326" s="973" t="s">
        <v>441</v>
      </c>
      <c r="E326" s="247"/>
      <c r="F326" s="1040"/>
      <c r="G326" s="268"/>
      <c r="H326" s="268"/>
      <c r="I326" s="326"/>
      <c r="J326" s="631"/>
      <c r="K326" s="755" t="str">
        <f t="shared" ref="K326:N334" si="126">IF(J326="","",$J326)</f>
        <v/>
      </c>
      <c r="L326" s="755" t="str">
        <f t="shared" si="126"/>
        <v/>
      </c>
      <c r="M326" s="755" t="str">
        <f t="shared" si="126"/>
        <v/>
      </c>
      <c r="N326" s="756" t="str">
        <f t="shared" si="126"/>
        <v/>
      </c>
    </row>
    <row r="327" spans="1:14">
      <c r="A327" s="228"/>
      <c r="C327" s="321"/>
      <c r="D327" s="973" t="s">
        <v>442</v>
      </c>
      <c r="E327" s="247"/>
      <c r="F327" s="1040"/>
      <c r="G327" s="268"/>
      <c r="H327" s="268"/>
      <c r="I327" s="326"/>
      <c r="J327" s="631"/>
      <c r="K327" s="755" t="str">
        <f t="shared" si="126"/>
        <v/>
      </c>
      <c r="L327" s="755" t="str">
        <f t="shared" si="126"/>
        <v/>
      </c>
      <c r="M327" s="755" t="str">
        <f t="shared" si="126"/>
        <v/>
      </c>
      <c r="N327" s="756" t="str">
        <f t="shared" si="126"/>
        <v/>
      </c>
    </row>
    <row r="328" spans="1:14">
      <c r="A328" s="228"/>
      <c r="C328" s="321"/>
      <c r="D328" s="973" t="s">
        <v>443</v>
      </c>
      <c r="E328" s="247"/>
      <c r="F328" s="1040"/>
      <c r="G328" s="268"/>
      <c r="H328" s="268"/>
      <c r="I328" s="326"/>
      <c r="J328" s="631"/>
      <c r="K328" s="755" t="str">
        <f t="shared" si="126"/>
        <v/>
      </c>
      <c r="L328" s="755" t="str">
        <f t="shared" si="126"/>
        <v/>
      </c>
      <c r="M328" s="755" t="str">
        <f t="shared" si="126"/>
        <v/>
      </c>
      <c r="N328" s="756" t="str">
        <f t="shared" si="126"/>
        <v/>
      </c>
    </row>
    <row r="329" spans="1:14">
      <c r="A329" s="228"/>
      <c r="C329" s="321"/>
      <c r="D329" s="973" t="s">
        <v>444</v>
      </c>
      <c r="E329" s="247"/>
      <c r="F329" s="1040"/>
      <c r="G329" s="268"/>
      <c r="H329" s="268"/>
      <c r="I329" s="326"/>
      <c r="J329" s="631"/>
      <c r="K329" s="755" t="str">
        <f t="shared" si="126"/>
        <v/>
      </c>
      <c r="L329" s="755" t="str">
        <f t="shared" si="126"/>
        <v/>
      </c>
      <c r="M329" s="755" t="str">
        <f t="shared" si="126"/>
        <v/>
      </c>
      <c r="N329" s="756" t="str">
        <f t="shared" si="126"/>
        <v/>
      </c>
    </row>
    <row r="330" spans="1:14">
      <c r="A330" s="228"/>
      <c r="C330" s="321"/>
      <c r="D330" s="973" t="s">
        <v>445</v>
      </c>
      <c r="E330" s="247"/>
      <c r="F330" s="1040"/>
      <c r="G330" s="268"/>
      <c r="H330" s="268"/>
      <c r="I330" s="326"/>
      <c r="J330" s="631"/>
      <c r="K330" s="755" t="str">
        <f t="shared" si="126"/>
        <v/>
      </c>
      <c r="L330" s="755" t="str">
        <f t="shared" si="126"/>
        <v/>
      </c>
      <c r="M330" s="755" t="str">
        <f t="shared" si="126"/>
        <v/>
      </c>
      <c r="N330" s="756" t="str">
        <f t="shared" si="126"/>
        <v/>
      </c>
    </row>
    <row r="331" spans="1:14">
      <c r="A331" s="228"/>
      <c r="C331" s="321"/>
      <c r="D331" s="973" t="s">
        <v>446</v>
      </c>
      <c r="E331" s="247"/>
      <c r="F331" s="1040"/>
      <c r="G331" s="268"/>
      <c r="H331" s="268"/>
      <c r="I331" s="326"/>
      <c r="J331" s="631"/>
      <c r="K331" s="755" t="str">
        <f t="shared" si="126"/>
        <v/>
      </c>
      <c r="L331" s="755" t="str">
        <f t="shared" si="126"/>
        <v/>
      </c>
      <c r="M331" s="755" t="str">
        <f t="shared" si="126"/>
        <v/>
      </c>
      <c r="N331" s="756" t="str">
        <f t="shared" si="126"/>
        <v/>
      </c>
    </row>
    <row r="332" spans="1:14">
      <c r="A332" s="228"/>
      <c r="C332" s="321"/>
      <c r="D332" s="973" t="s">
        <v>447</v>
      </c>
      <c r="E332" s="247"/>
      <c r="F332" s="1040"/>
      <c r="G332" s="268"/>
      <c r="H332" s="268"/>
      <c r="I332" s="326"/>
      <c r="J332" s="631"/>
      <c r="K332" s="755" t="str">
        <f t="shared" si="126"/>
        <v/>
      </c>
      <c r="L332" s="755" t="str">
        <f t="shared" si="126"/>
        <v/>
      </c>
      <c r="M332" s="755" t="str">
        <f t="shared" si="126"/>
        <v/>
      </c>
      <c r="N332" s="756" t="str">
        <f t="shared" si="126"/>
        <v/>
      </c>
    </row>
    <row r="333" spans="1:14">
      <c r="A333" s="228"/>
      <c r="C333" s="321"/>
      <c r="D333" s="973" t="s">
        <v>448</v>
      </c>
      <c r="E333" s="247"/>
      <c r="F333" s="1040"/>
      <c r="G333" s="268"/>
      <c r="H333" s="268"/>
      <c r="I333" s="326"/>
      <c r="J333" s="631"/>
      <c r="K333" s="755" t="str">
        <f t="shared" si="126"/>
        <v/>
      </c>
      <c r="L333" s="755" t="str">
        <f t="shared" si="126"/>
        <v/>
      </c>
      <c r="M333" s="755" t="str">
        <f t="shared" si="126"/>
        <v/>
      </c>
      <c r="N333" s="756" t="str">
        <f t="shared" si="126"/>
        <v/>
      </c>
    </row>
    <row r="334" spans="1:14" ht="14.25" thickBot="1">
      <c r="A334" s="332"/>
      <c r="B334" s="333"/>
      <c r="C334" s="334"/>
      <c r="D334" s="335" t="s">
        <v>449</v>
      </c>
      <c r="E334" s="336"/>
      <c r="F334" s="337"/>
      <c r="G334" s="338"/>
      <c r="H334" s="338"/>
      <c r="I334" s="339"/>
      <c r="J334" s="635"/>
      <c r="K334" s="819" t="str">
        <f t="shared" si="126"/>
        <v/>
      </c>
      <c r="L334" s="819" t="str">
        <f t="shared" si="126"/>
        <v/>
      </c>
      <c r="M334" s="819" t="str">
        <f t="shared" si="126"/>
        <v/>
      </c>
      <c r="N334" s="820" t="str">
        <f t="shared" si="126"/>
        <v/>
      </c>
    </row>
    <row r="335" spans="1:14">
      <c r="K335" s="364"/>
      <c r="L335" s="364"/>
      <c r="M335" s="364"/>
    </row>
    <row r="336" spans="1:14" ht="14.25" thickBot="1">
      <c r="A336" s="195" t="s">
        <v>213</v>
      </c>
      <c r="B336" s="198"/>
      <c r="C336" s="198"/>
      <c r="D336" s="198"/>
      <c r="E336" s="198"/>
      <c r="F336" s="198"/>
      <c r="G336" s="198"/>
      <c r="H336" s="198"/>
      <c r="I336" s="198"/>
      <c r="J336" s="198"/>
      <c r="K336" s="701"/>
      <c r="L336" s="701"/>
      <c r="M336" s="701"/>
    </row>
    <row r="337" spans="1:14">
      <c r="A337" s="226"/>
      <c r="B337" s="227"/>
      <c r="C337" s="227"/>
      <c r="D337" s="227"/>
      <c r="E337" s="227"/>
      <c r="F337" s="1144" t="s">
        <v>336</v>
      </c>
      <c r="G337" s="1145"/>
      <c r="H337" s="1145"/>
      <c r="I337" s="1145"/>
      <c r="J337" s="1025" t="s">
        <v>421</v>
      </c>
      <c r="K337" s="1026" t="s">
        <v>422</v>
      </c>
      <c r="L337" s="1026" t="s">
        <v>423</v>
      </c>
      <c r="M337" s="1026" t="s">
        <v>424</v>
      </c>
      <c r="N337" s="1027" t="s">
        <v>420</v>
      </c>
    </row>
    <row r="338" spans="1:14" ht="14.25" thickBot="1">
      <c r="A338" s="228"/>
      <c r="F338" s="229"/>
      <c r="G338" s="230" t="s">
        <v>347</v>
      </c>
      <c r="H338" s="231" t="s">
        <v>346</v>
      </c>
      <c r="I338" s="1028" t="s">
        <v>345</v>
      </c>
      <c r="J338" s="1029" t="s">
        <v>368</v>
      </c>
      <c r="K338" s="993" t="s">
        <v>371</v>
      </c>
      <c r="L338" s="993" t="s">
        <v>374</v>
      </c>
      <c r="M338" s="993" t="s">
        <v>377</v>
      </c>
      <c r="N338" s="1005" t="s">
        <v>380</v>
      </c>
    </row>
    <row r="339" spans="1:14">
      <c r="A339" s="226" t="s">
        <v>184</v>
      </c>
      <c r="B339" s="227"/>
      <c r="C339" s="340"/>
      <c r="D339" s="341" t="s">
        <v>185</v>
      </c>
      <c r="E339" s="342"/>
      <c r="F339" s="318"/>
      <c r="G339" s="948">
        <v>0.45500000000000002</v>
      </c>
      <c r="H339" s="948">
        <v>0.45500000000000002</v>
      </c>
      <c r="I339" s="949">
        <v>0.45500000000000002</v>
      </c>
      <c r="J339" s="950">
        <v>0.45500000000000002</v>
      </c>
      <c r="K339" s="951">
        <v>0.45500000000000002</v>
      </c>
      <c r="L339" s="951">
        <v>0.45500000000000002</v>
      </c>
      <c r="M339" s="952">
        <v>0.45500000000000002</v>
      </c>
      <c r="N339" s="953">
        <v>0.45500000000000002</v>
      </c>
    </row>
    <row r="340" spans="1:14">
      <c r="A340" s="228"/>
      <c r="D340" s="937" t="s">
        <v>186</v>
      </c>
      <c r="E340" s="938"/>
      <c r="F340" s="318"/>
      <c r="G340" s="948">
        <v>0.68500000000000005</v>
      </c>
      <c r="H340" s="948">
        <v>0.68500000000000005</v>
      </c>
      <c r="I340" s="949">
        <v>0.68500000000000005</v>
      </c>
      <c r="J340" s="950">
        <v>0.68500000000000005</v>
      </c>
      <c r="K340" s="951">
        <v>0.68500000000000005</v>
      </c>
      <c r="L340" s="951">
        <v>0.68500000000000005</v>
      </c>
      <c r="M340" s="952">
        <v>0.68500000000000005</v>
      </c>
      <c r="N340" s="953">
        <v>0.68500000000000005</v>
      </c>
    </row>
    <row r="341" spans="1:14">
      <c r="A341" s="228"/>
      <c r="C341" s="321"/>
      <c r="D341" s="937" t="s">
        <v>187</v>
      </c>
      <c r="E341" s="938"/>
      <c r="F341" s="318"/>
      <c r="G341" s="948">
        <v>0.69</v>
      </c>
      <c r="H341" s="948">
        <v>0.69</v>
      </c>
      <c r="I341" s="949">
        <v>0.69</v>
      </c>
      <c r="J341" s="950">
        <v>0.69</v>
      </c>
      <c r="K341" s="951">
        <v>0.69</v>
      </c>
      <c r="L341" s="951">
        <v>0.69</v>
      </c>
      <c r="M341" s="952">
        <v>0.69</v>
      </c>
      <c r="N341" s="953">
        <v>0.69</v>
      </c>
    </row>
    <row r="342" spans="1:14">
      <c r="A342" s="228"/>
      <c r="C342" s="321"/>
      <c r="D342" s="937" t="s">
        <v>188</v>
      </c>
      <c r="E342" s="938"/>
      <c r="F342" s="318"/>
      <c r="G342" s="948">
        <v>0.9</v>
      </c>
      <c r="H342" s="948">
        <v>0.9</v>
      </c>
      <c r="I342" s="949">
        <v>0.9</v>
      </c>
      <c r="J342" s="950">
        <v>0.9</v>
      </c>
      <c r="K342" s="951">
        <v>0.9</v>
      </c>
      <c r="L342" s="951">
        <v>0.9</v>
      </c>
      <c r="M342" s="952">
        <v>0.9</v>
      </c>
      <c r="N342" s="953">
        <v>0.9</v>
      </c>
    </row>
    <row r="343" spans="1:14">
      <c r="A343" s="228"/>
      <c r="C343" s="321"/>
      <c r="D343" s="937" t="s">
        <v>189</v>
      </c>
      <c r="E343" s="938"/>
      <c r="F343" s="318"/>
      <c r="G343" s="948">
        <v>1</v>
      </c>
      <c r="H343" s="948">
        <v>1</v>
      </c>
      <c r="I343" s="949">
        <v>1</v>
      </c>
      <c r="J343" s="950">
        <v>1</v>
      </c>
      <c r="K343" s="951">
        <v>1</v>
      </c>
      <c r="L343" s="951">
        <v>1</v>
      </c>
      <c r="M343" s="952">
        <v>1</v>
      </c>
      <c r="N343" s="953">
        <v>1</v>
      </c>
    </row>
    <row r="344" spans="1:14">
      <c r="A344" s="228"/>
      <c r="C344" s="321"/>
      <c r="D344" s="937" t="s">
        <v>190</v>
      </c>
      <c r="E344" s="938"/>
      <c r="F344" s="318"/>
      <c r="G344" s="948">
        <v>1.2</v>
      </c>
      <c r="H344" s="948">
        <v>1.2</v>
      </c>
      <c r="I344" s="949">
        <v>1.2</v>
      </c>
      <c r="J344" s="950">
        <v>1.2</v>
      </c>
      <c r="K344" s="951">
        <v>1.2</v>
      </c>
      <c r="L344" s="951">
        <v>1.2</v>
      </c>
      <c r="M344" s="952">
        <v>1.2</v>
      </c>
      <c r="N344" s="953">
        <v>1.2</v>
      </c>
    </row>
    <row r="345" spans="1:14">
      <c r="A345" s="228"/>
      <c r="C345" s="321"/>
      <c r="D345" s="937" t="s">
        <v>191</v>
      </c>
      <c r="E345" s="938"/>
      <c r="F345" s="318"/>
      <c r="G345" s="948">
        <v>1.3</v>
      </c>
      <c r="H345" s="948">
        <v>1.3</v>
      </c>
      <c r="I345" s="949">
        <v>1.3</v>
      </c>
      <c r="J345" s="950">
        <v>1.3</v>
      </c>
      <c r="K345" s="951">
        <v>1.3</v>
      </c>
      <c r="L345" s="951">
        <v>1.3</v>
      </c>
      <c r="M345" s="952">
        <v>1.3</v>
      </c>
      <c r="N345" s="953">
        <v>1.3</v>
      </c>
    </row>
    <row r="346" spans="1:14">
      <c r="A346" s="228"/>
      <c r="C346" s="321"/>
      <c r="D346" s="937" t="s">
        <v>192</v>
      </c>
      <c r="E346" s="938"/>
      <c r="F346" s="318"/>
      <c r="G346" s="948">
        <v>1.5</v>
      </c>
      <c r="H346" s="948">
        <v>1.5</v>
      </c>
      <c r="I346" s="949">
        <v>1.5</v>
      </c>
      <c r="J346" s="950">
        <v>1.5</v>
      </c>
      <c r="K346" s="951">
        <v>1.5</v>
      </c>
      <c r="L346" s="951">
        <v>1.5</v>
      </c>
      <c r="M346" s="952">
        <v>1.5</v>
      </c>
      <c r="N346" s="953">
        <v>1.5</v>
      </c>
    </row>
    <row r="347" spans="1:14">
      <c r="A347" s="228"/>
      <c r="C347" s="321"/>
      <c r="D347" s="937" t="s">
        <v>193</v>
      </c>
      <c r="E347" s="938"/>
      <c r="F347" s="318"/>
      <c r="G347" s="948">
        <v>1.7</v>
      </c>
      <c r="H347" s="948">
        <v>1.7</v>
      </c>
      <c r="I347" s="949">
        <v>1.7</v>
      </c>
      <c r="J347" s="950">
        <v>1.7</v>
      </c>
      <c r="K347" s="951">
        <v>1.7</v>
      </c>
      <c r="L347" s="951">
        <v>1.7</v>
      </c>
      <c r="M347" s="952">
        <v>1.7</v>
      </c>
      <c r="N347" s="953">
        <v>1.7</v>
      </c>
    </row>
    <row r="348" spans="1:14">
      <c r="A348" s="228"/>
      <c r="C348" s="321"/>
      <c r="D348" s="937" t="s">
        <v>165</v>
      </c>
      <c r="E348" s="938"/>
      <c r="F348" s="318"/>
      <c r="G348" s="948">
        <v>1.9</v>
      </c>
      <c r="H348" s="948">
        <v>1.9</v>
      </c>
      <c r="I348" s="949">
        <v>1.9</v>
      </c>
      <c r="J348" s="950">
        <v>1.9</v>
      </c>
      <c r="K348" s="951">
        <v>1.9</v>
      </c>
      <c r="L348" s="951">
        <v>1.9</v>
      </c>
      <c r="M348" s="952">
        <v>1.9</v>
      </c>
      <c r="N348" s="953">
        <v>1.9</v>
      </c>
    </row>
    <row r="349" spans="1:14">
      <c r="A349" s="228"/>
      <c r="C349" s="321"/>
      <c r="D349" s="937" t="s">
        <v>166</v>
      </c>
      <c r="E349" s="938"/>
      <c r="F349" s="318"/>
      <c r="G349" s="948">
        <v>2.1</v>
      </c>
      <c r="H349" s="948">
        <v>2.1</v>
      </c>
      <c r="I349" s="949">
        <v>2.1</v>
      </c>
      <c r="J349" s="950">
        <v>2.1</v>
      </c>
      <c r="K349" s="951">
        <v>2.1</v>
      </c>
      <c r="L349" s="951">
        <v>2.1</v>
      </c>
      <c r="M349" s="952">
        <v>2.1</v>
      </c>
      <c r="N349" s="953">
        <v>2.1</v>
      </c>
    </row>
    <row r="350" spans="1:14">
      <c r="A350" s="228"/>
      <c r="C350" s="321"/>
      <c r="D350" s="937" t="s">
        <v>167</v>
      </c>
      <c r="E350" s="938"/>
      <c r="F350" s="318"/>
      <c r="G350" s="948">
        <v>2.2999999999999998</v>
      </c>
      <c r="H350" s="948">
        <v>2.2999999999999998</v>
      </c>
      <c r="I350" s="949">
        <v>2.2999999999999998</v>
      </c>
      <c r="J350" s="950">
        <v>2.2999999999999998</v>
      </c>
      <c r="K350" s="951">
        <v>2.2999999999999998</v>
      </c>
      <c r="L350" s="951">
        <v>2.2999999999999998</v>
      </c>
      <c r="M350" s="952">
        <v>2.2999999999999998</v>
      </c>
      <c r="N350" s="953">
        <v>2.2999999999999998</v>
      </c>
    </row>
    <row r="351" spans="1:14">
      <c r="A351" s="228"/>
      <c r="C351" s="321"/>
      <c r="D351" s="937" t="s">
        <v>168</v>
      </c>
      <c r="E351" s="938"/>
      <c r="F351" s="318"/>
      <c r="G351" s="948">
        <v>2.4</v>
      </c>
      <c r="H351" s="948">
        <v>2.4</v>
      </c>
      <c r="I351" s="949">
        <v>2.4</v>
      </c>
      <c r="J351" s="950">
        <v>2.4</v>
      </c>
      <c r="K351" s="951">
        <v>2.4</v>
      </c>
      <c r="L351" s="951">
        <v>2.4</v>
      </c>
      <c r="M351" s="952">
        <v>2.4</v>
      </c>
      <c r="N351" s="953">
        <v>2.4</v>
      </c>
    </row>
    <row r="352" spans="1:14" hidden="1">
      <c r="A352" s="228"/>
      <c r="C352" s="321"/>
      <c r="D352" s="937"/>
      <c r="E352" s="938"/>
      <c r="F352" s="318"/>
      <c r="G352" s="939">
        <v>0</v>
      </c>
      <c r="H352" s="939">
        <v>0</v>
      </c>
      <c r="I352" s="940">
        <v>0</v>
      </c>
      <c r="J352" s="625">
        <v>0</v>
      </c>
      <c r="K352" s="821">
        <v>0</v>
      </c>
      <c r="L352" s="821">
        <v>0</v>
      </c>
      <c r="M352" s="876">
        <v>0</v>
      </c>
      <c r="N352" s="822">
        <v>0</v>
      </c>
    </row>
    <row r="353" spans="1:14" hidden="1">
      <c r="A353" s="228"/>
      <c r="C353" s="321"/>
      <c r="D353" s="937"/>
      <c r="E353" s="938"/>
      <c r="F353" s="318"/>
      <c r="G353" s="939">
        <v>0</v>
      </c>
      <c r="H353" s="939">
        <v>0</v>
      </c>
      <c r="I353" s="940">
        <v>0</v>
      </c>
      <c r="J353" s="625">
        <v>0</v>
      </c>
      <c r="K353" s="821">
        <v>0</v>
      </c>
      <c r="L353" s="821">
        <v>0</v>
      </c>
      <c r="M353" s="876">
        <v>0</v>
      </c>
      <c r="N353" s="822">
        <v>0</v>
      </c>
    </row>
    <row r="354" spans="1:14" hidden="1">
      <c r="A354" s="228"/>
      <c r="C354" s="321"/>
      <c r="D354" s="937"/>
      <c r="E354" s="938"/>
      <c r="F354" s="318"/>
      <c r="G354" s="939">
        <v>0</v>
      </c>
      <c r="H354" s="939">
        <v>0</v>
      </c>
      <c r="I354" s="940">
        <v>0</v>
      </c>
      <c r="J354" s="625">
        <v>0</v>
      </c>
      <c r="K354" s="821">
        <v>0</v>
      </c>
      <c r="L354" s="821">
        <v>0</v>
      </c>
      <c r="M354" s="876">
        <v>0</v>
      </c>
      <c r="N354" s="822">
        <v>0</v>
      </c>
    </row>
    <row r="355" spans="1:14" hidden="1">
      <c r="A355" s="228"/>
      <c r="C355" s="321"/>
      <c r="D355" s="937"/>
      <c r="E355" s="938"/>
      <c r="F355" s="318"/>
      <c r="G355" s="939">
        <v>0</v>
      </c>
      <c r="H355" s="939">
        <v>0</v>
      </c>
      <c r="I355" s="940">
        <v>0</v>
      </c>
      <c r="J355" s="625">
        <v>0</v>
      </c>
      <c r="K355" s="821">
        <v>0</v>
      </c>
      <c r="L355" s="821">
        <v>0</v>
      </c>
      <c r="M355" s="876">
        <v>0</v>
      </c>
      <c r="N355" s="822">
        <v>0</v>
      </c>
    </row>
    <row r="356" spans="1:14" hidden="1">
      <c r="A356" s="228"/>
      <c r="C356" s="321"/>
      <c r="D356" s="937"/>
      <c r="E356" s="938"/>
      <c r="F356" s="318"/>
      <c r="G356" s="939">
        <v>0</v>
      </c>
      <c r="H356" s="939">
        <v>0</v>
      </c>
      <c r="I356" s="940">
        <v>0</v>
      </c>
      <c r="J356" s="625">
        <v>0</v>
      </c>
      <c r="K356" s="821">
        <v>0</v>
      </c>
      <c r="L356" s="821">
        <v>0</v>
      </c>
      <c r="M356" s="876">
        <v>0</v>
      </c>
      <c r="N356" s="822">
        <v>0</v>
      </c>
    </row>
    <row r="357" spans="1:14" hidden="1">
      <c r="A357" s="228"/>
      <c r="C357" s="321"/>
      <c r="D357" s="937"/>
      <c r="E357" s="938"/>
      <c r="F357" s="318"/>
      <c r="G357" s="939">
        <v>0</v>
      </c>
      <c r="H357" s="939">
        <v>0</v>
      </c>
      <c r="I357" s="940">
        <v>0</v>
      </c>
      <c r="J357" s="625">
        <v>0</v>
      </c>
      <c r="K357" s="821">
        <v>0</v>
      </c>
      <c r="L357" s="821">
        <v>0</v>
      </c>
      <c r="M357" s="876">
        <v>0</v>
      </c>
      <c r="N357" s="822">
        <v>0</v>
      </c>
    </row>
    <row r="358" spans="1:14" hidden="1">
      <c r="A358" s="228"/>
      <c r="C358" s="321"/>
      <c r="D358" s="937"/>
      <c r="E358" s="938"/>
      <c r="F358" s="318"/>
      <c r="G358" s="939">
        <v>0</v>
      </c>
      <c r="H358" s="939">
        <v>0</v>
      </c>
      <c r="I358" s="940">
        <v>0</v>
      </c>
      <c r="J358" s="625">
        <v>0</v>
      </c>
      <c r="K358" s="821">
        <v>0</v>
      </c>
      <c r="L358" s="821">
        <v>0</v>
      </c>
      <c r="M358" s="876">
        <v>0</v>
      </c>
      <c r="N358" s="822">
        <v>0</v>
      </c>
    </row>
    <row r="359" spans="1:14" hidden="1">
      <c r="A359" s="228"/>
      <c r="C359" s="321"/>
      <c r="D359" s="937"/>
      <c r="E359" s="938"/>
      <c r="F359" s="318"/>
      <c r="G359" s="939">
        <v>0</v>
      </c>
      <c r="H359" s="939">
        <v>0</v>
      </c>
      <c r="I359" s="940">
        <v>0</v>
      </c>
      <c r="J359" s="625">
        <v>0</v>
      </c>
      <c r="K359" s="821">
        <v>0</v>
      </c>
      <c r="L359" s="821">
        <v>0</v>
      </c>
      <c r="M359" s="876">
        <v>0</v>
      </c>
      <c r="N359" s="822">
        <v>0</v>
      </c>
    </row>
    <row r="360" spans="1:14" hidden="1">
      <c r="A360" s="228"/>
      <c r="C360" s="321"/>
      <c r="D360" s="937"/>
      <c r="E360" s="938"/>
      <c r="F360" s="318"/>
      <c r="G360" s="939">
        <v>0</v>
      </c>
      <c r="H360" s="939">
        <v>0</v>
      </c>
      <c r="I360" s="940">
        <v>0</v>
      </c>
      <c r="J360" s="625">
        <v>0</v>
      </c>
      <c r="K360" s="821">
        <v>0</v>
      </c>
      <c r="L360" s="821">
        <v>0</v>
      </c>
      <c r="M360" s="876">
        <v>0</v>
      </c>
      <c r="N360" s="822">
        <v>0</v>
      </c>
    </row>
    <row r="361" spans="1:14" hidden="1">
      <c r="A361" s="228"/>
      <c r="C361" s="321"/>
      <c r="D361" s="937"/>
      <c r="E361" s="938"/>
      <c r="F361" s="318"/>
      <c r="G361" s="939">
        <v>0</v>
      </c>
      <c r="H361" s="939">
        <v>0</v>
      </c>
      <c r="I361" s="940">
        <v>0</v>
      </c>
      <c r="J361" s="625">
        <v>0</v>
      </c>
      <c r="K361" s="821">
        <v>0</v>
      </c>
      <c r="L361" s="821">
        <v>0</v>
      </c>
      <c r="M361" s="876">
        <v>0</v>
      </c>
      <c r="N361" s="822">
        <v>0</v>
      </c>
    </row>
    <row r="362" spans="1:14" hidden="1">
      <c r="A362" s="228"/>
      <c r="C362" s="321"/>
      <c r="D362" s="937"/>
      <c r="E362" s="938"/>
      <c r="F362" s="318"/>
      <c r="G362" s="939">
        <v>0</v>
      </c>
      <c r="H362" s="939">
        <v>0</v>
      </c>
      <c r="I362" s="940">
        <v>0</v>
      </c>
      <c r="J362" s="625">
        <v>0</v>
      </c>
      <c r="K362" s="821">
        <v>0</v>
      </c>
      <c r="L362" s="821">
        <v>0</v>
      </c>
      <c r="M362" s="876">
        <v>0</v>
      </c>
      <c r="N362" s="822">
        <v>0</v>
      </c>
    </row>
    <row r="363" spans="1:14" hidden="1">
      <c r="A363" s="228"/>
      <c r="C363" s="321"/>
      <c r="D363" s="937"/>
      <c r="E363" s="938"/>
      <c r="F363" s="318"/>
      <c r="G363" s="939">
        <v>0</v>
      </c>
      <c r="H363" s="939">
        <v>0</v>
      </c>
      <c r="I363" s="940">
        <v>0</v>
      </c>
      <c r="J363" s="625">
        <v>0</v>
      </c>
      <c r="K363" s="821">
        <v>0</v>
      </c>
      <c r="L363" s="821">
        <v>0</v>
      </c>
      <c r="M363" s="876">
        <v>0</v>
      </c>
      <c r="N363" s="822">
        <v>0</v>
      </c>
    </row>
    <row r="364" spans="1:14">
      <c r="A364" s="255" t="s">
        <v>194</v>
      </c>
      <c r="B364" s="256"/>
      <c r="C364" s="256"/>
      <c r="D364" s="937" t="s">
        <v>195</v>
      </c>
      <c r="E364" s="938"/>
      <c r="F364" s="941">
        <v>1200000</v>
      </c>
      <c r="G364" s="268"/>
      <c r="H364" s="268"/>
      <c r="I364" s="326"/>
      <c r="J364" s="626">
        <v>1200000</v>
      </c>
      <c r="K364" s="823">
        <v>1200000</v>
      </c>
      <c r="L364" s="823">
        <v>1200000</v>
      </c>
      <c r="M364" s="877">
        <v>1200000</v>
      </c>
      <c r="N364" s="824">
        <v>1200000</v>
      </c>
    </row>
    <row r="365" spans="1:14">
      <c r="A365" s="228"/>
      <c r="D365" s="937" t="s">
        <v>196</v>
      </c>
      <c r="E365" s="938"/>
      <c r="F365" s="941">
        <v>2100000</v>
      </c>
      <c r="G365" s="268"/>
      <c r="H365" s="268"/>
      <c r="I365" s="326"/>
      <c r="J365" s="626">
        <v>2100000</v>
      </c>
      <c r="K365" s="823">
        <v>2100000</v>
      </c>
      <c r="L365" s="823">
        <v>2100000</v>
      </c>
      <c r="M365" s="877">
        <v>2100000</v>
      </c>
      <c r="N365" s="824">
        <v>2100000</v>
      </c>
    </row>
    <row r="366" spans="1:14">
      <c r="A366" s="228"/>
      <c r="D366" s="937" t="s">
        <v>326</v>
      </c>
      <c r="E366" s="938"/>
      <c r="F366" s="941">
        <v>3200000</v>
      </c>
      <c r="G366" s="268"/>
      <c r="H366" s="268"/>
      <c r="I366" s="326"/>
      <c r="J366" s="626">
        <v>3200000</v>
      </c>
      <c r="K366" s="823">
        <v>3200000</v>
      </c>
      <c r="L366" s="823">
        <v>3200000</v>
      </c>
      <c r="M366" s="877">
        <v>3200000</v>
      </c>
      <c r="N366" s="824">
        <v>3200000</v>
      </c>
    </row>
    <row r="367" spans="1:14">
      <c r="A367" s="228"/>
      <c r="D367" s="937" t="s">
        <v>198</v>
      </c>
      <c r="E367" s="938"/>
      <c r="F367" s="941">
        <v>4200000</v>
      </c>
      <c r="G367" s="268"/>
      <c r="H367" s="268"/>
      <c r="I367" s="1030"/>
      <c r="J367" s="640">
        <v>4200000</v>
      </c>
      <c r="K367" s="640">
        <v>4200000</v>
      </c>
      <c r="L367" s="640">
        <v>4200000</v>
      </c>
      <c r="M367" s="640">
        <v>4200000</v>
      </c>
      <c r="N367" s="1031">
        <v>4200000</v>
      </c>
    </row>
    <row r="368" spans="1:14">
      <c r="A368" s="228"/>
      <c r="D368" s="937" t="s">
        <v>327</v>
      </c>
      <c r="E368" s="938"/>
      <c r="F368" s="941">
        <v>5200000</v>
      </c>
      <c r="G368" s="268"/>
      <c r="H368" s="268"/>
      <c r="I368" s="1030"/>
      <c r="J368" s="640">
        <v>5200000</v>
      </c>
      <c r="K368" s="640">
        <v>5200000</v>
      </c>
      <c r="L368" s="640">
        <v>5200000</v>
      </c>
      <c r="M368" s="640">
        <v>5200000</v>
      </c>
      <c r="N368" s="1031">
        <v>5200000</v>
      </c>
    </row>
    <row r="369" spans="1:14">
      <c r="A369" s="228"/>
      <c r="D369" s="937" t="s">
        <v>200</v>
      </c>
      <c r="E369" s="938"/>
      <c r="F369" s="941">
        <v>6200000</v>
      </c>
      <c r="G369" s="268"/>
      <c r="H369" s="268"/>
      <c r="I369" s="1030"/>
      <c r="J369" s="640">
        <v>6200000</v>
      </c>
      <c r="K369" s="640">
        <v>6200000</v>
      </c>
      <c r="L369" s="640">
        <v>6200000</v>
      </c>
      <c r="M369" s="640">
        <v>6200000</v>
      </c>
      <c r="N369" s="1031">
        <v>6200000</v>
      </c>
    </row>
    <row r="370" spans="1:14" ht="14.25" thickBot="1">
      <c r="A370" s="228"/>
      <c r="D370" s="937" t="s">
        <v>201</v>
      </c>
      <c r="E370" s="938"/>
      <c r="F370" s="941">
        <v>7200000</v>
      </c>
      <c r="G370" s="268"/>
      <c r="H370" s="268"/>
      <c r="I370" s="1030"/>
      <c r="J370" s="640">
        <v>7200000</v>
      </c>
      <c r="K370" s="640">
        <v>7200000</v>
      </c>
      <c r="L370" s="640">
        <v>7200000</v>
      </c>
      <c r="M370" s="640">
        <v>7200000</v>
      </c>
      <c r="N370" s="1031">
        <v>7200000</v>
      </c>
    </row>
    <row r="371" spans="1:14" hidden="1">
      <c r="A371" s="228"/>
      <c r="D371" s="937"/>
      <c r="E371" s="938"/>
      <c r="F371" s="941"/>
      <c r="G371" s="268"/>
      <c r="H371" s="268"/>
      <c r="I371" s="326"/>
      <c r="J371" s="626">
        <v>0</v>
      </c>
      <c r="K371" s="823">
        <v>0</v>
      </c>
      <c r="L371" s="823">
        <v>0</v>
      </c>
      <c r="M371" s="877">
        <v>0</v>
      </c>
      <c r="N371" s="824">
        <v>0</v>
      </c>
    </row>
    <row r="372" spans="1:14" hidden="1">
      <c r="A372" s="228"/>
      <c r="D372" s="937"/>
      <c r="E372" s="938"/>
      <c r="F372" s="941"/>
      <c r="G372" s="268"/>
      <c r="H372" s="268"/>
      <c r="I372" s="326"/>
      <c r="J372" s="626">
        <v>0</v>
      </c>
      <c r="K372" s="823">
        <v>0</v>
      </c>
      <c r="L372" s="823">
        <v>0</v>
      </c>
      <c r="M372" s="877">
        <v>0</v>
      </c>
      <c r="N372" s="824">
        <v>0</v>
      </c>
    </row>
    <row r="373" spans="1:14" hidden="1">
      <c r="A373" s="228"/>
      <c r="D373" s="937"/>
      <c r="E373" s="938"/>
      <c r="F373" s="941"/>
      <c r="G373" s="268"/>
      <c r="H373" s="268"/>
      <c r="I373" s="326"/>
      <c r="J373" s="626">
        <v>0</v>
      </c>
      <c r="K373" s="823">
        <v>0</v>
      </c>
      <c r="L373" s="823">
        <v>0</v>
      </c>
      <c r="M373" s="877">
        <v>0</v>
      </c>
      <c r="N373" s="824">
        <v>0</v>
      </c>
    </row>
    <row r="374" spans="1:14" hidden="1">
      <c r="A374" s="228"/>
      <c r="D374" s="937"/>
      <c r="E374" s="938"/>
      <c r="F374" s="941"/>
      <c r="G374" s="268"/>
      <c r="H374" s="268"/>
      <c r="I374" s="326"/>
      <c r="J374" s="626">
        <v>0</v>
      </c>
      <c r="K374" s="823">
        <v>0</v>
      </c>
      <c r="L374" s="823">
        <v>0</v>
      </c>
      <c r="M374" s="877">
        <v>0</v>
      </c>
      <c r="N374" s="824">
        <v>0</v>
      </c>
    </row>
    <row r="375" spans="1:14" hidden="1">
      <c r="A375" s="228"/>
      <c r="D375" s="937"/>
      <c r="E375" s="938"/>
      <c r="F375" s="941"/>
      <c r="G375" s="268"/>
      <c r="H375" s="268"/>
      <c r="I375" s="326"/>
      <c r="J375" s="626">
        <v>0</v>
      </c>
      <c r="K375" s="823">
        <v>0</v>
      </c>
      <c r="L375" s="823">
        <v>0</v>
      </c>
      <c r="M375" s="877">
        <v>0</v>
      </c>
      <c r="N375" s="824">
        <v>0</v>
      </c>
    </row>
    <row r="376" spans="1:14" hidden="1">
      <c r="A376" s="228"/>
      <c r="D376" s="937"/>
      <c r="E376" s="938"/>
      <c r="F376" s="941"/>
      <c r="G376" s="268"/>
      <c r="H376" s="268"/>
      <c r="I376" s="326"/>
      <c r="J376" s="626">
        <v>0</v>
      </c>
      <c r="K376" s="823">
        <v>0</v>
      </c>
      <c r="L376" s="823">
        <v>0</v>
      </c>
      <c r="M376" s="877">
        <v>0</v>
      </c>
      <c r="N376" s="824">
        <v>0</v>
      </c>
    </row>
    <row r="377" spans="1:14" hidden="1">
      <c r="A377" s="228"/>
      <c r="D377" s="937"/>
      <c r="E377" s="938"/>
      <c r="F377" s="941"/>
      <c r="G377" s="268"/>
      <c r="H377" s="268"/>
      <c r="I377" s="326"/>
      <c r="J377" s="626">
        <v>0</v>
      </c>
      <c r="K377" s="823">
        <v>0</v>
      </c>
      <c r="L377" s="823">
        <v>0</v>
      </c>
      <c r="M377" s="877">
        <v>0</v>
      </c>
      <c r="N377" s="824">
        <v>0</v>
      </c>
    </row>
    <row r="378" spans="1:14" hidden="1">
      <c r="A378" s="228"/>
      <c r="D378" s="937"/>
      <c r="E378" s="938"/>
      <c r="F378" s="941"/>
      <c r="G378" s="268"/>
      <c r="H378" s="268"/>
      <c r="I378" s="326"/>
      <c r="J378" s="626">
        <v>0</v>
      </c>
      <c r="K378" s="823">
        <v>0</v>
      </c>
      <c r="L378" s="823">
        <v>0</v>
      </c>
      <c r="M378" s="877">
        <v>0</v>
      </c>
      <c r="N378" s="824">
        <v>0</v>
      </c>
    </row>
    <row r="379" spans="1:14" hidden="1">
      <c r="A379" s="228"/>
      <c r="D379" s="937"/>
      <c r="E379" s="938"/>
      <c r="F379" s="941"/>
      <c r="G379" s="268"/>
      <c r="H379" s="268"/>
      <c r="I379" s="326"/>
      <c r="J379" s="626">
        <v>0</v>
      </c>
      <c r="K379" s="823">
        <v>0</v>
      </c>
      <c r="L379" s="823">
        <v>0</v>
      </c>
      <c r="M379" s="877">
        <v>0</v>
      </c>
      <c r="N379" s="824">
        <v>0</v>
      </c>
    </row>
    <row r="380" spans="1:14" hidden="1">
      <c r="A380" s="228"/>
      <c r="D380" s="937"/>
      <c r="E380" s="938"/>
      <c r="F380" s="941"/>
      <c r="G380" s="268"/>
      <c r="H380" s="268"/>
      <c r="I380" s="326"/>
      <c r="J380" s="626">
        <v>0</v>
      </c>
      <c r="K380" s="823">
        <v>0</v>
      </c>
      <c r="L380" s="823">
        <v>0</v>
      </c>
      <c r="M380" s="877">
        <v>0</v>
      </c>
      <c r="N380" s="824">
        <v>0</v>
      </c>
    </row>
    <row r="381" spans="1:14" hidden="1">
      <c r="A381" s="228"/>
      <c r="D381" s="937"/>
      <c r="E381" s="938"/>
      <c r="F381" s="941"/>
      <c r="G381" s="268"/>
      <c r="H381" s="268"/>
      <c r="I381" s="326"/>
      <c r="J381" s="626">
        <v>0</v>
      </c>
      <c r="K381" s="823">
        <v>0</v>
      </c>
      <c r="L381" s="823">
        <v>0</v>
      </c>
      <c r="M381" s="877">
        <v>0</v>
      </c>
      <c r="N381" s="824">
        <v>0</v>
      </c>
    </row>
    <row r="382" spans="1:14" ht="14.25" hidden="1" thickBot="1">
      <c r="A382" s="332"/>
      <c r="B382" s="333"/>
      <c r="C382" s="333"/>
      <c r="D382" s="343"/>
      <c r="E382" s="344"/>
      <c r="F382" s="345"/>
      <c r="G382" s="338"/>
      <c r="H382" s="338"/>
      <c r="I382" s="339"/>
      <c r="J382" s="627">
        <v>0</v>
      </c>
      <c r="K382" s="825">
        <v>0</v>
      </c>
      <c r="L382" s="825">
        <v>0</v>
      </c>
      <c r="M382" s="878">
        <v>0</v>
      </c>
      <c r="N382" s="826">
        <v>0</v>
      </c>
    </row>
    <row r="383" spans="1:14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</row>
  </sheetData>
  <mergeCells count="17">
    <mergeCell ref="F10:F11"/>
    <mergeCell ref="F24:F25"/>
    <mergeCell ref="F39:F40"/>
    <mergeCell ref="L39:L40"/>
    <mergeCell ref="F337:I337"/>
    <mergeCell ref="F109:I109"/>
    <mergeCell ref="B254:E254"/>
    <mergeCell ref="B255:E255"/>
    <mergeCell ref="F66:I66"/>
    <mergeCell ref="F258:I258"/>
    <mergeCell ref="B75:E75"/>
    <mergeCell ref="C71:E71"/>
    <mergeCell ref="B170:E170"/>
    <mergeCell ref="B212:E212"/>
    <mergeCell ref="C73:E73"/>
    <mergeCell ref="C74:E74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65" xr:uid="{00000000-0002-0000-0400-000000000000}">
      <formula1>AND(G264&lt;G265,G265&lt;G266)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5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48"/>
  <sheetViews>
    <sheetView view="pageBreakPreview" zoomScale="85" zoomScaleNormal="100" zoomScaleSheetLayoutView="85" workbookViewId="0"/>
  </sheetViews>
  <sheetFormatPr defaultColWidth="9" defaultRowHeight="11.25"/>
  <cols>
    <col min="1" max="1" customWidth="true" style="827" width="2.625" collapsed="false"/>
    <col min="2" max="2" customWidth="true" style="827" width="4.25" collapsed="false"/>
    <col min="3" max="3" customWidth="true" style="827" width="46.75" collapsed="false"/>
    <col min="4" max="11" customWidth="true" style="827" width="13.0" collapsed="false"/>
    <col min="12" max="12" customWidth="true" style="827" width="1.625" collapsed="false"/>
    <col min="13" max="16384" style="827" width="9.0" collapsed="false"/>
  </cols>
  <sheetData>
    <row r="1" spans="2:11">
      <c r="B1" s="827" t="s">
        <v>119</v>
      </c>
    </row>
    <row r="2" spans="2:11" ht="12" thickBot="1"/>
    <row r="3" spans="2:11" ht="18.75" customHeight="1">
      <c r="D3" s="1032" t="s">
        <v>425</v>
      </c>
      <c r="E3" s="1026" t="s">
        <v>421</v>
      </c>
      <c r="F3" s="1026" t="s">
        <v>422</v>
      </c>
      <c r="G3" s="1026" t="s">
        <v>423</v>
      </c>
      <c r="H3" s="1026" t="s">
        <v>424</v>
      </c>
      <c r="I3" s="1027" t="s">
        <v>420</v>
      </c>
    </row>
    <row r="4" spans="2:11" ht="18.75" customHeight="1" thickBot="1">
      <c r="D4" s="1033" t="s">
        <v>429</v>
      </c>
      <c r="E4" s="1034" t="s">
        <v>368</v>
      </c>
      <c r="F4" s="993" t="s">
        <v>371</v>
      </c>
      <c r="G4" s="993" t="s">
        <v>374</v>
      </c>
      <c r="H4" s="993" t="s">
        <v>377</v>
      </c>
      <c r="I4" s="1005" t="s">
        <v>380</v>
      </c>
    </row>
    <row r="5" spans="2:11" ht="18.75" customHeight="1" thickBot="1">
      <c r="C5" s="109" t="s">
        <v>222</v>
      </c>
      <c r="D5" s="110">
        <v>0.23</v>
      </c>
      <c r="E5" s="614">
        <v>0.24</v>
      </c>
      <c r="F5" s="614">
        <v>0.25</v>
      </c>
      <c r="G5" s="614">
        <v>0.26</v>
      </c>
      <c r="H5" s="614">
        <v>0.27</v>
      </c>
      <c r="I5" s="111">
        <v>0.28000000000000003</v>
      </c>
    </row>
    <row r="6" spans="2:11" ht="12" thickBot="1"/>
    <row r="7" spans="2:11" ht="18.75" customHeight="1" thickBot="1">
      <c r="B7" s="827" t="s">
        <v>412</v>
      </c>
      <c r="D7" s="1074" t="s">
        <v>425</v>
      </c>
      <c r="E7" s="1098"/>
      <c r="F7" s="1098"/>
      <c r="G7" s="1025" t="s">
        <v>421</v>
      </c>
      <c r="H7" s="1026" t="s">
        <v>422</v>
      </c>
      <c r="I7" s="1026" t="s">
        <v>423</v>
      </c>
      <c r="J7" s="1026" t="s">
        <v>424</v>
      </c>
      <c r="K7" s="1027" t="s">
        <v>420</v>
      </c>
    </row>
    <row r="8" spans="2:11" ht="18.75" customHeight="1" thickBot="1">
      <c r="C8" s="674"/>
      <c r="D8" s="1004" t="s">
        <v>426</v>
      </c>
      <c r="E8" s="993" t="s">
        <v>427</v>
      </c>
      <c r="F8" s="1035" t="s">
        <v>428</v>
      </c>
      <c r="G8" s="1036" t="s">
        <v>368</v>
      </c>
      <c r="H8" s="993" t="s">
        <v>371</v>
      </c>
      <c r="I8" s="993" t="s">
        <v>374</v>
      </c>
      <c r="J8" s="993" t="s">
        <v>377</v>
      </c>
      <c r="K8" s="1005" t="s">
        <v>380</v>
      </c>
    </row>
    <row r="9" spans="2:11" ht="18.75" customHeight="1">
      <c r="C9" s="675" t="s">
        <v>120</v>
      </c>
      <c r="D9" s="672">
        <v>0.43120000000000003</v>
      </c>
      <c r="E9" s="151">
        <v>0.41660000000000003</v>
      </c>
      <c r="F9" s="151">
        <v>0.40760000000000002</v>
      </c>
      <c r="G9" s="151">
        <v>0.39460000000000001</v>
      </c>
      <c r="H9" s="151">
        <v>0.41560000000000002</v>
      </c>
      <c r="I9" s="151">
        <v>0.44490000000000002</v>
      </c>
      <c r="J9" s="885">
        <v>0.43769999999999998</v>
      </c>
      <c r="K9" s="881">
        <v>0.40620000000000001</v>
      </c>
    </row>
    <row r="10" spans="2:11" ht="18.75" customHeight="1">
      <c r="C10" s="676" t="s">
        <v>258</v>
      </c>
      <c r="D10" s="673">
        <v>0.38250000000000001</v>
      </c>
      <c r="E10" s="114">
        <v>0.39240000000000003</v>
      </c>
      <c r="F10" s="114">
        <v>0.39510000000000001</v>
      </c>
      <c r="G10" s="114">
        <v>0.38979999999999998</v>
      </c>
      <c r="H10" s="114">
        <v>0.33300000000000002</v>
      </c>
      <c r="I10" s="114">
        <v>0.31030000000000002</v>
      </c>
      <c r="J10" s="886">
        <v>0.33279999999999998</v>
      </c>
      <c r="K10" s="882">
        <v>0.3669</v>
      </c>
    </row>
    <row r="11" spans="2:11" ht="18.75" customHeight="1">
      <c r="C11" s="676" t="s">
        <v>259</v>
      </c>
      <c r="D11" s="673">
        <v>0.18629999999999999</v>
      </c>
      <c r="E11" s="114">
        <v>0.191</v>
      </c>
      <c r="F11" s="114">
        <v>0.1973</v>
      </c>
      <c r="G11" s="114">
        <v>0.2157</v>
      </c>
      <c r="H11" s="114">
        <v>0.25130000000000002</v>
      </c>
      <c r="I11" s="114">
        <v>0.24479999999999999</v>
      </c>
      <c r="J11" s="886">
        <v>0.22950000000000001</v>
      </c>
      <c r="K11" s="882">
        <v>0.22700000000000001</v>
      </c>
    </row>
    <row r="12" spans="2:11" ht="18.75" customHeight="1">
      <c r="C12" s="828" t="s">
        <v>266</v>
      </c>
      <c r="D12" s="829">
        <v>4296</v>
      </c>
      <c r="E12" s="830">
        <v>4296</v>
      </c>
      <c r="F12" s="830">
        <v>4296</v>
      </c>
      <c r="G12" s="830">
        <v>4296</v>
      </c>
      <c r="H12" s="830">
        <v>4296</v>
      </c>
      <c r="I12" s="830">
        <v>4296</v>
      </c>
      <c r="J12" s="830">
        <v>4296</v>
      </c>
      <c r="K12" s="883">
        <v>4296</v>
      </c>
    </row>
    <row r="13" spans="2:11" ht="18.75" customHeight="1">
      <c r="C13" s="828" t="s">
        <v>267</v>
      </c>
      <c r="D13" s="829">
        <v>17647</v>
      </c>
      <c r="E13" s="830">
        <v>17647</v>
      </c>
      <c r="F13" s="830">
        <v>17647</v>
      </c>
      <c r="G13" s="830">
        <v>17647</v>
      </c>
      <c r="H13" s="830">
        <v>17647</v>
      </c>
      <c r="I13" s="830">
        <v>17647</v>
      </c>
      <c r="J13" s="830">
        <v>17647</v>
      </c>
      <c r="K13" s="883">
        <v>17647</v>
      </c>
    </row>
    <row r="14" spans="2:11" ht="18.75" customHeight="1" thickBot="1">
      <c r="C14" s="831" t="s">
        <v>268</v>
      </c>
      <c r="D14" s="832">
        <v>80362</v>
      </c>
      <c r="E14" s="833">
        <v>80362</v>
      </c>
      <c r="F14" s="833">
        <v>80362</v>
      </c>
      <c r="G14" s="833">
        <v>80362</v>
      </c>
      <c r="H14" s="833">
        <v>80362</v>
      </c>
      <c r="I14" s="833">
        <v>80362</v>
      </c>
      <c r="J14" s="833">
        <v>80362</v>
      </c>
      <c r="K14" s="884">
        <v>80362</v>
      </c>
    </row>
    <row r="16" spans="2:11" ht="18.75" customHeight="1" thickBot="1">
      <c r="B16" s="827" t="s">
        <v>413</v>
      </c>
      <c r="D16" s="112"/>
    </row>
    <row r="17" spans="3:4" ht="18.75" customHeight="1">
      <c r="C17" s="116" t="s">
        <v>121</v>
      </c>
      <c r="D17" s="836">
        <v>0.1749</v>
      </c>
    </row>
    <row r="18" spans="3:4" ht="18.75" customHeight="1">
      <c r="C18" s="113" t="s">
        <v>122</v>
      </c>
      <c r="D18" s="837">
        <v>9.6699999999999994E-2</v>
      </c>
    </row>
    <row r="19" spans="3:4" ht="18.75" customHeight="1">
      <c r="C19" s="113" t="s">
        <v>123</v>
      </c>
      <c r="D19" s="837">
        <v>8.6400000000000005E-2</v>
      </c>
    </row>
    <row r="20" spans="3:4" ht="18.75" customHeight="1">
      <c r="C20" s="113" t="s">
        <v>124</v>
      </c>
      <c r="D20" s="837">
        <v>0.1074</v>
      </c>
    </row>
    <row r="21" spans="3:4" ht="18.75" customHeight="1">
      <c r="C21" s="113" t="s">
        <v>125</v>
      </c>
      <c r="D21" s="837">
        <v>0.14050000000000001</v>
      </c>
    </row>
    <row r="22" spans="3:4" ht="18.75" customHeight="1">
      <c r="C22" s="113" t="s">
        <v>126</v>
      </c>
      <c r="D22" s="837">
        <v>0.1333</v>
      </c>
    </row>
    <row r="23" spans="3:4" ht="18.75" customHeight="1">
      <c r="C23" s="113" t="s">
        <v>127</v>
      </c>
      <c r="D23" s="837">
        <v>0.1361</v>
      </c>
    </row>
    <row r="24" spans="3:4" ht="18.75" customHeight="1">
      <c r="C24" s="113" t="s">
        <v>128</v>
      </c>
      <c r="D24" s="837">
        <v>6.0999999999999999E-2</v>
      </c>
    </row>
    <row r="25" spans="3:4" ht="18.75" customHeight="1">
      <c r="C25" s="113" t="s">
        <v>129</v>
      </c>
      <c r="D25" s="943">
        <v>2.41E-2</v>
      </c>
    </row>
    <row r="26" spans="3:4" ht="18.75" customHeight="1">
      <c r="C26" s="113" t="s">
        <v>323</v>
      </c>
      <c r="D26" s="943">
        <v>1.15E-2</v>
      </c>
    </row>
    <row r="27" spans="3:4" ht="18.75" customHeight="1">
      <c r="C27" s="113" t="s">
        <v>324</v>
      </c>
      <c r="D27" s="943">
        <v>6.1000000000000004E-3</v>
      </c>
    </row>
    <row r="28" spans="3:4" ht="18.75" customHeight="1">
      <c r="C28" s="113" t="s">
        <v>334</v>
      </c>
      <c r="D28" s="943">
        <v>3.8999999999999998E-3</v>
      </c>
    </row>
    <row r="29" spans="3:4" ht="18.75" customHeight="1">
      <c r="C29" s="942" t="s">
        <v>333</v>
      </c>
      <c r="D29" s="943">
        <v>1.8100000000000002E-2</v>
      </c>
    </row>
    <row r="30" spans="3:4" ht="18.75" hidden="1" customHeight="1">
      <c r="C30" s="942"/>
      <c r="D30" s="943"/>
    </row>
    <row r="31" spans="3:4" ht="18.75" hidden="1" customHeight="1">
      <c r="C31" s="942"/>
      <c r="D31" s="943"/>
    </row>
    <row r="32" spans="3:4" ht="18.75" hidden="1" customHeight="1">
      <c r="C32" s="942"/>
      <c r="D32" s="943"/>
    </row>
    <row r="33" spans="2:4" ht="18.75" hidden="1" customHeight="1">
      <c r="C33" s="942"/>
      <c r="D33" s="943"/>
    </row>
    <row r="34" spans="2:4" ht="18.75" hidden="1" customHeight="1">
      <c r="C34" s="942"/>
      <c r="D34" s="943"/>
    </row>
    <row r="35" spans="2:4" ht="18.75" hidden="1" customHeight="1">
      <c r="C35" s="942"/>
      <c r="D35" s="943"/>
    </row>
    <row r="36" spans="2:4" ht="18.75" hidden="1" customHeight="1">
      <c r="C36" s="942"/>
      <c r="D36" s="943"/>
    </row>
    <row r="37" spans="2:4" ht="18.75" hidden="1" customHeight="1">
      <c r="C37" s="942"/>
      <c r="D37" s="943"/>
    </row>
    <row r="38" spans="2:4" ht="18.75" hidden="1" customHeight="1">
      <c r="C38" s="942"/>
      <c r="D38" s="943"/>
    </row>
    <row r="39" spans="2:4" ht="18.75" hidden="1" customHeight="1">
      <c r="C39" s="942"/>
      <c r="D39" s="943"/>
    </row>
    <row r="40" spans="2:4" ht="18.75" hidden="1" customHeight="1">
      <c r="C40" s="942"/>
      <c r="D40" s="943"/>
    </row>
    <row r="41" spans="2:4" ht="18.75" hidden="1" customHeight="1" thickBot="1">
      <c r="C41" s="115"/>
      <c r="D41" s="838"/>
    </row>
    <row r="42" spans="2:4">
      <c r="C42" s="944"/>
      <c r="D42" s="944"/>
    </row>
    <row r="43" spans="2:4" ht="18.75" customHeight="1" thickBot="1">
      <c r="B43" s="827" t="s">
        <v>223</v>
      </c>
      <c r="D43" s="112"/>
    </row>
    <row r="44" spans="2:4" ht="18.75" customHeight="1">
      <c r="C44" s="117" t="s">
        <v>331</v>
      </c>
      <c r="D44" s="118">
        <v>1</v>
      </c>
    </row>
    <row r="45" spans="2:4" ht="18.75" customHeight="1" thickBot="1">
      <c r="C45" s="119" t="s">
        <v>332</v>
      </c>
      <c r="D45" s="120">
        <v>1</v>
      </c>
    </row>
    <row r="47" spans="2:4" ht="18.75" customHeight="1" thickBot="1">
      <c r="B47" s="834"/>
      <c r="D47" s="112"/>
    </row>
    <row r="48" spans="2:4" ht="36" customHeight="1" thickBot="1">
      <c r="C48" s="121" t="s">
        <v>130</v>
      </c>
      <c r="D48" s="122">
        <v>95</v>
      </c>
    </row>
  </sheetData>
  <mergeCells count="1">
    <mergeCell ref="D7:F7"/>
  </mergeCells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ビジネスパートナー ００７</cp:lastModifiedBy>
  <cp:lastPrinted>2023-03-02T06:26:57Z</cp:lastPrinted>
  <dcterms:modified xsi:type="dcterms:W3CDTF">2026-08-06T07:48:59Z</dcterms:modified>
</cp:coreProperties>
</file>