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yowa\Downloads\"/>
    </mc:Choice>
  </mc:AlternateContent>
  <xr:revisionPtr revIDLastSave="0" documentId="13_ncr:1_{22536368-8364-4D83-A747-FB9402D0B4A2}" xr6:coauthVersionLast="47" xr6:coauthVersionMax="47" xr10:uidLastSave="{00000000-0000-0000-0000-000000000000}"/>
  <bookViews>
    <workbookView xWindow="-90" yWindow="-90" windowWidth="19380" windowHeight="10260" activeTab="3" xr2:uid="{00000000-000D-0000-FFFF-FFFF00000000}"/>
  </bookViews>
  <sheets>
    <sheet name="00_管理方法" sheetId="1" r:id="rId1"/>
    <sheet name="01_業務内容別の進捗" sheetId="2" r:id="rId2"/>
    <sheet name="02_月別工程管理" sheetId="3" r:id="rId3"/>
    <sheet name="03_確認事項一覧" sheetId="4" r:id="rId4"/>
    <sheet name="04_成果品管理" sheetId="5" r:id="rId5"/>
    <sheet name="05_調査別の状況" sheetId="6" r:id="rId6"/>
    <sheet name="06_資料提供依頼一覧" sheetId="7" r:id="rId7"/>
    <sheet name="07_ペンディング整理" sheetId="8" r:id="rId8"/>
    <sheet name="08_作業順位" sheetId="9" r:id="rId9"/>
  </sheets>
  <definedNames>
    <definedName name="_xlnm._FilterDatabase" localSheetId="3" hidden="1">'03_確認事項一覧'!$A$4:$J$173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7" l="1"/>
  <c r="B47" i="7"/>
  <c r="B46" i="7"/>
  <c r="B45" i="7"/>
  <c r="B17" i="5"/>
  <c r="B16" i="5"/>
  <c r="B15" i="5"/>
  <c r="B14" i="5"/>
  <c r="B13" i="5"/>
  <c r="B176" i="4"/>
  <c r="B21" i="3"/>
  <c r="B20" i="3"/>
  <c r="B19" i="3"/>
  <c r="B18" i="3"/>
  <c r="B17" i="3"/>
  <c r="G14" i="2"/>
</calcChain>
</file>

<file path=xl/sharedStrings.xml><?xml version="1.0" encoding="utf-8"?>
<sst xmlns="http://schemas.openxmlformats.org/spreadsheetml/2006/main" count="3788" uniqueCount="1762">
  <si>
    <t>川崎町高齢者保健福祉計画・第10期介護保険事業計画策定業務　業務工程管理表</t>
  </si>
  <si>
    <t>本業務の工程を、業務内容別の進捗、月別工程、確認事項、成果品、調査及び資料提供依頼の6区分により管理する。業務区分は委託仕様書（保介第41号・令和8年4月23日）の「6．業務内容」（1）〜（8）に準拠し、成果品は同「8．成果品」に準拠する。様式は同種の計画策定業務の業務工程管理表による。</t>
  </si>
  <si>
    <t>項目</t>
  </si>
  <si>
    <t>内容</t>
  </si>
  <si>
    <t>業務名</t>
  </si>
  <si>
    <t>令和8年度施行　川崎町高齢者保健福祉計画・第10期介護保険事業計画策定業務</t>
  </si>
  <si>
    <t>委託仕様書</t>
  </si>
  <si>
    <t>保介第41号（令和8年4月23日）　※09_元資料に格納</t>
  </si>
  <si>
    <t>発注者</t>
  </si>
  <si>
    <t>川崎町（宮城県柴田郡）保健福祉課／入札担当：大宮こずえ様（電話0224-84-6008）</t>
  </si>
  <si>
    <t>受託者</t>
  </si>
  <si>
    <t>ビズアップ公共コンサルティング株式会社 札幌事業所／主担当：若山</t>
  </si>
  <si>
    <t>委託期間</t>
  </si>
  <si>
    <t>契約日の翌日から令和9年3月15日まで（仕様書2）</t>
  </si>
  <si>
    <t>計画期間</t>
  </si>
  <si>
    <t>令和9〜11年度（3年間）（仕様書3）</t>
  </si>
  <si>
    <t>予定価格</t>
  </si>
  <si>
    <t>6,700千円（税抜）　※開札 令和8年5月14日</t>
  </si>
  <si>
    <t>納入場所</t>
  </si>
  <si>
    <t>川崎町保健福祉課（仕様書9）</t>
  </si>
  <si>
    <t>支払方法</t>
  </si>
  <si>
    <t>業務完了、請求書受領後1ヶ月以内に一括払い（仕様書10）</t>
  </si>
  <si>
    <t>基準日</t>
  </si>
  <si>
    <t>令和8年10月4日　本表の記載は同日時点のもの。計画素案 Ver.2.10（制度改正補完版・666段落127表・全112頁・図10点）、圧縮案 v2.10c（本文105頁）と別冊 詳細分析（9頁）、第2回策定委員会資料 v7、想定問答集 v4（全44問）、概要版の下書き（6頁・図8点）、策定委員会 逆算工程表（6シート）、第9期 計画値実績対比表（8シート）、事業の内容の出所（2シート）、調査報告書3文書（納品前処理済み）、公表版への整理、概要版 構成案、資料編の3表、図表データ管理台帳（17シート・図10点）まで作成済み。点検は、素案の自己点検32件・保険料の検算39項目・書体の点検13件・図表の自己点検10件・委員会資料の自己点検27件・8軸の網羅性51事項がいずれも適合（未実施8件は別に数えている）。確認事項は164件のうち19件が決着し、145件が未決着。</t>
  </si>
  <si>
    <t>No.</t>
  </si>
  <si>
    <t>シート</t>
  </si>
  <si>
    <t>更新の頻度と担当</t>
  </si>
  <si>
    <t>01_業務内容別の進捗</t>
  </si>
  <si>
    <t>仕様書6（1）〜（8）の8業務について、仕様書の要求・作業項目・成果物・進捗・未了の理由を管理する。末尾に全体進捗（単純平均）を算出する。</t>
  </si>
  <si>
    <t>受託者が随時更新。工程末に発注者が確認</t>
  </si>
  <si>
    <t>02_月別工程管理</t>
  </si>
  <si>
    <t>令和8年6月から令和9年3月までの月別工程について、各月末に提出する成果物と発注者の確認欄を設ける。</t>
  </si>
  <si>
    <t>受託者が月次更新。確認欄は発注者が記入</t>
  </si>
  <si>
    <t>03_確認事項一覧</t>
  </si>
  <si>
    <t>発注者・国への確認事項を、業務工程及び止めている成果物に紐づけて一覧化する。</t>
  </si>
  <si>
    <t>受託者が随時追加。回答欄は発注者が記入</t>
  </si>
  <si>
    <t>04_成果品管理</t>
  </si>
  <si>
    <t>仕様書8が定める6種の成果品について、現在のファイル・稿、仕様、状態、進捗を管理する。</t>
  </si>
  <si>
    <t>受託者が随時更新</t>
  </si>
  <si>
    <t>05_調査別の状況</t>
  </si>
  <si>
    <t>仕様書6（1）の調査（一般高齢者1,000人・認定者300人）について、設問設計から計画への反映までの7段階の到達状況を管理する。</t>
  </si>
  <si>
    <t>06_資料提供依頼一覧</t>
  </si>
  <si>
    <t>業務の遂行に必要な資料を、領域別・優先度別に一覧化する。</t>
  </si>
  <si>
    <t>受託者が随時追加。状態欄は受領時に更新</t>
  </si>
  <si>
    <t>区分</t>
  </si>
  <si>
    <t>意味</t>
  </si>
  <si>
    <t>色</t>
  </si>
  <si>
    <t>完了</t>
  </si>
  <si>
    <t>当該項目の作業が終わり、成果物を提出済み又は提出可能な状態にある</t>
  </si>
  <si>
    <t>実施中</t>
  </si>
  <si>
    <t>着手しているが完了していない</t>
  </si>
  <si>
    <t>確認待ち</t>
  </si>
  <si>
    <t>受託者の作業は終わっており、発注者・国からの回答又は資料の提供を待っている</t>
  </si>
  <si>
    <t>未着手</t>
  </si>
  <si>
    <t>工程上まだ着手していない、又は前提条件が整っていない</t>
  </si>
  <si>
    <t>対象外</t>
  </si>
  <si>
    <t>本業務の範囲外、又は該当がない</t>
  </si>
  <si>
    <t>【本表の位置づけ】計画素案の本文には、確認事項や仮置きの数値をそのまま記載していない。確定していない事項は本表の03シート及び06シートで管理し、確定した時点で本文及び保険料試算ワークブックに反映する。保険料試算ワークブックの黄色セルは、本表03シートのNo.9〜11と対応する。</t>
  </si>
  <si>
    <t>【委員会の名称について】仕様書6（3）は「策定委員会」と表記している。一方、第9期計画書は審議組織を介護保険条例第17条に基づく常設の「介護保険運営委員会」と表記している（本文中17回）。計画素案v1.6は第9期計画との整合を優先して「介護保険運営委員会」に統一済み（20箇所）であるが、仕様書の表記とは一致していない。第10期において新たに策定委員会を設置するのか、既存の介護保険運営委員会に諮るのかにより計画書本文・委員会資料・資料編の表記が変わるため、発注者の確認を要する（03シート 確認事項No.6）。</t>
  </si>
  <si>
    <t>【仕様書に規定のない業務】パブリックコメントの実施支援、介護保険条例の改正案の作成支援及び認知症の本人・家族の意見聴取は、仕様書の業務内容に規定がない。本業務の範囲として実施するか、仕様書11「その他」による協議事項として取り扱うかについて発注者の確認を要する（03シート 確認事項No.19）。</t>
  </si>
  <si>
    <t>【保険料の取扱い】保険料は断定を避け、基金取崩額を変動要因とする3パターン（A取崩なし／B50%取崩／C全額取崩）で提示する。現時点の暫定値はA=7,632円／B=7,384円／C=7,137円（第9期6,500円比 +9.8〜17.4%）であり、03シートNo.9〜11の確定により基準額が確定する。6,500円の据置は基金が第10期中に枯渇するため財源的に維持困難である。</t>
  </si>
  <si>
    <t>【現時点の全体状況（令和8年6月）】計画素案はv1.6（44頁）まで作成し、保険料推計の枠組み（8ステップ・11シート）も構築を終えている。一方、仕様書6（2）の発送準備（印刷・封筒・封入・宛名ラベル貼付）、6（4）の関連施策評価調査シート、6（1）の調査報告書（80頁程度・5部）はいずれも未着手であり、成果品の計画書は100頁程度・概要版は8頁程度3,500部と定められている。</t>
  </si>
  <si>
    <t>仕様書6　業務内容別の進捗</t>
  </si>
  <si>
    <t>委託仕様書（保介第41号）「6．業務内容」（1）〜（8）ごとに、仕様書の要求・作業項目・成果物・状態・進捗・未了の理由を管理する。進捗は当該業務の作業項目のうち完了したものの割合を受託者が判断して記入する。確認事項No.は03シートの番号に対応する。</t>
  </si>
  <si>
    <t>業務内容（仕様書6）</t>
  </si>
  <si>
    <t>仕様書の要求</t>
  </si>
  <si>
    <t>作業項目</t>
  </si>
  <si>
    <t>成果物</t>
  </si>
  <si>
    <t>状態</t>
  </si>
  <si>
    <t>進捗</t>
  </si>
  <si>
    <t>完了予定</t>
  </si>
  <si>
    <t>未了の理由・次の作業</t>
  </si>
  <si>
    <t>確認事項No.</t>
  </si>
  <si>
    <t>(1)</t>
  </si>
  <si>
    <t>アンケート調査業務</t>
  </si>
  <si>
    <t>○アンケート調査票の設問設計及び作成
○調査の対象者：要支援・要介護認定者300人／一般高齢者1,000人
○調査票準備及び回収票管理（ナンバリング等）
○回収調査票の入力及び集計作業（データ入力・整理・グラフデータ作成）
○集計・実態調査分析
○調査票報告書作成（編集・校正含み）</t>
  </si>
  <si>
    <t>①追加設問の設計（F3）
②実施設計・サンプリング（F4）
③集計分析テンプレートの整備
④調査票のナンバリング・回収票管理
⑤回収票の入力・集計・グラフデータ作成
⑥集計・実態調査分析
⑦調査報告書の作成（編集・校正）</t>
  </si>
  <si>
    <t>F3_アンケート追加設問
F4_アンケート実施支援
アンケート集計分析テンプレート（6シート）
修正アンケート素案_町確認用
調査報告書（80頁程度・5部）＝未作成</t>
  </si>
  <si>
    <t>R8.10</t>
  </si>
  <si>
    <t>令和8年6〜7月に調査を実施し、一般高齢者576件・要支援要介護認定者142件を回収。単純集計・クロス集計・分析、結果報告書の作成、計画素案への反映まで完了。令和8年10月2日、令和8年9月25日受領の再修正版3文書について、RedTeamレビューv8が挙げた納品前の不備4件を直した（目次の自動更新・作成者名の削除・編集メモの書き換え・表73のキャプションの移動）。成果品としての統合・体裁は、確認事項No.2の回答を待って確定する。</t>
  </si>
  <si>
    <t>2, 21, 25, 26, 27, 28</t>
  </si>
  <si>
    <t>(2)</t>
  </si>
  <si>
    <t>調査票の発送準備業務</t>
  </si>
  <si>
    <t>○調査票の印刷（2種類）
○調査票送付用封筒印刷（角2）
○調査票返信用封筒印刷（長3）
○調査票封入・宛名ラベル貼付</t>
  </si>
  <si>
    <t>①調査票の確定・印刷（2種類）
②送付用封筒（角2）の印刷
③返信用封筒（長3）の印刷
④宛名ラベルの作成・貼付
⑤封入・発送</t>
  </si>
  <si>
    <t>調査票2種類・封筒・宛名ラベル（実施済み）</t>
  </si>
  <si>
    <t>R8.6</t>
  </si>
  <si>
    <t>令和8年6〜7月に郵送による配布・回収を実施済み（第1回策定委員会資料による）。一般高齢者分の有効回答は552件。要支援・要介護認定者300人分の発送の有無は確認を要する（確認事項No.21）。</t>
  </si>
  <si>
    <t>21</t>
  </si>
  <si>
    <t>(3)</t>
  </si>
  <si>
    <t>策定委員会の支援業務</t>
  </si>
  <si>
    <t>○策定委員会等の資料作成及び助言
○必要に応じ策定委員会等への出席及び資料説明
○策定委員会の開催回数は4回開催の予定</t>
  </si>
  <si>
    <t>①第1回委員会の資料作成
②第1回委員会の想定問答集の作成
③第2回委員会の説明資料の作成
④第2回委員会の想定問答集の作成
⑤第3回・第4回委員会の資料作成
⑥各回への出席・資料説明</t>
  </si>
  <si>
    <t>第1回策定委員会資料（12頁）
第1回委員会_想定問答集（31問8カテゴリ）
第2回策定委員会資料 v6（ご選択いただきたい事項5件・訂正事項5件＋当社資料の訂正6件・認知症施策の追加候補15件と財源別の保険料影響）
第2回委員会_想定問答集 v3（全39問8カテゴリ）</t>
  </si>
  <si>
    <t>R9.2</t>
  </si>
  <si>
    <t>【令和8年10月7日 更新】第1回は令和8年9月2日に開催済み。第2回の資料は v8（101段落42表）、想定問答集は v4（全44問）。v8 で当方の作業用ファイルの名前を取り除き、表紙の版の表示を［第８版］に是正した（v6・v7 は［第５版］のままであった）。第3回・第4回の骨子案（8表）を作成し、諮る事項・資料の構成・何が決まっていないと開けないかを置いた。開催日が未確定（確認事項No.85）。委員会を全3回とするか全4回とするかも未確定（No.49）。</t>
  </si>
  <si>
    <t>5, 6</t>
  </si>
  <si>
    <t>(4)</t>
  </si>
  <si>
    <t>各種データ収集・作成及び資料整理</t>
  </si>
  <si>
    <t>・基礎データの収集
・基礎データの作成及び取りまとめ
・現行施策の検証及び実施状況の取りまとめ
・施策執行状況や今後の課題・施策方針等を把握するため、各課や関係機関に評価シートを作成し、結果をもとに必要に応じて聞き取り
・関連施策評価調査シートの作成については、受託者からシート案を提案し、発注者と十分協議のうえ内容を決定すること</t>
  </si>
  <si>
    <t>①基礎データの収集・整理
②基礎データの作成・取りまとめ
③現行施策（第9期）の検証・実施状況の取りまとめ
④関連施策評価調査シート案の提案・協議・決定
⑤各課・関係機関への評価シート配付と聞き取り</t>
  </si>
  <si>
    <t>実績データ確認サマリー（6シート）
必要資料_入力フォーマット（13シート）
第9期実績一覧_町記入用（7シート35事業）
関連施策評価調査シート_案（8シート）</t>
  </si>
  <si>
    <t>【令和8年10月17日 更新】第9期施策評価の実施要領（案）を作成した（仕様書(4)「現行施策の検証及び実施状況の取りまとめ」）。⚠ **評価の区分と判定の基準がなく、町が記入のしようがない状態であった**ことに手当てした。確認事項No.182。　【令和8年10月16日 更新】事業所照会票（様式9種・設問58問）と電子記入様式・確定値管理表を作成した。⚠ 供給側のデータは依然として未受領であり、発出のご判断（確認事項No.170）を待っている。　①②は完了。令和8年9月11日受領の見える化システムの画面の写し及び総括表により、令和7年度の年報（要介護度別明細）まで取り込んだ。交付金は令和6・7・8年度の全国集計を枝番の単位で突き合わせ、取りまとめ表（7シート）として整理した。⚠ 令和8年10月1日、令和6年度の枝番の合計（428点）が公表値454点と26点食い違うことを把握した。令和8年度の枝番の一覧を軸にしているため、令和6年度にあって令和8年度にない枝番が落ちていたことによる。計画素案の図3-1は原典の指標群別の列から採り、公表値と一致することを確かめている。③現行施策（第9期35事業）の実績は【町確認】欄がご記入待ち（ペンディング束3）。記入用の様式を当方から提供する。</t>
  </si>
  <si>
    <t>7, 8</t>
  </si>
  <si>
    <t>(5)</t>
  </si>
  <si>
    <t>人口推計、事業量・費用推計・分析</t>
  </si>
  <si>
    <t>○人口及び要介護認定者数の推計
　・10年間の年齢別・男女別人口、要介護認定者数及び介護予防の実施を踏まえた要介護認定者数の推計
○目標量に関する検討及び見込み量確保のための方策の検討
　・介護給付（居宅・地域密着型・居宅介護支援・施設）に係るサービス事業量の推計・検討
　・介護予防（介護予防サービス・地域密着型介護予防サービス・介護予防支援）に係る推計・検討
　・地域支援事業に要する費用の額、量の見込み（①対象者数②介護予防・生活支援サービス事業③一般介護予防事業④包括的支援事業⑤任意事業）
　・介護保険（支援）事業量、保険料推計及び分析・見込量確保のための方策の検討</t>
  </si>
  <si>
    <t>①10年間の年齢別・男女別人口推計
②要介護認定者数の推計（介護予防の実施を踏まえたもの）
③介護給付4区分のサービス事業量推計
④介護予防3区分のサービス事業量推計
⑤地域支援事業①〜⑤の費用・量の見込み
⑥保険料推計及び分析
⑦見込量確保のための方策の検討</t>
  </si>
  <si>
    <t>保険料試算ワークブック（11シート・129数式）
長期推計・給付費・保険料試算レポート
保険料_県内比較分析・要因分析
給付費・保険料算定の精査レポート</t>
  </si>
  <si>
    <t>R9.1</t>
  </si>
  <si>
    <t>【令和8年10月17日 更新】中長期（令和17・22年度）の見込量を成果品に書き出し、素案 9-1 の空欄15サービスを原典から算定して埋めた（Ver.2.17）。⚠ **9-1 のサービス別の和と 9-2 の総給付費が合っていなかった**（令和17年度で▲94,878千円）。3か年すべてで一致するようになった。確認事項No.183。　【令和8年10月16日 更新】他メンバー素案との対比により、素案 9-1 の見込量の表に15サービス（84,370千円・総給付費の8.5％）が落ちていたことが分かり、Ver.2.14 で是正した。⚠ 介護保険法第117条第2項第1号の種類ごとの量の見込みの欠落であった。数値はワークブックに持っていた。　【令和8年10月16日 更新】見込量の確からしさに関わる供給可能量を照会する様式を用意した（様式2のお受けできる上限・令和9〜11年度の各年度の見通し）。⚠ 自然体推計は供給の制約を表現できないため、回収後に見込量の調整の方針を第2回策定委員会にお諮りする。　【令和8年10月7日 更新】令和7年度の年報を基礎とする独立算定を完了（32サービス・要介護度別）。本月、施策（KPI）と見込量の連関を整理した。算定式で動く変数は要介護度別の認定者数1つだけであり、利用率・1人1月あたりの回（日）数・単価は令和7年度で据え置いている。素案10-4のKPI13件それぞれについて、どの要素に効くかと反映の可否を整理した。当方の算定は施策の効果を織り込まない自然体である。残るのは需要のシナリオ（感度表）と、所得段階別第1号被保険者数の第10〜13段階（確認事項No.33）。</t>
  </si>
  <si>
    <t>9, 10, 11, 12, 13, 14</t>
  </si>
  <si>
    <t>(6)</t>
  </si>
  <si>
    <t>給付実績分析等及び現状分析業務</t>
  </si>
  <si>
    <t>○基礎データ収集・整理
○国・県の施策動向の把握
○関係各課、関係機関等の状況把握
○国保連データからの給付実績や各種課題等をとりまとめ、分析</t>
  </si>
  <si>
    <t>①基礎データの収集・整理
②国・宮城県の施策動向の把握
③関係各課・関係機関等の状況把握
④国保連データからの給付実績の分析
⑤各種課題のとりまとめ</t>
  </si>
  <si>
    <t>素案 第2章（現状分析）
実績データ確認サマリー（6シート）
図表6点
3層整合表（7シート）</t>
  </si>
  <si>
    <t>【令和8年10月16日 更新】素案 2-3 の第1号被保険者数・認定者数の実績が年報と20か所食い違っていたことが分かり、Ver.2.15 で是正した。⚠ 年度が2年ずれていた（3,270は令和5年度末、3,285は令和4年度末の値）。年報と突き合わせる検査を新設した。　【令和8年10月16日 更新】素案 2-7 の供給側のデータ（定員と稼働・職員数・訪問系の供給余力・町外施設の利用）を確定させる照会の様式を用意した。⚠ 町外の事業所の宛先が作れないため、居宅介護支援事業所への照会で代替する（確認事項No.172・資料提供依頼No.39）。　【令和8年10月7日 更新】①②は完了し、川崎町固有の5重点課題を整理済み。第2章・第3章の現状分析を令和7年度実績（年報）に更新し、図を10点とした。第9期の計画値と実績値の対比（図3-2）により、総給付費は計画を1.3％下回るが、居宅が8.8％下回る一方で施設が3.3％上回り、区分の間で振れが相殺されていることを示した。年齢調整後の認定率・自給率は見える化システムの出力待ち（確認事項No.155）。</t>
  </si>
  <si>
    <t>8, 12</t>
  </si>
  <si>
    <t>(7)</t>
  </si>
  <si>
    <t>高齢者保健福祉計画及び介護保険事業計画の素案</t>
  </si>
  <si>
    <t>○高齢者福祉計画
　①計画の策定にあたって　②高齢者等の現状　③保健・福祉サービスの現状と課題
　④高齢者保健福祉事業の取り組み　⑤保健・医療・福祉の連携に向けて
○介護保険事業計画
　⑥目標年次までの各年度における高齢者等の現状　⑦介護保険サービスの見込み量と確保策
　⑧介護保険事業費の見込み　⑨介護保険の円滑な運営に向けて</t>
  </si>
  <si>
    <t>①素案v1.0〜v1.6の段階的作成
②資料編の構成案・素案の作成
③仕様書①〜⑨の構成との対応確認・章立ての調整
④素案Ver.2.0の更新（アンケート結果・委員意見の反映）
⑤素案の確定</t>
  </si>
  <si>
    <t>計画書素案_v2.10_制度改正補完版（全112頁・図10点・事業一覧表に内容の欄）
同_v2.10c_圧縮案（本文105頁）／計画書_別冊_詳細分析（9頁）
計画素案_概要版_R8.10.4（下書き6頁・1色刷りの図8点）
事業の内容の出所_R8.10.4（2シート・138事業）
図表データ管理台帳_R8.9.30（17シート・自己点検10件）
第9期_計画値実績対比表_R8.10.1（8シート）
策定委員会_逆算工程表_R8.10.1（6シート）
公表版への整理／概要版_構成案／資料編_3表（R8.10.2）</t>
  </si>
  <si>
    <t>【令和8年10月16日 更新】他メンバー作成の第10期計画素案を受領し、11の持ち場に手分けして303件を洗い出した。正本は当方案とし、内容だけを取り込む。⚠ 添付にない節（1-4・1-5・2-5・2-7・第3章・7-1〜7-6・10-4）は当方の強みであり、落とすものはない。⚠ **添付と並べて読んだことにより、当方の正本そのものの不具合も見えた。** 施策事業表の内容欄31セルに事業の内容でない記述（作業過程の記述・文頭の欠落・存在しない節番号）が入っており、本文に受託者の担当者名・他社名・版の履歴が残っていた。いずれも Ver.2.16 で是正し、27語を見る自己点検を組み込んだ。うち16セルは添付の本文を取り込んだ（ご指示の「内容だけ添付の使えるものを取り込む」に当たる）。　【令和8年10月16日 更新】他メンバー作成の第10期計画素案を受領し、11の持ち場に手分けして303件を洗い出した。正本は当方案とし、内容だけを取り込む。⚠ 添付にない節（1-4・1-5・2-5・2-7・第3章・7-1〜7-6・10-4）は当方の強みであり、落とすものはない。　【令和8年10月16日 更新】照会で確定する素案の箇所を41件まで洗い出した（2-7・5-1・5-3・5-4・5-5・6-3・7-1〜7-6・9-1・9-2・1-5）。回収後にこの順で直す。　【令和8年10月7日 更新】素案は Ver.2.11 まで作成（全113頁・673段落・128表・図10点）。Ver.2.10 で制度改正11事項と法令が定める手続4件を補い、Ver.2.11 で 9-1 の『見込量を0としたサービス』の表を是正（5件とも令和6〜8年度に実績がなく、『実績あり→0』は誤りであった）、9-1 に『施策と見込量の関係』を新設、受託者を主語とする語2か所を削除した。Ver.2.12 で、交付金の全国統計を原典から作り直して突き合わせ、過疎地域非該当の保険者数を856に是正した。素案の数値1,447件のうち94.1％は原典・成果品に突合できる。網羅性の8軸51事項すべて適合。守るべき制約の走査（新規）も不適合0件。</t>
  </si>
  <si>
    <t>15, 16, 22, 23</t>
  </si>
  <si>
    <t>(8)</t>
  </si>
  <si>
    <t>高齢者保健福祉計画及び第10期介護保険事業計画書の作成</t>
  </si>
  <si>
    <t>・中間報告は、その都度指定された期日まで提出すること
・高齢者保健福祉計画及び介護保険事業計画書（案）を作成すること</t>
  </si>
  <si>
    <t>①中間報告の提出（指定期日ごと）
②計画書（案）の作成
③概要版の作成
④成果品の印刷・製本・納品</t>
  </si>
  <si>
    <t>04シートを参照。別添（資料編）は28件を洗い出し、置き場所を5つに振り分けて本文88頁＋資料編13頁＝101頁の割付けを定めた。第10期で新たに様式を起こす9件のうち、最も急ぐ意見聴取の記録様式（別添22）を令和8年9月29日に作成済み。</t>
  </si>
  <si>
    <t>R9.3</t>
  </si>
  <si>
    <t>【令和8年10月17日 更新】素案 Ver.2.17（中長期補完版）。⚠ 棚卸しで出所が示せていなかった70件は0件になった。　【令和8年10月7日 更新】中間報告（第1回・令和8年10月分）を作成した（8表）。提出の期日のご指定がないため（確認事項No.17）、当面は月末ごとに提出する。県への事前協議の資料一式（5シート）と意見公募手続の一式（6シート＋意見提出用紙）を用意した。⚠ 意見公募手続の実施支援は委託仕様書の業務内容に規定がなく（No.19）、実施をお約束するものではない。概要版は3,827字・表5件まで広げた（当方の環境で7頁。仕様書8は8頁程度）。計画書（案）は素案 Ver.2.11 を母体とする。</t>
  </si>
  <si>
    <t>17, 18</t>
  </si>
  <si>
    <t>全体進捗（単純平均）</t>
  </si>
  <si>
    <t>注1）進捗は、当該業務の作業項目のうち完了したものの割合を受託者が判断して記入する。</t>
  </si>
  <si>
    <t>注2）「仕様書の要求」欄は委託仕様書（保介第41号）6．業務内容の記載による。仕様書の原本は09_元資料/川崎町_第10期計画策定業務_指名競争入札通知・委託仕様書_保介第41号.pdf に格納している。</t>
  </si>
  <si>
    <t>注3）仕様書5「業務」（1）〜（8）と6「業務内容」（1）〜（8）は対応している。パブリックコメント支援及び条例改正案の作成支援は仕様書に規定がなく、本表の業務区分に含めていない（確認事項No.19）。</t>
  </si>
  <si>
    <t>月別工程管理（令和8年6月〜令和9年3月15日）</t>
  </si>
  <si>
    <t>月別工程について、業務内容・成果物・提出期日・発注者の確認を管理する。「対応する業務内容」は仕様書6（1）〜（8）の番号による。委託期間は令和9年3月15日まで（仕様書2）。</t>
  </si>
  <si>
    <t>年月</t>
  </si>
  <si>
    <t>業務内容</t>
  </si>
  <si>
    <t>対応する業務内容</t>
  </si>
  <si>
    <t>工程末に提出する成果物</t>
  </si>
  <si>
    <t>現時点の状況</t>
  </si>
  <si>
    <t>提出期日</t>
  </si>
  <si>
    <t>提出日</t>
  </si>
  <si>
    <t>発注者確認（日・確認者）</t>
  </si>
  <si>
    <t>備考・次工程への条件</t>
  </si>
  <si>
    <t>令和8年6月</t>
  </si>
  <si>
    <t>計画素案の作成、保険料試算の枠組み構築、調査票の印刷・発送</t>
  </si>
  <si>
    <t>(1)(2)(5)(7)</t>
  </si>
  <si>
    <t>・計画素案v1.6
・保険料試算ワークブック
・各種分析レポート
・調査票（2種類）の発送</t>
  </si>
  <si>
    <t>素案v1.6（44頁）と保険料試算ワークブック（11シート）を作成。調査票2種類を郵送により配布（仕様書6（2））。</t>
  </si>
  <si>
    <t>R8.6下旬</t>
  </si>
  <si>
    <t>発送準備は受託者業務。実施済み。</t>
  </si>
  <si>
    <t>令和8年7月</t>
  </si>
  <si>
    <t>調査票の回収・入力・集計、基礎データの収集</t>
  </si>
  <si>
    <t>(1)(4)</t>
  </si>
  <si>
    <t>・回収票（ナンバリング済）
・単純集計表・クロス集計表
・自由記述一覧</t>
  </si>
  <si>
    <t>ニーズ調査576件・在宅介護実態調査142件を回収し、集計データを確定（20260807版）。単純集計・クロス集計・グラフデータの作成まで完了。第9期実績一覧の町記入及び関連施策評価調査シート案の提案は未着手。</t>
  </si>
  <si>
    <t>R8.7末</t>
  </si>
  <si>
    <t>有効回答数は集計データ20260807版により576件で確定し、委員会資料の552件は訂正済み（確認事項No.25）。評価シート案の提案が未着手（同No.7）。</t>
  </si>
  <si>
    <t>令和8年8月</t>
  </si>
  <si>
    <t>調査結果の分析、第1回策定委員会資料の作成</t>
  </si>
  <si>
    <t>(1)(3)</t>
  </si>
  <si>
    <t>・クロス分析結果
・第1回策定委員会資料（7頁）</t>
  </si>
  <si>
    <t>第1回策定委員会資料を作成（初版 令和8年8月12日、0828版を経て R8.9.2 v8統合版で確定）。ニーズ調査の第9期比較、クロス分析9項目、在宅介護実態調査の結果、第9期KPIと交付金評価、分野別課題整理（5分野）、論点整理を掲載。</t>
  </si>
  <si>
    <t>R8.8</t>
  </si>
  <si>
    <t>在宅介護実態調査の結果は v3以降で掲載済み（確認事項No.21）。有効回答数576件への訂正も反映済み（同No.25）。</t>
  </si>
  <si>
    <t>令和8年9月</t>
  </si>
  <si>
    <t>第1回策定委員会の開催、調査報告書の作成、評価シートの配付</t>
  </si>
  <si>
    <t>(1)(3)(4)(6)</t>
  </si>
  <si>
    <t>・第1回策定委員会議事録
・調査報告書（80頁程度・5部）
・評価シート回答の取りまとめ</t>
  </si>
  <si>
    <t>第1回策定委員会を令和8年9月2日に開催。議事録・想定問答集を提出済み。調査結果報告書3文書（ニーズ調査・在宅介護実態調査の本編と資料編）は、町の修正版を個票から全数検算し（約6,400項目・レビューv7／v8）、残る修正事項を一覧にしてお返しした。令和7年度の年報を基礎とするサービス見込量・給付費・保険料の独立算定を完了。町ご提示の「施策・事業の体系（案）」とＣ案で統合し、統合体系表（7章17節37項143事業）を作成。令和8年度の交付金データを枝番まで照合し、体制・取組指標群の失点が3か所27点であることを特定。素案はVer.1.25（全80頁）まで更新した。</t>
  </si>
  <si>
    <t>R8.9末</t>
  </si>
  <si>
    <t>審議事項は①基本理念の方向性②分野別課題への追加視点③調査データの活用方法。調査報告書は計画書とは別の成果品（仕様書6（1））。体裁・構成の確認が必要（確認事項No.2）。</t>
  </si>
  <si>
    <t>令和8年10月</t>
  </si>
  <si>
    <t>人口推計・事業量推計、素案Ver.2.0の更新</t>
  </si>
  <si>
    <t>(5)(7)</t>
  </si>
  <si>
    <t>・年齢別・男女別人口推計
・サービス事業量推計
・地域支援事業の費用・量の見込み
・素案Ver.2.0</t>
  </si>
  <si>
    <t>【令和8年10月7日 更新】人口推計・事業量推計は令和7年度の年報を基礎とする独立算定を完了。素案は Ver.2.11（全113頁）まで進み、第2回策定委員会資料 v8・想定問答集 v4、第3回・第4回の骨子案、中間報告書（第1回）、県事前協議の資料一式、意見公募手続の一式、概要版の拡充までを作成した。⚠ 第2回策定委員会の開催日が未確定（確認事項No.85）であり、11月以降の工程がすべてこれに連なる。</t>
  </si>
  <si>
    <t>R8.10末</t>
  </si>
  <si>
    <t>国保連データの受領が前提（確認事項No.12）。</t>
  </si>
  <si>
    <t>令和8年11月</t>
  </si>
  <si>
    <t>第2回策定委員会、サービス見込量の方向性確定</t>
  </si>
  <si>
    <t>(3)(5)</t>
  </si>
  <si>
    <t>・第2回委員会説明資料
・第2回委員会想定問答集
・第2回委員会議事録</t>
  </si>
  <si>
    <t>【令和8年10月7日 更新】第2回策定委員会の資料は v8、想定問答集は v4（全44問）まで作成済み。⚠ 開催日が未確定（確認事項No.85）。11月4日の開催であれば納期（令和9年3月15日）に余裕0日で収まるが、11月11日以降は現行の前提（意見公募30日・委員会4回・印刷21日）では収まらない。工程の短縮の案4件を資料 v8 にお示ししている。開催後は、議事録（速報版・確定版）と選択結果を反映した素案の更新に移る。</t>
  </si>
  <si>
    <t>R8.11</t>
  </si>
  <si>
    <t>─</t>
  </si>
  <si>
    <t>令和8年12月</t>
  </si>
  <si>
    <t>保険料推計の精緻化、計画書（案）の作成着手</t>
  </si>
  <si>
    <t>(5)(8)</t>
  </si>
  <si>
    <t>・保険料算定表
・計画書（案）の作業版
・中間報告</t>
  </si>
  <si>
    <t>【令和8年10月7日 更新】保険料算定表（記号Ａ〜Ｊ・年度別）と感度分析は作成済み。宮城県への事前協議（法第117条）の資料一式と、意見公募手続の一式を先に用意した。⚠ 基金の取崩額は第3回策定委員会（令和9年1月）で決定する。準備基金の令和8年度末残高（確認事項No.11・No.33）と基金条例の確認が前提となる。</t>
  </si>
  <si>
    <t>R8.12末</t>
  </si>
  <si>
    <t>基金残高・収納率・所得段階別被保険者数・調整交付金交付実績の受領が前提（確認事項No.9〜13）。</t>
  </si>
  <si>
    <t>令和9年1月</t>
  </si>
  <si>
    <t>第3回策定委員会、保険料の協議</t>
  </si>
  <si>
    <t>・第3回委員会資料
・保険料試算表（3パターン）
・第3回委員会議事録</t>
  </si>
  <si>
    <t>【令和8年10月7日 更新】第3回の骨子案を作成済み（次第8件・資料7件・何が決まっていないと開けないか7件）。保険料は算定Ａ・Ｂ・Ｃの3パターンのままお諮りし、取崩額のご決定をいただいて1つに定まる。意見公募手続の結果の報告もこの回で行う。</t>
  </si>
  <si>
    <t>R9.1中旬</t>
  </si>
  <si>
    <t>令和9年2月</t>
  </si>
  <si>
    <t>第4回策定委員会、計画書（案）の確定</t>
  </si>
  <si>
    <t>(3)(7)(8)</t>
  </si>
  <si>
    <t>・第4回委員会資料
・計画書（案）
・概要版（案）
・第4回委員会議事録</t>
  </si>
  <si>
    <t>【令和8年10月7日 更新】第4回の骨子案を作成済み（次第6件・資料5件）。計画書（案）の確定と答申。⚠ 答申を行うか、諮問書・答申書を別添に掲げるかは確認事項No.131のご判断による。委員会を全3回とする場合はこの回を設けない（No.49）。</t>
  </si>
  <si>
    <t>R9.2末</t>
  </si>
  <si>
    <t>計画書100頁程度・概要版8頁程度への構成が必要（仕様書8）。</t>
  </si>
  <si>
    <t>令和9年3月</t>
  </si>
  <si>
    <t>成果品の印刷・製本・納品</t>
  </si>
  <si>
    <t>・調査報告書（80頁程度・5部）
・計画書（100頁程度・100部）
・概要版（8頁程度・3,500部）
・電子データ一式（3種）</t>
  </si>
  <si>
    <t>未着手。</t>
  </si>
  <si>
    <t>R9.3.15</t>
  </si>
  <si>
    <t>委託期間は令和9年3月15日まで。概要版3,500部の印刷所要日数を踏まえた入稿期日の設定を要する（確認事項No.18）。納入場所は川崎町保健福祉課。</t>
  </si>
  <si>
    <t>件数</t>
  </si>
  <si>
    <t>注1）「提出日」及び「発注者確認」は、当該工程の成果物を提出し、発注者の確認を得た時点で記入する。</t>
  </si>
  <si>
    <t>注2）仕様書6（8）は「中間報告は、その都度指定された期日まで提出すること」としているが、提出期日の指定を受けていない（確認事項No.17）。本表の提出期日は受託者の想定である。</t>
  </si>
  <si>
    <t>確認事項一覧（業務工程・成果物との紐づけ）</t>
  </si>
  <si>
    <t>発注者・国への確認事項を、業務工程と成果物に紐づけて一覧化する。「止めている成果物」は、当該事項の回答がないことにより確定できない成果物を示す。No.9〜11は保険料試算ワークブックの黄色セルと対応する。</t>
  </si>
  <si>
    <t>工程（月）</t>
  </si>
  <si>
    <t>確認事項</t>
  </si>
  <si>
    <t>確認をお願いする内容</t>
  </si>
  <si>
    <t>止めている成果物</t>
  </si>
  <si>
    <t>確認先</t>
  </si>
  <si>
    <t>回答期限</t>
  </si>
  <si>
    <t>回答・対応</t>
  </si>
  <si>
    <t>調査票の最終確定</t>
  </si>
  <si>
    <t>設問設計（F3で追加設問を設計済み）を踏まえた調査票2種類（一般高齢者用・要支援要介護認定者用）の最終確定。修正アンケート素案_町確認用によりご確認をお願いする。</t>
  </si>
  <si>
    <t>調査票の印刷（仕様書6（2））
以降の発送・回収工程全体</t>
  </si>
  <si>
    <t>令和8年6〜7月に調査票2種類を配布・回収済み。ニーズ調査576件・在宅介護実態調査142件の有効回答を得ており、設問設計・調査票は結果として確定している。</t>
  </si>
  <si>
    <t>調査報告書の体裁・構成</t>
  </si>
  <si>
    <t>仕様書8の成果品「調査報告書 A4版 簡易コピー紙印刷製本 1色刷り 80頁程度 5部」について、章構成、掲載する集計・分析の範囲、計画書本編との記載の重複の整理。</t>
  </si>
  <si>
    <t>調査報告書（80頁程度・5部）</t>
  </si>
  <si>
    <t>調査対象者リストの提供</t>
  </si>
  <si>
    <t>宛名ラベルの作成に必要な対象者リスト（要支援・要介護認定者300人、一般高齢者1,000人）。</t>
  </si>
  <si>
    <t>宛名ラベル貼付・封入・発送（仕様書6（2））</t>
  </si>
  <si>
    <t>令和8年6〜7月に調査を実施済み。一般高齢者分は552件回収。認定者分はNo.21で確認する。</t>
  </si>
  <si>
    <t>策定委員会の開催日程・審議事項</t>
  </si>
  <si>
    <t>第1回は令和8年9月2日（水）で確定。第2回〜第4回の開催日、審議事項、資料の提出期限及び委員への事前配布の時期。受託者の出席の要否についても併せてご確認をお願いする。</t>
  </si>
  <si>
    <t>第2回〜第4回委員会資料
計画素案_概要版（事前配布用）</t>
  </si>
  <si>
    <t>第1回はR8.9.2に開催済み。第1回策定委員会において、第2回はR8.11頃（ニーズ分析報告書・骨子案）、第3回はR9.1（素案提示・答申内容の確定）、その後パブリックコメント・議会審議という段取りが示された。第1回資料の策定スケジュール（案）は第4回（R9.2）を含む4回構成としていたため、3回構成で確定するかを確認事項No.49で確認する。第2回以降の資料は事前に委員へ郵送又は手渡しで配布する方針。</t>
  </si>
  <si>
    <t>委員名簿</t>
  </si>
  <si>
    <t>策定委員会の委員の氏名・所属・区分及び委嘱の状況。資料編の資料3として掲載する。</t>
  </si>
  <si>
    <t>第1回委員会の開催準備
資料編 資料3（委員名簿）</t>
  </si>
  <si>
    <t>R8.7</t>
  </si>
  <si>
    <t>委員会の名称の表記</t>
  </si>
  <si>
    <t>仕様書6（3）は「策定委員会」と規定し、第1回策定委員会資料（令和8年9月2日）も表題を「第一回 策定委員会資料」、事務局を「介護保険事業計画・高齢者保健福祉計画策定委員会 事務局」としている。一方、第9期計画書は審議組織を「川崎町介護保険運営委員会」（介護保険条例第17条に基づく常設委員会）と表記しており（16回）、第9期には「策定委員会」の語がない。第10期は新たに策定委員会を設置する運用と解される。</t>
  </si>
  <si>
    <t>計画素案v1.6（20箇所を要修正）
資料編
第1回想定問答集
第2回説明資料
委員意見反映管理シート</t>
  </si>
  <si>
    <t>仕様書及び第1回策定委員会資料により「策定委員会」で確定。計画素案v1.7で第10期に関する記述19箇所を統一済み。第9期の記述は当時の名称「川崎町介護保険運営委員会」を維持している（第9期計画書の記載による）。</t>
  </si>
  <si>
    <t>関連施策評価調査シートの様式</t>
  </si>
  <si>
    <t>仕様書6（4）は、各課・関係機関に配付する評価シートについて受託者から案を提案し、発注者と十分協議のうえ内容を決定することを求めている。配付先の範囲（庁内各課・関係機関の別）、回答期限、聞き取りの実施方法を併せてご相談したい。</t>
  </si>
  <si>
    <t>関連施策評価調査シート
現行施策の検証（仕様書6（4））
素案 第3章</t>
  </si>
  <si>
    <t>受託者から関連施策評価調査シート案（8シート）を令和8年8月28日に提案済み。配付先17先（庁内9・関係機関8）の案、回答期限（配付から3週間）、聞き取り実施要領（案）を併せて提示している。06シートに町のご確認欄（7項目）を設けているため、ご記入をお願いしたい。特に課の名称・所管は推定を含むため要修正。</t>
  </si>
  <si>
    <t>(4)(6)</t>
  </si>
  <si>
    <t>第9期の施策・事業実績</t>
  </si>
  <si>
    <t>第9期計画の35事業について、事業実績、事業量、対象実人数、決算額。第9期実績一覧_町記入用（7シート）への記入により提供いただく。評価指標の実績値を含む。</t>
  </si>
  <si>
    <t>現行施策の検証（仕様書6（4））
素案 第3章</t>
  </si>
  <si>
    <t>介護給付費準備基金の残高（令和8年6月時点）</t>
  </si>
  <si>
    <t>第7期から第9期までの積立・取崩実績及び令和8年度末の残高見込を含む。現在は計画ベースの53,700千円を仮置きしている。</t>
  </si>
  <si>
    <t>保険料試算ワークブック 01!B15
保険料3パターンの水準</t>
  </si>
  <si>
    <t>令和8年9月1日提供の実績データ05シートにより、準備基金残高は令和2年度116,000千円→令和7年度見込148,100千円（備考「6月確定分」）、取崩額は全年度0千円と確認。保険料試算ワークブック01!B15に反映する。令和8年度末見込152,500千円は当初値のため確定数値の受領を待つ。／素案Ver.1.9の第7章に残高（R7末148,100千円・R8末見込152,500千円）を記載済み。</t>
  </si>
  <si>
    <t>所得段階別被保険者数</t>
  </si>
  <si>
    <t>所得段階別の第1号被保険者数。補正係数は現在0.97を第9期基準額から逆算して仮置きしている。</t>
  </si>
  <si>
    <t>保険料試算ワークブック 06!B17
保険料基準額</t>
  </si>
  <si>
    <t>素案Ver.1.10では、第9期の補正比1.0149を適用した補正後被保険者数9,740人を用いて仮試算した（表52に第9期の乗率による所得段階別保険料を掲載）。補正後被保険者数が3％少ない場合、基準額は月額+217円となる。／令和8年9月8日受領の令和6年度年報 様式1（所得段階別）により確定。13段階の実人数は令和6年度末3,261人（第1段階412〜第13段階31）、令和7年度末3,240人。町の乗率0.455／0.685／0.69／0.90／1.00／1.20／1.30／1.50／1.70／1.90／2.10／2.30／2.40。所得段階別加入割合補正係数は令和6年度0.99749・令和7年度1.01375（2か年平均1.00559）であり、第9期将来推計総括表の0.9667（13段階化前の9段階分布による）より大幅に高い。／【確定・令和8年9月16日】所得段階別第1号被保険者数（13段階）は、受領済みの介護保険事業状況報告（年報・令和7年度）様式1「所得段階別」の列20「年度末現在被保険者数」に記載があった。令和7年度末 383／298／305／343／679／410／427／232／85／26／17／7／28人（計3,240人）。補正係数は1.013748となり、見える化システムの登録値0.964047（第10〜13段階が0人）に比べ保険料は月額352円下がる（7,174円→6,822円）。当社が「年報には記載なし」と申し上げていたのは誤りであり、列10・13（標準割合）のみを確認していたことによる。訂正してお詫びする。町へのご依頼は不要。素案Ver.1.16で反映済み。</t>
  </si>
  <si>
    <t>保険料収納率の実績及び調整交付金等の交付実績</t>
  </si>
  <si>
    <t>令和4〜7年度の保険料収納率（総合・現年・特別徴収・普通徴収の別）、調整交付金の交付実績及び保険者機能強化推進交付金等の交付実績。第9期の調整交付金見込率は約3.9%であり、標準の5%を下回る。</t>
  </si>
  <si>
    <t>保険料試算ワークブック 06!B16、04!B8、06!B10
保険料基準額</t>
  </si>
  <si>
    <t>素案Ver.1.10では、総合収納率を令和2〜6年度の実績96.4〜96.7％とし、試算には第9期と同じ96.0％を用いた。町提供実績データの令和7年度99.6％は他年度と乖離しており、現年度分と取り違えている可能性があるため確認を要する。調整交付金は第9期計画の見込率3.9％・令和8年度3.67％を踏まえ3.7％を用いた（5.0％であれば基準額は月額▲402円）。／令和7年度の年報 様式3により収納率が確定した。現年度分 特別徴収100.00％・普通徴収94.06％・計99.56％、滞納繰越分11.64％、総合96.70％。町提供実績データの「予定収納率 R7見込99.6」は現年度分計の実績であり異常値ではない。残るのは調整交付金の交付実績（令和4〜7年度）のみ。／令和6年度年報 様式4の歳入により調整交付金の交付実績が判明。令和6年度53,478,000円（標準給付費見込額に対し4.892％）。保険者機能強化推進交付金1,277,000円＋保険者努力支援交付金2,461,000円＝3,738,000円。介護給付費準備基金保有額（令和6年度末）146,700,000円、財政安定化基金拠出金0円。残るのは令和4・5・7年度の調整交付金実績のみ。／【令和8年9月16日】令和7年度の年報により、現年度分の収納率は99.56％、総合収納率（滞納繰越分を含む）は96.7％と確認した。本算定は第9期と同じ96.0％を用いている（安全側）。99.6％を採ると保険料は月額247円下がるため、予定収納率をどの水準に置くかを第3回策定委員会でご協議いただきたい。調整交付金の交付実績は未受領のまま。</t>
  </si>
  <si>
    <t>(5)(6)</t>
  </si>
  <si>
    <t>R8.9</t>
  </si>
  <si>
    <t>国保連データ（サービス種類別・年度別の給付実績）</t>
  </si>
  <si>
    <t>国民健康保険団体連合会の給付実績情報（令和4〜7年度）。居宅・地域密着型・居宅介護支援・施設の別、住所地特例（24人）・町外施設利用分の内訳を含む。仕様書6（6）が明記する分析の基礎資料。</t>
  </si>
  <si>
    <t>サービス事業量の推計（仕様書6（5））
給付実績分析（仕様書6（6））
素案 第7章</t>
  </si>
  <si>
    <t>発注者・国保連</t>
  </si>
  <si>
    <t>【令和8年9月16日】国保連データは未受領であるが、令和7年度の年報の要介護度別明細（様式1の6・1の7・様式2）により32サービスの見込量・給付費を算定できたため、第1次の算定は国保連データを待たずに完了した。優先度を「最高」から「高」に下げる。住所地特例・町外利用の内訳の把握には引き続き必要。</t>
  </si>
  <si>
    <t>地域支援事業の実績及び見込みの前提</t>
  </si>
  <si>
    <t>仕様書6（5）が定める①地域支援事業対象者数、②介護予防・生活支援サービス事業、③一般介護予防事業、④包括的支援事業、⑤任意事業の各事業の実績（令和4〜8年度）及び第10期の実施方針。</t>
  </si>
  <si>
    <t>地域支援事業の費用・量の見込み
保険料試算ワークブック 03シート</t>
  </si>
  <si>
    <t>【令和8年9月16日】地域支援事業の実績は依然として未受領。総合事業の量は、令和7年度の実績（訪問介護相当45人／月・通所介護相当54人／月）に要支援認定者数の伸びを乗じて素案に掲げた。包括的支援事業・任意事業は事業別の実績がないため量を掲げていない。費用は見える化システムの現行値（3か年148,789千円）による。令和7年度の実績（36,609千円）で据え置くと保険料は月額80円下がる。</t>
  </si>
  <si>
    <t>第9期保険料算定における14,000千円の差の内訳</t>
  </si>
  <si>
    <t>第9期計画の保険料算出表において、取崩なし収納必要額804,663千円から基金取崩額78,000千円を控除すると726,663千円となるが、計画表の取崩後収納必要額は712,663千円であり14,000千円の差がある。町の算定ワークシートによる確認をお願いする。</t>
  </si>
  <si>
    <t>保険料基準額の再現精度（±2%）
精査レポート</t>
  </si>
  <si>
    <t>素案Ver.1.10の試算は、公表値78,000円を再現できる実効取崩額65,223千円（基金131,700千円の49.5％）を第9期の前提とみなして組み立てている。計画書記載の78,000千円との差の内訳の確認を要する。／令和8年9月7日受領の第9期将来推計総括表により解明。見える化システムの補正後被保険者数は9,546.1人（第1号被保険者数9,875人×0.9667）であり、計画書の取崩後収納必要額712,662,755円をこの分母で割ると月額6,480円となって公表値6,500円とおおむね一致する。すなわち差引92,000千円が実際の取崩額であり、計画書記載の78,000千円が14,000千円ずれている。町の算定ワークシート又は最終回の総括表で最終確認を要する。／【訂正】令和8年9月9日受領の第10期将来推計総括表の第9期列により、9月8日にお伝えした「実際の取崩額は92,000千円で、計画書の78,000千円が誤り」という推定は誤りであったため撤回する。第9期の取崩額月額698.6円・取崩前の保険料収納必要額月額7,207円から第9期最終版の補正後被保険者数は9,692.4人と逆算でき、この分母では取崩額78,000千円が公表値6,500円と整合する（78,000,000円÷0.96÷9,692.4人÷12＝698.6円）。すなわち計画書の取崩額78,000千円は正しく、誤記は「取崩後の保険料収納必要額712,662,755円」の方で、正しくは726,662,755円（804,662,755円−78,000,000円）である。9月7日時点で第1回目の総括表の補正後被保険者数9,546.1人を最終版の値とみなしたことが誤りの原因。</t>
  </si>
  <si>
    <t>計画書の構成と仕様書6（7）①〜⑨の対応</t>
  </si>
  <si>
    <t>仕様書6（7）は素案の構成を高齢者福祉計画①〜⑤、介護保険事業計画⑥〜⑨の9項目で定めているが、計画素案v1.6は独自の8章構成となっている。仕様書の構成に組み替えるか、現行の章立てで①〜⑨の内容を包含する形とするかについてご確認をお願いする。</t>
  </si>
  <si>
    <t>計画素案v1.6（44頁・8章構成）
計画書（案）</t>
  </si>
  <si>
    <t>町長挨拶文及び町長氏名</t>
  </si>
  <si>
    <t>計画書冒頭の挨拶文の内容と町長氏名。素案v1.6の挨拶文案について町長ご本人の確認をお願いする。</t>
  </si>
  <si>
    <t>計画書 冒頭
計画書（案）</t>
  </si>
  <si>
    <t>中間報告の提出期日</t>
  </si>
  <si>
    <t>仕様書6（8）は「中間報告は、その都度指定された期日まで提出すること」としている。提出の時期、回数及び報告の様式についてご指定をお願いする。</t>
  </si>
  <si>
    <t>中間報告</t>
  </si>
  <si>
    <t>成果品の入稿期日</t>
  </si>
  <si>
    <t>委託期間が令和9年3月15日までであることを踏まえた、各成果品の入稿期日。特に概要版（8頁程度・3,500部）は部数が多く、印刷・製本の所要日数の確認を要する。なお成果品の判型・用紙・刷色・頁数・部数は仕様書8に明記されており、確認済みである。</t>
  </si>
  <si>
    <t>調査報告書・計画書・概要版の印刷</t>
  </si>
  <si>
    <t>R8.12</t>
  </si>
  <si>
    <t>パブリックコメント及び条例改正に係る支援の取扱い</t>
  </si>
  <si>
    <t>パブリックコメントの実施支援及び介護保険条例の改正案の作成支援は、仕様書の業務内容に規定がない。これらを本業務の範囲として実施するか、仕様書11「その他」による協議事項として取り扱うかについてご確認をお願いする。第9期はパブリックコメントを令和6年1月31日から2月9日に実施している。</t>
  </si>
  <si>
    <t>パブリックコメント関係資料
条例改正案</t>
  </si>
  <si>
    <t>第1回策定委員会資料の策定スケジュール（案）に「令和9年1〜2月頃 パブリックコメントの実施」が明記されており、実施は既定と解される。費用・作業範囲の取扱いの確認が残る。</t>
  </si>
  <si>
    <t>同時策定2計画との整合調整</t>
  </si>
  <si>
    <t>地域福祉計画・障害者計画（別ベンダー：ジャパン総研）との整合について、重層的支援体制・移動支援・データ共有等に係る協議の場と調整の進め方。</t>
  </si>
  <si>
    <t>素案（3計画整合の記述）</t>
  </si>
  <si>
    <t>在宅介護実態調査（認定者）の結果の取扱い</t>
  </si>
  <si>
    <t>在宅介護実態調査は実施済みで、集計データにより有効回答109件を確認した（対象300人・回収率約36%）。一方、第1回策定委員会資料にはニーズ調査（一般高齢者）の結果のみが掲載され、認定者調査の結果が示されていない。第2回以降での報告の要否と、調査報告書及び素案への反映方針についてご確認をお願いする。</t>
  </si>
  <si>
    <t>調査報告書（80頁程度・5部）
素案の在宅生活支援に係る記述
サービス見込量</t>
  </si>
  <si>
    <t>在宅介護実態調査（142件）の結果は第1回策定委員会資料 v3以降に掲載済み。介護実態調査結果報告書（R8.9.2版）も作成済みで、個票による設問間クロス分析11項目を掲載している。／第1回策定委員会で「施設入居申し込み済みが約半数」と説明されたが、申込済みは33.8％、検討を含めて48.2％である。確認事項No.55で訂正する。</t>
  </si>
  <si>
    <t>第9期計画の基本理念・体系の記載の是正</t>
  </si>
  <si>
    <t>計画素案v1.6は第9期の基本理念を「住民が住み慣れた地域で安心して暮らせるまちづくり」として第9期踏襲と記載しているが、第9期計画書の基本理念は「誰もが健やかに暮らせるまちづくり」であり、素案の理念は第9期計画書に一度も現れない（第8期は「身も心も健やかに笑顔で暮らせる長寿のまち」）。また第9期の体系は「基本理念→基本方針5つ→重点的な取組」であるが、素案は「基本目標」の語を用いており第9期計画に同語はない。第1回策定委員会資料は第9期の理念・5つの基本方針・重点3本柱を正しく記載している。第10期の理念を第9期から継承するのであれば、素案の記載の是正を要する。</t>
  </si>
  <si>
    <t>計画素案v1.6 第4章（基本理念・基本目標）\n素案 第3章（第9期の評価）\n計画素案_概要版</t>
  </si>
  <si>
    <t>第9期計画書（原本42〜44頁）を確認し、基本理念は「誰もが健やかに暮らせるまちづくり」、体系は基本方針1〜5であることを特定。計画素案v1.7で是正済み（基本理念4箇所、体系6行、3-1・3-2・4-1・4-2の記述）。第10期の基本目標6区分は再構成である旨を明記し、対応表を追加した。</t>
  </si>
  <si>
    <t>高齢化率・総人口の基準値の統一</t>
  </si>
  <si>
    <t>計画素案v1.6は高齢化率を41.4%（令和7年3月31日時点・県内5位）としているが、第9期計画書に41.4%の記載はなく、同計画の推計は令和4年39.2%・令和8年42.6%である。第1回策定委員会資料は高齢化率42.6%（令和8年度推計）・39.2%（令和4年実績）、総人口7,729人（令和8年度推計）としており、素案の「約8,000人」とも一致しない。計画書と委員会資料で異なる数値を示すことになるため、基準時点と出典の統一をお願いする。</t>
  </si>
  <si>
    <t>計画素案v1.6 第2章（現状分析）\n図2-5 高齢化率比較\n第1回策定委員会資料</t>
  </si>
  <si>
    <t>第1回策定委員会資料と同じ令和8年6月末・42.0％（総人口7,648人・うち65歳以上3,209人）に統一済み（計画素案v1.7・5箇所）。図2-5は令和7年3月31日時点の県内比較として時点を明示のうえ維持している。</t>
  </si>
  <si>
    <t>第9期保険料基準額の表記（6,508円と6,500円）</t>
  </si>
  <si>
    <t>第9期計画書には保険料基準額（月額）6,508円（年額78,000円）と、第5段階（基準）の月額6,500円の双方が記載されている。前者は算定表上の基準額、後者は基準額×1.00の段階別保険料である。計画素案v1.6は6,500円を第9期基準額として記載しているが、第10期の保険料算定の出発点としては6,508円を用いるのが適当と考えられる。表記の統一についてご確認をお願いする。</t>
  </si>
  <si>
    <t>計画素案v1.6 第7章\n保険料試算ワークブック\n第1回策定委員会資料</t>
  </si>
  <si>
    <t>第9期計画書により、算定表上の基準額は月額6,508円、第5段階（基準）の保険料月額は年額78,000円÷12か月＝6,500円であることを確認。両者の関係を注記として計画素案v1.7に追加済み。</t>
  </si>
  <si>
    <t>第1回策定委員会資料の有効回答数の訂正</t>
  </si>
  <si>
    <t>第1回策定委員会資料はニーズ調査の有効回答数を552件と記載しているが、結果報告書（令和8年8月3日版）は「有効回答数が433件から576件に増加」と明記し、集計データ（20260807版）の回答数も576件である。552件はいずれとも一致しない。なお同資料が引用する各指標（高血圧54.3%、糖尿病17.8%、転倒33.7%、物忘れ41.8%、参加意欲55.2%）は報告書の値と一致しており、指標自体は576件ベースで正しい。委員配布前に母数の記載の訂正をお願いする。あわせて「第9期調査504件」の出典もご確認願いたい。</t>
  </si>
  <si>
    <t>第1回策定委員会資料（R8.9.2配布）</t>
  </si>
  <si>
    <t>集計データ20260807版により有効回答は576件と確定。第1回策定委員会資料はR8.9.2版（v3以降）で576件に訂正済み。</t>
  </si>
  <si>
    <t>自由意見欄の所在と公表資料での取扱い</t>
  </si>
  <si>
    <t>「アンケートでの住民意見について」（令和8年8月20日）に7名分の自由意見が整理されているが、受領した集計データ（20260717版・20260807版）には該当する記述が存在しない。両版の自由記述は趣味・生きがい・病名等の設問内「その他」欄のみで、全75設問に意見・要望を求める設問がない。意見の出典（調査票の自由意見欄か、別途収集か）と、確定版データへの収録の有無をご確認願いたい。あわせて、回答者が特定され得る内容を含むため、委員会資料・計画書への掲載に当たっては回答No.を伏せ要約して用いる方針の可否、及び地域包括支援センターの相談対応に関する記述の取扱いについてご相談したい。</t>
  </si>
  <si>
    <t>調査報告書（80頁程度・5部）\n第2回以降の委員会資料\n素案の住民意見に係る記述</t>
  </si>
  <si>
    <t>ニーズ調査に回答者属性が記録されていない件</t>
  </si>
  <si>
    <t>ニーズ調査の集計データ（20260807版・576件）は、性別・年齢階級・要介護状態区分・日常生活圏域IDのいずれも全件が空欄である。結果報告書も「属性別（性別・年齢層別等）の比較分析は依然として実施できない」と付言している。このため、後期高齢者層の課題、地区別の課題、性差のある課題を数値で示すことができず、F4で設計した7地区区分のクロス集計も実施できない。調査票のNO（1〜576）が町の発送台帳と対応していれば、属性の後付け付与により属性別分析が可能となる。突合の可否をご確認願いたい。</t>
  </si>
  <si>
    <t>結果報告書の属性別分析
素案 第2章・第5章の課題記述
第2回以降の委員会資料</t>
  </si>
  <si>
    <t>属性別分析は依然として実施できないが、身長・体重の個票からBMI区分・低栄養リスクを算出できることを確認し、これを代替属性とするクロス分析5項目をニーズ調査結果報告書に追加した。次回調査では属性の記録を設計に含めることを提案する。</t>
  </si>
  <si>
    <t>介護実態調査結果報告書のクロス集計の前提</t>
  </si>
  <si>
    <t>介護実態調査結果報告書（令和8年8月12日版・作成中）は「今回のExcelは設問別の集計済みデータであり、回答者単位の個票がないため、新たなクロス集計値は推測せず未算出としている」として、第9章・第15章のクロス集計を分析候補の列挙にとどめている。しかし集計データ（20260807版）には142件の個票が収録されており、性別・年齢階級・要介護状態区分も記録されている。実際、同報告書の属性数値（女性62.0%、85〜89歳32.4%、要介護3〜5で58.3%等）は同データと一致する。クロス集計は実算出が可能であるため、報告書の完成に向けて数値を算出する方針としてよいかご確認願いたい。</t>
  </si>
  <si>
    <t>介護実態調査結果報告書
調査報告書（成果品・80頁程度5部）</t>
  </si>
  <si>
    <t>個票から設問間クロス分析11項目を実算出し、介護実態調査結果報告書（R8.9.2版）に反映済み。家族介護の有無・世帯類型・サービス利用と施設入所検討状況のクロス3件を新たに追加した。</t>
  </si>
  <si>
    <t>町内の介護保険事業所一覧</t>
  </si>
  <si>
    <t>名称・種別・定員・所在。サービス見込量及び見込量確保のための方策の検討の前提となる。</t>
  </si>
  <si>
    <t>サービス見込量の推計
第1回策定委員会資料（供給の議論）</t>
  </si>
  <si>
    <t>策定委員会の設置要綱又は条例の条文</t>
  </si>
  <si>
    <t>委員会の所掌事務の正確な記載に必要。資料編 資料1・資料2に掲載する。</t>
  </si>
  <si>
    <t>資料編 資料1・資料2
第1回策定委員会資料</t>
  </si>
  <si>
    <t>在宅介護実態調査300人の抽出母集団と抽出方法</t>
  </si>
  <si>
    <t>回答142件を在宅認定者に外挿する際の代表性の検証に必要。現在は代表性未検証として感度試算にとどめている。</t>
  </si>
  <si>
    <t>介護実態調査結果報告書 第4章
調査報告書（成果品）</t>
  </si>
  <si>
    <t>(3)(8)</t>
  </si>
  <si>
    <t>第9期策定時のスケジュール実績</t>
  </si>
  <si>
    <t>パブリックコメントと保険料決定の前後関係。第10期のスケジュール（案）の妥当性の確認に必要。</t>
  </si>
  <si>
    <t>第1回策定委員会資料（策定スケジュール）</t>
  </si>
  <si>
    <t>令和8年度の住民基本台帳人口（年度末見込み・男女別）</t>
  </si>
  <si>
    <t>仕様書6（5）は年齢別・男女別の10年推計を要求している。現行の推計は年齢区分別までである。</t>
  </si>
  <si>
    <t>人口推計（年齢別・男女別）
保険料試算ワークブック</t>
  </si>
  <si>
    <t>第9期KPIのアウトプット指標の達成状況</t>
  </si>
  <si>
    <t>自立支援型地域ケア会議 年12件／介護支援専門員研修会 年7件／ケアプラン検討 年3件／介護予防事業の参加者数／サポーター研修の開催回数の実績。仕様書6（2）の要求事項。</t>
  </si>
  <si>
    <t>現行施策の検証（仕様書6（4））
第1回策定委員会資料 第9期の振り返り</t>
  </si>
  <si>
    <t>(4)(5)</t>
  </si>
  <si>
    <t>見える化システムの調整済み認定率</t>
  </si>
  <si>
    <t>令和5年9月末及び令和8年9月末の年齢調整済み認定率。第9期のアウトカムKPI（調整済み認定率を17.6%に維持）の達成可否の確定に必要。通常の認定率では代替できない。</t>
  </si>
  <si>
    <t>第9期KPIの評価
介護実態調査結果報告書 第11章の注記</t>
  </si>
  <si>
    <t>(4)(7)</t>
  </si>
  <si>
    <t>高齢者紙おむつ等支給事業の要綱</t>
  </si>
  <si>
    <t>支給額（月額2,000円〜5,000円）及び対象要件の出典。報告書に注記済みだが未確定である。</t>
  </si>
  <si>
    <t>介護実態調査結果報告書 第11章
素案 第3章</t>
  </si>
  <si>
    <t>ニーズ調査の有効回答の定義</t>
  </si>
  <si>
    <t>無回答・複数マークの扱い。第2章の単純集計と第3章のクロス集計でnが異なる理由の説明に必要。</t>
  </si>
  <si>
    <t>ニーズ調査結果報告書
調査報告書（成果品）</t>
  </si>
  <si>
    <t>町内の薬局数と在宅訪問（居宅療養管理指導）への対応状況</t>
  </si>
  <si>
    <t>在宅訪問対応薬局リスト（2021年1月時点）に町内の該当がない。在宅医療・介護連携の活動指標が全国1,482位である要因の確認に必要。</t>
  </si>
  <si>
    <t>在宅医療・介護連携の記述
第1回策定委員会資料</t>
  </si>
  <si>
    <t>保険者機能強化推進交付金の交付額と充当先</t>
  </si>
  <si>
    <t>令和6〜8年度の交付額及び充当先の事業。第9期の地域支援事業の財源構成の確認に必要。令和6年度の交付見込額は3,738千円と推計される。</t>
  </si>
  <si>
    <t>地域支援事業の費用の見込み
保険料試算ワークブック 03</t>
  </si>
  <si>
    <t>40</t>
  </si>
  <si>
    <t>サービス見込量の実績欄（R6〜R8）の未記入</t>
  </si>
  <si>
    <t>令和8年9月1日提供の実績データのうち、12〜14のサービス見込量シートは実績欄がほぼ全面的に未記入です（居宅24サービス0行・施設0行・地域密着型4行のみ）。仕様書6（5）のサービス事業量の推計には、全サービスのR6〜R8の給付実績（国保連データ）が必要です。ご提供をお願いします。</t>
  </si>
  <si>
    <t>サービス見込量の推計（仕様書6（5））
給付実績分析（仕様書6（6））
素案 第6章</t>
  </si>
  <si>
    <t>確認事項No.12（国保連データ）と一体。受領まで見込量の推計は仮試算とする。</t>
  </si>
  <si>
    <t>41</t>
  </si>
  <si>
    <t>定期巡回・随時対応型訪問介護看護及び夜間対応型訪問介護の実績</t>
  </si>
  <si>
    <t>両サービスは、実績データ上、見込量・実績とも延利用者数500人／給付費8,000千円がR6〜R11の全年度で同値となっています。第9期計画書には両サービスの見込量表がなく「今後のサービスニーズの動向を勘案し、サービス提供を検討していきます」との記載のみで、在宅介護実態調査でも利用は定期巡回1件・夜間対応0件です。給付実績が0であれば「0」でのご記入をお願いします。</t>
  </si>
  <si>
    <t>サービス見込量（地域密着型）
素案 第6章
保険料試算ワークブック</t>
  </si>
  <si>
    <t>実績と見込量が同数のため、確定まで仮試算として扱う。</t>
  </si>
  <si>
    <t>42</t>
  </si>
  <si>
    <t>実績データで年度間が同一値となっている項目（30行）</t>
  </si>
  <si>
    <t>02の介護予防教室（元気まんてん・元気いきいき・パドル体操・ノルディック・ヨーガ）、サポーター4種別、08のもの忘れ相談12回・チーム員会議12回・認知症カフェ47回235人・自立支援型地域ケア会議12回等が、R5又はR6以降すべて同値です。実績ではなく計画上の目標値が入力されている可能性があるため、年度別の実績値のご記入をお願いします。</t>
  </si>
  <si>
    <t>第9期KPIの達成状況の判定
現行施策の検証（仕様書6（4））
素案 第3章</t>
  </si>
  <si>
    <t>確認事項No.8・No.34と一体。確定まで第9期KPIの達成判定を保留する。</t>
  </si>
  <si>
    <t>43</t>
  </si>
  <si>
    <t>実績データの異常値（7件）</t>
  </si>
  <si>
    <t>①03 75歳以上人口R6＝1,061人（R5 1,595・R7 1,727に対し約500人少ない）②03 認定率が整数表記（再計算値18.03〜17.25％）③07 紙おむつ等支給事業費の単位（表は千円だが値は488,337〜750,000で実体は円と思われる）④04 小規模多機能型居宅介護R6利用者323人（認知症GHと同値・R7見込は10人）⑤05 予定収納率R7見込99.6％（他年度96.4〜97.0％）⑥08 認知症サポーターの累計と年間受講者の不整合（R3以降すべて不一致）⑦05 保険料基準額R4・R5が6,500円（第8期は6,380円のはず）</t>
  </si>
  <si>
    <t>人口推計
給付実績分析
素案 第2章・第3章
保険料試算ワークブック</t>
  </si>
  <si>
    <t>詳細は『川崎町_町提供実績データ_確認メモ_R8.9.1.md』に記載。</t>
  </si>
  <si>
    <t>44</t>
  </si>
  <si>
    <t>認定者数の基準日（559人と561人の差）</t>
  </si>
  <si>
    <t>実績データの認定者数R7見込は559人ですが、第1回策定委員会資料及び素案は令和7年度末561人としています（第1号被保険者3,240人は一致）。基準日の違いか、いずれかが誤りかをご教示ください。</t>
  </si>
  <si>
    <t>第1回策定委員会資料
素案 第2章
認定者数の推計</t>
  </si>
  <si>
    <t>2人の差。認定率の記載に影響する。</t>
  </si>
  <si>
    <t>45</t>
  </si>
  <si>
    <t>認知症サポーター・キャラバンメイトの最新値</t>
  </si>
  <si>
    <t>実績データではサポーター累計R7見込642名・キャラバンメイト80名ですが、素案及び委員会資料は550名・73名（令和3年度・令和2年度の値）を使用しています。最新値への更新の可否をご確認ください。</t>
  </si>
  <si>
    <t>素案 第6章（認知症施策）
第1回策定委員会資料</t>
  </si>
  <si>
    <t>確認事項No.43⑥（累計と受講者の不整合）の解消が前提。</t>
  </si>
  <si>
    <t>46</t>
  </si>
  <si>
    <t>チームオレンジの整備状況</t>
  </si>
  <si>
    <t>実績データではチームオレンジの整備状況がR6以降「1（整備）」となっていますが、素案及び委員会資料は「未整備・第10期で新規整備」と記述しています。整備済みであれば記述を是正します。整備の実態をご教示ください。</t>
  </si>
  <si>
    <t>素案 第6章（認知症施策）
第1回策定委員会資料
第10期の重点施策</t>
  </si>
  <si>
    <t>整備済みの場合、第10期の重点施策の組立てが変わる。</t>
  </si>
  <si>
    <t>47</t>
  </si>
  <si>
    <t>介護予防サポーターの人数の集計範囲</t>
  </si>
  <si>
    <t>実績データの02シートは介護予防サロン49人・スマイルサポーター23人・ふれあいネットワーク10〜11人としていますが、地域福祉計画の資料は84名・40名・活動員15名／協力員130名としており、素案は地福資料の「14種別 約400名」を使用しています。集計範囲の違いをご教示ください。</t>
  </si>
  <si>
    <t>素案 第2章・第5章（担い手）
第1回策定委員会資料</t>
  </si>
  <si>
    <t>同時策定の地域福祉計画との整合（確認事項No.20）に関連する。</t>
  </si>
  <si>
    <t>48</t>
  </si>
  <si>
    <t>所得段階の記述の是正（既に13段階を実施済み）</t>
  </si>
  <si>
    <t>実績データにより所得段階数はR2〜R5が9段階、R6以降が13段階と確認しました（第9期計画書95頁も13段階）。素案の「9段階から13段階等への見直しを検討します」は既に実施済みの内容であるため、第10期は乗率の調整を論点とする記述に是正します。</t>
  </si>
  <si>
    <t>計画素案 第7章（保険料）
保険料試算ワークブック</t>
  </si>
  <si>
    <t>実績データ及び第9期計画書により確定。素案Ver.1.9で是正する。／素案Ver.1.9で是正済み。第2章の記述と第7章の該当節（見出しを含む5箇所）を、「令和6年度に13段階へ移行済みであり、第10期の論点は乗率の設定である」と改めた。</t>
  </si>
  <si>
    <t>49</t>
  </si>
  <si>
    <t>策定委員会の回数と答申の確定時期</t>
  </si>
  <si>
    <t>第1回策定委員会では、第2回（令和8年11月頃）で骨子案、第3回（令和9年1月）で素案提示及び答申内容の確定、その後パブリックコメント・議会審議という段取りが示されました。第1回資料の策定スケジュール（案）は第4回（令和9年2月・答申書案／議会への説明）を含む4回構成としていたため、3回構成で確定するかご確認をお願いします。3回構成の場合、保険料3パターンの提示から決定までを第3回で完結させる必要があります。</t>
  </si>
  <si>
    <t>策定スケジュール
保険料試算の提示時期
サービス見込量の確定時期
第2回・第3回委員会資料</t>
  </si>
  <si>
    <t>確認事項No.4を更新。3回構成なら国保連データの入手は11月中が必要。</t>
  </si>
  <si>
    <t>50</t>
  </si>
  <si>
    <t>介護人材の不足と事業所の運営状況</t>
  </si>
  <si>
    <t>第1回策定委員会において、委員（社会福祉法人理事長）から、職員の退職により前年度に1ユニット分の人員を削減したこと、現在利用者87名に対し職員80名であること、今後7月に職員数が50名となる見込みで施設運営が困難になる可能性があること、町外からの人材紹介に1件約100万円の紹介料が生じていることが報告されました。サービス見込量及び見込量確保のための方策の検討に不可欠のため、該当事業所・サービス種類・定員・稼働状況の確認をお願いします。</t>
  </si>
  <si>
    <t>サービス見込量の推計（仕様書6（5））
見込量確保のための方策
素案 第5章・第6章</t>
  </si>
  <si>
    <t>供給制約が第9期の給付費平坦（R6→R7で▲0.7％）の要因である可能性。資料提供依頼No.12（事業所・施設の定員及び稼働の実績）と一体。</t>
  </si>
  <si>
    <t>51</t>
  </si>
  <si>
    <t>訪問介護の登録ヘルパー数と実働数</t>
  </si>
  <si>
    <t>第1回策定委員会において、訪問介護は町内で登録21名に対し実働4名で対応しており、広大な地域での移動負担が大きいとの現状が共有されました。在宅サービスの供給余力の評価に用いるため、数値の出典と時点をご教示ください。</t>
  </si>
  <si>
    <t>サービス見込量（訪問介護）
在宅生活継続支援の施策
素案 第5章 5-3</t>
  </si>
  <si>
    <t>入所からの在宅復帰に対し訪問看護等の体制が不十分との指摘とあわせて確認。</t>
  </si>
  <si>
    <t>52</t>
  </si>
  <si>
    <t>町長期総合計画の基本理念との関係</t>
  </si>
  <si>
    <t>第1回策定委員会において事務局から、現行の基本理念「誰もが健やかに暮らせるまちづくり」は町の長期総合計画（10年計画・継続中）の基本理念の一つであるため、第10期でもこのまま継承することが適当ではないかとの見解が示されました。素案第1章の計画の位置づけに明記するため、総合計画の名称・計画期間・基本理念の該当箇所をご教示ください。</t>
  </si>
  <si>
    <t>計画素案 第1章（計画の位置づけ）
第4章（基本理念）
第2回委員会資料</t>
  </si>
  <si>
    <t>基本理念は継承の方向で整理。素案Ver.1.9で総合計画との関係を追記する。</t>
  </si>
  <si>
    <t>53</t>
  </si>
  <si>
    <t>第2回委員会資料の様式と事前配布の期限</t>
  </si>
  <si>
    <t>第1回策定委員会のアクションアイテムとして、事務局が第2回に向けて分野別課題の整理と、複数の解決策の選択肢を委員が選びやすい形で提示することとされました。第2回資料は、分析の提示ではなく選択肢の提示（課題→選択肢A／B／C）として組み立てます。また第2回以降の資料は事前に委員へ郵送又は手渡しで配布する方針が示されたため、納品期限のご確認をお願いします。</t>
  </si>
  <si>
    <t>第2回委員会資料
計画骨子（素案）
ニーズ調査結果報告書</t>
  </si>
  <si>
    <t>11月開催なら10月下旬までの納品が必要。</t>
  </si>
  <si>
    <t>54</t>
  </si>
  <si>
    <t>介護報酬の前倒し見直し及び赤字事業者への補助に係る国の動向</t>
  </si>
  <si>
    <t>第1回策定委員会において、委員から介護報酬の前倒し見直しや赤字事業者への補助に関する報道・方針について情報提供を求める発言があり、事務局・受託者とも詳細は未把握と回答し、情報が入り次第、委員会で共有することとされました。保険料試算は令和9年度に報酬改定があることを前提としているため、前倒し改定があれば基準年（令和8年度）の実績が変動します。</t>
  </si>
  <si>
    <t>保険料試算
サービス見込量（単価）
第3回委員会資料</t>
  </si>
  <si>
    <t>受託者・発注者</t>
  </si>
  <si>
    <t>受託者が随時確認する。資料提供依頼No.14（第10期の政令改正の内容）と一体。</t>
  </si>
  <si>
    <t>55</t>
  </si>
  <si>
    <t>(1)(7)</t>
  </si>
  <si>
    <t>施設入所の申込みに係る数値の表記の訂正</t>
  </si>
  <si>
    <t>第1回策定委員会において「施設入居申し込み済みの割合が約半数」「単身世帯の申し込み率約86.1％」と説明されましたが、正しくは、すでに申込済みが33.8％、検討しているが14.4％で、両者の計が48.2％です（n＝139）。単身世帯も、申込済みは69.4％、検討を含めて86.1％です。申込済みの規模は施設・居住系サービスの見込量に直結するため、議事録及び第2回資料で「申込済み」と「検討＋申込済み」を明確に区別します。</t>
  </si>
  <si>
    <t>議事録
第2回委員会資料
サービス見込量（施設・居住系）
素案 第6章</t>
  </si>
  <si>
    <t>介護実態調査結果報告書 R8.9.2版の値が正。第2回資料で統一表記とする。</t>
  </si>
  <si>
    <t>56</t>
  </si>
  <si>
    <t>保険料の表記の統一と県内順位</t>
  </si>
  <si>
    <t>第1回策定委員会において、保険料が「月額6,508円（年額78,000円）」と「月額6,500円」の両方で説明されました。確認事項No.24のとおり、算定表上の基準額が月額6,508円、第5段階の保険料月額が6,500円（年額78,000円÷12）です。また県内順位は「高い方から9番目」と説明されましたが、川崎町6,500円より高い団体が9市町村あり、川崎町は村田町・丸森町と同額で第10〜12位タイです。第2回資料以降は初出時に注記を付して統一します。</t>
  </si>
  <si>
    <t>議事録
第2回・第3回委員会資料
計画素案 第7章</t>
  </si>
  <si>
    <t>県内最高6,950円（登米市）・最低4,000円（大河原町）は当社分析と一致。</t>
  </si>
  <si>
    <t>57</t>
  </si>
  <si>
    <t>第1回策定委員会資料の交付金評価 目標別内訳の訂正</t>
  </si>
  <si>
    <t>資料4の「令和8年度評価の目標別内訳」は7行の表としていますが、支援交付金の目標Ⅳ（アウトカム）40点が脱落しています。アウトカム指標は推進交付金と支援交付金の双方に同じ40点が計上されるため正しくは8行で、7行の合計488点は表に記載した合計528点と一致していません。第2回策定委員会資料で8行に訂正します（推進計252点＋支援計276点＝528点）。</t>
  </si>
  <si>
    <t>議事録
第2回委員会資料
素案 第3章（第9期の評価）</t>
  </si>
  <si>
    <t>全国集計結果（令和8年度）の全項目照合により判明。アウトカムは800点中80点（10％）であり、資料は重みを過小に見せていた。</t>
  </si>
  <si>
    <t>58</t>
  </si>
  <si>
    <t>交付金評価「評価結果の活用」が16点から0点となった理由</t>
  </si>
  <si>
    <t>保険者機能強化推進交付金の目標Ⅰ（ⅰ）「4 評価結果の活用」のア〜エは、令和7年度評価では各4点の満点16点でしたが、令和8年度評価では4項目とも0点となっています。令和7年度から令和8年度への合計得点の減少37点のうち、単独で最大の要因です。提出内容や様式の変更の有無を含め、理由をご確認ください。第10期計画のKPI管理表及びサービス別の計画値・実績値対比表により回復可能な項目です。</t>
  </si>
  <si>
    <t>第9期の評価（仕様書6（4））
第2回委員会資料
素案 第9章（KPI管理表）</t>
  </si>
  <si>
    <t>目標Ⅰは75点→57点（▲18点）。ほかに活動指標群で▲6点。</t>
  </si>
  <si>
    <t>59</t>
  </si>
  <si>
    <t>交付金評価「給付費適正化事業の取組状況」が6点から0点となった理由</t>
  </si>
  <si>
    <t>保険者機能強化推進交付金の目標Ⅱ（ⅰ）「給付費適正化事業の取組状況 ア」は、令和7年度評価の6点から令和8年度評価で0点となっています。目標Ⅱは88点から82点に低下しました。理由をご確認ください。</t>
  </si>
  <si>
    <t>第9期の評価（仕様書6（4））
給付実績分析（仕様書6（6））
第2回委員会資料</t>
  </si>
  <si>
    <t>医療情報との突合の実施状況を含む指標群。</t>
  </si>
  <si>
    <t>60</t>
  </si>
  <si>
    <t>地域包括ケア「見える化」システムの推計ツールの利用</t>
  </si>
  <si>
    <t>第10期のサービス見込量は、地域包括ケア「見える化」システムの推計ツール（自然体推計）により算定し、同システムへ登録することが前提となります。厚生労働省『自然体推計の計算過程確認シートのガイド』により推計の枠組みを確認しました。町のシステム利用の可否、操作を担当される方、及び受託者による支援の範囲についてご確認をお願いします。</t>
  </si>
  <si>
    <t>サービス見込量の推計（仕様書6（5））
保険料試算
素案 第7章</t>
  </si>
  <si>
    <t>第3回で答申を確定する段取りのため、令和8年12月までに推計を終える必要がある。／令和8年9月2日に県から第1回目の入力依頼があり、提出期間は令和8年9月30日9時〜10月5日18時。利用可否の確認は至急となった。</t>
  </si>
  <si>
    <t>61</t>
  </si>
  <si>
    <t>第10期の第1号被保険者負担割合</t>
  </si>
  <si>
    <t>自然体推計ガイドの係数表では、第1号被保険者負担割合は第9期が23.00％、令和12年度が24.00％とされています。第10期（令和9〜11年度）の割合は政令で定められます。当社の概算試算は23％を用いており、24％となった場合は保険料基準額が月額約322円上昇します（中位・基金50％取崩で7,023円→約7,345円）。国の政令の内容が判明次第、試算に反映します。</t>
  </si>
  <si>
    <t>保険料試算
素案 第7章
第3回委員会資料</t>
  </si>
  <si>
    <t>受託者が随時確認する。資料提供依頼No.14（第10期の政令改正の内容）と一体。／素案Ver.1.10では23％で試算し、24％となった場合の影響（パターンBで7,023円→約7,345円）を表46 Step3に明記した。／第9期将来推計総括表の係数表では令和6〜8年度23％・令和12年度24％だが、令和9〜11年度の列は存在しない。令和12年度以降は中期推計用の仮置き（5年ごとに1ポイント）であり、第10期が24％になる根拠ではない。試算は23％・24％の両方を示す。／【確定】第10期将来推計総括表（令和8年9月8日出力）の参考係数に令和9・10・11年度の第1号被保険者負担割合が明示されており、いずれも23％。同表の第1号被保険者負担分相当額806,237,000円も（標準給付費見込額3,360,589,310円＋地域支援事業費144,790,360円）×23％と一致する。24％の想定は不要となったため、素案第9章の試算は23％に一本化する。</t>
  </si>
  <si>
    <t>62</t>
  </si>
  <si>
    <t>自然体推計に対する施策反映の方針</t>
  </si>
  <si>
    <t>自然体推計は、要介護認定率・サービス利用率・1人1月あたり利用回（日）数について直近年度の実績が継続すると仮定するものです。第9期計画の見込量が3か年ほぼ同値なのはこの仕様によるもので、施策反映を加えていないためです。第10期では、①介護予防の強化による認定率の抑制、②在宅サービスの利用勧奨、③施設・居住系の整備量の変更、④サービス提供体制の制約 をどこまで見込量に反映させるかが論点となります。とくに④は自然体推計では表現できず、事業所ヒアリングによる供給可能量の把握が前提となります。</t>
  </si>
  <si>
    <t>サービス見込量の推計
素案 第7章
第2回委員会資料（選択事項2・3）</t>
  </si>
  <si>
    <t>確認事項No.50・51（事業所ヒアリング）と一体。第2回策定委員会でお諮りする。</t>
  </si>
  <si>
    <t>63</t>
  </si>
  <si>
    <t>介護報酬の中山間地域等の加算の対象地域と算定状況</t>
  </si>
  <si>
    <t>川崎町は過疎地域の持続的発展の支援に関する特別措置法第2条第1項の過疎地域（全部過疎）に指定されています。過疎地域は、介護報酬の「中山間地域等における小規模事業所加算」（＋10％）及び「中山間地域等に居住する者へのサービス提供加算」（＋5％）の対象地域となり得ます。①宮城県が示す対象地域一覧に川崎町が含まれるか、②町内・近接の事業所が現に算定しているか（体制届・国保連データ）をご確認ください。とくに訪問介護の小規模事業所加算は令和7年5月から取得要件が弾力化されており（1月の総訪問回数がおおむね200回以下・400回程度以下でよい）、登録21名・実働4名という町内の状況では算定できる可能性があります。</t>
  </si>
  <si>
    <t>サービス見込量の推計
保険料試算
素案 第7章
第2回委員会資料（選択2）</t>
  </si>
  <si>
    <t>発注者・宮城県長寿社会政策課</t>
  </si>
  <si>
    <t>算定が進むと給付費が増え保険料も上がる一方、加算がなければ事業所が撤退する。第2回策定委員会でお諮りする選択事項として整理する。</t>
  </si>
  <si>
    <t>64</t>
  </si>
  <si>
    <t>訪問介護等サービス提供体制確保支援事業ほか県事業の実施状況</t>
  </si>
  <si>
    <t>地域医療介護総合確保基金（介護従事者確保分）の「訪問介護等サービス提供体制確保支援事業」を宮城県が令和8年度に実施しているか、また高知県の「中山間地域介護サービス確保対策事業費補助金」のような中山間地域の事業所を対象とする県単独事業があるかをご確認ください。あわせて、介護テクノロジー導入支援事業（補助率最大3/4）、介護人材確保・職場環境改善等事業補助金、外国人介護人材受入施設等環境整備事業費補助金の令和8年度の公募状況を町内事業所に周知する必要があります。</t>
  </si>
  <si>
    <t>素案 第7章
第2回委員会資料（選択4）
事業所ヒアリング</t>
  </si>
  <si>
    <t>県の基金事業は事業所が申請主体であり、町の役割は周知と申請支援。事業所ヒアリングの設問に「活用中の補助金」「知らなかった補助金」を入れる。</t>
  </si>
  <si>
    <t>65</t>
  </si>
  <si>
    <t>過疎地域持続的発展市町村計画と過疎債ソフト分の枠</t>
  </si>
  <si>
    <t>介護人材確保の町単独事業は地域支援事業の対象外であり一般財源を要しますが、過疎対策事業債（ソフト分）は充当率100％・元利償還金の70％が交付税措置されます（実質負担3割）。同計画の記載事項には「子育て環境の確保並びに高齢者等の保健及び福祉の向上及び増進」があり、介護人材の確保・育成を位置づけられます。①現行の過疎地域持続的発展市町村計画の計画期間と記載内容、②介護人材確保が位置づけられているか、③過疎債ソフト分の発行限度額の残余 をご確認ください。</t>
  </si>
  <si>
    <t>素案 第7章
第2回委員会資料（選択4）
令和9年度当初予算</t>
  </si>
  <si>
    <t>発注者（企画・財政課）</t>
  </si>
  <si>
    <t>位置づけがなければ、第10期計画の策定と併せて過疎計画の変更を検討する。第10期の計画期間（R9〜R11）と過疎計画の期間の突合が必要。</t>
  </si>
  <si>
    <t>66</t>
  </si>
  <si>
    <t>豪雪地帯・振興山村・特定農山村・辺地の指定の有無</t>
  </si>
  <si>
    <t>介護報酬の中山間地域等の加算の対象地域は、過疎地域のほか、豪雪地帯対策特別措置法の豪雪地帯・特別豪雪地帯、山村振興法の振興山村、特定農山村法の特定農山村地域、辺地等を根拠とします。川崎町の指定状況をご確認ください。辺地に該当する集落があれば辺地対策事業債の対象にもなります。</t>
  </si>
  <si>
    <t>素案 第2章（地域特性）
素案 第7章</t>
  </si>
  <si>
    <t>確認事項No.63と一体。素案第2章は現在、過疎地域指定に触れていないため追記が必要。</t>
  </si>
  <si>
    <t>67</t>
  </si>
  <si>
    <t>移住定住施策と介護人材確保の接続</t>
  </si>
  <si>
    <t>地方創生移住支援事業は、支援対象業種に医療・福祉等のエッセンシャルワーカーが位置づけられています。①川崎町の移住支援金の対象業種に介護・福祉職が含まれているか、②地域おこし協力隊・集落支援員の受入状況、③地域プロジェクトマネージャー（1人最大650万円・特別交付税措置）の活用の可否 をご確認ください。町は移住定住サイト（かわさきぐらし）を運営しており、介護人材確保と接続する素地があります。</t>
  </si>
  <si>
    <t>素案 第7章
第2回委員会資料（選択4）</t>
  </si>
  <si>
    <t>発注者（企画課）</t>
  </si>
  <si>
    <t>中期的には特定地域づくり事業協同組合（介護＋農業＋観光のマルチワーカー、派遣職員人件費上限400万円/人年）の検討につながる。</t>
  </si>
  <si>
    <t>68</t>
  </si>
  <si>
    <t>事業所の補助金活用状況（ヒアリング項目）</t>
  </si>
  <si>
    <t>事業所ヒアリング（確認事項No.50・51）の設問に、①現在活用している補助金・助成金、②活用したいが要件・手続が分からないもの、③人材紹介会社への支払の実態（第1回策定委員会で「紹介料100万円」とのご発言がありました）を加えることをご提案します。県の基金メニューで代替できる部分がないかを確認するためです。</t>
  </si>
  <si>
    <t>事業所ヒアリング様式
素案 第7章
第2回委員会資料（第2部）</t>
  </si>
  <si>
    <t>確認事項No.50・51と一体。9月中の様式提出に含める。</t>
  </si>
  <si>
    <t>69</t>
  </si>
  <si>
    <t>介護給付適正化事業の区分と実施の考え方</t>
  </si>
  <si>
    <t>素案Ver.1.12の第8章8-2に、介護給付適正化の5事業（要介護認定の適正化、ケアプランの点検、医療情報との突合・縦覧点検、福祉用具・住宅改修等の点検、介護給付費通知）を掲載しました。国は事業区分の整理を進めており、第10期の区分は国の基本指針の確定を待つ必要があります。あわせて、①現在実施している事業、②ケアプラン点検の年間件数、③医療情報との突合の実施状況（交付金の減点項目）をご確認ください。令和8年度の交付金評価では「給付費適正化事業の取組状況」が6点から0点となっています。</t>
  </si>
  <si>
    <t>素案 第8章8-2
第2回委員会資料</t>
  </si>
  <si>
    <t>国の基本指針が確定した段階で受託者が区分を整理する。</t>
  </si>
  <si>
    <t>70</t>
  </si>
  <si>
    <t>KPI管理表の集計担当・集計方法・頻度</t>
  </si>
  <si>
    <t>素案Ver.1.12の第10章10-4にKPI管理表を新設し、主要13指標について区分・現状値・目標値・集計担当／方法・頻度を掲載しました。第9期計画の指標は集計担当・方法・頻度・出典が定められておらず、実績を確認できない指標が残りました。各指標の集計担当（保健福祉課・地域包括支援センター・社会福祉協議会の別）と、集計方法・頻度をご確認ください。現状値が【町確認】の指標については、記録様式を整備する年度もあわせてご検討ください。</t>
  </si>
  <si>
    <t>素案 第10章10-4
第2回委員会資料
第9期実績一覧</t>
  </si>
  <si>
    <t>確認事項No.8・34（第9期の事業実績）と一体。保険者機能強化推進交付金の「評価結果の活用」（令和8年度16点→0点）の回復に直結する。</t>
  </si>
  <si>
    <t>71</t>
  </si>
  <si>
    <t>見える化システムの代行入力の可否とアカウント運用</t>
  </si>
  <si>
    <t>見える化システムの将来推計機能は自治体アカウントを要すると解されますが、受託者が保険者アカウントで代行入力してよいかは公開情報から確認できませんでした。①ID発行の申請経路（県経由か国か）、②1保険者あたりの発行数、③受託者による代行入力の可否と利用規約上の第三者利用の制限 を、県又は国のヘルプデスクにご照会ください。第9期の「業者に作ってもらった」が数値の作成までか、システム入力までかも判別できていません。一次資料は『地域分析の手引き（令和8年3月改訂版）別添1 見える化システムのログイン方法について』です。</t>
  </si>
  <si>
    <t>見える化システムへの入力
第1回目提出（R8.10.5）</t>
  </si>
  <si>
    <t>本件が決まらないと「第9期と同様に依頼してよいか」に確答できない。最優先。／令和8年9月8日、当社が入力まで行う前提で進めることとした（貴社のご指示）。県への照会はアカウントの発行・貸与の手続に絞る。／事務連絡の留意事項に、庁舎内のセキュリティ等で将来推計機能が使用できない保険者は「自然体推計結果確認シート」で推計し「報告様式エクセルファイル」で都道府県に報告し、都道府県が保険者に代わってシステムに登録する取扱いが示されている。ただし報告様式エクセルは「真にやむを得ない事情があると都道府県が判断した場合のみ」。当社が代行入力する前提で進めるが、アカウントの扱いで支障が出た場合の第2案となる。必要なマニュアルは「地方公共団体向け利用マニュアル【システム操作編②将来推計】第10.0版」及び「地域分析の手引き ５．将来推計について」。</t>
  </si>
  <si>
    <t>72</t>
  </si>
  <si>
    <t>第2回目以降の入力の時期と入力範囲</t>
  </si>
  <si>
    <t>県メールは「第1回目」の依頼であり、提出期間は令和8年9月30日9時〜10月5日18時です。第2回目以降の時期と各回の入力範囲（実績値のみか、見込量・給付費・保険料まで含むか）、提出様式、県による突合の有無は、県の事務連絡原本にしか記載がない可能性が高く、公開資料からは特定できませんでした。参考：第9期は保険料算定の諸係数が介護保険最新情報Vol.1190（令和5年12月22日）で示されています。</t>
  </si>
  <si>
    <t>作業工程
第2回・第3回策定委員会の日程</t>
  </si>
  <si>
    <t>委託仕様書6(3)の「策定委員会4回」とは別物であり、町内での説明時に区別する。／令和8年9月8日、厚生労働省の事務連絡（令和8年9月1日・老健局介護保険計画課）を受領。国の提出期間は令和8年9月30日9時〜10月13日18時（厳守）で、宮城県が市町村に示した10月5日18時は県の集計・確認作業のための前倒し締切と判明した。9月30日に都道府県向け機能がリリースされ、それ以降でないと保険者は提出できない。提出は「推計の状況」のステータスを「完了」にすることで行う。ただし第2回目以降の時期・内容は本事務連絡にも記載がなく、引き続き確認を要する。</t>
  </si>
  <si>
    <t>73</t>
  </si>
  <si>
    <t>第10期の中期推計の対象年度</t>
  </si>
  <si>
    <t>第9期の将来推計総括表の中期推計は令和12・17・22・27・32年度でした。これは2030・2035・2040・2045・2050年という暦年アンカーであり、計画期の3年ずれに連動しません（自然体推計ガイド8頁）。第10期でも同じ年度のままか、2040年度を軸に組み替えるかをご確認ください。当社が従前「令和15・20・25年度に読み替わる」としていたのは誤りであり、訂正します。</t>
  </si>
  <si>
    <t>素案 第9章
将来推計総括表</t>
  </si>
  <si>
    <t>宮城県長寿社会政策課</t>
  </si>
  <si>
    <t>委託仕様書6(5)の「10年間」（令和9〜18年度）では2040年度に届かず、範囲にギャップがある。／【確定】第10期将来推計総括表（令和8年9月8日出力）の中期推計欄は令和12・17・22・27・32年度であり、第9期から据え置かれている。2030・2035・2040・2045・2050年という暦年アンカーであることが裏づけられた。素案第9章の将来推計もこの年度で記載する。</t>
  </si>
  <si>
    <t>74</t>
  </si>
  <si>
    <t>見える化システムへの入力の役割分担</t>
  </si>
  <si>
    <t>町から「将来推計総括表の地域支援事業については町で入力します」とのお話がありました。一方、委託仕様書6(5)は地域支援事業に要する費用の額・量の見込み（①〜⑤）を受託者の業務と規定しています。「見込量の算出＝受託者」「システムへの入力操作＝町」と作業を分けて合意させていただきたく存じます。なお地域支援事業費のうち介護予防・日常生活支援総合事業費は調整交付金相当額の算定基礎に入り、包括的支援事業費は入らないため、区分ごとの額が保険料に直接効きます。町が入力される場合も、当社で検算いたします。</t>
  </si>
  <si>
    <t>見える化システムへの入力
素案 第9章</t>
  </si>
  <si>
    <t>第9期の入力値は総合事業8,520千円/年・包括的支援事業等22,000千円/年。決算実績（R6 41,871／R7 42,040千円）と大きく乖離しており、区分の定義のすり合わせが必要。／令和8年9月8日、当社が入力まで行う前提で進めることとした（貴社のご指示）。地域支援事業費の区分は令和6年度決算により確定（総合事業11,090,195円＝構成比26.5％、包括的支援事業・任意事業30,792,643円、計41,887,038円）。</t>
  </si>
  <si>
    <t>75</t>
  </si>
  <si>
    <t>見える化システムの所得段階別被保険者数が9段階のまま</t>
  </si>
  <si>
    <t>第10期将来推計総括表（令和8年9月8日出力）の所得段階別被保険者数は第1〜9段階のみに9,238人が入力されており、第10〜13段階が0人です。川崎町は第9期から13段階制を採用しており、令和6年度年報 様式1の実績では第10段階180人・第11段階92人・第12段階33人・第13段階27人があります。この結果、補正後被保険者数の補正係数が0.9667（実績は1.00559）と低く出ており、保険料基準額が約295円過大に算定されています（7,257円→約6,962円）。第1回目の入力で13段階に是正していただく必要があります。なお段階別の人数は所得段階別の実績を機械的に反映するもので、政策判断を伴いません。</t>
  </si>
  <si>
    <t>見える化システム 第1回目提出（R8.10.5）
素案 第9章 保険料試算</t>
  </si>
  <si>
    <t>影響額▲295円。是正の効果が最も大きく、かつ実績値の反映にすぎないため最優先で処理する。／【令和8年9月16日】当社の独立算定では年報の実績（13段階）により確定済み（確認事項No.10）。見える化システム側は第10〜13段階が0人のままであり、「保険料額の算定 ①所得段階別第1号被保険者数」の画面への入力が必要。令和9〜11年度の割付値は`川崎町_新推計パターン_設定値一式_R8.9.11.xlsx` の⑦シートに記載済み。</t>
  </si>
  <si>
    <t>76</t>
  </si>
  <si>
    <t>令和8年度の給付費が0になっているサービスが12件ある</t>
  </si>
  <si>
    <t>第10期将来推計総括表の令和8年度で給付費が0となっているサービスが12件あり、令和9〜11年度も0のまま推計されています（住宅改修費、特定福祉用具購入費、訪問入浴介護 ほか）。令和6・7年度の実績（年報・月報）には計上があるため、システム上の過年度データの欠落と考えられます。0のまま提出すると第10期の3年間これらのサービスを実施しない計画となり、保険料は約65円過小に算定されます。令和6・7年度の実績平均で補完することを提案します。</t>
  </si>
  <si>
    <t>見える化システム 第1回目提出（R8.10.5）
素案 第6章 サービス見込量</t>
  </si>
  <si>
    <t>影響額＋65円。町で月報の入力漏れがないかもあわせてご確認いただきたい。／【令和8年9月16日】当社の独立算定は令和7年度（完結年度）を基準としており、令和8年度が0であることの影響を受けない。見える化システム側は新しい推計パターンの作成により是正する。</t>
  </si>
  <si>
    <t>77</t>
  </si>
  <si>
    <t>地域支援事業費の令和11年度の空欄と決算との不一致</t>
  </si>
  <si>
    <t>第10期将来推計総括表の地域支援事業費について、①令和11年度の3項目が空欄で介護予防・日常生活支援総合事業費が令和10年度の約3分の1になっている、②包括的支援事業（社会保障充実分）が599,744円とほぼ0（第9期は9,000千円）、③総額が令和6年度決算と5,042,622円（12％）合わない、の3点があります。①は保険料に約11円、②は約31円効きます。総合事業費は調整交付金相当額（5％）の算定基礎に入り、包括的支援事業費は入らないため、区分ごとの正しい額が必要です。町で入力される部分ですので、決算の区分をご教示ください。</t>
  </si>
  <si>
    <t>見える化システム 第1回目提出（R8.10.5）
素案 第7章 地域支援事業</t>
  </si>
  <si>
    <t>影響額＋11円＋31円。確認事項No.74（役割分担）と一体。認知症初期集中支援・認知症地域支援・地域ケア会議の決算額が0になっている点を特に確認したい。／【令和8年9月16日】令和11年度の入力漏れ（約4,300千円）は当社の算定では補完済み。素案Ver.1.17の地域支援事業費はこの補完後の値。</t>
  </si>
  <si>
    <t>78</t>
  </si>
  <si>
    <t>調整交付金見込交付割合6.14％の妥当性</t>
  </si>
  <si>
    <t>第10期将来推計総括表の調整交付金見込交付割合が6.14％となっています。第9期は3.92〜4.56％、令和6年度の交付実績は4.892％であり、大幅に高い設定です。また後期高齢者加入割合補正係数は第9期より低下しているにもかかわらず交付割合が上昇しており、整合しません。システムの初期値か、国の新しい係数によるものかを県にご照会ください。第9期並みの4.9％とした場合は保険料が約319円上振れするため、影響が大きい項目です。</t>
  </si>
  <si>
    <t>影響額±319円。所得段階の是正（▲295円）とほぼ相殺する規模のため、両者を同時に確定させたい。</t>
  </si>
  <si>
    <t>79</t>
  </si>
  <si>
    <t>自然体推計の伸び率の選択期間と令和8年度の実績見込みの扱い</t>
  </si>
  <si>
    <t>第10期将来推計総括表は伸び率の選択期間が「令和3年度→令和8年度」となっており、給付費の基準値も令和8年度です。ただし令和8年度は月報4か月分しか実績がなく、年間額はシステムの推計値です。当社としては、令和8年度で0になっている12サービスのみ令和6・7年度平均で補完し、その他は令和8年度のシステム値を維持する案（案1）を推奨します。第1回目は実績値の欠落を埋めることに限定し、見込量の政策的な上乗せは第2回目以降に回す整理でよろしいかご確認ください。</t>
  </si>
  <si>
    <t>見える化システム 第1回目提出（R8.10.5）
素案 第6章・第9章</t>
  </si>
  <si>
    <t>第1回目と第2回目以降で修正の性格を分けることが、県との往復を減らす鍵になる。</t>
  </si>
  <si>
    <t>80</t>
  </si>
  <si>
    <t>在宅サービスの利用回（日）数が令和8年5月ベースで固定されている</t>
  </si>
  <si>
    <t>見える化システムの施策反映画面に、在宅サービスの1人1月あたり利用回（日）数が令和8年5月時点の値で凍結されています。施設・居住系の画面にある「自然体推計に全て戻す」ボタンが在宅の利用回（日）数の画面にはないため、画面上では解除できません。新しい推計パターンを作成して令和7年度基準で組み直すことをご提案します。設定値一式（8シート・14ステップ）をお渡ししています。</t>
  </si>
  <si>
    <t>見える化システム 第1回目提出
素案 第9章 サービス見込量</t>
  </si>
  <si>
    <t>当社の独立算定は年報を基礎としており本件の影響を受けない。県への提出用にシステム側で再現する際に必要となる。新パターンでの見通しは月額約6,851円。</t>
  </si>
  <si>
    <t>81</t>
  </si>
  <si>
    <t>予定保険料収納率を96.0％から引き上げるか</t>
  </si>
  <si>
    <t>本算定は第9期と同じ96.0％を用いています。令和7年度の年報では現年度分99.56％・総合収納率96.7％であり、総合収納率の水準に照らすと96.0％は安全側の置き方です。99.6％を採ると保険料基準額は月額247円下がります。どの水準を採るかをご判断ください。</t>
  </si>
  <si>
    <t>素案 第9章 保険料算定
第3回策定委員会資料</t>
  </si>
  <si>
    <t>影響額▲247円。滞納繰越分を含む総合収納率で置くのが通例。</t>
  </si>
  <si>
    <t>82</t>
  </si>
  <si>
    <t>中長期推計（令和17年度・令和22年度）の掲載範囲</t>
  </si>
  <si>
    <t>社会福祉法等の一部を改正する法律（令和8年法律第51号）により、中長期のサービス見通しを計画に定めることが求められます。素案Ver.1.17では、認定者数・サービス見込量・総給付費を令和17年度及び令和22年度まで掲げました。標準給付費見込額・地域支援事業費・保険料は、割増率と地域支援事業費の水準を13年先まで置けないため掲げていません。この範囲でよいかをご確認ください。</t>
  </si>
  <si>
    <t>素案 第2章2-3・第9章9-1・9-2</t>
  </si>
  <si>
    <t>見える化システムの総括表は令和22年度まで出力がある。令和27年度・令和32年度まで広げることも可能。</t>
  </si>
  <si>
    <t>83</t>
  </si>
  <si>
    <t>計画書の頁数（成果品は100頁程度）</t>
  </si>
  <si>
    <t>仕様書8は計画書を100頁程度としていますが、素案Ver.1.17は全67頁です。①資料編（条例・委員名簿・用語解説・アンケート結果の抜粋等）を付す、②図表を増やす、③本文を増補する、のいずれで100頁に近づけるか、方針をご指示ください。</t>
  </si>
  <si>
    <t>成果品4 計画書
成果品6 電子データ</t>
  </si>
  <si>
    <t>資料編の構成案・素案は作成済み（`川崎町_資料編_構成案・素案.docx`）。資料編を付すと20〜25頁程度増える見込み。</t>
  </si>
  <si>
    <t>84</t>
  </si>
  <si>
    <t>目次の頁番号の組版</t>
  </si>
  <si>
    <t>素案Ver.1.17で目次の頁番号（全56行）を記入しました。LibreOfficeで組版した結果（全67頁）によるものです。お手元のWordでは版面設定・フォントの置換により頁が前後する可能性がありますので、一度ご確認ください。</t>
  </si>
  <si>
    <t>素案 目次</t>
  </si>
  <si>
    <t>図表の差替え・加筆があったときは`fill_toc_pages_v117.py` を実行し直せば作り直せる。</t>
  </si>
  <si>
    <t>85</t>
  </si>
  <si>
    <t>第2回策定委員会の開催日と諮る事項</t>
  </si>
  <si>
    <t>第2回策定委員会は令和8年11月の予定としていますが、開催日が未定です。諮る事項は①サービス見込量・給付費の確定値②保険料の3パターンと準備基金の取崩方針③施設整備の予定、を想定しています。開催日と審議事項をご確認ください。</t>
  </si>
  <si>
    <t>第2回策定委員会資料
第2回委員会想定問答集</t>
  </si>
  <si>
    <t>骨子案・構成案は作成済み。準備基金の令和8年度末残高が確定していれば保険料を確定値で諮れる。</t>
  </si>
  <si>
    <t>86</t>
  </si>
  <si>
    <t>認知症基本法の条番号（当社の誤りの訂正）</t>
  </si>
  <si>
    <t>素案Ver.1.17まで、市町村認知症施策推進計画の根拠を認知症基本法第14条、基本的施策を第15条〜第21条の7項目としていましたが、いずれも1条ずつずれていました。正しくは市町村計画が第13条、基本的施策が第14条〜第21条の8項目で、第21条「認知症の予防等」が対応表から欠落していました。Ver.1.18で是正しましたが、当環境からe-Gov法令検索に接続できないため、官報又はe-Govで条番号の最終確認をお願いします。あわせて宮城県の認知症施策推進計画（法第12条）の策定状況をご教示ください。</t>
  </si>
  <si>
    <t>素案 第1章・第6章
第1回想定問答集
第2回策定委員会資料</t>
  </si>
  <si>
    <t>当社の誤り。令和8年6月の素案v1.7で置いた記載を条文に当たらずに流用していたことによる。第1回想定問答集・第2回資料・意見管理シートにも波及しており、次回改訂時に併せて直す。／【確定・令和8年9月16日】条文（令和5年法律第65号）及び厚生労働省の概要資料（社会保障審議会介護保険部会 第107回 資料4）を受領し、条番号を確認した。市町村計画は第13条、基本的施策は第14条〜第21条の8項目で、Ver.1.18の是正は条文どおりであった。あわせて①意見聴取の根拠は「第13条第3項において準用する第12条第3項」であること、②第22条以降を外す理由は主語が「国は」であること、③第15条の例示は移動のための交通手段の確保・交通の安全の確保・見守り体制の整備であること、の3件を是正し、法が求める手続5件（調和・公表・実施状況の評価と公表・5年ごとの検討・評価時の意見聴取）と第9条（認知症の日・認知症月間）・第16条第2項（若年性認知症）・第7条（事業者の責務）を素案Ver.1.19に加えた。条文と概要資料は 09_元資料/法令/ に保存した。宮城県の認知症施策推進計画（法第12条）の策定状況は引き続きご確認願う。</t>
  </si>
  <si>
    <t>87</t>
  </si>
  <si>
    <t>町提供実績データ08シートでは、チームオレンジの整備状況が令和6年度・令和7年度見込とも「1」（整備済み）となっています。一方、素案第3章は「未整備」、第6章は「整備する」としており、三様になっていました。Ver.1.18では町データに合わせて「整備済み（令和6年度〜）。第10期は活動の充実とチーム数の拡大」に改めています。整備済みでよろしいか、チーム数・メンバー数とあわせてご確認ください。</t>
  </si>
  <si>
    <t>素案 第3章3-2-6・第6章6-3
第2回策定委員会資料</t>
  </si>
  <si>
    <t>整備済みであれば重点施策J-2は「整備」ではなく「活動の充実」となり、KPIも整備の有無ではなくチーム数・支援件数で管理することになる。</t>
  </si>
  <si>
    <t>88</t>
  </si>
  <si>
    <t>認知症地域支援推進員が令和5年度以降0人となっている件</t>
  </si>
  <si>
    <t>町提供実績データ08シートの「認知症地域支援推進員 人数」は、令和4年度に2人配置された後、令和5・6年度及び令和7年度見込がいずれも0人となっています。認知症地域支援推進員の配置は認知症総合支援事業（包括的支援事業）の必須事業です。①入力の誤りか、②兼務のため人数として計上していないのか、③実際に配置されていないのか、をご確認ください。</t>
  </si>
  <si>
    <t>素案 第6章6-2（表43）
第9章9-1 地域支援事業
保険者機能強化推進交付金の評価</t>
  </si>
  <si>
    <t>③の場合は必須事業の未実施となり、交付金評価にも影響する。第10期計画に配置の年度と人数を明記する必要がある。</t>
  </si>
  <si>
    <t>89</t>
  </si>
  <si>
    <t>認知症初期集中支援チームの訪問件数の減少</t>
  </si>
  <si>
    <t>訪問件数が令和5年度80件、令和6年度42件、令和7年度見込12件と2年で85％減少しています。チーム員会議は毎年12回開かれており、対象者も8〜12人で推移しているため、1人あたりの訪問回数が8.9回から1.5回に下がっています。減少の理由（対象者の状況・チーム員の異動・医療機関との連携の変化等）をご教示ください。</t>
  </si>
  <si>
    <t>素案 第6章6-3（重点施策J-4）
第3章3-2-6</t>
  </si>
  <si>
    <t>重点施策J-4「早期発見・早期対応の体制強化」を活動量の回復を含む形で組み立てる必要がある。</t>
  </si>
  <si>
    <t>90</t>
  </si>
  <si>
    <t>(3)(7)</t>
  </si>
  <si>
    <t>認知症の人及び家族からの意見聴取の対象者と時期</t>
  </si>
  <si>
    <t>認知症基本法第13条第3項は、市町村計画の策定に当たり認知症の人及びその家族等の意見を聴くよう努めることを定めています。これは計画の策定手続であり、計画書案の作成前に完了している必要があります。対象者（認知症カフェ「喫茶みかん」の参加者・初期集中支援チームの対象者等）と実施時期をお決めください。当社は聴取の様式と進め方の案をご提供します。</t>
  </si>
  <si>
    <t>素案 第6章6-1・6-3
計画書案（令和8年12月）</t>
  </si>
  <si>
    <t>第3回策定委員会（令和9年1月）に間に合わない場合、法第13条第3項の努力義務を満たしたと説明できない。</t>
  </si>
  <si>
    <t>91</t>
  </si>
  <si>
    <t>認知症対応型通所介護の見込量を0とするか</t>
  </si>
  <si>
    <t>令和6年度に実績があり令和7年度に実績がなかったため、当社の算定では第10期の見込量を0としています。町提供実績データ13シートの当該欄も未記入です。認知症施策を拡充する計画において認知症専用の通所サービスを0と見込むことの整合について、①0のまま（通常の通所介護で対応する方針を明記）、②令和6年度実績で置き直す、③第10期に整備する、のいずれかをご判断ください。</t>
  </si>
  <si>
    <t>素案 第9章9-1（地域密着型サービスの見込量）
第6章6-3</t>
  </si>
  <si>
    <t>併せて、認知症対応型共同生活介護の町内定員（第9期計画値は月27.0人＝3ユニット相当）を確認事項No.29でご確認願う。令和17年度29.5人／月・令和22年度31.3人／月と27人を上回る。</t>
  </si>
  <si>
    <t>92</t>
  </si>
  <si>
    <t>認知症の日・認知症月間の事業及び行事の位置付け</t>
  </si>
  <si>
    <t>認知症基本法第9条は、9月21日を認知症の日、9月1日から30日までを認知症月間と定め、地方公共団体に対し、認知症の日にその趣旨にふさわしい事業を実施するよう努めること及び認知症月間にふさわしい行事が実施されるよう奨励することを求めています。本町には現在これに当たる取組がありません。認知症カフェ「喫茶みかん」やサポーター養成講座を9月に集中させる等、既存の事業で対応できる余地があります。第10期計画での位置付けをご判断ください。</t>
  </si>
  <si>
    <t>素案 第6章6-1・6-3（KPI）</t>
  </si>
  <si>
    <t>素案Ver.1.18までは「世界アルツハイマー月間」としていたが、これは国際的な呼称であり法定の認知症の日・認知症月間とは別のもの。Ver.1.19で法定の名称に改めた。</t>
  </si>
  <si>
    <t>93</t>
  </si>
  <si>
    <t>計画の公表・実施状況の評価と公表・評価時の意見聴取の仕組み</t>
  </si>
  <si>
    <t>認知症基本法第13条第3項が準用する第12条第4項〜第7項は、①計画の公表、②適時の実施状況の評価と結果の公表、③少なくとも5年ごとの検討、④評価の結果の取りまとめを行おうとする場合の意見聴取を市町村に求めています。第9期計画では①〜④とも行っていませんでした。第10章（推進体制・進行管理）にどう位置付けるかをご協議ください。</t>
  </si>
  <si>
    <t>素案 第6章6-1・第10章10-2・10-3</t>
  </si>
  <si>
    <t>④は保険者機能強化推進交付金の評価指標「進捗状況の評価に当たり認知症の当事者の意見を聴いているか」と同内容であり、法の求めに応えることが得点にもつながる。</t>
  </si>
  <si>
    <t>94</t>
  </si>
  <si>
    <t>認知症サポーター数の正（交付金577人／町データ642人）</t>
  </si>
  <si>
    <t>保険者機能強化推進交付金の集計では令和7年3月31日時点577人（都道府県実施分を除く）、町提供実績データ08シートでは令和7年度見込の累計642人となっており、食い違っています。また年間受講者数（令和3〜7年度で41人）と累計の増（97人）も整合しません。KPIに用いる数をどちらとするかをご判断ください。</t>
  </si>
  <si>
    <t>素案 第3章表25・第6章表44・表46（KPI）</t>
  </si>
  <si>
    <t>高齢者人口10万人当たりでは、サポーター数は全国1,592位である一方、ステップアップ講座修了者数は188位（全国平均の2.5倍）。本町の強みは人数ではなく担い手の層にある。</t>
  </si>
  <si>
    <t>95</t>
  </si>
  <si>
    <t>若年性認知症の人への支援を計画に位置付けるか</t>
  </si>
  <si>
    <t>認知症基本法第16条第2項は、若年性認知症の人（65歳未満で認知症となった者）その他の認知症の人の意欲及び能力に応じた雇用の継続・円滑な就職に資するよう、事業主に対する啓発及び知識の普及等の施策を求めています。素案には若年性認知症への言及がありません。本町における該当者の把握状況とあわせてご確認ください。</t>
  </si>
  <si>
    <t>素案 第6章6-2（表44 第16条）</t>
  </si>
  <si>
    <t>介護保険の第2号被保険者（40〜64歳）の認定者に含まれる。年報様式1の5では第2号被保険者の認定者数のみ把握できる。</t>
  </si>
  <si>
    <t>96</t>
  </si>
  <si>
    <t>認知症初期集中支援チームの訪問件数に目標値を置くか</t>
  </si>
  <si>
    <t>第9章9-1に新設した認知症施策に係る地域支援事業の量の見込みは、令和7年度見込（訪問件数12件）の水準を延ばしたものです。令和5年度は80件でしたので、活動量の回復を図る場合は目標値を別に定める必要があります。確認事項No.89（減少の理由）とあわせてご判断ください。</t>
  </si>
  <si>
    <t>素案 第9章9-1（認知症施策に係る地域支援事業の量の見込み）
第6章6-3（重点施策J-4）</t>
  </si>
  <si>
    <t>認知症基本法第21条第2項の「早期発見、早期診断及び早期対応の推進」に当たる事業であり、法の求めに直接対応する。</t>
  </si>
  <si>
    <t>97</t>
  </si>
  <si>
    <t>(2)(7)</t>
  </si>
  <si>
    <t>在宅介護実態調査 本編の「要介護３～5では本人回答33.3％・本人以外67.7％」の書き換え</t>
  </si>
  <si>
    <t>本編4章の注記は、文面どおり読むと「要介護3〜5の票を回答者別に分けた割合」となりますが、その値は15.2％（12件）・84.8％（67件）です。記載の33.3％は本人が回答した36件のうち要介護3〜5の割合、67.7％は本人以外が回答した99件のうちの割合で、分母が別々のため合計が101.0％になります。同じ注記の2文前では本人以外を101件としており、分母が101と99に割れています。当社の修正案（主語と分母を明示する書き方）でよろしいかご確認ください。</t>
  </si>
  <si>
    <t>在宅介護実態調査 結果報告書 本編（4章の注記）</t>
  </si>
  <si>
    <t>数値そのものは個票と一致しており、直すのは文章のみ。2章の要約・14章の総括にも同じ趣旨の記述があるため併せて確認する。</t>
  </si>
  <si>
    <t>98</t>
  </si>
  <si>
    <t>(2)(5)</t>
  </si>
  <si>
    <t>在宅介護実態調査 表5-7「評価」欄の扱い（分母により結論が逆転する）</t>
  </si>
  <si>
    <t>表5-7は回答者142件を分母として在宅認定者約369人に外挿し、通所リハビリテーションを「調査は実績の約1/3」と評価しています。しかしA問8の有効回答数（46件）を分母にすると約128人となり、実績125.0人とほぼ一致します。一方で訪問介護は約36人→約126人（実績33.9人）、通所介護は約75人→約223人（実績54.0人）と大幅な過大に転じます。①「評価」欄を削除し捕捉状況の確認にとどめる、②分母2通りを併記する、のいずれかをご判断ください。当社は①を推奨します。</t>
  </si>
  <si>
    <t>在宅介護実態調査 結果報告書 本編（表5-7・11章④・12章）</t>
  </si>
  <si>
    <t>11章④・12章の「サービス利用の偏り」は、確認事項の指定事業所の有無（本編[P410]の町確認）の結果を待って書き直すことになるため、そこまで判断を保留するのが一貫する。</t>
  </si>
  <si>
    <t>99</t>
  </si>
  <si>
    <t>ニーズ調査「自由記述のあった24件はすべて子又は孫との同居」の訂正</t>
  </si>
  <si>
    <t>個票の自由記述24件を全数確認したところ、明確に子又は孫との同居と読めるのは19件、構成が特定できないものが4件（「７人家族」「５人」「3世帯」「親子２人暮らし」）、子・孫との同居ではないものが1件（「母と二人」）でした。また「その他」136件のうち自由記述があったのは24件（17.6％）にとどまるため、これを136件全体に及ぼして「子世代と同居する世帯は約47％」とすることはできません。当社の修正案でよろしいかご確認ください。</t>
  </si>
  <si>
    <t>ニーズ調査 結果報告書（２章（４－４））</t>
  </si>
  <si>
    <t>計画素案が同じ読み替えを引用していないかを併せて確認する。</t>
  </si>
  <si>
    <t>100</t>
  </si>
  <si>
    <t>ニーズ調査 表95「全て非参加」の操作定義の訂正</t>
  </si>
  <si>
    <t>注記は「8活動すべてに『参加していない』と回答した人」としていますが、実際の集計は「回答のあった活動がすべて『参加していない』である人」（無回答の活動があっても含む）です。注記どおりに集計するとn=510・χ²=80.562・V=0.397となり、報告書の表95（n=513・χ²=76.385・V=0.386）と一致しません。表の数値が正しいため、直すのは注記の文言です。</t>
  </si>
  <si>
    <t>ニーズ調査 結果報告書（３章（１）３－10）</t>
  </si>
  <si>
    <t>当社が個票から再計算したχ²検定9件のうち、表の値と注記の定義が食い違うのはこの1件のみ。他の8件は値・自由度・Cramér's V・nまで完全に一致した。</t>
  </si>
  <si>
    <t>101</t>
  </si>
  <si>
    <t>3文書の目次の生成とファイル名・作成者情報の整理</t>
  </si>
  <si>
    <t>ニーズ調査と本編の目次フィールドに結果が入っておらず、開いても「目次」の1行だけです（資料編は生成済み・60項目・全42頁）。Word上でF9による更新が必要です。あわせて、①ニーズ調査に本文が空の見出しが1件残っていること（更新すると空白行に頁番号が付く）、②目次に載らない節見出しがあること（本編2章の(1)〜(8)、ニーズ調査の「まとめ」等5件）、③docxのプロパティに個人名が残っていること、④ファイル名に「髙橋修正_山内補正_」が付いたままであること、をご確認ください。</t>
  </si>
  <si>
    <t>3文書すべて</t>
  </si>
  <si>
    <t>対応中</t>
  </si>
  <si>
    <t>①〜④は当社で修正版を作成する。目次の生成はWord上の操作のため、納品前に実機で確認する。</t>
  </si>
  <si>
    <t>102</t>
  </si>
  <si>
    <t>ニーズ調査 表73のキャプション位置と図番号2組の入れ替わり</t>
  </si>
  <si>
    <t>①表73のキャプションが表の下に置かれています（103表中この1表のみ）。読者には表73のキャプションが表74のものに見えます。②図24と図25（入れ歯の手入れ／体重減少）、図63と図64（会った友人・知人の人数／友人・知人の関係）が、文書上の並び順に対して番号が逆になっています。図番号は全73点で欠番・重複はなく、この2組のみです。</t>
  </si>
  <si>
    <t>ニーズ調査 結果報告書（表72〜表74、図24・25、図63・64）</t>
  </si>
  <si>
    <t>いずれも編集時のブロック入れ替えの取り残しと思われる。当社で修正版を作成する。</t>
  </si>
  <si>
    <t>103</t>
  </si>
  <si>
    <t>表記の統一（要支援・要介護の数字／波ダッシュ／調査名）</t>
  </si>
  <si>
    <t>①本編に「要支援１・2」「要介護１～5」「要介護３～5」と半角数字が混じる箇所が7つあります（表10-1・[P16]・[P255]・[P322]・[P42]・[P100]・[P311]）。資料編の同じ記載は「要支援１・要支援２／要介護１〜要介護５」と全角で正しく書かれています。②資料編の本文16箇所だけ波ダッシュがU+301C（〜）で、同じ資料編の表227箇所・他2文書のU+FF5E（～）と別の文字です。③資料編[P78]が本編を「介護実態調査 結果報告書（本編）」と呼んでいますが、本編の表題は「在宅介護実態調査 結果報告書」です。</t>
  </si>
  <si>
    <t>在宅介護実態調査 本編・資料編</t>
  </si>
  <si>
    <t>②は同じ「85～89歳」が文字として一致せず、機械的な突合ができない。</t>
  </si>
  <si>
    <t>104</t>
  </si>
  <si>
    <t>(2)(3)</t>
  </si>
  <si>
    <t>報告書に残る【町確認】10件の回答</t>
  </si>
  <si>
    <t>3文書に置かれた【町確認】は次の10件です。①配布通数・回収通数（無効票を含む返送総数）、②有効票の判定基準、③抽出方法（無作為抽出の有無・抽出母集団の基準日）、④A問7の基準月（設問文が「令和8年○月」のまま）、⑤在宅介護実態調査の調査期間、⑥町内・近隣の夜間対応型訪問介護・定期巡回・看多機の指定事業所の有無、⑦特別養護老人ホームの入所申込者名簿との対照、⑧ニーズ調査の属性情報が町のシステムに残っているか（後日突合の可否）、⑨委員会の正式名称（条例上は「介護保険運営委員会」）、⑩ニーズ調査の表紙画像の差し替え（委員会名が「高齢者福祉計画…」となっている）。第2回策定委員会（令和8年11月）までに回答をお願いします。</t>
  </si>
  <si>
    <t>3文書すべて
第2回策定委員会資料</t>
  </si>
  <si>
    <t>①③⑤は調査の概要として報告書の冒頭に記載する事項。⑥は本編11章④・12章の「サービス利用の偏り」の書きぶりを左右する。</t>
  </si>
  <si>
    <t>105</t>
  </si>
  <si>
    <t>施策体系をどの案とするか（第2回策定委員会の選択1）</t>
  </si>
  <si>
    <t>町からご提示いただいた「施策・事業の体系（案）」は第9期の5本の基本方針に地域マネジメントを加えた6章12節28項117事業の構成です。当社の計画素案は課題を起点とした6つの基本目標により体系化しており、章立てが異なります。Ａ体系（案）をそのまま用いる、Ｂ計画素案の6基本目標による、Ｃ体系（案）の章立てを基本とし認知症施策のみ独立章に引き上げる、のいずれかをご選択ください。当社はＣを推奨します。</t>
  </si>
  <si>
    <t>素案 第4章4-4・第5章・第6章
第2回策定委員会資料 選択1</t>
  </si>
  <si>
    <t>【R8.9.25 ご回答】Ｃ案で進めることとなった。全7章17節37項140事業の統合体系表を作成し（`05_試算・管理シート/川崎町_第10期_施策事業統合体系表_R8.9.25.xlsx`）、計画書掲載用の体系表と計画素案Ver.1.21に反映した。体系（案）の117事業は1件も落とさず、新規23件を加えている。第2回策定委員会でのご承認をいただく。</t>
  </si>
  <si>
    <t>106</t>
  </si>
  <si>
    <t>家族介護者への支援（柱3 第1節3）の財源</t>
  </si>
  <si>
    <t>統合体系表では、柱3（地域生活を支援する取り組みの充実）第1節に「3 家族介護者への支援」を新設し、6事業を置きました。このうち(1)家族介護教室・(2)家族介護者の相談交流の場・(3)レスパイトの利用支援は、町が既に実施している介護用品（紙おむつ等）の支給と一体で、地域支援事業（任意事業）の家族介護支援事業として実施できます。一方、(4)介護離職の防止・仕事と介護の両立支援は町単独事業となり、地域支援事業の対象外です（第1号保険料では賄えません）。(1)〜(3)を任意事業として実施するかをご判断ください。</t>
  </si>
  <si>
    <t>素案 第5章5-3（表37・表38）
施策・事業の体系（案）</t>
  </si>
  <si>
    <t>【R8.9.25 更新】置き場所はＣ案の決定により柱3に確定。残る論点は財源（任意事業とするか町単独とするか）。介護者の高齢化対策（レスパイト）の主たる対象は本人が男性の世帯・夫婦のみ世帯、両立支援の主たる対象は本人が女性の世帯で、逆になる。</t>
  </si>
  <si>
    <t>107</t>
  </si>
  <si>
    <t>移動支援3事業の利用情報の一元化の所管</t>
  </si>
  <si>
    <t>統合体系表では、柱3 第1節1の(1)外出支援サービス（移送サービス）事業・(2)デマンド型乗合タクシーの運行・(3)町民バスの運行の3事業に【重点】を付し、「移動支援の再構築」として一体で運用する整理としました。事業は体系（案）のとおり3本のまま並記しています。所管が地域振興課・社会福祉協議会・NPO法人に分かれているため、住民への周知と利用情報の一元化をどの課が担うかをご調整ください。</t>
  </si>
  <si>
    <t>素案 第5章5-2（表35 事業2-3）
施策・事業の体系（案）第3章第1節</t>
  </si>
  <si>
    <t>【R8.9.25 更新】束ねるか並記するかはＣ案の決定により「3本のまま並記し【重点】で束ねる」に確定。残る論点は一元化の所管。認知症基本法第15条（移動のための交通手段の確保）の対応として柱5 第3節1(7)に再掲している。</t>
  </si>
  <si>
    <t>108</t>
  </si>
  <si>
    <t>地域マネジメントに「計画値と実績値の乖離のモニタリングと公表」を加えるか</t>
  </si>
  <si>
    <t>統合体系表では、柱7（地域マネジメントに関する事項）に「8 計画値と実績値の乖離のモニタリングと公表」を独立の項として置きました。体系（案）の7項に「7 自立支援・重度化防止に向けた目標と指標」があるため、これに含めるか、8として独立させるかをご判断ください。あわせて「9 町外施設利用・住所地特例への対応」も新たに置いています。</t>
  </si>
  <si>
    <t>素案 第8章8-3
施策・事業の体系（案）第6章</t>
  </si>
  <si>
    <t>【R8.9.25 更新】統合体系表では8・9として独立させた。令和8年度の保険者機能強化推進交付金で「評価結果の活用」が令和7年度の満点16点から0点となったことへの対応であり、独立させた方が計画上の位置付けが明確になる。</t>
  </si>
  <si>
    <t>109</t>
  </si>
  <si>
    <t>KPIを140事業のすべてに置くか、重点事業に限るか</t>
  </si>
  <si>
    <t>統合体系表では、重点事業29件にKPI候補を置いています（通いの場参加率、認知症初期集中支援チーム訪問件数、家族介護教室の開催回数、乖離の公表の有無 等）。140事業すべてに置くと管理が現実的でなくなるおそれがあるため、①重点事業に限る（現行案）、②章ごとに代表指標を置く、③全事業に置く、のいずれかをご判断ください。</t>
  </si>
  <si>
    <t>素案 第10章10-4（KPI管理表）
第2回策定委員会資料 表24</t>
  </si>
  <si>
    <t>【R8.9.25 更新】統合体系表のKPI候補欄に29件を記入済み。第9期の評価指標は集計担当・集計方法・集計頻度・出典が定められておらず実績を確認できていない指標があった。第10期では各指標に7項目を必ず付す。</t>
  </si>
  <si>
    <t>110</t>
  </si>
  <si>
    <t>在宅系サービスの外挿値の扱い（分母により結論が逆転する）</t>
  </si>
  <si>
    <t>在宅介護実態調査 表5-7 は回答者142件を分母として在宅認定者約369人に外挿し、通所リハビリテーションを「調査は実績の約1/3」と評価しています。しかしA問8の有効回答数（46件）を分母にすると約128人となり、実績125.0人とほぼ一致します。一方で訪問介護は約36人→約126人（実績33.9人）、通所介護は約75人→約223人（実績54.0人）と大幅な過大に転じます。①「評価」欄を削除し捕捉状況の確認にとどめる、②分母2通りを併記する、のいずれかをご判断ください。当社は①を推奨します。</t>
  </si>
  <si>
    <t>在宅介護実態調査 本編（表5-7・11章④・12章）
第2回策定委員会資料 選択3</t>
  </si>
  <si>
    <t>確認事項No.98と同一の論点。町内及び近隣の指定事業所の有無（No.104⑥）の回答と併せて判断する。</t>
  </si>
  <si>
    <t>111</t>
  </si>
  <si>
    <t>「単身世帯かつ家族介護なし」24件の突合の可否</t>
  </si>
  <si>
    <t>施設入所の申込みは、要介護度の重さよりも世帯の状況と強く関連しています。世帯類型と家族介護の有無で層化すると、「単身世帯かつ家族介護なし」の24件中20件（83.3％）が申込済みで最も高く、施策の対象を絞る際の第一候補となります。この24件について、地域包括支援センターの相談記録及びケアマネジャーの把握と突き合わせることの可否をご確認ください。調査は無記名のため、個票からの特定はできません。</t>
  </si>
  <si>
    <t>素案 第2章2-6（施設入所の申込みは何によって分かれるか）
第5章5-3</t>
  </si>
  <si>
    <t>関連の強さ（Cramér's V）は家族介護の有無0.460・サービス利用0.361・世帯類型0.342・要介護度0.286。ポイント差では世帯類型（単身69.4％対その他18.6％＝50.8ポイント）が最大。</t>
  </si>
  <si>
    <t>112</t>
  </si>
  <si>
    <t>認知症施策の8基本的施策のうち対応する事業がない2条の扱い</t>
  </si>
  <si>
    <t>体系（案）第4章第3節（認知症施策の推進・3項14事業）を認知症基本法第14条から第21条までの8基本的施策に当てはめると、節の中で対応するのは第14条（理解の増進）・第18条（提供体制）・第19条（相談体制）・第21条（予防等）の4条です。第15条（バリアフリー化）と第17条（意思決定支援・権利利益の保護）は他の章の事業に分散し、第16条（社会参加の機会の確保。若年性認知症の人の雇用の継続を含む）と第20条（研究等の推進）に対応する事業がありません。第16条・第20条に当たる事業を新設するかをご判断ください。</t>
  </si>
  <si>
    <t>素案 第6章6-2（表43）
施策・事業の体系（案）第4章第3節</t>
  </si>
  <si>
    <t>【R8.9.25 対応】統合体系表の柱5（認知症施策の推進）に第1節（計画の策定・推進の手続）・第5節（社会参加・権利利益の保護）・第6節（認知症の日・認知症月間）を新設し、新規13事業を置いた。これにより第14条から第21条までの8基本的施策すべてに対応する事業が揃った。第15条の移動手段・交通の安全は柱3・柱2の事業を再掲する形で対応。第16条（若年性認知症）はNo.95、第9条（認知症の日・月間）はNo.92で引き続き町のご判断を待つ。</t>
  </si>
  <si>
    <t>113</t>
  </si>
  <si>
    <t>統合体系表の所管の確定（7事業）</t>
  </si>
  <si>
    <t>統合体系表の「所管」欄に【町確認】を付した次の事業について、担当課をご教示ください。①歩道のバリアフリー化の推進、②ユニバーサルデザインに配慮した公共施設等の整備（以上 建設担当課）、③避難行動要支援者マニュアルの作成、④地域の防火・防災対策の推進（以上 総務担当課）、⑤生涯学習の推進、⑥高齢者の健康づくり・スポーツ活動の振興、⑦企業・学校等における認知症サポーターの養成（以上 教育委員会）。</t>
  </si>
  <si>
    <t>統合体系表（全140事業）
素案 第5章・第6章</t>
  </si>
  <si>
    <t>計画書の「主な事業」表に所管を掲げるため、課の正式名称を確認する必要がある。</t>
  </si>
  <si>
    <t>114</t>
  </si>
  <si>
    <t>「感染症対策の推進」の事業名と内容</t>
  </si>
  <si>
    <t>町ご提示の施策・事業の体系（案）では、第1章第1節3「感染症対策の推進」に事業名の記載がありませんでした。統合体系表では仮に「(1)高齢者の感染症予防と発生時の対応」としています。実施内容（高齢者の予防接種、施設内感染対策の支援、感染症発生時のサービス継続支援等）と事業名をご教示ください。</t>
  </si>
  <si>
    <t>統合体系表 柱1 第1節3
素案 第5章5-1</t>
  </si>
  <si>
    <t>体系（案）で唯一、事業名が空欄であった項。</t>
  </si>
  <si>
    <t>115</t>
  </si>
  <si>
    <t>計画書 第5章の節構成をVer.2.0で組み替えることのご確認</t>
  </si>
  <si>
    <t>Ｃ案により施策体系を7つの柱で確定したため、計画書 第5章（施策の展開）の5つの節（基本目標1〜5に対応）を、7つの柱の章立てに合わせて組み替える必要があります。Ver.1.21では体系上の位置付けのみを確定し、節の組み替えと140事業の本文への展開はVer.2.0で行う予定です。この進め方でよろしいかご確認ください。あわせて、第6章（認知症施策推進計画）を柱5の6節構成に組み替えることになります。</t>
  </si>
  <si>
    <t>素案 第5章・第6章（Ver.2.0）</t>
  </si>
  <si>
    <t>Ver.1.21には第5章の5節と7つの柱の対応表を掲載済み。第9期の事業別実績（資料提供依頼No.34）の受領後に現状値とあわせて展開する。</t>
  </si>
  <si>
    <t>116</t>
  </si>
  <si>
    <t>交付金で評価されているが町の事業一覧にない3事業の内容</t>
  </si>
  <si>
    <t>令和8年度の交付金データを再解析したところ、交付金で高い評価を得ているにもかかわらず、町ご提示の施策・事業の体系（案）にも計画素案にも記載のない事業が3件ありました。事業内容をご教示ください。①難聴高齢者の早期発見・早期介入（支援 目標Ⅱ 20点満点・県内1位。宮城平均11.3点・全国平均6.9点）。実施方法・対象・件数。②介護予防ポイント事業（支援 目標Ⅰ「ポイント事業への参加率」3／4点・県内1位）。参加者数・ポイントの仕組み。③アウトリーチ等の取組（支援 目標Ⅰ 9点満点・県内1位）。対象者の抽出方法・訪問件数。</t>
  </si>
  <si>
    <t>統合体系表 柱4 第1節2(8)(9)・柱5 第2節1(4)
素案 第2章2-5・第6章6-3</t>
  </si>
  <si>
    <t>①は難聴が認知症の危険因子として国際的に確立していることから、認知症基本法第21条（認知症の予防等）の対応事業として柱5に位置付けた。全国平均の約3倍の評価であり本町の強み。③は調査で判明した「通いの場への参加意向55.2％に対し参加率15.9％」の開きを埋める手段として施策上の意味が大きい。</t>
  </si>
  <si>
    <t>117</t>
  </si>
  <si>
    <t>生活支援コーディネーターの地域ケア会議への参加を運用で確保できるか</t>
  </si>
  <si>
    <t>令和8年度の交付金評価では、「生活支援コーディネーター数」が4点満点で県内1位である一方、「生活支援コーディネーターの地域ケア会議への参加割合」は0点（配点4点・県内25位／35・宮城平均2.5点）でした。生活支援コーディネーター25名が配置されているため、自立支援型地域ケア会議への出席を運用で確保すれば得点できます。第10期で参加を位置付けてよろしいかご確認ください。</t>
  </si>
  <si>
    <t>統合体系表 柱4 第2節2(1)・第2節1(5)
素案 第5章5-5</t>
  </si>
  <si>
    <t>0点の9指標（計136点）のうち、最も手当てしやすい項目。</t>
  </si>
  <si>
    <t>118</t>
  </si>
  <si>
    <t>介護の仕事の魅力・定着に関する研修（計24点）を第10期に実施するか</t>
  </si>
  <si>
    <t>令和8年度の交付金評価では、推進 目標Ⅲ（介護人材の確保等）のうち「介護人材の確保・定着の取組状況」30点満点・「庁内・庁外における連携体制」34点満点でいずれも県内1位である一方、「介護の仕事の魅力に関する研修の実施状況」0点（配点12点・県内14位）、「介護人材の定着・資質向上に関する研修の実施状況」0点（配点12点・県内13位）でした。体制は整っているが研修の実施が2項目とも0点です。第10期で研修を実施するかをご判断ください。</t>
  </si>
  <si>
    <t>統合体系表 柱7 5
素案 第7章7-4
第2回策定委員会資料 選択4</t>
  </si>
  <si>
    <t>【R8.9.25b 更新】市町村分の再解析により、同規模（第1号被保険者3千〜1万人未満）かつ過疎地域該当の285保険者でも満点は15件・9件（3〜5％）にとどまり、213件・190件が0点であることが判明した。取れれば差がつくが、取れなくても同規模団体との比較では不利にならない。第2回策定委員会の選択4のご判断に委ねる。なお本町は3年連続で2項目とも0点である。</t>
  </si>
  <si>
    <t>119</t>
  </si>
  <si>
    <t>(6)(7)</t>
  </si>
  <si>
    <t>アウトカム指標の短期的な要介護度の変化が県内最下位級である要因</t>
  </si>
  <si>
    <t>令和8年度のアウトカム指標（配点100点・本町40点・県内28位）の内訳は、3年間の長期的な変化が県内8位・10位と上位である一方、直近1年の短期的な変化は県内31位・24位と下位です（短期的な要介護度の変化（要介護１・２）は0点・配点40点）。以前は改善していたものが直近で落ちていることを示唆しており、第9期の主要施策の効果が直近で落ちていないかをご確認ください。なお、要介護認定は全国一律の基準により行われるべきものであり、交付金の評価を考慮して認定を行うことは不適切である点に留意します。</t>
  </si>
  <si>
    <t>素案 第3章3-3・第8章8-3
第9期実績一覧</t>
  </si>
  <si>
    <t>自立支援型地域ケア会議（柱4 第2節1(5)）の対象者選定・ケアプラン点検（4／16点・県内13位）との関係も確認する。</t>
  </si>
  <si>
    <t>120</t>
  </si>
  <si>
    <t>宮城県の伴走支援を受けることの可否</t>
  </si>
  <si>
    <t>令和8年度の交付金（都道府県分）で、宮城県は令和7年度529点・全国22位から令和8年度587点・全国6位へ上昇しました。目標Ⅰ（ⅱ）5「伴走支援の実施回数」は8点満点（全国上位1割）であり、県は管内市町村への伴走支援の体制と実績を持っています。また、宮城県内35保険者の市町村平均は令和7年度418.9点から令和8年度497.5点へ1年で78.6点上昇しており（全国平均の上昇は20.1点）、本町の県内順位低下は県内の急伸によるところが大きい状況です。県の伴走支援を受けることの可否を県にご照会ください。</t>
  </si>
  <si>
    <t>素案 第3章3-3・第10章10-2
第2回策定委員会資料</t>
  </si>
  <si>
    <t>本町の得点向上は県の得点（目標Ⅰ（ⅱ）2 管内市町村平均点）にもなるため、県にとっても利がある。なお目標Ⅰ（ⅰ）2のオ「管内に著しく得点の低い市町村がない」の閾値は279.7点であり、本町528点は該当しない。</t>
  </si>
  <si>
    <t>121</t>
  </si>
  <si>
    <t>「評価結果の活用」（16点）が令和8年度に0点となった具体的な事情</t>
  </si>
  <si>
    <t>令和8年度の交付金評価で「評価結果の活用」は0点でしたが、令和6・7年度はいずれも16点満点でした。同規模（第1号被保険者3千〜1万人未満）かつ過疎地域該当の285保険者のうち110件（38.6％）が満点、一部取得を含めると83.9％が得点しており、0点の9指標のなかで最も配点が大きく、かつ取り戻しやすい項目です。ア〜オのどの要件が満たせなかったかをご教示ください。第8章8-3・8-4の仕組みに組み込みます。</t>
  </si>
  <si>
    <t>素案 第3章3-3・第8章8-3・8-4・第10章10-4</t>
  </si>
  <si>
    <t>【R8.9.28 更新】評価指標の本文（001732616.pdf 5〜6頁）と照合した結果、本町は枝番ア（年に1回以上、評価結果を庁内の関係者間で説明・共有する場がある）から0点であることが判明した。アは全国1,741保険者の83.1％が得点しており、本町も令和6・7年度は満点である。したがってご確認いただきたいのは、ア〜エのどれが満たせなかったかではなく、令和7年度に共有の場そのものが設けられたかどうかである。なお枝番イは「計画策定委員会等既存の会議体に議題を追加して報告」でよいとされており、第2回策定委員会で交付金の評価結果をご報告することがそのまま要件を満たす。</t>
  </si>
  <si>
    <t>122</t>
  </si>
  <si>
    <t>ケアプラン点検の実施状況（令和6年度8点→令和7・8年度4点）</t>
  </si>
  <si>
    <t>「ケアプラン点検の実施状況」は令和6年度8点から令和7・8年度は4／16点に下がり、全国平均6.4点を下回っています（県内13位）。計画素案は柱7 1（介護サービスの質の向上）・柱4 第2節3(1)（介護給付費等適正化事業）ほか複数箇所でケアプラン点検を施策として掲げていますので、点検件数と実施方法（自庁で行うか外部委嘱か）をご教示ください。あわせて「給付費適正化事業の取組状況」が36点から30点に落ちた項目もご確認ください。</t>
  </si>
  <si>
    <t>統合体系表 柱7 1・柱4 第2節3(1)
素案 第8章8-2</t>
  </si>
  <si>
    <t>「給付費適正化方策の策定状況」は3年連続32点満点・県内1位であり、方策は立っているが実施が伴っていない形。</t>
  </si>
  <si>
    <t>123</t>
  </si>
  <si>
    <t>PFS（成果連動型民間委託契約）を第10期で追わない方針でよろしいか</t>
  </si>
  <si>
    <t>「PFS委託事業数」は配点12点ですが、本町は3年連続0点です。同規模かつ過疎地域該当の285保険者のうち満点は1件のみで、269件（94.4％）が0点、全国平均も0.3点です。配点12点を追うより他の指標に手を入れるべきと考え、統合体系表・計画素案には位置付けていません。この方針でよろしいかご確認ください。</t>
  </si>
  <si>
    <t>統合体系表 柱7
素案 第3章3-3</t>
  </si>
  <si>
    <t>0点の9指標のうち、唯一「追わない」と整理した項目。他の8指標は取りに行く順序を素案3-3に定めた。</t>
  </si>
  <si>
    <t>124</t>
  </si>
  <si>
    <t>ACP（人生会議）の実施記録の有無</t>
  </si>
  <si>
    <t>「人生の最終段階における支援の実施状況」は配点16点で3年連続0点です。同規模かつ過疎地域該当の285保険者でも満点は3件（1.1％）・平均3.6点で全国平均6.4点を下回る、規模の小さい団体には取りにくい指標です。ただし157件が一部取得しています。計画素案5-3及び統合体系表 柱4 第2節1(6)はACP（人生会議）の普及を施策として掲げていますので、実施の記録（研修の開催、リーフレットの配布、相談件数等）の有無をご確認ください。記録を残す運用から始めます。あわせて「入退院支援の実施状況」（4／16点・県内23位）もご確認ください。</t>
  </si>
  <si>
    <t>統合体系表 柱4 第2節1(6)
素案 第5章5-3</t>
  </si>
  <si>
    <t>支援 目標Ⅲ（在宅医療・在宅介護連携）の体制3指標はいずれも満点・県内1位であり、体制は整っているが活動量が伴っていない。</t>
  </si>
  <si>
    <t>125</t>
  </si>
  <si>
    <t>(2)(6)</t>
  </si>
  <si>
    <t>ニーズ調査結果報告書の「（３）第9期調査との比較」を残すか</t>
  </si>
  <si>
    <t>ニーズ調査結果報告書[P618]〜[P629]の第9期調査との比較について、報告書本文に「配布数・回収数・回収率の違いなどから、比較対象とすべきものかについていささか疑問である。そのため、削除も検討する」との記述が残っています。①当該比較を残す（注記を書き改める）、②当該比較を削除する、のいずれとするかをご判断ください。残す場合は、増減の大きさをもって施策の効果を評価することはできない旨の注記に書き改めます。なお掲げられた6指標の増減ポイントの算術はいずれも正しいことを確認済みです。</t>
  </si>
  <si>
    <t>ニーズ調査結果報告書
計画素案 第3章・第11章</t>
  </si>
  <si>
    <t>現行の記述は編集途中の判断メモであり、町名義で公表する報告書には残せない。あわせて[P619]の「今回」欄／「第9期」欄の説明が逆になっている点も是正する。</t>
  </si>
  <si>
    <t>126</t>
  </si>
  <si>
    <t>在宅介護実態調査報告書の本編と資料編で割合の分母が異なる整理でよいか</t>
  </si>
  <si>
    <t>再修正版で資料編の割合の分母が「設問ごとの有効回答数」から「回答者数142（無回答・非該当を含む）」に変更されました。件数は本編と同一ですが、割合は一致しません（例：B問4「フルタイム」は本編30.7％（n=75）・資料編16.2％（n=142）。いずれも23件）。両文書とも「同じ集計結果を再掲した」と記載しているため、①この整理のまま、両文書に「件数は同一だが割合の分母が異なる」旨の相互注記を入れる、②資料編を本編と同じ分母に戻す、のいずれとするかをご判断ください。</t>
  </si>
  <si>
    <t>在宅介護実態調査結果報告書（本編・資料編）</t>
  </si>
  <si>
    <t>分母を固定して無回答・非該当を明示する資料編の方式自体は妥当。付表1は26表356項目すべて新方式で一致することを検算済み。①を推奨する。</t>
  </si>
  <si>
    <t>127</t>
  </si>
  <si>
    <t>介護給付適正化の3事業の実施状況</t>
  </si>
  <si>
    <t>令和8年度の交付金評価で、推進交付金 目標Ⅱ（ⅰ）2の枝番ア「３事業の全てを実施している」（配点6点）が0点でした。この項目は全国1,741保険者の96.9％（宮城県内91.4％）が得点しています。一方、同じ項目のイ〜オ（縦覧点検4帳票、有料老人ホーム等を含むケアプラン点検、福祉用具貸与後の点検の仕組み、福祉用具購入費等の妥当性検討の仕組み）は30点すべて満点であり、「給付費適正化方策の策定状況」（32点）も3年連続で満点です。３事業とは①要介護認定の適正化②ケアプラン等の点検③縦覧点検・医療情報との突合をいいます（「介護給付適正化計画」に関する指針 第二の(2)①）。３事業のうち実施していないものがあるか、あるいは実施しているが該当状況調査で「実施」と回答していないかをご確認ください。</t>
  </si>
  <si>
    <t>素案 第3章3-3・第8章8-2</t>
  </si>
  <si>
    <t>枝番の単位まで下ろして評価指標の本文と突き合わせたことにより新たに把握した失点。項目の単位では36点中30点を得ているため、これまでの「0点となった9指標」には含まれていなかった。「ケアプラン等の点検」は住宅改修の点検・福祉用具購入貸与調査でも足り、「縦覧点検・医療情報との突合」は国保連への委託でもよい。</t>
  </si>
  <si>
    <t>128</t>
  </si>
  <si>
    <t>成果指向型配分枠（配点100点）の本町の得点</t>
  </si>
  <si>
    <t>保険者機能強化推進交付金には、800点とは別に「成果指向型配分枠」（配点100点）があります（令和8年度評価指標 20頁）。単一の指標で「成果指向型の介護予防・健康づくりに関する取組を行っているか」を問うもので、①十分なデータに基づく地域分析②対象層の特定③客観的に評価できるアウトプット指標④効果検証できるアウトカム指標⑤両指標への具体的な目標値の5つが要件です。いずれも本計画が既に満たしています。ただし本枠は全国一覧表（001732614.xlsx）に含まれていないため、本町の得点を把握できません。宮城県を通じてご照会いただけますか。</t>
  </si>
  <si>
    <t>素案 第3章3-3・第10章10-4</t>
  </si>
  <si>
    <t>追加の事業も調査も要しないため、得点していない場合は該当状況調査での回答の仕方の問題となる。確認事項No.120（宮城県の伴走支援）とあわせて照会できる。</t>
  </si>
  <si>
    <t>129</t>
  </si>
  <si>
    <t>策定委員会の設置根拠（規則又は要綱）と規則上の名称</t>
  </si>
  <si>
    <t>計画書の資料編に策定委員会の設置根拠を掲げます。第9期計画の資料編は「川崎町介護保険運営委員会規則」を掲げていますが、今期は「高齢者保健福祉計画・介護保険事業計画策定委員会」の名称で運営いただいております。規則又は要綱の写しと、規則上の名称（改正の有無を含む）をご教示ください。</t>
  </si>
  <si>
    <t>計画書 資料編2・3
素案 第1章1-3</t>
  </si>
  <si>
    <t>第9期資料編の4項目（条例抜粋・規則・名簿・策定経過）は第10期も継承する。名称が規則と一致しない場合は、計画書の記載を規則に合わせる必要がある。</t>
  </si>
  <si>
    <t>130</t>
  </si>
  <si>
    <t>策定委員会 委員名簿と計画書への掲載の可否</t>
  </si>
  <si>
    <t>委員名簿（氏名・所属・区分）をご提供ください。第9期は資料編に掲載されています。個人情報の取扱い上、氏名を掲載するか所属のみとするかもご判断ください。</t>
  </si>
  <si>
    <t>計画書 資料編3</t>
  </si>
  <si>
    <t>第1回策定委員会（令和8年9月2日）の出席者は把握しているが、名簿は未受領。</t>
  </si>
  <si>
    <t>131</t>
  </si>
  <si>
    <t>策定委員会が答申を行うか。諮問書・答申書を掲げるか</t>
  </si>
  <si>
    <t>第9期計画の資料編には諮問書・答申書の掲載がありません。第10期で答申を行うか、行う場合に写しを計画書の別添に掲げるかをご判断ください。第3回策定委員会（令和9年1月）で答申の内容を確定する予定としています。</t>
  </si>
  <si>
    <t>計画書 資料編5
素案 第10章10-1</t>
  </si>
  <si>
    <t>答申を行う場合、第3回策定委員会の位置付けが「協議」から「答申」に変わる。</t>
  </si>
  <si>
    <t>132</t>
  </si>
  <si>
    <t>(7)(8)</t>
  </si>
  <si>
    <t>地域福祉計画・障害者計画の体系のご提供</t>
  </si>
  <si>
    <t>認知症基本法第13条第2項は、市町村計画が市町村地域福祉計画・市町村老人福祉計画・市町村介護保険事業計画その他の計画と調和が保たれたものでなければならないと定めています。3計画同時策定の機会に調和の整理表を作成しますので、地域福祉計画・障害者計画の体系（章節と施策の一覧）をご提供ください。</t>
  </si>
  <si>
    <t>計画書 資料編7
素案 第1章1-2・第5章5-4</t>
  </si>
  <si>
    <t>重層的支援体制整備事業（統合体系表 柱4 第2節1(8)）を軸に接続する。</t>
  </si>
  <si>
    <t>133</t>
  </si>
  <si>
    <t>(6)(8)</t>
  </si>
  <si>
    <t>第9期実績一覧を計画書の別添に掲げるか</t>
  </si>
  <si>
    <t>別添『川崎町_第9期実績一覧_町記入用.xlsx』（7シート35事業）について、ご記入の完了後、計画書の資料編に掲げるか内部資料にとどめるかをご判断ください。掲げる場合は3頁を要します。</t>
  </si>
  <si>
    <t>計画書 資料編27
素案 第3章3-2</t>
  </si>
  <si>
    <t>計画書は100頁程度（仕様書8）であり、本文88頁＋資料編13頁でほぼ上限に達する。</t>
  </si>
  <si>
    <t>134</t>
  </si>
  <si>
    <t>(1)(8)</t>
  </si>
  <si>
    <t>調査票2種類の原本（写し）のご提供</t>
  </si>
  <si>
    <t>ニーズ調査・在宅介護実態調査の調査票の原本（写し）をご提供ください。計画書の資料編に掲げる場合は4頁を要しますが、調査結果報告書（別成果品・80頁程度5部）に寄せる案もあります。どちらにするかもご判断ください。</t>
  </si>
  <si>
    <t>計画書 資料編18
調査報告書</t>
  </si>
  <si>
    <t>素案 第1章に「調査票の原本は別途添付する【町確認】」として記載済み。</t>
  </si>
  <si>
    <t>135</t>
  </si>
  <si>
    <t>日常生活圏域の区域図のご提供の可否</t>
  </si>
  <si>
    <t>本町は町全域が1つの日常生活圏域であるため、区域図を計画書に置くかは打合せで決めたいと考えています。置く場合は区域図（又は町域図）をご提供ください。</t>
  </si>
  <si>
    <t>計画書 資料編26
素案 第2章2-7</t>
  </si>
  <si>
    <t>圏域が1つであるため、図がなくても法定の記載は満たせる。</t>
  </si>
  <si>
    <t>136</t>
  </si>
  <si>
    <t>パブリックコメントの実施要領</t>
  </si>
  <si>
    <t>令和9年1〜2月に予定するパブリックコメントの実施要領（期間・方法・意見の受付方法・結果の公表方法）をご教示ください。結果と対応の様式を先に用意し、資料編に2頁を確保します。確認事項No.19の再掲です。</t>
  </si>
  <si>
    <t>計画書 資料編25
素案 第10章10-1</t>
  </si>
  <si>
    <t>認知症基本法第13条第3項が準用する第12条第4項（計画の公表）とも関係する。</t>
  </si>
  <si>
    <t>137</t>
  </si>
  <si>
    <t>認知症ケアパスの作成状況</t>
  </si>
  <si>
    <t>認知症ケアパス（認知症の状態に応じた適切なサービス提供の流れを示したもの）について、①作成しておられるか、②作成済みの場合の最終更新日、③配布の実績（どこに何部・誰に渡しているか）、④町ホームページへの掲載の有無をご教示ください。作成済みの場合は最新版の現物をご提供ください。⚠ 当社が保有する第9期計画（全108頁・`09_元資料/川崎町_第9期計画_04324.pdf`）には「ケアパス」の語がありませんが、町ホームページに掲げられた計画に「認知症ケアパスを普及する」旨の記載があるとのご指摘をいただいており、既存のケアパスがある可能性があります。未作成であれば新規、更新が止まっていれば更新、作成・周知済みであれば継続・改善として第6章に位置付けます。認知症施策推進基本計画のKPI 重点目標3のアウトプット指標7は「基本法の趣旨を踏まえた認知症ケアパスの作成・更新・周知を行っている市町村の数」ですが、法令が必ず作ることを定めた成果物ではありません。</t>
  </si>
  <si>
    <t>素案 6-4第3節（事業の追加候補）</t>
  </si>
  <si>
    <t>【R8.9.30 更新】レビュー指摘5により、既存のケアパスを未確認のまま「新規・不足」と判定していたことを是正した。適合性確認表の判定を「未確認」に改めた。</t>
  </si>
  <si>
    <t>138</t>
  </si>
  <si>
    <t>認知症サポート医の有無と連携の状況</t>
  </si>
  <si>
    <t>町内又は近隣に認知症サポート医はおられますか。国民健康保険川崎病院の医師がサポート医の研修を受けておられるかを含めてご確認ください。手引き5（2）1及び6（1）2、交付金 支援 目標Ⅱ（ⅰ）2ア（認知症に関わる医療機関や初期集中支援チームの周知）の留意点が、いずれもサポート医の活用・周知を求めています。素案Ver.2.1には認知症サポート医・認知症疾患医療センターがともに現れていませんでした。</t>
  </si>
  <si>
    <t>素案 6-4第2節1（2）（3）</t>
  </si>
  <si>
    <t>139</t>
  </si>
  <si>
    <t>(7)(10)</t>
  </si>
  <si>
    <t>庁内の部署横断的な検討の場の有無</t>
  </si>
  <si>
    <t>認知症施策を庁内の関係課（町民生活課・地域振興課・企画課・教育委員会・総務担当課）と横断的に検討する場はありますか。認知症施策推進基本計画のKPIは、重点目標3のプロセス指標1として「部署横断的に認知症施策の検討を実施している地方公共団体の数」を掲げています。また、この場は交付金「評価結果の活用」のア（年に1回以上、評価結果を庁内の関係者間で説明・共有する場がある。配点4点）が求める場と兼ねることができ、本町が令和8年度に失点した4点の回復にもつながります（確認事項No.121）。新たな会議体を設けず、既存の庁内会議に議題を加えることで足ります。</t>
  </si>
  <si>
    <t>素案 6-1・8-4・10-4</t>
  </si>
  <si>
    <t>140</t>
  </si>
  <si>
    <t>認知症対応力向上研修の受講者数</t>
  </si>
  <si>
    <t>宮城県が実施する認知症対応力向上研修（医師・歯科医師・薬剤師・看護職員等）及び認知症介護基礎研修・実践者研修について、町内の事業所からの受講者数を把握しておられますか。基本計画のKPI 重点目標3のアウトプット指標3が受講者数を数えます。把握していない場合は、第10期から県に照会して把握する形を素案6-3のKPIに位置付けます。</t>
  </si>
  <si>
    <t>素案 6-3・6-4第4節1（5）</t>
  </si>
  <si>
    <t>141</t>
  </si>
  <si>
    <t>認知症の人と家族への一体的支援事業・認知症伴走型支援事業の実施の可否</t>
  </si>
  <si>
    <t>いずれも地域支援事業（任意事業）として実施できる事業です。手引き6（1）1及び6（2）1が市町村の対応分として挙げています。第10期での実施の可否をご判断ください。実施しない場合は、認知症カフェ「喫茶みかん」（年47回・延235人）と家族介護者の交流の場（素案5-3第1節3（2））で代替する旨を計画に記します。</t>
  </si>
  <si>
    <t>素案 6-4第3節1（3）（4）
地域支援事業の費用の見込み</t>
  </si>
  <si>
    <t>地域支援事業についてはデータ未受領のため、任意事業の費用への影響は回答後に反映する。</t>
  </si>
  <si>
    <t>142</t>
  </si>
  <si>
    <t>消費者安全確保地域協議会の設置の有無</t>
  </si>
  <si>
    <t>消費者安全法第11条の3に基づく消費者安全確保地域協議会（見守りネットワーク）を設置しておられますか。手引き4（3）1が市町村の対応分として設置の促進を挙げています。未設置で、地域ケア会議が実質的に同じ機能を担っている場合はその旨を計画に記します。</t>
  </si>
  <si>
    <t>素案 6-4第5節2（4）</t>
  </si>
  <si>
    <t>143</t>
  </si>
  <si>
    <t>認知症バリアフリーの取組と地域の関係機関との連携の状況</t>
  </si>
  <si>
    <t>町内の金融機関・小売業者・公共交通事業者に対する認知症に関する協力の働きかけの状況をご教示ください。手引き2（1）2・2（1）9が市町村の対応分として挙げており、基本計画のKPI 重点目標3のアウトプット指標5は「認知症バリアフリー宣言を行っている事業者の数」です。素案6-2の第15条の欄には「協力の働きかけ」と記していますが、6-4に事業がありません。</t>
  </si>
  <si>
    <t>144</t>
  </si>
  <si>
    <t>若年性認知症の人の把握状況と県のコーディネーターとの連携</t>
  </si>
  <si>
    <t>町内の若年性認知症の人（65歳未満で認知症となった方）を把握しておられますか。また宮城県の若年性認知症支援コーディネーターとの連携の状況をご教示ください。手引き3（3）3・5（2）4が市町村の対応分として挙げています。素案6-4第5節1（2）は「若年性認知症の人の就労継続に関する事業主への啓発」を新規事業としていますが、対象者の把握がないと事業が動きません。</t>
  </si>
  <si>
    <t>素案 6-4第5節1（2）</t>
  </si>
  <si>
    <t>145</t>
  </si>
  <si>
    <t>交付金 支援 目標Ⅱ（ⅰ）1オで満点を得ている社会参加支援の内容</t>
  </si>
  <si>
    <t>交付金の「認知症の人が希望に応じて農業、商品の製造・販売、食堂の運営、地域活動やマルシェの開催等に参画できるよう、支援している」（配点4点）は本町が満点を得ています。具体的にどの取組をもって「実施」と回答しておられるかをご教示ください。手引き3（2）2にも当たる取組であり、素案6-4第5節に書き下ろします。交付金で評価されながら計画に記載のない事業は、介護予防ポイント事業・アウトリーチ等の取組と同じ構図です。</t>
  </si>
  <si>
    <t>素案 6-4第5節1（事業の追加候補）</t>
  </si>
  <si>
    <t>146</t>
  </si>
  <si>
    <t>意見聴取記録様式の運用（記録者・保管・個人情報の取扱い）</t>
  </si>
  <si>
    <t>別添22として作成した「認知症の人及び家族等からの意見聴取の記録様式」（様式1 実施計画／様式2 記録票／様式3 反映台帳／様式4 フィードバック記録／様式5 評価時の意見聴取）について、①様式2の記録者を誰とするか（保健福祉課職員・地域包括支援センター職員）、②氏名を書かず整理番号で管理する運用が町の個人情報保護条例に適合するか、③写真・イラストの本人の同意の取り方、④計画書の別添には様式と結果の要約のみを掲げる方針でよいかをご確認ください。様式を定めたうえで聴取することが、交付金 支援 目標Ⅱ（ⅰ）1カ（配点5点・本町は令和8年度0点）の要件「認知症の人と家族等が参画し、意見を反映させる仕組みを整備した上で計画の策定に着手している」を満たす条件です。</t>
  </si>
  <si>
    <t>別添22（意見聴取記録様式）
素案 6-1①</t>
  </si>
  <si>
    <t>確認事項No.90（意見聴取の対象者と時期）と併せてご確認いただきたい。聴取の実施前に様式を確定する必要がある。</t>
  </si>
  <si>
    <t>147</t>
  </si>
  <si>
    <t>見込量を0としたサービスについて、供給がないのか利用がないのか</t>
  </si>
  <si>
    <t>令和6年度に実績があり令和7年度に実績がなかった5サービス（夜間対応型訪問介護・認知症対応型通所介護（介護予防を含む）・小規模多機能型居宅介護（介護予防を含む）・地域密着型特定施設入居者生活介護・介護医療院）について、町内及び近隣市町村に指定事業所があるかをご教示ください。0である理由を「供給なし」「利用なし」「整備予定なし」に区別して計画書に記載する必要があります。供給がないことによる0は、利用勧奨では動かせないためです。とくに小規模多機能型居宅介護は、第2章2-3で町内のサービス提供体制に含めて記載している一方で令和7年度の実績が0であり、両者が食い違っています。</t>
  </si>
  <si>
    <t>素案 9-1（地域密着型・施設サービスの見込量）
素案 2-3（サービス提供体制）</t>
  </si>
  <si>
    <t>レビュー指摘6により、実績・見込量0の行を表から省略していたことを是正し、Ver.2.3で5サービスを表に掲げ、0の区分を別表で示す形に改めた。区分の確定にはご確認が必要。</t>
  </si>
  <si>
    <t>148</t>
  </si>
  <si>
    <t>保険料試算の再計算結果のご確認（是正6件）</t>
  </si>
  <si>
    <t>保険料試算の内部整合を検算し、次の6件を是正しました。①介護給付費準備基金152,500千円の月額換算（1,304円／1,372円→1,359円。予定保険料収納率96.0％で割っていなかったもの）②算定Ｂ（基金50％取崩）6,170円→6,143円（第9期比▲330円→▲357円）③算定Ｃ（基金全額取崩）5,518円→5,464円（第9期比▲982円→▲1,036円）④地域支援事業費3か年計 148,789千円→148,788千円（年度別の内訳の合計と一致していなかったもの）⑤調整交付金5.0％の影響 ＋273円→＋274円⑥13段階別保険料の再計算（第1段階2,807円→2,795円・第13段階14,809円→14,743円）。算定Ａ（基金取崩なし）6,822円、第1号被保険者負担割合24％の影響（＋309円）、補正係数の影響（＋352円）に変更はありません。地域包括ケア「見える化」システムの推計ツールの算定表と突き合わせていただけますでしょうか。</t>
  </si>
  <si>
    <t>素案 9-1・9-2・9-3
第2回策定委員会資料 v6
保険料試算ワークブック</t>
  </si>
  <si>
    <t>検算スクリプト `07_ソーススクリプト/check_hokenryo_R8.9.30.py` により39項目すべて適合を確認した。見える化システムのIDパスは取得しているが直接データを触る想定ではないため、町又は宮城県による突合をお願いしたい。</t>
  </si>
  <si>
    <t>149</t>
  </si>
  <si>
    <t>意見聴取の個人情報保護上の手続の要否</t>
  </si>
  <si>
    <t>認知症の人及び家族等からの意見聴取（様式0〜5）について、①川崎町個人情報保護条例上の手続（利用目的の特定・目的外利用の可否・本人への通知等）が必要か、②個人情報保護委員会への届出等が必要か、③保管期限（第11期計画の策定完了まで＝令和14年3月を想定）が町の文書管理規程に適合するか、④様式0の読み上げ文（聴取の前にお伝えする①〜⑦）の文言について修正すべき点があるかをご確認ください。整理番号と対照表により個人を再び特定できるため、氏名を書かなくても匿名情報ではないという整理をしています。</t>
  </si>
  <si>
    <t>別添22（意見聴取記録様式 様式0・07_個人情報の取扱い）</t>
  </si>
  <si>
    <t>レビュー指摘10により、説明と同意の様式（様式0）及び個人情報の取扱いのシート（07）を新設した。確認事項No.146（様式の運用）と併せてご確認いただきたい。</t>
  </si>
  <si>
    <t>150</t>
  </si>
  <si>
    <t>(4)(5)(7)</t>
  </si>
  <si>
    <t>第10期の地域支援事業費の枠（認知症施策の追加分の積算のため）</t>
  </si>
  <si>
    <t>第6章6-4に掲げた事業の追加候補15件のうち、包括的支援事業・任意事業として実施するもの（本人ミーティング・本人同士のピアサポート活動・認知症の人と家族への一体的支援事業・認知症伴走型支援事業）の事業費の枠をご教示ください。包括的支援事業・任意事業は第1号被保険者の保険料が財源の23％を占めるため、毎年100万円の増で月額基準額が約6.1円、毎年500万円の増で約30.7円上がります（第10期の負担割合が24％の場合はそれぞれ約6.4円・約32.1円）。地域支援事業についてはデータ未受領のため、現行の事業費の内訳と併せてご提供いただけますでしょうか。</t>
  </si>
  <si>
    <t>素案 6-4（追加候補の見込量・費用・財源）
素案 9-3（財源別の保険料影響）
地域支援事業の費用の見込み</t>
  </si>
  <si>
    <t>レビュー指摘6・8により、追加施策と見込量・事業費・財源を接続させる必要がある。現時点では金額を確定できないため、「毎年いくら増えたら月額がいくら動くか」の換算表を素案9-3に置いた。</t>
  </si>
  <si>
    <t>151</t>
  </si>
  <si>
    <t>夜間対応型訪問介護の廃止・統合に伴う見込量の区分</t>
  </si>
  <si>
    <t>社会福祉法等の一部を改正する法律（令和8年法律第51号）により、夜間対応型訪問介護が廃止され定期巡回・随時対応型訪問介護看護に統合されるとの整理でよろしいでしょうか。第10期（令和9年度〜）の見込量は統合後の区分で算定する必要があり、素案9-1の表の構成に関わります。宮城県を通じて施行内容をご確認いただけますでしょうか。</t>
  </si>
  <si>
    <t>素案 9-1（地域密着型サービスの見込量）</t>
  </si>
  <si>
    <t>同種の計画の協議用素案との対比により把握した。素案Ver.2.4の1-5に制度改正の節を新設し、当該の改正を掲げた。</t>
  </si>
  <si>
    <t>152</t>
  </si>
  <si>
    <t>中山間・人口減少地域（特定地域）の指定の意向</t>
  </si>
  <si>
    <t>令和9年4月1日に「特定地域サービス」（人員配置基準を緩和した特例のサービス類型）及び「特定地域居宅サービス等事業」（市町村が事業としてサービスを実施できる仕組み）が創設されます。指定基準は①特別地域加算・離島等相当サービスの対象地域、②75歳以上人口密度5人／km²未満等、③特定のサービス類型の事業所が地域に存在しない等、の3段階で、市町村が指定の要否を検討し、その意向を踏まえて都道府県が対象地域を定めます。川崎町は過疎地域の指定を受けており、①又は③に該当する可能性があります。①中山間地域等における小規模事業所加算等の対象地域となっているか、②宮城県から特定地域の指定に関する意向照会があったか、③指定を受ける意向があるか、をご確認ください。計画期間の初年度から適用される制度であり、第10期計画に位置付けを欠くと3年間使えません。</t>
  </si>
  <si>
    <t>素案 第1章（新設する節）・7-3・9-1</t>
  </si>
  <si>
    <t>川崎町は過疎地域に指定されており、指定基準①又は③に該当する可能性がある。素案Ver.2.4の1-5・7-3・9-1に位置付けた。</t>
  </si>
  <si>
    <t>153</t>
  </si>
  <si>
    <t>医療計画・地域医療構想との整合</t>
  </si>
  <si>
    <t>令和8年7月14日付の厚生労働省通知（介護保険最新情報Vol.1525）は、第8次医療計画後期の在宅医療整備目標と第10期介護保険事業計画のサービス量・施設整備を整合させることを求めています。①宮城県の医療計画（仙南医療圏）の在宅医療整備目標、②国民健康保険川崎病院の病床の状況と在宅医療の実施状況、③高齢者救急の搬送・入院・退院支援の状況、④施設の協力医療機関の状況、をご教示ください。</t>
  </si>
  <si>
    <t>素案 9-1（新設する項）・5-3・7-3</t>
  </si>
  <si>
    <t>介護保険最新情報Vol.1525（令和8年7月14日）による。素案Ver.2.4の1-5に医療計画等との整合の項を置いた。</t>
  </si>
  <si>
    <t>154</t>
  </si>
  <si>
    <t>高齢者向け住まいの状況</t>
  </si>
  <si>
    <t>町内及び近隣の有料老人ホーム・サービス付き高齢者向け住宅・軽費老人ホーム（ケアハウス）・養護老人ホームについて、施設数・定員・入居者数・要介護者等である入居者の状況をご教示ください。第10期基本指針（案）の別表 八がこれを確認すべき指標としており、また令和8年法律第51号により、計画において有料老人ホーム及びサービス付き高齢者向け住宅の入居定員を勘案することが明確化されます。素案には現在これらが一度も現れていません。</t>
  </si>
  <si>
    <t>素案 2-7・9-1</t>
  </si>
  <si>
    <t>【令和8年10月15日 更新】⚠ 最優先に引き上げます。リポジトリの中のどの資料にも町内の高齢者向け住まいの実数が1件もないことを確かめました（第9期計画書に現れる語はサービスの定義文の中のものです）。資料提供依頼一覧にNo.37として起票し、記入様式（川崎町_事業所・住まい_突合台帳_R8.10.15.xlsx 04シート）をお渡しします。⚠ 町内に該当がない場合も、「町内に該当なし（○年○月○日現在）」とご記入ください。ないことが分かること自体が計画に書くべき事実です。既定値＝素案 2-7 に「高齢者向け住まいの状況は把握できていない」旨を明記し、令和8年法律第51号が求める入居定員の勘案は次期以降の課題として記します。</t>
  </si>
  <si>
    <t>155</t>
  </si>
  <si>
    <t>年齢調整後の認定率・受給率・自給率の算定</t>
  </si>
  <si>
    <t>地域包括ケア「見える化」システムから次の3つを取得できますでしょうか。①性・年齢調整済み要介護2以上認定率（新別表 四）②受給率（在宅・施設居住系別。新別表 五）③区域内の事業所によるサービス提供割合＝自給率（新別表 五）。川崎町の高齢化率は42.0％で全国を大きく上回るため、粗認定率17.0％をそのまま比較すると実態を見誤ります。また自給率は、町外施設の利用が常態化している本町で最も説明を要する指標です。当社はIDパスを取得していますが直接データを触る想定ではないため、町又は宮城県による出力をお願いいたします。</t>
  </si>
  <si>
    <t>素案 2-3・2-4・2-7・3-4</t>
  </si>
  <si>
    <t>第10期基本指針（案）の別表 四・五。見える化システムのIDパスは取得しているが直接データを触る想定ではないため、町又は宮城県による出力をお願いしたい。</t>
  </si>
  <si>
    <t>156</t>
  </si>
  <si>
    <t>人口動態（出生数・死亡数・健康寿命・死亡場所別死亡数）</t>
  </si>
  <si>
    <t>第10期基本指針（案）の別表 三が人口動態を確認すべき指標としています。①人口動態統計の市区町村別集計による出生数・死亡数、②宮城県が公表する健康寿命（川崎町の値があれば）、③死亡場所別の死亡数（自宅・病院・施設）、をご教示ください。③が把握できない場合は、看取り介護加算・ターミナルケア加算の算定状況で代替します。</t>
  </si>
  <si>
    <t>素案 2-1・2-2・5-3</t>
  </si>
  <si>
    <t>第10期基本指針（案）の別表 三。</t>
  </si>
  <si>
    <t>157</t>
  </si>
  <si>
    <t>認知症の人の数の推計</t>
  </si>
  <si>
    <t>第10期基本指針（案）の別表 十一が「認知症の人の数・推計値」を確認すべき指標としています。要介護認定の認定調査における認知症高齢者の日常生活自立度Ⅱ以上の人数（令和6・7年度）をご教示いただけますでしょうか。これにより認知症の人の数を把握し、第10期の推計値を第6章6-3に掲げます。現在、素案には認知症の人の数がありません。</t>
  </si>
  <si>
    <t>素案 6-2・6-3</t>
  </si>
  <si>
    <t>第10期基本指針（案）の別表 十一。素案に認知症の人の数がなかった。</t>
  </si>
  <si>
    <t>158</t>
  </si>
  <si>
    <t>医療介護連携に関する加算の算定状況</t>
  </si>
  <si>
    <t>第10期基本指針（案）の別表 十が「医療介護連携に関する加算の算定状況」を確認すべき指標としています。退院・退所加算、入退院支援、ターミナルケア加算、看取り介護加算等の算定状況を国保連の給付実績からご確認いただけますでしょうか。交付金 支援 目標Ⅲ（入退院支援・人生の最終段階における支援）で本町が失点している項目でもあります。</t>
  </si>
  <si>
    <t>素案 5-3・7-3・3-3</t>
  </si>
  <si>
    <t>第10期基本指針（案）の別表 十。交付金 支援 目標Ⅲで失点している項目でもある。</t>
  </si>
  <si>
    <t>159</t>
  </si>
  <si>
    <t>施設の入所率・稼働率と入退所の経路</t>
  </si>
  <si>
    <t>特別養護老人ホーム及び介護老人保健施設について、①定員に対する入所者数の割合（入所率）、②休止床の有無、③待機者数、④新規入所者の入所前の居所（自宅／病院・診療所／他施設）、⑤退所者の退所先（自宅／病院・診療所／他施設／死亡）、を2施設への照会によりご確認いただけますでしょうか。第10期基本指針（案）の別表 七が入所率・稼働率を明記しており、また第2回策定委員会の選択2（施設整備）の判断の根拠となります。</t>
  </si>
  <si>
    <t>素案 9-1・第2回策定委員会の選択2</t>
  </si>
  <si>
    <t>160</t>
  </si>
  <si>
    <t>身寄りのない高齢者等への支援と介護予防ケアマネジメントの直接委託</t>
  </si>
  <si>
    <t>令和8年法律第51号により、①身元保証・日常生活支援・死後事務等を行う事業が第二種社会福祉事業に位置づけられ、②介護予防ケアマネジメントを指定居宅介護支援事業者が市町村から直接委託を受けて実施できることとされます。②は地域包括支援センターの業務負担の軽減に直結します（第1回策定委員会で認定調査員の負担軽減が課題として挙がっています）。第10期での実施の可否をご判断ください。</t>
  </si>
  <si>
    <t>素案 5-3・5-4・第1章（新設する節）</t>
  </si>
  <si>
    <t>161</t>
  </si>
  <si>
    <t>計画本文に差し込む図の追加（3件）の可否</t>
  </si>
  <si>
    <t>図表データ管理台帳の04シートに、素案に差し込んでいない図の候補8件を挙げました。このうち次の3件は追加の資料を要さず当社の作業のみで作れます。作成してよろしいかご指示ください。①要介護認定者数と認定率の推移（棒と折れ線）②交付金の得点の3か年推移と指標群別の内訳③認知症施策のKPIの3層構造（プロセス→アウトプット→アウトカム）</t>
  </si>
  <si>
    <t>計画素案 2-3・3-3・6-3の図</t>
  </si>
  <si>
    <t>令和8年10月1日　町より「作成を進めてください」とのご指示をいただき、3件を作成して計画素案 Ver.2.7 に差し込んだ。①図2-4 要介護認定者数と認定率の推移（2-3）②図3-1 交付金の得点の推移と指標群別の内訳（3-3）③図6-1 認知症施策のKPIの3層構造（6-3）。図は本文の出現順に採番するため、既存の2点が繰り下がった（受給者の構成 図2-4→図2-5、年間給付費 図2-5→図2-6）。残る5件は資料の受領が前提であり、確認事項No.133・No.155・No.111により引き続き調整する。</t>
  </si>
  <si>
    <t>162</t>
  </si>
  <si>
    <t>未確定箇所の表記（【町確認】【委員会協議】）の扱い</t>
  </si>
  <si>
    <t>素案の本文・表に【町確認】50か所・【委員会協議】16か所が残っています。未確定箇所の表記は［　］に統一するのが本来ですが、協議の段階では「誰が決めるか」が分かる現在の形のほうが実務的と考えます。①現在の形のまま協議を進める ②［　］に統一する のいずれによるかご指示ください。</t>
  </si>
  <si>
    <t>計画素案（公表版に向けた整理）</t>
  </si>
  <si>
    <t>いずれによる場合も、公表版では確定した内容に置き換えます。あわせて、本文・表に残る「確認事項No.〜」の参照66か所は公表版では削除します（協議用には町が本表を引けるため残します）。当社の既定の扱いは①（現在の形のまま協議を進める）です。</t>
  </si>
  <si>
    <t>163</t>
  </si>
  <si>
    <t>制度改正の記述と国の原典との照合</t>
  </si>
  <si>
    <t>計画素案1-5の制度改正の記述は、令和8年6月以降に国が示した資料によるものですが、当社の作業環境のネットワーク制限により厚生労働省のウェブサイトを直接参照できていません。国の資料が確定した段階で、施行の時期・適用の年度を原典と照合していただきたく存じます。</t>
  </si>
  <si>
    <t>計画素案 1-5</t>
  </si>
  <si>
    <t>164</t>
  </si>
  <si>
    <t>事業一覧表に加えた「内容」のうち、当方が書き起こした48件のご確認</t>
  </si>
  <si>
    <t>計画素案 Ver.2.9 で、事業一覧表（17表・138事業）に「内容」の欄を加えました。内容の出所は3つで、①第9期計画書の本文から取り出したもの57件、②統合体系表の新規・拡充の内容33件、③当方が書き起こしたもの48件です。③は介護保険法・国の指針が内容を定めているもの（施設サービス等）と、素案の本文に記述があるもの（町独自の事業）に限っていますが、実際の運用と食い違っていないかは町でなければ確かめられません。1件ずつご確認をお願いします。</t>
  </si>
  <si>
    <t>計画素案 第5章・第6章の事業一覧表
計画書（案）</t>
  </si>
  <si>
    <t>対象の一覧は 05_試算・管理シート/川崎町_事業の内容の出所_R8.10.4.xlsx（橙色の行が③）。当方の既定値は、ご指摘のないものはそのまま計画書（案）に載せることとします。⚠ 第9期計画書に記述のある57件も、第9期の文をそのまま写したものではなく第10期の記述として整えています。あわせてご一読ください。</t>
  </si>
  <si>
    <t>165</t>
  </si>
  <si>
    <t>令和8年9月2日受領の交付金ファイル5点の再送の要否</t>
  </si>
  <si>
    <t>―（止めている成果物はありません）</t>
  </si>
  <si>
    <t>既定値＝再送は不要とし、照合は令和8年9月25日の確認結果をもって足りるものとして扱います。</t>
  </si>
  <si>
    <t>166</t>
  </si>
  <si>
    <t>宮城県の認知症施策推進計画の策定状況</t>
  </si>
  <si>
    <t>認知症基本法は、市町村認知症施策推進計画を都道府県計画を基本として定めるものとしています（第13条第1項）。宮城県の認知症施策推進計画が策定されているか、策定中である場合はその時期と内容の概要をご教示ください。宮城県の第10期高齢者保健福祉計画・介護保険事業支援計画の公表時期とあわせてお願いします。県への事前協議の前提となります。</t>
  </si>
  <si>
    <t>計画素案 第6章6-1
県事前協議の資料</t>
  </si>
  <si>
    <t>既定値＝県計画の公表前であることを 6-1 に注記し、公表後に記述を確かめる扱いとします。</t>
  </si>
  <si>
    <t>167</t>
  </si>
  <si>
    <t>計画書の奥付に策定支援者を表示するか</t>
  </si>
  <si>
    <t>計画素案の奥付に「（策定支援：ビズアップ公共コンサルティング株式会社）」と表示しています。計画書に策定支援者を表示する慣行によるものですが、計画は町が定めるものですので、表示の要否は町のご判断によります。第9期計画の扱いに倣うことも考えられます。</t>
  </si>
  <si>
    <t>計画書 奥付</t>
  </si>
  <si>
    <t>既定値＝第9期計画の奥付に倣います。第9期に表示がない場合は取り除きます。</t>
  </si>
  <si>
    <t>168</t>
  </si>
  <si>
    <t>地域支援事業費（包括的支援事業の運営・任意事業）の伸びの根拠</t>
  </si>
  <si>
    <t>見える化システムの総括表では、包括的支援事業（地域包括支援センターの運営）と任意事業の費用が、令和9〜11年度にかけて毎年同じ額ずつ増える値で入力されています（2区分の計で令和7年度28,326千円→令和11年度45,988千円・＋62.3％）。増え方は令和6年度→令和8年度の平均年増をそのまま延ばしたもので、令和12年度では35,258千円に下がり不連続になります。地域支援事業費は第1号被保険者負担分（23％）に直に乗るため保険料に効き、令和7年度の実績で据え置く場合との差は月額86円です。①この伸びに根拠（人員の増・委託料の改定等）があるか、②令和8年度の予算額と執行の見込み、③令和6・7年度の決算（科目別）をご教示ください。置き方の4案は「川崎町_地域支援事業費の置き方_R8.10.7.xlsx」03シートのとおりです。</t>
  </si>
  <si>
    <t>素案 9-2（地域支援事業費の見込み）
素案 9-3（保険料の算定）
保険料試算ワークブック</t>
  </si>
  <si>
    <t>既定値＝見える化システムの入力値（案1）のまま置き、伸びの出所を素案 9-2 に注記します。伸びの根拠が示せない場合は、案4（平均年増の2分の1）を協議用の仮置きとしてお示しします。</t>
  </si>
  <si>
    <t>169</t>
  </si>
  <si>
    <t>住所地特例24人の時点（令和7年6月時点か、令和8年3月末か）</t>
  </si>
  <si>
    <t>計画素案の中で、住所地特例24人の時点が2通りになっていました。2-7（本文・表）・7-1・7-6・9-1の一部は「令和7年6月時点」、2-3・3-2（本文・表）・3-3・9-1の一部は「令和8年3月末」です。2-1の表が「令和3年度末（2022.3）34人→令和7年度末（2026.3）24人」としているため、当方は令和8年3月末（＝令和7年度末）が正しいと判断し、素案 Ver.2.13 で令和8年3月末に揃えました。令和7年6月時点の24人という別の数値が実在する場合はお知らせください。あわせて、住所地特例者の所在自治体別・施設種別別の内訳を令和8年3月末と令和8年10月1日の2時点でご提供いただけますと、別表 事項七（町外施設）と事項八（町民の入居先）が同時に埋まります。</t>
  </si>
  <si>
    <t>計画素案 2-7・7-1・7-6・9-1
別表 事項七・八の整理</t>
  </si>
  <si>
    <t>注1）「回答・対応」欄は、発注者からの回答又は受託者による対応の結果を記入し、状態を「完了」に更新する。</t>
  </si>
  <si>
    <t>注2）No.9〜11は保険料試算ワークブックの黄色セル（01!B15、06!B17、06!B16、04!B8、06!B10）と対応し、値を入力すると保険料基準額が自動で再計算される。</t>
  </si>
  <si>
    <t>170</t>
  </si>
  <si>
    <t>事業所照会票の発出の可否と発送日</t>
  </si>
  <si>
    <t>作業順位27により、事業所照会票（様式1から様式9・設問58問）と電子記入様式・確定値管理表を作成しました。素案 2-7 は供給側のデータを「事業所ヒアリング（令和8年9〜10月）により確定する」とし、素案 7-6 ①は年1回のヒアリングを計画期間を通じた仕組みとして位置付けています。発出の可否と発送日をご判断ください。⚠ **発送日と第2回策定委員会の開催日は同時にお決めいただく必要があります。**
【令和8年10月19日 更新】**本日（令和8年10月19日）時点で数え直しました。** 従前お示しした逆算は「令和8年10月19日に発送できても」を前提にしており、**その日が本日です。** 候補日ごとの状況は次のとおりです。　8年11月4日（水）＝⚠ 開催通知の期限（35日前）を過ぎています／回答期間16日／8年11月11日（水）＝⚠ 開催通知の期限（35日前）を過ぎています／回答期間23日／8年11月18日（水）＝⚠ 開催通知の期限（35日前）を過ぎています／回答期間30日／8年11月25日（水）＝開催通知の期限内／回答期間37日。⚠ **開催通知の期限を過ぎていない候補日は 8年11月25日（水） のみです。**
⚠ **さらに、照会票は町の台帳が埋まってはじめて発送できます。** 照会票は事業所の名称・事業所番号・所在地・定員・施設の類型を「［町がお写しします］」としており、作業順位26で用意した記入様式（事業所・住まい 突合台帳の03・04シート）が前提です。その記入には確認事項No.29（町内の介護保険事業所一覧）及びNo.154（高齢者向け住まいの状況）のご回答を要し、いずれも確認待ちです。**この連なりは従前お示しした内容に書かれていませんでした。** 逆算工程表（R8.10.19）の06シートに段を分けて示しています。
⚠ 当方の成果品（照会票・電子記入様式・確定値管理表・ご回答の受入検査）は**すべて作成済み**です。止まっているのは町のご回答の段です。</t>
  </si>
  <si>
    <t>素案 2-7・7-1・7-2・9-1 の供給側のデータ
第2回策定委員会の選択2（施設整備）</t>
  </si>
  <si>
    <t>既定値＝発送しない場合、素案 2-7 の表は【町確認】のまま残し、9-1 の施設整備に係る基本方針は「既存資源の稼働の状況を把握できていない」旨を明記します。第2回策定委員会の選択2は第3回に送ります。</t>
  </si>
  <si>
    <t>171</t>
  </si>
  <si>
    <t>(4)(8)</t>
  </si>
  <si>
    <t>照会票の［　］4か所のご記入</t>
  </si>
  <si>
    <t>照会票には、町にご記入いただく箇所を［　］で4か所残しています。①文書番号と発出の年月日 ②ご提出の期限 ③ご提出先・お問い合わせ先（電話・ファクシミリ・電子メール）④個人情報の取扱いの3点（計画の策定の支援の委託先の名称・保管の期間・廃棄の方法）。⚠ **とくに④が空欄のままでは、個人情報の取扱いを示せないまま発送することになります。**</t>
  </si>
  <si>
    <t>事業所照会票（発送できない）</t>
  </si>
  <si>
    <t>既定値＝④は「町の個人情報保護条例の定めによる」と書き、委託先の名称は伏せた形とします。ただし条例上の扱いは町でご確認をお願いします。</t>
  </si>
  <si>
    <t>172</t>
  </si>
  <si>
    <t>町外の事業所の宛先の作り方</t>
  </si>
  <si>
    <t>本町の被保険者が現に利用している町外の事業所にも照会票をお送りする必要がありますが、⚠ **国保連の給付実績（事業所別）が未受領であり（確認事項No.12）、年報では事業所別に落ちないため、現状では町外の事業所の宛先を作れません。** 当方の案は次の2経路による代替です。①町内の居宅介護支援事業所に、給付管理の相手方の事業所の一覧をお願いする（資料提供依頼No.39）②住所地特例者台帳の入居先施設から入所・入居系の事業所を拾う。この代替によることのご了解と、①の依頼の可否をご判断ください。</t>
  </si>
  <si>
    <t>照会票の送付先の一覧
素案 9-1 の広域調整</t>
  </si>
  <si>
    <t>既定値＝町内の事業所にのみ発送し、素案 9-1 の広域調整に「町外施設の受入余地を把握できていない」旨を明記します。</t>
  </si>
  <si>
    <t>173</t>
  </si>
  <si>
    <t>照会票が回収できなかった場合の素案の書き方</t>
  </si>
  <si>
    <t>素案 2-7 は「確認が取れない数値及び特定の事業所が識別され得る数値は、計画書（案）には掲載しません」と定めています。したがって、回収できなかった設問を素案でどう書くかを発送の前に決めておく必要があります。確定値管理表の09_未回答のときの扱い に当方の案を7件示しました（①回答のあった事業所数と全事業所数を併記する②1事業所しかない種類で未回答の場合は【町確認】のまま残す③「0件」と「記録なし」を区別する ほか）。ご判断をお願いします。</t>
  </si>
  <si>
    <t>素案 2-7・7-1・7-2・9-1</t>
  </si>
  <si>
    <t>既定値＝確定値管理表 09シートの当方の案によります。</t>
  </si>
  <si>
    <t>174</t>
  </si>
  <si>
    <t>予定保険料収納率の97％の出所</t>
  </si>
  <si>
    <t>他メンバー作成の第10期計画素案の注に「町提供データでは…予定収納率は97％となっています」とあります。当方は①総合収納率の実績（令和2〜7年度で96.3〜96.7％）②第9期計画と同じ96.0％ ③現年度分99.6％ の3つを区別して整理しており、97％はいずれにも当たりません。町提供データのどの欄の値かをご確認ください。⚠ 収納率は保険料に直接効きます（96.0％→99.6％で月額▲246円）。</t>
  </si>
  <si>
    <t>計画素案 9-3 の保険料算定</t>
  </si>
  <si>
    <t>既定値＝当方の96.0％（第9期と同じ）のままとします。</t>
  </si>
  <si>
    <t>175</t>
  </si>
  <si>
    <t>総人口・世帯数・高齢化率の出典の揃え方</t>
  </si>
  <si>
    <t>第9期計画は川崎町住民基本台帳（各年9月末現在）の数値を掲載しています。他メンバー作成の素案は公表統計である宮城県高齢者人口調査（各年3月31日現在）に差し替えており、令和8年3月末の総人口7,686人・高齢化率41.9％としています。一方、当方の素案 2-2 は令和8年6月末の42.0％（総人口7,648人）を用いています。⚠ **同じ指標に2つの時点の値を計画書に載せられません。** ①公表統計（宮城県高齢者人口調査・3月31日現在）に揃える②住民基本台帳に揃える のいずれによるかをご判断ください。あわせて世帯数・1世帯あたり人員（令和4〜8年）と令和7年国勢調査の高齢者のいる世帯数をご提供ください。</t>
  </si>
  <si>
    <t>計画素案 2-1・2-2</t>
  </si>
  <si>
    <t>既定値＝公表統計（宮城県高齢者人口調査・各年3月31日現在）に揃えます。年度末で揃うため、他の指標（認定者数・給付費）と時点が一致します。</t>
  </si>
  <si>
    <t>176</t>
  </si>
  <si>
    <t>保険料の算出表の月額と条例の年額の端数処理</t>
  </si>
  <si>
    <t>第9期計画書100頁の保険料算出表は基準額を月額6,508円としていますが、条例で定める年額78,000円を12で割ると6,500円で、整合していません（6,508円×12＝78,096円）。第9期計画書の中に2つの基準額が載っている状態です。第10期では、算出表の月額と条例の年額が整合するよう端数処理の方針を定めておく必要があります。①算出表の月額を円未満切り捨てとし、年額はその12倍とする②年額を条例で定め、月額は年額÷12とする のいずれによるかをご判断ください。</t>
  </si>
  <si>
    <t>計画素案 9-3・介護保険条例の改正</t>
  </si>
  <si>
    <t>既定値＝②（年額を条例で定め、月額は年額÷12とする）。住民にお示しする額と条例の額が一致します。</t>
  </si>
  <si>
    <t>177</t>
  </si>
  <si>
    <t>計画書に載せる調査結果の範囲</t>
  </si>
  <si>
    <t>他メンバー作成の素案は第2章第6節「高齢者の生活実態・意識等」に19頁（図21点）を割いています。第9期計画も同様の構成です。一方、調査報告書3文書（ニーズ調査・在宅介護実態調査・介護実態調査）は別の成果品として納品します。⚠ **仕様書8は計画書を100頁程度と定めており、当方の素案は本文113頁です**（圧縮案を確認事項No.83でご協議中）。調査結果を19頁載せると頁数が収まりません。計画書に載せる項目と報告書に委ねる項目の切り分けをご判断ください。</t>
  </si>
  <si>
    <t>計画素案 2-6・計画書の頁数</t>
  </si>
  <si>
    <t>既定値＝計画書には施策の根拠となる項目（世帯類型・介護者の就労・外出の状況・認知症への備え）に絞って4〜6頁とし、そのほかは調査報告書に委ねて参照を付けます。</t>
  </si>
  <si>
    <t>178</t>
  </si>
  <si>
    <t>他メンバー作成の素案の扱い</t>
  </si>
  <si>
    <t>令和8年10月16日に他メンバー作成の第10期計画素案（2部8章＋資料編・図45点）を受領しました。**当方は正本を当方案（素案 v2.13・全113頁・10章48節）とし、内容だけを取り込む方針で進めます。**この方針でよいかをご確認ください。⚠ 添付は第9期計画書の改訂版であり、章立て・節立てが第9期と同一です。添付の強みは計画書としての体裁と文章の充実であり、数値・制度改正・供給体制・保険料は当方の正本が先に進んでいます（添付は【町確認】が90か所、第7章の保険料は144か所）。</t>
  </si>
  <si>
    <t>計画素案の正本の決定</t>
  </si>
  <si>
    <t>既定値＝当方案を正本とし、添付から内容を取り込みます。</t>
  </si>
  <si>
    <t>179</t>
  </si>
  <si>
    <t>調査の配布数・回収数の出所</t>
  </si>
  <si>
    <t>他メンバー作成の第10期計画素案に、ニーズ調査の配布数1,034通・回収576件・回収率55.7％、在宅介護実態調査の配布数305通・回収142件・回収率46.6％という実数が入っています。算術は整合します（576÷1,034＝55.71％、142÷305＝46.56％）。⚠ **1,034通・305通という発送通数は、当方の受領資料にも業務工程管理表にも現れない値です。** 町の発送記録によるものかをご確認ください。当方の素案 2-6 の「調査の概要」の表は、この2か所を【町確認】のまま残しています。</t>
  </si>
  <si>
    <t>計画素案 2-6 の調査の概要の表</t>
  </si>
  <si>
    <t>既定値＝出所が確かめられるまで【町確認】のまま残します。推測で置きません。</t>
  </si>
  <si>
    <t>180</t>
  </si>
  <si>
    <t>地域密着型サービス運営協議会の正式名称と構成</t>
  </si>
  <si>
    <t>第9期計画書は「地域包括支援センター及び地域密着型サービス運営協議会や介護保険運営委員会等の機関において」と記載しています（「地域密着型サービス運営委員会」の記載は0件です）。当方の素案は2か所を「運営委員会」と書いていたため、**町の正本の記載により「運営協議会」に直しました**（計画素案 Ver.2.16）。⚠ 次の2点をご確認ください。①町の要綱・規則における正式名称②川崎町介護保険運営委員会（条例第17条により設置）と兼ねているか、別に設けているか。地域密着型サービスの指定に係る意見聴取の場として、どちらにお諮りするかに関わります。</t>
  </si>
  <si>
    <t>計画素案 5-4・7-6</t>
  </si>
  <si>
    <t>既定値＝第9期計画書の記載どおり「地域密着型サービス運営協議会」とします。推測で町の機関の名称を変えません。</t>
  </si>
  <si>
    <t>181</t>
  </si>
  <si>
    <t>資料編と奥付の取り扱い</t>
  </si>
  <si>
    <t>第9期計画書は98〜102頁に資料編（①川崎町介護保険条例の抜粋②川崎町介護保険運営委員会規則③委員名簿④策定経過の概要）を置き、108頁に奥付（編集／川崎町 保健福祉課 介護保険係、住所・電話・ファクス）を置いています。**当方の計画素案には、いずれもまだありません。** 次の3点をご確認ください。①資料編を計画書の本体に組み込むか、別冊とするか②条例・規則の現行の条文及び第10期の委員名簿のご提供③奥付の課名・住所・電話番号・ファクス番号。⚠ **委員名簿は委員の氏名を含むため、当方では起こしません**（個人情報を当方の成果品に転記しない方針によります）。⚠ 資料編を13頁と見込み、圧縮案の頁数（本文109頁＋資料編13頁＝122頁）に織り込んでいます。頁数が変われば圧縮の度合いも変わります（確認事項No.83と併せてご判断ください）。</t>
  </si>
  <si>
    <t>計画書 資料編・奥付</t>
  </si>
  <si>
    <t>既定値＝第9期計画書の構成に倣い、資料編を計画書の本体に組み込む前提で頁数を見込みます。条文・名簿のご提供がない間は枠のみを置き、推測で埋めません。</t>
  </si>
  <si>
    <t>182</t>
  </si>
  <si>
    <t>第9期施策評価の実施要領（案）のご確認</t>
  </si>
  <si>
    <t>第9期の35事業について、達成度の区分（Ａ〜Ｄ＋評価不能）、第10期方針の区分（継続・拡充・縮小・廃止・新規・統合）、優先度（高・中・低）の判定の基準を定めた実施要領（案）をお示しします。委託仕様書(4)は、シート案を提案し「発注者と十分協議のうえ内容を決定すること」と定めているため、次の3点をご確認ください。①達成度の閾値を100／80／50％とすることでよいか②優先度を3段階とすることでよいか③⚠ **関連施策評価調査シート（令和8年9月）の「自己評価（1〜4）」と評価の言葉が2通りになっています。** 本要領のＡ〜Ｄに揃えてよいか。⚠ また、事業ごとの根拠法令（必須事業か任意事業か独自施策か）は町の要綱・予算科目によるため当方では埋められません。実施要領05シートの「必須事業の区分」欄のご記入をお願いします。</t>
  </si>
  <si>
    <t>第9期施策評価 実施要領（案）</t>
  </si>
  <si>
    <t>既定値＝お示しした案のまま進めます。達成度の閾値・優先度の段数は町のご判断で変えていただけます。</t>
  </si>
  <si>
    <t>183</t>
  </si>
  <si>
    <t>中長期（令和17・22年度）の見込量の位置づけ</t>
  </si>
  <si>
    <t>素案 9-1 に、令和17年度・令和22年度のサービス別の見込量を掲げています（Ver.2.17 で15サービスの空欄を埋め、9-1 のサービス別の和が 9-2 の総給付費と一致するようにしました）。⚠ **これらは第10期計画期間（令和9〜11年度）の見込量とは位置づけが異なり、計画の数値ではなく長期の見通しです。** 次の2点をご確認ください。①計画書に中長期の列を載せたままとするか、別冊に移すか（仕様書5(5)は「10年間の…推計」を求めており、載せる前提で作っていますが、頁数の制約があります）②標準給付費見込額・地域支援事業費の中長期は算定していません（9-2 では「─」）。総給付費のみで足りるか。</t>
  </si>
  <si>
    <t>計画素案 9-1・9-2</t>
  </si>
  <si>
    <t>既定値＝中長期は総給付費のみとし、計画書に載せたままとします。⚠ 推測で標準給付費・地域支援事業費の中長期を置きません。</t>
  </si>
  <si>
    <t>184</t>
  </si>
  <si>
    <t>見える化システムの出力と本計画の見込量の差（県への事前協議の備え）</t>
  </si>
  <si>
    <t>地域包括ケア「見える化」システムの将来推計総括表の「2_サービス別給付費」には、サービス別の中長期の給付費が入っていますが、**本計画ではこれを用いていません。** 理由は既にお伝えしている2点です。①令和7年度に給付実績のあるサービスを令和9年度以降0と置いている（確認事項No.76）②令和11年度から令和27年度まで同じ値が並び、認定者数が伸びても給付費が動かない（確認事項No.80の、令和8年5月時点の値が解除できない状態によるもの）。本計画は令和9〜11年度についても用いておらず、全年度を通じて年報の実績に認定者数の伸びを乗じる方法で一貫して算定しています。⚠ **両者の差は次のとおりです。**令和9年度 ＋8,812千円（＋0.87％）／令和11年度 ＋12,506千円（＋1.23％）／令和17年度 ＋37,257千円（＋3.35％）／令和22年度 ＋36,096千円（＋2.96％）（いずれも総括表が本計画を上回る）。⚠ **令和9〜11年度の差は保険料に効きます**（＋12,506千円は月額約30円に相当）。⚠ **県への事前協議で、本計画の数値と見える化システムの出力の違いを問われる可能性があります。** 本計画の算定方法を説明する用意はできています（素案 9-1 及び中長期・保険料内訳の06bシート）。この整理でよいかをご確認ください。</t>
  </si>
  <si>
    <t>計画素案 9-1・9-2／県事前協議</t>
  </si>
  <si>
    <t>既定値＝本計画の算定（年報の実績に認定者数の伸びを乗じるもの）を維持します。⚠ **総括表の値に合わせるには、まず確認事項No.76・80の是正（0のサービスの補完と固定の解除）が必要であり、それなしに合わせることはできません。**</t>
  </si>
  <si>
    <t>仕様書8　成果品の管理</t>
  </si>
  <si>
    <t>委託仕様書（保介第41号）「8．成果品」が定める6種の納品物について、作成状況を管理する。納入場所は川崎町保健福祉課（仕様書9）、委託期間は令和9年3月15日まで（仕様書2）。</t>
  </si>
  <si>
    <t>成果品（仕様書8）</t>
  </si>
  <si>
    <t>現在のファイル・稿</t>
  </si>
  <si>
    <t>仕様書が定める仕様</t>
  </si>
  <si>
    <t>納品期日</t>
  </si>
  <si>
    <t>確定していない事項</t>
  </si>
  <si>
    <t>調査報告書</t>
  </si>
  <si>
    <t>川崎町_ニーズ調査結果報告書_R8.10.2版.docx／川崎町_在宅介護実態調査結果報告書_R8.10.2版.docx／同_資料編_R8.10.2版.docx</t>
  </si>
  <si>
    <t>A4版　簡易コピー紙印刷製本
1色刷り　80頁程度　5部</t>
  </si>
  <si>
    <t>【令和8年10月1日 更新】納品前に必ず処理するもの4件は当方の作業であり、ご確認を待たずに直せる（08シート 順位4）。①本編・ニーズ調査の目次が未更新（1行）②3文書とも文書プロパティの最終更新者名が残存 ③ニーズ調査[P629]に編集メモが残存 ④ニーズ調査 表73のキャプションが表の下にある。報告書の体裁・構成（確認事項No.2）と、報告書に残る【町確認】10件（No.104）はご確認待ち（ペンディング束8）。</t>
  </si>
  <si>
    <t>1, 2</t>
  </si>
  <si>
    <t>調査結果集計・分析の電子データ</t>
  </si>
  <si>
    <t>川崎町_介護予防日常生活圏域ニーズ調査_集計データ_20260807
川崎町_在宅介護実態調査_集計データ</t>
  </si>
  <si>
    <t>一式（Excel）</t>
  </si>
  <si>
    <t>単純集計・属性別集計・グラフデータは作成済み。個票による設問間クロス集計の範囲をご指示いただきたい。</t>
  </si>
  <si>
    <t>1, 3</t>
  </si>
  <si>
    <t>事業量・見込み量等の推計用電子データ</t>
  </si>
  <si>
    <t>川崎町_第10期_計画見込量_R8.9.15.xlsx（7シート）
川崎町_第10期_計画見込量_中長期・保険料内訳_R8.10.17.xlsx（9シート）
川崎町_新推計パターン_設定値一式_R8.9.11.xlsx（8シート）
川崎町_保険料試算ワークブック（11シート）</t>
  </si>
  <si>
    <t>【令和8年10月19日 更新】中長期（令和17・22年度）の見込量と保険料の内訳を書き出した版を登録した（⚠ **登録が漏れていた**）。棚卸しで出所が示せていなかった70件はすべて対応済み。　令和7年度の年報を基礎とする独立算定を完了（32サービス・要介護度別。保険料6,822円）。準備基金の令和8年度末残高の確定を待って確定値とする。</t>
  </si>
  <si>
    <t>9, 10, 11, 12, 13</t>
  </si>
  <si>
    <t>計画書</t>
  </si>
  <si>
    <t>川崎町_計画書素案_v2.18_範囲明記版.docx／同_v2.18c_圧縮案_R8.10.17.docx（本文106頁）／川崎町_計画書_別冊_詳細分析_R8.10.17b.docx（9頁）</t>
  </si>
  <si>
    <t>A4版　表紙レザック　本文上質紙
1色刷り　100頁程度　100部</t>
  </si>
  <si>
    <t>【令和8年10月19日 更新】⚠ **圧縮案と別冊の記載が古くなっていた**（v2.17c／別冊R8.10.17 を指したまま。現に作ったのはv2.18c／別冊R8.10.17b）。素案 Ver.2.18 に合わせて直した。　【令和8年10月17日 更新】素案 Ver.2.17（中長期補完版）。9-1 の令和17・22年度の空欄15サービス・74セルを原典から算定して埋め、**9-1 のサービス別の和と 9-2 の総給付費が3か年すべてで一致するようにした。** Ver.2.16 で置いた注の誤りも直した。⚠ 保険料・給付費の総額は変えていない。　【令和8年10月16日 更新】素案 Ver.2.16（内容整備版・全116頁）。見込量の表に落ちていた15サービスを加え（Ver.2.14）、第1号被保険者数・認定者数の実績を年報に合わせ（Ver.2.15）、施策事業表の内容欄31セル・9-1の見出しと表の対応・本文に残っていた作業経過を是正した（Ver.2.16）。⚠ **頁数が113頁から116頁に増えた。** 仕様書8の100頁程度との差が広がったため、圧縮案（確認事項No.83）のご判断が一層重要になっている（圧縮案を Ver.2.16c として作り直した。本文109頁＋資料編13頁＝122頁）。⚠ **資料編と奥付がまだない**（確認事項No.181）。　【令和8年10月7日 更新】素案 Ver.2.12（本文113頁・673段落・128表・図10点）。9-1 の『見込量を0としたサービス』の表を是正し、『施策と見込量の関係』を新設した。Ver.2.12 で過疎地域非該当の保険者数を856に是正した（原典から作り直した突合による）。⚠ 仕様書8は「100頁程度」であり、圧縮案（本文105頁）をお示ししている（確認事項No.83）。</t>
  </si>
  <si>
    <t>15, 16, 18</t>
  </si>
  <si>
    <t>概要版</t>
  </si>
  <si>
    <t>川崎町_計画素案_概要版_R8.10.5.docx（3,827字・表5件・図8点）</t>
  </si>
  <si>
    <t>A4版　コート紙
1色刷り　8頁程度　3,500部</t>
  </si>
  <si>
    <t>【令和8年10月7日 更新】下書き（6頁・2,458字）に計画の期間と位置づけ・柱ごとの事業数・第9期から変わること・主な目安・ご相談先を加えた（3,827字）。当方の環境で PDF にすると7頁。仕様書8は「8頁程度」であり、Word での頁数をご確認のうえ調整する。入稿は第3回策定委員会（令和9年1月）の後。保険料の額は確定前。</t>
  </si>
  <si>
    <t>18</t>
  </si>
  <si>
    <t>計画書概要及び計画書案等の電子データ</t>
  </si>
  <si>
    <t>川崎町_第2回策定委員会資料_R8.11_v8.docx／同_想定問答集_R8.11_v4.docx／川崎町_第3回・第4回策定委員会_骨子案_R8.10.5.docx
川崎町_事業所照会票_R8.10.16.docx（全27頁）
川崎町_事業所照会票_電子記入様式_R8.10.16.xlsx（9シート）</t>
  </si>
  <si>
    <t>一式（Word・PDF）</t>
  </si>
  <si>
    <t>【令和8年10月16日 更新】事業所照会票一式を加えた。⚠ 発出のご判断（確認事項No.170）と［　］4か所のご記入（確認事項No.171）を待っている。　【令和8年10月7日 更新】第2回策定委員会資料 v8・想定問答集 v4（全44問）、第3回・第4回の骨子案を作成。あわせて中間報告書（第1回）、県事前協議の資料一式、意見公募手続の一式（意見提出用紙を含む）を用意した。</t>
  </si>
  <si>
    <t>15, 18</t>
  </si>
  <si>
    <t>注1）判型・用紙・刷色・頁数・部数は仕様書8に明記されており確認済みである。未確定なのは入稿期日のみ（確認事項No.18）。</t>
  </si>
  <si>
    <t>注2）調査報告書（80頁程度・5部）は計画書とは別の成果品であり、仕様書6（1）の「調査票報告書作成（編集・校正含み）」に対応する。</t>
  </si>
  <si>
    <t>仕様書6（1）　アンケート調査の実施・集計の状況</t>
  </si>
  <si>
    <t>仕様書6（1）が定める調査（一般高齢者1,000人・要支援要介護認定者300人）について、設問設計から計画への反映までの到達状況を管理する。調査票は2種類であり、印刷・封筒・封入・宛名ラベル貼付は受託者の業務（仕様書6（2））。</t>
  </si>
  <si>
    <t>対象調査</t>
  </si>
  <si>
    <t>計画での用途</t>
  </si>
  <si>
    <t>①設問設計</t>
  </si>
  <si>
    <t>②印刷・発送準備</t>
  </si>
  <si>
    <t>③回収・回収票管理</t>
  </si>
  <si>
    <t>④入力・集計</t>
  </si>
  <si>
    <t>⑤集計・分析</t>
  </si>
  <si>
    <t>⑥調査報告書</t>
  </si>
  <si>
    <t>⑦計画への反映</t>
  </si>
  <si>
    <t>介護予防・日常生活圏域ニーズ調査
（一般高齢者　1,000人）</t>
  </si>
  <si>
    <t>高齢者の生活実態、社会参加、外出・移動手段、認知症の理解、緊急時連絡体制等の把握。素案の現状分析及び施策設定に用いる。</t>
  </si>
  <si>
    <t>令和8年6〜7月に郵送で実施。集計データ（20260807版）の有効回答は576件・75設問。設問間クロス分析10項目、BMI区分・低栄養リスクを属性としたクロス分析5項目、自由記述の分類まで完了し、結果報告書（R8.9.2版）を作成済み（集計ブックとの突合で不一致0件）。第1回策定委員会資料への反映も完了。回答者属性が未記録である制約は残る（確認事項No.27・37）。成果品としての調査報告書の体裁・構成は未確定（同No.2）。</t>
  </si>
  <si>
    <t>25, 27</t>
  </si>
  <si>
    <t>在宅介護実態調査
（要支援・要介護認定者　300人）</t>
  </si>
  <si>
    <t>在宅生活の継続を困難にしている要因、家族介護者の状況、サービス利用の実態の把握。素案の在宅生活支援に係る施策及びサービス見込量に用いる。</t>
  </si>
  <si>
    <t>令和8年6〜7月に実施。集計データ（20260807版）の有効回答は142件・26設問（回収率約47%）。女性62.0%、85歳以上61.2%、要介護3〜5が58.3%。結果報告書（R8.9.2版）を作成し、個票による設問間クロス分析11項目（施設入所を規定する要因の3件を含む）を掲載。第1回策定委員会資料への反映も完了。抽出母集団・抽出方法が未確認のため、在宅認定者への外挿は感度試算にとどめている（確認事項No.31）。</t>
  </si>
  <si>
    <t>21, 28</t>
  </si>
  <si>
    <t>認知症の本人・家族の意見聴取
（仕様書に規定のない任意実施）</t>
  </si>
  <si>
    <t>認知症の本人及び家族の意見の把握。認知症基本法に基づく本人意見聴取への対応として受託者が提案しているもの。</t>
  </si>
  <si>
    <t>仕様書6（1）の対象は一般高齢者1,000人と認定者300人の2種類であり、本調査の規定はない。実施の要否及び費用の取扱いについて発注者との協議を要する。</t>
  </si>
  <si>
    <t>19</t>
  </si>
  <si>
    <t>段階</t>
  </si>
  <si>
    <t>作業の内容</t>
  </si>
  <si>
    <t>調査票の設問設計及び作成（仕様書6（1））。標準設問への追加設問の設計を含む</t>
  </si>
  <si>
    <t>調査票の印刷（2種類）、送付用封筒（角2）・返信用封筒（長3）の印刷、封入、宛名ラベル貼付（仕様書6（2））</t>
  </si>
  <si>
    <t>回収及び回収票管理（ナンバリング等）（仕様書6（1））</t>
  </si>
  <si>
    <t>回収調査票の入力及び集計作業（データ入力・整理・グラフデータ作成）（仕様書6（1））</t>
  </si>
  <si>
    <t>⑤集計・実態調査分析</t>
  </si>
  <si>
    <t>集計結果に基づく実態調査分析（仕様書6（1））</t>
  </si>
  <si>
    <t>⑥調査報告書の作成</t>
  </si>
  <si>
    <t>調査票報告書の作成（編集・校正含み）（仕様書6（1））。成果品80頁程度・5部</t>
  </si>
  <si>
    <t>素案の該当箇所への反映</t>
  </si>
  <si>
    <t>注1）②印刷・発送準備は受託者の業務である（仕様書6（2）：調査票の印刷2種類、送付用封筒 角2、返信用封筒 長3、封入・宛名ラベル貼付）。宛名ラベルの作成には町からの対象者リストを要する（確認事項No.3）。</t>
  </si>
  <si>
    <t>注2）No.3の認知症の本人・家族の意見聴取は仕様書に規定がなく、実施の要否について発注者との協議を要する（確認事項No.19）。</t>
  </si>
  <si>
    <t>資料提供依頼一覧（38件）</t>
  </si>
  <si>
    <t>業務の遂行に必要な資料を一覧化する。領域は A人口・世帯／B給付実績／C保険料・財政／D事業所・地域支援事業／E調査／F第9期評価／G委員会運営／H制度改正／I参考 の別による。</t>
  </si>
  <si>
    <t>領域</t>
  </si>
  <si>
    <t>資料</t>
  </si>
  <si>
    <t>確定する事項</t>
  </si>
  <si>
    <t>入手先</t>
  </si>
  <si>
    <t>希望時期</t>
  </si>
  <si>
    <t>優先度</t>
  </si>
  <si>
    <t>備考</t>
  </si>
  <si>
    <t>E</t>
  </si>
  <si>
    <t>調査対象者リスト（宛名ラベル用）</t>
  </si>
  <si>
    <t>要支援・要介護認定者300人及び一般高齢者1,000人の氏名・住所。抽出方法及び個人情報の取扱いの取決めを含む。</t>
  </si>
  <si>
    <t>宛名ラベルの作成・貼付、調査票の発送</t>
  </si>
  <si>
    <t>最高</t>
  </si>
  <si>
    <t>確認事項No.3と対応。令和8年6〜7月に宛名ラベルを作成・発送し、回収まで完了している。</t>
  </si>
  <si>
    <t>C</t>
  </si>
  <si>
    <t>介護給付費準備基金の積立・取崩実績及び残高</t>
  </si>
  <si>
    <t>第7期から第9期までの各年度の積立額・取崩額・年度末残高。令和8年6月時点及び令和8年度末の残高見込を含む。</t>
  </si>
  <si>
    <t>第10期開始時点の基金残高、保険料3パターンの取崩額</t>
  </si>
  <si>
    <t>確認事項No.9と対応。受領しない限り保険料基準額が確定しない。</t>
  </si>
  <si>
    <t>B</t>
  </si>
  <si>
    <t>令和4〜7年度。居宅・地域密着型・居宅介護支援・施設の別、住所地特例24人及び町外施設利用分の内訳を含む。</t>
  </si>
  <si>
    <t>サービス事業量の推計、給付実績分析</t>
  </si>
  <si>
    <t>高</t>
  </si>
  <si>
    <t>確認事項No.12と対応。仕様書6（5）（6）の中核データ。／【令和8年9月16日】年報の要介護度別明細により第1次の算定が完了したため、優先度を「最高」から「高」に下げる。町外利用の内訳の把握には引き続き必要。</t>
  </si>
  <si>
    <t>所得段階別の第1号被保険者数</t>
  </si>
  <si>
    <t>令和7年度末又は令和8年度当初の所得段階別被保険者数（現行13段階の別）。</t>
  </si>
  <si>
    <t>補正係数（現在0.97を仮置き）、所得段階の乗率調整</t>
  </si>
  <si>
    <t>確認事項No.10と対応。／【令和8年9月16日】受領済みの年報（令和7年度）様式1「所得段階別」の列20「年度末現在被保険者数」に13段階の記載があった。ご依頼は不要。当社の確認不足によりお手数をおかけしたことをお詫びする。</t>
  </si>
  <si>
    <t>保険料収納率及び交付金の交付実績</t>
  </si>
  <si>
    <t>令和4〜7年度の保険料収納率（総合・現年・特別徴収・普通徴収の別）、調整交付金及び保険者機能強化推進交付金等の交付実績。</t>
  </si>
  <si>
    <t>予定収納率、調整交付金見込率、機能強化交付金の見込額</t>
  </si>
  <si>
    <t>確認事項No.11と対応。第9期の調整交付金見込率3.9%は標準5%を下回る。</t>
  </si>
  <si>
    <t>F</t>
  </si>
  <si>
    <t>第9期の施策・事業実績（35事業）</t>
  </si>
  <si>
    <t>第9期計画の各事業の実績、事業量、対象実人数、決算額及び評価指標の実績値。第9期実績一覧_町記入用（7シート）への記入により提供いただく。</t>
  </si>
  <si>
    <t>現行施策の検証（仕様書6（4））、素案 第3章</t>
  </si>
  <si>
    <t>確認事項No.8と対応。</t>
  </si>
  <si>
    <t>D</t>
  </si>
  <si>
    <t>地域支援事業の実績及び第10期の実施方針</t>
  </si>
  <si>
    <t>仕様書6（5）が定める①対象者数、②介護予防・生活支援サービス事業、③一般介護予防事業、④包括的支援事業、⑤任意事業の各実績（令和4〜8年度）。</t>
  </si>
  <si>
    <t>地域支援事業の費用・量の見込み</t>
  </si>
  <si>
    <t>確認事項No.13と対応。</t>
  </si>
  <si>
    <t>第9期保険料算定のワークシート</t>
  </si>
  <si>
    <t>第9期計画の保険料算出表の基となる算定ワークシート。取崩なし収納必要額から取崩後収納必要額への14,000千円の差の内訳を確認する。</t>
  </si>
  <si>
    <t>第9期基準額の再現精度、第10期算定の前提</t>
  </si>
  <si>
    <t>確認事項No.14と対応。</t>
  </si>
  <si>
    <t>A</t>
  </si>
  <si>
    <t>住民基本台帳による年齢別・男女別人口</t>
  </si>
  <si>
    <t>令和4〜8年度の各年度末。仕様書6（5）が定める10年間の年齢別・男女別人口推計の基礎とする。</t>
  </si>
  <si>
    <t>人口推計（年齢別・男女別）</t>
  </si>
  <si>
    <t>現行の長期推計は年齢区分別までであり、男女別の作成に必要。</t>
  </si>
  <si>
    <t>G</t>
  </si>
  <si>
    <t>策定委員会の委員名簿及び開催日程</t>
  </si>
  <si>
    <t>委員の氏名・所属・区分、委嘱の状況、第1回〜第4回の開催日及び審議事項。</t>
  </si>
  <si>
    <t>委員会資料、資料編 資料3</t>
  </si>
  <si>
    <t>確認事項No.4・5と対応。</t>
  </si>
  <si>
    <t>介護保険条例及び委員会に係る規則</t>
  </si>
  <si>
    <t>現行の介護保険条例（第17条の委員会設置規定を含む）及び委員会規則。第10期の審議組織の位置付けの確認に用いる。</t>
  </si>
  <si>
    <t>資料編 資料1・資料2、委員会名称の表記</t>
  </si>
  <si>
    <t>確認事項No.6と対応。仕様書は「策定委員会」、第9期計画は「介護保険運営委員会」と表記。</t>
  </si>
  <si>
    <t>事業所・施設の定員及び稼働の実績</t>
  </si>
  <si>
    <t>区域内の事業所・施設の定員、利用者数、稼働率。施設の地域偏在の実態を含む。</t>
  </si>
  <si>
    <t>サービス見込量、見込量確保のための方策の検討</t>
  </si>
  <si>
    <t>中</t>
  </si>
  <si>
    <t>仕様書6（5）の見込量確保方策の検討に必要。</t>
  </si>
  <si>
    <t>関連施策評価調査シートの配付先</t>
  </si>
  <si>
    <t>評価シートを配付する庁内各課及び関係機関の範囲、回答期限、聞き取りの実施方法。</t>
  </si>
  <si>
    <t>関連施策評価調査シート、現行施策の検証</t>
  </si>
  <si>
    <t>確認事項No.7と対応。シート案は受託者から提案する。</t>
  </si>
  <si>
    <t>H</t>
  </si>
  <si>
    <t>第10期の政令改正の内容</t>
  </si>
  <si>
    <t>標準段階数、標準乗率、公費軽減の乗率、第1号被保険者負担割合。国の告示による。</t>
  </si>
  <si>
    <t>所得段階の設計と保険料算定</t>
  </si>
  <si>
    <t>国の情報</t>
  </si>
  <si>
    <t>告示後</t>
  </si>
  <si>
    <t>受託者が随時確認する。第9期は既に13段階を採用しており、論点は乗率・区分の調整。</t>
  </si>
  <si>
    <t>見える化システムの比較値</t>
  </si>
  <si>
    <t>仙南圏域・宮城県平均・全国平均の保険料、認定率、給付費の各指標。</t>
  </si>
  <si>
    <t>保険料の比較分析</t>
  </si>
  <si>
    <t>見える化システム</t>
  </si>
  <si>
    <t>県内35市町村の保険料比較は公表資料により実施済み（県内10〜12位／35）。</t>
  </si>
  <si>
    <t>I</t>
  </si>
  <si>
    <t>金ケ崎町 第9期計画書の保険料算出表</t>
  </si>
  <si>
    <t>比較参照先である金ケ崎町（岩手県）の第9期計画書の保険料算出表。第9期基準額4,900円の構成額を確認する。</t>
  </si>
  <si>
    <t>精査レポートの比較検証の精度</t>
  </si>
  <si>
    <t>金ケ崎町公表資料</t>
  </si>
  <si>
    <t>低</t>
  </si>
  <si>
    <t>受託者側で取得を試行する。</t>
  </si>
  <si>
    <t>同時策定2計画の検討状況</t>
  </si>
  <si>
    <t>地域福祉計画・障害者計画（ジャパン総研策定）の骨子・素案の検討状況。</t>
  </si>
  <si>
    <t>3計画の整合</t>
  </si>
  <si>
    <t>発注者・ジャパン総研</t>
  </si>
  <si>
    <t>確認事項No.20と対応。</t>
  </si>
  <si>
    <t>保険者機能強化推進交付金等の全国集計結果（令和6〜8年度）</t>
  </si>
  <si>
    <t>市町村分の評価指標別得点及び全国順位。令和8年8月28日に受領済み。</t>
  </si>
  <si>
    <t>第9期のアウトカム評価、第1回策定委員会資料の第9期振り返り</t>
  </si>
  <si>
    <t>令和8年8月28日受領。3か年を分析し委員会資料v8に反映済み。／令和8年9月2日に同じ資料（令和6・7・8年度の評価結果xlsx 3件、令和8年度評価指標pdf 2件）を再度ご提供いただいた。川崎町の全項目を照合し、8月28日受領分と内容が一致することを確認済み（pdf 2件は相互に同一）。追加の格納は不要。</t>
  </si>
  <si>
    <t>リハビリテーション関連指標（保険者別・2015〜2019年度）</t>
  </si>
  <si>
    <t>通所・訪問リハビリテーションの利用状況等の保険者別指標。令和8年8月28日に受領済み。</t>
  </si>
  <si>
    <t>通所リハビリテーションの利用実態の把握</t>
  </si>
  <si>
    <t>令和8年8月28日受領。データが2019年度までのため参考扱い。</t>
  </si>
  <si>
    <t>在宅訪問対応薬局リスト（2021年1月時点）</t>
  </si>
  <si>
    <t>在宅訪問（居宅療養管理指導）に対応する薬局の一覧。令和8年8月28日に受領済み。</t>
  </si>
  <si>
    <t>在宅医療・介護連携の現況把握</t>
  </si>
  <si>
    <t>令和8年8月28日受領。町内の該当が確認できず、現況の確認が必要（確認事項No.38）。</t>
  </si>
  <si>
    <t>給付・事業実績データ（13シート）</t>
  </si>
  <si>
    <t>令和8年9月1日受領。02総合事業〜08権利擁護の事業実績、04サービス別の利用者数・給付費（R2〜R8）、05基金・保険料、12〜14サービス見込量。</t>
  </si>
  <si>
    <t>給付実績分析、地域支援事業の実績、準備基金残高（148,100千円）</t>
  </si>
  <si>
    <t>令和8年9月1日受領。見込量と実績が同数の箇所が多数あるため確定数値の受領まで仮試算として扱う（確認事項No.40〜48）。12〜14の実績欄は未記入。</t>
  </si>
  <si>
    <t>22</t>
  </si>
  <si>
    <t>県の事務連絡の原本</t>
  </si>
  <si>
    <t>県メールの添付『【事務連絡】第10期介護保険事業（支援）計画における介護サービス見込量等の推計結果の集計（第1回目）について.pdf』。今回はメール本文の印刷のみの受領で、添付本体が未着。</t>
  </si>
  <si>
    <t>第1回目に入力する項目の範囲、第2回目以降の時期</t>
  </si>
  <si>
    <t>発注者（県からの受信分）</t>
  </si>
  <si>
    <t>至急</t>
  </si>
  <si>
    <t>確認事項No.72と対応。回次・各回の締切・入力範囲が書かれているのはこの1枚の可能性が高い。／令和8年9月8日受領（3頁）。国の提出期間は9月30日〜10月13日18時で、県の10月5日は前倒し締切と判明。必要なマニュアル2点（利用マニュアル【システム操作編②将来推計】第10.0版、地域分析の手引き５）と、確認すべき4つの観点、システムを使えない場合の報告様式エクセルによる代替ルートが判明した。ただし事務連絡の添付「報告様式エクセルファイル」は未受領。第2回目以降の記載もなし。</t>
  </si>
  <si>
    <t>23</t>
  </si>
  <si>
    <t>令和6年度の介護保険事業状況報告（年報）一式</t>
  </si>
  <si>
    <t>様式1〜様式4。自然体推計は実績3か年（第10期なら令和6〜8年度）を基礎とするが、手元の年報は令和7年度の1か年のみ。</t>
  </si>
  <si>
    <t>自然体推計の実績値（認定者数・受給者数・利用回数・給付費）</t>
  </si>
  <si>
    <t>R8.9中旬</t>
  </si>
  <si>
    <t>令和6年度の月報（202405〜202503）も併せていただけると、年度途中の補正に使える。／令和8年9月8日受領（年報データ_2024_川崎町.xlsx・47シート）。様式4に決算が記入されており、標準給付費見込額1,093,253,453円が町提供データと453円差で一致。所得段階別被保険者数（確認事項No.10）と調整交付金実績（同No.11）も本ファイルで確定した。令和6年度の月報（R6.5〜R7.3）は引き続き未受領。</t>
  </si>
  <si>
    <t>24</t>
  </si>
  <si>
    <t>令和7年度の年報の決算確定版（様式4・4の2・4の3・経理状況）</t>
  </si>
  <si>
    <t>現在受領している年報は様式4系と経理状況の数値セルが全て0（未記入）。算定対象審査支払手数料、地域支援事業費の決算額、調整交付金の収入額が取得できない。あわせて様式1所得段階別の「セ 標準月額保険料」も0。</t>
  </si>
  <si>
    <t>標準給付費見込額の算定対象審査支払手数料、地域支援事業費、調整交付金</t>
  </si>
  <si>
    <t>確認事項No.11（調整交付金の交付実績）と対応。／令和8年9月8日に令和7年度年報を再送いただいたが、既存ファイルと同一（MD5一致・全47シート差分0）で、様式4系は依然として全ゼロ。令和6年度分は記入済みのため令和7年度も記入いただきたい。必要なのは①調整交付金の交付実績②保険者機能強化推進交付金等③地域支援事業費の区分（総合事業／包括的支援事業・任意事業）④準備基金保有額⑤算定対象審査支払手数料⑥様式1所得段階別「セ 標準月額保険料」の6点。なお標準給付費見込額(A)は様式2系から1,084,199,562円まで積み上げられ、町提供データ1,085,203千円と0.09％差で一致するため、第1回目の提出には支障なし。希望時期をR8.10に変更。</t>
  </si>
  <si>
    <t>25</t>
  </si>
  <si>
    <t>第9期の将来推計総括表（第2回目〜第4回目）</t>
  </si>
  <si>
    <t>令和8年9月7日に受領したのは第1回目（令和5年10月5日出力）の総括表。最終版では保険料基準額が7,644円から6,500円に下がっており、その過程（見込量の見直し、基金取崩額の決定、13段階化の反映）を確認したい。</t>
  </si>
  <si>
    <t>第10期の見込量の調整幅と基金取崩の考え方、確認事項No.14の最終確認</t>
  </si>
  <si>
    <t>最終版の補正後被保険者数（約9,517人と推定）が確認できれば確認事項No.14が確定する。</t>
  </si>
  <si>
    <t>26</t>
  </si>
  <si>
    <t>事務連絡の添付「報告様式エクセルファイル」及び将来推計の各マニュアル</t>
  </si>
  <si>
    <t>厚生労働省の事務連絡（令和8年9月1日）の添付資料である報告様式エクセルファイル。あわせて、事務連絡が名指ししている「地方公共団体向け利用マニュアル【システム操作編② 将来推計】第10.0版」及び「地域分析の手引き ５．将来推計について」。</t>
  </si>
  <si>
    <t>見える化システムでの推計作業の手順、システムを使えない場合の代替ルート</t>
  </si>
  <si>
    <t>マニュアル2点はシステムにログインできれば入手できる見込み。確認事項No.71と対応。</t>
  </si>
  <si>
    <t>27</t>
  </si>
  <si>
    <t>地域支援事業費の令和6・7年度決算の区分別内訳</t>
  </si>
  <si>
    <t>介護予防・日常生活支援総合事業費／包括的支援事業（地域包括支援センターの運営）／包括的支援事業（社会保障充実分）／任意事業 の4区分ごとの決算額。見える化システムの入力値と令和6年度決算が5,042,622円（12％）合わない。</t>
  </si>
  <si>
    <t>見える化システムの地域支援事業費、素案 第7章、調整交付金相当額の算定基礎</t>
  </si>
  <si>
    <t>R8.9.20</t>
  </si>
  <si>
    <t>確認事項No.77と対応。総合事業費は調整交付金相当額（5％）の算定基礎に入り、包括的支援事業費は入らないため、区分の別が保険料に直接効く。</t>
  </si>
  <si>
    <t>28</t>
  </si>
  <si>
    <t>包括的支援事業（社会保障充実分）5事業の決算額</t>
  </si>
  <si>
    <t>在宅医療・介護連携推進事業、生活支援体制整備事業、認知症初期集中支援推進事業、認知症地域支援・ケア向上事業、地域ケア会議推進事業の令和6・7年度決算額。システムの入力値が599,744円（第9期計画値9,000千円）とほぼ0になっている。</t>
  </si>
  <si>
    <t>見える化システムの地域支援事業費、素案 第7章、第8章（認知症施策）</t>
  </si>
  <si>
    <t>確認事項No.77②と対応。影響額＋31円。</t>
  </si>
  <si>
    <t>29</t>
  </si>
  <si>
    <t>令和8年度の介護保険事業状況報告（月報）の続き</t>
  </si>
  <si>
    <t>現在受領しているのは令和8年4〜7月分の4か月。第2回目・第3回目の入力時点で反映できる最新月まで、順次ご提供いただきたい。</t>
  </si>
  <si>
    <t>令和8年度の実績見込みの精度、見える化システム第2回目以降の入力</t>
  </si>
  <si>
    <t>随時</t>
  </si>
  <si>
    <t>確認事項No.79と対応。月報が増えるほど令和8年度の年間額の推計精度が上がる。</t>
  </si>
  <si>
    <t>30</t>
  </si>
  <si>
    <t>介護給付費準備基金の令和8年度末残高（確定値）</t>
  </si>
  <si>
    <t>令和8年度末の残高見込み152,500千円は令和8年9月1日提供の実績データによるものです。決算又は補正の状況を踏まえた確定値をご教示ください。</t>
  </si>
  <si>
    <t>保険料3パターンの取崩額と基準額の確定</t>
  </si>
  <si>
    <t>発注者（財政担当）</t>
  </si>
  <si>
    <t>確認事項No.9と対応。取崩額1,000万円あたり保険料は月額86円下がる。本件が確定すれば保険料基準額を確定できる。</t>
  </si>
  <si>
    <t>31</t>
  </si>
  <si>
    <t>調整交付金の見込交付割合（宮城県への照会結果）</t>
  </si>
  <si>
    <t>見える化システムが自動計算した見込交付割合（令和9年度6.14％・令和10年度5.93％・令和11年度5.69％）は全国の仮置値によるものです。宮城県への照会結果をご教示ください。</t>
  </si>
  <si>
    <t>調整交付金見込額（E）、保険料基準額</t>
  </si>
  <si>
    <t>確認事項No.78と対応。標準の5.0％となった場合は月額273円上がる。</t>
  </si>
  <si>
    <t>32</t>
  </si>
  <si>
    <t>介護予防・日常生活支援総合事業の事業別実績（令和7年度）</t>
  </si>
  <si>
    <t>訪問型・通所型サービスの区分別の利用者数・延べ回数・給付費、介護予防ケアマネジメントの件数、一般介護予防事業の実施状況。包括的支援事業・任意事業は事業別の決算額。</t>
  </si>
  <si>
    <t>地域支援事業の量の見込み（法第117条第2項第2号）、素案 第9章9-1</t>
  </si>
  <si>
    <t>確認事項No.13・No.77と対応。現在は訪問介護相当45人／月・通所介護相当54人／月のみで組んでいる。</t>
  </si>
  <si>
    <t>33</t>
  </si>
  <si>
    <t>要介護認定者の日常生活自立度別人数</t>
  </si>
  <si>
    <t>主治医意見書による認知症高齢者の日常生活自立度（Ⅰ・Ⅱa・Ⅱb・Ⅲa・Ⅲb・Ⅳ・M）の別の認定者数。令和6年度末・令和7年度末。できれば年齢階級別・要介護度別の内訳もご提供ください。</t>
  </si>
  <si>
    <t>認知症の人の将来推計（国の基本指針が求める記載事項）、素案 第6章6-1</t>
  </si>
  <si>
    <t>発注者（介護保険システム）</t>
  </si>
  <si>
    <t>確認事項No.86〜91と対応。認定者数は算定済み（令和7年度568人→令和11年度581人→令和22年度688人）のため、自立度Ⅱ以上の割合の実績があれば当日中に算定できる。推計値の仮置きは行わない。</t>
  </si>
  <si>
    <t>34</t>
  </si>
  <si>
    <t>施策・事業の体系（案）の8事業の実績と第10期の予定</t>
  </si>
  <si>
    <t>体系（案）にあり計画素案に記載のない次の8事業について、令和6・7年度の実績（実施回数・対象者数・決算額）と第10期の実施予定をご提供ください。①感染症対策の推進、②防犯対策の充実、③交通安全対策の推進、④消費者被害の防止と救済、⑤会食サービス事業、⑥敬老会開催事業・敬老祝金支給事業、⑦生涯学習の推進、⑧認知症高齢者等見守りＱＲコード活用事業。</t>
  </si>
  <si>
    <t>素案 第5章（主な事業・KPI）、施策体系の統合表（Ver.2.0）</t>
  </si>
  <si>
    <t>発注者（保健福祉課ほか関係課）</t>
  </si>
  <si>
    <t>④は認知症基本法第17条（権利利益の保護）、⑧は同第15条（見守り体制の整備）の対応事業として第6章にも再掲する。⑤は低栄養リスク該当4人への個別対応の入口となる。</t>
  </si>
  <si>
    <t>35</t>
  </si>
  <si>
    <t>認知症高齢者等見守りＱＲコード活用事業の利用実績</t>
  </si>
  <si>
    <t>登録者数（令和6年度・令和7年度）、QRコードにより発見・保護に至った事例の件数、配布したシール等の枚数をご提供ください。認知症基本法第15条が求める「地域において認知症の人を見守るための体制の整備」の直接の対応事業であり、第6章のKPIとして設定できます。</t>
  </si>
  <si>
    <t>素案 第6章6-3（重点施策J・KPI）</t>
  </si>
  <si>
    <t>発注者（保健福祉課）</t>
  </si>
  <si>
    <t>資料提供依頼No.34の⑧と同一事業。KPIに用いるため実績値を分けて依頼する。</t>
  </si>
  <si>
    <t>36</t>
  </si>
  <si>
    <t>交付金で評価されている3事業の実績</t>
  </si>
  <si>
    <t>令和6・7年度の実績（実施回数・対象者数・決算額）と第10期の実施予定をご提供ください。①難聴高齢者の早期発見・早期介入（スクリーニングの方法・実施件数・医療機関への紹介件数）、②介護予防ポイント事業（参加者数・付与ポイント数・交換実績）、③アウトリーチ等の取組（対象者の抽出方法・訪問件数・通いの場等への参加につながった件数）。</t>
  </si>
  <si>
    <t>統合体系表 柱4 第1節2(8)(9)・柱5 第2節1(4)、素案 第5章・第6章のKPI</t>
  </si>
  <si>
    <t>確認事項No.116と対応。いずれも交付金で県内1位の評価を得ている事業であり、第10期のKPIの現状値として用いる。</t>
  </si>
  <si>
    <t>37</t>
  </si>
  <si>
    <t>高齢者向け住まいの一覧（有料老人ホーム・サービス付き高齢者向け住宅・軽費老人ホーム（ケアハウス）・養護老人ホーム）</t>
  </si>
  <si>
    <t>町内及び近隣の施設について、名称・所在地・定員（戸数）・入居者数・うち要介護者等の数・特定施設の指定の有無。記入様式をお渡しします（川崎町_事業所・住まい_突合台帳_R8.10.15.xlsx 04シート）。県の公表一覧・サービス付き高齢者向け住宅情報提供システム・町の措置台帳・住所地特例者台帳から取り出せます。</t>
  </si>
  <si>
    <t>基本指針の別表 事項八。令和8年法律第51号が求める有料老人ホーム及びサービス付き高齢者向け住宅の入居定員の勘案。素案 2-7 の高齢者向け住まいの節</t>
  </si>
  <si>
    <t>R8.11上旬</t>
  </si>
  <si>
    <t>確認事項No.154と対応。⚠ 町内に該当がない場合も「町内に該当なし（○年○月○日現在）」とご記入ください。</t>
  </si>
  <si>
    <t>38</t>
  </si>
  <si>
    <t>町内の介護保険事業所一覧（地域密着型は町の指定台帳から）</t>
  </si>
  <si>
    <t>事業所番号・名称・サービス種別・所在地・定員・開設年月・利用者数・稼働率・職員数（常勤換算）。記入様式をお渡しします（同台帳 03シート）。⚠ 地域密着型サービスは町が指定権者ですので、外部の名簿を待たず町の指定台帳だけで確定できます。</t>
  </si>
  <si>
    <t>基本指針の別表 事項七。素案 9-1 の必要利用定員総数の「町内の定員」欄（認知症対応型共同生活介護・地域密着型介護老人福祉施設入所者生活介護の［要確認］2行）。素案 2-7・7-1 の施設数の出典</t>
  </si>
  <si>
    <t>発注者（保健福祉課介護保険係）</t>
  </si>
  <si>
    <t>R8.10下旬</t>
  </si>
  <si>
    <t>確認事項No.29と対応。⚠ 素案 2-7・7-1 の「特別養護老人ホーム1施設・介護老人保健施設1施設」には出典がなく、現に給付のある地域密着型介護老人福祉施設と認知症対応型共同生活介護が落ちています。</t>
  </si>
  <si>
    <t>注1）優先度は 最高／高／中／低 の別による。「最高」は、受領しない限り当該業務が完了しない資料を示す。</t>
  </si>
  <si>
    <t>注2）「状態」が「完了」となった資料は、受領日を備考欄に記入する。</t>
  </si>
  <si>
    <t>39</t>
  </si>
  <si>
    <t>居宅介護支援事業所の給付管理の相手方の事業所の一覧</t>
  </si>
  <si>
    <t>町内の居宅介護支援事業所が給付管理を行っている相手方の事業所（事業所番号・名称・所在市町村・サービスの種類）の一覧。⚠ **国保連の給付実績（事業所別）が未受領であるため、本町の被保険者が現に利用している町外の事業所の宛先を作れません。**居宅介護支援事業所は給付管理のために相手方を把握しているので、この経路が最も早い代替になります。</t>
  </si>
  <si>
    <t>事業所照会票の送付先（町外の事業所）。素案 9-1 の広域調整（町外施設の受入余地）</t>
  </si>
  <si>
    <t>発注者（町内の居宅介護支援事業所を通じて）</t>
  </si>
  <si>
    <t>確認事項No.172と対応。国保連データ（依頼No.1・確認事項No.12）が届けば不要になります。</t>
  </si>
  <si>
    <t>ペンディングの整理（影響度と優先順位）</t>
  </si>
  <si>
    <t>決着していない確認事項を、止めている成果物と期日により12の束に分けた。影響度は S 致命的（直近の期日に間に合わない）／A 重要（計画の数値の根幹）／B 通常（既定値で進められる）／C 軽微（最後に一括で処理できる）の4つ。優先順位は束の番号による。「当方の既定値」は協議を進めるための仮置きであり、公表の確定の根拠にならない。　基準日 令和8年10月1日</t>
  </si>
  <si>
    <t>優先</t>
  </si>
  <si>
    <t>束</t>
  </si>
  <si>
    <t>影響度</t>
  </si>
  <si>
    <t>直近の期日</t>
  </si>
  <si>
    <t>うち期限超過</t>
  </si>
  <si>
    <t>なぜ止まるか</t>
  </si>
  <si>
    <t>当方の既定値（決着しない場合の扱い）</t>
  </si>
  <si>
    <t>1　見える化システムの第1回目提出</t>
  </si>
  <si>
    <t>―（町対応）</t>
  </si>
  <si>
    <t>R8.10.5</t>
  </si>
  <si>
    <t>71、72、74、75、76、77、78、79、80</t>
  </si>
  <si>
    <t>⚠ 令和8年10月2日　町より「見える化対応は自治体側で進めている」とのご指示をいただいた。当方の作業は停止する。国への第1回目の提出が令和8年10月5日であり、入力の役割分担・所得段階の段階数・令和8年度の給付費が0のサービス12件・調整交付金見込交付割合など、提出値そのものが決まらない。</t>
  </si>
  <si>
    <t>当方の独立算定値（令和7年度の年報による32サービス・13段階）で提出用の数値を用意し、見える化システムの既定値との相違点を一覧にしてお示しする。入力そのものは町のアカウントによる（直接データを触る想定ではないとのご指示による）。</t>
  </si>
  <si>
    <t>2　第2回策定委員会の運営</t>
  </si>
  <si>
    <t>S</t>
  </si>
  <si>
    <t>R8.10上旬</t>
  </si>
  <si>
    <t>4、49、53、85</t>
  </si>
  <si>
    <t>開催日が決まらないため、資料の事前配布日・質問の締切・第3回の日程・保険料をいつ諮るかがいずれも決まらない。資料（v6）と想定問答集（v3・全39問）は作成済み。</t>
  </si>
  <si>
    <t>令和8年11月中旬を仮置きし、事前配布を2週間前として逆算した工程をお示しする。決定しだい日付のみ差し替える。</t>
  </si>
  <si>
    <t>3　第9期の実績と交付金の失点</t>
  </si>
  <si>
    <t>7、8、34、42、57、58、59、119、121、122、127、133</t>
  </si>
  <si>
    <t>第9期35事業の実績欄と代表KPIの達成状況が未記入のため、素案 第3章3-2の各表と、交付金の失点28点（事業計画の進捗状況12点＋評価結果の活用16点）の説明が書けない。不足図No.3（計画値と実績値の対比）もここで止まっている。</t>
  </si>
  <si>
    <t>実績欄を［要確認］のまま第2回策定委員会に諮り、記入用の様式をこちらからご提供する。交付金の失点の事情は、評価指標の本文が定める要件から推定の形で書き、確定後に差し替える。</t>
  </si>
  <si>
    <t>4　サービス見込量と供給体制</t>
  </si>
  <si>
    <t>R8.10〜11</t>
  </si>
  <si>
    <t>12、29、40、41、50、51、60、62、63、64、65、66、67、68、147、151、152、153、159</t>
  </si>
  <si>
    <t>国保連データ・事業所の定員と稼働・訪問介護の実働・見込量を0とするサービスの扱いなど、第2回策定委員会の選択事項2〜4のご判断の前提が揃わない。</t>
  </si>
  <si>
    <t>令和7年度の年報による独立算定値を基準とし、供給の制約は事業所ヒアリング（確認事項No.50・51）の結果を待たず、選択肢の形で第2回策定委員会にお示しする。</t>
  </si>
  <si>
    <t>5　保険料の確定に要するもの</t>
  </si>
  <si>
    <t>R8.11〜12</t>
  </si>
  <si>
    <t>11、33、43、44、54、81、148</t>
  </si>
  <si>
    <t>準備基金の令和8年度末残高・保険料収納率の実績・調整交付金の見込交付割合・令和9年度の介護報酬改定が確定しないため、3パターンのいずれを採るかを決められない。</t>
  </si>
  <si>
    <t>収納率96.0％・調整交付金6.14％・単価は令和7年度で固定、という現在の前提のまま3パターン（6,822円／6,143円／5,464円）を第3回策定委員会にお示しし、確定値は答申時に差し替える。</t>
  </si>
  <si>
    <t>6　地域支援事業（データ未受領）</t>
  </si>
  <si>
    <t>13、39、88、141、150</t>
  </si>
  <si>
    <t>地域支援事業のデータを受領できていない。通いの場の箇所数・参加者数が未把握であり、素案 9-2の費用の見込みと、6-4の認知症施策の追加分の積算、9-3の財源別の保険料への影響がいずれも書けない。</t>
  </si>
  <si>
    <t>量の見込みのみを示し、費用は［要内訳］のまま置く。推測の数値は置かない。 交付金 支援 目標Ⅰの通いの場の指標は「未実施」と記す。</t>
  </si>
  <si>
    <t>7　認知症施策の町確認</t>
  </si>
  <si>
    <t>45、46、87、89、90、91、92、93、94、95、96、137、138、139、140、142、143、144、145、146、149、157</t>
  </si>
  <si>
    <t>認知症ケアパスの有無・サポート医・庁内の検討の場・サポーター数の正（交付金577人／町データ642人）など、素案 第6章の記述とKPIの現状値が確定しない。意見聴取（R8.10〜11実施予定）の運用と個人情報の手続は実施そのものを止めているため、この束の中では最も急ぐ。</t>
  </si>
  <si>
    <t>KPIの現状値は【町確認】のまま第2回策定委員会に諮る。意見聴取の様式（別添22・様式0〜5）は作成済みであり、運用のご確認をいただきしだい実施できる。</t>
  </si>
  <si>
    <t>8　調査報告書の成果品化</t>
  </si>
  <si>
    <t>2、26、27、31、37、97、98、99、100、101、102、103、104、110、125、126</t>
  </si>
  <si>
    <t>成果品1（調査報告書・80頁程度5部）の体裁と構成が決まらない。自由意見欄の取扱い・有効回答の定義・分母の整理など、報告書の記述に関わるご確認が残っている。3件（No.101〜103）は当方の作業であり、ペンディングではない。</t>
  </si>
  <si>
    <t>報告書の体裁は第9期の成果品に倣う案でお示しする。分母は原典の定義に従い、本編と資料編で異なる整理のまま注記で断る形を既定とする。</t>
  </si>
  <si>
    <t>9　資料編（別添）の確定</t>
  </si>
  <si>
    <t>5、30、129、130、131、132、134、135、136</t>
  </si>
  <si>
    <t>委員名簿・設置要綱・諮問書答申書・区域図・パブリックコメント実施要領・調査票の原本など、計画書の資料編（10件13頁）に掲げるものが確定しない。</t>
  </si>
  <si>
    <t>別添整理表（R8.9.29）の振り分けのまま、いただけなかったものは資料編から外して本文の記述で補う。</t>
  </si>
  <si>
    <t>10　基本指針の別表に対応するデータ</t>
  </si>
  <si>
    <t>35、154、155、156、158</t>
  </si>
  <si>
    <t>年齢調整後の認定率・自給率・受給率、高齢者向け住まい、人口動態、医療介護連携の加算の算定状況が取得できていない。見える化システムは当方が直接データを触る想定ではないため、町又は宮城県による出力をお願いしている。不足図No.6・No.7もここで止まっている。</t>
  </si>
  <si>
    <t>素案の該当箇所に「なぜ未対応か」と「何で代替するか」を書く。基本指針の別表の対比表では「未実施」と記し、適合に丸めない。</t>
  </si>
  <si>
    <t>11　成果品の体裁・納品・頁数</t>
  </si>
  <si>
    <t>R8.10〜12</t>
  </si>
  <si>
    <t>17、18、19、83、84、162</t>
  </si>
  <si>
    <t>中間報告の提出期日・成果品の入稿期日・計画書の頁数（100頁程度）・未確定箇所の表記の扱いが決まらない。</t>
  </si>
  <si>
    <t>中間報告は月末ごとに当方から提出する。頁数は本文の圧縮案（計96頁）をお示しし、未確定箇所の表記は現在の形（【町確認】【委員会協議】）のまま協議を進めることを既定とする。</t>
  </si>
  <si>
    <t>12　素案の個別の記述</t>
  </si>
  <si>
    <t>15、16、20、32、36、38、47、52、55、56、69、70、82、106、107、108、109、111、113、114、115、116、117、118、120、123、124、128、160、163、164</t>
  </si>
  <si>
    <t>町長挨拶文・長期総合計画との関係・所管の確定・KPIを全事業に置くかなど、素案の個々の記述に関わるもの。いずれも既定値のまま進められ、決着しだい差し替えればよい。</t>
  </si>
  <si>
    <t>既定値のまま記述し、決着しだい該当箇所のみ差し替える。差し替えは機械で行えるよう、該当箇所に［要確認］を置いている。</t>
  </si>
  <si>
    <t>【明細】束ごとの確認事項</t>
  </si>
  <si>
    <t>期限</t>
  </si>
  <si>
    <t>⚠ 令和8年10月2日　町より「見える化対応は自治体側で進めている」とのご指示をいただいた。当方の作業は停止する。見える化システムへの入力／第1回目提出（R8.10.5）</t>
  </si>
  <si>
    <t>⚠ 令和8年10月2日　町より「見える化対応は自治体側で進めている」とのご指示をいただいた。当方の作業は停止する。作業工程／第2回・第3回策定委員会の日程</t>
  </si>
  <si>
    <t>⚠ 令和8年10月2日　町より「見える化対応は自治体側で進めている」とのご指示をいただいた。当方の作業は停止する。見える化システムへの入力／素案 第9章</t>
  </si>
  <si>
    <t>⚠ 令和8年10月2日　町より「見える化対応は自治体側で進めている」とのご指示をいただいた。当方の作業は停止する。見える化システム 第1回目提出（R8.10.5）／素案 第9章 保険料試算</t>
  </si>
  <si>
    <t>⚠ 令和8年10月2日　町より「見える化対応は自治体側で進めている」とのご指示をいただいた。当方の作業は停止する。見える化システム 第1回目提出（R8.10.5）／素案 第6章 サービス見込量</t>
  </si>
  <si>
    <t>⚠ 令和8年10月2日　町より「見える化対応は自治体側で進めている」とのご指示をいただいた。当方の作業は停止する。見える化システム 第1回目提出（R8.10.5）／素案 第7章 地域支援事業</t>
  </si>
  <si>
    <t>⚠ 令和8年10月2日　町より「見える化対応は自治体側で進めている」とのご指示をいただいた。当方の作業は停止する。見える化システム 第1回目提出（R8.10.5）／素案 第6章・第9章</t>
  </si>
  <si>
    <t>⚠ 令和8年10月2日　町より「見える化対応は自治体側で進めている」とのご指示をいただいた。当方の作業は停止する。見える化システム 第1回目提出／素案 第9章 サービス見込量</t>
  </si>
  <si>
    <t>第2回〜第4回委員会資料／計画素案_概要版（事前配布用）</t>
  </si>
  <si>
    <t>策定スケジュール／保険料試算の提示時期／サービス見込量の確定時期／第2回・第3回委員会資料</t>
  </si>
  <si>
    <t>第2回委員会資料／計画骨子（素案）／ニーズ調査結果報告書</t>
  </si>
  <si>
    <t>第2回策定委員会資料／第2回委員会想定問答集</t>
  </si>
  <si>
    <t>関連施策評価調査シート／現行施策の検証（仕様書6（4））／素案 第3章</t>
  </si>
  <si>
    <t>現行施策の検証（仕様書6（4））／素案 第3章</t>
  </si>
  <si>
    <t>現行施策の検証（仕様書6（4））／第1回策定委員会資料 第9期の振り返り</t>
  </si>
  <si>
    <t>第9期KPIの達成状況の判定／現行施策の検証（仕様書6（4））／素案 第3章</t>
  </si>
  <si>
    <t>議事録／第2回委員会資料／素案 第3章（第9期の評価）</t>
  </si>
  <si>
    <t>第9期の評価（仕様書6（4））／第2回委員会資料／素案 第9章（KPI管理表）</t>
  </si>
  <si>
    <t>第9期の評価（仕様書6（4））／給付実績分析（仕様書6（6））／第2回委員会資料</t>
  </si>
  <si>
    <t>素案 第3章3-3・第8章8-3／第9期実績一覧</t>
  </si>
  <si>
    <t>統合体系表 柱7 1・柱4 第2節3(1)／素案 第8章8-2</t>
  </si>
  <si>
    <t>計画書 資料編27／素案 第3章3-2</t>
  </si>
  <si>
    <t>サービス事業量の推計（仕様書6（5））／給付実績分析（仕様書6（6））／素案 第7章</t>
  </si>
  <si>
    <t>サービス見込量の推計／第1回策定委員会資料（供給の議論）</t>
  </si>
  <si>
    <t>サービス見込量の推計（仕様書6（5））／給付実績分析（仕様書6（6））／素案 第6章</t>
  </si>
  <si>
    <t>サービス見込量（地域密着型）／素案 第6章／保険料試算ワークブック</t>
  </si>
  <si>
    <t>サービス見込量の推計（仕様書6（5））／見込量確保のための方策／素案 第5章・第6章</t>
  </si>
  <si>
    <t>サービス見込量（訪問介護）／在宅生活継続支援の施策／素案 第5章 5-3</t>
  </si>
  <si>
    <t>サービス見込量の推計（仕様書6（5））／保険料試算／素案 第7章</t>
  </si>
  <si>
    <t>サービス見込量の推計／素案 第7章／第2回委員会資料（選択事項2・3）</t>
  </si>
  <si>
    <t>サービス見込量の推計／保険料試算／素案 第7章／第2回委員会資料（選択2）</t>
  </si>
  <si>
    <t>素案 第7章／第2回委員会資料（選択4）／事業所ヒアリング</t>
  </si>
  <si>
    <t>素案 第7章／第2回委員会資料（選択4）／令和9年度当初予算</t>
  </si>
  <si>
    <t>素案 第2章（地域特性）／素案 第7章</t>
  </si>
  <si>
    <t>素案 第7章／第2回委員会資料（選択4）</t>
  </si>
  <si>
    <t>事業所ヒアリング様式／素案 第7章／第2回委員会資料（第2部）</t>
  </si>
  <si>
    <t>素案 9-1（地域密着型・施設サービスの見込量）／素案 2-3（サービス提供体制）</t>
  </si>
  <si>
    <t>保険料試算ワークブック 06!B16、04!B8、06!B10／保険料基準額</t>
  </si>
  <si>
    <t>人口推計（年齢別・男女別）／保険料試算ワークブック</t>
  </si>
  <si>
    <t>人口推計／給付実績分析／素案 第2章・第3章／保険料試算ワークブック</t>
  </si>
  <si>
    <t>第1回策定委員会資料／素案 第2章／認定者数の推計</t>
  </si>
  <si>
    <t>保険料試算／サービス見込量（単価）／第3回委員会資料</t>
  </si>
  <si>
    <t>素案 第9章 保険料算定／第3回策定委員会資料</t>
  </si>
  <si>
    <t>素案 9-1・9-2・9-3／第2回策定委員会資料 v6／保険料試算ワークブック</t>
  </si>
  <si>
    <t>地域支援事業の費用・量の見込み／保険料試算ワークブック 03シート</t>
  </si>
  <si>
    <t>地域支援事業の費用の見込み／保険料試算ワークブック 03</t>
  </si>
  <si>
    <t>素案 第6章6-2（表43）／第9章9-1 地域支援事業／保険者機能強化推進交付金の評価</t>
  </si>
  <si>
    <t>素案 6-4第3節1（3）（4）／地域支援事業の費用の見込み</t>
  </si>
  <si>
    <t>素案 6-4（追加候補の見込量・費用・財源）／素案 9-3（財源別の保険料影響）／地域支援事業の費用の見込み</t>
  </si>
  <si>
    <t>素案 第6章（認知症施策）／第1回策定委員会資料</t>
  </si>
  <si>
    <t>素案 第6章（認知症施策）／第1回策定委員会資料／第10期の重点施策</t>
  </si>
  <si>
    <t>素案 第3章3-2-6・第6章6-3／第2回策定委員会資料</t>
  </si>
  <si>
    <t>素案 第6章6-3（重点施策J-4）／第3章3-2-6</t>
  </si>
  <si>
    <t>素案 第6章6-1・6-3／計画書案（令和8年12月）</t>
  </si>
  <si>
    <t>素案 第9章9-1（地域密着型サービスの見込量）／第6章6-3</t>
  </si>
  <si>
    <t>素案 第9章9-1（認知症施策に係る地域支援事業の量の見込み）／第6章6-3（重点施策J-4）</t>
  </si>
  <si>
    <t>別添22（意見聴取記録様式）／素案 6-1①</t>
  </si>
  <si>
    <t>結果報告書の属性別分析／素案 第2章・第5章の課題記述／第2回以降の委員会資料</t>
  </si>
  <si>
    <t>介護実態調査結果報告書 第4章／調査報告書（成果品）</t>
  </si>
  <si>
    <t>ニーズ調査結果報告書／調査報告書（成果品）</t>
  </si>
  <si>
    <t>3文書すべて／第2回策定委員会資料</t>
  </si>
  <si>
    <t>在宅介護実態調査 本編（表5-7・11章④・12章）／第2回策定委員会資料 選択3</t>
  </si>
  <si>
    <t>ニーズ調査結果報告書／計画素案 第3章・第11章</t>
  </si>
  <si>
    <t>第1回委員会の開催準備／資料編 資料3（委員名簿）</t>
  </si>
  <si>
    <t>資料編 資料1・資料2／第1回策定委員会資料</t>
  </si>
  <si>
    <t>計画書 資料編2・3／素案 第1章1-3</t>
  </si>
  <si>
    <t>計画書 資料編5／素案 第10章10-1</t>
  </si>
  <si>
    <t>計画書 資料編7／素案 第1章1-2・第5章5-4</t>
  </si>
  <si>
    <t>計画書 資料編18／調査報告書</t>
  </si>
  <si>
    <t>計画書 資料編26／素案 第2章2-7</t>
  </si>
  <si>
    <t>計画書 資料編25／素案 第10章10-1</t>
  </si>
  <si>
    <t>第9期KPIの評価／介護実態調査結果報告書 第11章の注記</t>
  </si>
  <si>
    <t>パブリックコメント関係資料／条例改正案</t>
  </si>
  <si>
    <t>成果品4 計画書／成果品6 電子データ</t>
  </si>
  <si>
    <t>計画素案v1.6（44頁・8章構成）／計画書（案）</t>
  </si>
  <si>
    <t>計画書 冒頭／計画書（案）</t>
  </si>
  <si>
    <t>介護実態調査結果報告書 第11章／素案 第3章</t>
  </si>
  <si>
    <t>在宅医療・介護連携の記述／第1回策定委員会資料</t>
  </si>
  <si>
    <t>素案 第2章・第5章（担い手）／第1回策定委員会資料</t>
  </si>
  <si>
    <t>計画素案 第1章（計画の位置づけ）／第4章（基本理念）／第2回委員会資料</t>
  </si>
  <si>
    <t>議事録／第2回委員会資料／サービス見込量（施設・居住系）／素案 第6章</t>
  </si>
  <si>
    <t>議事録／第2回・第3回委員会資料／計画素案 第7章</t>
  </si>
  <si>
    <t>素案 第8章8-2／第2回委員会資料</t>
  </si>
  <si>
    <t>素案 第10章10-4／第2回委員会資料／第9期実績一覧</t>
  </si>
  <si>
    <t>素案 第5章5-3（表37・表38）／施策・事業の体系（案）</t>
  </si>
  <si>
    <t>素案 第5章5-2（表35 事業2-3）／施策・事業の体系（案）第3章第1節</t>
  </si>
  <si>
    <t>素案 第8章8-3／施策・事業の体系（案）第6章</t>
  </si>
  <si>
    <t>素案 第10章10-4（KPI管理表）／第2回策定委員会資料 表24</t>
  </si>
  <si>
    <t>素案 第2章2-6（施設入所の申込みは何によって分かれるか）／第5章5-3</t>
  </si>
  <si>
    <t>統合体系表（全140事業）／素案 第5章・第6章</t>
  </si>
  <si>
    <t>統合体系表 柱1 第1節3／素案 第5章5-1</t>
  </si>
  <si>
    <t>統合体系表 柱4 第1節2(8)(9)・柱5 第2節1(4)／素案 第2章2-5・第6章6-3</t>
  </si>
  <si>
    <t>統合体系表 柱4 第2節2(1)・第2節1(5)／素案 第5章5-5</t>
  </si>
  <si>
    <t>統合体系表 柱7 5／素案 第7章7-4／第2回策定委員会資料 選択4</t>
  </si>
  <si>
    <t>素案 第3章3-3・第10章10-2／第2回策定委員会資料</t>
  </si>
  <si>
    <t>統合体系表 柱7／素案 第3章3-3</t>
  </si>
  <si>
    <t>統合体系表 柱4 第2節1(6)／素案 第5章5-3</t>
  </si>
  <si>
    <t>ペンディングでない作業の順位（翌日以降）</t>
  </si>
  <si>
    <t>ご確認を待たずに進められる作業を、着手の順に並べた。「解けるペンディング」は、その作業により決着に近づく束を指す。期日が最も近いもの（見える化システムの第1回目提出 令和8年10月5日）と、ほかの束をまとめて解くもの（第9期実績の記入様式）を上位に置いている。　基準日 令和8年10月1日</t>
  </si>
  <si>
    <t>順位</t>
  </si>
  <si>
    <t>作業</t>
  </si>
  <si>
    <t>いつまでに</t>
  </si>
  <si>
    <t>なぜ今できるか（前提）</t>
  </si>
  <si>
    <t>解けるペンディング</t>
  </si>
  <si>
    <t>見込み</t>
  </si>
  <si>
    <t>実施の結果</t>
  </si>
  <si>
    <t>見える化システムの第1回目提出用データの確定と、相違点の一覧の作成</t>
  </si>
  <si>
    <t>R8.10.2〜10.3</t>
  </si>
  <si>
    <t>提出する数値そのものは、令和7年度の年報による当方の独立算定ですべて揃っている。入力の役割分担が未確定でも、提出用の値と見える化システムの既定値との相違点は当方だけで作れる。</t>
  </si>
  <si>
    <t>束1（9件）</t>
  </si>
  <si>
    <t>見える化システム提出用データ一覧（xlsx・1シート）</t>
  </si>
  <si>
    <t>半日</t>
  </si>
  <si>
    <t>町対応のため取り下げ</t>
  </si>
  <si>
    <t>令和8年10月2日　町より「見える化対応は自治体側で進めているため、当方の作業は一旦停止してよい」とのご指示。本作業は取り下げる。提出値に関する当方の独立算定値（32サービス・13段階）は川崎町_第10期_計画見込量_R8.9.15.xlsx にあり、必要になりしだいお出しできる。</t>
  </si>
  <si>
    <t>第2回策定委員会の日程の仮置きによる逆算工程表の作成</t>
  </si>
  <si>
    <t>R8.10.2</t>
  </si>
  <si>
    <t>開催日が未確定でも、事前配布を2週間前とする逆算の形なら作れる。資料v6・想定問答集v3は作成済みで自己点検も通っている。</t>
  </si>
  <si>
    <t>束2（4件）</t>
  </si>
  <si>
    <t>第2回策定委員会 逆算工程表（1枚）</t>
  </si>
  <si>
    <t>2時間</t>
  </si>
  <si>
    <t>川崎町_策定委員会_逆算工程表_R8.10.1.xlsx（6シート）。候補日4つ（11月4・11・18・25日の各水曜日）について逆算した。⚠ 現行の前提（パブコメ30日間・委員会全4回・印刷3週間）では11月4日でも納期までの余裕が0日、11日以降は間に合わない。短縮の選択肢5案を示した（当方の既定値は案Ｂ パブコメ20日間）。</t>
  </si>
  <si>
    <t>第9期実績一覧の記入用様式のご提供</t>
  </si>
  <si>
    <t>35事業の事業名・事業量の単位・第9期計画値は当方が持っている。町が記入する欄だけを空けた様式を当方で作れる。束3の12件をまとめて解く鍵であり、交付金の失点28点に直結する。</t>
  </si>
  <si>
    <t>束3（12件）・不足図No.3</t>
  </si>
  <si>
    <t>第9期実績 記入様式（xlsx・2シート）</t>
  </si>
  <si>
    <t>川崎町_第9期_計画値実績対比表_R8.10.1.xlsx（8シート）。令和7年度の給付費の実績20件を年報から機械で埋めた。残る65件（地域支援事業・高齢者福祉サービス）は町のご記入を要する。素案 Ver.2.8 に図3-2（計画値と実績値の対比）と乖離の要因の本文3段落を加えた。</t>
  </si>
  <si>
    <t>調査報告書3文書の納品前処理（4件）</t>
  </si>
  <si>
    <t>目次の未更新1行・文書プロパティの最終更新者名・編集メモの残存・表73のキャプション位置は、いずれも当方の作業で直せる（確認事項No.101〜103は「対応中」であり、ペンディングではない）。</t>
  </si>
  <si>
    <t>束8のうち3件</t>
  </si>
  <si>
    <t>調査報告書3文書（修正版）</t>
  </si>
  <si>
    <t>調査報告書3文書の納品前処理4件を実施（目次の自動更新・作成者名の削除・編集メモの書き換え・表73のキャプションの移動）。⚠ 受領した原本の時点で4つのグラフに空の要素がある。</t>
  </si>
  <si>
    <t>本文の圧縮案の具体化（103頁→96頁前後）</t>
  </si>
  <si>
    <t>R8.10.3</t>
  </si>
  <si>
    <t>移す候補（3-3の交付金の枝番分析 約4頁・9-3の感度分析 約2頁・6-4の143事業の書き下ろし 約6頁）は特定済み。実際に移した版を作って頁数を数えれば、ご判断の材料になる。</t>
  </si>
  <si>
    <t>束11のうちNo.83</t>
  </si>
  <si>
    <t>計画素案 圧縮案（docx）と頁数の対比表</t>
  </si>
  <si>
    <t>1日</t>
  </si>
  <si>
    <t>川崎町_計画書素案_v2.8c_圧縮案_R8.10.2.docx（本文97頁）と川崎町_計画書_別冊_詳細分析_R8.10.2.docx（9頁）。10の小見出し（45要素）を移し、本文104頁→97頁（▲7頁）。資料編13頁を含めて117頁→110頁。仕様書8の100頁程度との差は+17頁→+10頁。</t>
  </si>
  <si>
    <t>継続101事業の本文記述（素案 第5章）</t>
  </si>
  <si>
    <t>R8.10.3〜10.7</t>
  </si>
  <si>
    <t>統合体系表の143事業のうち、第10期に内容が変わる42事業はVer.2.1で書き下ろし済み。残る101事業は継続であり、事業名・所管・内容が統合体系表にあるため当方で書ける。</t>
  </si>
  <si>
    <t>―（素案の完成度が上がる）</t>
  </si>
  <si>
    <t>計画素案 Ver.2.8</t>
  </si>
  <si>
    <t>3日</t>
  </si>
  <si>
    <t>令和8年10月4日　計画素案 Ver.2.9（事業内容版・全109頁）。17の事業一覧表すべてを5欄にし、138行すべてに内容を入れた。出所は、第9期計画書57件・統合体系表（新規拡充）33件・当方が書き起こしたもの48件。作文はしていない。③の48件は町のご確認をお願いする（確認事項No.164）。頁数は本文104頁→109頁（＋5頁）。圧縮案を当てた v2.9c は本文102頁であり、内容の欄を加えてもVer.2.8（104頁）より2頁少ない。</t>
  </si>
  <si>
    <t>公表版に向けた整理の下ごしらえ</t>
  </si>
  <si>
    <t>R8.10.6</t>
  </si>
  <si>
    <t>確認事項No.の参照66件・【町確認】【委員会協議】66件の所在は機械で拾えている。除去と置換のスクリプトは、ご判断（No.162）を待たずに用意できる。</t>
  </si>
  <si>
    <t>束11のうちNo.162</t>
  </si>
  <si>
    <t>公表版への整理スクリプト（実行は保留）</t>
  </si>
  <si>
    <t>完了（実行は保留）</t>
  </si>
  <si>
    <t>川崎町_公表版への整理_R8.10.2.xlsx。確認事項No.の参照66件、未確定箇所67件（【町確認】50・【委員会協議】16・【町確認・最新値】1）、受託者を主語とする語3件。⚠ ［］以外の括弧88件のうち21件は体系の表などの見出しのラベルであり、未確定箇所ではない。公表版でも残す。書き換えは確認事項No.162 のご判断を待つ（--apply で実行）。</t>
  </si>
  <si>
    <t>概要版（8頁程度・3,500部）の構成案</t>
  </si>
  <si>
    <t>R8.10.7</t>
  </si>
  <si>
    <t>本文の第3章（課題）・第4章（体系）・第9章（保険料）を軸とする構成は固まっている。頁の割付けと図の選定は当方で作れる。</t>
  </si>
  <si>
    <t>―（成果品5・進捗0.25）</t>
  </si>
  <si>
    <t>概要版 構成案（1枚）＋割付け案</t>
  </si>
  <si>
    <t>完了（下書きまで）</t>
  </si>
  <si>
    <t>令和8年10月4日　構成案に続けて下書きを作成した。川崎町_計画素案_概要版_R8.10.4.docx（6頁・2,458字・図8点）と、1色刷り用の図8点（08_図表/概要版/）。数値は素案と data_zuhyo.py からのみ採り、受託者を主語とする語・未確定箇所の表記がないことを機械で確かめた。⚠ 仕様書8は8頁程度であり、下書きは6頁。A4・1色刷り・町民向けの字の大きさで組むと増えるため、入稿の段階で割付けを調整する。⚠ 保険料は令和9年1月の策定委員会で決まるため、下書きは確定前である旨を明記している。</t>
  </si>
  <si>
    <t>残る不足図5件の作図の枠の用意</t>
  </si>
  <si>
    <t>数値が届けばすぐ作れるよう、data_zuhyo.py に定義の枠を置き、作図の関数だけ先に書いておく。</t>
  </si>
  <si>
    <t>束3・束10（データ到着後の手戻りを防ぐ）</t>
  </si>
  <si>
    <t>build_plan_figures.py（枠の追加）</t>
  </si>
  <si>
    <t>data_zuhyo.py に残る不足図4件の枠（WAKU）を置いた。数値が届いたらすぐ作れる。図表データ管理台帳の自己点検に「未作成の図に作図の枠が用意されていること」を加えた（10件に）。</t>
  </si>
  <si>
    <t>用語解説・第9期/第10期の施策読み替え表・3計画の調和の整理表</t>
  </si>
  <si>
    <t>R8.10.8〜10.10</t>
  </si>
  <si>
    <t>いずれも既にある成果品（統合体系表・素案）から作れる。資料編の候補として別添整理表に挙げてある。</t>
  </si>
  <si>
    <t>―（資料編の充実）</t>
  </si>
  <si>
    <t>資料編の3表（xlsx又はdocx）</t>
  </si>
  <si>
    <t>2日</t>
  </si>
  <si>
    <t>川崎町_資料編_3表_R8.10.2.xlsx（3シート）。用語解説44語（本文に現に出てくる語だけを採った）、第9期と第10期の施策の読み替え21行、3計画の調和11行。⚠ 3計画の調和は、地域福祉計画・障害者計画の体系が未受領のため9行を［要確認］とした（確認事項No.20・No.132）。</t>
  </si>
  <si>
    <t>第2回策定委員会資料 v7・想定問答集 v4 の更新</t>
  </si>
  <si>
    <t>R8.10.4</t>
  </si>
  <si>
    <t>逆算工程表の結果・第9期の計画値と実績値の対比・頁数の見通しは、いずれも当方の手元で揃っている。委員会に諮る前に資料へ反映できる。</t>
  </si>
  <si>
    <t>束2（開催日のご判断の材料）</t>
  </si>
  <si>
    <t>第2回資料 v7／想定問答集 v4</t>
  </si>
  <si>
    <t>令和8年10月4日　資料 v7 に①工程の短縮の案（候補日4つ×4案）②第9期の計画値と実績値の対比（図3-2と表）③交付金の得点の推移（図3-1）④計画書の頁数の見通し⑤当社資料の訂正1件を加え、本日のご審議事項に「開催日と短縮の案のご選択」を足した。想定問答集は v3 の件数の食い違い（全35問と書いて39問、カテゴリH 5問と書いて9問）を是正し、素案の版の参照29か所を更新し、新たに5問を加えて全44問とした。自己点検27件に適合。</t>
  </si>
  <si>
    <t>点検スキルの運用（8軸の網羅性）</t>
  </si>
  <si>
    <t>素案の版が Ver.2.6 から3つ上がっており、送付の前に軸ごとの点検を行う必要がある。原典の側に期待する事項を持てば機械で回せる。</t>
  </si>
  <si>
    <t>―（成果品の質）</t>
  </si>
  <si>
    <t>check_8jiku_R8.10.4.py（51事項）</t>
  </si>
  <si>
    <t>令和8年10月4日　8軸51事項の点検を機械で回せるようにした。Ver.2.9 に当てると不適合7件・要判断7件。⚠ 令和8年3月の全国課長会議資料が示す制度改正の事項が素案1-5に整理されておらず、7語（7区分・82.65・令和8年度介護報酬改定・一定以上所得・給与所得控除・返還義務・地域類型）が素案になかった。あわせて1-4に法令が定める手続（意見公募・都道府県の意見の聴取・公表）が書かれていなかった。Ver.2.10 で補い、51事項すべて適合とした。</t>
  </si>
  <si>
    <t>素案 Ver.2.10（制度改正と法定の手続の補完）</t>
  </si>
  <si>
    <t>点検で見つかった欠落は、国の資料と法令から当方で補える。</t>
  </si>
  <si>
    <t>―（法定記載事項の充足）</t>
  </si>
  <si>
    <t>計画素案 Ver.2.10（全112頁）</t>
  </si>
  <si>
    <t>令和8年10月4日　1-5に「令和8年3月 全国課長会議資料が示す制度改正（11事項）」の表を、1-4に「法令が定める手続（4件）」の表を新設した。⚠ 補足給付の見直しは2段階に分かれる（令和8年8月施行分は第9期の最終年度、令和9年度中の施行分が第10期の期間中）ことを書き分けている。条文を受領していないため、加えた表には項番号を書いていない。本文112頁（圧縮案 v2.10c は105頁）。</t>
  </si>
  <si>
    <t>成果品が作り直せる状態かの点検（原本とスクリプトの保全）</t>
  </si>
  <si>
    <t>同じ事務所の別案件で、本文を作るスクリプトとビルド結果をスクラップパッドにのみ置く運用であったため、環境が作り直された時点で消え、計画素案の文言1か所の直しもできなくなった。本案件が同じ状態にないかは、ご確認を待たず当方で機械的に確かめられる。</t>
  </si>
  <si>
    <t>―（成果品の保全）</t>
  </si>
  <si>
    <t>check_repo_kenzensei_R8.10.4.py（検査1〜8）／CLAUDE.md（置き場の方針）</t>
  </si>
  <si>
    <t>令和8年10月4日　検査1〜8を作り、不適合3件を是正した。①成果品205件・スクリプト174件・素案の版の連なり27段・図10点はすべて追跡されており、同じ事象は起きていない。②リポジトリの外（アップロード領域）だけを入力にしていたスクリプト2件を是正（fix_chosa_report_R8.10.2.py は 09_元資料 を第一の入力に改め、再実行して成果品3点が部品まで同一に再現されることを確認。check_kofukin_R8.9.2.py は照合の相手が残っていないため■1を「未実施」と記して飛ばす形に改め、■2・■3はリポジトリの既存分だけで動くようにした）。③受領資料のうち未退避の6点（認知症基本法・認知症施策推進基本計画・本人の声を活かすヒント・認知症地域支援推進員の手引きほか）を09_元資料/認知症施策/R8.9.29受領版/ へ退避。受領資料9件すべてがMD5で突合できる状態にした。④置き場の方針を CLAUDE.md に明記（次のセッションで自動で読まれる）。検査2・3・8は、わざと落としたときに不適合になることを確認済み。</t>
  </si>
  <si>
    <t>中間報告（第1回・令和8年10月分）の作成</t>
  </si>
  <si>
    <t>R8.10.5〜10.9</t>
  </si>
  <si>
    <t>仕様書6（8）は「中間報告は、その都度指定された期日まで提出すること」と定めるが、期日のご指定がない（確認事項No.17）。既定値として月末ごとの提出としており、10月末が最初の期日になる。報告の中身（業務内容(1)〜(8)の進捗・成果品6種の状態・確認事項の状態・工程）はいずれも当方の台帳から作れる。</t>
  </si>
  <si>
    <t>束11のうちNo.17</t>
  </si>
  <si>
    <t>中間報告書（docx）＋以後の月の雛形（スクリプト）</t>
  </si>
  <si>
    <t>令和8年10月5日　中間報告書（第1回・令和8年10月分）を作成した。全6頁・表8件・5,326字。業務内容(1)〜(8)の進捗、成果品6種の状態、本月の作業19件、点検9種の結果、確認事項165件を12の束に分けた状態、今後の工程8段、令和8年11月の予定6件、お急ぎいただきたいこと8件を置いた。件数はすべて業務工程管理表と逆算工程表から読んでおり、スクリプトに数を書いていない（台帳を直せば報告書が追随する）。提出の期日・様式・頻度は確認事項No.17のご回答により改める。川崎町_中間報告書_第1回_R8.10.docx</t>
  </si>
  <si>
    <t>宮城県への事前協議の資料一式（法第117条第5項）</t>
  </si>
  <si>
    <t>R8.10.9〜10.14</t>
  </si>
  <si>
    <t>逆算工程表では第2回策定委員会の+21日（候補1で令和8年11月25日）に県への事前協議を開始する。提出資料の構成・様式・説明の筋道は開催日が決まらなくても作れる。県の運用（要する期間・様式の指定）は確認事項No.4として起票済み。</t>
  </si>
  <si>
    <t>束2のうちNo.4</t>
  </si>
  <si>
    <t>県事前協議 提出資料一覧と説明資料（docx・xlsx）</t>
  </si>
  <si>
    <t>令和8年10月5日　川崎町_県事前協議_資料一式_R8.10.5.xlsx（5シート）。①提出資料12件（根拠・現在の状態・当方の成果品を対応）②県が見る観点51事項と計画素案の対応（適合51・要判断0・不適合0。未実施8件は別に計上）③県の意見への対応表（様式）④関係する確認事項13件。②は check_8jiku_R8.10.4.py の judge() から作っており、期待する事項の一覧を2か所に持っていない（素案の版を上げれば追随する）。⚠ 条番号のみを書き、項番号は書いていない（確認事項No.163）。県の運用（期間・様式・部数）は確認事項No.4のご回答による。</t>
  </si>
  <si>
    <t>意見公募手続（パブリックコメント）一式</t>
  </si>
  <si>
    <t>R8.10.14〜10.17</t>
  </si>
  <si>
    <t>素案 1-4 に法令が定める手続を書いたが、実物の様式がない。逆算工程表では令和8年12月に開始する。実施要領・意見提出様式・意見と町の考え方の対照表・公表の様式は、期間（30日／20日）が決まらなくても雛形として作れる。</t>
  </si>
  <si>
    <t>束11のうちNo.19・束9のうちNo.134</t>
  </si>
  <si>
    <t>パブリックコメント一式（実施要領案・様式4点）</t>
  </si>
  <si>
    <t>令和8年10月5日　川崎町_意見公募手続_一式_R8.10.5.xlsx（6シート）と川崎町_意見公募手続_意見提出用紙_R8.10.5.docx（2頁・表3件）。①実施要領（案）9項目②工程（30日・20日の両案）③意見と町の考え方の対照表（公表用・区分5件）④受付の記録（内部用）⑤関係する確認事項7件⑥住民の方にお配りする意見提出用紙。⚠ 意見公募手続の実施支援は委託仕様書の業務内容に規定がなく（確認事項No.19）、本一式は実施をお約束するものではない。ご判断を待つ間に手が止まらないよう様式を先に用意したもの。期間は町の実施要領の定めによる（確認事項No.136）。</t>
  </si>
  <si>
    <t>第3回・第4回策定委員会資料の骨子</t>
  </si>
  <si>
    <t>R8.10.17〜10.22</t>
  </si>
  <si>
    <t>逆算工程表では第3回（保険料の決定・パブコメの結果の報告）が令和9年1月、第4回（計画書（案）の確定・答申）が2月。諮る事項と資料の構成は、第2回の結果を待たずに骨子として置ける。</t>
  </si>
  <si>
    <t>束2のうちNo.49</t>
  </si>
  <si>
    <t>第3回・第4回 骨子案（docx）</t>
  </si>
  <si>
    <t>令和8年10月5日　川崎町_第3回・第4回策定委員会_骨子案_R8.10.5.docx（表8件・3,494字）。①第3回・第4回の位置づけと工程8段②第3回の次第8件と資料7件③第4回の次第6件と資料5件④何が決まっていないと開けないか7件⑤委員会を全3回とする場合の差分5件⑥ご確認をお願いしたいこと6件。⚠ 保険料は算定Ａ・Ｂ・Ｃの3パターンのまま置き、額を書いていない（第3回で決定するため）。全3回・全4回の双方を示している（確認事項No.49）。参照している確認事項はすべて業務工程管理表にある。</t>
  </si>
  <si>
    <t>概要版を8頁へ（現在6頁・2,458字）</t>
  </si>
  <si>
    <t>R8.10.22〜10.24</t>
  </si>
  <si>
    <t>仕様書8は「8頁程度・3,500部」と定める。現在の下書きは6頁。不足する2頁分（第5章の施策の柱・第10章のKPI・相談窓口）は素案から起こせる。入稿は第3回策定委員会の後（令和9年1月）。</t>
  </si>
  <si>
    <t>束11のうちNo.18</t>
  </si>
  <si>
    <t>概要版（8頁）</t>
  </si>
  <si>
    <t>令和8年10月5日　川崎町_計画素案_概要版_R8.10.5.docx（図8点・表5件・3,918字）。下書き（6頁・2,458字）に①計画の期間と位置づけ②7つの柱ごとの事業数（143件・うち新規拡充42件）③第9期から変わること8件④主な目安6件⑤ご相談先5件を加えた。本文は build_gaiyo_R8.10.4.py の P から読んでおり、2か所に持っていない。見出しの番号は差し込みにより重なるため振り直した（1〜9）。統合体系表の事業数は「再掲」4件を除いて数え、02_集計シートと突き合わせている。⚠ 当方の環境で PDF にすると7頁。仕様書8は「8頁程度」であり、Word でご覧になって不足する場合はことばの説明と相談先を広げて調整する。入稿は第3回策定委員会（令和9年1月）の後。</t>
  </si>
  <si>
    <t>他案件との対比によるMECEチェック</t>
  </si>
  <si>
    <t>同じ事務所の別案件のブランチを確認し、当方の進捗に乖離・抜け漏れがないかを、委託仕様書6の業務内容(1)〜(8)と横断3区分の軸で見る。他団体の計画は軸に用いず、比較材料として読む。</t>
  </si>
  <si>
    <t>―（抜け漏れの洗い出し）</t>
  </si>
  <si>
    <t>MECEチェック 他案件対比（xlsx・4シート）</t>
  </si>
  <si>
    <t>令和8年10月6日　川崎町_MECEチェック_他案件対比_R8.10.6.xlsx（4シート）。38項目を対比し、揃っている18件・形は違うが足りている11件・不足9件。不足を含む12件に優先順位を付けた。あわせて当方の記述の乖離3件を見つけた（9-1の0のサービスの表・8軸点検の偽陽性・作成メモの取り違え）。</t>
  </si>
  <si>
    <t>認知症施策推進計画の位置づけと、施策・見込量の関係の深掘り</t>
  </si>
  <si>
    <t>ご指示による。位置づけは素案 6-1 にあるが、施策（KPI）が見込量のどの要素に効くかの整理がなかった。見込量の算定式で動く変数が要介護度別の認定者数1つだけであることを示す。</t>
  </si>
  <si>
    <t>束4・束6（見込量の前提）</t>
  </si>
  <si>
    <t>認知症施策 位置づけと見込量（xlsx・8シート）</t>
  </si>
  <si>
    <t>令和8年10月6日　川崎町_認知症施策_位置づけと見込量_R8.10.6.xlsx（8シート）。法の規定10件・位置づけの3案・認知症に関する数量・施策（KPI）と見込量の連関（算定式の要素5つ・素案10-4のKPI13件）・施策反映の歯止め4件・必要利用定員総数との関係・確認事項13件。認定率に効くKPIは反映できるが、利用率・回数・単価に効くKPIは式に変数がなく反映できない。当方の算定は自然体である。</t>
  </si>
  <si>
    <t>MECEチェックで見つかった乖離の是正（素案 Ver.2.11 ほか）</t>
  </si>
  <si>
    <t>順位20で見つけた乖離3件と、守るべき制約の走査で見つけた不適合を是正する。数値は変えない。</t>
  </si>
  <si>
    <t>計画素案 Ver.2.11／第2回資料 v8／制約の走査スクリプト</t>
  </si>
  <si>
    <t>令和8年10月6日　計画素案 Ver.2.11（全113頁）。①9-1の0のサービスの表を是正（5件とも令和6〜8年度に実績なし）②9-1に『施策と見込量の関係』を新設③受託者を主語とする語2か所を削除④【町確認・最新値】を【町確認】に揃えた。あわせて第2回策定委員会資料 v8（作業用ファイル名の削除・表紙の版の表示を［第８版］に是正。v6・v7は［第５版］のままであった）、守るべき制約の走査 check_seiyaku_R8.10.6.py（新規・点検スキル3をはじめて機械で回せる形にした）、8軸点検の偽陽性の是正。</t>
  </si>
  <si>
    <t>地域支援事業の事業別費用を受領できない場合の置き方</t>
  </si>
  <si>
    <t>R8.10.8</t>
  </si>
  <si>
    <t>量は町提供実績データにより素案 9-2 に置けているが、包括的支援事業・任意事業の事業別の費用が未受領で、量と費用の対応がとれない。法定記載事項であり、対応がとれないままでは公表版にできない。受領できない場合にどこまで置けるかを示す。</t>
  </si>
  <si>
    <t>束6（5件）</t>
  </si>
  <si>
    <t>地域支援事業費の置き方（xlsx）</t>
  </si>
  <si>
    <t>令和8年10月7日　川崎町_地域支援事業費の置き方_R8.10.7.xlsx（6シート）。当初の見立て（事業別の費用が未受領で置けない）を調べたところ、置けていないのは2区分だけで、国の様式が区分の合計で求めるためであった。それより重い問題として、包括的支援事業（地域包括支援センターの運営）と任意事業の費用が令和9〜11年度にかけて毎年同じ額ずつ増える値で入力されていることが分かった（2区分の計で令和7年度28,327千円→令和11年度45,988千円・＋62.3％）。増え方は令和6→8年度の平均年増をそのまま延ばしたもので、令和12年度は35,258千円に下がり不連続になる。置き方の4案と保険料への影響を試算した（案3＝令和7年度実績で据え置くと月額▲86円）。確認事項No.168として起票。⚠ 見える化システムのデータは当方が直接触っていない。総括表の値を読んで検証したものである。</t>
  </si>
  <si>
    <t>需要のシナリオ（感度表）</t>
  </si>
  <si>
    <t>R8.10.9</t>
  </si>
  <si>
    <t>見込量が自然体の1本であるため、確からしさの幅を示せない。認定率が上下に振れた場合の給付費と保険料の幅を示す。第2回策定委員会の選択5（基金の取崩額）のご判断の材料になる。</t>
  </si>
  <si>
    <t>―（見込量の確からしさ）</t>
  </si>
  <si>
    <t>需要3シナリオの感度表（xlsx）</t>
  </si>
  <si>
    <t>令和8年10月7日　川崎町_需要シナリオと保険料の感度_R8.10.7.xlsx（6シート）。認定者数の3シナリオ（低位・採用・高位）により、標準給付費と保険料基準額の幅を示した。令和11年度の認定者数 低位569人／採用576人／高位583人、保険料月額 6,743円／6,822円／6,902円（幅159円）。地域支援事業費の置き方（順位23の4案）との組合せも示した。⚠ 保険料の算定式が正しく組めていることを、採用のシナリオで現行の算定Ａ（6,822.4円）が再現できることで確かめている。⚠ シナリオは見込量を置き換えるものではない。計画に載せる見込量は採用（自然体）のままである。</t>
  </si>
  <si>
    <t>素案の根拠の棚卸し（エビデンス一覧）</t>
  </si>
  <si>
    <t>R8.10.13</t>
  </si>
  <si>
    <t>素案の数値・断定の一つずつに出所を対応させる。県への事前協議と公表版の確定の前提になる。</t>
  </si>
  <si>
    <t>束11のうちNo.163</t>
  </si>
  <si>
    <t>素案 根拠一覧（xlsx）</t>
  </si>
  <si>
    <t>令和8年10月7日　川崎町_素案の根拠の棚卸し_R8.10.7.xlsx（6シート）。素案の数値1,447件を、出所の候補16件（原資料・当方の成果品）と機械で突き合わせた。A 原典・成果品に現れる1,361件（94.1％）／B 当方の算定（割合）11件／C 識別子・連絡先5件／D 出所を特定できていない70件（4.8％）。あわせて川崎町_交付金_全国統計の再現_R8.10.7.xlsx（5シート）を作り、素案3-3の全国統計39件を原典（令和8年度の全国集計・1,741保険者）から作り直して突合した。38件は一致し、1件（過疎地域非該当の保険者数）が855と書かれていたため856に是正（素案 Ver.2.12）。残るD70件は9-1・9-2・9-3に集まり、原因は中長期（令和17・22年度）の見込量と保険料の内訳の算定結果を成果品に書き出していないことである（作業順位29で解く）。</t>
  </si>
  <si>
    <t>県の公表名簿との突合（事業所・高齢者向け住まい）</t>
  </si>
  <si>
    <t>R8.10.15</t>
  </si>
  <si>
    <t>基本指針の別表 七・八に直結する。宮城県の指定事業所一覧・有料老人ホーム等の公表名簿により、町のご回答を待たずに下ごしらえができる。</t>
  </si>
  <si>
    <t>束4のうちNo.29・束10のうちNo.154</t>
  </si>
  <si>
    <t>事業所・住まいの突合表（xlsx）</t>
  </si>
  <si>
    <t>完了（見立てを組み替えて実施）</t>
  </si>
  <si>
    <t>令和8年10月15日　⚠ 当初の見立て「宮城県の公表名簿により町のご回答を待たずに下ごしらえができる」は誤りであった。当方の作業環境からは介護サービス情報公表システム・宮城県・川崎町・厚生労働省・e-Statのいずれにも接続できない（403）。ウェブ検索では民間の紹介サイトのみで、しかも同名の他県の町のものが混じる。そこで次のように組み替えた。①リポジトリの資料を手分けして全部あたり、事業所・施設・住まいについて何が分かっていて何が分かっていないかを確かめた（5つの担当・123件を集め、表に載せうる26件を別の担当が出所に当たり直して確かめ、23件が通った）。②別表 事項七（8項目）・事項八（5項目）の項目ごとに判定した。③欠けているものを町に取り出していただく手順を10件、画面の操作が分かる形で書いた。④記入様式と受入検査を先に用意した。成果物＝川崎町_事業所・住まい_突合台帳_R8.10.15.xlsx（8シート）、check_jigyosho_uke_R8.10.15.py（検査1〜8）。⚠ 見つかった要点：事項七は素案1-5の対応欄が「揃っている」ように読めるが実態と合わない（施設・事業所数は出典なし。地域密着型介護老人福祉施設と認知症対応型共同生活介護が落ちている）。事項八は把握できていないのではなく依頼の経路が立っていない（資料提供依頼一覧36件に高齢者向け住まいが1件もなかった）。住所地特例24人の時点が素案の中で2通りになっていた。⚠ 地域密着型サービスは町が指定権者であり、素案9-1の必要利用定員総数の［要確認］2行は町の指定台帳だけで決着する。素案 Ver.2.13 で3件を是正。資料提供依頼No.37・38を起票し、確認事項No.169を新設、No.154を最優先に引き上げた。　【令和8年10月19日 更新】⚠ **当初の見立てが外れた点（外向きの通信が403で遮断されていること）は、本日時点でも変わっていません。** 介護サービス情報公表システム・宮城県・川崎町・厚生労働省・e-Stat のいずれにも接続できないことを改めて確かめました（プロキシが CONNECT に対して403 を返します）。**県の公表名簿との突合そのものは、当方の環境では依然として行えません。**
⚠ **この線（事業所・住まいのデータ）は、第2回策定委員会の選択2（入所・居住系の整備量）につながる経路の上にあります。** 連なりは No.29・No.154 のご回答 → 突合台帳03・04シートへのご記入 → 照会票の発送（No.170）→ 事業所のご回答 → 素案 2-7・7-1・7-2・9-1 の確定、です。**先頭の2件が確認待ちのため、線全体が止まっています。**逆算工程表（R8.10.19）の06シートに段を分けて示し、No.170 に書き足しました。
⚠ 当方の側の用意（記入様式・取り出しの手順10件・照会票・受入検査）は**すべて済んでいます。**</t>
  </si>
  <si>
    <t>事業所への照会票の様式</t>
  </si>
  <si>
    <t>R8.10.16</t>
  </si>
  <si>
    <t>第2回策定委員会で事業所ヒアリングのご了解をいただいた日から動ける。素案 2-7（供給体制）に直結する。</t>
  </si>
  <si>
    <t>束4のうちNo.29・No.159</t>
  </si>
  <si>
    <t>事業所照会票（docx）と確定値管理表（xlsx）</t>
  </si>
  <si>
    <t>令和8年10月16日　川崎町_事業所照会票_R8.10.16.docx（様式9種・設問58問・全27頁）、同_電子記入様式_R8.10.16.xlsx（9シート）、川崎町_事業所照会_確定値管理表_R8.10.16.xlsx（11シート）。⚠ 当初の見立て（第2回策定委員会で事業所ヒアリングのご了解をいただいた日から動ける）は誤りであった。素案 2-7 は「事業所ヒアリング（令和8年9〜10月）により確定する」と既に書いており、第2回策定委員会の選択2（施設整備）は入所率・稼働率がなければ諮れない。**照会は第2回の前に出す必要がある。**照会票を令和8年10月19日に発送できても、第2回を11月4日・11日に開催する場合は間に合わない（回答期間が3日以下）。11月18日で10日、11月25日で17日。⚠ 票の単位を2層にした（様式1＝事業所票・様式2＝サービス票）。職員・採用・離職・経営は事業所の単位でしか数えられず、1枚にすると併設の多い法人が同じ職員の数を何度も書くことになり合計が実数を超える。⚠ 7地区の名称は当方の仮置きが誤っており、素案 1-6 の表で確かめて直した。確定する素案の箇所41件。確認事項No.170〜173を起票。資料提供依頼No.39を起票（国保連データが未受領で町外の事業所の宛先が作れないため、居宅介護支援事業所の給付管理の相手方で代替）。回答の受入検査（検査1〜10）を先に用意した。</t>
  </si>
  <si>
    <t>第9期の施策・事業の評価のルール</t>
  </si>
  <si>
    <t>R8.10.17</t>
  </si>
  <si>
    <t>35事業の評価を町にご記入いただくのに、評価の区分と判定の基準がないと記入のしようがない。町のご記入（No.8・残る65件）を待つ間に定めておく。</t>
  </si>
  <si>
    <t>束3のうちNo.8</t>
  </si>
  <si>
    <t>第9期施策評価の実施要領（xlsx）</t>
  </si>
  <si>
    <t>令和8年10月17日　第9期施策評価の実施要領（案）を作成した（川崎町_第9期施策評価_実施要領_案_R8.10.17.xlsx・11シート）。第9期実績一覧（町記入用）の「06_第10期反映方針」は、事業ごとに第10期方針と優先度を町にご記入いただく様式であるが、**評価の区分と判定の基準がなく記入のしようがなかった。** 達成度4区分（Ａ〜Ｄ）＋評価不能、第10期方針6区分と判定の道筋、優先度3区分を定め、35事業の評価欄を起こした（事業は実物から数えた）。⚠ **「評価不能」を「未達」に丸めない形にした。** Ｄは実施しなかったことが確かめられた場合に限る。⚠ **必須事業では「縮小」「廃止」を選べない**ことを先に確かめる順番にし、達成度Ｃ・Ｄでも原因が供給側なら「拡充」が答えになるようにした。⚠ 素案 8-4 の交付金「評価結果の活用」の要件ア〜エ4件すべてに対応を書いた。**本要領そのものが要件エ（公表の様式をあらかじめ定める）に当たり、16点の回復に直接効く。** ⚠ **関連施策評価調査シート（R8.9）と評価の言葉が2通りになっていたことが分かった**（「自己評価（1〜4）」の意味が定義されておらず、方針の区分も食い違う）。揃え方を提案した。確認事項No.182を起票。</t>
  </si>
  <si>
    <t>中長期の見込量と保険料の内訳を成果品に書き出す</t>
  </si>
  <si>
    <t>R8.10.14</t>
  </si>
  <si>
    <t>根拠の棚卸しで残った70件は、いずれも中長期（令和17・22年度）の見込量と保険料の内訳である。算定はしているが、計画見込量のxlsxが令和11年度までしか持っておらず、素案にしか数が残っていない。書き出せば、素案の数の裏づけがほぼすべて揃う。</t>
  </si>
  <si>
    <t>―（公表版の確定の前提）</t>
  </si>
  <si>
    <t>計画見込量（中長期と保険料の内訳を加えた版）</t>
  </si>
  <si>
    <t>令和8年10月17日　中長期の見込量と保険料の内訳を書き出した（川崎町_第10期_計画見込量_中長期・保険料内訳_R8.10.17.xlsx・9シート）。**棚卸しの70件すべてに出所又は算定式を対応づけた（対応済み70件・未対応0件）。** ⚠ **数値の正本は計画素案である。** 本表は素案の表から値を読むもので、数値を別に持たない。⚠ **いちばん重い発見。** 9-1 のサービス別の中長期の和が、9-2 の総給付費と合っていなかった（令和17年度で▲94,878千円・総給付費の8.5％）。Ver.2.14 で 9-1 に加えた15サービスの中長期の列を「─」のまま空けたことによる、表の間の範囲の食い違いであった。**これらの値は既に算定されており、9-2 の総給付費には最初から入っていた。** 「推計していない」のではなく「表に書き写していなかった」。原典（年報・見える化システムの総括表）から算定し直し、**算定した令和7年度・令和11年度の給付費・利用者数・回（日）数が素案の値とすべて一致することを確かめたうえで**、素案 Ver.2.17 で15サービス・74セルを埋めた。これにより 9-1 と 9-2 が3か年すべてで一致した（令和17年度 94,879千円・令和22年度 100,997千円を補完）。⚠ Ver.2.16 で置いた注の記述（「サービスごとの長期推計を行っていない」）が誤っていたため書き直した。⚠ 5-5 の「入所・居住系680,226千円」は、地域密着型をまるごと足したものではないことも分かった（定期巡回・地域密着型通所介護・看護小規模多機能型は在宅。介護予防の認知症対応型共同生活介護は含む）。円で足して一度だけ千円に丸めると差0で再現した。⚠ 保険料・給付費の総額は変えていない。確認事項No.183を起票。</t>
  </si>
  <si>
    <t>他メンバー作成の第10期計画素案との対比と第9期計画の再整理</t>
  </si>
  <si>
    <t>ご指示による。他メンバーが作成した第10期計画素案（2部8章＋資料編・段落1212・表132・図45）を受領した。正本は当方案とし、内容だけを取り込む方針で進める。あわせて第9期計画（全108頁）を再整理し、記載変更が必要な箇所と修正が必要な箇所を洗い出す。</t>
  </si>
  <si>
    <t>―（成果品の質・法定記載事項の充足）</t>
  </si>
  <si>
    <t>他メンバー素案との対比_論点整理（xlsx・11シート）／計画素案 Ver.2.14・Ver.2.15</t>
  </si>
  <si>
    <t>令和8年10月16日　受領した素案を 09_元資料/他メンバー資料/ へ退避し（検査8のMD5突合が10件で適合）、川崎町_他メンバー素案との対比_論点整理_R8.10.16.xlsx（11シート）を作成した。⚠ 添付は第9期計画書の改訂版であり（章立てが第9期の目次と同一）、強みは体裁と文章の充実である。数値・制度改正・供給体制・保険料は当方の正本が先に進んでいる（添付は【町確認】90か所）。11の持ち場に手分けして303件を洗い出し、当方が機械で確かめた重点は30件（重い16件）。⚠ **令和7年度の給付実績は17サービスで完全に一致した**（出所の異なる2つの算定が一致し、当方の読み取りが確かめられた）。⚠ **いちばん重い発見は2件。**①素案 9-1 の見込量の表に15サービス・84,370千円（総給付費の8.5％）が落ちていた（法第117条第2項第1号の種類ごとの量の見込みの欠落）②素案 2-3 の第1号被保険者数・認定者数の実績が年報と20か所食い違っていた（3,270は令和5年度末、3,285は令和4年度末の値で年度が2年ずれていた）。いずれも素案 Ver.2.14・Ver.2.15 で是正し、機械の検査（check_mikomi_morasi・check_nintei）を新設した。⚠ **添付と並べて読んだことにより、当方の正本そのものの不具合も見えた。** ①9-1 で「介護予防サービスの見込量」の見出しの下に地域密着型の表が入り、同じ表が2つあった（重なる11キーの値はすべて一致＝同じ数値を2か所に置いていた）②施策事業表の内容欄31セルに事業の内容でない記述が入っていた③本文に受託者の担当者名・他社名・版の履歴が残っていた④表紙の版名が食い違い発行年月が誤っていた⑤「地域密着型サービス運営委員会」は町の正本では「運営協議会」であった。**いずれも Ver.2.16 で是正した。** 内容欄のうち16セルは添付の本文を取り込んだ（ご指示の「内容だけ添付の使えるものを取り込む」に当たる）。⚠ 保険料・給付費・見込量の数値は変えていない。確認事項No.174〜181を起票。</t>
  </si>
  <si>
    <t>受託者側で2調査の結果報告書（R8.9.2版）を作成済み。成果品としての統合方法（2冊構成か1冊構成か）、掲載範囲、計画書本編との重複整理について確認をお願いしたい。</t>
    <phoneticPr fontId="7"/>
  </si>
  <si>
    <t>2冊構成</t>
    <phoneticPr fontId="7"/>
  </si>
  <si>
    <t>回答</t>
    <rPh sb="0" eb="2">
      <t>カイトウ</t>
    </rPh>
    <phoneticPr fontId="7"/>
  </si>
  <si>
    <t>一旦3回工程で進める。
状況変わる場合再度確認事項として記載。</t>
    <rPh sb="0" eb="2">
      <t>イッタン</t>
    </rPh>
    <rPh sb="3" eb="4">
      <t>カイ</t>
    </rPh>
    <rPh sb="4" eb="6">
      <t>コウテイ</t>
    </rPh>
    <rPh sb="7" eb="8">
      <t>スス</t>
    </rPh>
    <rPh sb="12" eb="14">
      <t>ジョウキョウ</t>
    </rPh>
    <rPh sb="14" eb="15">
      <t>カ</t>
    </rPh>
    <rPh sb="17" eb="19">
      <t>バアイ</t>
    </rPh>
    <rPh sb="19" eb="21">
      <t>サイド</t>
    </rPh>
    <rPh sb="21" eb="23">
      <t>カクニン</t>
    </rPh>
    <rPh sb="23" eb="25">
      <t>ジコウ</t>
    </rPh>
    <rPh sb="28" eb="30">
      <t>キサイ</t>
    </rPh>
    <phoneticPr fontId="7"/>
  </si>
  <si>
    <t>令和8年9月2日にお送りいただいた全国集計結果の5ファイル（令和6〜8年度交付分）は、既に当方が持っていた8月28日受領分と内容が完全に一致することを受領時に確認し、結果を記録しております（09_元資料/交付金評価/③令和８年度交付金評価指標等（市町村分・公表版）/README_9月2日受領版との同一性.txt）。一致を確認済みのため当方の作業に支障はなく、交付金の分析（3か年の得点の推移・項目別の増減）は8月28日受領分だけで再実行できます。照合そのものをもう一度行う必要がある場合に限り、再送をお願いします。</t>
    <phoneticPr fontId="7"/>
  </si>
  <si>
    <t>策定中の為、後日確認。現状添付ファイルの確認をお願いします。K17205_2025plam</t>
    <rPh sb="0" eb="3">
      <t>サクテイチュウ</t>
    </rPh>
    <rPh sb="4" eb="5">
      <t>タメ</t>
    </rPh>
    <rPh sb="6" eb="8">
      <t>ゴジツ</t>
    </rPh>
    <rPh sb="8" eb="10">
      <t>カクニン</t>
    </rPh>
    <rPh sb="11" eb="13">
      <t>ゲンジョウ</t>
    </rPh>
    <rPh sb="13" eb="15">
      <t>テンプ</t>
    </rPh>
    <rPh sb="20" eb="22">
      <t>カクニン</t>
    </rPh>
    <rPh sb="24" eb="25">
      <t>ネガ</t>
    </rPh>
    <phoneticPr fontId="7"/>
  </si>
  <si>
    <t>しない。</t>
    <phoneticPr fontId="7"/>
  </si>
  <si>
    <t>既定値＝令和8年3月末に揃えたまま（2-1の表と整合する方）とします。</t>
    <phoneticPr fontId="7"/>
  </si>
  <si>
    <t>既定値＝令和8年3月末に揃えたまま（2-1の表と整合する方）でOK</t>
    <phoneticPr fontId="7"/>
  </si>
  <si>
    <t>再送付なしで問題なし</t>
    <rPh sb="0" eb="3">
      <t>サイソウフ</t>
    </rPh>
    <rPh sb="6" eb="8">
      <t>モンダイ</t>
    </rPh>
    <phoneticPr fontId="7"/>
  </si>
  <si>
    <t>特に次の3点は施行の時期が分かれるため、まとめて「第10期の期間中」と書かないよう注意を要します。①補足給付の見直し（令和8年8月施行分は第9期の最終年度、令和9年度中の施行分が第10期の期間中）②調整交付金の年齢区分7区分化（令和10年度から）③令和8年度介護報酬改定（基準年度である令和7年度の単価に未反映）。照合の結果、当社の記述に誤りがあればご指摘ください。</t>
    <phoneticPr fontId="7"/>
  </si>
  <si>
    <t>国の指針が出次第再度資料送付。</t>
    <rPh sb="0" eb="1">
      <t>クニ</t>
    </rPh>
    <rPh sb="2" eb="4">
      <t>シシン</t>
    </rPh>
    <rPh sb="5" eb="8">
      <t>デシダイ</t>
    </rPh>
    <rPh sb="8" eb="10">
      <t>サイド</t>
    </rPh>
    <rPh sb="10" eb="12">
      <t>シリョウ</t>
    </rPh>
    <rPh sb="12" eb="14">
      <t>ソウフ</t>
    </rPh>
    <phoneticPr fontId="7"/>
  </si>
  <si>
    <t>社会福祉法等の一部を改正する法律（令和8年法律第51号）による。介護予防ケアマネジメントの直接委託は地域包括支援センターの業務負担の軽減に直結する。</t>
    <phoneticPr fontId="7"/>
  </si>
  <si>
    <t>実現難しい。努力義務であれば検討。義務であれば記載内容検討する。</t>
    <rPh sb="0" eb="2">
      <t>ジツゲン</t>
    </rPh>
    <rPh sb="2" eb="3">
      <t>ムズカ</t>
    </rPh>
    <rPh sb="6" eb="8">
      <t>ドリョク</t>
    </rPh>
    <rPh sb="8" eb="10">
      <t>ギム</t>
    </rPh>
    <rPh sb="14" eb="16">
      <t>ケントウ</t>
    </rPh>
    <rPh sb="17" eb="19">
      <t>ギム</t>
    </rPh>
    <rPh sb="23" eb="25">
      <t>キサイ</t>
    </rPh>
    <rPh sb="25" eb="27">
      <t>ナイヨウ</t>
    </rPh>
    <rPh sb="27" eb="29">
      <t>ケントウ</t>
    </rPh>
    <phoneticPr fontId="7"/>
  </si>
  <si>
    <t>第10期基本指針（案）の別表 七。第2回策定委員会の選択2（施設整備）の判断の根拠となる。確認事項No.29（事業所一覧）と併せてご確認いただきたい。</t>
    <phoneticPr fontId="7"/>
  </si>
  <si>
    <t>素案の記載のみで得点できるのであれば記載するものの。体制整備や報告必要であれば恐らく現状維持。</t>
    <rPh sb="0" eb="2">
      <t>ソアン</t>
    </rPh>
    <rPh sb="3" eb="5">
      <t>キサイ</t>
    </rPh>
    <rPh sb="8" eb="10">
      <t>トクテン</t>
    </rPh>
    <rPh sb="18" eb="20">
      <t>キサイ</t>
    </rPh>
    <rPh sb="26" eb="28">
      <t>タイセイ</t>
    </rPh>
    <rPh sb="28" eb="30">
      <t>セイビ</t>
    </rPh>
    <rPh sb="31" eb="33">
      <t>ホウコク</t>
    </rPh>
    <rPh sb="33" eb="35">
      <t>ヒツヨウ</t>
    </rPh>
    <rPh sb="39" eb="40">
      <t>オソ</t>
    </rPh>
    <rPh sb="42" eb="44">
      <t>ゲンジョウ</t>
    </rPh>
    <rPh sb="44" eb="46">
      <t>イジ</t>
    </rPh>
    <phoneticPr fontId="7"/>
  </si>
  <si>
    <t>見える化のデータから確認をおねがいいたします。</t>
    <rPh sb="0" eb="1">
      <t>ミ</t>
    </rPh>
    <rPh sb="3" eb="4">
      <t>カ</t>
    </rPh>
    <rPh sb="10" eb="12">
      <t>カクニン</t>
    </rPh>
    <phoneticPr fontId="7"/>
  </si>
  <si>
    <t>代替案で作業継続。</t>
    <rPh sb="0" eb="3">
      <t>ダイタイアン</t>
    </rPh>
    <rPh sb="4" eb="6">
      <t>サギョウ</t>
    </rPh>
    <rPh sb="6" eb="8">
      <t>ケイゾク</t>
    </rPh>
    <phoneticPr fontId="7"/>
  </si>
  <si>
    <t>添付ファイル確認して下さい。</t>
    <rPh sb="0" eb="2">
      <t>テンプ</t>
    </rPh>
    <rPh sb="6" eb="8">
      <t>カクニン</t>
    </rPh>
    <rPh sb="10" eb="11">
      <t>クダ</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</si>
</sst>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2"/>
      <scheme val="minor"/>
    </font>
    <font>
      <b/>
      <sz val="14"/>
      <color rgb="FFFFFFFF"/>
      <name val="游ゴシック"/>
      <family val="3"/>
      <charset val="128"/>
    </font>
    <font>
      <sz val="9"/>
      <name val="游ゴシック"/>
      <family val="3"/>
      <charset val="128"/>
    </font>
    <font>
      <b/>
      <sz val="9"/>
      <color rgb="FFFFFFFF"/>
      <name val="游ゴシック"/>
      <family val="3"/>
      <charset val="128"/>
    </font>
    <font>
      <b/>
      <sz val="9"/>
      <name val="游ゴシック"/>
      <family val="3"/>
      <charset val="128"/>
    </font>
    <font>
      <sz val="8"/>
      <name val="游ゴシック"/>
      <family val="3"/>
      <charset val="128"/>
    </font>
    <font>
      <b/>
      <sz val="10"/>
      <name val="游ゴシック"/>
      <family val="3"/>
      <charset val="128"/>
    </font>
    <font>
      <sz val="6"/>
      <name val="ＭＳ Ｐゴシック"/>
      <family val="3"/>
      <charset val="128"/>
      <scheme val="minor"/>
    </font>
  </fonts>
  <fills count="12">
    <fill>
      <patternFill patternType="none"/>
    </fill>
    <fill>
      <patternFill patternType="gray125"/>
    </fill>
    <fill>
      <patternFill patternType="solid">
        <fgColor rgb="FF1F4E78"/>
      </patternFill>
    </fill>
    <fill>
      <patternFill patternType="solid">
        <fgColor rgb="FFF2F2F2"/>
      </patternFill>
    </fill>
    <fill>
      <patternFill patternType="solid">
        <fgColor rgb="FF5B9BD5"/>
      </patternFill>
    </fill>
    <fill>
      <patternFill patternType="solid">
        <fgColor rgb="FFDDEBF7"/>
      </patternFill>
    </fill>
    <fill>
      <patternFill patternType="solid">
        <fgColor rgb="FFE2EFDA"/>
      </patternFill>
    </fill>
    <fill>
      <patternFill patternType="solid">
        <fgColor rgb="FFDEEBF7"/>
      </patternFill>
    </fill>
    <fill>
      <patternFill patternType="solid">
        <fgColor rgb="FFFFF2CC"/>
      </patternFill>
    </fill>
    <fill>
      <patternFill patternType="solid">
        <fgColor rgb="FFFCE4D6"/>
      </patternFill>
    </fill>
    <fill>
      <patternFill patternType="solid">
        <fgColor rgb="FFFFC7CE"/>
      </patternFill>
    </fill>
    <fill>
      <patternFill patternType="solid">
        <fgColor rgb="FFD9D9D9"/>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6">
    <xf numFmtId="0" fontId="0" fillId="0" borderId="0" xfId="0"/>
    <xf numFmtId="0" fontId="3" fillId="4" borderId="1" xfId="0" applyFont="1" applyFill="1" applyBorder="1" applyAlignment="1">
      <alignment horizontal="center" vertical="center"/>
    </xf>
    <xf numFmtId="0" fontId="0" fillId="0" borderId="2" xfId="0" applyBorder="1"/>
    <xf numFmtId="0" fontId="0" fillId="0" borderId="3" xfId="0" applyBorder="1"/>
    <xf numFmtId="0" fontId="4" fillId="5" borderId="1" xfId="0" applyFont="1" applyFill="1" applyBorder="1" applyAlignment="1">
      <alignment horizontal="left" vertical="top" wrapText="1" indent="1"/>
    </xf>
    <xf numFmtId="0" fontId="2" fillId="0" borderId="1" xfId="0" applyFont="1" applyBorder="1" applyAlignment="1">
      <alignment horizontal="left" vertical="top" wrapText="1" indent="1"/>
    </xf>
    <xf numFmtId="0" fontId="3" fillId="4"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horizontal="left" vertical="top" wrapText="1" indent="1"/>
    </xf>
    <xf numFmtId="0" fontId="2" fillId="7" borderId="1" xfId="0" applyFont="1" applyFill="1" applyBorder="1" applyAlignment="1">
      <alignment horizontal="center" vertical="top" wrapText="1"/>
    </xf>
    <xf numFmtId="0" fontId="2" fillId="7" borderId="1" xfId="0" applyFont="1" applyFill="1" applyBorder="1" applyAlignment="1">
      <alignment horizontal="left" vertical="top" wrapText="1" indent="1"/>
    </xf>
    <xf numFmtId="0" fontId="2" fillId="8" borderId="1" xfId="0" applyFont="1" applyFill="1" applyBorder="1" applyAlignment="1">
      <alignment horizontal="center" vertical="top" wrapText="1"/>
    </xf>
    <xf numFmtId="0" fontId="2" fillId="8" borderId="1" xfId="0" applyFont="1" applyFill="1" applyBorder="1" applyAlignment="1">
      <alignment horizontal="left" vertical="top" wrapText="1" indent="1"/>
    </xf>
    <xf numFmtId="0" fontId="2" fillId="9" borderId="1" xfId="0" applyFont="1" applyFill="1" applyBorder="1" applyAlignment="1">
      <alignment horizontal="center" vertical="top" wrapText="1"/>
    </xf>
    <xf numFmtId="0" fontId="2" fillId="9" borderId="1" xfId="0" applyFont="1" applyFill="1" applyBorder="1" applyAlignment="1">
      <alignment horizontal="left" vertical="top" wrapText="1" inden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indent="1"/>
    </xf>
    <xf numFmtId="9" fontId="2" fillId="0" borderId="1" xfId="0" applyNumberFormat="1" applyFont="1" applyBorder="1" applyAlignment="1">
      <alignment horizontal="center" vertical="top" wrapText="1"/>
    </xf>
    <xf numFmtId="0" fontId="4" fillId="0" borderId="1" xfId="0" applyFont="1" applyBorder="1" applyAlignment="1">
      <alignment horizontal="left" vertical="top" wrapText="1" indent="1"/>
    </xf>
    <xf numFmtId="9" fontId="4" fillId="0" borderId="1" xfId="0" applyNumberFormat="1" applyFont="1" applyBorder="1" applyAlignment="1">
      <alignment horizontal="center" vertical="top" wrapText="1"/>
    </xf>
    <xf numFmtId="0" fontId="5" fillId="0" borderId="0" xfId="0" applyFont="1" applyAlignment="1">
      <alignment horizontal="left" vertical="top" wrapText="1" indent="1"/>
    </xf>
    <xf numFmtId="0" fontId="3" fillId="4" borderId="1" xfId="0" applyFont="1" applyFill="1" applyBorder="1" applyAlignment="1">
      <alignment horizontal="center" vertical="top" wrapText="1"/>
    </xf>
    <xf numFmtId="0" fontId="4" fillId="9" borderId="1" xfId="0" applyFont="1" applyFill="1" applyBorder="1" applyAlignment="1">
      <alignment horizontal="center" vertical="top" wrapText="1"/>
    </xf>
    <xf numFmtId="0" fontId="1" fillId="2" borderId="0" xfId="0" applyFont="1" applyFill="1"/>
    <xf numFmtId="0" fontId="3" fillId="4" borderId="0" xfId="0" applyFont="1" applyFill="1" applyAlignment="1">
      <alignment horizontal="center" vertical="center" wrapText="1"/>
    </xf>
    <xf numFmtId="0" fontId="2" fillId="10" borderId="0" xfId="0" applyFont="1" applyFill="1" applyAlignment="1">
      <alignment vertical="top" wrapText="1"/>
    </xf>
    <xf numFmtId="0" fontId="2" fillId="9" borderId="0" xfId="0" applyFont="1" applyFill="1" applyAlignment="1">
      <alignment vertical="top" wrapText="1"/>
    </xf>
    <xf numFmtId="0" fontId="2" fillId="8" borderId="0" xfId="0" applyFont="1" applyFill="1" applyAlignment="1">
      <alignment vertical="top" wrapText="1"/>
    </xf>
    <xf numFmtId="0" fontId="2" fillId="6" borderId="0" xfId="0" applyFont="1" applyFill="1" applyAlignment="1">
      <alignment vertical="top" wrapText="1"/>
    </xf>
    <xf numFmtId="0" fontId="6" fillId="0" borderId="0" xfId="0" applyFont="1"/>
    <xf numFmtId="0" fontId="3" fillId="4" borderId="0" xfId="0" applyFont="1" applyFill="1" applyAlignment="1">
      <alignment horizontal="center" wrapText="1"/>
    </xf>
    <xf numFmtId="0" fontId="2" fillId="0" borderId="0" xfId="0" applyFont="1" applyAlignment="1">
      <alignment vertical="top" wrapText="1"/>
    </xf>
    <xf numFmtId="0" fontId="2" fillId="11" borderId="0" xfId="0" applyFont="1" applyFill="1" applyAlignment="1">
      <alignment vertical="top" wrapText="1"/>
    </xf>
    <xf numFmtId="0" fontId="0" fillId="11" borderId="0" xfId="0" applyFill="1"/>
    <xf numFmtId="0" fontId="2" fillId="0" borderId="1" xfId="0" applyFont="1" applyBorder="1" applyAlignment="1">
      <alignment vertical="top" wrapText="1"/>
    </xf>
    <xf numFmtId="0" fontId="2" fillId="7" borderId="1" xfId="0" applyFont="1" applyFill="1" applyBorder="1" applyAlignment="1">
      <alignment vertical="top" wrapText="1"/>
    </xf>
    <xf numFmtId="9" fontId="2" fillId="0" borderId="1" xfId="0" applyNumberFormat="1" applyFont="1" applyBorder="1" applyAlignment="1">
      <alignment vertical="top" wrapText="1"/>
    </xf>
    <xf numFmtId="0" fontId="2" fillId="9" borderId="1" xfId="0" applyFont="1" applyFill="1" applyBorder="1" applyAlignment="1">
      <alignment vertical="top" wrapText="1"/>
    </xf>
    <xf numFmtId="0" fontId="3" fillId="4" borderId="1" xfId="0" applyFont="1" applyFill="1" applyBorder="1" applyAlignment="1">
      <alignment horizontal="center" vertical="center"/>
    </xf>
    <xf numFmtId="0" fontId="0" fillId="0" borderId="2" xfId="0" applyBorder="1"/>
    <xf numFmtId="0" fontId="0" fillId="0" borderId="3" xfId="0" applyBorder="1"/>
    <xf numFmtId="0" fontId="2" fillId="0" borderId="1" xfId="0" applyFont="1" applyBorder="1" applyAlignment="1">
      <alignment horizontal="left" vertical="top" wrapText="1" indent="1"/>
    </xf>
    <xf numFmtId="0" fontId="3" fillId="4" borderId="1" xfId="0" applyFont="1" applyFill="1" applyBorder="1" applyAlignment="1">
      <alignment horizontal="center" vertical="center" wrapText="1"/>
    </xf>
    <xf numFmtId="0" fontId="2" fillId="3" borderId="0" xfId="0" applyFont="1" applyFill="1" applyAlignment="1">
      <alignment horizontal="left" vertical="top" wrapText="1" indent="1"/>
    </xf>
    <xf numFmtId="0" fontId="0" fillId="0" borderId="0" xfId="0"/>
    <xf numFmtId="0" fontId="1" fillId="2" borderId="0" xfId="0" applyFont="1" applyFill="1" applyAlignment="1">
      <alignment horizontal="left" vertical="center" indent="1"/>
    </xf>
    <xf numFmtId="0" fontId="5" fillId="0" borderId="0" xfId="0" applyFont="1" applyAlignment="1">
      <alignment horizontal="left" vertical="top" wrapText="1" indent="1"/>
    </xf>
    <xf numFmtId="0" fontId="4" fillId="0" borderId="1" xfId="0" applyFont="1" applyBorder="1" applyAlignment="1">
      <alignment horizontal="left" vertical="top" wrapText="1" indent="1"/>
    </xf>
    <xf numFmtId="0" fontId="2"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0" xfId="0" applyFont="1" applyFill="1" applyAlignment="1">
      <alignment vertical="top" wrapText="1"/>
    </xf>
    <xf numFmtId="0" fontId="3" fillId="4" borderId="0" xfId="0" applyFont="1" applyFill="1" applyBorder="1" applyAlignment="1">
      <alignment horizontal="center" vertical="center" wrapText="1"/>
    </xf>
    <xf numFmtId="0" fontId="2" fillId="0" borderId="0" xfId="0" applyFont="1" applyBorder="1" applyAlignment="1">
      <alignment horizontal="left" vertical="top" wrapText="1" indent="1"/>
    </xf>
    <xf numFmtId="0" fontId="0" fillId="0" borderId="0" xfId="0" applyBorder="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showGridLines="0" workbookViewId="0"/>
  </sheetViews>
  <sheetFormatPr defaultRowHeight="13.25" x14ac:dyDescent="0.45"/>
  <cols>
    <col min="1" max="1" width="13" customWidth="1"/>
    <col min="2" max="2" width="22" customWidth="1"/>
    <col min="3" max="3" width="52" customWidth="1"/>
    <col min="4" max="4" width="34" customWidth="1"/>
    <col min="5" max="6" width="10" customWidth="1"/>
  </cols>
  <sheetData>
    <row r="1" spans="1:6" ht="26" customHeight="1" x14ac:dyDescent="0.45">
      <c r="A1" s="46" t="s">
        <v>0</v>
      </c>
      <c r="B1" s="45"/>
      <c r="C1" s="45"/>
      <c r="D1" s="45"/>
      <c r="E1" s="45"/>
      <c r="F1" s="45"/>
    </row>
    <row r="2" spans="1:6" ht="44" customHeight="1" x14ac:dyDescent="0.45">
      <c r="A2" s="44" t="s">
        <v>1</v>
      </c>
      <c r="B2" s="45"/>
      <c r="C2" s="45"/>
      <c r="D2" s="45"/>
      <c r="E2" s="45"/>
      <c r="F2" s="45"/>
    </row>
    <row r="4" spans="1:6" ht="22" customHeight="1" x14ac:dyDescent="0.45">
      <c r="A4" s="1" t="s">
        <v>2</v>
      </c>
      <c r="B4" s="39" t="s">
        <v>3</v>
      </c>
      <c r="C4" s="40"/>
      <c r="D4" s="40"/>
      <c r="E4" s="40"/>
      <c r="F4" s="41"/>
    </row>
    <row r="5" spans="1:6" ht="20" customHeight="1" x14ac:dyDescent="0.45">
      <c r="A5" s="4" t="s">
        <v>4</v>
      </c>
      <c r="B5" s="42" t="s">
        <v>5</v>
      </c>
      <c r="C5" s="40"/>
      <c r="D5" s="40"/>
      <c r="E5" s="40"/>
      <c r="F5" s="41"/>
    </row>
    <row r="6" spans="1:6" ht="20" customHeight="1" x14ac:dyDescent="0.45">
      <c r="A6" s="4" t="s">
        <v>6</v>
      </c>
      <c r="B6" s="42" t="s">
        <v>7</v>
      </c>
      <c r="C6" s="40"/>
      <c r="D6" s="40"/>
      <c r="E6" s="40"/>
      <c r="F6" s="41"/>
    </row>
    <row r="7" spans="1:6" ht="20" customHeight="1" x14ac:dyDescent="0.45">
      <c r="A7" s="4" t="s">
        <v>8</v>
      </c>
      <c r="B7" s="42" t="s">
        <v>9</v>
      </c>
      <c r="C7" s="40"/>
      <c r="D7" s="40"/>
      <c r="E7" s="40"/>
      <c r="F7" s="41"/>
    </row>
    <row r="8" spans="1:6" ht="20" customHeight="1" x14ac:dyDescent="0.45">
      <c r="A8" s="4" t="s">
        <v>10</v>
      </c>
      <c r="B8" s="42" t="s">
        <v>11</v>
      </c>
      <c r="C8" s="40"/>
      <c r="D8" s="40"/>
      <c r="E8" s="40"/>
      <c r="F8" s="41"/>
    </row>
    <row r="9" spans="1:6" ht="20" customHeight="1" x14ac:dyDescent="0.45">
      <c r="A9" s="4" t="s">
        <v>12</v>
      </c>
      <c r="B9" s="42" t="s">
        <v>13</v>
      </c>
      <c r="C9" s="40"/>
      <c r="D9" s="40"/>
      <c r="E9" s="40"/>
      <c r="F9" s="41"/>
    </row>
    <row r="10" spans="1:6" ht="20" customHeight="1" x14ac:dyDescent="0.45">
      <c r="A10" s="4" t="s">
        <v>14</v>
      </c>
      <c r="B10" s="42" t="s">
        <v>15</v>
      </c>
      <c r="C10" s="40"/>
      <c r="D10" s="40"/>
      <c r="E10" s="40"/>
      <c r="F10" s="41"/>
    </row>
    <row r="11" spans="1:6" ht="20" customHeight="1" x14ac:dyDescent="0.45">
      <c r="A11" s="4" t="s">
        <v>16</v>
      </c>
      <c r="B11" s="42" t="s">
        <v>17</v>
      </c>
      <c r="C11" s="40"/>
      <c r="D11" s="40"/>
      <c r="E11" s="40"/>
      <c r="F11" s="41"/>
    </row>
    <row r="12" spans="1:6" ht="20" customHeight="1" x14ac:dyDescent="0.45">
      <c r="A12" s="4" t="s">
        <v>18</v>
      </c>
      <c r="B12" s="42" t="s">
        <v>19</v>
      </c>
      <c r="C12" s="40"/>
      <c r="D12" s="40"/>
      <c r="E12" s="40"/>
      <c r="F12" s="41"/>
    </row>
    <row r="13" spans="1:6" ht="20" customHeight="1" x14ac:dyDescent="0.45">
      <c r="A13" s="4" t="s">
        <v>20</v>
      </c>
      <c r="B13" s="42" t="s">
        <v>21</v>
      </c>
      <c r="C13" s="40"/>
      <c r="D13" s="40"/>
      <c r="E13" s="40"/>
      <c r="F13" s="41"/>
    </row>
    <row r="14" spans="1:6" ht="409.5" x14ac:dyDescent="0.45">
      <c r="A14" s="4" t="s">
        <v>22</v>
      </c>
      <c r="B14" s="5" t="s">
        <v>23</v>
      </c>
    </row>
    <row r="15" spans="1:6" ht="24" customHeight="1" x14ac:dyDescent="0.45"/>
    <row r="16" spans="1:6" ht="32" customHeight="1" x14ac:dyDescent="0.45">
      <c r="A16" s="6" t="s">
        <v>24</v>
      </c>
      <c r="B16" s="6" t="s">
        <v>25</v>
      </c>
      <c r="C16" s="6" t="s">
        <v>3</v>
      </c>
      <c r="D16" s="43" t="s">
        <v>26</v>
      </c>
      <c r="E16" s="40"/>
      <c r="F16" s="41"/>
    </row>
    <row r="17" spans="1:6" ht="32" customHeight="1" x14ac:dyDescent="0.45">
      <c r="A17" s="7">
        <v>1</v>
      </c>
      <c r="B17" s="5" t="s">
        <v>27</v>
      </c>
      <c r="C17" s="5" t="s">
        <v>28</v>
      </c>
      <c r="D17" s="42" t="s">
        <v>29</v>
      </c>
      <c r="E17" s="40"/>
      <c r="F17" s="41"/>
    </row>
    <row r="18" spans="1:6" ht="32" customHeight="1" x14ac:dyDescent="0.45">
      <c r="A18" s="7">
        <v>2</v>
      </c>
      <c r="B18" s="5" t="s">
        <v>30</v>
      </c>
      <c r="C18" s="5" t="s">
        <v>31</v>
      </c>
      <c r="D18" s="42" t="s">
        <v>32</v>
      </c>
      <c r="E18" s="40"/>
      <c r="F18" s="41"/>
    </row>
    <row r="19" spans="1:6" ht="32" customHeight="1" x14ac:dyDescent="0.45">
      <c r="A19" s="7">
        <v>3</v>
      </c>
      <c r="B19" s="5" t="s">
        <v>33</v>
      </c>
      <c r="C19" s="5" t="s">
        <v>34</v>
      </c>
      <c r="D19" s="42" t="s">
        <v>35</v>
      </c>
      <c r="E19" s="40"/>
      <c r="F19" s="41"/>
    </row>
    <row r="20" spans="1:6" ht="32" customHeight="1" x14ac:dyDescent="0.45">
      <c r="A20" s="7">
        <v>4</v>
      </c>
      <c r="B20" s="5" t="s">
        <v>36</v>
      </c>
      <c r="C20" s="5" t="s">
        <v>37</v>
      </c>
      <c r="D20" s="42" t="s">
        <v>38</v>
      </c>
      <c r="E20" s="40"/>
      <c r="F20" s="41"/>
    </row>
    <row r="21" spans="1:6" ht="32" customHeight="1" x14ac:dyDescent="0.45">
      <c r="A21" s="7">
        <v>5</v>
      </c>
      <c r="B21" s="5" t="s">
        <v>39</v>
      </c>
      <c r="C21" s="5" t="s">
        <v>40</v>
      </c>
      <c r="D21" s="42" t="s">
        <v>38</v>
      </c>
      <c r="E21" s="40"/>
      <c r="F21" s="41"/>
    </row>
    <row r="22" spans="1:6" ht="14.5" x14ac:dyDescent="0.45">
      <c r="A22" s="7">
        <v>6</v>
      </c>
      <c r="B22" s="5" t="s">
        <v>41</v>
      </c>
      <c r="C22" s="5" t="s">
        <v>42</v>
      </c>
      <c r="D22" s="5" t="s">
        <v>43</v>
      </c>
      <c r="E22" s="2"/>
      <c r="F22" s="3"/>
    </row>
    <row r="23" spans="1:6" ht="22" customHeight="1" x14ac:dyDescent="0.45"/>
    <row r="24" spans="1:6" ht="20" customHeight="1" x14ac:dyDescent="0.45">
      <c r="A24" s="1" t="s">
        <v>44</v>
      </c>
      <c r="B24" s="1" t="s">
        <v>45</v>
      </c>
      <c r="C24" s="1" t="s">
        <v>46</v>
      </c>
    </row>
    <row r="25" spans="1:6" ht="20" customHeight="1" x14ac:dyDescent="0.45">
      <c r="A25" s="8" t="s">
        <v>47</v>
      </c>
      <c r="B25" s="5" t="s">
        <v>48</v>
      </c>
      <c r="C25" s="9"/>
    </row>
    <row r="26" spans="1:6" ht="20" customHeight="1" x14ac:dyDescent="0.45">
      <c r="A26" s="10" t="s">
        <v>49</v>
      </c>
      <c r="B26" s="5" t="s">
        <v>50</v>
      </c>
      <c r="C26" s="11"/>
    </row>
    <row r="27" spans="1:6" ht="20" customHeight="1" x14ac:dyDescent="0.45">
      <c r="A27" s="12" t="s">
        <v>51</v>
      </c>
      <c r="B27" s="5" t="s">
        <v>52</v>
      </c>
      <c r="C27" s="13"/>
    </row>
    <row r="28" spans="1:6" ht="20" customHeight="1" x14ac:dyDescent="0.45">
      <c r="A28" s="14" t="s">
        <v>53</v>
      </c>
      <c r="B28" s="5" t="s">
        <v>54</v>
      </c>
      <c r="C28" s="15"/>
    </row>
    <row r="29" spans="1:6" ht="29" x14ac:dyDescent="0.45">
      <c r="A29" s="16" t="s">
        <v>55</v>
      </c>
      <c r="B29" s="5" t="s">
        <v>56</v>
      </c>
      <c r="C29" s="17"/>
    </row>
    <row r="30" spans="1:6" ht="62" customHeight="1" x14ac:dyDescent="0.45">
      <c r="A30" s="45"/>
      <c r="B30" s="45"/>
      <c r="C30" s="45"/>
      <c r="D30" s="45"/>
      <c r="E30" s="45"/>
      <c r="F30" s="45"/>
    </row>
    <row r="31" spans="1:6" ht="62" customHeight="1" x14ac:dyDescent="0.45">
      <c r="A31" s="42" t="s">
        <v>57</v>
      </c>
      <c r="B31" s="40"/>
      <c r="C31" s="40"/>
      <c r="D31" s="40"/>
      <c r="E31" s="40"/>
      <c r="F31" s="41"/>
    </row>
    <row r="32" spans="1:6" ht="62" customHeight="1" x14ac:dyDescent="0.45">
      <c r="A32" s="42" t="s">
        <v>58</v>
      </c>
      <c r="B32" s="40"/>
      <c r="C32" s="40"/>
      <c r="D32" s="40"/>
      <c r="E32" s="40"/>
      <c r="F32" s="41"/>
    </row>
    <row r="33" spans="1:6" ht="62" customHeight="1" x14ac:dyDescent="0.45">
      <c r="A33" s="42" t="s">
        <v>59</v>
      </c>
      <c r="B33" s="40"/>
      <c r="C33" s="40"/>
      <c r="D33" s="40"/>
      <c r="E33" s="40"/>
      <c r="F33" s="41"/>
    </row>
    <row r="34" spans="1:6" ht="62" customHeight="1" x14ac:dyDescent="0.45">
      <c r="A34" s="42" t="s">
        <v>60</v>
      </c>
      <c r="B34" s="40"/>
      <c r="C34" s="40"/>
      <c r="D34" s="40"/>
      <c r="E34" s="40"/>
      <c r="F34" s="41"/>
    </row>
    <row r="35" spans="1:6" ht="409.5" x14ac:dyDescent="0.45">
      <c r="A35" s="5" t="s">
        <v>61</v>
      </c>
      <c r="B35" s="2"/>
      <c r="C35" s="2"/>
      <c r="D35" s="2"/>
      <c r="E35" s="2"/>
      <c r="F35" s="3"/>
    </row>
  </sheetData>
  <mergeCells count="23">
    <mergeCell ref="A1:F1"/>
    <mergeCell ref="B5:F5"/>
    <mergeCell ref="D21:F21"/>
    <mergeCell ref="A34:F34"/>
    <mergeCell ref="A30:F30"/>
    <mergeCell ref="D20:F20"/>
    <mergeCell ref="B9:F9"/>
    <mergeCell ref="D19:F19"/>
    <mergeCell ref="A33:F33"/>
    <mergeCell ref="B12:F12"/>
    <mergeCell ref="B11:F11"/>
    <mergeCell ref="A32:F32"/>
    <mergeCell ref="D18:F18"/>
    <mergeCell ref="B13:F13"/>
    <mergeCell ref="A31:F31"/>
    <mergeCell ref="B4:F4"/>
    <mergeCell ref="B7:F7"/>
    <mergeCell ref="D17:F17"/>
    <mergeCell ref="D16:F16"/>
    <mergeCell ref="A2:F2"/>
    <mergeCell ref="B8:F8"/>
    <mergeCell ref="B10:F10"/>
    <mergeCell ref="B6:F6"/>
  </mergeCells>
  <phoneticPr fontId="7"/>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showGridLines="0" workbookViewId="0">
      <pane ySplit="4" topLeftCell="A5" activePane="bottomLeft" state="frozen"/>
      <selection pane="bottomLeft"/>
    </sheetView>
  </sheetViews>
  <sheetFormatPr defaultRowHeight="13.25" x14ac:dyDescent="0.45"/>
  <cols>
    <col min="1" max="1" width="5" customWidth="1"/>
    <col min="2" max="2" width="22" customWidth="1"/>
    <col min="3" max="3" width="36" customWidth="1"/>
    <col min="4" max="4" width="30" customWidth="1"/>
    <col min="5" max="5" width="26" customWidth="1"/>
    <col min="6" max="7" width="9" customWidth="1"/>
    <col min="8" max="8" width="11" customWidth="1"/>
    <col min="9" max="9" width="32" customWidth="1"/>
    <col min="10" max="10" width="12" customWidth="1"/>
  </cols>
  <sheetData>
    <row r="1" spans="1:10" ht="26" customHeight="1" x14ac:dyDescent="0.45">
      <c r="A1" s="46" t="s">
        <v>62</v>
      </c>
      <c r="B1" s="45"/>
      <c r="C1" s="45"/>
      <c r="D1" s="45"/>
      <c r="E1" s="45"/>
      <c r="F1" s="45"/>
      <c r="G1" s="45"/>
      <c r="H1" s="45"/>
      <c r="I1" s="45"/>
      <c r="J1" s="45"/>
    </row>
    <row r="2" spans="1:10" ht="52" customHeight="1" x14ac:dyDescent="0.45">
      <c r="A2" s="44" t="s">
        <v>63</v>
      </c>
      <c r="B2" s="45"/>
      <c r="C2" s="45"/>
      <c r="D2" s="45"/>
      <c r="E2" s="45"/>
      <c r="F2" s="45"/>
      <c r="G2" s="45"/>
      <c r="H2" s="45"/>
      <c r="I2" s="45"/>
      <c r="J2" s="45"/>
    </row>
    <row r="4" spans="1:10" ht="32" customHeight="1" x14ac:dyDescent="0.45">
      <c r="A4" s="6" t="s">
        <v>24</v>
      </c>
      <c r="B4" s="6" t="s">
        <v>64</v>
      </c>
      <c r="C4" s="6" t="s">
        <v>65</v>
      </c>
      <c r="D4" s="6" t="s">
        <v>66</v>
      </c>
      <c r="E4" s="6" t="s">
        <v>67</v>
      </c>
      <c r="F4" s="6" t="s">
        <v>68</v>
      </c>
      <c r="G4" s="6" t="s">
        <v>69</v>
      </c>
      <c r="H4" s="6" t="s">
        <v>70</v>
      </c>
      <c r="I4" s="6" t="s">
        <v>71</v>
      </c>
      <c r="J4" s="6" t="s">
        <v>72</v>
      </c>
    </row>
    <row r="5" spans="1:10" ht="132" customHeight="1" x14ac:dyDescent="0.45">
      <c r="A5" s="7" t="s">
        <v>73</v>
      </c>
      <c r="B5" s="5" t="s">
        <v>74</v>
      </c>
      <c r="C5" s="5" t="s">
        <v>75</v>
      </c>
      <c r="D5" s="5" t="s">
        <v>76</v>
      </c>
      <c r="E5" s="5" t="s">
        <v>77</v>
      </c>
      <c r="F5" s="10" t="s">
        <v>47</v>
      </c>
      <c r="G5" s="18">
        <v>1</v>
      </c>
      <c r="H5" s="7" t="s">
        <v>78</v>
      </c>
      <c r="I5" s="5" t="s">
        <v>79</v>
      </c>
      <c r="J5" s="7" t="s">
        <v>80</v>
      </c>
    </row>
    <row r="6" spans="1:10" ht="132" customHeight="1" x14ac:dyDescent="0.45">
      <c r="A6" s="7" t="s">
        <v>81</v>
      </c>
      <c r="B6" s="5" t="s">
        <v>82</v>
      </c>
      <c r="C6" s="5" t="s">
        <v>83</v>
      </c>
      <c r="D6" s="5" t="s">
        <v>84</v>
      </c>
      <c r="E6" s="5" t="s">
        <v>85</v>
      </c>
      <c r="F6" s="8" t="s">
        <v>47</v>
      </c>
      <c r="G6" s="18">
        <v>1</v>
      </c>
      <c r="H6" s="7" t="s">
        <v>86</v>
      </c>
      <c r="I6" s="5" t="s">
        <v>87</v>
      </c>
      <c r="J6" s="7" t="s">
        <v>88</v>
      </c>
    </row>
    <row r="7" spans="1:10" ht="132" customHeight="1" x14ac:dyDescent="0.45">
      <c r="A7" s="7" t="s">
        <v>89</v>
      </c>
      <c r="B7" s="5" t="s">
        <v>90</v>
      </c>
      <c r="C7" s="5" t="s">
        <v>91</v>
      </c>
      <c r="D7" s="5" t="s">
        <v>92</v>
      </c>
      <c r="E7" s="5" t="s">
        <v>93</v>
      </c>
      <c r="F7" s="10" t="s">
        <v>49</v>
      </c>
      <c r="G7" s="18">
        <v>0.8</v>
      </c>
      <c r="H7" s="7" t="s">
        <v>94</v>
      </c>
      <c r="I7" s="5" t="s">
        <v>95</v>
      </c>
      <c r="J7" s="7" t="s">
        <v>96</v>
      </c>
    </row>
    <row r="8" spans="1:10" ht="132" customHeight="1" x14ac:dyDescent="0.45">
      <c r="A8" s="35" t="s">
        <v>97</v>
      </c>
      <c r="B8" s="35" t="s">
        <v>98</v>
      </c>
      <c r="C8" s="35" t="s">
        <v>99</v>
      </c>
      <c r="D8" s="35" t="s">
        <v>100</v>
      </c>
      <c r="E8" s="35" t="s">
        <v>101</v>
      </c>
      <c r="F8" s="36" t="s">
        <v>49</v>
      </c>
      <c r="G8" s="37">
        <v>0.95</v>
      </c>
      <c r="H8" s="35" t="s">
        <v>78</v>
      </c>
      <c r="I8" s="35" t="s">
        <v>102</v>
      </c>
      <c r="J8" s="35" t="s">
        <v>103</v>
      </c>
    </row>
    <row r="9" spans="1:10" ht="132" customHeight="1" x14ac:dyDescent="0.45">
      <c r="A9" s="35" t="s">
        <v>104</v>
      </c>
      <c r="B9" s="35" t="s">
        <v>105</v>
      </c>
      <c r="C9" s="35" t="s">
        <v>106</v>
      </c>
      <c r="D9" s="35" t="s">
        <v>107</v>
      </c>
      <c r="E9" s="35" t="s">
        <v>108</v>
      </c>
      <c r="F9" s="36" t="s">
        <v>49</v>
      </c>
      <c r="G9" s="37">
        <v>0.92</v>
      </c>
      <c r="H9" s="35" t="s">
        <v>109</v>
      </c>
      <c r="I9" s="35" t="s">
        <v>110</v>
      </c>
      <c r="J9" s="35" t="s">
        <v>111</v>
      </c>
    </row>
    <row r="10" spans="1:10" ht="132" customHeight="1" x14ac:dyDescent="0.45">
      <c r="A10" s="35" t="s">
        <v>112</v>
      </c>
      <c r="B10" s="35" t="s">
        <v>113</v>
      </c>
      <c r="C10" s="35" t="s">
        <v>114</v>
      </c>
      <c r="D10" s="35" t="s">
        <v>115</v>
      </c>
      <c r="E10" s="35" t="s">
        <v>116</v>
      </c>
      <c r="F10" s="36" t="s">
        <v>49</v>
      </c>
      <c r="G10" s="37">
        <v>0.9</v>
      </c>
      <c r="H10" s="35" t="s">
        <v>78</v>
      </c>
      <c r="I10" s="35" t="s">
        <v>117</v>
      </c>
      <c r="J10" s="35" t="s">
        <v>118</v>
      </c>
    </row>
    <row r="11" spans="1:10" ht="132" customHeight="1" x14ac:dyDescent="0.45">
      <c r="A11" s="35" t="s">
        <v>119</v>
      </c>
      <c r="B11" s="35" t="s">
        <v>120</v>
      </c>
      <c r="C11" s="35" t="s">
        <v>121</v>
      </c>
      <c r="D11" s="35" t="s">
        <v>122</v>
      </c>
      <c r="E11" s="35" t="s">
        <v>123</v>
      </c>
      <c r="F11" s="36" t="s">
        <v>49</v>
      </c>
      <c r="G11" s="37">
        <v>0.99</v>
      </c>
      <c r="H11" s="35" t="s">
        <v>94</v>
      </c>
      <c r="I11" s="35" t="s">
        <v>124</v>
      </c>
      <c r="J11" s="35" t="s">
        <v>125</v>
      </c>
    </row>
    <row r="12" spans="1:10" ht="132" customHeight="1" x14ac:dyDescent="0.45">
      <c r="A12" s="35" t="s">
        <v>126</v>
      </c>
      <c r="B12" s="35" t="s">
        <v>127</v>
      </c>
      <c r="C12" s="35" t="s">
        <v>128</v>
      </c>
      <c r="D12" s="35" t="s">
        <v>129</v>
      </c>
      <c r="E12" s="35" t="s">
        <v>130</v>
      </c>
      <c r="F12" s="38" t="s">
        <v>49</v>
      </c>
      <c r="G12" s="37">
        <v>0.6</v>
      </c>
      <c r="H12" s="35" t="s">
        <v>131</v>
      </c>
      <c r="I12" s="35" t="s">
        <v>132</v>
      </c>
      <c r="J12" s="35" t="s">
        <v>133</v>
      </c>
    </row>
    <row r="14" spans="1:10" ht="22" customHeight="1" x14ac:dyDescent="0.45">
      <c r="B14" s="48" t="s">
        <v>134</v>
      </c>
      <c r="C14" s="40"/>
      <c r="D14" s="40"/>
      <c r="E14" s="40"/>
      <c r="F14" s="41"/>
      <c r="G14" s="20">
        <f>ROUND(AVERAGE(G5:G12),2)</f>
        <v>0.9</v>
      </c>
    </row>
    <row r="16" spans="1:10" ht="26" customHeight="1" x14ac:dyDescent="0.45">
      <c r="A16" s="47" t="s">
        <v>135</v>
      </c>
      <c r="B16" s="45"/>
      <c r="C16" s="45"/>
      <c r="D16" s="45"/>
      <c r="E16" s="45"/>
      <c r="F16" s="45"/>
      <c r="G16" s="45"/>
      <c r="H16" s="45"/>
      <c r="I16" s="45"/>
      <c r="J16" s="45"/>
    </row>
    <row r="17" spans="1:10" ht="26" customHeight="1" x14ac:dyDescent="0.45">
      <c r="A17" s="47" t="s">
        <v>136</v>
      </c>
      <c r="B17" s="45"/>
      <c r="C17" s="45"/>
      <c r="D17" s="45"/>
      <c r="E17" s="45"/>
      <c r="F17" s="45"/>
      <c r="G17" s="45"/>
      <c r="H17" s="45"/>
      <c r="I17" s="45"/>
      <c r="J17" s="45"/>
    </row>
    <row r="18" spans="1:10" ht="26" customHeight="1" x14ac:dyDescent="0.45">
      <c r="A18" s="47" t="s">
        <v>137</v>
      </c>
      <c r="B18" s="45"/>
      <c r="C18" s="45"/>
      <c r="D18" s="45"/>
      <c r="E18" s="45"/>
      <c r="F18" s="45"/>
      <c r="G18" s="45"/>
      <c r="H18" s="45"/>
      <c r="I18" s="45"/>
      <c r="J18" s="45"/>
    </row>
  </sheetData>
  <mergeCells count="6">
    <mergeCell ref="A1:J1"/>
    <mergeCell ref="A17:J17"/>
    <mergeCell ref="A2:J2"/>
    <mergeCell ref="A18:J18"/>
    <mergeCell ref="A16:J16"/>
    <mergeCell ref="B14:F14"/>
  </mergeCells>
  <phoneticPr fontId="7"/>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showGridLines="0" workbookViewId="0">
      <pane ySplit="4" topLeftCell="A5" activePane="bottomLeft" state="frozen"/>
      <selection pane="bottomLeft"/>
    </sheetView>
  </sheetViews>
  <sheetFormatPr defaultRowHeight="13.25" x14ac:dyDescent="0.45"/>
  <cols>
    <col min="1" max="1" width="12" customWidth="1"/>
    <col min="2" max="2" width="30" customWidth="1"/>
    <col min="3" max="3" width="12" customWidth="1"/>
    <col min="4" max="5" width="30" customWidth="1"/>
    <col min="6" max="6" width="9" customWidth="1"/>
    <col min="7" max="8" width="11" customWidth="1"/>
    <col min="9" max="9" width="16" customWidth="1"/>
    <col min="10" max="10" width="32" customWidth="1"/>
  </cols>
  <sheetData>
    <row r="1" spans="1:10" ht="26" customHeight="1" x14ac:dyDescent="0.45">
      <c r="A1" s="46" t="s">
        <v>138</v>
      </c>
      <c r="B1" s="45"/>
      <c r="C1" s="45"/>
      <c r="D1" s="45"/>
      <c r="E1" s="45"/>
      <c r="F1" s="45"/>
      <c r="G1" s="45"/>
      <c r="H1" s="45"/>
      <c r="I1" s="45"/>
      <c r="J1" s="45"/>
    </row>
    <row r="2" spans="1:10" ht="52" customHeight="1" x14ac:dyDescent="0.45">
      <c r="A2" s="44" t="s">
        <v>139</v>
      </c>
      <c r="B2" s="45"/>
      <c r="C2" s="45"/>
      <c r="D2" s="45"/>
      <c r="E2" s="45"/>
      <c r="F2" s="45"/>
      <c r="G2" s="45"/>
      <c r="H2" s="45"/>
      <c r="I2" s="45"/>
      <c r="J2" s="45"/>
    </row>
    <row r="4" spans="1:10" ht="32" customHeight="1" x14ac:dyDescent="0.45">
      <c r="A4" s="6" t="s">
        <v>140</v>
      </c>
      <c r="B4" s="6" t="s">
        <v>141</v>
      </c>
      <c r="C4" s="6" t="s">
        <v>142</v>
      </c>
      <c r="D4" s="6" t="s">
        <v>143</v>
      </c>
      <c r="E4" s="6" t="s">
        <v>144</v>
      </c>
      <c r="F4" s="6" t="s">
        <v>68</v>
      </c>
      <c r="G4" s="6" t="s">
        <v>145</v>
      </c>
      <c r="H4" s="6" t="s">
        <v>146</v>
      </c>
      <c r="I4" s="6" t="s">
        <v>147</v>
      </c>
      <c r="J4" s="6" t="s">
        <v>148</v>
      </c>
    </row>
    <row r="5" spans="1:10" ht="92" customHeight="1" x14ac:dyDescent="0.45">
      <c r="A5" s="7" t="s">
        <v>149</v>
      </c>
      <c r="B5" s="5" t="s">
        <v>150</v>
      </c>
      <c r="C5" s="7" t="s">
        <v>151</v>
      </c>
      <c r="D5" s="5" t="s">
        <v>152</v>
      </c>
      <c r="E5" s="5" t="s">
        <v>153</v>
      </c>
      <c r="F5" s="8" t="s">
        <v>47</v>
      </c>
      <c r="G5" s="7" t="s">
        <v>154</v>
      </c>
      <c r="H5" s="7"/>
      <c r="I5" s="7"/>
      <c r="J5" s="5" t="s">
        <v>155</v>
      </c>
    </row>
    <row r="6" spans="1:10" ht="92" customHeight="1" x14ac:dyDescent="0.45">
      <c r="A6" s="7" t="s">
        <v>156</v>
      </c>
      <c r="B6" s="5" t="s">
        <v>157</v>
      </c>
      <c r="C6" s="7" t="s">
        <v>158</v>
      </c>
      <c r="D6" s="5" t="s">
        <v>159</v>
      </c>
      <c r="E6" s="5" t="s">
        <v>160</v>
      </c>
      <c r="F6" s="10" t="s">
        <v>47</v>
      </c>
      <c r="G6" s="7" t="s">
        <v>161</v>
      </c>
      <c r="H6" s="7"/>
      <c r="I6" s="7"/>
      <c r="J6" s="5" t="s">
        <v>162</v>
      </c>
    </row>
    <row r="7" spans="1:10" ht="92" customHeight="1" x14ac:dyDescent="0.45">
      <c r="A7" s="7" t="s">
        <v>163</v>
      </c>
      <c r="B7" s="5" t="s">
        <v>164</v>
      </c>
      <c r="C7" s="7" t="s">
        <v>165</v>
      </c>
      <c r="D7" s="5" t="s">
        <v>166</v>
      </c>
      <c r="E7" s="5" t="s">
        <v>167</v>
      </c>
      <c r="F7" s="8" t="s">
        <v>47</v>
      </c>
      <c r="G7" s="7" t="s">
        <v>168</v>
      </c>
      <c r="H7" s="7"/>
      <c r="I7" s="7"/>
      <c r="J7" s="5" t="s">
        <v>169</v>
      </c>
    </row>
    <row r="8" spans="1:10" ht="92" customHeight="1" x14ac:dyDescent="0.45">
      <c r="A8" s="7" t="s">
        <v>170</v>
      </c>
      <c r="B8" s="5" t="s">
        <v>171</v>
      </c>
      <c r="C8" s="7" t="s">
        <v>172</v>
      </c>
      <c r="D8" s="5" t="s">
        <v>173</v>
      </c>
      <c r="E8" s="5" t="s">
        <v>174</v>
      </c>
      <c r="F8" s="14" t="s">
        <v>47</v>
      </c>
      <c r="G8" s="7" t="s">
        <v>175</v>
      </c>
      <c r="H8" s="7"/>
      <c r="I8" s="7"/>
      <c r="J8" s="5" t="s">
        <v>176</v>
      </c>
    </row>
    <row r="9" spans="1:10" ht="92" customHeight="1" x14ac:dyDescent="0.45">
      <c r="A9" s="7" t="s">
        <v>177</v>
      </c>
      <c r="B9" s="5" t="s">
        <v>178</v>
      </c>
      <c r="C9" s="7" t="s">
        <v>179</v>
      </c>
      <c r="D9" s="5" t="s">
        <v>180</v>
      </c>
      <c r="E9" s="5" t="s">
        <v>181</v>
      </c>
      <c r="F9" s="14" t="s">
        <v>49</v>
      </c>
      <c r="G9" s="7" t="s">
        <v>182</v>
      </c>
      <c r="H9" s="7"/>
      <c r="I9" s="7"/>
      <c r="J9" s="5" t="s">
        <v>183</v>
      </c>
    </row>
    <row r="10" spans="1:10" ht="92" customHeight="1" x14ac:dyDescent="0.45">
      <c r="A10" s="7" t="s">
        <v>184</v>
      </c>
      <c r="B10" s="5" t="s">
        <v>185</v>
      </c>
      <c r="C10" s="7" t="s">
        <v>186</v>
      </c>
      <c r="D10" s="5" t="s">
        <v>187</v>
      </c>
      <c r="E10" s="5" t="s">
        <v>188</v>
      </c>
      <c r="F10" s="14" t="s">
        <v>49</v>
      </c>
      <c r="G10" s="7" t="s">
        <v>189</v>
      </c>
      <c r="H10" s="7"/>
      <c r="I10" s="7"/>
      <c r="J10" s="5" t="s">
        <v>190</v>
      </c>
    </row>
    <row r="11" spans="1:10" ht="92" customHeight="1" x14ac:dyDescent="0.45">
      <c r="A11" s="7" t="s">
        <v>191</v>
      </c>
      <c r="B11" s="5" t="s">
        <v>192</v>
      </c>
      <c r="C11" s="7" t="s">
        <v>193</v>
      </c>
      <c r="D11" s="5" t="s">
        <v>194</v>
      </c>
      <c r="E11" s="5" t="s">
        <v>195</v>
      </c>
      <c r="F11" s="14" t="s">
        <v>49</v>
      </c>
      <c r="G11" s="7" t="s">
        <v>196</v>
      </c>
      <c r="H11" s="7"/>
      <c r="I11" s="7"/>
      <c r="J11" s="5" t="s">
        <v>197</v>
      </c>
    </row>
    <row r="12" spans="1:10" ht="92" customHeight="1" x14ac:dyDescent="0.45">
      <c r="A12" s="7" t="s">
        <v>198</v>
      </c>
      <c r="B12" s="5" t="s">
        <v>199</v>
      </c>
      <c r="C12" s="7" t="s">
        <v>186</v>
      </c>
      <c r="D12" s="5" t="s">
        <v>200</v>
      </c>
      <c r="E12" s="5" t="s">
        <v>201</v>
      </c>
      <c r="F12" s="14" t="s">
        <v>53</v>
      </c>
      <c r="G12" s="7" t="s">
        <v>202</v>
      </c>
      <c r="H12" s="7"/>
      <c r="I12" s="7"/>
      <c r="J12" s="5" t="s">
        <v>190</v>
      </c>
    </row>
    <row r="13" spans="1:10" ht="92" customHeight="1" x14ac:dyDescent="0.45">
      <c r="A13" s="7" t="s">
        <v>203</v>
      </c>
      <c r="B13" s="5" t="s">
        <v>204</v>
      </c>
      <c r="C13" s="7" t="s">
        <v>205</v>
      </c>
      <c r="D13" s="5" t="s">
        <v>206</v>
      </c>
      <c r="E13" s="5" t="s">
        <v>207</v>
      </c>
      <c r="F13" s="14" t="s">
        <v>53</v>
      </c>
      <c r="G13" s="7" t="s">
        <v>208</v>
      </c>
      <c r="H13" s="7"/>
      <c r="I13" s="7"/>
      <c r="J13" s="5" t="s">
        <v>209</v>
      </c>
    </row>
    <row r="14" spans="1:10" ht="92" customHeight="1" x14ac:dyDescent="0.45">
      <c r="A14" s="7" t="s">
        <v>210</v>
      </c>
      <c r="B14" s="5" t="s">
        <v>211</v>
      </c>
      <c r="C14" s="7" t="s">
        <v>126</v>
      </c>
      <c r="D14" s="5" t="s">
        <v>212</v>
      </c>
      <c r="E14" s="5" t="s">
        <v>213</v>
      </c>
      <c r="F14" s="14" t="s">
        <v>53</v>
      </c>
      <c r="G14" s="7" t="s">
        <v>214</v>
      </c>
      <c r="H14" s="7"/>
      <c r="I14" s="7"/>
      <c r="J14" s="5" t="s">
        <v>215</v>
      </c>
    </row>
    <row r="16" spans="1:10" ht="15" x14ac:dyDescent="0.45">
      <c r="A16" s="22" t="s">
        <v>44</v>
      </c>
      <c r="B16" s="22" t="s">
        <v>216</v>
      </c>
    </row>
    <row r="17" spans="1:10" ht="14.5" x14ac:dyDescent="0.45">
      <c r="A17" s="8" t="s">
        <v>47</v>
      </c>
      <c r="B17" s="7">
        <f>COUNTIF(F5:F14,"完了")</f>
        <v>4</v>
      </c>
    </row>
    <row r="18" spans="1:10" ht="14.5" x14ac:dyDescent="0.45">
      <c r="A18" s="10" t="s">
        <v>49</v>
      </c>
      <c r="B18" s="7">
        <f>COUNTIF(F5:F14,"実施中")</f>
        <v>3</v>
      </c>
    </row>
    <row r="19" spans="1:10" ht="14.5" x14ac:dyDescent="0.45">
      <c r="A19" s="12" t="s">
        <v>51</v>
      </c>
      <c r="B19" s="7">
        <f>COUNTIF(F5:F14,"確認待ち")</f>
        <v>0</v>
      </c>
    </row>
    <row r="20" spans="1:10" ht="14.5" x14ac:dyDescent="0.45">
      <c r="A20" s="14" t="s">
        <v>53</v>
      </c>
      <c r="B20" s="7">
        <f>COUNTIF(F5:F14,"未着手")</f>
        <v>3</v>
      </c>
    </row>
    <row r="21" spans="1:10" ht="14.5" x14ac:dyDescent="0.45">
      <c r="A21" s="16" t="s">
        <v>55</v>
      </c>
      <c r="B21" s="7">
        <f>COUNTIF(F5:F14,"対象外")</f>
        <v>0</v>
      </c>
    </row>
    <row r="23" spans="1:10" ht="26" customHeight="1" x14ac:dyDescent="0.45">
      <c r="A23" s="47" t="s">
        <v>217</v>
      </c>
      <c r="B23" s="45"/>
      <c r="C23" s="45"/>
      <c r="D23" s="45"/>
      <c r="E23" s="45"/>
      <c r="F23" s="45"/>
      <c r="G23" s="45"/>
      <c r="H23" s="45"/>
      <c r="I23" s="45"/>
      <c r="J23" s="45"/>
    </row>
    <row r="24" spans="1:10" ht="26" customHeight="1" x14ac:dyDescent="0.45">
      <c r="A24" s="47" t="s">
        <v>218</v>
      </c>
      <c r="B24" s="45"/>
      <c r="C24" s="45"/>
      <c r="D24" s="45"/>
      <c r="E24" s="45"/>
      <c r="F24" s="45"/>
      <c r="G24" s="45"/>
      <c r="H24" s="45"/>
      <c r="I24" s="45"/>
      <c r="J24" s="45"/>
    </row>
  </sheetData>
  <mergeCells count="4">
    <mergeCell ref="A1:J1"/>
    <mergeCell ref="A23:J23"/>
    <mergeCell ref="A24:J24"/>
    <mergeCell ref="A2:J2"/>
  </mergeCells>
  <phoneticPr fontId="7"/>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K198"/>
  <sheetViews>
    <sheetView showGridLines="0" tabSelected="1" topLeftCell="C1" zoomScale="85" zoomScaleNormal="85" workbookViewId="0">
      <pane ySplit="4" topLeftCell="A157" activePane="bottomLeft" state="frozen"/>
      <selection pane="bottomLeft" activeCell="K158" sqref="K158"/>
    </sheetView>
  </sheetViews>
  <sheetFormatPr defaultRowHeight="13.25" x14ac:dyDescent="0.45"/>
  <cols>
    <col min="1" max="1" width="5" customWidth="1"/>
    <col min="2" max="3" width="10" customWidth="1"/>
    <col min="4" max="4" width="26" customWidth="1"/>
    <col min="5" max="5" width="46" customWidth="1"/>
    <col min="6" max="6" width="18.31640625" customWidth="1"/>
    <col min="7" max="7" width="12" customWidth="1"/>
    <col min="8" max="8" width="9" customWidth="1"/>
    <col min="9" max="9" width="10" customWidth="1"/>
    <col min="10" max="10" width="35.1328125" customWidth="1"/>
    <col min="11" max="11" width="22" customWidth="1"/>
  </cols>
  <sheetData>
    <row r="1" spans="1:11" ht="26" customHeight="1" x14ac:dyDescent="0.45">
      <c r="A1" s="46" t="s">
        <v>219</v>
      </c>
      <c r="B1" s="45"/>
      <c r="C1" s="45"/>
      <c r="D1" s="45"/>
      <c r="E1" s="45"/>
      <c r="F1" s="45"/>
      <c r="G1" s="45"/>
      <c r="H1" s="45"/>
      <c r="I1" s="45"/>
      <c r="J1" s="45"/>
    </row>
    <row r="2" spans="1:11" ht="52" customHeight="1" x14ac:dyDescent="0.45">
      <c r="A2" s="44" t="s">
        <v>220</v>
      </c>
      <c r="B2" s="45"/>
      <c r="C2" s="45"/>
      <c r="D2" s="45"/>
      <c r="E2" s="45"/>
      <c r="F2" s="45"/>
      <c r="G2" s="45"/>
      <c r="H2" s="45"/>
      <c r="I2" s="45"/>
      <c r="J2" s="45"/>
    </row>
    <row r="4" spans="1:11" ht="32" customHeight="1" x14ac:dyDescent="0.45">
      <c r="A4" s="6" t="s">
        <v>24</v>
      </c>
      <c r="B4" s="6" t="s">
        <v>141</v>
      </c>
      <c r="C4" s="6" t="s">
        <v>221</v>
      </c>
      <c r="D4" s="6" t="s">
        <v>222</v>
      </c>
      <c r="E4" s="6" t="s">
        <v>223</v>
      </c>
      <c r="F4" s="6" t="s">
        <v>224</v>
      </c>
      <c r="G4" s="6" t="s">
        <v>225</v>
      </c>
      <c r="H4" s="6" t="s">
        <v>68</v>
      </c>
      <c r="I4" s="6" t="s">
        <v>226</v>
      </c>
      <c r="J4" s="6" t="s">
        <v>227</v>
      </c>
      <c r="K4" s="53" t="s">
        <v>1745</v>
      </c>
    </row>
    <row r="5" spans="1:11" ht="80" hidden="1" customHeight="1" x14ac:dyDescent="0.45">
      <c r="A5" s="7">
        <v>1</v>
      </c>
      <c r="B5" s="7" t="s">
        <v>73</v>
      </c>
      <c r="C5" s="7" t="s">
        <v>86</v>
      </c>
      <c r="D5" s="5" t="s">
        <v>228</v>
      </c>
      <c r="E5" s="5" t="s">
        <v>229</v>
      </c>
      <c r="F5" s="5" t="s">
        <v>230</v>
      </c>
      <c r="G5" s="7" t="s">
        <v>8</v>
      </c>
      <c r="H5" s="12" t="s">
        <v>47</v>
      </c>
      <c r="I5" s="7" t="s">
        <v>86</v>
      </c>
      <c r="J5" s="5" t="s">
        <v>231</v>
      </c>
      <c r="K5" s="54"/>
    </row>
    <row r="6" spans="1:11" ht="80" customHeight="1" x14ac:dyDescent="0.45">
      <c r="A6" s="7">
        <v>2</v>
      </c>
      <c r="B6" s="7" t="s">
        <v>73</v>
      </c>
      <c r="C6" s="7" t="s">
        <v>86</v>
      </c>
      <c r="D6" s="5" t="s">
        <v>232</v>
      </c>
      <c r="E6" s="5" t="s">
        <v>233</v>
      </c>
      <c r="F6" s="5" t="s">
        <v>234</v>
      </c>
      <c r="G6" s="7" t="s">
        <v>8</v>
      </c>
      <c r="H6" s="12" t="s">
        <v>51</v>
      </c>
      <c r="I6" s="7" t="s">
        <v>168</v>
      </c>
      <c r="J6" s="5" t="s">
        <v>1743</v>
      </c>
      <c r="K6" s="5" t="s">
        <v>1744</v>
      </c>
    </row>
    <row r="7" spans="1:11" ht="80" hidden="1" customHeight="1" x14ac:dyDescent="0.45">
      <c r="A7" s="7">
        <v>3</v>
      </c>
      <c r="B7" s="7" t="s">
        <v>81</v>
      </c>
      <c r="C7" s="7" t="s">
        <v>86</v>
      </c>
      <c r="D7" s="5" t="s">
        <v>235</v>
      </c>
      <c r="E7" s="5" t="s">
        <v>236</v>
      </c>
      <c r="F7" s="5" t="s">
        <v>237</v>
      </c>
      <c r="G7" s="7" t="s">
        <v>8</v>
      </c>
      <c r="H7" s="8" t="s">
        <v>47</v>
      </c>
      <c r="I7" s="7" t="s">
        <v>86</v>
      </c>
      <c r="J7" s="5" t="s">
        <v>238</v>
      </c>
      <c r="K7" s="54"/>
    </row>
    <row r="8" spans="1:11" ht="80" customHeight="1" x14ac:dyDescent="0.45">
      <c r="A8" s="7">
        <v>4</v>
      </c>
      <c r="B8" s="7" t="s">
        <v>89</v>
      </c>
      <c r="C8" s="7" t="s">
        <v>86</v>
      </c>
      <c r="D8" s="5" t="s">
        <v>239</v>
      </c>
      <c r="E8" s="5" t="s">
        <v>240</v>
      </c>
      <c r="F8" s="5" t="s">
        <v>241</v>
      </c>
      <c r="G8" s="7" t="s">
        <v>8</v>
      </c>
      <c r="H8" s="12" t="s">
        <v>51</v>
      </c>
      <c r="I8" s="7" t="s">
        <v>78</v>
      </c>
      <c r="J8" s="5" t="s">
        <v>242</v>
      </c>
      <c r="K8" s="5" t="s">
        <v>1746</v>
      </c>
    </row>
    <row r="9" spans="1:11" ht="80" customHeight="1" x14ac:dyDescent="0.45">
      <c r="A9" s="7">
        <v>5</v>
      </c>
      <c r="B9" s="7" t="s">
        <v>89</v>
      </c>
      <c r="C9" s="7" t="s">
        <v>86</v>
      </c>
      <c r="D9" s="5" t="s">
        <v>243</v>
      </c>
      <c r="E9" s="5" t="s">
        <v>244</v>
      </c>
      <c r="F9" s="5" t="s">
        <v>245</v>
      </c>
      <c r="G9" s="7" t="s">
        <v>8</v>
      </c>
      <c r="H9" s="12" t="s">
        <v>51</v>
      </c>
      <c r="I9" s="7" t="s">
        <v>246</v>
      </c>
      <c r="J9" s="5"/>
      <c r="K9" s="5"/>
    </row>
    <row r="10" spans="1:11" ht="80" hidden="1" customHeight="1" x14ac:dyDescent="0.45">
      <c r="A10" s="7">
        <v>6</v>
      </c>
      <c r="B10" s="7" t="s">
        <v>89</v>
      </c>
      <c r="C10" s="7" t="s">
        <v>86</v>
      </c>
      <c r="D10" s="5" t="s">
        <v>247</v>
      </c>
      <c r="E10" s="5" t="s">
        <v>248</v>
      </c>
      <c r="F10" s="5" t="s">
        <v>249</v>
      </c>
      <c r="G10" s="7" t="s">
        <v>8</v>
      </c>
      <c r="H10" s="8" t="s">
        <v>47</v>
      </c>
      <c r="I10" s="7" t="s">
        <v>86</v>
      </c>
      <c r="J10" s="5" t="s">
        <v>250</v>
      </c>
      <c r="K10" s="54"/>
    </row>
    <row r="11" spans="1:11" ht="80" customHeight="1" x14ac:dyDescent="0.45">
      <c r="A11" s="7">
        <v>7</v>
      </c>
      <c r="B11" s="7" t="s">
        <v>97</v>
      </c>
      <c r="C11" s="7" t="s">
        <v>246</v>
      </c>
      <c r="D11" s="5" t="s">
        <v>251</v>
      </c>
      <c r="E11" s="5" t="s">
        <v>252</v>
      </c>
      <c r="F11" s="5" t="s">
        <v>253</v>
      </c>
      <c r="G11" s="7" t="s">
        <v>8</v>
      </c>
      <c r="H11" s="12" t="s">
        <v>51</v>
      </c>
      <c r="I11" s="7" t="s">
        <v>246</v>
      </c>
      <c r="J11" s="5" t="s">
        <v>254</v>
      </c>
      <c r="K11" s="54"/>
    </row>
    <row r="12" spans="1:11" ht="80" customHeight="1" x14ac:dyDescent="0.45">
      <c r="A12" s="7">
        <v>8</v>
      </c>
      <c r="B12" s="7" t="s">
        <v>255</v>
      </c>
      <c r="C12" s="7" t="s">
        <v>86</v>
      </c>
      <c r="D12" s="5" t="s">
        <v>256</v>
      </c>
      <c r="E12" s="5" t="s">
        <v>257</v>
      </c>
      <c r="F12" s="5" t="s">
        <v>258</v>
      </c>
      <c r="G12" s="7" t="s">
        <v>8</v>
      </c>
      <c r="H12" s="12" t="s">
        <v>51</v>
      </c>
      <c r="I12" s="7" t="s">
        <v>246</v>
      </c>
      <c r="J12" s="5"/>
      <c r="K12" s="54"/>
    </row>
    <row r="13" spans="1:11" ht="80" hidden="1" customHeight="1" x14ac:dyDescent="0.45">
      <c r="A13" s="7">
        <v>9</v>
      </c>
      <c r="B13" s="7" t="s">
        <v>104</v>
      </c>
      <c r="C13" s="7" t="s">
        <v>86</v>
      </c>
      <c r="D13" s="5" t="s">
        <v>259</v>
      </c>
      <c r="E13" s="5" t="s">
        <v>260</v>
      </c>
      <c r="F13" s="5" t="s">
        <v>261</v>
      </c>
      <c r="G13" s="7" t="s">
        <v>8</v>
      </c>
      <c r="H13" s="12" t="s">
        <v>47</v>
      </c>
      <c r="I13" s="7" t="s">
        <v>86</v>
      </c>
      <c r="J13" s="5" t="s">
        <v>262</v>
      </c>
      <c r="K13" s="54"/>
    </row>
    <row r="14" spans="1:11" ht="80" hidden="1" customHeight="1" x14ac:dyDescent="0.45">
      <c r="A14" s="7">
        <v>10</v>
      </c>
      <c r="B14" s="7" t="s">
        <v>104</v>
      </c>
      <c r="C14" s="7" t="s">
        <v>246</v>
      </c>
      <c r="D14" s="5" t="s">
        <v>263</v>
      </c>
      <c r="E14" s="5" t="s">
        <v>264</v>
      </c>
      <c r="F14" s="5" t="s">
        <v>265</v>
      </c>
      <c r="G14" s="7" t="s">
        <v>8</v>
      </c>
      <c r="H14" s="12" t="s">
        <v>47</v>
      </c>
      <c r="I14" s="7" t="s">
        <v>246</v>
      </c>
      <c r="J14" s="5" t="s">
        <v>266</v>
      </c>
      <c r="K14" s="54"/>
    </row>
    <row r="15" spans="1:11" ht="80" customHeight="1" x14ac:dyDescent="0.45">
      <c r="A15" s="7">
        <v>11</v>
      </c>
      <c r="B15" s="7" t="s">
        <v>104</v>
      </c>
      <c r="C15" s="7" t="s">
        <v>246</v>
      </c>
      <c r="D15" s="5" t="s">
        <v>267</v>
      </c>
      <c r="E15" s="5" t="s">
        <v>268</v>
      </c>
      <c r="F15" s="5" t="s">
        <v>269</v>
      </c>
      <c r="G15" s="7" t="s">
        <v>8</v>
      </c>
      <c r="H15" s="12" t="s">
        <v>51</v>
      </c>
      <c r="I15" s="7" t="s">
        <v>168</v>
      </c>
      <c r="J15" s="5" t="s">
        <v>270</v>
      </c>
      <c r="K15" s="54"/>
    </row>
    <row r="16" spans="1:11" ht="80" customHeight="1" x14ac:dyDescent="0.45">
      <c r="A16" s="7">
        <v>12</v>
      </c>
      <c r="B16" s="7" t="s">
        <v>271</v>
      </c>
      <c r="C16" s="7" t="s">
        <v>272</v>
      </c>
      <c r="D16" s="5" t="s">
        <v>273</v>
      </c>
      <c r="E16" s="5" t="s">
        <v>274</v>
      </c>
      <c r="F16" s="5" t="s">
        <v>275</v>
      </c>
      <c r="G16" s="7" t="s">
        <v>276</v>
      </c>
      <c r="H16" s="12" t="s">
        <v>51</v>
      </c>
      <c r="I16" s="7" t="s">
        <v>272</v>
      </c>
      <c r="J16" s="5" t="s">
        <v>277</v>
      </c>
      <c r="K16" s="54"/>
    </row>
    <row r="17" spans="1:11" ht="80" customHeight="1" x14ac:dyDescent="0.45">
      <c r="A17" s="7">
        <v>13</v>
      </c>
      <c r="B17" s="7" t="s">
        <v>104</v>
      </c>
      <c r="C17" s="7" t="s">
        <v>272</v>
      </c>
      <c r="D17" s="5" t="s">
        <v>278</v>
      </c>
      <c r="E17" s="5" t="s">
        <v>279</v>
      </c>
      <c r="F17" s="5" t="s">
        <v>280</v>
      </c>
      <c r="G17" s="7" t="s">
        <v>8</v>
      </c>
      <c r="H17" s="12" t="s">
        <v>51</v>
      </c>
      <c r="I17" s="7" t="s">
        <v>272</v>
      </c>
      <c r="J17" s="5" t="s">
        <v>281</v>
      </c>
      <c r="K17" s="54"/>
    </row>
    <row r="18" spans="1:11" ht="80" hidden="1" customHeight="1" x14ac:dyDescent="0.45">
      <c r="A18" s="7">
        <v>14</v>
      </c>
      <c r="B18" s="7" t="s">
        <v>104</v>
      </c>
      <c r="C18" s="7" t="s">
        <v>246</v>
      </c>
      <c r="D18" s="5" t="s">
        <v>282</v>
      </c>
      <c r="E18" s="5" t="s">
        <v>283</v>
      </c>
      <c r="F18" s="5" t="s">
        <v>284</v>
      </c>
      <c r="G18" s="7" t="s">
        <v>8</v>
      </c>
      <c r="H18" s="12" t="s">
        <v>47</v>
      </c>
      <c r="I18" s="7" t="s">
        <v>272</v>
      </c>
      <c r="J18" s="5" t="s">
        <v>285</v>
      </c>
      <c r="K18" s="54"/>
    </row>
    <row r="19" spans="1:11" ht="80" customHeight="1" x14ac:dyDescent="0.45">
      <c r="A19" s="7">
        <v>15</v>
      </c>
      <c r="B19" s="7" t="s">
        <v>119</v>
      </c>
      <c r="C19" s="7" t="s">
        <v>246</v>
      </c>
      <c r="D19" s="5" t="s">
        <v>286</v>
      </c>
      <c r="E19" s="5" t="s">
        <v>287</v>
      </c>
      <c r="F19" s="5" t="s">
        <v>288</v>
      </c>
      <c r="G19" s="7" t="s">
        <v>8</v>
      </c>
      <c r="H19" s="12" t="s">
        <v>51</v>
      </c>
      <c r="I19" s="7" t="s">
        <v>246</v>
      </c>
      <c r="J19" s="5"/>
      <c r="K19" s="54"/>
    </row>
    <row r="20" spans="1:11" ht="80" customHeight="1" x14ac:dyDescent="0.45">
      <c r="A20" s="7">
        <v>16</v>
      </c>
      <c r="B20" s="7" t="s">
        <v>119</v>
      </c>
      <c r="C20" s="7" t="s">
        <v>246</v>
      </c>
      <c r="D20" s="5" t="s">
        <v>289</v>
      </c>
      <c r="E20" s="5" t="s">
        <v>290</v>
      </c>
      <c r="F20" s="5" t="s">
        <v>291</v>
      </c>
      <c r="G20" s="7" t="s">
        <v>8</v>
      </c>
      <c r="H20" s="12" t="s">
        <v>51</v>
      </c>
      <c r="I20" s="7" t="s">
        <v>272</v>
      </c>
      <c r="J20" s="5"/>
      <c r="K20" s="54"/>
    </row>
    <row r="21" spans="1:11" ht="80" customHeight="1" x14ac:dyDescent="0.45">
      <c r="A21" s="7">
        <v>17</v>
      </c>
      <c r="B21" s="7" t="s">
        <v>126</v>
      </c>
      <c r="C21" s="7" t="s">
        <v>86</v>
      </c>
      <c r="D21" s="5" t="s">
        <v>292</v>
      </c>
      <c r="E21" s="5" t="s">
        <v>293</v>
      </c>
      <c r="F21" s="5" t="s">
        <v>294</v>
      </c>
      <c r="G21" s="7" t="s">
        <v>8</v>
      </c>
      <c r="H21" s="12" t="s">
        <v>51</v>
      </c>
      <c r="I21" s="7" t="s">
        <v>86</v>
      </c>
      <c r="J21" s="5"/>
      <c r="K21" s="54"/>
    </row>
    <row r="22" spans="1:11" ht="80" customHeight="1" x14ac:dyDescent="0.45">
      <c r="A22" s="7">
        <v>18</v>
      </c>
      <c r="B22" s="7" t="s">
        <v>126</v>
      </c>
      <c r="C22" s="7" t="s">
        <v>78</v>
      </c>
      <c r="D22" s="5" t="s">
        <v>295</v>
      </c>
      <c r="E22" s="5" t="s">
        <v>296</v>
      </c>
      <c r="F22" s="5" t="s">
        <v>297</v>
      </c>
      <c r="G22" s="7" t="s">
        <v>8</v>
      </c>
      <c r="H22" s="12" t="s">
        <v>51</v>
      </c>
      <c r="I22" s="7" t="s">
        <v>298</v>
      </c>
      <c r="J22" s="5"/>
      <c r="K22" s="54"/>
    </row>
    <row r="23" spans="1:11" ht="80" customHeight="1" x14ac:dyDescent="0.45">
      <c r="A23" s="7">
        <v>19</v>
      </c>
      <c r="B23" s="7" t="s">
        <v>126</v>
      </c>
      <c r="C23" s="7" t="s">
        <v>246</v>
      </c>
      <c r="D23" s="5" t="s">
        <v>299</v>
      </c>
      <c r="E23" s="5" t="s">
        <v>300</v>
      </c>
      <c r="F23" s="5" t="s">
        <v>301</v>
      </c>
      <c r="G23" s="7" t="s">
        <v>8</v>
      </c>
      <c r="H23" s="12" t="s">
        <v>51</v>
      </c>
      <c r="I23" s="7" t="s">
        <v>272</v>
      </c>
      <c r="J23" s="5" t="s">
        <v>302</v>
      </c>
      <c r="K23" s="54"/>
    </row>
    <row r="24" spans="1:11" ht="80" customHeight="1" x14ac:dyDescent="0.45">
      <c r="A24" s="7">
        <v>20</v>
      </c>
      <c r="B24" s="7" t="s">
        <v>97</v>
      </c>
      <c r="C24" s="7" t="s">
        <v>272</v>
      </c>
      <c r="D24" s="5" t="s">
        <v>303</v>
      </c>
      <c r="E24" s="5" t="s">
        <v>304</v>
      </c>
      <c r="F24" s="5" t="s">
        <v>305</v>
      </c>
      <c r="G24" s="7" t="s">
        <v>8</v>
      </c>
      <c r="H24" s="12" t="s">
        <v>51</v>
      </c>
      <c r="I24" s="7" t="s">
        <v>272</v>
      </c>
      <c r="J24" s="5"/>
      <c r="K24" s="54"/>
    </row>
    <row r="25" spans="1:11" ht="80" hidden="1" customHeight="1" x14ac:dyDescent="0.45">
      <c r="A25" s="7">
        <v>21</v>
      </c>
      <c r="B25" s="7" t="s">
        <v>73</v>
      </c>
      <c r="C25" s="7" t="s">
        <v>272</v>
      </c>
      <c r="D25" s="5" t="s">
        <v>306</v>
      </c>
      <c r="E25" s="5" t="s">
        <v>307</v>
      </c>
      <c r="F25" s="5" t="s">
        <v>308</v>
      </c>
      <c r="G25" s="7" t="s">
        <v>8</v>
      </c>
      <c r="H25" s="12" t="s">
        <v>47</v>
      </c>
      <c r="I25" s="7" t="s">
        <v>272</v>
      </c>
      <c r="J25" s="5" t="s">
        <v>309</v>
      </c>
      <c r="K25" s="54"/>
    </row>
    <row r="26" spans="1:11" ht="80" hidden="1" customHeight="1" x14ac:dyDescent="0.45">
      <c r="A26" s="7">
        <v>22</v>
      </c>
      <c r="B26" s="7" t="s">
        <v>119</v>
      </c>
      <c r="C26" s="7" t="s">
        <v>272</v>
      </c>
      <c r="D26" s="5" t="s">
        <v>310</v>
      </c>
      <c r="E26" s="5" t="s">
        <v>311</v>
      </c>
      <c r="F26" s="5" t="s">
        <v>312</v>
      </c>
      <c r="G26" s="7" t="s">
        <v>8</v>
      </c>
      <c r="H26" s="12" t="s">
        <v>47</v>
      </c>
      <c r="I26" s="7" t="s">
        <v>272</v>
      </c>
      <c r="J26" s="5" t="s">
        <v>313</v>
      </c>
      <c r="K26" s="54"/>
    </row>
    <row r="27" spans="1:11" ht="80" hidden="1" customHeight="1" x14ac:dyDescent="0.45">
      <c r="A27" s="7">
        <v>23</v>
      </c>
      <c r="B27" s="7" t="s">
        <v>97</v>
      </c>
      <c r="C27" s="7" t="s">
        <v>272</v>
      </c>
      <c r="D27" s="5" t="s">
        <v>314</v>
      </c>
      <c r="E27" s="5" t="s">
        <v>315</v>
      </c>
      <c r="F27" s="5" t="s">
        <v>316</v>
      </c>
      <c r="G27" s="7" t="s">
        <v>8</v>
      </c>
      <c r="H27" s="12" t="s">
        <v>47</v>
      </c>
      <c r="I27" s="7" t="s">
        <v>272</v>
      </c>
      <c r="J27" s="5" t="s">
        <v>317</v>
      </c>
      <c r="K27" s="54"/>
    </row>
    <row r="28" spans="1:11" ht="80" hidden="1" customHeight="1" x14ac:dyDescent="0.45">
      <c r="A28" s="7">
        <v>24</v>
      </c>
      <c r="B28" s="7" t="s">
        <v>104</v>
      </c>
      <c r="C28" s="7" t="s">
        <v>272</v>
      </c>
      <c r="D28" s="5" t="s">
        <v>318</v>
      </c>
      <c r="E28" s="5" t="s">
        <v>319</v>
      </c>
      <c r="F28" s="5" t="s">
        <v>320</v>
      </c>
      <c r="G28" s="7" t="s">
        <v>8</v>
      </c>
      <c r="H28" s="12" t="s">
        <v>47</v>
      </c>
      <c r="I28" s="7" t="s">
        <v>272</v>
      </c>
      <c r="J28" s="5" t="s">
        <v>321</v>
      </c>
      <c r="K28" s="54"/>
    </row>
    <row r="29" spans="1:11" ht="80" hidden="1" customHeight="1" x14ac:dyDescent="0.45">
      <c r="A29" s="7">
        <v>25</v>
      </c>
      <c r="B29" s="7" t="s">
        <v>73</v>
      </c>
      <c r="C29" s="7" t="s">
        <v>272</v>
      </c>
      <c r="D29" s="5" t="s">
        <v>322</v>
      </c>
      <c r="E29" s="5" t="s">
        <v>323</v>
      </c>
      <c r="F29" s="5" t="s">
        <v>324</v>
      </c>
      <c r="G29" s="7" t="s">
        <v>8</v>
      </c>
      <c r="H29" s="12" t="s">
        <v>47</v>
      </c>
      <c r="I29" s="7" t="s">
        <v>168</v>
      </c>
      <c r="J29" s="5" t="s">
        <v>325</v>
      </c>
      <c r="K29" s="54"/>
    </row>
    <row r="30" spans="1:11" ht="80" customHeight="1" x14ac:dyDescent="0.45">
      <c r="A30" s="7">
        <v>26</v>
      </c>
      <c r="B30" s="7" t="s">
        <v>73</v>
      </c>
      <c r="C30" s="7" t="s">
        <v>272</v>
      </c>
      <c r="D30" s="5" t="s">
        <v>326</v>
      </c>
      <c r="E30" s="5" t="s">
        <v>327</v>
      </c>
      <c r="F30" s="5" t="s">
        <v>328</v>
      </c>
      <c r="G30" s="7" t="s">
        <v>8</v>
      </c>
      <c r="H30" s="12" t="s">
        <v>51</v>
      </c>
      <c r="I30" s="7" t="s">
        <v>272</v>
      </c>
      <c r="J30" s="5"/>
      <c r="K30" s="54"/>
    </row>
    <row r="31" spans="1:11" ht="80" customHeight="1" x14ac:dyDescent="0.45">
      <c r="A31" s="7">
        <v>27</v>
      </c>
      <c r="B31" s="7" t="s">
        <v>73</v>
      </c>
      <c r="C31" s="7" t="s">
        <v>272</v>
      </c>
      <c r="D31" s="5" t="s">
        <v>329</v>
      </c>
      <c r="E31" s="5" t="s">
        <v>330</v>
      </c>
      <c r="F31" s="5" t="s">
        <v>331</v>
      </c>
      <c r="G31" s="7" t="s">
        <v>8</v>
      </c>
      <c r="H31" s="12" t="s">
        <v>51</v>
      </c>
      <c r="I31" s="7" t="s">
        <v>272</v>
      </c>
      <c r="J31" s="5" t="s">
        <v>332</v>
      </c>
      <c r="K31" s="54"/>
    </row>
    <row r="32" spans="1:11" ht="80" hidden="1" customHeight="1" x14ac:dyDescent="0.45">
      <c r="A32" s="7">
        <v>28</v>
      </c>
      <c r="B32" s="7" t="s">
        <v>73</v>
      </c>
      <c r="C32" s="7" t="s">
        <v>272</v>
      </c>
      <c r="D32" s="5" t="s">
        <v>333</v>
      </c>
      <c r="E32" s="5" t="s">
        <v>334</v>
      </c>
      <c r="F32" s="5" t="s">
        <v>335</v>
      </c>
      <c r="G32" s="7" t="s">
        <v>10</v>
      </c>
      <c r="H32" s="10" t="s">
        <v>47</v>
      </c>
      <c r="I32" s="7" t="s">
        <v>272</v>
      </c>
      <c r="J32" s="5" t="s">
        <v>336</v>
      </c>
      <c r="K32" s="54"/>
    </row>
    <row r="33" spans="1:11" ht="80" customHeight="1" x14ac:dyDescent="0.45">
      <c r="A33" s="7">
        <v>29</v>
      </c>
      <c r="B33" s="7" t="s">
        <v>271</v>
      </c>
      <c r="C33" s="7" t="s">
        <v>272</v>
      </c>
      <c r="D33" s="5" t="s">
        <v>337</v>
      </c>
      <c r="E33" s="5" t="s">
        <v>338</v>
      </c>
      <c r="F33" s="5" t="s">
        <v>339</v>
      </c>
      <c r="G33" s="7" t="s">
        <v>8</v>
      </c>
      <c r="H33" s="10" t="s">
        <v>51</v>
      </c>
      <c r="I33" s="7" t="s">
        <v>272</v>
      </c>
      <c r="J33" s="5"/>
      <c r="K33" s="54"/>
    </row>
    <row r="34" spans="1:11" ht="80" customHeight="1" x14ac:dyDescent="0.45">
      <c r="A34" s="7">
        <v>30</v>
      </c>
      <c r="B34" s="7" t="s">
        <v>89</v>
      </c>
      <c r="C34" s="7" t="s">
        <v>272</v>
      </c>
      <c r="D34" s="5" t="s">
        <v>340</v>
      </c>
      <c r="E34" s="5" t="s">
        <v>341</v>
      </c>
      <c r="F34" s="5" t="s">
        <v>342</v>
      </c>
      <c r="G34" s="7" t="s">
        <v>8</v>
      </c>
      <c r="H34" s="10" t="s">
        <v>51</v>
      </c>
      <c r="I34" s="7" t="s">
        <v>272</v>
      </c>
      <c r="J34" s="5"/>
      <c r="K34" s="54"/>
    </row>
    <row r="35" spans="1:11" ht="80" customHeight="1" x14ac:dyDescent="0.45">
      <c r="A35" s="7">
        <v>31</v>
      </c>
      <c r="B35" s="7" t="s">
        <v>73</v>
      </c>
      <c r="C35" s="7" t="s">
        <v>272</v>
      </c>
      <c r="D35" s="5" t="s">
        <v>343</v>
      </c>
      <c r="E35" s="5" t="s">
        <v>344</v>
      </c>
      <c r="F35" s="5" t="s">
        <v>345</v>
      </c>
      <c r="G35" s="7" t="s">
        <v>8</v>
      </c>
      <c r="H35" s="10" t="s">
        <v>51</v>
      </c>
      <c r="I35" s="7" t="s">
        <v>272</v>
      </c>
      <c r="J35" s="5"/>
      <c r="K35" s="54"/>
    </row>
    <row r="36" spans="1:11" ht="80" customHeight="1" x14ac:dyDescent="0.45">
      <c r="A36" s="7">
        <v>32</v>
      </c>
      <c r="B36" s="7" t="s">
        <v>346</v>
      </c>
      <c r="C36" s="7" t="s">
        <v>272</v>
      </c>
      <c r="D36" s="5" t="s">
        <v>347</v>
      </c>
      <c r="E36" s="5" t="s">
        <v>348</v>
      </c>
      <c r="F36" s="5" t="s">
        <v>349</v>
      </c>
      <c r="G36" s="7" t="s">
        <v>8</v>
      </c>
      <c r="H36" s="10" t="s">
        <v>51</v>
      </c>
      <c r="I36" s="7" t="s">
        <v>272</v>
      </c>
      <c r="J36" s="5"/>
      <c r="K36" s="54"/>
    </row>
    <row r="37" spans="1:11" ht="80" customHeight="1" x14ac:dyDescent="0.45">
      <c r="A37" s="7">
        <v>33</v>
      </c>
      <c r="B37" s="7" t="s">
        <v>104</v>
      </c>
      <c r="C37" s="7" t="s">
        <v>272</v>
      </c>
      <c r="D37" s="5" t="s">
        <v>350</v>
      </c>
      <c r="E37" s="5" t="s">
        <v>351</v>
      </c>
      <c r="F37" s="5" t="s">
        <v>352</v>
      </c>
      <c r="G37" s="7" t="s">
        <v>8</v>
      </c>
      <c r="H37" s="10" t="s">
        <v>51</v>
      </c>
      <c r="I37" s="7" t="s">
        <v>272</v>
      </c>
      <c r="J37" s="5"/>
      <c r="K37" s="54"/>
    </row>
    <row r="38" spans="1:11" ht="80" customHeight="1" x14ac:dyDescent="0.45">
      <c r="A38" s="7">
        <v>34</v>
      </c>
      <c r="B38" s="7" t="s">
        <v>97</v>
      </c>
      <c r="C38" s="7" t="s">
        <v>272</v>
      </c>
      <c r="D38" s="5" t="s">
        <v>353</v>
      </c>
      <c r="E38" s="5" t="s">
        <v>354</v>
      </c>
      <c r="F38" s="5" t="s">
        <v>355</v>
      </c>
      <c r="G38" s="7" t="s">
        <v>8</v>
      </c>
      <c r="H38" s="10" t="s">
        <v>51</v>
      </c>
      <c r="I38" s="7" t="s">
        <v>272</v>
      </c>
      <c r="J38" s="5"/>
      <c r="K38" s="54"/>
    </row>
    <row r="39" spans="1:11" ht="80" customHeight="1" x14ac:dyDescent="0.45">
      <c r="A39" s="7">
        <v>35</v>
      </c>
      <c r="B39" s="7" t="s">
        <v>356</v>
      </c>
      <c r="C39" s="7" t="s">
        <v>272</v>
      </c>
      <c r="D39" s="5" t="s">
        <v>357</v>
      </c>
      <c r="E39" s="5" t="s">
        <v>358</v>
      </c>
      <c r="F39" s="5" t="s">
        <v>359</v>
      </c>
      <c r="G39" s="7" t="s">
        <v>8</v>
      </c>
      <c r="H39" s="10" t="s">
        <v>51</v>
      </c>
      <c r="I39" s="7" t="s">
        <v>78</v>
      </c>
      <c r="J39" s="5"/>
      <c r="K39" s="54"/>
    </row>
    <row r="40" spans="1:11" ht="80" customHeight="1" x14ac:dyDescent="0.45">
      <c r="A40" s="7">
        <v>36</v>
      </c>
      <c r="B40" s="7" t="s">
        <v>360</v>
      </c>
      <c r="C40" s="7" t="s">
        <v>272</v>
      </c>
      <c r="D40" s="5" t="s">
        <v>361</v>
      </c>
      <c r="E40" s="5" t="s">
        <v>362</v>
      </c>
      <c r="F40" s="5" t="s">
        <v>363</v>
      </c>
      <c r="G40" s="7" t="s">
        <v>8</v>
      </c>
      <c r="H40" s="10" t="s">
        <v>51</v>
      </c>
      <c r="I40" s="7" t="s">
        <v>272</v>
      </c>
      <c r="J40" s="5"/>
      <c r="K40" s="54"/>
    </row>
    <row r="41" spans="1:11" ht="80" customHeight="1" x14ac:dyDescent="0.45">
      <c r="A41" s="7">
        <v>37</v>
      </c>
      <c r="B41" s="7" t="s">
        <v>73</v>
      </c>
      <c r="C41" s="7" t="s">
        <v>272</v>
      </c>
      <c r="D41" s="5" t="s">
        <v>364</v>
      </c>
      <c r="E41" s="5" t="s">
        <v>365</v>
      </c>
      <c r="F41" s="5" t="s">
        <v>366</v>
      </c>
      <c r="G41" s="7" t="s">
        <v>8</v>
      </c>
      <c r="H41" s="10" t="s">
        <v>51</v>
      </c>
      <c r="I41" s="7" t="s">
        <v>272</v>
      </c>
      <c r="J41" s="5"/>
      <c r="K41" s="54"/>
    </row>
    <row r="42" spans="1:11" ht="80" customHeight="1" x14ac:dyDescent="0.45">
      <c r="A42" s="7">
        <v>38</v>
      </c>
      <c r="B42" s="7" t="s">
        <v>112</v>
      </c>
      <c r="C42" s="7" t="s">
        <v>272</v>
      </c>
      <c r="D42" s="5" t="s">
        <v>367</v>
      </c>
      <c r="E42" s="5" t="s">
        <v>368</v>
      </c>
      <c r="F42" s="5" t="s">
        <v>369</v>
      </c>
      <c r="G42" s="7" t="s">
        <v>8</v>
      </c>
      <c r="H42" s="10" t="s">
        <v>51</v>
      </c>
      <c r="I42" s="7" t="s">
        <v>272</v>
      </c>
      <c r="J42" s="5"/>
      <c r="K42" s="54"/>
    </row>
    <row r="43" spans="1:11" ht="80" customHeight="1" x14ac:dyDescent="0.45">
      <c r="A43" s="7">
        <v>39</v>
      </c>
      <c r="B43" s="7" t="s">
        <v>356</v>
      </c>
      <c r="C43" s="7" t="s">
        <v>272</v>
      </c>
      <c r="D43" s="5" t="s">
        <v>370</v>
      </c>
      <c r="E43" s="5" t="s">
        <v>371</v>
      </c>
      <c r="F43" s="5" t="s">
        <v>372</v>
      </c>
      <c r="G43" s="7" t="s">
        <v>8</v>
      </c>
      <c r="H43" s="10" t="s">
        <v>51</v>
      </c>
      <c r="I43" s="7" t="s">
        <v>272</v>
      </c>
      <c r="J43" s="5"/>
      <c r="K43" s="54"/>
    </row>
    <row r="44" spans="1:11" ht="80" customHeight="1" x14ac:dyDescent="0.45">
      <c r="A44" s="7" t="s">
        <v>373</v>
      </c>
      <c r="B44" s="7" t="s">
        <v>271</v>
      </c>
      <c r="C44" s="7" t="s">
        <v>272</v>
      </c>
      <c r="D44" s="5" t="s">
        <v>374</v>
      </c>
      <c r="E44" s="5" t="s">
        <v>375</v>
      </c>
      <c r="F44" s="5" t="s">
        <v>376</v>
      </c>
      <c r="G44" s="7" t="s">
        <v>8</v>
      </c>
      <c r="H44" s="10" t="s">
        <v>51</v>
      </c>
      <c r="I44" s="7" t="s">
        <v>272</v>
      </c>
      <c r="J44" s="5" t="s">
        <v>377</v>
      </c>
      <c r="K44" s="54"/>
    </row>
    <row r="45" spans="1:11" ht="80" customHeight="1" x14ac:dyDescent="0.45">
      <c r="A45" s="7" t="s">
        <v>378</v>
      </c>
      <c r="B45" s="7" t="s">
        <v>271</v>
      </c>
      <c r="C45" s="7" t="s">
        <v>272</v>
      </c>
      <c r="D45" s="5" t="s">
        <v>379</v>
      </c>
      <c r="E45" s="5" t="s">
        <v>380</v>
      </c>
      <c r="F45" s="5" t="s">
        <v>381</v>
      </c>
      <c r="G45" s="7" t="s">
        <v>8</v>
      </c>
      <c r="H45" s="10" t="s">
        <v>51</v>
      </c>
      <c r="I45" s="7" t="s">
        <v>272</v>
      </c>
      <c r="J45" s="5" t="s">
        <v>382</v>
      </c>
      <c r="K45" s="54"/>
    </row>
    <row r="46" spans="1:11" ht="80" customHeight="1" x14ac:dyDescent="0.45">
      <c r="A46" s="7" t="s">
        <v>383</v>
      </c>
      <c r="B46" s="7" t="s">
        <v>255</v>
      </c>
      <c r="C46" s="7" t="s">
        <v>272</v>
      </c>
      <c r="D46" s="5" t="s">
        <v>384</v>
      </c>
      <c r="E46" s="5" t="s">
        <v>385</v>
      </c>
      <c r="F46" s="5" t="s">
        <v>386</v>
      </c>
      <c r="G46" s="7" t="s">
        <v>8</v>
      </c>
      <c r="H46" s="10" t="s">
        <v>51</v>
      </c>
      <c r="I46" s="7" t="s">
        <v>272</v>
      </c>
      <c r="J46" s="5" t="s">
        <v>387</v>
      </c>
      <c r="K46" s="54"/>
    </row>
    <row r="47" spans="1:11" ht="80" customHeight="1" x14ac:dyDescent="0.45">
      <c r="A47" s="7" t="s">
        <v>388</v>
      </c>
      <c r="B47" s="7" t="s">
        <v>356</v>
      </c>
      <c r="C47" s="7" t="s">
        <v>272</v>
      </c>
      <c r="D47" s="5" t="s">
        <v>389</v>
      </c>
      <c r="E47" s="5" t="s">
        <v>390</v>
      </c>
      <c r="F47" s="5" t="s">
        <v>391</v>
      </c>
      <c r="G47" s="7" t="s">
        <v>8</v>
      </c>
      <c r="H47" s="10" t="s">
        <v>51</v>
      </c>
      <c r="I47" s="7" t="s">
        <v>272</v>
      </c>
      <c r="J47" s="5" t="s">
        <v>392</v>
      </c>
      <c r="K47" s="54"/>
    </row>
    <row r="48" spans="1:11" ht="80" customHeight="1" x14ac:dyDescent="0.45">
      <c r="A48" s="7" t="s">
        <v>393</v>
      </c>
      <c r="B48" s="7" t="s">
        <v>104</v>
      </c>
      <c r="C48" s="7" t="s">
        <v>272</v>
      </c>
      <c r="D48" s="5" t="s">
        <v>394</v>
      </c>
      <c r="E48" s="5" t="s">
        <v>395</v>
      </c>
      <c r="F48" s="5" t="s">
        <v>396</v>
      </c>
      <c r="G48" s="7" t="s">
        <v>8</v>
      </c>
      <c r="H48" s="10" t="s">
        <v>51</v>
      </c>
      <c r="I48" s="7" t="s">
        <v>272</v>
      </c>
      <c r="J48" s="5" t="s">
        <v>397</v>
      </c>
      <c r="K48" s="54"/>
    </row>
    <row r="49" spans="1:11" ht="80" customHeight="1" x14ac:dyDescent="0.45">
      <c r="A49" s="7" t="s">
        <v>398</v>
      </c>
      <c r="B49" s="7" t="s">
        <v>360</v>
      </c>
      <c r="C49" s="7" t="s">
        <v>272</v>
      </c>
      <c r="D49" s="5" t="s">
        <v>399</v>
      </c>
      <c r="E49" s="5" t="s">
        <v>400</v>
      </c>
      <c r="F49" s="5" t="s">
        <v>401</v>
      </c>
      <c r="G49" s="7" t="s">
        <v>8</v>
      </c>
      <c r="H49" s="10" t="s">
        <v>51</v>
      </c>
      <c r="I49" s="7" t="s">
        <v>272</v>
      </c>
      <c r="J49" s="5" t="s">
        <v>402</v>
      </c>
      <c r="K49" s="54"/>
    </row>
    <row r="50" spans="1:11" ht="80" customHeight="1" x14ac:dyDescent="0.45">
      <c r="A50" s="7" t="s">
        <v>403</v>
      </c>
      <c r="B50" s="7" t="s">
        <v>360</v>
      </c>
      <c r="C50" s="7" t="s">
        <v>272</v>
      </c>
      <c r="D50" s="5" t="s">
        <v>404</v>
      </c>
      <c r="E50" s="5" t="s">
        <v>405</v>
      </c>
      <c r="F50" s="5" t="s">
        <v>406</v>
      </c>
      <c r="G50" s="7" t="s">
        <v>8</v>
      </c>
      <c r="H50" s="10" t="s">
        <v>51</v>
      </c>
      <c r="I50" s="7" t="s">
        <v>272</v>
      </c>
      <c r="J50" s="5" t="s">
        <v>407</v>
      </c>
      <c r="K50" s="54"/>
    </row>
    <row r="51" spans="1:11" ht="80" customHeight="1" x14ac:dyDescent="0.45">
      <c r="A51" s="7" t="s">
        <v>408</v>
      </c>
      <c r="B51" s="7" t="s">
        <v>97</v>
      </c>
      <c r="C51" s="7" t="s">
        <v>272</v>
      </c>
      <c r="D51" s="5" t="s">
        <v>409</v>
      </c>
      <c r="E51" s="5" t="s">
        <v>410</v>
      </c>
      <c r="F51" s="5" t="s">
        <v>411</v>
      </c>
      <c r="G51" s="7" t="s">
        <v>8</v>
      </c>
      <c r="H51" s="10" t="s">
        <v>51</v>
      </c>
      <c r="I51" s="7" t="s">
        <v>272</v>
      </c>
      <c r="J51" s="5" t="s">
        <v>412</v>
      </c>
      <c r="K51" s="54"/>
    </row>
    <row r="52" spans="1:11" ht="80" hidden="1" customHeight="1" x14ac:dyDescent="0.45">
      <c r="A52" s="7" t="s">
        <v>413</v>
      </c>
      <c r="B52" s="7" t="s">
        <v>179</v>
      </c>
      <c r="C52" s="7" t="s">
        <v>272</v>
      </c>
      <c r="D52" s="5" t="s">
        <v>414</v>
      </c>
      <c r="E52" s="5" t="s">
        <v>415</v>
      </c>
      <c r="F52" s="5" t="s">
        <v>416</v>
      </c>
      <c r="G52" s="7" t="s">
        <v>10</v>
      </c>
      <c r="H52" s="10" t="s">
        <v>47</v>
      </c>
      <c r="I52" s="7" t="s">
        <v>272</v>
      </c>
      <c r="J52" s="5" t="s">
        <v>417</v>
      </c>
      <c r="K52" s="54"/>
    </row>
    <row r="53" spans="1:11" ht="80" customHeight="1" x14ac:dyDescent="0.45">
      <c r="A53" s="7" t="s">
        <v>418</v>
      </c>
      <c r="B53" s="7" t="s">
        <v>346</v>
      </c>
      <c r="C53" s="7" t="s">
        <v>272</v>
      </c>
      <c r="D53" s="5" t="s">
        <v>419</v>
      </c>
      <c r="E53" s="5" t="s">
        <v>420</v>
      </c>
      <c r="F53" s="5" t="s">
        <v>421</v>
      </c>
      <c r="G53" s="7" t="s">
        <v>8</v>
      </c>
      <c r="H53" s="10" t="s">
        <v>51</v>
      </c>
      <c r="I53" s="7" t="s">
        <v>272</v>
      </c>
      <c r="J53" s="5" t="s">
        <v>422</v>
      </c>
      <c r="K53" s="54"/>
    </row>
    <row r="54" spans="1:11" ht="80" customHeight="1" x14ac:dyDescent="0.45">
      <c r="A54" s="7" t="s">
        <v>423</v>
      </c>
      <c r="B54" s="7" t="s">
        <v>271</v>
      </c>
      <c r="C54" s="7" t="s">
        <v>272</v>
      </c>
      <c r="D54" s="5" t="s">
        <v>424</v>
      </c>
      <c r="E54" s="5" t="s">
        <v>425</v>
      </c>
      <c r="F54" s="5" t="s">
        <v>426</v>
      </c>
      <c r="G54" s="7" t="s">
        <v>8</v>
      </c>
      <c r="H54" s="10" t="s">
        <v>51</v>
      </c>
      <c r="I54" s="7" t="s">
        <v>78</v>
      </c>
      <c r="J54" s="5" t="s">
        <v>427</v>
      </c>
      <c r="K54" s="54"/>
    </row>
    <row r="55" spans="1:11" ht="80" customHeight="1" x14ac:dyDescent="0.45">
      <c r="A55" s="7" t="s">
        <v>428</v>
      </c>
      <c r="B55" s="7" t="s">
        <v>271</v>
      </c>
      <c r="C55" s="7" t="s">
        <v>272</v>
      </c>
      <c r="D55" s="5" t="s">
        <v>429</v>
      </c>
      <c r="E55" s="5" t="s">
        <v>430</v>
      </c>
      <c r="F55" s="5" t="s">
        <v>431</v>
      </c>
      <c r="G55" s="7" t="s">
        <v>8</v>
      </c>
      <c r="H55" s="10" t="s">
        <v>51</v>
      </c>
      <c r="I55" s="7" t="s">
        <v>78</v>
      </c>
      <c r="J55" s="5" t="s">
        <v>432</v>
      </c>
      <c r="K55" s="54"/>
    </row>
    <row r="56" spans="1:11" ht="80" customHeight="1" x14ac:dyDescent="0.45">
      <c r="A56" s="7" t="s">
        <v>433</v>
      </c>
      <c r="B56" s="7" t="s">
        <v>119</v>
      </c>
      <c r="C56" s="7" t="s">
        <v>272</v>
      </c>
      <c r="D56" s="5" t="s">
        <v>434</v>
      </c>
      <c r="E56" s="5" t="s">
        <v>435</v>
      </c>
      <c r="F56" s="5" t="s">
        <v>436</v>
      </c>
      <c r="G56" s="7" t="s">
        <v>8</v>
      </c>
      <c r="H56" s="10" t="s">
        <v>51</v>
      </c>
      <c r="I56" s="7" t="s">
        <v>78</v>
      </c>
      <c r="J56" s="5" t="s">
        <v>437</v>
      </c>
      <c r="K56" s="54"/>
    </row>
    <row r="57" spans="1:11" ht="80" customHeight="1" x14ac:dyDescent="0.45">
      <c r="A57" s="7" t="s">
        <v>438</v>
      </c>
      <c r="B57" s="7" t="s">
        <v>89</v>
      </c>
      <c r="C57" s="7" t="s">
        <v>272</v>
      </c>
      <c r="D57" s="5" t="s">
        <v>439</v>
      </c>
      <c r="E57" s="5" t="s">
        <v>440</v>
      </c>
      <c r="F57" s="5" t="s">
        <v>441</v>
      </c>
      <c r="G57" s="7" t="s">
        <v>8</v>
      </c>
      <c r="H57" s="10" t="s">
        <v>51</v>
      </c>
      <c r="I57" s="7" t="s">
        <v>78</v>
      </c>
      <c r="J57" s="5" t="s">
        <v>442</v>
      </c>
      <c r="K57" s="54"/>
    </row>
    <row r="58" spans="1:11" ht="80" customHeight="1" x14ac:dyDescent="0.45">
      <c r="A58" s="7" t="s">
        <v>443</v>
      </c>
      <c r="B58" s="7" t="s">
        <v>104</v>
      </c>
      <c r="C58" s="7" t="s">
        <v>272</v>
      </c>
      <c r="D58" s="5" t="s">
        <v>444</v>
      </c>
      <c r="E58" s="5" t="s">
        <v>445</v>
      </c>
      <c r="F58" s="5" t="s">
        <v>446</v>
      </c>
      <c r="G58" s="7" t="s">
        <v>447</v>
      </c>
      <c r="H58" s="10" t="s">
        <v>49</v>
      </c>
      <c r="I58" s="7" t="s">
        <v>78</v>
      </c>
      <c r="J58" s="5" t="s">
        <v>448</v>
      </c>
      <c r="K58" s="54"/>
    </row>
    <row r="59" spans="1:11" ht="80" customHeight="1" x14ac:dyDescent="0.45">
      <c r="A59" s="7" t="s">
        <v>449</v>
      </c>
      <c r="B59" s="7" t="s">
        <v>450</v>
      </c>
      <c r="C59" s="7" t="s">
        <v>272</v>
      </c>
      <c r="D59" s="5" t="s">
        <v>451</v>
      </c>
      <c r="E59" s="5" t="s">
        <v>452</v>
      </c>
      <c r="F59" s="5" t="s">
        <v>453</v>
      </c>
      <c r="G59" s="7" t="s">
        <v>10</v>
      </c>
      <c r="H59" s="10" t="s">
        <v>49</v>
      </c>
      <c r="I59" s="7" t="s">
        <v>272</v>
      </c>
      <c r="J59" s="5" t="s">
        <v>454</v>
      </c>
      <c r="K59" s="54"/>
    </row>
    <row r="60" spans="1:11" ht="80" customHeight="1" x14ac:dyDescent="0.45">
      <c r="A60" s="7" t="s">
        <v>455</v>
      </c>
      <c r="B60" s="7" t="s">
        <v>179</v>
      </c>
      <c r="C60" s="7" t="s">
        <v>272</v>
      </c>
      <c r="D60" s="5" t="s">
        <v>456</v>
      </c>
      <c r="E60" s="5" t="s">
        <v>457</v>
      </c>
      <c r="F60" s="5" t="s">
        <v>458</v>
      </c>
      <c r="G60" s="7" t="s">
        <v>10</v>
      </c>
      <c r="H60" s="10" t="s">
        <v>49</v>
      </c>
      <c r="I60" s="7" t="s">
        <v>272</v>
      </c>
      <c r="J60" s="5" t="s">
        <v>459</v>
      </c>
      <c r="K60" s="54"/>
    </row>
    <row r="61" spans="1:11" ht="80" customHeight="1" x14ac:dyDescent="0.45">
      <c r="A61" s="7" t="s">
        <v>460</v>
      </c>
      <c r="B61" s="7" t="s">
        <v>97</v>
      </c>
      <c r="C61" s="7" t="s">
        <v>272</v>
      </c>
      <c r="D61" s="5" t="s">
        <v>461</v>
      </c>
      <c r="E61" s="5" t="s">
        <v>462</v>
      </c>
      <c r="F61" s="5" t="s">
        <v>463</v>
      </c>
      <c r="G61" s="7" t="s">
        <v>10</v>
      </c>
      <c r="H61" s="10" t="s">
        <v>49</v>
      </c>
      <c r="I61" s="7" t="s">
        <v>272</v>
      </c>
      <c r="J61" s="5" t="s">
        <v>464</v>
      </c>
      <c r="K61" s="54"/>
    </row>
    <row r="62" spans="1:11" ht="80" customHeight="1" x14ac:dyDescent="0.45">
      <c r="A62" s="7" t="s">
        <v>465</v>
      </c>
      <c r="B62" s="7" t="s">
        <v>97</v>
      </c>
      <c r="C62" s="7" t="s">
        <v>272</v>
      </c>
      <c r="D62" s="5" t="s">
        <v>466</v>
      </c>
      <c r="E62" s="5" t="s">
        <v>467</v>
      </c>
      <c r="F62" s="5" t="s">
        <v>468</v>
      </c>
      <c r="G62" s="7" t="s">
        <v>8</v>
      </c>
      <c r="H62" s="10" t="s">
        <v>51</v>
      </c>
      <c r="I62" s="7" t="s">
        <v>78</v>
      </c>
      <c r="J62" s="5" t="s">
        <v>469</v>
      </c>
      <c r="K62" s="54"/>
    </row>
    <row r="63" spans="1:11" ht="80" customHeight="1" x14ac:dyDescent="0.45">
      <c r="A63" s="7" t="s">
        <v>470</v>
      </c>
      <c r="B63" s="7" t="s">
        <v>255</v>
      </c>
      <c r="C63" s="7" t="s">
        <v>272</v>
      </c>
      <c r="D63" s="5" t="s">
        <v>471</v>
      </c>
      <c r="E63" s="5" t="s">
        <v>472</v>
      </c>
      <c r="F63" s="5" t="s">
        <v>473</v>
      </c>
      <c r="G63" s="7" t="s">
        <v>8</v>
      </c>
      <c r="H63" s="10" t="s">
        <v>51</v>
      </c>
      <c r="I63" s="7" t="s">
        <v>78</v>
      </c>
      <c r="J63" s="5" t="s">
        <v>474</v>
      </c>
      <c r="K63" s="54"/>
    </row>
    <row r="64" spans="1:11" ht="80" customHeight="1" x14ac:dyDescent="0.45">
      <c r="A64" s="7" t="s">
        <v>475</v>
      </c>
      <c r="B64" s="7" t="s">
        <v>104</v>
      </c>
      <c r="C64" s="7" t="s">
        <v>272</v>
      </c>
      <c r="D64" s="5" t="s">
        <v>476</v>
      </c>
      <c r="E64" s="5" t="s">
        <v>477</v>
      </c>
      <c r="F64" s="5" t="s">
        <v>478</v>
      </c>
      <c r="G64" s="7" t="s">
        <v>8</v>
      </c>
      <c r="H64" s="10" t="s">
        <v>51</v>
      </c>
      <c r="I64" s="7" t="s">
        <v>78</v>
      </c>
      <c r="J64" s="5" t="s">
        <v>479</v>
      </c>
      <c r="K64" s="54"/>
    </row>
    <row r="65" spans="1:11" ht="80" hidden="1" customHeight="1" x14ac:dyDescent="0.45">
      <c r="A65" s="7" t="s">
        <v>480</v>
      </c>
      <c r="B65" s="7" t="s">
        <v>104</v>
      </c>
      <c r="C65" s="7" t="s">
        <v>272</v>
      </c>
      <c r="D65" s="5" t="s">
        <v>481</v>
      </c>
      <c r="E65" s="5" t="s">
        <v>482</v>
      </c>
      <c r="F65" s="5" t="s">
        <v>483</v>
      </c>
      <c r="G65" s="7" t="s">
        <v>447</v>
      </c>
      <c r="H65" s="10" t="s">
        <v>47</v>
      </c>
      <c r="I65" s="7" t="s">
        <v>298</v>
      </c>
      <c r="J65" s="5" t="s">
        <v>484</v>
      </c>
      <c r="K65" s="54"/>
    </row>
    <row r="66" spans="1:11" ht="80" customHeight="1" x14ac:dyDescent="0.45">
      <c r="A66" s="7" t="s">
        <v>485</v>
      </c>
      <c r="B66" s="7" t="s">
        <v>179</v>
      </c>
      <c r="C66" s="7" t="s">
        <v>272</v>
      </c>
      <c r="D66" s="5" t="s">
        <v>486</v>
      </c>
      <c r="E66" s="5" t="s">
        <v>487</v>
      </c>
      <c r="F66" s="5" t="s">
        <v>488</v>
      </c>
      <c r="G66" s="7" t="s">
        <v>8</v>
      </c>
      <c r="H66" s="10" t="s">
        <v>51</v>
      </c>
      <c r="I66" s="7" t="s">
        <v>189</v>
      </c>
      <c r="J66" s="5" t="s">
        <v>489</v>
      </c>
      <c r="K66" s="54"/>
    </row>
    <row r="67" spans="1:11" ht="80" customHeight="1" x14ac:dyDescent="0.45">
      <c r="A67" s="7" t="s">
        <v>490</v>
      </c>
      <c r="B67" s="7" t="s">
        <v>179</v>
      </c>
      <c r="C67" s="7" t="s">
        <v>272</v>
      </c>
      <c r="D67" s="5" t="s">
        <v>491</v>
      </c>
      <c r="E67" s="5" t="s">
        <v>492</v>
      </c>
      <c r="F67" s="5" t="s">
        <v>493</v>
      </c>
      <c r="G67" s="7" t="s">
        <v>494</v>
      </c>
      <c r="H67" s="10" t="s">
        <v>51</v>
      </c>
      <c r="I67" s="7" t="s">
        <v>78</v>
      </c>
      <c r="J67" s="5" t="s">
        <v>495</v>
      </c>
      <c r="K67" s="54"/>
    </row>
    <row r="68" spans="1:11" ht="80" customHeight="1" x14ac:dyDescent="0.45">
      <c r="A68" s="7" t="s">
        <v>496</v>
      </c>
      <c r="B68" s="7" t="s">
        <v>179</v>
      </c>
      <c r="C68" s="7" t="s">
        <v>272</v>
      </c>
      <c r="D68" s="5" t="s">
        <v>497</v>
      </c>
      <c r="E68" s="5" t="s">
        <v>498</v>
      </c>
      <c r="F68" s="5" t="s">
        <v>499</v>
      </c>
      <c r="G68" s="7" t="s">
        <v>494</v>
      </c>
      <c r="H68" s="10" t="s">
        <v>51</v>
      </c>
      <c r="I68" s="7" t="s">
        <v>78</v>
      </c>
      <c r="J68" s="5" t="s">
        <v>500</v>
      </c>
      <c r="K68" s="54"/>
    </row>
    <row r="69" spans="1:11" ht="80" customHeight="1" x14ac:dyDescent="0.45">
      <c r="A69" s="7" t="s">
        <v>501</v>
      </c>
      <c r="B69" s="7" t="s">
        <v>119</v>
      </c>
      <c r="C69" s="7" t="s">
        <v>272</v>
      </c>
      <c r="D69" s="5" t="s">
        <v>502</v>
      </c>
      <c r="E69" s="5" t="s">
        <v>503</v>
      </c>
      <c r="F69" s="5" t="s">
        <v>504</v>
      </c>
      <c r="G69" s="7" t="s">
        <v>505</v>
      </c>
      <c r="H69" s="10" t="s">
        <v>51</v>
      </c>
      <c r="I69" s="7" t="s">
        <v>78</v>
      </c>
      <c r="J69" s="5" t="s">
        <v>506</v>
      </c>
      <c r="K69" s="54"/>
    </row>
    <row r="70" spans="1:11" ht="80" customHeight="1" x14ac:dyDescent="0.45">
      <c r="A70" s="7" t="s">
        <v>507</v>
      </c>
      <c r="B70" s="7" t="s">
        <v>119</v>
      </c>
      <c r="C70" s="7" t="s">
        <v>272</v>
      </c>
      <c r="D70" s="5" t="s">
        <v>508</v>
      </c>
      <c r="E70" s="5" t="s">
        <v>509</v>
      </c>
      <c r="F70" s="5" t="s">
        <v>510</v>
      </c>
      <c r="G70" s="7" t="s">
        <v>505</v>
      </c>
      <c r="H70" s="10" t="s">
        <v>51</v>
      </c>
      <c r="I70" s="7" t="s">
        <v>78</v>
      </c>
      <c r="J70" s="5" t="s">
        <v>511</v>
      </c>
      <c r="K70" s="54"/>
    </row>
    <row r="71" spans="1:11" ht="80" customHeight="1" x14ac:dyDescent="0.45">
      <c r="A71" s="7" t="s">
        <v>512</v>
      </c>
      <c r="B71" s="7" t="s">
        <v>119</v>
      </c>
      <c r="C71" s="7" t="s">
        <v>272</v>
      </c>
      <c r="D71" s="5" t="s">
        <v>513</v>
      </c>
      <c r="E71" s="5" t="s">
        <v>514</v>
      </c>
      <c r="F71" s="5" t="s">
        <v>515</v>
      </c>
      <c r="G71" s="7" t="s">
        <v>516</v>
      </c>
      <c r="H71" s="10" t="s">
        <v>51</v>
      </c>
      <c r="I71" s="7" t="s">
        <v>189</v>
      </c>
      <c r="J71" s="5" t="s">
        <v>517</v>
      </c>
      <c r="K71" s="54"/>
    </row>
    <row r="72" spans="1:11" ht="80" customHeight="1" x14ac:dyDescent="0.45">
      <c r="A72" s="7" t="s">
        <v>518</v>
      </c>
      <c r="B72" s="7" t="s">
        <v>356</v>
      </c>
      <c r="C72" s="7" t="s">
        <v>272</v>
      </c>
      <c r="D72" s="5" t="s">
        <v>519</v>
      </c>
      <c r="E72" s="5" t="s">
        <v>520</v>
      </c>
      <c r="F72" s="5" t="s">
        <v>521</v>
      </c>
      <c r="G72" s="7" t="s">
        <v>8</v>
      </c>
      <c r="H72" s="10" t="s">
        <v>51</v>
      </c>
      <c r="I72" s="7" t="s">
        <v>272</v>
      </c>
      <c r="J72" s="5" t="s">
        <v>522</v>
      </c>
      <c r="K72" s="54"/>
    </row>
    <row r="73" spans="1:11" ht="80" customHeight="1" x14ac:dyDescent="0.45">
      <c r="A73" s="7" t="s">
        <v>523</v>
      </c>
      <c r="B73" s="7" t="s">
        <v>119</v>
      </c>
      <c r="C73" s="7" t="s">
        <v>272</v>
      </c>
      <c r="D73" s="5" t="s">
        <v>524</v>
      </c>
      <c r="E73" s="5" t="s">
        <v>525</v>
      </c>
      <c r="F73" s="5" t="s">
        <v>526</v>
      </c>
      <c r="G73" s="7" t="s">
        <v>8</v>
      </c>
      <c r="H73" s="10" t="s">
        <v>51</v>
      </c>
      <c r="I73" s="7" t="s">
        <v>78</v>
      </c>
      <c r="J73" s="5" t="s">
        <v>527</v>
      </c>
      <c r="K73" s="54"/>
    </row>
    <row r="74" spans="1:11" ht="80" customHeight="1" x14ac:dyDescent="0.45">
      <c r="A74" s="7" t="s">
        <v>528</v>
      </c>
      <c r="B74" s="7" t="s">
        <v>119</v>
      </c>
      <c r="C74" s="7" t="s">
        <v>272</v>
      </c>
      <c r="D74" s="5" t="s">
        <v>529</v>
      </c>
      <c r="E74" s="5" t="s">
        <v>530</v>
      </c>
      <c r="F74" s="5" t="s">
        <v>531</v>
      </c>
      <c r="G74" s="7" t="s">
        <v>8</v>
      </c>
      <c r="H74" s="10" t="s">
        <v>51</v>
      </c>
      <c r="I74" s="7" t="s">
        <v>189</v>
      </c>
      <c r="J74" s="5" t="s">
        <v>532</v>
      </c>
      <c r="K74" s="54"/>
    </row>
    <row r="75" spans="1:11" ht="80" customHeight="1" x14ac:dyDescent="0.45">
      <c r="A75" s="7" t="s">
        <v>533</v>
      </c>
      <c r="B75" s="7" t="s">
        <v>104</v>
      </c>
      <c r="C75" s="7" t="s">
        <v>272</v>
      </c>
      <c r="D75" s="5" t="s">
        <v>534</v>
      </c>
      <c r="E75" s="5" t="s">
        <v>535</v>
      </c>
      <c r="F75" s="5" t="s">
        <v>536</v>
      </c>
      <c r="G75" s="7" t="s">
        <v>494</v>
      </c>
      <c r="H75" s="10" t="s">
        <v>51</v>
      </c>
      <c r="I75" s="7" t="s">
        <v>272</v>
      </c>
      <c r="J75" s="5" t="s">
        <v>537</v>
      </c>
      <c r="K75" s="54"/>
    </row>
    <row r="76" spans="1:11" ht="80" customHeight="1" x14ac:dyDescent="0.45">
      <c r="A76" s="7" t="s">
        <v>538</v>
      </c>
      <c r="B76" s="7" t="s">
        <v>104</v>
      </c>
      <c r="C76" s="7" t="s">
        <v>272</v>
      </c>
      <c r="D76" s="5" t="s">
        <v>539</v>
      </c>
      <c r="E76" s="5" t="s">
        <v>540</v>
      </c>
      <c r="F76" s="5" t="s">
        <v>541</v>
      </c>
      <c r="G76" s="7" t="s">
        <v>494</v>
      </c>
      <c r="H76" s="10" t="s">
        <v>51</v>
      </c>
      <c r="I76" s="7" t="s">
        <v>272</v>
      </c>
      <c r="J76" s="5" t="s">
        <v>542</v>
      </c>
      <c r="K76" s="54"/>
    </row>
    <row r="77" spans="1:11" ht="80" hidden="1" customHeight="1" x14ac:dyDescent="0.45">
      <c r="A77" s="7" t="s">
        <v>543</v>
      </c>
      <c r="B77" s="7" t="s">
        <v>104</v>
      </c>
      <c r="C77" s="7" t="s">
        <v>272</v>
      </c>
      <c r="D77" s="5" t="s">
        <v>544</v>
      </c>
      <c r="E77" s="5" t="s">
        <v>545</v>
      </c>
      <c r="F77" s="5" t="s">
        <v>546</v>
      </c>
      <c r="G77" s="7" t="s">
        <v>547</v>
      </c>
      <c r="H77" s="10" t="s">
        <v>47</v>
      </c>
      <c r="I77" s="7" t="s">
        <v>272</v>
      </c>
      <c r="J77" s="5" t="s">
        <v>548</v>
      </c>
      <c r="K77" s="54"/>
    </row>
    <row r="78" spans="1:11" ht="80" customHeight="1" x14ac:dyDescent="0.45">
      <c r="A78" s="7" t="s">
        <v>549</v>
      </c>
      <c r="B78" s="7" t="s">
        <v>179</v>
      </c>
      <c r="C78" s="7" t="s">
        <v>272</v>
      </c>
      <c r="D78" s="5" t="s">
        <v>550</v>
      </c>
      <c r="E78" s="5" t="s">
        <v>551</v>
      </c>
      <c r="F78" s="5" t="s">
        <v>552</v>
      </c>
      <c r="G78" s="7" t="s">
        <v>8</v>
      </c>
      <c r="H78" s="10" t="s">
        <v>51</v>
      </c>
      <c r="I78" s="7" t="s">
        <v>272</v>
      </c>
      <c r="J78" s="5" t="s">
        <v>553</v>
      </c>
      <c r="K78" s="54"/>
    </row>
    <row r="79" spans="1:11" ht="80" customHeight="1" x14ac:dyDescent="0.45">
      <c r="A79" s="7" t="s">
        <v>554</v>
      </c>
      <c r="B79" s="7" t="s">
        <v>104</v>
      </c>
      <c r="C79" s="7" t="s">
        <v>272</v>
      </c>
      <c r="D79" s="5" t="s">
        <v>555</v>
      </c>
      <c r="E79" s="5" t="s">
        <v>556</v>
      </c>
      <c r="F79" s="5" t="s">
        <v>557</v>
      </c>
      <c r="G79" s="7" t="s">
        <v>8</v>
      </c>
      <c r="H79" s="10" t="s">
        <v>51</v>
      </c>
      <c r="I79" s="7" t="s">
        <v>272</v>
      </c>
      <c r="J79" s="5" t="s">
        <v>558</v>
      </c>
      <c r="K79" s="54"/>
    </row>
    <row r="80" spans="1:11" ht="80" customHeight="1" x14ac:dyDescent="0.45">
      <c r="A80" s="7" t="s">
        <v>559</v>
      </c>
      <c r="B80" s="7" t="s">
        <v>104</v>
      </c>
      <c r="C80" s="7" t="s">
        <v>272</v>
      </c>
      <c r="D80" s="5" t="s">
        <v>560</v>
      </c>
      <c r="E80" s="5" t="s">
        <v>561</v>
      </c>
      <c r="F80" s="5" t="s">
        <v>562</v>
      </c>
      <c r="G80" s="7" t="s">
        <v>8</v>
      </c>
      <c r="H80" s="10" t="s">
        <v>51</v>
      </c>
      <c r="I80" s="7" t="s">
        <v>272</v>
      </c>
      <c r="J80" s="5" t="s">
        <v>563</v>
      </c>
      <c r="K80" s="54"/>
    </row>
    <row r="81" spans="1:11" ht="80" customHeight="1" x14ac:dyDescent="0.45">
      <c r="A81" s="7" t="s">
        <v>564</v>
      </c>
      <c r="B81" s="7" t="s">
        <v>179</v>
      </c>
      <c r="C81" s="7" t="s">
        <v>272</v>
      </c>
      <c r="D81" s="5" t="s">
        <v>565</v>
      </c>
      <c r="E81" s="5" t="s">
        <v>566</v>
      </c>
      <c r="F81" s="5" t="s">
        <v>567</v>
      </c>
      <c r="G81" s="7" t="s">
        <v>8</v>
      </c>
      <c r="H81" s="10" t="s">
        <v>51</v>
      </c>
      <c r="I81" s="7" t="s">
        <v>272</v>
      </c>
      <c r="J81" s="5" t="s">
        <v>568</v>
      </c>
      <c r="K81" s="54"/>
    </row>
    <row r="82" spans="1:11" ht="80" customHeight="1" x14ac:dyDescent="0.45">
      <c r="A82" s="7" t="s">
        <v>569</v>
      </c>
      <c r="B82" s="7" t="s">
        <v>104</v>
      </c>
      <c r="C82" s="7" t="s">
        <v>272</v>
      </c>
      <c r="D82" s="5" t="s">
        <v>570</v>
      </c>
      <c r="E82" s="5" t="s">
        <v>571</v>
      </c>
      <c r="F82" s="5" t="s">
        <v>557</v>
      </c>
      <c r="G82" s="7" t="s">
        <v>547</v>
      </c>
      <c r="H82" s="10" t="s">
        <v>51</v>
      </c>
      <c r="I82" s="7" t="s">
        <v>272</v>
      </c>
      <c r="J82" s="5" t="s">
        <v>572</v>
      </c>
      <c r="K82" s="54"/>
    </row>
    <row r="83" spans="1:11" ht="80" customHeight="1" x14ac:dyDescent="0.45">
      <c r="A83" s="7" t="s">
        <v>573</v>
      </c>
      <c r="B83" s="7" t="s">
        <v>104</v>
      </c>
      <c r="C83" s="7" t="s">
        <v>272</v>
      </c>
      <c r="D83" s="5" t="s">
        <v>574</v>
      </c>
      <c r="E83" s="5" t="s">
        <v>575</v>
      </c>
      <c r="F83" s="5" t="s">
        <v>576</v>
      </c>
      <c r="G83" s="7" t="s">
        <v>494</v>
      </c>
      <c r="H83" s="10" t="s">
        <v>51</v>
      </c>
      <c r="I83" s="7" t="s">
        <v>272</v>
      </c>
      <c r="J83" s="5" t="s">
        <v>577</v>
      </c>
      <c r="K83" s="54"/>
    </row>
    <row r="84" spans="1:11" ht="80" customHeight="1" x14ac:dyDescent="0.45">
      <c r="A84" s="7" t="s">
        <v>578</v>
      </c>
      <c r="B84" s="7" t="s">
        <v>104</v>
      </c>
      <c r="C84" s="7" t="s">
        <v>78</v>
      </c>
      <c r="D84" s="5" t="s">
        <v>579</v>
      </c>
      <c r="E84" s="5" t="s">
        <v>580</v>
      </c>
      <c r="F84" s="5" t="s">
        <v>581</v>
      </c>
      <c r="G84" s="7" t="s">
        <v>8</v>
      </c>
      <c r="H84" s="10" t="s">
        <v>51</v>
      </c>
      <c r="I84" s="7" t="s">
        <v>78</v>
      </c>
      <c r="J84" s="5" t="s">
        <v>582</v>
      </c>
      <c r="K84" s="54"/>
    </row>
    <row r="85" spans="1:11" ht="80" customHeight="1" x14ac:dyDescent="0.45">
      <c r="A85" s="7" t="s">
        <v>583</v>
      </c>
      <c r="B85" s="7" t="s">
        <v>104</v>
      </c>
      <c r="C85" s="7" t="s">
        <v>298</v>
      </c>
      <c r="D85" s="5" t="s">
        <v>584</v>
      </c>
      <c r="E85" s="5" t="s">
        <v>585</v>
      </c>
      <c r="F85" s="5" t="s">
        <v>586</v>
      </c>
      <c r="G85" s="7" t="s">
        <v>8</v>
      </c>
      <c r="H85" s="10" t="s">
        <v>51</v>
      </c>
      <c r="I85" s="7" t="s">
        <v>298</v>
      </c>
      <c r="J85" s="5" t="s">
        <v>587</v>
      </c>
      <c r="K85" s="54"/>
    </row>
    <row r="86" spans="1:11" ht="80" customHeight="1" x14ac:dyDescent="0.45">
      <c r="A86" s="7" t="s">
        <v>588</v>
      </c>
      <c r="B86" s="7" t="s">
        <v>179</v>
      </c>
      <c r="C86" s="7" t="s">
        <v>78</v>
      </c>
      <c r="D86" s="5" t="s">
        <v>589</v>
      </c>
      <c r="E86" s="5" t="s">
        <v>590</v>
      </c>
      <c r="F86" s="5" t="s">
        <v>591</v>
      </c>
      <c r="G86" s="7" t="s">
        <v>8</v>
      </c>
      <c r="H86" s="10" t="s">
        <v>51</v>
      </c>
      <c r="I86" s="7" t="s">
        <v>78</v>
      </c>
      <c r="J86" s="5" t="s">
        <v>592</v>
      </c>
      <c r="K86" s="54"/>
    </row>
    <row r="87" spans="1:11" ht="80" customHeight="1" x14ac:dyDescent="0.45">
      <c r="A87" s="7" t="s">
        <v>593</v>
      </c>
      <c r="B87" s="7" t="s">
        <v>119</v>
      </c>
      <c r="C87" s="7" t="s">
        <v>78</v>
      </c>
      <c r="D87" s="5" t="s">
        <v>594</v>
      </c>
      <c r="E87" s="5" t="s">
        <v>595</v>
      </c>
      <c r="F87" s="5" t="s">
        <v>596</v>
      </c>
      <c r="G87" s="7" t="s">
        <v>8</v>
      </c>
      <c r="H87" s="10" t="s">
        <v>51</v>
      </c>
      <c r="I87" s="7" t="s">
        <v>78</v>
      </c>
      <c r="J87" s="5" t="s">
        <v>597</v>
      </c>
      <c r="K87" s="54"/>
    </row>
    <row r="88" spans="1:11" ht="80" customHeight="1" x14ac:dyDescent="0.45">
      <c r="A88" s="7" t="s">
        <v>598</v>
      </c>
      <c r="B88" s="7" t="s">
        <v>119</v>
      </c>
      <c r="C88" s="7" t="s">
        <v>78</v>
      </c>
      <c r="D88" s="5" t="s">
        <v>599</v>
      </c>
      <c r="E88" s="5" t="s">
        <v>600</v>
      </c>
      <c r="F88" s="5" t="s">
        <v>601</v>
      </c>
      <c r="G88" s="7" t="s">
        <v>8</v>
      </c>
      <c r="H88" s="10" t="s">
        <v>51</v>
      </c>
      <c r="I88" s="7" t="s">
        <v>78</v>
      </c>
      <c r="J88" s="5" t="s">
        <v>602</v>
      </c>
      <c r="K88" s="54"/>
    </row>
    <row r="89" spans="1:11" ht="80" customHeight="1" x14ac:dyDescent="0.45">
      <c r="A89" s="7" t="s">
        <v>603</v>
      </c>
      <c r="B89" s="7" t="s">
        <v>89</v>
      </c>
      <c r="C89" s="7" t="s">
        <v>78</v>
      </c>
      <c r="D89" s="5" t="s">
        <v>604</v>
      </c>
      <c r="E89" s="5" t="s">
        <v>605</v>
      </c>
      <c r="F89" s="5" t="s">
        <v>606</v>
      </c>
      <c r="G89" s="7" t="s">
        <v>8</v>
      </c>
      <c r="H89" s="10" t="s">
        <v>51</v>
      </c>
      <c r="I89" s="7" t="s">
        <v>78</v>
      </c>
      <c r="J89" s="5" t="s">
        <v>607</v>
      </c>
      <c r="K89" s="54"/>
    </row>
    <row r="90" spans="1:11" ht="80" hidden="1" customHeight="1" x14ac:dyDescent="0.45">
      <c r="A90" s="7" t="s">
        <v>608</v>
      </c>
      <c r="B90" s="7" t="s">
        <v>119</v>
      </c>
      <c r="C90" s="7" t="s">
        <v>78</v>
      </c>
      <c r="D90" s="5" t="s">
        <v>609</v>
      </c>
      <c r="E90" s="5" t="s">
        <v>610</v>
      </c>
      <c r="F90" s="5" t="s">
        <v>611</v>
      </c>
      <c r="G90" s="7" t="s">
        <v>8</v>
      </c>
      <c r="H90" s="10" t="s">
        <v>47</v>
      </c>
      <c r="I90" s="7" t="s">
        <v>78</v>
      </c>
      <c r="J90" s="5" t="s">
        <v>612</v>
      </c>
      <c r="K90" s="54"/>
    </row>
    <row r="91" spans="1:11" ht="80" customHeight="1" x14ac:dyDescent="0.45">
      <c r="A91" s="7" t="s">
        <v>613</v>
      </c>
      <c r="B91" s="7" t="s">
        <v>360</v>
      </c>
      <c r="C91" s="7" t="s">
        <v>78</v>
      </c>
      <c r="D91" s="5" t="s">
        <v>404</v>
      </c>
      <c r="E91" s="5" t="s">
        <v>614</v>
      </c>
      <c r="F91" s="5" t="s">
        <v>615</v>
      </c>
      <c r="G91" s="7" t="s">
        <v>8</v>
      </c>
      <c r="H91" s="10" t="s">
        <v>51</v>
      </c>
      <c r="I91" s="7" t="s">
        <v>78</v>
      </c>
      <c r="J91" s="5" t="s">
        <v>616</v>
      </c>
      <c r="K91" s="54"/>
    </row>
    <row r="92" spans="1:11" ht="80" customHeight="1" x14ac:dyDescent="0.45">
      <c r="A92" s="7" t="s">
        <v>617</v>
      </c>
      <c r="B92" s="7" t="s">
        <v>255</v>
      </c>
      <c r="C92" s="7" t="s">
        <v>78</v>
      </c>
      <c r="D92" s="5" t="s">
        <v>618</v>
      </c>
      <c r="E92" s="5" t="s">
        <v>619</v>
      </c>
      <c r="F92" s="5" t="s">
        <v>620</v>
      </c>
      <c r="G92" s="7" t="s">
        <v>8</v>
      </c>
      <c r="H92" s="10" t="s">
        <v>51</v>
      </c>
      <c r="I92" s="7" t="s">
        <v>78</v>
      </c>
      <c r="J92" s="5" t="s">
        <v>621</v>
      </c>
      <c r="K92" s="54"/>
    </row>
    <row r="93" spans="1:11" ht="80" customHeight="1" x14ac:dyDescent="0.45">
      <c r="A93" s="7" t="s">
        <v>622</v>
      </c>
      <c r="B93" s="7" t="s">
        <v>360</v>
      </c>
      <c r="C93" s="7" t="s">
        <v>78</v>
      </c>
      <c r="D93" s="5" t="s">
        <v>623</v>
      </c>
      <c r="E93" s="5" t="s">
        <v>624</v>
      </c>
      <c r="F93" s="5" t="s">
        <v>625</v>
      </c>
      <c r="G93" s="7" t="s">
        <v>8</v>
      </c>
      <c r="H93" s="10" t="s">
        <v>51</v>
      </c>
      <c r="I93" s="7" t="s">
        <v>78</v>
      </c>
      <c r="J93" s="5" t="s">
        <v>626</v>
      </c>
      <c r="K93" s="54"/>
    </row>
    <row r="94" spans="1:11" ht="80" customHeight="1" x14ac:dyDescent="0.45">
      <c r="A94" s="7" t="s">
        <v>627</v>
      </c>
      <c r="B94" s="7" t="s">
        <v>628</v>
      </c>
      <c r="C94" s="7" t="s">
        <v>78</v>
      </c>
      <c r="D94" s="5" t="s">
        <v>629</v>
      </c>
      <c r="E94" s="5" t="s">
        <v>630</v>
      </c>
      <c r="F94" s="5" t="s">
        <v>631</v>
      </c>
      <c r="G94" s="7" t="s">
        <v>8</v>
      </c>
      <c r="H94" s="10" t="s">
        <v>51</v>
      </c>
      <c r="I94" s="7" t="s">
        <v>78</v>
      </c>
      <c r="J94" s="5" t="s">
        <v>632</v>
      </c>
      <c r="K94" s="54"/>
    </row>
    <row r="95" spans="1:11" ht="80" customHeight="1" x14ac:dyDescent="0.45">
      <c r="A95" s="7" t="s">
        <v>633</v>
      </c>
      <c r="B95" s="7" t="s">
        <v>179</v>
      </c>
      <c r="C95" s="7" t="s">
        <v>189</v>
      </c>
      <c r="D95" s="5" t="s">
        <v>634</v>
      </c>
      <c r="E95" s="5" t="s">
        <v>635</v>
      </c>
      <c r="F95" s="5" t="s">
        <v>636</v>
      </c>
      <c r="G95" s="7" t="s">
        <v>8</v>
      </c>
      <c r="H95" s="10" t="s">
        <v>51</v>
      </c>
      <c r="I95" s="7" t="s">
        <v>189</v>
      </c>
      <c r="J95" s="5" t="s">
        <v>637</v>
      </c>
      <c r="K95" s="54"/>
    </row>
    <row r="96" spans="1:11" ht="80" customHeight="1" x14ac:dyDescent="0.45">
      <c r="A96" s="7" t="s">
        <v>638</v>
      </c>
      <c r="B96" s="7" t="s">
        <v>628</v>
      </c>
      <c r="C96" s="7" t="s">
        <v>189</v>
      </c>
      <c r="D96" s="5" t="s">
        <v>639</v>
      </c>
      <c r="E96" s="5" t="s">
        <v>640</v>
      </c>
      <c r="F96" s="5" t="s">
        <v>641</v>
      </c>
      <c r="G96" s="7" t="s">
        <v>8</v>
      </c>
      <c r="H96" s="10" t="s">
        <v>51</v>
      </c>
      <c r="I96" s="7" t="s">
        <v>189</v>
      </c>
      <c r="J96" s="5" t="s">
        <v>642</v>
      </c>
      <c r="K96" s="54"/>
    </row>
    <row r="97" spans="1:11" ht="80" customHeight="1" x14ac:dyDescent="0.45">
      <c r="A97" s="7" t="s">
        <v>643</v>
      </c>
      <c r="B97" s="7" t="s">
        <v>119</v>
      </c>
      <c r="C97" s="7" t="s">
        <v>189</v>
      </c>
      <c r="D97" s="5" t="s">
        <v>644</v>
      </c>
      <c r="E97" s="5" t="s">
        <v>645</v>
      </c>
      <c r="F97" s="5" t="s">
        <v>646</v>
      </c>
      <c r="G97" s="7" t="s">
        <v>8</v>
      </c>
      <c r="H97" s="10" t="s">
        <v>51</v>
      </c>
      <c r="I97" s="7" t="s">
        <v>189</v>
      </c>
      <c r="J97" s="5" t="s">
        <v>647</v>
      </c>
      <c r="K97" s="54"/>
    </row>
    <row r="98" spans="1:11" ht="80" customHeight="1" x14ac:dyDescent="0.45">
      <c r="A98" s="7" t="s">
        <v>648</v>
      </c>
      <c r="B98" s="7" t="s">
        <v>360</v>
      </c>
      <c r="C98" s="7" t="s">
        <v>78</v>
      </c>
      <c r="D98" s="5" t="s">
        <v>649</v>
      </c>
      <c r="E98" s="5" t="s">
        <v>650</v>
      </c>
      <c r="F98" s="5" t="s">
        <v>651</v>
      </c>
      <c r="G98" s="7" t="s">
        <v>8</v>
      </c>
      <c r="H98" s="10" t="s">
        <v>51</v>
      </c>
      <c r="I98" s="7" t="s">
        <v>78</v>
      </c>
      <c r="J98" s="5" t="s">
        <v>652</v>
      </c>
      <c r="K98" s="54"/>
    </row>
    <row r="99" spans="1:11" ht="80" customHeight="1" x14ac:dyDescent="0.45">
      <c r="A99" s="7" t="s">
        <v>653</v>
      </c>
      <c r="B99" s="7" t="s">
        <v>119</v>
      </c>
      <c r="C99" s="7" t="s">
        <v>189</v>
      </c>
      <c r="D99" s="5" t="s">
        <v>654</v>
      </c>
      <c r="E99" s="5" t="s">
        <v>655</v>
      </c>
      <c r="F99" s="5" t="s">
        <v>656</v>
      </c>
      <c r="G99" s="7" t="s">
        <v>8</v>
      </c>
      <c r="H99" s="10" t="s">
        <v>51</v>
      </c>
      <c r="I99" s="7" t="s">
        <v>189</v>
      </c>
      <c r="J99" s="5" t="s">
        <v>657</v>
      </c>
      <c r="K99" s="54"/>
    </row>
    <row r="100" spans="1:11" ht="80" customHeight="1" x14ac:dyDescent="0.45">
      <c r="A100" s="7" t="s">
        <v>658</v>
      </c>
      <c r="B100" s="7" t="s">
        <v>179</v>
      </c>
      <c r="C100" s="7" t="s">
        <v>189</v>
      </c>
      <c r="D100" s="5" t="s">
        <v>659</v>
      </c>
      <c r="E100" s="5" t="s">
        <v>660</v>
      </c>
      <c r="F100" s="5" t="s">
        <v>661</v>
      </c>
      <c r="G100" s="7" t="s">
        <v>8</v>
      </c>
      <c r="H100" s="10" t="s">
        <v>51</v>
      </c>
      <c r="I100" s="7" t="s">
        <v>189</v>
      </c>
      <c r="J100" s="5" t="s">
        <v>662</v>
      </c>
      <c r="K100" s="54"/>
    </row>
    <row r="101" spans="1:11" ht="80" customHeight="1" x14ac:dyDescent="0.45">
      <c r="A101" s="7" t="s">
        <v>663</v>
      </c>
      <c r="B101" s="7" t="s">
        <v>664</v>
      </c>
      <c r="C101" s="7" t="s">
        <v>78</v>
      </c>
      <c r="D101" s="5" t="s">
        <v>665</v>
      </c>
      <c r="E101" s="5" t="s">
        <v>666</v>
      </c>
      <c r="F101" s="5" t="s">
        <v>667</v>
      </c>
      <c r="G101" s="7" t="s">
        <v>8</v>
      </c>
      <c r="H101" s="10" t="s">
        <v>51</v>
      </c>
      <c r="I101" s="7" t="s">
        <v>78</v>
      </c>
      <c r="J101" s="5" t="s">
        <v>668</v>
      </c>
      <c r="K101" s="54"/>
    </row>
    <row r="102" spans="1:11" ht="80" customHeight="1" x14ac:dyDescent="0.45">
      <c r="A102" s="7" t="s">
        <v>669</v>
      </c>
      <c r="B102" s="7" t="s">
        <v>670</v>
      </c>
      <c r="C102" s="7" t="s">
        <v>189</v>
      </c>
      <c r="D102" s="5" t="s">
        <v>671</v>
      </c>
      <c r="E102" s="5" t="s">
        <v>672</v>
      </c>
      <c r="F102" s="5" t="s">
        <v>673</v>
      </c>
      <c r="G102" s="7" t="s">
        <v>8</v>
      </c>
      <c r="H102" s="10" t="s">
        <v>51</v>
      </c>
      <c r="I102" s="7" t="s">
        <v>189</v>
      </c>
      <c r="J102" s="5" t="s">
        <v>674</v>
      </c>
      <c r="K102" s="54"/>
    </row>
    <row r="103" spans="1:11" ht="80" customHeight="1" x14ac:dyDescent="0.45">
      <c r="A103" s="7" t="s">
        <v>675</v>
      </c>
      <c r="B103" s="7" t="s">
        <v>81</v>
      </c>
      <c r="C103" s="7" t="s">
        <v>78</v>
      </c>
      <c r="D103" s="5" t="s">
        <v>676</v>
      </c>
      <c r="E103" s="5" t="s">
        <v>677</v>
      </c>
      <c r="F103" s="5" t="s">
        <v>678</v>
      </c>
      <c r="G103" s="7" t="s">
        <v>8</v>
      </c>
      <c r="H103" s="10" t="s">
        <v>51</v>
      </c>
      <c r="I103" s="7" t="s">
        <v>78</v>
      </c>
      <c r="J103" s="5" t="s">
        <v>679</v>
      </c>
      <c r="K103" s="54"/>
    </row>
    <row r="104" spans="1:11" ht="80" customHeight="1" x14ac:dyDescent="0.45">
      <c r="A104" s="7" t="s">
        <v>680</v>
      </c>
      <c r="B104" s="7" t="s">
        <v>81</v>
      </c>
      <c r="C104" s="7" t="s">
        <v>78</v>
      </c>
      <c r="D104" s="5" t="s">
        <v>681</v>
      </c>
      <c r="E104" s="5" t="s">
        <v>682</v>
      </c>
      <c r="F104" s="5" t="s">
        <v>683</v>
      </c>
      <c r="G104" s="7" t="s">
        <v>8</v>
      </c>
      <c r="H104" s="10" t="s">
        <v>51</v>
      </c>
      <c r="I104" s="7" t="s">
        <v>78</v>
      </c>
      <c r="J104" s="5" t="s">
        <v>684</v>
      </c>
      <c r="K104" s="54"/>
    </row>
    <row r="105" spans="1:11" ht="80" customHeight="1" x14ac:dyDescent="0.45">
      <c r="A105" s="7" t="s">
        <v>685</v>
      </c>
      <c r="B105" s="7" t="s">
        <v>81</v>
      </c>
      <c r="C105" s="7" t="s">
        <v>78</v>
      </c>
      <c r="D105" s="5" t="s">
        <v>686</v>
      </c>
      <c r="E105" s="5" t="s">
        <v>687</v>
      </c>
      <c r="F105" s="5" t="s">
        <v>688</v>
      </c>
      <c r="G105" s="7" t="s">
        <v>447</v>
      </c>
      <c r="H105" s="10" t="s">
        <v>689</v>
      </c>
      <c r="I105" s="7" t="s">
        <v>78</v>
      </c>
      <c r="J105" s="5" t="s">
        <v>690</v>
      </c>
      <c r="K105" s="54"/>
    </row>
    <row r="106" spans="1:11" ht="80" customHeight="1" x14ac:dyDescent="0.45">
      <c r="A106" s="7" t="s">
        <v>691</v>
      </c>
      <c r="B106" s="7" t="s">
        <v>81</v>
      </c>
      <c r="C106" s="7" t="s">
        <v>78</v>
      </c>
      <c r="D106" s="5" t="s">
        <v>692</v>
      </c>
      <c r="E106" s="5" t="s">
        <v>693</v>
      </c>
      <c r="F106" s="5" t="s">
        <v>694</v>
      </c>
      <c r="G106" s="7" t="s">
        <v>10</v>
      </c>
      <c r="H106" s="10" t="s">
        <v>689</v>
      </c>
      <c r="I106" s="7" t="s">
        <v>78</v>
      </c>
      <c r="J106" s="5" t="s">
        <v>695</v>
      </c>
      <c r="K106" s="54"/>
    </row>
    <row r="107" spans="1:11" ht="80" customHeight="1" x14ac:dyDescent="0.45">
      <c r="A107" s="7" t="s">
        <v>696</v>
      </c>
      <c r="B107" s="7" t="s">
        <v>81</v>
      </c>
      <c r="C107" s="7" t="s">
        <v>78</v>
      </c>
      <c r="D107" s="5" t="s">
        <v>697</v>
      </c>
      <c r="E107" s="5" t="s">
        <v>698</v>
      </c>
      <c r="F107" s="5" t="s">
        <v>699</v>
      </c>
      <c r="G107" s="7" t="s">
        <v>10</v>
      </c>
      <c r="H107" s="10" t="s">
        <v>689</v>
      </c>
      <c r="I107" s="7" t="s">
        <v>78</v>
      </c>
      <c r="J107" s="5" t="s">
        <v>700</v>
      </c>
      <c r="K107" s="54"/>
    </row>
    <row r="108" spans="1:11" ht="80" customHeight="1" x14ac:dyDescent="0.45">
      <c r="A108" s="7" t="s">
        <v>701</v>
      </c>
      <c r="B108" s="7" t="s">
        <v>702</v>
      </c>
      <c r="C108" s="7" t="s">
        <v>78</v>
      </c>
      <c r="D108" s="5" t="s">
        <v>703</v>
      </c>
      <c r="E108" s="5" t="s">
        <v>704</v>
      </c>
      <c r="F108" s="5" t="s">
        <v>705</v>
      </c>
      <c r="G108" s="7" t="s">
        <v>8</v>
      </c>
      <c r="H108" s="10" t="s">
        <v>51</v>
      </c>
      <c r="I108" s="7" t="s">
        <v>78</v>
      </c>
      <c r="J108" s="5" t="s">
        <v>706</v>
      </c>
      <c r="K108" s="54"/>
    </row>
    <row r="109" spans="1:11" ht="80" hidden="1" customHeight="1" x14ac:dyDescent="0.45">
      <c r="A109" s="7" t="s">
        <v>707</v>
      </c>
      <c r="B109" s="7" t="s">
        <v>119</v>
      </c>
      <c r="C109" s="7" t="s">
        <v>189</v>
      </c>
      <c r="D109" s="5" t="s">
        <v>708</v>
      </c>
      <c r="E109" s="5" t="s">
        <v>709</v>
      </c>
      <c r="F109" s="5" t="s">
        <v>710</v>
      </c>
      <c r="G109" s="7" t="s">
        <v>8</v>
      </c>
      <c r="H109" s="10" t="s">
        <v>47</v>
      </c>
      <c r="I109" s="7" t="s">
        <v>189</v>
      </c>
      <c r="J109" s="5" t="s">
        <v>711</v>
      </c>
      <c r="K109" s="54"/>
    </row>
    <row r="110" spans="1:11" ht="80" customHeight="1" x14ac:dyDescent="0.45">
      <c r="A110" s="7" t="s">
        <v>712</v>
      </c>
      <c r="B110" s="7" t="s">
        <v>119</v>
      </c>
      <c r="C110" s="7" t="s">
        <v>189</v>
      </c>
      <c r="D110" s="5" t="s">
        <v>713</v>
      </c>
      <c r="E110" s="5" t="s">
        <v>714</v>
      </c>
      <c r="F110" s="5" t="s">
        <v>715</v>
      </c>
      <c r="G110" s="7" t="s">
        <v>8</v>
      </c>
      <c r="H110" s="10" t="s">
        <v>51</v>
      </c>
      <c r="I110" s="7" t="s">
        <v>189</v>
      </c>
      <c r="J110" s="5" t="s">
        <v>716</v>
      </c>
      <c r="K110" s="54"/>
    </row>
    <row r="111" spans="1:11" ht="80" customHeight="1" x14ac:dyDescent="0.45">
      <c r="A111" s="7" t="s">
        <v>717</v>
      </c>
      <c r="B111" s="7" t="s">
        <v>119</v>
      </c>
      <c r="C111" s="7" t="s">
        <v>189</v>
      </c>
      <c r="D111" s="5" t="s">
        <v>718</v>
      </c>
      <c r="E111" s="5" t="s">
        <v>719</v>
      </c>
      <c r="F111" s="5" t="s">
        <v>720</v>
      </c>
      <c r="G111" s="7" t="s">
        <v>8</v>
      </c>
      <c r="H111" s="10" t="s">
        <v>51</v>
      </c>
      <c r="I111" s="7" t="s">
        <v>189</v>
      </c>
      <c r="J111" s="5" t="s">
        <v>721</v>
      </c>
      <c r="K111" s="54"/>
    </row>
    <row r="112" spans="1:11" ht="80" customHeight="1" x14ac:dyDescent="0.45">
      <c r="A112" s="7" t="s">
        <v>722</v>
      </c>
      <c r="B112" s="7" t="s">
        <v>119</v>
      </c>
      <c r="C112" s="7" t="s">
        <v>189</v>
      </c>
      <c r="D112" s="5" t="s">
        <v>723</v>
      </c>
      <c r="E112" s="5" t="s">
        <v>724</v>
      </c>
      <c r="F112" s="5" t="s">
        <v>725</v>
      </c>
      <c r="G112" s="7" t="s">
        <v>8</v>
      </c>
      <c r="H112" s="10" t="s">
        <v>51</v>
      </c>
      <c r="I112" s="7" t="s">
        <v>189</v>
      </c>
      <c r="J112" s="5" t="s">
        <v>726</v>
      </c>
      <c r="K112" s="54"/>
    </row>
    <row r="113" spans="1:11" ht="80" customHeight="1" x14ac:dyDescent="0.45">
      <c r="A113" s="7" t="s">
        <v>727</v>
      </c>
      <c r="B113" s="7" t="s">
        <v>119</v>
      </c>
      <c r="C113" s="7" t="s">
        <v>189</v>
      </c>
      <c r="D113" s="5" t="s">
        <v>728</v>
      </c>
      <c r="E113" s="5" t="s">
        <v>729</v>
      </c>
      <c r="F113" s="5" t="s">
        <v>730</v>
      </c>
      <c r="G113" s="7" t="s">
        <v>8</v>
      </c>
      <c r="H113" s="10" t="s">
        <v>51</v>
      </c>
      <c r="I113" s="7" t="s">
        <v>189</v>
      </c>
      <c r="J113" s="5" t="s">
        <v>731</v>
      </c>
      <c r="K113" s="54"/>
    </row>
    <row r="114" spans="1:11" ht="80" customHeight="1" x14ac:dyDescent="0.45">
      <c r="A114" s="7" t="s">
        <v>732</v>
      </c>
      <c r="B114" s="7" t="s">
        <v>670</v>
      </c>
      <c r="C114" s="7" t="s">
        <v>78</v>
      </c>
      <c r="D114" s="5" t="s">
        <v>733</v>
      </c>
      <c r="E114" s="5" t="s">
        <v>734</v>
      </c>
      <c r="F114" s="5" t="s">
        <v>735</v>
      </c>
      <c r="G114" s="7" t="s">
        <v>8</v>
      </c>
      <c r="H114" s="10" t="s">
        <v>51</v>
      </c>
      <c r="I114" s="7" t="s">
        <v>78</v>
      </c>
      <c r="J114" s="5" t="s">
        <v>736</v>
      </c>
      <c r="K114" s="54"/>
    </row>
    <row r="115" spans="1:11" ht="80" customHeight="1" x14ac:dyDescent="0.45">
      <c r="A115" s="7" t="s">
        <v>737</v>
      </c>
      <c r="B115" s="7" t="s">
        <v>179</v>
      </c>
      <c r="C115" s="7" t="s">
        <v>189</v>
      </c>
      <c r="D115" s="5" t="s">
        <v>738</v>
      </c>
      <c r="E115" s="5" t="s">
        <v>739</v>
      </c>
      <c r="F115" s="5" t="s">
        <v>740</v>
      </c>
      <c r="G115" s="7" t="s">
        <v>8</v>
      </c>
      <c r="H115" s="10" t="s">
        <v>51</v>
      </c>
      <c r="I115" s="7" t="s">
        <v>189</v>
      </c>
      <c r="J115" s="5" t="s">
        <v>741</v>
      </c>
      <c r="K115" s="54"/>
    </row>
    <row r="116" spans="1:11" ht="80" hidden="1" customHeight="1" x14ac:dyDescent="0.45">
      <c r="A116" s="7" t="s">
        <v>742</v>
      </c>
      <c r="B116" s="7" t="s">
        <v>360</v>
      </c>
      <c r="C116" s="7" t="s">
        <v>78</v>
      </c>
      <c r="D116" s="5" t="s">
        <v>743</v>
      </c>
      <c r="E116" s="5" t="s">
        <v>744</v>
      </c>
      <c r="F116" s="5" t="s">
        <v>745</v>
      </c>
      <c r="G116" s="7" t="s">
        <v>8</v>
      </c>
      <c r="H116" s="10" t="s">
        <v>47</v>
      </c>
      <c r="I116" s="7" t="s">
        <v>78</v>
      </c>
      <c r="J116" s="5" t="s">
        <v>746</v>
      </c>
      <c r="K116" s="54"/>
    </row>
    <row r="117" spans="1:11" ht="80" customHeight="1" x14ac:dyDescent="0.45">
      <c r="A117" s="7" t="s">
        <v>747</v>
      </c>
      <c r="B117" s="7" t="s">
        <v>119</v>
      </c>
      <c r="C117" s="7" t="s">
        <v>78</v>
      </c>
      <c r="D117" s="5" t="s">
        <v>748</v>
      </c>
      <c r="E117" s="5" t="s">
        <v>749</v>
      </c>
      <c r="F117" s="5" t="s">
        <v>750</v>
      </c>
      <c r="G117" s="7" t="s">
        <v>8</v>
      </c>
      <c r="H117" s="10" t="s">
        <v>51</v>
      </c>
      <c r="I117" s="7" t="s">
        <v>78</v>
      </c>
      <c r="J117" s="5" t="s">
        <v>751</v>
      </c>
      <c r="K117" s="54"/>
    </row>
    <row r="118" spans="1:11" ht="80" customHeight="1" x14ac:dyDescent="0.45">
      <c r="A118" s="7" t="s">
        <v>752</v>
      </c>
      <c r="B118" s="7" t="s">
        <v>119</v>
      </c>
      <c r="C118" s="7" t="s">
        <v>78</v>
      </c>
      <c r="D118" s="5" t="s">
        <v>753</v>
      </c>
      <c r="E118" s="5" t="s">
        <v>754</v>
      </c>
      <c r="F118" s="5" t="s">
        <v>755</v>
      </c>
      <c r="G118" s="7" t="s">
        <v>8</v>
      </c>
      <c r="H118" s="10" t="s">
        <v>51</v>
      </c>
      <c r="I118" s="7" t="s">
        <v>78</v>
      </c>
      <c r="J118" s="5" t="s">
        <v>756</v>
      </c>
      <c r="K118" s="54"/>
    </row>
    <row r="119" spans="1:11" ht="80" customHeight="1" x14ac:dyDescent="0.45">
      <c r="A119" s="7" t="s">
        <v>757</v>
      </c>
      <c r="B119" s="7" t="s">
        <v>119</v>
      </c>
      <c r="C119" s="7" t="s">
        <v>189</v>
      </c>
      <c r="D119" s="5" t="s">
        <v>758</v>
      </c>
      <c r="E119" s="5" t="s">
        <v>759</v>
      </c>
      <c r="F119" s="5" t="s">
        <v>760</v>
      </c>
      <c r="G119" s="7" t="s">
        <v>8</v>
      </c>
      <c r="H119" s="10" t="s">
        <v>51</v>
      </c>
      <c r="I119" s="7" t="s">
        <v>189</v>
      </c>
      <c r="J119" s="5" t="s">
        <v>761</v>
      </c>
      <c r="K119" s="54"/>
    </row>
    <row r="120" spans="1:11" ht="80" customHeight="1" x14ac:dyDescent="0.45">
      <c r="A120" s="7" t="s">
        <v>762</v>
      </c>
      <c r="B120" s="7" t="s">
        <v>360</v>
      </c>
      <c r="C120" s="7" t="s">
        <v>78</v>
      </c>
      <c r="D120" s="5" t="s">
        <v>763</v>
      </c>
      <c r="E120" s="5" t="s">
        <v>764</v>
      </c>
      <c r="F120" s="5" t="s">
        <v>765</v>
      </c>
      <c r="G120" s="7" t="s">
        <v>8</v>
      </c>
      <c r="H120" s="10" t="s">
        <v>51</v>
      </c>
      <c r="I120" s="7" t="s">
        <v>78</v>
      </c>
      <c r="J120" s="5" t="s">
        <v>766</v>
      </c>
      <c r="K120" s="54"/>
    </row>
    <row r="121" spans="1:11" ht="80" customHeight="1" x14ac:dyDescent="0.45">
      <c r="A121" s="7" t="s">
        <v>767</v>
      </c>
      <c r="B121" s="7" t="s">
        <v>119</v>
      </c>
      <c r="C121" s="7" t="s">
        <v>189</v>
      </c>
      <c r="D121" s="5" t="s">
        <v>768</v>
      </c>
      <c r="E121" s="5" t="s">
        <v>769</v>
      </c>
      <c r="F121" s="5" t="s">
        <v>770</v>
      </c>
      <c r="G121" s="7" t="s">
        <v>8</v>
      </c>
      <c r="H121" s="10" t="s">
        <v>51</v>
      </c>
      <c r="I121" s="7" t="s">
        <v>189</v>
      </c>
      <c r="J121" s="5" t="s">
        <v>771</v>
      </c>
      <c r="K121" s="54"/>
    </row>
    <row r="122" spans="1:11" ht="80" customHeight="1" x14ac:dyDescent="0.45">
      <c r="A122" s="7" t="s">
        <v>772</v>
      </c>
      <c r="B122" s="7" t="s">
        <v>119</v>
      </c>
      <c r="C122" s="7" t="s">
        <v>189</v>
      </c>
      <c r="D122" s="5" t="s">
        <v>773</v>
      </c>
      <c r="E122" s="5" t="s">
        <v>774</v>
      </c>
      <c r="F122" s="5" t="s">
        <v>775</v>
      </c>
      <c r="G122" s="7" t="s">
        <v>8</v>
      </c>
      <c r="H122" s="10" t="s">
        <v>51</v>
      </c>
      <c r="I122" s="7" t="s">
        <v>189</v>
      </c>
      <c r="J122" s="5" t="s">
        <v>776</v>
      </c>
      <c r="K122" s="54"/>
    </row>
    <row r="123" spans="1:11" ht="80" customHeight="1" x14ac:dyDescent="0.45">
      <c r="A123" s="7" t="s">
        <v>777</v>
      </c>
      <c r="B123" s="7" t="s">
        <v>778</v>
      </c>
      <c r="C123" s="7" t="s">
        <v>189</v>
      </c>
      <c r="D123" s="5" t="s">
        <v>779</v>
      </c>
      <c r="E123" s="5" t="s">
        <v>780</v>
      </c>
      <c r="F123" s="5" t="s">
        <v>781</v>
      </c>
      <c r="G123" s="7" t="s">
        <v>8</v>
      </c>
      <c r="H123" s="10" t="s">
        <v>51</v>
      </c>
      <c r="I123" s="7" t="s">
        <v>189</v>
      </c>
      <c r="J123" s="5" t="s">
        <v>782</v>
      </c>
      <c r="K123" s="54"/>
    </row>
    <row r="124" spans="1:11" ht="80" customHeight="1" x14ac:dyDescent="0.45">
      <c r="A124" s="7" t="s">
        <v>783</v>
      </c>
      <c r="B124" s="7" t="s">
        <v>628</v>
      </c>
      <c r="C124" s="7" t="s">
        <v>189</v>
      </c>
      <c r="D124" s="5" t="s">
        <v>784</v>
      </c>
      <c r="E124" s="5" t="s">
        <v>785</v>
      </c>
      <c r="F124" s="5" t="s">
        <v>786</v>
      </c>
      <c r="G124" s="7" t="s">
        <v>8</v>
      </c>
      <c r="H124" s="10" t="s">
        <v>51</v>
      </c>
      <c r="I124" s="7" t="s">
        <v>189</v>
      </c>
      <c r="J124" s="5" t="s">
        <v>787</v>
      </c>
      <c r="K124" s="54"/>
    </row>
    <row r="125" spans="1:11" ht="80" customHeight="1" x14ac:dyDescent="0.45">
      <c r="A125" s="7" t="s">
        <v>788</v>
      </c>
      <c r="B125" s="7" t="s">
        <v>119</v>
      </c>
      <c r="C125" s="7" t="s">
        <v>78</v>
      </c>
      <c r="D125" s="5" t="s">
        <v>789</v>
      </c>
      <c r="E125" s="5" t="s">
        <v>790</v>
      </c>
      <c r="F125" s="5" t="s">
        <v>791</v>
      </c>
      <c r="G125" s="7" t="s">
        <v>8</v>
      </c>
      <c r="H125" s="10" t="s">
        <v>51</v>
      </c>
      <c r="I125" s="7" t="s">
        <v>78</v>
      </c>
      <c r="J125" s="5" t="s">
        <v>792</v>
      </c>
      <c r="K125" s="54"/>
    </row>
    <row r="126" spans="1:11" ht="80" customHeight="1" x14ac:dyDescent="0.45">
      <c r="A126" s="7" t="s">
        <v>793</v>
      </c>
      <c r="B126" s="7" t="s">
        <v>119</v>
      </c>
      <c r="C126" s="7" t="s">
        <v>78</v>
      </c>
      <c r="D126" s="5" t="s">
        <v>794</v>
      </c>
      <c r="E126" s="5" t="s">
        <v>795</v>
      </c>
      <c r="F126" s="5" t="s">
        <v>796</v>
      </c>
      <c r="G126" s="7" t="s">
        <v>8</v>
      </c>
      <c r="H126" s="10" t="s">
        <v>51</v>
      </c>
      <c r="I126" s="7" t="s">
        <v>78</v>
      </c>
      <c r="J126" s="5" t="s">
        <v>797</v>
      </c>
      <c r="K126" s="54"/>
    </row>
    <row r="127" spans="1:11" ht="80" customHeight="1" x14ac:dyDescent="0.45">
      <c r="A127" s="7" t="s">
        <v>798</v>
      </c>
      <c r="B127" s="7" t="s">
        <v>119</v>
      </c>
      <c r="C127" s="7" t="s">
        <v>189</v>
      </c>
      <c r="D127" s="5" t="s">
        <v>799</v>
      </c>
      <c r="E127" s="5" t="s">
        <v>800</v>
      </c>
      <c r="F127" s="5" t="s">
        <v>801</v>
      </c>
      <c r="G127" s="7" t="s">
        <v>8</v>
      </c>
      <c r="H127" s="10" t="s">
        <v>51</v>
      </c>
      <c r="I127" s="7" t="s">
        <v>189</v>
      </c>
      <c r="J127" s="5" t="s">
        <v>802</v>
      </c>
      <c r="K127" s="54"/>
    </row>
    <row r="128" spans="1:11" ht="80" customHeight="1" x14ac:dyDescent="0.45">
      <c r="A128" s="7" t="s">
        <v>803</v>
      </c>
      <c r="B128" s="7" t="s">
        <v>119</v>
      </c>
      <c r="C128" s="7" t="s">
        <v>189</v>
      </c>
      <c r="D128" s="5" t="s">
        <v>804</v>
      </c>
      <c r="E128" s="5" t="s">
        <v>805</v>
      </c>
      <c r="F128" s="5" t="s">
        <v>806</v>
      </c>
      <c r="G128" s="7" t="s">
        <v>8</v>
      </c>
      <c r="H128" s="10" t="s">
        <v>51</v>
      </c>
      <c r="I128" s="7" t="s">
        <v>189</v>
      </c>
      <c r="J128" s="5" t="s">
        <v>807</v>
      </c>
      <c r="K128" s="54"/>
    </row>
    <row r="129" spans="1:11" ht="80" customHeight="1" x14ac:dyDescent="0.45">
      <c r="A129" s="7" t="s">
        <v>808</v>
      </c>
      <c r="B129" s="7" t="s">
        <v>809</v>
      </c>
      <c r="C129" s="7" t="s">
        <v>78</v>
      </c>
      <c r="D129" s="5" t="s">
        <v>810</v>
      </c>
      <c r="E129" s="5" t="s">
        <v>811</v>
      </c>
      <c r="F129" s="5" t="s">
        <v>812</v>
      </c>
      <c r="G129" s="7" t="s">
        <v>8</v>
      </c>
      <c r="H129" s="10" t="s">
        <v>51</v>
      </c>
      <c r="I129" s="7" t="s">
        <v>78</v>
      </c>
      <c r="J129" s="5" t="s">
        <v>813</v>
      </c>
      <c r="K129" s="54"/>
    </row>
    <row r="130" spans="1:11" ht="80" customHeight="1" x14ac:dyDescent="0.45">
      <c r="A130" s="7" t="s">
        <v>814</v>
      </c>
      <c r="B130" s="7" t="s">
        <v>81</v>
      </c>
      <c r="C130" s="7" t="s">
        <v>78</v>
      </c>
      <c r="D130" s="5" t="s">
        <v>815</v>
      </c>
      <c r="E130" s="5" t="s">
        <v>816</v>
      </c>
      <c r="F130" s="5" t="s">
        <v>817</v>
      </c>
      <c r="G130" s="7" t="s">
        <v>8</v>
      </c>
      <c r="H130" s="10" t="s">
        <v>51</v>
      </c>
      <c r="I130" s="7" t="s">
        <v>78</v>
      </c>
      <c r="J130" s="5" t="s">
        <v>818</v>
      </c>
      <c r="K130" s="54"/>
    </row>
    <row r="131" spans="1:11" ht="80" customHeight="1" x14ac:dyDescent="0.45">
      <c r="A131" s="7" t="s">
        <v>819</v>
      </c>
      <c r="B131" s="7" t="s">
        <v>360</v>
      </c>
      <c r="C131" s="7" t="s">
        <v>78</v>
      </c>
      <c r="D131" s="5" t="s">
        <v>820</v>
      </c>
      <c r="E131" s="5" t="s">
        <v>821</v>
      </c>
      <c r="F131" s="5" t="s">
        <v>822</v>
      </c>
      <c r="G131" s="7" t="s">
        <v>8</v>
      </c>
      <c r="H131" s="10" t="s">
        <v>51</v>
      </c>
      <c r="I131" s="7" t="s">
        <v>78</v>
      </c>
      <c r="J131" s="5" t="s">
        <v>823</v>
      </c>
      <c r="K131" s="54"/>
    </row>
    <row r="132" spans="1:11" ht="80" customHeight="1" x14ac:dyDescent="0.45">
      <c r="A132" s="7" t="s">
        <v>824</v>
      </c>
      <c r="B132" s="7" t="s">
        <v>628</v>
      </c>
      <c r="C132" s="7" t="s">
        <v>189</v>
      </c>
      <c r="D132" s="5" t="s">
        <v>825</v>
      </c>
      <c r="E132" s="5" t="s">
        <v>826</v>
      </c>
      <c r="F132" s="5" t="s">
        <v>827</v>
      </c>
      <c r="G132" s="7" t="s">
        <v>8</v>
      </c>
      <c r="H132" s="10" t="s">
        <v>51</v>
      </c>
      <c r="I132" s="7" t="s">
        <v>189</v>
      </c>
      <c r="J132" s="5" t="s">
        <v>828</v>
      </c>
      <c r="K132" s="54"/>
    </row>
    <row r="133" spans="1:11" ht="80" customHeight="1" x14ac:dyDescent="0.45">
      <c r="A133" s="7" t="s">
        <v>829</v>
      </c>
      <c r="B133" s="7" t="s">
        <v>346</v>
      </c>
      <c r="C133" s="7" t="s">
        <v>78</v>
      </c>
      <c r="D133" s="5" t="s">
        <v>830</v>
      </c>
      <c r="E133" s="5" t="s">
        <v>831</v>
      </c>
      <c r="F133" s="5" t="s">
        <v>832</v>
      </c>
      <c r="G133" s="7" t="s">
        <v>8</v>
      </c>
      <c r="H133" s="10" t="s">
        <v>51</v>
      </c>
      <c r="I133" s="7" t="s">
        <v>78</v>
      </c>
      <c r="J133" s="5" t="s">
        <v>833</v>
      </c>
      <c r="K133" s="54"/>
    </row>
    <row r="134" spans="1:11" ht="80" customHeight="1" x14ac:dyDescent="0.45">
      <c r="A134" s="7" t="s">
        <v>834</v>
      </c>
      <c r="B134" s="7" t="s">
        <v>346</v>
      </c>
      <c r="C134" s="7" t="s">
        <v>78</v>
      </c>
      <c r="D134" s="5" t="s">
        <v>835</v>
      </c>
      <c r="E134" s="5" t="s">
        <v>836</v>
      </c>
      <c r="F134" s="5" t="s">
        <v>837</v>
      </c>
      <c r="G134" s="7" t="s">
        <v>8</v>
      </c>
      <c r="H134" s="10" t="s">
        <v>51</v>
      </c>
      <c r="I134" s="7" t="s">
        <v>78</v>
      </c>
      <c r="J134" s="5" t="s">
        <v>838</v>
      </c>
      <c r="K134" s="54"/>
    </row>
    <row r="135" spans="1:11" ht="80" customHeight="1" x14ac:dyDescent="0.45">
      <c r="A135" s="7" t="s">
        <v>839</v>
      </c>
      <c r="B135" s="7" t="s">
        <v>346</v>
      </c>
      <c r="C135" s="7" t="s">
        <v>189</v>
      </c>
      <c r="D135" s="5" t="s">
        <v>840</v>
      </c>
      <c r="E135" s="5" t="s">
        <v>841</v>
      </c>
      <c r="F135" s="5" t="s">
        <v>842</v>
      </c>
      <c r="G135" s="7" t="s">
        <v>8</v>
      </c>
      <c r="H135" s="10" t="s">
        <v>51</v>
      </c>
      <c r="I135" s="7" t="s">
        <v>189</v>
      </c>
      <c r="J135" s="5" t="s">
        <v>843</v>
      </c>
      <c r="K135" s="54"/>
    </row>
    <row r="136" spans="1:11" ht="80" customHeight="1" x14ac:dyDescent="0.45">
      <c r="A136" s="7" t="s">
        <v>844</v>
      </c>
      <c r="B136" s="7" t="s">
        <v>845</v>
      </c>
      <c r="C136" s="7" t="s">
        <v>78</v>
      </c>
      <c r="D136" s="5" t="s">
        <v>846</v>
      </c>
      <c r="E136" s="5" t="s">
        <v>847</v>
      </c>
      <c r="F136" s="5" t="s">
        <v>848</v>
      </c>
      <c r="G136" s="7" t="s">
        <v>8</v>
      </c>
      <c r="H136" s="10" t="s">
        <v>51</v>
      </c>
      <c r="I136" s="7" t="s">
        <v>78</v>
      </c>
      <c r="J136" s="5" t="s">
        <v>849</v>
      </c>
      <c r="K136" s="54"/>
    </row>
    <row r="137" spans="1:11" ht="80" customHeight="1" x14ac:dyDescent="0.45">
      <c r="A137" s="7" t="s">
        <v>850</v>
      </c>
      <c r="B137" s="7" t="s">
        <v>851</v>
      </c>
      <c r="C137" s="7" t="s">
        <v>189</v>
      </c>
      <c r="D137" s="5" t="s">
        <v>852</v>
      </c>
      <c r="E137" s="5" t="s">
        <v>853</v>
      </c>
      <c r="F137" s="5" t="s">
        <v>854</v>
      </c>
      <c r="G137" s="7" t="s">
        <v>8</v>
      </c>
      <c r="H137" s="10" t="s">
        <v>51</v>
      </c>
      <c r="I137" s="7" t="s">
        <v>189</v>
      </c>
      <c r="J137" s="5" t="s">
        <v>855</v>
      </c>
      <c r="K137" s="54"/>
    </row>
    <row r="138" spans="1:11" ht="80" customHeight="1" x14ac:dyDescent="0.45">
      <c r="A138" s="7" t="s">
        <v>856</v>
      </c>
      <c r="B138" s="7" t="s">
        <v>857</v>
      </c>
      <c r="C138" s="7" t="s">
        <v>78</v>
      </c>
      <c r="D138" s="5" t="s">
        <v>858</v>
      </c>
      <c r="E138" s="5" t="s">
        <v>859</v>
      </c>
      <c r="F138" s="5" t="s">
        <v>860</v>
      </c>
      <c r="G138" s="7" t="s">
        <v>8</v>
      </c>
      <c r="H138" s="10" t="s">
        <v>51</v>
      </c>
      <c r="I138" s="7" t="s">
        <v>78</v>
      </c>
      <c r="J138" s="5" t="s">
        <v>861</v>
      </c>
      <c r="K138" s="54"/>
    </row>
    <row r="139" spans="1:11" ht="80" customHeight="1" x14ac:dyDescent="0.45">
      <c r="A139" s="7" t="s">
        <v>862</v>
      </c>
      <c r="B139" s="7" t="s">
        <v>851</v>
      </c>
      <c r="C139" s="7" t="s">
        <v>189</v>
      </c>
      <c r="D139" s="5" t="s">
        <v>863</v>
      </c>
      <c r="E139" s="5" t="s">
        <v>864</v>
      </c>
      <c r="F139" s="5" t="s">
        <v>865</v>
      </c>
      <c r="G139" s="7" t="s">
        <v>8</v>
      </c>
      <c r="H139" s="10" t="s">
        <v>51</v>
      </c>
      <c r="I139" s="7" t="s">
        <v>189</v>
      </c>
      <c r="J139" s="5" t="s">
        <v>866</v>
      </c>
      <c r="K139" s="54"/>
    </row>
    <row r="140" spans="1:11" ht="80" customHeight="1" x14ac:dyDescent="0.45">
      <c r="A140" s="7" t="s">
        <v>867</v>
      </c>
      <c r="B140" s="7" t="s">
        <v>346</v>
      </c>
      <c r="C140" s="7" t="s">
        <v>189</v>
      </c>
      <c r="D140" s="5" t="s">
        <v>868</v>
      </c>
      <c r="E140" s="5" t="s">
        <v>869</v>
      </c>
      <c r="F140" s="5" t="s">
        <v>870</v>
      </c>
      <c r="G140" s="7" t="s">
        <v>8</v>
      </c>
      <c r="H140" s="10" t="s">
        <v>51</v>
      </c>
      <c r="I140" s="7" t="s">
        <v>189</v>
      </c>
      <c r="J140" s="5" t="s">
        <v>871</v>
      </c>
      <c r="K140" s="54"/>
    </row>
    <row r="141" spans="1:11" ht="80" customHeight="1" x14ac:dyDescent="0.45">
      <c r="A141" s="7" t="s">
        <v>872</v>
      </c>
      <c r="B141" s="7" t="s">
        <v>845</v>
      </c>
      <c r="C141" s="7" t="s">
        <v>78</v>
      </c>
      <c r="D141" s="5" t="s">
        <v>873</v>
      </c>
      <c r="E141" s="5" t="s">
        <v>874</v>
      </c>
      <c r="F141" s="5" t="s">
        <v>875</v>
      </c>
      <c r="G141" s="7" t="s">
        <v>8</v>
      </c>
      <c r="H141" s="10" t="s">
        <v>51</v>
      </c>
      <c r="I141" s="7" t="s">
        <v>78</v>
      </c>
      <c r="J141" s="5" t="s">
        <v>876</v>
      </c>
      <c r="K141" s="54"/>
    </row>
    <row r="142" spans="1:11" ht="80" customHeight="1" x14ac:dyDescent="0.45">
      <c r="A142" s="7" t="s">
        <v>877</v>
      </c>
      <c r="B142" s="7" t="s">
        <v>119</v>
      </c>
      <c r="C142" s="7" t="s">
        <v>78</v>
      </c>
      <c r="D142" s="5" t="s">
        <v>878</v>
      </c>
      <c r="E142" s="5" t="s">
        <v>879</v>
      </c>
      <c r="F142" s="5" t="s">
        <v>880</v>
      </c>
      <c r="G142" s="7" t="s">
        <v>8</v>
      </c>
      <c r="H142" s="10" t="s">
        <v>51</v>
      </c>
      <c r="I142" s="7" t="s">
        <v>78</v>
      </c>
      <c r="J142" s="5"/>
      <c r="K142" s="54"/>
    </row>
    <row r="143" spans="1:11" ht="80" customHeight="1" x14ac:dyDescent="0.45">
      <c r="A143" s="7" t="s">
        <v>881</v>
      </c>
      <c r="B143" s="7" t="s">
        <v>882</v>
      </c>
      <c r="C143" s="7" t="s">
        <v>78</v>
      </c>
      <c r="D143" s="5" t="s">
        <v>883</v>
      </c>
      <c r="E143" s="5" t="s">
        <v>884</v>
      </c>
      <c r="F143" s="5" t="s">
        <v>885</v>
      </c>
      <c r="G143" s="7" t="s">
        <v>8</v>
      </c>
      <c r="H143" s="10" t="s">
        <v>51</v>
      </c>
      <c r="I143" s="7" t="s">
        <v>78</v>
      </c>
      <c r="J143" s="5"/>
      <c r="K143" s="54"/>
    </row>
    <row r="144" spans="1:11" ht="80" customHeight="1" x14ac:dyDescent="0.45">
      <c r="A144" s="7" t="s">
        <v>886</v>
      </c>
      <c r="B144" s="7" t="s">
        <v>119</v>
      </c>
      <c r="C144" s="7" t="s">
        <v>189</v>
      </c>
      <c r="D144" s="5" t="s">
        <v>887</v>
      </c>
      <c r="E144" s="5" t="s">
        <v>888</v>
      </c>
      <c r="F144" s="5" t="s">
        <v>889</v>
      </c>
      <c r="G144" s="7" t="s">
        <v>8</v>
      </c>
      <c r="H144" s="10" t="s">
        <v>51</v>
      </c>
      <c r="I144" s="7" t="s">
        <v>189</v>
      </c>
      <c r="J144" s="5"/>
      <c r="K144" s="54"/>
    </row>
    <row r="145" spans="1:11" ht="80" customHeight="1" x14ac:dyDescent="0.45">
      <c r="A145" s="7" t="s">
        <v>890</v>
      </c>
      <c r="B145" s="7" t="s">
        <v>360</v>
      </c>
      <c r="C145" s="7" t="s">
        <v>189</v>
      </c>
      <c r="D145" s="5" t="s">
        <v>891</v>
      </c>
      <c r="E145" s="5" t="s">
        <v>892</v>
      </c>
      <c r="F145" s="5" t="s">
        <v>893</v>
      </c>
      <c r="G145" s="7" t="s">
        <v>8</v>
      </c>
      <c r="H145" s="10" t="s">
        <v>51</v>
      </c>
      <c r="I145" s="7" t="s">
        <v>189</v>
      </c>
      <c r="J145" s="5" t="s">
        <v>894</v>
      </c>
      <c r="K145" s="54"/>
    </row>
    <row r="146" spans="1:11" ht="80" customHeight="1" x14ac:dyDescent="0.45">
      <c r="A146" s="7" t="s">
        <v>895</v>
      </c>
      <c r="B146" s="7" t="s">
        <v>119</v>
      </c>
      <c r="C146" s="7" t="s">
        <v>189</v>
      </c>
      <c r="D146" s="5" t="s">
        <v>896</v>
      </c>
      <c r="E146" s="5" t="s">
        <v>897</v>
      </c>
      <c r="F146" s="5" t="s">
        <v>898</v>
      </c>
      <c r="G146" s="7" t="s">
        <v>8</v>
      </c>
      <c r="H146" s="10" t="s">
        <v>51</v>
      </c>
      <c r="I146" s="7" t="s">
        <v>189</v>
      </c>
      <c r="J146" s="5"/>
      <c r="K146" s="54"/>
    </row>
    <row r="147" spans="1:11" ht="80" customHeight="1" x14ac:dyDescent="0.45">
      <c r="A147" s="7" t="s">
        <v>899</v>
      </c>
      <c r="B147" s="7" t="s">
        <v>119</v>
      </c>
      <c r="C147" s="7" t="s">
        <v>189</v>
      </c>
      <c r="D147" s="5" t="s">
        <v>900</v>
      </c>
      <c r="E147" s="5" t="s">
        <v>901</v>
      </c>
      <c r="F147" s="5" t="s">
        <v>875</v>
      </c>
      <c r="G147" s="7" t="s">
        <v>8</v>
      </c>
      <c r="H147" s="10" t="s">
        <v>51</v>
      </c>
      <c r="I147" s="7" t="s">
        <v>189</v>
      </c>
      <c r="J147" s="5"/>
      <c r="K147" s="54"/>
    </row>
    <row r="148" spans="1:11" ht="80" customHeight="1" x14ac:dyDescent="0.45">
      <c r="A148" s="7" t="s">
        <v>902</v>
      </c>
      <c r="B148" s="7" t="s">
        <v>119</v>
      </c>
      <c r="C148" s="7" t="s">
        <v>189</v>
      </c>
      <c r="D148" s="5" t="s">
        <v>903</v>
      </c>
      <c r="E148" s="5" t="s">
        <v>904</v>
      </c>
      <c r="F148" s="5" t="s">
        <v>905</v>
      </c>
      <c r="G148" s="7" t="s">
        <v>8</v>
      </c>
      <c r="H148" s="10" t="s">
        <v>51</v>
      </c>
      <c r="I148" s="7" t="s">
        <v>189</v>
      </c>
      <c r="J148" s="5"/>
      <c r="K148" s="54"/>
    </row>
    <row r="149" spans="1:11" ht="80" customHeight="1" x14ac:dyDescent="0.45">
      <c r="A149" s="7" t="s">
        <v>906</v>
      </c>
      <c r="B149" s="7" t="s">
        <v>628</v>
      </c>
      <c r="C149" s="7" t="s">
        <v>78</v>
      </c>
      <c r="D149" s="5" t="s">
        <v>907</v>
      </c>
      <c r="E149" s="5" t="s">
        <v>908</v>
      </c>
      <c r="F149" s="5" t="s">
        <v>909</v>
      </c>
      <c r="G149" s="7" t="s">
        <v>8</v>
      </c>
      <c r="H149" s="10" t="s">
        <v>51</v>
      </c>
      <c r="I149" s="7" t="s">
        <v>78</v>
      </c>
      <c r="J149" s="5"/>
      <c r="K149" s="54"/>
    </row>
    <row r="150" spans="1:11" ht="80" customHeight="1" x14ac:dyDescent="0.45">
      <c r="A150" s="7" t="s">
        <v>910</v>
      </c>
      <c r="B150" s="7" t="s">
        <v>845</v>
      </c>
      <c r="C150" s="7" t="s">
        <v>78</v>
      </c>
      <c r="D150" s="5" t="s">
        <v>911</v>
      </c>
      <c r="E150" s="5" t="s">
        <v>912</v>
      </c>
      <c r="F150" s="5" t="s">
        <v>913</v>
      </c>
      <c r="G150" s="7" t="s">
        <v>8</v>
      </c>
      <c r="H150" s="10" t="s">
        <v>51</v>
      </c>
      <c r="I150" s="7" t="s">
        <v>78</v>
      </c>
      <c r="J150" s="5" t="s">
        <v>914</v>
      </c>
      <c r="K150" s="54"/>
    </row>
    <row r="151" spans="1:11" ht="80" customHeight="1" x14ac:dyDescent="0.45">
      <c r="A151" s="7" t="s">
        <v>915</v>
      </c>
      <c r="B151" s="7" t="s">
        <v>271</v>
      </c>
      <c r="C151" s="7" t="s">
        <v>78</v>
      </c>
      <c r="D151" s="5" t="s">
        <v>916</v>
      </c>
      <c r="E151" s="5" t="s">
        <v>917</v>
      </c>
      <c r="F151" s="5" t="s">
        <v>918</v>
      </c>
      <c r="G151" s="7" t="s">
        <v>8</v>
      </c>
      <c r="H151" s="10" t="s">
        <v>51</v>
      </c>
      <c r="I151" s="7" t="s">
        <v>78</v>
      </c>
      <c r="J151" s="5" t="s">
        <v>919</v>
      </c>
      <c r="K151" s="54"/>
    </row>
    <row r="152" spans="1:11" ht="80" customHeight="1" x14ac:dyDescent="0.45">
      <c r="A152" s="7" t="s">
        <v>920</v>
      </c>
      <c r="B152" s="7" t="s">
        <v>104</v>
      </c>
      <c r="C152" s="7" t="s">
        <v>189</v>
      </c>
      <c r="D152" s="5" t="s">
        <v>921</v>
      </c>
      <c r="E152" s="5" t="s">
        <v>922</v>
      </c>
      <c r="F152" s="5" t="s">
        <v>923</v>
      </c>
      <c r="G152" s="7" t="s">
        <v>8</v>
      </c>
      <c r="H152" s="10" t="s">
        <v>51</v>
      </c>
      <c r="I152" s="7" t="s">
        <v>189</v>
      </c>
      <c r="J152" s="5" t="s">
        <v>924</v>
      </c>
      <c r="K152" s="54"/>
    </row>
    <row r="153" spans="1:11" ht="80" customHeight="1" x14ac:dyDescent="0.45">
      <c r="A153" s="7" t="s">
        <v>925</v>
      </c>
      <c r="B153" s="7" t="s">
        <v>845</v>
      </c>
      <c r="C153" s="7" t="s">
        <v>78</v>
      </c>
      <c r="D153" s="5" t="s">
        <v>926</v>
      </c>
      <c r="E153" s="5" t="s">
        <v>927</v>
      </c>
      <c r="F153" s="5" t="s">
        <v>928</v>
      </c>
      <c r="G153" s="7" t="s">
        <v>8</v>
      </c>
      <c r="H153" s="10" t="s">
        <v>51</v>
      </c>
      <c r="I153" s="7" t="s">
        <v>78</v>
      </c>
      <c r="J153" s="5" t="s">
        <v>929</v>
      </c>
      <c r="K153" s="54"/>
    </row>
    <row r="154" spans="1:11" ht="80" customHeight="1" x14ac:dyDescent="0.45">
      <c r="A154" s="7" t="s">
        <v>930</v>
      </c>
      <c r="B154" s="7" t="s">
        <v>931</v>
      </c>
      <c r="C154" s="7" t="s">
        <v>189</v>
      </c>
      <c r="D154" s="5" t="s">
        <v>932</v>
      </c>
      <c r="E154" s="5" t="s">
        <v>933</v>
      </c>
      <c r="F154" s="5" t="s">
        <v>934</v>
      </c>
      <c r="G154" s="7" t="s">
        <v>8</v>
      </c>
      <c r="H154" s="10" t="s">
        <v>51</v>
      </c>
      <c r="I154" s="7" t="s">
        <v>189</v>
      </c>
      <c r="J154" s="5" t="s">
        <v>935</v>
      </c>
      <c r="K154" s="54"/>
    </row>
    <row r="155" spans="1:11" ht="80" customHeight="1" x14ac:dyDescent="0.45">
      <c r="A155" s="7" t="s">
        <v>936</v>
      </c>
      <c r="B155" s="7" t="s">
        <v>179</v>
      </c>
      <c r="C155" s="7" t="s">
        <v>78</v>
      </c>
      <c r="D155" s="5" t="s">
        <v>937</v>
      </c>
      <c r="E155" s="5" t="s">
        <v>938</v>
      </c>
      <c r="F155" s="5" t="s">
        <v>939</v>
      </c>
      <c r="G155" s="7" t="s">
        <v>8</v>
      </c>
      <c r="H155" s="10" t="s">
        <v>51</v>
      </c>
      <c r="I155" s="7" t="s">
        <v>78</v>
      </c>
      <c r="J155" s="5" t="s">
        <v>940</v>
      </c>
      <c r="K155" s="54"/>
    </row>
    <row r="156" spans="1:11" ht="80" customHeight="1" x14ac:dyDescent="0.45">
      <c r="A156" s="7" t="s">
        <v>941</v>
      </c>
      <c r="B156" s="7" t="s">
        <v>778</v>
      </c>
      <c r="C156" s="7" t="s">
        <v>78</v>
      </c>
      <c r="D156" s="5" t="s">
        <v>942</v>
      </c>
      <c r="E156" s="5" t="s">
        <v>943</v>
      </c>
      <c r="F156" s="5" t="s">
        <v>944</v>
      </c>
      <c r="G156" s="7" t="s">
        <v>8</v>
      </c>
      <c r="H156" s="10" t="s">
        <v>51</v>
      </c>
      <c r="I156" s="7" t="s">
        <v>78</v>
      </c>
      <c r="J156" s="5" t="s">
        <v>945</v>
      </c>
      <c r="K156" s="54"/>
    </row>
    <row r="157" spans="1:11" ht="80" customHeight="1" x14ac:dyDescent="0.45">
      <c r="A157" s="7" t="s">
        <v>946</v>
      </c>
      <c r="B157" s="7" t="s">
        <v>778</v>
      </c>
      <c r="C157" s="7" t="s">
        <v>189</v>
      </c>
      <c r="D157" s="5" t="s">
        <v>947</v>
      </c>
      <c r="E157" s="5" t="s">
        <v>948</v>
      </c>
      <c r="F157" s="5" t="s">
        <v>949</v>
      </c>
      <c r="G157" s="7" t="s">
        <v>8</v>
      </c>
      <c r="H157" s="10" t="s">
        <v>51</v>
      </c>
      <c r="I157" s="7" t="s">
        <v>189</v>
      </c>
      <c r="J157" s="5" t="s">
        <v>950</v>
      </c>
      <c r="K157" s="54"/>
    </row>
    <row r="158" spans="1:11" ht="156" customHeight="1" x14ac:dyDescent="0.45">
      <c r="A158" s="7" t="s">
        <v>951</v>
      </c>
      <c r="B158" s="7" t="s">
        <v>255</v>
      </c>
      <c r="C158" s="7" t="s">
        <v>78</v>
      </c>
      <c r="D158" s="5" t="s">
        <v>952</v>
      </c>
      <c r="E158" s="5" t="s">
        <v>953</v>
      </c>
      <c r="F158" s="5" t="s">
        <v>954</v>
      </c>
      <c r="G158" s="7" t="s">
        <v>8</v>
      </c>
      <c r="H158" s="10" t="s">
        <v>51</v>
      </c>
      <c r="I158" s="7" t="s">
        <v>78</v>
      </c>
      <c r="J158" s="5" t="s">
        <v>955</v>
      </c>
      <c r="K158" s="54"/>
    </row>
    <row r="159" spans="1:11" ht="145" x14ac:dyDescent="0.45">
      <c r="A159" s="7" t="s">
        <v>956</v>
      </c>
      <c r="B159" s="7" t="s">
        <v>255</v>
      </c>
      <c r="C159" s="7" t="s">
        <v>189</v>
      </c>
      <c r="D159" s="5" t="s">
        <v>957</v>
      </c>
      <c r="E159" s="5" t="s">
        <v>958</v>
      </c>
      <c r="F159" s="5" t="s">
        <v>959</v>
      </c>
      <c r="G159" s="7" t="s">
        <v>8</v>
      </c>
      <c r="H159" s="10" t="s">
        <v>51</v>
      </c>
      <c r="I159" s="7" t="s">
        <v>189</v>
      </c>
      <c r="J159" s="5" t="s">
        <v>960</v>
      </c>
      <c r="K159" s="54" t="s">
        <v>1761</v>
      </c>
    </row>
    <row r="160" spans="1:11" ht="101.5" x14ac:dyDescent="0.45">
      <c r="A160" s="7" t="s">
        <v>961</v>
      </c>
      <c r="B160" s="7" t="s">
        <v>255</v>
      </c>
      <c r="C160" s="7" t="s">
        <v>189</v>
      </c>
      <c r="D160" s="5" t="s">
        <v>962</v>
      </c>
      <c r="E160" s="5" t="s">
        <v>963</v>
      </c>
      <c r="F160" s="5" t="s">
        <v>964</v>
      </c>
      <c r="G160" s="7" t="s">
        <v>8</v>
      </c>
      <c r="H160" s="10" t="s">
        <v>51</v>
      </c>
      <c r="I160" s="7" t="s">
        <v>189</v>
      </c>
      <c r="J160" s="5" t="s">
        <v>965</v>
      </c>
      <c r="K160" s="54" t="s">
        <v>1760</v>
      </c>
    </row>
    <row r="161" spans="1:11" ht="101.5" x14ac:dyDescent="0.45">
      <c r="A161" s="7" t="s">
        <v>966</v>
      </c>
      <c r="B161" s="7" t="s">
        <v>360</v>
      </c>
      <c r="C161" s="7" t="s">
        <v>78</v>
      </c>
      <c r="D161" s="5" t="s">
        <v>967</v>
      </c>
      <c r="E161" s="5" t="s">
        <v>968</v>
      </c>
      <c r="F161" s="5" t="s">
        <v>969</v>
      </c>
      <c r="G161" s="7" t="s">
        <v>8</v>
      </c>
      <c r="H161" s="10" t="s">
        <v>51</v>
      </c>
      <c r="I161" s="7" t="s">
        <v>78</v>
      </c>
      <c r="J161" s="5" t="s">
        <v>970</v>
      </c>
      <c r="K161" s="54" t="s">
        <v>1759</v>
      </c>
    </row>
    <row r="162" spans="1:11" ht="101.5" x14ac:dyDescent="0.45">
      <c r="A162" s="7" t="s">
        <v>971</v>
      </c>
      <c r="B162" s="7" t="s">
        <v>255</v>
      </c>
      <c r="C162" s="7" t="s">
        <v>189</v>
      </c>
      <c r="D162" s="5" t="s">
        <v>972</v>
      </c>
      <c r="E162" s="5" t="s">
        <v>973</v>
      </c>
      <c r="F162" s="5" t="s">
        <v>974</v>
      </c>
      <c r="G162" s="7" t="s">
        <v>8</v>
      </c>
      <c r="H162" s="10" t="s">
        <v>51</v>
      </c>
      <c r="I162" s="7" t="s">
        <v>189</v>
      </c>
      <c r="J162" s="5" t="s">
        <v>975</v>
      </c>
      <c r="K162" s="54" t="s">
        <v>1758</v>
      </c>
    </row>
    <row r="163" spans="1:11" ht="116" x14ac:dyDescent="0.45">
      <c r="A163" s="7" t="s">
        <v>976</v>
      </c>
      <c r="B163" s="7" t="s">
        <v>356</v>
      </c>
      <c r="C163" s="7" t="s">
        <v>78</v>
      </c>
      <c r="D163" s="5" t="s">
        <v>977</v>
      </c>
      <c r="E163" s="5" t="s">
        <v>978</v>
      </c>
      <c r="F163" s="5" t="s">
        <v>979</v>
      </c>
      <c r="G163" s="7" t="s">
        <v>8</v>
      </c>
      <c r="H163" s="10" t="s">
        <v>51</v>
      </c>
      <c r="I163" s="7" t="s">
        <v>78</v>
      </c>
      <c r="J163" s="5" t="s">
        <v>1757</v>
      </c>
      <c r="K163" s="54"/>
    </row>
    <row r="164" spans="1:11" ht="116" x14ac:dyDescent="0.45">
      <c r="A164" s="7" t="s">
        <v>980</v>
      </c>
      <c r="B164" s="7" t="s">
        <v>360</v>
      </c>
      <c r="C164" s="7" t="s">
        <v>189</v>
      </c>
      <c r="D164" s="5" t="s">
        <v>981</v>
      </c>
      <c r="E164" s="5" t="s">
        <v>982</v>
      </c>
      <c r="F164" s="5" t="s">
        <v>983</v>
      </c>
      <c r="G164" s="7" t="s">
        <v>8</v>
      </c>
      <c r="H164" s="10" t="s">
        <v>51</v>
      </c>
      <c r="I164" s="7" t="s">
        <v>189</v>
      </c>
      <c r="J164" s="5" t="s">
        <v>1755</v>
      </c>
      <c r="K164" s="54" t="s">
        <v>1756</v>
      </c>
    </row>
    <row r="165" spans="1:11" ht="80" hidden="1" customHeight="1" x14ac:dyDescent="0.45">
      <c r="A165" s="7" t="s">
        <v>984</v>
      </c>
      <c r="B165" s="7" t="s">
        <v>360</v>
      </c>
      <c r="C165" s="7" t="s">
        <v>78</v>
      </c>
      <c r="D165" s="5" t="s">
        <v>985</v>
      </c>
      <c r="E165" s="5" t="s">
        <v>986</v>
      </c>
      <c r="F165" s="5" t="s">
        <v>987</v>
      </c>
      <c r="G165" s="7" t="s">
        <v>8</v>
      </c>
      <c r="H165" s="10" t="s">
        <v>47</v>
      </c>
      <c r="I165" s="7" t="s">
        <v>78</v>
      </c>
      <c r="J165" s="5" t="s">
        <v>988</v>
      </c>
      <c r="K165" s="54"/>
    </row>
    <row r="166" spans="1:11" ht="80" customHeight="1" x14ac:dyDescent="0.45">
      <c r="A166" s="7" t="s">
        <v>989</v>
      </c>
      <c r="B166" s="7" t="s">
        <v>119</v>
      </c>
      <c r="C166" s="7" t="s">
        <v>78</v>
      </c>
      <c r="D166" s="5" t="s">
        <v>990</v>
      </c>
      <c r="E166" s="5" t="s">
        <v>991</v>
      </c>
      <c r="F166" s="5" t="s">
        <v>992</v>
      </c>
      <c r="G166" s="7" t="s">
        <v>8</v>
      </c>
      <c r="H166" s="10" t="s">
        <v>51</v>
      </c>
      <c r="I166" s="7" t="s">
        <v>78</v>
      </c>
      <c r="J166" s="5" t="s">
        <v>993</v>
      </c>
      <c r="K166" s="54"/>
    </row>
    <row r="167" spans="1:11" ht="80" customHeight="1" x14ac:dyDescent="0.45">
      <c r="A167" s="7" t="s">
        <v>994</v>
      </c>
      <c r="B167" s="7" t="s">
        <v>255</v>
      </c>
      <c r="C167" s="7" t="s">
        <v>189</v>
      </c>
      <c r="D167" s="5" t="s">
        <v>995</v>
      </c>
      <c r="E167" s="5" t="s">
        <v>996</v>
      </c>
      <c r="F167" s="5" t="s">
        <v>997</v>
      </c>
      <c r="G167" s="7" t="s">
        <v>8</v>
      </c>
      <c r="H167" s="10" t="s">
        <v>51</v>
      </c>
      <c r="I167" s="7" t="s">
        <v>189</v>
      </c>
      <c r="J167" s="5" t="s">
        <v>1753</v>
      </c>
      <c r="K167" s="54" t="s">
        <v>1754</v>
      </c>
    </row>
    <row r="168" spans="1:11" ht="80" customHeight="1" x14ac:dyDescent="0.45">
      <c r="A168" s="7" t="s">
        <v>998</v>
      </c>
      <c r="B168" s="7" t="s">
        <v>119</v>
      </c>
      <c r="C168" s="7" t="s">
        <v>189</v>
      </c>
      <c r="D168" s="5" t="s">
        <v>999</v>
      </c>
      <c r="E168" s="5" t="s">
        <v>1000</v>
      </c>
      <c r="F168" s="5" t="s">
        <v>1001</v>
      </c>
      <c r="G168" s="7" t="s">
        <v>8</v>
      </c>
      <c r="H168" s="10" t="s">
        <v>51</v>
      </c>
      <c r="I168" s="7" t="s">
        <v>189</v>
      </c>
      <c r="J168" s="5" t="s">
        <v>1002</v>
      </c>
      <c r="K168" s="54"/>
    </row>
    <row r="169" spans="1:11" ht="80" customHeight="1" x14ac:dyDescent="0.45">
      <c r="A169" s="7" t="s">
        <v>1003</v>
      </c>
      <c r="B169" s="7" t="s">
        <v>126</v>
      </c>
      <c r="C169" s="7" t="s">
        <v>78</v>
      </c>
      <c r="D169" s="5" t="s">
        <v>1004</v>
      </c>
      <c r="E169" s="5" t="s">
        <v>1747</v>
      </c>
      <c r="F169" s="5" t="s">
        <v>1005</v>
      </c>
      <c r="G169" s="7" t="s">
        <v>8</v>
      </c>
      <c r="H169" s="10" t="s">
        <v>51</v>
      </c>
      <c r="I169" s="7" t="s">
        <v>189</v>
      </c>
      <c r="J169" s="5" t="s">
        <v>1006</v>
      </c>
      <c r="K169" s="54" t="s">
        <v>1752</v>
      </c>
    </row>
    <row r="170" spans="1:11" ht="80" customHeight="1" x14ac:dyDescent="0.45">
      <c r="A170" s="7" t="s">
        <v>1007</v>
      </c>
      <c r="B170" s="7" t="s">
        <v>119</v>
      </c>
      <c r="C170" s="7" t="s">
        <v>78</v>
      </c>
      <c r="D170" s="5" t="s">
        <v>1008</v>
      </c>
      <c r="E170" s="5" t="s">
        <v>1009</v>
      </c>
      <c r="F170" s="5" t="s">
        <v>1010</v>
      </c>
      <c r="G170" s="7" t="s">
        <v>8</v>
      </c>
      <c r="H170" s="10" t="s">
        <v>51</v>
      </c>
      <c r="I170" s="7" t="s">
        <v>189</v>
      </c>
      <c r="J170" s="5" t="s">
        <v>1011</v>
      </c>
      <c r="K170" s="54" t="s">
        <v>1748</v>
      </c>
    </row>
    <row r="171" spans="1:11" ht="80" customHeight="1" x14ac:dyDescent="0.45">
      <c r="A171" s="7" t="s">
        <v>1012</v>
      </c>
      <c r="B171" s="7" t="s">
        <v>126</v>
      </c>
      <c r="C171" s="7" t="s">
        <v>189</v>
      </c>
      <c r="D171" s="5" t="s">
        <v>1013</v>
      </c>
      <c r="E171" s="5" t="s">
        <v>1014</v>
      </c>
      <c r="F171" s="5" t="s">
        <v>1015</v>
      </c>
      <c r="G171" s="7" t="s">
        <v>8</v>
      </c>
      <c r="H171" s="10" t="s">
        <v>51</v>
      </c>
      <c r="I171" s="7" t="s">
        <v>298</v>
      </c>
      <c r="J171" s="5" t="s">
        <v>1016</v>
      </c>
      <c r="K171" s="54" t="s">
        <v>1749</v>
      </c>
    </row>
    <row r="172" spans="1:11" ht="80" customHeight="1" x14ac:dyDescent="0.45">
      <c r="A172" s="7" t="s">
        <v>1017</v>
      </c>
      <c r="B172" s="7" t="s">
        <v>104</v>
      </c>
      <c r="C172" s="7" t="s">
        <v>78</v>
      </c>
      <c r="D172" s="5" t="s">
        <v>1018</v>
      </c>
      <c r="E172" s="5" t="s">
        <v>1019</v>
      </c>
      <c r="F172" s="5" t="s">
        <v>1020</v>
      </c>
      <c r="G172" s="7" t="s">
        <v>8</v>
      </c>
      <c r="H172" s="10" t="s">
        <v>51</v>
      </c>
      <c r="I172" s="7" t="s">
        <v>189</v>
      </c>
      <c r="J172" s="5" t="s">
        <v>1021</v>
      </c>
      <c r="K172" s="54"/>
    </row>
    <row r="173" spans="1:11" ht="80" customHeight="1" x14ac:dyDescent="0.45">
      <c r="A173" s="7" t="s">
        <v>1022</v>
      </c>
      <c r="B173" s="7" t="s">
        <v>112</v>
      </c>
      <c r="C173" s="7" t="s">
        <v>78</v>
      </c>
      <c r="D173" s="5" t="s">
        <v>1023</v>
      </c>
      <c r="E173" s="5" t="s">
        <v>1024</v>
      </c>
      <c r="F173" s="5" t="s">
        <v>1025</v>
      </c>
      <c r="G173" s="7" t="s">
        <v>8</v>
      </c>
      <c r="H173" s="10" t="s">
        <v>51</v>
      </c>
      <c r="I173" s="7" t="s">
        <v>189</v>
      </c>
      <c r="J173" s="5" t="s">
        <v>1750</v>
      </c>
      <c r="K173" s="54" t="s">
        <v>1751</v>
      </c>
    </row>
    <row r="175" spans="1:11" ht="15" x14ac:dyDescent="0.45">
      <c r="A175" s="22" t="s">
        <v>44</v>
      </c>
      <c r="B175" s="22" t="s">
        <v>216</v>
      </c>
    </row>
    <row r="176" spans="1:11" ht="14.5" x14ac:dyDescent="0.45">
      <c r="A176" s="8" t="s">
        <v>47</v>
      </c>
      <c r="B176" s="7">
        <f>COUNTIF(H5:H168,"完了")</f>
        <v>19</v>
      </c>
    </row>
    <row r="177" spans="1:11" x14ac:dyDescent="0.45">
      <c r="A177" s="49" t="s">
        <v>49</v>
      </c>
      <c r="B177" s="40"/>
      <c r="C177" s="40"/>
      <c r="D177" s="40"/>
      <c r="E177" s="40"/>
      <c r="F177" s="40"/>
      <c r="G177" s="40"/>
      <c r="H177" s="40"/>
      <c r="I177" s="40"/>
      <c r="J177" s="41"/>
      <c r="K177" s="55"/>
    </row>
    <row r="178" spans="1:11" x14ac:dyDescent="0.45">
      <c r="A178" s="50" t="s">
        <v>51</v>
      </c>
      <c r="B178" s="40"/>
      <c r="C178" s="40"/>
      <c r="D178" s="40"/>
      <c r="E178" s="40"/>
      <c r="F178" s="40"/>
      <c r="G178" s="40"/>
      <c r="H178" s="40"/>
      <c r="I178" s="40"/>
      <c r="J178" s="41"/>
      <c r="K178" s="55"/>
    </row>
    <row r="179" spans="1:11" ht="29" x14ac:dyDescent="0.45">
      <c r="A179" s="14" t="s">
        <v>53</v>
      </c>
      <c r="B179" s="2"/>
      <c r="C179" s="2"/>
      <c r="D179" s="2"/>
      <c r="E179" s="2"/>
      <c r="F179" s="2"/>
      <c r="G179" s="2"/>
      <c r="H179" s="2"/>
      <c r="I179" s="2"/>
      <c r="J179" s="3"/>
      <c r="K179" s="55"/>
    </row>
    <row r="180" spans="1:11" ht="29" x14ac:dyDescent="0.45">
      <c r="A180" s="16" t="s">
        <v>55</v>
      </c>
      <c r="B180" s="2"/>
      <c r="C180" s="2"/>
      <c r="D180" s="2"/>
      <c r="E180" s="2"/>
      <c r="F180" s="2"/>
      <c r="G180" s="2"/>
      <c r="H180" s="2"/>
      <c r="I180" s="2"/>
      <c r="J180" s="3"/>
      <c r="K180" s="55"/>
    </row>
    <row r="182" spans="1:11" ht="409.5" x14ac:dyDescent="0.45">
      <c r="A182" s="21" t="s">
        <v>1026</v>
      </c>
    </row>
    <row r="183" spans="1:11" ht="409.5" x14ac:dyDescent="0.45">
      <c r="A183" s="21" t="s">
        <v>1027</v>
      </c>
    </row>
    <row r="184" spans="1:11" ht="409.5" x14ac:dyDescent="0.45">
      <c r="A184" s="32" t="s">
        <v>1028</v>
      </c>
      <c r="B184" s="32" t="s">
        <v>356</v>
      </c>
      <c r="C184" s="32" t="s">
        <v>78</v>
      </c>
      <c r="D184" s="32" t="s">
        <v>1029</v>
      </c>
      <c r="E184" s="32" t="s">
        <v>1030</v>
      </c>
      <c r="F184" s="32" t="s">
        <v>1031</v>
      </c>
      <c r="G184" s="32" t="s">
        <v>8</v>
      </c>
      <c r="H184" s="32" t="s">
        <v>51</v>
      </c>
      <c r="I184" s="32" t="s">
        <v>78</v>
      </c>
      <c r="J184" s="32" t="s">
        <v>1032</v>
      </c>
      <c r="K184" s="32"/>
    </row>
    <row r="185" spans="1:11" ht="101.5" x14ac:dyDescent="0.45">
      <c r="A185" s="32" t="s">
        <v>1033</v>
      </c>
      <c r="B185" s="32" t="s">
        <v>1034</v>
      </c>
      <c r="C185" s="32" t="s">
        <v>78</v>
      </c>
      <c r="D185" s="32" t="s">
        <v>1035</v>
      </c>
      <c r="E185" s="32" t="s">
        <v>1036</v>
      </c>
      <c r="F185" s="32" t="s">
        <v>1037</v>
      </c>
      <c r="G185" s="32" t="s">
        <v>8</v>
      </c>
      <c r="H185" s="32" t="s">
        <v>51</v>
      </c>
      <c r="I185" s="32" t="s">
        <v>78</v>
      </c>
      <c r="J185" s="32" t="s">
        <v>1038</v>
      </c>
      <c r="K185" s="32"/>
    </row>
    <row r="186" spans="1:11" ht="130.5" x14ac:dyDescent="0.45">
      <c r="A186" s="32" t="s">
        <v>1039</v>
      </c>
      <c r="B186" s="32" t="s">
        <v>255</v>
      </c>
      <c r="C186" s="32" t="s">
        <v>78</v>
      </c>
      <c r="D186" s="32" t="s">
        <v>1040</v>
      </c>
      <c r="E186" s="32" t="s">
        <v>1041</v>
      </c>
      <c r="F186" s="32" t="s">
        <v>1042</v>
      </c>
      <c r="G186" s="32" t="s">
        <v>8</v>
      </c>
      <c r="H186" s="32" t="s">
        <v>51</v>
      </c>
      <c r="I186" s="32" t="s">
        <v>78</v>
      </c>
      <c r="J186" s="32" t="s">
        <v>1043</v>
      </c>
      <c r="K186" s="32"/>
    </row>
    <row r="187" spans="1:11" ht="116" x14ac:dyDescent="0.45">
      <c r="A187" s="32" t="s">
        <v>1044</v>
      </c>
      <c r="B187" s="32" t="s">
        <v>360</v>
      </c>
      <c r="C187" s="32" t="s">
        <v>189</v>
      </c>
      <c r="D187" s="32" t="s">
        <v>1045</v>
      </c>
      <c r="E187" s="32" t="s">
        <v>1046</v>
      </c>
      <c r="F187" s="32" t="s">
        <v>1047</v>
      </c>
      <c r="G187" s="32" t="s">
        <v>8</v>
      </c>
      <c r="H187" s="32" t="s">
        <v>51</v>
      </c>
      <c r="I187" s="32" t="s">
        <v>189</v>
      </c>
      <c r="J187" s="32" t="s">
        <v>1048</v>
      </c>
      <c r="K187" s="32"/>
    </row>
    <row r="188" spans="1:11" ht="101.5" x14ac:dyDescent="0.45">
      <c r="A188" s="32" t="s">
        <v>1049</v>
      </c>
      <c r="B188" s="32" t="s">
        <v>179</v>
      </c>
      <c r="C188" s="32" t="s">
        <v>78</v>
      </c>
      <c r="D188" s="32" t="s">
        <v>1050</v>
      </c>
      <c r="E188" s="32" t="s">
        <v>1051</v>
      </c>
      <c r="F188" s="32" t="s">
        <v>1052</v>
      </c>
      <c r="G188" s="32" t="s">
        <v>8</v>
      </c>
      <c r="H188" s="32" t="s">
        <v>51</v>
      </c>
      <c r="I188" s="32" t="s">
        <v>78</v>
      </c>
      <c r="J188" s="32" t="s">
        <v>1053</v>
      </c>
      <c r="K188" s="32"/>
    </row>
    <row r="189" spans="1:11" ht="159.5" x14ac:dyDescent="0.45">
      <c r="A189" s="32" t="s">
        <v>1054</v>
      </c>
      <c r="B189" s="32" t="s">
        <v>271</v>
      </c>
      <c r="C189" s="32" t="s">
        <v>78</v>
      </c>
      <c r="D189" s="32" t="s">
        <v>1055</v>
      </c>
      <c r="E189" s="32" t="s">
        <v>1056</v>
      </c>
      <c r="F189" s="32" t="s">
        <v>1057</v>
      </c>
      <c r="G189" s="32" t="s">
        <v>8</v>
      </c>
      <c r="H189" s="32" t="s">
        <v>51</v>
      </c>
      <c r="I189" s="32" t="s">
        <v>78</v>
      </c>
      <c r="J189" s="32" t="s">
        <v>1058</v>
      </c>
      <c r="K189" s="32"/>
    </row>
    <row r="190" spans="1:11" ht="116" x14ac:dyDescent="0.45">
      <c r="A190" s="32" t="s">
        <v>1059</v>
      </c>
      <c r="B190" s="32" t="s">
        <v>845</v>
      </c>
      <c r="C190" s="32" t="s">
        <v>189</v>
      </c>
      <c r="D190" s="32" t="s">
        <v>1060</v>
      </c>
      <c r="E190" s="32" t="s">
        <v>1061</v>
      </c>
      <c r="F190" s="32" t="s">
        <v>1062</v>
      </c>
      <c r="G190" s="32" t="s">
        <v>8</v>
      </c>
      <c r="H190" s="32" t="s">
        <v>51</v>
      </c>
      <c r="I190" s="32" t="s">
        <v>189</v>
      </c>
      <c r="J190" s="32" t="s">
        <v>1063</v>
      </c>
      <c r="K190" s="32"/>
    </row>
    <row r="191" spans="1:11" ht="116" x14ac:dyDescent="0.45">
      <c r="A191" s="32" t="s">
        <v>1064</v>
      </c>
      <c r="B191" s="32" t="s">
        <v>1034</v>
      </c>
      <c r="C191" s="32" t="s">
        <v>189</v>
      </c>
      <c r="D191" s="32" t="s">
        <v>1065</v>
      </c>
      <c r="E191" s="32" t="s">
        <v>1066</v>
      </c>
      <c r="F191" s="32" t="s">
        <v>1067</v>
      </c>
      <c r="G191" s="32" t="s">
        <v>8</v>
      </c>
      <c r="H191" s="32" t="s">
        <v>51</v>
      </c>
      <c r="I191" s="32" t="s">
        <v>189</v>
      </c>
      <c r="J191" s="32" t="s">
        <v>1068</v>
      </c>
      <c r="K191" s="32"/>
    </row>
    <row r="192" spans="1:11" ht="130.5" x14ac:dyDescent="0.45">
      <c r="A192" s="32" t="s">
        <v>1069</v>
      </c>
      <c r="B192" s="32" t="s">
        <v>119</v>
      </c>
      <c r="C192" s="32" t="s">
        <v>78</v>
      </c>
      <c r="D192" s="32" t="s">
        <v>1070</v>
      </c>
      <c r="E192" s="32" t="s">
        <v>1071</v>
      </c>
      <c r="F192" s="32" t="s">
        <v>1072</v>
      </c>
      <c r="G192" s="32" t="s">
        <v>8</v>
      </c>
      <c r="H192" s="32" t="s">
        <v>51</v>
      </c>
      <c r="I192" s="32" t="s">
        <v>78</v>
      </c>
      <c r="J192" s="32" t="s">
        <v>1073</v>
      </c>
      <c r="K192" s="32"/>
    </row>
    <row r="193" spans="1:11" ht="130.5" x14ac:dyDescent="0.45">
      <c r="A193" s="32" t="s">
        <v>1074</v>
      </c>
      <c r="B193" s="32" t="s">
        <v>450</v>
      </c>
      <c r="C193" s="32" t="s">
        <v>78</v>
      </c>
      <c r="D193" s="32" t="s">
        <v>1075</v>
      </c>
      <c r="E193" s="32" t="s">
        <v>1076</v>
      </c>
      <c r="F193" s="32" t="s">
        <v>1077</v>
      </c>
      <c r="G193" s="32" t="s">
        <v>8</v>
      </c>
      <c r="H193" s="32" t="s">
        <v>51</v>
      </c>
      <c r="I193" s="32" t="s">
        <v>78</v>
      </c>
      <c r="J193" s="32" t="s">
        <v>1078</v>
      </c>
      <c r="K193" s="32"/>
    </row>
    <row r="194" spans="1:11" ht="145" x14ac:dyDescent="0.45">
      <c r="A194" s="32" t="s">
        <v>1079</v>
      </c>
      <c r="B194" s="32" t="s">
        <v>664</v>
      </c>
      <c r="C194" s="32" t="s">
        <v>78</v>
      </c>
      <c r="D194" s="32" t="s">
        <v>1080</v>
      </c>
      <c r="E194" s="32" t="s">
        <v>1081</v>
      </c>
      <c r="F194" s="32" t="s">
        <v>1082</v>
      </c>
      <c r="G194" s="32" t="s">
        <v>8</v>
      </c>
      <c r="H194" s="32" t="s">
        <v>51</v>
      </c>
      <c r="I194" s="32" t="s">
        <v>78</v>
      </c>
      <c r="J194" s="32" t="s">
        <v>1083</v>
      </c>
      <c r="K194" s="32"/>
    </row>
    <row r="195" spans="1:11" ht="203" x14ac:dyDescent="0.45">
      <c r="A195" s="32" t="s">
        <v>1084</v>
      </c>
      <c r="B195" s="32" t="s">
        <v>845</v>
      </c>
      <c r="C195" s="32" t="s">
        <v>78</v>
      </c>
      <c r="D195" s="32" t="s">
        <v>1085</v>
      </c>
      <c r="E195" s="32" t="s">
        <v>1086</v>
      </c>
      <c r="F195" s="32" t="s">
        <v>1087</v>
      </c>
      <c r="G195" s="32" t="s">
        <v>8</v>
      </c>
      <c r="H195" s="32" t="s">
        <v>51</v>
      </c>
      <c r="I195" s="32" t="s">
        <v>189</v>
      </c>
      <c r="J195" s="32" t="s">
        <v>1088</v>
      </c>
      <c r="K195" s="32"/>
    </row>
    <row r="196" spans="1:11" ht="188.5" x14ac:dyDescent="0.45">
      <c r="A196" s="32" t="s">
        <v>1089</v>
      </c>
      <c r="B196" s="32" t="s">
        <v>97</v>
      </c>
      <c r="C196" s="32" t="s">
        <v>78</v>
      </c>
      <c r="D196" s="32" t="s">
        <v>1090</v>
      </c>
      <c r="E196" s="32" t="s">
        <v>1091</v>
      </c>
      <c r="F196" s="32" t="s">
        <v>1092</v>
      </c>
      <c r="G196" s="32" t="s">
        <v>8</v>
      </c>
      <c r="H196" s="32" t="s">
        <v>51</v>
      </c>
      <c r="I196" s="32" t="s">
        <v>189</v>
      </c>
      <c r="J196" s="32" t="s">
        <v>1093</v>
      </c>
      <c r="K196" s="32"/>
    </row>
    <row r="197" spans="1:11" ht="159.5" x14ac:dyDescent="0.45">
      <c r="A197" s="32" t="s">
        <v>1094</v>
      </c>
      <c r="B197" s="32" t="s">
        <v>104</v>
      </c>
      <c r="C197" s="32" t="s">
        <v>78</v>
      </c>
      <c r="D197" s="32" t="s">
        <v>1095</v>
      </c>
      <c r="E197" s="32" t="s">
        <v>1096</v>
      </c>
      <c r="F197" s="32" t="s">
        <v>1097</v>
      </c>
      <c r="G197" s="32" t="s">
        <v>8</v>
      </c>
      <c r="H197" s="32" t="s">
        <v>51</v>
      </c>
      <c r="I197" s="32" t="s">
        <v>189</v>
      </c>
      <c r="J197" s="32" t="s">
        <v>1098</v>
      </c>
      <c r="K197" s="32"/>
    </row>
    <row r="198" spans="1:11" ht="290" x14ac:dyDescent="0.45">
      <c r="A198" s="32" t="s">
        <v>1099</v>
      </c>
      <c r="B198" s="32" t="s">
        <v>271</v>
      </c>
      <c r="C198" s="32" t="s">
        <v>78</v>
      </c>
      <c r="D198" s="32" t="s">
        <v>1100</v>
      </c>
      <c r="E198" s="32" t="s">
        <v>1101</v>
      </c>
      <c r="F198" s="32" t="s">
        <v>1102</v>
      </c>
      <c r="G198" s="32" t="s">
        <v>8</v>
      </c>
      <c r="H198" s="32" t="s">
        <v>51</v>
      </c>
      <c r="I198" s="32" t="s">
        <v>189</v>
      </c>
      <c r="J198" s="32" t="s">
        <v>1103</v>
      </c>
      <c r="K198" s="32"/>
    </row>
  </sheetData>
  <autoFilter ref="A4:J173" xr:uid="{00000000-0001-0000-0300-000000000000}">
    <filterColumn colId="7">
      <filters>
        <filter val="確認待ち"/>
        <filter val="実施中"/>
        <filter val="対応中"/>
      </filters>
    </filterColumn>
  </autoFilter>
  <mergeCells count="4">
    <mergeCell ref="A1:J1"/>
    <mergeCell ref="A177:J177"/>
    <mergeCell ref="A178:J178"/>
    <mergeCell ref="A2:J2"/>
  </mergeCells>
  <phoneticPr fontId="7"/>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0"/>
  <sheetViews>
    <sheetView showGridLines="0" workbookViewId="0">
      <pane ySplit="4" topLeftCell="A5" activePane="bottomLeft" state="frozen"/>
      <selection pane="bottomLeft"/>
    </sheetView>
  </sheetViews>
  <sheetFormatPr defaultRowHeight="13.25" x14ac:dyDescent="0.45"/>
  <cols>
    <col min="1" max="1" width="5" customWidth="1"/>
    <col min="2" max="2" width="26" customWidth="1"/>
    <col min="3" max="3" width="34" customWidth="1"/>
    <col min="4" max="4" width="22" customWidth="1"/>
    <col min="5" max="6" width="9" customWidth="1"/>
    <col min="7" max="7" width="11" customWidth="1"/>
    <col min="8" max="8" width="38" customWidth="1"/>
    <col min="9" max="9" width="12" customWidth="1"/>
  </cols>
  <sheetData>
    <row r="1" spans="1:9" ht="26" customHeight="1" x14ac:dyDescent="0.45">
      <c r="A1" s="46" t="s">
        <v>1104</v>
      </c>
      <c r="B1" s="45"/>
      <c r="C1" s="45"/>
      <c r="D1" s="45"/>
      <c r="E1" s="45"/>
      <c r="F1" s="45"/>
      <c r="G1" s="45"/>
      <c r="H1" s="45"/>
      <c r="I1" s="45"/>
    </row>
    <row r="2" spans="1:9" ht="52" customHeight="1" x14ac:dyDescent="0.45">
      <c r="A2" s="44" t="s">
        <v>1105</v>
      </c>
      <c r="B2" s="45"/>
      <c r="C2" s="45"/>
      <c r="D2" s="45"/>
      <c r="E2" s="45"/>
      <c r="F2" s="45"/>
      <c r="G2" s="45"/>
      <c r="H2" s="45"/>
      <c r="I2" s="45"/>
    </row>
    <row r="4" spans="1:9" ht="32" customHeight="1" x14ac:dyDescent="0.45">
      <c r="A4" s="6" t="s">
        <v>24</v>
      </c>
      <c r="B4" s="6" t="s">
        <v>1106</v>
      </c>
      <c r="C4" s="6" t="s">
        <v>1107</v>
      </c>
      <c r="D4" s="6" t="s">
        <v>1108</v>
      </c>
      <c r="E4" s="6" t="s">
        <v>68</v>
      </c>
      <c r="F4" s="6" t="s">
        <v>69</v>
      </c>
      <c r="G4" s="6" t="s">
        <v>1109</v>
      </c>
      <c r="H4" s="6" t="s">
        <v>1110</v>
      </c>
      <c r="I4" s="6" t="s">
        <v>72</v>
      </c>
    </row>
    <row r="5" spans="1:9" ht="84" customHeight="1" x14ac:dyDescent="0.45">
      <c r="A5" s="7">
        <v>1</v>
      </c>
      <c r="B5" s="19" t="s">
        <v>1111</v>
      </c>
      <c r="C5" s="5" t="s">
        <v>1112</v>
      </c>
      <c r="D5" s="5" t="s">
        <v>1113</v>
      </c>
      <c r="E5" s="14" t="s">
        <v>49</v>
      </c>
      <c r="F5" s="18">
        <v>0.7</v>
      </c>
      <c r="G5" s="7" t="s">
        <v>214</v>
      </c>
      <c r="H5" s="5" t="s">
        <v>1114</v>
      </c>
      <c r="I5" s="7" t="s">
        <v>1115</v>
      </c>
    </row>
    <row r="6" spans="1:9" ht="84" customHeight="1" x14ac:dyDescent="0.45">
      <c r="A6" s="7">
        <v>2</v>
      </c>
      <c r="B6" s="19" t="s">
        <v>1116</v>
      </c>
      <c r="C6" s="5" t="s">
        <v>1117</v>
      </c>
      <c r="D6" s="5" t="s">
        <v>1118</v>
      </c>
      <c r="E6" s="14" t="s">
        <v>49</v>
      </c>
      <c r="F6" s="18">
        <v>0.75</v>
      </c>
      <c r="G6" s="7" t="s">
        <v>214</v>
      </c>
      <c r="H6" s="5" t="s">
        <v>1119</v>
      </c>
      <c r="I6" s="7" t="s">
        <v>1120</v>
      </c>
    </row>
    <row r="7" spans="1:9" ht="84" customHeight="1" x14ac:dyDescent="0.45">
      <c r="A7" s="35">
        <v>3</v>
      </c>
      <c r="B7" s="35" t="s">
        <v>1121</v>
      </c>
      <c r="C7" s="35" t="s">
        <v>1122</v>
      </c>
      <c r="D7" s="35" t="s">
        <v>1118</v>
      </c>
      <c r="E7" s="36" t="s">
        <v>49</v>
      </c>
      <c r="F7" s="37">
        <v>0.9</v>
      </c>
      <c r="G7" s="35" t="s">
        <v>214</v>
      </c>
      <c r="H7" s="35" t="s">
        <v>1123</v>
      </c>
      <c r="I7" s="35" t="s">
        <v>1124</v>
      </c>
    </row>
    <row r="8" spans="1:9" ht="84" customHeight="1" x14ac:dyDescent="0.45">
      <c r="A8" s="35">
        <v>4</v>
      </c>
      <c r="B8" s="35" t="s">
        <v>1125</v>
      </c>
      <c r="C8" s="35" t="s">
        <v>1126</v>
      </c>
      <c r="D8" s="35" t="s">
        <v>1127</v>
      </c>
      <c r="E8" s="36" t="s">
        <v>49</v>
      </c>
      <c r="F8" s="37">
        <v>0.87</v>
      </c>
      <c r="G8" s="35" t="s">
        <v>214</v>
      </c>
      <c r="H8" s="35" t="s">
        <v>1128</v>
      </c>
      <c r="I8" s="35" t="s">
        <v>1129</v>
      </c>
    </row>
    <row r="9" spans="1:9" ht="84" customHeight="1" x14ac:dyDescent="0.45">
      <c r="A9" s="7">
        <v>5</v>
      </c>
      <c r="B9" s="19" t="s">
        <v>1130</v>
      </c>
      <c r="C9" s="5" t="s">
        <v>1131</v>
      </c>
      <c r="D9" s="5" t="s">
        <v>1132</v>
      </c>
      <c r="E9" s="10" t="s">
        <v>49</v>
      </c>
      <c r="F9" s="18">
        <v>0.75</v>
      </c>
      <c r="G9" s="7" t="s">
        <v>214</v>
      </c>
      <c r="H9" s="5" t="s">
        <v>1133</v>
      </c>
      <c r="I9" s="7" t="s">
        <v>1134</v>
      </c>
    </row>
    <row r="10" spans="1:9" ht="84" customHeight="1" x14ac:dyDescent="0.45">
      <c r="A10" s="35">
        <v>6</v>
      </c>
      <c r="B10" s="35" t="s">
        <v>1135</v>
      </c>
      <c r="C10" s="35" t="s">
        <v>1136</v>
      </c>
      <c r="D10" s="35" t="s">
        <v>1137</v>
      </c>
      <c r="E10" s="36" t="s">
        <v>49</v>
      </c>
      <c r="F10" s="37">
        <v>0.75</v>
      </c>
      <c r="G10" s="35" t="s">
        <v>214</v>
      </c>
      <c r="H10" s="35" t="s">
        <v>1138</v>
      </c>
      <c r="I10" s="35" t="s">
        <v>1139</v>
      </c>
    </row>
    <row r="12" spans="1:9" ht="15" x14ac:dyDescent="0.45">
      <c r="A12" s="22" t="s">
        <v>44</v>
      </c>
      <c r="B12" s="22" t="s">
        <v>216</v>
      </c>
    </row>
    <row r="13" spans="1:9" ht="14.5" x14ac:dyDescent="0.45">
      <c r="A13" s="8" t="s">
        <v>47</v>
      </c>
      <c r="B13" s="7">
        <f>COUNTIF(E5:E10,"完了")</f>
        <v>0</v>
      </c>
    </row>
    <row r="14" spans="1:9" ht="29" x14ac:dyDescent="0.45">
      <c r="A14" s="10" t="s">
        <v>49</v>
      </c>
      <c r="B14" s="7">
        <f>COUNTIF(E5:E10,"実施中")</f>
        <v>6</v>
      </c>
    </row>
    <row r="15" spans="1:9" ht="29" x14ac:dyDescent="0.45">
      <c r="A15" s="12" t="s">
        <v>51</v>
      </c>
      <c r="B15" s="7">
        <f>COUNTIF(E5:E10,"確認待ち")</f>
        <v>0</v>
      </c>
    </row>
    <row r="16" spans="1:9" ht="29" x14ac:dyDescent="0.45">
      <c r="A16" s="14" t="s">
        <v>53</v>
      </c>
      <c r="B16" s="7">
        <f>COUNTIF(E5:E10,"未着手")</f>
        <v>0</v>
      </c>
    </row>
    <row r="17" spans="1:9" ht="29" x14ac:dyDescent="0.45">
      <c r="A17" s="16" t="s">
        <v>55</v>
      </c>
      <c r="B17" s="7">
        <f>COUNTIF(E5:E10,"対象外")</f>
        <v>0</v>
      </c>
    </row>
    <row r="19" spans="1:9" ht="26" customHeight="1" x14ac:dyDescent="0.45">
      <c r="A19" s="47" t="s">
        <v>1140</v>
      </c>
      <c r="B19" s="45"/>
      <c r="C19" s="45"/>
      <c r="D19" s="45"/>
      <c r="E19" s="45"/>
      <c r="F19" s="45"/>
      <c r="G19" s="45"/>
      <c r="H19" s="45"/>
      <c r="I19" s="45"/>
    </row>
    <row r="20" spans="1:9" ht="26" customHeight="1" x14ac:dyDescent="0.45">
      <c r="A20" s="47" t="s">
        <v>1141</v>
      </c>
      <c r="B20" s="45"/>
      <c r="C20" s="45"/>
      <c r="D20" s="45"/>
      <c r="E20" s="45"/>
      <c r="F20" s="45"/>
      <c r="G20" s="45"/>
      <c r="H20" s="45"/>
      <c r="I20" s="45"/>
    </row>
  </sheetData>
  <mergeCells count="4">
    <mergeCell ref="A1:I1"/>
    <mergeCell ref="A19:I19"/>
    <mergeCell ref="A20:I20"/>
    <mergeCell ref="A2:I2"/>
  </mergeCells>
  <phoneticPr fontId="7"/>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9"/>
  <sheetViews>
    <sheetView showGridLines="0" workbookViewId="0">
      <pane ySplit="4" topLeftCell="A5" activePane="bottomLeft" state="frozen"/>
      <selection pane="bottomLeft"/>
    </sheetView>
  </sheetViews>
  <sheetFormatPr defaultRowHeight="13.25" x14ac:dyDescent="0.45"/>
  <cols>
    <col min="1" max="1" width="5" customWidth="1"/>
    <col min="2" max="2" width="24" customWidth="1"/>
    <col min="3" max="3" width="30" customWidth="1"/>
    <col min="4" max="4" width="10" customWidth="1"/>
    <col min="5" max="6" width="12" customWidth="1"/>
    <col min="7" max="7" width="10" customWidth="1"/>
    <col min="8" max="10" width="11" customWidth="1"/>
    <col min="11" max="11" width="32" customWidth="1"/>
    <col min="12" max="12" width="11" customWidth="1"/>
  </cols>
  <sheetData>
    <row r="1" spans="1:12" ht="26" customHeight="1" x14ac:dyDescent="0.45">
      <c r="A1" s="46" t="s">
        <v>1142</v>
      </c>
      <c r="B1" s="45"/>
      <c r="C1" s="45"/>
      <c r="D1" s="45"/>
      <c r="E1" s="45"/>
      <c r="F1" s="45"/>
      <c r="G1" s="45"/>
      <c r="H1" s="45"/>
      <c r="I1" s="45"/>
      <c r="J1" s="45"/>
      <c r="K1" s="45"/>
      <c r="L1" s="45"/>
    </row>
    <row r="2" spans="1:12" ht="52" customHeight="1" x14ac:dyDescent="0.45">
      <c r="A2" s="44" t="s">
        <v>1143</v>
      </c>
      <c r="B2" s="45"/>
      <c r="C2" s="45"/>
      <c r="D2" s="45"/>
      <c r="E2" s="45"/>
      <c r="F2" s="45"/>
      <c r="G2" s="45"/>
      <c r="H2" s="45"/>
      <c r="I2" s="45"/>
      <c r="J2" s="45"/>
      <c r="K2" s="45"/>
      <c r="L2" s="45"/>
    </row>
    <row r="4" spans="1:12" ht="32" customHeight="1" x14ac:dyDescent="0.45">
      <c r="A4" s="6" t="s">
        <v>24</v>
      </c>
      <c r="B4" s="6" t="s">
        <v>1144</v>
      </c>
      <c r="C4" s="6" t="s">
        <v>1145</v>
      </c>
      <c r="D4" s="6" t="s">
        <v>1146</v>
      </c>
      <c r="E4" s="6" t="s">
        <v>1147</v>
      </c>
      <c r="F4" s="6" t="s">
        <v>1148</v>
      </c>
      <c r="G4" s="6" t="s">
        <v>1149</v>
      </c>
      <c r="H4" s="6" t="s">
        <v>1150</v>
      </c>
      <c r="I4" s="6" t="s">
        <v>1151</v>
      </c>
      <c r="J4" s="6" t="s">
        <v>1152</v>
      </c>
      <c r="K4" s="6" t="s">
        <v>144</v>
      </c>
      <c r="L4" s="6" t="s">
        <v>72</v>
      </c>
    </row>
    <row r="5" spans="1:12" ht="92" customHeight="1" x14ac:dyDescent="0.45">
      <c r="A5" s="7">
        <v>1</v>
      </c>
      <c r="B5" s="5" t="s">
        <v>1153</v>
      </c>
      <c r="C5" s="5" t="s">
        <v>1154</v>
      </c>
      <c r="D5" s="8" t="s">
        <v>47</v>
      </c>
      <c r="E5" s="8" t="s">
        <v>47</v>
      </c>
      <c r="F5" s="8" t="s">
        <v>47</v>
      </c>
      <c r="G5" s="8" t="s">
        <v>47</v>
      </c>
      <c r="H5" s="8" t="s">
        <v>47</v>
      </c>
      <c r="I5" s="10" t="s">
        <v>47</v>
      </c>
      <c r="J5" s="10" t="s">
        <v>49</v>
      </c>
      <c r="K5" s="5" t="s">
        <v>1155</v>
      </c>
      <c r="L5" s="7" t="s">
        <v>1156</v>
      </c>
    </row>
    <row r="6" spans="1:12" ht="92" customHeight="1" x14ac:dyDescent="0.45">
      <c r="A6" s="7">
        <v>2</v>
      </c>
      <c r="B6" s="5" t="s">
        <v>1157</v>
      </c>
      <c r="C6" s="5" t="s">
        <v>1158</v>
      </c>
      <c r="D6" s="8" t="s">
        <v>47</v>
      </c>
      <c r="E6" s="8" t="s">
        <v>47</v>
      </c>
      <c r="F6" s="8" t="s">
        <v>47</v>
      </c>
      <c r="G6" s="8" t="s">
        <v>47</v>
      </c>
      <c r="H6" s="8" t="s">
        <v>47</v>
      </c>
      <c r="I6" s="10" t="s">
        <v>47</v>
      </c>
      <c r="J6" s="14" t="s">
        <v>49</v>
      </c>
      <c r="K6" s="5" t="s">
        <v>1159</v>
      </c>
      <c r="L6" s="7" t="s">
        <v>1160</v>
      </c>
    </row>
    <row r="7" spans="1:12" ht="92" customHeight="1" x14ac:dyDescent="0.45">
      <c r="A7" s="7">
        <v>3</v>
      </c>
      <c r="B7" s="5" t="s">
        <v>1161</v>
      </c>
      <c r="C7" s="5" t="s">
        <v>1162</v>
      </c>
      <c r="D7" s="10" t="s">
        <v>49</v>
      </c>
      <c r="E7" s="14" t="s">
        <v>53</v>
      </c>
      <c r="F7" s="14" t="s">
        <v>53</v>
      </c>
      <c r="G7" s="14" t="s">
        <v>53</v>
      </c>
      <c r="H7" s="14" t="s">
        <v>53</v>
      </c>
      <c r="I7" s="14" t="s">
        <v>53</v>
      </c>
      <c r="J7" s="14" t="s">
        <v>53</v>
      </c>
      <c r="K7" s="5" t="s">
        <v>1163</v>
      </c>
      <c r="L7" s="7" t="s">
        <v>1164</v>
      </c>
    </row>
    <row r="9" spans="1:12" ht="22" customHeight="1" x14ac:dyDescent="0.45">
      <c r="A9" s="1" t="s">
        <v>1165</v>
      </c>
      <c r="B9" s="1" t="s">
        <v>1166</v>
      </c>
    </row>
    <row r="10" spans="1:12" ht="24" customHeight="1" x14ac:dyDescent="0.45">
      <c r="A10" s="7" t="s">
        <v>1146</v>
      </c>
      <c r="B10" s="42" t="s">
        <v>1167</v>
      </c>
      <c r="C10" s="40"/>
      <c r="D10" s="40"/>
      <c r="E10" s="41"/>
    </row>
    <row r="11" spans="1:12" ht="24" customHeight="1" x14ac:dyDescent="0.45">
      <c r="A11" s="7" t="s">
        <v>1147</v>
      </c>
      <c r="B11" s="42" t="s">
        <v>1168</v>
      </c>
      <c r="C11" s="40"/>
      <c r="D11" s="40"/>
      <c r="E11" s="41"/>
    </row>
    <row r="12" spans="1:12" ht="24" customHeight="1" x14ac:dyDescent="0.45">
      <c r="A12" s="7" t="s">
        <v>1148</v>
      </c>
      <c r="B12" s="42" t="s">
        <v>1169</v>
      </c>
      <c r="C12" s="40"/>
      <c r="D12" s="40"/>
      <c r="E12" s="41"/>
    </row>
    <row r="13" spans="1:12" ht="24" customHeight="1" x14ac:dyDescent="0.45">
      <c r="A13" s="7" t="s">
        <v>1149</v>
      </c>
      <c r="B13" s="42" t="s">
        <v>1170</v>
      </c>
      <c r="C13" s="40"/>
      <c r="D13" s="40"/>
      <c r="E13" s="41"/>
    </row>
    <row r="14" spans="1:12" ht="24" customHeight="1" x14ac:dyDescent="0.45">
      <c r="A14" s="7" t="s">
        <v>1171</v>
      </c>
      <c r="B14" s="42" t="s">
        <v>1172</v>
      </c>
      <c r="C14" s="40"/>
      <c r="D14" s="40"/>
      <c r="E14" s="41"/>
    </row>
    <row r="15" spans="1:12" ht="24" customHeight="1" x14ac:dyDescent="0.45">
      <c r="A15" s="7" t="s">
        <v>1173</v>
      </c>
      <c r="B15" s="42" t="s">
        <v>1174</v>
      </c>
      <c r="C15" s="40"/>
      <c r="D15" s="40"/>
      <c r="E15" s="41"/>
    </row>
    <row r="16" spans="1:12" ht="24" customHeight="1" x14ac:dyDescent="0.45">
      <c r="A16" s="7" t="s">
        <v>1152</v>
      </c>
      <c r="B16" s="42" t="s">
        <v>1175</v>
      </c>
      <c r="C16" s="40"/>
      <c r="D16" s="40"/>
      <c r="E16" s="41"/>
    </row>
    <row r="18" spans="1:12" ht="26" customHeight="1" x14ac:dyDescent="0.45">
      <c r="A18" s="47" t="s">
        <v>1176</v>
      </c>
      <c r="B18" s="45"/>
      <c r="C18" s="45"/>
      <c r="D18" s="45"/>
      <c r="E18" s="45"/>
      <c r="F18" s="45"/>
      <c r="G18" s="45"/>
      <c r="H18" s="45"/>
      <c r="I18" s="45"/>
      <c r="J18" s="45"/>
      <c r="K18" s="45"/>
      <c r="L18" s="45"/>
    </row>
    <row r="19" spans="1:12" ht="26" customHeight="1" x14ac:dyDescent="0.45">
      <c r="A19" s="47" t="s">
        <v>1177</v>
      </c>
      <c r="B19" s="45"/>
      <c r="C19" s="45"/>
      <c r="D19" s="45"/>
      <c r="E19" s="45"/>
      <c r="F19" s="45"/>
      <c r="G19" s="45"/>
      <c r="H19" s="45"/>
      <c r="I19" s="45"/>
      <c r="J19" s="45"/>
      <c r="K19" s="45"/>
      <c r="L19" s="45"/>
    </row>
  </sheetData>
  <mergeCells count="11">
    <mergeCell ref="A2:L2"/>
    <mergeCell ref="A19:L19"/>
    <mergeCell ref="B12:E12"/>
    <mergeCell ref="B13:E13"/>
    <mergeCell ref="A1:L1"/>
    <mergeCell ref="B16:E16"/>
    <mergeCell ref="B15:E15"/>
    <mergeCell ref="B11:E11"/>
    <mergeCell ref="A18:L18"/>
    <mergeCell ref="B10:E10"/>
    <mergeCell ref="B14:E14"/>
  </mergeCells>
  <phoneticPr fontId="7"/>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3"/>
  <sheetViews>
    <sheetView showGridLines="0" workbookViewId="0">
      <pane ySplit="4" topLeftCell="A5" activePane="bottomLeft" state="frozen"/>
      <selection pane="bottomLeft"/>
    </sheetView>
  </sheetViews>
  <sheetFormatPr defaultRowHeight="13.25" x14ac:dyDescent="0.45"/>
  <cols>
    <col min="1" max="1" width="5" customWidth="1"/>
    <col min="2" max="2" width="7" customWidth="1"/>
    <col min="3" max="3" width="30" customWidth="1"/>
    <col min="4" max="4" width="44" customWidth="1"/>
    <col min="5" max="5" width="26" customWidth="1"/>
    <col min="6" max="6" width="16" customWidth="1"/>
    <col min="7" max="7" width="10" customWidth="1"/>
    <col min="8" max="8" width="8" customWidth="1"/>
    <col min="9" max="9" width="9" customWidth="1"/>
    <col min="10" max="10" width="30" customWidth="1"/>
  </cols>
  <sheetData>
    <row r="1" spans="1:10" ht="26" customHeight="1" x14ac:dyDescent="0.45">
      <c r="A1" s="46" t="s">
        <v>1178</v>
      </c>
      <c r="B1" s="45"/>
      <c r="C1" s="45"/>
      <c r="D1" s="45"/>
      <c r="E1" s="45"/>
      <c r="F1" s="45"/>
      <c r="G1" s="45"/>
      <c r="H1" s="45"/>
      <c r="I1" s="45"/>
      <c r="J1" s="45"/>
    </row>
    <row r="2" spans="1:10" ht="52" customHeight="1" x14ac:dyDescent="0.45">
      <c r="A2" s="44" t="s">
        <v>1179</v>
      </c>
      <c r="B2" s="45"/>
      <c r="C2" s="45"/>
      <c r="D2" s="45"/>
      <c r="E2" s="45"/>
      <c r="F2" s="45"/>
      <c r="G2" s="45"/>
      <c r="H2" s="45"/>
      <c r="I2" s="45"/>
      <c r="J2" s="45"/>
    </row>
    <row r="4" spans="1:10" ht="32" customHeight="1" x14ac:dyDescent="0.45">
      <c r="A4" s="6" t="s">
        <v>24</v>
      </c>
      <c r="B4" s="6" t="s">
        <v>1180</v>
      </c>
      <c r="C4" s="6" t="s">
        <v>1181</v>
      </c>
      <c r="D4" s="6" t="s">
        <v>3</v>
      </c>
      <c r="E4" s="6" t="s">
        <v>1182</v>
      </c>
      <c r="F4" s="6" t="s">
        <v>1183</v>
      </c>
      <c r="G4" s="6" t="s">
        <v>1184</v>
      </c>
      <c r="H4" s="6" t="s">
        <v>1185</v>
      </c>
      <c r="I4" s="6" t="s">
        <v>68</v>
      </c>
      <c r="J4" s="6" t="s">
        <v>1186</v>
      </c>
    </row>
    <row r="5" spans="1:10" ht="72" customHeight="1" x14ac:dyDescent="0.45">
      <c r="A5" s="7">
        <v>1</v>
      </c>
      <c r="B5" s="7" t="s">
        <v>1187</v>
      </c>
      <c r="C5" s="5" t="s">
        <v>1188</v>
      </c>
      <c r="D5" s="5" t="s">
        <v>1189</v>
      </c>
      <c r="E5" s="5" t="s">
        <v>1190</v>
      </c>
      <c r="F5" s="7" t="s">
        <v>8</v>
      </c>
      <c r="G5" s="7" t="s">
        <v>86</v>
      </c>
      <c r="H5" s="23" t="s">
        <v>1191</v>
      </c>
      <c r="I5" s="12" t="s">
        <v>47</v>
      </c>
      <c r="J5" s="5" t="s">
        <v>1192</v>
      </c>
    </row>
    <row r="6" spans="1:10" ht="72" customHeight="1" x14ac:dyDescent="0.45">
      <c r="A6" s="7">
        <v>2</v>
      </c>
      <c r="B6" s="7" t="s">
        <v>1193</v>
      </c>
      <c r="C6" s="5" t="s">
        <v>1194</v>
      </c>
      <c r="D6" s="5" t="s">
        <v>1195</v>
      </c>
      <c r="E6" s="5" t="s">
        <v>1196</v>
      </c>
      <c r="F6" s="7" t="s">
        <v>8</v>
      </c>
      <c r="G6" s="7" t="s">
        <v>86</v>
      </c>
      <c r="H6" s="23" t="s">
        <v>1191</v>
      </c>
      <c r="I6" s="12" t="s">
        <v>51</v>
      </c>
      <c r="J6" s="5" t="s">
        <v>1197</v>
      </c>
    </row>
    <row r="7" spans="1:10" ht="72" customHeight="1" x14ac:dyDescent="0.45">
      <c r="A7" s="7">
        <v>3</v>
      </c>
      <c r="B7" s="7" t="s">
        <v>1198</v>
      </c>
      <c r="C7" s="5" t="s">
        <v>273</v>
      </c>
      <c r="D7" s="5" t="s">
        <v>1199</v>
      </c>
      <c r="E7" s="5" t="s">
        <v>1200</v>
      </c>
      <c r="F7" s="7" t="s">
        <v>276</v>
      </c>
      <c r="G7" s="7" t="s">
        <v>272</v>
      </c>
      <c r="H7" s="23" t="s">
        <v>1201</v>
      </c>
      <c r="I7" s="12" t="s">
        <v>51</v>
      </c>
      <c r="J7" s="5" t="s">
        <v>1202</v>
      </c>
    </row>
    <row r="8" spans="1:10" ht="72" customHeight="1" x14ac:dyDescent="0.45">
      <c r="A8" s="7">
        <v>4</v>
      </c>
      <c r="B8" s="7" t="s">
        <v>1193</v>
      </c>
      <c r="C8" s="5" t="s">
        <v>1203</v>
      </c>
      <c r="D8" s="5" t="s">
        <v>1204</v>
      </c>
      <c r="E8" s="5" t="s">
        <v>1205</v>
      </c>
      <c r="F8" s="7" t="s">
        <v>8</v>
      </c>
      <c r="G8" s="7" t="s">
        <v>246</v>
      </c>
      <c r="H8" s="7" t="s">
        <v>1201</v>
      </c>
      <c r="I8" s="12" t="s">
        <v>47</v>
      </c>
      <c r="J8" s="5" t="s">
        <v>1206</v>
      </c>
    </row>
    <row r="9" spans="1:10" ht="72" customHeight="1" x14ac:dyDescent="0.45">
      <c r="A9" s="7">
        <v>5</v>
      </c>
      <c r="B9" s="7" t="s">
        <v>1193</v>
      </c>
      <c r="C9" s="5" t="s">
        <v>1207</v>
      </c>
      <c r="D9" s="5" t="s">
        <v>1208</v>
      </c>
      <c r="E9" s="5" t="s">
        <v>1209</v>
      </c>
      <c r="F9" s="7" t="s">
        <v>8</v>
      </c>
      <c r="G9" s="7" t="s">
        <v>246</v>
      </c>
      <c r="H9" s="7" t="s">
        <v>1201</v>
      </c>
      <c r="I9" s="12" t="s">
        <v>51</v>
      </c>
      <c r="J9" s="5" t="s">
        <v>1210</v>
      </c>
    </row>
    <row r="10" spans="1:10" ht="72" customHeight="1" x14ac:dyDescent="0.45">
      <c r="A10" s="7">
        <v>6</v>
      </c>
      <c r="B10" s="7" t="s">
        <v>1211</v>
      </c>
      <c r="C10" s="5" t="s">
        <v>1212</v>
      </c>
      <c r="D10" s="5" t="s">
        <v>1213</v>
      </c>
      <c r="E10" s="5" t="s">
        <v>1214</v>
      </c>
      <c r="F10" s="7" t="s">
        <v>8</v>
      </c>
      <c r="G10" s="7" t="s">
        <v>246</v>
      </c>
      <c r="H10" s="7" t="s">
        <v>1201</v>
      </c>
      <c r="I10" s="12" t="s">
        <v>51</v>
      </c>
      <c r="J10" s="5" t="s">
        <v>1215</v>
      </c>
    </row>
    <row r="11" spans="1:10" ht="72" customHeight="1" x14ac:dyDescent="0.45">
      <c r="A11" s="7">
        <v>7</v>
      </c>
      <c r="B11" s="7" t="s">
        <v>1216</v>
      </c>
      <c r="C11" s="5" t="s">
        <v>1217</v>
      </c>
      <c r="D11" s="5" t="s">
        <v>1218</v>
      </c>
      <c r="E11" s="5" t="s">
        <v>1219</v>
      </c>
      <c r="F11" s="7" t="s">
        <v>8</v>
      </c>
      <c r="G11" s="7" t="s">
        <v>272</v>
      </c>
      <c r="H11" s="7" t="s">
        <v>1201</v>
      </c>
      <c r="I11" s="12" t="s">
        <v>51</v>
      </c>
      <c r="J11" s="5" t="s">
        <v>1220</v>
      </c>
    </row>
    <row r="12" spans="1:10" ht="72" customHeight="1" x14ac:dyDescent="0.45">
      <c r="A12" s="7">
        <v>8</v>
      </c>
      <c r="B12" s="7" t="s">
        <v>1193</v>
      </c>
      <c r="C12" s="5" t="s">
        <v>1221</v>
      </c>
      <c r="D12" s="5" t="s">
        <v>1222</v>
      </c>
      <c r="E12" s="5" t="s">
        <v>1223</v>
      </c>
      <c r="F12" s="7" t="s">
        <v>8</v>
      </c>
      <c r="G12" s="7" t="s">
        <v>168</v>
      </c>
      <c r="H12" s="7" t="s">
        <v>1201</v>
      </c>
      <c r="I12" s="12" t="s">
        <v>51</v>
      </c>
      <c r="J12" s="5" t="s">
        <v>1224</v>
      </c>
    </row>
    <row r="13" spans="1:10" ht="72" customHeight="1" x14ac:dyDescent="0.45">
      <c r="A13" s="7">
        <v>9</v>
      </c>
      <c r="B13" s="7" t="s">
        <v>1225</v>
      </c>
      <c r="C13" s="5" t="s">
        <v>1226</v>
      </c>
      <c r="D13" s="5" t="s">
        <v>1227</v>
      </c>
      <c r="E13" s="5" t="s">
        <v>1228</v>
      </c>
      <c r="F13" s="7" t="s">
        <v>8</v>
      </c>
      <c r="G13" s="7" t="s">
        <v>168</v>
      </c>
      <c r="H13" s="7" t="s">
        <v>1201</v>
      </c>
      <c r="I13" s="12" t="s">
        <v>51</v>
      </c>
      <c r="J13" s="5" t="s">
        <v>1229</v>
      </c>
    </row>
    <row r="14" spans="1:10" ht="72" customHeight="1" x14ac:dyDescent="0.45">
      <c r="A14" s="7">
        <v>10</v>
      </c>
      <c r="B14" s="7" t="s">
        <v>1230</v>
      </c>
      <c r="C14" s="5" t="s">
        <v>1231</v>
      </c>
      <c r="D14" s="5" t="s">
        <v>1232</v>
      </c>
      <c r="E14" s="5" t="s">
        <v>1233</v>
      </c>
      <c r="F14" s="7" t="s">
        <v>8</v>
      </c>
      <c r="G14" s="7" t="s">
        <v>246</v>
      </c>
      <c r="H14" s="7" t="s">
        <v>1201</v>
      </c>
      <c r="I14" s="12" t="s">
        <v>51</v>
      </c>
      <c r="J14" s="5" t="s">
        <v>1234</v>
      </c>
    </row>
    <row r="15" spans="1:10" ht="72" customHeight="1" x14ac:dyDescent="0.45">
      <c r="A15" s="7">
        <v>11</v>
      </c>
      <c r="B15" s="7" t="s">
        <v>1230</v>
      </c>
      <c r="C15" s="5" t="s">
        <v>1235</v>
      </c>
      <c r="D15" s="5" t="s">
        <v>1236</v>
      </c>
      <c r="E15" s="5" t="s">
        <v>1237</v>
      </c>
      <c r="F15" s="7" t="s">
        <v>8</v>
      </c>
      <c r="G15" s="7" t="s">
        <v>246</v>
      </c>
      <c r="H15" s="7" t="s">
        <v>1201</v>
      </c>
      <c r="I15" s="12" t="s">
        <v>51</v>
      </c>
      <c r="J15" s="5" t="s">
        <v>1238</v>
      </c>
    </row>
    <row r="16" spans="1:10" ht="72" customHeight="1" x14ac:dyDescent="0.45">
      <c r="A16" s="7">
        <v>12</v>
      </c>
      <c r="B16" s="7" t="s">
        <v>1216</v>
      </c>
      <c r="C16" s="5" t="s">
        <v>1239</v>
      </c>
      <c r="D16" s="5" t="s">
        <v>1240</v>
      </c>
      <c r="E16" s="5" t="s">
        <v>1241</v>
      </c>
      <c r="F16" s="7" t="s">
        <v>8</v>
      </c>
      <c r="G16" s="7" t="s">
        <v>272</v>
      </c>
      <c r="H16" s="7" t="s">
        <v>1242</v>
      </c>
      <c r="I16" s="12" t="s">
        <v>51</v>
      </c>
      <c r="J16" s="5" t="s">
        <v>1243</v>
      </c>
    </row>
    <row r="17" spans="1:10" ht="72" customHeight="1" x14ac:dyDescent="0.45">
      <c r="A17" s="7">
        <v>13</v>
      </c>
      <c r="B17" s="7" t="s">
        <v>1211</v>
      </c>
      <c r="C17" s="5" t="s">
        <v>1244</v>
      </c>
      <c r="D17" s="5" t="s">
        <v>1245</v>
      </c>
      <c r="E17" s="5" t="s">
        <v>1246</v>
      </c>
      <c r="F17" s="7" t="s">
        <v>8</v>
      </c>
      <c r="G17" s="7" t="s">
        <v>246</v>
      </c>
      <c r="H17" s="7" t="s">
        <v>1242</v>
      </c>
      <c r="I17" s="12" t="s">
        <v>51</v>
      </c>
      <c r="J17" s="5" t="s">
        <v>1247</v>
      </c>
    </row>
    <row r="18" spans="1:10" ht="72" customHeight="1" x14ac:dyDescent="0.45">
      <c r="A18" s="7">
        <v>14</v>
      </c>
      <c r="B18" s="7" t="s">
        <v>1248</v>
      </c>
      <c r="C18" s="5" t="s">
        <v>1249</v>
      </c>
      <c r="D18" s="5" t="s">
        <v>1250</v>
      </c>
      <c r="E18" s="5" t="s">
        <v>1251</v>
      </c>
      <c r="F18" s="7" t="s">
        <v>1252</v>
      </c>
      <c r="G18" s="7" t="s">
        <v>1253</v>
      </c>
      <c r="H18" s="7" t="s">
        <v>1242</v>
      </c>
      <c r="I18" s="14" t="s">
        <v>53</v>
      </c>
      <c r="J18" s="5" t="s">
        <v>1254</v>
      </c>
    </row>
    <row r="19" spans="1:10" ht="72" customHeight="1" x14ac:dyDescent="0.45">
      <c r="A19" s="7">
        <v>15</v>
      </c>
      <c r="B19" s="7" t="s">
        <v>1187</v>
      </c>
      <c r="C19" s="5" t="s">
        <v>1255</v>
      </c>
      <c r="D19" s="5" t="s">
        <v>1256</v>
      </c>
      <c r="E19" s="5" t="s">
        <v>1257</v>
      </c>
      <c r="F19" s="7" t="s">
        <v>1258</v>
      </c>
      <c r="G19" s="7" t="s">
        <v>272</v>
      </c>
      <c r="H19" s="7" t="s">
        <v>1242</v>
      </c>
      <c r="I19" s="10" t="s">
        <v>49</v>
      </c>
      <c r="J19" s="5" t="s">
        <v>1259</v>
      </c>
    </row>
    <row r="20" spans="1:10" ht="72" customHeight="1" x14ac:dyDescent="0.45">
      <c r="A20" s="7">
        <v>16</v>
      </c>
      <c r="B20" s="7" t="s">
        <v>1260</v>
      </c>
      <c r="C20" s="5" t="s">
        <v>1261</v>
      </c>
      <c r="D20" s="5" t="s">
        <v>1262</v>
      </c>
      <c r="E20" s="5" t="s">
        <v>1263</v>
      </c>
      <c r="F20" s="7" t="s">
        <v>1264</v>
      </c>
      <c r="G20" s="7" t="s">
        <v>272</v>
      </c>
      <c r="H20" s="7" t="s">
        <v>1265</v>
      </c>
      <c r="I20" s="14" t="s">
        <v>53</v>
      </c>
      <c r="J20" s="5" t="s">
        <v>1266</v>
      </c>
    </row>
    <row r="21" spans="1:10" ht="72" customHeight="1" x14ac:dyDescent="0.45">
      <c r="A21" s="7">
        <v>17</v>
      </c>
      <c r="B21" s="7" t="s">
        <v>1260</v>
      </c>
      <c r="C21" s="5" t="s">
        <v>1267</v>
      </c>
      <c r="D21" s="5" t="s">
        <v>1268</v>
      </c>
      <c r="E21" s="5" t="s">
        <v>1269</v>
      </c>
      <c r="F21" s="7" t="s">
        <v>1270</v>
      </c>
      <c r="G21" s="7" t="s">
        <v>272</v>
      </c>
      <c r="H21" s="7" t="s">
        <v>1265</v>
      </c>
      <c r="I21" s="12" t="s">
        <v>51</v>
      </c>
      <c r="J21" s="5" t="s">
        <v>1271</v>
      </c>
    </row>
    <row r="22" spans="1:10" ht="72" customHeight="1" x14ac:dyDescent="0.45">
      <c r="A22" s="7">
        <v>18</v>
      </c>
      <c r="B22" s="7" t="s">
        <v>1211</v>
      </c>
      <c r="C22" s="5" t="s">
        <v>1272</v>
      </c>
      <c r="D22" s="5" t="s">
        <v>1273</v>
      </c>
      <c r="E22" s="5" t="s">
        <v>1274</v>
      </c>
      <c r="F22" s="7" t="s">
        <v>8</v>
      </c>
      <c r="G22" s="7" t="s">
        <v>168</v>
      </c>
      <c r="H22" s="7" t="s">
        <v>1201</v>
      </c>
      <c r="I22" s="12" t="s">
        <v>47</v>
      </c>
      <c r="J22" s="5" t="s">
        <v>1275</v>
      </c>
    </row>
    <row r="23" spans="1:10" ht="72" customHeight="1" x14ac:dyDescent="0.45">
      <c r="A23" s="7">
        <v>19</v>
      </c>
      <c r="B23" s="7" t="s">
        <v>1198</v>
      </c>
      <c r="C23" s="5" t="s">
        <v>1276</v>
      </c>
      <c r="D23" s="5" t="s">
        <v>1277</v>
      </c>
      <c r="E23" s="5" t="s">
        <v>1278</v>
      </c>
      <c r="F23" s="7" t="s">
        <v>8</v>
      </c>
      <c r="G23" s="7" t="s">
        <v>168</v>
      </c>
      <c r="H23" s="7" t="s">
        <v>1242</v>
      </c>
      <c r="I23" s="12" t="s">
        <v>47</v>
      </c>
      <c r="J23" s="5" t="s">
        <v>1279</v>
      </c>
    </row>
    <row r="24" spans="1:10" ht="72" customHeight="1" x14ac:dyDescent="0.45">
      <c r="A24" s="7">
        <v>20</v>
      </c>
      <c r="B24" s="7" t="s">
        <v>1198</v>
      </c>
      <c r="C24" s="5" t="s">
        <v>1280</v>
      </c>
      <c r="D24" s="5" t="s">
        <v>1281</v>
      </c>
      <c r="E24" s="5" t="s">
        <v>1282</v>
      </c>
      <c r="F24" s="7" t="s">
        <v>8</v>
      </c>
      <c r="G24" s="7" t="s">
        <v>168</v>
      </c>
      <c r="H24" s="7" t="s">
        <v>1242</v>
      </c>
      <c r="I24" s="12" t="s">
        <v>47</v>
      </c>
      <c r="J24" s="5" t="s">
        <v>1283</v>
      </c>
    </row>
    <row r="25" spans="1:10" ht="72" customHeight="1" x14ac:dyDescent="0.45">
      <c r="A25" s="7" t="s">
        <v>88</v>
      </c>
      <c r="B25" s="7" t="s">
        <v>1198</v>
      </c>
      <c r="C25" s="5" t="s">
        <v>1284</v>
      </c>
      <c r="D25" s="5" t="s">
        <v>1285</v>
      </c>
      <c r="E25" s="5" t="s">
        <v>1286</v>
      </c>
      <c r="F25" s="7" t="s">
        <v>8</v>
      </c>
      <c r="G25" s="7" t="s">
        <v>272</v>
      </c>
      <c r="H25" s="7" t="s">
        <v>1201</v>
      </c>
      <c r="I25" s="12" t="s">
        <v>49</v>
      </c>
      <c r="J25" s="5" t="s">
        <v>1287</v>
      </c>
    </row>
    <row r="26" spans="1:10" ht="72" customHeight="1" x14ac:dyDescent="0.45">
      <c r="A26" s="7" t="s">
        <v>1288</v>
      </c>
      <c r="B26" s="7" t="s">
        <v>1248</v>
      </c>
      <c r="C26" s="5" t="s">
        <v>1289</v>
      </c>
      <c r="D26" s="5" t="s">
        <v>1290</v>
      </c>
      <c r="E26" s="5" t="s">
        <v>1291</v>
      </c>
      <c r="F26" s="7" t="s">
        <v>1292</v>
      </c>
      <c r="G26" s="7" t="s">
        <v>1293</v>
      </c>
      <c r="H26" s="7" t="s">
        <v>1191</v>
      </c>
      <c r="I26" s="12" t="s">
        <v>47</v>
      </c>
      <c r="J26" s="5" t="s">
        <v>1294</v>
      </c>
    </row>
    <row r="27" spans="1:10" ht="72" customHeight="1" x14ac:dyDescent="0.45">
      <c r="A27" s="7" t="s">
        <v>1295</v>
      </c>
      <c r="B27" s="7" t="s">
        <v>1198</v>
      </c>
      <c r="C27" s="5" t="s">
        <v>1296</v>
      </c>
      <c r="D27" s="5" t="s">
        <v>1297</v>
      </c>
      <c r="E27" s="5" t="s">
        <v>1298</v>
      </c>
      <c r="F27" s="7" t="s">
        <v>8</v>
      </c>
      <c r="G27" s="7" t="s">
        <v>1299</v>
      </c>
      <c r="H27" s="7" t="s">
        <v>1191</v>
      </c>
      <c r="I27" s="12" t="s">
        <v>47</v>
      </c>
      <c r="J27" s="5" t="s">
        <v>1300</v>
      </c>
    </row>
    <row r="28" spans="1:10" ht="72" customHeight="1" x14ac:dyDescent="0.45">
      <c r="A28" s="7" t="s">
        <v>1301</v>
      </c>
      <c r="B28" s="7" t="s">
        <v>1198</v>
      </c>
      <c r="C28" s="5" t="s">
        <v>1302</v>
      </c>
      <c r="D28" s="5" t="s">
        <v>1303</v>
      </c>
      <c r="E28" s="5" t="s">
        <v>1304</v>
      </c>
      <c r="F28" s="7" t="s">
        <v>8</v>
      </c>
      <c r="G28" s="7" t="s">
        <v>78</v>
      </c>
      <c r="H28" s="7" t="s">
        <v>1242</v>
      </c>
      <c r="I28" s="12" t="s">
        <v>51</v>
      </c>
      <c r="J28" s="5" t="s">
        <v>1305</v>
      </c>
    </row>
    <row r="29" spans="1:10" ht="72" customHeight="1" x14ac:dyDescent="0.45">
      <c r="A29" s="7" t="s">
        <v>1306</v>
      </c>
      <c r="B29" s="7" t="s">
        <v>1193</v>
      </c>
      <c r="C29" s="5" t="s">
        <v>1307</v>
      </c>
      <c r="D29" s="5" t="s">
        <v>1308</v>
      </c>
      <c r="E29" s="5" t="s">
        <v>1309</v>
      </c>
      <c r="F29" s="7" t="s">
        <v>8</v>
      </c>
      <c r="G29" s="7" t="s">
        <v>1299</v>
      </c>
      <c r="H29" s="7" t="s">
        <v>1201</v>
      </c>
      <c r="I29" s="12" t="s">
        <v>51</v>
      </c>
      <c r="J29" s="5" t="s">
        <v>1310</v>
      </c>
    </row>
    <row r="30" spans="1:10" ht="72" customHeight="1" x14ac:dyDescent="0.45">
      <c r="A30" s="7" t="s">
        <v>1311</v>
      </c>
      <c r="B30" s="7" t="s">
        <v>1248</v>
      </c>
      <c r="C30" s="5" t="s">
        <v>1312</v>
      </c>
      <c r="D30" s="5" t="s">
        <v>1313</v>
      </c>
      <c r="E30" s="5" t="s">
        <v>1314</v>
      </c>
      <c r="F30" s="7" t="s">
        <v>494</v>
      </c>
      <c r="G30" s="7" t="s">
        <v>1299</v>
      </c>
      <c r="H30" s="7" t="s">
        <v>1201</v>
      </c>
      <c r="I30" s="12" t="s">
        <v>51</v>
      </c>
      <c r="J30" s="5" t="s">
        <v>1315</v>
      </c>
    </row>
    <row r="31" spans="1:10" ht="72" customHeight="1" x14ac:dyDescent="0.45">
      <c r="A31" s="7" t="s">
        <v>1316</v>
      </c>
      <c r="B31" s="7" t="s">
        <v>1198</v>
      </c>
      <c r="C31" s="5" t="s">
        <v>1317</v>
      </c>
      <c r="D31" s="5" t="s">
        <v>1318</v>
      </c>
      <c r="E31" s="5" t="s">
        <v>1319</v>
      </c>
      <c r="F31" s="7" t="s">
        <v>8</v>
      </c>
      <c r="G31" s="7" t="s">
        <v>1320</v>
      </c>
      <c r="H31" s="7" t="s">
        <v>1191</v>
      </c>
      <c r="I31" s="12" t="s">
        <v>51</v>
      </c>
      <c r="J31" s="5" t="s">
        <v>1321</v>
      </c>
    </row>
    <row r="32" spans="1:10" ht="72" customHeight="1" x14ac:dyDescent="0.45">
      <c r="A32" s="7" t="s">
        <v>1322</v>
      </c>
      <c r="B32" s="7" t="s">
        <v>1198</v>
      </c>
      <c r="C32" s="5" t="s">
        <v>1323</v>
      </c>
      <c r="D32" s="5" t="s">
        <v>1324</v>
      </c>
      <c r="E32" s="5" t="s">
        <v>1325</v>
      </c>
      <c r="F32" s="7" t="s">
        <v>8</v>
      </c>
      <c r="G32" s="7" t="s">
        <v>1320</v>
      </c>
      <c r="H32" s="7" t="s">
        <v>1201</v>
      </c>
      <c r="I32" s="12" t="s">
        <v>51</v>
      </c>
      <c r="J32" s="5" t="s">
        <v>1326</v>
      </c>
    </row>
    <row r="33" spans="1:10" ht="72" customHeight="1" x14ac:dyDescent="0.45">
      <c r="A33" s="7" t="s">
        <v>1327</v>
      </c>
      <c r="B33" s="7" t="s">
        <v>1198</v>
      </c>
      <c r="C33" s="5" t="s">
        <v>1328</v>
      </c>
      <c r="D33" s="5" t="s">
        <v>1329</v>
      </c>
      <c r="E33" s="5" t="s">
        <v>1330</v>
      </c>
      <c r="F33" s="7" t="s">
        <v>8</v>
      </c>
      <c r="G33" s="7" t="s">
        <v>1331</v>
      </c>
      <c r="H33" s="7" t="s">
        <v>1242</v>
      </c>
      <c r="I33" s="12" t="s">
        <v>51</v>
      </c>
      <c r="J33" s="5" t="s">
        <v>1332</v>
      </c>
    </row>
    <row r="34" spans="1:10" ht="72" customHeight="1" x14ac:dyDescent="0.45">
      <c r="A34" s="7" t="s">
        <v>1333</v>
      </c>
      <c r="B34" s="7" t="s">
        <v>1193</v>
      </c>
      <c r="C34" s="5" t="s">
        <v>1334</v>
      </c>
      <c r="D34" s="5" t="s">
        <v>1335</v>
      </c>
      <c r="E34" s="5" t="s">
        <v>1336</v>
      </c>
      <c r="F34" s="7" t="s">
        <v>1337</v>
      </c>
      <c r="G34" s="7" t="s">
        <v>298</v>
      </c>
      <c r="H34" s="7" t="s">
        <v>1191</v>
      </c>
      <c r="I34" s="12" t="s">
        <v>51</v>
      </c>
      <c r="J34" s="5" t="s">
        <v>1338</v>
      </c>
    </row>
    <row r="35" spans="1:10" ht="72" customHeight="1" x14ac:dyDescent="0.45">
      <c r="A35" s="7" t="s">
        <v>1339</v>
      </c>
      <c r="B35" s="7" t="s">
        <v>1248</v>
      </c>
      <c r="C35" s="5" t="s">
        <v>1340</v>
      </c>
      <c r="D35" s="5" t="s">
        <v>1341</v>
      </c>
      <c r="E35" s="5" t="s">
        <v>1342</v>
      </c>
      <c r="F35" s="7" t="s">
        <v>494</v>
      </c>
      <c r="G35" s="7" t="s">
        <v>298</v>
      </c>
      <c r="H35" s="7" t="s">
        <v>1191</v>
      </c>
      <c r="I35" s="12" t="s">
        <v>51</v>
      </c>
      <c r="J35" s="5" t="s">
        <v>1343</v>
      </c>
    </row>
    <row r="36" spans="1:10" ht="72" customHeight="1" x14ac:dyDescent="0.45">
      <c r="A36" s="7" t="s">
        <v>1344</v>
      </c>
      <c r="B36" s="7" t="s">
        <v>1216</v>
      </c>
      <c r="C36" s="5" t="s">
        <v>1345</v>
      </c>
      <c r="D36" s="5" t="s">
        <v>1346</v>
      </c>
      <c r="E36" s="5" t="s">
        <v>1347</v>
      </c>
      <c r="F36" s="7" t="s">
        <v>8</v>
      </c>
      <c r="G36" s="7" t="s">
        <v>78</v>
      </c>
      <c r="H36" s="7" t="s">
        <v>1201</v>
      </c>
      <c r="I36" s="12" t="s">
        <v>51</v>
      </c>
      <c r="J36" s="5" t="s">
        <v>1348</v>
      </c>
    </row>
    <row r="37" spans="1:10" ht="72" customHeight="1" x14ac:dyDescent="0.45">
      <c r="A37" s="7" t="s">
        <v>1349</v>
      </c>
      <c r="B37" s="7" t="s">
        <v>1211</v>
      </c>
      <c r="C37" s="5" t="s">
        <v>1350</v>
      </c>
      <c r="D37" s="5" t="s">
        <v>1351</v>
      </c>
      <c r="E37" s="5" t="s">
        <v>1352</v>
      </c>
      <c r="F37" s="7" t="s">
        <v>1353</v>
      </c>
      <c r="G37" s="7" t="s">
        <v>78</v>
      </c>
      <c r="H37" s="7" t="s">
        <v>1201</v>
      </c>
      <c r="I37" s="12" t="s">
        <v>51</v>
      </c>
      <c r="J37" s="5" t="s">
        <v>1354</v>
      </c>
    </row>
    <row r="38" spans="1:10" ht="72" customHeight="1" x14ac:dyDescent="0.45">
      <c r="A38" s="7" t="s">
        <v>1355</v>
      </c>
      <c r="B38" s="7" t="s">
        <v>1211</v>
      </c>
      <c r="C38" s="5" t="s">
        <v>1356</v>
      </c>
      <c r="D38" s="5" t="s">
        <v>1357</v>
      </c>
      <c r="E38" s="5" t="s">
        <v>1358</v>
      </c>
      <c r="F38" s="7" t="s">
        <v>1359</v>
      </c>
      <c r="G38" s="7" t="s">
        <v>78</v>
      </c>
      <c r="H38" s="7" t="s">
        <v>1201</v>
      </c>
      <c r="I38" s="12" t="s">
        <v>51</v>
      </c>
      <c r="J38" s="5" t="s">
        <v>1360</v>
      </c>
    </row>
    <row r="39" spans="1:10" ht="72" customHeight="1" x14ac:dyDescent="0.45">
      <c r="A39" s="7" t="s">
        <v>1361</v>
      </c>
      <c r="B39" s="7" t="s">
        <v>1211</v>
      </c>
      <c r="C39" s="5" t="s">
        <v>1362</v>
      </c>
      <c r="D39" s="5" t="s">
        <v>1363</v>
      </c>
      <c r="E39" s="5" t="s">
        <v>1364</v>
      </c>
      <c r="F39" s="7" t="s">
        <v>1365</v>
      </c>
      <c r="G39" s="7" t="s">
        <v>78</v>
      </c>
      <c r="H39" s="7" t="s">
        <v>1201</v>
      </c>
      <c r="I39" s="12" t="s">
        <v>51</v>
      </c>
      <c r="J39" s="5" t="s">
        <v>1366</v>
      </c>
    </row>
    <row r="40" spans="1:10" ht="72" customHeight="1" x14ac:dyDescent="0.45">
      <c r="A40" s="7" t="s">
        <v>1367</v>
      </c>
      <c r="B40" s="7" t="s">
        <v>1211</v>
      </c>
      <c r="C40" s="5" t="s">
        <v>1368</v>
      </c>
      <c r="D40" s="5" t="s">
        <v>1369</v>
      </c>
      <c r="E40" s="5" t="s">
        <v>1370</v>
      </c>
      <c r="F40" s="7" t="s">
        <v>1365</v>
      </c>
      <c r="G40" s="7" t="s">
        <v>78</v>
      </c>
      <c r="H40" s="7" t="s">
        <v>1201</v>
      </c>
      <c r="I40" s="12" t="s">
        <v>51</v>
      </c>
      <c r="J40" s="5" t="s">
        <v>1371</v>
      </c>
    </row>
    <row r="41" spans="1:10" ht="72" customHeight="1" x14ac:dyDescent="0.45">
      <c r="A41" s="7" t="s">
        <v>1372</v>
      </c>
      <c r="B41" s="7" t="s">
        <v>1198</v>
      </c>
      <c r="C41" s="5" t="s">
        <v>1373</v>
      </c>
      <c r="D41" s="5" t="s">
        <v>1374</v>
      </c>
      <c r="E41" s="5" t="s">
        <v>1375</v>
      </c>
      <c r="F41" s="7" t="s">
        <v>494</v>
      </c>
      <c r="G41" s="7" t="s">
        <v>1376</v>
      </c>
      <c r="H41" s="7" t="s">
        <v>1191</v>
      </c>
      <c r="I41" s="12" t="s">
        <v>53</v>
      </c>
      <c r="J41" s="5" t="s">
        <v>1377</v>
      </c>
    </row>
    <row r="42" spans="1:10" ht="72" customHeight="1" x14ac:dyDescent="0.45">
      <c r="A42" s="7" t="s">
        <v>1378</v>
      </c>
      <c r="B42" s="7" t="s">
        <v>1198</v>
      </c>
      <c r="C42" s="5" t="s">
        <v>1379</v>
      </c>
      <c r="D42" s="5" t="s">
        <v>1380</v>
      </c>
      <c r="E42" s="5" t="s">
        <v>1381</v>
      </c>
      <c r="F42" s="7" t="s">
        <v>1382</v>
      </c>
      <c r="G42" s="7" t="s">
        <v>1383</v>
      </c>
      <c r="H42" s="7" t="s">
        <v>1191</v>
      </c>
      <c r="I42" s="12" t="s">
        <v>53</v>
      </c>
      <c r="J42" s="5" t="s">
        <v>1384</v>
      </c>
    </row>
    <row r="44" spans="1:10" ht="15" x14ac:dyDescent="0.45">
      <c r="A44" s="22" t="s">
        <v>44</v>
      </c>
      <c r="B44" s="22" t="s">
        <v>216</v>
      </c>
    </row>
    <row r="45" spans="1:10" ht="14.5" x14ac:dyDescent="0.45">
      <c r="A45" s="8" t="s">
        <v>47</v>
      </c>
      <c r="B45" s="7">
        <f>COUNTIF(I5:I40,"完了")</f>
        <v>7</v>
      </c>
    </row>
    <row r="46" spans="1:10" ht="29" x14ac:dyDescent="0.45">
      <c r="A46" s="10" t="s">
        <v>49</v>
      </c>
      <c r="B46" s="7">
        <f>COUNTIF(I5:I40,"実施中")</f>
        <v>2</v>
      </c>
    </row>
    <row r="47" spans="1:10" ht="29" x14ac:dyDescent="0.45">
      <c r="A47" s="12" t="s">
        <v>51</v>
      </c>
      <c r="B47" s="7">
        <f>COUNTIF(I5:I40,"確認待ち")</f>
        <v>25</v>
      </c>
    </row>
    <row r="48" spans="1:10" ht="29" x14ac:dyDescent="0.45">
      <c r="A48" s="14" t="s">
        <v>53</v>
      </c>
      <c r="B48" s="7">
        <f>COUNTIF(I5:I40,"未着手")</f>
        <v>2</v>
      </c>
    </row>
    <row r="49" spans="1:10" x14ac:dyDescent="0.45">
      <c r="A49" s="51" t="s">
        <v>55</v>
      </c>
      <c r="B49" s="40"/>
      <c r="C49" s="40"/>
      <c r="D49" s="40"/>
      <c r="E49" s="40"/>
      <c r="F49" s="40"/>
      <c r="G49" s="40"/>
      <c r="H49" s="40"/>
      <c r="I49" s="40"/>
      <c r="J49" s="41"/>
    </row>
    <row r="50" spans="1:10" x14ac:dyDescent="0.45">
      <c r="A50" s="45"/>
      <c r="B50" s="45"/>
      <c r="C50" s="45"/>
      <c r="D50" s="45"/>
      <c r="E50" s="45"/>
      <c r="F50" s="45"/>
      <c r="G50" s="45"/>
      <c r="H50" s="45"/>
      <c r="I50" s="45"/>
      <c r="J50" s="45"/>
    </row>
    <row r="51" spans="1:10" ht="409.5" x14ac:dyDescent="0.45">
      <c r="A51" s="21" t="s">
        <v>1385</v>
      </c>
    </row>
    <row r="52" spans="1:10" ht="409.5" x14ac:dyDescent="0.45">
      <c r="A52" s="21" t="s">
        <v>1386</v>
      </c>
    </row>
    <row r="53" spans="1:10" ht="101.5" x14ac:dyDescent="0.45">
      <c r="A53" s="32" t="s">
        <v>1387</v>
      </c>
      <c r="B53" s="32" t="s">
        <v>1216</v>
      </c>
      <c r="C53" s="32" t="s">
        <v>1388</v>
      </c>
      <c r="D53" s="32" t="s">
        <v>1389</v>
      </c>
      <c r="E53" s="32" t="s">
        <v>1390</v>
      </c>
      <c r="F53" s="32" t="s">
        <v>1391</v>
      </c>
      <c r="G53" s="32" t="s">
        <v>1383</v>
      </c>
      <c r="H53" s="32" t="s">
        <v>1201</v>
      </c>
      <c r="I53" s="32" t="s">
        <v>53</v>
      </c>
      <c r="J53" s="32" t="s">
        <v>1392</v>
      </c>
    </row>
  </sheetData>
  <mergeCells count="4">
    <mergeCell ref="A1:J1"/>
    <mergeCell ref="A2:J2"/>
    <mergeCell ref="A50:J50"/>
    <mergeCell ref="A49:J49"/>
  </mergeCells>
  <phoneticPr fontId="7"/>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3"/>
  <sheetViews>
    <sheetView workbookViewId="0">
      <pane ySplit="4" topLeftCell="A5" activePane="bottomLeft" state="frozen"/>
      <selection pane="bottomLeft"/>
    </sheetView>
  </sheetViews>
  <sheetFormatPr defaultRowHeight="13.25" x14ac:dyDescent="0.45"/>
  <cols>
    <col min="1" max="1" width="5" customWidth="1"/>
    <col min="2" max="2" width="30" customWidth="1"/>
    <col min="3" max="3" width="7" customWidth="1"/>
    <col min="4" max="4" width="11" customWidth="1"/>
    <col min="5" max="5" width="6" customWidth="1"/>
    <col min="6" max="6" width="9" customWidth="1"/>
    <col min="7" max="7" width="32" customWidth="1"/>
    <col min="8" max="9" width="52" customWidth="1"/>
  </cols>
  <sheetData>
    <row r="1" spans="1:9" ht="24" customHeight="1" x14ac:dyDescent="1.4">
      <c r="A1" s="24" t="s">
        <v>1393</v>
      </c>
    </row>
    <row r="2" spans="1:9" ht="58" customHeight="1" x14ac:dyDescent="0.45">
      <c r="A2" s="52" t="s">
        <v>1394</v>
      </c>
      <c r="B2" s="45"/>
      <c r="C2" s="45"/>
      <c r="D2" s="45"/>
      <c r="E2" s="45"/>
      <c r="F2" s="45"/>
      <c r="G2" s="45"/>
      <c r="H2" s="45"/>
      <c r="I2" s="45"/>
    </row>
    <row r="4" spans="1:9" ht="30" x14ac:dyDescent="0.45">
      <c r="A4" s="25" t="s">
        <v>1395</v>
      </c>
      <c r="B4" s="25" t="s">
        <v>1396</v>
      </c>
      <c r="C4" s="25" t="s">
        <v>1397</v>
      </c>
      <c r="D4" s="25" t="s">
        <v>1398</v>
      </c>
      <c r="E4" s="25" t="s">
        <v>216</v>
      </c>
      <c r="F4" s="25" t="s">
        <v>1399</v>
      </c>
      <c r="G4" s="25" t="s">
        <v>72</v>
      </c>
      <c r="H4" s="25" t="s">
        <v>1400</v>
      </c>
      <c r="I4" s="25" t="s">
        <v>1401</v>
      </c>
    </row>
    <row r="5" spans="1:9" ht="72.5" x14ac:dyDescent="0.45">
      <c r="A5" s="33">
        <v>1</v>
      </c>
      <c r="B5" s="33" t="s">
        <v>1402</v>
      </c>
      <c r="C5" s="33" t="s">
        <v>1403</v>
      </c>
      <c r="D5" s="33" t="s">
        <v>1404</v>
      </c>
      <c r="E5" s="33">
        <v>9</v>
      </c>
      <c r="F5" s="33">
        <v>8</v>
      </c>
      <c r="G5" s="33" t="s">
        <v>1405</v>
      </c>
      <c r="H5" s="33" t="s">
        <v>1406</v>
      </c>
      <c r="I5" s="33" t="s">
        <v>1407</v>
      </c>
    </row>
    <row r="6" spans="1:9" ht="43.5" x14ac:dyDescent="0.45">
      <c r="A6" s="26">
        <v>2</v>
      </c>
      <c r="B6" s="26" t="s">
        <v>1408</v>
      </c>
      <c r="C6" s="26" t="s">
        <v>1409</v>
      </c>
      <c r="D6" s="26" t="s">
        <v>1410</v>
      </c>
      <c r="E6" s="26">
        <v>4</v>
      </c>
      <c r="F6" s="26">
        <v>1</v>
      </c>
      <c r="G6" s="26" t="s">
        <v>1411</v>
      </c>
      <c r="H6" s="26" t="s">
        <v>1412</v>
      </c>
      <c r="I6" s="26" t="s">
        <v>1413</v>
      </c>
    </row>
    <row r="7" spans="1:9" ht="58" x14ac:dyDescent="0.45">
      <c r="A7" s="27">
        <v>3</v>
      </c>
      <c r="B7" s="27" t="s">
        <v>1414</v>
      </c>
      <c r="C7" s="27" t="s">
        <v>1225</v>
      </c>
      <c r="D7" s="27" t="s">
        <v>78</v>
      </c>
      <c r="E7" s="27">
        <v>12</v>
      </c>
      <c r="F7" s="27">
        <v>5</v>
      </c>
      <c r="G7" s="27" t="s">
        <v>1415</v>
      </c>
      <c r="H7" s="27" t="s">
        <v>1416</v>
      </c>
      <c r="I7" s="27" t="s">
        <v>1417</v>
      </c>
    </row>
    <row r="8" spans="1:9" ht="43.5" x14ac:dyDescent="0.45">
      <c r="A8" s="27">
        <v>4</v>
      </c>
      <c r="B8" s="27" t="s">
        <v>1418</v>
      </c>
      <c r="C8" s="27" t="s">
        <v>1225</v>
      </c>
      <c r="D8" s="27" t="s">
        <v>1419</v>
      </c>
      <c r="E8" s="27">
        <v>19</v>
      </c>
      <c r="F8" s="27">
        <v>5</v>
      </c>
      <c r="G8" s="27" t="s">
        <v>1420</v>
      </c>
      <c r="H8" s="27" t="s">
        <v>1421</v>
      </c>
      <c r="I8" s="27" t="s">
        <v>1422</v>
      </c>
    </row>
    <row r="9" spans="1:9" ht="43.5" x14ac:dyDescent="0.45">
      <c r="A9" s="27">
        <v>5</v>
      </c>
      <c r="B9" s="27" t="s">
        <v>1423</v>
      </c>
      <c r="C9" s="27" t="s">
        <v>1225</v>
      </c>
      <c r="D9" s="27" t="s">
        <v>1424</v>
      </c>
      <c r="E9" s="27">
        <v>7</v>
      </c>
      <c r="F9" s="27">
        <v>4</v>
      </c>
      <c r="G9" s="27" t="s">
        <v>1425</v>
      </c>
      <c r="H9" s="27" t="s">
        <v>1426</v>
      </c>
      <c r="I9" s="27" t="s">
        <v>1427</v>
      </c>
    </row>
    <row r="10" spans="1:9" ht="43.5" x14ac:dyDescent="0.45">
      <c r="A10" s="27">
        <v>6</v>
      </c>
      <c r="B10" s="27" t="s">
        <v>1428</v>
      </c>
      <c r="C10" s="27" t="s">
        <v>1225</v>
      </c>
      <c r="D10" s="27" t="s">
        <v>1419</v>
      </c>
      <c r="E10" s="27">
        <v>5</v>
      </c>
      <c r="F10" s="27">
        <v>2</v>
      </c>
      <c r="G10" s="27" t="s">
        <v>1429</v>
      </c>
      <c r="H10" s="27" t="s">
        <v>1430</v>
      </c>
      <c r="I10" s="27" t="s">
        <v>1431</v>
      </c>
    </row>
    <row r="11" spans="1:9" ht="72.5" x14ac:dyDescent="0.45">
      <c r="A11" s="28">
        <v>7</v>
      </c>
      <c r="B11" s="28" t="s">
        <v>1432</v>
      </c>
      <c r="C11" s="28" t="s">
        <v>1198</v>
      </c>
      <c r="D11" s="28" t="s">
        <v>1419</v>
      </c>
      <c r="E11" s="28">
        <v>22</v>
      </c>
      <c r="F11" s="28">
        <v>2</v>
      </c>
      <c r="G11" s="28" t="s">
        <v>1433</v>
      </c>
      <c r="H11" s="28" t="s">
        <v>1434</v>
      </c>
      <c r="I11" s="28" t="s">
        <v>1435</v>
      </c>
    </row>
    <row r="12" spans="1:9" ht="58" x14ac:dyDescent="0.45">
      <c r="A12" s="28">
        <v>8</v>
      </c>
      <c r="B12" s="28" t="s">
        <v>1436</v>
      </c>
      <c r="C12" s="28" t="s">
        <v>1198</v>
      </c>
      <c r="D12" s="28" t="s">
        <v>78</v>
      </c>
      <c r="E12" s="28">
        <v>16</v>
      </c>
      <c r="F12" s="28">
        <v>5</v>
      </c>
      <c r="G12" s="28" t="s">
        <v>1437</v>
      </c>
      <c r="H12" s="28" t="s">
        <v>1438</v>
      </c>
      <c r="I12" s="28" t="s">
        <v>1439</v>
      </c>
    </row>
    <row r="13" spans="1:9" ht="43.5" x14ac:dyDescent="0.45">
      <c r="A13" s="28">
        <v>9</v>
      </c>
      <c r="B13" s="28" t="s">
        <v>1440</v>
      </c>
      <c r="C13" s="28" t="s">
        <v>1198</v>
      </c>
      <c r="D13" s="28" t="s">
        <v>1419</v>
      </c>
      <c r="E13" s="28">
        <v>9</v>
      </c>
      <c r="F13" s="28">
        <v>2</v>
      </c>
      <c r="G13" s="28" t="s">
        <v>1441</v>
      </c>
      <c r="H13" s="28" t="s">
        <v>1442</v>
      </c>
      <c r="I13" s="28" t="s">
        <v>1443</v>
      </c>
    </row>
    <row r="14" spans="1:9" ht="72.5" x14ac:dyDescent="0.45">
      <c r="A14" s="28">
        <v>10</v>
      </c>
      <c r="B14" s="28" t="s">
        <v>1444</v>
      </c>
      <c r="C14" s="28" t="s">
        <v>1198</v>
      </c>
      <c r="D14" s="28" t="s">
        <v>189</v>
      </c>
      <c r="E14" s="28">
        <v>5</v>
      </c>
      <c r="F14" s="28">
        <v>0</v>
      </c>
      <c r="G14" s="28" t="s">
        <v>1445</v>
      </c>
      <c r="H14" s="28" t="s">
        <v>1446</v>
      </c>
      <c r="I14" s="28" t="s">
        <v>1447</v>
      </c>
    </row>
    <row r="15" spans="1:9" ht="43.5" x14ac:dyDescent="0.45">
      <c r="A15" s="28">
        <v>11</v>
      </c>
      <c r="B15" s="28" t="s">
        <v>1448</v>
      </c>
      <c r="C15" s="28" t="s">
        <v>1198</v>
      </c>
      <c r="D15" s="28" t="s">
        <v>1449</v>
      </c>
      <c r="E15" s="28">
        <v>6</v>
      </c>
      <c r="F15" s="28">
        <v>2</v>
      </c>
      <c r="G15" s="28" t="s">
        <v>1450</v>
      </c>
      <c r="H15" s="28" t="s">
        <v>1451</v>
      </c>
      <c r="I15" s="28" t="s">
        <v>1452</v>
      </c>
    </row>
    <row r="16" spans="1:9" ht="58" x14ac:dyDescent="0.45">
      <c r="A16" s="29">
        <v>12</v>
      </c>
      <c r="B16" s="29" t="s">
        <v>1453</v>
      </c>
      <c r="C16" s="29" t="s">
        <v>1193</v>
      </c>
      <c r="D16" s="29" t="s">
        <v>1419</v>
      </c>
      <c r="E16" s="29">
        <v>31</v>
      </c>
      <c r="F16" s="29">
        <v>9</v>
      </c>
      <c r="G16" s="29" t="s">
        <v>1454</v>
      </c>
      <c r="H16" s="29" t="s">
        <v>1455</v>
      </c>
      <c r="I16" s="29" t="s">
        <v>1456</v>
      </c>
    </row>
    <row r="18" spans="1:9" ht="16.75" x14ac:dyDescent="1.05">
      <c r="A18" s="30" t="s">
        <v>1457</v>
      </c>
    </row>
    <row r="19" spans="1:9" ht="15.75" x14ac:dyDescent="0.95">
      <c r="A19" s="31" t="s">
        <v>1395</v>
      </c>
      <c r="B19" s="31" t="s">
        <v>1396</v>
      </c>
      <c r="C19" s="31" t="s">
        <v>1397</v>
      </c>
      <c r="D19" s="31" t="s">
        <v>24</v>
      </c>
      <c r="E19" s="31" t="s">
        <v>1458</v>
      </c>
      <c r="F19" s="31" t="s">
        <v>68</v>
      </c>
      <c r="G19" s="31" t="s">
        <v>222</v>
      </c>
      <c r="H19" s="31" t="s">
        <v>224</v>
      </c>
    </row>
    <row r="20" spans="1:9" ht="43.5" x14ac:dyDescent="0.45">
      <c r="A20" s="33">
        <v>1</v>
      </c>
      <c r="B20" s="33" t="s">
        <v>1402</v>
      </c>
      <c r="C20" s="33" t="s">
        <v>1403</v>
      </c>
      <c r="D20" s="33">
        <v>71</v>
      </c>
      <c r="E20" s="33" t="s">
        <v>272</v>
      </c>
      <c r="F20" s="33" t="s">
        <v>51</v>
      </c>
      <c r="G20" s="33" t="s">
        <v>534</v>
      </c>
      <c r="H20" s="33" t="s">
        <v>1459</v>
      </c>
      <c r="I20" s="34"/>
    </row>
    <row r="21" spans="1:9" ht="43.5" x14ac:dyDescent="0.45">
      <c r="A21" s="33">
        <v>1</v>
      </c>
      <c r="B21" s="33" t="s">
        <v>1402</v>
      </c>
      <c r="C21" s="33" t="s">
        <v>1403</v>
      </c>
      <c r="D21" s="33">
        <v>72</v>
      </c>
      <c r="E21" s="33" t="s">
        <v>272</v>
      </c>
      <c r="F21" s="33" t="s">
        <v>51</v>
      </c>
      <c r="G21" s="33" t="s">
        <v>539</v>
      </c>
      <c r="H21" s="33" t="s">
        <v>1460</v>
      </c>
      <c r="I21" s="34"/>
    </row>
    <row r="22" spans="1:9" ht="43.5" x14ac:dyDescent="0.45">
      <c r="A22" s="33">
        <v>1</v>
      </c>
      <c r="B22" s="33" t="s">
        <v>1402</v>
      </c>
      <c r="C22" s="33" t="s">
        <v>1403</v>
      </c>
      <c r="D22" s="33">
        <v>74</v>
      </c>
      <c r="E22" s="33" t="s">
        <v>272</v>
      </c>
      <c r="F22" s="33" t="s">
        <v>51</v>
      </c>
      <c r="G22" s="33" t="s">
        <v>550</v>
      </c>
      <c r="H22" s="33" t="s">
        <v>1461</v>
      </c>
      <c r="I22" s="34"/>
    </row>
    <row r="23" spans="1:9" ht="43.5" x14ac:dyDescent="0.45">
      <c r="A23" s="33">
        <v>1</v>
      </c>
      <c r="B23" s="33" t="s">
        <v>1402</v>
      </c>
      <c r="C23" s="33" t="s">
        <v>1403</v>
      </c>
      <c r="D23" s="33">
        <v>75</v>
      </c>
      <c r="E23" s="33" t="s">
        <v>272</v>
      </c>
      <c r="F23" s="33" t="s">
        <v>51</v>
      </c>
      <c r="G23" s="33" t="s">
        <v>555</v>
      </c>
      <c r="H23" s="33" t="s">
        <v>1462</v>
      </c>
      <c r="I23" s="34"/>
    </row>
    <row r="24" spans="1:9" ht="43.5" x14ac:dyDescent="0.45">
      <c r="A24" s="33">
        <v>1</v>
      </c>
      <c r="B24" s="33" t="s">
        <v>1402</v>
      </c>
      <c r="C24" s="33" t="s">
        <v>1403</v>
      </c>
      <c r="D24" s="33">
        <v>76</v>
      </c>
      <c r="E24" s="33" t="s">
        <v>272</v>
      </c>
      <c r="F24" s="33" t="s">
        <v>51</v>
      </c>
      <c r="G24" s="33" t="s">
        <v>560</v>
      </c>
      <c r="H24" s="33" t="s">
        <v>1463</v>
      </c>
      <c r="I24" s="34"/>
    </row>
    <row r="25" spans="1:9" ht="43.5" x14ac:dyDescent="0.45">
      <c r="A25" s="33">
        <v>1</v>
      </c>
      <c r="B25" s="33" t="s">
        <v>1402</v>
      </c>
      <c r="C25" s="33" t="s">
        <v>1403</v>
      </c>
      <c r="D25" s="33">
        <v>77</v>
      </c>
      <c r="E25" s="33" t="s">
        <v>272</v>
      </c>
      <c r="F25" s="33" t="s">
        <v>51</v>
      </c>
      <c r="G25" s="33" t="s">
        <v>565</v>
      </c>
      <c r="H25" s="33" t="s">
        <v>1464</v>
      </c>
      <c r="I25" s="34"/>
    </row>
    <row r="26" spans="1:9" ht="43.5" x14ac:dyDescent="0.45">
      <c r="A26" s="33">
        <v>1</v>
      </c>
      <c r="B26" s="33" t="s">
        <v>1402</v>
      </c>
      <c r="C26" s="33" t="s">
        <v>1403</v>
      </c>
      <c r="D26" s="33">
        <v>78</v>
      </c>
      <c r="E26" s="33" t="s">
        <v>272</v>
      </c>
      <c r="F26" s="33" t="s">
        <v>51</v>
      </c>
      <c r="G26" s="33" t="s">
        <v>570</v>
      </c>
      <c r="H26" s="33" t="s">
        <v>1462</v>
      </c>
      <c r="I26" s="34"/>
    </row>
    <row r="27" spans="1:9" ht="43.5" x14ac:dyDescent="0.45">
      <c r="A27" s="33">
        <v>1</v>
      </c>
      <c r="B27" s="33" t="s">
        <v>1402</v>
      </c>
      <c r="C27" s="33" t="s">
        <v>1403</v>
      </c>
      <c r="D27" s="33">
        <v>79</v>
      </c>
      <c r="E27" s="33" t="s">
        <v>272</v>
      </c>
      <c r="F27" s="33" t="s">
        <v>51</v>
      </c>
      <c r="G27" s="33" t="s">
        <v>574</v>
      </c>
      <c r="H27" s="33" t="s">
        <v>1465</v>
      </c>
      <c r="I27" s="34"/>
    </row>
    <row r="28" spans="1:9" ht="43.5" x14ac:dyDescent="0.45">
      <c r="A28" s="33">
        <v>1</v>
      </c>
      <c r="B28" s="33" t="s">
        <v>1402</v>
      </c>
      <c r="C28" s="33" t="s">
        <v>1403</v>
      </c>
      <c r="D28" s="33">
        <v>80</v>
      </c>
      <c r="E28" s="33" t="s">
        <v>78</v>
      </c>
      <c r="F28" s="33" t="s">
        <v>51</v>
      </c>
      <c r="G28" s="33" t="s">
        <v>579</v>
      </c>
      <c r="H28" s="33" t="s">
        <v>1466</v>
      </c>
      <c r="I28" s="34"/>
    </row>
    <row r="29" spans="1:9" ht="14.5" x14ac:dyDescent="0.45">
      <c r="A29" s="26">
        <v>2</v>
      </c>
      <c r="B29" s="26" t="s">
        <v>1408</v>
      </c>
      <c r="C29" s="26" t="s">
        <v>1409</v>
      </c>
      <c r="D29" s="26">
        <v>4</v>
      </c>
      <c r="E29" s="26" t="s">
        <v>78</v>
      </c>
      <c r="F29" s="26" t="s">
        <v>51</v>
      </c>
      <c r="G29" s="26" t="s">
        <v>239</v>
      </c>
      <c r="H29" s="26" t="s">
        <v>1467</v>
      </c>
    </row>
    <row r="30" spans="1:9" ht="29" x14ac:dyDescent="0.45">
      <c r="A30" s="26">
        <v>2</v>
      </c>
      <c r="B30" s="26" t="s">
        <v>1408</v>
      </c>
      <c r="C30" s="26" t="s">
        <v>1409</v>
      </c>
      <c r="D30" s="26">
        <v>49</v>
      </c>
      <c r="E30" s="26" t="s">
        <v>272</v>
      </c>
      <c r="F30" s="26" t="s">
        <v>51</v>
      </c>
      <c r="G30" s="26" t="s">
        <v>419</v>
      </c>
      <c r="H30" s="26" t="s">
        <v>1468</v>
      </c>
    </row>
    <row r="31" spans="1:9" ht="14.5" x14ac:dyDescent="0.45">
      <c r="A31" s="26">
        <v>2</v>
      </c>
      <c r="B31" s="26" t="s">
        <v>1408</v>
      </c>
      <c r="C31" s="26" t="s">
        <v>1409</v>
      </c>
      <c r="D31" s="26">
        <v>53</v>
      </c>
      <c r="E31" s="26" t="s">
        <v>78</v>
      </c>
      <c r="F31" s="26" t="s">
        <v>51</v>
      </c>
      <c r="G31" s="26" t="s">
        <v>439</v>
      </c>
      <c r="H31" s="26" t="s">
        <v>1469</v>
      </c>
    </row>
    <row r="32" spans="1:9" ht="14.5" x14ac:dyDescent="0.45">
      <c r="A32" s="26">
        <v>2</v>
      </c>
      <c r="B32" s="26" t="s">
        <v>1408</v>
      </c>
      <c r="C32" s="26" t="s">
        <v>1409</v>
      </c>
      <c r="D32" s="26">
        <v>85</v>
      </c>
      <c r="E32" s="26" t="s">
        <v>78</v>
      </c>
      <c r="F32" s="26" t="s">
        <v>51</v>
      </c>
      <c r="G32" s="26" t="s">
        <v>604</v>
      </c>
      <c r="H32" s="26" t="s">
        <v>1470</v>
      </c>
    </row>
    <row r="33" spans="1:8" ht="29" x14ac:dyDescent="0.45">
      <c r="A33" s="27">
        <v>3</v>
      </c>
      <c r="B33" s="27" t="s">
        <v>1414</v>
      </c>
      <c r="C33" s="27" t="s">
        <v>1225</v>
      </c>
      <c r="D33" s="27">
        <v>7</v>
      </c>
      <c r="E33" s="27" t="s">
        <v>246</v>
      </c>
      <c r="F33" s="27" t="s">
        <v>51</v>
      </c>
      <c r="G33" s="27" t="s">
        <v>251</v>
      </c>
      <c r="H33" s="27" t="s">
        <v>1471</v>
      </c>
    </row>
    <row r="34" spans="1:8" ht="14.5" x14ac:dyDescent="0.45">
      <c r="A34" s="27">
        <v>3</v>
      </c>
      <c r="B34" s="27" t="s">
        <v>1414</v>
      </c>
      <c r="C34" s="27" t="s">
        <v>1225</v>
      </c>
      <c r="D34" s="27">
        <v>8</v>
      </c>
      <c r="E34" s="27" t="s">
        <v>246</v>
      </c>
      <c r="F34" s="27" t="s">
        <v>51</v>
      </c>
      <c r="G34" s="27" t="s">
        <v>256</v>
      </c>
      <c r="H34" s="27" t="s">
        <v>1472</v>
      </c>
    </row>
    <row r="35" spans="1:8" ht="29" x14ac:dyDescent="0.45">
      <c r="A35" s="27">
        <v>3</v>
      </c>
      <c r="B35" s="27" t="s">
        <v>1414</v>
      </c>
      <c r="C35" s="27" t="s">
        <v>1225</v>
      </c>
      <c r="D35" s="27">
        <v>34</v>
      </c>
      <c r="E35" s="27" t="s">
        <v>272</v>
      </c>
      <c r="F35" s="27" t="s">
        <v>51</v>
      </c>
      <c r="G35" s="27" t="s">
        <v>353</v>
      </c>
      <c r="H35" s="27" t="s">
        <v>1473</v>
      </c>
    </row>
    <row r="36" spans="1:8" ht="29" x14ac:dyDescent="0.45">
      <c r="A36" s="27">
        <v>3</v>
      </c>
      <c r="B36" s="27" t="s">
        <v>1414</v>
      </c>
      <c r="C36" s="27" t="s">
        <v>1225</v>
      </c>
      <c r="D36" s="27">
        <v>42</v>
      </c>
      <c r="E36" s="27" t="s">
        <v>272</v>
      </c>
      <c r="F36" s="27" t="s">
        <v>51</v>
      </c>
      <c r="G36" s="27" t="s">
        <v>384</v>
      </c>
      <c r="H36" s="27" t="s">
        <v>1474</v>
      </c>
    </row>
    <row r="37" spans="1:8" ht="29" x14ac:dyDescent="0.45">
      <c r="A37" s="27">
        <v>3</v>
      </c>
      <c r="B37" s="27" t="s">
        <v>1414</v>
      </c>
      <c r="C37" s="27" t="s">
        <v>1225</v>
      </c>
      <c r="D37" s="27">
        <v>57</v>
      </c>
      <c r="E37" s="27" t="s">
        <v>272</v>
      </c>
      <c r="F37" s="27" t="s">
        <v>49</v>
      </c>
      <c r="G37" s="27" t="s">
        <v>461</v>
      </c>
      <c r="H37" s="27" t="s">
        <v>1475</v>
      </c>
    </row>
    <row r="38" spans="1:8" ht="29" x14ac:dyDescent="0.45">
      <c r="A38" s="27">
        <v>3</v>
      </c>
      <c r="B38" s="27" t="s">
        <v>1414</v>
      </c>
      <c r="C38" s="27" t="s">
        <v>1225</v>
      </c>
      <c r="D38" s="27">
        <v>58</v>
      </c>
      <c r="E38" s="27" t="s">
        <v>78</v>
      </c>
      <c r="F38" s="27" t="s">
        <v>51</v>
      </c>
      <c r="G38" s="27" t="s">
        <v>466</v>
      </c>
      <c r="H38" s="27" t="s">
        <v>1476</v>
      </c>
    </row>
    <row r="39" spans="1:8" ht="29" x14ac:dyDescent="0.45">
      <c r="A39" s="27">
        <v>3</v>
      </c>
      <c r="B39" s="27" t="s">
        <v>1414</v>
      </c>
      <c r="C39" s="27" t="s">
        <v>1225</v>
      </c>
      <c r="D39" s="27">
        <v>59</v>
      </c>
      <c r="E39" s="27" t="s">
        <v>78</v>
      </c>
      <c r="F39" s="27" t="s">
        <v>51</v>
      </c>
      <c r="G39" s="27" t="s">
        <v>471</v>
      </c>
      <c r="H39" s="27" t="s">
        <v>1477</v>
      </c>
    </row>
    <row r="40" spans="1:8" ht="29" x14ac:dyDescent="0.45">
      <c r="A40" s="27">
        <v>3</v>
      </c>
      <c r="B40" s="27" t="s">
        <v>1414</v>
      </c>
      <c r="C40" s="27" t="s">
        <v>1225</v>
      </c>
      <c r="D40" s="27">
        <v>119</v>
      </c>
      <c r="E40" s="27" t="s">
        <v>189</v>
      </c>
      <c r="F40" s="27" t="s">
        <v>51</v>
      </c>
      <c r="G40" s="27" t="s">
        <v>779</v>
      </c>
      <c r="H40" s="27" t="s">
        <v>1478</v>
      </c>
    </row>
    <row r="41" spans="1:8" ht="29" x14ac:dyDescent="0.45">
      <c r="A41" s="27">
        <v>3</v>
      </c>
      <c r="B41" s="27" t="s">
        <v>1414</v>
      </c>
      <c r="C41" s="27" t="s">
        <v>1225</v>
      </c>
      <c r="D41" s="27">
        <v>121</v>
      </c>
      <c r="E41" s="27" t="s">
        <v>78</v>
      </c>
      <c r="F41" s="27" t="s">
        <v>51</v>
      </c>
      <c r="G41" s="27" t="s">
        <v>789</v>
      </c>
      <c r="H41" s="27" t="s">
        <v>791</v>
      </c>
    </row>
    <row r="42" spans="1:8" ht="29" x14ac:dyDescent="0.45">
      <c r="A42" s="27">
        <v>3</v>
      </c>
      <c r="B42" s="27" t="s">
        <v>1414</v>
      </c>
      <c r="C42" s="27" t="s">
        <v>1225</v>
      </c>
      <c r="D42" s="27">
        <v>122</v>
      </c>
      <c r="E42" s="27" t="s">
        <v>78</v>
      </c>
      <c r="F42" s="27" t="s">
        <v>51</v>
      </c>
      <c r="G42" s="27" t="s">
        <v>794</v>
      </c>
      <c r="H42" s="27" t="s">
        <v>1479</v>
      </c>
    </row>
    <row r="43" spans="1:8" ht="14.5" x14ac:dyDescent="0.45">
      <c r="A43" s="27">
        <v>3</v>
      </c>
      <c r="B43" s="27" t="s">
        <v>1414</v>
      </c>
      <c r="C43" s="27" t="s">
        <v>1225</v>
      </c>
      <c r="D43" s="27">
        <v>127</v>
      </c>
      <c r="E43" s="27" t="s">
        <v>78</v>
      </c>
      <c r="F43" s="27" t="s">
        <v>51</v>
      </c>
      <c r="G43" s="27" t="s">
        <v>820</v>
      </c>
      <c r="H43" s="27" t="s">
        <v>822</v>
      </c>
    </row>
    <row r="44" spans="1:8" ht="14.5" x14ac:dyDescent="0.45">
      <c r="A44" s="27">
        <v>3</v>
      </c>
      <c r="B44" s="27" t="s">
        <v>1414</v>
      </c>
      <c r="C44" s="27" t="s">
        <v>1225</v>
      </c>
      <c r="D44" s="27">
        <v>133</v>
      </c>
      <c r="E44" s="27" t="s">
        <v>189</v>
      </c>
      <c r="F44" s="27" t="s">
        <v>51</v>
      </c>
      <c r="G44" s="27" t="s">
        <v>852</v>
      </c>
      <c r="H44" s="27" t="s">
        <v>1480</v>
      </c>
    </row>
    <row r="45" spans="1:8" ht="29" x14ac:dyDescent="0.45">
      <c r="A45" s="27">
        <v>4</v>
      </c>
      <c r="B45" s="27" t="s">
        <v>1418</v>
      </c>
      <c r="C45" s="27" t="s">
        <v>1225</v>
      </c>
      <c r="D45" s="27">
        <v>12</v>
      </c>
      <c r="E45" s="27" t="s">
        <v>272</v>
      </c>
      <c r="F45" s="27" t="s">
        <v>51</v>
      </c>
      <c r="G45" s="27" t="s">
        <v>273</v>
      </c>
      <c r="H45" s="27" t="s">
        <v>1481</v>
      </c>
    </row>
    <row r="46" spans="1:8" ht="14.5" x14ac:dyDescent="0.45">
      <c r="A46" s="27">
        <v>4</v>
      </c>
      <c r="B46" s="27" t="s">
        <v>1418</v>
      </c>
      <c r="C46" s="27" t="s">
        <v>1225</v>
      </c>
      <c r="D46" s="27">
        <v>29</v>
      </c>
      <c r="E46" s="27" t="s">
        <v>272</v>
      </c>
      <c r="F46" s="27" t="s">
        <v>51</v>
      </c>
      <c r="G46" s="27" t="s">
        <v>337</v>
      </c>
      <c r="H46" s="27" t="s">
        <v>1482</v>
      </c>
    </row>
    <row r="47" spans="1:8" ht="29" x14ac:dyDescent="0.45">
      <c r="A47" s="27">
        <v>4</v>
      </c>
      <c r="B47" s="27" t="s">
        <v>1418</v>
      </c>
      <c r="C47" s="27" t="s">
        <v>1225</v>
      </c>
      <c r="D47" s="27">
        <v>40</v>
      </c>
      <c r="E47" s="27" t="s">
        <v>272</v>
      </c>
      <c r="F47" s="27" t="s">
        <v>51</v>
      </c>
      <c r="G47" s="27" t="s">
        <v>374</v>
      </c>
      <c r="H47" s="27" t="s">
        <v>1483</v>
      </c>
    </row>
    <row r="48" spans="1:8" ht="29" x14ac:dyDescent="0.45">
      <c r="A48" s="27">
        <v>4</v>
      </c>
      <c r="B48" s="27" t="s">
        <v>1418</v>
      </c>
      <c r="C48" s="27" t="s">
        <v>1225</v>
      </c>
      <c r="D48" s="27">
        <v>41</v>
      </c>
      <c r="E48" s="27" t="s">
        <v>272</v>
      </c>
      <c r="F48" s="27" t="s">
        <v>51</v>
      </c>
      <c r="G48" s="27" t="s">
        <v>379</v>
      </c>
      <c r="H48" s="27" t="s">
        <v>1484</v>
      </c>
    </row>
    <row r="49" spans="1:8" ht="29" x14ac:dyDescent="0.45">
      <c r="A49" s="27">
        <v>4</v>
      </c>
      <c r="B49" s="27" t="s">
        <v>1418</v>
      </c>
      <c r="C49" s="27" t="s">
        <v>1225</v>
      </c>
      <c r="D49" s="27">
        <v>50</v>
      </c>
      <c r="E49" s="27" t="s">
        <v>78</v>
      </c>
      <c r="F49" s="27" t="s">
        <v>51</v>
      </c>
      <c r="G49" s="27" t="s">
        <v>424</v>
      </c>
      <c r="H49" s="27" t="s">
        <v>1485</v>
      </c>
    </row>
    <row r="50" spans="1:8" ht="29" x14ac:dyDescent="0.45">
      <c r="A50" s="27">
        <v>4</v>
      </c>
      <c r="B50" s="27" t="s">
        <v>1418</v>
      </c>
      <c r="C50" s="27" t="s">
        <v>1225</v>
      </c>
      <c r="D50" s="27">
        <v>51</v>
      </c>
      <c r="E50" s="27" t="s">
        <v>78</v>
      </c>
      <c r="F50" s="27" t="s">
        <v>51</v>
      </c>
      <c r="G50" s="27" t="s">
        <v>429</v>
      </c>
      <c r="H50" s="27" t="s">
        <v>1486</v>
      </c>
    </row>
    <row r="51" spans="1:8" ht="29" x14ac:dyDescent="0.45">
      <c r="A51" s="27">
        <v>4</v>
      </c>
      <c r="B51" s="27" t="s">
        <v>1418</v>
      </c>
      <c r="C51" s="27" t="s">
        <v>1225</v>
      </c>
      <c r="D51" s="27">
        <v>60</v>
      </c>
      <c r="E51" s="27" t="s">
        <v>78</v>
      </c>
      <c r="F51" s="27" t="s">
        <v>51</v>
      </c>
      <c r="G51" s="27" t="s">
        <v>476</v>
      </c>
      <c r="H51" s="27" t="s">
        <v>1487</v>
      </c>
    </row>
    <row r="52" spans="1:8" ht="29" x14ac:dyDescent="0.45">
      <c r="A52" s="27">
        <v>4</v>
      </c>
      <c r="B52" s="27" t="s">
        <v>1418</v>
      </c>
      <c r="C52" s="27" t="s">
        <v>1225</v>
      </c>
      <c r="D52" s="27">
        <v>62</v>
      </c>
      <c r="E52" s="27" t="s">
        <v>189</v>
      </c>
      <c r="F52" s="27" t="s">
        <v>51</v>
      </c>
      <c r="G52" s="27" t="s">
        <v>486</v>
      </c>
      <c r="H52" s="27" t="s">
        <v>1488</v>
      </c>
    </row>
    <row r="53" spans="1:8" ht="29" x14ac:dyDescent="0.45">
      <c r="A53" s="27">
        <v>4</v>
      </c>
      <c r="B53" s="27" t="s">
        <v>1418</v>
      </c>
      <c r="C53" s="27" t="s">
        <v>1225</v>
      </c>
      <c r="D53" s="27">
        <v>63</v>
      </c>
      <c r="E53" s="27" t="s">
        <v>78</v>
      </c>
      <c r="F53" s="27" t="s">
        <v>51</v>
      </c>
      <c r="G53" s="27" t="s">
        <v>491</v>
      </c>
      <c r="H53" s="27" t="s">
        <v>1489</v>
      </c>
    </row>
    <row r="54" spans="1:8" ht="29" x14ac:dyDescent="0.45">
      <c r="A54" s="27">
        <v>4</v>
      </c>
      <c r="B54" s="27" t="s">
        <v>1418</v>
      </c>
      <c r="C54" s="27" t="s">
        <v>1225</v>
      </c>
      <c r="D54" s="27">
        <v>64</v>
      </c>
      <c r="E54" s="27" t="s">
        <v>78</v>
      </c>
      <c r="F54" s="27" t="s">
        <v>51</v>
      </c>
      <c r="G54" s="27" t="s">
        <v>497</v>
      </c>
      <c r="H54" s="27" t="s">
        <v>1490</v>
      </c>
    </row>
    <row r="55" spans="1:8" ht="29" x14ac:dyDescent="0.45">
      <c r="A55" s="27">
        <v>4</v>
      </c>
      <c r="B55" s="27" t="s">
        <v>1418</v>
      </c>
      <c r="C55" s="27" t="s">
        <v>1225</v>
      </c>
      <c r="D55" s="27">
        <v>65</v>
      </c>
      <c r="E55" s="27" t="s">
        <v>78</v>
      </c>
      <c r="F55" s="27" t="s">
        <v>51</v>
      </c>
      <c r="G55" s="27" t="s">
        <v>502</v>
      </c>
      <c r="H55" s="27" t="s">
        <v>1491</v>
      </c>
    </row>
    <row r="56" spans="1:8" ht="29" x14ac:dyDescent="0.45">
      <c r="A56" s="27">
        <v>4</v>
      </c>
      <c r="B56" s="27" t="s">
        <v>1418</v>
      </c>
      <c r="C56" s="27" t="s">
        <v>1225</v>
      </c>
      <c r="D56" s="27">
        <v>66</v>
      </c>
      <c r="E56" s="27" t="s">
        <v>78</v>
      </c>
      <c r="F56" s="27" t="s">
        <v>51</v>
      </c>
      <c r="G56" s="27" t="s">
        <v>508</v>
      </c>
      <c r="H56" s="27" t="s">
        <v>1492</v>
      </c>
    </row>
    <row r="57" spans="1:8" ht="14.5" x14ac:dyDescent="0.45">
      <c r="A57" s="27">
        <v>4</v>
      </c>
      <c r="B57" s="27" t="s">
        <v>1418</v>
      </c>
      <c r="C57" s="27" t="s">
        <v>1225</v>
      </c>
      <c r="D57" s="27">
        <v>67</v>
      </c>
      <c r="E57" s="27" t="s">
        <v>189</v>
      </c>
      <c r="F57" s="27" t="s">
        <v>51</v>
      </c>
      <c r="G57" s="27" t="s">
        <v>513</v>
      </c>
      <c r="H57" s="27" t="s">
        <v>1493</v>
      </c>
    </row>
    <row r="58" spans="1:8" ht="29" x14ac:dyDescent="0.45">
      <c r="A58" s="27">
        <v>4</v>
      </c>
      <c r="B58" s="27" t="s">
        <v>1418</v>
      </c>
      <c r="C58" s="27" t="s">
        <v>1225</v>
      </c>
      <c r="D58" s="27">
        <v>68</v>
      </c>
      <c r="E58" s="27" t="s">
        <v>272</v>
      </c>
      <c r="F58" s="27" t="s">
        <v>51</v>
      </c>
      <c r="G58" s="27" t="s">
        <v>519</v>
      </c>
      <c r="H58" s="27" t="s">
        <v>1494</v>
      </c>
    </row>
    <row r="59" spans="1:8" ht="29" x14ac:dyDescent="0.45">
      <c r="A59" s="27">
        <v>4</v>
      </c>
      <c r="B59" s="27" t="s">
        <v>1418</v>
      </c>
      <c r="C59" s="27" t="s">
        <v>1225</v>
      </c>
      <c r="D59" s="27">
        <v>147</v>
      </c>
      <c r="E59" s="27" t="s">
        <v>78</v>
      </c>
      <c r="F59" s="27" t="s">
        <v>51</v>
      </c>
      <c r="G59" s="27" t="s">
        <v>916</v>
      </c>
      <c r="H59" s="27" t="s">
        <v>1495</v>
      </c>
    </row>
    <row r="60" spans="1:8" ht="29" x14ac:dyDescent="0.45">
      <c r="A60" s="27">
        <v>4</v>
      </c>
      <c r="B60" s="27" t="s">
        <v>1418</v>
      </c>
      <c r="C60" s="27" t="s">
        <v>1225</v>
      </c>
      <c r="D60" s="27">
        <v>151</v>
      </c>
      <c r="E60" s="27" t="s">
        <v>78</v>
      </c>
      <c r="F60" s="27" t="s">
        <v>51</v>
      </c>
      <c r="G60" s="27" t="s">
        <v>937</v>
      </c>
      <c r="H60" s="27" t="s">
        <v>939</v>
      </c>
    </row>
    <row r="61" spans="1:8" ht="29" x14ac:dyDescent="0.45">
      <c r="A61" s="27">
        <v>4</v>
      </c>
      <c r="B61" s="27" t="s">
        <v>1418</v>
      </c>
      <c r="C61" s="27" t="s">
        <v>1225</v>
      </c>
      <c r="D61" s="27">
        <v>152</v>
      </c>
      <c r="E61" s="27" t="s">
        <v>78</v>
      </c>
      <c r="F61" s="27" t="s">
        <v>51</v>
      </c>
      <c r="G61" s="27" t="s">
        <v>942</v>
      </c>
      <c r="H61" s="27" t="s">
        <v>944</v>
      </c>
    </row>
    <row r="62" spans="1:8" ht="14.5" x14ac:dyDescent="0.45">
      <c r="A62" s="27">
        <v>4</v>
      </c>
      <c r="B62" s="27" t="s">
        <v>1418</v>
      </c>
      <c r="C62" s="27" t="s">
        <v>1225</v>
      </c>
      <c r="D62" s="27">
        <v>153</v>
      </c>
      <c r="E62" s="27" t="s">
        <v>189</v>
      </c>
      <c r="F62" s="27" t="s">
        <v>51</v>
      </c>
      <c r="G62" s="27" t="s">
        <v>947</v>
      </c>
      <c r="H62" s="27" t="s">
        <v>949</v>
      </c>
    </row>
    <row r="63" spans="1:8" ht="14.5" x14ac:dyDescent="0.45">
      <c r="A63" s="27">
        <v>4</v>
      </c>
      <c r="B63" s="27" t="s">
        <v>1418</v>
      </c>
      <c r="C63" s="27" t="s">
        <v>1225</v>
      </c>
      <c r="D63" s="27">
        <v>159</v>
      </c>
      <c r="E63" s="27" t="s">
        <v>78</v>
      </c>
      <c r="F63" s="27" t="s">
        <v>51</v>
      </c>
      <c r="G63" s="27" t="s">
        <v>977</v>
      </c>
      <c r="H63" s="27" t="s">
        <v>979</v>
      </c>
    </row>
    <row r="64" spans="1:8" ht="29" x14ac:dyDescent="0.45">
      <c r="A64" s="27">
        <v>5</v>
      </c>
      <c r="B64" s="27" t="s">
        <v>1423</v>
      </c>
      <c r="C64" s="27" t="s">
        <v>1225</v>
      </c>
      <c r="D64" s="27">
        <v>11</v>
      </c>
      <c r="E64" s="27" t="s">
        <v>168</v>
      </c>
      <c r="F64" s="27" t="s">
        <v>51</v>
      </c>
      <c r="G64" s="27" t="s">
        <v>267</v>
      </c>
      <c r="H64" s="27" t="s">
        <v>1496</v>
      </c>
    </row>
    <row r="65" spans="1:8" ht="29" x14ac:dyDescent="0.45">
      <c r="A65" s="27">
        <v>5</v>
      </c>
      <c r="B65" s="27" t="s">
        <v>1423</v>
      </c>
      <c r="C65" s="27" t="s">
        <v>1225</v>
      </c>
      <c r="D65" s="27">
        <v>33</v>
      </c>
      <c r="E65" s="27" t="s">
        <v>272</v>
      </c>
      <c r="F65" s="27" t="s">
        <v>51</v>
      </c>
      <c r="G65" s="27" t="s">
        <v>350</v>
      </c>
      <c r="H65" s="27" t="s">
        <v>1497</v>
      </c>
    </row>
    <row r="66" spans="1:8" ht="29" x14ac:dyDescent="0.45">
      <c r="A66" s="27">
        <v>5</v>
      </c>
      <c r="B66" s="27" t="s">
        <v>1423</v>
      </c>
      <c r="C66" s="27" t="s">
        <v>1225</v>
      </c>
      <c r="D66" s="27">
        <v>43</v>
      </c>
      <c r="E66" s="27" t="s">
        <v>272</v>
      </c>
      <c r="F66" s="27" t="s">
        <v>51</v>
      </c>
      <c r="G66" s="27" t="s">
        <v>389</v>
      </c>
      <c r="H66" s="27" t="s">
        <v>1498</v>
      </c>
    </row>
    <row r="67" spans="1:8" ht="14.5" x14ac:dyDescent="0.45">
      <c r="A67" s="27">
        <v>5</v>
      </c>
      <c r="B67" s="27" t="s">
        <v>1423</v>
      </c>
      <c r="C67" s="27" t="s">
        <v>1225</v>
      </c>
      <c r="D67" s="27">
        <v>44</v>
      </c>
      <c r="E67" s="27" t="s">
        <v>272</v>
      </c>
      <c r="F67" s="27" t="s">
        <v>51</v>
      </c>
      <c r="G67" s="27" t="s">
        <v>394</v>
      </c>
      <c r="H67" s="27" t="s">
        <v>1499</v>
      </c>
    </row>
    <row r="68" spans="1:8" ht="29" x14ac:dyDescent="0.45">
      <c r="A68" s="27">
        <v>5</v>
      </c>
      <c r="B68" s="27" t="s">
        <v>1423</v>
      </c>
      <c r="C68" s="27" t="s">
        <v>1225</v>
      </c>
      <c r="D68" s="27">
        <v>54</v>
      </c>
      <c r="E68" s="27" t="s">
        <v>78</v>
      </c>
      <c r="F68" s="27" t="s">
        <v>49</v>
      </c>
      <c r="G68" s="27" t="s">
        <v>444</v>
      </c>
      <c r="H68" s="27" t="s">
        <v>1500</v>
      </c>
    </row>
    <row r="69" spans="1:8" ht="29" x14ac:dyDescent="0.45">
      <c r="A69" s="27">
        <v>5</v>
      </c>
      <c r="B69" s="27" t="s">
        <v>1423</v>
      </c>
      <c r="C69" s="27" t="s">
        <v>1225</v>
      </c>
      <c r="D69" s="27">
        <v>81</v>
      </c>
      <c r="E69" s="27" t="s">
        <v>298</v>
      </c>
      <c r="F69" s="27" t="s">
        <v>51</v>
      </c>
      <c r="G69" s="27" t="s">
        <v>584</v>
      </c>
      <c r="H69" s="27" t="s">
        <v>1501</v>
      </c>
    </row>
    <row r="70" spans="1:8" ht="29" x14ac:dyDescent="0.45">
      <c r="A70" s="27">
        <v>5</v>
      </c>
      <c r="B70" s="27" t="s">
        <v>1423</v>
      </c>
      <c r="C70" s="27" t="s">
        <v>1225</v>
      </c>
      <c r="D70" s="27">
        <v>148</v>
      </c>
      <c r="E70" s="27" t="s">
        <v>189</v>
      </c>
      <c r="F70" s="27" t="s">
        <v>51</v>
      </c>
      <c r="G70" s="27" t="s">
        <v>921</v>
      </c>
      <c r="H70" s="27" t="s">
        <v>1502</v>
      </c>
    </row>
    <row r="71" spans="1:8" ht="14.5" x14ac:dyDescent="0.45">
      <c r="A71" s="27">
        <v>6</v>
      </c>
      <c r="B71" s="27" t="s">
        <v>1428</v>
      </c>
      <c r="C71" s="27" t="s">
        <v>1225</v>
      </c>
      <c r="D71" s="27">
        <v>13</v>
      </c>
      <c r="E71" s="27" t="s">
        <v>272</v>
      </c>
      <c r="F71" s="27" t="s">
        <v>51</v>
      </c>
      <c r="G71" s="27" t="s">
        <v>278</v>
      </c>
      <c r="H71" s="27" t="s">
        <v>1503</v>
      </c>
    </row>
    <row r="72" spans="1:8" ht="29" x14ac:dyDescent="0.45">
      <c r="A72" s="27">
        <v>6</v>
      </c>
      <c r="B72" s="27" t="s">
        <v>1428</v>
      </c>
      <c r="C72" s="27" t="s">
        <v>1225</v>
      </c>
      <c r="D72" s="27">
        <v>39</v>
      </c>
      <c r="E72" s="27" t="s">
        <v>272</v>
      </c>
      <c r="F72" s="27" t="s">
        <v>51</v>
      </c>
      <c r="G72" s="27" t="s">
        <v>370</v>
      </c>
      <c r="H72" s="27" t="s">
        <v>1504</v>
      </c>
    </row>
    <row r="73" spans="1:8" ht="29" x14ac:dyDescent="0.45">
      <c r="A73" s="27">
        <v>6</v>
      </c>
      <c r="B73" s="27" t="s">
        <v>1428</v>
      </c>
      <c r="C73" s="27" t="s">
        <v>1225</v>
      </c>
      <c r="D73" s="27">
        <v>88</v>
      </c>
      <c r="E73" s="27" t="s">
        <v>78</v>
      </c>
      <c r="F73" s="27" t="s">
        <v>51</v>
      </c>
      <c r="G73" s="27" t="s">
        <v>618</v>
      </c>
      <c r="H73" s="27" t="s">
        <v>1505</v>
      </c>
    </row>
    <row r="74" spans="1:8" ht="29" x14ac:dyDescent="0.45">
      <c r="A74" s="27">
        <v>6</v>
      </c>
      <c r="B74" s="27" t="s">
        <v>1428</v>
      </c>
      <c r="C74" s="27" t="s">
        <v>1225</v>
      </c>
      <c r="D74" s="27">
        <v>141</v>
      </c>
      <c r="E74" s="27" t="s">
        <v>189</v>
      </c>
      <c r="F74" s="27" t="s">
        <v>51</v>
      </c>
      <c r="G74" s="27" t="s">
        <v>891</v>
      </c>
      <c r="H74" s="27" t="s">
        <v>1506</v>
      </c>
    </row>
    <row r="75" spans="1:8" ht="29" x14ac:dyDescent="0.45">
      <c r="A75" s="27">
        <v>6</v>
      </c>
      <c r="B75" s="27" t="s">
        <v>1428</v>
      </c>
      <c r="C75" s="27" t="s">
        <v>1225</v>
      </c>
      <c r="D75" s="27">
        <v>150</v>
      </c>
      <c r="E75" s="27" t="s">
        <v>189</v>
      </c>
      <c r="F75" s="27" t="s">
        <v>51</v>
      </c>
      <c r="G75" s="27" t="s">
        <v>932</v>
      </c>
      <c r="H75" s="27" t="s">
        <v>1507</v>
      </c>
    </row>
    <row r="76" spans="1:8" ht="29" x14ac:dyDescent="0.45">
      <c r="A76" s="28">
        <v>7</v>
      </c>
      <c r="B76" s="28" t="s">
        <v>1432</v>
      </c>
      <c r="C76" s="28" t="s">
        <v>1198</v>
      </c>
      <c r="D76" s="28">
        <v>45</v>
      </c>
      <c r="E76" s="28" t="s">
        <v>272</v>
      </c>
      <c r="F76" s="28" t="s">
        <v>51</v>
      </c>
      <c r="G76" s="28" t="s">
        <v>399</v>
      </c>
      <c r="H76" s="28" t="s">
        <v>1508</v>
      </c>
    </row>
    <row r="77" spans="1:8" ht="29" x14ac:dyDescent="0.45">
      <c r="A77" s="28">
        <v>7</v>
      </c>
      <c r="B77" s="28" t="s">
        <v>1432</v>
      </c>
      <c r="C77" s="28" t="s">
        <v>1198</v>
      </c>
      <c r="D77" s="28">
        <v>46</v>
      </c>
      <c r="E77" s="28" t="s">
        <v>272</v>
      </c>
      <c r="F77" s="28" t="s">
        <v>51</v>
      </c>
      <c r="G77" s="28" t="s">
        <v>404</v>
      </c>
      <c r="H77" s="28" t="s">
        <v>1509</v>
      </c>
    </row>
    <row r="78" spans="1:8" ht="14.5" x14ac:dyDescent="0.45">
      <c r="A78" s="28">
        <v>7</v>
      </c>
      <c r="B78" s="28" t="s">
        <v>1432</v>
      </c>
      <c r="C78" s="28" t="s">
        <v>1198</v>
      </c>
      <c r="D78" s="28">
        <v>87</v>
      </c>
      <c r="E78" s="28" t="s">
        <v>78</v>
      </c>
      <c r="F78" s="28" t="s">
        <v>51</v>
      </c>
      <c r="G78" s="28" t="s">
        <v>404</v>
      </c>
      <c r="H78" s="28" t="s">
        <v>1510</v>
      </c>
    </row>
    <row r="79" spans="1:8" ht="29" x14ac:dyDescent="0.45">
      <c r="A79" s="28">
        <v>7</v>
      </c>
      <c r="B79" s="28" t="s">
        <v>1432</v>
      </c>
      <c r="C79" s="28" t="s">
        <v>1198</v>
      </c>
      <c r="D79" s="28">
        <v>89</v>
      </c>
      <c r="E79" s="28" t="s">
        <v>78</v>
      </c>
      <c r="F79" s="28" t="s">
        <v>51</v>
      </c>
      <c r="G79" s="28" t="s">
        <v>623</v>
      </c>
      <c r="H79" s="28" t="s">
        <v>1511</v>
      </c>
    </row>
    <row r="80" spans="1:8" ht="29" x14ac:dyDescent="0.45">
      <c r="A80" s="28">
        <v>7</v>
      </c>
      <c r="B80" s="28" t="s">
        <v>1432</v>
      </c>
      <c r="C80" s="28" t="s">
        <v>1198</v>
      </c>
      <c r="D80" s="28">
        <v>90</v>
      </c>
      <c r="E80" s="28" t="s">
        <v>78</v>
      </c>
      <c r="F80" s="28" t="s">
        <v>51</v>
      </c>
      <c r="G80" s="28" t="s">
        <v>629</v>
      </c>
      <c r="H80" s="28" t="s">
        <v>1512</v>
      </c>
    </row>
    <row r="81" spans="1:8" ht="29" x14ac:dyDescent="0.45">
      <c r="A81" s="28">
        <v>7</v>
      </c>
      <c r="B81" s="28" t="s">
        <v>1432</v>
      </c>
      <c r="C81" s="28" t="s">
        <v>1198</v>
      </c>
      <c r="D81" s="28">
        <v>91</v>
      </c>
      <c r="E81" s="28" t="s">
        <v>189</v>
      </c>
      <c r="F81" s="28" t="s">
        <v>51</v>
      </c>
      <c r="G81" s="28" t="s">
        <v>634</v>
      </c>
      <c r="H81" s="28" t="s">
        <v>1513</v>
      </c>
    </row>
    <row r="82" spans="1:8" ht="29" x14ac:dyDescent="0.45">
      <c r="A82" s="28">
        <v>7</v>
      </c>
      <c r="B82" s="28" t="s">
        <v>1432</v>
      </c>
      <c r="C82" s="28" t="s">
        <v>1198</v>
      </c>
      <c r="D82" s="28">
        <v>92</v>
      </c>
      <c r="E82" s="28" t="s">
        <v>189</v>
      </c>
      <c r="F82" s="28" t="s">
        <v>51</v>
      </c>
      <c r="G82" s="28" t="s">
        <v>639</v>
      </c>
      <c r="H82" s="28" t="s">
        <v>641</v>
      </c>
    </row>
    <row r="83" spans="1:8" ht="29" x14ac:dyDescent="0.45">
      <c r="A83" s="28">
        <v>7</v>
      </c>
      <c r="B83" s="28" t="s">
        <v>1432</v>
      </c>
      <c r="C83" s="28" t="s">
        <v>1198</v>
      </c>
      <c r="D83" s="28">
        <v>93</v>
      </c>
      <c r="E83" s="28" t="s">
        <v>189</v>
      </c>
      <c r="F83" s="28" t="s">
        <v>51</v>
      </c>
      <c r="G83" s="28" t="s">
        <v>644</v>
      </c>
      <c r="H83" s="28" t="s">
        <v>646</v>
      </c>
    </row>
    <row r="84" spans="1:8" ht="29" x14ac:dyDescent="0.45">
      <c r="A84" s="28">
        <v>7</v>
      </c>
      <c r="B84" s="28" t="s">
        <v>1432</v>
      </c>
      <c r="C84" s="28" t="s">
        <v>1198</v>
      </c>
      <c r="D84" s="28">
        <v>94</v>
      </c>
      <c r="E84" s="28" t="s">
        <v>78</v>
      </c>
      <c r="F84" s="28" t="s">
        <v>51</v>
      </c>
      <c r="G84" s="28" t="s">
        <v>649</v>
      </c>
      <c r="H84" s="28" t="s">
        <v>651</v>
      </c>
    </row>
    <row r="85" spans="1:8" ht="29" x14ac:dyDescent="0.45">
      <c r="A85" s="28">
        <v>7</v>
      </c>
      <c r="B85" s="28" t="s">
        <v>1432</v>
      </c>
      <c r="C85" s="28" t="s">
        <v>1198</v>
      </c>
      <c r="D85" s="28">
        <v>95</v>
      </c>
      <c r="E85" s="28" t="s">
        <v>189</v>
      </c>
      <c r="F85" s="28" t="s">
        <v>51</v>
      </c>
      <c r="G85" s="28" t="s">
        <v>654</v>
      </c>
      <c r="H85" s="28" t="s">
        <v>656</v>
      </c>
    </row>
    <row r="86" spans="1:8" ht="29" x14ac:dyDescent="0.45">
      <c r="A86" s="28">
        <v>7</v>
      </c>
      <c r="B86" s="28" t="s">
        <v>1432</v>
      </c>
      <c r="C86" s="28" t="s">
        <v>1198</v>
      </c>
      <c r="D86" s="28">
        <v>96</v>
      </c>
      <c r="E86" s="28" t="s">
        <v>189</v>
      </c>
      <c r="F86" s="28" t="s">
        <v>51</v>
      </c>
      <c r="G86" s="28" t="s">
        <v>659</v>
      </c>
      <c r="H86" s="28" t="s">
        <v>1514</v>
      </c>
    </row>
    <row r="87" spans="1:8" ht="14.5" x14ac:dyDescent="0.45">
      <c r="A87" s="28">
        <v>7</v>
      </c>
      <c r="B87" s="28" t="s">
        <v>1432</v>
      </c>
      <c r="C87" s="28" t="s">
        <v>1198</v>
      </c>
      <c r="D87" s="28">
        <v>137</v>
      </c>
      <c r="E87" s="28" t="s">
        <v>78</v>
      </c>
      <c r="F87" s="28" t="s">
        <v>51</v>
      </c>
      <c r="G87" s="28" t="s">
        <v>873</v>
      </c>
      <c r="H87" s="28" t="s">
        <v>875</v>
      </c>
    </row>
    <row r="88" spans="1:8" ht="14.5" x14ac:dyDescent="0.45">
      <c r="A88" s="28">
        <v>7</v>
      </c>
      <c r="B88" s="28" t="s">
        <v>1432</v>
      </c>
      <c r="C88" s="28" t="s">
        <v>1198</v>
      </c>
      <c r="D88" s="28">
        <v>138</v>
      </c>
      <c r="E88" s="28" t="s">
        <v>78</v>
      </c>
      <c r="F88" s="28" t="s">
        <v>51</v>
      </c>
      <c r="G88" s="28" t="s">
        <v>878</v>
      </c>
      <c r="H88" s="28" t="s">
        <v>880</v>
      </c>
    </row>
    <row r="89" spans="1:8" ht="14.5" x14ac:dyDescent="0.45">
      <c r="A89" s="28">
        <v>7</v>
      </c>
      <c r="B89" s="28" t="s">
        <v>1432</v>
      </c>
      <c r="C89" s="28" t="s">
        <v>1198</v>
      </c>
      <c r="D89" s="28">
        <v>139</v>
      </c>
      <c r="E89" s="28" t="s">
        <v>78</v>
      </c>
      <c r="F89" s="28" t="s">
        <v>51</v>
      </c>
      <c r="G89" s="28" t="s">
        <v>883</v>
      </c>
      <c r="H89" s="28" t="s">
        <v>885</v>
      </c>
    </row>
    <row r="90" spans="1:8" ht="14.5" x14ac:dyDescent="0.45">
      <c r="A90" s="28">
        <v>7</v>
      </c>
      <c r="B90" s="28" t="s">
        <v>1432</v>
      </c>
      <c r="C90" s="28" t="s">
        <v>1198</v>
      </c>
      <c r="D90" s="28">
        <v>140</v>
      </c>
      <c r="E90" s="28" t="s">
        <v>189</v>
      </c>
      <c r="F90" s="28" t="s">
        <v>51</v>
      </c>
      <c r="G90" s="28" t="s">
        <v>887</v>
      </c>
      <c r="H90" s="28" t="s">
        <v>889</v>
      </c>
    </row>
    <row r="91" spans="1:8" ht="14.5" x14ac:dyDescent="0.45">
      <c r="A91" s="28">
        <v>7</v>
      </c>
      <c r="B91" s="28" t="s">
        <v>1432</v>
      </c>
      <c r="C91" s="28" t="s">
        <v>1198</v>
      </c>
      <c r="D91" s="28">
        <v>142</v>
      </c>
      <c r="E91" s="28" t="s">
        <v>189</v>
      </c>
      <c r="F91" s="28" t="s">
        <v>51</v>
      </c>
      <c r="G91" s="28" t="s">
        <v>896</v>
      </c>
      <c r="H91" s="28" t="s">
        <v>898</v>
      </c>
    </row>
    <row r="92" spans="1:8" ht="29" x14ac:dyDescent="0.45">
      <c r="A92" s="28">
        <v>7</v>
      </c>
      <c r="B92" s="28" t="s">
        <v>1432</v>
      </c>
      <c r="C92" s="28" t="s">
        <v>1198</v>
      </c>
      <c r="D92" s="28">
        <v>143</v>
      </c>
      <c r="E92" s="28" t="s">
        <v>189</v>
      </c>
      <c r="F92" s="28" t="s">
        <v>51</v>
      </c>
      <c r="G92" s="28" t="s">
        <v>900</v>
      </c>
      <c r="H92" s="28" t="s">
        <v>875</v>
      </c>
    </row>
    <row r="93" spans="1:8" ht="29" x14ac:dyDescent="0.45">
      <c r="A93" s="28">
        <v>7</v>
      </c>
      <c r="B93" s="28" t="s">
        <v>1432</v>
      </c>
      <c r="C93" s="28" t="s">
        <v>1198</v>
      </c>
      <c r="D93" s="28">
        <v>144</v>
      </c>
      <c r="E93" s="28" t="s">
        <v>189</v>
      </c>
      <c r="F93" s="28" t="s">
        <v>51</v>
      </c>
      <c r="G93" s="28" t="s">
        <v>903</v>
      </c>
      <c r="H93" s="28" t="s">
        <v>905</v>
      </c>
    </row>
    <row r="94" spans="1:8" ht="29" x14ac:dyDescent="0.45">
      <c r="A94" s="28">
        <v>7</v>
      </c>
      <c r="B94" s="28" t="s">
        <v>1432</v>
      </c>
      <c r="C94" s="28" t="s">
        <v>1198</v>
      </c>
      <c r="D94" s="28">
        <v>145</v>
      </c>
      <c r="E94" s="28" t="s">
        <v>78</v>
      </c>
      <c r="F94" s="28" t="s">
        <v>51</v>
      </c>
      <c r="G94" s="28" t="s">
        <v>907</v>
      </c>
      <c r="H94" s="28" t="s">
        <v>909</v>
      </c>
    </row>
    <row r="95" spans="1:8" ht="29" x14ac:dyDescent="0.45">
      <c r="A95" s="28">
        <v>7</v>
      </c>
      <c r="B95" s="28" t="s">
        <v>1432</v>
      </c>
      <c r="C95" s="28" t="s">
        <v>1198</v>
      </c>
      <c r="D95" s="28">
        <v>146</v>
      </c>
      <c r="E95" s="28" t="s">
        <v>78</v>
      </c>
      <c r="F95" s="28" t="s">
        <v>51</v>
      </c>
      <c r="G95" s="28" t="s">
        <v>911</v>
      </c>
      <c r="H95" s="28" t="s">
        <v>1515</v>
      </c>
    </row>
    <row r="96" spans="1:8" ht="14.5" x14ac:dyDescent="0.45">
      <c r="A96" s="28">
        <v>7</v>
      </c>
      <c r="B96" s="28" t="s">
        <v>1432</v>
      </c>
      <c r="C96" s="28" t="s">
        <v>1198</v>
      </c>
      <c r="D96" s="28">
        <v>149</v>
      </c>
      <c r="E96" s="28" t="s">
        <v>78</v>
      </c>
      <c r="F96" s="28" t="s">
        <v>51</v>
      </c>
      <c r="G96" s="28" t="s">
        <v>926</v>
      </c>
      <c r="H96" s="28" t="s">
        <v>928</v>
      </c>
    </row>
    <row r="97" spans="1:8" ht="14.5" x14ac:dyDescent="0.45">
      <c r="A97" s="28">
        <v>7</v>
      </c>
      <c r="B97" s="28" t="s">
        <v>1432</v>
      </c>
      <c r="C97" s="28" t="s">
        <v>1198</v>
      </c>
      <c r="D97" s="28">
        <v>157</v>
      </c>
      <c r="E97" s="28" t="s">
        <v>78</v>
      </c>
      <c r="F97" s="28" t="s">
        <v>51</v>
      </c>
      <c r="G97" s="28" t="s">
        <v>967</v>
      </c>
      <c r="H97" s="28" t="s">
        <v>969</v>
      </c>
    </row>
    <row r="98" spans="1:8" ht="14.5" x14ac:dyDescent="0.45">
      <c r="A98" s="28">
        <v>8</v>
      </c>
      <c r="B98" s="28" t="s">
        <v>1436</v>
      </c>
      <c r="C98" s="28" t="s">
        <v>1198</v>
      </c>
      <c r="D98" s="28">
        <v>2</v>
      </c>
      <c r="E98" s="28" t="s">
        <v>168</v>
      </c>
      <c r="F98" s="28" t="s">
        <v>51</v>
      </c>
      <c r="G98" s="28" t="s">
        <v>232</v>
      </c>
      <c r="H98" s="28" t="s">
        <v>234</v>
      </c>
    </row>
    <row r="99" spans="1:8" ht="29" x14ac:dyDescent="0.45">
      <c r="A99" s="28">
        <v>8</v>
      </c>
      <c r="B99" s="28" t="s">
        <v>1436</v>
      </c>
      <c r="C99" s="28" t="s">
        <v>1198</v>
      </c>
      <c r="D99" s="28">
        <v>26</v>
      </c>
      <c r="E99" s="28" t="s">
        <v>272</v>
      </c>
      <c r="F99" s="28" t="s">
        <v>51</v>
      </c>
      <c r="G99" s="28" t="s">
        <v>326</v>
      </c>
      <c r="H99" s="28" t="s">
        <v>328</v>
      </c>
    </row>
    <row r="100" spans="1:8" ht="29" x14ac:dyDescent="0.45">
      <c r="A100" s="28">
        <v>8</v>
      </c>
      <c r="B100" s="28" t="s">
        <v>1436</v>
      </c>
      <c r="C100" s="28" t="s">
        <v>1198</v>
      </c>
      <c r="D100" s="28">
        <v>27</v>
      </c>
      <c r="E100" s="28" t="s">
        <v>272</v>
      </c>
      <c r="F100" s="28" t="s">
        <v>51</v>
      </c>
      <c r="G100" s="28" t="s">
        <v>329</v>
      </c>
      <c r="H100" s="28" t="s">
        <v>1516</v>
      </c>
    </row>
    <row r="101" spans="1:8" ht="29" x14ac:dyDescent="0.45">
      <c r="A101" s="28">
        <v>8</v>
      </c>
      <c r="B101" s="28" t="s">
        <v>1436</v>
      </c>
      <c r="C101" s="28" t="s">
        <v>1198</v>
      </c>
      <c r="D101" s="28">
        <v>31</v>
      </c>
      <c r="E101" s="28" t="s">
        <v>272</v>
      </c>
      <c r="F101" s="28" t="s">
        <v>51</v>
      </c>
      <c r="G101" s="28" t="s">
        <v>343</v>
      </c>
      <c r="H101" s="28" t="s">
        <v>1517</v>
      </c>
    </row>
    <row r="102" spans="1:8" ht="14.5" x14ac:dyDescent="0.45">
      <c r="A102" s="28">
        <v>8</v>
      </c>
      <c r="B102" s="28" t="s">
        <v>1436</v>
      </c>
      <c r="C102" s="28" t="s">
        <v>1198</v>
      </c>
      <c r="D102" s="28">
        <v>37</v>
      </c>
      <c r="E102" s="28" t="s">
        <v>272</v>
      </c>
      <c r="F102" s="28" t="s">
        <v>51</v>
      </c>
      <c r="G102" s="28" t="s">
        <v>364</v>
      </c>
      <c r="H102" s="28" t="s">
        <v>1518</v>
      </c>
    </row>
    <row r="103" spans="1:8" ht="43.5" x14ac:dyDescent="0.45">
      <c r="A103" s="28">
        <v>8</v>
      </c>
      <c r="B103" s="28" t="s">
        <v>1436</v>
      </c>
      <c r="C103" s="28" t="s">
        <v>1198</v>
      </c>
      <c r="D103" s="28">
        <v>97</v>
      </c>
      <c r="E103" s="28" t="s">
        <v>78</v>
      </c>
      <c r="F103" s="28" t="s">
        <v>51</v>
      </c>
      <c r="G103" s="28" t="s">
        <v>665</v>
      </c>
      <c r="H103" s="28" t="s">
        <v>667</v>
      </c>
    </row>
    <row r="104" spans="1:8" ht="29" x14ac:dyDescent="0.45">
      <c r="A104" s="28">
        <v>8</v>
      </c>
      <c r="B104" s="28" t="s">
        <v>1436</v>
      </c>
      <c r="C104" s="28" t="s">
        <v>1198</v>
      </c>
      <c r="D104" s="28">
        <v>98</v>
      </c>
      <c r="E104" s="28" t="s">
        <v>189</v>
      </c>
      <c r="F104" s="28" t="s">
        <v>51</v>
      </c>
      <c r="G104" s="28" t="s">
        <v>671</v>
      </c>
      <c r="H104" s="28" t="s">
        <v>673</v>
      </c>
    </row>
    <row r="105" spans="1:8" ht="29" x14ac:dyDescent="0.45">
      <c r="A105" s="28">
        <v>8</v>
      </c>
      <c r="B105" s="28" t="s">
        <v>1436</v>
      </c>
      <c r="C105" s="28" t="s">
        <v>1198</v>
      </c>
      <c r="D105" s="28">
        <v>99</v>
      </c>
      <c r="E105" s="28" t="s">
        <v>78</v>
      </c>
      <c r="F105" s="28" t="s">
        <v>51</v>
      </c>
      <c r="G105" s="28" t="s">
        <v>676</v>
      </c>
      <c r="H105" s="28" t="s">
        <v>678</v>
      </c>
    </row>
    <row r="106" spans="1:8" ht="29" x14ac:dyDescent="0.45">
      <c r="A106" s="28">
        <v>8</v>
      </c>
      <c r="B106" s="28" t="s">
        <v>1436</v>
      </c>
      <c r="C106" s="28" t="s">
        <v>1198</v>
      </c>
      <c r="D106" s="28">
        <v>100</v>
      </c>
      <c r="E106" s="28" t="s">
        <v>78</v>
      </c>
      <c r="F106" s="28" t="s">
        <v>51</v>
      </c>
      <c r="G106" s="28" t="s">
        <v>681</v>
      </c>
      <c r="H106" s="28" t="s">
        <v>683</v>
      </c>
    </row>
    <row r="107" spans="1:8" ht="29" x14ac:dyDescent="0.45">
      <c r="A107" s="28">
        <v>8</v>
      </c>
      <c r="B107" s="28" t="s">
        <v>1436</v>
      </c>
      <c r="C107" s="28" t="s">
        <v>1198</v>
      </c>
      <c r="D107" s="28">
        <v>101</v>
      </c>
      <c r="E107" s="28" t="s">
        <v>78</v>
      </c>
      <c r="F107" s="28" t="s">
        <v>689</v>
      </c>
      <c r="G107" s="28" t="s">
        <v>686</v>
      </c>
      <c r="H107" s="28" t="s">
        <v>688</v>
      </c>
    </row>
    <row r="108" spans="1:8" ht="29" x14ac:dyDescent="0.45">
      <c r="A108" s="28">
        <v>8</v>
      </c>
      <c r="B108" s="28" t="s">
        <v>1436</v>
      </c>
      <c r="C108" s="28" t="s">
        <v>1198</v>
      </c>
      <c r="D108" s="28">
        <v>102</v>
      </c>
      <c r="E108" s="28" t="s">
        <v>78</v>
      </c>
      <c r="F108" s="28" t="s">
        <v>689</v>
      </c>
      <c r="G108" s="28" t="s">
        <v>692</v>
      </c>
      <c r="H108" s="28" t="s">
        <v>694</v>
      </c>
    </row>
    <row r="109" spans="1:8" ht="29" x14ac:dyDescent="0.45">
      <c r="A109" s="28">
        <v>8</v>
      </c>
      <c r="B109" s="28" t="s">
        <v>1436</v>
      </c>
      <c r="C109" s="28" t="s">
        <v>1198</v>
      </c>
      <c r="D109" s="28">
        <v>103</v>
      </c>
      <c r="E109" s="28" t="s">
        <v>78</v>
      </c>
      <c r="F109" s="28" t="s">
        <v>689</v>
      </c>
      <c r="G109" s="28" t="s">
        <v>697</v>
      </c>
      <c r="H109" s="28" t="s">
        <v>699</v>
      </c>
    </row>
    <row r="110" spans="1:8" ht="14.5" x14ac:dyDescent="0.45">
      <c r="A110" s="28">
        <v>8</v>
      </c>
      <c r="B110" s="28" t="s">
        <v>1436</v>
      </c>
      <c r="C110" s="28" t="s">
        <v>1198</v>
      </c>
      <c r="D110" s="28">
        <v>104</v>
      </c>
      <c r="E110" s="28" t="s">
        <v>78</v>
      </c>
      <c r="F110" s="28" t="s">
        <v>51</v>
      </c>
      <c r="G110" s="28" t="s">
        <v>703</v>
      </c>
      <c r="H110" s="28" t="s">
        <v>1519</v>
      </c>
    </row>
    <row r="111" spans="1:8" ht="29" x14ac:dyDescent="0.45">
      <c r="A111" s="28">
        <v>8</v>
      </c>
      <c r="B111" s="28" t="s">
        <v>1436</v>
      </c>
      <c r="C111" s="28" t="s">
        <v>1198</v>
      </c>
      <c r="D111" s="28">
        <v>110</v>
      </c>
      <c r="E111" s="28" t="s">
        <v>78</v>
      </c>
      <c r="F111" s="28" t="s">
        <v>51</v>
      </c>
      <c r="G111" s="28" t="s">
        <v>733</v>
      </c>
      <c r="H111" s="28" t="s">
        <v>1520</v>
      </c>
    </row>
    <row r="112" spans="1:8" ht="29" x14ac:dyDescent="0.45">
      <c r="A112" s="28">
        <v>8</v>
      </c>
      <c r="B112" s="28" t="s">
        <v>1436</v>
      </c>
      <c r="C112" s="28" t="s">
        <v>1198</v>
      </c>
      <c r="D112" s="28">
        <v>125</v>
      </c>
      <c r="E112" s="28" t="s">
        <v>78</v>
      </c>
      <c r="F112" s="28" t="s">
        <v>51</v>
      </c>
      <c r="G112" s="28" t="s">
        <v>810</v>
      </c>
      <c r="H112" s="28" t="s">
        <v>1521</v>
      </c>
    </row>
    <row r="113" spans="1:8" ht="29" x14ac:dyDescent="0.45">
      <c r="A113" s="28">
        <v>8</v>
      </c>
      <c r="B113" s="28" t="s">
        <v>1436</v>
      </c>
      <c r="C113" s="28" t="s">
        <v>1198</v>
      </c>
      <c r="D113" s="28">
        <v>126</v>
      </c>
      <c r="E113" s="28" t="s">
        <v>78</v>
      </c>
      <c r="F113" s="28" t="s">
        <v>51</v>
      </c>
      <c r="G113" s="28" t="s">
        <v>815</v>
      </c>
      <c r="H113" s="28" t="s">
        <v>817</v>
      </c>
    </row>
    <row r="114" spans="1:8" ht="14.5" x14ac:dyDescent="0.45">
      <c r="A114" s="28">
        <v>9</v>
      </c>
      <c r="B114" s="28" t="s">
        <v>1440</v>
      </c>
      <c r="C114" s="28" t="s">
        <v>1198</v>
      </c>
      <c r="D114" s="28">
        <v>5</v>
      </c>
      <c r="E114" s="28" t="s">
        <v>246</v>
      </c>
      <c r="F114" s="28" t="s">
        <v>51</v>
      </c>
      <c r="G114" s="28" t="s">
        <v>243</v>
      </c>
      <c r="H114" s="28" t="s">
        <v>1522</v>
      </c>
    </row>
    <row r="115" spans="1:8" ht="14.5" x14ac:dyDescent="0.45">
      <c r="A115" s="28">
        <v>9</v>
      </c>
      <c r="B115" s="28" t="s">
        <v>1440</v>
      </c>
      <c r="C115" s="28" t="s">
        <v>1198</v>
      </c>
      <c r="D115" s="28">
        <v>30</v>
      </c>
      <c r="E115" s="28" t="s">
        <v>272</v>
      </c>
      <c r="F115" s="28" t="s">
        <v>51</v>
      </c>
      <c r="G115" s="28" t="s">
        <v>340</v>
      </c>
      <c r="H115" s="28" t="s">
        <v>1523</v>
      </c>
    </row>
    <row r="116" spans="1:8" ht="29" x14ac:dyDescent="0.45">
      <c r="A116" s="28">
        <v>9</v>
      </c>
      <c r="B116" s="28" t="s">
        <v>1440</v>
      </c>
      <c r="C116" s="28" t="s">
        <v>1198</v>
      </c>
      <c r="D116" s="28">
        <v>129</v>
      </c>
      <c r="E116" s="28" t="s">
        <v>78</v>
      </c>
      <c r="F116" s="28" t="s">
        <v>51</v>
      </c>
      <c r="G116" s="28" t="s">
        <v>830</v>
      </c>
      <c r="H116" s="28" t="s">
        <v>1524</v>
      </c>
    </row>
    <row r="117" spans="1:8" ht="29" x14ac:dyDescent="0.45">
      <c r="A117" s="28">
        <v>9</v>
      </c>
      <c r="B117" s="28" t="s">
        <v>1440</v>
      </c>
      <c r="C117" s="28" t="s">
        <v>1198</v>
      </c>
      <c r="D117" s="28">
        <v>130</v>
      </c>
      <c r="E117" s="28" t="s">
        <v>78</v>
      </c>
      <c r="F117" s="28" t="s">
        <v>51</v>
      </c>
      <c r="G117" s="28" t="s">
        <v>835</v>
      </c>
      <c r="H117" s="28" t="s">
        <v>837</v>
      </c>
    </row>
    <row r="118" spans="1:8" ht="29" x14ac:dyDescent="0.45">
      <c r="A118" s="28">
        <v>9</v>
      </c>
      <c r="B118" s="28" t="s">
        <v>1440</v>
      </c>
      <c r="C118" s="28" t="s">
        <v>1198</v>
      </c>
      <c r="D118" s="28">
        <v>131</v>
      </c>
      <c r="E118" s="28" t="s">
        <v>189</v>
      </c>
      <c r="F118" s="28" t="s">
        <v>51</v>
      </c>
      <c r="G118" s="28" t="s">
        <v>840</v>
      </c>
      <c r="H118" s="28" t="s">
        <v>1525</v>
      </c>
    </row>
    <row r="119" spans="1:8" ht="14.5" x14ac:dyDescent="0.45">
      <c r="A119" s="28">
        <v>9</v>
      </c>
      <c r="B119" s="28" t="s">
        <v>1440</v>
      </c>
      <c r="C119" s="28" t="s">
        <v>1198</v>
      </c>
      <c r="D119" s="28">
        <v>132</v>
      </c>
      <c r="E119" s="28" t="s">
        <v>78</v>
      </c>
      <c r="F119" s="28" t="s">
        <v>51</v>
      </c>
      <c r="G119" s="28" t="s">
        <v>846</v>
      </c>
      <c r="H119" s="28" t="s">
        <v>1526</v>
      </c>
    </row>
    <row r="120" spans="1:8" ht="14.5" x14ac:dyDescent="0.45">
      <c r="A120" s="28">
        <v>9</v>
      </c>
      <c r="B120" s="28" t="s">
        <v>1440</v>
      </c>
      <c r="C120" s="28" t="s">
        <v>1198</v>
      </c>
      <c r="D120" s="28">
        <v>134</v>
      </c>
      <c r="E120" s="28" t="s">
        <v>78</v>
      </c>
      <c r="F120" s="28" t="s">
        <v>51</v>
      </c>
      <c r="G120" s="28" t="s">
        <v>858</v>
      </c>
      <c r="H120" s="28" t="s">
        <v>1527</v>
      </c>
    </row>
    <row r="121" spans="1:8" ht="14.5" x14ac:dyDescent="0.45">
      <c r="A121" s="28">
        <v>9</v>
      </c>
      <c r="B121" s="28" t="s">
        <v>1440</v>
      </c>
      <c r="C121" s="28" t="s">
        <v>1198</v>
      </c>
      <c r="D121" s="28">
        <v>135</v>
      </c>
      <c r="E121" s="28" t="s">
        <v>189</v>
      </c>
      <c r="F121" s="28" t="s">
        <v>51</v>
      </c>
      <c r="G121" s="28" t="s">
        <v>863</v>
      </c>
      <c r="H121" s="28" t="s">
        <v>1528</v>
      </c>
    </row>
    <row r="122" spans="1:8" ht="14.5" x14ac:dyDescent="0.45">
      <c r="A122" s="28">
        <v>9</v>
      </c>
      <c r="B122" s="28" t="s">
        <v>1440</v>
      </c>
      <c r="C122" s="28" t="s">
        <v>1198</v>
      </c>
      <c r="D122" s="28">
        <v>136</v>
      </c>
      <c r="E122" s="28" t="s">
        <v>189</v>
      </c>
      <c r="F122" s="28" t="s">
        <v>51</v>
      </c>
      <c r="G122" s="28" t="s">
        <v>868</v>
      </c>
      <c r="H122" s="28" t="s">
        <v>1529</v>
      </c>
    </row>
    <row r="123" spans="1:8" ht="14.5" x14ac:dyDescent="0.45">
      <c r="A123" s="28">
        <v>10</v>
      </c>
      <c r="B123" s="28" t="s">
        <v>1444</v>
      </c>
      <c r="C123" s="28" t="s">
        <v>1198</v>
      </c>
      <c r="D123" s="28">
        <v>35</v>
      </c>
      <c r="E123" s="28" t="s">
        <v>78</v>
      </c>
      <c r="F123" s="28" t="s">
        <v>51</v>
      </c>
      <c r="G123" s="28" t="s">
        <v>357</v>
      </c>
      <c r="H123" s="28" t="s">
        <v>1530</v>
      </c>
    </row>
    <row r="124" spans="1:8" ht="14.5" x14ac:dyDescent="0.45">
      <c r="A124" s="28">
        <v>10</v>
      </c>
      <c r="B124" s="28" t="s">
        <v>1444</v>
      </c>
      <c r="C124" s="28" t="s">
        <v>1198</v>
      </c>
      <c r="D124" s="28">
        <v>154</v>
      </c>
      <c r="E124" s="28" t="s">
        <v>189</v>
      </c>
      <c r="F124" s="28" t="s">
        <v>51</v>
      </c>
      <c r="G124" s="28" t="s">
        <v>952</v>
      </c>
      <c r="H124" s="28" t="s">
        <v>954</v>
      </c>
    </row>
    <row r="125" spans="1:8" ht="29" x14ac:dyDescent="0.45">
      <c r="A125" s="28">
        <v>10</v>
      </c>
      <c r="B125" s="28" t="s">
        <v>1444</v>
      </c>
      <c r="C125" s="28" t="s">
        <v>1198</v>
      </c>
      <c r="D125" s="28">
        <v>155</v>
      </c>
      <c r="E125" s="28" t="s">
        <v>189</v>
      </c>
      <c r="F125" s="28" t="s">
        <v>51</v>
      </c>
      <c r="G125" s="28" t="s">
        <v>957</v>
      </c>
      <c r="H125" s="28" t="s">
        <v>959</v>
      </c>
    </row>
    <row r="126" spans="1:8" ht="29" x14ac:dyDescent="0.45">
      <c r="A126" s="28">
        <v>10</v>
      </c>
      <c r="B126" s="28" t="s">
        <v>1444</v>
      </c>
      <c r="C126" s="28" t="s">
        <v>1198</v>
      </c>
      <c r="D126" s="28">
        <v>156</v>
      </c>
      <c r="E126" s="28" t="s">
        <v>189</v>
      </c>
      <c r="F126" s="28" t="s">
        <v>51</v>
      </c>
      <c r="G126" s="28" t="s">
        <v>962</v>
      </c>
      <c r="H126" s="28" t="s">
        <v>964</v>
      </c>
    </row>
    <row r="127" spans="1:8" ht="14.5" x14ac:dyDescent="0.45">
      <c r="A127" s="28">
        <v>10</v>
      </c>
      <c r="B127" s="28" t="s">
        <v>1444</v>
      </c>
      <c r="C127" s="28" t="s">
        <v>1198</v>
      </c>
      <c r="D127" s="28">
        <v>158</v>
      </c>
      <c r="E127" s="28" t="s">
        <v>189</v>
      </c>
      <c r="F127" s="28" t="s">
        <v>51</v>
      </c>
      <c r="G127" s="28" t="s">
        <v>972</v>
      </c>
      <c r="H127" s="28" t="s">
        <v>974</v>
      </c>
    </row>
    <row r="128" spans="1:8" ht="14.5" x14ac:dyDescent="0.45">
      <c r="A128" s="28">
        <v>11</v>
      </c>
      <c r="B128" s="28" t="s">
        <v>1448</v>
      </c>
      <c r="C128" s="28" t="s">
        <v>1198</v>
      </c>
      <c r="D128" s="28">
        <v>17</v>
      </c>
      <c r="E128" s="28" t="s">
        <v>86</v>
      </c>
      <c r="F128" s="28" t="s">
        <v>51</v>
      </c>
      <c r="G128" s="28" t="s">
        <v>292</v>
      </c>
      <c r="H128" s="28" t="s">
        <v>294</v>
      </c>
    </row>
    <row r="129" spans="1:8" ht="14.5" x14ac:dyDescent="0.45">
      <c r="A129" s="28">
        <v>11</v>
      </c>
      <c r="B129" s="28" t="s">
        <v>1448</v>
      </c>
      <c r="C129" s="28" t="s">
        <v>1198</v>
      </c>
      <c r="D129" s="28">
        <v>18</v>
      </c>
      <c r="E129" s="28" t="s">
        <v>298</v>
      </c>
      <c r="F129" s="28" t="s">
        <v>51</v>
      </c>
      <c r="G129" s="28" t="s">
        <v>295</v>
      </c>
      <c r="H129" s="28" t="s">
        <v>297</v>
      </c>
    </row>
    <row r="130" spans="1:8" ht="29" x14ac:dyDescent="0.45">
      <c r="A130" s="28">
        <v>11</v>
      </c>
      <c r="B130" s="28" t="s">
        <v>1448</v>
      </c>
      <c r="C130" s="28" t="s">
        <v>1198</v>
      </c>
      <c r="D130" s="28">
        <v>19</v>
      </c>
      <c r="E130" s="28" t="s">
        <v>272</v>
      </c>
      <c r="F130" s="28" t="s">
        <v>51</v>
      </c>
      <c r="G130" s="28" t="s">
        <v>299</v>
      </c>
      <c r="H130" s="28" t="s">
        <v>1531</v>
      </c>
    </row>
    <row r="131" spans="1:8" ht="14.5" x14ac:dyDescent="0.45">
      <c r="A131" s="28">
        <v>11</v>
      </c>
      <c r="B131" s="28" t="s">
        <v>1448</v>
      </c>
      <c r="C131" s="28" t="s">
        <v>1198</v>
      </c>
      <c r="D131" s="28">
        <v>83</v>
      </c>
      <c r="E131" s="28" t="s">
        <v>78</v>
      </c>
      <c r="F131" s="28" t="s">
        <v>51</v>
      </c>
      <c r="G131" s="28" t="s">
        <v>594</v>
      </c>
      <c r="H131" s="28" t="s">
        <v>1532</v>
      </c>
    </row>
    <row r="132" spans="1:8" ht="14.5" x14ac:dyDescent="0.45">
      <c r="A132" s="28">
        <v>11</v>
      </c>
      <c r="B132" s="28" t="s">
        <v>1448</v>
      </c>
      <c r="C132" s="28" t="s">
        <v>1198</v>
      </c>
      <c r="D132" s="28">
        <v>84</v>
      </c>
      <c r="E132" s="28" t="s">
        <v>78</v>
      </c>
      <c r="F132" s="28" t="s">
        <v>51</v>
      </c>
      <c r="G132" s="28" t="s">
        <v>599</v>
      </c>
      <c r="H132" s="28" t="s">
        <v>601</v>
      </c>
    </row>
    <row r="133" spans="1:8" ht="29" x14ac:dyDescent="0.45">
      <c r="A133" s="28">
        <v>11</v>
      </c>
      <c r="B133" s="28" t="s">
        <v>1448</v>
      </c>
      <c r="C133" s="28" t="s">
        <v>1198</v>
      </c>
      <c r="D133" s="28">
        <v>162</v>
      </c>
      <c r="E133" s="28" t="s">
        <v>78</v>
      </c>
      <c r="F133" s="28" t="s">
        <v>51</v>
      </c>
      <c r="G133" s="28" t="s">
        <v>990</v>
      </c>
      <c r="H133" s="28" t="s">
        <v>992</v>
      </c>
    </row>
    <row r="134" spans="1:8" ht="14.5" x14ac:dyDescent="0.45">
      <c r="A134" s="29">
        <v>12</v>
      </c>
      <c r="B134" s="29" t="s">
        <v>1453</v>
      </c>
      <c r="C134" s="29" t="s">
        <v>1193</v>
      </c>
      <c r="D134" s="29">
        <v>15</v>
      </c>
      <c r="E134" s="29" t="s">
        <v>246</v>
      </c>
      <c r="F134" s="29" t="s">
        <v>51</v>
      </c>
      <c r="G134" s="29" t="s">
        <v>286</v>
      </c>
      <c r="H134" s="29" t="s">
        <v>1533</v>
      </c>
    </row>
    <row r="135" spans="1:8" ht="14.5" x14ac:dyDescent="0.45">
      <c r="A135" s="29">
        <v>12</v>
      </c>
      <c r="B135" s="29" t="s">
        <v>1453</v>
      </c>
      <c r="C135" s="29" t="s">
        <v>1193</v>
      </c>
      <c r="D135" s="29">
        <v>16</v>
      </c>
      <c r="E135" s="29" t="s">
        <v>272</v>
      </c>
      <c r="F135" s="29" t="s">
        <v>51</v>
      </c>
      <c r="G135" s="29" t="s">
        <v>289</v>
      </c>
      <c r="H135" s="29" t="s">
        <v>1534</v>
      </c>
    </row>
    <row r="136" spans="1:8" ht="14.5" x14ac:dyDescent="0.45">
      <c r="A136" s="29">
        <v>12</v>
      </c>
      <c r="B136" s="29" t="s">
        <v>1453</v>
      </c>
      <c r="C136" s="29" t="s">
        <v>1193</v>
      </c>
      <c r="D136" s="29">
        <v>20</v>
      </c>
      <c r="E136" s="29" t="s">
        <v>272</v>
      </c>
      <c r="F136" s="29" t="s">
        <v>51</v>
      </c>
      <c r="G136" s="29" t="s">
        <v>303</v>
      </c>
      <c r="H136" s="29" t="s">
        <v>305</v>
      </c>
    </row>
    <row r="137" spans="1:8" ht="14.5" x14ac:dyDescent="0.45">
      <c r="A137" s="29">
        <v>12</v>
      </c>
      <c r="B137" s="29" t="s">
        <v>1453</v>
      </c>
      <c r="C137" s="29" t="s">
        <v>1193</v>
      </c>
      <c r="D137" s="29">
        <v>32</v>
      </c>
      <c r="E137" s="29" t="s">
        <v>272</v>
      </c>
      <c r="F137" s="29" t="s">
        <v>51</v>
      </c>
      <c r="G137" s="29" t="s">
        <v>347</v>
      </c>
      <c r="H137" s="29" t="s">
        <v>349</v>
      </c>
    </row>
    <row r="138" spans="1:8" ht="14.5" x14ac:dyDescent="0.45">
      <c r="A138" s="29">
        <v>12</v>
      </c>
      <c r="B138" s="29" t="s">
        <v>1453</v>
      </c>
      <c r="C138" s="29" t="s">
        <v>1193</v>
      </c>
      <c r="D138" s="29">
        <v>36</v>
      </c>
      <c r="E138" s="29" t="s">
        <v>272</v>
      </c>
      <c r="F138" s="29" t="s">
        <v>51</v>
      </c>
      <c r="G138" s="29" t="s">
        <v>361</v>
      </c>
      <c r="H138" s="29" t="s">
        <v>1535</v>
      </c>
    </row>
    <row r="139" spans="1:8" ht="29" x14ac:dyDescent="0.45">
      <c r="A139" s="29">
        <v>12</v>
      </c>
      <c r="B139" s="29" t="s">
        <v>1453</v>
      </c>
      <c r="C139" s="29" t="s">
        <v>1193</v>
      </c>
      <c r="D139" s="29">
        <v>38</v>
      </c>
      <c r="E139" s="29" t="s">
        <v>272</v>
      </c>
      <c r="F139" s="29" t="s">
        <v>51</v>
      </c>
      <c r="G139" s="29" t="s">
        <v>367</v>
      </c>
      <c r="H139" s="29" t="s">
        <v>1536</v>
      </c>
    </row>
    <row r="140" spans="1:8" ht="14.5" x14ac:dyDescent="0.45">
      <c r="A140" s="29">
        <v>12</v>
      </c>
      <c r="B140" s="29" t="s">
        <v>1453</v>
      </c>
      <c r="C140" s="29" t="s">
        <v>1193</v>
      </c>
      <c r="D140" s="29">
        <v>47</v>
      </c>
      <c r="E140" s="29" t="s">
        <v>272</v>
      </c>
      <c r="F140" s="29" t="s">
        <v>51</v>
      </c>
      <c r="G140" s="29" t="s">
        <v>409</v>
      </c>
      <c r="H140" s="29" t="s">
        <v>1537</v>
      </c>
    </row>
    <row r="141" spans="1:8" ht="29" x14ac:dyDescent="0.45">
      <c r="A141" s="29">
        <v>12</v>
      </c>
      <c r="B141" s="29" t="s">
        <v>1453</v>
      </c>
      <c r="C141" s="29" t="s">
        <v>1193</v>
      </c>
      <c r="D141" s="29">
        <v>52</v>
      </c>
      <c r="E141" s="29" t="s">
        <v>78</v>
      </c>
      <c r="F141" s="29" t="s">
        <v>51</v>
      </c>
      <c r="G141" s="29" t="s">
        <v>434</v>
      </c>
      <c r="H141" s="29" t="s">
        <v>1538</v>
      </c>
    </row>
    <row r="142" spans="1:8" ht="29" x14ac:dyDescent="0.45">
      <c r="A142" s="29">
        <v>12</v>
      </c>
      <c r="B142" s="29" t="s">
        <v>1453</v>
      </c>
      <c r="C142" s="29" t="s">
        <v>1193</v>
      </c>
      <c r="D142" s="29">
        <v>55</v>
      </c>
      <c r="E142" s="29" t="s">
        <v>272</v>
      </c>
      <c r="F142" s="29" t="s">
        <v>49</v>
      </c>
      <c r="G142" s="29" t="s">
        <v>451</v>
      </c>
      <c r="H142" s="29" t="s">
        <v>1539</v>
      </c>
    </row>
    <row r="143" spans="1:8" ht="14.5" x14ac:dyDescent="0.45">
      <c r="A143" s="29">
        <v>12</v>
      </c>
      <c r="B143" s="29" t="s">
        <v>1453</v>
      </c>
      <c r="C143" s="29" t="s">
        <v>1193</v>
      </c>
      <c r="D143" s="29">
        <v>56</v>
      </c>
      <c r="E143" s="29" t="s">
        <v>272</v>
      </c>
      <c r="F143" s="29" t="s">
        <v>49</v>
      </c>
      <c r="G143" s="29" t="s">
        <v>456</v>
      </c>
      <c r="H143" s="29" t="s">
        <v>1540</v>
      </c>
    </row>
    <row r="144" spans="1:8" ht="14.5" x14ac:dyDescent="0.45">
      <c r="A144" s="29">
        <v>12</v>
      </c>
      <c r="B144" s="29" t="s">
        <v>1453</v>
      </c>
      <c r="C144" s="29" t="s">
        <v>1193</v>
      </c>
      <c r="D144" s="29">
        <v>69</v>
      </c>
      <c r="E144" s="29" t="s">
        <v>78</v>
      </c>
      <c r="F144" s="29" t="s">
        <v>51</v>
      </c>
      <c r="G144" s="29" t="s">
        <v>524</v>
      </c>
      <c r="H144" s="29" t="s">
        <v>1541</v>
      </c>
    </row>
    <row r="145" spans="1:8" ht="14.5" x14ac:dyDescent="0.45">
      <c r="A145" s="29">
        <v>12</v>
      </c>
      <c r="B145" s="29" t="s">
        <v>1453</v>
      </c>
      <c r="C145" s="29" t="s">
        <v>1193</v>
      </c>
      <c r="D145" s="29">
        <v>70</v>
      </c>
      <c r="E145" s="29" t="s">
        <v>189</v>
      </c>
      <c r="F145" s="29" t="s">
        <v>51</v>
      </c>
      <c r="G145" s="29" t="s">
        <v>529</v>
      </c>
      <c r="H145" s="29" t="s">
        <v>1542</v>
      </c>
    </row>
    <row r="146" spans="1:8" ht="29" x14ac:dyDescent="0.45">
      <c r="A146" s="29">
        <v>12</v>
      </c>
      <c r="B146" s="29" t="s">
        <v>1453</v>
      </c>
      <c r="C146" s="29" t="s">
        <v>1193</v>
      </c>
      <c r="D146" s="29">
        <v>82</v>
      </c>
      <c r="E146" s="29" t="s">
        <v>78</v>
      </c>
      <c r="F146" s="29" t="s">
        <v>51</v>
      </c>
      <c r="G146" s="29" t="s">
        <v>589</v>
      </c>
      <c r="H146" s="29" t="s">
        <v>591</v>
      </c>
    </row>
    <row r="147" spans="1:8" ht="14.5" x14ac:dyDescent="0.45">
      <c r="A147" s="29">
        <v>12</v>
      </c>
      <c r="B147" s="29" t="s">
        <v>1453</v>
      </c>
      <c r="C147" s="29" t="s">
        <v>1193</v>
      </c>
      <c r="D147" s="29">
        <v>106</v>
      </c>
      <c r="E147" s="29" t="s">
        <v>189</v>
      </c>
      <c r="F147" s="29" t="s">
        <v>51</v>
      </c>
      <c r="G147" s="29" t="s">
        <v>713</v>
      </c>
      <c r="H147" s="29" t="s">
        <v>1543</v>
      </c>
    </row>
    <row r="148" spans="1:8" ht="14.5" x14ac:dyDescent="0.45">
      <c r="A148" s="29">
        <v>12</v>
      </c>
      <c r="B148" s="29" t="s">
        <v>1453</v>
      </c>
      <c r="C148" s="29" t="s">
        <v>1193</v>
      </c>
      <c r="D148" s="29">
        <v>107</v>
      </c>
      <c r="E148" s="29" t="s">
        <v>189</v>
      </c>
      <c r="F148" s="29" t="s">
        <v>51</v>
      </c>
      <c r="G148" s="29" t="s">
        <v>718</v>
      </c>
      <c r="H148" s="29" t="s">
        <v>1544</v>
      </c>
    </row>
    <row r="149" spans="1:8" ht="29" x14ac:dyDescent="0.45">
      <c r="A149" s="29">
        <v>12</v>
      </c>
      <c r="B149" s="29" t="s">
        <v>1453</v>
      </c>
      <c r="C149" s="29" t="s">
        <v>1193</v>
      </c>
      <c r="D149" s="29">
        <v>108</v>
      </c>
      <c r="E149" s="29" t="s">
        <v>189</v>
      </c>
      <c r="F149" s="29" t="s">
        <v>51</v>
      </c>
      <c r="G149" s="29" t="s">
        <v>723</v>
      </c>
      <c r="H149" s="29" t="s">
        <v>1545</v>
      </c>
    </row>
    <row r="150" spans="1:8" ht="29" x14ac:dyDescent="0.45">
      <c r="A150" s="29">
        <v>12</v>
      </c>
      <c r="B150" s="29" t="s">
        <v>1453</v>
      </c>
      <c r="C150" s="29" t="s">
        <v>1193</v>
      </c>
      <c r="D150" s="29">
        <v>109</v>
      </c>
      <c r="E150" s="29" t="s">
        <v>189</v>
      </c>
      <c r="F150" s="29" t="s">
        <v>51</v>
      </c>
      <c r="G150" s="29" t="s">
        <v>728</v>
      </c>
      <c r="H150" s="29" t="s">
        <v>1546</v>
      </c>
    </row>
    <row r="151" spans="1:8" ht="29" x14ac:dyDescent="0.45">
      <c r="A151" s="29">
        <v>12</v>
      </c>
      <c r="B151" s="29" t="s">
        <v>1453</v>
      </c>
      <c r="C151" s="29" t="s">
        <v>1193</v>
      </c>
      <c r="D151" s="29">
        <v>111</v>
      </c>
      <c r="E151" s="29" t="s">
        <v>189</v>
      </c>
      <c r="F151" s="29" t="s">
        <v>51</v>
      </c>
      <c r="G151" s="29" t="s">
        <v>738</v>
      </c>
      <c r="H151" s="29" t="s">
        <v>1547</v>
      </c>
    </row>
    <row r="152" spans="1:8" ht="14.5" x14ac:dyDescent="0.45">
      <c r="A152" s="29">
        <v>12</v>
      </c>
      <c r="B152" s="29" t="s">
        <v>1453</v>
      </c>
      <c r="C152" s="29" t="s">
        <v>1193</v>
      </c>
      <c r="D152" s="29">
        <v>113</v>
      </c>
      <c r="E152" s="29" t="s">
        <v>78</v>
      </c>
      <c r="F152" s="29" t="s">
        <v>51</v>
      </c>
      <c r="G152" s="29" t="s">
        <v>748</v>
      </c>
      <c r="H152" s="29" t="s">
        <v>1548</v>
      </c>
    </row>
    <row r="153" spans="1:8" ht="14.5" x14ac:dyDescent="0.45">
      <c r="A153" s="29">
        <v>12</v>
      </c>
      <c r="B153" s="29" t="s">
        <v>1453</v>
      </c>
      <c r="C153" s="29" t="s">
        <v>1193</v>
      </c>
      <c r="D153" s="29">
        <v>114</v>
      </c>
      <c r="E153" s="29" t="s">
        <v>78</v>
      </c>
      <c r="F153" s="29" t="s">
        <v>51</v>
      </c>
      <c r="G153" s="29" t="s">
        <v>753</v>
      </c>
      <c r="H153" s="29" t="s">
        <v>1549</v>
      </c>
    </row>
    <row r="154" spans="1:8" ht="29" x14ac:dyDescent="0.45">
      <c r="A154" s="29">
        <v>12</v>
      </c>
      <c r="B154" s="29" t="s">
        <v>1453</v>
      </c>
      <c r="C154" s="29" t="s">
        <v>1193</v>
      </c>
      <c r="D154" s="29">
        <v>115</v>
      </c>
      <c r="E154" s="29" t="s">
        <v>189</v>
      </c>
      <c r="F154" s="29" t="s">
        <v>51</v>
      </c>
      <c r="G154" s="29" t="s">
        <v>758</v>
      </c>
      <c r="H154" s="29" t="s">
        <v>760</v>
      </c>
    </row>
    <row r="155" spans="1:8" ht="29" x14ac:dyDescent="0.45">
      <c r="A155" s="29">
        <v>12</v>
      </c>
      <c r="B155" s="29" t="s">
        <v>1453</v>
      </c>
      <c r="C155" s="29" t="s">
        <v>1193</v>
      </c>
      <c r="D155" s="29">
        <v>116</v>
      </c>
      <c r="E155" s="29" t="s">
        <v>78</v>
      </c>
      <c r="F155" s="29" t="s">
        <v>51</v>
      </c>
      <c r="G155" s="29" t="s">
        <v>763</v>
      </c>
      <c r="H155" s="29" t="s">
        <v>1550</v>
      </c>
    </row>
    <row r="156" spans="1:8" ht="29" x14ac:dyDescent="0.45">
      <c r="A156" s="29">
        <v>12</v>
      </c>
      <c r="B156" s="29" t="s">
        <v>1453</v>
      </c>
      <c r="C156" s="29" t="s">
        <v>1193</v>
      </c>
      <c r="D156" s="29">
        <v>117</v>
      </c>
      <c r="E156" s="29" t="s">
        <v>189</v>
      </c>
      <c r="F156" s="29" t="s">
        <v>51</v>
      </c>
      <c r="G156" s="29" t="s">
        <v>768</v>
      </c>
      <c r="H156" s="29" t="s">
        <v>1551</v>
      </c>
    </row>
    <row r="157" spans="1:8" ht="29" x14ac:dyDescent="0.45">
      <c r="A157" s="29">
        <v>12</v>
      </c>
      <c r="B157" s="29" t="s">
        <v>1453</v>
      </c>
      <c r="C157" s="29" t="s">
        <v>1193</v>
      </c>
      <c r="D157" s="29">
        <v>118</v>
      </c>
      <c r="E157" s="29" t="s">
        <v>189</v>
      </c>
      <c r="F157" s="29" t="s">
        <v>51</v>
      </c>
      <c r="G157" s="29" t="s">
        <v>773</v>
      </c>
      <c r="H157" s="29" t="s">
        <v>1552</v>
      </c>
    </row>
    <row r="158" spans="1:8" ht="14.5" x14ac:dyDescent="0.45">
      <c r="A158" s="29">
        <v>12</v>
      </c>
      <c r="B158" s="29" t="s">
        <v>1453</v>
      </c>
      <c r="C158" s="29" t="s">
        <v>1193</v>
      </c>
      <c r="D158" s="29">
        <v>120</v>
      </c>
      <c r="E158" s="29" t="s">
        <v>189</v>
      </c>
      <c r="F158" s="29" t="s">
        <v>51</v>
      </c>
      <c r="G158" s="29" t="s">
        <v>784</v>
      </c>
      <c r="H158" s="29" t="s">
        <v>1553</v>
      </c>
    </row>
    <row r="159" spans="1:8" ht="29" x14ac:dyDescent="0.45">
      <c r="A159" s="29">
        <v>12</v>
      </c>
      <c r="B159" s="29" t="s">
        <v>1453</v>
      </c>
      <c r="C159" s="29" t="s">
        <v>1193</v>
      </c>
      <c r="D159" s="29">
        <v>123</v>
      </c>
      <c r="E159" s="29" t="s">
        <v>189</v>
      </c>
      <c r="F159" s="29" t="s">
        <v>51</v>
      </c>
      <c r="G159" s="29" t="s">
        <v>799</v>
      </c>
      <c r="H159" s="29" t="s">
        <v>1554</v>
      </c>
    </row>
    <row r="160" spans="1:8" ht="14.5" x14ac:dyDescent="0.45">
      <c r="A160" s="29">
        <v>12</v>
      </c>
      <c r="B160" s="29" t="s">
        <v>1453</v>
      </c>
      <c r="C160" s="29" t="s">
        <v>1193</v>
      </c>
      <c r="D160" s="29">
        <v>124</v>
      </c>
      <c r="E160" s="29" t="s">
        <v>189</v>
      </c>
      <c r="F160" s="29" t="s">
        <v>51</v>
      </c>
      <c r="G160" s="29" t="s">
        <v>804</v>
      </c>
      <c r="H160" s="29" t="s">
        <v>1555</v>
      </c>
    </row>
    <row r="161" spans="1:8" ht="29" x14ac:dyDescent="0.45">
      <c r="A161" s="29">
        <v>12</v>
      </c>
      <c r="B161" s="29" t="s">
        <v>1453</v>
      </c>
      <c r="C161" s="29" t="s">
        <v>1193</v>
      </c>
      <c r="D161" s="29">
        <v>128</v>
      </c>
      <c r="E161" s="29" t="s">
        <v>189</v>
      </c>
      <c r="F161" s="29" t="s">
        <v>51</v>
      </c>
      <c r="G161" s="29" t="s">
        <v>825</v>
      </c>
      <c r="H161" s="29" t="s">
        <v>827</v>
      </c>
    </row>
    <row r="162" spans="1:8" ht="29" x14ac:dyDescent="0.45">
      <c r="A162" s="29">
        <v>12</v>
      </c>
      <c r="B162" s="29" t="s">
        <v>1453</v>
      </c>
      <c r="C162" s="29" t="s">
        <v>1193</v>
      </c>
      <c r="D162" s="29">
        <v>160</v>
      </c>
      <c r="E162" s="29" t="s">
        <v>189</v>
      </c>
      <c r="F162" s="29" t="s">
        <v>51</v>
      </c>
      <c r="G162" s="29" t="s">
        <v>981</v>
      </c>
      <c r="H162" s="29" t="s">
        <v>983</v>
      </c>
    </row>
    <row r="163" spans="1:8" ht="14.5" x14ac:dyDescent="0.45">
      <c r="A163" s="29">
        <v>12</v>
      </c>
      <c r="B163" s="29" t="s">
        <v>1453</v>
      </c>
      <c r="C163" s="29" t="s">
        <v>1193</v>
      </c>
      <c r="D163" s="29">
        <v>163</v>
      </c>
      <c r="E163" s="29" t="s">
        <v>189</v>
      </c>
      <c r="F163" s="29" t="s">
        <v>51</v>
      </c>
      <c r="G163" s="29" t="s">
        <v>995</v>
      </c>
      <c r="H163" s="29" t="s">
        <v>997</v>
      </c>
    </row>
  </sheetData>
  <mergeCells count="1">
    <mergeCell ref="A2:I2"/>
  </mergeCells>
  <phoneticPr fontId="7"/>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4"/>
  <sheetViews>
    <sheetView workbookViewId="0">
      <pane ySplit="4" topLeftCell="A5" activePane="bottomLeft" state="frozen"/>
      <selection pane="bottomLeft"/>
    </sheetView>
  </sheetViews>
  <sheetFormatPr defaultRowHeight="13.25" x14ac:dyDescent="0.45"/>
  <cols>
    <col min="1" max="1" width="5" customWidth="1"/>
    <col min="2" max="2" width="42" customWidth="1"/>
    <col min="3" max="3" width="13" customWidth="1"/>
    <col min="4" max="4" width="56" customWidth="1"/>
    <col min="5" max="5" width="18" customWidth="1"/>
    <col min="6" max="6" width="34" customWidth="1"/>
    <col min="7" max="7" width="7" customWidth="1"/>
    <col min="8" max="8" width="18" customWidth="1"/>
    <col min="9" max="9" width="86" customWidth="1"/>
  </cols>
  <sheetData>
    <row r="1" spans="1:9" ht="24" customHeight="1" x14ac:dyDescent="1.4">
      <c r="A1" s="24" t="s">
        <v>1556</v>
      </c>
    </row>
    <row r="2" spans="1:9" ht="58" customHeight="1" x14ac:dyDescent="0.45">
      <c r="A2" s="52" t="s">
        <v>1557</v>
      </c>
      <c r="B2" s="45"/>
      <c r="C2" s="45"/>
      <c r="D2" s="45"/>
      <c r="E2" s="45"/>
      <c r="F2" s="45"/>
      <c r="G2" s="45"/>
    </row>
    <row r="4" spans="1:9" ht="15.75" x14ac:dyDescent="0.95">
      <c r="A4" s="25" t="s">
        <v>1558</v>
      </c>
      <c r="B4" s="25" t="s">
        <v>1559</v>
      </c>
      <c r="C4" s="25" t="s">
        <v>1560</v>
      </c>
      <c r="D4" s="25" t="s">
        <v>1561</v>
      </c>
      <c r="E4" s="25" t="s">
        <v>1562</v>
      </c>
      <c r="F4" s="25" t="s">
        <v>67</v>
      </c>
      <c r="G4" s="25" t="s">
        <v>1563</v>
      </c>
      <c r="H4" s="31" t="s">
        <v>68</v>
      </c>
      <c r="I4" s="31" t="s">
        <v>1564</v>
      </c>
    </row>
    <row r="5" spans="1:9" ht="43.5" x14ac:dyDescent="0.45">
      <c r="A5" s="33">
        <v>1</v>
      </c>
      <c r="B5" s="33" t="s">
        <v>1565</v>
      </c>
      <c r="C5" s="33" t="s">
        <v>1566</v>
      </c>
      <c r="D5" s="33" t="s">
        <v>1567</v>
      </c>
      <c r="E5" s="33" t="s">
        <v>1568</v>
      </c>
      <c r="F5" s="33" t="s">
        <v>1569</v>
      </c>
      <c r="G5" s="33" t="s">
        <v>1570</v>
      </c>
      <c r="H5" s="33" t="s">
        <v>1571</v>
      </c>
      <c r="I5" s="33" t="s">
        <v>1572</v>
      </c>
    </row>
    <row r="6" spans="1:9" ht="43.5" x14ac:dyDescent="0.45">
      <c r="A6" s="29">
        <v>2</v>
      </c>
      <c r="B6" s="29" t="s">
        <v>1573</v>
      </c>
      <c r="C6" s="29" t="s">
        <v>1574</v>
      </c>
      <c r="D6" s="29" t="s">
        <v>1575</v>
      </c>
      <c r="E6" s="29" t="s">
        <v>1576</v>
      </c>
      <c r="F6" s="29" t="s">
        <v>1577</v>
      </c>
      <c r="G6" s="29" t="s">
        <v>1578</v>
      </c>
      <c r="H6" s="29" t="s">
        <v>47</v>
      </c>
      <c r="I6" s="29" t="s">
        <v>1579</v>
      </c>
    </row>
    <row r="7" spans="1:9" ht="43.5" x14ac:dyDescent="0.45">
      <c r="A7" s="29">
        <v>3</v>
      </c>
      <c r="B7" s="29" t="s">
        <v>1580</v>
      </c>
      <c r="C7" s="29" t="s">
        <v>1574</v>
      </c>
      <c r="D7" s="29" t="s">
        <v>1581</v>
      </c>
      <c r="E7" s="29" t="s">
        <v>1582</v>
      </c>
      <c r="F7" s="29" t="s">
        <v>1583</v>
      </c>
      <c r="G7" s="29" t="s">
        <v>1570</v>
      </c>
      <c r="H7" s="29" t="s">
        <v>47</v>
      </c>
      <c r="I7" s="29" t="s">
        <v>1584</v>
      </c>
    </row>
    <row r="8" spans="1:9" ht="43.5" x14ac:dyDescent="0.45">
      <c r="A8" s="29">
        <v>4</v>
      </c>
      <c r="B8" s="29" t="s">
        <v>1585</v>
      </c>
      <c r="C8" s="29" t="s">
        <v>1566</v>
      </c>
      <c r="D8" s="29" t="s">
        <v>1586</v>
      </c>
      <c r="E8" s="29" t="s">
        <v>1587</v>
      </c>
      <c r="F8" s="29" t="s">
        <v>1588</v>
      </c>
      <c r="G8" s="29" t="s">
        <v>1570</v>
      </c>
      <c r="H8" s="29" t="s">
        <v>47</v>
      </c>
      <c r="I8" s="29" t="s">
        <v>1589</v>
      </c>
    </row>
    <row r="9" spans="1:9" ht="43.5" x14ac:dyDescent="0.45">
      <c r="A9" s="29">
        <v>5</v>
      </c>
      <c r="B9" s="29" t="s">
        <v>1590</v>
      </c>
      <c r="C9" s="29" t="s">
        <v>1591</v>
      </c>
      <c r="D9" s="29" t="s">
        <v>1592</v>
      </c>
      <c r="E9" s="29" t="s">
        <v>1593</v>
      </c>
      <c r="F9" s="29" t="s">
        <v>1594</v>
      </c>
      <c r="G9" s="29" t="s">
        <v>1595</v>
      </c>
      <c r="H9" s="29" t="s">
        <v>47</v>
      </c>
      <c r="I9" s="29" t="s">
        <v>1596</v>
      </c>
    </row>
    <row r="10" spans="1:9" ht="58" x14ac:dyDescent="0.45">
      <c r="A10" s="29">
        <v>6</v>
      </c>
      <c r="B10" s="29" t="s">
        <v>1597</v>
      </c>
      <c r="C10" s="29" t="s">
        <v>1598</v>
      </c>
      <c r="D10" s="29" t="s">
        <v>1599</v>
      </c>
      <c r="E10" s="29" t="s">
        <v>1600</v>
      </c>
      <c r="F10" s="29" t="s">
        <v>1601</v>
      </c>
      <c r="G10" s="29" t="s">
        <v>1602</v>
      </c>
      <c r="H10" s="29" t="s">
        <v>47</v>
      </c>
      <c r="I10" s="29" t="s">
        <v>1603</v>
      </c>
    </row>
    <row r="11" spans="1:9" ht="58" x14ac:dyDescent="0.45">
      <c r="A11" s="29">
        <v>7</v>
      </c>
      <c r="B11" s="29" t="s">
        <v>1604</v>
      </c>
      <c r="C11" s="29" t="s">
        <v>1605</v>
      </c>
      <c r="D11" s="29" t="s">
        <v>1606</v>
      </c>
      <c r="E11" s="29" t="s">
        <v>1607</v>
      </c>
      <c r="F11" s="29" t="s">
        <v>1608</v>
      </c>
      <c r="G11" s="29" t="s">
        <v>1570</v>
      </c>
      <c r="H11" s="29" t="s">
        <v>1609</v>
      </c>
      <c r="I11" s="29" t="s">
        <v>1610</v>
      </c>
    </row>
    <row r="12" spans="1:9" ht="72.5" x14ac:dyDescent="0.45">
      <c r="A12" s="29">
        <v>8</v>
      </c>
      <c r="B12" s="29" t="s">
        <v>1611</v>
      </c>
      <c r="C12" s="29" t="s">
        <v>1612</v>
      </c>
      <c r="D12" s="29" t="s">
        <v>1613</v>
      </c>
      <c r="E12" s="29" t="s">
        <v>1614</v>
      </c>
      <c r="F12" s="29" t="s">
        <v>1615</v>
      </c>
      <c r="G12" s="29" t="s">
        <v>1595</v>
      </c>
      <c r="H12" s="29" t="s">
        <v>1616</v>
      </c>
      <c r="I12" s="29" t="s">
        <v>1617</v>
      </c>
    </row>
    <row r="13" spans="1:9" ht="29" x14ac:dyDescent="0.45">
      <c r="A13" s="29">
        <v>9</v>
      </c>
      <c r="B13" s="29" t="s">
        <v>1618</v>
      </c>
      <c r="C13" s="29" t="s">
        <v>1612</v>
      </c>
      <c r="D13" s="29" t="s">
        <v>1619</v>
      </c>
      <c r="E13" s="29" t="s">
        <v>1620</v>
      </c>
      <c r="F13" s="29" t="s">
        <v>1621</v>
      </c>
      <c r="G13" s="29" t="s">
        <v>1570</v>
      </c>
      <c r="H13" s="29" t="s">
        <v>47</v>
      </c>
      <c r="I13" s="29" t="s">
        <v>1622</v>
      </c>
    </row>
    <row r="14" spans="1:9" ht="43.5" x14ac:dyDescent="0.45">
      <c r="A14" s="29">
        <v>10</v>
      </c>
      <c r="B14" s="29" t="s">
        <v>1623</v>
      </c>
      <c r="C14" s="29" t="s">
        <v>1624</v>
      </c>
      <c r="D14" s="29" t="s">
        <v>1625</v>
      </c>
      <c r="E14" s="29" t="s">
        <v>1626</v>
      </c>
      <c r="F14" s="29" t="s">
        <v>1627</v>
      </c>
      <c r="G14" s="29" t="s">
        <v>1628</v>
      </c>
      <c r="H14" s="29" t="s">
        <v>47</v>
      </c>
      <c r="I14" s="29" t="s">
        <v>1629</v>
      </c>
    </row>
    <row r="15" spans="1:9" ht="58" x14ac:dyDescent="0.45">
      <c r="A15" s="29">
        <v>11</v>
      </c>
      <c r="B15" s="29" t="s">
        <v>1630</v>
      </c>
      <c r="C15" s="29" t="s">
        <v>1631</v>
      </c>
      <c r="D15" s="29" t="s">
        <v>1632</v>
      </c>
      <c r="E15" s="29" t="s">
        <v>1633</v>
      </c>
      <c r="F15" s="29" t="s">
        <v>1634</v>
      </c>
      <c r="G15" s="29" t="s">
        <v>1570</v>
      </c>
      <c r="H15" s="29" t="s">
        <v>47</v>
      </c>
      <c r="I15" s="29" t="s">
        <v>1635</v>
      </c>
    </row>
    <row r="16" spans="1:9" ht="72.5" x14ac:dyDescent="0.45">
      <c r="A16" s="29">
        <v>12</v>
      </c>
      <c r="B16" s="29" t="s">
        <v>1636</v>
      </c>
      <c r="C16" s="29" t="s">
        <v>1631</v>
      </c>
      <c r="D16" s="29" t="s">
        <v>1637</v>
      </c>
      <c r="E16" s="29" t="s">
        <v>1638</v>
      </c>
      <c r="F16" s="29" t="s">
        <v>1639</v>
      </c>
      <c r="G16" s="29" t="s">
        <v>1570</v>
      </c>
      <c r="H16" s="29" t="s">
        <v>47</v>
      </c>
      <c r="I16" s="29" t="s">
        <v>1640</v>
      </c>
    </row>
    <row r="17" spans="1:9" ht="58" x14ac:dyDescent="0.45">
      <c r="A17" s="29">
        <v>13</v>
      </c>
      <c r="B17" s="29" t="s">
        <v>1641</v>
      </c>
      <c r="C17" s="29" t="s">
        <v>1631</v>
      </c>
      <c r="D17" s="29" t="s">
        <v>1642</v>
      </c>
      <c r="E17" s="29" t="s">
        <v>1643</v>
      </c>
      <c r="F17" s="29" t="s">
        <v>1644</v>
      </c>
      <c r="G17" s="29" t="s">
        <v>1570</v>
      </c>
      <c r="H17" s="29" t="s">
        <v>47</v>
      </c>
      <c r="I17" s="29" t="s">
        <v>1645</v>
      </c>
    </row>
    <row r="18" spans="1:9" ht="130.5" x14ac:dyDescent="0.45">
      <c r="A18" s="29">
        <v>14</v>
      </c>
      <c r="B18" s="29" t="s">
        <v>1646</v>
      </c>
      <c r="C18" s="29" t="s">
        <v>1631</v>
      </c>
      <c r="D18" s="29" t="s">
        <v>1647</v>
      </c>
      <c r="E18" s="29" t="s">
        <v>1648</v>
      </c>
      <c r="F18" s="29" t="s">
        <v>1649</v>
      </c>
      <c r="G18" s="29" t="s">
        <v>1570</v>
      </c>
      <c r="H18" s="29" t="s">
        <v>47</v>
      </c>
      <c r="I18" s="29" t="s">
        <v>1650</v>
      </c>
    </row>
    <row r="19" spans="1:9" ht="72.5" x14ac:dyDescent="0.45">
      <c r="A19" s="29">
        <v>15</v>
      </c>
      <c r="B19" s="29" t="s">
        <v>1651</v>
      </c>
      <c r="C19" s="29" t="s">
        <v>1652</v>
      </c>
      <c r="D19" s="29" t="s">
        <v>1653</v>
      </c>
      <c r="E19" s="29" t="s">
        <v>1654</v>
      </c>
      <c r="F19" s="29" t="s">
        <v>1655</v>
      </c>
      <c r="G19" s="29" t="s">
        <v>1595</v>
      </c>
      <c r="H19" s="29" t="s">
        <v>47</v>
      </c>
      <c r="I19" s="29" t="s">
        <v>1656</v>
      </c>
    </row>
    <row r="20" spans="1:9" ht="72.5" x14ac:dyDescent="0.45">
      <c r="A20" s="29">
        <v>16</v>
      </c>
      <c r="B20" s="29" t="s">
        <v>1657</v>
      </c>
      <c r="C20" s="29" t="s">
        <v>1658</v>
      </c>
      <c r="D20" s="29" t="s">
        <v>1659</v>
      </c>
      <c r="E20" s="29" t="s">
        <v>1660</v>
      </c>
      <c r="F20" s="29" t="s">
        <v>1661</v>
      </c>
      <c r="G20" s="29" t="s">
        <v>1595</v>
      </c>
      <c r="H20" s="29" t="s">
        <v>47</v>
      </c>
      <c r="I20" s="29" t="s">
        <v>1662</v>
      </c>
    </row>
    <row r="21" spans="1:9" ht="87" x14ac:dyDescent="0.45">
      <c r="A21" s="29">
        <v>17</v>
      </c>
      <c r="B21" s="29" t="s">
        <v>1663</v>
      </c>
      <c r="C21" s="29" t="s">
        <v>1664</v>
      </c>
      <c r="D21" s="29" t="s">
        <v>1665</v>
      </c>
      <c r="E21" s="29" t="s">
        <v>1666</v>
      </c>
      <c r="F21" s="29" t="s">
        <v>1667</v>
      </c>
      <c r="G21" s="29" t="s">
        <v>1595</v>
      </c>
      <c r="H21" s="29" t="s">
        <v>47</v>
      </c>
      <c r="I21" s="29" t="s">
        <v>1668</v>
      </c>
    </row>
    <row r="22" spans="1:9" ht="72.5" x14ac:dyDescent="0.45">
      <c r="A22" s="29">
        <v>18</v>
      </c>
      <c r="B22" s="29" t="s">
        <v>1669</v>
      </c>
      <c r="C22" s="29" t="s">
        <v>1670</v>
      </c>
      <c r="D22" s="29" t="s">
        <v>1671</v>
      </c>
      <c r="E22" s="29" t="s">
        <v>1672</v>
      </c>
      <c r="F22" s="29" t="s">
        <v>1673</v>
      </c>
      <c r="G22" s="29" t="s">
        <v>1595</v>
      </c>
      <c r="H22" s="29" t="s">
        <v>47</v>
      </c>
      <c r="I22" s="29" t="s">
        <v>1674</v>
      </c>
    </row>
    <row r="23" spans="1:9" ht="87" x14ac:dyDescent="0.45">
      <c r="A23" s="29">
        <v>19</v>
      </c>
      <c r="B23" s="29" t="s">
        <v>1675</v>
      </c>
      <c r="C23" s="29" t="s">
        <v>1676</v>
      </c>
      <c r="D23" s="29" t="s">
        <v>1677</v>
      </c>
      <c r="E23" s="29" t="s">
        <v>1678</v>
      </c>
      <c r="F23" s="29" t="s">
        <v>1679</v>
      </c>
      <c r="G23" s="29" t="s">
        <v>1570</v>
      </c>
      <c r="H23" s="29" t="s">
        <v>47</v>
      </c>
      <c r="I23" s="29" t="s">
        <v>1680</v>
      </c>
    </row>
    <row r="24" spans="1:9" ht="43.5" x14ac:dyDescent="0.45">
      <c r="A24" s="29">
        <v>20</v>
      </c>
      <c r="B24" s="29" t="s">
        <v>1681</v>
      </c>
      <c r="C24" s="29" t="s">
        <v>1605</v>
      </c>
      <c r="D24" s="29" t="s">
        <v>1682</v>
      </c>
      <c r="E24" s="29" t="s">
        <v>1683</v>
      </c>
      <c r="F24" s="29" t="s">
        <v>1684</v>
      </c>
      <c r="G24" s="29" t="s">
        <v>1570</v>
      </c>
      <c r="H24" s="29" t="s">
        <v>47</v>
      </c>
      <c r="I24" s="29" t="s">
        <v>1685</v>
      </c>
    </row>
    <row r="25" spans="1:9" ht="58" x14ac:dyDescent="0.45">
      <c r="A25" s="29">
        <v>21</v>
      </c>
      <c r="B25" s="29" t="s">
        <v>1686</v>
      </c>
      <c r="C25" s="29" t="s">
        <v>1605</v>
      </c>
      <c r="D25" s="29" t="s">
        <v>1687</v>
      </c>
      <c r="E25" s="29" t="s">
        <v>1688</v>
      </c>
      <c r="F25" s="29" t="s">
        <v>1689</v>
      </c>
      <c r="G25" s="29" t="s">
        <v>1595</v>
      </c>
      <c r="H25" s="29" t="s">
        <v>47</v>
      </c>
      <c r="I25" s="29" t="s">
        <v>1690</v>
      </c>
    </row>
    <row r="26" spans="1:9" ht="72.5" x14ac:dyDescent="0.45">
      <c r="A26" s="29">
        <v>22</v>
      </c>
      <c r="B26" s="29" t="s">
        <v>1691</v>
      </c>
      <c r="C26" s="29" t="s">
        <v>1605</v>
      </c>
      <c r="D26" s="29" t="s">
        <v>1692</v>
      </c>
      <c r="E26" s="29" t="s">
        <v>1638</v>
      </c>
      <c r="F26" s="29" t="s">
        <v>1693</v>
      </c>
      <c r="G26" s="29" t="s">
        <v>1570</v>
      </c>
      <c r="H26" s="29" t="s">
        <v>47</v>
      </c>
      <c r="I26" s="29" t="s">
        <v>1694</v>
      </c>
    </row>
    <row r="27" spans="1:9" ht="116" x14ac:dyDescent="0.45">
      <c r="A27" s="29">
        <v>23</v>
      </c>
      <c r="B27" s="29" t="s">
        <v>1695</v>
      </c>
      <c r="C27" s="29" t="s">
        <v>1696</v>
      </c>
      <c r="D27" s="29" t="s">
        <v>1697</v>
      </c>
      <c r="E27" s="29" t="s">
        <v>1698</v>
      </c>
      <c r="F27" s="29" t="s">
        <v>1699</v>
      </c>
      <c r="G27" s="29" t="s">
        <v>1570</v>
      </c>
      <c r="H27" s="29" t="s">
        <v>47</v>
      </c>
      <c r="I27" s="29" t="s">
        <v>1700</v>
      </c>
    </row>
    <row r="28" spans="1:9" ht="87" x14ac:dyDescent="0.45">
      <c r="A28" s="29">
        <v>24</v>
      </c>
      <c r="B28" s="29" t="s">
        <v>1701</v>
      </c>
      <c r="C28" s="29" t="s">
        <v>1702</v>
      </c>
      <c r="D28" s="29" t="s">
        <v>1703</v>
      </c>
      <c r="E28" s="29" t="s">
        <v>1704</v>
      </c>
      <c r="F28" s="29" t="s">
        <v>1705</v>
      </c>
      <c r="G28" s="29" t="s">
        <v>1595</v>
      </c>
      <c r="H28" s="29" t="s">
        <v>47</v>
      </c>
      <c r="I28" s="29" t="s">
        <v>1706</v>
      </c>
    </row>
    <row r="29" spans="1:9" ht="101.5" x14ac:dyDescent="0.45">
      <c r="A29" s="29">
        <v>25</v>
      </c>
      <c r="B29" s="29" t="s">
        <v>1707</v>
      </c>
      <c r="C29" s="29" t="s">
        <v>1708</v>
      </c>
      <c r="D29" s="29" t="s">
        <v>1709</v>
      </c>
      <c r="E29" s="29" t="s">
        <v>1710</v>
      </c>
      <c r="F29" s="29" t="s">
        <v>1711</v>
      </c>
      <c r="G29" s="29" t="s">
        <v>1628</v>
      </c>
      <c r="H29" s="29" t="s">
        <v>47</v>
      </c>
      <c r="I29" s="29" t="s">
        <v>1712</v>
      </c>
    </row>
    <row r="30" spans="1:9" ht="333.5" x14ac:dyDescent="0.45">
      <c r="A30" s="29">
        <v>26</v>
      </c>
      <c r="B30" s="29" t="s">
        <v>1713</v>
      </c>
      <c r="C30" s="29" t="s">
        <v>1714</v>
      </c>
      <c r="D30" s="29" t="s">
        <v>1715</v>
      </c>
      <c r="E30" s="29" t="s">
        <v>1716</v>
      </c>
      <c r="F30" s="29" t="s">
        <v>1717</v>
      </c>
      <c r="G30" s="29" t="s">
        <v>1595</v>
      </c>
      <c r="H30" s="29" t="s">
        <v>1718</v>
      </c>
      <c r="I30" s="29" t="s">
        <v>1719</v>
      </c>
    </row>
    <row r="31" spans="1:9" ht="159.5" x14ac:dyDescent="0.45">
      <c r="A31" s="29">
        <v>27</v>
      </c>
      <c r="B31" s="29" t="s">
        <v>1720</v>
      </c>
      <c r="C31" s="29" t="s">
        <v>1721</v>
      </c>
      <c r="D31" s="29" t="s">
        <v>1722</v>
      </c>
      <c r="E31" s="29" t="s">
        <v>1723</v>
      </c>
      <c r="F31" s="29" t="s">
        <v>1724</v>
      </c>
      <c r="G31" s="29" t="s">
        <v>1570</v>
      </c>
      <c r="H31" s="29" t="s">
        <v>47</v>
      </c>
      <c r="I31" s="29" t="s">
        <v>1725</v>
      </c>
    </row>
    <row r="32" spans="1:9" ht="145" x14ac:dyDescent="0.45">
      <c r="A32" s="29">
        <v>28</v>
      </c>
      <c r="B32" s="29" t="s">
        <v>1726</v>
      </c>
      <c r="C32" s="29" t="s">
        <v>1727</v>
      </c>
      <c r="D32" s="29" t="s">
        <v>1728</v>
      </c>
      <c r="E32" s="29" t="s">
        <v>1729</v>
      </c>
      <c r="F32" s="29" t="s">
        <v>1730</v>
      </c>
      <c r="G32" s="29" t="s">
        <v>1595</v>
      </c>
      <c r="H32" s="29" t="s">
        <v>47</v>
      </c>
      <c r="I32" s="29" t="s">
        <v>1731</v>
      </c>
    </row>
    <row r="33" spans="1:9" ht="203" x14ac:dyDescent="0.45">
      <c r="A33" s="29">
        <v>29</v>
      </c>
      <c r="B33" s="29" t="s">
        <v>1732</v>
      </c>
      <c r="C33" s="29" t="s">
        <v>1733</v>
      </c>
      <c r="D33" s="29" t="s">
        <v>1734</v>
      </c>
      <c r="E33" s="29" t="s">
        <v>1735</v>
      </c>
      <c r="F33" s="29" t="s">
        <v>1736</v>
      </c>
      <c r="G33" s="29" t="s">
        <v>1570</v>
      </c>
      <c r="H33" s="29" t="s">
        <v>47</v>
      </c>
      <c r="I33" s="29" t="s">
        <v>1737</v>
      </c>
    </row>
    <row r="34" spans="1:9" ht="232" x14ac:dyDescent="0.45">
      <c r="A34" s="32" t="s">
        <v>1333</v>
      </c>
      <c r="B34" s="32" t="s">
        <v>1738</v>
      </c>
      <c r="C34" s="32" t="s">
        <v>1721</v>
      </c>
      <c r="D34" s="32" t="s">
        <v>1739</v>
      </c>
      <c r="E34" s="32" t="s">
        <v>1740</v>
      </c>
      <c r="F34" s="32" t="s">
        <v>1741</v>
      </c>
      <c r="G34" s="32" t="s">
        <v>1595</v>
      </c>
      <c r="H34" s="32" t="s">
        <v>47</v>
      </c>
      <c r="I34" s="32" t="s">
        <v>1742</v>
      </c>
    </row>
  </sheetData>
  <mergeCells count="1">
    <mergeCell ref="A2:G2"/>
  </mergeCells>
  <phoneticPr fontId="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00_管理方法</vt:lpstr>
      <vt:lpstr>01_業務内容別の進捗</vt:lpstr>
      <vt:lpstr>02_月別工程管理</vt:lpstr>
      <vt:lpstr>03_確認事項一覧</vt:lpstr>
      <vt:lpstr>04_成果品管理</vt:lpstr>
      <vt:lpstr>05_調査別の状況</vt:lpstr>
      <vt:lpstr>06_資料提供依頼一覧</vt:lpstr>
      <vt:lpstr>07_ペンディング整理</vt:lpstr>
      <vt:lpstr>08_作業順位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若山 諒太</cp:lastModifiedBy>
  <dcterms:created xsi:type="dcterms:W3CDTF">2026-08-20T05:51:48Z</dcterms:created>
  <dcterms:modified xsi:type="dcterms:W3CDTF">2026-10-19T07:00:34Z</dcterms:modified>
</cp:coreProperties>
</file>