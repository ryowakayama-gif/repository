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izuppublic.sharepoint.com/sites/A/Shared Documents/４．業務関連/宮城県　川崎町/"/>
    </mc:Choice>
  </mc:AlternateContent>
  <xr:revisionPtr revIDLastSave="1" documentId="13_ncr:1_{C8337F14-5460-417D-A35E-B87F844D0621}" xr6:coauthVersionLast="47" xr6:coauthVersionMax="47" xr10:uidLastSave="{52F4732B-1052-45DA-8F65-3947B2C37628}"/>
  <bookViews>
    <workbookView xWindow="-90" yWindow="-90" windowWidth="19380" windowHeight="10260" tabRatio="818" firstSheet="39" activeTab="45" xr2:uid="{00000000-000D-0000-FFFF-FFFF00000000}"/>
  </bookViews>
  <sheets>
    <sheet name="様式１" sheetId="1" r:id="rId1"/>
    <sheet name="様式１ 所得段階別" sheetId="2" r:id="rId2"/>
    <sheet name="様式１の２" sheetId="3" r:id="rId3"/>
    <sheet name="様式１の３" sheetId="4" r:id="rId4"/>
    <sheet name="様式１の４" sheetId="5" r:id="rId5"/>
    <sheet name="様式１の５ 総数" sheetId="6" r:id="rId6"/>
    <sheet name="様式１の５ ２割負担" sheetId="7" r:id="rId7"/>
    <sheet name="様式１の５ ３割負担" sheetId="8" r:id="rId8"/>
    <sheet name="様式１の６" sheetId="9" r:id="rId9"/>
    <sheet name="様式１の７（１６）居宅介護" sheetId="10" r:id="rId10"/>
    <sheet name="様式１の７（１７）居宅介護" sheetId="11" r:id="rId11"/>
    <sheet name="様式１の７（１８）地域密着型" sheetId="12" r:id="rId12"/>
    <sheet name="様式１の７（１９）地域密着型（２０）施設介護" sheetId="13" r:id="rId13"/>
    <sheet name="様式２（件数）" sheetId="14" r:id="rId14"/>
    <sheet name="様式２（単位数）" sheetId="15" r:id="rId15"/>
    <sheet name="様式２（費用額）" sheetId="16" r:id="rId16"/>
    <sheet name="様式２（給付費）" sheetId="17" r:id="rId17"/>
    <sheet name="様式２（件数）２割負担" sheetId="18" r:id="rId18"/>
    <sheet name="様式２（単位数）２割負担" sheetId="19" r:id="rId19"/>
    <sheet name="様式２（費用額）２割負担" sheetId="20" r:id="rId20"/>
    <sheet name="様式２（給付費）２割負担" sheetId="21" r:id="rId21"/>
    <sheet name="様式２（件数）３割負担" sheetId="22" r:id="rId22"/>
    <sheet name="様式２（単位数）３割負担" sheetId="23" r:id="rId23"/>
    <sheet name="様式２（費用額）３割負担" sheetId="24" r:id="rId24"/>
    <sheet name="様式２（給付費）３割負担" sheetId="25" r:id="rId25"/>
    <sheet name="様式２の２（件数）" sheetId="26" r:id="rId26"/>
    <sheet name="様式２の２（単位数）" sheetId="27" r:id="rId27"/>
    <sheet name="様式２の２（費用額）" sheetId="28" r:id="rId28"/>
    <sheet name="様式２の２（給付費）" sheetId="29" r:id="rId29"/>
    <sheet name="様式２の３（件数）" sheetId="30" r:id="rId30"/>
    <sheet name="様式２の３（費用額）" sheetId="32" r:id="rId31"/>
    <sheet name="様式２の３（給付費）" sheetId="33" r:id="rId32"/>
    <sheet name="様式２の４（件数）" sheetId="34" r:id="rId33"/>
    <sheet name="様式２の４（単位数）" sheetId="35" r:id="rId34"/>
    <sheet name="様式２の４（費用額）" sheetId="36" r:id="rId35"/>
    <sheet name="様式２の４（給付費）" sheetId="37" r:id="rId36"/>
    <sheet name="様式２の５" sheetId="38" r:id="rId37"/>
    <sheet name="様式２の６" sheetId="39" r:id="rId38"/>
    <sheet name="様式２の７(高額介護)" sheetId="40" r:id="rId39"/>
    <sheet name="様式２の７(高額医療合算)" sheetId="41" r:id="rId40"/>
    <sheet name="様式２の８" sheetId="42" r:id="rId41"/>
    <sheet name="様式３" sheetId="43" r:id="rId42"/>
    <sheet name="様式４" sheetId="44" r:id="rId43"/>
    <sheet name="様式４の２" sheetId="45" r:id="rId44"/>
    <sheet name="様式４の３" sheetId="46" r:id="rId45"/>
    <sheet name="様式２の３（単位数）" sheetId="31" r:id="rId46"/>
    <sheet name="経理状況" sheetId="47" r:id="rId47"/>
  </sheets>
  <definedNames>
    <definedName name="databind" localSheetId="0">様式１!$E$12,様式１!$F$12,様式１!$G$12</definedName>
    <definedName name="databind" localSheetId="1">'様式１ 所得段階別'!$O$13,'様式１ 所得段階別'!$T$13,'様式１ 所得段階別'!$O$16,'様式１ 所得段階別'!$T$16,'様式１ 所得段階別'!$O$19,'様式１ 所得段階別'!$T$19,'様式１ 所得段階別'!$O$22,'様式１ 所得段階別'!$T$22,'様式１ 所得段階別'!$O$25,'様式１ 所得段階別'!$T$25,'様式１ 所得段階別'!$O$28,'様式１ 所得段階別'!$T$28,'様式１ 所得段階別'!$O$29,'様式１ 所得段階別'!$T$29,'様式１ 所得段階別'!$O$30,'様式１ 所得段階別'!$T$30,'様式１ 所得段階別'!$O$31,'様式１ 所得段階別'!$T$31,'様式１ 所得段階別'!$O$34,'様式１ 所得段階別'!$T$34,'様式１ 所得段階別'!$O$35,'様式１ 所得段階別'!$T$35,'様式１ 所得段階別'!$O$36,'様式１ 所得段階別'!$T$36,'様式１ 所得段階別'!$O$37,'様式１ 所得段階別'!$T$37,'様式１ 所得段階別'!$O$40,'様式１ 所得段階別'!$T$40,'様式１ 所得段階別'!$O$41,'様式１ 所得段階別'!$T$41,'様式１ 所得段階別'!$O$42,'様式１ 所得段階別'!$T$42,'様式１ 所得段階別'!$O$43,'様式１ 所得段階別'!$T$43,'様式１ 所得段階別'!$O$46,'様式１ 所得段階別'!$T$46,'様式１ 所得段階別'!$O$47,'様式１ 所得段階別'!$T$47,'様式１ 所得段階別'!$O$48,'様式１ 所得段階別'!$T$48,'様式１ 所得段階別'!$O$49,'様式１ 所得段階別'!$T$49,'様式１ 所得段階別'!$O$52,'様式１ 所得段階別'!$T$52,'様式１ 所得段階別'!$O$53,'様式１ 所得段階別'!$T$53,'様式１ 所得段階別'!$O$54,'様式１ 所得段階別'!$T$54,'様式１ 所得段階別'!$O$55,'様式１ 所得段階別'!$T$55,'様式１ 所得段階別'!$O$58,'様式１ 所得段階別'!$T$58,'様式１ 所得段階別'!$O$59,'様式１ 所得段階別'!$T$59,'様式１ 所得段階別'!$O$60,'様式１ 所得段階別'!$T$60,'様式１ 所得段階別'!$O$61,'様式１ 所得段階別'!$T$61,'様式１ 所得段階別'!$O$64,'様式１ 所得段階別'!$T$64,'様式１ 所得段階別'!$O$65,'様式１ 所得段階別'!$T$65,'様式１ 所得段階別'!$O$66,'様式１ 所得段階別'!$T$66,'様式１ 所得段階別'!$O$67,'様式１ 所得段階別'!$T$67,'様式１ 所得段階別'!$O$70,'様式１ 所得段階別'!$T$70,'様式１ 所得段階別'!$O$71,'様式１ 所得段階別'!$T$71,'様式１ 所得段階別'!$O$72,'様式１ 所得段階別'!$T$72,'様式１ 所得段階別'!$O$73,'様式１ 所得段階別'!$T$73,'様式１ 所得段階別'!$O$74,'様式１ 所得段階別'!$T$74,'様式１ 所得段階別'!$O$75,'様式１ 所得段階別'!$T$75,'様式１ 所得段階別'!$O$76,'様式１ 所得段階別'!$T$76,'様式１ 所得段階別'!$O$77,'様式１ 所得段階別'!$T$77,'様式１ 所得段階別'!$O$78,'様式１ 所得段階別'!$T$78,'様式１ 所得段階別'!$O$79,'様式１ 所得段階別'!$T$79,'様式１ 所得段階別'!$O$80,'様式１ 所得段階別'!$T$80,'様式１ 所得段階別'!$O$81,'様式１ 所得段階別'!$T$81,'様式１ 所得段階別'!$O$82,'様式１ 所得段階別'!$T$82,'様式１ 所得段階別'!$O$83,'様式１ 所得段階別'!$T$83,'様式１ 所得段階別'!$T$86,'様式１ 所得段階別'!$C$86</definedName>
    <definedName name="databind" localSheetId="40">様式２の８!$D$12,様式２の８!$E$12,様式２の８!$F$12,様式２の８!$G$12,様式２の８!$H$12,様式２の８!$I$12,様式２の８!$J$12,様式２の８!$K$12,様式２の８!$L$12,様式２の８!$M$12,様式２の８!$N$12,様式２の８!$D$13,様式２の８!$E$13,様式２の８!$F$13,様式２の８!$G$13,様式２の８!$H$13,様式２の８!$I$13,様式２の８!$J$13,様式２の８!$K$13,様式２の８!$L$13,様式２の８!$M$13,様式２の８!$N$13,様式２の８!$D$14,様式２の８!$E$14,様式２の８!$F$14,様式２の８!$G$14,様式２の８!$H$14,様式２の８!$I$14,様式２の８!$J$14,様式２の８!$K$14,様式２の８!$L$14,様式２の８!$M$14,様式２の８!$N$14,様式２の８!$D$15,様式２の８!$E$15,様式２の８!$F$15,様式２の８!$G$15,様式２の８!$H$15,様式２の８!$I$15,様式２の８!$J$15,様式２の８!$K$15,様式２の８!$L$15,様式２の８!$M$15,様式２の８!$N$15,様式２の８!$D$16,様式２の８!$E$16,様式２の８!$F$16,様式２の８!$G$16,様式２の８!$H$16,様式２の８!$I$16,様式２の８!$J$16,様式２の８!$K$16,様式２の８!$L$16,様式２の８!$M$16,様式２の８!$N$16,様式２の８!$D$18,様式２の８!$E$18,様式２の８!$F$18,様式２の８!$G$18,様式２の８!$H$18,様式２の８!$I$18,様式２の８!$J$18,様式２の８!$K$18,様式２の８!$L$18,様式２の８!$M$18,様式２の８!$N$18,様式２の８!$D$23,様式２の８!$E$23,様式２の８!$F$23,様式２の８!$G$23,様式２の８!$H$23,様式２の８!$I$23,様式２の８!$J$23,様式２の８!$K$23,様式２の８!$L$23,様式２の８!$M$23,様式２の８!$N$23,様式２の８!$D$24,様式２の８!$E$24,様式２の８!$F$24,様式２の８!$G$24,様式２の８!$H$24,様式２の８!$I$24,様式２の８!$J$24,様式２の８!$K$24,様式２の８!$L$24,様式２の８!$M$24,様式２の８!$N$24,様式２の８!$D$25,様式２の８!$E$25,様式２の８!$F$25,様式２の８!$G$25,様式２の８!$H$25,様式２の８!$I$25,様式２の８!$J$25,様式２の８!$K$25,様式２の８!$L$25,様式２の８!$M$25,様式２の８!$N$25,様式２の８!$D$26,様式２の８!$E$26,様式２の８!$F$26,様式２の８!$G$26,様式２の８!$H$26,様式２の８!$I$26,様式２の８!$J$26,様式２の８!$K$26,様式２の８!$L$26,様式２の８!$M$26,様式２の８!$N$26,様式２の８!$D$28,様式２の８!$E$28,様式２の８!$F$28,様式２の８!$G$28,様式２の８!$H$28,様式２の８!$I$28,様式２の８!$J$28,様式２の８!$K$28,様式２の８!$L$28,様式２の８!$M$28,様式２の８!$N$28,様式２の８!$D$29,様式２の８!$E$29,様式２の８!$F$29,様式２の８!$G$29,様式２の８!$H$29,様式２の８!$I$29,様式２の８!$J$29,様式２の８!$K$29,様式２の８!$L$29,様式２の８!$M$29,様式２の８!$N$29,様式２の８!$D$34,様式２の８!$E$34,様式２の８!$F$34,様式２の８!$G$34,様式２の８!$H$34,様式２の８!$I$34,様式２の８!$J$34,様式２の８!$K$34,様式２の８!$L$34,様式２の８!$M$34,様式２の８!$N$34,様式２の８!$D$35,様式２の８!$E$35,様式２の８!$F$35,様式２の８!$G$35,様式２の８!$H$35,様式２の８!$I$35,様式２の８!$J$35,様式２の８!$K$35,様式２の８!$L$35,様式２の８!$M$35,様式２の８!$N$35,様式２の８!$D$36,様式２の８!$E$36,様式２の８!$F$36,様式２の８!$G$36,様式２の８!$H$36,様式２の８!$I$36,様式２の８!$J$36,様式２の８!$K$36,様式２の８!$L$36,様式２の８!$M$36,様式２の８!$N$36,様式２の８!$D$37,様式２の８!$E$37,様式２の８!$F$37,様式２の８!$G$37,様式２の８!$H$37,様式２の８!$I$37,様式２の８!$J$37,様式２の８!$K$37,様式２の８!$L$37,様式２の８!$M$37,様式２の８!$N$37,様式２の８!$D$39,様式２の８!$E$39,様式２の８!$F$39,様式２の８!$G$39,様式２の８!$H$39,様式２の８!$I$39,様式２の８!$J$39,様式２の８!$K$39,様式２の８!$L$39,様式２の８!$M$39,様式２の８!$N$39,様式２の８!$D$40,様式２の８!$E$40,様式２の８!$F$40,様式２の８!$G$40,様式２の８!$H$40,様式２の８!$I$40,様式２の８!$J$40,様式２の８!$K$40,様式２の８!$L$40,様式２の８!$M$40,様式２の８!$N$40,様式２の８!$D$27,様式２の８!$E$27,様式２の８!$F$27,様式２の８!$G$27,様式２の８!$H$27,様式２の８!$I$27,様式２の８!$J$27,様式２の８!$K$27,様式２の８!$L$27,様式２の８!$M$27,様式２の８!$N$27,様式２の８!$D$38,様式２の８!$E$38,様式２の８!$F$38,様式２の８!$G$38,様式２の８!$H$38,様式２の８!$I$38,様式２の８!$J$38,様式２の８!$K$38,様式２の８!$L$38,様式２の８!$M$38,様式２の８!$N$38,様式２の８!$D$17,様式２の８!$E$17,様式２の８!$F$17,様式２の８!$G$17,様式２の８!$H$17,様式２の８!$I$17,様式２の８!$J$17,様式２の８!$K$17,様式２の８!$L$17,様式２の８!$M$17,様式２の８!$N$17</definedName>
    <definedName name="databind" localSheetId="41">様式３!$F$10,様式３!$G$10,様式３!$H$10,様式３!$K$10,様式３!$F$11,様式３!$G$11,様式３!$H$11,様式３!$I$11,様式３!$J$11,様式３!$K$11,様式３!$F$12,様式３!$G$12,様式３!$H$12,様式３!$I$12,様式３!$J$12,様式３!$K$12,様式３!$F$13,様式３!$G$13,様式３!$H$13,様式３!$I$13,様式３!$J$13,様式３!$K$13,様式３!$F$14,様式３!$G$14,様式３!$H$14,様式３!$K$14,様式３!$F$15,様式３!$G$15,様式３!$H$15,様式３!$I$15,様式３!$J$15,様式３!$K$15,様式３!$F$16,様式３!$G$16,様式３!$H$16,様式３!$I$16,様式３!$J$16,様式３!$K$16,様式３!$F$21,様式３!$G$21,様式３!$H$21,様式３!$I$21,様式３!$J$21,様式３!$F$22,様式３!$G$22,様式３!$H$22,様式３!$I$22,様式３!$J$22,様式３!$F$23,様式３!$G$23,様式３!$H$23,様式３!$I$23,様式３!$J$23,様式３!$F$24,様式３!$G$24,様式３!$H$24,様式３!$I$24,様式３!$J$24,様式３!$F$25,様式３!$G$25,様式３!$H$25,様式３!$I$25,様式３!$J$25,様式３!$J$26,様式３!$I$26,様式３!$H$26,様式３!$G$26,様式３!$F$26,様式３!$F$27,様式３!$G$27,様式３!$H$27,様式３!$I$27,様式３!$J$27</definedName>
    <definedName name="databind" localSheetId="42">様式４!$G$11,様式４!$K$11,様式４!$G$12,様式４!$K$12,様式４!$G$13,様式４!$K$13,様式４!$G$14,様式４!$K$14,様式４!$G$15,様式４!$K$15,様式４!$G$16,様式４!$K$16,様式４!$G$17,様式４!$G$18,様式４!$G$19,様式４!$G$20,様式４!$G$22,様式４!$G$23,様式４!$G$24,様式４!$G$25,様式４!$G$26,様式４!$G$27,様式４!$G$28,様式４!$K$17,様式４!$K$18,様式４!$K$19,様式４!$K$20,様式４!$K$22,様式４!$K$23,様式４!$K$25,様式４!$K$26,様式４!$K$27,様式４!$K$28,様式４!$K$29,様式４!$G$29,様式４!$K$30,様式４!$K$31,様式４!$G$30,様式４!$G$31,様式４!$K$32,様式４!$K$33,様式４!$K$34,様式４!$G$32,様式４!$G$33,様式４!$G$34,様式４!$G$35,様式４!$G$36,様式４!$G$37,様式４!$G$38,様式４!$G$39,様式４!$G$40,様式４!$G$41,様式４!$G$42,様式４!$G$43,様式４!$G$44,様式４!$G$45,様式４!$K$45,様式４!$G$47,様式４!$G$48,様式４!$G$21,様式４!$K$21,様式４!$G$50,様式４!$K$24</definedName>
    <definedName name="databind" localSheetId="43">様式４の２!$G$11,様式４の２!$G$12,様式４の２!$G$13,様式４の２!$G$14,様式４の２!$G$15,様式４の２!$G$16,様式４の２!$K$11,様式４の２!$K$12,様式４の２!$K$13,様式４の２!$K$14,様式４の２!$K$15,様式４の２!$K$16,様式４の２!$G$17,様式４の２!$G$18,様式４の２!$G$19,様式４の２!$G$20,様式４の２!$G$21,様式４の２!$G$22,様式４の２!$G$23,様式４の２!$K$17,様式４の２!$K$18,様式４の２!$K$19,様式４の２!$K$20,様式４の２!$K$21,様式４の２!$K$22,様式４の２!$K$23,様式４の２!$G$24,様式４の２!$K$24,様式４の２!$G$25,様式４の２!$G$26,様式４の２!$G$27,様式４の２!$G$28,様式４の２!$G$29,様式４の２!$G$30,様式４の２!$K$30,様式４の２!$G$32,様式４の２!$G$33</definedName>
    <definedName name="databind" localSheetId="44">様式４の３!$M$12,様式４の３!$M$13,様式４の３!$M$14,様式４の３!$M$15,様式４の３!$M$16,様式４の３!$M$17,様式４の３!$M$18,様式４の３!$M$19,様式４の３!$M$20,様式４の３!$S$12,様式４の３!$S$13,様式４の３!$S$14,様式４の３!$S$15,様式４の３!$S$16,様式４の３!$S$17,様式４の３!$S$18,様式４の３!$S$19,様式４の３!$S$20,様式４の３!$M$24,様式４の３!$M$25,様式４の３!$M$26,様式４の３!$M$27,様式４の３!$M$28,様式４の３!$M$29,様式４の３!$M$30,様式４の３!$M$31,様式４の３!$M$32,様式４の３!$S$24,様式４の３!$S$25,様式４の３!$S$26,様式４の３!$S$27,様式４の３!$S$28,様式４の３!$S$29,様式４の３!$S$30,様式４の３!$S$31,様式４の３!$S$32,様式４の３!$H$35,様式４の３!$H$37,様式４の３!$H$39,様式４の３!$H$41</definedName>
    <definedName name="_xlnm.Print_Area" localSheetId="3">様式１の３!$A$1:$Q$42</definedName>
    <definedName name="_xlnm.Print_Area" localSheetId="9">'様式１の７（１６）居宅介護'!$A$1:$N$62</definedName>
    <definedName name="_xlnm.Print_Area" localSheetId="10">'様式１の７（１７）居宅介護'!$A$1:$O$52</definedName>
    <definedName name="styleId" localSheetId="46">"H9999"</definedName>
    <definedName name="styleId" localSheetId="0">"H1100"</definedName>
    <definedName name="styleId" localSheetId="1">"H1102"</definedName>
    <definedName name="styleId" localSheetId="2">"H1120"</definedName>
    <definedName name="styleId" localSheetId="3">"H1130"</definedName>
    <definedName name="styleId" localSheetId="4">"H1140"</definedName>
    <definedName name="styleId" localSheetId="6">"H1152"</definedName>
    <definedName name="styleId" localSheetId="7">"H1153"</definedName>
    <definedName name="styleId" localSheetId="5">"H1151"</definedName>
    <definedName name="styleId" localSheetId="8">"H1161"</definedName>
    <definedName name="styleId" localSheetId="9">"H1177"</definedName>
    <definedName name="styleId" localSheetId="10">"H1178"</definedName>
    <definedName name="styleId" localSheetId="11">"H1179"</definedName>
    <definedName name="styleId" localSheetId="12">"H1170"</definedName>
    <definedName name="styleId" localSheetId="16">"H1214"</definedName>
    <definedName name="styleId" localSheetId="20">"H1204"</definedName>
    <definedName name="styleId" localSheetId="24">"H1294"</definedName>
    <definedName name="styleId" localSheetId="13">"H1211"</definedName>
    <definedName name="styleId" localSheetId="17">"H1201"</definedName>
    <definedName name="styleId" localSheetId="21">"H1291"</definedName>
    <definedName name="styleId" localSheetId="14">"H1212"</definedName>
    <definedName name="styleId" localSheetId="18">"H1202"</definedName>
    <definedName name="styleId" localSheetId="22">"H1292"</definedName>
    <definedName name="styleId" localSheetId="15">"H1213"</definedName>
    <definedName name="styleId" localSheetId="19">"H1203"</definedName>
    <definedName name="styleId" localSheetId="23">"H1293"</definedName>
    <definedName name="styleId" localSheetId="28">"H1224"</definedName>
    <definedName name="styleId" localSheetId="25">"H1221"</definedName>
    <definedName name="styleId" localSheetId="26">"H1222"</definedName>
    <definedName name="styleId" localSheetId="27">"H1223"</definedName>
    <definedName name="styleId" localSheetId="31">"H1234"</definedName>
    <definedName name="styleId" localSheetId="29">"H1231"</definedName>
    <definedName name="styleId" localSheetId="45">"H1232"</definedName>
    <definedName name="styleId" localSheetId="30">"H1233"</definedName>
    <definedName name="styleId" localSheetId="35">"H1244"</definedName>
    <definedName name="styleId" localSheetId="32">"H1241"</definedName>
    <definedName name="styleId" localSheetId="33">"H1242"</definedName>
    <definedName name="styleId" localSheetId="34">"H1243"</definedName>
    <definedName name="styleId" localSheetId="36">"H1251"</definedName>
    <definedName name="styleId" localSheetId="37">"H1261"</definedName>
    <definedName name="styleId" localSheetId="39">"H1271"</definedName>
    <definedName name="styleId" localSheetId="38">"H1270"</definedName>
    <definedName name="styleId" localSheetId="40">"H1280"</definedName>
    <definedName name="styleId" localSheetId="41">"H1300"</definedName>
    <definedName name="styleId" localSheetId="42">"H1401"</definedName>
    <definedName name="styleId" localSheetId="43">"H1402"</definedName>
    <definedName name="styleId" localSheetId="44">"H1403"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2" i="46" l="1"/>
  <c r="M32" i="46"/>
  <c r="S20" i="46"/>
  <c r="M20" i="46"/>
  <c r="H41" i="46" s="1"/>
  <c r="K30" i="45"/>
  <c r="G30" i="45"/>
  <c r="G32" i="45" s="1"/>
  <c r="K45" i="44"/>
  <c r="G45" i="44"/>
  <c r="G47" i="44" s="1"/>
  <c r="I27" i="43"/>
  <c r="H27" i="43"/>
  <c r="G27" i="43"/>
  <c r="F27" i="43"/>
  <c r="J27" i="43" s="1"/>
  <c r="J26" i="43"/>
  <c r="J25" i="43"/>
  <c r="J24" i="43"/>
  <c r="J23" i="43"/>
  <c r="J22" i="43"/>
  <c r="J21" i="43"/>
  <c r="K15" i="43"/>
  <c r="I15" i="43"/>
  <c r="I16" i="43" s="1"/>
  <c r="H15" i="43"/>
  <c r="G15" i="43"/>
  <c r="F15" i="43"/>
  <c r="K14" i="43"/>
  <c r="K16" i="43" s="1"/>
  <c r="H14" i="43"/>
  <c r="H16" i="43" s="1"/>
  <c r="G14" i="43"/>
  <c r="G16" i="43" s="1"/>
  <c r="F14" i="43"/>
  <c r="J13" i="43"/>
  <c r="K12" i="43"/>
  <c r="I12" i="43"/>
  <c r="H12" i="43"/>
  <c r="G12" i="43"/>
  <c r="F12" i="43"/>
  <c r="J11" i="43"/>
  <c r="L40" i="42"/>
  <c r="K40" i="42"/>
  <c r="J40" i="42"/>
  <c r="I40" i="42"/>
  <c r="H40" i="42"/>
  <c r="M40" i="42" s="1"/>
  <c r="E40" i="42"/>
  <c r="D40" i="42"/>
  <c r="F40" i="42" s="1"/>
  <c r="M39" i="42"/>
  <c r="F39" i="42"/>
  <c r="N39" i="42" s="1"/>
  <c r="M38" i="42"/>
  <c r="F38" i="42"/>
  <c r="M37" i="42"/>
  <c r="F37" i="42"/>
  <c r="N37" i="42" s="1"/>
  <c r="M36" i="42"/>
  <c r="F36" i="42"/>
  <c r="N36" i="42" s="1"/>
  <c r="M35" i="42"/>
  <c r="F35" i="42"/>
  <c r="N35" i="42" s="1"/>
  <c r="M34" i="42"/>
  <c r="F34" i="42"/>
  <c r="L29" i="42"/>
  <c r="K29" i="42"/>
  <c r="J29" i="42"/>
  <c r="I29" i="42"/>
  <c r="H29" i="42"/>
  <c r="M29" i="42" s="1"/>
  <c r="E29" i="42"/>
  <c r="D29" i="42"/>
  <c r="F29" i="42" s="1"/>
  <c r="M28" i="42"/>
  <c r="F28" i="42"/>
  <c r="N28" i="42" s="1"/>
  <c r="M27" i="42"/>
  <c r="F27" i="42"/>
  <c r="M26" i="42"/>
  <c r="F26" i="42"/>
  <c r="N26" i="42" s="1"/>
  <c r="M25" i="42"/>
  <c r="F25" i="42"/>
  <c r="N25" i="42" s="1"/>
  <c r="M24" i="42"/>
  <c r="F24" i="42"/>
  <c r="N24" i="42" s="1"/>
  <c r="M23" i="42"/>
  <c r="F23" i="42"/>
  <c r="L18" i="42"/>
  <c r="K18" i="42"/>
  <c r="J18" i="42"/>
  <c r="I18" i="42"/>
  <c r="H18" i="42"/>
  <c r="M18" i="42" s="1"/>
  <c r="E18" i="42"/>
  <c r="D18" i="42"/>
  <c r="F18" i="42" s="1"/>
  <c r="N18" i="42" s="1"/>
  <c r="M17" i="42"/>
  <c r="F17" i="42"/>
  <c r="N17" i="42" s="1"/>
  <c r="M16" i="42"/>
  <c r="F16" i="42"/>
  <c r="M15" i="42"/>
  <c r="F15" i="42"/>
  <c r="N15" i="42" s="1"/>
  <c r="M14" i="42"/>
  <c r="F14" i="42"/>
  <c r="N14" i="42" s="1"/>
  <c r="M13" i="42"/>
  <c r="F13" i="42"/>
  <c r="N13" i="42" s="1"/>
  <c r="M12" i="42"/>
  <c r="F12" i="42"/>
  <c r="T86" i="2"/>
  <c r="H22" i="1"/>
  <c r="G12" i="1"/>
  <c r="N12" i="42" l="1"/>
  <c r="N16" i="42"/>
  <c r="N23" i="42"/>
  <c r="N27" i="42"/>
  <c r="N34" i="42"/>
  <c r="N38" i="42"/>
  <c r="J15" i="43"/>
  <c r="J16" i="43" s="1"/>
  <c r="J12" i="43"/>
  <c r="F16" i="43"/>
  <c r="N40" i="42"/>
  <c r="N29"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00000000-0006-0000-0200-000001000000}">
      <text>
        <r>
          <rPr>
            <sz val="11"/>
            <color indexed="81"/>
            <rFont val="Arial"/>
            <family val="2"/>
          </rPr>
          <t>介護老人福祉施設 申請件数[D12]は、居住費の認定件数 三段階の和[E14]+[E16]+[E18]+[E20]以上でなければなりません｡</t>
        </r>
      </text>
    </comment>
    <comment ref="L12" authorId="0" shapeId="0" xr:uid="{00000000-0006-0000-0200-000006000000}">
      <text>
        <r>
          <rPr>
            <sz val="11"/>
            <color indexed="81"/>
            <rFont val="Arial"/>
            <family val="2"/>
          </rPr>
          <t>地域密着型入居者生活介護 申請件数[L12]は、居住費の認定件数 三段階の和[M14]+[M16]+[M18]+[M20]以上でなければなりません｡</t>
        </r>
      </text>
    </comment>
    <comment ref="E14" authorId="0" shapeId="0" xr:uid="{00000000-0006-0000-0200-000002000000}">
      <text>
        <r>
          <rPr>
            <sz val="11"/>
            <color indexed="81"/>
            <rFont val="Arial"/>
            <family val="2"/>
          </rPr>
          <t>介護老人福祉施設 申請件数[D12]は、居住費の認定件数 三段階の和[E14]+[E16]+[E18]+[E20]以上でなければなりません｡</t>
        </r>
      </text>
    </comment>
    <comment ref="M14" authorId="0" shapeId="0" xr:uid="{00000000-0006-0000-0200-000007000000}">
      <text>
        <r>
          <rPr>
            <sz val="11"/>
            <color indexed="81"/>
            <rFont val="Arial"/>
            <family val="2"/>
          </rPr>
          <t>地域密着型入居者生活介護 申請件数[L12]は、居住費の認定件数 三段階の和[M14]+[M16]+[M18]+[M20]以上でなければなりません｡</t>
        </r>
      </text>
    </comment>
    <comment ref="E16" authorId="0" shapeId="0" xr:uid="{00000000-0006-0000-0200-000003000000}">
      <text>
        <r>
          <rPr>
            <sz val="11"/>
            <color indexed="81"/>
            <rFont val="Arial"/>
            <family val="2"/>
          </rPr>
          <t>介護老人福祉施設 申請件数[D12]は、居住費の認定件数 三段階の和[E14]+[E16]+[E18]+[E20]以上でなければなりません｡</t>
        </r>
      </text>
    </comment>
    <comment ref="M16" authorId="0" shapeId="0" xr:uid="{00000000-0006-0000-0200-000008000000}">
      <text>
        <r>
          <rPr>
            <sz val="11"/>
            <color indexed="81"/>
            <rFont val="Arial"/>
            <family val="2"/>
          </rPr>
          <t>地域密着型入居者生活介護 申請件数[L12]は、居住費の認定件数 三段階の和[M14]+[M16]+[M18]+[M20]以上でなければなりません｡</t>
        </r>
      </text>
    </comment>
    <comment ref="E18" authorId="0" shapeId="0" xr:uid="{00000000-0006-0000-0200-000004000000}">
      <text>
        <r>
          <rPr>
            <sz val="11"/>
            <color indexed="81"/>
            <rFont val="Arial"/>
            <family val="2"/>
          </rPr>
          <t>介護老人福祉施設 申請件数[D12]は、居住費の認定件数 三段階の和[E14]+[E16]+[E18]+[E20]以上でなければなりません｡</t>
        </r>
      </text>
    </comment>
    <comment ref="M18" authorId="0" shapeId="0" xr:uid="{00000000-0006-0000-0200-000009000000}">
      <text>
        <r>
          <rPr>
            <sz val="11"/>
            <color indexed="81"/>
            <rFont val="Arial"/>
            <family val="2"/>
          </rPr>
          <t>地域密着型入居者生活介護 申請件数[L12]は、居住費の認定件数 三段階の和[M14]+[M16]+[M18]+[M20]以上でなければなりません｡</t>
        </r>
      </text>
    </comment>
    <comment ref="E20" authorId="0" shapeId="0" xr:uid="{00000000-0006-0000-0200-000005000000}">
      <text>
        <r>
          <rPr>
            <sz val="11"/>
            <color indexed="81"/>
            <rFont val="Arial"/>
            <family val="2"/>
          </rPr>
          <t>介護老人福祉施設 申請件数[D12]は、居住費の認定件数 三段階の和[E14]+[E16]+[E18]+[E20]以上でなければなりません｡</t>
        </r>
      </text>
    </comment>
    <comment ref="M20" authorId="0" shapeId="0" xr:uid="{00000000-0006-0000-0200-00000A000000}">
      <text>
        <r>
          <rPr>
            <sz val="11"/>
            <color indexed="81"/>
            <rFont val="Arial"/>
            <family val="2"/>
          </rPr>
          <t>地域密着型入居者生活介護 申請件数[L12]は、居住費の認定件数 三段階の和[M14]+[M16]+[M18]+[M20]以上でなければなりません｡</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0" authorId="0" shapeId="0" xr:uid="{00000000-0006-0000-0800-000001000000}">
      <text>
        <r>
          <rPr>
            <sz val="11"/>
            <color indexed="81"/>
            <rFont val="Arial"/>
            <family val="2"/>
          </rPr>
          <t>要支援・要介護度別の増減が、前年比30％以上です。入力数値に誤りがないか確認してください。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1" authorId="0" shapeId="0" xr:uid="{00000000-0006-0000-2B00-000001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16" authorId="0" shapeId="0" xr:uid="{00000000-0006-0000-2B00-000002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17" authorId="0" shapeId="0" xr:uid="{00000000-0006-0000-2B00-000003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18" authorId="0" shapeId="0" xr:uid="{00000000-0006-0000-2B00-00000700000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23" authorId="0" shapeId="0" xr:uid="{00000000-0006-0000-2B00-000004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25" authorId="0" shapeId="0" xr:uid="{00000000-0006-0000-2B00-000005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27" authorId="0" shapeId="0" xr:uid="{00000000-0006-0000-2B00-00000800000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33" authorId="0" shapeId="0" xr:uid="{00000000-0006-0000-2B00-000006000000}">
      <text>
        <r>
          <rPr>
            <sz val="11"/>
            <color indexed="81"/>
            <rFont val="Arial"/>
            <family val="2"/>
          </rPr>
          <t>保険事業勘定の「介護給付費交付金」÷「介護保険料+一般会計繰入金+介護給付費負担金+調整交付金+介護給付費交付金+都道府県負担金」は、制度上「27％以下」となります。各数値に誤りがない確認してください。
保険事業勘定の「一般会計繰入金」÷「介護保険料+一般会計繰入金+介護給付費負担金+調整交付金+介護給付費交付金+都道府県負担金」は、制度上「12.5％以下」となります。各数値に誤りがない確認してください。</t>
        </r>
      </text>
    </comment>
    <comment ref="G37" authorId="0" shapeId="0" xr:uid="{00000000-0006-0000-2B00-00000900000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List>
</comments>
</file>

<file path=xl/sharedStrings.xml><?xml version="1.0" encoding="utf-8"?>
<sst xmlns="http://schemas.openxmlformats.org/spreadsheetml/2006/main" count="3206" uniqueCount="486">
  <si>
    <t>（様式１）</t>
  </si>
  <si>
    <t>介護保険事業状況報告</t>
  </si>
  <si>
    <t>（令和6年度）</t>
  </si>
  <si>
    <t>保険者番号：</t>
  </si>
  <si>
    <t>04324</t>
  </si>
  <si>
    <t>保険者名：</t>
  </si>
  <si>
    <t>川崎町</t>
  </si>
  <si>
    <t xml:space="preserve"> </t>
  </si>
  <si>
    <t>１．一般状況</t>
  </si>
  <si>
    <t>(1)第１号被保険者のいる世帯数</t>
  </si>
  <si>
    <t>前年度末現在</t>
  </si>
  <si>
    <t>当年度中増</t>
  </si>
  <si>
    <t>当年度中減</t>
  </si>
  <si>
    <t>当年度末現在</t>
  </si>
  <si>
    <t>計</t>
  </si>
  <si>
    <t>(2) 第１号被保険者数</t>
  </si>
  <si>
    <t>年齢区分</t>
  </si>
  <si>
    <t>65歳以上75歳未満</t>
  </si>
  <si>
    <t>75歳以上85歳未満</t>
  </si>
  <si>
    <t>85歳以上</t>
  </si>
  <si>
    <t>(再掲)外国人被保険者</t>
  </si>
  <si>
    <t>(再掲)住所地特例被保険者</t>
  </si>
  <si>
    <t>(3) 第１号被保険者増減内訳</t>
  </si>
  <si>
    <t>転入</t>
  </si>
  <si>
    <t>職権復活</t>
  </si>
  <si>
    <t>65歳到達</t>
  </si>
  <si>
    <t>適用除外_x000D_
非該当</t>
  </si>
  <si>
    <t>その他</t>
  </si>
  <si>
    <t>転出</t>
  </si>
  <si>
    <t>職権喪失</t>
  </si>
  <si>
    <t>死亡</t>
  </si>
  <si>
    <t>適用除外_x000D_
該当</t>
  </si>
  <si>
    <t>保険者番号:</t>
  </si>
  <si>
    <t>保険者名:</t>
  </si>
  <si>
    <t>１．一般状況（続き）</t>
  </si>
  <si>
    <t>(4) 所得段階別第１号被保険者数（当年度末現在）</t>
  </si>
  <si>
    <t>ア　第１段階　</t>
  </si>
  <si>
    <t>（市町村民税世帯非課税者で、公的年金等収入金額と合計所得金額の合計が80万円以下の者、生活保護被保護者等）</t>
  </si>
  <si>
    <t>所得段階</t>
  </si>
  <si>
    <t>標準割合_x000D_
（令38条1項各号）</t>
  </si>
  <si>
    <t>保険者の定める_x000D_
割合(千分率)</t>
  </si>
  <si>
    <t>年度末現在_x000D_
被保険者数</t>
  </si>
  <si>
    <t>第１段階</t>
  </si>
  <si>
    <t>十分の四・五五</t>
  </si>
  <si>
    <t>(0.455)</t>
  </si>
  <si>
    <t>/1000</t>
  </si>
  <si>
    <t>イ　第２段階　</t>
  </si>
  <si>
    <t>（市町村民税世帯非課税者で、公的年金等収入金額と合計所得金額の合計が80万円超120万円以下の者等）</t>
  </si>
  <si>
    <t>第２段階</t>
  </si>
  <si>
    <t>十分の六・八五</t>
  </si>
  <si>
    <t>(0.685)</t>
  </si>
  <si>
    <t>ウ　第３段階</t>
  </si>
  <si>
    <t>（市町村民税世帯非課税者で、公的年金等収入金額と合計所得金額の合計が120万円超の者等）</t>
  </si>
  <si>
    <t>第３段階</t>
  </si>
  <si>
    <t>十分の六・九</t>
  </si>
  <si>
    <t>(0.69）</t>
  </si>
  <si>
    <t>エ　第４段階　</t>
  </si>
  <si>
    <t>（市町村民税本人非課税者で、公的年金等収入金額と合計所得金額の合計が80万円以下の者等）</t>
  </si>
  <si>
    <t>第４段階</t>
  </si>
  <si>
    <t>十分の九</t>
  </si>
  <si>
    <t>(0.90)</t>
  </si>
  <si>
    <t>オ　第５段階</t>
  </si>
  <si>
    <t>（市町村民税本人非課税者で、公的年金等収入金額と合計所得金額の合計が80万円超の者等）</t>
  </si>
  <si>
    <t>第５段階</t>
  </si>
  <si>
    <t>十分の十</t>
  </si>
  <si>
    <t>(1.00)</t>
  </si>
  <si>
    <t>カ　第６段階</t>
  </si>
  <si>
    <t>（市町村民税課税者で、合計所得金額が120万円未満の者等）</t>
  </si>
  <si>
    <t>第６段階</t>
  </si>
  <si>
    <t>十分の十二</t>
  </si>
  <si>
    <t>（1.20）</t>
  </si>
  <si>
    <t>（多段階設定）</t>
  </si>
  <si>
    <t>キ　第７段階</t>
  </si>
  <si>
    <t>（市町村民税課税者で、合計所得金額が120万円以上210万円未満の者等）</t>
  </si>
  <si>
    <t>第７段階</t>
  </si>
  <si>
    <t>十分の十三</t>
  </si>
  <si>
    <t>（1.30）</t>
  </si>
  <si>
    <t>ク　第８段階</t>
  </si>
  <si>
    <t>（市町村民税課税者で、合計所得金額が210万円以上320万円未満の者等）</t>
  </si>
  <si>
    <t>第８段階</t>
  </si>
  <si>
    <t>十分の十五</t>
  </si>
  <si>
    <t>（1.50）</t>
  </si>
  <si>
    <t>ケ　第９段階</t>
  </si>
  <si>
    <t>（市町村民税課税者で、合計所得金額が320万円以上420万円未満の者等）</t>
  </si>
  <si>
    <t>第９段階</t>
  </si>
  <si>
    <t>十分の十七</t>
  </si>
  <si>
    <t>（1.70）</t>
  </si>
  <si>
    <t>コ　第10段階</t>
  </si>
  <si>
    <t>（市町村民税課税者で、合計所得金額が420万円以上520万円未満の者等）</t>
  </si>
  <si>
    <t>第10段階</t>
  </si>
  <si>
    <t>十分の十九</t>
  </si>
  <si>
    <t>（1.90）</t>
  </si>
  <si>
    <t>サ　第11段階</t>
  </si>
  <si>
    <t>（市町村民税課税者で、合計所得金額が520万円以上620万円未満の者等）</t>
  </si>
  <si>
    <t>第11段階</t>
  </si>
  <si>
    <t>十分の二十一</t>
  </si>
  <si>
    <t>（2.10）</t>
  </si>
  <si>
    <t>シ　第12段階</t>
  </si>
  <si>
    <t>（市町村民税課税者で、合計所得金額が620万円以上720万円未満の者等）</t>
  </si>
  <si>
    <t>第12段階</t>
  </si>
  <si>
    <t>十分の二十三</t>
  </si>
  <si>
    <t>（2.30）</t>
  </si>
  <si>
    <t>ス　第13段階</t>
  </si>
  <si>
    <t>（市町村民税課税者で、合計所得金額が720万円以上の者等）</t>
  </si>
  <si>
    <t>第13段階</t>
  </si>
  <si>
    <t>十分の二十四</t>
  </si>
  <si>
    <t>（2.40）</t>
  </si>
  <si>
    <t>セ　標準月額保険料</t>
  </si>
  <si>
    <t>円／月</t>
  </si>
  <si>
    <t>合計</t>
  </si>
  <si>
    <t>（様式１の２）</t>
  </si>
  <si>
    <t>１．一般状況(続き)</t>
  </si>
  <si>
    <t>(5) 食費・居住費に係る負担限度額認定(総数)</t>
  </si>
  <si>
    <t>介護老人福祉施設</t>
  </si>
  <si>
    <t>介護老人保健施設</t>
  </si>
  <si>
    <t>介護療養型_x000D_
医療施設</t>
  </si>
  <si>
    <t>介護医療院</t>
  </si>
  <si>
    <t>地域密着型介護老人福祉
施設入所者生活介護</t>
  </si>
  <si>
    <t>申請件数</t>
  </si>
  <si>
    <t>食費</t>
  </si>
  <si>
    <t>居住費</t>
  </si>
  <si>
    <t>(居住費)_x000D_
滞在費</t>
  </si>
  <si>
    <t>利用者負担第三段階②
　認定件数</t>
  </si>
  <si>
    <t>　認定件数(当該年度末現在)</t>
  </si>
  <si>
    <t>利用者負担第三段階①
　認定件数</t>
  </si>
  <si>
    <t>利用者負担第二段階
　認定件数</t>
  </si>
  <si>
    <t>利用者負担第一段階
　認定件数</t>
  </si>
  <si>
    <t>(6) 利用者負担減額・免除認定(総数)</t>
  </si>
  <si>
    <t>利用者負担</t>
  </si>
  <si>
    <t>減額
　認定件数</t>
  </si>
  <si>
    <t>免除
　認定件数</t>
  </si>
  <si>
    <t>(7) 介護老人福祉施設旧措置入所者に係る減額・免除認定(総数)</t>
  </si>
  <si>
    <t>特定負担限度額</t>
  </si>
  <si>
    <t>利用者負担第三段階
　認定件数</t>
  </si>
  <si>
    <t>　認定件数
(当該年度末現在)</t>
  </si>
  <si>
    <t>老福受給者等
　認定件数</t>
  </si>
  <si>
    <t>（様式１の３）</t>
  </si>
  <si>
    <t>(8) 食費・居住費に係る負担限度額認定(再掲：第２号被保険者分)</t>
  </si>
  <si>
    <t>(9) 利用者負担減額・免除認定(再掲：第２号被保険者分)</t>
  </si>
  <si>
    <t>(10) 介護老人福祉施設旧措置入所者に係る減額・免除認定(再掲：第２号被保険者分)</t>
  </si>
  <si>
    <t>（様式１の４）</t>
  </si>
  <si>
    <t>(11) 利用者負担第４段階における食費・居住費の特例減額措置</t>
  </si>
  <si>
    <t>第１号被保険者</t>
  </si>
  <si>
    <t>第２号被保険者</t>
  </si>
  <si>
    <t>食費のみ減額_x000D_
　　認定件数</t>
  </si>
  <si>
    <t>　　認定件数(当該年度末現在)</t>
  </si>
  <si>
    <t>居住費のみ減額_x000D_
　　認定件数</t>
  </si>
  <si>
    <t>食費及び居住費の減額_x000D_
　　認定件数</t>
  </si>
  <si>
    <t>（様式１の５）</t>
  </si>
  <si>
    <t>(12) 要介護(要支援)認定者数</t>
  </si>
  <si>
    <t>①総　数</t>
  </si>
  <si>
    <t>男</t>
  </si>
  <si>
    <t>要支援１</t>
  </si>
  <si>
    <t>要支援２</t>
  </si>
  <si>
    <t>経過的要介護</t>
  </si>
  <si>
    <t>要介護１</t>
  </si>
  <si>
    <t>要介護２</t>
  </si>
  <si>
    <t>要介護３</t>
  </si>
  <si>
    <t>要介護４</t>
  </si>
  <si>
    <t>要介護５</t>
  </si>
  <si>
    <t xml:space="preserve"> 第１号被保険者</t>
  </si>
  <si>
    <t>65歳以上70歳未満</t>
  </si>
  <si>
    <t>70歳以上75歳未満</t>
  </si>
  <si>
    <t>75歳以上80歳未満</t>
  </si>
  <si>
    <t>80歳以上85歳未満</t>
  </si>
  <si>
    <t>85歳以上90歳未満</t>
  </si>
  <si>
    <t>90歳以上</t>
  </si>
  <si>
    <t xml:space="preserve"> 第２号被保険者</t>
  </si>
  <si>
    <t>総　　数</t>
  </si>
  <si>
    <t>女</t>
  </si>
  <si>
    <t>※　国民健康保険団体連合会が保有する受給者台帳を基にしたものであり、提出後に要介護度が遡って変更になる場合がある</t>
  </si>
  <si>
    <t>②総　数（再掲：第１号被保険者の２割負担対象者分）</t>
  </si>
  <si>
    <t>※　国民健康保険団体連合会が保有する受給者台帳を基にしたものであり、提出後に所得更生等により遡って1割負担対象者、３割負担対象者となる場合がある。</t>
  </si>
  <si>
    <t>③総　数（再掲：第１号被保険者の３割負担対象者分）</t>
  </si>
  <si>
    <t>※　国民健康保険団体連合会が保有する受給者台帳を基にしたものであり、提出後に所得更生等により遡って1割負担対象者、２割負担対象者となる場合がある。</t>
  </si>
  <si>
    <t>（様式１の６）</t>
  </si>
  <si>
    <t>(13) 居宅介護(介護予防)サービス受給者数</t>
  </si>
  <si>
    <t>予防給付</t>
  </si>
  <si>
    <t>介護給付</t>
  </si>
  <si>
    <t>(14) 地域密着型(介護予防)サービス受給者数</t>
  </si>
  <si>
    <t>(15) 施設介護サービス受給者数</t>
  </si>
  <si>
    <t>介護療養型医療施設</t>
  </si>
  <si>
    <t>（様式１の７）</t>
  </si>
  <si>
    <t>(16) 居宅介護(介護予防)サービスのサービス別受給者数【現物給付分】</t>
  </si>
  <si>
    <t>① 総　数</t>
  </si>
  <si>
    <t>訪問介護</t>
  </si>
  <si>
    <t>訪問入浴介護</t>
  </si>
  <si>
    <t>訪問看護</t>
  </si>
  <si>
    <t>訪問リハビリテーション</t>
  </si>
  <si>
    <t>居宅療養管理指導</t>
  </si>
  <si>
    <t>通所介護</t>
  </si>
  <si>
    <t>通所リハビリテーション</t>
  </si>
  <si>
    <t>短期入所生活介護</t>
  </si>
  <si>
    <t>短期入所療養介護（介護老人保健施設）</t>
  </si>
  <si>
    <t>短期入所療養介護（病院等）</t>
  </si>
  <si>
    <t>短期入所療養介護（介護医療院）</t>
  </si>
  <si>
    <t>福祉用具貸与</t>
  </si>
  <si>
    <t>特定施設入居者生活介護</t>
  </si>
  <si>
    <t>介護予防支援・居宅介護支援</t>
  </si>
  <si>
    <t>② 総　数（再掲：第１号被保険者の２割負担対象者分）</t>
  </si>
  <si>
    <t>③ 総　数（再掲：第１号被保険者の３割負担対象者分）</t>
  </si>
  <si>
    <t>(17) 居宅介護(介護予防)サービスのサービス別利用回（日）数【現物給付分】</t>
  </si>
  <si>
    <t>訪問介護（回）</t>
  </si>
  <si>
    <t>訪問入浴介護（回）</t>
  </si>
  <si>
    <t>訪問看護（回）</t>
  </si>
  <si>
    <t>訪問リハビリテーション（回）</t>
  </si>
  <si>
    <t>通所介護（回）</t>
  </si>
  <si>
    <t>通所リハビリテーション（回）</t>
  </si>
  <si>
    <t>短期入所生活介護（日）</t>
  </si>
  <si>
    <t>短期入所療養介護（介護老人保健施設）（日）</t>
  </si>
  <si>
    <t>短期入所療養介護（病院等）（日）</t>
  </si>
  <si>
    <t>短期入所療養介護（介護医療院）（日）</t>
  </si>
  <si>
    <t>※訪問介護、通所介護及び通所リハビリテーションについては、介護予防サービスを除く。</t>
  </si>
  <si>
    <t>(18) 地域密着型(介護予防)サービスのサービス別受給者数【現物給付分】</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</si>
  <si>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</si>
  <si>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</si>
  <si>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</si>
  <si>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</si>
  <si>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</si>
  <si>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</si>
  <si>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</si>
  <si>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地域密着型介護老人福祉施設入所者生活介護</t>
  </si>
  <si>
    <t>複合型サービス_x000D_
(看護小規模多機能型居宅介護)</t>
  </si>
  <si>
    <t>(19) 地域密着型(介護予防)サービスの利用回数【現物給付分】</t>
  </si>
  <si>
    <t>(20) 施設介護サービス受給者数【現物給付分】</t>
  </si>
  <si>
    <t>① 総　数（再掲：第１号被保険者の２割負担対象者分）</t>
  </si>
  <si>
    <t>② 総　数（再掲：第１号被保険者の３割負担対象者分）</t>
  </si>
  <si>
    <t>（様式２）</t>
  </si>
  <si>
    <t>２．保険給付決定状況</t>
  </si>
  <si>
    <t>(1) 介護給付・予防給付</t>
  </si>
  <si>
    <t>①－１ 総  数</t>
  </si>
  <si>
    <t>ア 件数</t>
  </si>
  <si>
    <t>種類</t>
  </si>
  <si>
    <t>居宅（介護予防）サービス</t>
  </si>
  <si>
    <t>訪問サービス</t>
  </si>
  <si>
    <t>通所サービス</t>
  </si>
  <si>
    <t>短期入所サービス</t>
  </si>
  <si>
    <t>福祉用具・住宅改修サービス</t>
  </si>
  <si>
    <t>特定福祉用具販売</t>
  </si>
  <si>
    <t>住宅改修</t>
  </si>
  <si>
    <t>地域密着型（介護予防）サービス</t>
  </si>
  <si>
    <t>複合型サービス(看護小規模多機能型居宅介護)</t>
  </si>
  <si>
    <t>施設サービス</t>
  </si>
  <si>
    <t xml:space="preserve">介護医療院 </t>
  </si>
  <si>
    <t>総計</t>
  </si>
  <si>
    <t>イ 単位数</t>
  </si>
  <si>
    <t>特定施設入所者生活介護</t>
  </si>
  <si>
    <t>ウ 費用額</t>
  </si>
  <si>
    <t>エ 給付費</t>
  </si>
  <si>
    <t>①-２ 総　数（再掲：第１号被保険者の２割負担対象者分）</t>
  </si>
  <si>
    <t>①-３ 総　数（再掲：第１号被保険者の３割負担対象者分）</t>
  </si>
  <si>
    <t>（様式２の２）</t>
  </si>
  <si>
    <t>② 第２号被保険者分（再掲）</t>
  </si>
  <si>
    <t>（様式２の３）</t>
  </si>
  <si>
    <t>③ 総  数（再掲：介護給付、介護予防給付の特例分）</t>
  </si>
  <si>
    <t>（様式２の４）</t>
  </si>
  <si>
    <t>④ 第２号被保険者分（再掲：介護給付、介護予防給付の特例分）</t>
  </si>
  <si>
    <t>（様式２の５）</t>
  </si>
  <si>
    <t>(2) 特定入所者介護（介護予防）サービス費（別掲）</t>
  </si>
  <si>
    <t>① 総数</t>
  </si>
  <si>
    <t>ア　件数</t>
  </si>
  <si>
    <t>居住費（滞在費）</t>
  </si>
  <si>
    <t>イ　給付費</t>
  </si>
  <si>
    <t>（様式２の６)</t>
  </si>
  <si>
    <t>② 第２号被保険者数（再掲）</t>
  </si>
  <si>
    <t>（様式２の７)</t>
  </si>
  <si>
    <t>２．保険給付決定状況（続き）</t>
  </si>
  <si>
    <t>(3)-1 高額介護(介護予防)サービス費</t>
  </si>
  <si>
    <t>ア 利用者負担第四段階</t>
  </si>
  <si>
    <t>世帯合算</t>
  </si>
  <si>
    <t>件　　　数</t>
  </si>
  <si>
    <t>給　付　費</t>
  </si>
  <si>
    <t>（ア）利用者負担第四段階（現役並み所得者Ⅲ）</t>
  </si>
  <si>
    <t>（イ）利用者負担第四段階（現役並み所得者Ⅱ）</t>
  </si>
  <si>
    <t>（ウ）利用者負担第四段階（現役並み所得者Ⅰ、一般）</t>
  </si>
  <si>
    <t xml:space="preserve">イ 利用者負担第三段階 </t>
  </si>
  <si>
    <t>ウ 利用者負担第二段階</t>
  </si>
  <si>
    <t>エ 利用者負担第一段階</t>
  </si>
  <si>
    <t>オ 合計</t>
  </si>
  <si>
    <t>(3)-2 高額介護(介護予防)サービス費（年間上限）</t>
  </si>
  <si>
    <t>(4) 高額医療合算介護(介護予防)サービス費</t>
  </si>
  <si>
    <t>ア 現役並み所得者（上位所得者）（総数）</t>
  </si>
  <si>
    <t>（ア）現役並み所得者（上位所得者）（再掲：現役並み所得者Ⅲ）</t>
  </si>
  <si>
    <t>（イ）現役並み所得者（上位所得者）（再掲：現役並み所得者Ⅱ）</t>
  </si>
  <si>
    <t>（ウ）現役並み所得者（上位所得者）（再掲：現役並み所得者Ⅰ）</t>
  </si>
  <si>
    <t>イ 一般</t>
  </si>
  <si>
    <t>ウ 低所得者Ⅱ</t>
  </si>
  <si>
    <t>エ 低所得者Ⅰ</t>
  </si>
  <si>
    <t>（様式２の８）</t>
  </si>
  <si>
    <t>（５）市町村特別給付</t>
  </si>
  <si>
    <t>(1) 件数</t>
  </si>
  <si>
    <t>寝具乾燥サービス</t>
  </si>
  <si>
    <t>移送サービス</t>
  </si>
  <si>
    <t>配食サービス</t>
  </si>
  <si>
    <t>おむつの支給</t>
  </si>
  <si>
    <t>理美容サービス</t>
  </si>
  <si>
    <t>(2) 費用額</t>
  </si>
  <si>
    <t>(3) 給付費</t>
  </si>
  <si>
    <t>（様式３）</t>
  </si>
  <si>
    <t>３．保険料収納状況</t>
  </si>
  <si>
    <t>（単位：円）</t>
  </si>
  <si>
    <t>区　　　分</t>
  </si>
  <si>
    <t>調定額累計</t>
  </si>
  <si>
    <t>収納額累計</t>
  </si>
  <si>
    <t>還付未済額_x000D_
（別掲）</t>
  </si>
  <si>
    <t>不納欠損額</t>
  </si>
  <si>
    <t>未収額</t>
  </si>
  <si>
    <t>減免額 _x000D_
 (別掲)</t>
  </si>
  <si>
    <t>現年度分</t>
  </si>
  <si>
    <t>特別徴収</t>
  </si>
  <si>
    <t>普通徴収</t>
  </si>
  <si>
    <t>滞納繰越分</t>
  </si>
  <si>
    <t>合　　計</t>
  </si>
  <si>
    <t>４．保険給付支払状況</t>
  </si>
  <si>
    <t>支払義務額_x000D_
累計</t>
  </si>
  <si>
    <t>支払済額_x000D_
累計</t>
  </si>
  <si>
    <t>徴収金等_x000D_
累計</t>
  </si>
  <si>
    <t>戻入未済額_x000D_
累計</t>
  </si>
  <si>
    <t>未払額</t>
  </si>
  <si>
    <t>介護サービス等諸費</t>
  </si>
  <si>
    <t>介護予防サービス等諸費</t>
  </si>
  <si>
    <t>高額介護サービス等費</t>
  </si>
  <si>
    <t>高額医療合算介護サービス等費</t>
  </si>
  <si>
    <t>特定入所者介護サービス等費</t>
  </si>
  <si>
    <t>その他の保険給付費</t>
  </si>
  <si>
    <t>（様式４）</t>
  </si>
  <si>
    <t>５．介護保険特別会計経理状況</t>
  </si>
  <si>
    <t>(1)保険事業勘定</t>
  </si>
  <si>
    <t>歳　　　　　　　　　　入</t>
  </si>
  <si>
    <t>歳　　　　　　　　　　出</t>
  </si>
  <si>
    <t>科　　　　目</t>
  </si>
  <si>
    <t>決算額</t>
  </si>
  <si>
    <t>保険料</t>
  </si>
  <si>
    <t>介護保険料</t>
  </si>
  <si>
    <t>総務費</t>
  </si>
  <si>
    <t>分担金及び負担金</t>
  </si>
  <si>
    <t>認定審査会負担金</t>
  </si>
  <si>
    <t>保険給付費</t>
  </si>
  <si>
    <t>使用料及び手数料</t>
  </si>
  <si>
    <t>使用料</t>
  </si>
  <si>
    <t>手数料</t>
  </si>
  <si>
    <t>国庫支出金</t>
  </si>
  <si>
    <t>介護給付費負担金</t>
  </si>
  <si>
    <t>調整交付金</t>
  </si>
  <si>
    <t>審査支払手数料</t>
  </si>
  <si>
    <t>地域支援事業交付金（介護予防・日常生活支援総合事業）</t>
  </si>
  <si>
    <t>市町村特別給付費</t>
  </si>
  <si>
    <t>地域支援事業交付金（介護予防・日常生活支援総合事業以外の地域支援事業）</t>
  </si>
  <si>
    <t>保険者機能強化推進交付金</t>
  </si>
  <si>
    <t>地域支援事業</t>
  </si>
  <si>
    <t>介護予防・生活支援サービス事業費</t>
  </si>
  <si>
    <t>保険者努力支援交付金</t>
  </si>
  <si>
    <t>一般介護予防事業費</t>
  </si>
  <si>
    <t>包括的支援事業・任意事業</t>
  </si>
  <si>
    <t>支払基金交付金</t>
  </si>
  <si>
    <t>介護給付費交付金</t>
  </si>
  <si>
    <t>重層的支援体制整備事業保険料操出金</t>
  </si>
  <si>
    <t>地域支援事業支援交付金</t>
  </si>
  <si>
    <t>都道府県支出金</t>
  </si>
  <si>
    <t>都道府県負担金</t>
  </si>
  <si>
    <t>財政安定化基金拠出金</t>
  </si>
  <si>
    <t>財政安定化基金支出金</t>
  </si>
  <si>
    <t>相互財政安定化事業負担金</t>
  </si>
  <si>
    <t>保健福祉事業費</t>
  </si>
  <si>
    <t>基金積立金</t>
  </si>
  <si>
    <t>公債費</t>
  </si>
  <si>
    <t>財政安定化基金償還金</t>
  </si>
  <si>
    <t>相互財政安定化事業交付金</t>
  </si>
  <si>
    <t>財産収入</t>
  </si>
  <si>
    <t>予備費</t>
  </si>
  <si>
    <t>寄附金</t>
  </si>
  <si>
    <t>諸支出金</t>
  </si>
  <si>
    <t>介護サービス事業勘定繰出金</t>
  </si>
  <si>
    <t>繰入金</t>
  </si>
  <si>
    <t>一般会計繰入金12.5%</t>
  </si>
  <si>
    <t>他会計繰出金</t>
  </si>
  <si>
    <t>総務費に係る一般会計繰入金</t>
  </si>
  <si>
    <t>介護給付費準備基金繰入金</t>
  </si>
  <si>
    <t>介護サービス事業勘定繰入金</t>
  </si>
  <si>
    <t>地域支援事業繰入金（介護予防・日常生活支援総合事業）</t>
  </si>
  <si>
    <t>地域支援事業繰入金（介護予防・日常生活支援総合事業以外の地域支援事業）</t>
  </si>
  <si>
    <t>低所得者保険料軽減繰入金</t>
  </si>
  <si>
    <t>繰越金</t>
  </si>
  <si>
    <t>市町村債</t>
  </si>
  <si>
    <t>財政安定化基金貸付金</t>
  </si>
  <si>
    <t>諸収入</t>
  </si>
  <si>
    <t>合　　　　　　　　　　計</t>
  </si>
  <si>
    <t>歳入歳出差引残額</t>
  </si>
  <si>
    <t>円</t>
  </si>
  <si>
    <t>　うち基金繰入額</t>
  </si>
  <si>
    <t>介護給付費準備基金保有額</t>
  </si>
  <si>
    <t>（様式４の２）</t>
  </si>
  <si>
    <t>(2)介護サービス事業勘定</t>
  </si>
  <si>
    <t>サービス収入</t>
  </si>
  <si>
    <t>介護給付費収入</t>
  </si>
  <si>
    <t>予防給付費収入</t>
  </si>
  <si>
    <t>事業費</t>
  </si>
  <si>
    <t>居宅サービス事業費</t>
  </si>
  <si>
    <t>介護予防事業・日常生活支援総合事業費収入</t>
  </si>
  <si>
    <t>地域密着型サービス事業費</t>
  </si>
  <si>
    <t>特定入所者介護サービス等費収入</t>
  </si>
  <si>
    <t>居宅介護支援事業費</t>
  </si>
  <si>
    <t>自己負担金収入</t>
  </si>
  <si>
    <t>介護予防・日常生活支援総合事業費</t>
  </si>
  <si>
    <t>分担金</t>
  </si>
  <si>
    <t>施設整備費</t>
  </si>
  <si>
    <t>負担金</t>
  </si>
  <si>
    <t>保険事業勘定繰出金</t>
  </si>
  <si>
    <t>諸費</t>
  </si>
  <si>
    <t>保険事業勘定繰入金</t>
  </si>
  <si>
    <t>（様式４の３）</t>
  </si>
  <si>
    <t>５．介護保険特別会計経理状況（続き）</t>
  </si>
  <si>
    <t>(3)介護給付費負担金精算額等</t>
  </si>
  <si>
    <t>ア　前年度以前</t>
  </si>
  <si>
    <t>科　　目</t>
  </si>
  <si>
    <t xml:space="preserve"> 歳入（精算交付額）</t>
  </si>
  <si>
    <t>歳出（返還額）</t>
  </si>
  <si>
    <t>地域支援事業交付金</t>
  </si>
  <si>
    <t>一般会計繰入金</t>
  </si>
  <si>
    <t>イ　今年度</t>
  </si>
  <si>
    <t>歳入（精算交付予定額）</t>
  </si>
  <si>
    <t>歳出（返還予定額）</t>
  </si>
  <si>
    <t>ウ　実質的な収支について</t>
  </si>
  <si>
    <t>歳入　合計</t>
  </si>
  <si>
    <t>歳出　合計</t>
  </si>
  <si>
    <t>精算後残額</t>
  </si>
  <si>
    <t>（経理状況）</t>
  </si>
  <si>
    <t>(１)様式１</t>
  </si>
  <si>
    <t>（１-１）「１．一般状況（続き）/(4) 所得段階別第１号被保険者数（当年度末現在）/セ　標準月額保険料」に該当する数値です。</t>
  </si>
  <si>
    <t>第９期第１号保険料　基準額(月額)</t>
  </si>
  <si>
    <t>(２)様式４</t>
  </si>
  <si>
    <t>（２-１）合計値が「５．介護保険特別会計経理状況/(1)保険事業勘定/歳入/国庫支出金/介護給付費負担金」に該当する数値です。</t>
  </si>
  <si>
    <t>※初期値として合計値としていますが、決算の整理と合わせて「合計（過年度分の返還分を相殺している場合）」に変更することは可能です。</t>
  </si>
  <si>
    <t>合計（過年度分の返還分を相殺している場合）</t>
  </si>
  <si>
    <t>国庫支出金　介護給付費負担金</t>
  </si>
  <si>
    <t>令和6年度　当初（変更）交付決定額</t>
  </si>
  <si>
    <t>令和5年度　確定後の精算交付額（追加交付額）</t>
  </si>
  <si>
    <t>令和5年度</t>
  </si>
  <si>
    <t>再確定に伴う精算交付額（追加交付額）</t>
  </si>
  <si>
    <t>令和4年度</t>
  </si>
  <si>
    <t>令和3年度</t>
  </si>
  <si>
    <t>令和2年度</t>
  </si>
  <si>
    <t>令和元年度</t>
  </si>
  <si>
    <t>平成30年度</t>
  </si>
  <si>
    <t>令和5年度　確定に伴う返還額</t>
  </si>
  <si>
    <t>過年度　再確定に伴う返還額</t>
  </si>
  <si>
    <t>（２-２）合計値が「５．介護保険特別会計経理状況/(1)保険事業勘定/歳入/国庫支出金/調整交付金」に該当する数値です。</t>
  </si>
  <si>
    <t>国庫支出金　(介護給付費)調整交付金</t>
  </si>
  <si>
    <t>令和6年度　普通調整交付金</t>
  </si>
  <si>
    <t>令和6年度　特別調整交付金</t>
  </si>
  <si>
    <t>（２-３）「５．介護保険特別会計経理状況/(1)保険事業勘定/歳入/国庫支出金/地域支援事業交付金（介護予防・日常生活支援総合事業）」に 該当する数値と、「５．介護保険特別会計経理状況/(1)保険事業勘定/歳入/国庫支出金/地域支援事業交付金（介護予防・日常生活支援総合事業以外の地域支援事業）」に該当する数値です。</t>
  </si>
  <si>
    <t>※初期値として、当該年度の交付決定額としていますが、精算交付額や返還額がある場合は、決算の整理と合わせて、精算交付額や返還額を反映した数字に修正してください。</t>
  </si>
  <si>
    <t>国庫支出金　地域支援事業交付金</t>
  </si>
  <si>
    <t>総合事業</t>
  </si>
  <si>
    <t>包括・任意事業</t>
  </si>
  <si>
    <t>充実分事業</t>
  </si>
  <si>
    <t>過年度　再確定に伴う精算交付額（追加交付額）</t>
  </si>
  <si>
    <t>（２-４）「５．介護保険特別会計経理状況/(1)保険事業勘定/歳入/国庫支出金/保険者機能強化推進交付金」に該当する数値です。</t>
  </si>
  <si>
    <t>令和6年度　保険者機能強化推進交付金</t>
  </si>
  <si>
    <t>（２-５）「５．介護保険特別会計経理状況/(1)保険事業勘定/歳入/国庫支出金/保険者努力支援交付金」に該当する数値です。</t>
  </si>
  <si>
    <t>令和6年度　保険者努力支援交付金</t>
  </si>
  <si>
    <t>（２-６）合計値が「５．介護保険特別会計経理状況/(1)保険事業勘定/歳入/支払基金交付金/介護給付費交付金」に該当する数値です。</t>
  </si>
  <si>
    <t>※初期値として合計値としていますが、決算の整理と合わせて「合計（前年度分の返還分を相殺している場合）」に変更することは可能です。</t>
  </si>
  <si>
    <t>合計（前年度分の返還分を相殺している場合）</t>
  </si>
  <si>
    <t>支払基金交付金　介護給付費交付金</t>
  </si>
  <si>
    <t>令和6年度　当初（変更）交付額</t>
  </si>
  <si>
    <t>令和5年度　確定に伴う精算交付額（追加交付額）【不足額】</t>
  </si>
  <si>
    <t>令和5年度　確定に伴う返還額【超過額】</t>
  </si>
  <si>
    <t>（２-７）合計値が「５．介護保険特別会計経理状況/(1)保険事業勘定/歳入/支払基金交付金/地域支援事業支援交付金」に該当する数値です。</t>
  </si>
  <si>
    <t>支払基金交付金　地域支援事業支援交付金</t>
  </si>
  <si>
    <t>(３)様式４の３</t>
  </si>
  <si>
    <t>（３-１）合計値が「５．介護保険特別会計経理状況（続き）/(3)介護給付費負担金精算額等/ア前年度以前/国庫支出金/介護給付費負担金」に該当する数値です。</t>
  </si>
  <si>
    <t>歳入（精算交付額）</t>
  </si>
  <si>
    <t>令和5年度　確定に伴う精算交付額（追加交付額）</t>
  </si>
  <si>
    <t>過年度分　再確定に伴う精算交付額</t>
  </si>
  <si>
    <t>（３-２）合計値が「５．介護保険特別会計経理状況（続き）/(3)介護給付費負担金精算額等/ア前年度以前/国庫支出金/調整交付金」に該当する数値です。</t>
  </si>
  <si>
    <t>国庫支出金　調整交付金</t>
  </si>
  <si>
    <t>令和5年度　会計検査院指摘に伴う返還額</t>
  </si>
  <si>
    <t>過年度　会計検査院指摘に伴う返還額</t>
  </si>
  <si>
    <t>（３-３）合計値が「５．介護保険特別会計経理状況（続き）/(3)介護給付費負担金精算額等/ア前年度以前/国庫支出金/地域支援事業交付金」に該当する数値です。</t>
  </si>
  <si>
    <t>（３-４）「５．介護保険特別会計経理状況（続き）/(3)介護給付費負担金精算額等/ア 前年度以前/支払基金交付金/介護給付費交付金」に該当する数値です。</t>
  </si>
  <si>
    <t>（３-５）「５．介護保険特別会計経理状況（続き）/(3)介護給付費負担金精算額等/ア 前年度以前/支払基金交付金/地域支援事業支援交付金」に該当する数値です。</t>
  </si>
  <si>
    <t>（３-６）「５．介護保険特別会計経理状況（続き）/(3)介護給付費負担金精算額等/イ今年度/支払基金交付金/介護給付費交付金」に該当する数値です。</t>
  </si>
  <si>
    <t>令和6年度　確定に伴う精算交付額（追加交付額）【不足額】</t>
  </si>
  <si>
    <t>令和6年度　確定に伴う返還額【超過額】</t>
  </si>
  <si>
    <t>（３-７）「５．介護保険特別会計経理状況（続き）/(3)介護給付費負担金精算額等/イ今年度/支払基金交付金/地域支援事業支援交付金」に該当する数値です。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</si>
</sst>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Red]#,##0"/>
  </numFmts>
  <fonts count="35">
    <font>
      <sz val="11"/>
      <color rgb="FF000000"/>
      <name val="ＭＳ Ｐゴシック"/>
    </font>
    <font>
      <sz val="11"/>
      <color indexed="0"/>
      <name val="Calibri"/>
      <family val="2"/>
    </font>
    <font>
      <sz val="11"/>
      <name val="ＭＳ Ｐゴシック"/>
      <family val="3"/>
      <charset val="128"/>
    </font>
    <font>
      <sz val="10"/>
      <name val="丸ｺﾞｼｯｸ体Ca-B(GT)"/>
      <family val="3"/>
      <charset val="128"/>
    </font>
    <font>
      <sz val="10"/>
      <name val="ＭＳ ゴシック"/>
      <family val="3"/>
      <charset val="128"/>
    </font>
    <font>
      <sz val="8"/>
      <name val="ＭＳ ゴシック"/>
      <family val="3"/>
      <charset val="128"/>
    </font>
    <font>
      <sz val="11"/>
      <name val="ＭＳ 明朝"/>
      <family val="1"/>
      <charset val="128"/>
    </font>
    <font>
      <sz val="12"/>
      <name val="ＭＳ ゴシック"/>
      <family val="3"/>
      <charset val="128"/>
    </font>
    <font>
      <sz val="14"/>
      <name val="ＭＳ 明朝"/>
      <family val="1"/>
      <charset val="128"/>
    </font>
    <font>
      <sz val="10"/>
      <name val="ＭＳ 明朝"/>
      <family val="1"/>
      <charset val="128"/>
    </font>
    <font>
      <sz val="12"/>
      <name val="ＭＳ 明朝"/>
      <family val="1"/>
      <charset val="128"/>
    </font>
    <font>
      <sz val="14"/>
      <name val="ＭＳ ゴシック"/>
      <family val="3"/>
      <charset val="128"/>
    </font>
    <font>
      <b/>
      <sz val="6"/>
      <name val="ＭＳ ゴシック"/>
      <family val="3"/>
      <charset val="128"/>
    </font>
    <font>
      <b/>
      <sz val="10"/>
      <name val="ＭＳ ゴシック"/>
      <family val="3"/>
      <charset val="128"/>
    </font>
    <font>
      <sz val="11"/>
      <name val="ＭＳ ゴシック"/>
      <family val="3"/>
      <charset val="128"/>
    </font>
    <font>
      <sz val="11"/>
      <name val="Calibri"/>
      <family val="2"/>
    </font>
    <font>
      <u/>
      <sz val="11"/>
      <name val="Calibri"/>
      <family val="2"/>
    </font>
    <font>
      <b/>
      <sz val="8"/>
      <name val="ＭＳ ゴシック"/>
      <family val="3"/>
      <charset val="128"/>
    </font>
    <font>
      <sz val="9"/>
      <name val="ＭＳ ゴシック"/>
      <family val="3"/>
      <charset val="128"/>
    </font>
    <font>
      <sz val="11"/>
      <color rgb="FF000000"/>
      <name val="Calibri"/>
      <family val="2"/>
    </font>
    <font>
      <sz val="10"/>
      <name val="ＭＳ Ｐゴシック"/>
      <family val="3"/>
      <charset val="128"/>
    </font>
    <font>
      <sz val="9"/>
      <name val="ＭＳ 明朝"/>
      <family val="1"/>
      <charset val="128"/>
    </font>
    <font>
      <sz val="12"/>
      <name val="MS Gothic"/>
    </font>
    <font>
      <sz val="12"/>
      <name val="ＭＳ Ｐゴシック"/>
      <family val="3"/>
      <charset val="128"/>
    </font>
    <font>
      <sz val="11"/>
      <name val="MS Gothic"/>
    </font>
    <font>
      <sz val="14"/>
      <name val="MS Gothic"/>
    </font>
    <font>
      <sz val="10"/>
      <name val="MS Gothic"/>
    </font>
    <font>
      <sz val="12"/>
      <color rgb="FF000000"/>
      <name val="MS Gothic"/>
    </font>
    <font>
      <sz val="16"/>
      <name val="ＭＳ ゴシック"/>
      <family val="3"/>
      <charset val="128"/>
    </font>
    <font>
      <sz val="10"/>
      <color theme="1"/>
      <name val="ＭＳ Ｐゴシック"/>
      <family val="3"/>
      <charset val="128"/>
    </font>
    <font>
      <sz val="10"/>
      <color theme="1"/>
      <name val="ＭＳ ゴシック"/>
      <family val="3"/>
      <charset val="128"/>
    </font>
    <font>
      <sz val="11"/>
      <color theme="1"/>
      <name val="ＭＳ ゴシック"/>
      <family val="3"/>
      <charset val="128"/>
    </font>
    <font>
      <sz val="11"/>
      <color rgb="FF000000"/>
      <name val="ＭＳ Ｐゴシック"/>
      <family val="3"/>
      <charset val="128"/>
    </font>
    <font>
      <sz val="11"/>
      <color indexed="81"/>
      <name val="Arial"/>
      <family val="2"/>
    </font>
    <font>
      <sz val="6"/>
      <name val="ＭＳ Ｐゴシック"/>
      <family val="3"/>
      <charset val="128"/>
    </font>
  </fonts>
  <fills count="12">
    <fill>
      <patternFill patternType="none"/>
    </fill>
    <fill>
      <patternFill patternType="gray125"/>
    </fill>
    <fill>
      <patternFill patternType="solid">
        <fgColor rgb="FFFFFFFF"/>
      </patternFill>
    </fill>
    <fill>
      <patternFill patternType="solid">
        <fgColor rgb="FFFFFF00"/>
      </patternFill>
    </fill>
    <fill>
      <patternFill patternType="solid">
        <fgColor theme="0"/>
        <bgColor indexed="64"/>
      </patternFill>
    </fill>
    <fill>
      <patternFill patternType="solid">
        <fgColor rgb="FFC0C0C0"/>
      </patternFill>
    </fill>
    <fill>
      <patternFill patternType="solid">
        <fgColor theme="0" tint="-0.249977111117893"/>
        <bgColor indexed="64"/>
      </patternFill>
    </fill>
    <fill>
      <patternFill patternType="solid">
        <fgColor rgb="FF66FFFF"/>
      </patternFill>
    </fill>
    <fill>
      <patternFill patternType="solid">
        <fgColor rgb="FFBFBFBF"/>
      </patternFill>
    </fill>
    <fill>
      <patternFill patternType="solid">
        <fgColor rgb="FFFF9933"/>
      </patternFill>
    </fill>
    <fill>
      <patternFill patternType="solid">
        <fgColor rgb="FFFECBCA"/>
      </patternFill>
    </fill>
    <fill>
      <patternFill patternType="solid">
        <fgColor theme="0" tint="-0.14999847407452621"/>
        <bgColor indexed="64"/>
      </patternFill>
    </fill>
  </fills>
  <borders count="199">
    <border>
      <left/>
      <right/>
      <top/>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double">
        <color rgb="FF000000"/>
      </right>
      <top style="medium">
        <color rgb="FF000000"/>
      </top>
      <bottom style="thin">
        <color rgb="FF000000"/>
      </bottom>
      <diagonal/>
    </border>
    <border>
      <left style="double">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double">
        <color rgb="FF000000"/>
      </left>
      <right style="medium">
        <color rgb="FF000000"/>
      </right>
      <top style="medium">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right/>
      <top style="medium">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double">
        <color rgb="FF000000"/>
      </left>
      <right style="medium">
        <color rgb="FF000000"/>
      </right>
      <top style="thin">
        <color rgb="FF000000"/>
      </top>
      <bottom style="thin">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style="double">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double">
        <color rgb="FF000000"/>
      </right>
      <top style="thin">
        <color rgb="FF000000"/>
      </top>
      <bottom style="hair">
        <color rgb="FF000000"/>
      </bottom>
      <diagonal/>
    </border>
    <border>
      <left/>
      <right/>
      <top/>
      <bottom style="hair">
        <color rgb="FF000000"/>
      </bottom>
      <diagonal/>
    </border>
    <border>
      <left style="double">
        <color rgb="FF000000"/>
      </left>
      <right style="medium">
        <color rgb="FF000000"/>
      </right>
      <top style="thin">
        <color rgb="FF000000"/>
      </top>
      <bottom style="hair">
        <color rgb="FF000000"/>
      </bottom>
      <diagonal/>
    </border>
    <border>
      <left style="thin">
        <color rgb="FF000000"/>
      </left>
      <right/>
      <top/>
      <bottom/>
      <diagonal/>
    </border>
    <border>
      <left style="hair">
        <color rgb="FF000000"/>
      </left>
      <right/>
      <top style="hair">
        <color rgb="FF000000"/>
      </top>
      <bottom style="hair">
        <color rgb="FF000000"/>
      </bottom>
      <diagonal/>
    </border>
    <border>
      <left style="thin">
        <color rgb="FF000000"/>
      </left>
      <right style="double">
        <color rgb="FF000000"/>
      </right>
      <top style="hair">
        <color rgb="FF000000"/>
      </top>
      <bottom style="hair">
        <color rgb="FF000000"/>
      </bottom>
      <diagonal/>
    </border>
    <border>
      <left/>
      <right/>
      <top style="hair">
        <color rgb="FF000000"/>
      </top>
      <bottom style="hair">
        <color rgb="FF000000"/>
      </bottom>
      <diagonal/>
    </border>
    <border>
      <left style="double">
        <color rgb="FF000000"/>
      </left>
      <right style="medium">
        <color rgb="FF000000"/>
      </right>
      <top style="hair">
        <color rgb="FF000000"/>
      </top>
      <bottom style="hair">
        <color rgb="FF000000"/>
      </bottom>
      <diagonal/>
    </border>
    <border>
      <left style="thin">
        <color rgb="FF000000"/>
      </left>
      <right style="hair">
        <color rgb="FF000000"/>
      </right>
      <top/>
      <bottom/>
      <diagonal/>
    </border>
    <border>
      <left style="thin">
        <color rgb="FF000000"/>
      </left>
      <right/>
      <top style="hair">
        <color rgb="FF000000"/>
      </top>
      <bottom/>
      <diagonal/>
    </border>
    <border>
      <left style="thin">
        <color rgb="FF000000"/>
      </left>
      <right style="double">
        <color rgb="FF000000"/>
      </right>
      <top style="hair">
        <color rgb="FF000000"/>
      </top>
      <bottom/>
      <diagonal/>
    </border>
    <border>
      <left/>
      <right/>
      <top style="hair">
        <color rgb="FF000000"/>
      </top>
      <bottom/>
      <diagonal/>
    </border>
    <border>
      <left style="double">
        <color rgb="FF000000"/>
      </left>
      <right style="medium">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style="hair">
        <color rgb="FF000000"/>
      </left>
      <right/>
      <top style="hair">
        <color rgb="FF000000"/>
      </top>
      <bottom style="thin">
        <color rgb="FF000000"/>
      </bottom>
      <diagonal/>
    </border>
    <border>
      <left style="thin">
        <color rgb="FF000000"/>
      </left>
      <right style="double">
        <color rgb="FF000000"/>
      </right>
      <top style="hair">
        <color rgb="FF000000"/>
      </top>
      <bottom style="thin">
        <color rgb="FF000000"/>
      </bottom>
      <diagonal/>
    </border>
    <border>
      <left/>
      <right/>
      <top style="hair">
        <color rgb="FF000000"/>
      </top>
      <bottom style="thin">
        <color rgb="FF000000"/>
      </bottom>
      <diagonal/>
    </border>
    <border>
      <left style="double">
        <color rgb="FF000000"/>
      </left>
      <right style="medium">
        <color rgb="FF000000"/>
      </right>
      <top style="hair">
        <color rgb="FF000000"/>
      </top>
      <bottom style="thin">
        <color rgb="FF000000"/>
      </bottom>
      <diagonal/>
    </border>
    <border>
      <left style="thin">
        <color rgb="FF000000"/>
      </left>
      <right/>
      <top/>
      <bottom style="hair">
        <color rgb="FF000000"/>
      </bottom>
      <diagonal/>
    </border>
    <border>
      <left style="thin">
        <color rgb="FF000000"/>
      </left>
      <right style="double">
        <color rgb="FF000000"/>
      </right>
      <top/>
      <bottom style="hair">
        <color rgb="FF000000"/>
      </bottom>
      <diagonal/>
    </border>
    <border>
      <left style="double">
        <color rgb="FF000000"/>
      </left>
      <right style="medium">
        <color rgb="FF000000"/>
      </right>
      <top/>
      <bottom style="hair">
        <color rgb="FF000000"/>
      </bottom>
      <diagonal/>
    </border>
    <border>
      <left/>
      <right style="medium">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hair">
        <color rgb="FF000000"/>
      </left>
      <right/>
      <top/>
      <bottom/>
      <diagonal/>
    </border>
    <border>
      <left style="hair">
        <color rgb="FF000000"/>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medium">
        <color rgb="FF000000"/>
      </left>
      <right style="hair">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hair">
        <color rgb="FF000000"/>
      </left>
      <right/>
      <top style="thin">
        <color rgb="FF000000"/>
      </top>
      <bottom/>
      <diagonal/>
    </border>
    <border>
      <left style="medium">
        <color rgb="FF000000"/>
      </left>
      <right style="hair">
        <color rgb="FF000000"/>
      </right>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double">
        <color rgb="FF000000"/>
      </left>
      <right/>
      <top/>
      <bottom style="thin">
        <color rgb="FF000000"/>
      </bottom>
      <diagonal/>
    </border>
    <border>
      <left style="double">
        <color rgb="FF000000"/>
      </left>
      <right style="medium">
        <color rgb="FF000000"/>
      </right>
      <top/>
      <bottom style="thin">
        <color rgb="FF000000"/>
      </bottom>
      <diagonal/>
    </border>
    <border>
      <left style="double">
        <color rgb="FF000000"/>
      </left>
      <right/>
      <top/>
      <bottom style="medium">
        <color rgb="FF000000"/>
      </bottom>
      <diagonal/>
    </border>
    <border>
      <left style="double">
        <color rgb="FF000000"/>
      </left>
      <right style="medium">
        <color rgb="FF000000"/>
      </right>
      <top/>
      <bottom style="medium">
        <color rgb="FF000000"/>
      </bottom>
      <diagonal/>
    </border>
    <border>
      <left style="double">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style="double">
        <color rgb="FF000000"/>
      </left>
      <right/>
      <top style="medium">
        <color rgb="FF000000"/>
      </top>
      <bottom style="thin">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bottom style="medium">
        <color rgb="FF000000"/>
      </bottom>
      <diagonal/>
    </border>
    <border>
      <left style="double">
        <color rgb="FF000000"/>
      </left>
      <right style="medium">
        <color rgb="FF000000"/>
      </right>
      <top style="medium">
        <color rgb="FF000000"/>
      </top>
      <bottom style="thin">
        <color rgb="FF000000"/>
      </bottom>
      <diagonal/>
    </border>
    <border>
      <left/>
      <right style="double">
        <color rgb="FF000000"/>
      </right>
      <top style="thin">
        <color rgb="FF000000"/>
      </top>
      <bottom style="thin">
        <color rgb="FF000000"/>
      </bottom>
      <diagonal/>
    </border>
    <border>
      <left/>
      <right style="double">
        <color rgb="FF000000"/>
      </right>
      <top style="thin">
        <color rgb="FF000000"/>
      </top>
      <bottom style="medium">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thin">
        <color rgb="FF000000"/>
      </left>
      <right style="medium">
        <color rgb="FF000000"/>
      </right>
      <top/>
      <bottom style="thin">
        <color rgb="FF000000"/>
      </bottom>
      <diagonal/>
    </border>
    <border>
      <left style="medium">
        <color rgb="FF000000"/>
      </left>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top style="double">
        <color rgb="FF000000"/>
      </top>
      <bottom style="double">
        <color rgb="FF000000"/>
      </bottom>
      <diagonal/>
    </border>
    <border>
      <left style="thin">
        <color rgb="FF000000"/>
      </left>
      <right style="medium">
        <color rgb="FF000000"/>
      </right>
      <top style="double">
        <color rgb="FF000000"/>
      </top>
      <bottom style="double">
        <color rgb="FF000000"/>
      </bottom>
      <diagonal/>
    </border>
    <border>
      <left style="medium">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style="medium">
        <color rgb="FF000000"/>
      </right>
      <top style="double">
        <color rgb="FF000000"/>
      </top>
      <bottom style="thin">
        <color rgb="FF000000"/>
      </bottom>
      <diagonal/>
    </border>
    <border>
      <left style="thin">
        <color rgb="FF000000"/>
      </left>
      <right/>
      <top style="thin">
        <color rgb="FF000000"/>
      </top>
      <bottom style="double">
        <color rgb="FF000000"/>
      </bottom>
      <diagonal/>
    </border>
    <border>
      <left style="thin">
        <color rgb="FF000000"/>
      </left>
      <right style="medium">
        <color rgb="FF000000"/>
      </right>
      <top style="thin">
        <color rgb="FF000000"/>
      </top>
      <bottom/>
      <diagonal/>
    </border>
    <border>
      <left/>
      <right/>
      <top style="medium">
        <color rgb="FF000000"/>
      </top>
      <bottom style="thin">
        <color rgb="FF000000"/>
      </bottom>
      <diagonal/>
    </border>
    <border>
      <left/>
      <right/>
      <top style="thin">
        <color rgb="FF000000"/>
      </top>
      <bottom style="double">
        <color rgb="FF000000"/>
      </bottom>
      <diagonal/>
    </border>
    <border>
      <left style="medium">
        <color rgb="FF000000"/>
      </left>
      <right/>
      <top style="double">
        <color rgb="FF000000"/>
      </top>
      <bottom style="thin">
        <color rgb="FF000000"/>
      </bottom>
      <diagonal/>
    </border>
    <border>
      <left style="medium">
        <color rgb="FF000000"/>
      </left>
      <right/>
      <top style="double">
        <color rgb="FF000000"/>
      </top>
      <bottom/>
      <diagonal/>
    </border>
    <border>
      <left style="thin">
        <color rgb="FF000000"/>
      </left>
      <right style="medium">
        <color rgb="FF000000"/>
      </right>
      <top style="double">
        <color rgb="FF000000"/>
      </top>
      <bottom/>
      <diagonal/>
    </border>
    <border>
      <left/>
      <right/>
      <top style="double">
        <color rgb="FF000000"/>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thin">
        <color rgb="FF000000"/>
      </bottom>
      <diagonal/>
    </border>
    <border>
      <left/>
      <right style="medium">
        <color rgb="FF000000"/>
      </right>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double">
        <color rgb="FF000000"/>
      </bottom>
      <diagonal/>
    </border>
    <border>
      <left/>
      <right style="medium">
        <color rgb="FF000000"/>
      </right>
      <top style="thin">
        <color rgb="FF000000"/>
      </top>
      <bottom style="double">
        <color rgb="FF000000"/>
      </bottom>
      <diagonal/>
    </border>
    <border>
      <left/>
      <right style="double">
        <color rgb="FF000000"/>
      </right>
      <top style="medium">
        <color rgb="FF000000"/>
      </top>
      <bottom style="thin">
        <color rgb="FF000000"/>
      </bottom>
      <diagonal/>
    </border>
    <border>
      <left style="double">
        <color rgb="FF000000"/>
      </left>
      <right style="medium">
        <color rgb="FF000000"/>
      </right>
      <top style="thin">
        <color rgb="FF000000"/>
      </top>
      <bottom/>
      <diagonal/>
    </border>
    <border>
      <left style="double">
        <color rgb="FF000000"/>
      </left>
      <right/>
      <top style="medium">
        <color rgb="FF000000"/>
      </top>
      <bottom/>
      <diagonal/>
    </border>
    <border>
      <left/>
      <right style="thin">
        <color rgb="FF000000"/>
      </right>
      <top/>
      <bottom style="thin">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right style="thin">
        <color rgb="FF000000"/>
      </right>
      <top style="medium">
        <color rgb="FF000000"/>
      </top>
      <bottom style="thin">
        <color rgb="FF000000"/>
      </bottom>
      <diagonal/>
    </border>
    <border diagonalUp="1">
      <left style="thin">
        <color rgb="FF000000"/>
      </left>
      <right/>
      <top style="thin">
        <color rgb="FF000000"/>
      </top>
      <bottom/>
      <diagonal style="thin">
        <color rgb="FF000000"/>
      </diagonal>
    </border>
    <border diagonalUp="1">
      <left/>
      <right/>
      <top style="thin">
        <color rgb="FF000000"/>
      </top>
      <bottom/>
      <diagonal style="thin">
        <color rgb="FF000000"/>
      </diagonal>
    </border>
    <border diagonalUp="1">
      <left/>
      <right style="thin">
        <color rgb="FF000000"/>
      </right>
      <top style="thin">
        <color rgb="FF000000"/>
      </top>
      <bottom/>
      <diagonal style="thin">
        <color rgb="FF000000"/>
      </diagonal>
    </border>
    <border diagonalUp="1">
      <left style="thin">
        <color rgb="FF000000"/>
      </left>
      <right/>
      <top/>
      <bottom/>
      <diagonal style="thin">
        <color rgb="FF000000"/>
      </diagonal>
    </border>
    <border diagonalUp="1">
      <left/>
      <right/>
      <top/>
      <bottom/>
      <diagonal style="thin">
        <color rgb="FF000000"/>
      </diagonal>
    </border>
    <border diagonalUp="1">
      <left/>
      <right style="thin">
        <color rgb="FF000000"/>
      </right>
      <top/>
      <bottom/>
      <diagonal style="thin">
        <color rgb="FF000000"/>
      </diagonal>
    </border>
    <border diagonalUp="1">
      <left style="thin">
        <color rgb="FF000000"/>
      </left>
      <right/>
      <top/>
      <bottom style="thin">
        <color rgb="FF000000"/>
      </bottom>
      <diagonal style="thin">
        <color rgb="FF000000"/>
      </diagonal>
    </border>
    <border diagonalUp="1">
      <left/>
      <right/>
      <top/>
      <bottom style="thin">
        <color rgb="FF000000"/>
      </bottom>
      <diagonal style="thin">
        <color rgb="FF000000"/>
      </diagonal>
    </border>
    <border diagonalUp="1">
      <left/>
      <right style="thin">
        <color rgb="FF000000"/>
      </right>
      <top/>
      <bottom style="thin">
        <color rgb="FF000000"/>
      </bottom>
      <diagonal style="thin">
        <color rgb="FF000000"/>
      </diagonal>
    </border>
    <border diagonalUp="1">
      <left/>
      <right style="medium">
        <color rgb="FF000000"/>
      </right>
      <top style="thin">
        <color rgb="FF000000"/>
      </top>
      <bottom/>
      <diagonal style="thin">
        <color rgb="FF000000"/>
      </diagonal>
    </border>
    <border diagonalUp="1">
      <left/>
      <right style="medium">
        <color rgb="FF000000"/>
      </right>
      <top/>
      <bottom/>
      <diagonal style="thin">
        <color rgb="FF000000"/>
      </diagonal>
    </border>
    <border diagonalUp="1">
      <left/>
      <right style="medium">
        <color rgb="FF000000"/>
      </right>
      <top/>
      <bottom style="thin">
        <color rgb="FF000000"/>
      </bottom>
      <diagonal style="thin">
        <color rgb="FF000000"/>
      </diagonal>
    </border>
    <border>
      <left/>
      <right style="medium">
        <color rgb="FF000000"/>
      </right>
      <top style="hair">
        <color rgb="FF000000"/>
      </top>
      <bottom style="hair">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theme="1"/>
      </right>
      <top style="double">
        <color rgb="FF000000"/>
      </top>
      <bottom style="thin">
        <color theme="1"/>
      </bottom>
      <diagonal/>
    </border>
    <border>
      <left style="medium">
        <color rgb="FF000000"/>
      </left>
      <right style="thin">
        <color theme="1"/>
      </right>
      <top style="thin">
        <color theme="1"/>
      </top>
      <bottom style="double">
        <color rgb="FF000000"/>
      </bottom>
      <diagonal/>
    </border>
    <border>
      <left style="thin">
        <color rgb="FF000000"/>
      </left>
      <right style="thin">
        <color rgb="FF000000"/>
      </right>
      <top style="thin">
        <color rgb="FF000000"/>
      </top>
      <bottom style="double">
        <color theme="1"/>
      </bottom>
      <diagonal/>
    </border>
    <border>
      <left style="thin">
        <color rgb="FF000000"/>
      </left>
      <right/>
      <top style="thin">
        <color rgb="FF000000"/>
      </top>
      <bottom style="double">
        <color theme="1"/>
      </bottom>
      <diagonal/>
    </border>
    <border>
      <left style="thin">
        <color rgb="FF000000"/>
      </left>
      <right style="medium">
        <color rgb="FF000000"/>
      </right>
      <top style="thin">
        <color rgb="FF000000"/>
      </top>
      <bottom style="double">
        <color theme="1"/>
      </bottom>
      <diagonal/>
    </border>
    <border>
      <left style="medium">
        <color theme="1"/>
      </left>
      <right style="thin">
        <color theme="1"/>
      </right>
      <top style="double">
        <color rgb="FF000000"/>
      </top>
      <bottom style="thin">
        <color theme="1"/>
      </bottom>
      <diagonal/>
    </border>
    <border>
      <left style="medium">
        <color theme="1"/>
      </left>
      <right style="thin">
        <color theme="1"/>
      </right>
      <top style="thin">
        <color theme="1"/>
      </top>
      <bottom style="double">
        <color rgb="FF000000"/>
      </bottom>
      <diagonal/>
    </border>
    <border diagonalUp="1">
      <left style="double">
        <color theme="1"/>
      </left>
      <right style="thin">
        <color theme="1"/>
      </right>
      <top style="thin">
        <color theme="1"/>
      </top>
      <bottom style="thin">
        <color theme="1"/>
      </bottom>
      <diagonal style="thin">
        <color theme="1"/>
      </diagonal>
    </border>
    <border diagonalUp="1">
      <left style="double">
        <color theme="1"/>
      </left>
      <right style="thin">
        <color theme="1"/>
      </right>
      <top style="thin">
        <color theme="1"/>
      </top>
      <bottom style="medium">
        <color theme="1"/>
      </bottom>
      <diagonal style="thin">
        <color theme="1"/>
      </diagonal>
    </border>
    <border diagonalUp="1">
      <left style="double">
        <color theme="1"/>
      </left>
      <right style="thin">
        <color theme="1"/>
      </right>
      <top style="thin">
        <color theme="1"/>
      </top>
      <bottom style="hair">
        <color theme="1"/>
      </bottom>
      <diagonal style="thin">
        <color theme="1"/>
      </diagonal>
    </border>
    <border diagonalUp="1">
      <left style="double">
        <color theme="1"/>
      </left>
      <right style="thin">
        <color theme="1"/>
      </right>
      <top style="hair">
        <color theme="1"/>
      </top>
      <bottom style="hair">
        <color theme="1"/>
      </bottom>
      <diagonal style="thin">
        <color theme="1"/>
      </diagonal>
    </border>
    <border diagonalUp="1">
      <left style="thin">
        <color theme="1"/>
      </left>
      <right style="thin">
        <color theme="1"/>
      </right>
      <top style="hair">
        <color theme="1"/>
      </top>
      <bottom style="thin">
        <color theme="1"/>
      </bottom>
      <diagonal style="thin">
        <color theme="1"/>
      </diagonal>
    </border>
    <border diagonalUp="1">
      <left style="double">
        <color theme="1"/>
      </left>
      <right style="thin">
        <color theme="1"/>
      </right>
      <top style="hair">
        <color theme="1"/>
      </top>
      <bottom style="thin">
        <color theme="1"/>
      </bottom>
      <diagonal style="thin">
        <color theme="1"/>
      </diagonal>
    </border>
    <border diagonalUp="1">
      <left style="double">
        <color theme="1"/>
      </left>
      <right style="medium">
        <color theme="1"/>
      </right>
      <top style="hair">
        <color theme="1"/>
      </top>
      <bottom style="thin">
        <color theme="1"/>
      </bottom>
      <diagonal style="thin">
        <color theme="1"/>
      </diagonal>
    </border>
    <border>
      <left style="medium">
        <color rgb="FF000000"/>
      </left>
      <right/>
      <top style="thin">
        <color theme="1"/>
      </top>
      <bottom/>
      <diagonal/>
    </border>
    <border>
      <left/>
      <right/>
      <top/>
      <bottom style="thin">
        <color theme="1"/>
      </bottom>
      <diagonal/>
    </border>
    <border>
      <left/>
      <right/>
      <top style="thin">
        <color theme="1"/>
      </top>
      <bottom style="thin">
        <color theme="1"/>
      </bottom>
      <diagonal/>
    </border>
    <border diagonalUp="1">
      <left style="thin">
        <color theme="1"/>
      </left>
      <right style="thin">
        <color theme="1"/>
      </right>
      <top style="thin">
        <color theme="1"/>
      </top>
      <bottom style="thin">
        <color theme="1"/>
      </bottom>
      <diagonal style="thin">
        <color theme="1"/>
      </diagonal>
    </border>
    <border diagonalUp="1">
      <left/>
      <right/>
      <top/>
      <bottom/>
      <diagonal style="thin">
        <color theme="1"/>
      </diagonal>
    </border>
    <border diagonalUp="1">
      <left style="thin">
        <color theme="1"/>
      </left>
      <right style="medium">
        <color theme="1"/>
      </right>
      <top/>
      <bottom/>
      <diagonal style="thin">
        <color theme="1"/>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medium">
        <color rgb="FF000000"/>
      </right>
      <top style="medium">
        <color rgb="FF000000"/>
      </top>
      <bottom style="dotted">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diagonalUp="1">
      <left style="medium">
        <color rgb="FF000000"/>
      </left>
      <right style="medium">
        <color rgb="FF000000"/>
      </right>
      <top/>
      <bottom style="thin">
        <color rgb="FF000000"/>
      </bottom>
      <diagonal style="thin">
        <color rgb="FF000000"/>
      </diagonal>
    </border>
    <border diagonalUp="1">
      <left style="medium">
        <color rgb="FF000000"/>
      </left>
      <right style="medium">
        <color rgb="FF000000"/>
      </right>
      <top style="thin">
        <color rgb="FF000000"/>
      </top>
      <bottom style="thin">
        <color rgb="FF000000"/>
      </bottom>
      <diagonal style="thin">
        <color rgb="FF000000"/>
      </diagonal>
    </border>
    <border diagonalUp="1">
      <left style="medium">
        <color rgb="FF000000"/>
      </left>
      <right style="medium">
        <color rgb="FF000000"/>
      </right>
      <top style="thin">
        <color rgb="FF000000"/>
      </top>
      <bottom style="medium">
        <color rgb="FF000000"/>
      </bottom>
      <diagonal style="thin">
        <color rgb="FF000000"/>
      </diagonal>
    </border>
    <border diagonalUp="1">
      <left style="medium">
        <color rgb="FF000000"/>
      </left>
      <right style="medium">
        <color rgb="FF000000"/>
      </right>
      <top style="medium">
        <color rgb="FF000000"/>
      </top>
      <bottom style="thin">
        <color rgb="FF000000"/>
      </bottom>
      <diagonal style="thin">
        <color rgb="FF000000"/>
      </diagonal>
    </border>
    <border>
      <left style="medium">
        <color rgb="FF000000"/>
      </left>
      <right style="medium">
        <color rgb="FF000000"/>
      </right>
      <top/>
      <bottom style="medium">
        <color rgb="FF000000"/>
      </bottom>
      <diagonal/>
    </border>
  </borders>
  <cellStyleXfs count="8">
    <xf numFmtId="0" fontId="0" fillId="0" borderId="0"/>
    <xf numFmtId="0" fontId="2" fillId="0" borderId="0"/>
    <xf numFmtId="0" fontId="2" fillId="0" borderId="0"/>
    <xf numFmtId="0" fontId="3" fillId="0" borderId="0"/>
    <xf numFmtId="0" fontId="32" fillId="0" borderId="0"/>
    <xf numFmtId="0" fontId="3" fillId="0" borderId="0"/>
    <xf numFmtId="0" fontId="3" fillId="0" borderId="0"/>
    <xf numFmtId="0" fontId="3" fillId="0" borderId="0"/>
  </cellStyleXfs>
  <cellXfs count="833">
    <xf numFmtId="0" fontId="0" fillId="0" borderId="0" xfId="0"/>
    <xf numFmtId="0" fontId="2" fillId="0" borderId="0" xfId="2"/>
    <xf numFmtId="0" fontId="4" fillId="0" borderId="0" xfId="5"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3" applyFont="1" applyAlignment="1">
      <alignment vertical="center"/>
    </xf>
    <xf numFmtId="49" fontId="10" fillId="0" borderId="0" xfId="3" applyNumberFormat="1" applyFont="1" applyAlignment="1">
      <alignment vertical="center"/>
    </xf>
    <xf numFmtId="0" fontId="11" fillId="0" borderId="0" xfId="3" applyFont="1" applyAlignment="1">
      <alignment vertical="center"/>
    </xf>
    <xf numFmtId="49" fontId="11" fillId="0" borderId="0" xfId="3" applyNumberFormat="1" applyFont="1" applyAlignment="1">
      <alignment vertical="center"/>
    </xf>
    <xf numFmtId="0" fontId="9" fillId="0" borderId="12" xfId="3" applyFont="1" applyBorder="1" applyAlignment="1">
      <alignment vertical="center"/>
    </xf>
    <xf numFmtId="49" fontId="12" fillId="0" borderId="0" xfId="3" applyNumberFormat="1" applyFont="1" applyAlignment="1">
      <alignment horizontal="right" vertical="center"/>
    </xf>
    <xf numFmtId="0" fontId="13" fillId="0" borderId="0" xfId="0" applyFont="1" applyAlignment="1">
      <alignment vertical="center"/>
    </xf>
    <xf numFmtId="0" fontId="4" fillId="2" borderId="0" xfId="6" applyFont="1" applyFill="1" applyAlignment="1">
      <alignment vertical="center"/>
    </xf>
    <xf numFmtId="0" fontId="7" fillId="2" borderId="0" xfId="6" applyFont="1" applyFill="1" applyAlignment="1">
      <alignment vertical="center"/>
    </xf>
    <xf numFmtId="0" fontId="4" fillId="4" borderId="0" xfId="6" applyFont="1" applyFill="1" applyAlignment="1">
      <alignment vertical="center"/>
    </xf>
    <xf numFmtId="0" fontId="4" fillId="5" borderId="0" xfId="6" applyFont="1" applyFill="1" applyAlignment="1">
      <alignment vertical="center"/>
    </xf>
    <xf numFmtId="0" fontId="14" fillId="2" borderId="0" xfId="6" applyFont="1" applyFill="1" applyAlignment="1">
      <alignment vertical="center"/>
    </xf>
    <xf numFmtId="0" fontId="5" fillId="2" borderId="0" xfId="5" applyFont="1" applyFill="1" applyAlignment="1">
      <alignment vertical="center"/>
    </xf>
    <xf numFmtId="0" fontId="5" fillId="2" borderId="0" xfId="6" applyFont="1" applyFill="1" applyAlignment="1">
      <alignment vertical="center"/>
    </xf>
    <xf numFmtId="0" fontId="15" fillId="4" borderId="0" xfId="2" applyFont="1" applyFill="1" applyAlignment="1">
      <alignment horizontal="right"/>
    </xf>
    <xf numFmtId="0" fontId="16" fillId="4" borderId="0" xfId="2" applyFont="1" applyFill="1" applyAlignment="1">
      <alignment horizontal="right" vertical="center"/>
    </xf>
    <xf numFmtId="0" fontId="4" fillId="4" borderId="0" xfId="3" applyFont="1" applyFill="1" applyAlignment="1">
      <alignment vertical="center"/>
    </xf>
    <xf numFmtId="0" fontId="9" fillId="4" borderId="0" xfId="3" applyFont="1" applyFill="1" applyAlignment="1">
      <alignment vertical="center"/>
    </xf>
    <xf numFmtId="0" fontId="5" fillId="4" borderId="0" xfId="6" applyFont="1" applyFill="1" applyAlignment="1">
      <alignment vertical="center"/>
    </xf>
    <xf numFmtId="49" fontId="7" fillId="4" borderId="0" xfId="3" applyNumberFormat="1" applyFont="1" applyFill="1" applyAlignment="1">
      <alignment vertical="center"/>
    </xf>
    <xf numFmtId="49" fontId="4" fillId="4" borderId="0" xfId="3" applyNumberFormat="1" applyFont="1" applyFill="1" applyAlignment="1">
      <alignment vertical="center"/>
    </xf>
    <xf numFmtId="49" fontId="4" fillId="4" borderId="0" xfId="3" applyNumberFormat="1" applyFont="1" applyFill="1" applyAlignment="1">
      <alignment horizontal="right"/>
    </xf>
    <xf numFmtId="49" fontId="3" fillId="4" borderId="0" xfId="3" applyNumberFormat="1" applyFill="1"/>
    <xf numFmtId="0" fontId="5" fillId="5" borderId="0" xfId="6" applyFont="1" applyFill="1" applyAlignment="1">
      <alignment vertical="center"/>
    </xf>
    <xf numFmtId="49" fontId="9" fillId="4" borderId="0" xfId="3" applyNumberFormat="1" applyFont="1" applyFill="1" applyAlignment="1">
      <alignment vertical="center"/>
    </xf>
    <xf numFmtId="49" fontId="5" fillId="4" borderId="0" xfId="3" applyNumberFormat="1" applyFont="1" applyFill="1"/>
    <xf numFmtId="49" fontId="9" fillId="0" borderId="0" xfId="3" applyNumberFormat="1" applyFont="1" applyAlignment="1">
      <alignment vertical="center"/>
    </xf>
    <xf numFmtId="49" fontId="5" fillId="0" borderId="0" xfId="3" applyNumberFormat="1" applyFont="1"/>
    <xf numFmtId="49" fontId="3" fillId="0" borderId="0" xfId="3" applyNumberFormat="1"/>
    <xf numFmtId="49" fontId="9" fillId="4" borderId="0" xfId="3" applyNumberFormat="1" applyFont="1" applyFill="1" applyAlignment="1">
      <alignment horizontal="left" vertical="center"/>
    </xf>
    <xf numFmtId="49" fontId="10" fillId="4" borderId="0" xfId="3" applyNumberFormat="1" applyFont="1" applyFill="1" applyAlignment="1">
      <alignment vertical="center"/>
    </xf>
    <xf numFmtId="49" fontId="9" fillId="4" borderId="0" xfId="3" applyNumberFormat="1" applyFont="1" applyFill="1" applyAlignment="1">
      <alignment horizontal="center" vertical="center"/>
    </xf>
    <xf numFmtId="49" fontId="5" fillId="4" borderId="0" xfId="3" applyNumberFormat="1" applyFont="1" applyFill="1" applyAlignment="1">
      <alignment vertical="center"/>
    </xf>
    <xf numFmtId="49" fontId="17" fillId="2" borderId="0" xfId="7" applyNumberFormat="1" applyFont="1" applyFill="1" applyAlignment="1">
      <alignment horizontal="right" vertical="center"/>
    </xf>
    <xf numFmtId="0" fontId="5" fillId="2" borderId="0" xfId="7" applyFont="1" applyFill="1" applyAlignment="1">
      <alignment vertical="center"/>
    </xf>
    <xf numFmtId="0" fontId="4" fillId="4" borderId="0" xfId="3" applyFont="1" applyFill="1" applyAlignment="1">
      <alignment horizontal="right" vertical="center"/>
    </xf>
    <xf numFmtId="0" fontId="6" fillId="4" borderId="0" xfId="3" applyFont="1" applyFill="1" applyAlignment="1">
      <alignment vertical="center"/>
    </xf>
    <xf numFmtId="0" fontId="5" fillId="4" borderId="0" xfId="3" applyFont="1" applyFill="1" applyAlignment="1">
      <alignment vertical="center"/>
    </xf>
    <xf numFmtId="0" fontId="5" fillId="4" borderId="0" xfId="3" applyFont="1" applyFill="1" applyAlignment="1">
      <alignment horizontal="center" vertical="center"/>
    </xf>
    <xf numFmtId="176" fontId="5" fillId="2" borderId="0" xfId="2" applyNumberFormat="1" applyFont="1" applyFill="1" applyAlignment="1">
      <alignment vertical="center"/>
    </xf>
    <xf numFmtId="0" fontId="4" fillId="2" borderId="0" xfId="6" applyFont="1" applyFill="1" applyAlignment="1">
      <alignment vertical="center" wrapText="1"/>
    </xf>
    <xf numFmtId="0" fontId="5" fillId="2" borderId="0" xfId="6" applyFont="1" applyFill="1" applyAlignment="1">
      <alignment vertical="center" wrapText="1"/>
    </xf>
    <xf numFmtId="0" fontId="9" fillId="4" borderId="0" xfId="3" applyFont="1" applyFill="1" applyAlignment="1">
      <alignment vertical="center" wrapText="1"/>
    </xf>
    <xf numFmtId="0" fontId="5" fillId="4" borderId="0" xfId="3" applyFont="1" applyFill="1" applyAlignment="1">
      <alignment vertical="center" wrapText="1"/>
    </xf>
    <xf numFmtId="49" fontId="17" fillId="4" borderId="0" xfId="3" applyNumberFormat="1" applyFont="1" applyFill="1" applyAlignment="1">
      <alignment horizontal="center" vertical="center"/>
    </xf>
    <xf numFmtId="0" fontId="4" fillId="5" borderId="0" xfId="6" applyFont="1" applyFill="1" applyAlignment="1">
      <alignment vertical="center" wrapText="1"/>
    </xf>
    <xf numFmtId="0" fontId="4" fillId="2" borderId="0" xfId="6" applyFont="1" applyFill="1" applyAlignment="1">
      <alignment horizontal="right" vertical="center"/>
    </xf>
    <xf numFmtId="0" fontId="9" fillId="4" borderId="0" xfId="6" applyFont="1" applyFill="1" applyAlignment="1">
      <alignment vertical="center"/>
    </xf>
    <xf numFmtId="0" fontId="9" fillId="5" borderId="0" xfId="6" applyFont="1" applyFill="1" applyAlignment="1">
      <alignment vertical="center"/>
    </xf>
    <xf numFmtId="0" fontId="7" fillId="2" borderId="0" xfId="5" applyFont="1" applyFill="1" applyAlignment="1">
      <alignment vertical="center"/>
    </xf>
    <xf numFmtId="0" fontId="19" fillId="4" borderId="0" xfId="2" applyFont="1" applyFill="1" applyAlignment="1">
      <alignment horizontal="right" vertical="center"/>
    </xf>
    <xf numFmtId="0" fontId="19" fillId="4" borderId="0" xfId="2" applyFont="1" applyFill="1" applyAlignment="1">
      <alignment horizontal="left" vertical="center"/>
    </xf>
    <xf numFmtId="0" fontId="2" fillId="0" borderId="0" xfId="4" applyFont="1"/>
    <xf numFmtId="0" fontId="11" fillId="0" borderId="0" xfId="6" applyFont="1" applyAlignment="1">
      <alignment vertical="center"/>
    </xf>
    <xf numFmtId="0" fontId="6" fillId="0" borderId="0" xfId="7" applyFont="1" applyAlignment="1">
      <alignment horizontal="right" vertical="center" wrapText="1"/>
    </xf>
    <xf numFmtId="0" fontId="6" fillId="0" borderId="0" xfId="7" applyFont="1"/>
    <xf numFmtId="0" fontId="4" fillId="0" borderId="23" xfId="5" applyFont="1" applyBorder="1" applyAlignment="1">
      <alignment vertical="center"/>
    </xf>
    <xf numFmtId="0" fontId="5" fillId="0" borderId="11" xfId="5" applyFont="1" applyBorder="1" applyAlignment="1">
      <alignment vertical="center"/>
    </xf>
    <xf numFmtId="0" fontId="5" fillId="0" borderId="43" xfId="5" applyFont="1" applyBorder="1" applyAlignment="1">
      <alignment vertical="center"/>
    </xf>
    <xf numFmtId="0" fontId="2" fillId="4" borderId="0" xfId="0" applyFont="1" applyFill="1"/>
    <xf numFmtId="0" fontId="5" fillId="2" borderId="0" xfId="6" applyFont="1" applyFill="1"/>
    <xf numFmtId="0" fontId="9" fillId="2" borderId="0" xfId="6" applyFont="1" applyFill="1" applyAlignment="1">
      <alignment vertical="center"/>
    </xf>
    <xf numFmtId="0" fontId="21" fillId="2" borderId="0" xfId="6" applyFont="1" applyFill="1" applyAlignment="1">
      <alignment vertical="center"/>
    </xf>
    <xf numFmtId="0" fontId="5" fillId="2" borderId="0" xfId="0" applyFont="1" applyFill="1" applyAlignment="1">
      <alignment vertical="center"/>
    </xf>
    <xf numFmtId="0" fontId="6" fillId="0" borderId="0" xfId="7" applyFont="1" applyAlignment="1">
      <alignment horizontal="right" vertical="center"/>
    </xf>
    <xf numFmtId="0" fontId="6" fillId="0" borderId="0" xfId="7" applyFont="1" applyAlignment="1">
      <alignment vertical="center" wrapText="1"/>
    </xf>
    <xf numFmtId="0" fontId="5" fillId="0" borderId="12" xfId="0" applyFont="1" applyBorder="1" applyAlignment="1">
      <alignment vertical="center"/>
    </xf>
    <xf numFmtId="0" fontId="5" fillId="0" borderId="1" xfId="0" applyFont="1" applyBorder="1" applyAlignment="1">
      <alignment vertical="center"/>
    </xf>
    <xf numFmtId="0" fontId="5" fillId="0" borderId="105" xfId="0" applyFont="1" applyBorder="1" applyAlignment="1">
      <alignment vertical="center"/>
    </xf>
    <xf numFmtId="0" fontId="5" fillId="0" borderId="115" xfId="0" applyFont="1" applyBorder="1" applyAlignment="1">
      <alignment vertical="center"/>
    </xf>
    <xf numFmtId="0" fontId="5" fillId="0" borderId="117" xfId="0" applyFont="1" applyBorder="1" applyAlignment="1">
      <alignment vertical="center"/>
    </xf>
    <xf numFmtId="0" fontId="7" fillId="4" borderId="0" xfId="3" applyFont="1" applyFill="1" applyAlignment="1">
      <alignment vertical="center"/>
    </xf>
    <xf numFmtId="49" fontId="4" fillId="4" borderId="0" xfId="3" applyNumberFormat="1" applyFont="1" applyFill="1" applyAlignment="1">
      <alignment vertical="center" shrinkToFit="1"/>
    </xf>
    <xf numFmtId="49" fontId="4" fillId="4" borderId="0" xfId="3" applyNumberFormat="1" applyFont="1" applyFill="1" applyAlignment="1">
      <alignment horizontal="center" vertical="center"/>
    </xf>
    <xf numFmtId="49" fontId="4" fillId="4" borderId="0" xfId="3" applyNumberFormat="1" applyFont="1" applyFill="1"/>
    <xf numFmtId="49" fontId="4" fillId="4" borderId="0" xfId="3" applyNumberFormat="1" applyFont="1" applyFill="1" applyAlignment="1">
      <alignment horizontal="left" vertical="center"/>
    </xf>
    <xf numFmtId="49" fontId="4" fillId="4" borderId="0" xfId="3" applyNumberFormat="1" applyFont="1" applyFill="1" applyAlignment="1">
      <alignment horizontal="center" vertical="center" shrinkToFit="1"/>
    </xf>
    <xf numFmtId="0" fontId="4" fillId="4" borderId="0" xfId="3" applyFont="1" applyFill="1" applyAlignment="1">
      <alignment vertical="center" shrinkToFit="1"/>
    </xf>
    <xf numFmtId="49" fontId="4" fillId="4" borderId="23" xfId="3" applyNumberFormat="1" applyFont="1" applyFill="1" applyBorder="1" applyAlignment="1">
      <alignment vertical="center"/>
    </xf>
    <xf numFmtId="49" fontId="4" fillId="4" borderId="8" xfId="3" applyNumberFormat="1" applyFont="1" applyFill="1" applyBorder="1" applyAlignment="1">
      <alignment vertical="center"/>
    </xf>
    <xf numFmtId="49" fontId="4" fillId="4" borderId="0" xfId="3" applyNumberFormat="1" applyFont="1" applyFill="1" applyAlignment="1">
      <alignment horizontal="right" vertical="top"/>
    </xf>
    <xf numFmtId="49" fontId="4" fillId="4" borderId="0" xfId="3" applyNumberFormat="1" applyFont="1" applyFill="1" applyAlignment="1">
      <alignment vertical="top"/>
    </xf>
    <xf numFmtId="49" fontId="13" fillId="4" borderId="123" xfId="3" applyNumberFormat="1" applyFont="1" applyFill="1" applyBorder="1" applyAlignment="1">
      <alignment horizontal="center" vertical="center"/>
    </xf>
    <xf numFmtId="49" fontId="4" fillId="4" borderId="123" xfId="3" applyNumberFormat="1" applyFont="1" applyFill="1" applyBorder="1" applyAlignment="1">
      <alignment horizontal="right" vertical="center"/>
    </xf>
    <xf numFmtId="49" fontId="4" fillId="4" borderId="124" xfId="3" applyNumberFormat="1" applyFont="1" applyFill="1" applyBorder="1" applyAlignment="1">
      <alignment horizontal="right" vertical="top"/>
    </xf>
    <xf numFmtId="0" fontId="4" fillId="0" borderId="0" xfId="0" applyFont="1" applyAlignment="1" applyProtection="1">
      <alignment vertical="center"/>
      <protection locked="0"/>
    </xf>
    <xf numFmtId="0" fontId="22" fillId="0" borderId="10" xfId="7" applyFont="1" applyBorder="1" applyAlignment="1">
      <alignment horizontal="right" vertical="center" shrinkToFit="1"/>
    </xf>
    <xf numFmtId="49" fontId="22" fillId="0" borderId="10" xfId="7" applyNumberFormat="1" applyFont="1" applyBorder="1" applyAlignment="1">
      <alignment horizontal="left" vertical="center" shrinkToFit="1"/>
    </xf>
    <xf numFmtId="0" fontId="22" fillId="0" borderId="11" xfId="7" applyFont="1" applyBorder="1" applyAlignment="1">
      <alignment horizontal="right" vertical="center"/>
    </xf>
    <xf numFmtId="49" fontId="22" fillId="0" borderId="11" xfId="7" applyNumberFormat="1" applyFont="1" applyBorder="1" applyAlignment="1">
      <alignment horizontal="left" vertical="center"/>
    </xf>
    <xf numFmtId="0" fontId="10" fillId="0" borderId="0" xfId="3" applyFont="1" applyAlignment="1">
      <alignment vertical="center"/>
    </xf>
    <xf numFmtId="0" fontId="9" fillId="0" borderId="5" xfId="3" applyFont="1" applyBorder="1" applyAlignment="1">
      <alignment horizontal="center" vertical="center"/>
    </xf>
    <xf numFmtId="0" fontId="9" fillId="0" borderId="13" xfId="3" applyFont="1" applyBorder="1" applyAlignment="1">
      <alignment horizontal="center" vertical="center"/>
    </xf>
    <xf numFmtId="0" fontId="9" fillId="0" borderId="14" xfId="3" applyFont="1" applyBorder="1" applyAlignment="1">
      <alignment horizontal="center" vertical="center"/>
    </xf>
    <xf numFmtId="3" fontId="10" fillId="0" borderId="18" xfId="3" applyNumberFormat="1" applyFont="1" applyBorder="1" applyAlignment="1" applyProtection="1">
      <alignment vertical="center" shrinkToFit="1"/>
      <protection locked="0"/>
    </xf>
    <xf numFmtId="3" fontId="10" fillId="3" borderId="15" xfId="3" applyNumberFormat="1" applyFont="1" applyFill="1" applyBorder="1" applyAlignment="1">
      <alignment vertical="center" shrinkToFit="1"/>
    </xf>
    <xf numFmtId="0" fontId="4" fillId="0" borderId="12" xfId="0" applyFont="1" applyBorder="1" applyAlignment="1">
      <alignment horizontal="center" vertical="center"/>
    </xf>
    <xf numFmtId="0" fontId="4" fillId="0" borderId="16" xfId="0" applyFont="1" applyBorder="1" applyAlignment="1">
      <alignment horizontal="center" vertical="center"/>
    </xf>
    <xf numFmtId="3" fontId="7" fillId="4" borderId="20" xfId="0" applyNumberFormat="1" applyFont="1" applyFill="1" applyBorder="1" applyAlignment="1" applyProtection="1">
      <alignment vertical="center" shrinkToFit="1"/>
      <protection locked="0"/>
    </xf>
    <xf numFmtId="176" fontId="7" fillId="2" borderId="17" xfId="0" applyNumberFormat="1" applyFont="1" applyFill="1" applyBorder="1" applyAlignment="1">
      <alignment vertical="center" shrinkToFit="1"/>
    </xf>
    <xf numFmtId="3" fontId="7" fillId="4" borderId="19" xfId="0" applyNumberFormat="1" applyFont="1" applyFill="1" applyBorder="1" applyAlignment="1" applyProtection="1">
      <alignment vertical="center" shrinkToFit="1"/>
      <protection locked="0"/>
    </xf>
    <xf numFmtId="3" fontId="7" fillId="4" borderId="27" xfId="0" applyNumberFormat="1" applyFont="1" applyFill="1" applyBorder="1" applyAlignment="1" applyProtection="1">
      <alignment vertical="center" shrinkToFit="1"/>
      <protection locked="0"/>
    </xf>
    <xf numFmtId="0" fontId="4" fillId="0" borderId="14" xfId="0" applyFont="1" applyBorder="1" applyAlignment="1">
      <alignment horizontal="center" vertical="center"/>
    </xf>
    <xf numFmtId="3" fontId="22" fillId="8" borderId="18" xfId="3" applyNumberFormat="1" applyFont="1" applyFill="1" applyBorder="1" applyAlignment="1">
      <alignment vertical="center" shrinkToFit="1"/>
    </xf>
    <xf numFmtId="3" fontId="22" fillId="8" borderId="15" xfId="3" applyNumberFormat="1" applyFont="1" applyFill="1" applyBorder="1" applyAlignment="1">
      <alignment vertical="center" shrinkToFit="1"/>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13" xfId="0" applyFont="1" applyBorder="1" applyAlignment="1">
      <alignment horizontal="center" vertical="center"/>
    </xf>
    <xf numFmtId="3" fontId="10" fillId="6" borderId="19" xfId="3" applyNumberFormat="1" applyFont="1" applyFill="1" applyBorder="1" applyAlignment="1">
      <alignment vertical="center" shrinkToFit="1"/>
    </xf>
    <xf numFmtId="0" fontId="4" fillId="0" borderId="20" xfId="0" applyFont="1" applyBorder="1" applyAlignment="1">
      <alignment horizontal="center" vertical="center"/>
    </xf>
    <xf numFmtId="0" fontId="4" fillId="0" borderId="20" xfId="0" applyFont="1" applyBorder="1" applyAlignment="1">
      <alignment horizontal="center" vertical="center" wrapText="1"/>
    </xf>
    <xf numFmtId="0" fontId="4" fillId="0" borderId="19" xfId="0" applyFont="1" applyBorder="1" applyAlignment="1">
      <alignment horizontal="center" vertical="center"/>
    </xf>
    <xf numFmtId="3" fontId="7" fillId="4" borderId="18" xfId="0" applyNumberFormat="1" applyFont="1" applyFill="1" applyBorder="1" applyAlignment="1" applyProtection="1">
      <alignment vertical="center" shrinkToFit="1"/>
      <protection locked="0"/>
    </xf>
    <xf numFmtId="3" fontId="10" fillId="6" borderId="15" xfId="3" applyNumberFormat="1" applyFont="1" applyFill="1" applyBorder="1" applyAlignment="1">
      <alignment vertical="center" shrinkToFit="1"/>
    </xf>
    <xf numFmtId="0" fontId="4" fillId="2" borderId="0" xfId="6" applyFont="1" applyFill="1" applyAlignment="1" applyProtection="1">
      <alignment vertical="center"/>
      <protection locked="0"/>
    </xf>
    <xf numFmtId="0" fontId="4" fillId="4" borderId="0" xfId="0" applyFont="1" applyFill="1" applyAlignment="1">
      <alignment vertical="center"/>
    </xf>
    <xf numFmtId="0" fontId="7" fillId="0" borderId="0" xfId="5" applyFont="1" applyAlignment="1">
      <alignment vertical="center"/>
    </xf>
    <xf numFmtId="0" fontId="2" fillId="0" borderId="0" xfId="0" applyFont="1" applyProtection="1">
      <protection locked="0"/>
    </xf>
    <xf numFmtId="49" fontId="22" fillId="0" borderId="10" xfId="7" applyNumberFormat="1" applyFont="1" applyBorder="1" applyAlignment="1">
      <alignment horizontal="left" vertical="center"/>
    </xf>
    <xf numFmtId="0" fontId="4" fillId="0" borderId="21" xfId="0" applyFont="1" applyBorder="1" applyAlignment="1">
      <alignment vertical="center" wrapText="1"/>
    </xf>
    <xf numFmtId="176" fontId="4" fillId="0" borderId="106" xfId="0" applyNumberFormat="1" applyFont="1" applyBorder="1" applyAlignment="1">
      <alignment horizontal="center" vertical="center"/>
    </xf>
    <xf numFmtId="176" fontId="4" fillId="0" borderId="107" xfId="0" applyNumberFormat="1" applyFont="1" applyBorder="1" applyAlignment="1">
      <alignment horizontal="center" vertical="center"/>
    </xf>
    <xf numFmtId="176" fontId="4" fillId="0" borderId="107" xfId="0" applyNumberFormat="1" applyFont="1" applyBorder="1" applyAlignment="1">
      <alignment horizontal="center" vertical="center" wrapText="1"/>
    </xf>
    <xf numFmtId="176" fontId="4" fillId="0" borderId="108" xfId="0" applyNumberFormat="1" applyFont="1" applyBorder="1" applyAlignment="1">
      <alignment horizontal="center" vertical="center" wrapText="1"/>
    </xf>
    <xf numFmtId="0" fontId="4" fillId="0" borderId="163" xfId="0" applyFont="1" applyBorder="1" applyAlignment="1">
      <alignment vertical="center" wrapText="1"/>
    </xf>
    <xf numFmtId="176" fontId="7" fillId="2" borderId="110" xfId="0" applyNumberFormat="1" applyFont="1" applyFill="1" applyBorder="1" applyAlignment="1">
      <alignment vertical="center" shrinkToFit="1"/>
    </xf>
    <xf numFmtId="176" fontId="7" fillId="9" borderId="110" xfId="0" applyNumberFormat="1" applyFont="1" applyFill="1" applyBorder="1" applyAlignment="1">
      <alignment vertical="center" shrinkToFit="1"/>
    </xf>
    <xf numFmtId="176" fontId="7" fillId="2" borderId="111" xfId="0" applyNumberFormat="1" applyFont="1" applyFill="1" applyBorder="1" applyAlignment="1">
      <alignment vertical="center" shrinkToFit="1"/>
    </xf>
    <xf numFmtId="176" fontId="7" fillId="9" borderId="111" xfId="0" applyNumberFormat="1" applyFont="1" applyFill="1" applyBorder="1" applyAlignment="1">
      <alignment vertical="center" shrinkToFit="1"/>
    </xf>
    <xf numFmtId="176" fontId="7" fillId="8" borderId="111" xfId="0" applyNumberFormat="1" applyFont="1" applyFill="1" applyBorder="1" applyAlignment="1">
      <alignment vertical="center" shrinkToFit="1"/>
    </xf>
    <xf numFmtId="176" fontId="7" fillId="8" borderId="112" xfId="0" applyNumberFormat="1" applyFont="1" applyFill="1" applyBorder="1" applyAlignment="1">
      <alignment vertical="center" shrinkToFit="1"/>
    </xf>
    <xf numFmtId="0" fontId="4" fillId="0" borderId="164" xfId="0" applyFont="1" applyBorder="1" applyAlignment="1">
      <alignment vertical="center" wrapText="1"/>
    </xf>
    <xf numFmtId="176" fontId="7" fillId="2" borderId="102" xfId="0" applyNumberFormat="1" applyFont="1" applyFill="1" applyBorder="1" applyAlignment="1">
      <alignment vertical="center" shrinkToFit="1"/>
    </xf>
    <xf numFmtId="176" fontId="7" fillId="2" borderId="113" xfId="0" applyNumberFormat="1" applyFont="1" applyFill="1" applyBorder="1" applyAlignment="1">
      <alignment vertical="center" shrinkToFit="1"/>
    </xf>
    <xf numFmtId="176" fontId="7" fillId="8" borderId="113" xfId="0" applyNumberFormat="1" applyFont="1" applyFill="1" applyBorder="1" applyAlignment="1">
      <alignment vertical="center" shrinkToFit="1"/>
    </xf>
    <xf numFmtId="176" fontId="7" fillId="8" borderId="104" xfId="0" applyNumberFormat="1" applyFont="1" applyFill="1" applyBorder="1" applyAlignment="1">
      <alignment vertical="center" shrinkToFit="1"/>
    </xf>
    <xf numFmtId="0" fontId="4" fillId="0" borderId="109" xfId="0" applyFont="1" applyBorder="1" applyAlignment="1">
      <alignment vertical="center" wrapText="1"/>
    </xf>
    <xf numFmtId="0" fontId="4" fillId="0" borderId="101" xfId="0" applyFont="1" applyBorder="1" applyAlignment="1">
      <alignment vertical="center" wrapText="1"/>
    </xf>
    <xf numFmtId="176" fontId="7" fillId="2" borderId="27" xfId="0" applyNumberFormat="1" applyFont="1" applyFill="1" applyBorder="1" applyAlignment="1">
      <alignment vertical="center" shrinkToFit="1"/>
    </xf>
    <xf numFmtId="176" fontId="7" fillId="9" borderId="27" xfId="0" applyNumberFormat="1" applyFont="1" applyFill="1" applyBorder="1" applyAlignment="1">
      <alignment vertical="center" shrinkToFit="1"/>
    </xf>
    <xf numFmtId="176" fontId="7" fillId="2" borderId="165" xfId="0" applyNumberFormat="1" applyFont="1" applyFill="1" applyBorder="1" applyAlignment="1">
      <alignment vertical="center" shrinkToFit="1"/>
    </xf>
    <xf numFmtId="176" fontId="7" fillId="2" borderId="166" xfId="0" applyNumberFormat="1" applyFont="1" applyFill="1" applyBorder="1" applyAlignment="1">
      <alignment vertical="center" shrinkToFit="1"/>
    </xf>
    <xf numFmtId="176" fontId="7" fillId="8" borderId="165" xfId="0" applyNumberFormat="1" applyFont="1" applyFill="1" applyBorder="1" applyAlignment="1">
      <alignment vertical="center" shrinkToFit="1"/>
    </xf>
    <xf numFmtId="176" fontId="7" fillId="8" borderId="167" xfId="0" applyNumberFormat="1" applyFont="1" applyFill="1" applyBorder="1" applyAlignment="1">
      <alignment vertical="center" shrinkToFit="1"/>
    </xf>
    <xf numFmtId="0" fontId="4" fillId="0" borderId="14" xfId="0" applyFont="1" applyBorder="1" applyAlignment="1">
      <alignment vertical="center" wrapText="1"/>
    </xf>
    <xf numFmtId="176" fontId="7" fillId="2" borderId="18" xfId="0" applyNumberFormat="1" applyFont="1" applyFill="1" applyBorder="1" applyAlignment="1">
      <alignment vertical="center" shrinkToFit="1"/>
    </xf>
    <xf numFmtId="176" fontId="7" fillId="2" borderId="72" xfId="0" applyNumberFormat="1" applyFont="1" applyFill="1" applyBorder="1" applyAlignment="1">
      <alignment vertical="center" shrinkToFit="1"/>
    </xf>
    <xf numFmtId="176" fontId="7" fillId="8" borderId="18" xfId="0" applyNumberFormat="1" applyFont="1" applyFill="1" applyBorder="1" applyAlignment="1">
      <alignment vertical="center" shrinkToFit="1"/>
    </xf>
    <xf numFmtId="176" fontId="7" fillId="8" borderId="15" xfId="0" applyNumberFormat="1" applyFont="1" applyFill="1" applyBorder="1" applyAlignment="1">
      <alignment vertical="center" shrinkToFit="1"/>
    </xf>
    <xf numFmtId="176" fontId="7" fillId="2" borderId="114" xfId="0" applyNumberFormat="1" applyFont="1" applyFill="1" applyBorder="1" applyAlignment="1">
      <alignment vertical="center" shrinkToFit="1"/>
    </xf>
    <xf numFmtId="176" fontId="7" fillId="2" borderId="112" xfId="0" applyNumberFormat="1" applyFont="1" applyFill="1" applyBorder="1" applyAlignment="1">
      <alignment vertical="center" shrinkToFit="1"/>
    </xf>
    <xf numFmtId="176" fontId="7" fillId="2" borderId="103" xfId="0" applyNumberFormat="1" applyFont="1" applyFill="1" applyBorder="1" applyAlignment="1">
      <alignment vertical="center" shrinkToFit="1"/>
    </xf>
    <xf numFmtId="176" fontId="7" fillId="2" borderId="104" xfId="0" applyNumberFormat="1" applyFont="1" applyFill="1" applyBorder="1" applyAlignment="1">
      <alignment vertical="center" shrinkToFit="1"/>
    </xf>
    <xf numFmtId="176" fontId="7" fillId="2" borderId="15" xfId="0" applyNumberFormat="1" applyFont="1" applyFill="1" applyBorder="1" applyAlignment="1">
      <alignment vertical="center" shrinkToFit="1"/>
    </xf>
    <xf numFmtId="0" fontId="4" fillId="0" borderId="21" xfId="0" applyFont="1" applyBorder="1" applyAlignment="1">
      <alignment vertical="center"/>
    </xf>
    <xf numFmtId="0" fontId="4" fillId="0" borderId="116" xfId="0" applyFont="1" applyBorder="1" applyAlignment="1">
      <alignment vertical="center"/>
    </xf>
    <xf numFmtId="176" fontId="4" fillId="0" borderId="111" xfId="0" applyNumberFormat="1" applyFont="1" applyBorder="1" applyAlignment="1">
      <alignment horizontal="center" vertical="center"/>
    </xf>
    <xf numFmtId="0" fontId="4" fillId="0" borderId="112" xfId="0" applyFont="1" applyBorder="1" applyAlignment="1">
      <alignment horizontal="center" vertical="center"/>
    </xf>
    <xf numFmtId="0" fontId="4" fillId="0" borderId="118" xfId="0" applyFont="1" applyBorder="1" applyAlignment="1">
      <alignment vertical="center" wrapText="1"/>
    </xf>
    <xf numFmtId="176" fontId="7" fillId="2" borderId="119" xfId="0" applyNumberFormat="1" applyFont="1" applyFill="1" applyBorder="1" applyAlignment="1">
      <alignment vertical="center" shrinkToFit="1"/>
    </xf>
    <xf numFmtId="0" fontId="4" fillId="0" borderId="24" xfId="0" applyFont="1" applyBorder="1" applyAlignment="1">
      <alignment vertical="center" wrapText="1"/>
    </xf>
    <xf numFmtId="176" fontId="7" fillId="2" borderId="26" xfId="0" applyNumberFormat="1" applyFont="1" applyFill="1" applyBorder="1" applyAlignment="1">
      <alignment vertical="center" shrinkToFit="1"/>
    </xf>
    <xf numFmtId="0" fontId="4" fillId="0" borderId="116" xfId="0" applyFont="1" applyBorder="1" applyAlignment="1">
      <alignment vertical="center" wrapText="1"/>
    </xf>
    <xf numFmtId="0" fontId="4" fillId="0" borderId="120" xfId="0" applyFont="1" applyBorder="1" applyAlignment="1">
      <alignment vertical="center" wrapText="1"/>
    </xf>
    <xf numFmtId="0" fontId="4" fillId="0" borderId="73" xfId="0" applyFont="1" applyBorder="1" applyAlignment="1">
      <alignment vertical="center" wrapText="1"/>
    </xf>
    <xf numFmtId="0" fontId="4" fillId="0" borderId="33" xfId="0" applyFont="1" applyBorder="1" applyAlignment="1">
      <alignment vertical="center" wrapText="1"/>
    </xf>
    <xf numFmtId="176" fontId="7" fillId="2" borderId="44" xfId="0" applyNumberFormat="1" applyFont="1" applyFill="1" applyBorder="1" applyAlignment="1">
      <alignment vertical="center" shrinkToFit="1"/>
    </xf>
    <xf numFmtId="0" fontId="4" fillId="0" borderId="168" xfId="0" applyFont="1" applyBorder="1" applyAlignment="1">
      <alignment vertical="center" wrapText="1"/>
    </xf>
    <xf numFmtId="176" fontId="7" fillId="8" borderId="110" xfId="0" applyNumberFormat="1" applyFont="1" applyFill="1" applyBorder="1" applyAlignment="1">
      <alignment vertical="center" shrinkToFit="1"/>
    </xf>
    <xf numFmtId="0" fontId="4" fillId="0" borderId="169" xfId="0" applyFont="1" applyBorder="1" applyAlignment="1">
      <alignment vertical="center" wrapText="1"/>
    </xf>
    <xf numFmtId="176" fontId="7" fillId="8" borderId="26" xfId="0" applyNumberFormat="1" applyFont="1" applyFill="1" applyBorder="1" applyAlignment="1">
      <alignment vertical="center" shrinkToFit="1"/>
    </xf>
    <xf numFmtId="176" fontId="7" fillId="8" borderId="103" xfId="0" applyNumberFormat="1" applyFont="1" applyFill="1" applyBorder="1" applyAlignment="1">
      <alignment vertical="center" shrinkToFit="1"/>
    </xf>
    <xf numFmtId="0" fontId="7" fillId="0" borderId="0" xfId="6" applyFont="1" applyAlignment="1">
      <alignment vertical="center"/>
    </xf>
    <xf numFmtId="0" fontId="22" fillId="4" borderId="10" xfId="2" applyFont="1" applyFill="1" applyBorder="1" applyAlignment="1">
      <alignment horizontal="right" vertical="center"/>
    </xf>
    <xf numFmtId="49" fontId="22" fillId="4" borderId="10" xfId="2" applyNumberFormat="1" applyFont="1" applyFill="1" applyBorder="1" applyAlignment="1">
      <alignment horizontal="left" vertical="center"/>
    </xf>
    <xf numFmtId="0" fontId="4" fillId="2" borderId="0" xfId="0" applyFont="1" applyFill="1" applyAlignment="1">
      <alignment vertical="center"/>
    </xf>
    <xf numFmtId="0" fontId="4" fillId="0" borderId="5" xfId="6" applyFont="1" applyBorder="1" applyAlignment="1">
      <alignment horizontal="left" vertical="center"/>
    </xf>
    <xf numFmtId="0" fontId="4" fillId="0" borderId="2" xfId="6" applyFont="1" applyBorder="1" applyAlignment="1">
      <alignment horizontal="center" vertical="center"/>
    </xf>
    <xf numFmtId="0" fontId="4" fillId="0" borderId="4" xfId="6" applyFont="1" applyBorder="1" applyAlignment="1">
      <alignment horizontal="center" vertical="center"/>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4" fillId="0" borderId="27" xfId="6" applyFont="1" applyBorder="1" applyAlignment="1">
      <alignment vertical="center"/>
    </xf>
    <xf numFmtId="176" fontId="7" fillId="8" borderId="20" xfId="2" applyNumberFormat="1" applyFont="1" applyFill="1" applyBorder="1" applyAlignment="1">
      <alignment vertical="center" shrinkToFit="1"/>
    </xf>
    <xf numFmtId="176" fontId="7" fillId="8" borderId="99" xfId="2" applyNumberFormat="1" applyFont="1" applyFill="1" applyBorder="1" applyAlignment="1">
      <alignment vertical="center" shrinkToFit="1"/>
    </xf>
    <xf numFmtId="0" fontId="1" fillId="6" borderId="170" xfId="0" applyFont="1" applyFill="1" applyBorder="1" applyAlignment="1">
      <alignment vertical="center"/>
    </xf>
    <xf numFmtId="176" fontId="7" fillId="8" borderId="40" xfId="2" applyNumberFormat="1" applyFont="1" applyFill="1" applyBorder="1" applyAlignment="1">
      <alignment vertical="center" shrinkToFit="1"/>
    </xf>
    <xf numFmtId="176" fontId="7" fillId="8" borderId="28" xfId="2" applyNumberFormat="1" applyFont="1" applyFill="1" applyBorder="1" applyAlignment="1">
      <alignment vertical="center" shrinkToFit="1"/>
    </xf>
    <xf numFmtId="0" fontId="4" fillId="0" borderId="20" xfId="6" applyFont="1" applyBorder="1" applyAlignment="1">
      <alignment horizontal="left" vertical="center" indent="1"/>
    </xf>
    <xf numFmtId="176" fontId="7" fillId="2" borderId="20" xfId="2" applyNumberFormat="1" applyFont="1" applyFill="1" applyBorder="1" applyAlignment="1">
      <alignment vertical="center" shrinkToFit="1"/>
    </xf>
    <xf numFmtId="0" fontId="1" fillId="4" borderId="170" xfId="0" applyFont="1" applyFill="1" applyBorder="1" applyAlignment="1">
      <alignment vertical="center"/>
    </xf>
    <xf numFmtId="0" fontId="4" fillId="0" borderId="27" xfId="6" applyFont="1" applyBorder="1" applyAlignment="1">
      <alignment horizontal="left" vertical="center" indent="1"/>
    </xf>
    <xf numFmtId="0" fontId="4" fillId="0" borderId="30" xfId="6" applyFont="1" applyBorder="1" applyAlignment="1">
      <alignment horizontal="left" vertical="center"/>
    </xf>
    <xf numFmtId="176" fontId="7" fillId="8" borderId="32" xfId="2" applyNumberFormat="1" applyFont="1" applyFill="1" applyBorder="1" applyAlignment="1">
      <alignment vertical="center" shrinkToFit="1"/>
    </xf>
    <xf numFmtId="0" fontId="4" fillId="0" borderId="98" xfId="6" applyFont="1" applyBorder="1" applyAlignment="1">
      <alignment horizontal="center" vertical="center"/>
    </xf>
    <xf numFmtId="0" fontId="1" fillId="5" borderId="170" xfId="0" applyFont="1" applyFill="1" applyBorder="1" applyAlignment="1">
      <alignment vertical="center"/>
    </xf>
    <xf numFmtId="0" fontId="1" fillId="5" borderId="171" xfId="0" applyFont="1" applyFill="1" applyBorder="1" applyAlignment="1">
      <alignment vertical="center"/>
    </xf>
    <xf numFmtId="0" fontId="5" fillId="6" borderId="170" xfId="0" applyFont="1" applyFill="1" applyBorder="1" applyAlignment="1">
      <alignment vertical="center"/>
    </xf>
    <xf numFmtId="176" fontId="7" fillId="8" borderId="18" xfId="2" applyNumberFormat="1" applyFont="1" applyFill="1" applyBorder="1" applyAlignment="1">
      <alignment vertical="center" shrinkToFit="1"/>
    </xf>
    <xf numFmtId="176" fontId="7" fillId="8" borderId="100" xfId="2" applyNumberFormat="1" applyFont="1" applyFill="1" applyBorder="1" applyAlignment="1">
      <alignment vertical="center" shrinkToFit="1"/>
    </xf>
    <xf numFmtId="0" fontId="5" fillId="6" borderId="171" xfId="0" applyFont="1" applyFill="1" applyBorder="1" applyAlignment="1">
      <alignment vertical="center"/>
    </xf>
    <xf numFmtId="176" fontId="7" fillId="8" borderId="41" xfId="2" applyNumberFormat="1" applyFont="1" applyFill="1" applyBorder="1" applyAlignment="1">
      <alignment vertical="center" shrinkToFit="1"/>
    </xf>
    <xf numFmtId="0" fontId="22" fillId="4" borderId="10" xfId="2" applyFont="1" applyFill="1" applyBorder="1" applyAlignment="1">
      <alignment horizontal="left" vertical="center"/>
    </xf>
    <xf numFmtId="0" fontId="5" fillId="5" borderId="170" xfId="0" applyFont="1" applyFill="1" applyBorder="1" applyAlignment="1">
      <alignment vertical="center"/>
    </xf>
    <xf numFmtId="0" fontId="5" fillId="5" borderId="171" xfId="0" applyFont="1" applyFill="1" applyBorder="1" applyAlignment="1">
      <alignment vertical="center"/>
    </xf>
    <xf numFmtId="0" fontId="7" fillId="4" borderId="0" xfId="6" applyFont="1" applyFill="1" applyAlignment="1">
      <alignment vertical="center"/>
    </xf>
    <xf numFmtId="0" fontId="22" fillId="0" borderId="10" xfId="7" applyFont="1" applyBorder="1" applyAlignment="1">
      <alignment horizontal="left" vertical="center" shrinkToFit="1"/>
    </xf>
    <xf numFmtId="0" fontId="22" fillId="0" borderId="11" xfId="7" applyFont="1" applyBorder="1" applyAlignment="1">
      <alignment horizontal="left" vertical="center"/>
    </xf>
    <xf numFmtId="0" fontId="4" fillId="2" borderId="34" xfId="6" applyFont="1" applyFill="1" applyBorder="1" applyAlignment="1">
      <alignment horizontal="center" vertical="center"/>
    </xf>
    <xf numFmtId="0" fontId="4" fillId="2" borderId="39" xfId="6" applyFont="1" applyFill="1" applyBorder="1" applyAlignment="1">
      <alignment horizontal="center" vertical="center"/>
    </xf>
    <xf numFmtId="0" fontId="4" fillId="2" borderId="20" xfId="6" applyFont="1" applyFill="1" applyBorder="1" applyAlignment="1">
      <alignment horizontal="center" vertical="center"/>
    </xf>
    <xf numFmtId="0" fontId="4" fillId="2" borderId="7" xfId="6" applyFont="1" applyFill="1" applyBorder="1" applyAlignment="1">
      <alignment horizontal="center" vertical="center"/>
    </xf>
    <xf numFmtId="176" fontId="7" fillId="2" borderId="26" xfId="6" applyNumberFormat="1" applyFont="1" applyFill="1" applyBorder="1" applyAlignment="1">
      <alignment horizontal="right" vertical="center" shrinkToFit="1"/>
    </xf>
    <xf numFmtId="176" fontId="7" fillId="8" borderId="26" xfId="6" applyNumberFormat="1" applyFont="1" applyFill="1" applyBorder="1" applyAlignment="1">
      <alignment horizontal="right" vertical="center" shrinkToFit="1"/>
    </xf>
    <xf numFmtId="0" fontId="7" fillId="2" borderId="170" xfId="0" applyFont="1" applyFill="1" applyBorder="1" applyAlignment="1">
      <alignment vertical="center" shrinkToFit="1"/>
    </xf>
    <xf numFmtId="176" fontId="7" fillId="8" borderId="90" xfId="6" applyNumberFormat="1" applyFont="1" applyFill="1" applyBorder="1" applyAlignment="1">
      <alignment horizontal="right" vertical="center" shrinkToFit="1"/>
    </xf>
    <xf numFmtId="176" fontId="7" fillId="8" borderId="28" xfId="6" applyNumberFormat="1" applyFont="1" applyFill="1" applyBorder="1" applyAlignment="1">
      <alignment horizontal="right" vertical="center" shrinkToFit="1"/>
    </xf>
    <xf numFmtId="0" fontId="4" fillId="2" borderId="8" xfId="6" applyFont="1" applyFill="1" applyBorder="1" applyAlignment="1">
      <alignment horizontal="center" vertical="center"/>
    </xf>
    <xf numFmtId="176" fontId="7" fillId="8" borderId="29" xfId="6" applyNumberFormat="1" applyFont="1" applyFill="1" applyBorder="1" applyAlignment="1">
      <alignment horizontal="right" vertical="center" shrinkToFit="1"/>
    </xf>
    <xf numFmtId="176" fontId="7" fillId="8" borderId="41" xfId="6" applyNumberFormat="1" applyFont="1" applyFill="1" applyBorder="1" applyAlignment="1">
      <alignment horizontal="right" vertical="center" shrinkToFit="1"/>
    </xf>
    <xf numFmtId="0" fontId="7" fillId="6" borderId="171" xfId="0" applyFont="1" applyFill="1" applyBorder="1" applyAlignment="1">
      <alignment vertical="center" shrinkToFit="1"/>
    </xf>
    <xf numFmtId="176" fontId="7" fillId="8" borderId="72" xfId="6" applyNumberFormat="1" applyFont="1" applyFill="1" applyBorder="1" applyAlignment="1">
      <alignment horizontal="right" vertical="center" shrinkToFit="1"/>
    </xf>
    <xf numFmtId="176" fontId="7" fillId="8" borderId="32" xfId="6" applyNumberFormat="1" applyFont="1" applyFill="1" applyBorder="1" applyAlignment="1">
      <alignment horizontal="right" vertical="center" shrinkToFit="1"/>
    </xf>
    <xf numFmtId="0" fontId="22" fillId="2" borderId="0" xfId="6" applyFont="1" applyFill="1" applyAlignment="1">
      <alignment vertical="center"/>
    </xf>
    <xf numFmtId="0" fontId="4" fillId="2" borderId="40" xfId="6" applyFont="1" applyFill="1" applyBorder="1" applyAlignment="1">
      <alignment horizontal="center" vertical="center"/>
    </xf>
    <xf numFmtId="176" fontId="7" fillId="10" borderId="29" xfId="6" applyNumberFormat="1" applyFont="1" applyFill="1" applyBorder="1" applyAlignment="1">
      <alignment horizontal="right" vertical="center" shrinkToFit="1"/>
    </xf>
    <xf numFmtId="176" fontId="7" fillId="8" borderId="92" xfId="6" applyNumberFormat="1" applyFont="1" applyFill="1" applyBorder="1" applyAlignment="1">
      <alignment horizontal="right" vertical="center" shrinkToFit="1"/>
    </xf>
    <xf numFmtId="0" fontId="4" fillId="2" borderId="44" xfId="6" applyFont="1" applyFill="1" applyBorder="1" applyAlignment="1">
      <alignment horizontal="center" vertical="center"/>
    </xf>
    <xf numFmtId="0" fontId="4" fillId="2" borderId="93" xfId="6" applyFont="1" applyFill="1" applyBorder="1" applyAlignment="1">
      <alignment horizontal="center" vertical="center"/>
    </xf>
    <xf numFmtId="0" fontId="4" fillId="2" borderId="94" xfId="6" applyFont="1" applyFill="1" applyBorder="1" applyAlignment="1">
      <alignment horizontal="center" vertical="center"/>
    </xf>
    <xf numFmtId="0" fontId="4" fillId="2" borderId="1" xfId="6" applyFont="1" applyFill="1" applyBorder="1" applyAlignment="1">
      <alignment horizontal="left" vertical="center"/>
    </xf>
    <xf numFmtId="176" fontId="7" fillId="8" borderId="5" xfId="6" applyNumberFormat="1" applyFont="1" applyFill="1" applyBorder="1" applyAlignment="1">
      <alignment horizontal="right" vertical="center" shrinkToFit="1"/>
    </xf>
    <xf numFmtId="176" fontId="7" fillId="8" borderId="95" xfId="6" applyNumberFormat="1" applyFont="1" applyFill="1" applyBorder="1" applyAlignment="1">
      <alignment horizontal="right" vertical="center" shrinkToFit="1"/>
    </xf>
    <xf numFmtId="176" fontId="7" fillId="8" borderId="2" xfId="6" applyNumberFormat="1" applyFont="1" applyFill="1" applyBorder="1" applyAlignment="1">
      <alignment horizontal="right" vertical="center" shrinkToFit="1"/>
    </xf>
    <xf numFmtId="176" fontId="7" fillId="8" borderId="3" xfId="6" applyNumberFormat="1" applyFont="1" applyFill="1" applyBorder="1" applyAlignment="1">
      <alignment horizontal="right" vertical="center" shrinkToFit="1"/>
    </xf>
    <xf numFmtId="176" fontId="7" fillId="8" borderId="6" xfId="6" applyNumberFormat="1" applyFont="1" applyFill="1" applyBorder="1" applyAlignment="1">
      <alignment horizontal="right" vertical="center" shrinkToFit="1"/>
    </xf>
    <xf numFmtId="0" fontId="4" fillId="2" borderId="7" xfId="6" applyFont="1" applyFill="1" applyBorder="1" applyAlignment="1">
      <alignment horizontal="left" vertical="center" indent="1"/>
    </xf>
    <xf numFmtId="176" fontId="7" fillId="2" borderId="27" xfId="6" applyNumberFormat="1" applyFont="1" applyFill="1" applyBorder="1" applyAlignment="1">
      <alignment horizontal="right" vertical="center" shrinkToFit="1"/>
    </xf>
    <xf numFmtId="176" fontId="7" fillId="2" borderId="96" xfId="6" applyNumberFormat="1" applyFont="1" applyFill="1" applyBorder="1" applyAlignment="1">
      <alignment horizontal="right" vertical="center" shrinkToFit="1"/>
    </xf>
    <xf numFmtId="176" fontId="7" fillId="2" borderId="30" xfId="6" applyNumberFormat="1" applyFont="1" applyFill="1" applyBorder="1" applyAlignment="1">
      <alignment horizontal="right" vertical="center" shrinkToFit="1"/>
    </xf>
    <xf numFmtId="176" fontId="7" fillId="2" borderId="97" xfId="6" applyNumberFormat="1" applyFont="1" applyFill="1" applyBorder="1" applyAlignment="1">
      <alignment horizontal="right" vertical="center" shrinkToFit="1"/>
    </xf>
    <xf numFmtId="176" fontId="7" fillId="2" borderId="89" xfId="6" applyNumberFormat="1" applyFont="1" applyFill="1" applyBorder="1" applyAlignment="1">
      <alignment horizontal="right" vertical="center" shrinkToFit="1"/>
    </xf>
    <xf numFmtId="176" fontId="7" fillId="2" borderId="29" xfId="6" applyNumberFormat="1" applyFont="1" applyFill="1" applyBorder="1" applyAlignment="1">
      <alignment horizontal="right" vertical="center" shrinkToFit="1"/>
    </xf>
    <xf numFmtId="176" fontId="7" fillId="2" borderId="91" xfId="6" applyNumberFormat="1" applyFont="1" applyFill="1" applyBorder="1" applyAlignment="1">
      <alignment horizontal="right" vertical="center" shrinkToFit="1"/>
    </xf>
    <xf numFmtId="176" fontId="7" fillId="8" borderId="98" xfId="6" applyNumberFormat="1" applyFont="1" applyFill="1" applyBorder="1" applyAlignment="1">
      <alignment horizontal="right" vertical="center" shrinkToFit="1"/>
    </xf>
    <xf numFmtId="0" fontId="4" fillId="2" borderId="8" xfId="6" applyFont="1" applyFill="1" applyBorder="1" applyAlignment="1">
      <alignment horizontal="left" vertical="center" indent="1"/>
    </xf>
    <xf numFmtId="0" fontId="4" fillId="0" borderId="20" xfId="6" applyFont="1" applyBorder="1" applyAlignment="1">
      <alignment horizontal="center" vertical="center"/>
    </xf>
    <xf numFmtId="0" fontId="4" fillId="0" borderId="34" xfId="6" applyFont="1" applyBorder="1" applyAlignment="1">
      <alignment horizontal="center" vertical="center"/>
    </xf>
    <xf numFmtId="0" fontId="4" fillId="0" borderId="39" xfId="6" applyFont="1" applyBorder="1" applyAlignment="1">
      <alignment horizontal="center" vertical="center"/>
    </xf>
    <xf numFmtId="0" fontId="4" fillId="0" borderId="16" xfId="6" applyFont="1" applyBorder="1" applyAlignment="1">
      <alignment horizontal="left" vertical="center" shrinkToFit="1"/>
    </xf>
    <xf numFmtId="0" fontId="10" fillId="2" borderId="170" xfId="0" applyFont="1" applyFill="1" applyBorder="1" applyAlignment="1">
      <alignment vertical="center" shrinkToFit="1"/>
    </xf>
    <xf numFmtId="0" fontId="4" fillId="0" borderId="14" xfId="6" applyFont="1" applyBorder="1" applyAlignment="1">
      <alignment horizontal="left" vertical="center" shrinkToFit="1"/>
    </xf>
    <xf numFmtId="176" fontId="7" fillId="2" borderId="18" xfId="2" applyNumberFormat="1" applyFont="1" applyFill="1" applyBorder="1" applyAlignment="1">
      <alignment vertical="center" shrinkToFit="1"/>
    </xf>
    <xf numFmtId="0" fontId="7" fillId="2" borderId="171" xfId="0" applyFont="1" applyFill="1" applyBorder="1" applyAlignment="1">
      <alignment vertical="center" shrinkToFit="1"/>
    </xf>
    <xf numFmtId="0" fontId="4" fillId="0" borderId="0" xfId="6" applyFont="1" applyAlignment="1">
      <alignment horizontal="left" vertical="center"/>
    </xf>
    <xf numFmtId="0" fontId="4" fillId="0" borderId="16" xfId="6" applyFont="1" applyBorder="1" applyAlignment="1">
      <alignment horizontal="left" vertical="center" wrapText="1"/>
    </xf>
    <xf numFmtId="0" fontId="4" fillId="0" borderId="14" xfId="6" applyFont="1" applyBorder="1" applyAlignment="1">
      <alignment horizontal="left" vertical="center" wrapText="1"/>
    </xf>
    <xf numFmtId="0" fontId="4" fillId="0" borderId="40" xfId="6" applyFont="1" applyBorder="1" applyAlignment="1">
      <alignment horizontal="center" vertical="center"/>
    </xf>
    <xf numFmtId="0" fontId="4" fillId="0" borderId="35" xfId="6" applyFont="1" applyBorder="1" applyAlignment="1">
      <alignment horizontal="center" vertical="center"/>
    </xf>
    <xf numFmtId="176" fontId="7" fillId="2" borderId="35" xfId="2" applyNumberFormat="1" applyFont="1" applyFill="1" applyBorder="1" applyAlignment="1">
      <alignment vertical="center" shrinkToFit="1"/>
    </xf>
    <xf numFmtId="0" fontId="4" fillId="0" borderId="33" xfId="6" applyFont="1" applyBorder="1" applyAlignment="1">
      <alignment horizontal="left" vertical="center" wrapText="1"/>
    </xf>
    <xf numFmtId="176" fontId="7" fillId="2" borderId="37" xfId="2" applyNumberFormat="1" applyFont="1" applyFill="1" applyBorder="1" applyAlignment="1">
      <alignment vertical="center" shrinkToFit="1"/>
    </xf>
    <xf numFmtId="176" fontId="7" fillId="2" borderId="88" xfId="2" applyNumberFormat="1" applyFont="1" applyFill="1" applyBorder="1" applyAlignment="1">
      <alignment vertical="center" shrinkToFit="1"/>
    </xf>
    <xf numFmtId="0" fontId="4" fillId="0" borderId="27" xfId="5" applyFont="1" applyBorder="1" applyAlignment="1">
      <alignment horizontal="center" vertical="center"/>
    </xf>
    <xf numFmtId="0" fontId="4" fillId="0" borderId="20" xfId="5" applyFont="1" applyBorder="1" applyAlignment="1">
      <alignment horizontal="center" vertical="center"/>
    </xf>
    <xf numFmtId="0" fontId="4" fillId="0" borderId="40" xfId="5" applyFont="1" applyBorder="1" applyAlignment="1">
      <alignment horizontal="center" vertical="center"/>
    </xf>
    <xf numFmtId="0" fontId="4" fillId="0" borderId="39" xfId="0" applyFont="1" applyBorder="1" applyAlignment="1">
      <alignment horizontal="center" vertical="center"/>
    </xf>
    <xf numFmtId="0" fontId="4" fillId="0" borderId="21" xfId="5" applyFont="1" applyBorder="1" applyAlignment="1">
      <alignment vertical="center"/>
    </xf>
    <xf numFmtId="0" fontId="4" fillId="0" borderId="71" xfId="5" applyFont="1" applyBorder="1" applyAlignment="1">
      <alignment vertical="center"/>
    </xf>
    <xf numFmtId="176" fontId="7" fillId="8" borderId="70" xfId="5" applyNumberFormat="1" applyFont="1" applyFill="1" applyBorder="1" applyAlignment="1">
      <alignment vertical="center" shrinkToFit="1"/>
    </xf>
    <xf numFmtId="176" fontId="7" fillId="8" borderId="74" xfId="5" applyNumberFormat="1" applyFont="1" applyFill="1" applyBorder="1" applyAlignment="1">
      <alignment vertical="center" shrinkToFit="1"/>
    </xf>
    <xf numFmtId="176" fontId="7" fillId="8" borderId="47" xfId="5" applyNumberFormat="1" applyFont="1" applyFill="1" applyBorder="1" applyAlignment="1">
      <alignment vertical="center" shrinkToFit="1"/>
    </xf>
    <xf numFmtId="0" fontId="7" fillId="6" borderId="172" xfId="0" applyFont="1" applyFill="1" applyBorder="1" applyAlignment="1">
      <alignment vertical="center" shrinkToFit="1"/>
    </xf>
    <xf numFmtId="176" fontId="7" fillId="8" borderId="49" xfId="5" applyNumberFormat="1" applyFont="1" applyFill="1" applyBorder="1" applyAlignment="1">
      <alignment vertical="center" shrinkToFit="1"/>
    </xf>
    <xf numFmtId="0" fontId="4" fillId="0" borderId="60" xfId="5" applyFont="1" applyBorder="1" applyAlignment="1">
      <alignment vertical="center"/>
    </xf>
    <xf numFmtId="176" fontId="7" fillId="8" borderId="66" xfId="5" applyNumberFormat="1" applyFont="1" applyFill="1" applyBorder="1" applyAlignment="1">
      <alignment vertical="center" shrinkToFit="1"/>
    </xf>
    <xf numFmtId="176" fontId="7" fillId="8" borderId="75" xfId="5" applyNumberFormat="1" applyFont="1" applyFill="1" applyBorder="1" applyAlignment="1">
      <alignment vertical="center" shrinkToFit="1"/>
    </xf>
    <xf numFmtId="176" fontId="7" fillId="8" borderId="67" xfId="5" applyNumberFormat="1" applyFont="1" applyFill="1" applyBorder="1" applyAlignment="1">
      <alignment vertical="center" shrinkToFit="1"/>
    </xf>
    <xf numFmtId="0" fontId="7" fillId="6" borderId="173" xfId="0" applyFont="1" applyFill="1" applyBorder="1" applyAlignment="1">
      <alignment vertical="center" shrinkToFit="1"/>
    </xf>
    <xf numFmtId="176" fontId="7" fillId="8" borderId="68" xfId="5" applyNumberFormat="1" applyFont="1" applyFill="1" applyBorder="1" applyAlignment="1">
      <alignment vertical="center" shrinkToFit="1"/>
    </xf>
    <xf numFmtId="0" fontId="4" fillId="0" borderId="76" xfId="5" applyFont="1" applyBorder="1" applyAlignment="1">
      <alignment vertical="center"/>
    </xf>
    <xf numFmtId="0" fontId="4" fillId="0" borderId="51" xfId="5" applyFont="1" applyBorder="1" applyAlignment="1">
      <alignment vertical="center" shrinkToFit="1"/>
    </xf>
    <xf numFmtId="176" fontId="7" fillId="2" borderId="66" xfId="5" applyNumberFormat="1" applyFont="1" applyFill="1" applyBorder="1" applyAlignment="1">
      <alignment vertical="center" shrinkToFit="1"/>
    </xf>
    <xf numFmtId="176" fontId="7" fillId="2" borderId="75" xfId="5" applyNumberFormat="1" applyFont="1" applyFill="1" applyBorder="1" applyAlignment="1">
      <alignment vertical="center" shrinkToFit="1"/>
    </xf>
    <xf numFmtId="0" fontId="7" fillId="0" borderId="173" xfId="0" applyFont="1" applyBorder="1" applyAlignment="1">
      <alignment vertical="center" shrinkToFit="1"/>
    </xf>
    <xf numFmtId="0" fontId="4" fillId="0" borderId="53" xfId="5" applyFont="1" applyBorder="1" applyAlignment="1">
      <alignment vertical="center"/>
    </xf>
    <xf numFmtId="0" fontId="4" fillId="0" borderId="77" xfId="5" applyFont="1" applyBorder="1" applyAlignment="1">
      <alignment vertical="center" shrinkToFit="1"/>
    </xf>
    <xf numFmtId="0" fontId="4" fillId="0" borderId="77" xfId="5" applyFont="1" applyBorder="1" applyAlignment="1">
      <alignment vertical="center"/>
    </xf>
    <xf numFmtId="0" fontId="4" fillId="0" borderId="78" xfId="5" applyFont="1" applyBorder="1" applyAlignment="1">
      <alignment vertical="center" shrinkToFit="1"/>
    </xf>
    <xf numFmtId="0" fontId="4" fillId="0" borderId="79" xfId="5" applyFont="1" applyBorder="1" applyAlignment="1">
      <alignment vertical="center"/>
    </xf>
    <xf numFmtId="176" fontId="7" fillId="7" borderId="66" xfId="5" applyNumberFormat="1" applyFont="1" applyFill="1" applyBorder="1" applyAlignment="1">
      <alignment vertical="center" shrinkToFit="1"/>
    </xf>
    <xf numFmtId="176" fontId="7" fillId="7" borderId="75" xfId="5" applyNumberFormat="1" applyFont="1" applyFill="1" applyBorder="1" applyAlignment="1">
      <alignment vertical="center" shrinkToFit="1"/>
    </xf>
    <xf numFmtId="0" fontId="7" fillId="7" borderId="173" xfId="0" applyFont="1" applyFill="1" applyBorder="1" applyAlignment="1">
      <alignment vertical="center" shrinkToFit="1"/>
    </xf>
    <xf numFmtId="0" fontId="4" fillId="0" borderId="80" xfId="5" applyFont="1" applyBorder="1" applyAlignment="1">
      <alignment vertical="center"/>
    </xf>
    <xf numFmtId="0" fontId="4" fillId="0" borderId="48" xfId="5" applyFont="1" applyBorder="1" applyAlignment="1">
      <alignment vertical="center"/>
    </xf>
    <xf numFmtId="0" fontId="4" fillId="0" borderId="81" xfId="5" applyFont="1" applyBorder="1" applyAlignment="1">
      <alignment vertical="center"/>
    </xf>
    <xf numFmtId="0" fontId="4" fillId="0" borderId="62" xfId="5" applyFont="1" applyBorder="1" applyAlignment="1">
      <alignment vertical="center"/>
    </xf>
    <xf numFmtId="0" fontId="4" fillId="0" borderId="64" xfId="5" applyFont="1" applyBorder="1" applyAlignment="1">
      <alignment vertical="center"/>
    </xf>
    <xf numFmtId="176" fontId="7" fillId="2" borderId="61" xfId="5" applyNumberFormat="1" applyFont="1" applyFill="1" applyBorder="1" applyAlignment="1">
      <alignment vertical="center" shrinkToFit="1"/>
    </xf>
    <xf numFmtId="176" fontId="7" fillId="2" borderId="82" xfId="5" applyNumberFormat="1" applyFont="1" applyFill="1" applyBorder="1" applyAlignment="1">
      <alignment vertical="center" shrinkToFit="1"/>
    </xf>
    <xf numFmtId="176" fontId="7" fillId="8" borderId="63" xfId="5" applyNumberFormat="1" applyFont="1" applyFill="1" applyBorder="1" applyAlignment="1">
      <alignment vertical="center" shrinkToFit="1"/>
    </xf>
    <xf numFmtId="176" fontId="7" fillId="8" borderId="65" xfId="5" applyNumberFormat="1" applyFont="1" applyFill="1" applyBorder="1" applyAlignment="1">
      <alignment vertical="center" shrinkToFit="1"/>
    </xf>
    <xf numFmtId="0" fontId="4" fillId="0" borderId="83" xfId="5" applyFont="1" applyBorder="1" applyAlignment="1">
      <alignment vertical="center"/>
    </xf>
    <xf numFmtId="0" fontId="4" fillId="0" borderId="22" xfId="5" applyFont="1" applyBorder="1" applyAlignment="1">
      <alignment vertical="center"/>
    </xf>
    <xf numFmtId="0" fontId="4" fillId="0" borderId="84" xfId="5" applyFont="1" applyBorder="1" applyAlignment="1">
      <alignment vertical="center"/>
    </xf>
    <xf numFmtId="176" fontId="7" fillId="2" borderId="46" xfId="5" applyNumberFormat="1" applyFont="1" applyFill="1" applyBorder="1" applyAlignment="1">
      <alignment vertical="center" shrinkToFit="1"/>
    </xf>
    <xf numFmtId="176" fontId="7" fillId="2" borderId="45" xfId="5" applyNumberFormat="1" applyFont="1" applyFill="1" applyBorder="1" applyAlignment="1">
      <alignment vertical="center" shrinkToFit="1"/>
    </xf>
    <xf numFmtId="176" fontId="7" fillId="8" borderId="52" xfId="5" applyNumberFormat="1" applyFont="1" applyFill="1" applyBorder="1" applyAlignment="1">
      <alignment vertical="center" shrinkToFit="1"/>
    </xf>
    <xf numFmtId="176" fontId="7" fillId="8" borderId="46" xfId="5" applyNumberFormat="1" applyFont="1" applyFill="1" applyBorder="1" applyAlignment="1">
      <alignment vertical="center" shrinkToFit="1"/>
    </xf>
    <xf numFmtId="176" fontId="7" fillId="8" borderId="54" xfId="5" applyNumberFormat="1" applyFont="1" applyFill="1" applyBorder="1" applyAlignment="1">
      <alignment vertical="center" shrinkToFit="1"/>
    </xf>
    <xf numFmtId="0" fontId="4" fillId="0" borderId="51" xfId="5" applyFont="1" applyBorder="1" applyAlignment="1">
      <alignment vertical="center"/>
    </xf>
    <xf numFmtId="0" fontId="4" fillId="0" borderId="7" xfId="5" applyFont="1" applyBorder="1" applyAlignment="1">
      <alignment vertical="center"/>
    </xf>
    <xf numFmtId="176" fontId="7" fillId="8" borderId="61" xfId="5" applyNumberFormat="1" applyFont="1" applyFill="1" applyBorder="1" applyAlignment="1">
      <alignment vertical="center" shrinkToFit="1"/>
    </xf>
    <xf numFmtId="0" fontId="4" fillId="0" borderId="78" xfId="5" applyFont="1" applyBorder="1" applyAlignment="1">
      <alignment vertical="center"/>
    </xf>
    <xf numFmtId="0" fontId="4" fillId="0" borderId="85" xfId="5" applyFont="1" applyBorder="1" applyAlignment="1">
      <alignment vertical="center"/>
    </xf>
    <xf numFmtId="0" fontId="4" fillId="0" borderId="86" xfId="5" applyFont="1" applyBorder="1" applyAlignment="1">
      <alignment vertical="center"/>
    </xf>
    <xf numFmtId="176" fontId="7" fillId="8" borderId="72" xfId="5" applyNumberFormat="1" applyFont="1" applyFill="1" applyBorder="1" applyAlignment="1">
      <alignment vertical="center" shrinkToFit="1"/>
    </xf>
    <xf numFmtId="176" fontId="7" fillId="8" borderId="41" xfId="5" applyNumberFormat="1" applyFont="1" applyFill="1" applyBorder="1" applyAlignment="1">
      <alignment vertical="center" shrinkToFit="1"/>
    </xf>
    <xf numFmtId="176" fontId="7" fillId="8" borderId="32" xfId="5" applyNumberFormat="1" applyFont="1" applyFill="1" applyBorder="1" applyAlignment="1">
      <alignment vertical="center" shrinkToFit="1"/>
    </xf>
    <xf numFmtId="176" fontId="7" fillId="0" borderId="66" xfId="5" applyNumberFormat="1" applyFont="1" applyBorder="1" applyAlignment="1">
      <alignment vertical="center" shrinkToFit="1"/>
    </xf>
    <xf numFmtId="176" fontId="7" fillId="0" borderId="75" xfId="5" applyNumberFormat="1" applyFont="1" applyBorder="1" applyAlignment="1">
      <alignment vertical="center" shrinkToFit="1"/>
    </xf>
    <xf numFmtId="176" fontId="7" fillId="8" borderId="71" xfId="5" applyNumberFormat="1" applyFont="1" applyFill="1" applyBorder="1" applyAlignment="1">
      <alignment vertical="center" shrinkToFit="1"/>
    </xf>
    <xf numFmtId="176" fontId="7" fillId="2" borderId="48" xfId="5" applyNumberFormat="1" applyFont="1" applyFill="1" applyBorder="1" applyAlignment="1">
      <alignment vertical="center" shrinkToFit="1"/>
    </xf>
    <xf numFmtId="176" fontId="7" fillId="2" borderId="0" xfId="5" applyNumberFormat="1" applyFont="1" applyFill="1" applyAlignment="1">
      <alignment vertical="center" shrinkToFit="1"/>
    </xf>
    <xf numFmtId="176" fontId="7" fillId="2" borderId="50" xfId="5" applyNumberFormat="1" applyFont="1" applyFill="1" applyBorder="1" applyAlignment="1">
      <alignment vertical="center" shrinkToFit="1"/>
    </xf>
    <xf numFmtId="176" fontId="7" fillId="2" borderId="38" xfId="5" applyNumberFormat="1" applyFont="1" applyFill="1" applyBorder="1" applyAlignment="1">
      <alignment vertical="center" shrinkToFit="1"/>
    </xf>
    <xf numFmtId="176" fontId="7" fillId="2" borderId="64" xfId="5" applyNumberFormat="1" applyFont="1" applyFill="1" applyBorder="1" applyAlignment="1">
      <alignment vertical="center" shrinkToFit="1"/>
    </xf>
    <xf numFmtId="176" fontId="7" fillId="8" borderId="18" xfId="5" applyNumberFormat="1" applyFont="1" applyFill="1" applyBorder="1" applyAlignment="1">
      <alignment vertical="center" shrinkToFit="1"/>
    </xf>
    <xf numFmtId="176" fontId="7" fillId="8" borderId="73" xfId="5" applyNumberFormat="1" applyFont="1" applyFill="1" applyBorder="1" applyAlignment="1">
      <alignment vertical="center" shrinkToFit="1"/>
    </xf>
    <xf numFmtId="0" fontId="4" fillId="0" borderId="174" xfId="0" applyFont="1" applyBorder="1" applyAlignment="1">
      <alignment vertical="center"/>
    </xf>
    <xf numFmtId="0" fontId="4" fillId="6" borderId="174" xfId="0" applyFont="1" applyFill="1" applyBorder="1" applyAlignment="1">
      <alignment vertical="center"/>
    </xf>
    <xf numFmtId="0" fontId="4" fillId="0" borderId="175" xfId="0" applyFont="1" applyBorder="1" applyAlignment="1">
      <alignment vertical="center"/>
    </xf>
    <xf numFmtId="0" fontId="4" fillId="8" borderId="176" xfId="0" applyFont="1" applyFill="1" applyBorder="1" applyAlignment="1">
      <alignment vertical="center"/>
    </xf>
    <xf numFmtId="0" fontId="4" fillId="6" borderId="176" xfId="0" applyFont="1" applyFill="1" applyBorder="1" applyAlignment="1">
      <alignment vertical="center"/>
    </xf>
    <xf numFmtId="0" fontId="4" fillId="0" borderId="34" xfId="5" applyFont="1" applyBorder="1" applyAlignment="1">
      <alignment horizontal="center" vertical="center"/>
    </xf>
    <xf numFmtId="0" fontId="4" fillId="0" borderId="11" xfId="5" applyFont="1" applyBorder="1" applyAlignment="1">
      <alignment vertical="center"/>
    </xf>
    <xf numFmtId="0" fontId="4" fillId="0" borderId="11" xfId="5" applyFont="1" applyBorder="1" applyAlignment="1">
      <alignment vertical="center" wrapText="1"/>
    </xf>
    <xf numFmtId="0" fontId="4" fillId="0" borderId="44" xfId="5" applyFont="1" applyBorder="1" applyAlignment="1">
      <alignment vertical="center"/>
    </xf>
    <xf numFmtId="0" fontId="4" fillId="0" borderId="0" xfId="5" applyFont="1" applyAlignment="1">
      <alignment vertical="center" wrapText="1"/>
    </xf>
    <xf numFmtId="176" fontId="7" fillId="8" borderId="45" xfId="5" applyNumberFormat="1" applyFont="1" applyFill="1" applyBorder="1" applyAlignment="1">
      <alignment vertical="center" shrinkToFit="1"/>
    </xf>
    <xf numFmtId="176" fontId="7" fillId="8" borderId="48" xfId="5" applyNumberFormat="1" applyFont="1" applyFill="1" applyBorder="1" applyAlignment="1">
      <alignment vertical="center" shrinkToFit="1"/>
    </xf>
    <xf numFmtId="0" fontId="4" fillId="0" borderId="50" xfId="5" applyFont="1" applyBorder="1" applyAlignment="1">
      <alignment vertical="center"/>
    </xf>
    <xf numFmtId="176" fontId="7" fillId="2" borderId="53" xfId="5" applyNumberFormat="1" applyFont="1" applyFill="1" applyBorder="1" applyAlignment="1">
      <alignment vertical="center" shrinkToFit="1"/>
    </xf>
    <xf numFmtId="0" fontId="4" fillId="0" borderId="55" xfId="5" applyFont="1" applyBorder="1" applyAlignment="1">
      <alignment vertical="center"/>
    </xf>
    <xf numFmtId="176" fontId="7" fillId="2" borderId="56" xfId="5" applyNumberFormat="1" applyFont="1" applyFill="1" applyBorder="1" applyAlignment="1">
      <alignment vertical="center" shrinkToFit="1"/>
    </xf>
    <xf numFmtId="176" fontId="7" fillId="8" borderId="57" xfId="5" applyNumberFormat="1" applyFont="1" applyFill="1" applyBorder="1" applyAlignment="1">
      <alignment vertical="center" shrinkToFit="1"/>
    </xf>
    <xf numFmtId="176" fontId="7" fillId="2" borderId="58" xfId="5" applyNumberFormat="1" applyFont="1" applyFill="1" applyBorder="1" applyAlignment="1">
      <alignment vertical="center" shrinkToFit="1"/>
    </xf>
    <xf numFmtId="176" fontId="7" fillId="8" borderId="59" xfId="5" applyNumberFormat="1" applyFont="1" applyFill="1" applyBorder="1" applyAlignment="1">
      <alignment vertical="center" shrinkToFit="1"/>
    </xf>
    <xf numFmtId="0" fontId="4" fillId="0" borderId="60" xfId="5" applyFont="1" applyBorder="1" applyAlignment="1">
      <alignment vertical="center" shrinkToFit="1"/>
    </xf>
    <xf numFmtId="0" fontId="4" fillId="0" borderId="22" xfId="5" applyFont="1" applyBorder="1" applyAlignment="1">
      <alignment vertical="center" wrapText="1"/>
    </xf>
    <xf numFmtId="0" fontId="4" fillId="0" borderId="26" xfId="5" applyFont="1" applyBorder="1" applyAlignment="1">
      <alignment vertical="center"/>
    </xf>
    <xf numFmtId="0" fontId="4" fillId="0" borderId="62" xfId="5" applyFont="1" applyBorder="1" applyAlignment="1">
      <alignment vertical="center" shrinkToFit="1"/>
    </xf>
    <xf numFmtId="0" fontId="7" fillId="0" borderId="175" xfId="0" applyFont="1" applyBorder="1" applyAlignment="1">
      <alignment vertical="center" shrinkToFit="1"/>
    </xf>
    <xf numFmtId="0" fontId="4" fillId="0" borderId="177" xfId="5" applyFont="1" applyBorder="1" applyAlignment="1">
      <alignment vertical="center"/>
    </xf>
    <xf numFmtId="0" fontId="4" fillId="0" borderId="10" xfId="5" applyFont="1" applyBorder="1" applyAlignment="1">
      <alignment vertical="center"/>
    </xf>
    <xf numFmtId="0" fontId="4" fillId="0" borderId="10" xfId="5" applyFont="1" applyBorder="1" applyAlignment="1">
      <alignment vertical="center" wrapText="1"/>
    </xf>
    <xf numFmtId="0" fontId="7" fillId="0" borderId="10" xfId="5" applyFont="1" applyBorder="1" applyAlignment="1">
      <alignment vertical="center" shrinkToFit="1"/>
    </xf>
    <xf numFmtId="0" fontId="7" fillId="0" borderId="69" xfId="5" applyFont="1" applyBorder="1" applyAlignment="1">
      <alignment vertical="center" shrinkToFit="1"/>
    </xf>
    <xf numFmtId="0" fontId="4" fillId="0" borderId="56" xfId="5" applyFont="1" applyBorder="1" applyAlignment="1">
      <alignment vertical="center"/>
    </xf>
    <xf numFmtId="0" fontId="23" fillId="4" borderId="0" xfId="0" applyFont="1" applyFill="1" applyAlignment="1">
      <alignment vertical="center"/>
    </xf>
    <xf numFmtId="0" fontId="24" fillId="4" borderId="0" xfId="0" applyFont="1" applyFill="1"/>
    <xf numFmtId="0" fontId="2" fillId="4" borderId="0" xfId="2" applyFill="1"/>
    <xf numFmtId="0" fontId="2" fillId="4" borderId="0" xfId="0" applyFont="1" applyFill="1" applyProtection="1">
      <protection locked="0"/>
    </xf>
    <xf numFmtId="0" fontId="25" fillId="4" borderId="0" xfId="0" applyFont="1" applyFill="1" applyAlignment="1">
      <alignment vertical="center"/>
    </xf>
    <xf numFmtId="0" fontId="24" fillId="4" borderId="0" xfId="0" applyFont="1" applyFill="1" applyAlignment="1">
      <alignment vertical="center"/>
    </xf>
    <xf numFmtId="0" fontId="22" fillId="4" borderId="178" xfId="0" applyFont="1" applyFill="1" applyBorder="1" applyAlignment="1">
      <alignment horizontal="right" vertical="center"/>
    </xf>
    <xf numFmtId="0" fontId="22" fillId="4" borderId="178" xfId="0" applyFont="1" applyFill="1" applyBorder="1" applyAlignment="1">
      <alignment horizontal="left" vertical="center"/>
    </xf>
    <xf numFmtId="0" fontId="22" fillId="4" borderId="179" xfId="0" applyFont="1" applyFill="1" applyBorder="1" applyAlignment="1">
      <alignment horizontal="right" vertical="center"/>
    </xf>
    <xf numFmtId="0" fontId="22" fillId="4" borderId="179" xfId="0" applyFont="1" applyFill="1" applyBorder="1" applyAlignment="1">
      <alignment horizontal="left" vertical="center"/>
    </xf>
    <xf numFmtId="0" fontId="24" fillId="4" borderId="0" xfId="0" applyFont="1" applyFill="1" applyAlignment="1">
      <alignment horizontal="right" vertical="center"/>
    </xf>
    <xf numFmtId="0" fontId="24" fillId="0" borderId="0" xfId="0" applyFont="1" applyAlignment="1">
      <alignment vertical="top"/>
    </xf>
    <xf numFmtId="0" fontId="24" fillId="4" borderId="0" xfId="0" applyFont="1" applyFill="1" applyAlignment="1">
      <alignment vertical="top"/>
    </xf>
    <xf numFmtId="0" fontId="7" fillId="4" borderId="0" xfId="5" applyFont="1" applyFill="1" applyAlignment="1">
      <alignment vertical="center"/>
    </xf>
    <xf numFmtId="0" fontId="26" fillId="4" borderId="0" xfId="0" applyFont="1" applyFill="1" applyAlignment="1">
      <alignment vertical="center"/>
    </xf>
    <xf numFmtId="0" fontId="14" fillId="4" borderId="0" xfId="0" applyFont="1" applyFill="1" applyAlignment="1">
      <alignment vertical="center"/>
    </xf>
    <xf numFmtId="0" fontId="14" fillId="4" borderId="1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16" xfId="0" applyFont="1" applyFill="1" applyBorder="1" applyAlignment="1">
      <alignment horizontal="center" vertical="center"/>
    </xf>
    <xf numFmtId="176" fontId="7" fillId="4" borderId="20" xfId="0" applyNumberFormat="1" applyFont="1" applyFill="1" applyBorder="1" applyAlignment="1">
      <alignment vertical="center" shrinkToFit="1"/>
    </xf>
    <xf numFmtId="176" fontId="7" fillId="11" borderId="19" xfId="0" applyNumberFormat="1" applyFont="1" applyFill="1" applyBorder="1" applyAlignment="1">
      <alignment vertical="center" shrinkToFit="1"/>
    </xf>
    <xf numFmtId="0" fontId="4" fillId="4" borderId="14" xfId="0" applyFont="1" applyFill="1" applyBorder="1" applyAlignment="1">
      <alignment horizontal="center" vertical="center"/>
    </xf>
    <xf numFmtId="176" fontId="7" fillId="4" borderId="18" xfId="0" applyNumberFormat="1" applyFont="1" applyFill="1" applyBorder="1" applyAlignment="1">
      <alignment vertical="center" shrinkToFit="1"/>
    </xf>
    <xf numFmtId="176" fontId="7" fillId="11" borderId="15" xfId="0" applyNumberFormat="1" applyFont="1" applyFill="1" applyBorder="1" applyAlignment="1">
      <alignment vertical="center" shrinkToFit="1"/>
    </xf>
    <xf numFmtId="0" fontId="14" fillId="4" borderId="23" xfId="0" applyFont="1" applyFill="1" applyBorder="1" applyAlignment="1">
      <alignment vertical="center"/>
    </xf>
    <xf numFmtId="176" fontId="7" fillId="6" borderId="19" xfId="0" applyNumberFormat="1" applyFont="1" applyFill="1" applyBorder="1" applyAlignment="1">
      <alignment vertical="center" shrinkToFit="1"/>
    </xf>
    <xf numFmtId="176" fontId="7" fillId="6" borderId="15" xfId="0" applyNumberFormat="1" applyFont="1" applyFill="1" applyBorder="1" applyAlignment="1">
      <alignment vertical="center" shrinkToFit="1"/>
    </xf>
    <xf numFmtId="0" fontId="4" fillId="4" borderId="12" xfId="0" applyFont="1" applyFill="1" applyBorder="1" applyAlignment="1">
      <alignment horizontal="center" vertical="center"/>
    </xf>
    <xf numFmtId="0" fontId="14" fillId="4" borderId="0" xfId="0" applyFont="1" applyFill="1" applyAlignment="1">
      <alignment vertical="top"/>
    </xf>
    <xf numFmtId="176" fontId="7" fillId="8" borderId="20" xfId="0" applyNumberFormat="1" applyFont="1" applyFill="1" applyBorder="1" applyAlignment="1">
      <alignment vertical="center" shrinkToFit="1"/>
    </xf>
    <xf numFmtId="176" fontId="7" fillId="8" borderId="19" xfId="0" applyNumberFormat="1" applyFont="1" applyFill="1" applyBorder="1" applyAlignment="1">
      <alignment vertical="center" shrinkToFit="1"/>
    </xf>
    <xf numFmtId="0" fontId="7" fillId="4" borderId="0" xfId="0" applyFont="1" applyFill="1" applyAlignment="1">
      <alignment vertical="center"/>
    </xf>
    <xf numFmtId="0" fontId="23" fillId="0" borderId="0" xfId="2" applyFont="1" applyAlignment="1">
      <alignment vertical="center"/>
    </xf>
    <xf numFmtId="176" fontId="7" fillId="8" borderId="13" xfId="5" applyNumberFormat="1" applyFont="1" applyFill="1" applyBorder="1" applyAlignment="1">
      <alignment horizontal="right" vertical="center" shrinkToFit="1"/>
    </xf>
    <xf numFmtId="176" fontId="7" fillId="8" borderId="42" xfId="5" applyNumberFormat="1" applyFont="1" applyFill="1" applyBorder="1" applyAlignment="1">
      <alignment horizontal="right" vertical="center" shrinkToFit="1"/>
    </xf>
    <xf numFmtId="0" fontId="26" fillId="0" borderId="0" xfId="2" applyFont="1"/>
    <xf numFmtId="0" fontId="4" fillId="0" borderId="12" xfId="5" applyFont="1" applyBorder="1" applyAlignment="1">
      <alignment horizontal="center" vertical="center"/>
    </xf>
    <xf numFmtId="176" fontId="7" fillId="4" borderId="13" xfId="5" applyNumberFormat="1" applyFont="1" applyFill="1" applyBorder="1" applyAlignment="1">
      <alignment vertical="center" shrinkToFit="1"/>
    </xf>
    <xf numFmtId="0" fontId="4" fillId="0" borderId="14" xfId="5" applyFont="1" applyBorder="1" applyAlignment="1">
      <alignment horizontal="center" vertical="center"/>
    </xf>
    <xf numFmtId="176" fontId="7" fillId="4" borderId="15" xfId="5" applyNumberFormat="1" applyFont="1" applyFill="1" applyBorder="1" applyAlignment="1">
      <alignment vertical="center" shrinkToFit="1"/>
    </xf>
    <xf numFmtId="0" fontId="27" fillId="4" borderId="10" xfId="2" applyFont="1" applyFill="1" applyBorder="1" applyAlignment="1">
      <alignment horizontal="right" vertical="center"/>
    </xf>
    <xf numFmtId="49" fontId="27" fillId="4" borderId="10" xfId="2" applyNumberFormat="1" applyFont="1" applyFill="1" applyBorder="1" applyAlignment="1">
      <alignment horizontal="left" vertical="center"/>
    </xf>
    <xf numFmtId="0" fontId="27" fillId="4" borderId="10" xfId="2" applyFont="1" applyFill="1" applyBorder="1" applyAlignment="1">
      <alignment horizontal="left" vertical="center"/>
    </xf>
    <xf numFmtId="176" fontId="7" fillId="2" borderId="20" xfId="2" applyNumberFormat="1" applyFont="1" applyFill="1" applyBorder="1" applyAlignment="1" applyProtection="1">
      <alignment vertical="center" shrinkToFit="1"/>
      <protection locked="0"/>
    </xf>
    <xf numFmtId="176" fontId="7" fillId="3" borderId="40" xfId="2" applyNumberFormat="1" applyFont="1" applyFill="1" applyBorder="1" applyAlignment="1">
      <alignment vertical="center" shrinkToFit="1"/>
    </xf>
    <xf numFmtId="0" fontId="5" fillId="4" borderId="170" xfId="0" applyFont="1" applyFill="1" applyBorder="1" applyAlignment="1">
      <alignment vertical="center"/>
    </xf>
    <xf numFmtId="176" fontId="7" fillId="3" borderId="28" xfId="2" applyNumberFormat="1" applyFont="1" applyFill="1" applyBorder="1" applyAlignment="1">
      <alignment vertical="center" shrinkToFit="1"/>
    </xf>
    <xf numFmtId="0" fontId="4" fillId="0" borderId="16" xfId="6" applyFont="1" applyBorder="1" applyAlignment="1">
      <alignment horizontal="left" vertical="center"/>
    </xf>
    <xf numFmtId="176" fontId="7" fillId="3" borderId="18" xfId="2" applyNumberFormat="1" applyFont="1" applyFill="1" applyBorder="1" applyAlignment="1">
      <alignment vertical="center" shrinkToFit="1"/>
    </xf>
    <xf numFmtId="176" fontId="7" fillId="3" borderId="41" xfId="2" applyNumberFormat="1" applyFont="1" applyFill="1" applyBorder="1" applyAlignment="1">
      <alignment vertical="center" shrinkToFit="1"/>
    </xf>
    <xf numFmtId="0" fontId="5" fillId="3" borderId="171" xfId="0" applyFont="1" applyFill="1" applyBorder="1" applyAlignment="1">
      <alignment vertical="center"/>
    </xf>
    <xf numFmtId="176" fontId="7" fillId="3" borderId="32" xfId="2" applyNumberFormat="1" applyFont="1" applyFill="1" applyBorder="1" applyAlignment="1">
      <alignment vertical="center" shrinkToFit="1"/>
    </xf>
    <xf numFmtId="0" fontId="1" fillId="3" borderId="171" xfId="0" applyFont="1" applyFill="1" applyBorder="1" applyAlignment="1">
      <alignment vertical="center"/>
    </xf>
    <xf numFmtId="0" fontId="4" fillId="0" borderId="2" xfId="3" applyFont="1" applyBorder="1" applyAlignment="1">
      <alignment horizontal="center" vertical="center" wrapText="1"/>
    </xf>
    <xf numFmtId="0" fontId="4" fillId="0" borderId="13" xfId="3" applyFont="1" applyBorder="1" applyAlignment="1">
      <alignment horizontal="center" vertical="center" wrapText="1"/>
    </xf>
    <xf numFmtId="0" fontId="4" fillId="0" borderId="26" xfId="3" applyFont="1" applyBorder="1" applyAlignment="1">
      <alignment horizontal="center" vertical="center"/>
    </xf>
    <xf numFmtId="0" fontId="5" fillId="4" borderId="180" xfId="0" applyFont="1" applyFill="1" applyBorder="1" applyAlignment="1">
      <alignment vertical="center"/>
    </xf>
    <xf numFmtId="176" fontId="7" fillId="2" borderId="19" xfId="2" applyNumberFormat="1" applyFont="1" applyFill="1" applyBorder="1" applyAlignment="1" applyProtection="1">
      <alignment vertical="center" shrinkToFit="1"/>
      <protection locked="0"/>
    </xf>
    <xf numFmtId="176" fontId="7" fillId="3" borderId="20" xfId="2" applyNumberFormat="1" applyFont="1" applyFill="1" applyBorder="1" applyAlignment="1">
      <alignment vertical="center" shrinkToFit="1"/>
    </xf>
    <xf numFmtId="176" fontId="7" fillId="3" borderId="19" xfId="2" applyNumberFormat="1" applyFont="1" applyFill="1" applyBorder="1" applyAlignment="1">
      <alignment vertical="center" shrinkToFit="1"/>
    </xf>
    <xf numFmtId="0" fontId="4" fillId="0" borderId="7" xfId="3" applyFont="1" applyBorder="1" applyAlignment="1">
      <alignment horizontal="center" vertical="center"/>
    </xf>
    <xf numFmtId="0" fontId="4" fillId="0" borderId="29" xfId="3" applyFont="1" applyBorder="1" applyAlignment="1">
      <alignment horizontal="center" vertical="center"/>
    </xf>
    <xf numFmtId="176" fontId="7" fillId="3" borderId="15" xfId="2" applyNumberFormat="1" applyFont="1" applyFill="1" applyBorder="1" applyAlignment="1">
      <alignment vertical="center" shrinkToFit="1"/>
    </xf>
    <xf numFmtId="0" fontId="4" fillId="0" borderId="13" xfId="3" applyFont="1" applyBorder="1" applyAlignment="1">
      <alignment horizontal="center" vertical="center"/>
    </xf>
    <xf numFmtId="0" fontId="4" fillId="4" borderId="11" xfId="3" applyFont="1" applyFill="1" applyBorder="1" applyAlignment="1">
      <alignment horizontal="center" vertical="center"/>
    </xf>
    <xf numFmtId="0" fontId="4" fillId="4" borderId="35" xfId="3" applyFont="1" applyFill="1" applyBorder="1" applyAlignment="1">
      <alignment horizontal="center" vertical="center"/>
    </xf>
    <xf numFmtId="0" fontId="4" fillId="4" borderId="20" xfId="3" applyFont="1" applyFill="1" applyBorder="1" applyAlignment="1">
      <alignment horizontal="center" vertical="center"/>
    </xf>
    <xf numFmtId="0" fontId="4" fillId="4" borderId="19" xfId="3" applyFont="1" applyFill="1" applyBorder="1" applyAlignment="1">
      <alignment horizontal="center" vertical="center"/>
    </xf>
    <xf numFmtId="0" fontId="4" fillId="4" borderId="16" xfId="3" applyFont="1" applyFill="1" applyBorder="1" applyAlignment="1">
      <alignment vertical="center"/>
    </xf>
    <xf numFmtId="176" fontId="7" fillId="10" borderId="20" xfId="2" applyNumberFormat="1" applyFont="1" applyFill="1" applyBorder="1" applyAlignment="1" applyProtection="1">
      <alignment vertical="center" shrinkToFit="1"/>
      <protection locked="0"/>
    </xf>
    <xf numFmtId="0" fontId="4" fillId="4" borderId="34" xfId="3" applyFont="1" applyFill="1" applyBorder="1" applyAlignment="1">
      <alignment vertical="center"/>
    </xf>
    <xf numFmtId="0" fontId="4" fillId="4" borderId="11" xfId="3" applyFont="1" applyFill="1" applyBorder="1" applyAlignment="1">
      <alignment vertical="center"/>
    </xf>
    <xf numFmtId="0" fontId="4" fillId="4" borderId="35" xfId="3" applyFont="1" applyFill="1" applyBorder="1" applyAlignment="1">
      <alignment vertical="center"/>
    </xf>
    <xf numFmtId="0" fontId="4" fillId="4" borderId="33" xfId="0" applyFont="1" applyFill="1" applyBorder="1" applyAlignment="1">
      <alignment vertical="center"/>
    </xf>
    <xf numFmtId="0" fontId="4" fillId="4" borderId="37" xfId="3" applyFont="1" applyFill="1" applyBorder="1" applyAlignment="1">
      <alignment vertical="center"/>
    </xf>
    <xf numFmtId="0" fontId="4" fillId="4" borderId="24" xfId="3" applyFont="1" applyFill="1" applyBorder="1" applyAlignment="1">
      <alignment vertical="center"/>
    </xf>
    <xf numFmtId="0" fontId="4" fillId="4" borderId="38" xfId="3" applyFont="1" applyFill="1" applyBorder="1" applyAlignment="1">
      <alignment vertical="center"/>
    </xf>
    <xf numFmtId="0" fontId="4" fillId="4" borderId="33" xfId="3" applyFont="1" applyFill="1" applyBorder="1" applyAlignment="1">
      <alignment vertical="center"/>
    </xf>
    <xf numFmtId="0" fontId="4" fillId="4" borderId="36" xfId="3" applyFont="1" applyFill="1" applyBorder="1" applyAlignment="1">
      <alignment vertical="center"/>
    </xf>
    <xf numFmtId="177" fontId="4" fillId="2" borderId="35" xfId="3" applyNumberFormat="1" applyFont="1" applyFill="1" applyBorder="1" applyAlignment="1">
      <alignment vertical="center" shrinkToFit="1"/>
    </xf>
    <xf numFmtId="0" fontId="4" fillId="4" borderId="37" xfId="0" applyFont="1" applyFill="1" applyBorder="1" applyAlignment="1">
      <alignment vertical="center"/>
    </xf>
    <xf numFmtId="0" fontId="4" fillId="4" borderId="36" xfId="0" applyFont="1" applyFill="1" applyBorder="1" applyAlignment="1">
      <alignment vertical="center"/>
    </xf>
    <xf numFmtId="0" fontId="4" fillId="4" borderId="38" xfId="3" applyFont="1" applyFill="1" applyBorder="1" applyAlignment="1">
      <alignment horizontal="center" vertical="center"/>
    </xf>
    <xf numFmtId="0" fontId="4" fillId="4" borderId="27" xfId="3" applyFont="1" applyFill="1" applyBorder="1" applyAlignment="1">
      <alignment horizontal="center" vertical="center"/>
    </xf>
    <xf numFmtId="176" fontId="7" fillId="3" borderId="0" xfId="2" applyNumberFormat="1" applyFont="1" applyFill="1" applyAlignment="1">
      <alignment vertical="center" shrinkToFit="1"/>
    </xf>
    <xf numFmtId="176" fontId="7" fillId="2" borderId="0" xfId="2" applyNumberFormat="1" applyFont="1" applyFill="1" applyAlignment="1" applyProtection="1">
      <alignment vertical="center" shrinkToFit="1"/>
      <protection locked="0"/>
    </xf>
    <xf numFmtId="176" fontId="7" fillId="2" borderId="162" xfId="2" applyNumberFormat="1" applyFont="1" applyFill="1" applyBorder="1" applyAlignment="1" applyProtection="1">
      <alignment vertical="center" shrinkToFit="1"/>
      <protection locked="0"/>
    </xf>
    <xf numFmtId="176" fontId="7" fillId="4" borderId="20" xfId="2" applyNumberFormat="1" applyFont="1" applyFill="1" applyBorder="1" applyAlignment="1" applyProtection="1">
      <alignment vertical="center" shrinkToFit="1"/>
      <protection locked="0"/>
    </xf>
    <xf numFmtId="176" fontId="7" fillId="4" borderId="19" xfId="2" applyNumberFormat="1" applyFont="1" applyFill="1" applyBorder="1" applyAlignment="1" applyProtection="1">
      <alignment vertical="center" shrinkToFit="1"/>
      <protection locked="0"/>
    </xf>
    <xf numFmtId="0" fontId="4" fillId="4" borderId="27" xfId="3" applyFont="1" applyFill="1" applyBorder="1" applyAlignment="1">
      <alignment vertical="center"/>
    </xf>
    <xf numFmtId="0" fontId="4" fillId="4" borderId="25" xfId="3" applyFont="1" applyFill="1" applyBorder="1" applyAlignment="1">
      <alignment vertical="center"/>
    </xf>
    <xf numFmtId="0" fontId="4" fillId="4" borderId="21" xfId="3" applyFont="1" applyFill="1" applyBorder="1" applyAlignment="1">
      <alignment vertical="center"/>
    </xf>
    <xf numFmtId="49" fontId="4" fillId="4" borderId="21" xfId="3" applyNumberFormat="1" applyFont="1" applyFill="1" applyBorder="1" applyAlignment="1">
      <alignment vertical="center"/>
    </xf>
    <xf numFmtId="49" fontId="4" fillId="4" borderId="22" xfId="3" applyNumberFormat="1" applyFont="1" applyFill="1" applyBorder="1"/>
    <xf numFmtId="49" fontId="4" fillId="4" borderId="7" xfId="3" applyNumberFormat="1" applyFont="1" applyFill="1" applyBorder="1" applyAlignment="1">
      <alignment vertical="center"/>
    </xf>
    <xf numFmtId="49" fontId="4" fillId="4" borderId="10" xfId="3" applyNumberFormat="1" applyFont="1" applyFill="1" applyBorder="1"/>
    <xf numFmtId="49" fontId="4" fillId="2" borderId="7" xfId="3" applyNumberFormat="1" applyFont="1" applyFill="1" applyBorder="1" applyAlignment="1">
      <alignment vertical="center"/>
    </xf>
    <xf numFmtId="49" fontId="4" fillId="4" borderId="25" xfId="3" applyNumberFormat="1" applyFont="1" applyFill="1" applyBorder="1" applyAlignment="1">
      <alignment vertical="center"/>
    </xf>
    <xf numFmtId="49" fontId="4" fillId="4" borderId="11" xfId="3" applyNumberFormat="1" applyFont="1" applyFill="1" applyBorder="1"/>
    <xf numFmtId="0" fontId="14" fillId="0" borderId="0" xfId="0" applyFont="1" applyAlignment="1">
      <alignment vertical="top"/>
    </xf>
    <xf numFmtId="0" fontId="11" fillId="0" borderId="0" xfId="0" applyFont="1" applyAlignment="1">
      <alignment vertical="center"/>
    </xf>
    <xf numFmtId="0" fontId="5" fillId="0" borderId="0" xfId="0" applyFont="1" applyAlignment="1">
      <alignment horizontal="center" vertical="center"/>
    </xf>
    <xf numFmtId="0" fontId="11" fillId="0" borderId="0" xfId="0" applyFont="1" applyAlignment="1">
      <alignment horizontal="left" vertical="top"/>
    </xf>
    <xf numFmtId="0" fontId="14" fillId="0" borderId="0" xfId="0" applyFont="1" applyAlignment="1">
      <alignment vertical="center"/>
    </xf>
    <xf numFmtId="0" fontId="14" fillId="0" borderId="0" xfId="0" applyFont="1"/>
    <xf numFmtId="0" fontId="14" fillId="0" borderId="10" xfId="0" applyFont="1" applyBorder="1" applyAlignment="1">
      <alignment horizontal="right"/>
    </xf>
    <xf numFmtId="0" fontId="14" fillId="0" borderId="10" xfId="0" applyFont="1" applyBorder="1" applyAlignment="1">
      <alignment vertical="center"/>
    </xf>
    <xf numFmtId="0" fontId="14" fillId="0" borderId="0" xfId="0" applyFont="1" applyAlignment="1">
      <alignment horizontal="left" vertical="top"/>
    </xf>
    <xf numFmtId="0" fontId="14" fillId="0" borderId="11" xfId="0" applyFont="1" applyBorder="1" applyAlignment="1">
      <alignment horizontal="right"/>
    </xf>
    <xf numFmtId="0" fontId="14" fillId="0" borderId="11" xfId="0" applyFont="1" applyBorder="1" applyAlignment="1">
      <alignment vertical="center"/>
    </xf>
    <xf numFmtId="0" fontId="4" fillId="0" borderId="0" xfId="0" applyFont="1" applyAlignment="1">
      <alignment horizontal="left" vertical="top"/>
    </xf>
    <xf numFmtId="0" fontId="5" fillId="0" borderId="0" xfId="0" applyFont="1" applyAlignment="1">
      <alignment vertical="center"/>
    </xf>
    <xf numFmtId="0" fontId="4" fillId="0" borderId="0" xfId="0" applyFont="1" applyAlignment="1">
      <alignment horizontal="right" vertical="center"/>
    </xf>
    <xf numFmtId="0" fontId="20" fillId="0" borderId="128" xfId="0" applyFont="1" applyBorder="1" applyAlignment="1">
      <alignment vertical="center"/>
    </xf>
    <xf numFmtId="0" fontId="4" fillId="0" borderId="123" xfId="0" applyFont="1" applyBorder="1" applyAlignment="1">
      <alignment vertical="center"/>
    </xf>
    <xf numFmtId="176" fontId="4" fillId="0" borderId="183" xfId="0" applyNumberFormat="1" applyFont="1" applyBorder="1" applyAlignment="1">
      <alignment horizontal="right" vertical="center"/>
    </xf>
    <xf numFmtId="0" fontId="4" fillId="0" borderId="0" xfId="0" applyFont="1" applyAlignment="1">
      <alignment horizontal="center" vertical="center"/>
    </xf>
    <xf numFmtId="0" fontId="14" fillId="0" borderId="0" xfId="0" applyFont="1" applyAlignment="1">
      <alignment horizontal="center" vertical="center"/>
    </xf>
    <xf numFmtId="0" fontId="18" fillId="0" borderId="0" xfId="0" applyFont="1" applyAlignment="1">
      <alignment vertical="center"/>
    </xf>
    <xf numFmtId="0" fontId="4" fillId="0" borderId="31" xfId="0" applyFont="1" applyBorder="1" applyAlignment="1">
      <alignment vertical="center"/>
    </xf>
    <xf numFmtId="0" fontId="20" fillId="0" borderId="184" xfId="0" applyFont="1" applyBorder="1" applyAlignment="1">
      <alignment vertical="center"/>
    </xf>
    <xf numFmtId="0" fontId="20" fillId="0" borderId="185" xfId="0" applyFont="1" applyBorder="1" applyAlignment="1">
      <alignment vertical="center"/>
    </xf>
    <xf numFmtId="0" fontId="20" fillId="0" borderId="186" xfId="0" applyFont="1" applyBorder="1" applyAlignment="1">
      <alignment vertical="center"/>
    </xf>
    <xf numFmtId="176" fontId="4" fillId="0" borderId="187" xfId="0" applyNumberFormat="1" applyFont="1" applyBorder="1" applyAlignment="1">
      <alignment horizontal="right" vertical="center"/>
    </xf>
    <xf numFmtId="0" fontId="20" fillId="0" borderId="23" xfId="0" applyFont="1" applyBorder="1" applyAlignment="1">
      <alignment vertical="center"/>
    </xf>
    <xf numFmtId="0" fontId="20" fillId="0" borderId="145" xfId="0" applyFont="1" applyBorder="1" applyAlignment="1">
      <alignment vertical="center"/>
    </xf>
    <xf numFmtId="0" fontId="20" fillId="0" borderId="0" xfId="0" applyFont="1" applyAlignment="1">
      <alignment vertical="center"/>
    </xf>
    <xf numFmtId="176" fontId="4" fillId="0" borderId="188" xfId="0" applyNumberFormat="1" applyFont="1" applyBorder="1" applyAlignment="1">
      <alignment horizontal="right" vertical="center"/>
    </xf>
    <xf numFmtId="0" fontId="4" fillId="0" borderId="137" xfId="0" applyFont="1" applyBorder="1" applyAlignment="1">
      <alignment vertical="center"/>
    </xf>
    <xf numFmtId="0" fontId="20" fillId="0" borderId="36" xfId="0" applyFont="1" applyBorder="1" applyAlignment="1">
      <alignment vertical="center"/>
    </xf>
    <xf numFmtId="0" fontId="20" fillId="0" borderId="44" xfId="0" applyFont="1" applyBorder="1" applyAlignment="1">
      <alignment vertical="center"/>
    </xf>
    <xf numFmtId="0" fontId="20" fillId="0" borderId="22" xfId="0" applyFont="1" applyBorder="1" applyAlignment="1">
      <alignment vertical="center"/>
    </xf>
    <xf numFmtId="0" fontId="20" fillId="0" borderId="131" xfId="0" applyFont="1" applyBorder="1" applyAlignment="1">
      <alignment vertical="center"/>
    </xf>
    <xf numFmtId="0" fontId="20" fillId="0" borderId="34" xfId="0" applyFont="1" applyBorder="1" applyAlignment="1">
      <alignment vertical="center"/>
    </xf>
    <xf numFmtId="176" fontId="4" fillId="0" borderId="189" xfId="0" applyNumberFormat="1" applyFont="1" applyBorder="1" applyAlignment="1">
      <alignment horizontal="right" vertical="center"/>
    </xf>
    <xf numFmtId="0" fontId="20" fillId="0" borderId="50" xfId="0" applyFont="1" applyBorder="1" applyAlignment="1">
      <alignment vertical="center"/>
    </xf>
    <xf numFmtId="0" fontId="20" fillId="0" borderId="26" xfId="0" applyFont="1" applyBorder="1" applyAlignment="1">
      <alignment vertical="center"/>
    </xf>
    <xf numFmtId="0" fontId="20" fillId="0" borderId="10" xfId="0" applyFont="1" applyBorder="1" applyAlignment="1">
      <alignment vertical="center"/>
    </xf>
    <xf numFmtId="0" fontId="20" fillId="0" borderId="125" xfId="0" applyFont="1" applyBorder="1" applyAlignment="1">
      <alignment vertical="center"/>
    </xf>
    <xf numFmtId="0" fontId="20" fillId="0" borderId="31" xfId="0" applyFont="1" applyBorder="1" applyAlignment="1">
      <alignment vertical="center"/>
    </xf>
    <xf numFmtId="0" fontId="20" fillId="0" borderId="29" xfId="0" applyFont="1" applyBorder="1" applyAlignment="1">
      <alignment vertical="center"/>
    </xf>
    <xf numFmtId="0" fontId="20" fillId="0" borderId="72" xfId="0" applyFont="1" applyBorder="1" applyAlignment="1">
      <alignment vertical="center"/>
    </xf>
    <xf numFmtId="176" fontId="4" fillId="0" borderId="190" xfId="0" applyNumberFormat="1" applyFont="1" applyBorder="1" applyAlignment="1">
      <alignment horizontal="right" vertical="center"/>
    </xf>
    <xf numFmtId="0" fontId="20" fillId="0" borderId="121" xfId="0" applyFont="1" applyBorder="1" applyAlignment="1">
      <alignment vertical="center"/>
    </xf>
    <xf numFmtId="0" fontId="20" fillId="0" borderId="115" xfId="0" applyFont="1" applyBorder="1" applyAlignment="1">
      <alignment vertical="center"/>
    </xf>
    <xf numFmtId="176" fontId="4" fillId="0" borderId="191" xfId="0" applyNumberFormat="1" applyFont="1" applyBorder="1" applyAlignment="1">
      <alignment horizontal="right" vertical="center"/>
    </xf>
    <xf numFmtId="0" fontId="20" fillId="0" borderId="69" xfId="0" applyFont="1" applyBorder="1" applyAlignment="1">
      <alignment vertical="center"/>
    </xf>
    <xf numFmtId="176" fontId="4" fillId="0" borderId="69" xfId="0" applyNumberFormat="1" applyFont="1" applyBorder="1" applyAlignment="1">
      <alignment horizontal="right" vertical="center"/>
    </xf>
    <xf numFmtId="0" fontId="20" fillId="0" borderId="8" xfId="0" applyFont="1" applyBorder="1" applyAlignment="1">
      <alignment vertical="center"/>
    </xf>
    <xf numFmtId="0" fontId="20" fillId="0" borderId="30" xfId="0" applyFont="1" applyBorder="1" applyAlignment="1">
      <alignment vertical="center"/>
    </xf>
    <xf numFmtId="0" fontId="20" fillId="0" borderId="73" xfId="0" applyFont="1" applyBorder="1" applyAlignment="1">
      <alignment vertical="center"/>
    </xf>
    <xf numFmtId="0" fontId="20" fillId="0" borderId="136" xfId="0" applyFont="1" applyBorder="1" applyAlignment="1">
      <alignment vertical="center"/>
    </xf>
    <xf numFmtId="176" fontId="4" fillId="0" borderId="136" xfId="0" applyNumberFormat="1" applyFont="1" applyBorder="1" applyAlignment="1">
      <alignment horizontal="right" vertical="center"/>
    </xf>
    <xf numFmtId="0" fontId="4" fillId="0" borderId="0" xfId="0" applyFont="1" applyAlignment="1">
      <alignment horizontal="left" vertical="center"/>
    </xf>
    <xf numFmtId="0" fontId="20" fillId="0" borderId="37" xfId="0" applyFont="1" applyBorder="1" applyAlignment="1">
      <alignment vertical="center"/>
    </xf>
    <xf numFmtId="0" fontId="20" fillId="0" borderId="19" xfId="0" applyFont="1" applyBorder="1" applyAlignment="1">
      <alignment vertical="center"/>
    </xf>
    <xf numFmtId="0" fontId="20" fillId="0" borderId="38" xfId="0" applyFont="1" applyBorder="1" applyAlignment="1">
      <alignment vertical="center"/>
    </xf>
    <xf numFmtId="0" fontId="20" fillId="0" borderId="11" xfId="0" applyFont="1" applyBorder="1" applyAlignment="1">
      <alignment vertical="center"/>
    </xf>
    <xf numFmtId="0" fontId="20" fillId="0" borderId="43" xfId="0" applyFont="1" applyBorder="1" applyAlignment="1">
      <alignment vertical="center"/>
    </xf>
    <xf numFmtId="176" fontId="4" fillId="0" borderId="43" xfId="0" applyNumberFormat="1" applyFont="1" applyBorder="1" applyAlignment="1">
      <alignment horizontal="right" vertical="center"/>
    </xf>
    <xf numFmtId="0" fontId="20" fillId="0" borderId="138" xfId="0" applyFont="1" applyBorder="1" applyAlignment="1">
      <alignment vertical="center"/>
    </xf>
    <xf numFmtId="0" fontId="20" fillId="0" borderId="15" xfId="0" applyFont="1" applyBorder="1" applyAlignment="1">
      <alignment vertical="center"/>
    </xf>
    <xf numFmtId="0" fontId="20" fillId="0" borderId="123" xfId="0" applyFont="1" applyBorder="1" applyAlignment="1">
      <alignment vertical="center"/>
    </xf>
    <xf numFmtId="0" fontId="20" fillId="0" borderId="127" xfId="0" applyFont="1" applyBorder="1" applyAlignment="1">
      <alignment vertical="center"/>
    </xf>
    <xf numFmtId="0" fontId="23" fillId="0" borderId="0" xfId="0" applyFont="1" applyAlignment="1">
      <alignment vertical="center"/>
    </xf>
    <xf numFmtId="0" fontId="2" fillId="0" borderId="0" xfId="0" applyFont="1" applyAlignment="1">
      <alignment horizontal="center" vertical="center"/>
    </xf>
    <xf numFmtId="176" fontId="4" fillId="0" borderId="192" xfId="0" applyNumberFormat="1" applyFont="1" applyBorder="1" applyAlignment="1">
      <alignment horizontal="right" vertical="center"/>
    </xf>
    <xf numFmtId="0" fontId="20" fillId="0" borderId="193" xfId="0" applyFont="1" applyBorder="1" applyAlignment="1">
      <alignment horizontal="center" vertical="center"/>
    </xf>
    <xf numFmtId="176" fontId="4" fillId="0" borderId="7" xfId="0" applyNumberFormat="1" applyFont="1" applyBorder="1" applyAlignment="1">
      <alignment horizontal="right" vertical="center"/>
    </xf>
    <xf numFmtId="0" fontId="4" fillId="0" borderId="194" xfId="0" applyFont="1" applyBorder="1" applyAlignment="1">
      <alignment horizontal="center" vertical="center"/>
    </xf>
    <xf numFmtId="176" fontId="4" fillId="0" borderId="25" xfId="0" applyNumberFormat="1" applyFont="1" applyBorder="1" applyAlignment="1">
      <alignment horizontal="right" vertical="center"/>
    </xf>
    <xf numFmtId="0" fontId="4" fillId="0" borderId="195" xfId="0" applyFont="1" applyBorder="1" applyAlignment="1">
      <alignment horizontal="center" vertical="center"/>
    </xf>
    <xf numFmtId="0" fontId="4" fillId="0" borderId="196" xfId="0" applyFont="1" applyBorder="1" applyAlignment="1">
      <alignment horizontal="center" vertical="center"/>
    </xf>
    <xf numFmtId="0" fontId="4" fillId="0" borderId="9" xfId="0" applyFont="1" applyBorder="1" applyAlignment="1">
      <alignment vertical="center"/>
    </xf>
    <xf numFmtId="0" fontId="4" fillId="0" borderId="197" xfId="0" applyFont="1" applyBorder="1" applyAlignment="1">
      <alignment horizontal="center" vertical="center"/>
    </xf>
    <xf numFmtId="0" fontId="29" fillId="0" borderId="138" xfId="0" applyFont="1" applyBorder="1" applyAlignment="1">
      <alignment vertical="center"/>
    </xf>
    <xf numFmtId="0" fontId="29" fillId="0" borderId="43" xfId="0" applyFont="1" applyBorder="1" applyAlignment="1">
      <alignment vertical="center"/>
    </xf>
    <xf numFmtId="0" fontId="30" fillId="0" borderId="194" xfId="0" applyFont="1" applyBorder="1" applyAlignment="1">
      <alignment horizontal="center" vertical="center"/>
    </xf>
    <xf numFmtId="176" fontId="30" fillId="0" borderId="188" xfId="0" applyNumberFormat="1" applyFont="1" applyBorder="1" applyAlignment="1">
      <alignment horizontal="right" vertical="center"/>
    </xf>
    <xf numFmtId="0" fontId="30" fillId="0" borderId="0" xfId="0" applyFont="1" applyAlignment="1">
      <alignment vertical="center"/>
    </xf>
    <xf numFmtId="0" fontId="31" fillId="0" borderId="0" xfId="0" applyFont="1" applyAlignment="1">
      <alignment vertical="top"/>
    </xf>
    <xf numFmtId="0" fontId="29" fillId="0" borderId="11" xfId="0" applyFont="1" applyBorder="1" applyAlignment="1">
      <alignment vertical="center"/>
    </xf>
    <xf numFmtId="0" fontId="30" fillId="0" borderId="195" xfId="0" applyFont="1" applyBorder="1" applyAlignment="1">
      <alignment horizontal="center" vertical="center"/>
    </xf>
    <xf numFmtId="176" fontId="30" fillId="0" borderId="189" xfId="0" applyNumberFormat="1" applyFont="1" applyBorder="1" applyAlignment="1">
      <alignment horizontal="right" vertical="center"/>
    </xf>
    <xf numFmtId="0" fontId="29" fillId="0" borderId="69" xfId="0" applyFont="1" applyBorder="1" applyAlignment="1">
      <alignment vertical="center"/>
    </xf>
    <xf numFmtId="0" fontId="29" fillId="0" borderId="139" xfId="0" applyFont="1" applyBorder="1" applyAlignment="1">
      <alignment vertical="center"/>
    </xf>
    <xf numFmtId="0" fontId="29" fillId="0" borderId="136" xfId="0" applyFont="1" applyBorder="1" applyAlignment="1">
      <alignment vertical="center"/>
    </xf>
    <xf numFmtId="0" fontId="30" fillId="0" borderId="196" xfId="0" applyFont="1" applyBorder="1" applyAlignment="1">
      <alignment horizontal="center" vertical="center"/>
    </xf>
    <xf numFmtId="176" fontId="30" fillId="0" borderId="198" xfId="0" applyNumberFormat="1" applyFont="1" applyBorder="1" applyAlignment="1">
      <alignment horizontal="right" vertical="center"/>
    </xf>
    <xf numFmtId="0" fontId="31" fillId="0" borderId="0" xfId="0" applyFont="1" applyAlignment="1">
      <alignment horizontal="center" vertical="center"/>
    </xf>
    <xf numFmtId="0" fontId="31" fillId="0" borderId="0" xfId="0" applyFont="1" applyAlignment="1">
      <alignment vertical="center"/>
    </xf>
    <xf numFmtId="0" fontId="30" fillId="0" borderId="0" xfId="0" applyFont="1" applyAlignment="1">
      <alignment horizontal="right" vertical="center"/>
    </xf>
    <xf numFmtId="0" fontId="29" fillId="0" borderId="193" xfId="0" applyFont="1" applyBorder="1" applyAlignment="1">
      <alignment horizontal="center" vertical="center"/>
    </xf>
    <xf numFmtId="0" fontId="29" fillId="0" borderId="115" xfId="0" applyFont="1" applyBorder="1" applyAlignment="1">
      <alignment vertical="center"/>
    </xf>
    <xf numFmtId="176" fontId="30" fillId="0" borderId="191" xfId="0" applyNumberFormat="1" applyFont="1" applyBorder="1" applyAlignment="1">
      <alignment horizontal="right" vertical="center"/>
    </xf>
    <xf numFmtId="0" fontId="29" fillId="0" borderId="10" xfId="0" applyFont="1" applyBorder="1" applyAlignment="1">
      <alignment vertical="center"/>
    </xf>
    <xf numFmtId="0" fontId="29" fillId="0" borderId="22" xfId="0" applyFont="1" applyBorder="1" applyAlignment="1">
      <alignment vertical="center"/>
    </xf>
    <xf numFmtId="0" fontId="29" fillId="0" borderId="34" xfId="0" applyFont="1" applyBorder="1" applyAlignment="1">
      <alignment vertical="center"/>
    </xf>
    <xf numFmtId="0" fontId="29" fillId="0" borderId="0" xfId="0" applyFont="1" applyAlignment="1">
      <alignment vertical="center"/>
    </xf>
    <xf numFmtId="0" fontId="29" fillId="0" borderId="31" xfId="0" applyFont="1" applyBorder="1" applyAlignment="1">
      <alignment vertical="center"/>
    </xf>
    <xf numFmtId="0" fontId="29" fillId="0" borderId="72" xfId="0" applyFont="1" applyBorder="1" applyAlignment="1">
      <alignment vertical="center"/>
    </xf>
    <xf numFmtId="0" fontId="29" fillId="0" borderId="183" xfId="0" applyFont="1" applyBorder="1" applyAlignment="1">
      <alignment horizontal="center" vertical="center"/>
    </xf>
    <xf numFmtId="0" fontId="20" fillId="0" borderId="9" xfId="0" applyFont="1" applyBorder="1" applyAlignment="1">
      <alignment vertical="center"/>
    </xf>
    <xf numFmtId="0" fontId="20" fillId="0" borderId="2" xfId="0" applyFont="1" applyBorder="1" applyAlignment="1">
      <alignment vertical="center"/>
    </xf>
    <xf numFmtId="0" fontId="29" fillId="0" borderId="2" xfId="0" applyFont="1" applyBorder="1" applyAlignment="1">
      <alignment vertical="center"/>
    </xf>
    <xf numFmtId="0" fontId="29" fillId="0" borderId="134" xfId="0" applyFont="1" applyBorder="1" applyAlignment="1">
      <alignment vertical="center"/>
    </xf>
    <xf numFmtId="176" fontId="30" fillId="0" borderId="134" xfId="0" applyNumberFormat="1" applyFont="1" applyBorder="1" applyAlignment="1">
      <alignment horizontal="right" vertical="center"/>
    </xf>
    <xf numFmtId="0" fontId="29" fillId="0" borderId="135" xfId="0" applyFont="1" applyBorder="1" applyAlignment="1">
      <alignment vertical="center"/>
    </xf>
    <xf numFmtId="0" fontId="30" fillId="0" borderId="0" xfId="0" applyFont="1" applyAlignment="1">
      <alignment horizontal="left" vertical="top"/>
    </xf>
    <xf numFmtId="49" fontId="4" fillId="4" borderId="128" xfId="3" applyNumberFormat="1" applyFont="1" applyFill="1" applyBorder="1" applyAlignment="1">
      <alignment horizontal="left" vertical="center"/>
    </xf>
    <xf numFmtId="49" fontId="4" fillId="4" borderId="123" xfId="3" applyNumberFormat="1" applyFont="1" applyFill="1" applyBorder="1" applyAlignment="1">
      <alignment horizontal="left" vertical="center"/>
    </xf>
    <xf numFmtId="49" fontId="4" fillId="4" borderId="129" xfId="3" applyNumberFormat="1" applyFont="1" applyFill="1" applyBorder="1" applyAlignment="1">
      <alignment horizontal="left" vertical="center"/>
    </xf>
    <xf numFmtId="176" fontId="7" fillId="3" borderId="123" xfId="2" applyNumberFormat="1" applyFont="1" applyFill="1" applyBorder="1" applyAlignment="1">
      <alignment horizontal="right" vertical="center" shrinkToFit="1"/>
    </xf>
    <xf numFmtId="176" fontId="7" fillId="3" borderId="124" xfId="2" applyNumberFormat="1" applyFont="1" applyFill="1" applyBorder="1" applyAlignment="1">
      <alignment horizontal="right" vertical="center" shrinkToFit="1"/>
    </xf>
    <xf numFmtId="176" fontId="7" fillId="4" borderId="123" xfId="2" applyNumberFormat="1" applyFont="1" applyFill="1" applyBorder="1" applyAlignment="1" applyProtection="1">
      <alignment horizontal="right" vertical="center" shrinkToFit="1"/>
      <protection locked="0"/>
    </xf>
    <xf numFmtId="176" fontId="7" fillId="4" borderId="124" xfId="2" applyNumberFormat="1" applyFont="1" applyFill="1" applyBorder="1" applyAlignment="1" applyProtection="1">
      <alignment horizontal="right" vertical="center" shrinkToFit="1"/>
      <protection locked="0"/>
    </xf>
    <xf numFmtId="49" fontId="4" fillId="4" borderId="34" xfId="3" applyNumberFormat="1" applyFont="1" applyFill="1" applyBorder="1" applyAlignment="1">
      <alignment horizontal="left" vertical="center"/>
    </xf>
    <xf numFmtId="49" fontId="4" fillId="4" borderId="11" xfId="3" applyNumberFormat="1" applyFont="1" applyFill="1" applyBorder="1" applyAlignment="1">
      <alignment horizontal="left" vertical="center"/>
    </xf>
    <xf numFmtId="49" fontId="4" fillId="4" borderId="43" xfId="3" applyNumberFormat="1" applyFont="1" applyFill="1" applyBorder="1" applyAlignment="1">
      <alignment horizontal="left" vertical="center"/>
    </xf>
    <xf numFmtId="176" fontId="7" fillId="4" borderId="25" xfId="2" applyNumberFormat="1" applyFont="1" applyFill="1" applyBorder="1" applyAlignment="1" applyProtection="1">
      <alignment horizontal="right" vertical="center" shrinkToFit="1"/>
      <protection locked="0"/>
    </xf>
    <xf numFmtId="176" fontId="7" fillId="4" borderId="11" xfId="2" applyNumberFormat="1" applyFont="1" applyFill="1" applyBorder="1" applyAlignment="1" applyProtection="1">
      <alignment horizontal="right" vertical="center" shrinkToFit="1"/>
      <protection locked="0"/>
    </xf>
    <xf numFmtId="176" fontId="7" fillId="4" borderId="43" xfId="2" applyNumberFormat="1" applyFont="1" applyFill="1" applyBorder="1" applyAlignment="1" applyProtection="1">
      <alignment horizontal="right" vertical="center" shrinkToFit="1"/>
      <protection locked="0"/>
    </xf>
    <xf numFmtId="49" fontId="4" fillId="0" borderId="87" xfId="3" applyNumberFormat="1" applyFont="1" applyBorder="1" applyAlignment="1">
      <alignment horizontal="left" vertical="center"/>
    </xf>
    <xf numFmtId="49" fontId="4" fillId="0" borderId="73" xfId="3" applyNumberFormat="1" applyFont="1" applyBorder="1" applyAlignment="1">
      <alignment horizontal="left" vertical="center"/>
    </xf>
    <xf numFmtId="49" fontId="4" fillId="0" borderId="136" xfId="3" applyNumberFormat="1" applyFont="1" applyBorder="1" applyAlignment="1">
      <alignment horizontal="left" vertical="center"/>
    </xf>
    <xf numFmtId="176" fontId="7" fillId="3" borderId="87" xfId="2" applyNumberFormat="1" applyFont="1" applyFill="1" applyBorder="1" applyAlignment="1">
      <alignment horizontal="right" vertical="center" shrinkToFit="1"/>
    </xf>
    <xf numFmtId="176" fontId="7" fillId="3" borderId="73" xfId="2" applyNumberFormat="1" applyFont="1" applyFill="1" applyBorder="1" applyAlignment="1">
      <alignment horizontal="right" vertical="center" shrinkToFit="1"/>
    </xf>
    <xf numFmtId="176" fontId="7" fillId="3" borderId="136" xfId="2" applyNumberFormat="1" applyFont="1" applyFill="1" applyBorder="1" applyAlignment="1">
      <alignment horizontal="right" vertical="center" shrinkToFit="1"/>
    </xf>
    <xf numFmtId="49" fontId="4" fillId="4" borderId="44" xfId="3" applyNumberFormat="1" applyFont="1" applyFill="1" applyBorder="1" applyAlignment="1">
      <alignment horizontal="left" vertical="center"/>
    </xf>
    <xf numFmtId="49" fontId="4" fillId="4" borderId="22" xfId="3" applyNumberFormat="1" applyFont="1" applyFill="1" applyBorder="1" applyAlignment="1">
      <alignment horizontal="left" vertical="center"/>
    </xf>
    <xf numFmtId="49" fontId="4" fillId="4" borderId="131" xfId="3" applyNumberFormat="1" applyFont="1" applyFill="1" applyBorder="1" applyAlignment="1">
      <alignment horizontal="left" vertical="center"/>
    </xf>
    <xf numFmtId="49" fontId="4" fillId="4" borderId="26" xfId="3" applyNumberFormat="1" applyFont="1" applyFill="1" applyBorder="1" applyAlignment="1">
      <alignment horizontal="left" vertical="center"/>
    </xf>
    <xf numFmtId="49" fontId="4" fillId="4" borderId="10" xfId="3" applyNumberFormat="1" applyFont="1" applyFill="1" applyBorder="1" applyAlignment="1">
      <alignment horizontal="left" vertical="center"/>
    </xf>
    <xf numFmtId="49" fontId="4" fillId="4" borderId="69" xfId="3" applyNumberFormat="1" applyFont="1" applyFill="1" applyBorder="1" applyAlignment="1">
      <alignment horizontal="left" vertical="center"/>
    </xf>
    <xf numFmtId="49" fontId="4" fillId="4" borderId="46" xfId="3" applyNumberFormat="1" applyFont="1" applyFill="1" applyBorder="1" applyAlignment="1">
      <alignment horizontal="left" vertical="center"/>
    </xf>
    <xf numFmtId="49" fontId="4" fillId="4" borderId="53" xfId="3" applyNumberFormat="1" applyFont="1" applyFill="1" applyBorder="1" applyAlignment="1">
      <alignment horizontal="left" vertical="center"/>
    </xf>
    <xf numFmtId="49" fontId="4" fillId="4" borderId="161" xfId="3" applyNumberFormat="1" applyFont="1" applyFill="1" applyBorder="1" applyAlignment="1">
      <alignment horizontal="left" vertical="center"/>
    </xf>
    <xf numFmtId="49" fontId="4" fillId="4" borderId="121" xfId="3" applyNumberFormat="1" applyFont="1" applyFill="1" applyBorder="1" applyAlignment="1">
      <alignment horizontal="center" vertical="center"/>
    </xf>
    <xf numFmtId="49" fontId="4" fillId="4" borderId="9" xfId="3" applyNumberFormat="1" applyFont="1" applyFill="1" applyBorder="1" applyAlignment="1">
      <alignment horizontal="center" vertical="center"/>
    </xf>
    <xf numFmtId="49" fontId="4" fillId="4" borderId="133" xfId="3" applyNumberFormat="1" applyFont="1" applyFill="1" applyBorder="1" applyAlignment="1">
      <alignment horizontal="center" vertical="center"/>
    </xf>
    <xf numFmtId="49" fontId="4" fillId="4" borderId="1" xfId="3" applyNumberFormat="1" applyFont="1" applyFill="1" applyBorder="1" applyAlignment="1">
      <alignment horizontal="center" vertical="center" shrinkToFit="1"/>
    </xf>
    <xf numFmtId="49" fontId="4" fillId="4" borderId="115" xfId="3" applyNumberFormat="1" applyFont="1" applyFill="1" applyBorder="1" applyAlignment="1">
      <alignment horizontal="center" vertical="center" shrinkToFit="1"/>
    </xf>
    <xf numFmtId="49" fontId="4" fillId="4" borderId="134" xfId="3" applyNumberFormat="1" applyFont="1" applyFill="1" applyBorder="1" applyAlignment="1">
      <alignment horizontal="center" vertical="center" shrinkToFit="1"/>
    </xf>
    <xf numFmtId="49" fontId="4" fillId="4" borderId="25" xfId="3" applyNumberFormat="1" applyFont="1" applyFill="1" applyBorder="1" applyAlignment="1">
      <alignment horizontal="left" vertical="center"/>
    </xf>
    <xf numFmtId="49" fontId="4" fillId="4" borderId="35" xfId="3" applyNumberFormat="1" applyFont="1" applyFill="1" applyBorder="1" applyAlignment="1">
      <alignment horizontal="left" vertical="center"/>
    </xf>
    <xf numFmtId="49" fontId="4" fillId="4" borderId="21" xfId="3" applyNumberFormat="1" applyFont="1" applyFill="1" applyBorder="1" applyAlignment="1">
      <alignment horizontal="left" vertical="center"/>
    </xf>
    <xf numFmtId="49" fontId="4" fillId="4" borderId="130" xfId="3" applyNumberFormat="1" applyFont="1" applyFill="1" applyBorder="1" applyAlignment="1">
      <alignment horizontal="left" vertical="center"/>
    </xf>
    <xf numFmtId="49" fontId="4" fillId="4" borderId="7" xfId="3" applyNumberFormat="1" applyFont="1" applyFill="1" applyBorder="1" applyAlignment="1">
      <alignment horizontal="left" vertical="center"/>
    </xf>
    <xf numFmtId="49" fontId="4" fillId="4" borderId="145" xfId="3" applyNumberFormat="1" applyFont="1" applyFill="1" applyBorder="1" applyAlignment="1">
      <alignment horizontal="left" vertical="center"/>
    </xf>
    <xf numFmtId="49" fontId="4" fillId="4" borderId="61" xfId="3" applyNumberFormat="1" applyFont="1" applyFill="1" applyBorder="1" applyAlignment="1">
      <alignment horizontal="left" vertical="center"/>
    </xf>
    <xf numFmtId="49" fontId="4" fillId="4" borderId="64" xfId="3" applyNumberFormat="1" applyFont="1" applyFill="1" applyBorder="1" applyAlignment="1">
      <alignment horizontal="left" vertical="center"/>
    </xf>
    <xf numFmtId="49" fontId="26" fillId="4" borderId="0" xfId="3" applyNumberFormat="1" applyFont="1" applyFill="1" applyAlignment="1">
      <alignment horizontal="right"/>
    </xf>
    <xf numFmtId="49" fontId="4" fillId="4" borderId="1" xfId="3" applyNumberFormat="1" applyFont="1" applyFill="1" applyBorder="1" applyAlignment="1">
      <alignment horizontal="center" vertical="center"/>
    </xf>
    <xf numFmtId="49" fontId="4" fillId="4" borderId="115" xfId="3" applyNumberFormat="1" applyFont="1" applyFill="1" applyBorder="1" applyAlignment="1">
      <alignment horizontal="center" vertical="center"/>
    </xf>
    <xf numFmtId="49" fontId="4" fillId="4" borderId="134" xfId="3" applyNumberFormat="1" applyFont="1" applyFill="1" applyBorder="1" applyAlignment="1">
      <alignment horizontal="center" vertical="center"/>
    </xf>
    <xf numFmtId="0" fontId="11" fillId="2" borderId="0" xfId="6" applyFont="1" applyFill="1" applyAlignment="1">
      <alignment horizontal="center" vertical="center"/>
    </xf>
    <xf numFmtId="0" fontId="11" fillId="2" borderId="0" xfId="0" applyFont="1" applyFill="1" applyAlignment="1">
      <alignment horizontal="center" vertical="center"/>
    </xf>
    <xf numFmtId="0" fontId="22" fillId="4" borderId="10" xfId="2" applyFont="1" applyFill="1" applyBorder="1" applyAlignment="1">
      <alignment horizontal="right" vertical="center"/>
    </xf>
    <xf numFmtId="49" fontId="22" fillId="4" borderId="10" xfId="2" applyNumberFormat="1" applyFont="1" applyFill="1" applyBorder="1" applyAlignment="1">
      <alignment horizontal="left" vertical="center"/>
    </xf>
    <xf numFmtId="0" fontId="22" fillId="4" borderId="11" xfId="2" applyFont="1" applyFill="1" applyBorder="1" applyAlignment="1">
      <alignment horizontal="right" vertical="center"/>
    </xf>
    <xf numFmtId="49" fontId="22" fillId="4" borderId="11" xfId="2" applyNumberFormat="1" applyFont="1" applyFill="1" applyBorder="1" applyAlignment="1">
      <alignment horizontal="left" vertical="center"/>
    </xf>
    <xf numFmtId="0" fontId="4" fillId="0" borderId="33" xfId="0" applyFont="1" applyBorder="1" applyAlignment="1">
      <alignment horizontal="center" vertical="center"/>
    </xf>
    <xf numFmtId="0" fontId="4" fillId="0" borderId="125" xfId="0" applyFont="1" applyBorder="1" applyAlignment="1">
      <alignment horizontal="center" vertical="center"/>
    </xf>
    <xf numFmtId="0" fontId="11" fillId="0" borderId="0" xfId="0" applyFont="1" applyAlignment="1">
      <alignment horizontal="center" vertical="center"/>
    </xf>
    <xf numFmtId="0" fontId="4" fillId="0" borderId="126" xfId="0" applyFont="1" applyBorder="1" applyAlignment="1">
      <alignment horizontal="center" vertical="center"/>
    </xf>
    <xf numFmtId="0" fontId="4" fillId="0" borderId="24" xfId="0" applyFont="1" applyBorder="1" applyAlignment="1">
      <alignment horizontal="center" vertical="center"/>
    </xf>
    <xf numFmtId="49" fontId="4" fillId="4" borderId="50" xfId="3" applyNumberFormat="1" applyFont="1" applyFill="1" applyBorder="1" applyAlignment="1">
      <alignment horizontal="left" vertical="center"/>
    </xf>
    <xf numFmtId="49" fontId="4" fillId="4" borderId="0" xfId="3" applyNumberFormat="1" applyFont="1" applyFill="1" applyAlignment="1">
      <alignment horizontal="left" vertical="center"/>
    </xf>
    <xf numFmtId="49" fontId="4" fillId="4" borderId="50" xfId="3" applyNumberFormat="1" applyFont="1" applyFill="1" applyBorder="1" applyAlignment="1">
      <alignment horizontal="center"/>
    </xf>
    <xf numFmtId="49" fontId="4" fillId="4" borderId="0" xfId="3" applyNumberFormat="1" applyFont="1" applyFill="1" applyAlignment="1">
      <alignment horizontal="center"/>
    </xf>
    <xf numFmtId="49" fontId="4" fillId="4" borderId="137" xfId="3" applyNumberFormat="1" applyFont="1" applyFill="1" applyBorder="1" applyAlignment="1">
      <alignment horizontal="center"/>
    </xf>
    <xf numFmtId="177" fontId="7" fillId="2" borderId="25" xfId="1" applyNumberFormat="1" applyFont="1" applyFill="1" applyBorder="1" applyAlignment="1" applyProtection="1">
      <alignment horizontal="right" vertical="center" shrinkToFit="1"/>
      <protection locked="0"/>
    </xf>
    <xf numFmtId="177" fontId="7" fillId="2" borderId="11" xfId="1" applyNumberFormat="1" applyFont="1" applyFill="1" applyBorder="1" applyAlignment="1" applyProtection="1">
      <alignment horizontal="right" vertical="center" shrinkToFit="1"/>
      <protection locked="0"/>
    </xf>
    <xf numFmtId="49" fontId="7" fillId="2" borderId="11" xfId="3" applyNumberFormat="1" applyFont="1" applyFill="1" applyBorder="1" applyAlignment="1">
      <alignment horizontal="center" vertical="center" shrinkToFit="1"/>
    </xf>
    <xf numFmtId="49" fontId="7" fillId="2" borderId="43" xfId="3" applyNumberFormat="1" applyFont="1" applyFill="1" applyBorder="1" applyAlignment="1">
      <alignment horizontal="center" vertical="center" shrinkToFit="1"/>
    </xf>
    <xf numFmtId="176" fontId="7" fillId="2" borderId="25" xfId="1" applyNumberFormat="1" applyFont="1" applyFill="1" applyBorder="1" applyAlignment="1" applyProtection="1">
      <alignment horizontal="right" vertical="center" shrinkToFit="1"/>
      <protection locked="0"/>
    </xf>
    <xf numFmtId="176" fontId="7" fillId="2" borderId="11" xfId="1" applyNumberFormat="1" applyFont="1" applyFill="1" applyBorder="1" applyAlignment="1" applyProtection="1">
      <alignment horizontal="right" vertical="center" shrinkToFit="1"/>
      <protection locked="0"/>
    </xf>
    <xf numFmtId="176" fontId="7" fillId="2" borderId="43" xfId="1" applyNumberFormat="1" applyFont="1" applyFill="1" applyBorder="1" applyAlignment="1" applyProtection="1">
      <alignment horizontal="right" vertical="center" shrinkToFit="1"/>
      <protection locked="0"/>
    </xf>
    <xf numFmtId="49" fontId="4" fillId="4" borderId="31" xfId="3" applyNumberFormat="1" applyFont="1" applyFill="1" applyBorder="1" applyAlignment="1">
      <alignment horizontal="left" vertical="center" shrinkToFit="1"/>
    </xf>
    <xf numFmtId="49" fontId="4" fillId="4" borderId="121" xfId="3" applyNumberFormat="1" applyFont="1" applyFill="1" applyBorder="1" applyAlignment="1">
      <alignment horizontal="left" vertical="center"/>
    </xf>
    <xf numFmtId="49" fontId="4" fillId="4" borderId="9" xfId="3" applyNumberFormat="1" applyFont="1" applyFill="1" applyBorder="1" applyAlignment="1">
      <alignment horizontal="left" vertical="center"/>
    </xf>
    <xf numFmtId="49" fontId="4" fillId="4" borderId="132" xfId="3" applyNumberFormat="1" applyFont="1" applyFill="1" applyBorder="1" applyAlignment="1">
      <alignment horizontal="center" vertical="center" shrinkToFit="1"/>
    </xf>
    <xf numFmtId="49" fontId="4" fillId="4" borderId="9" xfId="3" applyNumberFormat="1" applyFont="1" applyFill="1" applyBorder="1" applyAlignment="1">
      <alignment horizontal="center" vertical="center" shrinkToFit="1"/>
    </xf>
    <xf numFmtId="49" fontId="4" fillId="4" borderId="133" xfId="3" applyNumberFormat="1" applyFont="1" applyFill="1" applyBorder="1" applyAlignment="1">
      <alignment horizontal="center" vertical="center" shrinkToFit="1"/>
    </xf>
    <xf numFmtId="177" fontId="7" fillId="2" borderId="1" xfId="1" applyNumberFormat="1" applyFont="1" applyFill="1" applyBorder="1" applyAlignment="1" applyProtection="1">
      <alignment horizontal="right" vertical="center" shrinkToFit="1"/>
      <protection locked="0"/>
    </xf>
    <xf numFmtId="177" fontId="7" fillId="2" borderId="115" xfId="1" applyNumberFormat="1" applyFont="1" applyFill="1" applyBorder="1" applyAlignment="1" applyProtection="1">
      <alignment horizontal="right" vertical="center" shrinkToFit="1"/>
      <protection locked="0"/>
    </xf>
    <xf numFmtId="49" fontId="7" fillId="2" borderId="115" xfId="3" applyNumberFormat="1" applyFont="1" applyFill="1" applyBorder="1" applyAlignment="1">
      <alignment horizontal="center" vertical="center" shrinkToFit="1"/>
    </xf>
    <xf numFmtId="49" fontId="7" fillId="2" borderId="134" xfId="3" applyNumberFormat="1" applyFont="1" applyFill="1" applyBorder="1" applyAlignment="1">
      <alignment horizontal="center" vertical="center" shrinkToFit="1"/>
    </xf>
    <xf numFmtId="176" fontId="7" fillId="2" borderId="1" xfId="1" applyNumberFormat="1" applyFont="1" applyFill="1" applyBorder="1" applyAlignment="1" applyProtection="1">
      <alignment horizontal="right" vertical="center" shrinkToFit="1"/>
      <protection locked="0"/>
    </xf>
    <xf numFmtId="176" fontId="7" fillId="2" borderId="115" xfId="1" applyNumberFormat="1" applyFont="1" applyFill="1" applyBorder="1" applyAlignment="1" applyProtection="1">
      <alignment horizontal="right" vertical="center" shrinkToFit="1"/>
      <protection locked="0"/>
    </xf>
    <xf numFmtId="176" fontId="7" fillId="2" borderId="134" xfId="1" applyNumberFormat="1" applyFont="1" applyFill="1" applyBorder="1" applyAlignment="1" applyProtection="1">
      <alignment horizontal="right" vertical="center" shrinkToFit="1"/>
      <protection locked="0"/>
    </xf>
    <xf numFmtId="49" fontId="4" fillId="4" borderId="44" xfId="3" applyNumberFormat="1" applyFont="1" applyFill="1" applyBorder="1" applyAlignment="1">
      <alignment horizontal="center"/>
    </xf>
    <xf numFmtId="49" fontId="4" fillId="4" borderId="22" xfId="3" applyNumberFormat="1" applyFont="1" applyFill="1" applyBorder="1" applyAlignment="1">
      <alignment horizontal="center"/>
    </xf>
    <xf numFmtId="49" fontId="4" fillId="4" borderId="131" xfId="3" applyNumberFormat="1" applyFont="1" applyFill="1" applyBorder="1" applyAlignment="1">
      <alignment horizontal="center"/>
    </xf>
    <xf numFmtId="49" fontId="4" fillId="4" borderId="29" xfId="3" applyNumberFormat="1" applyFont="1" applyFill="1" applyBorder="1" applyAlignment="1">
      <alignment horizontal="left" vertical="center"/>
    </xf>
    <xf numFmtId="49" fontId="4" fillId="4" borderId="31" xfId="3" applyNumberFormat="1" applyFont="1" applyFill="1" applyBorder="1" applyAlignment="1">
      <alignment horizontal="left" vertical="center"/>
    </xf>
    <xf numFmtId="49" fontId="4" fillId="4" borderId="29" xfId="3" applyNumberFormat="1" applyFont="1" applyFill="1" applyBorder="1" applyAlignment="1">
      <alignment horizontal="center"/>
    </xf>
    <xf numFmtId="49" fontId="4" fillId="4" borderId="31" xfId="3" applyNumberFormat="1" applyFont="1" applyFill="1" applyBorder="1" applyAlignment="1">
      <alignment horizontal="center"/>
    </xf>
    <xf numFmtId="49" fontId="4" fillId="4" borderId="135" xfId="3" applyNumberFormat="1" applyFont="1" applyFill="1" applyBorder="1" applyAlignment="1">
      <alignment horizontal="center"/>
    </xf>
    <xf numFmtId="177" fontId="7" fillId="2" borderId="87" xfId="1" applyNumberFormat="1" applyFont="1" applyFill="1" applyBorder="1" applyAlignment="1" applyProtection="1">
      <alignment horizontal="right" vertical="center" shrinkToFit="1"/>
      <protection locked="0"/>
    </xf>
    <xf numFmtId="177" fontId="7" fillId="2" borderId="73" xfId="1" applyNumberFormat="1" applyFont="1" applyFill="1" applyBorder="1" applyAlignment="1" applyProtection="1">
      <alignment horizontal="right" vertical="center" shrinkToFit="1"/>
      <protection locked="0"/>
    </xf>
    <xf numFmtId="49" fontId="7" fillId="2" borderId="73" xfId="3" applyNumberFormat="1" applyFont="1" applyFill="1" applyBorder="1" applyAlignment="1">
      <alignment horizontal="center" vertical="center" shrinkToFit="1"/>
    </xf>
    <xf numFmtId="49" fontId="7" fillId="2" borderId="136" xfId="3" applyNumberFormat="1" applyFont="1" applyFill="1" applyBorder="1" applyAlignment="1">
      <alignment horizontal="center" vertical="center" shrinkToFit="1"/>
    </xf>
    <xf numFmtId="176" fontId="7" fillId="2" borderId="87" xfId="1" applyNumberFormat="1" applyFont="1" applyFill="1" applyBorder="1" applyAlignment="1" applyProtection="1">
      <alignment horizontal="right" vertical="center" shrinkToFit="1"/>
      <protection locked="0"/>
    </xf>
    <xf numFmtId="176" fontId="7" fillId="2" borderId="73" xfId="1" applyNumberFormat="1" applyFont="1" applyFill="1" applyBorder="1" applyAlignment="1" applyProtection="1">
      <alignment horizontal="right" vertical="center" shrinkToFit="1"/>
      <protection locked="0"/>
    </xf>
    <xf numFmtId="176" fontId="7" fillId="2" borderId="136" xfId="1" applyNumberFormat="1" applyFont="1" applyFill="1" applyBorder="1" applyAlignment="1" applyProtection="1">
      <alignment horizontal="right" vertical="center" shrinkToFit="1"/>
      <protection locked="0"/>
    </xf>
    <xf numFmtId="49" fontId="4" fillId="4" borderId="138" xfId="3" applyNumberFormat="1" applyFont="1" applyFill="1" applyBorder="1" applyAlignment="1">
      <alignment horizontal="left" vertical="center"/>
    </xf>
    <xf numFmtId="49" fontId="4" fillId="4" borderId="50" xfId="3" applyNumberFormat="1" applyFont="1" applyFill="1" applyBorder="1" applyAlignment="1">
      <alignment horizontal="center" vertical="center" shrinkToFit="1"/>
    </xf>
    <xf numFmtId="49" fontId="4" fillId="4" borderId="0" xfId="3" applyNumberFormat="1" applyFont="1" applyFill="1" applyAlignment="1">
      <alignment horizontal="center" vertical="center" shrinkToFit="1"/>
    </xf>
    <xf numFmtId="49" fontId="4" fillId="4" borderId="137" xfId="3" applyNumberFormat="1" applyFont="1" applyFill="1" applyBorder="1" applyAlignment="1">
      <alignment horizontal="center" vertical="center" shrinkToFit="1"/>
    </xf>
    <xf numFmtId="176" fontId="7" fillId="4" borderId="128" xfId="3" applyNumberFormat="1" applyFont="1" applyFill="1" applyBorder="1" applyAlignment="1" applyProtection="1">
      <alignment horizontal="right" vertical="center" shrinkToFit="1"/>
      <protection locked="0"/>
    </xf>
    <xf numFmtId="176" fontId="7" fillId="4" borderId="123" xfId="3" applyNumberFormat="1" applyFont="1" applyFill="1" applyBorder="1" applyAlignment="1" applyProtection="1">
      <alignment horizontal="right" vertical="center" shrinkToFit="1"/>
      <protection locked="0"/>
    </xf>
    <xf numFmtId="176" fontId="7" fillId="4" borderId="124" xfId="3" applyNumberFormat="1" applyFont="1" applyFill="1" applyBorder="1" applyAlignment="1" applyProtection="1">
      <alignment horizontal="right" vertical="center" shrinkToFit="1"/>
      <protection locked="0"/>
    </xf>
    <xf numFmtId="49" fontId="4" fillId="4" borderId="0" xfId="3" applyNumberFormat="1" applyFont="1" applyFill="1" applyAlignment="1">
      <alignment horizontal="center" vertical="center"/>
    </xf>
    <xf numFmtId="49" fontId="4" fillId="4" borderId="137" xfId="3" applyNumberFormat="1" applyFont="1" applyFill="1" applyBorder="1" applyAlignment="1">
      <alignment horizontal="center" vertical="center"/>
    </xf>
    <xf numFmtId="176" fontId="7" fillId="3" borderId="128" xfId="1" applyNumberFormat="1" applyFont="1" applyFill="1" applyBorder="1" applyAlignment="1">
      <alignment horizontal="right" vertical="center" shrinkToFit="1"/>
    </xf>
    <xf numFmtId="176" fontId="7" fillId="3" borderId="123" xfId="1" applyNumberFormat="1" applyFont="1" applyFill="1" applyBorder="1" applyAlignment="1">
      <alignment horizontal="right" vertical="center" shrinkToFit="1"/>
    </xf>
    <xf numFmtId="176" fontId="7" fillId="3" borderId="124" xfId="1" applyNumberFormat="1" applyFont="1" applyFill="1" applyBorder="1" applyAlignment="1">
      <alignment horizontal="right" vertical="center" shrinkToFit="1"/>
    </xf>
    <xf numFmtId="49" fontId="4" fillId="4" borderId="139" xfId="3" applyNumberFormat="1" applyFont="1" applyFill="1" applyBorder="1" applyAlignment="1">
      <alignment horizontal="left" vertical="center"/>
    </xf>
    <xf numFmtId="49" fontId="4" fillId="4" borderId="29" xfId="3" applyNumberFormat="1" applyFont="1" applyFill="1" applyBorder="1" applyAlignment="1">
      <alignment horizontal="center" vertical="center" shrinkToFit="1"/>
    </xf>
    <xf numFmtId="49" fontId="4" fillId="4" borderId="31" xfId="3" applyNumberFormat="1" applyFont="1" applyFill="1" applyBorder="1" applyAlignment="1">
      <alignment horizontal="center" vertical="center" shrinkToFit="1"/>
    </xf>
    <xf numFmtId="49" fontId="4" fillId="4" borderId="135" xfId="3" applyNumberFormat="1" applyFont="1" applyFill="1" applyBorder="1" applyAlignment="1">
      <alignment horizontal="center" vertical="center" shrinkToFit="1"/>
    </xf>
    <xf numFmtId="0" fontId="22" fillId="4" borderId="10" xfId="1" applyFont="1" applyFill="1" applyBorder="1" applyAlignment="1">
      <alignment horizontal="right" vertical="center"/>
    </xf>
    <xf numFmtId="49" fontId="22" fillId="4" borderId="10" xfId="1" applyNumberFormat="1" applyFont="1" applyFill="1" applyBorder="1" applyAlignment="1">
      <alignment horizontal="left" vertical="center"/>
    </xf>
    <xf numFmtId="0" fontId="22" fillId="4" borderId="11" xfId="1" applyFont="1" applyFill="1" applyBorder="1" applyAlignment="1">
      <alignment horizontal="right" vertical="center"/>
    </xf>
    <xf numFmtId="49" fontId="22" fillId="4" borderId="11" xfId="1" applyNumberFormat="1" applyFont="1" applyFill="1" applyBorder="1" applyAlignment="1">
      <alignment horizontal="left" vertical="center"/>
    </xf>
    <xf numFmtId="49" fontId="4" fillId="4" borderId="12" xfId="3" applyNumberFormat="1" applyFont="1" applyFill="1" applyBorder="1" applyAlignment="1">
      <alignment horizontal="center" vertical="center" wrapText="1"/>
    </xf>
    <xf numFmtId="49" fontId="4" fillId="4" borderId="5" xfId="3" applyNumberFormat="1" applyFont="1" applyFill="1" applyBorder="1" applyAlignment="1">
      <alignment horizontal="center" vertical="center" wrapText="1"/>
    </xf>
    <xf numFmtId="49" fontId="4" fillId="4" borderId="14" xfId="3" applyNumberFormat="1" applyFont="1" applyFill="1" applyBorder="1" applyAlignment="1">
      <alignment horizontal="center" vertical="center" wrapText="1"/>
    </xf>
    <xf numFmtId="49" fontId="4" fillId="4" borderId="18" xfId="3" applyNumberFormat="1" applyFont="1" applyFill="1" applyBorder="1" applyAlignment="1">
      <alignment horizontal="center" vertical="center" wrapText="1"/>
    </xf>
    <xf numFmtId="49" fontId="4" fillId="4" borderId="2" xfId="3" applyNumberFormat="1" applyFont="1" applyFill="1" applyBorder="1" applyAlignment="1">
      <alignment horizontal="center" vertical="center" wrapText="1"/>
    </xf>
    <xf numFmtId="49" fontId="4" fillId="4" borderId="72" xfId="3" applyNumberFormat="1" applyFont="1" applyFill="1" applyBorder="1" applyAlignment="1">
      <alignment horizontal="center" vertical="center" wrapText="1"/>
    </xf>
    <xf numFmtId="49" fontId="4" fillId="4" borderId="13" xfId="3" applyNumberFormat="1" applyFont="1" applyFill="1" applyBorder="1" applyAlignment="1">
      <alignment horizontal="center" vertical="center" wrapText="1"/>
    </xf>
    <xf numFmtId="49" fontId="4" fillId="4" borderId="15" xfId="3" applyNumberFormat="1" applyFont="1" applyFill="1" applyBorder="1" applyAlignment="1">
      <alignment horizontal="center" vertical="center" wrapText="1"/>
    </xf>
    <xf numFmtId="49" fontId="4" fillId="4" borderId="125" xfId="3" applyNumberFormat="1" applyFont="1" applyFill="1" applyBorder="1" applyAlignment="1">
      <alignment horizontal="left" vertical="center"/>
    </xf>
    <xf numFmtId="49" fontId="4" fillId="4" borderId="30" xfId="3" applyNumberFormat="1" applyFont="1" applyFill="1" applyBorder="1" applyAlignment="1">
      <alignment horizontal="left" vertical="center"/>
    </xf>
    <xf numFmtId="49" fontId="4" fillId="4" borderId="127" xfId="3" applyNumberFormat="1" applyFont="1" applyFill="1" applyBorder="1" applyAlignment="1">
      <alignment horizontal="center" vertical="center" shrinkToFit="1"/>
    </xf>
    <xf numFmtId="49" fontId="4" fillId="4" borderId="123" xfId="3" applyNumberFormat="1" applyFont="1" applyFill="1" applyBorder="1" applyAlignment="1">
      <alignment horizontal="center" vertical="center" shrinkToFit="1"/>
    </xf>
    <xf numFmtId="177" fontId="7" fillId="2" borderId="128" xfId="1" applyNumberFormat="1" applyFont="1" applyFill="1" applyBorder="1" applyAlignment="1" applyProtection="1">
      <alignment horizontal="right" vertical="center" shrinkToFit="1"/>
      <protection locked="0"/>
    </xf>
    <xf numFmtId="177" fontId="7" fillId="2" borderId="123" xfId="1" applyNumberFormat="1" applyFont="1" applyFill="1" applyBorder="1" applyAlignment="1" applyProtection="1">
      <alignment horizontal="right" vertical="center" shrinkToFit="1"/>
      <protection locked="0"/>
    </xf>
    <xf numFmtId="49" fontId="7" fillId="2" borderId="123" xfId="3" applyNumberFormat="1" applyFont="1" applyFill="1" applyBorder="1" applyAlignment="1">
      <alignment horizontal="center" vertical="center" shrinkToFit="1"/>
    </xf>
    <xf numFmtId="49" fontId="7" fillId="2" borderId="124" xfId="3" applyNumberFormat="1" applyFont="1" applyFill="1" applyBorder="1" applyAlignment="1">
      <alignment horizontal="center" vertical="center" shrinkToFit="1"/>
    </xf>
    <xf numFmtId="49" fontId="4" fillId="4" borderId="124" xfId="3" applyNumberFormat="1" applyFont="1" applyFill="1" applyBorder="1" applyAlignment="1">
      <alignment horizontal="center" vertical="center" shrinkToFit="1"/>
    </xf>
    <xf numFmtId="177" fontId="7" fillId="2" borderId="127" xfId="1" applyNumberFormat="1" applyFont="1" applyFill="1" applyBorder="1" applyAlignment="1" applyProtection="1">
      <alignment horizontal="right" vertical="center" shrinkToFit="1"/>
      <protection locked="0"/>
    </xf>
    <xf numFmtId="176" fontId="7" fillId="2" borderId="128" xfId="1" applyNumberFormat="1" applyFont="1" applyFill="1" applyBorder="1" applyAlignment="1" applyProtection="1">
      <alignment horizontal="right" vertical="center" shrinkToFit="1"/>
      <protection locked="0"/>
    </xf>
    <xf numFmtId="176" fontId="7" fillId="2" borderId="123" xfId="1" applyNumberFormat="1" applyFont="1" applyFill="1" applyBorder="1" applyAlignment="1" applyProtection="1">
      <alignment horizontal="right" vertical="center" shrinkToFit="1"/>
      <protection locked="0"/>
    </xf>
    <xf numFmtId="176" fontId="7" fillId="2" borderId="124" xfId="1" applyNumberFormat="1" applyFont="1" applyFill="1" applyBorder="1" applyAlignment="1" applyProtection="1">
      <alignment horizontal="right" vertical="center" shrinkToFit="1"/>
      <protection locked="0"/>
    </xf>
    <xf numFmtId="176" fontId="7" fillId="2" borderId="113" xfId="0" applyNumberFormat="1" applyFont="1" applyFill="1" applyBorder="1" applyAlignment="1">
      <alignment horizontal="right" vertical="center" shrinkToFit="1"/>
    </xf>
    <xf numFmtId="176" fontId="7" fillId="0" borderId="140" xfId="0" applyNumberFormat="1" applyFont="1" applyBorder="1" applyAlignment="1">
      <alignment horizontal="right" vertical="center" shrinkToFit="1"/>
    </xf>
    <xf numFmtId="176" fontId="7" fillId="8" borderId="113" xfId="0" applyNumberFormat="1" applyFont="1" applyFill="1" applyBorder="1" applyAlignment="1">
      <alignment horizontal="right" vertical="center" shrinkToFit="1"/>
    </xf>
    <xf numFmtId="176" fontId="7" fillId="8" borderId="141" xfId="0" applyNumberFormat="1" applyFont="1" applyFill="1" applyBorder="1" applyAlignment="1">
      <alignment horizontal="right" vertical="center" shrinkToFi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176" fontId="7" fillId="0" borderId="141" xfId="0" applyNumberFormat="1" applyFont="1" applyBorder="1" applyAlignment="1">
      <alignment horizontal="right" vertical="center" shrinkToFit="1"/>
    </xf>
    <xf numFmtId="0" fontId="4" fillId="0" borderId="2" xfId="0" applyFont="1" applyBorder="1" applyAlignment="1">
      <alignment horizontal="center" vertical="center"/>
    </xf>
    <xf numFmtId="0" fontId="4" fillId="0" borderId="13" xfId="0" applyFont="1" applyBorder="1" applyAlignment="1">
      <alignment horizontal="left" vertical="center"/>
    </xf>
    <xf numFmtId="176" fontId="7" fillId="9" borderId="113" xfId="0" applyNumberFormat="1" applyFont="1" applyFill="1" applyBorder="1" applyAlignment="1">
      <alignment horizontal="right" vertical="center" shrinkToFit="1"/>
    </xf>
    <xf numFmtId="0" fontId="11" fillId="0" borderId="0" xfId="5" applyFont="1" applyAlignment="1">
      <alignment horizontal="center" vertical="center"/>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13" xfId="0" applyFont="1" applyBorder="1" applyAlignment="1">
      <alignment horizontal="left" vertical="center" wrapText="1"/>
    </xf>
    <xf numFmtId="0" fontId="4" fillId="0" borderId="126" xfId="6" applyFont="1" applyBorder="1" applyAlignment="1">
      <alignment horizontal="center" vertical="center"/>
    </xf>
    <xf numFmtId="0" fontId="4" fillId="0" borderId="36" xfId="6" applyFont="1" applyBorder="1" applyAlignment="1">
      <alignment horizontal="center" vertical="center"/>
    </xf>
    <xf numFmtId="0" fontId="4" fillId="0" borderId="125" xfId="6" applyFont="1" applyBorder="1" applyAlignment="1">
      <alignment horizontal="center" vertical="center"/>
    </xf>
    <xf numFmtId="0" fontId="11" fillId="4" borderId="0" xfId="6" applyFont="1" applyFill="1" applyAlignment="1">
      <alignment horizontal="center" vertical="center"/>
    </xf>
    <xf numFmtId="0" fontId="11" fillId="4" borderId="0" xfId="0" applyFont="1" applyFill="1" applyAlignment="1">
      <alignment horizontal="center" vertical="center"/>
    </xf>
    <xf numFmtId="0" fontId="5" fillId="2" borderId="126" xfId="6" applyFont="1" applyFill="1" applyBorder="1" applyAlignment="1">
      <alignment horizontal="center" vertical="center"/>
    </xf>
    <xf numFmtId="0" fontId="5" fillId="2" borderId="125" xfId="6" applyFont="1" applyFill="1" applyBorder="1" applyAlignment="1">
      <alignment horizontal="center" vertical="center"/>
    </xf>
    <xf numFmtId="0" fontId="4" fillId="2" borderId="2" xfId="6" applyFont="1" applyFill="1" applyBorder="1" applyAlignment="1">
      <alignment horizontal="center" vertical="center"/>
    </xf>
    <xf numFmtId="0" fontId="4" fillId="2" borderId="115" xfId="6" applyFont="1" applyFill="1" applyBorder="1" applyAlignment="1">
      <alignment horizontal="center" vertical="center"/>
    </xf>
    <xf numFmtId="0" fontId="4" fillId="2" borderId="95" xfId="6" applyFont="1" applyFill="1" applyBorder="1" applyAlignment="1">
      <alignment horizontal="center" vertical="center"/>
    </xf>
    <xf numFmtId="0" fontId="4" fillId="2" borderId="142" xfId="6" applyFont="1" applyFill="1" applyBorder="1" applyAlignment="1">
      <alignment horizontal="center" vertical="center"/>
    </xf>
    <xf numFmtId="0" fontId="4" fillId="2" borderId="98" xfId="6" applyFont="1" applyFill="1" applyBorder="1" applyAlignment="1">
      <alignment horizontal="center" vertical="center"/>
    </xf>
    <xf numFmtId="0" fontId="4" fillId="2" borderId="143" xfId="6" applyFont="1" applyFill="1" applyBorder="1" applyAlignment="1">
      <alignment horizontal="center" vertical="center"/>
    </xf>
    <xf numFmtId="0" fontId="5" fillId="2" borderId="24" xfId="6" applyFont="1" applyFill="1" applyBorder="1" applyAlignment="1">
      <alignment horizontal="center" vertical="center"/>
    </xf>
    <xf numFmtId="0" fontId="4" fillId="2" borderId="144" xfId="6" applyFont="1" applyFill="1" applyBorder="1" applyAlignment="1">
      <alignment horizontal="center" vertical="center"/>
    </xf>
    <xf numFmtId="0" fontId="4" fillId="2" borderId="28" xfId="6" applyFont="1" applyFill="1" applyBorder="1" applyAlignment="1">
      <alignment horizontal="center" vertical="center"/>
    </xf>
    <xf numFmtId="0" fontId="4" fillId="2" borderId="9" xfId="6" applyFont="1" applyFill="1" applyBorder="1" applyAlignment="1">
      <alignment horizontal="center" vertical="center"/>
    </xf>
    <xf numFmtId="0" fontId="9" fillId="0" borderId="126" xfId="6" applyFont="1" applyBorder="1" applyAlignment="1">
      <alignment horizontal="center" vertical="center"/>
    </xf>
    <xf numFmtId="0" fontId="9" fillId="0" borderId="24" xfId="6" applyFont="1" applyBorder="1" applyAlignment="1">
      <alignment horizontal="center" vertical="center"/>
    </xf>
    <xf numFmtId="0" fontId="4" fillId="0" borderId="5" xfId="6" applyFont="1" applyBorder="1" applyAlignment="1">
      <alignment horizontal="center" vertical="center"/>
    </xf>
    <xf numFmtId="0" fontId="4" fillId="0" borderId="2" xfId="6" applyFont="1" applyBorder="1" applyAlignment="1">
      <alignment horizontal="center" vertical="center"/>
    </xf>
    <xf numFmtId="0" fontId="4" fillId="0" borderId="95" xfId="6" applyFont="1" applyBorder="1" applyAlignment="1">
      <alignment horizontal="center" vertical="center"/>
    </xf>
    <xf numFmtId="0" fontId="4" fillId="0" borderId="115" xfId="6" applyFont="1" applyBorder="1" applyAlignment="1">
      <alignment horizontal="center" vertical="center"/>
    </xf>
    <xf numFmtId="0" fontId="4" fillId="0" borderId="6" xfId="6" applyFont="1" applyBorder="1" applyAlignment="1">
      <alignment horizontal="center" vertical="center"/>
    </xf>
    <xf numFmtId="0" fontId="4" fillId="0" borderId="90" xfId="6" applyFont="1" applyBorder="1" applyAlignment="1">
      <alignment horizontal="center" vertical="center"/>
    </xf>
    <xf numFmtId="0" fontId="4" fillId="0" borderId="3" xfId="6" applyFont="1" applyBorder="1" applyAlignment="1">
      <alignment horizontal="center" vertical="center"/>
    </xf>
    <xf numFmtId="0" fontId="4" fillId="0" borderId="142" xfId="6" applyFont="1" applyBorder="1" applyAlignment="1">
      <alignment horizontal="center" vertical="center"/>
    </xf>
    <xf numFmtId="0" fontId="4" fillId="0" borderId="87" xfId="5" applyFont="1" applyBorder="1" applyAlignment="1">
      <alignment horizontal="center" vertical="center"/>
    </xf>
    <xf numFmtId="0" fontId="4" fillId="0" borderId="73" xfId="5" applyFont="1" applyBorder="1" applyAlignment="1">
      <alignment horizontal="center" vertical="center"/>
    </xf>
    <xf numFmtId="0" fontId="4" fillId="0" borderId="88" xfId="5" applyFont="1" applyBorder="1" applyAlignment="1">
      <alignment horizontal="center" vertical="center"/>
    </xf>
    <xf numFmtId="0" fontId="4" fillId="0" borderId="6" xfId="5" applyFont="1" applyBorder="1" applyAlignment="1">
      <alignment horizontal="center" vertical="center"/>
    </xf>
    <xf numFmtId="0" fontId="4" fillId="0" borderId="90" xfId="5" applyFont="1" applyBorder="1" applyAlignment="1">
      <alignment horizontal="center" vertical="center"/>
    </xf>
    <xf numFmtId="0" fontId="4" fillId="0" borderId="95" xfId="5" applyFont="1" applyBorder="1" applyAlignment="1">
      <alignment horizontal="center" vertical="center"/>
    </xf>
    <xf numFmtId="0" fontId="4" fillId="0" borderId="115" xfId="5" applyFont="1" applyBorder="1" applyAlignment="1">
      <alignment horizontal="center" vertical="center"/>
    </xf>
    <xf numFmtId="0" fontId="4" fillId="0" borderId="142" xfId="5" applyFont="1" applyBorder="1" applyAlignment="1">
      <alignment horizontal="center" vertical="center"/>
    </xf>
    <xf numFmtId="0" fontId="4" fillId="0" borderId="2" xfId="5" applyFont="1" applyBorder="1" applyAlignment="1">
      <alignment horizontal="center" vertical="center"/>
    </xf>
    <xf numFmtId="0" fontId="4" fillId="0" borderId="121" xfId="5" applyFont="1" applyBorder="1" applyAlignment="1">
      <alignment horizontal="center" vertical="center"/>
    </xf>
    <xf numFmtId="0" fontId="4" fillId="0" borderId="9" xfId="5" applyFont="1" applyBorder="1" applyAlignment="1">
      <alignment horizontal="center" vertical="center"/>
    </xf>
    <xf numFmtId="0" fontId="4" fillId="0" borderId="122" xfId="5" applyFont="1" applyBorder="1" applyAlignment="1">
      <alignment horizontal="center" vertical="center"/>
    </xf>
    <xf numFmtId="0" fontId="4" fillId="0" borderId="7" xfId="5" applyFont="1" applyBorder="1" applyAlignment="1">
      <alignment horizontal="center" vertical="center"/>
    </xf>
    <xf numFmtId="0" fontId="4" fillId="0" borderId="10" xfId="5" applyFont="1" applyBorder="1" applyAlignment="1">
      <alignment horizontal="center" vertical="center"/>
    </xf>
    <xf numFmtId="0" fontId="4" fillId="0" borderId="145" xfId="5" applyFont="1" applyBorder="1" applyAlignment="1">
      <alignment horizontal="center" vertical="center"/>
    </xf>
    <xf numFmtId="0" fontId="4" fillId="0" borderId="51" xfId="5" applyFont="1" applyBorder="1" applyAlignment="1">
      <alignment horizontal="left" vertical="center" shrinkToFit="1"/>
    </xf>
    <xf numFmtId="0" fontId="4" fillId="0" borderId="146" xfId="5" applyFont="1" applyBorder="1" applyAlignment="1">
      <alignment horizontal="left" vertical="center" shrinkToFit="1"/>
    </xf>
    <xf numFmtId="0" fontId="20" fillId="0" borderId="146" xfId="0" applyFont="1" applyBorder="1" applyAlignment="1">
      <alignment horizontal="left" vertical="center" shrinkToFit="1"/>
    </xf>
    <xf numFmtId="0" fontId="4" fillId="0" borderId="62" xfId="5" applyFont="1" applyBorder="1" applyAlignment="1">
      <alignment horizontal="left" vertical="center" shrinkToFit="1"/>
    </xf>
    <xf numFmtId="0" fontId="20" fillId="0" borderId="147" xfId="0" applyFont="1" applyBorder="1" applyAlignment="1">
      <alignment horizontal="left" vertical="center" shrinkToFit="1"/>
    </xf>
    <xf numFmtId="0" fontId="4" fillId="0" borderId="147" xfId="5" applyFont="1" applyBorder="1" applyAlignment="1">
      <alignment horizontal="left" vertical="center" shrinkToFit="1"/>
    </xf>
    <xf numFmtId="0" fontId="11" fillId="0" borderId="0" xfId="6" applyFont="1" applyAlignment="1">
      <alignment horizontal="center" vertical="center"/>
    </xf>
    <xf numFmtId="0" fontId="4" fillId="0" borderId="1" xfId="5" applyFont="1" applyBorder="1" applyAlignment="1">
      <alignment horizontal="center" vertical="center"/>
    </xf>
    <xf numFmtId="0" fontId="4" fillId="0" borderId="148" xfId="5" applyFont="1" applyBorder="1" applyAlignment="1">
      <alignment horizontal="center" vertical="center"/>
    </xf>
    <xf numFmtId="0" fontId="5" fillId="0" borderId="126" xfId="6" applyFont="1" applyBorder="1" applyAlignment="1">
      <alignment horizontal="center" vertical="center"/>
    </xf>
    <xf numFmtId="0" fontId="5" fillId="0" borderId="24" xfId="6" applyFont="1" applyBorder="1" applyAlignment="1">
      <alignment horizontal="center" vertical="center"/>
    </xf>
    <xf numFmtId="0" fontId="4" fillId="0" borderId="87" xfId="3" applyFont="1" applyBorder="1" applyAlignment="1">
      <alignment horizontal="center" vertical="center"/>
    </xf>
    <xf numFmtId="0" fontId="4" fillId="0" borderId="88" xfId="3" applyFont="1" applyBorder="1" applyAlignment="1">
      <alignment horizontal="center" vertical="center"/>
    </xf>
    <xf numFmtId="0" fontId="4" fillId="0" borderId="25" xfId="3" applyFont="1" applyBorder="1" applyAlignment="1">
      <alignment horizontal="left" vertical="center"/>
    </xf>
    <xf numFmtId="0" fontId="4" fillId="0" borderId="35" xfId="3" applyFont="1" applyBorder="1" applyAlignment="1">
      <alignment horizontal="left" vertical="center"/>
    </xf>
    <xf numFmtId="0" fontId="4" fillId="0" borderId="25" xfId="3" applyFont="1" applyBorder="1" applyAlignment="1">
      <alignment horizontal="left" vertical="center" shrinkToFit="1"/>
    </xf>
    <xf numFmtId="0" fontId="4" fillId="0" borderId="35" xfId="3" applyFont="1" applyBorder="1" applyAlignment="1">
      <alignment horizontal="left" vertical="center" shrinkToFit="1"/>
    </xf>
    <xf numFmtId="0" fontId="4" fillId="0" borderId="1" xfId="3" applyFont="1" applyBorder="1" applyAlignment="1">
      <alignment horizontal="center" vertical="center"/>
    </xf>
    <xf numFmtId="0" fontId="4" fillId="0" borderId="148" xfId="3" applyFont="1" applyBorder="1" applyAlignment="1">
      <alignment horizontal="center" vertical="center"/>
    </xf>
    <xf numFmtId="0" fontId="4" fillId="0" borderId="33" xfId="3" applyFont="1" applyBorder="1" applyAlignment="1">
      <alignment horizontal="center" vertical="center"/>
    </xf>
    <xf numFmtId="0" fontId="4" fillId="0" borderId="36" xfId="3" applyFont="1" applyBorder="1" applyAlignment="1">
      <alignment horizontal="center" vertical="center"/>
    </xf>
    <xf numFmtId="0" fontId="4" fillId="0" borderId="24" xfId="3" applyFont="1" applyBorder="1" applyAlignment="1">
      <alignment horizontal="center" vertical="center"/>
    </xf>
    <xf numFmtId="0" fontId="4" fillId="0" borderId="125" xfId="3" applyFont="1" applyBorder="1" applyAlignment="1">
      <alignment horizontal="center" vertical="center"/>
    </xf>
    <xf numFmtId="0" fontId="5" fillId="2" borderId="182" xfId="0" applyFont="1" applyFill="1" applyBorder="1" applyAlignment="1">
      <alignment horizontal="center" vertical="center"/>
    </xf>
    <xf numFmtId="0" fontId="5" fillId="2" borderId="182" xfId="0" applyFont="1" applyFill="1" applyBorder="1" applyAlignment="1">
      <alignment vertical="center"/>
    </xf>
    <xf numFmtId="0" fontId="4" fillId="4" borderId="34" xfId="3" applyFont="1" applyFill="1" applyBorder="1" applyAlignment="1">
      <alignment horizontal="left" vertical="center" wrapText="1" shrinkToFit="1"/>
    </xf>
    <xf numFmtId="0" fontId="4" fillId="4" borderId="35" xfId="3" applyFont="1" applyFill="1" applyBorder="1" applyAlignment="1">
      <alignment horizontal="left" vertical="center" wrapText="1" shrinkToFit="1"/>
    </xf>
    <xf numFmtId="0" fontId="4" fillId="4" borderId="34" xfId="3" applyFont="1" applyFill="1" applyBorder="1" applyAlignment="1">
      <alignment horizontal="left" vertical="center"/>
    </xf>
    <xf numFmtId="0" fontId="4" fillId="4" borderId="35" xfId="3" applyFont="1" applyFill="1" applyBorder="1" applyAlignment="1">
      <alignment horizontal="left" vertical="center"/>
    </xf>
    <xf numFmtId="0" fontId="4" fillId="4" borderId="72" xfId="3" applyFont="1" applyFill="1" applyBorder="1" applyAlignment="1">
      <alignment horizontal="center" vertical="center"/>
    </xf>
    <xf numFmtId="0" fontId="4" fillId="4" borderId="73" xfId="3" applyFont="1" applyFill="1" applyBorder="1" applyAlignment="1">
      <alignment horizontal="center" vertical="center"/>
    </xf>
    <xf numFmtId="0" fontId="4" fillId="4" borderId="88" xfId="3" applyFont="1" applyFill="1" applyBorder="1" applyAlignment="1">
      <alignment horizontal="center" vertical="center"/>
    </xf>
    <xf numFmtId="0" fontId="5" fillId="2" borderId="181" xfId="0" applyFont="1" applyFill="1" applyBorder="1" applyAlignment="1">
      <alignment horizontal="center" vertical="center"/>
    </xf>
    <xf numFmtId="0" fontId="5" fillId="2" borderId="181" xfId="0" applyFont="1" applyFill="1" applyBorder="1" applyAlignment="1">
      <alignment vertical="center"/>
    </xf>
    <xf numFmtId="0" fontId="4" fillId="4" borderId="25" xfId="3" applyFont="1" applyFill="1" applyBorder="1" applyAlignment="1">
      <alignment horizontal="left" vertical="center"/>
    </xf>
    <xf numFmtId="0" fontId="4" fillId="4" borderId="11" xfId="3" applyFont="1" applyFill="1" applyBorder="1" applyAlignment="1">
      <alignment horizontal="left" vertical="center"/>
    </xf>
    <xf numFmtId="0" fontId="4" fillId="0" borderId="128" xfId="3" applyFont="1" applyBorder="1" applyAlignment="1">
      <alignment horizontal="left" vertical="center"/>
    </xf>
    <xf numFmtId="0" fontId="4" fillId="0" borderId="123" xfId="3" applyFont="1" applyBorder="1" applyAlignment="1">
      <alignment horizontal="left" vertical="center"/>
    </xf>
    <xf numFmtId="0" fontId="4" fillId="0" borderId="129" xfId="3" applyFont="1" applyBorder="1" applyAlignment="1">
      <alignment horizontal="left" vertical="center"/>
    </xf>
    <xf numFmtId="0" fontId="4" fillId="4" borderId="34" xfId="3" applyFont="1" applyFill="1" applyBorder="1" applyAlignment="1">
      <alignment horizontal="left" vertical="center" shrinkToFit="1"/>
    </xf>
    <xf numFmtId="0" fontId="4" fillId="4" borderId="35" xfId="3" applyFont="1" applyFill="1" applyBorder="1" applyAlignment="1">
      <alignment horizontal="left" vertical="center" shrinkToFit="1"/>
    </xf>
    <xf numFmtId="0" fontId="4" fillId="4" borderId="87" xfId="3" applyFont="1" applyFill="1" applyBorder="1" applyAlignment="1">
      <alignment horizontal="center" vertical="center"/>
    </xf>
    <xf numFmtId="0" fontId="4" fillId="4" borderId="34" xfId="3" applyFont="1" applyFill="1" applyBorder="1" applyAlignment="1">
      <alignment vertical="center"/>
    </xf>
    <xf numFmtId="0" fontId="4" fillId="4" borderId="35" xfId="3" applyFont="1" applyFill="1" applyBorder="1" applyAlignment="1">
      <alignment vertical="center"/>
    </xf>
    <xf numFmtId="0" fontId="4" fillId="4" borderId="12" xfId="3" applyFont="1" applyFill="1" applyBorder="1" applyAlignment="1">
      <alignment horizontal="center" vertical="center"/>
    </xf>
    <xf numFmtId="0" fontId="4" fillId="4" borderId="5" xfId="3" applyFont="1" applyFill="1" applyBorder="1" applyAlignment="1">
      <alignment horizontal="center" vertical="center"/>
    </xf>
    <xf numFmtId="0" fontId="4" fillId="4" borderId="2" xfId="3" applyFont="1" applyFill="1" applyBorder="1" applyAlignment="1">
      <alignment horizontal="center" vertical="center"/>
    </xf>
    <xf numFmtId="0" fontId="4" fillId="4" borderId="13" xfId="3" applyFont="1" applyFill="1" applyBorder="1" applyAlignment="1">
      <alignment horizontal="center" vertical="center"/>
    </xf>
    <xf numFmtId="0" fontId="4" fillId="4" borderId="25" xfId="3" applyFont="1" applyFill="1" applyBorder="1" applyAlignment="1">
      <alignment horizontal="center" vertical="center"/>
    </xf>
    <xf numFmtId="0" fontId="4" fillId="4" borderId="11" xfId="3" applyFont="1" applyFill="1" applyBorder="1" applyAlignment="1">
      <alignment horizontal="center" vertical="center"/>
    </xf>
    <xf numFmtId="0" fontId="4" fillId="4" borderId="35" xfId="3" applyFont="1" applyFill="1" applyBorder="1" applyAlignment="1">
      <alignment horizontal="center" vertical="center"/>
    </xf>
    <xf numFmtId="0" fontId="4" fillId="4" borderId="34" xfId="3" applyFont="1" applyFill="1" applyBorder="1" applyAlignment="1">
      <alignment horizontal="center" vertical="center"/>
    </xf>
    <xf numFmtId="0" fontId="5" fillId="4" borderId="149" xfId="3" applyFont="1" applyFill="1" applyBorder="1" applyAlignment="1">
      <alignment horizontal="center" vertical="center"/>
    </xf>
    <xf numFmtId="0" fontId="5" fillId="4" borderId="150" xfId="3" applyFont="1" applyFill="1" applyBorder="1" applyAlignment="1">
      <alignment horizontal="center" vertical="center"/>
    </xf>
    <xf numFmtId="0" fontId="5" fillId="4" borderId="151" xfId="3" applyFont="1" applyFill="1" applyBorder="1" applyAlignment="1">
      <alignment horizontal="center" vertical="center"/>
    </xf>
    <xf numFmtId="0" fontId="5" fillId="4" borderId="152" xfId="3" applyFont="1" applyFill="1" applyBorder="1" applyAlignment="1">
      <alignment horizontal="center" vertical="center"/>
    </xf>
    <xf numFmtId="0" fontId="5" fillId="4" borderId="153" xfId="3" applyFont="1" applyFill="1" applyBorder="1" applyAlignment="1">
      <alignment horizontal="center" vertical="center"/>
    </xf>
    <xf numFmtId="0" fontId="5" fillId="4" borderId="154" xfId="3" applyFont="1" applyFill="1" applyBorder="1" applyAlignment="1">
      <alignment horizontal="center" vertical="center"/>
    </xf>
    <xf numFmtId="0" fontId="5" fillId="4" borderId="155" xfId="3" applyFont="1" applyFill="1" applyBorder="1" applyAlignment="1">
      <alignment horizontal="center" vertical="center"/>
    </xf>
    <xf numFmtId="0" fontId="5" fillId="4" borderId="156" xfId="3" applyFont="1" applyFill="1" applyBorder="1" applyAlignment="1">
      <alignment horizontal="center" vertical="center"/>
    </xf>
    <xf numFmtId="0" fontId="5" fillId="4" borderId="157" xfId="3" applyFont="1" applyFill="1" applyBorder="1" applyAlignment="1">
      <alignment horizontal="center" vertical="center"/>
    </xf>
    <xf numFmtId="0" fontId="5" fillId="4" borderId="158" xfId="3" applyFont="1" applyFill="1" applyBorder="1" applyAlignment="1">
      <alignment horizontal="center" vertical="center"/>
    </xf>
    <xf numFmtId="0" fontId="5" fillId="4" borderId="159" xfId="3" applyFont="1" applyFill="1" applyBorder="1" applyAlignment="1">
      <alignment horizontal="center" vertical="center"/>
    </xf>
    <xf numFmtId="0" fontId="5" fillId="4" borderId="160" xfId="3" applyFont="1" applyFill="1" applyBorder="1" applyAlignment="1">
      <alignment horizontal="center" vertical="center"/>
    </xf>
    <xf numFmtId="0" fontId="28" fillId="0" borderId="0" xfId="0" applyFont="1" applyAlignment="1">
      <alignment horizontal="center" vertical="center"/>
    </xf>
    <xf numFmtId="0" fontId="4" fillId="0" borderId="0" xfId="0" applyFont="1" applyAlignment="1">
      <alignment horizontal="left" vertical="top" wrapText="1"/>
    </xf>
  </cellXfs>
  <cellStyles count="8">
    <cellStyle name="常规 2" xfId="1" xr:uid="{00000000-0005-0000-0000-00002F000000}"/>
    <cellStyle name="標準" xfId="0" builtinId="0"/>
    <cellStyle name="標準 2" xfId="2" xr:uid="{00000000-0005-0000-0000-000030000000}"/>
    <cellStyle name="標準 3" xfId="3" xr:uid="{00000000-0005-0000-0000-000031000000}"/>
    <cellStyle name="標準 4" xfId="4" xr:uid="{00000000-0005-0000-0000-000032000000}"/>
    <cellStyle name="標準_06月報新様式（案）" xfId="5" xr:uid="{00000000-0005-0000-0000-000033000000}"/>
    <cellStyle name="標準_H18年４月～の全様式【月報】改訂" xfId="6" xr:uid="{00000000-0005-0000-0000-000034000000}"/>
    <cellStyle name="標準_基本設計書_17年度月報本文" xfId="7"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30"/>
  <sheetViews>
    <sheetView showGridLines="0" topLeftCell="A4" zoomScaleNormal="100" workbookViewId="0">
      <selection activeCell="C18" sqref="C18"/>
    </sheetView>
  </sheetViews>
  <sheetFormatPr defaultColWidth="9" defaultRowHeight="0" customHeight="1" zeroHeight="1"/>
  <cols>
    <col min="1" max="2" width="3.7265625" style="3" customWidth="1"/>
    <col min="3" max="3" width="23.40625" style="3" customWidth="1"/>
    <col min="4" max="9" width="14.40625" style="3" customWidth="1"/>
    <col min="10" max="10" width="4" style="1" customWidth="1"/>
  </cols>
  <sheetData>
    <row r="1" spans="1:10" ht="18" customHeight="1">
      <c r="A1" s="4" t="s">
        <v>0</v>
      </c>
      <c r="J1" s="90"/>
    </row>
    <row r="2" spans="1:10" ht="18" customHeight="1">
      <c r="J2" s="90"/>
    </row>
    <row r="3" spans="1:10" ht="18" customHeight="1">
      <c r="A3" s="627" t="s">
        <v>1</v>
      </c>
      <c r="B3" s="627"/>
      <c r="C3" s="627"/>
      <c r="D3" s="627"/>
      <c r="E3" s="627"/>
      <c r="F3" s="627"/>
      <c r="G3" s="627"/>
      <c r="H3" s="627"/>
      <c r="I3" s="627"/>
      <c r="J3" s="627"/>
    </row>
    <row r="4" spans="1:10" ht="18" customHeight="1">
      <c r="A4" s="627" t="s">
        <v>2</v>
      </c>
      <c r="B4" s="627"/>
      <c r="C4" s="627"/>
      <c r="D4" s="627"/>
      <c r="E4" s="627"/>
      <c r="F4" s="627"/>
      <c r="G4" s="627"/>
      <c r="H4" s="627"/>
      <c r="I4" s="627"/>
      <c r="J4" s="627"/>
    </row>
    <row r="5" spans="1:10" ht="18" customHeight="1">
      <c r="H5" s="91" t="s">
        <v>3</v>
      </c>
      <c r="I5" s="92" t="s">
        <v>4</v>
      </c>
    </row>
    <row r="6" spans="1:10" ht="18" customHeight="1">
      <c r="H6" s="93" t="s">
        <v>5</v>
      </c>
      <c r="I6" s="94" t="s">
        <v>6</v>
      </c>
      <c r="J6" s="1" t="s">
        <v>7</v>
      </c>
    </row>
    <row r="7" spans="1:10" ht="18" customHeight="1">
      <c r="A7" s="4"/>
      <c r="B7" s="4" t="s">
        <v>8</v>
      </c>
      <c r="I7" s="1"/>
    </row>
    <row r="8" spans="1:10" ht="12" customHeight="1">
      <c r="A8" s="4"/>
      <c r="I8" s="1"/>
    </row>
    <row r="9" spans="1:10" s="7" customFormat="1" ht="18" customHeight="1">
      <c r="A9" s="5"/>
      <c r="B9" s="95" t="s">
        <v>9</v>
      </c>
      <c r="C9" s="6"/>
    </row>
    <row r="10" spans="1:10" s="7" customFormat="1" ht="12" customHeight="1">
      <c r="A10" s="5"/>
      <c r="C10" s="8"/>
    </row>
    <row r="11" spans="1:10" s="7" customFormat="1" ht="24.75" customHeight="1">
      <c r="A11" s="5"/>
      <c r="C11" s="9"/>
      <c r="D11" s="96" t="s">
        <v>10</v>
      </c>
      <c r="E11" s="96" t="s">
        <v>11</v>
      </c>
      <c r="F11" s="96" t="s">
        <v>12</v>
      </c>
      <c r="G11" s="97" t="s">
        <v>13</v>
      </c>
    </row>
    <row r="12" spans="1:10" s="7" customFormat="1" ht="24.75" customHeight="1">
      <c r="A12" s="5"/>
      <c r="B12" s="10"/>
      <c r="C12" s="98" t="s">
        <v>14</v>
      </c>
      <c r="D12" s="99">
        <v>2208</v>
      </c>
      <c r="E12" s="99">
        <v>98</v>
      </c>
      <c r="F12" s="99">
        <v>108</v>
      </c>
      <c r="G12" s="100">
        <f>D12+E12-F12</f>
        <v>2198</v>
      </c>
    </row>
    <row r="13" spans="1:10" ht="12" customHeight="1"/>
    <row r="14" spans="1:10" ht="18" customHeight="1">
      <c r="B14" s="4" t="s">
        <v>15</v>
      </c>
    </row>
    <row r="15" spans="1:10" ht="12" customHeight="1"/>
    <row r="16" spans="1:10" ht="24.75" customHeight="1">
      <c r="C16" s="101" t="s">
        <v>16</v>
      </c>
      <c r="D16" s="96" t="s">
        <v>10</v>
      </c>
      <c r="E16" s="96" t="s">
        <v>11</v>
      </c>
      <c r="F16" s="96" t="s">
        <v>12</v>
      </c>
      <c r="G16" s="97" t="s">
        <v>13</v>
      </c>
    </row>
    <row r="17" spans="2:9" ht="24.75" customHeight="1">
      <c r="C17" s="102" t="s">
        <v>17</v>
      </c>
      <c r="D17" s="103">
        <v>1652</v>
      </c>
      <c r="E17" s="104"/>
      <c r="F17" s="104"/>
      <c r="G17" s="105">
        <v>1595</v>
      </c>
    </row>
    <row r="18" spans="2:9" ht="24.75" customHeight="1">
      <c r="C18" s="102" t="s">
        <v>18</v>
      </c>
      <c r="D18" s="103">
        <v>1017</v>
      </c>
      <c r="E18" s="104"/>
      <c r="F18" s="104"/>
      <c r="G18" s="105">
        <v>1061</v>
      </c>
    </row>
    <row r="19" spans="2:9" ht="24.75" customHeight="1">
      <c r="C19" s="102" t="s">
        <v>19</v>
      </c>
      <c r="D19" s="106">
        <v>601</v>
      </c>
      <c r="E19" s="104"/>
      <c r="F19" s="104"/>
      <c r="G19" s="105">
        <v>605</v>
      </c>
    </row>
    <row r="20" spans="2:9" ht="24.75" customHeight="1">
      <c r="C20" s="102" t="s">
        <v>20</v>
      </c>
      <c r="D20" s="103">
        <v>7</v>
      </c>
      <c r="E20" s="104"/>
      <c r="F20" s="104"/>
      <c r="G20" s="105">
        <v>8</v>
      </c>
    </row>
    <row r="21" spans="2:9" ht="24.75" customHeight="1">
      <c r="C21" s="102" t="s">
        <v>21</v>
      </c>
      <c r="D21" s="103">
        <v>30</v>
      </c>
      <c r="E21" s="104"/>
      <c r="F21" s="104"/>
      <c r="G21" s="105">
        <v>26</v>
      </c>
    </row>
    <row r="22" spans="2:9" ht="24.75" customHeight="1">
      <c r="C22" s="107" t="s">
        <v>14</v>
      </c>
      <c r="D22" s="108">
        <v>3270</v>
      </c>
      <c r="E22" s="108">
        <v>177</v>
      </c>
      <c r="F22" s="108">
        <v>186</v>
      </c>
      <c r="G22" s="109">
        <v>3261</v>
      </c>
      <c r="H22" s="11" t="str">
        <f>IF(D22+E22-F22=G22,"","合計欄に注意")</f>
        <v/>
      </c>
    </row>
    <row r="23" spans="2:9" ht="12" customHeight="1"/>
    <row r="24" spans="2:9" ht="18" customHeight="1">
      <c r="B24" s="4" t="s">
        <v>22</v>
      </c>
    </row>
    <row r="25" spans="2:9" ht="12" customHeight="1"/>
    <row r="26" spans="2:9" ht="24.75" customHeight="1">
      <c r="C26" s="628" t="s">
        <v>11</v>
      </c>
      <c r="D26" s="110" t="s">
        <v>23</v>
      </c>
      <c r="E26" s="110" t="s">
        <v>24</v>
      </c>
      <c r="F26" s="110" t="s">
        <v>25</v>
      </c>
      <c r="G26" s="111" t="s">
        <v>26</v>
      </c>
      <c r="H26" s="110" t="s">
        <v>27</v>
      </c>
      <c r="I26" s="112" t="s">
        <v>14</v>
      </c>
    </row>
    <row r="27" spans="2:9" ht="24.75" customHeight="1">
      <c r="C27" s="629"/>
      <c r="D27" s="103">
        <v>19</v>
      </c>
      <c r="E27" s="103">
        <v>0</v>
      </c>
      <c r="F27" s="103">
        <v>147</v>
      </c>
      <c r="G27" s="103">
        <v>0</v>
      </c>
      <c r="H27" s="103">
        <v>11</v>
      </c>
      <c r="I27" s="113">
        <v>177</v>
      </c>
    </row>
    <row r="28" spans="2:9" ht="24.75" customHeight="1">
      <c r="C28" s="625" t="s">
        <v>12</v>
      </c>
      <c r="D28" s="114" t="s">
        <v>28</v>
      </c>
      <c r="E28" s="114" t="s">
        <v>29</v>
      </c>
      <c r="F28" s="114" t="s">
        <v>30</v>
      </c>
      <c r="G28" s="115" t="s">
        <v>31</v>
      </c>
      <c r="H28" s="114" t="s">
        <v>27</v>
      </c>
      <c r="I28" s="116" t="s">
        <v>14</v>
      </c>
    </row>
    <row r="29" spans="2:9" ht="24.75" customHeight="1">
      <c r="C29" s="626"/>
      <c r="D29" s="117">
        <v>39</v>
      </c>
      <c r="E29" s="117">
        <v>0</v>
      </c>
      <c r="F29" s="117">
        <v>144</v>
      </c>
      <c r="G29" s="117">
        <v>0</v>
      </c>
      <c r="H29" s="117">
        <v>3</v>
      </c>
      <c r="I29" s="118">
        <v>186</v>
      </c>
    </row>
    <row r="30" spans="2:9" ht="12" customHeight="1"/>
  </sheetData>
  <sheetProtection selectLockedCells="1" selectUnlockedCells="1"/>
  <mergeCells count="4">
    <mergeCell ref="C28:C29"/>
    <mergeCell ref="A3:J3"/>
    <mergeCell ref="A4:J4"/>
    <mergeCell ref="C26:C27"/>
  </mergeCells>
  <phoneticPr fontId="34"/>
  <pageMargins left="0.7" right="0.7" top="0.75" bottom="0.75" header="0.3" footer="0.3"/>
  <pageSetup paperSize="9" scale="9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7"/>
  <sheetViews>
    <sheetView zoomScaleNormal="100" workbookViewId="0"/>
  </sheetViews>
  <sheetFormatPr defaultRowHeight="0" customHeight="1" zeroHeight="1"/>
  <cols>
    <col min="1" max="1" width="2.40625" style="15" customWidth="1"/>
    <col min="2" max="3" width="3.54296875" style="15" customWidth="1"/>
    <col min="4" max="4" width="13.26953125" style="15" customWidth="1"/>
    <col min="5" max="24" width="3.54296875" style="15" customWidth="1"/>
    <col min="25" max="25" width="4" style="15" customWidth="1"/>
  </cols>
  <sheetData>
    <row r="1" spans="1:25" ht="18" customHeight="1">
      <c r="A1" s="13" t="s">
        <v>0</v>
      </c>
      <c r="B1" s="13"/>
      <c r="C1" s="13"/>
      <c r="D1" s="13"/>
      <c r="E1" s="13"/>
      <c r="F1" s="13"/>
      <c r="G1" s="13"/>
      <c r="H1" s="13"/>
      <c r="I1" s="13"/>
      <c r="J1" s="13"/>
      <c r="K1" s="13"/>
      <c r="L1" s="12"/>
      <c r="M1" s="12"/>
      <c r="N1" s="12"/>
      <c r="O1" s="12"/>
      <c r="P1" s="12"/>
      <c r="Q1" s="12"/>
      <c r="R1" s="12"/>
      <c r="S1" s="12"/>
      <c r="T1" s="12"/>
      <c r="U1" s="12"/>
      <c r="V1" s="12"/>
      <c r="W1" s="12"/>
      <c r="X1" s="12"/>
      <c r="Y1" s="119"/>
    </row>
    <row r="2" spans="1:25" ht="18.75" customHeight="1">
      <c r="A2" s="14"/>
      <c r="B2" s="12"/>
      <c r="C2" s="12"/>
      <c r="D2" s="12"/>
      <c r="E2" s="12"/>
      <c r="F2" s="12"/>
      <c r="G2" s="12"/>
      <c r="H2" s="12"/>
      <c r="I2" s="12"/>
      <c r="J2" s="12"/>
      <c r="K2" s="12"/>
      <c r="L2" s="12"/>
      <c r="M2" s="12"/>
      <c r="N2" s="12"/>
      <c r="O2" s="12"/>
      <c r="P2" s="12"/>
      <c r="Q2" s="12"/>
      <c r="R2" s="12"/>
      <c r="S2" s="12"/>
      <c r="T2" s="12"/>
      <c r="U2" s="12"/>
      <c r="V2" s="12"/>
      <c r="W2" s="12"/>
      <c r="X2" s="12"/>
      <c r="Y2" s="119"/>
    </row>
    <row r="3" spans="1:25" ht="21" customHeight="1">
      <c r="A3" s="619" t="s">
        <v>1</v>
      </c>
      <c r="B3" s="619"/>
      <c r="C3" s="619"/>
      <c r="D3" s="619"/>
      <c r="E3" s="619"/>
      <c r="F3" s="619"/>
      <c r="G3" s="619"/>
      <c r="H3" s="619"/>
      <c r="I3" s="619"/>
      <c r="J3" s="619"/>
      <c r="K3" s="619"/>
      <c r="L3" s="619"/>
      <c r="M3" s="619"/>
      <c r="N3" s="619"/>
      <c r="O3" s="619"/>
      <c r="P3" s="619"/>
      <c r="Q3" s="619"/>
      <c r="R3" s="619"/>
      <c r="S3" s="619"/>
      <c r="T3" s="619"/>
      <c r="U3" s="619"/>
      <c r="V3" s="619"/>
      <c r="W3" s="619"/>
      <c r="X3" s="619"/>
      <c r="Y3" s="619"/>
    </row>
    <row r="4" spans="1:25" ht="17.25" customHeight="1">
      <c r="A4" s="620" t="s">
        <v>2</v>
      </c>
      <c r="B4" s="619"/>
      <c r="C4" s="619"/>
      <c r="D4" s="619"/>
      <c r="E4" s="619"/>
      <c r="F4" s="619"/>
      <c r="G4" s="619"/>
      <c r="H4" s="619"/>
      <c r="I4" s="619"/>
      <c r="J4" s="619"/>
      <c r="K4" s="619"/>
      <c r="L4" s="619"/>
      <c r="M4" s="619"/>
      <c r="N4" s="619"/>
      <c r="O4" s="619"/>
      <c r="P4" s="619"/>
      <c r="Q4" s="619"/>
      <c r="R4" s="619"/>
      <c r="S4" s="619"/>
      <c r="T4" s="619"/>
      <c r="U4" s="619"/>
      <c r="V4" s="619"/>
      <c r="W4" s="619"/>
      <c r="X4" s="619"/>
      <c r="Y4" s="619"/>
    </row>
    <row r="5" spans="1:25" ht="21" customHeight="1">
      <c r="A5" s="14"/>
      <c r="B5" s="16"/>
      <c r="C5" s="17"/>
      <c r="D5" s="17"/>
      <c r="E5" s="17"/>
      <c r="F5" s="17"/>
      <c r="G5" s="17"/>
      <c r="H5" s="17"/>
      <c r="I5" s="17"/>
      <c r="J5" s="17"/>
      <c r="K5" s="17"/>
      <c r="L5" s="18"/>
      <c r="M5" s="12"/>
      <c r="N5" s="12"/>
      <c r="O5" s="12"/>
      <c r="P5" s="12"/>
      <c r="Q5" s="686" t="s">
        <v>32</v>
      </c>
      <c r="R5" s="686"/>
      <c r="S5" s="686"/>
      <c r="T5" s="686"/>
      <c r="U5" s="687" t="s">
        <v>4</v>
      </c>
      <c r="V5" s="687"/>
      <c r="W5" s="687"/>
      <c r="X5" s="687"/>
      <c r="Y5" s="14"/>
    </row>
    <row r="6" spans="1:25" ht="21" customHeight="1">
      <c r="A6" s="14"/>
      <c r="B6" s="13"/>
      <c r="C6" s="17"/>
      <c r="D6" s="17"/>
      <c r="E6" s="17"/>
      <c r="F6" s="17"/>
      <c r="G6" s="17"/>
      <c r="H6" s="17"/>
      <c r="I6" s="17"/>
      <c r="J6" s="17"/>
      <c r="K6" s="17"/>
      <c r="L6" s="18"/>
      <c r="M6" s="12"/>
      <c r="N6" s="12"/>
      <c r="O6" s="12"/>
      <c r="P6" s="12"/>
      <c r="Q6" s="688" t="s">
        <v>33</v>
      </c>
      <c r="R6" s="688"/>
      <c r="S6" s="688"/>
      <c r="T6" s="688"/>
      <c r="U6" s="689" t="s">
        <v>6</v>
      </c>
      <c r="V6" s="689"/>
      <c r="W6" s="689"/>
      <c r="X6" s="689"/>
      <c r="Y6" s="120" t="s">
        <v>7</v>
      </c>
    </row>
    <row r="7" spans="1:25" ht="22.5" customHeight="1">
      <c r="A7" s="13"/>
      <c r="B7" s="13" t="s">
        <v>34</v>
      </c>
      <c r="C7" s="16"/>
      <c r="D7" s="16"/>
      <c r="E7" s="16"/>
      <c r="F7" s="16"/>
      <c r="G7" s="16"/>
      <c r="H7" s="16"/>
      <c r="I7" s="16"/>
      <c r="J7" s="16"/>
      <c r="K7" s="16"/>
      <c r="L7" s="18"/>
      <c r="M7" s="18"/>
      <c r="N7" s="18"/>
      <c r="O7" s="18"/>
      <c r="P7" s="18"/>
      <c r="Q7" s="18"/>
      <c r="R7" s="18"/>
      <c r="S7" s="18"/>
      <c r="T7" s="18"/>
      <c r="U7" s="18"/>
      <c r="V7" s="18"/>
      <c r="W7" s="18"/>
      <c r="X7" s="12"/>
      <c r="Y7" s="14"/>
    </row>
    <row r="8" spans="1:25" ht="15" customHeight="1">
      <c r="A8" s="14"/>
      <c r="B8" s="24"/>
      <c r="C8" s="24"/>
      <c r="D8" s="24"/>
      <c r="E8" s="24"/>
      <c r="F8" s="24"/>
      <c r="G8" s="24"/>
      <c r="H8" s="24"/>
      <c r="I8" s="24"/>
      <c r="J8" s="24"/>
      <c r="K8" s="27"/>
      <c r="L8" s="27"/>
      <c r="M8" s="27"/>
      <c r="N8" s="27"/>
      <c r="O8" s="27"/>
      <c r="P8" s="27"/>
      <c r="Q8" s="27"/>
      <c r="R8" s="27"/>
      <c r="S8" s="27"/>
      <c r="T8" s="27"/>
      <c r="U8" s="27"/>
      <c r="V8" s="27"/>
      <c r="W8" s="27"/>
      <c r="X8" s="27"/>
      <c r="Y8" s="27"/>
    </row>
    <row r="9" spans="1:25" s="14" customFormat="1" ht="15" customHeight="1">
      <c r="B9" s="76" t="s">
        <v>35</v>
      </c>
      <c r="C9" s="21"/>
      <c r="D9" s="21"/>
      <c r="E9" s="21"/>
      <c r="F9" s="21"/>
      <c r="G9" s="21"/>
      <c r="H9" s="21"/>
      <c r="I9" s="21"/>
      <c r="J9" s="22"/>
      <c r="K9" s="22"/>
      <c r="L9" s="22"/>
      <c r="M9" s="22"/>
      <c r="N9" s="22"/>
      <c r="O9" s="22"/>
      <c r="P9" s="22"/>
      <c r="Q9" s="22"/>
      <c r="R9" s="22"/>
      <c r="S9" s="22"/>
      <c r="T9" s="22"/>
      <c r="U9" s="22"/>
      <c r="V9" s="22"/>
      <c r="W9" s="22"/>
      <c r="X9" s="22"/>
      <c r="Y9" s="22"/>
    </row>
    <row r="10" spans="1:25" s="28" customFormat="1" ht="21" customHeight="1">
      <c r="A10" s="23"/>
      <c r="B10" s="76"/>
      <c r="C10" s="25" t="s">
        <v>36</v>
      </c>
      <c r="D10" s="77"/>
      <c r="E10" s="642" t="s">
        <v>37</v>
      </c>
      <c r="F10" s="642"/>
      <c r="G10" s="642"/>
      <c r="H10" s="642"/>
      <c r="I10" s="642"/>
      <c r="J10" s="642"/>
      <c r="K10" s="642"/>
      <c r="L10" s="642"/>
      <c r="M10" s="642"/>
      <c r="N10" s="642"/>
      <c r="O10" s="642"/>
      <c r="P10" s="642"/>
      <c r="Q10" s="642"/>
      <c r="R10" s="642"/>
      <c r="S10" s="642"/>
      <c r="T10" s="642"/>
      <c r="U10" s="642"/>
      <c r="V10" s="642"/>
      <c r="W10" s="642"/>
      <c r="X10" s="642"/>
      <c r="Y10" s="22"/>
    </row>
    <row r="11" spans="1:25" s="28" customFormat="1" ht="21" customHeight="1">
      <c r="A11" s="23"/>
      <c r="B11" s="24"/>
      <c r="C11" s="690" t="s">
        <v>38</v>
      </c>
      <c r="D11" s="691"/>
      <c r="E11" s="691"/>
      <c r="F11" s="691"/>
      <c r="G11" s="691"/>
      <c r="H11" s="691"/>
      <c r="I11" s="691"/>
      <c r="J11" s="691" t="s">
        <v>39</v>
      </c>
      <c r="K11" s="691"/>
      <c r="L11" s="691"/>
      <c r="M11" s="691"/>
      <c r="N11" s="694"/>
      <c r="O11" s="690" t="s">
        <v>40</v>
      </c>
      <c r="P11" s="691"/>
      <c r="Q11" s="691"/>
      <c r="R11" s="691"/>
      <c r="S11" s="696"/>
      <c r="T11" s="690" t="s">
        <v>41</v>
      </c>
      <c r="U11" s="691"/>
      <c r="V11" s="691"/>
      <c r="W11" s="691"/>
      <c r="X11" s="696"/>
      <c r="Y11" s="27"/>
    </row>
    <row r="12" spans="1:25" s="28" customFormat="1" ht="15" customHeight="1">
      <c r="A12" s="23"/>
      <c r="B12" s="29"/>
      <c r="C12" s="692"/>
      <c r="D12" s="693"/>
      <c r="E12" s="693"/>
      <c r="F12" s="693"/>
      <c r="G12" s="693"/>
      <c r="H12" s="693"/>
      <c r="I12" s="693"/>
      <c r="J12" s="693"/>
      <c r="K12" s="693"/>
      <c r="L12" s="693"/>
      <c r="M12" s="693"/>
      <c r="N12" s="695"/>
      <c r="O12" s="692"/>
      <c r="P12" s="693"/>
      <c r="Q12" s="693"/>
      <c r="R12" s="693"/>
      <c r="S12" s="697"/>
      <c r="T12" s="692"/>
      <c r="U12" s="693"/>
      <c r="V12" s="693"/>
      <c r="W12" s="693"/>
      <c r="X12" s="697"/>
      <c r="Y12" s="27"/>
    </row>
    <row r="13" spans="1:25" s="28" customFormat="1" ht="21" customHeight="1">
      <c r="A13" s="23"/>
      <c r="B13" s="29"/>
      <c r="C13" s="698" t="s">
        <v>42</v>
      </c>
      <c r="D13" s="699"/>
      <c r="E13" s="699"/>
      <c r="F13" s="699"/>
      <c r="G13" s="699"/>
      <c r="H13" s="699"/>
      <c r="I13" s="699"/>
      <c r="J13" s="700" t="s">
        <v>43</v>
      </c>
      <c r="K13" s="701"/>
      <c r="L13" s="701"/>
      <c r="M13" s="701" t="s">
        <v>44</v>
      </c>
      <c r="N13" s="701"/>
      <c r="O13" s="702">
        <v>455</v>
      </c>
      <c r="P13" s="703"/>
      <c r="Q13" s="703"/>
      <c r="R13" s="704" t="s">
        <v>45</v>
      </c>
      <c r="S13" s="705"/>
      <c r="T13" s="708">
        <v>412</v>
      </c>
      <c r="U13" s="709"/>
      <c r="V13" s="709"/>
      <c r="W13" s="709"/>
      <c r="X13" s="710"/>
      <c r="Y13" s="27"/>
    </row>
    <row r="14" spans="1:25" s="28" customFormat="1" ht="21" customHeight="1">
      <c r="A14" s="23"/>
      <c r="B14" s="29"/>
      <c r="C14" s="25"/>
      <c r="D14" s="25"/>
      <c r="E14" s="77"/>
      <c r="F14" s="77"/>
      <c r="G14" s="77"/>
      <c r="H14" s="77"/>
      <c r="I14" s="77"/>
      <c r="J14" s="25"/>
      <c r="K14" s="78"/>
      <c r="L14" s="78"/>
      <c r="M14" s="78"/>
      <c r="N14" s="78"/>
      <c r="O14" s="25"/>
      <c r="P14" s="77"/>
      <c r="Q14" s="77"/>
      <c r="R14" s="77"/>
      <c r="S14" s="25"/>
      <c r="T14" s="25"/>
      <c r="U14" s="25"/>
      <c r="V14" s="25"/>
      <c r="W14" s="25"/>
      <c r="X14" s="79"/>
      <c r="Y14" s="27"/>
    </row>
    <row r="15" spans="1:25" s="28" customFormat="1" ht="21" customHeight="1">
      <c r="A15" s="23"/>
      <c r="B15" s="29"/>
      <c r="C15" s="25" t="s">
        <v>46</v>
      </c>
      <c r="D15" s="77"/>
      <c r="E15" s="642" t="s">
        <v>47</v>
      </c>
      <c r="F15" s="642"/>
      <c r="G15" s="642"/>
      <c r="H15" s="642"/>
      <c r="I15" s="642"/>
      <c r="J15" s="642"/>
      <c r="K15" s="642"/>
      <c r="L15" s="642"/>
      <c r="M15" s="642"/>
      <c r="N15" s="642"/>
      <c r="O15" s="642"/>
      <c r="P15" s="642"/>
      <c r="Q15" s="642"/>
      <c r="R15" s="642"/>
      <c r="S15" s="642"/>
      <c r="T15" s="642"/>
      <c r="U15" s="642"/>
      <c r="V15" s="642"/>
      <c r="W15" s="642"/>
      <c r="X15" s="642"/>
      <c r="Y15" s="27"/>
    </row>
    <row r="16" spans="1:25" s="28" customFormat="1" ht="21" customHeight="1">
      <c r="A16" s="23"/>
      <c r="B16" s="29"/>
      <c r="C16" s="573" t="s">
        <v>48</v>
      </c>
      <c r="D16" s="574"/>
      <c r="E16" s="574"/>
      <c r="F16" s="574"/>
      <c r="G16" s="574"/>
      <c r="H16" s="574"/>
      <c r="I16" s="575"/>
      <c r="J16" s="700" t="s">
        <v>49</v>
      </c>
      <c r="K16" s="701"/>
      <c r="L16" s="701"/>
      <c r="M16" s="701" t="s">
        <v>50</v>
      </c>
      <c r="N16" s="706"/>
      <c r="O16" s="707">
        <v>685</v>
      </c>
      <c r="P16" s="703"/>
      <c r="Q16" s="703"/>
      <c r="R16" s="704" t="s">
        <v>45</v>
      </c>
      <c r="S16" s="705"/>
      <c r="T16" s="708">
        <v>308</v>
      </c>
      <c r="U16" s="709"/>
      <c r="V16" s="709"/>
      <c r="W16" s="709"/>
      <c r="X16" s="710"/>
      <c r="Y16" s="27"/>
    </row>
    <row r="17" spans="1:25" s="28" customFormat="1" ht="21" customHeight="1">
      <c r="A17" s="23"/>
      <c r="B17" s="29"/>
      <c r="C17" s="80"/>
      <c r="D17" s="80"/>
      <c r="E17" s="80"/>
      <c r="F17" s="80"/>
      <c r="G17" s="80"/>
      <c r="H17" s="80"/>
      <c r="I17" s="80"/>
      <c r="J17" s="81"/>
      <c r="K17" s="81"/>
      <c r="L17" s="81"/>
      <c r="M17" s="81"/>
      <c r="N17" s="81"/>
      <c r="O17" s="78"/>
      <c r="P17" s="78"/>
      <c r="Q17" s="78"/>
      <c r="R17" s="78"/>
      <c r="S17" s="78"/>
      <c r="T17" s="78"/>
      <c r="U17" s="78"/>
      <c r="V17" s="78"/>
      <c r="W17" s="78"/>
      <c r="X17" s="78"/>
      <c r="Y17" s="27"/>
    </row>
    <row r="18" spans="1:25" s="28" customFormat="1" ht="21" customHeight="1">
      <c r="A18" s="23"/>
      <c r="B18" s="29"/>
      <c r="C18" s="25" t="s">
        <v>51</v>
      </c>
      <c r="D18" s="77"/>
      <c r="E18" s="642" t="s">
        <v>52</v>
      </c>
      <c r="F18" s="642"/>
      <c r="G18" s="642"/>
      <c r="H18" s="642"/>
      <c r="I18" s="642"/>
      <c r="J18" s="642"/>
      <c r="K18" s="642"/>
      <c r="L18" s="642"/>
      <c r="M18" s="642"/>
      <c r="N18" s="642"/>
      <c r="O18" s="642"/>
      <c r="P18" s="642"/>
      <c r="Q18" s="642"/>
      <c r="R18" s="642"/>
      <c r="S18" s="642"/>
      <c r="T18" s="642"/>
      <c r="U18" s="642"/>
      <c r="V18" s="642"/>
      <c r="W18" s="642"/>
      <c r="X18" s="642"/>
      <c r="Y18" s="27"/>
    </row>
    <row r="19" spans="1:25" s="28" customFormat="1" ht="21" customHeight="1">
      <c r="A19" s="23"/>
      <c r="B19" s="29"/>
      <c r="C19" s="573" t="s">
        <v>53</v>
      </c>
      <c r="D19" s="574"/>
      <c r="E19" s="574"/>
      <c r="F19" s="574"/>
      <c r="G19" s="574"/>
      <c r="H19" s="574"/>
      <c r="I19" s="575"/>
      <c r="J19" s="700" t="s">
        <v>54</v>
      </c>
      <c r="K19" s="701"/>
      <c r="L19" s="701"/>
      <c r="M19" s="701" t="s">
        <v>55</v>
      </c>
      <c r="N19" s="706"/>
      <c r="O19" s="707">
        <v>690</v>
      </c>
      <c r="P19" s="703"/>
      <c r="Q19" s="703"/>
      <c r="R19" s="704" t="s">
        <v>45</v>
      </c>
      <c r="S19" s="705"/>
      <c r="T19" s="708">
        <v>304</v>
      </c>
      <c r="U19" s="709"/>
      <c r="V19" s="709"/>
      <c r="W19" s="709"/>
      <c r="X19" s="710"/>
      <c r="Y19" s="27"/>
    </row>
    <row r="20" spans="1:25" s="28" customFormat="1" ht="21" customHeight="1">
      <c r="A20" s="23"/>
      <c r="B20" s="29"/>
      <c r="C20" s="80"/>
      <c r="D20" s="80"/>
      <c r="E20" s="80"/>
      <c r="F20" s="80"/>
      <c r="G20" s="80"/>
      <c r="H20" s="80"/>
      <c r="I20" s="80"/>
      <c r="J20" s="81"/>
      <c r="K20" s="81"/>
      <c r="L20" s="81"/>
      <c r="M20" s="81"/>
      <c r="N20" s="81"/>
      <c r="O20" s="78"/>
      <c r="P20" s="78"/>
      <c r="Q20" s="78"/>
      <c r="R20" s="78"/>
      <c r="S20" s="78"/>
      <c r="T20" s="78"/>
      <c r="U20" s="78"/>
      <c r="V20" s="78"/>
      <c r="W20" s="78"/>
      <c r="X20" s="78"/>
      <c r="Y20" s="27"/>
    </row>
    <row r="21" spans="1:25" s="28" customFormat="1" ht="21" customHeight="1">
      <c r="A21" s="23"/>
      <c r="B21" s="29"/>
      <c r="C21" s="25" t="s">
        <v>56</v>
      </c>
      <c r="D21" s="77"/>
      <c r="E21" s="642" t="s">
        <v>57</v>
      </c>
      <c r="F21" s="642"/>
      <c r="G21" s="642"/>
      <c r="H21" s="642"/>
      <c r="I21" s="642"/>
      <c r="J21" s="642"/>
      <c r="K21" s="642"/>
      <c r="L21" s="642"/>
      <c r="M21" s="642"/>
      <c r="N21" s="642"/>
      <c r="O21" s="642"/>
      <c r="P21" s="642"/>
      <c r="Q21" s="642"/>
      <c r="R21" s="642"/>
      <c r="S21" s="642"/>
      <c r="T21" s="642"/>
      <c r="U21" s="642"/>
      <c r="V21" s="642"/>
      <c r="W21" s="642"/>
      <c r="X21" s="642"/>
      <c r="Y21" s="27"/>
    </row>
    <row r="22" spans="1:25" s="28" customFormat="1" ht="21" customHeight="1">
      <c r="A22" s="23"/>
      <c r="B22" s="31"/>
      <c r="C22" s="573" t="s">
        <v>58</v>
      </c>
      <c r="D22" s="574"/>
      <c r="E22" s="574"/>
      <c r="F22" s="574"/>
      <c r="G22" s="574"/>
      <c r="H22" s="574"/>
      <c r="I22" s="575"/>
      <c r="J22" s="700" t="s">
        <v>59</v>
      </c>
      <c r="K22" s="701"/>
      <c r="L22" s="701"/>
      <c r="M22" s="701" t="s">
        <v>60</v>
      </c>
      <c r="N22" s="706"/>
      <c r="O22" s="707">
        <v>900</v>
      </c>
      <c r="P22" s="703"/>
      <c r="Q22" s="703"/>
      <c r="R22" s="704" t="s">
        <v>45</v>
      </c>
      <c r="S22" s="705"/>
      <c r="T22" s="708">
        <v>383</v>
      </c>
      <c r="U22" s="709"/>
      <c r="V22" s="709"/>
      <c r="W22" s="709"/>
      <c r="X22" s="710"/>
      <c r="Y22" s="33"/>
    </row>
    <row r="23" spans="1:25" s="28" customFormat="1" ht="21" customHeight="1">
      <c r="A23" s="23"/>
      <c r="B23" s="29"/>
      <c r="C23" s="80"/>
      <c r="D23" s="80"/>
      <c r="E23" s="80"/>
      <c r="F23" s="80"/>
      <c r="G23" s="80"/>
      <c r="H23" s="80"/>
      <c r="I23" s="80"/>
      <c r="J23" s="81"/>
      <c r="K23" s="81"/>
      <c r="L23" s="81"/>
      <c r="M23" s="81"/>
      <c r="N23" s="81"/>
      <c r="O23" s="78"/>
      <c r="P23" s="78"/>
      <c r="Q23" s="78"/>
      <c r="R23" s="78"/>
      <c r="S23" s="78"/>
      <c r="T23" s="78"/>
      <c r="U23" s="78"/>
      <c r="V23" s="78"/>
      <c r="W23" s="78"/>
      <c r="X23" s="78"/>
      <c r="Y23" s="27"/>
    </row>
    <row r="24" spans="1:25" s="28" customFormat="1" ht="21" customHeight="1">
      <c r="A24" s="23"/>
      <c r="B24" s="35"/>
      <c r="C24" s="25" t="s">
        <v>61</v>
      </c>
      <c r="D24" s="82"/>
      <c r="E24" s="642" t="s">
        <v>62</v>
      </c>
      <c r="F24" s="642"/>
      <c r="G24" s="642"/>
      <c r="H24" s="642"/>
      <c r="I24" s="642"/>
      <c r="J24" s="642"/>
      <c r="K24" s="642"/>
      <c r="L24" s="642"/>
      <c r="M24" s="642"/>
      <c r="N24" s="642"/>
      <c r="O24" s="642"/>
      <c r="P24" s="642"/>
      <c r="Q24" s="642"/>
      <c r="R24" s="642"/>
      <c r="S24" s="642"/>
      <c r="T24" s="642"/>
      <c r="U24" s="642"/>
      <c r="V24" s="642"/>
      <c r="W24" s="642"/>
      <c r="X24" s="642"/>
      <c r="Y24" s="27"/>
    </row>
    <row r="25" spans="1:25" s="28" customFormat="1" ht="21" customHeight="1">
      <c r="A25" s="23"/>
      <c r="B25" s="25"/>
      <c r="C25" s="573" t="s">
        <v>63</v>
      </c>
      <c r="D25" s="574"/>
      <c r="E25" s="574"/>
      <c r="F25" s="574"/>
      <c r="G25" s="574"/>
      <c r="H25" s="574"/>
      <c r="I25" s="575"/>
      <c r="J25" s="700" t="s">
        <v>64</v>
      </c>
      <c r="K25" s="701"/>
      <c r="L25" s="701"/>
      <c r="M25" s="701" t="s">
        <v>65</v>
      </c>
      <c r="N25" s="706"/>
      <c r="O25" s="707">
        <v>1000</v>
      </c>
      <c r="P25" s="703"/>
      <c r="Q25" s="703"/>
      <c r="R25" s="704" t="s">
        <v>45</v>
      </c>
      <c r="S25" s="705"/>
      <c r="T25" s="708">
        <v>699</v>
      </c>
      <c r="U25" s="709"/>
      <c r="V25" s="709"/>
      <c r="W25" s="709"/>
      <c r="X25" s="710"/>
      <c r="Y25" s="27"/>
    </row>
    <row r="26" spans="1:25" s="28" customFormat="1" ht="21" customHeight="1">
      <c r="A26" s="23"/>
      <c r="B26" s="29"/>
      <c r="C26" s="80"/>
      <c r="D26" s="80"/>
      <c r="E26" s="80"/>
      <c r="F26" s="80"/>
      <c r="G26" s="80"/>
      <c r="H26" s="80"/>
      <c r="I26" s="80"/>
      <c r="J26" s="81"/>
      <c r="K26" s="81"/>
      <c r="L26" s="81"/>
      <c r="M26" s="81"/>
      <c r="N26" s="81"/>
      <c r="O26" s="78"/>
      <c r="P26" s="78"/>
      <c r="Q26" s="78"/>
      <c r="R26" s="78"/>
      <c r="S26" s="78"/>
      <c r="T26" s="78"/>
      <c r="U26" s="78"/>
      <c r="V26" s="78"/>
      <c r="W26" s="78"/>
      <c r="X26" s="78"/>
      <c r="Y26" s="27"/>
    </row>
    <row r="27" spans="1:25" s="28" customFormat="1" ht="21" customHeight="1">
      <c r="A27" s="23"/>
      <c r="B27" s="29"/>
      <c r="C27" s="25" t="s">
        <v>66</v>
      </c>
      <c r="D27" s="25"/>
      <c r="E27" s="642" t="s">
        <v>67</v>
      </c>
      <c r="F27" s="642"/>
      <c r="G27" s="642"/>
      <c r="H27" s="642"/>
      <c r="I27" s="642"/>
      <c r="J27" s="642"/>
      <c r="K27" s="642"/>
      <c r="L27" s="642"/>
      <c r="M27" s="642"/>
      <c r="N27" s="642"/>
      <c r="O27" s="642"/>
      <c r="P27" s="642"/>
      <c r="Q27" s="642"/>
      <c r="R27" s="642"/>
      <c r="S27" s="642"/>
      <c r="T27" s="642"/>
      <c r="U27" s="642"/>
      <c r="V27" s="642"/>
      <c r="W27" s="642"/>
      <c r="X27" s="642"/>
      <c r="Y27" s="27"/>
    </row>
    <row r="28" spans="1:25" s="28" customFormat="1" ht="21" customHeight="1">
      <c r="A28" s="23"/>
      <c r="B28" s="29"/>
      <c r="C28" s="643" t="s">
        <v>68</v>
      </c>
      <c r="D28" s="644"/>
      <c r="E28" s="644"/>
      <c r="F28" s="644"/>
      <c r="G28" s="644"/>
      <c r="H28" s="644"/>
      <c r="I28" s="644"/>
      <c r="J28" s="645" t="s">
        <v>69</v>
      </c>
      <c r="K28" s="646"/>
      <c r="L28" s="646"/>
      <c r="M28" s="646" t="s">
        <v>70</v>
      </c>
      <c r="N28" s="647"/>
      <c r="O28" s="648">
        <v>1200</v>
      </c>
      <c r="P28" s="649"/>
      <c r="Q28" s="649"/>
      <c r="R28" s="650" t="s">
        <v>45</v>
      </c>
      <c r="S28" s="651"/>
      <c r="T28" s="652">
        <v>375</v>
      </c>
      <c r="U28" s="653"/>
      <c r="V28" s="653"/>
      <c r="W28" s="653"/>
      <c r="X28" s="654"/>
      <c r="Y28" s="27"/>
    </row>
    <row r="29" spans="1:25" s="28" customFormat="1" ht="21" customHeight="1">
      <c r="A29" s="23"/>
      <c r="B29" s="29"/>
      <c r="C29" s="83"/>
      <c r="D29" s="592" t="s">
        <v>71</v>
      </c>
      <c r="E29" s="593"/>
      <c r="F29" s="593"/>
      <c r="G29" s="593"/>
      <c r="H29" s="593"/>
      <c r="I29" s="610"/>
      <c r="J29" s="655"/>
      <c r="K29" s="656"/>
      <c r="L29" s="656"/>
      <c r="M29" s="656"/>
      <c r="N29" s="657"/>
      <c r="O29" s="635">
        <v>0</v>
      </c>
      <c r="P29" s="636"/>
      <c r="Q29" s="636"/>
      <c r="R29" s="637" t="s">
        <v>45</v>
      </c>
      <c r="S29" s="638"/>
      <c r="T29" s="639">
        <v>0</v>
      </c>
      <c r="U29" s="640"/>
      <c r="V29" s="640"/>
      <c r="W29" s="640"/>
      <c r="X29" s="641"/>
      <c r="Y29" s="27"/>
    </row>
    <row r="30" spans="1:25" s="28" customFormat="1" ht="21" customHeight="1">
      <c r="A30" s="23"/>
      <c r="B30" s="29"/>
      <c r="C30" s="83"/>
      <c r="D30" s="630"/>
      <c r="E30" s="631"/>
      <c r="F30" s="631"/>
      <c r="G30" s="631"/>
      <c r="H30" s="631"/>
      <c r="I30" s="631"/>
      <c r="J30" s="632"/>
      <c r="K30" s="633"/>
      <c r="L30" s="633"/>
      <c r="M30" s="633"/>
      <c r="N30" s="634"/>
      <c r="O30" s="635">
        <v>0</v>
      </c>
      <c r="P30" s="636"/>
      <c r="Q30" s="636"/>
      <c r="R30" s="637" t="s">
        <v>45</v>
      </c>
      <c r="S30" s="638"/>
      <c r="T30" s="639">
        <v>0</v>
      </c>
      <c r="U30" s="640"/>
      <c r="V30" s="640"/>
      <c r="W30" s="640"/>
      <c r="X30" s="641"/>
      <c r="Y30" s="27"/>
    </row>
    <row r="31" spans="1:25" s="28" customFormat="1" ht="21" customHeight="1">
      <c r="A31" s="23"/>
      <c r="B31" s="29"/>
      <c r="C31" s="84"/>
      <c r="D31" s="658"/>
      <c r="E31" s="659"/>
      <c r="F31" s="659"/>
      <c r="G31" s="659"/>
      <c r="H31" s="659"/>
      <c r="I31" s="659"/>
      <c r="J31" s="660"/>
      <c r="K31" s="661"/>
      <c r="L31" s="661"/>
      <c r="M31" s="661"/>
      <c r="N31" s="662"/>
      <c r="O31" s="663">
        <v>0</v>
      </c>
      <c r="P31" s="664"/>
      <c r="Q31" s="664"/>
      <c r="R31" s="665" t="s">
        <v>45</v>
      </c>
      <c r="S31" s="666"/>
      <c r="T31" s="667">
        <v>0</v>
      </c>
      <c r="U31" s="668"/>
      <c r="V31" s="668"/>
      <c r="W31" s="668"/>
      <c r="X31" s="669"/>
      <c r="Y31" s="27"/>
    </row>
    <row r="32" spans="1:25" s="28" customFormat="1" ht="21" customHeight="1">
      <c r="A32" s="23"/>
      <c r="B32" s="29"/>
      <c r="C32" s="80"/>
      <c r="D32" s="80"/>
      <c r="E32" s="80"/>
      <c r="F32" s="80"/>
      <c r="G32" s="80"/>
      <c r="H32" s="80"/>
      <c r="I32" s="80"/>
      <c r="J32" s="81"/>
      <c r="K32" s="81"/>
      <c r="L32" s="81"/>
      <c r="M32" s="81"/>
      <c r="N32" s="81"/>
      <c r="O32" s="78"/>
      <c r="P32" s="78"/>
      <c r="Q32" s="78"/>
      <c r="R32" s="78"/>
      <c r="S32" s="78"/>
      <c r="T32" s="78"/>
      <c r="U32" s="78"/>
      <c r="V32" s="78"/>
      <c r="W32" s="78"/>
      <c r="X32" s="78"/>
      <c r="Y32" s="27"/>
    </row>
    <row r="33" spans="1:25" s="28" customFormat="1" ht="21" customHeight="1">
      <c r="A33" s="23"/>
      <c r="B33" s="29"/>
      <c r="C33" s="25" t="s">
        <v>72</v>
      </c>
      <c r="D33" s="25"/>
      <c r="E33" s="642" t="s">
        <v>73</v>
      </c>
      <c r="F33" s="642"/>
      <c r="G33" s="642"/>
      <c r="H33" s="642"/>
      <c r="I33" s="642"/>
      <c r="J33" s="642"/>
      <c r="K33" s="642"/>
      <c r="L33" s="642"/>
      <c r="M33" s="642"/>
      <c r="N33" s="642"/>
      <c r="O33" s="642"/>
      <c r="P33" s="642"/>
      <c r="Q33" s="642"/>
      <c r="R33" s="642"/>
      <c r="S33" s="642"/>
      <c r="T33" s="642"/>
      <c r="U33" s="642"/>
      <c r="V33" s="642"/>
      <c r="W33" s="642"/>
      <c r="X33" s="642"/>
      <c r="Y33" s="27"/>
    </row>
    <row r="34" spans="1:25" s="28" customFormat="1" ht="21" customHeight="1">
      <c r="A34" s="23"/>
      <c r="B34" s="29"/>
      <c r="C34" s="643" t="s">
        <v>74</v>
      </c>
      <c r="D34" s="644"/>
      <c r="E34" s="644"/>
      <c r="F34" s="644"/>
      <c r="G34" s="644"/>
      <c r="H34" s="644"/>
      <c r="I34" s="644"/>
      <c r="J34" s="645" t="s">
        <v>75</v>
      </c>
      <c r="K34" s="646"/>
      <c r="L34" s="646"/>
      <c r="M34" s="646" t="s">
        <v>76</v>
      </c>
      <c r="N34" s="647"/>
      <c r="O34" s="648">
        <v>1300</v>
      </c>
      <c r="P34" s="649"/>
      <c r="Q34" s="649"/>
      <c r="R34" s="650" t="s">
        <v>45</v>
      </c>
      <c r="S34" s="651"/>
      <c r="T34" s="652">
        <v>419</v>
      </c>
      <c r="U34" s="653"/>
      <c r="V34" s="653"/>
      <c r="W34" s="653"/>
      <c r="X34" s="654"/>
      <c r="Y34" s="27"/>
    </row>
    <row r="35" spans="1:25" s="28" customFormat="1" ht="21" customHeight="1">
      <c r="A35" s="23"/>
      <c r="B35" s="29"/>
      <c r="C35" s="83"/>
      <c r="D35" s="592" t="s">
        <v>71</v>
      </c>
      <c r="E35" s="593"/>
      <c r="F35" s="593"/>
      <c r="G35" s="593"/>
      <c r="H35" s="593"/>
      <c r="I35" s="610"/>
      <c r="J35" s="655"/>
      <c r="K35" s="656"/>
      <c r="L35" s="656"/>
      <c r="M35" s="656"/>
      <c r="N35" s="657"/>
      <c r="O35" s="635">
        <v>0</v>
      </c>
      <c r="P35" s="636"/>
      <c r="Q35" s="636"/>
      <c r="R35" s="637" t="s">
        <v>45</v>
      </c>
      <c r="S35" s="638"/>
      <c r="T35" s="639">
        <v>0</v>
      </c>
      <c r="U35" s="640"/>
      <c r="V35" s="640"/>
      <c r="W35" s="640"/>
      <c r="X35" s="641"/>
      <c r="Y35" s="27"/>
    </row>
    <row r="36" spans="1:25" s="28" customFormat="1" ht="21" customHeight="1">
      <c r="A36" s="23"/>
      <c r="B36" s="29"/>
      <c r="C36" s="83"/>
      <c r="D36" s="630"/>
      <c r="E36" s="631"/>
      <c r="F36" s="631"/>
      <c r="G36" s="631"/>
      <c r="H36" s="631"/>
      <c r="I36" s="631"/>
      <c r="J36" s="632"/>
      <c r="K36" s="633"/>
      <c r="L36" s="633"/>
      <c r="M36" s="633"/>
      <c r="N36" s="634"/>
      <c r="O36" s="635">
        <v>0</v>
      </c>
      <c r="P36" s="636"/>
      <c r="Q36" s="636"/>
      <c r="R36" s="637" t="s">
        <v>45</v>
      </c>
      <c r="S36" s="638"/>
      <c r="T36" s="639">
        <v>0</v>
      </c>
      <c r="U36" s="640"/>
      <c r="V36" s="640"/>
      <c r="W36" s="640"/>
      <c r="X36" s="641"/>
      <c r="Y36" s="27"/>
    </row>
    <row r="37" spans="1:25" s="28" customFormat="1" ht="21" customHeight="1">
      <c r="A37" s="23"/>
      <c r="B37" s="29"/>
      <c r="C37" s="84"/>
      <c r="D37" s="658"/>
      <c r="E37" s="659"/>
      <c r="F37" s="659"/>
      <c r="G37" s="659"/>
      <c r="H37" s="659"/>
      <c r="I37" s="659"/>
      <c r="J37" s="660"/>
      <c r="K37" s="661"/>
      <c r="L37" s="661"/>
      <c r="M37" s="661"/>
      <c r="N37" s="662"/>
      <c r="O37" s="663">
        <v>0</v>
      </c>
      <c r="P37" s="664"/>
      <c r="Q37" s="664"/>
      <c r="R37" s="665" t="s">
        <v>45</v>
      </c>
      <c r="S37" s="666"/>
      <c r="T37" s="667">
        <v>0</v>
      </c>
      <c r="U37" s="668"/>
      <c r="V37" s="668"/>
      <c r="W37" s="668"/>
      <c r="X37" s="669"/>
      <c r="Y37" s="27"/>
    </row>
    <row r="38" spans="1:25" s="28" customFormat="1" ht="21" customHeight="1">
      <c r="A38" s="23"/>
      <c r="B38" s="29"/>
      <c r="C38" s="80"/>
      <c r="D38" s="80"/>
      <c r="E38" s="80"/>
      <c r="F38" s="80"/>
      <c r="G38" s="80"/>
      <c r="H38" s="80"/>
      <c r="I38" s="80"/>
      <c r="J38" s="81"/>
      <c r="K38" s="81"/>
      <c r="L38" s="81"/>
      <c r="M38" s="81"/>
      <c r="N38" s="81"/>
      <c r="O38" s="78"/>
      <c r="P38" s="78"/>
      <c r="Q38" s="78"/>
      <c r="R38" s="78"/>
      <c r="S38" s="78"/>
      <c r="T38" s="78"/>
      <c r="U38" s="78"/>
      <c r="V38" s="78"/>
      <c r="W38" s="78"/>
      <c r="X38" s="78"/>
      <c r="Y38" s="27"/>
    </row>
    <row r="39" spans="1:25" s="28" customFormat="1" ht="21" customHeight="1">
      <c r="A39" s="23"/>
      <c r="B39" s="29"/>
      <c r="C39" s="25" t="s">
        <v>77</v>
      </c>
      <c r="D39" s="25"/>
      <c r="E39" s="642" t="s">
        <v>78</v>
      </c>
      <c r="F39" s="642"/>
      <c r="G39" s="642"/>
      <c r="H39" s="642"/>
      <c r="I39" s="642"/>
      <c r="J39" s="642"/>
      <c r="K39" s="642"/>
      <c r="L39" s="642"/>
      <c r="M39" s="642"/>
      <c r="N39" s="642"/>
      <c r="O39" s="642"/>
      <c r="P39" s="642"/>
      <c r="Q39" s="642"/>
      <c r="R39" s="642"/>
      <c r="S39" s="642"/>
      <c r="T39" s="642"/>
      <c r="U39" s="642"/>
      <c r="V39" s="642"/>
      <c r="W39" s="642"/>
      <c r="X39" s="642"/>
      <c r="Y39" s="27"/>
    </row>
    <row r="40" spans="1:25" s="28" customFormat="1" ht="21" customHeight="1">
      <c r="A40" s="23"/>
      <c r="B40" s="29"/>
      <c r="C40" s="643" t="s">
        <v>79</v>
      </c>
      <c r="D40" s="644"/>
      <c r="E40" s="644"/>
      <c r="F40" s="644"/>
      <c r="G40" s="644"/>
      <c r="H40" s="644"/>
      <c r="I40" s="644"/>
      <c r="J40" s="645" t="s">
        <v>80</v>
      </c>
      <c r="K40" s="646"/>
      <c r="L40" s="646"/>
      <c r="M40" s="646" t="s">
        <v>81</v>
      </c>
      <c r="N40" s="647"/>
      <c r="O40" s="648">
        <v>1500</v>
      </c>
      <c r="P40" s="649"/>
      <c r="Q40" s="649"/>
      <c r="R40" s="650" t="s">
        <v>45</v>
      </c>
      <c r="S40" s="651"/>
      <c r="T40" s="652">
        <v>218</v>
      </c>
      <c r="U40" s="653"/>
      <c r="V40" s="653"/>
      <c r="W40" s="653"/>
      <c r="X40" s="654"/>
      <c r="Y40" s="27"/>
    </row>
    <row r="41" spans="1:25" s="28" customFormat="1" ht="21" customHeight="1">
      <c r="A41" s="23"/>
      <c r="B41" s="29"/>
      <c r="C41" s="83"/>
      <c r="D41" s="592" t="s">
        <v>71</v>
      </c>
      <c r="E41" s="593"/>
      <c r="F41" s="593"/>
      <c r="G41" s="593"/>
      <c r="H41" s="593"/>
      <c r="I41" s="610"/>
      <c r="J41" s="655"/>
      <c r="K41" s="656"/>
      <c r="L41" s="656"/>
      <c r="M41" s="656"/>
      <c r="N41" s="657"/>
      <c r="O41" s="635">
        <v>0</v>
      </c>
      <c r="P41" s="636"/>
      <c r="Q41" s="636"/>
      <c r="R41" s="637" t="s">
        <v>45</v>
      </c>
      <c r="S41" s="638"/>
      <c r="T41" s="639">
        <v>0</v>
      </c>
      <c r="U41" s="640"/>
      <c r="V41" s="640"/>
      <c r="W41" s="640"/>
      <c r="X41" s="641"/>
      <c r="Y41" s="27"/>
    </row>
    <row r="42" spans="1:25" s="28" customFormat="1" ht="21" customHeight="1">
      <c r="A42" s="23"/>
      <c r="B42" s="29"/>
      <c r="C42" s="83"/>
      <c r="D42" s="630"/>
      <c r="E42" s="631"/>
      <c r="F42" s="631"/>
      <c r="G42" s="631"/>
      <c r="H42" s="631"/>
      <c r="I42" s="631"/>
      <c r="J42" s="632"/>
      <c r="K42" s="633"/>
      <c r="L42" s="633"/>
      <c r="M42" s="633"/>
      <c r="N42" s="634"/>
      <c r="O42" s="635">
        <v>0</v>
      </c>
      <c r="P42" s="636"/>
      <c r="Q42" s="636"/>
      <c r="R42" s="637" t="s">
        <v>45</v>
      </c>
      <c r="S42" s="638"/>
      <c r="T42" s="639">
        <v>0</v>
      </c>
      <c r="U42" s="640"/>
      <c r="V42" s="640"/>
      <c r="W42" s="640"/>
      <c r="X42" s="641"/>
      <c r="Y42" s="27"/>
    </row>
    <row r="43" spans="1:25" s="28" customFormat="1" ht="21" customHeight="1">
      <c r="A43" s="23"/>
      <c r="B43" s="29"/>
      <c r="C43" s="84"/>
      <c r="D43" s="658"/>
      <c r="E43" s="659"/>
      <c r="F43" s="659"/>
      <c r="G43" s="659"/>
      <c r="H43" s="659"/>
      <c r="I43" s="659"/>
      <c r="J43" s="660"/>
      <c r="K43" s="661"/>
      <c r="L43" s="661"/>
      <c r="M43" s="661"/>
      <c r="N43" s="662"/>
      <c r="O43" s="663">
        <v>0</v>
      </c>
      <c r="P43" s="664"/>
      <c r="Q43" s="664"/>
      <c r="R43" s="665" t="s">
        <v>45</v>
      </c>
      <c r="S43" s="666"/>
      <c r="T43" s="667">
        <v>0</v>
      </c>
      <c r="U43" s="668"/>
      <c r="V43" s="668"/>
      <c r="W43" s="668"/>
      <c r="X43" s="669"/>
      <c r="Y43" s="27"/>
    </row>
    <row r="44" spans="1:25" s="28" customFormat="1" ht="21" customHeight="1">
      <c r="A44" s="23"/>
      <c r="B44" s="29"/>
      <c r="C44" s="25"/>
      <c r="D44" s="25"/>
      <c r="E44" s="78"/>
      <c r="F44" s="78"/>
      <c r="G44" s="78"/>
      <c r="H44" s="78"/>
      <c r="I44" s="78"/>
      <c r="J44" s="25"/>
      <c r="K44" s="25"/>
      <c r="L44" s="25"/>
      <c r="M44" s="25"/>
      <c r="N44" s="25"/>
      <c r="O44" s="25"/>
      <c r="P44" s="79"/>
      <c r="Q44" s="79"/>
      <c r="R44" s="79"/>
      <c r="S44" s="25"/>
      <c r="T44" s="79"/>
      <c r="U44" s="79"/>
      <c r="V44" s="79"/>
      <c r="W44" s="79"/>
      <c r="X44" s="79"/>
      <c r="Y44" s="27"/>
    </row>
    <row r="45" spans="1:25" s="28" customFormat="1" ht="21" customHeight="1">
      <c r="A45" s="23"/>
      <c r="B45" s="29"/>
      <c r="C45" s="25" t="s">
        <v>82</v>
      </c>
      <c r="D45" s="25"/>
      <c r="E45" s="642" t="s">
        <v>83</v>
      </c>
      <c r="F45" s="642"/>
      <c r="G45" s="642"/>
      <c r="H45" s="642"/>
      <c r="I45" s="642"/>
      <c r="J45" s="642"/>
      <c r="K45" s="642"/>
      <c r="L45" s="642"/>
      <c r="M45" s="642"/>
      <c r="N45" s="642"/>
      <c r="O45" s="642"/>
      <c r="P45" s="642"/>
      <c r="Q45" s="642"/>
      <c r="R45" s="642"/>
      <c r="S45" s="642"/>
      <c r="T45" s="642"/>
      <c r="U45" s="642"/>
      <c r="V45" s="642"/>
      <c r="W45" s="642"/>
      <c r="X45" s="642"/>
      <c r="Y45" s="27"/>
    </row>
    <row r="46" spans="1:25" s="28" customFormat="1" ht="21" customHeight="1">
      <c r="A46" s="23"/>
      <c r="B46" s="29"/>
      <c r="C46" s="643" t="s">
        <v>84</v>
      </c>
      <c r="D46" s="644"/>
      <c r="E46" s="644"/>
      <c r="F46" s="644"/>
      <c r="G46" s="644"/>
      <c r="H46" s="644"/>
      <c r="I46" s="644"/>
      <c r="J46" s="645" t="s">
        <v>85</v>
      </c>
      <c r="K46" s="646"/>
      <c r="L46" s="646"/>
      <c r="M46" s="646" t="s">
        <v>86</v>
      </c>
      <c r="N46" s="647"/>
      <c r="O46" s="648">
        <v>1700</v>
      </c>
      <c r="P46" s="649"/>
      <c r="Q46" s="649"/>
      <c r="R46" s="650" t="s">
        <v>45</v>
      </c>
      <c r="S46" s="651"/>
      <c r="T46" s="652">
        <v>67</v>
      </c>
      <c r="U46" s="653"/>
      <c r="V46" s="653"/>
      <c r="W46" s="653"/>
      <c r="X46" s="654"/>
      <c r="Y46" s="27"/>
    </row>
    <row r="47" spans="1:25" s="28" customFormat="1" ht="21" customHeight="1">
      <c r="A47" s="23"/>
      <c r="B47" s="29"/>
      <c r="C47" s="83"/>
      <c r="D47" s="592" t="s">
        <v>71</v>
      </c>
      <c r="E47" s="593"/>
      <c r="F47" s="593"/>
      <c r="G47" s="593"/>
      <c r="H47" s="593"/>
      <c r="I47" s="610"/>
      <c r="J47" s="655"/>
      <c r="K47" s="656"/>
      <c r="L47" s="656"/>
      <c r="M47" s="656"/>
      <c r="N47" s="657"/>
      <c r="O47" s="635">
        <v>0</v>
      </c>
      <c r="P47" s="636"/>
      <c r="Q47" s="636"/>
      <c r="R47" s="637" t="s">
        <v>45</v>
      </c>
      <c r="S47" s="638"/>
      <c r="T47" s="639">
        <v>0</v>
      </c>
      <c r="U47" s="640"/>
      <c r="V47" s="640"/>
      <c r="W47" s="640"/>
      <c r="X47" s="641"/>
      <c r="Y47" s="27"/>
    </row>
    <row r="48" spans="1:25" s="28" customFormat="1" ht="21" customHeight="1">
      <c r="A48" s="23"/>
      <c r="B48" s="29"/>
      <c r="C48" s="83"/>
      <c r="D48" s="630"/>
      <c r="E48" s="631"/>
      <c r="F48" s="631"/>
      <c r="G48" s="631"/>
      <c r="H48" s="631"/>
      <c r="I48" s="631"/>
      <c r="J48" s="632"/>
      <c r="K48" s="633"/>
      <c r="L48" s="633"/>
      <c r="M48" s="633"/>
      <c r="N48" s="634"/>
      <c r="O48" s="635">
        <v>0</v>
      </c>
      <c r="P48" s="636"/>
      <c r="Q48" s="636"/>
      <c r="R48" s="637" t="s">
        <v>45</v>
      </c>
      <c r="S48" s="638"/>
      <c r="T48" s="639">
        <v>0</v>
      </c>
      <c r="U48" s="640"/>
      <c r="V48" s="640"/>
      <c r="W48" s="640"/>
      <c r="X48" s="641"/>
      <c r="Y48" s="27"/>
    </row>
    <row r="49" spans="1:25" s="28" customFormat="1" ht="21" customHeight="1">
      <c r="A49" s="23"/>
      <c r="B49" s="29"/>
      <c r="C49" s="84"/>
      <c r="D49" s="658"/>
      <c r="E49" s="659"/>
      <c r="F49" s="659"/>
      <c r="G49" s="659"/>
      <c r="H49" s="659"/>
      <c r="I49" s="659"/>
      <c r="J49" s="660"/>
      <c r="K49" s="661"/>
      <c r="L49" s="661"/>
      <c r="M49" s="661"/>
      <c r="N49" s="662"/>
      <c r="O49" s="663">
        <v>0</v>
      </c>
      <c r="P49" s="664"/>
      <c r="Q49" s="664"/>
      <c r="R49" s="665" t="s">
        <v>45</v>
      </c>
      <c r="S49" s="666"/>
      <c r="T49" s="667">
        <v>0</v>
      </c>
      <c r="U49" s="668"/>
      <c r="V49" s="668"/>
      <c r="W49" s="668"/>
      <c r="X49" s="669"/>
      <c r="Y49" s="27"/>
    </row>
    <row r="50" spans="1:25" s="28" customFormat="1" ht="21" customHeight="1">
      <c r="A50" s="23"/>
      <c r="B50" s="29"/>
      <c r="C50" s="25"/>
      <c r="D50" s="25"/>
      <c r="E50" s="78"/>
      <c r="F50" s="78"/>
      <c r="G50" s="78"/>
      <c r="H50" s="78"/>
      <c r="I50" s="78"/>
      <c r="J50" s="25"/>
      <c r="K50" s="25"/>
      <c r="L50" s="25"/>
      <c r="M50" s="25"/>
      <c r="N50" s="25"/>
      <c r="O50" s="25"/>
      <c r="P50" s="79"/>
      <c r="Q50" s="79"/>
      <c r="R50" s="79"/>
      <c r="S50" s="25"/>
      <c r="T50" s="79"/>
      <c r="U50" s="79"/>
      <c r="V50" s="79"/>
      <c r="W50" s="79"/>
      <c r="X50" s="79"/>
      <c r="Y50" s="27"/>
    </row>
    <row r="51" spans="1:25" s="28" customFormat="1" ht="21" customHeight="1">
      <c r="A51" s="23"/>
      <c r="B51" s="29"/>
      <c r="C51" s="25" t="s">
        <v>87</v>
      </c>
      <c r="D51" s="25"/>
      <c r="E51" s="642" t="s">
        <v>88</v>
      </c>
      <c r="F51" s="642"/>
      <c r="G51" s="642"/>
      <c r="H51" s="642"/>
      <c r="I51" s="642"/>
      <c r="J51" s="642"/>
      <c r="K51" s="642"/>
      <c r="L51" s="642"/>
      <c r="M51" s="642"/>
      <c r="N51" s="642"/>
      <c r="O51" s="642"/>
      <c r="P51" s="642"/>
      <c r="Q51" s="642"/>
      <c r="R51" s="642"/>
      <c r="S51" s="642"/>
      <c r="T51" s="642"/>
      <c r="U51" s="642"/>
      <c r="V51" s="642"/>
      <c r="W51" s="642"/>
      <c r="X51" s="642"/>
      <c r="Y51" s="27"/>
    </row>
    <row r="52" spans="1:25" s="28" customFormat="1" ht="21" customHeight="1">
      <c r="A52" s="23"/>
      <c r="B52" s="29"/>
      <c r="C52" s="643" t="s">
        <v>89</v>
      </c>
      <c r="D52" s="644"/>
      <c r="E52" s="644"/>
      <c r="F52" s="644"/>
      <c r="G52" s="644"/>
      <c r="H52" s="644"/>
      <c r="I52" s="644"/>
      <c r="J52" s="645" t="s">
        <v>90</v>
      </c>
      <c r="K52" s="646"/>
      <c r="L52" s="646"/>
      <c r="M52" s="646" t="s">
        <v>91</v>
      </c>
      <c r="N52" s="647"/>
      <c r="O52" s="648">
        <v>1900</v>
      </c>
      <c r="P52" s="649"/>
      <c r="Q52" s="649"/>
      <c r="R52" s="650" t="s">
        <v>45</v>
      </c>
      <c r="S52" s="651"/>
      <c r="T52" s="652">
        <v>25</v>
      </c>
      <c r="U52" s="653"/>
      <c r="V52" s="653"/>
      <c r="W52" s="653"/>
      <c r="X52" s="654"/>
      <c r="Y52" s="27"/>
    </row>
    <row r="53" spans="1:25" s="28" customFormat="1" ht="21" customHeight="1">
      <c r="A53" s="23"/>
      <c r="B53" s="29"/>
      <c r="C53" s="83"/>
      <c r="D53" s="592" t="s">
        <v>71</v>
      </c>
      <c r="E53" s="593"/>
      <c r="F53" s="593"/>
      <c r="G53" s="593"/>
      <c r="H53" s="593"/>
      <c r="I53" s="610"/>
      <c r="J53" s="655"/>
      <c r="K53" s="656"/>
      <c r="L53" s="656"/>
      <c r="M53" s="656"/>
      <c r="N53" s="657"/>
      <c r="O53" s="635">
        <v>0</v>
      </c>
      <c r="P53" s="636"/>
      <c r="Q53" s="636"/>
      <c r="R53" s="637" t="s">
        <v>45</v>
      </c>
      <c r="S53" s="638"/>
      <c r="T53" s="639">
        <v>0</v>
      </c>
      <c r="U53" s="640"/>
      <c r="V53" s="640"/>
      <c r="W53" s="640"/>
      <c r="X53" s="641"/>
      <c r="Y53" s="27"/>
    </row>
    <row r="54" spans="1:25" s="28" customFormat="1" ht="21" customHeight="1">
      <c r="A54" s="23"/>
      <c r="B54" s="29"/>
      <c r="C54" s="83"/>
      <c r="D54" s="630"/>
      <c r="E54" s="631"/>
      <c r="F54" s="631"/>
      <c r="G54" s="631"/>
      <c r="H54" s="631"/>
      <c r="I54" s="631"/>
      <c r="J54" s="632"/>
      <c r="K54" s="633"/>
      <c r="L54" s="633"/>
      <c r="M54" s="633"/>
      <c r="N54" s="634"/>
      <c r="O54" s="635">
        <v>0</v>
      </c>
      <c r="P54" s="636"/>
      <c r="Q54" s="636"/>
      <c r="R54" s="637" t="s">
        <v>45</v>
      </c>
      <c r="S54" s="638"/>
      <c r="T54" s="639">
        <v>0</v>
      </c>
      <c r="U54" s="640"/>
      <c r="V54" s="640"/>
      <c r="W54" s="640"/>
      <c r="X54" s="641"/>
      <c r="Y54" s="27"/>
    </row>
    <row r="55" spans="1:25" s="28" customFormat="1" ht="21" customHeight="1">
      <c r="A55" s="23"/>
      <c r="B55" s="29"/>
      <c r="C55" s="84"/>
      <c r="D55" s="658"/>
      <c r="E55" s="659"/>
      <c r="F55" s="659"/>
      <c r="G55" s="659"/>
      <c r="H55" s="659"/>
      <c r="I55" s="659"/>
      <c r="J55" s="660"/>
      <c r="K55" s="661"/>
      <c r="L55" s="661"/>
      <c r="M55" s="661"/>
      <c r="N55" s="662"/>
      <c r="O55" s="663">
        <v>0</v>
      </c>
      <c r="P55" s="664"/>
      <c r="Q55" s="664"/>
      <c r="R55" s="665" t="s">
        <v>45</v>
      </c>
      <c r="S55" s="666"/>
      <c r="T55" s="667">
        <v>0</v>
      </c>
      <c r="U55" s="668"/>
      <c r="V55" s="668"/>
      <c r="W55" s="668"/>
      <c r="X55" s="669"/>
      <c r="Y55" s="27"/>
    </row>
    <row r="56" spans="1:25" s="28" customFormat="1" ht="21" customHeight="1">
      <c r="A56" s="23"/>
      <c r="B56" s="29"/>
      <c r="C56" s="25"/>
      <c r="D56" s="25"/>
      <c r="E56" s="78"/>
      <c r="F56" s="78"/>
      <c r="G56" s="78"/>
      <c r="H56" s="78"/>
      <c r="I56" s="78"/>
      <c r="J56" s="25"/>
      <c r="K56" s="25"/>
      <c r="L56" s="25"/>
      <c r="M56" s="25"/>
      <c r="N56" s="25"/>
      <c r="O56" s="25"/>
      <c r="P56" s="79"/>
      <c r="Q56" s="79"/>
      <c r="R56" s="79"/>
      <c r="S56" s="25"/>
      <c r="T56" s="79"/>
      <c r="U56" s="79"/>
      <c r="V56" s="79"/>
      <c r="W56" s="79"/>
      <c r="X56" s="79"/>
      <c r="Y56" s="27"/>
    </row>
    <row r="57" spans="1:25" s="28" customFormat="1" ht="21" customHeight="1">
      <c r="A57" s="23"/>
      <c r="B57" s="29"/>
      <c r="C57" s="25" t="s">
        <v>92</v>
      </c>
      <c r="D57" s="25"/>
      <c r="E57" s="642" t="s">
        <v>93</v>
      </c>
      <c r="F57" s="642"/>
      <c r="G57" s="642"/>
      <c r="H57" s="642"/>
      <c r="I57" s="642"/>
      <c r="J57" s="642"/>
      <c r="K57" s="642"/>
      <c r="L57" s="642"/>
      <c r="M57" s="642"/>
      <c r="N57" s="642"/>
      <c r="O57" s="642"/>
      <c r="P57" s="642"/>
      <c r="Q57" s="642"/>
      <c r="R57" s="642"/>
      <c r="S57" s="642"/>
      <c r="T57" s="642"/>
      <c r="U57" s="642"/>
      <c r="V57" s="642"/>
      <c r="W57" s="642"/>
      <c r="X57" s="642"/>
      <c r="Y57" s="27"/>
    </row>
    <row r="58" spans="1:25" s="28" customFormat="1" ht="21" customHeight="1">
      <c r="A58" s="23"/>
      <c r="B58" s="29"/>
      <c r="C58" s="643" t="s">
        <v>94</v>
      </c>
      <c r="D58" s="644"/>
      <c r="E58" s="644"/>
      <c r="F58" s="644"/>
      <c r="G58" s="644"/>
      <c r="H58" s="644"/>
      <c r="I58" s="644"/>
      <c r="J58" s="645" t="s">
        <v>95</v>
      </c>
      <c r="K58" s="646"/>
      <c r="L58" s="646"/>
      <c r="M58" s="646" t="s">
        <v>96</v>
      </c>
      <c r="N58" s="647"/>
      <c r="O58" s="648">
        <v>2100</v>
      </c>
      <c r="P58" s="649"/>
      <c r="Q58" s="649"/>
      <c r="R58" s="650" t="s">
        <v>45</v>
      </c>
      <c r="S58" s="651"/>
      <c r="T58" s="652">
        <v>13</v>
      </c>
      <c r="U58" s="653"/>
      <c r="V58" s="653"/>
      <c r="W58" s="653"/>
      <c r="X58" s="654"/>
      <c r="Y58" s="27"/>
    </row>
    <row r="59" spans="1:25" s="28" customFormat="1" ht="21" customHeight="1">
      <c r="A59" s="23"/>
      <c r="B59" s="29"/>
      <c r="C59" s="83"/>
      <c r="D59" s="592" t="s">
        <v>71</v>
      </c>
      <c r="E59" s="593"/>
      <c r="F59" s="593"/>
      <c r="G59" s="593"/>
      <c r="H59" s="593"/>
      <c r="I59" s="610"/>
      <c r="J59" s="655"/>
      <c r="K59" s="656"/>
      <c r="L59" s="656"/>
      <c r="M59" s="656"/>
      <c r="N59" s="657"/>
      <c r="O59" s="635">
        <v>0</v>
      </c>
      <c r="P59" s="636"/>
      <c r="Q59" s="636"/>
      <c r="R59" s="637" t="s">
        <v>45</v>
      </c>
      <c r="S59" s="638"/>
      <c r="T59" s="639">
        <v>0</v>
      </c>
      <c r="U59" s="640"/>
      <c r="V59" s="640"/>
      <c r="W59" s="640"/>
      <c r="X59" s="641"/>
      <c r="Y59" s="27"/>
    </row>
    <row r="60" spans="1:25" s="28" customFormat="1" ht="21" customHeight="1">
      <c r="A60" s="23"/>
      <c r="B60" s="29"/>
      <c r="C60" s="83"/>
      <c r="D60" s="630"/>
      <c r="E60" s="631"/>
      <c r="F60" s="631"/>
      <c r="G60" s="631"/>
      <c r="H60" s="631"/>
      <c r="I60" s="631"/>
      <c r="J60" s="632"/>
      <c r="K60" s="633"/>
      <c r="L60" s="633"/>
      <c r="M60" s="633"/>
      <c r="N60" s="634"/>
      <c r="O60" s="635">
        <v>0</v>
      </c>
      <c r="P60" s="636"/>
      <c r="Q60" s="636"/>
      <c r="R60" s="637" t="s">
        <v>45</v>
      </c>
      <c r="S60" s="638"/>
      <c r="T60" s="639">
        <v>0</v>
      </c>
      <c r="U60" s="640"/>
      <c r="V60" s="640"/>
      <c r="W60" s="640"/>
      <c r="X60" s="641"/>
      <c r="Y60" s="27"/>
    </row>
    <row r="61" spans="1:25" s="28" customFormat="1" ht="21" customHeight="1">
      <c r="A61" s="23"/>
      <c r="B61" s="29"/>
      <c r="C61" s="84"/>
      <c r="D61" s="658"/>
      <c r="E61" s="659"/>
      <c r="F61" s="659"/>
      <c r="G61" s="659"/>
      <c r="H61" s="659"/>
      <c r="I61" s="659"/>
      <c r="J61" s="660"/>
      <c r="K61" s="661"/>
      <c r="L61" s="661"/>
      <c r="M61" s="661"/>
      <c r="N61" s="662"/>
      <c r="O61" s="663">
        <v>0</v>
      </c>
      <c r="P61" s="664"/>
      <c r="Q61" s="664"/>
      <c r="R61" s="665" t="s">
        <v>45</v>
      </c>
      <c r="S61" s="666"/>
      <c r="T61" s="667">
        <v>0</v>
      </c>
      <c r="U61" s="668"/>
      <c r="V61" s="668"/>
      <c r="W61" s="668"/>
      <c r="X61" s="669"/>
      <c r="Y61" s="27"/>
    </row>
    <row r="62" spans="1:25" s="28" customFormat="1" ht="21" customHeight="1">
      <c r="A62" s="23"/>
      <c r="B62" s="29"/>
      <c r="C62" s="25"/>
      <c r="D62" s="25"/>
      <c r="E62" s="78"/>
      <c r="F62" s="78"/>
      <c r="G62" s="78"/>
      <c r="H62" s="78"/>
      <c r="I62" s="78"/>
      <c r="J62" s="25"/>
      <c r="K62" s="25"/>
      <c r="L62" s="25"/>
      <c r="M62" s="25"/>
      <c r="N62" s="25"/>
      <c r="O62" s="25"/>
      <c r="P62" s="79"/>
      <c r="Q62" s="79"/>
      <c r="R62" s="79"/>
      <c r="S62" s="25"/>
      <c r="T62" s="79"/>
      <c r="U62" s="79"/>
      <c r="V62" s="79"/>
      <c r="W62" s="79"/>
      <c r="X62" s="79"/>
      <c r="Y62" s="27"/>
    </row>
    <row r="63" spans="1:25" s="28" customFormat="1" ht="21" customHeight="1">
      <c r="A63" s="23"/>
      <c r="B63" s="29"/>
      <c r="C63" s="25" t="s">
        <v>97</v>
      </c>
      <c r="D63" s="25"/>
      <c r="E63" s="642" t="s">
        <v>98</v>
      </c>
      <c r="F63" s="642"/>
      <c r="G63" s="642"/>
      <c r="H63" s="642"/>
      <c r="I63" s="642"/>
      <c r="J63" s="642"/>
      <c r="K63" s="642"/>
      <c r="L63" s="642"/>
      <c r="M63" s="642"/>
      <c r="N63" s="642"/>
      <c r="O63" s="642"/>
      <c r="P63" s="642"/>
      <c r="Q63" s="642"/>
      <c r="R63" s="642"/>
      <c r="S63" s="642"/>
      <c r="T63" s="642"/>
      <c r="U63" s="642"/>
      <c r="V63" s="642"/>
      <c r="W63" s="642"/>
      <c r="X63" s="642"/>
      <c r="Y63" s="27"/>
    </row>
    <row r="64" spans="1:25" s="28" customFormat="1" ht="21" customHeight="1">
      <c r="A64" s="23"/>
      <c r="B64" s="29"/>
      <c r="C64" s="643" t="s">
        <v>99</v>
      </c>
      <c r="D64" s="644"/>
      <c r="E64" s="644"/>
      <c r="F64" s="644"/>
      <c r="G64" s="644"/>
      <c r="H64" s="644"/>
      <c r="I64" s="644"/>
      <c r="J64" s="645" t="s">
        <v>100</v>
      </c>
      <c r="K64" s="646"/>
      <c r="L64" s="646"/>
      <c r="M64" s="646" t="s">
        <v>101</v>
      </c>
      <c r="N64" s="647"/>
      <c r="O64" s="648">
        <v>2300</v>
      </c>
      <c r="P64" s="649"/>
      <c r="Q64" s="649"/>
      <c r="R64" s="650" t="s">
        <v>45</v>
      </c>
      <c r="S64" s="651"/>
      <c r="T64" s="652">
        <v>7</v>
      </c>
      <c r="U64" s="653"/>
      <c r="V64" s="653"/>
      <c r="W64" s="653"/>
      <c r="X64" s="654"/>
      <c r="Y64" s="27"/>
    </row>
    <row r="65" spans="1:25" s="28" customFormat="1" ht="21" customHeight="1">
      <c r="A65" s="23"/>
      <c r="B65" s="29"/>
      <c r="C65" s="83"/>
      <c r="D65" s="592" t="s">
        <v>71</v>
      </c>
      <c r="E65" s="593"/>
      <c r="F65" s="593"/>
      <c r="G65" s="593"/>
      <c r="H65" s="593"/>
      <c r="I65" s="610"/>
      <c r="J65" s="655"/>
      <c r="K65" s="656"/>
      <c r="L65" s="656"/>
      <c r="M65" s="656"/>
      <c r="N65" s="657"/>
      <c r="O65" s="635">
        <v>0</v>
      </c>
      <c r="P65" s="636"/>
      <c r="Q65" s="636"/>
      <c r="R65" s="637" t="s">
        <v>45</v>
      </c>
      <c r="S65" s="638"/>
      <c r="T65" s="639">
        <v>0</v>
      </c>
      <c r="U65" s="640"/>
      <c r="V65" s="640"/>
      <c r="W65" s="640"/>
      <c r="X65" s="641"/>
      <c r="Y65" s="27"/>
    </row>
    <row r="66" spans="1:25" s="28" customFormat="1" ht="21" customHeight="1">
      <c r="A66" s="23"/>
      <c r="B66" s="29"/>
      <c r="C66" s="83"/>
      <c r="D66" s="630"/>
      <c r="E66" s="631"/>
      <c r="F66" s="631"/>
      <c r="G66" s="631"/>
      <c r="H66" s="631"/>
      <c r="I66" s="631"/>
      <c r="J66" s="632"/>
      <c r="K66" s="633"/>
      <c r="L66" s="633"/>
      <c r="M66" s="633"/>
      <c r="N66" s="634"/>
      <c r="O66" s="635">
        <v>0</v>
      </c>
      <c r="P66" s="636"/>
      <c r="Q66" s="636"/>
      <c r="R66" s="637" t="s">
        <v>45</v>
      </c>
      <c r="S66" s="638"/>
      <c r="T66" s="639">
        <v>0</v>
      </c>
      <c r="U66" s="640"/>
      <c r="V66" s="640"/>
      <c r="W66" s="640"/>
      <c r="X66" s="641"/>
      <c r="Y66" s="27"/>
    </row>
    <row r="67" spans="1:25" s="28" customFormat="1" ht="21" customHeight="1">
      <c r="A67" s="23"/>
      <c r="B67" s="29"/>
      <c r="C67" s="84"/>
      <c r="D67" s="658"/>
      <c r="E67" s="659"/>
      <c r="F67" s="659"/>
      <c r="G67" s="659"/>
      <c r="H67" s="659"/>
      <c r="I67" s="659"/>
      <c r="J67" s="660"/>
      <c r="K67" s="661"/>
      <c r="L67" s="661"/>
      <c r="M67" s="661"/>
      <c r="N67" s="662"/>
      <c r="O67" s="663">
        <v>0</v>
      </c>
      <c r="P67" s="664"/>
      <c r="Q67" s="664"/>
      <c r="R67" s="665" t="s">
        <v>45</v>
      </c>
      <c r="S67" s="666"/>
      <c r="T67" s="667">
        <v>0</v>
      </c>
      <c r="U67" s="668"/>
      <c r="V67" s="668"/>
      <c r="W67" s="668"/>
      <c r="X67" s="669"/>
      <c r="Y67" s="27"/>
    </row>
    <row r="68" spans="1:25" s="28" customFormat="1" ht="21" customHeight="1">
      <c r="A68" s="23"/>
      <c r="B68" s="29"/>
      <c r="C68" s="25"/>
      <c r="D68" s="25"/>
      <c r="E68" s="78"/>
      <c r="F68" s="78"/>
      <c r="G68" s="78"/>
      <c r="H68" s="78"/>
      <c r="I68" s="78"/>
      <c r="J68" s="25"/>
      <c r="K68" s="25"/>
      <c r="L68" s="25"/>
      <c r="M68" s="25"/>
      <c r="N68" s="25"/>
      <c r="O68" s="25"/>
      <c r="P68" s="79"/>
      <c r="Q68" s="79"/>
      <c r="R68" s="79"/>
      <c r="S68" s="25"/>
      <c r="T68" s="79"/>
      <c r="U68" s="79"/>
      <c r="V68" s="79"/>
      <c r="W68" s="79"/>
      <c r="X68" s="79"/>
      <c r="Y68" s="27"/>
    </row>
    <row r="69" spans="1:25" s="28" customFormat="1" ht="21" customHeight="1">
      <c r="A69" s="23"/>
      <c r="B69" s="29"/>
      <c r="C69" s="25" t="s">
        <v>102</v>
      </c>
      <c r="D69" s="25"/>
      <c r="E69" s="642" t="s">
        <v>103</v>
      </c>
      <c r="F69" s="642"/>
      <c r="G69" s="642"/>
      <c r="H69" s="642"/>
      <c r="I69" s="642"/>
      <c r="J69" s="642"/>
      <c r="K69" s="642"/>
      <c r="L69" s="642"/>
      <c r="M69" s="642"/>
      <c r="N69" s="642"/>
      <c r="O69" s="642"/>
      <c r="P69" s="642"/>
      <c r="Q69" s="642"/>
      <c r="R69" s="642"/>
      <c r="S69" s="642"/>
      <c r="T69" s="642"/>
      <c r="U69" s="642"/>
      <c r="V69" s="642"/>
      <c r="W69" s="642"/>
      <c r="X69" s="642"/>
      <c r="Y69" s="27"/>
    </row>
    <row r="70" spans="1:25" s="28" customFormat="1" ht="21" customHeight="1">
      <c r="A70" s="23"/>
      <c r="B70" s="29"/>
      <c r="C70" s="643" t="s">
        <v>104</v>
      </c>
      <c r="D70" s="644"/>
      <c r="E70" s="644"/>
      <c r="F70" s="644"/>
      <c r="G70" s="644"/>
      <c r="H70" s="644"/>
      <c r="I70" s="644"/>
      <c r="J70" s="645" t="s">
        <v>105</v>
      </c>
      <c r="K70" s="646"/>
      <c r="L70" s="646"/>
      <c r="M70" s="646" t="s">
        <v>106</v>
      </c>
      <c r="N70" s="647"/>
      <c r="O70" s="648">
        <v>2400</v>
      </c>
      <c r="P70" s="649"/>
      <c r="Q70" s="649"/>
      <c r="R70" s="650" t="s">
        <v>45</v>
      </c>
      <c r="S70" s="651"/>
      <c r="T70" s="652">
        <v>31</v>
      </c>
      <c r="U70" s="653"/>
      <c r="V70" s="653"/>
      <c r="W70" s="653"/>
      <c r="X70" s="654"/>
      <c r="Y70" s="27"/>
    </row>
    <row r="71" spans="1:25" s="28" customFormat="1" ht="21" customHeight="1">
      <c r="A71" s="23"/>
      <c r="B71" s="29"/>
      <c r="C71" s="83"/>
      <c r="D71" s="592" t="s">
        <v>71</v>
      </c>
      <c r="E71" s="593"/>
      <c r="F71" s="593"/>
      <c r="G71" s="593"/>
      <c r="H71" s="593"/>
      <c r="I71" s="610"/>
      <c r="J71" s="655"/>
      <c r="K71" s="656"/>
      <c r="L71" s="656"/>
      <c r="M71" s="656"/>
      <c r="N71" s="657"/>
      <c r="O71" s="635">
        <v>0</v>
      </c>
      <c r="P71" s="636"/>
      <c r="Q71" s="636"/>
      <c r="R71" s="637" t="s">
        <v>45</v>
      </c>
      <c r="S71" s="638"/>
      <c r="T71" s="639">
        <v>0</v>
      </c>
      <c r="U71" s="640"/>
      <c r="V71" s="640"/>
      <c r="W71" s="640"/>
      <c r="X71" s="641"/>
      <c r="Y71" s="27"/>
    </row>
    <row r="72" spans="1:25" s="28" customFormat="1" ht="21" customHeight="1">
      <c r="A72" s="23"/>
      <c r="B72" s="29"/>
      <c r="C72" s="83"/>
      <c r="D72" s="630"/>
      <c r="E72" s="631"/>
      <c r="F72" s="631"/>
      <c r="G72" s="631"/>
      <c r="H72" s="631"/>
      <c r="I72" s="631"/>
      <c r="J72" s="632"/>
      <c r="K72" s="633"/>
      <c r="L72" s="633"/>
      <c r="M72" s="633"/>
      <c r="N72" s="634"/>
      <c r="O72" s="635">
        <v>0</v>
      </c>
      <c r="P72" s="636"/>
      <c r="Q72" s="636"/>
      <c r="R72" s="637" t="s">
        <v>45</v>
      </c>
      <c r="S72" s="638"/>
      <c r="T72" s="639">
        <v>0</v>
      </c>
      <c r="U72" s="640"/>
      <c r="V72" s="640"/>
      <c r="W72" s="640"/>
      <c r="X72" s="641"/>
      <c r="Y72" s="27"/>
    </row>
    <row r="73" spans="1:25" s="28" customFormat="1" ht="21" customHeight="1">
      <c r="A73" s="23"/>
      <c r="B73" s="29"/>
      <c r="C73" s="83"/>
      <c r="D73" s="630"/>
      <c r="E73" s="631"/>
      <c r="F73" s="631"/>
      <c r="G73" s="631"/>
      <c r="H73" s="631"/>
      <c r="I73" s="631"/>
      <c r="J73" s="632"/>
      <c r="K73" s="633"/>
      <c r="L73" s="633"/>
      <c r="M73" s="633"/>
      <c r="N73" s="634"/>
      <c r="O73" s="635">
        <v>0</v>
      </c>
      <c r="P73" s="636"/>
      <c r="Q73" s="636"/>
      <c r="R73" s="637" t="s">
        <v>45</v>
      </c>
      <c r="S73" s="638"/>
      <c r="T73" s="639">
        <v>0</v>
      </c>
      <c r="U73" s="640"/>
      <c r="V73" s="640"/>
      <c r="W73" s="640"/>
      <c r="X73" s="641"/>
      <c r="Y73" s="27"/>
    </row>
    <row r="74" spans="1:25" s="28" customFormat="1" ht="21" customHeight="1">
      <c r="A74" s="23"/>
      <c r="B74" s="29"/>
      <c r="C74" s="83"/>
      <c r="D74" s="630"/>
      <c r="E74" s="631"/>
      <c r="F74" s="631"/>
      <c r="G74" s="631"/>
      <c r="H74" s="631"/>
      <c r="I74" s="631"/>
      <c r="J74" s="632"/>
      <c r="K74" s="633"/>
      <c r="L74" s="633"/>
      <c r="M74" s="633"/>
      <c r="N74" s="634"/>
      <c r="O74" s="635">
        <v>0</v>
      </c>
      <c r="P74" s="636"/>
      <c r="Q74" s="636"/>
      <c r="R74" s="637" t="s">
        <v>45</v>
      </c>
      <c r="S74" s="638"/>
      <c r="T74" s="639">
        <v>0</v>
      </c>
      <c r="U74" s="640"/>
      <c r="V74" s="640"/>
      <c r="W74" s="640"/>
      <c r="X74" s="641"/>
      <c r="Y74" s="27"/>
    </row>
    <row r="75" spans="1:25" s="28" customFormat="1" ht="21" customHeight="1">
      <c r="A75" s="23"/>
      <c r="B75" s="29"/>
      <c r="C75" s="83"/>
      <c r="D75" s="630"/>
      <c r="E75" s="631"/>
      <c r="F75" s="631"/>
      <c r="G75" s="631"/>
      <c r="H75" s="631"/>
      <c r="I75" s="631"/>
      <c r="J75" s="632"/>
      <c r="K75" s="633"/>
      <c r="L75" s="633"/>
      <c r="M75" s="633"/>
      <c r="N75" s="634"/>
      <c r="O75" s="635">
        <v>0</v>
      </c>
      <c r="P75" s="636"/>
      <c r="Q75" s="636"/>
      <c r="R75" s="637" t="s">
        <v>45</v>
      </c>
      <c r="S75" s="638"/>
      <c r="T75" s="639">
        <v>0</v>
      </c>
      <c r="U75" s="640"/>
      <c r="V75" s="640"/>
      <c r="W75" s="640"/>
      <c r="X75" s="641"/>
      <c r="Y75" s="27"/>
    </row>
    <row r="76" spans="1:25" s="28" customFormat="1" ht="21" customHeight="1">
      <c r="A76" s="23"/>
      <c r="B76" s="29"/>
      <c r="C76" s="83"/>
      <c r="D76" s="630"/>
      <c r="E76" s="631"/>
      <c r="F76" s="631"/>
      <c r="G76" s="631"/>
      <c r="H76" s="631"/>
      <c r="I76" s="631"/>
      <c r="J76" s="632"/>
      <c r="K76" s="633"/>
      <c r="L76" s="633"/>
      <c r="M76" s="633"/>
      <c r="N76" s="634"/>
      <c r="O76" s="635">
        <v>0</v>
      </c>
      <c r="P76" s="636"/>
      <c r="Q76" s="636"/>
      <c r="R76" s="637" t="s">
        <v>45</v>
      </c>
      <c r="S76" s="638"/>
      <c r="T76" s="639">
        <v>0</v>
      </c>
      <c r="U76" s="640"/>
      <c r="V76" s="640"/>
      <c r="W76" s="640"/>
      <c r="X76" s="641"/>
      <c r="Y76" s="27"/>
    </row>
    <row r="77" spans="1:25" s="28" customFormat="1" ht="21" customHeight="1">
      <c r="A77" s="23"/>
      <c r="B77" s="29"/>
      <c r="C77" s="83"/>
      <c r="D77" s="630"/>
      <c r="E77" s="631"/>
      <c r="F77" s="631"/>
      <c r="G77" s="631"/>
      <c r="H77" s="631"/>
      <c r="I77" s="631"/>
      <c r="J77" s="632"/>
      <c r="K77" s="633"/>
      <c r="L77" s="633"/>
      <c r="M77" s="633"/>
      <c r="N77" s="634"/>
      <c r="O77" s="635">
        <v>0</v>
      </c>
      <c r="P77" s="636"/>
      <c r="Q77" s="636"/>
      <c r="R77" s="637" t="s">
        <v>45</v>
      </c>
      <c r="S77" s="638"/>
      <c r="T77" s="639">
        <v>0</v>
      </c>
      <c r="U77" s="640"/>
      <c r="V77" s="640"/>
      <c r="W77" s="640"/>
      <c r="X77" s="641"/>
      <c r="Y77" s="27"/>
    </row>
    <row r="78" spans="1:25" s="28" customFormat="1" ht="21" customHeight="1">
      <c r="A78" s="23"/>
      <c r="B78" s="29"/>
      <c r="C78" s="83"/>
      <c r="D78" s="630"/>
      <c r="E78" s="631"/>
      <c r="F78" s="631"/>
      <c r="G78" s="631"/>
      <c r="H78" s="631"/>
      <c r="I78" s="631"/>
      <c r="J78" s="632"/>
      <c r="K78" s="633"/>
      <c r="L78" s="633"/>
      <c r="M78" s="633"/>
      <c r="N78" s="634"/>
      <c r="O78" s="635">
        <v>0</v>
      </c>
      <c r="P78" s="636"/>
      <c r="Q78" s="636"/>
      <c r="R78" s="637" t="s">
        <v>45</v>
      </c>
      <c r="S78" s="638"/>
      <c r="T78" s="639">
        <v>0</v>
      </c>
      <c r="U78" s="640"/>
      <c r="V78" s="640"/>
      <c r="W78" s="640"/>
      <c r="X78" s="641"/>
      <c r="Y78" s="27"/>
    </row>
    <row r="79" spans="1:25" s="28" customFormat="1" ht="21" customHeight="1">
      <c r="A79" s="23"/>
      <c r="B79" s="29"/>
      <c r="C79" s="83"/>
      <c r="D79" s="630"/>
      <c r="E79" s="631"/>
      <c r="F79" s="631"/>
      <c r="G79" s="631"/>
      <c r="H79" s="631"/>
      <c r="I79" s="631"/>
      <c r="J79" s="632"/>
      <c r="K79" s="633"/>
      <c r="L79" s="633"/>
      <c r="M79" s="633"/>
      <c r="N79" s="634"/>
      <c r="O79" s="635">
        <v>0</v>
      </c>
      <c r="P79" s="636"/>
      <c r="Q79" s="636"/>
      <c r="R79" s="637" t="s">
        <v>45</v>
      </c>
      <c r="S79" s="638"/>
      <c r="T79" s="639">
        <v>0</v>
      </c>
      <c r="U79" s="640"/>
      <c r="V79" s="640"/>
      <c r="W79" s="640"/>
      <c r="X79" s="641"/>
      <c r="Y79" s="27"/>
    </row>
    <row r="80" spans="1:25" s="28" customFormat="1" ht="21" customHeight="1">
      <c r="A80" s="23"/>
      <c r="B80" s="29"/>
      <c r="C80" s="83"/>
      <c r="D80" s="630"/>
      <c r="E80" s="631"/>
      <c r="F80" s="631"/>
      <c r="G80" s="631"/>
      <c r="H80" s="631"/>
      <c r="I80" s="631"/>
      <c r="J80" s="632"/>
      <c r="K80" s="633"/>
      <c r="L80" s="633"/>
      <c r="M80" s="633"/>
      <c r="N80" s="634"/>
      <c r="O80" s="635">
        <v>0</v>
      </c>
      <c r="P80" s="636"/>
      <c r="Q80" s="636"/>
      <c r="R80" s="637" t="s">
        <v>45</v>
      </c>
      <c r="S80" s="638"/>
      <c r="T80" s="639">
        <v>0</v>
      </c>
      <c r="U80" s="640"/>
      <c r="V80" s="640"/>
      <c r="W80" s="640"/>
      <c r="X80" s="641"/>
      <c r="Y80" s="27"/>
    </row>
    <row r="81" spans="1:25" s="28" customFormat="1" ht="21" customHeight="1">
      <c r="A81" s="23"/>
      <c r="B81" s="29"/>
      <c r="C81" s="83"/>
      <c r="D81" s="630"/>
      <c r="E81" s="631"/>
      <c r="F81" s="631"/>
      <c r="G81" s="631"/>
      <c r="H81" s="631"/>
      <c r="I81" s="631"/>
      <c r="J81" s="632"/>
      <c r="K81" s="633"/>
      <c r="L81" s="633"/>
      <c r="M81" s="633"/>
      <c r="N81" s="634"/>
      <c r="O81" s="635">
        <v>0</v>
      </c>
      <c r="P81" s="636"/>
      <c r="Q81" s="636"/>
      <c r="R81" s="637" t="s">
        <v>45</v>
      </c>
      <c r="S81" s="638"/>
      <c r="T81" s="639">
        <v>0</v>
      </c>
      <c r="U81" s="640"/>
      <c r="V81" s="640"/>
      <c r="W81" s="640"/>
      <c r="X81" s="641"/>
      <c r="Y81" s="27"/>
    </row>
    <row r="82" spans="1:25" s="28" customFormat="1" ht="21" customHeight="1">
      <c r="A82" s="23"/>
      <c r="B82" s="29"/>
      <c r="C82" s="83"/>
      <c r="D82" s="630"/>
      <c r="E82" s="631"/>
      <c r="F82" s="631"/>
      <c r="G82" s="631"/>
      <c r="H82" s="631"/>
      <c r="I82" s="670"/>
      <c r="J82" s="671"/>
      <c r="K82" s="672"/>
      <c r="L82" s="672"/>
      <c r="M82" s="672"/>
      <c r="N82" s="673"/>
      <c r="O82" s="635">
        <v>0</v>
      </c>
      <c r="P82" s="636"/>
      <c r="Q82" s="636"/>
      <c r="R82" s="637" t="s">
        <v>45</v>
      </c>
      <c r="S82" s="638"/>
      <c r="T82" s="639">
        <v>0</v>
      </c>
      <c r="U82" s="640"/>
      <c r="V82" s="640"/>
      <c r="W82" s="640"/>
      <c r="X82" s="641"/>
      <c r="Y82" s="27"/>
    </row>
    <row r="83" spans="1:25" s="28" customFormat="1" ht="21" customHeight="1">
      <c r="A83" s="23"/>
      <c r="B83" s="25"/>
      <c r="C83" s="84"/>
      <c r="D83" s="658"/>
      <c r="E83" s="659"/>
      <c r="F83" s="659"/>
      <c r="G83" s="659"/>
      <c r="H83" s="659"/>
      <c r="I83" s="682"/>
      <c r="J83" s="683"/>
      <c r="K83" s="684"/>
      <c r="L83" s="684"/>
      <c r="M83" s="684"/>
      <c r="N83" s="685"/>
      <c r="O83" s="663">
        <v>0</v>
      </c>
      <c r="P83" s="664"/>
      <c r="Q83" s="664"/>
      <c r="R83" s="665" t="s">
        <v>45</v>
      </c>
      <c r="S83" s="666"/>
      <c r="T83" s="667">
        <v>0</v>
      </c>
      <c r="U83" s="668"/>
      <c r="V83" s="668"/>
      <c r="W83" s="668"/>
      <c r="X83" s="669"/>
      <c r="Y83" s="27"/>
    </row>
    <row r="84" spans="1:25" s="28" customFormat="1" ht="21" customHeight="1">
      <c r="A84" s="23"/>
      <c r="B84" s="25"/>
      <c r="C84" s="25"/>
      <c r="D84" s="85"/>
      <c r="E84" s="25"/>
      <c r="F84" s="25"/>
      <c r="G84" s="25"/>
      <c r="H84" s="25"/>
      <c r="I84" s="25"/>
      <c r="J84" s="78"/>
      <c r="K84" s="78"/>
      <c r="L84" s="78"/>
      <c r="M84" s="78"/>
      <c r="N84" s="78"/>
      <c r="O84" s="78"/>
      <c r="P84" s="25"/>
      <c r="Q84" s="25"/>
      <c r="R84" s="25"/>
      <c r="S84" s="25"/>
      <c r="T84" s="25"/>
      <c r="U84" s="25"/>
      <c r="V84" s="25"/>
      <c r="W84" s="25"/>
      <c r="X84" s="79"/>
      <c r="Y84" s="27"/>
    </row>
    <row r="85" spans="1:25" s="28" customFormat="1" ht="21" customHeight="1">
      <c r="A85" s="23"/>
      <c r="B85" s="25"/>
      <c r="C85" s="25" t="s">
        <v>107</v>
      </c>
      <c r="D85" s="79"/>
      <c r="E85" s="79"/>
      <c r="F85" s="79"/>
      <c r="G85" s="79"/>
      <c r="H85" s="79"/>
      <c r="I85" s="79"/>
      <c r="J85" s="25"/>
      <c r="K85" s="86"/>
      <c r="L85" s="86"/>
      <c r="M85" s="79"/>
      <c r="N85" s="79"/>
      <c r="O85" s="79"/>
      <c r="P85" s="25"/>
      <c r="Q85" s="25"/>
      <c r="R85" s="25"/>
      <c r="S85" s="25"/>
      <c r="T85" s="25"/>
      <c r="U85" s="25"/>
      <c r="V85" s="25"/>
      <c r="W85" s="25"/>
      <c r="X85" s="79"/>
      <c r="Y85" s="27"/>
    </row>
    <row r="86" spans="1:25" s="28" customFormat="1" ht="21" customHeight="1">
      <c r="A86" s="23"/>
      <c r="B86" s="25"/>
      <c r="C86" s="674">
        <v>6500</v>
      </c>
      <c r="D86" s="675"/>
      <c r="E86" s="676"/>
      <c r="F86" s="87"/>
      <c r="G86" s="88" t="s">
        <v>108</v>
      </c>
      <c r="H86" s="89"/>
      <c r="I86" s="79"/>
      <c r="J86" s="79"/>
      <c r="K86" s="79"/>
      <c r="L86" s="79"/>
      <c r="M86" s="79"/>
      <c r="N86" s="79"/>
      <c r="O86" s="677" t="s">
        <v>109</v>
      </c>
      <c r="P86" s="677"/>
      <c r="Q86" s="677"/>
      <c r="R86" s="677"/>
      <c r="S86" s="678"/>
      <c r="T86" s="679">
        <f>SUM(T13,T16,T19,T22,T25,T28,T29,T30,T31,T34,T35,T36,T37,T40,T41,T42,T43,T46,T47,T48,T49,T52,T53,T54,T55,T58,T59,T60,T61,T64,T65,T66,T67,T70,T71,T72,T73,T74,T75,T76,T77,T78,T79,T80,T81,T82,T83)</f>
        <v>3261</v>
      </c>
      <c r="U86" s="680"/>
      <c r="V86" s="680"/>
      <c r="W86" s="680"/>
      <c r="X86" s="681"/>
      <c r="Y86" s="27"/>
    </row>
    <row r="87" spans="1:25" s="28" customFormat="1" ht="12" customHeight="1">
      <c r="A87" s="23"/>
      <c r="B87" s="25"/>
      <c r="C87" s="29"/>
      <c r="D87" s="34"/>
      <c r="E87" s="34"/>
      <c r="F87" s="36"/>
      <c r="G87" s="29"/>
      <c r="H87" s="36"/>
      <c r="I87" s="29"/>
      <c r="J87" s="25"/>
      <c r="K87" s="27"/>
      <c r="L87" s="27"/>
      <c r="M87" s="27"/>
      <c r="N87" s="27"/>
      <c r="O87" s="27"/>
      <c r="P87" s="27"/>
      <c r="Q87" s="27"/>
      <c r="R87" s="27"/>
      <c r="S87" s="27"/>
      <c r="T87" s="27"/>
      <c r="U87" s="27"/>
      <c r="V87" s="27"/>
      <c r="W87" s="27"/>
      <c r="X87" s="27"/>
      <c r="Y87" s="27"/>
    </row>
  </sheetData>
  <mergeCells count="308">
    <mergeCell ref="D43:I43"/>
    <mergeCell ref="J43:L43"/>
    <mergeCell ref="M43:N43"/>
    <mergeCell ref="O43:Q43"/>
    <mergeCell ref="R43:S43"/>
    <mergeCell ref="T43:X43"/>
    <mergeCell ref="D42:I42"/>
    <mergeCell ref="J42:L42"/>
    <mergeCell ref="M42:N42"/>
    <mergeCell ref="O42:Q42"/>
    <mergeCell ref="R42:S42"/>
    <mergeCell ref="T42:X42"/>
    <mergeCell ref="D41:I41"/>
    <mergeCell ref="J41:L41"/>
    <mergeCell ref="M41:N41"/>
    <mergeCell ref="O41:Q41"/>
    <mergeCell ref="R41:S41"/>
    <mergeCell ref="T41:X41"/>
    <mergeCell ref="E39:X39"/>
    <mergeCell ref="C40:I40"/>
    <mergeCell ref="J40:L40"/>
    <mergeCell ref="M40:N40"/>
    <mergeCell ref="O40:Q40"/>
    <mergeCell ref="R40:S40"/>
    <mergeCell ref="T40:X40"/>
    <mergeCell ref="D37:I37"/>
    <mergeCell ref="J37:L37"/>
    <mergeCell ref="M37:N37"/>
    <mergeCell ref="O37:Q37"/>
    <mergeCell ref="R37:S37"/>
    <mergeCell ref="T37:X37"/>
    <mergeCell ref="D36:I36"/>
    <mergeCell ref="J36:L36"/>
    <mergeCell ref="M36:N36"/>
    <mergeCell ref="O36:Q36"/>
    <mergeCell ref="R36:S36"/>
    <mergeCell ref="T36:X36"/>
    <mergeCell ref="D35:I35"/>
    <mergeCell ref="J35:L35"/>
    <mergeCell ref="M35:N35"/>
    <mergeCell ref="O35:Q35"/>
    <mergeCell ref="R35:S35"/>
    <mergeCell ref="T35:X35"/>
    <mergeCell ref="E33:X33"/>
    <mergeCell ref="C34:I34"/>
    <mergeCell ref="J34:L34"/>
    <mergeCell ref="M34:N34"/>
    <mergeCell ref="O34:Q34"/>
    <mergeCell ref="R34:S34"/>
    <mergeCell ref="T34:X34"/>
    <mergeCell ref="D31:I31"/>
    <mergeCell ref="J31:L31"/>
    <mergeCell ref="M31:N31"/>
    <mergeCell ref="O31:Q31"/>
    <mergeCell ref="R31:S31"/>
    <mergeCell ref="T31:X31"/>
    <mergeCell ref="D30:I30"/>
    <mergeCell ref="J30:L30"/>
    <mergeCell ref="M30:N30"/>
    <mergeCell ref="O30:Q30"/>
    <mergeCell ref="R30:S30"/>
    <mergeCell ref="T30:X30"/>
    <mergeCell ref="D29:I29"/>
    <mergeCell ref="J29:L29"/>
    <mergeCell ref="M29:N29"/>
    <mergeCell ref="O29:Q29"/>
    <mergeCell ref="R29:S29"/>
    <mergeCell ref="T29:X29"/>
    <mergeCell ref="E27:X27"/>
    <mergeCell ref="C28:I28"/>
    <mergeCell ref="J28:L28"/>
    <mergeCell ref="M28:N28"/>
    <mergeCell ref="O28:Q28"/>
    <mergeCell ref="R28:S28"/>
    <mergeCell ref="T28:X28"/>
    <mergeCell ref="E24:X24"/>
    <mergeCell ref="C25:I25"/>
    <mergeCell ref="J25:L25"/>
    <mergeCell ref="M25:N25"/>
    <mergeCell ref="O25:Q25"/>
    <mergeCell ref="R25:S25"/>
    <mergeCell ref="T25:X25"/>
    <mergeCell ref="E21:X21"/>
    <mergeCell ref="C22:I22"/>
    <mergeCell ref="J22:L22"/>
    <mergeCell ref="M22:N22"/>
    <mergeCell ref="O22:Q22"/>
    <mergeCell ref="R22:S22"/>
    <mergeCell ref="T22:X22"/>
    <mergeCell ref="C13:I13"/>
    <mergeCell ref="J13:L13"/>
    <mergeCell ref="M13:N13"/>
    <mergeCell ref="O13:Q13"/>
    <mergeCell ref="R13:S13"/>
    <mergeCell ref="E18:X18"/>
    <mergeCell ref="C19:I19"/>
    <mergeCell ref="J19:L19"/>
    <mergeCell ref="M19:N19"/>
    <mergeCell ref="O19:Q19"/>
    <mergeCell ref="R19:S19"/>
    <mergeCell ref="T19:X19"/>
    <mergeCell ref="T13:X13"/>
    <mergeCell ref="E15:X15"/>
    <mergeCell ref="C16:I16"/>
    <mergeCell ref="J16:L16"/>
    <mergeCell ref="M16:N16"/>
    <mergeCell ref="O16:Q16"/>
    <mergeCell ref="R16:S16"/>
    <mergeCell ref="T16:X16"/>
    <mergeCell ref="A3:Y3"/>
    <mergeCell ref="A4:Y4"/>
    <mergeCell ref="Q5:T5"/>
    <mergeCell ref="U5:X5"/>
    <mergeCell ref="Q6:T6"/>
    <mergeCell ref="U6:X6"/>
    <mergeCell ref="E10:X10"/>
    <mergeCell ref="C11:I12"/>
    <mergeCell ref="J11:N12"/>
    <mergeCell ref="O11:S12"/>
    <mergeCell ref="T11:X12"/>
    <mergeCell ref="C86:E86"/>
    <mergeCell ref="O86:S86"/>
    <mergeCell ref="T86:X86"/>
    <mergeCell ref="D83:I83"/>
    <mergeCell ref="J83:L83"/>
    <mergeCell ref="M83:N83"/>
    <mergeCell ref="O83:Q83"/>
    <mergeCell ref="R83:S83"/>
    <mergeCell ref="T83:X83"/>
    <mergeCell ref="D82:I82"/>
    <mergeCell ref="J82:L82"/>
    <mergeCell ref="M82:N82"/>
    <mergeCell ref="O82:Q82"/>
    <mergeCell ref="R82:S82"/>
    <mergeCell ref="T82:X82"/>
    <mergeCell ref="D49:I49"/>
    <mergeCell ref="J49:L49"/>
    <mergeCell ref="M49:N49"/>
    <mergeCell ref="O49:Q49"/>
    <mergeCell ref="R49:S49"/>
    <mergeCell ref="T49:X49"/>
    <mergeCell ref="T53:X53"/>
    <mergeCell ref="E51:X51"/>
    <mergeCell ref="C52:I52"/>
    <mergeCell ref="J52:L52"/>
    <mergeCell ref="M52:N52"/>
    <mergeCell ref="O52:Q52"/>
    <mergeCell ref="R52:S52"/>
    <mergeCell ref="T52:X52"/>
    <mergeCell ref="D61:I61"/>
    <mergeCell ref="J61:L61"/>
    <mergeCell ref="M61:N61"/>
    <mergeCell ref="O61:Q61"/>
    <mergeCell ref="D48:I48"/>
    <mergeCell ref="J48:L48"/>
    <mergeCell ref="M48:N48"/>
    <mergeCell ref="O48:Q48"/>
    <mergeCell ref="R48:S48"/>
    <mergeCell ref="T48:X48"/>
    <mergeCell ref="D47:I47"/>
    <mergeCell ref="J47:L47"/>
    <mergeCell ref="M47:N47"/>
    <mergeCell ref="O47:Q47"/>
    <mergeCell ref="R47:S47"/>
    <mergeCell ref="T47:X47"/>
    <mergeCell ref="E45:X45"/>
    <mergeCell ref="C46:I46"/>
    <mergeCell ref="J46:L46"/>
    <mergeCell ref="M46:N46"/>
    <mergeCell ref="O46:Q46"/>
    <mergeCell ref="R46:S46"/>
    <mergeCell ref="T46:X46"/>
    <mergeCell ref="D55:I55"/>
    <mergeCell ref="J55:L55"/>
    <mergeCell ref="M55:N55"/>
    <mergeCell ref="O55:Q55"/>
    <mergeCell ref="R55:S55"/>
    <mergeCell ref="T55:X55"/>
    <mergeCell ref="D54:I54"/>
    <mergeCell ref="J54:L54"/>
    <mergeCell ref="M54:N54"/>
    <mergeCell ref="O54:Q54"/>
    <mergeCell ref="R54:S54"/>
    <mergeCell ref="T54:X54"/>
    <mergeCell ref="D53:I53"/>
    <mergeCell ref="J53:L53"/>
    <mergeCell ref="M53:N53"/>
    <mergeCell ref="O53:Q53"/>
    <mergeCell ref="R53:S53"/>
    <mergeCell ref="R61:S61"/>
    <mergeCell ref="T61:X61"/>
    <mergeCell ref="D60:I60"/>
    <mergeCell ref="J60:L60"/>
    <mergeCell ref="M60:N60"/>
    <mergeCell ref="O60:Q60"/>
    <mergeCell ref="R60:S60"/>
    <mergeCell ref="T60:X60"/>
    <mergeCell ref="D59:I59"/>
    <mergeCell ref="J59:L59"/>
    <mergeCell ref="M59:N59"/>
    <mergeCell ref="O59:Q59"/>
    <mergeCell ref="R59:S59"/>
    <mergeCell ref="T59:X59"/>
    <mergeCell ref="E57:X57"/>
    <mergeCell ref="C58:I58"/>
    <mergeCell ref="J58:L58"/>
    <mergeCell ref="M58:N58"/>
    <mergeCell ref="O58:Q58"/>
    <mergeCell ref="R58:S58"/>
    <mergeCell ref="T58:X58"/>
    <mergeCell ref="D67:I67"/>
    <mergeCell ref="J67:L67"/>
    <mergeCell ref="M67:N67"/>
    <mergeCell ref="O67:Q67"/>
    <mergeCell ref="R67:S67"/>
    <mergeCell ref="T67:X67"/>
    <mergeCell ref="D66:I66"/>
    <mergeCell ref="J66:L66"/>
    <mergeCell ref="M66:N66"/>
    <mergeCell ref="O66:Q66"/>
    <mergeCell ref="R66:S66"/>
    <mergeCell ref="T66:X66"/>
    <mergeCell ref="D65:I65"/>
    <mergeCell ref="J65:L65"/>
    <mergeCell ref="M65:N65"/>
    <mergeCell ref="O65:Q65"/>
    <mergeCell ref="R65:S65"/>
    <mergeCell ref="T65:X65"/>
    <mergeCell ref="E63:X63"/>
    <mergeCell ref="C64:I64"/>
    <mergeCell ref="J64:L64"/>
    <mergeCell ref="M64:N64"/>
    <mergeCell ref="O64:Q64"/>
    <mergeCell ref="R64:S64"/>
    <mergeCell ref="T64:X64"/>
    <mergeCell ref="D73:I73"/>
    <mergeCell ref="J73:L73"/>
    <mergeCell ref="M73:N73"/>
    <mergeCell ref="O73:Q73"/>
    <mergeCell ref="R73:S73"/>
    <mergeCell ref="T73:X73"/>
    <mergeCell ref="D72:I72"/>
    <mergeCell ref="J72:L72"/>
    <mergeCell ref="M72:N72"/>
    <mergeCell ref="O72:Q72"/>
    <mergeCell ref="R72:S72"/>
    <mergeCell ref="T72:X72"/>
    <mergeCell ref="D71:I71"/>
    <mergeCell ref="J71:L71"/>
    <mergeCell ref="M71:N71"/>
    <mergeCell ref="O71:Q71"/>
    <mergeCell ref="R71:S71"/>
    <mergeCell ref="T71:X71"/>
    <mergeCell ref="E69:X69"/>
    <mergeCell ref="C70:I70"/>
    <mergeCell ref="J70:L70"/>
    <mergeCell ref="M70:N70"/>
    <mergeCell ref="O70:Q70"/>
    <mergeCell ref="R70:S70"/>
    <mergeCell ref="T70:X70"/>
    <mergeCell ref="D74:I74"/>
    <mergeCell ref="J74:L74"/>
    <mergeCell ref="M74:N74"/>
    <mergeCell ref="O74:Q74"/>
    <mergeCell ref="R74:S74"/>
    <mergeCell ref="T74:X74"/>
    <mergeCell ref="D75:I75"/>
    <mergeCell ref="J75:L75"/>
    <mergeCell ref="M75:N75"/>
    <mergeCell ref="O75:Q75"/>
    <mergeCell ref="R75:S75"/>
    <mergeCell ref="T75:X75"/>
    <mergeCell ref="D76:I76"/>
    <mergeCell ref="J76:L76"/>
    <mergeCell ref="M76:N76"/>
    <mergeCell ref="O76:Q76"/>
    <mergeCell ref="R76:S76"/>
    <mergeCell ref="T76:X76"/>
    <mergeCell ref="D78:I78"/>
    <mergeCell ref="J78:L78"/>
    <mergeCell ref="M78:N78"/>
    <mergeCell ref="O78:Q78"/>
    <mergeCell ref="R78:S78"/>
    <mergeCell ref="T78:X78"/>
    <mergeCell ref="D77:I77"/>
    <mergeCell ref="J77:L77"/>
    <mergeCell ref="M77:N77"/>
    <mergeCell ref="O77:Q77"/>
    <mergeCell ref="R77:S77"/>
    <mergeCell ref="T77:X77"/>
    <mergeCell ref="D81:I81"/>
    <mergeCell ref="J81:L81"/>
    <mergeCell ref="M81:N81"/>
    <mergeCell ref="O81:Q81"/>
    <mergeCell ref="R81:S81"/>
    <mergeCell ref="T81:X81"/>
    <mergeCell ref="D79:I79"/>
    <mergeCell ref="J79:L79"/>
    <mergeCell ref="M79:N79"/>
    <mergeCell ref="O79:Q79"/>
    <mergeCell ref="R79:S79"/>
    <mergeCell ref="T79:X79"/>
    <mergeCell ref="D80:I80"/>
    <mergeCell ref="J80:L80"/>
    <mergeCell ref="M80:N80"/>
    <mergeCell ref="O80:Q80"/>
    <mergeCell ref="R80:S80"/>
    <mergeCell ref="T80:X80"/>
  </mergeCells>
  <phoneticPr fontId="34"/>
  <pageMargins left="0.7" right="0.7" top="0.75" bottom="0.75" header="0.3" footer="0.3"/>
  <pageSetup paperSize="9" scale="8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outlinePr summaryBelow="0"/>
  </sheetPr>
  <dimension ref="A1:R43"/>
  <sheetViews>
    <sheetView showGridLines="0" view="pageBreakPreview" zoomScale="60" zoomScaleNormal="100" workbookViewId="0"/>
  </sheetViews>
  <sheetFormatPr defaultColWidth="9" defaultRowHeight="0" customHeight="1" zeroHeight="1"/>
  <cols>
    <col min="1" max="2" width="3.7265625" style="3" customWidth="1"/>
    <col min="3" max="3" width="23.40625" style="3" customWidth="1"/>
    <col min="4" max="17" width="14.40625" style="3" customWidth="1"/>
    <col min="18" max="18" width="4" style="1" customWidth="1"/>
  </cols>
  <sheetData>
    <row r="1" spans="1:18" ht="18" customHeight="1">
      <c r="A1" s="121" t="s">
        <v>110</v>
      </c>
      <c r="B1" s="2"/>
      <c r="C1" s="2"/>
      <c r="D1" s="2"/>
      <c r="E1" s="2"/>
      <c r="F1" s="2"/>
      <c r="G1" s="2"/>
      <c r="H1" s="2"/>
      <c r="I1" s="2"/>
      <c r="J1" s="2"/>
      <c r="K1" s="2"/>
      <c r="L1" s="2"/>
      <c r="M1" s="2"/>
      <c r="N1" s="2"/>
      <c r="O1" s="2"/>
      <c r="P1" s="2"/>
      <c r="Q1" s="1"/>
      <c r="R1" s="122"/>
    </row>
    <row r="2" spans="1:18" ht="18" customHeight="1">
      <c r="A2" s="2"/>
      <c r="B2" s="2"/>
      <c r="C2" s="2"/>
      <c r="D2" s="2"/>
      <c r="E2" s="2"/>
      <c r="F2" s="2"/>
      <c r="G2" s="2"/>
      <c r="H2" s="2"/>
      <c r="I2" s="2"/>
      <c r="J2" s="2"/>
      <c r="K2" s="2"/>
      <c r="L2" s="2"/>
      <c r="M2" s="2"/>
      <c r="N2" s="2"/>
      <c r="O2" s="2"/>
      <c r="P2" s="2"/>
      <c r="Q2" s="1"/>
      <c r="R2" s="122"/>
    </row>
    <row r="3" spans="1:18" ht="18" customHeight="1">
      <c r="A3" s="721" t="s">
        <v>1</v>
      </c>
      <c r="B3" s="721"/>
      <c r="C3" s="721"/>
      <c r="D3" s="721"/>
      <c r="E3" s="721"/>
      <c r="F3" s="721"/>
      <c r="G3" s="721"/>
      <c r="H3" s="721"/>
      <c r="I3" s="721"/>
      <c r="J3" s="721"/>
      <c r="K3" s="721"/>
      <c r="L3" s="721"/>
      <c r="M3" s="721"/>
      <c r="N3" s="721"/>
      <c r="O3" s="721"/>
      <c r="P3" s="721"/>
      <c r="Q3" s="721"/>
      <c r="R3" s="721"/>
    </row>
    <row r="4" spans="1:18" ht="18" customHeight="1">
      <c r="A4" s="721" t="s">
        <v>2</v>
      </c>
      <c r="B4" s="721"/>
      <c r="C4" s="721"/>
      <c r="D4" s="721"/>
      <c r="E4" s="721"/>
      <c r="F4" s="721"/>
      <c r="G4" s="721"/>
      <c r="H4" s="721"/>
      <c r="I4" s="721"/>
      <c r="J4" s="721"/>
      <c r="K4" s="721"/>
      <c r="L4" s="721"/>
      <c r="M4" s="721"/>
      <c r="N4" s="721"/>
      <c r="O4" s="721"/>
      <c r="P4" s="721"/>
      <c r="Q4" s="721"/>
      <c r="R4" s="721"/>
    </row>
    <row r="5" spans="1:18" ht="18" customHeight="1">
      <c r="A5" s="2"/>
      <c r="B5" s="2"/>
      <c r="C5" s="2"/>
      <c r="D5" s="2"/>
      <c r="E5" s="2"/>
      <c r="F5" s="2"/>
      <c r="G5" s="2"/>
      <c r="H5" s="2"/>
      <c r="I5" s="2"/>
      <c r="J5" s="2"/>
      <c r="K5" s="2"/>
      <c r="L5" s="2"/>
      <c r="M5" s="2"/>
      <c r="N5" s="1"/>
      <c r="O5" s="1"/>
      <c r="P5" s="91" t="s">
        <v>3</v>
      </c>
      <c r="Q5" s="123" t="s">
        <v>4</v>
      </c>
    </row>
    <row r="6" spans="1:18" ht="18" customHeight="1">
      <c r="A6" s="2"/>
      <c r="B6" s="2"/>
      <c r="C6" s="2"/>
      <c r="D6" s="2"/>
      <c r="E6" s="2"/>
      <c r="F6" s="2"/>
      <c r="G6" s="2"/>
      <c r="H6" s="2"/>
      <c r="I6" s="2"/>
      <c r="J6" s="2"/>
      <c r="K6" s="2"/>
      <c r="L6" s="2"/>
      <c r="M6" s="2"/>
      <c r="N6" s="1"/>
      <c r="O6" s="1"/>
      <c r="P6" s="93" t="s">
        <v>5</v>
      </c>
      <c r="Q6" s="94" t="s">
        <v>6</v>
      </c>
      <c r="R6" s="1" t="s">
        <v>7</v>
      </c>
    </row>
    <row r="7" spans="1:18" ht="18" customHeight="1">
      <c r="B7" s="4" t="s">
        <v>111</v>
      </c>
    </row>
    <row r="8" spans="1:18" ht="12" customHeight="1"/>
    <row r="9" spans="1:18" ht="18" customHeight="1">
      <c r="B9" s="4" t="s">
        <v>112</v>
      </c>
    </row>
    <row r="10" spans="1:18" ht="12" customHeight="1"/>
    <row r="11" spans="1:18" ht="24.75" customHeight="1">
      <c r="C11" s="72"/>
      <c r="D11" s="715" t="s">
        <v>113</v>
      </c>
      <c r="E11" s="716"/>
      <c r="F11" s="715" t="s">
        <v>114</v>
      </c>
      <c r="G11" s="716"/>
      <c r="H11" s="715" t="s">
        <v>115</v>
      </c>
      <c r="I11" s="716"/>
      <c r="J11" s="715" t="s">
        <v>116</v>
      </c>
      <c r="K11" s="716"/>
      <c r="L11" s="715" t="s">
        <v>117</v>
      </c>
      <c r="M11" s="722"/>
      <c r="N11" s="723" t="s">
        <v>27</v>
      </c>
      <c r="O11" s="722"/>
      <c r="P11" s="723" t="s">
        <v>109</v>
      </c>
      <c r="Q11" s="724"/>
    </row>
    <row r="12" spans="1:18" ht="24.75" customHeight="1">
      <c r="C12" s="124" t="s">
        <v>118</v>
      </c>
      <c r="D12" s="720">
        <v>39</v>
      </c>
      <c r="E12" s="712"/>
      <c r="F12" s="711">
        <v>11</v>
      </c>
      <c r="G12" s="712"/>
      <c r="H12" s="711">
        <v>0</v>
      </c>
      <c r="I12" s="712"/>
      <c r="J12" s="711">
        <v>0</v>
      </c>
      <c r="K12" s="712"/>
      <c r="L12" s="720">
        <v>15</v>
      </c>
      <c r="M12" s="712"/>
      <c r="N12" s="711">
        <v>98</v>
      </c>
      <c r="O12" s="712"/>
      <c r="P12" s="713">
        <v>163</v>
      </c>
      <c r="Q12" s="714"/>
    </row>
    <row r="13" spans="1:18" ht="24.75" customHeight="1">
      <c r="C13" s="73"/>
      <c r="D13" s="125" t="s">
        <v>119</v>
      </c>
      <c r="E13" s="125" t="s">
        <v>120</v>
      </c>
      <c r="F13" s="125" t="s">
        <v>119</v>
      </c>
      <c r="G13" s="125" t="s">
        <v>120</v>
      </c>
      <c r="H13" s="126" t="s">
        <v>119</v>
      </c>
      <c r="I13" s="126" t="s">
        <v>120</v>
      </c>
      <c r="J13" s="126" t="s">
        <v>119</v>
      </c>
      <c r="K13" s="126" t="s">
        <v>120</v>
      </c>
      <c r="L13" s="126" t="s">
        <v>119</v>
      </c>
      <c r="M13" s="126" t="s">
        <v>120</v>
      </c>
      <c r="N13" s="126" t="s">
        <v>119</v>
      </c>
      <c r="O13" s="127" t="s">
        <v>121</v>
      </c>
      <c r="P13" s="126" t="s">
        <v>119</v>
      </c>
      <c r="Q13" s="128" t="s">
        <v>121</v>
      </c>
    </row>
    <row r="14" spans="1:18" ht="24.75" customHeight="1">
      <c r="C14" s="129" t="s">
        <v>122</v>
      </c>
      <c r="D14" s="130">
        <v>6</v>
      </c>
      <c r="E14" s="131">
        <v>6</v>
      </c>
      <c r="F14" s="130">
        <v>3</v>
      </c>
      <c r="G14" s="130">
        <v>3</v>
      </c>
      <c r="H14" s="132">
        <v>0</v>
      </c>
      <c r="I14" s="132">
        <v>0</v>
      </c>
      <c r="J14" s="132">
        <v>0</v>
      </c>
      <c r="K14" s="132">
        <v>0</v>
      </c>
      <c r="L14" s="132">
        <v>3</v>
      </c>
      <c r="M14" s="133">
        <v>3</v>
      </c>
      <c r="N14" s="132">
        <v>23</v>
      </c>
      <c r="O14" s="132">
        <v>23</v>
      </c>
      <c r="P14" s="134">
        <v>35</v>
      </c>
      <c r="Q14" s="135">
        <v>35</v>
      </c>
    </row>
    <row r="15" spans="1:18" ht="24.75" customHeight="1">
      <c r="C15" s="136" t="s">
        <v>123</v>
      </c>
      <c r="D15" s="137">
        <v>4</v>
      </c>
      <c r="E15" s="137">
        <v>4</v>
      </c>
      <c r="F15" s="137">
        <v>6</v>
      </c>
      <c r="G15" s="137">
        <v>6</v>
      </c>
      <c r="H15" s="138">
        <v>0</v>
      </c>
      <c r="I15" s="138">
        <v>0</v>
      </c>
      <c r="J15" s="138">
        <v>0</v>
      </c>
      <c r="K15" s="138">
        <v>0</v>
      </c>
      <c r="L15" s="138">
        <v>4</v>
      </c>
      <c r="M15" s="138">
        <v>4</v>
      </c>
      <c r="N15" s="138">
        <v>11</v>
      </c>
      <c r="O15" s="138">
        <v>11</v>
      </c>
      <c r="P15" s="139">
        <v>25</v>
      </c>
      <c r="Q15" s="140">
        <v>25</v>
      </c>
    </row>
    <row r="16" spans="1:18" ht="24.75" customHeight="1">
      <c r="C16" s="141" t="s">
        <v>124</v>
      </c>
      <c r="D16" s="130">
        <v>20</v>
      </c>
      <c r="E16" s="131">
        <v>20</v>
      </c>
      <c r="F16" s="130">
        <v>5</v>
      </c>
      <c r="G16" s="130">
        <v>5</v>
      </c>
      <c r="H16" s="132">
        <v>0</v>
      </c>
      <c r="I16" s="132">
        <v>0</v>
      </c>
      <c r="J16" s="132">
        <v>0</v>
      </c>
      <c r="K16" s="132">
        <v>0</v>
      </c>
      <c r="L16" s="132">
        <v>6</v>
      </c>
      <c r="M16" s="133">
        <v>6</v>
      </c>
      <c r="N16" s="132">
        <v>30</v>
      </c>
      <c r="O16" s="132">
        <v>30</v>
      </c>
      <c r="P16" s="134">
        <v>61</v>
      </c>
      <c r="Q16" s="135">
        <v>61</v>
      </c>
    </row>
    <row r="17" spans="2:17" ht="24.75" customHeight="1">
      <c r="C17" s="142" t="s">
        <v>123</v>
      </c>
      <c r="D17" s="137">
        <v>17</v>
      </c>
      <c r="E17" s="137">
        <v>17</v>
      </c>
      <c r="F17" s="137">
        <v>8</v>
      </c>
      <c r="G17" s="137">
        <v>8</v>
      </c>
      <c r="H17" s="138">
        <v>0</v>
      </c>
      <c r="I17" s="138">
        <v>0</v>
      </c>
      <c r="J17" s="138">
        <v>0</v>
      </c>
      <c r="K17" s="138">
        <v>0</v>
      </c>
      <c r="L17" s="138">
        <v>9</v>
      </c>
      <c r="M17" s="138">
        <v>9</v>
      </c>
      <c r="N17" s="138">
        <v>11</v>
      </c>
      <c r="O17" s="138">
        <v>11</v>
      </c>
      <c r="P17" s="139">
        <v>45</v>
      </c>
      <c r="Q17" s="140">
        <v>45</v>
      </c>
    </row>
    <row r="18" spans="2:17" ht="24.75" customHeight="1">
      <c r="C18" s="141" t="s">
        <v>125</v>
      </c>
      <c r="D18" s="143">
        <v>16</v>
      </c>
      <c r="E18" s="144">
        <v>16</v>
      </c>
      <c r="F18" s="143">
        <v>2</v>
      </c>
      <c r="G18" s="143">
        <v>2</v>
      </c>
      <c r="H18" s="143">
        <v>0</v>
      </c>
      <c r="I18" s="143">
        <v>0</v>
      </c>
      <c r="J18" s="143">
        <v>0</v>
      </c>
      <c r="K18" s="143">
        <v>0</v>
      </c>
      <c r="L18" s="143">
        <v>5</v>
      </c>
      <c r="M18" s="144">
        <v>5</v>
      </c>
      <c r="N18" s="143">
        <v>31</v>
      </c>
      <c r="O18" s="143">
        <v>31</v>
      </c>
      <c r="P18" s="134">
        <v>54</v>
      </c>
      <c r="Q18" s="135">
        <v>54</v>
      </c>
    </row>
    <row r="19" spans="2:17" ht="24.75" customHeight="1">
      <c r="C19" s="142" t="s">
        <v>123</v>
      </c>
      <c r="D19" s="145">
        <v>16</v>
      </c>
      <c r="E19" s="145">
        <v>16</v>
      </c>
      <c r="F19" s="145">
        <v>6</v>
      </c>
      <c r="G19" s="145">
        <v>6</v>
      </c>
      <c r="H19" s="146">
        <v>0</v>
      </c>
      <c r="I19" s="146">
        <v>0</v>
      </c>
      <c r="J19" s="146">
        <v>0</v>
      </c>
      <c r="K19" s="146">
        <v>0</v>
      </c>
      <c r="L19" s="146">
        <v>8</v>
      </c>
      <c r="M19" s="146">
        <v>8</v>
      </c>
      <c r="N19" s="146">
        <v>14</v>
      </c>
      <c r="O19" s="146">
        <v>14</v>
      </c>
      <c r="P19" s="147">
        <v>44</v>
      </c>
      <c r="Q19" s="148">
        <v>44</v>
      </c>
    </row>
    <row r="20" spans="2:17" ht="24.75" customHeight="1">
      <c r="C20" s="141" t="s">
        <v>126</v>
      </c>
      <c r="D20" s="143">
        <v>3</v>
      </c>
      <c r="E20" s="144">
        <v>3</v>
      </c>
      <c r="F20" s="143">
        <v>1</v>
      </c>
      <c r="G20" s="143">
        <v>1</v>
      </c>
      <c r="H20" s="143">
        <v>0</v>
      </c>
      <c r="I20" s="143">
        <v>0</v>
      </c>
      <c r="J20" s="143">
        <v>0</v>
      </c>
      <c r="K20" s="143">
        <v>0</v>
      </c>
      <c r="L20" s="143">
        <v>2</v>
      </c>
      <c r="M20" s="144">
        <v>2</v>
      </c>
      <c r="N20" s="143">
        <v>10</v>
      </c>
      <c r="O20" s="143">
        <v>10</v>
      </c>
      <c r="P20" s="134">
        <v>16</v>
      </c>
      <c r="Q20" s="135">
        <v>16</v>
      </c>
    </row>
    <row r="21" spans="2:17" ht="24.75" customHeight="1">
      <c r="C21" s="149" t="s">
        <v>123</v>
      </c>
      <c r="D21" s="150">
        <v>4</v>
      </c>
      <c r="E21" s="150">
        <v>4</v>
      </c>
      <c r="F21" s="150">
        <v>2</v>
      </c>
      <c r="G21" s="150">
        <v>2</v>
      </c>
      <c r="H21" s="151">
        <v>0</v>
      </c>
      <c r="I21" s="151">
        <v>0</v>
      </c>
      <c r="J21" s="151">
        <v>0</v>
      </c>
      <c r="K21" s="151">
        <v>0</v>
      </c>
      <c r="L21" s="151">
        <v>2</v>
      </c>
      <c r="M21" s="151">
        <v>2</v>
      </c>
      <c r="N21" s="151">
        <v>2</v>
      </c>
      <c r="O21" s="151">
        <v>2</v>
      </c>
      <c r="P21" s="152">
        <v>10</v>
      </c>
      <c r="Q21" s="153">
        <v>10</v>
      </c>
    </row>
    <row r="22" spans="2:17" ht="12" customHeight="1"/>
    <row r="23" spans="2:17" ht="18" customHeight="1">
      <c r="B23" s="4" t="s">
        <v>127</v>
      </c>
    </row>
    <row r="24" spans="2:17" ht="12" customHeight="1"/>
    <row r="25" spans="2:17" ht="24.75" customHeight="1">
      <c r="C25" s="72"/>
      <c r="D25" s="112" t="s">
        <v>128</v>
      </c>
    </row>
    <row r="26" spans="2:17" ht="24.75" customHeight="1">
      <c r="C26" s="124" t="s">
        <v>118</v>
      </c>
      <c r="D26" s="154">
        <v>0</v>
      </c>
    </row>
    <row r="27" spans="2:17" ht="24.75" customHeight="1">
      <c r="C27" s="141" t="s">
        <v>129</v>
      </c>
      <c r="D27" s="155">
        <v>0</v>
      </c>
    </row>
    <row r="28" spans="2:17" ht="24.75" customHeight="1">
      <c r="C28" s="142" t="s">
        <v>123</v>
      </c>
      <c r="D28" s="156">
        <v>0</v>
      </c>
    </row>
    <row r="29" spans="2:17" ht="24.75" customHeight="1">
      <c r="C29" s="141" t="s">
        <v>130</v>
      </c>
      <c r="D29" s="157">
        <v>0</v>
      </c>
    </row>
    <row r="30" spans="2:17" ht="24.75" customHeight="1">
      <c r="C30" s="149" t="s">
        <v>123</v>
      </c>
      <c r="D30" s="158">
        <v>0</v>
      </c>
    </row>
    <row r="31" spans="2:17" ht="12" customHeight="1"/>
    <row r="32" spans="2:17" ht="18" customHeight="1">
      <c r="B32" s="4" t="s">
        <v>131</v>
      </c>
    </row>
    <row r="33" spans="3:7" ht="12" customHeight="1"/>
    <row r="34" spans="3:7" ht="24.75" customHeight="1">
      <c r="C34" s="72"/>
      <c r="D34" s="718" t="s">
        <v>132</v>
      </c>
      <c r="E34" s="719"/>
      <c r="F34" s="74"/>
      <c r="G34" s="112" t="s">
        <v>128</v>
      </c>
    </row>
    <row r="35" spans="3:7" ht="24.75" customHeight="1">
      <c r="C35" s="159" t="s">
        <v>118</v>
      </c>
      <c r="D35" s="711">
        <v>0</v>
      </c>
      <c r="E35" s="717"/>
      <c r="F35" s="160" t="s">
        <v>118</v>
      </c>
      <c r="G35" s="154">
        <v>0</v>
      </c>
    </row>
    <row r="36" spans="3:7" ht="24.75" customHeight="1">
      <c r="C36" s="75"/>
      <c r="D36" s="161" t="s">
        <v>119</v>
      </c>
      <c r="E36" s="162" t="s">
        <v>120</v>
      </c>
      <c r="F36" s="163" t="s">
        <v>129</v>
      </c>
      <c r="G36" s="164">
        <v>0</v>
      </c>
    </row>
    <row r="37" spans="3:7" ht="24.75" customHeight="1">
      <c r="C37" s="165" t="s">
        <v>133</v>
      </c>
      <c r="D37" s="166">
        <v>0</v>
      </c>
      <c r="E37" s="157">
        <v>0</v>
      </c>
      <c r="F37" s="167" t="s">
        <v>134</v>
      </c>
      <c r="G37" s="156">
        <v>0</v>
      </c>
    </row>
    <row r="38" spans="3:7" ht="24.75" customHeight="1">
      <c r="C38" s="142" t="s">
        <v>123</v>
      </c>
      <c r="D38" s="138">
        <v>0</v>
      </c>
      <c r="E38" s="156">
        <v>0</v>
      </c>
      <c r="F38" s="168" t="s">
        <v>130</v>
      </c>
      <c r="G38" s="157">
        <v>0</v>
      </c>
    </row>
    <row r="39" spans="3:7" ht="24.75" customHeight="1">
      <c r="C39" s="141" t="s">
        <v>125</v>
      </c>
      <c r="D39" s="166">
        <v>0</v>
      </c>
      <c r="E39" s="157">
        <v>0</v>
      </c>
      <c r="F39" s="169" t="s">
        <v>134</v>
      </c>
      <c r="G39" s="158">
        <v>0</v>
      </c>
    </row>
    <row r="40" spans="3:7" ht="24.75" customHeight="1">
      <c r="C40" s="170" t="s">
        <v>123</v>
      </c>
      <c r="D40" s="171">
        <v>0</v>
      </c>
      <c r="E40" s="156">
        <v>0</v>
      </c>
    </row>
    <row r="41" spans="3:7" ht="24.75" customHeight="1">
      <c r="C41" s="141" t="s">
        <v>135</v>
      </c>
      <c r="D41" s="132">
        <v>0</v>
      </c>
      <c r="E41" s="157">
        <v>0</v>
      </c>
    </row>
    <row r="42" spans="3:7" ht="24.75" customHeight="1">
      <c r="C42" s="149" t="s">
        <v>123</v>
      </c>
      <c r="D42" s="151">
        <v>0</v>
      </c>
      <c r="E42" s="158">
        <v>0</v>
      </c>
    </row>
    <row r="43" spans="3:7" ht="12" customHeight="1"/>
  </sheetData>
  <sheetProtection selectLockedCells="1" selectUnlockedCells="1"/>
  <mergeCells count="18">
    <mergeCell ref="A3:R3"/>
    <mergeCell ref="A4:R4"/>
    <mergeCell ref="H11:I11"/>
    <mergeCell ref="J11:K11"/>
    <mergeCell ref="L11:M11"/>
    <mergeCell ref="N11:O11"/>
    <mergeCell ref="P11:Q11"/>
    <mergeCell ref="N12:O12"/>
    <mergeCell ref="P12:Q12"/>
    <mergeCell ref="D11:E11"/>
    <mergeCell ref="F11:G11"/>
    <mergeCell ref="D35:E35"/>
    <mergeCell ref="D34:E34"/>
    <mergeCell ref="D12:E12"/>
    <mergeCell ref="F12:G12"/>
    <mergeCell ref="H12:I12"/>
    <mergeCell ref="J12:K12"/>
    <mergeCell ref="L12:M12"/>
  </mergeCells>
  <phoneticPr fontId="34"/>
  <pageMargins left="0.7" right="0.7" top="0.75" bottom="0.75" header="0.3" footer="0.3"/>
  <pageSetup paperSize="9" scale="37"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view="pageBreakPreview" zoomScale="75" zoomScaleNormal="100" zoomScaleSheetLayoutView="75" workbookViewId="0"/>
  </sheetViews>
  <sheetFormatPr defaultColWidth="9" defaultRowHeight="0" customHeight="1" zeroHeight="1"/>
  <cols>
    <col min="1" max="2" width="3.7265625" style="3" customWidth="1"/>
    <col min="3" max="3" width="23.40625" style="3" customWidth="1"/>
    <col min="4" max="17" width="14.40625" style="3" customWidth="1"/>
    <col min="18" max="18" width="4" style="1" customWidth="1"/>
  </cols>
  <sheetData>
    <row r="1" spans="1:18" ht="18" customHeight="1">
      <c r="A1" s="121" t="s">
        <v>136</v>
      </c>
      <c r="B1" s="2"/>
      <c r="C1" s="2"/>
      <c r="D1" s="2"/>
      <c r="E1" s="2"/>
      <c r="F1" s="2"/>
      <c r="G1" s="2"/>
      <c r="H1" s="2"/>
      <c r="I1" s="2"/>
      <c r="J1" s="2"/>
      <c r="K1" s="2"/>
      <c r="L1" s="2"/>
      <c r="M1" s="2"/>
      <c r="N1" s="2"/>
      <c r="O1" s="2"/>
      <c r="P1" s="2"/>
      <c r="Q1" s="1"/>
      <c r="R1" s="122"/>
    </row>
    <row r="2" spans="1:18" ht="18" customHeight="1">
      <c r="A2" s="2"/>
      <c r="B2" s="2"/>
      <c r="C2" s="2"/>
      <c r="D2" s="2"/>
      <c r="E2" s="2"/>
      <c r="F2" s="2"/>
      <c r="G2" s="2"/>
      <c r="H2" s="2"/>
      <c r="I2" s="2"/>
      <c r="J2" s="2"/>
      <c r="K2" s="2"/>
      <c r="L2" s="2"/>
      <c r="M2" s="2"/>
      <c r="N2" s="2"/>
      <c r="O2" s="2"/>
      <c r="P2" s="2"/>
      <c r="Q2" s="1"/>
      <c r="R2" s="122"/>
    </row>
    <row r="3" spans="1:18" ht="18" customHeight="1">
      <c r="A3" s="721" t="s">
        <v>1</v>
      </c>
      <c r="B3" s="721"/>
      <c r="C3" s="721"/>
      <c r="D3" s="721"/>
      <c r="E3" s="721"/>
      <c r="F3" s="721"/>
      <c r="G3" s="721"/>
      <c r="H3" s="721"/>
      <c r="I3" s="721"/>
      <c r="J3" s="721"/>
      <c r="K3" s="721"/>
      <c r="L3" s="721"/>
      <c r="M3" s="721"/>
      <c r="N3" s="721"/>
      <c r="O3" s="721"/>
      <c r="P3" s="721"/>
      <c r="Q3" s="721"/>
      <c r="R3" s="721"/>
    </row>
    <row r="4" spans="1:18" ht="18" customHeight="1">
      <c r="A4" s="721" t="s">
        <v>2</v>
      </c>
      <c r="B4" s="721"/>
      <c r="C4" s="721"/>
      <c r="D4" s="721"/>
      <c r="E4" s="721"/>
      <c r="F4" s="721"/>
      <c r="G4" s="721"/>
      <c r="H4" s="721"/>
      <c r="I4" s="721"/>
      <c r="J4" s="721"/>
      <c r="K4" s="721"/>
      <c r="L4" s="721"/>
      <c r="M4" s="721"/>
      <c r="N4" s="721"/>
      <c r="O4" s="721"/>
      <c r="P4" s="721"/>
      <c r="Q4" s="721"/>
      <c r="R4" s="721"/>
    </row>
    <row r="5" spans="1:18" ht="18" customHeight="1">
      <c r="A5" s="2"/>
      <c r="B5" s="2"/>
      <c r="C5" s="2"/>
      <c r="D5" s="2"/>
      <c r="E5" s="2"/>
      <c r="F5" s="2"/>
      <c r="G5" s="2"/>
      <c r="H5" s="2"/>
      <c r="I5" s="2"/>
      <c r="J5" s="2"/>
      <c r="K5" s="2"/>
      <c r="L5" s="2"/>
      <c r="M5" s="2"/>
      <c r="N5" s="1"/>
      <c r="O5" s="1"/>
      <c r="P5" s="91" t="s">
        <v>3</v>
      </c>
      <c r="Q5" s="123" t="s">
        <v>4</v>
      </c>
    </row>
    <row r="6" spans="1:18" ht="18" customHeight="1">
      <c r="A6" s="2"/>
      <c r="B6" s="2"/>
      <c r="C6" s="2"/>
      <c r="D6" s="2"/>
      <c r="E6" s="2"/>
      <c r="F6" s="2"/>
      <c r="G6" s="2"/>
      <c r="H6" s="2"/>
      <c r="I6" s="2"/>
      <c r="J6" s="2"/>
      <c r="K6" s="2"/>
      <c r="L6" s="2"/>
      <c r="M6" s="2"/>
      <c r="N6" s="1"/>
      <c r="O6" s="1"/>
      <c r="P6" s="93" t="s">
        <v>5</v>
      </c>
      <c r="Q6" s="94" t="s">
        <v>6</v>
      </c>
      <c r="R6" s="1" t="s">
        <v>7</v>
      </c>
    </row>
    <row r="7" spans="1:18" ht="18" customHeight="1">
      <c r="B7" s="4" t="s">
        <v>111</v>
      </c>
    </row>
    <row r="8" spans="1:18" ht="12" customHeight="1"/>
    <row r="9" spans="1:18" ht="18" customHeight="1">
      <c r="B9" s="4" t="s">
        <v>137</v>
      </c>
    </row>
    <row r="10" spans="1:18" ht="12" customHeight="1"/>
    <row r="11" spans="1:18" ht="24.75" customHeight="1">
      <c r="C11" s="72"/>
      <c r="D11" s="715" t="s">
        <v>113</v>
      </c>
      <c r="E11" s="716"/>
      <c r="F11" s="715" t="s">
        <v>114</v>
      </c>
      <c r="G11" s="716"/>
      <c r="H11" s="715" t="s">
        <v>115</v>
      </c>
      <c r="I11" s="716"/>
      <c r="J11" s="715" t="s">
        <v>116</v>
      </c>
      <c r="K11" s="716"/>
      <c r="L11" s="715" t="s">
        <v>117</v>
      </c>
      <c r="M11" s="722"/>
      <c r="N11" s="723" t="s">
        <v>27</v>
      </c>
      <c r="O11" s="722"/>
      <c r="P11" s="723" t="s">
        <v>109</v>
      </c>
      <c r="Q11" s="724"/>
    </row>
    <row r="12" spans="1:18" ht="24.75" customHeight="1">
      <c r="C12" s="124" t="s">
        <v>118</v>
      </c>
      <c r="D12" s="711">
        <v>0</v>
      </c>
      <c r="E12" s="712"/>
      <c r="F12" s="711">
        <v>0</v>
      </c>
      <c r="G12" s="712"/>
      <c r="H12" s="711">
        <v>0</v>
      </c>
      <c r="I12" s="712"/>
      <c r="J12" s="711">
        <v>0</v>
      </c>
      <c r="K12" s="712"/>
      <c r="L12" s="711">
        <v>0</v>
      </c>
      <c r="M12" s="712"/>
      <c r="N12" s="711">
        <v>1</v>
      </c>
      <c r="O12" s="712"/>
      <c r="P12" s="713">
        <v>1</v>
      </c>
      <c r="Q12" s="714"/>
    </row>
    <row r="13" spans="1:18" ht="24.75" customHeight="1">
      <c r="C13" s="73"/>
      <c r="D13" s="125" t="s">
        <v>119</v>
      </c>
      <c r="E13" s="125" t="s">
        <v>120</v>
      </c>
      <c r="F13" s="125" t="s">
        <v>119</v>
      </c>
      <c r="G13" s="125" t="s">
        <v>120</v>
      </c>
      <c r="H13" s="126" t="s">
        <v>119</v>
      </c>
      <c r="I13" s="126" t="s">
        <v>120</v>
      </c>
      <c r="J13" s="126" t="s">
        <v>119</v>
      </c>
      <c r="K13" s="126" t="s">
        <v>120</v>
      </c>
      <c r="L13" s="126" t="s">
        <v>119</v>
      </c>
      <c r="M13" s="126" t="s">
        <v>120</v>
      </c>
      <c r="N13" s="126" t="s">
        <v>119</v>
      </c>
      <c r="O13" s="127" t="s">
        <v>121</v>
      </c>
      <c r="P13" s="126" t="s">
        <v>119</v>
      </c>
      <c r="Q13" s="128" t="s">
        <v>121</v>
      </c>
    </row>
    <row r="14" spans="1:18" ht="24.75" customHeight="1">
      <c r="C14" s="172" t="s">
        <v>122</v>
      </c>
      <c r="D14" s="130">
        <v>0</v>
      </c>
      <c r="E14" s="130">
        <v>0</v>
      </c>
      <c r="F14" s="130">
        <v>0</v>
      </c>
      <c r="G14" s="130">
        <v>0</v>
      </c>
      <c r="H14" s="132">
        <v>0</v>
      </c>
      <c r="I14" s="132">
        <v>0</v>
      </c>
      <c r="J14" s="132">
        <v>0</v>
      </c>
      <c r="K14" s="132">
        <v>0</v>
      </c>
      <c r="L14" s="132">
        <v>0</v>
      </c>
      <c r="M14" s="132">
        <v>0</v>
      </c>
      <c r="N14" s="132">
        <v>1</v>
      </c>
      <c r="O14" s="132">
        <v>1</v>
      </c>
      <c r="P14" s="173">
        <v>1</v>
      </c>
      <c r="Q14" s="135">
        <v>1</v>
      </c>
    </row>
    <row r="15" spans="1:18" ht="24.75" customHeight="1">
      <c r="C15" s="174" t="s">
        <v>123</v>
      </c>
      <c r="D15" s="137">
        <v>0</v>
      </c>
      <c r="E15" s="137">
        <v>0</v>
      </c>
      <c r="F15" s="137">
        <v>0</v>
      </c>
      <c r="G15" s="137">
        <v>0</v>
      </c>
      <c r="H15" s="138">
        <v>0</v>
      </c>
      <c r="I15" s="138">
        <v>0</v>
      </c>
      <c r="J15" s="138">
        <v>0</v>
      </c>
      <c r="K15" s="138">
        <v>0</v>
      </c>
      <c r="L15" s="138">
        <v>0</v>
      </c>
      <c r="M15" s="138">
        <v>0</v>
      </c>
      <c r="N15" s="138">
        <v>1</v>
      </c>
      <c r="O15" s="138">
        <v>1</v>
      </c>
      <c r="P15" s="175">
        <v>1</v>
      </c>
      <c r="Q15" s="140">
        <v>1</v>
      </c>
    </row>
    <row r="16" spans="1:18" ht="24.75" customHeight="1">
      <c r="C16" s="141" t="s">
        <v>124</v>
      </c>
      <c r="D16" s="130">
        <v>0</v>
      </c>
      <c r="E16" s="130">
        <v>0</v>
      </c>
      <c r="F16" s="130">
        <v>0</v>
      </c>
      <c r="G16" s="130">
        <v>0</v>
      </c>
      <c r="H16" s="132">
        <v>0</v>
      </c>
      <c r="I16" s="132">
        <v>0</v>
      </c>
      <c r="J16" s="132">
        <v>0</v>
      </c>
      <c r="K16" s="132">
        <v>0</v>
      </c>
      <c r="L16" s="132">
        <v>0</v>
      </c>
      <c r="M16" s="132">
        <v>0</v>
      </c>
      <c r="N16" s="132">
        <v>0</v>
      </c>
      <c r="O16" s="132">
        <v>0</v>
      </c>
      <c r="P16" s="173">
        <v>0</v>
      </c>
      <c r="Q16" s="135">
        <v>0</v>
      </c>
    </row>
    <row r="17" spans="2:17" ht="24.75" customHeight="1">
      <c r="C17" s="142" t="s">
        <v>123</v>
      </c>
      <c r="D17" s="137">
        <v>0</v>
      </c>
      <c r="E17" s="137">
        <v>0</v>
      </c>
      <c r="F17" s="137">
        <v>0</v>
      </c>
      <c r="G17" s="137">
        <v>0</v>
      </c>
      <c r="H17" s="138">
        <v>0</v>
      </c>
      <c r="I17" s="138">
        <v>0</v>
      </c>
      <c r="J17" s="138">
        <v>0</v>
      </c>
      <c r="K17" s="138">
        <v>0</v>
      </c>
      <c r="L17" s="138">
        <v>0</v>
      </c>
      <c r="M17" s="138">
        <v>0</v>
      </c>
      <c r="N17" s="138">
        <v>0</v>
      </c>
      <c r="O17" s="138">
        <v>0</v>
      </c>
      <c r="P17" s="175">
        <v>0</v>
      </c>
      <c r="Q17" s="140">
        <v>0</v>
      </c>
    </row>
    <row r="18" spans="2:17" ht="24.75" customHeight="1">
      <c r="C18" s="141" t="s">
        <v>125</v>
      </c>
      <c r="D18" s="143">
        <v>0</v>
      </c>
      <c r="E18" s="143">
        <v>0</v>
      </c>
      <c r="F18" s="143">
        <v>0</v>
      </c>
      <c r="G18" s="143">
        <v>0</v>
      </c>
      <c r="H18" s="166">
        <v>0</v>
      </c>
      <c r="I18" s="166">
        <v>0</v>
      </c>
      <c r="J18" s="166">
        <v>0</v>
      </c>
      <c r="K18" s="166">
        <v>0</v>
      </c>
      <c r="L18" s="166">
        <v>0</v>
      </c>
      <c r="M18" s="166">
        <v>0</v>
      </c>
      <c r="N18" s="166">
        <v>0</v>
      </c>
      <c r="O18" s="166">
        <v>0</v>
      </c>
      <c r="P18" s="173">
        <v>0</v>
      </c>
      <c r="Q18" s="135">
        <v>0</v>
      </c>
    </row>
    <row r="19" spans="2:17" ht="24.75" customHeight="1">
      <c r="C19" s="142" t="s">
        <v>123</v>
      </c>
      <c r="D19" s="137">
        <v>0</v>
      </c>
      <c r="E19" s="137">
        <v>0</v>
      </c>
      <c r="F19" s="137">
        <v>0</v>
      </c>
      <c r="G19" s="137">
        <v>0</v>
      </c>
      <c r="H19" s="138">
        <v>0</v>
      </c>
      <c r="I19" s="138">
        <v>0</v>
      </c>
      <c r="J19" s="138">
        <v>0</v>
      </c>
      <c r="K19" s="138">
        <v>0</v>
      </c>
      <c r="L19" s="138">
        <v>0</v>
      </c>
      <c r="M19" s="138">
        <v>0</v>
      </c>
      <c r="N19" s="138">
        <v>0</v>
      </c>
      <c r="O19" s="138">
        <v>0</v>
      </c>
      <c r="P19" s="152">
        <v>0</v>
      </c>
      <c r="Q19" s="153">
        <v>0</v>
      </c>
    </row>
    <row r="20" spans="2:17" ht="24.75" customHeight="1">
      <c r="C20" s="141" t="s">
        <v>126</v>
      </c>
      <c r="D20" s="143">
        <v>0</v>
      </c>
      <c r="E20" s="143">
        <v>0</v>
      </c>
      <c r="F20" s="143">
        <v>0</v>
      </c>
      <c r="G20" s="143">
        <v>0</v>
      </c>
      <c r="H20" s="166">
        <v>0</v>
      </c>
      <c r="I20" s="166">
        <v>0</v>
      </c>
      <c r="J20" s="166">
        <v>0</v>
      </c>
      <c r="K20" s="166">
        <v>0</v>
      </c>
      <c r="L20" s="166">
        <v>0</v>
      </c>
      <c r="M20" s="166">
        <v>0</v>
      </c>
      <c r="N20" s="166">
        <v>0</v>
      </c>
      <c r="O20" s="166">
        <v>0</v>
      </c>
      <c r="P20" s="173">
        <v>0</v>
      </c>
      <c r="Q20" s="135">
        <v>0</v>
      </c>
    </row>
    <row r="21" spans="2:17" ht="24.75" customHeight="1">
      <c r="C21" s="149" t="s">
        <v>123</v>
      </c>
      <c r="D21" s="150">
        <v>0</v>
      </c>
      <c r="E21" s="150">
        <v>0</v>
      </c>
      <c r="F21" s="150">
        <v>0</v>
      </c>
      <c r="G21" s="150">
        <v>0</v>
      </c>
      <c r="H21" s="151">
        <v>0</v>
      </c>
      <c r="I21" s="151">
        <v>0</v>
      </c>
      <c r="J21" s="151">
        <v>0</v>
      </c>
      <c r="K21" s="151">
        <v>0</v>
      </c>
      <c r="L21" s="151">
        <v>0</v>
      </c>
      <c r="M21" s="151">
        <v>0</v>
      </c>
      <c r="N21" s="151">
        <v>0</v>
      </c>
      <c r="O21" s="151">
        <v>0</v>
      </c>
      <c r="P21" s="152">
        <v>0</v>
      </c>
      <c r="Q21" s="153">
        <v>0</v>
      </c>
    </row>
    <row r="22" spans="2:17" ht="12" customHeight="1"/>
    <row r="23" spans="2:17" ht="18" customHeight="1">
      <c r="B23" s="4" t="s">
        <v>138</v>
      </c>
    </row>
    <row r="24" spans="2:17" ht="12" customHeight="1"/>
    <row r="25" spans="2:17" ht="24.75" customHeight="1">
      <c r="C25" s="72"/>
      <c r="D25" s="112" t="s">
        <v>128</v>
      </c>
    </row>
    <row r="26" spans="2:17" ht="24.75" customHeight="1">
      <c r="C26" s="124" t="s">
        <v>118</v>
      </c>
      <c r="D26" s="154">
        <v>0</v>
      </c>
    </row>
    <row r="27" spans="2:17" ht="24.75" customHeight="1">
      <c r="C27" s="141" t="s">
        <v>129</v>
      </c>
      <c r="D27" s="155">
        <v>0</v>
      </c>
    </row>
    <row r="28" spans="2:17" ht="24.75" customHeight="1">
      <c r="C28" s="142" t="s">
        <v>123</v>
      </c>
      <c r="D28" s="156">
        <v>0</v>
      </c>
    </row>
    <row r="29" spans="2:17" ht="24.75" customHeight="1">
      <c r="C29" s="141" t="s">
        <v>130</v>
      </c>
      <c r="D29" s="157">
        <v>0</v>
      </c>
    </row>
    <row r="30" spans="2:17" ht="24.75" customHeight="1">
      <c r="C30" s="149" t="s">
        <v>123</v>
      </c>
      <c r="D30" s="158">
        <v>0</v>
      </c>
    </row>
    <row r="31" spans="2:17" ht="12" customHeight="1"/>
    <row r="32" spans="2:17" ht="18" customHeight="1">
      <c r="B32" s="4" t="s">
        <v>139</v>
      </c>
    </row>
    <row r="33" spans="3:7" ht="12" customHeight="1"/>
    <row r="34" spans="3:7" ht="24.75" customHeight="1">
      <c r="C34" s="72"/>
      <c r="D34" s="718" t="s">
        <v>132</v>
      </c>
      <c r="E34" s="719"/>
      <c r="F34" s="74"/>
      <c r="G34" s="112" t="s">
        <v>128</v>
      </c>
    </row>
    <row r="35" spans="3:7" ht="24.75" customHeight="1">
      <c r="C35" s="124" t="s">
        <v>118</v>
      </c>
      <c r="D35" s="711">
        <v>0</v>
      </c>
      <c r="E35" s="717"/>
      <c r="F35" s="160" t="s">
        <v>118</v>
      </c>
      <c r="G35" s="154">
        <v>0</v>
      </c>
    </row>
    <row r="36" spans="3:7" ht="24.75" customHeight="1">
      <c r="C36" s="75"/>
      <c r="D36" s="161" t="s">
        <v>119</v>
      </c>
      <c r="E36" s="162" t="s">
        <v>120</v>
      </c>
      <c r="F36" s="163" t="s">
        <v>129</v>
      </c>
      <c r="G36" s="164">
        <v>0</v>
      </c>
    </row>
    <row r="37" spans="3:7" ht="24.75" customHeight="1">
      <c r="C37" s="165" t="s">
        <v>133</v>
      </c>
      <c r="D37" s="166">
        <v>0</v>
      </c>
      <c r="E37" s="157">
        <v>0</v>
      </c>
      <c r="F37" s="167" t="s">
        <v>134</v>
      </c>
      <c r="G37" s="156">
        <v>0</v>
      </c>
    </row>
    <row r="38" spans="3:7" ht="24.75" customHeight="1">
      <c r="C38" s="142" t="s">
        <v>123</v>
      </c>
      <c r="D38" s="138">
        <v>0</v>
      </c>
      <c r="E38" s="156">
        <v>0</v>
      </c>
      <c r="F38" s="168" t="s">
        <v>130</v>
      </c>
      <c r="G38" s="157">
        <v>0</v>
      </c>
    </row>
    <row r="39" spans="3:7" ht="24.75" customHeight="1">
      <c r="C39" s="141" t="s">
        <v>125</v>
      </c>
      <c r="D39" s="166">
        <v>0</v>
      </c>
      <c r="E39" s="157">
        <v>0</v>
      </c>
      <c r="F39" s="169" t="s">
        <v>134</v>
      </c>
      <c r="G39" s="158">
        <v>0</v>
      </c>
    </row>
    <row r="40" spans="3:7" ht="24.75" customHeight="1">
      <c r="C40" s="170" t="s">
        <v>123</v>
      </c>
      <c r="D40" s="171">
        <v>0</v>
      </c>
      <c r="E40" s="156">
        <v>0</v>
      </c>
    </row>
    <row r="41" spans="3:7" ht="24.75" customHeight="1">
      <c r="C41" s="141" t="s">
        <v>135</v>
      </c>
      <c r="D41" s="132">
        <v>0</v>
      </c>
      <c r="E41" s="157">
        <v>0</v>
      </c>
    </row>
    <row r="42" spans="3:7" ht="24.75" customHeight="1">
      <c r="C42" s="149" t="s">
        <v>123</v>
      </c>
      <c r="D42" s="151">
        <v>0</v>
      </c>
      <c r="E42" s="158">
        <v>0</v>
      </c>
    </row>
    <row r="43" spans="3:7" ht="12" customHeight="1"/>
  </sheetData>
  <sheetProtection selectLockedCells="1" selectUnlockedCells="1"/>
  <mergeCells count="18">
    <mergeCell ref="N12:O12"/>
    <mergeCell ref="P12:Q12"/>
    <mergeCell ref="D11:E11"/>
    <mergeCell ref="F11:G11"/>
    <mergeCell ref="J12:K12"/>
    <mergeCell ref="L12:M12"/>
    <mergeCell ref="A3:R3"/>
    <mergeCell ref="A4:R4"/>
    <mergeCell ref="N11:O11"/>
    <mergeCell ref="P11:Q11"/>
    <mergeCell ref="H11:I11"/>
    <mergeCell ref="J11:K11"/>
    <mergeCell ref="L11:M11"/>
    <mergeCell ref="D35:E35"/>
    <mergeCell ref="D34:E34"/>
    <mergeCell ref="D12:E12"/>
    <mergeCell ref="F12:G12"/>
    <mergeCell ref="H12:I12"/>
  </mergeCells>
  <phoneticPr fontId="34"/>
  <pageMargins left="0.7" right="0.7" top="0.75" bottom="0.75" header="0.3" footer="0.3"/>
  <pageSetup paperSize="9" scale="5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showGridLines="0" workbookViewId="0"/>
  </sheetViews>
  <sheetFormatPr defaultColWidth="9" defaultRowHeight="0" customHeight="1" zeroHeight="1"/>
  <cols>
    <col min="1" max="2" width="3.7265625" style="3" customWidth="1"/>
    <col min="3" max="3" width="23.86328125" style="3" customWidth="1"/>
    <col min="4" max="6" width="14.40625" style="3" customWidth="1"/>
    <col min="7" max="7" width="4" style="3" customWidth="1"/>
  </cols>
  <sheetData>
    <row r="1" spans="1:7" ht="18" customHeight="1">
      <c r="A1" s="4" t="s">
        <v>140</v>
      </c>
      <c r="G1" s="90"/>
    </row>
    <row r="2" spans="1:7" ht="18" customHeight="1">
      <c r="G2" s="90"/>
    </row>
    <row r="3" spans="1:7" ht="18" customHeight="1">
      <c r="A3" s="627" t="s">
        <v>1</v>
      </c>
      <c r="B3" s="627"/>
      <c r="C3" s="627"/>
      <c r="D3" s="627"/>
      <c r="E3" s="627"/>
      <c r="F3" s="627"/>
      <c r="G3" s="627"/>
    </row>
    <row r="4" spans="1:7" ht="18" customHeight="1">
      <c r="A4" s="627" t="s">
        <v>2</v>
      </c>
      <c r="B4" s="627"/>
      <c r="C4" s="627"/>
      <c r="D4" s="627"/>
      <c r="E4" s="627"/>
      <c r="F4" s="627"/>
      <c r="G4" s="627"/>
    </row>
    <row r="5" spans="1:7" ht="18" customHeight="1">
      <c r="E5" s="91" t="s">
        <v>3</v>
      </c>
      <c r="F5" s="92" t="s">
        <v>4</v>
      </c>
    </row>
    <row r="6" spans="1:7" ht="18" customHeight="1">
      <c r="E6" s="93" t="s">
        <v>5</v>
      </c>
      <c r="F6" s="94" t="s">
        <v>6</v>
      </c>
      <c r="G6" s="3" t="s">
        <v>7</v>
      </c>
    </row>
    <row r="7" spans="1:7" ht="18" customHeight="1">
      <c r="E7" s="69"/>
      <c r="F7" s="70"/>
    </row>
    <row r="8" spans="1:7" ht="18" customHeight="1">
      <c r="B8" s="4" t="s">
        <v>111</v>
      </c>
    </row>
    <row r="9" spans="1:7" ht="12" customHeight="1"/>
    <row r="10" spans="1:7" ht="18" customHeight="1">
      <c r="B10" s="4" t="s">
        <v>141</v>
      </c>
    </row>
    <row r="11" spans="1:7" ht="12" customHeight="1"/>
    <row r="12" spans="1:7" ht="24" customHeight="1">
      <c r="C12" s="71"/>
      <c r="D12" s="110" t="s">
        <v>142</v>
      </c>
      <c r="E12" s="110" t="s">
        <v>143</v>
      </c>
      <c r="F12" s="112" t="s">
        <v>109</v>
      </c>
    </row>
    <row r="13" spans="1:7" ht="24" customHeight="1">
      <c r="C13" s="142" t="s">
        <v>118</v>
      </c>
      <c r="D13" s="137">
        <v>0</v>
      </c>
      <c r="E13" s="137">
        <v>0</v>
      </c>
      <c r="F13" s="176">
        <v>0</v>
      </c>
    </row>
    <row r="14" spans="1:7" ht="24" customHeight="1">
      <c r="C14" s="165" t="s">
        <v>144</v>
      </c>
      <c r="D14" s="143">
        <v>0</v>
      </c>
      <c r="E14" s="143">
        <v>0</v>
      </c>
      <c r="F14" s="140">
        <v>0</v>
      </c>
    </row>
    <row r="15" spans="1:7" ht="24" customHeight="1">
      <c r="C15" s="142" t="s">
        <v>145</v>
      </c>
      <c r="D15" s="137">
        <v>0</v>
      </c>
      <c r="E15" s="137">
        <v>0</v>
      </c>
      <c r="F15" s="176">
        <v>0</v>
      </c>
    </row>
    <row r="16" spans="1:7" ht="24" customHeight="1">
      <c r="C16" s="165" t="s">
        <v>146</v>
      </c>
      <c r="D16" s="143">
        <v>0</v>
      </c>
      <c r="E16" s="143">
        <v>0</v>
      </c>
      <c r="F16" s="140">
        <v>0</v>
      </c>
    </row>
    <row r="17" spans="3:6" ht="24" customHeight="1">
      <c r="C17" s="142" t="s">
        <v>145</v>
      </c>
      <c r="D17" s="137">
        <v>0</v>
      </c>
      <c r="E17" s="137">
        <v>0</v>
      </c>
      <c r="F17" s="176">
        <v>0</v>
      </c>
    </row>
    <row r="18" spans="3:6" ht="24" customHeight="1">
      <c r="C18" s="165" t="s">
        <v>147</v>
      </c>
      <c r="D18" s="143">
        <v>0</v>
      </c>
      <c r="E18" s="143">
        <v>0</v>
      </c>
      <c r="F18" s="140">
        <v>0</v>
      </c>
    </row>
    <row r="19" spans="3:6" ht="24" customHeight="1">
      <c r="C19" s="149" t="s">
        <v>145</v>
      </c>
      <c r="D19" s="150">
        <v>0</v>
      </c>
      <c r="E19" s="150">
        <v>0</v>
      </c>
      <c r="F19" s="153">
        <v>0</v>
      </c>
    </row>
    <row r="20" spans="3:6" ht="12" customHeight="1"/>
  </sheetData>
  <sheetProtection selectLockedCells="1" selectUnlockedCells="1"/>
  <mergeCells count="2">
    <mergeCell ref="A3:G3"/>
    <mergeCell ref="A4:G4"/>
  </mergeCells>
  <phoneticPr fontId="3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1"/>
  <sheetViews>
    <sheetView view="pageBreakPreview" zoomScale="60" zoomScaleNormal="100" workbookViewId="0"/>
  </sheetViews>
  <sheetFormatPr defaultRowHeight="12" customHeight="1"/>
  <cols>
    <col min="1" max="2" width="2.26953125" style="15" customWidth="1"/>
    <col min="3" max="3" width="2.86328125" style="15" customWidth="1"/>
    <col min="4" max="4" width="17.40625" style="15" customWidth="1"/>
    <col min="5" max="15" width="14.40625" style="15" customWidth="1"/>
    <col min="16" max="16" width="4" style="15" customWidth="1"/>
  </cols>
  <sheetData>
    <row r="1" spans="1:16" ht="18" customHeight="1">
      <c r="A1" s="177" t="s">
        <v>148</v>
      </c>
      <c r="B1" s="12"/>
      <c r="C1" s="12"/>
      <c r="D1" s="12"/>
      <c r="E1" s="12"/>
      <c r="F1" s="12"/>
      <c r="G1" s="12"/>
      <c r="H1" s="12"/>
      <c r="I1" s="12"/>
      <c r="J1" s="12"/>
      <c r="K1" s="12"/>
      <c r="L1" s="12"/>
      <c r="M1" s="12"/>
      <c r="N1" s="12"/>
      <c r="O1" s="12"/>
      <c r="P1" s="119"/>
    </row>
    <row r="2" spans="1:16" ht="18.75" customHeight="1">
      <c r="A2" s="12"/>
      <c r="B2" s="12"/>
      <c r="C2" s="12"/>
      <c r="D2" s="12"/>
      <c r="E2" s="12"/>
      <c r="F2" s="12"/>
      <c r="G2" s="12"/>
      <c r="H2" s="12"/>
      <c r="I2" s="12"/>
      <c r="J2" s="12"/>
      <c r="K2" s="12"/>
      <c r="L2" s="12"/>
      <c r="M2" s="12"/>
      <c r="N2" s="12"/>
      <c r="O2" s="12"/>
      <c r="P2" s="119"/>
    </row>
    <row r="3" spans="1:16" ht="21" customHeight="1">
      <c r="A3" s="619" t="s">
        <v>1</v>
      </c>
      <c r="B3" s="619"/>
      <c r="C3" s="619"/>
      <c r="D3" s="619"/>
      <c r="E3" s="619"/>
      <c r="F3" s="619"/>
      <c r="G3" s="619"/>
      <c r="H3" s="619"/>
      <c r="I3" s="619"/>
      <c r="J3" s="619"/>
      <c r="K3" s="619"/>
      <c r="L3" s="619"/>
      <c r="M3" s="619"/>
      <c r="N3" s="619"/>
      <c r="O3" s="619"/>
      <c r="P3" s="619"/>
    </row>
    <row r="4" spans="1:16" ht="17.25" customHeight="1">
      <c r="A4" s="620" t="s">
        <v>2</v>
      </c>
      <c r="B4" s="619"/>
      <c r="C4" s="619"/>
      <c r="D4" s="619"/>
      <c r="E4" s="619"/>
      <c r="F4" s="619"/>
      <c r="G4" s="619"/>
      <c r="H4" s="619"/>
      <c r="I4" s="619"/>
      <c r="J4" s="619"/>
      <c r="K4" s="619"/>
      <c r="L4" s="619"/>
      <c r="M4" s="619"/>
      <c r="N4" s="619"/>
      <c r="O4" s="619"/>
      <c r="P4" s="619"/>
    </row>
    <row r="5" spans="1:16" ht="21" customHeight="1">
      <c r="A5" s="12"/>
      <c r="B5" s="12"/>
      <c r="C5" s="12"/>
      <c r="D5" s="12"/>
      <c r="E5" s="12"/>
      <c r="F5" s="12"/>
      <c r="G5" s="12"/>
      <c r="H5" s="12"/>
      <c r="I5" s="12"/>
      <c r="J5" s="12"/>
      <c r="K5" s="12"/>
      <c r="L5" s="12"/>
      <c r="M5" s="12"/>
      <c r="N5" s="178" t="s">
        <v>32</v>
      </c>
      <c r="O5" s="179" t="s">
        <v>4</v>
      </c>
      <c r="P5" s="12"/>
    </row>
    <row r="6" spans="1:16" ht="21" customHeight="1">
      <c r="A6" s="12"/>
      <c r="B6" s="12"/>
      <c r="C6" s="12"/>
      <c r="D6" s="12"/>
      <c r="E6" s="12"/>
      <c r="F6" s="12"/>
      <c r="G6" s="12"/>
      <c r="H6" s="12"/>
      <c r="I6" s="12"/>
      <c r="J6" s="12"/>
      <c r="K6" s="12"/>
      <c r="L6" s="12"/>
      <c r="M6" s="12"/>
      <c r="N6" s="178" t="s">
        <v>33</v>
      </c>
      <c r="O6" s="179" t="s">
        <v>6</v>
      </c>
      <c r="P6" s="180" t="s">
        <v>7</v>
      </c>
    </row>
    <row r="7" spans="1:16" ht="21" customHeight="1">
      <c r="A7" s="13" t="s">
        <v>34</v>
      </c>
      <c r="B7" s="17"/>
      <c r="C7" s="18"/>
      <c r="D7" s="18"/>
      <c r="E7" s="18"/>
      <c r="F7" s="18"/>
      <c r="G7" s="18"/>
      <c r="H7" s="18"/>
      <c r="I7" s="18"/>
      <c r="J7" s="18"/>
      <c r="K7" s="18"/>
      <c r="L7" s="18"/>
      <c r="M7" s="18"/>
      <c r="N7" s="18"/>
      <c r="O7" s="18"/>
      <c r="P7" s="12"/>
    </row>
    <row r="8" spans="1:16" ht="21" customHeight="1">
      <c r="A8" s="18"/>
      <c r="B8" s="13" t="s">
        <v>149</v>
      </c>
      <c r="C8" s="18"/>
      <c r="D8" s="18"/>
      <c r="E8" s="18"/>
      <c r="F8" s="18"/>
      <c r="G8" s="18"/>
      <c r="H8" s="18"/>
      <c r="I8" s="18"/>
      <c r="J8" s="18"/>
      <c r="K8" s="18"/>
      <c r="L8" s="18"/>
      <c r="M8" s="18"/>
      <c r="N8" s="18"/>
      <c r="O8" s="18"/>
      <c r="P8" s="12"/>
    </row>
    <row r="9" spans="1:16" ht="21" customHeight="1">
      <c r="A9" s="18"/>
      <c r="B9" s="17"/>
      <c r="C9" s="13" t="s">
        <v>150</v>
      </c>
      <c r="D9" s="18"/>
      <c r="E9" s="18"/>
      <c r="F9" s="18"/>
      <c r="G9" s="18"/>
      <c r="H9" s="18"/>
      <c r="I9" s="18"/>
      <c r="J9" s="18"/>
      <c r="K9" s="18"/>
      <c r="L9" s="18"/>
      <c r="M9" s="18"/>
      <c r="N9" s="18"/>
      <c r="O9" s="18"/>
      <c r="P9" s="12"/>
    </row>
    <row r="10" spans="1:16" s="28" customFormat="1" ht="21" customHeight="1">
      <c r="A10" s="18"/>
      <c r="B10" s="18"/>
      <c r="C10" s="725" t="s">
        <v>151</v>
      </c>
      <c r="D10" s="181"/>
      <c r="E10" s="182" t="s">
        <v>152</v>
      </c>
      <c r="F10" s="182" t="s">
        <v>153</v>
      </c>
      <c r="G10" s="182" t="s">
        <v>14</v>
      </c>
      <c r="H10" s="183" t="s">
        <v>154</v>
      </c>
      <c r="I10" s="184" t="s">
        <v>155</v>
      </c>
      <c r="J10" s="182" t="s">
        <v>156</v>
      </c>
      <c r="K10" s="182" t="s">
        <v>157</v>
      </c>
      <c r="L10" s="182" t="s">
        <v>158</v>
      </c>
      <c r="M10" s="182" t="s">
        <v>159</v>
      </c>
      <c r="N10" s="182" t="s">
        <v>14</v>
      </c>
      <c r="O10" s="185" t="s">
        <v>109</v>
      </c>
      <c r="P10" s="18"/>
    </row>
    <row r="11" spans="1:16" s="28" customFormat="1" ht="21" customHeight="1">
      <c r="A11" s="18"/>
      <c r="B11" s="18"/>
      <c r="C11" s="726"/>
      <c r="D11" s="186" t="s">
        <v>160</v>
      </c>
      <c r="E11" s="187">
        <v>7</v>
      </c>
      <c r="F11" s="187">
        <v>23</v>
      </c>
      <c r="G11" s="188">
        <v>30</v>
      </c>
      <c r="H11" s="189"/>
      <c r="I11" s="187">
        <v>29</v>
      </c>
      <c r="J11" s="187">
        <v>45</v>
      </c>
      <c r="K11" s="187">
        <v>38</v>
      </c>
      <c r="L11" s="187">
        <v>25</v>
      </c>
      <c r="M11" s="187">
        <v>10</v>
      </c>
      <c r="N11" s="190">
        <v>147</v>
      </c>
      <c r="O11" s="191">
        <v>177</v>
      </c>
      <c r="P11" s="18"/>
    </row>
    <row r="12" spans="1:16" s="28" customFormat="1" ht="21" customHeight="1">
      <c r="A12" s="38"/>
      <c r="B12" s="39"/>
      <c r="C12" s="726"/>
      <c r="D12" s="192" t="s">
        <v>161</v>
      </c>
      <c r="E12" s="193">
        <v>1</v>
      </c>
      <c r="F12" s="193">
        <v>0</v>
      </c>
      <c r="G12" s="190">
        <v>1</v>
      </c>
      <c r="H12" s="194"/>
      <c r="I12" s="193">
        <v>1</v>
      </c>
      <c r="J12" s="193">
        <v>0</v>
      </c>
      <c r="K12" s="193">
        <v>3</v>
      </c>
      <c r="L12" s="193">
        <v>3</v>
      </c>
      <c r="M12" s="193">
        <v>0</v>
      </c>
      <c r="N12" s="190">
        <v>7</v>
      </c>
      <c r="O12" s="191">
        <v>8</v>
      </c>
      <c r="P12" s="18"/>
    </row>
    <row r="13" spans="1:16" s="28" customFormat="1" ht="21" customHeight="1">
      <c r="A13" s="38"/>
      <c r="B13" s="39"/>
      <c r="C13" s="726"/>
      <c r="D13" s="195" t="s">
        <v>162</v>
      </c>
      <c r="E13" s="193">
        <v>1</v>
      </c>
      <c r="F13" s="193">
        <v>2</v>
      </c>
      <c r="G13" s="190">
        <v>3</v>
      </c>
      <c r="H13" s="194"/>
      <c r="I13" s="193">
        <v>3</v>
      </c>
      <c r="J13" s="193">
        <v>2</v>
      </c>
      <c r="K13" s="193">
        <v>9</v>
      </c>
      <c r="L13" s="193">
        <v>2</v>
      </c>
      <c r="M13" s="193">
        <v>0</v>
      </c>
      <c r="N13" s="190">
        <v>16</v>
      </c>
      <c r="O13" s="191">
        <v>19</v>
      </c>
      <c r="P13" s="18"/>
    </row>
    <row r="14" spans="1:16" s="28" customFormat="1" ht="21" customHeight="1">
      <c r="A14" s="38"/>
      <c r="B14" s="39"/>
      <c r="C14" s="726"/>
      <c r="D14" s="195" t="s">
        <v>163</v>
      </c>
      <c r="E14" s="193">
        <v>2</v>
      </c>
      <c r="F14" s="193">
        <v>5</v>
      </c>
      <c r="G14" s="190">
        <v>7</v>
      </c>
      <c r="H14" s="194"/>
      <c r="I14" s="193">
        <v>2</v>
      </c>
      <c r="J14" s="193">
        <v>10</v>
      </c>
      <c r="K14" s="193">
        <v>3</v>
      </c>
      <c r="L14" s="193">
        <v>5</v>
      </c>
      <c r="M14" s="193">
        <v>3</v>
      </c>
      <c r="N14" s="190">
        <v>23</v>
      </c>
      <c r="O14" s="191">
        <v>30</v>
      </c>
      <c r="P14" s="18"/>
    </row>
    <row r="15" spans="1:16" s="28" customFormat="1" ht="21" customHeight="1">
      <c r="A15" s="18"/>
      <c r="B15" s="18"/>
      <c r="C15" s="726"/>
      <c r="D15" s="195" t="s">
        <v>164</v>
      </c>
      <c r="E15" s="193">
        <v>0</v>
      </c>
      <c r="F15" s="193">
        <v>7</v>
      </c>
      <c r="G15" s="190">
        <v>7</v>
      </c>
      <c r="H15" s="194"/>
      <c r="I15" s="193">
        <v>7</v>
      </c>
      <c r="J15" s="193">
        <v>15</v>
      </c>
      <c r="K15" s="193">
        <v>7</v>
      </c>
      <c r="L15" s="193">
        <v>3</v>
      </c>
      <c r="M15" s="193">
        <v>0</v>
      </c>
      <c r="N15" s="190">
        <v>32</v>
      </c>
      <c r="O15" s="191">
        <v>39</v>
      </c>
      <c r="P15" s="18"/>
    </row>
    <row r="16" spans="1:16" s="53" customFormat="1" ht="21" customHeight="1">
      <c r="A16" s="18"/>
      <c r="B16" s="18"/>
      <c r="C16" s="726"/>
      <c r="D16" s="195" t="s">
        <v>165</v>
      </c>
      <c r="E16" s="193">
        <v>1</v>
      </c>
      <c r="F16" s="193">
        <v>5</v>
      </c>
      <c r="G16" s="190">
        <v>6</v>
      </c>
      <c r="H16" s="194"/>
      <c r="I16" s="193">
        <v>6</v>
      </c>
      <c r="J16" s="193">
        <v>11</v>
      </c>
      <c r="K16" s="193">
        <v>8</v>
      </c>
      <c r="L16" s="193">
        <v>4</v>
      </c>
      <c r="M16" s="193">
        <v>2</v>
      </c>
      <c r="N16" s="190">
        <v>31</v>
      </c>
      <c r="O16" s="191">
        <v>37</v>
      </c>
      <c r="P16" s="18"/>
    </row>
    <row r="17" spans="1:16" s="28" customFormat="1" ht="21" customHeight="1">
      <c r="A17" s="18"/>
      <c r="B17" s="18"/>
      <c r="C17" s="726"/>
      <c r="D17" s="195" t="s">
        <v>166</v>
      </c>
      <c r="E17" s="193">
        <v>2</v>
      </c>
      <c r="F17" s="193">
        <v>4</v>
      </c>
      <c r="G17" s="190">
        <v>6</v>
      </c>
      <c r="H17" s="194"/>
      <c r="I17" s="193">
        <v>10</v>
      </c>
      <c r="J17" s="193">
        <v>7</v>
      </c>
      <c r="K17" s="193">
        <v>8</v>
      </c>
      <c r="L17" s="193">
        <v>8</v>
      </c>
      <c r="M17" s="193">
        <v>5</v>
      </c>
      <c r="N17" s="190">
        <v>38</v>
      </c>
      <c r="O17" s="191">
        <v>44</v>
      </c>
      <c r="P17" s="18"/>
    </row>
    <row r="18" spans="1:16" s="28" customFormat="1" ht="21" customHeight="1">
      <c r="A18" s="18"/>
      <c r="B18" s="18"/>
      <c r="C18" s="726"/>
      <c r="D18" s="186" t="s">
        <v>167</v>
      </c>
      <c r="E18" s="193">
        <v>0</v>
      </c>
      <c r="F18" s="193">
        <v>2</v>
      </c>
      <c r="G18" s="190">
        <v>2</v>
      </c>
      <c r="H18" s="194"/>
      <c r="I18" s="193">
        <v>0</v>
      </c>
      <c r="J18" s="193">
        <v>2</v>
      </c>
      <c r="K18" s="193">
        <v>0</v>
      </c>
      <c r="L18" s="193">
        <v>1</v>
      </c>
      <c r="M18" s="193">
        <v>1</v>
      </c>
      <c r="N18" s="190">
        <v>4</v>
      </c>
      <c r="O18" s="191">
        <v>6</v>
      </c>
      <c r="P18" s="18"/>
    </row>
    <row r="19" spans="1:16" s="28" customFormat="1" ht="21" customHeight="1">
      <c r="A19" s="18"/>
      <c r="B19" s="18"/>
      <c r="C19" s="727"/>
      <c r="D19" s="196" t="s">
        <v>168</v>
      </c>
      <c r="E19" s="187">
        <v>7</v>
      </c>
      <c r="F19" s="187">
        <v>25</v>
      </c>
      <c r="G19" s="190">
        <v>32</v>
      </c>
      <c r="H19" s="189"/>
      <c r="I19" s="187">
        <v>29</v>
      </c>
      <c r="J19" s="187">
        <v>47</v>
      </c>
      <c r="K19" s="187">
        <v>38</v>
      </c>
      <c r="L19" s="187">
        <v>26</v>
      </c>
      <c r="M19" s="187">
        <v>11</v>
      </c>
      <c r="N19" s="190">
        <v>151</v>
      </c>
      <c r="O19" s="197">
        <v>183</v>
      </c>
      <c r="P19" s="18"/>
    </row>
    <row r="20" spans="1:16" s="28" customFormat="1" ht="21" customHeight="1">
      <c r="A20" s="38"/>
      <c r="B20" s="39"/>
      <c r="C20" s="725" t="s">
        <v>169</v>
      </c>
      <c r="D20" s="181"/>
      <c r="E20" s="182" t="s">
        <v>152</v>
      </c>
      <c r="F20" s="182" t="s">
        <v>153</v>
      </c>
      <c r="G20" s="182" t="s">
        <v>14</v>
      </c>
      <c r="H20" s="183" t="s">
        <v>154</v>
      </c>
      <c r="I20" s="184" t="s">
        <v>155</v>
      </c>
      <c r="J20" s="182" t="s">
        <v>156</v>
      </c>
      <c r="K20" s="182" t="s">
        <v>157</v>
      </c>
      <c r="L20" s="182" t="s">
        <v>158</v>
      </c>
      <c r="M20" s="182" t="s">
        <v>159</v>
      </c>
      <c r="N20" s="182" t="s">
        <v>14</v>
      </c>
      <c r="O20" s="198" t="s">
        <v>109</v>
      </c>
      <c r="P20" s="18"/>
    </row>
    <row r="21" spans="1:16" s="28" customFormat="1" ht="21" customHeight="1">
      <c r="A21" s="38"/>
      <c r="B21" s="39"/>
      <c r="C21" s="726"/>
      <c r="D21" s="186" t="s">
        <v>160</v>
      </c>
      <c r="E21" s="187">
        <v>21</v>
      </c>
      <c r="F21" s="187">
        <v>50</v>
      </c>
      <c r="G21" s="188">
        <v>71</v>
      </c>
      <c r="H21" s="199"/>
      <c r="I21" s="187">
        <v>48</v>
      </c>
      <c r="J21" s="187">
        <v>71</v>
      </c>
      <c r="K21" s="187">
        <v>89</v>
      </c>
      <c r="L21" s="187">
        <v>59</v>
      </c>
      <c r="M21" s="187">
        <v>42</v>
      </c>
      <c r="N21" s="190">
        <v>309</v>
      </c>
      <c r="O21" s="191">
        <v>380</v>
      </c>
      <c r="P21" s="18"/>
    </row>
    <row r="22" spans="1:16" s="28" customFormat="1" ht="21" customHeight="1">
      <c r="A22" s="18"/>
      <c r="B22" s="18"/>
      <c r="C22" s="726"/>
      <c r="D22" s="192" t="s">
        <v>161</v>
      </c>
      <c r="E22" s="193">
        <v>1</v>
      </c>
      <c r="F22" s="193">
        <v>1</v>
      </c>
      <c r="G22" s="190">
        <v>2</v>
      </c>
      <c r="H22" s="194"/>
      <c r="I22" s="193">
        <v>0</v>
      </c>
      <c r="J22" s="193">
        <v>2</v>
      </c>
      <c r="K22" s="193">
        <v>1</v>
      </c>
      <c r="L22" s="193">
        <v>0</v>
      </c>
      <c r="M22" s="193">
        <v>2</v>
      </c>
      <c r="N22" s="190">
        <v>5</v>
      </c>
      <c r="O22" s="191">
        <v>7</v>
      </c>
      <c r="P22" s="18"/>
    </row>
    <row r="23" spans="1:16" s="28" customFormat="1" ht="21" customHeight="1">
      <c r="A23" s="18"/>
      <c r="B23" s="18"/>
      <c r="C23" s="726"/>
      <c r="D23" s="195" t="s">
        <v>162</v>
      </c>
      <c r="E23" s="193">
        <v>1</v>
      </c>
      <c r="F23" s="193">
        <v>5</v>
      </c>
      <c r="G23" s="190">
        <v>6</v>
      </c>
      <c r="H23" s="194"/>
      <c r="I23" s="193">
        <v>1</v>
      </c>
      <c r="J23" s="193">
        <v>2</v>
      </c>
      <c r="K23" s="193">
        <v>5</v>
      </c>
      <c r="L23" s="193">
        <v>1</v>
      </c>
      <c r="M23" s="193">
        <v>0</v>
      </c>
      <c r="N23" s="190">
        <v>9</v>
      </c>
      <c r="O23" s="191">
        <v>15</v>
      </c>
      <c r="P23" s="18"/>
    </row>
    <row r="24" spans="1:16" s="53" customFormat="1" ht="21" customHeight="1">
      <c r="A24" s="18"/>
      <c r="B24" s="18"/>
      <c r="C24" s="726"/>
      <c r="D24" s="195" t="s">
        <v>163</v>
      </c>
      <c r="E24" s="193">
        <v>3</v>
      </c>
      <c r="F24" s="193">
        <v>1</v>
      </c>
      <c r="G24" s="190">
        <v>4</v>
      </c>
      <c r="H24" s="194"/>
      <c r="I24" s="193">
        <v>5</v>
      </c>
      <c r="J24" s="193">
        <v>7</v>
      </c>
      <c r="K24" s="193">
        <v>4</v>
      </c>
      <c r="L24" s="193">
        <v>4</v>
      </c>
      <c r="M24" s="193">
        <v>3</v>
      </c>
      <c r="N24" s="190">
        <v>23</v>
      </c>
      <c r="O24" s="191">
        <v>27</v>
      </c>
      <c r="P24" s="18"/>
    </row>
    <row r="25" spans="1:16" s="28" customFormat="1" ht="21" customHeight="1">
      <c r="A25" s="18"/>
      <c r="B25" s="18"/>
      <c r="C25" s="726"/>
      <c r="D25" s="195" t="s">
        <v>164</v>
      </c>
      <c r="E25" s="193">
        <v>4</v>
      </c>
      <c r="F25" s="193">
        <v>13</v>
      </c>
      <c r="G25" s="190">
        <v>17</v>
      </c>
      <c r="H25" s="194"/>
      <c r="I25" s="193">
        <v>8</v>
      </c>
      <c r="J25" s="193">
        <v>12</v>
      </c>
      <c r="K25" s="193">
        <v>10</v>
      </c>
      <c r="L25" s="193">
        <v>9</v>
      </c>
      <c r="M25" s="193">
        <v>4</v>
      </c>
      <c r="N25" s="190">
        <v>43</v>
      </c>
      <c r="O25" s="191">
        <v>60</v>
      </c>
      <c r="P25" s="18"/>
    </row>
    <row r="26" spans="1:16" s="28" customFormat="1" ht="21" customHeight="1">
      <c r="A26" s="18"/>
      <c r="B26" s="18"/>
      <c r="C26" s="726"/>
      <c r="D26" s="195" t="s">
        <v>165</v>
      </c>
      <c r="E26" s="193">
        <v>9</v>
      </c>
      <c r="F26" s="193">
        <v>20</v>
      </c>
      <c r="G26" s="190">
        <v>29</v>
      </c>
      <c r="H26" s="194"/>
      <c r="I26" s="193">
        <v>21</v>
      </c>
      <c r="J26" s="193">
        <v>22</v>
      </c>
      <c r="K26" s="193">
        <v>19</v>
      </c>
      <c r="L26" s="193">
        <v>15</v>
      </c>
      <c r="M26" s="193">
        <v>12</v>
      </c>
      <c r="N26" s="190">
        <v>89</v>
      </c>
      <c r="O26" s="191">
        <v>118</v>
      </c>
      <c r="P26" s="18"/>
    </row>
    <row r="27" spans="1:16" s="28" customFormat="1" ht="21" customHeight="1">
      <c r="A27" s="18"/>
      <c r="B27" s="18"/>
      <c r="C27" s="726"/>
      <c r="D27" s="195" t="s">
        <v>166</v>
      </c>
      <c r="E27" s="193">
        <v>3</v>
      </c>
      <c r="F27" s="193">
        <v>10</v>
      </c>
      <c r="G27" s="190">
        <v>13</v>
      </c>
      <c r="H27" s="194"/>
      <c r="I27" s="193">
        <v>13</v>
      </c>
      <c r="J27" s="193">
        <v>26</v>
      </c>
      <c r="K27" s="193">
        <v>50</v>
      </c>
      <c r="L27" s="193">
        <v>30</v>
      </c>
      <c r="M27" s="193">
        <v>21</v>
      </c>
      <c r="N27" s="190">
        <v>140</v>
      </c>
      <c r="O27" s="191">
        <v>153</v>
      </c>
      <c r="P27" s="18"/>
    </row>
    <row r="28" spans="1:16" s="28" customFormat="1" ht="21" customHeight="1">
      <c r="A28" s="18"/>
      <c r="B28" s="18"/>
      <c r="C28" s="726"/>
      <c r="D28" s="186" t="s">
        <v>167</v>
      </c>
      <c r="E28" s="193">
        <v>0</v>
      </c>
      <c r="F28" s="193">
        <v>0</v>
      </c>
      <c r="G28" s="190">
        <v>0</v>
      </c>
      <c r="H28" s="194"/>
      <c r="I28" s="193">
        <v>0</v>
      </c>
      <c r="J28" s="193">
        <v>1</v>
      </c>
      <c r="K28" s="193">
        <v>1</v>
      </c>
      <c r="L28" s="193">
        <v>0</v>
      </c>
      <c r="M28" s="193">
        <v>0</v>
      </c>
      <c r="N28" s="190">
        <v>2</v>
      </c>
      <c r="O28" s="191">
        <v>2</v>
      </c>
      <c r="P28" s="18"/>
    </row>
    <row r="29" spans="1:16" s="28" customFormat="1" ht="21" customHeight="1">
      <c r="A29" s="38"/>
      <c r="B29" s="39"/>
      <c r="C29" s="727"/>
      <c r="D29" s="196" t="s">
        <v>168</v>
      </c>
      <c r="E29" s="187">
        <v>21</v>
      </c>
      <c r="F29" s="187">
        <v>50</v>
      </c>
      <c r="G29" s="190">
        <v>71</v>
      </c>
      <c r="H29" s="200"/>
      <c r="I29" s="187">
        <v>48</v>
      </c>
      <c r="J29" s="187">
        <v>72</v>
      </c>
      <c r="K29" s="187">
        <v>90</v>
      </c>
      <c r="L29" s="187">
        <v>59</v>
      </c>
      <c r="M29" s="187">
        <v>42</v>
      </c>
      <c r="N29" s="190">
        <v>311</v>
      </c>
      <c r="O29" s="197">
        <v>382</v>
      </c>
      <c r="P29" s="18"/>
    </row>
    <row r="30" spans="1:16" s="28" customFormat="1" ht="21" customHeight="1">
      <c r="A30" s="38"/>
      <c r="B30" s="39"/>
      <c r="C30" s="725" t="s">
        <v>14</v>
      </c>
      <c r="D30" s="181"/>
      <c r="E30" s="182" t="s">
        <v>152</v>
      </c>
      <c r="F30" s="182" t="s">
        <v>153</v>
      </c>
      <c r="G30" s="182" t="s">
        <v>14</v>
      </c>
      <c r="H30" s="183" t="s">
        <v>154</v>
      </c>
      <c r="I30" s="184" t="s">
        <v>155</v>
      </c>
      <c r="J30" s="182" t="s">
        <v>156</v>
      </c>
      <c r="K30" s="182" t="s">
        <v>157</v>
      </c>
      <c r="L30" s="182" t="s">
        <v>158</v>
      </c>
      <c r="M30" s="182" t="s">
        <v>159</v>
      </c>
      <c r="N30" s="182" t="s">
        <v>14</v>
      </c>
      <c r="O30" s="198" t="s">
        <v>109</v>
      </c>
      <c r="P30" s="18"/>
    </row>
    <row r="31" spans="1:16" s="28" customFormat="1" ht="21" customHeight="1">
      <c r="A31" s="18"/>
      <c r="B31" s="18"/>
      <c r="C31" s="726"/>
      <c r="D31" s="186" t="s">
        <v>160</v>
      </c>
      <c r="E31" s="187">
        <v>28</v>
      </c>
      <c r="F31" s="187">
        <v>73</v>
      </c>
      <c r="G31" s="188">
        <v>101</v>
      </c>
      <c r="H31" s="201"/>
      <c r="I31" s="187">
        <v>77</v>
      </c>
      <c r="J31" s="187">
        <v>116</v>
      </c>
      <c r="K31" s="187">
        <v>127</v>
      </c>
      <c r="L31" s="187">
        <v>84</v>
      </c>
      <c r="M31" s="187">
        <v>52</v>
      </c>
      <c r="N31" s="190">
        <v>456</v>
      </c>
      <c r="O31" s="191">
        <v>557</v>
      </c>
      <c r="P31" s="18"/>
    </row>
    <row r="32" spans="1:16" s="28" customFormat="1" ht="21" customHeight="1">
      <c r="A32" s="38"/>
      <c r="B32" s="39"/>
      <c r="C32" s="726"/>
      <c r="D32" s="192" t="s">
        <v>161</v>
      </c>
      <c r="E32" s="187">
        <v>2</v>
      </c>
      <c r="F32" s="187">
        <v>1</v>
      </c>
      <c r="G32" s="188">
        <v>3</v>
      </c>
      <c r="H32" s="201"/>
      <c r="I32" s="187">
        <v>1</v>
      </c>
      <c r="J32" s="187">
        <v>2</v>
      </c>
      <c r="K32" s="187">
        <v>4</v>
      </c>
      <c r="L32" s="187">
        <v>3</v>
      </c>
      <c r="M32" s="187">
        <v>2</v>
      </c>
      <c r="N32" s="190">
        <v>12</v>
      </c>
      <c r="O32" s="191">
        <v>15</v>
      </c>
      <c r="P32" s="18"/>
    </row>
    <row r="33" spans="1:16" s="28" customFormat="1" ht="21" customHeight="1">
      <c r="A33" s="38"/>
      <c r="B33" s="39"/>
      <c r="C33" s="726"/>
      <c r="D33" s="195" t="s">
        <v>162</v>
      </c>
      <c r="E33" s="187">
        <v>2</v>
      </c>
      <c r="F33" s="187">
        <v>7</v>
      </c>
      <c r="G33" s="188">
        <v>9</v>
      </c>
      <c r="H33" s="201"/>
      <c r="I33" s="187">
        <v>4</v>
      </c>
      <c r="J33" s="187">
        <v>4</v>
      </c>
      <c r="K33" s="187">
        <v>14</v>
      </c>
      <c r="L33" s="187">
        <v>3</v>
      </c>
      <c r="M33" s="187">
        <v>0</v>
      </c>
      <c r="N33" s="190">
        <v>25</v>
      </c>
      <c r="O33" s="191">
        <v>34</v>
      </c>
      <c r="P33" s="18"/>
    </row>
    <row r="34" spans="1:16" s="28" customFormat="1" ht="21" customHeight="1">
      <c r="A34" s="18"/>
      <c r="B34" s="18"/>
      <c r="C34" s="726"/>
      <c r="D34" s="195" t="s">
        <v>163</v>
      </c>
      <c r="E34" s="187">
        <v>5</v>
      </c>
      <c r="F34" s="187">
        <v>6</v>
      </c>
      <c r="G34" s="188">
        <v>11</v>
      </c>
      <c r="H34" s="201"/>
      <c r="I34" s="187">
        <v>7</v>
      </c>
      <c r="J34" s="187">
        <v>17</v>
      </c>
      <c r="K34" s="187">
        <v>7</v>
      </c>
      <c r="L34" s="187">
        <v>9</v>
      </c>
      <c r="M34" s="187">
        <v>6</v>
      </c>
      <c r="N34" s="190">
        <v>46</v>
      </c>
      <c r="O34" s="191">
        <v>57</v>
      </c>
      <c r="P34" s="18"/>
    </row>
    <row r="35" spans="1:16" s="28" customFormat="1" ht="21" customHeight="1">
      <c r="A35" s="38"/>
      <c r="B35" s="39"/>
      <c r="C35" s="726"/>
      <c r="D35" s="195" t="s">
        <v>164</v>
      </c>
      <c r="E35" s="187">
        <v>4</v>
      </c>
      <c r="F35" s="187">
        <v>20</v>
      </c>
      <c r="G35" s="188">
        <v>24</v>
      </c>
      <c r="H35" s="201"/>
      <c r="I35" s="187">
        <v>15</v>
      </c>
      <c r="J35" s="187">
        <v>27</v>
      </c>
      <c r="K35" s="187">
        <v>17</v>
      </c>
      <c r="L35" s="187">
        <v>12</v>
      </c>
      <c r="M35" s="187">
        <v>4</v>
      </c>
      <c r="N35" s="190">
        <v>75</v>
      </c>
      <c r="O35" s="191">
        <v>99</v>
      </c>
      <c r="P35" s="18"/>
    </row>
    <row r="36" spans="1:16" s="28" customFormat="1" ht="21" customHeight="1">
      <c r="A36" s="38"/>
      <c r="B36" s="39"/>
      <c r="C36" s="726"/>
      <c r="D36" s="195" t="s">
        <v>165</v>
      </c>
      <c r="E36" s="187">
        <v>10</v>
      </c>
      <c r="F36" s="187">
        <v>25</v>
      </c>
      <c r="G36" s="188">
        <v>35</v>
      </c>
      <c r="H36" s="201"/>
      <c r="I36" s="187">
        <v>27</v>
      </c>
      <c r="J36" s="187">
        <v>33</v>
      </c>
      <c r="K36" s="187">
        <v>27</v>
      </c>
      <c r="L36" s="187">
        <v>19</v>
      </c>
      <c r="M36" s="187">
        <v>14</v>
      </c>
      <c r="N36" s="190">
        <v>120</v>
      </c>
      <c r="O36" s="191">
        <v>155</v>
      </c>
      <c r="P36" s="18"/>
    </row>
    <row r="37" spans="1:16" s="28" customFormat="1" ht="21" customHeight="1">
      <c r="A37" s="38"/>
      <c r="B37" s="39"/>
      <c r="C37" s="726"/>
      <c r="D37" s="195" t="s">
        <v>166</v>
      </c>
      <c r="E37" s="187">
        <v>5</v>
      </c>
      <c r="F37" s="187">
        <v>14</v>
      </c>
      <c r="G37" s="188">
        <v>19</v>
      </c>
      <c r="H37" s="201"/>
      <c r="I37" s="187">
        <v>23</v>
      </c>
      <c r="J37" s="187">
        <v>33</v>
      </c>
      <c r="K37" s="187">
        <v>58</v>
      </c>
      <c r="L37" s="187">
        <v>38</v>
      </c>
      <c r="M37" s="187">
        <v>26</v>
      </c>
      <c r="N37" s="190">
        <v>178</v>
      </c>
      <c r="O37" s="191">
        <v>197</v>
      </c>
      <c r="P37" s="18"/>
    </row>
    <row r="38" spans="1:16" s="28" customFormat="1" ht="21" customHeight="1">
      <c r="A38" s="38"/>
      <c r="B38" s="39"/>
      <c r="C38" s="726"/>
      <c r="D38" s="186" t="s">
        <v>167</v>
      </c>
      <c r="E38" s="187">
        <v>0</v>
      </c>
      <c r="F38" s="187">
        <v>2</v>
      </c>
      <c r="G38" s="188">
        <v>2</v>
      </c>
      <c r="H38" s="201"/>
      <c r="I38" s="187">
        <v>0</v>
      </c>
      <c r="J38" s="187">
        <v>3</v>
      </c>
      <c r="K38" s="187">
        <v>1</v>
      </c>
      <c r="L38" s="187">
        <v>1</v>
      </c>
      <c r="M38" s="187">
        <v>1</v>
      </c>
      <c r="N38" s="190">
        <v>6</v>
      </c>
      <c r="O38" s="191">
        <v>8</v>
      </c>
      <c r="P38" s="18"/>
    </row>
    <row r="39" spans="1:16" s="28" customFormat="1" ht="21" customHeight="1">
      <c r="A39" s="38"/>
      <c r="B39" s="39"/>
      <c r="C39" s="727"/>
      <c r="D39" s="196" t="s">
        <v>168</v>
      </c>
      <c r="E39" s="202">
        <v>28</v>
      </c>
      <c r="F39" s="202">
        <v>75</v>
      </c>
      <c r="G39" s="203">
        <v>103</v>
      </c>
      <c r="H39" s="204"/>
      <c r="I39" s="202">
        <v>77</v>
      </c>
      <c r="J39" s="202">
        <v>119</v>
      </c>
      <c r="K39" s="202">
        <v>128</v>
      </c>
      <c r="L39" s="202">
        <v>85</v>
      </c>
      <c r="M39" s="202">
        <v>53</v>
      </c>
      <c r="N39" s="205">
        <v>462</v>
      </c>
      <c r="O39" s="197">
        <v>565</v>
      </c>
      <c r="P39" s="18"/>
    </row>
    <row r="40" spans="1:16" s="28" customFormat="1" ht="21" customHeight="1">
      <c r="A40" s="38"/>
      <c r="B40" s="39"/>
      <c r="C40" s="180" t="s">
        <v>170</v>
      </c>
      <c r="D40" s="18"/>
      <c r="E40" s="18"/>
      <c r="F40" s="18"/>
      <c r="G40" s="18"/>
      <c r="H40" s="18"/>
      <c r="I40" s="18"/>
      <c r="J40" s="18"/>
      <c r="K40" s="18"/>
      <c r="L40" s="18"/>
      <c r="M40" s="18"/>
      <c r="N40" s="18"/>
      <c r="O40" s="18"/>
      <c r="P40" s="18"/>
    </row>
    <row r="41" spans="1:16" s="28" customFormat="1" ht="12" customHeight="1">
      <c r="A41" s="38"/>
      <c r="B41" s="39"/>
      <c r="C41" s="18"/>
      <c r="D41" s="18"/>
      <c r="E41" s="18"/>
      <c r="F41" s="18"/>
      <c r="G41" s="18"/>
      <c r="H41" s="18"/>
      <c r="I41" s="18"/>
      <c r="J41" s="18"/>
      <c r="K41" s="18"/>
      <c r="L41" s="18"/>
      <c r="M41" s="18"/>
      <c r="N41" s="18"/>
      <c r="O41" s="18"/>
      <c r="P41" s="18"/>
    </row>
  </sheetData>
  <sheetProtection selectLockedCells="1" selectUnlockedCells="1"/>
  <mergeCells count="5">
    <mergeCell ref="A3:P3"/>
    <mergeCell ref="A4:P4"/>
    <mergeCell ref="C10:C19"/>
    <mergeCell ref="C20:C29"/>
    <mergeCell ref="C30:C39"/>
  </mergeCells>
  <phoneticPr fontId="34"/>
  <pageMargins left="0.7" right="0.7" top="0.75" bottom="0.75" header="0.3" footer="0.3"/>
  <pageSetup paperSize="9" scale="6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1"/>
  <sheetViews>
    <sheetView view="pageBreakPreview" zoomScale="60" zoomScaleNormal="100" workbookViewId="0"/>
  </sheetViews>
  <sheetFormatPr defaultRowHeight="12" customHeight="1"/>
  <cols>
    <col min="1" max="2" width="2.26953125" style="15" customWidth="1"/>
    <col min="3" max="3" width="2.86328125" style="15" customWidth="1"/>
    <col min="4" max="4" width="17.40625" style="15" customWidth="1"/>
    <col min="5" max="15" width="14.40625" style="15" customWidth="1"/>
    <col min="16" max="16" width="4" style="15" customWidth="1"/>
  </cols>
  <sheetData>
    <row r="1" spans="1:16" ht="18" customHeight="1">
      <c r="A1" s="177" t="s">
        <v>148</v>
      </c>
      <c r="B1" s="12"/>
      <c r="C1" s="12"/>
      <c r="D1" s="12"/>
      <c r="E1" s="12"/>
      <c r="F1" s="12"/>
      <c r="G1" s="12"/>
      <c r="H1" s="12"/>
      <c r="I1" s="12"/>
      <c r="J1" s="12"/>
      <c r="K1" s="12"/>
      <c r="L1" s="12"/>
      <c r="M1" s="12"/>
      <c r="N1" s="12"/>
      <c r="O1" s="12"/>
      <c r="P1" s="119"/>
    </row>
    <row r="2" spans="1:16" ht="18.75" customHeight="1">
      <c r="A2" s="12"/>
      <c r="B2" s="12"/>
      <c r="C2" s="12"/>
      <c r="D2" s="12"/>
      <c r="E2" s="12"/>
      <c r="F2" s="12"/>
      <c r="G2" s="12"/>
      <c r="H2" s="12"/>
      <c r="I2" s="12"/>
      <c r="J2" s="12"/>
      <c r="K2" s="12"/>
      <c r="L2" s="12"/>
      <c r="M2" s="12"/>
      <c r="N2" s="12"/>
      <c r="O2" s="12"/>
      <c r="P2" s="119"/>
    </row>
    <row r="3" spans="1:16" ht="21" customHeight="1">
      <c r="A3" s="619" t="s">
        <v>1</v>
      </c>
      <c r="B3" s="619"/>
      <c r="C3" s="619"/>
      <c r="D3" s="619"/>
      <c r="E3" s="619"/>
      <c r="F3" s="619"/>
      <c r="G3" s="619"/>
      <c r="H3" s="619"/>
      <c r="I3" s="619"/>
      <c r="J3" s="619"/>
      <c r="K3" s="619"/>
      <c r="L3" s="619"/>
      <c r="M3" s="619"/>
      <c r="N3" s="619"/>
      <c r="O3" s="619"/>
      <c r="P3" s="619"/>
    </row>
    <row r="4" spans="1:16" ht="17.25" customHeight="1">
      <c r="A4" s="620" t="s">
        <v>2</v>
      </c>
      <c r="B4" s="619"/>
      <c r="C4" s="619"/>
      <c r="D4" s="619"/>
      <c r="E4" s="619"/>
      <c r="F4" s="619"/>
      <c r="G4" s="619"/>
      <c r="H4" s="619"/>
      <c r="I4" s="619"/>
      <c r="J4" s="619"/>
      <c r="K4" s="619"/>
      <c r="L4" s="619"/>
      <c r="M4" s="619"/>
      <c r="N4" s="619"/>
      <c r="O4" s="619"/>
      <c r="P4" s="619"/>
    </row>
    <row r="5" spans="1:16" ht="21" customHeight="1">
      <c r="A5" s="12"/>
      <c r="B5" s="12"/>
      <c r="C5" s="12"/>
      <c r="D5" s="12"/>
      <c r="E5" s="12"/>
      <c r="F5" s="12"/>
      <c r="G5" s="12"/>
      <c r="H5" s="12"/>
      <c r="I5" s="12"/>
      <c r="J5" s="12"/>
      <c r="K5" s="12"/>
      <c r="L5" s="12"/>
      <c r="M5" s="12"/>
      <c r="N5" s="178" t="s">
        <v>32</v>
      </c>
      <c r="O5" s="179" t="s">
        <v>4</v>
      </c>
      <c r="P5" s="12"/>
    </row>
    <row r="6" spans="1:16" ht="21" customHeight="1">
      <c r="A6" s="12"/>
      <c r="B6" s="12"/>
      <c r="C6" s="12"/>
      <c r="D6" s="12"/>
      <c r="E6" s="12"/>
      <c r="F6" s="12"/>
      <c r="G6" s="12"/>
      <c r="H6" s="12"/>
      <c r="I6" s="12"/>
      <c r="J6" s="12"/>
      <c r="K6" s="12"/>
      <c r="L6" s="12"/>
      <c r="M6" s="12"/>
      <c r="N6" s="178" t="s">
        <v>33</v>
      </c>
      <c r="O6" s="206" t="s">
        <v>6</v>
      </c>
      <c r="P6" s="180" t="s">
        <v>7</v>
      </c>
    </row>
    <row r="7" spans="1:16" ht="21" customHeight="1">
      <c r="A7" s="13" t="s">
        <v>34</v>
      </c>
      <c r="B7" s="17"/>
      <c r="C7" s="18"/>
      <c r="D7" s="18"/>
      <c r="E7" s="18"/>
      <c r="F7" s="18"/>
      <c r="G7" s="18"/>
      <c r="H7" s="18"/>
      <c r="I7" s="18"/>
      <c r="J7" s="18"/>
      <c r="K7" s="18"/>
      <c r="L7" s="18"/>
      <c r="M7" s="18"/>
      <c r="N7" s="18"/>
      <c r="O7" s="18"/>
      <c r="P7" s="12"/>
    </row>
    <row r="8" spans="1:16" ht="21" customHeight="1">
      <c r="A8" s="18"/>
      <c r="B8" s="13" t="s">
        <v>149</v>
      </c>
      <c r="C8" s="18"/>
      <c r="D8" s="18"/>
      <c r="E8" s="18"/>
      <c r="F8" s="18"/>
      <c r="G8" s="18"/>
      <c r="H8" s="18"/>
      <c r="I8" s="18"/>
      <c r="J8" s="18"/>
      <c r="K8" s="18"/>
      <c r="L8" s="18"/>
      <c r="M8" s="18"/>
      <c r="N8" s="18"/>
      <c r="O8" s="18"/>
      <c r="P8" s="12"/>
    </row>
    <row r="9" spans="1:16" ht="21" customHeight="1">
      <c r="A9" s="18"/>
      <c r="B9" s="17"/>
      <c r="C9" s="13" t="s">
        <v>171</v>
      </c>
      <c r="D9" s="18"/>
      <c r="E9" s="18"/>
      <c r="F9" s="18"/>
      <c r="G9" s="18"/>
      <c r="H9" s="18"/>
      <c r="I9" s="18"/>
      <c r="J9" s="18"/>
      <c r="K9" s="18"/>
      <c r="L9" s="18"/>
      <c r="M9" s="18"/>
      <c r="N9" s="18"/>
      <c r="O9" s="18"/>
      <c r="P9" s="12"/>
    </row>
    <row r="10" spans="1:16" s="28" customFormat="1" ht="21" customHeight="1">
      <c r="A10" s="18"/>
      <c r="B10" s="18"/>
      <c r="C10" s="725" t="s">
        <v>151</v>
      </c>
      <c r="D10" s="181"/>
      <c r="E10" s="182" t="s">
        <v>152</v>
      </c>
      <c r="F10" s="182" t="s">
        <v>153</v>
      </c>
      <c r="G10" s="182" t="s">
        <v>14</v>
      </c>
      <c r="H10" s="183" t="s">
        <v>154</v>
      </c>
      <c r="I10" s="184" t="s">
        <v>155</v>
      </c>
      <c r="J10" s="182" t="s">
        <v>156</v>
      </c>
      <c r="K10" s="182" t="s">
        <v>157</v>
      </c>
      <c r="L10" s="182" t="s">
        <v>158</v>
      </c>
      <c r="M10" s="182" t="s">
        <v>159</v>
      </c>
      <c r="N10" s="182" t="s">
        <v>14</v>
      </c>
      <c r="O10" s="185" t="s">
        <v>109</v>
      </c>
      <c r="P10" s="18"/>
    </row>
    <row r="11" spans="1:16" s="28" customFormat="1" ht="21" customHeight="1">
      <c r="A11" s="18"/>
      <c r="B11" s="18"/>
      <c r="C11" s="726"/>
      <c r="D11" s="186" t="s">
        <v>160</v>
      </c>
      <c r="E11" s="187">
        <v>0</v>
      </c>
      <c r="F11" s="187">
        <v>1</v>
      </c>
      <c r="G11" s="188">
        <v>1</v>
      </c>
      <c r="H11" s="199"/>
      <c r="I11" s="187">
        <v>2</v>
      </c>
      <c r="J11" s="187">
        <v>2</v>
      </c>
      <c r="K11" s="187">
        <v>0</v>
      </c>
      <c r="L11" s="187">
        <v>0</v>
      </c>
      <c r="M11" s="187">
        <v>0</v>
      </c>
      <c r="N11" s="190">
        <v>4</v>
      </c>
      <c r="O11" s="191">
        <v>5</v>
      </c>
      <c r="P11" s="18"/>
    </row>
    <row r="12" spans="1:16" s="28" customFormat="1" ht="21" customHeight="1">
      <c r="A12" s="38"/>
      <c r="B12" s="39"/>
      <c r="C12" s="726"/>
      <c r="D12" s="192" t="s">
        <v>161</v>
      </c>
      <c r="E12" s="193">
        <v>0</v>
      </c>
      <c r="F12" s="193">
        <v>0</v>
      </c>
      <c r="G12" s="190">
        <v>0</v>
      </c>
      <c r="H12" s="194"/>
      <c r="I12" s="193">
        <v>1</v>
      </c>
      <c r="J12" s="193">
        <v>0</v>
      </c>
      <c r="K12" s="193">
        <v>0</v>
      </c>
      <c r="L12" s="193">
        <v>0</v>
      </c>
      <c r="M12" s="193">
        <v>0</v>
      </c>
      <c r="N12" s="190">
        <v>1</v>
      </c>
      <c r="O12" s="191">
        <v>1</v>
      </c>
      <c r="P12" s="18"/>
    </row>
    <row r="13" spans="1:16" s="28" customFormat="1" ht="21" customHeight="1">
      <c r="A13" s="38"/>
      <c r="B13" s="39"/>
      <c r="C13" s="726"/>
      <c r="D13" s="195" t="s">
        <v>162</v>
      </c>
      <c r="E13" s="193">
        <v>0</v>
      </c>
      <c r="F13" s="193">
        <v>0</v>
      </c>
      <c r="G13" s="190">
        <v>0</v>
      </c>
      <c r="H13" s="194"/>
      <c r="I13" s="193">
        <v>0</v>
      </c>
      <c r="J13" s="193">
        <v>0</v>
      </c>
      <c r="K13" s="193">
        <v>0</v>
      </c>
      <c r="L13" s="193">
        <v>0</v>
      </c>
      <c r="M13" s="193">
        <v>0</v>
      </c>
      <c r="N13" s="190">
        <v>0</v>
      </c>
      <c r="O13" s="191">
        <v>0</v>
      </c>
      <c r="P13" s="18"/>
    </row>
    <row r="14" spans="1:16" s="28" customFormat="1" ht="21" customHeight="1">
      <c r="A14" s="38"/>
      <c r="B14" s="39"/>
      <c r="C14" s="726"/>
      <c r="D14" s="195" t="s">
        <v>163</v>
      </c>
      <c r="E14" s="193">
        <v>0</v>
      </c>
      <c r="F14" s="193">
        <v>0</v>
      </c>
      <c r="G14" s="190">
        <v>0</v>
      </c>
      <c r="H14" s="194"/>
      <c r="I14" s="193">
        <v>0</v>
      </c>
      <c r="J14" s="193">
        <v>1</v>
      </c>
      <c r="K14" s="193">
        <v>0</v>
      </c>
      <c r="L14" s="193">
        <v>0</v>
      </c>
      <c r="M14" s="193">
        <v>0</v>
      </c>
      <c r="N14" s="190">
        <v>1</v>
      </c>
      <c r="O14" s="191">
        <v>1</v>
      </c>
      <c r="P14" s="18"/>
    </row>
    <row r="15" spans="1:16" s="28" customFormat="1" ht="21" customHeight="1">
      <c r="A15" s="18"/>
      <c r="B15" s="18"/>
      <c r="C15" s="726"/>
      <c r="D15" s="195" t="s">
        <v>164</v>
      </c>
      <c r="E15" s="193">
        <v>0</v>
      </c>
      <c r="F15" s="193">
        <v>0</v>
      </c>
      <c r="G15" s="190">
        <v>0</v>
      </c>
      <c r="H15" s="194"/>
      <c r="I15" s="193">
        <v>0</v>
      </c>
      <c r="J15" s="193">
        <v>0</v>
      </c>
      <c r="K15" s="193">
        <v>0</v>
      </c>
      <c r="L15" s="193">
        <v>0</v>
      </c>
      <c r="M15" s="193">
        <v>0</v>
      </c>
      <c r="N15" s="190">
        <v>0</v>
      </c>
      <c r="O15" s="191">
        <v>0</v>
      </c>
      <c r="P15" s="18"/>
    </row>
    <row r="16" spans="1:16" s="53" customFormat="1" ht="21" customHeight="1">
      <c r="A16" s="18"/>
      <c r="B16" s="18"/>
      <c r="C16" s="726"/>
      <c r="D16" s="195" t="s">
        <v>165</v>
      </c>
      <c r="E16" s="193">
        <v>0</v>
      </c>
      <c r="F16" s="193">
        <v>1</v>
      </c>
      <c r="G16" s="190">
        <v>1</v>
      </c>
      <c r="H16" s="194"/>
      <c r="I16" s="193">
        <v>1</v>
      </c>
      <c r="J16" s="193">
        <v>1</v>
      </c>
      <c r="K16" s="193">
        <v>0</v>
      </c>
      <c r="L16" s="193">
        <v>0</v>
      </c>
      <c r="M16" s="193">
        <v>0</v>
      </c>
      <c r="N16" s="190">
        <v>2</v>
      </c>
      <c r="O16" s="191">
        <v>3</v>
      </c>
      <c r="P16" s="18"/>
    </row>
    <row r="17" spans="1:16" s="28" customFormat="1" ht="21" customHeight="1">
      <c r="A17" s="18"/>
      <c r="B17" s="18"/>
      <c r="C17" s="726"/>
      <c r="D17" s="195" t="s">
        <v>166</v>
      </c>
      <c r="E17" s="193">
        <v>0</v>
      </c>
      <c r="F17" s="193">
        <v>0</v>
      </c>
      <c r="G17" s="190">
        <v>0</v>
      </c>
      <c r="H17" s="194"/>
      <c r="I17" s="193">
        <v>0</v>
      </c>
      <c r="J17" s="193">
        <v>0</v>
      </c>
      <c r="K17" s="193">
        <v>0</v>
      </c>
      <c r="L17" s="193">
        <v>0</v>
      </c>
      <c r="M17" s="193">
        <v>0</v>
      </c>
      <c r="N17" s="190">
        <v>0</v>
      </c>
      <c r="O17" s="191">
        <v>0</v>
      </c>
      <c r="P17" s="18"/>
    </row>
    <row r="18" spans="1:16" s="28" customFormat="1" ht="21" customHeight="1">
      <c r="A18" s="18"/>
      <c r="B18" s="18"/>
      <c r="C18" s="726"/>
      <c r="D18" s="186" t="s">
        <v>167</v>
      </c>
      <c r="E18" s="193">
        <v>0</v>
      </c>
      <c r="F18" s="193">
        <v>0</v>
      </c>
      <c r="G18" s="190">
        <v>0</v>
      </c>
      <c r="H18" s="194"/>
      <c r="I18" s="193">
        <v>0</v>
      </c>
      <c r="J18" s="193">
        <v>0</v>
      </c>
      <c r="K18" s="193">
        <v>0</v>
      </c>
      <c r="L18" s="193">
        <v>0</v>
      </c>
      <c r="M18" s="193">
        <v>0</v>
      </c>
      <c r="N18" s="190">
        <v>0</v>
      </c>
      <c r="O18" s="191">
        <v>0</v>
      </c>
      <c r="P18" s="18"/>
    </row>
    <row r="19" spans="1:16" s="28" customFormat="1" ht="21" customHeight="1">
      <c r="A19" s="18"/>
      <c r="B19" s="18"/>
      <c r="C19" s="727"/>
      <c r="D19" s="196" t="s">
        <v>168</v>
      </c>
      <c r="E19" s="187">
        <v>0</v>
      </c>
      <c r="F19" s="187">
        <v>1</v>
      </c>
      <c r="G19" s="190">
        <v>1</v>
      </c>
      <c r="H19" s="200"/>
      <c r="I19" s="187">
        <v>2</v>
      </c>
      <c r="J19" s="187">
        <v>2</v>
      </c>
      <c r="K19" s="187">
        <v>0</v>
      </c>
      <c r="L19" s="187">
        <v>0</v>
      </c>
      <c r="M19" s="187">
        <v>0</v>
      </c>
      <c r="N19" s="190">
        <v>4</v>
      </c>
      <c r="O19" s="197">
        <v>5</v>
      </c>
      <c r="P19" s="18"/>
    </row>
    <row r="20" spans="1:16" s="28" customFormat="1" ht="21" customHeight="1">
      <c r="A20" s="38"/>
      <c r="B20" s="39"/>
      <c r="C20" s="725" t="s">
        <v>169</v>
      </c>
      <c r="D20" s="181"/>
      <c r="E20" s="182" t="s">
        <v>152</v>
      </c>
      <c r="F20" s="182" t="s">
        <v>153</v>
      </c>
      <c r="G20" s="182" t="s">
        <v>14</v>
      </c>
      <c r="H20" s="183" t="s">
        <v>154</v>
      </c>
      <c r="I20" s="184" t="s">
        <v>155</v>
      </c>
      <c r="J20" s="182" t="s">
        <v>156</v>
      </c>
      <c r="K20" s="182" t="s">
        <v>157</v>
      </c>
      <c r="L20" s="182" t="s">
        <v>158</v>
      </c>
      <c r="M20" s="182" t="s">
        <v>159</v>
      </c>
      <c r="N20" s="182" t="s">
        <v>14</v>
      </c>
      <c r="O20" s="198" t="s">
        <v>109</v>
      </c>
      <c r="P20" s="18"/>
    </row>
    <row r="21" spans="1:16" s="28" customFormat="1" ht="21" customHeight="1">
      <c r="A21" s="38"/>
      <c r="B21" s="39"/>
      <c r="C21" s="726"/>
      <c r="D21" s="186" t="s">
        <v>160</v>
      </c>
      <c r="E21" s="187">
        <v>0</v>
      </c>
      <c r="F21" s="187">
        <v>0</v>
      </c>
      <c r="G21" s="188">
        <v>0</v>
      </c>
      <c r="H21" s="199"/>
      <c r="I21" s="187">
        <v>0</v>
      </c>
      <c r="J21" s="187">
        <v>0</v>
      </c>
      <c r="K21" s="187">
        <v>0</v>
      </c>
      <c r="L21" s="187">
        <v>1</v>
      </c>
      <c r="M21" s="187">
        <v>0</v>
      </c>
      <c r="N21" s="190">
        <v>1</v>
      </c>
      <c r="O21" s="191">
        <v>1</v>
      </c>
      <c r="P21" s="18"/>
    </row>
    <row r="22" spans="1:16" s="28" customFormat="1" ht="21" customHeight="1">
      <c r="A22" s="18"/>
      <c r="B22" s="18"/>
      <c r="C22" s="726"/>
      <c r="D22" s="192" t="s">
        <v>161</v>
      </c>
      <c r="E22" s="193">
        <v>0</v>
      </c>
      <c r="F22" s="193">
        <v>0</v>
      </c>
      <c r="G22" s="190">
        <v>0</v>
      </c>
      <c r="H22" s="194"/>
      <c r="I22" s="193">
        <v>0</v>
      </c>
      <c r="J22" s="193">
        <v>0</v>
      </c>
      <c r="K22" s="193">
        <v>0</v>
      </c>
      <c r="L22" s="193">
        <v>0</v>
      </c>
      <c r="M22" s="193">
        <v>0</v>
      </c>
      <c r="N22" s="190">
        <v>0</v>
      </c>
      <c r="O22" s="191">
        <v>0</v>
      </c>
      <c r="P22" s="18"/>
    </row>
    <row r="23" spans="1:16" s="28" customFormat="1" ht="21" customHeight="1">
      <c r="A23" s="18"/>
      <c r="B23" s="18"/>
      <c r="C23" s="726"/>
      <c r="D23" s="195" t="s">
        <v>162</v>
      </c>
      <c r="E23" s="193">
        <v>0</v>
      </c>
      <c r="F23" s="193">
        <v>0</v>
      </c>
      <c r="G23" s="190">
        <v>0</v>
      </c>
      <c r="H23" s="194"/>
      <c r="I23" s="193">
        <v>0</v>
      </c>
      <c r="J23" s="193">
        <v>0</v>
      </c>
      <c r="K23" s="193">
        <v>0</v>
      </c>
      <c r="L23" s="193">
        <v>0</v>
      </c>
      <c r="M23" s="193">
        <v>0</v>
      </c>
      <c r="N23" s="190">
        <v>0</v>
      </c>
      <c r="O23" s="191">
        <v>0</v>
      </c>
      <c r="P23" s="18"/>
    </row>
    <row r="24" spans="1:16" s="53" customFormat="1" ht="21" customHeight="1">
      <c r="A24" s="18"/>
      <c r="B24" s="18"/>
      <c r="C24" s="726"/>
      <c r="D24" s="195" t="s">
        <v>163</v>
      </c>
      <c r="E24" s="193">
        <v>0</v>
      </c>
      <c r="F24" s="193">
        <v>0</v>
      </c>
      <c r="G24" s="190">
        <v>0</v>
      </c>
      <c r="H24" s="194"/>
      <c r="I24" s="193">
        <v>0</v>
      </c>
      <c r="J24" s="193">
        <v>0</v>
      </c>
      <c r="K24" s="193">
        <v>0</v>
      </c>
      <c r="L24" s="193">
        <v>0</v>
      </c>
      <c r="M24" s="193">
        <v>0</v>
      </c>
      <c r="N24" s="190">
        <v>0</v>
      </c>
      <c r="O24" s="191">
        <v>0</v>
      </c>
      <c r="P24" s="18"/>
    </row>
    <row r="25" spans="1:16" s="28" customFormat="1" ht="21" customHeight="1">
      <c r="A25" s="18"/>
      <c r="B25" s="18"/>
      <c r="C25" s="726"/>
      <c r="D25" s="195" t="s">
        <v>164</v>
      </c>
      <c r="E25" s="193">
        <v>0</v>
      </c>
      <c r="F25" s="193">
        <v>0</v>
      </c>
      <c r="G25" s="190">
        <v>0</v>
      </c>
      <c r="H25" s="194"/>
      <c r="I25" s="193">
        <v>0</v>
      </c>
      <c r="J25" s="193">
        <v>0</v>
      </c>
      <c r="K25" s="193">
        <v>0</v>
      </c>
      <c r="L25" s="193">
        <v>0</v>
      </c>
      <c r="M25" s="193">
        <v>0</v>
      </c>
      <c r="N25" s="190">
        <v>0</v>
      </c>
      <c r="O25" s="191">
        <v>0</v>
      </c>
      <c r="P25" s="18"/>
    </row>
    <row r="26" spans="1:16" s="28" customFormat="1" ht="21" customHeight="1">
      <c r="A26" s="18"/>
      <c r="B26" s="18"/>
      <c r="C26" s="726"/>
      <c r="D26" s="195" t="s">
        <v>165</v>
      </c>
      <c r="E26" s="193">
        <v>0</v>
      </c>
      <c r="F26" s="193">
        <v>0</v>
      </c>
      <c r="G26" s="190">
        <v>0</v>
      </c>
      <c r="H26" s="194"/>
      <c r="I26" s="193">
        <v>0</v>
      </c>
      <c r="J26" s="193">
        <v>0</v>
      </c>
      <c r="K26" s="193">
        <v>0</v>
      </c>
      <c r="L26" s="193">
        <v>1</v>
      </c>
      <c r="M26" s="193">
        <v>0</v>
      </c>
      <c r="N26" s="190">
        <v>1</v>
      </c>
      <c r="O26" s="191">
        <v>1</v>
      </c>
      <c r="P26" s="18"/>
    </row>
    <row r="27" spans="1:16" s="28" customFormat="1" ht="21" customHeight="1">
      <c r="A27" s="18"/>
      <c r="B27" s="18"/>
      <c r="C27" s="726"/>
      <c r="D27" s="195" t="s">
        <v>166</v>
      </c>
      <c r="E27" s="193">
        <v>0</v>
      </c>
      <c r="F27" s="193">
        <v>0</v>
      </c>
      <c r="G27" s="190">
        <v>0</v>
      </c>
      <c r="H27" s="194"/>
      <c r="I27" s="193">
        <v>0</v>
      </c>
      <c r="J27" s="193">
        <v>0</v>
      </c>
      <c r="K27" s="193">
        <v>0</v>
      </c>
      <c r="L27" s="193">
        <v>0</v>
      </c>
      <c r="M27" s="193">
        <v>0</v>
      </c>
      <c r="N27" s="190">
        <v>0</v>
      </c>
      <c r="O27" s="191">
        <v>0</v>
      </c>
      <c r="P27" s="18"/>
    </row>
    <row r="28" spans="1:16" s="28" customFormat="1" ht="21" customHeight="1">
      <c r="A28" s="18"/>
      <c r="B28" s="18"/>
      <c r="C28" s="726"/>
      <c r="D28" s="186" t="s">
        <v>167</v>
      </c>
      <c r="E28" s="193">
        <v>0</v>
      </c>
      <c r="F28" s="193">
        <v>0</v>
      </c>
      <c r="G28" s="190">
        <v>0</v>
      </c>
      <c r="H28" s="194"/>
      <c r="I28" s="193">
        <v>0</v>
      </c>
      <c r="J28" s="193">
        <v>0</v>
      </c>
      <c r="K28" s="193">
        <v>0</v>
      </c>
      <c r="L28" s="193">
        <v>0</v>
      </c>
      <c r="M28" s="193">
        <v>0</v>
      </c>
      <c r="N28" s="190">
        <v>0</v>
      </c>
      <c r="O28" s="191">
        <v>0</v>
      </c>
      <c r="P28" s="18"/>
    </row>
    <row r="29" spans="1:16" s="28" customFormat="1" ht="21" customHeight="1">
      <c r="A29" s="38"/>
      <c r="B29" s="39"/>
      <c r="C29" s="727"/>
      <c r="D29" s="196" t="s">
        <v>168</v>
      </c>
      <c r="E29" s="187">
        <v>0</v>
      </c>
      <c r="F29" s="187">
        <v>0</v>
      </c>
      <c r="G29" s="190">
        <v>0</v>
      </c>
      <c r="H29" s="200"/>
      <c r="I29" s="187">
        <v>0</v>
      </c>
      <c r="J29" s="187">
        <v>0</v>
      </c>
      <c r="K29" s="187">
        <v>0</v>
      </c>
      <c r="L29" s="187">
        <v>1</v>
      </c>
      <c r="M29" s="187">
        <v>0</v>
      </c>
      <c r="N29" s="190">
        <v>1</v>
      </c>
      <c r="O29" s="197">
        <v>1</v>
      </c>
      <c r="P29" s="18"/>
    </row>
    <row r="30" spans="1:16" s="28" customFormat="1" ht="21" customHeight="1">
      <c r="A30" s="38"/>
      <c r="B30" s="39"/>
      <c r="C30" s="725" t="s">
        <v>14</v>
      </c>
      <c r="D30" s="181"/>
      <c r="E30" s="182" t="s">
        <v>152</v>
      </c>
      <c r="F30" s="182" t="s">
        <v>153</v>
      </c>
      <c r="G30" s="182" t="s">
        <v>14</v>
      </c>
      <c r="H30" s="183" t="s">
        <v>154</v>
      </c>
      <c r="I30" s="184" t="s">
        <v>155</v>
      </c>
      <c r="J30" s="182" t="s">
        <v>156</v>
      </c>
      <c r="K30" s="182" t="s">
        <v>157</v>
      </c>
      <c r="L30" s="182" t="s">
        <v>158</v>
      </c>
      <c r="M30" s="182" t="s">
        <v>159</v>
      </c>
      <c r="N30" s="182" t="s">
        <v>14</v>
      </c>
      <c r="O30" s="198" t="s">
        <v>109</v>
      </c>
      <c r="P30" s="18"/>
    </row>
    <row r="31" spans="1:16" s="28" customFormat="1" ht="21" customHeight="1">
      <c r="A31" s="18"/>
      <c r="B31" s="18"/>
      <c r="C31" s="726"/>
      <c r="D31" s="186" t="s">
        <v>160</v>
      </c>
      <c r="E31" s="187">
        <v>0</v>
      </c>
      <c r="F31" s="187">
        <v>1</v>
      </c>
      <c r="G31" s="188">
        <v>1</v>
      </c>
      <c r="H31" s="201"/>
      <c r="I31" s="187">
        <v>2</v>
      </c>
      <c r="J31" s="187">
        <v>2</v>
      </c>
      <c r="K31" s="187">
        <v>0</v>
      </c>
      <c r="L31" s="187">
        <v>1</v>
      </c>
      <c r="M31" s="187">
        <v>0</v>
      </c>
      <c r="N31" s="190">
        <v>5</v>
      </c>
      <c r="O31" s="191">
        <v>6</v>
      </c>
      <c r="P31" s="18"/>
    </row>
    <row r="32" spans="1:16" s="28" customFormat="1" ht="21" customHeight="1">
      <c r="A32" s="38"/>
      <c r="B32" s="39"/>
      <c r="C32" s="726"/>
      <c r="D32" s="192" t="s">
        <v>161</v>
      </c>
      <c r="E32" s="187">
        <v>0</v>
      </c>
      <c r="F32" s="187">
        <v>0</v>
      </c>
      <c r="G32" s="188">
        <v>0</v>
      </c>
      <c r="H32" s="201"/>
      <c r="I32" s="187">
        <v>1</v>
      </c>
      <c r="J32" s="187">
        <v>0</v>
      </c>
      <c r="K32" s="187">
        <v>0</v>
      </c>
      <c r="L32" s="187">
        <v>0</v>
      </c>
      <c r="M32" s="187">
        <v>0</v>
      </c>
      <c r="N32" s="190">
        <v>1</v>
      </c>
      <c r="O32" s="191">
        <v>1</v>
      </c>
      <c r="P32" s="18"/>
    </row>
    <row r="33" spans="1:16" s="28" customFormat="1" ht="21" customHeight="1">
      <c r="A33" s="38"/>
      <c r="B33" s="39"/>
      <c r="C33" s="726"/>
      <c r="D33" s="195" t="s">
        <v>162</v>
      </c>
      <c r="E33" s="187">
        <v>0</v>
      </c>
      <c r="F33" s="187">
        <v>0</v>
      </c>
      <c r="G33" s="188">
        <v>0</v>
      </c>
      <c r="H33" s="201"/>
      <c r="I33" s="187">
        <v>0</v>
      </c>
      <c r="J33" s="187">
        <v>0</v>
      </c>
      <c r="K33" s="187">
        <v>0</v>
      </c>
      <c r="L33" s="187">
        <v>0</v>
      </c>
      <c r="M33" s="187">
        <v>0</v>
      </c>
      <c r="N33" s="190">
        <v>0</v>
      </c>
      <c r="O33" s="191">
        <v>0</v>
      </c>
      <c r="P33" s="18"/>
    </row>
    <row r="34" spans="1:16" s="28" customFormat="1" ht="21" customHeight="1">
      <c r="A34" s="18"/>
      <c r="B34" s="18"/>
      <c r="C34" s="726"/>
      <c r="D34" s="195" t="s">
        <v>163</v>
      </c>
      <c r="E34" s="187">
        <v>0</v>
      </c>
      <c r="F34" s="187">
        <v>0</v>
      </c>
      <c r="G34" s="188">
        <v>0</v>
      </c>
      <c r="H34" s="201"/>
      <c r="I34" s="187">
        <v>0</v>
      </c>
      <c r="J34" s="187">
        <v>1</v>
      </c>
      <c r="K34" s="187">
        <v>0</v>
      </c>
      <c r="L34" s="187">
        <v>0</v>
      </c>
      <c r="M34" s="187">
        <v>0</v>
      </c>
      <c r="N34" s="190">
        <v>1</v>
      </c>
      <c r="O34" s="191">
        <v>1</v>
      </c>
      <c r="P34" s="18"/>
    </row>
    <row r="35" spans="1:16" s="28" customFormat="1" ht="21" customHeight="1">
      <c r="A35" s="38"/>
      <c r="B35" s="39"/>
      <c r="C35" s="726"/>
      <c r="D35" s="195" t="s">
        <v>164</v>
      </c>
      <c r="E35" s="187">
        <v>0</v>
      </c>
      <c r="F35" s="187">
        <v>0</v>
      </c>
      <c r="G35" s="188">
        <v>0</v>
      </c>
      <c r="H35" s="201"/>
      <c r="I35" s="187">
        <v>0</v>
      </c>
      <c r="J35" s="187">
        <v>0</v>
      </c>
      <c r="K35" s="187">
        <v>0</v>
      </c>
      <c r="L35" s="187">
        <v>0</v>
      </c>
      <c r="M35" s="187">
        <v>0</v>
      </c>
      <c r="N35" s="190">
        <v>0</v>
      </c>
      <c r="O35" s="191">
        <v>0</v>
      </c>
      <c r="P35" s="18"/>
    </row>
    <row r="36" spans="1:16" s="28" customFormat="1" ht="21" customHeight="1">
      <c r="A36" s="38"/>
      <c r="B36" s="39"/>
      <c r="C36" s="726"/>
      <c r="D36" s="195" t="s">
        <v>165</v>
      </c>
      <c r="E36" s="187">
        <v>0</v>
      </c>
      <c r="F36" s="187">
        <v>1</v>
      </c>
      <c r="G36" s="188">
        <v>1</v>
      </c>
      <c r="H36" s="201"/>
      <c r="I36" s="187">
        <v>1</v>
      </c>
      <c r="J36" s="187">
        <v>1</v>
      </c>
      <c r="K36" s="187">
        <v>0</v>
      </c>
      <c r="L36" s="187">
        <v>1</v>
      </c>
      <c r="M36" s="187">
        <v>0</v>
      </c>
      <c r="N36" s="190">
        <v>3</v>
      </c>
      <c r="O36" s="191">
        <v>4</v>
      </c>
      <c r="P36" s="18"/>
    </row>
    <row r="37" spans="1:16" s="28" customFormat="1" ht="21" customHeight="1">
      <c r="A37" s="38"/>
      <c r="B37" s="39"/>
      <c r="C37" s="726"/>
      <c r="D37" s="195" t="s">
        <v>166</v>
      </c>
      <c r="E37" s="187">
        <v>0</v>
      </c>
      <c r="F37" s="187">
        <v>0</v>
      </c>
      <c r="G37" s="188">
        <v>0</v>
      </c>
      <c r="H37" s="201"/>
      <c r="I37" s="187">
        <v>0</v>
      </c>
      <c r="J37" s="187">
        <v>0</v>
      </c>
      <c r="K37" s="187">
        <v>0</v>
      </c>
      <c r="L37" s="187">
        <v>0</v>
      </c>
      <c r="M37" s="187">
        <v>0</v>
      </c>
      <c r="N37" s="190">
        <v>0</v>
      </c>
      <c r="O37" s="191">
        <v>0</v>
      </c>
      <c r="P37" s="18"/>
    </row>
    <row r="38" spans="1:16" s="28" customFormat="1" ht="21" customHeight="1">
      <c r="A38" s="38"/>
      <c r="B38" s="39"/>
      <c r="C38" s="726"/>
      <c r="D38" s="186" t="s">
        <v>167</v>
      </c>
      <c r="E38" s="187">
        <v>0</v>
      </c>
      <c r="F38" s="187">
        <v>0</v>
      </c>
      <c r="G38" s="188">
        <v>0</v>
      </c>
      <c r="H38" s="201"/>
      <c r="I38" s="187">
        <v>0</v>
      </c>
      <c r="J38" s="187">
        <v>0</v>
      </c>
      <c r="K38" s="187">
        <v>0</v>
      </c>
      <c r="L38" s="187">
        <v>0</v>
      </c>
      <c r="M38" s="187">
        <v>0</v>
      </c>
      <c r="N38" s="190">
        <v>0</v>
      </c>
      <c r="O38" s="191">
        <v>0</v>
      </c>
      <c r="P38" s="18"/>
    </row>
    <row r="39" spans="1:16" s="28" customFormat="1" ht="21" customHeight="1">
      <c r="A39" s="38"/>
      <c r="B39" s="39"/>
      <c r="C39" s="727"/>
      <c r="D39" s="196" t="s">
        <v>168</v>
      </c>
      <c r="E39" s="202">
        <v>0</v>
      </c>
      <c r="F39" s="202">
        <v>1</v>
      </c>
      <c r="G39" s="203">
        <v>1</v>
      </c>
      <c r="H39" s="204"/>
      <c r="I39" s="202">
        <v>2</v>
      </c>
      <c r="J39" s="202">
        <v>2</v>
      </c>
      <c r="K39" s="202">
        <v>0</v>
      </c>
      <c r="L39" s="202">
        <v>1</v>
      </c>
      <c r="M39" s="202">
        <v>0</v>
      </c>
      <c r="N39" s="205">
        <v>5</v>
      </c>
      <c r="O39" s="197">
        <v>6</v>
      </c>
      <c r="P39" s="18"/>
    </row>
    <row r="40" spans="1:16" s="28" customFormat="1" ht="21" customHeight="1">
      <c r="A40" s="38"/>
      <c r="B40" s="39"/>
      <c r="C40" s="12" t="s">
        <v>172</v>
      </c>
      <c r="D40" s="18"/>
      <c r="E40" s="18"/>
      <c r="F40" s="18"/>
      <c r="G40" s="18"/>
      <c r="H40" s="18"/>
      <c r="I40" s="18"/>
      <c r="J40" s="18"/>
      <c r="K40" s="18"/>
      <c r="L40" s="18"/>
      <c r="M40" s="18"/>
      <c r="N40" s="18"/>
      <c r="O40" s="18"/>
      <c r="P40" s="18"/>
    </row>
    <row r="41" spans="1:16" s="28" customFormat="1" ht="12" customHeight="1">
      <c r="A41" s="38"/>
      <c r="B41" s="39"/>
      <c r="C41" s="18"/>
      <c r="D41" s="18"/>
      <c r="E41" s="18"/>
      <c r="F41" s="18"/>
      <c r="G41" s="18"/>
      <c r="H41" s="18"/>
      <c r="I41" s="18"/>
      <c r="J41" s="18"/>
      <c r="K41" s="18"/>
      <c r="L41" s="18"/>
      <c r="M41" s="18"/>
      <c r="N41" s="18"/>
      <c r="O41" s="18"/>
      <c r="P41" s="18"/>
    </row>
  </sheetData>
  <sheetProtection selectLockedCells="1" selectUnlockedCells="1"/>
  <mergeCells count="5">
    <mergeCell ref="A3:P3"/>
    <mergeCell ref="A4:P4"/>
    <mergeCell ref="C10:C19"/>
    <mergeCell ref="C20:C29"/>
    <mergeCell ref="C30:C39"/>
  </mergeCells>
  <phoneticPr fontId="34"/>
  <pageMargins left="0.7" right="0.7" top="0.75" bottom="0.75" header="0.3" footer="0.3"/>
  <pageSetup paperSize="9" scale="6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1"/>
  <sheetViews>
    <sheetView view="pageBreakPreview" zoomScale="60" zoomScaleNormal="100" workbookViewId="0"/>
  </sheetViews>
  <sheetFormatPr defaultRowHeight="12" customHeight="1"/>
  <cols>
    <col min="1" max="2" width="2.26953125" style="15" customWidth="1"/>
    <col min="3" max="3" width="2.86328125" style="15" customWidth="1"/>
    <col min="4" max="4" width="17.40625" style="15" customWidth="1"/>
    <col min="5" max="15" width="14.40625" style="15" customWidth="1"/>
    <col min="16" max="16" width="4" style="15" customWidth="1"/>
  </cols>
  <sheetData>
    <row r="1" spans="1:16" ht="18" customHeight="1">
      <c r="A1" s="177" t="s">
        <v>148</v>
      </c>
      <c r="B1" s="12"/>
      <c r="C1" s="12"/>
      <c r="D1" s="12"/>
      <c r="E1" s="12"/>
      <c r="F1" s="12"/>
      <c r="G1" s="12"/>
      <c r="H1" s="12"/>
      <c r="I1" s="12"/>
      <c r="J1" s="12"/>
      <c r="K1" s="12"/>
      <c r="L1" s="12"/>
      <c r="M1" s="12"/>
      <c r="N1" s="12"/>
      <c r="O1" s="12"/>
      <c r="P1" s="119"/>
    </row>
    <row r="2" spans="1:16" ht="18.75" customHeight="1">
      <c r="A2" s="12"/>
      <c r="B2" s="12"/>
      <c r="C2" s="12"/>
      <c r="D2" s="12"/>
      <c r="E2" s="12"/>
      <c r="F2" s="12"/>
      <c r="G2" s="12"/>
      <c r="H2" s="12"/>
      <c r="I2" s="12"/>
      <c r="J2" s="12"/>
      <c r="K2" s="12"/>
      <c r="L2" s="12"/>
      <c r="M2" s="12"/>
      <c r="N2" s="12"/>
      <c r="O2" s="12"/>
      <c r="P2" s="119"/>
    </row>
    <row r="3" spans="1:16" ht="21" customHeight="1">
      <c r="A3" s="619" t="s">
        <v>1</v>
      </c>
      <c r="B3" s="619"/>
      <c r="C3" s="619"/>
      <c r="D3" s="619"/>
      <c r="E3" s="619"/>
      <c r="F3" s="619"/>
      <c r="G3" s="619"/>
      <c r="H3" s="619"/>
      <c r="I3" s="619"/>
      <c r="J3" s="619"/>
      <c r="K3" s="619"/>
      <c r="L3" s="619"/>
      <c r="M3" s="619"/>
      <c r="N3" s="619"/>
      <c r="O3" s="619"/>
      <c r="P3" s="619"/>
    </row>
    <row r="4" spans="1:16" ht="17.25" customHeight="1">
      <c r="A4" s="620" t="s">
        <v>2</v>
      </c>
      <c r="B4" s="619"/>
      <c r="C4" s="619"/>
      <c r="D4" s="619"/>
      <c r="E4" s="619"/>
      <c r="F4" s="619"/>
      <c r="G4" s="619"/>
      <c r="H4" s="619"/>
      <c r="I4" s="619"/>
      <c r="J4" s="619"/>
      <c r="K4" s="619"/>
      <c r="L4" s="619"/>
      <c r="M4" s="619"/>
      <c r="N4" s="619"/>
      <c r="O4" s="619"/>
      <c r="P4" s="619"/>
    </row>
    <row r="5" spans="1:16" ht="21" customHeight="1">
      <c r="A5" s="12"/>
      <c r="B5" s="12"/>
      <c r="C5" s="12"/>
      <c r="D5" s="12"/>
      <c r="E5" s="12"/>
      <c r="F5" s="12"/>
      <c r="G5" s="12"/>
      <c r="H5" s="12"/>
      <c r="I5" s="12"/>
      <c r="J5" s="12"/>
      <c r="K5" s="12"/>
      <c r="L5" s="12"/>
      <c r="M5" s="12"/>
      <c r="N5" s="178" t="s">
        <v>32</v>
      </c>
      <c r="O5" s="179" t="s">
        <v>4</v>
      </c>
      <c r="P5" s="12"/>
    </row>
    <row r="6" spans="1:16" ht="21" customHeight="1">
      <c r="A6" s="12"/>
      <c r="B6" s="12"/>
      <c r="C6" s="12"/>
      <c r="D6" s="12"/>
      <c r="E6" s="12"/>
      <c r="F6" s="12"/>
      <c r="G6" s="12"/>
      <c r="H6" s="12"/>
      <c r="I6" s="12"/>
      <c r="J6" s="12"/>
      <c r="K6" s="12"/>
      <c r="L6" s="12"/>
      <c r="M6" s="12"/>
      <c r="N6" s="178" t="s">
        <v>33</v>
      </c>
      <c r="O6" s="206" t="s">
        <v>6</v>
      </c>
      <c r="P6" s="180" t="s">
        <v>7</v>
      </c>
    </row>
    <row r="7" spans="1:16" ht="21" customHeight="1">
      <c r="A7" s="13" t="s">
        <v>34</v>
      </c>
      <c r="B7" s="17"/>
      <c r="C7" s="18"/>
      <c r="D7" s="18"/>
      <c r="E7" s="18"/>
      <c r="F7" s="18"/>
      <c r="G7" s="18"/>
      <c r="H7" s="18"/>
      <c r="I7" s="18"/>
      <c r="J7" s="18"/>
      <c r="K7" s="18"/>
      <c r="L7" s="18"/>
      <c r="M7" s="18"/>
      <c r="N7" s="18"/>
      <c r="O7" s="18"/>
      <c r="P7" s="12"/>
    </row>
    <row r="8" spans="1:16" ht="21" customHeight="1">
      <c r="A8" s="18"/>
      <c r="B8" s="13" t="s">
        <v>149</v>
      </c>
      <c r="C8" s="18"/>
      <c r="D8" s="18"/>
      <c r="E8" s="18"/>
      <c r="F8" s="18"/>
      <c r="G8" s="18"/>
      <c r="H8" s="18"/>
      <c r="I8" s="18"/>
      <c r="J8" s="18"/>
      <c r="K8" s="18"/>
      <c r="L8" s="18"/>
      <c r="M8" s="18"/>
      <c r="N8" s="18"/>
      <c r="O8" s="18"/>
      <c r="P8" s="12"/>
    </row>
    <row r="9" spans="1:16" ht="21" customHeight="1">
      <c r="A9" s="18"/>
      <c r="B9" s="17"/>
      <c r="C9" s="13" t="s">
        <v>173</v>
      </c>
      <c r="D9" s="18"/>
      <c r="E9" s="18"/>
      <c r="F9" s="18"/>
      <c r="G9" s="18"/>
      <c r="H9" s="18"/>
      <c r="I9" s="18"/>
      <c r="J9" s="18"/>
      <c r="K9" s="18"/>
      <c r="L9" s="18"/>
      <c r="M9" s="18"/>
      <c r="N9" s="18"/>
      <c r="O9" s="18"/>
      <c r="P9" s="12"/>
    </row>
    <row r="10" spans="1:16" s="28" customFormat="1" ht="21" customHeight="1">
      <c r="A10" s="18"/>
      <c r="B10" s="18"/>
      <c r="C10" s="725" t="s">
        <v>151</v>
      </c>
      <c r="D10" s="181"/>
      <c r="E10" s="182" t="s">
        <v>152</v>
      </c>
      <c r="F10" s="182" t="s">
        <v>153</v>
      </c>
      <c r="G10" s="182" t="s">
        <v>14</v>
      </c>
      <c r="H10" s="183" t="s">
        <v>154</v>
      </c>
      <c r="I10" s="184" t="s">
        <v>155</v>
      </c>
      <c r="J10" s="182" t="s">
        <v>156</v>
      </c>
      <c r="K10" s="182" t="s">
        <v>157</v>
      </c>
      <c r="L10" s="182" t="s">
        <v>158</v>
      </c>
      <c r="M10" s="182" t="s">
        <v>159</v>
      </c>
      <c r="N10" s="182" t="s">
        <v>14</v>
      </c>
      <c r="O10" s="185" t="s">
        <v>109</v>
      </c>
      <c r="P10" s="18"/>
    </row>
    <row r="11" spans="1:16" s="28" customFormat="1" ht="21" customHeight="1">
      <c r="A11" s="18"/>
      <c r="B11" s="18"/>
      <c r="C11" s="726"/>
      <c r="D11" s="186" t="s">
        <v>160</v>
      </c>
      <c r="E11" s="187">
        <v>1</v>
      </c>
      <c r="F11" s="187">
        <v>0</v>
      </c>
      <c r="G11" s="188">
        <v>1</v>
      </c>
      <c r="H11" s="199"/>
      <c r="I11" s="187">
        <v>2</v>
      </c>
      <c r="J11" s="187">
        <v>1</v>
      </c>
      <c r="K11" s="187">
        <v>1</v>
      </c>
      <c r="L11" s="187">
        <v>0</v>
      </c>
      <c r="M11" s="187">
        <v>0</v>
      </c>
      <c r="N11" s="190">
        <v>4</v>
      </c>
      <c r="O11" s="191">
        <v>5</v>
      </c>
      <c r="P11" s="18"/>
    </row>
    <row r="12" spans="1:16" s="28" customFormat="1" ht="21" customHeight="1">
      <c r="A12" s="38"/>
      <c r="B12" s="39"/>
      <c r="C12" s="726"/>
      <c r="D12" s="192" t="s">
        <v>161</v>
      </c>
      <c r="E12" s="193">
        <v>1</v>
      </c>
      <c r="F12" s="193">
        <v>0</v>
      </c>
      <c r="G12" s="190">
        <v>1</v>
      </c>
      <c r="H12" s="194"/>
      <c r="I12" s="193">
        <v>0</v>
      </c>
      <c r="J12" s="193">
        <v>0</v>
      </c>
      <c r="K12" s="193">
        <v>0</v>
      </c>
      <c r="L12" s="193">
        <v>0</v>
      </c>
      <c r="M12" s="193">
        <v>0</v>
      </c>
      <c r="N12" s="190">
        <v>0</v>
      </c>
      <c r="O12" s="191">
        <v>1</v>
      </c>
      <c r="P12" s="18"/>
    </row>
    <row r="13" spans="1:16" s="28" customFormat="1" ht="21" customHeight="1">
      <c r="A13" s="38"/>
      <c r="B13" s="39"/>
      <c r="C13" s="726"/>
      <c r="D13" s="195" t="s">
        <v>162</v>
      </c>
      <c r="E13" s="193">
        <v>0</v>
      </c>
      <c r="F13" s="193">
        <v>0</v>
      </c>
      <c r="G13" s="190">
        <v>0</v>
      </c>
      <c r="H13" s="194"/>
      <c r="I13" s="193">
        <v>0</v>
      </c>
      <c r="J13" s="193">
        <v>0</v>
      </c>
      <c r="K13" s="193">
        <v>0</v>
      </c>
      <c r="L13" s="193">
        <v>0</v>
      </c>
      <c r="M13" s="193">
        <v>0</v>
      </c>
      <c r="N13" s="190">
        <v>0</v>
      </c>
      <c r="O13" s="191">
        <v>0</v>
      </c>
      <c r="P13" s="18"/>
    </row>
    <row r="14" spans="1:16" s="28" customFormat="1" ht="21" customHeight="1">
      <c r="A14" s="38"/>
      <c r="B14" s="39"/>
      <c r="C14" s="726"/>
      <c r="D14" s="195" t="s">
        <v>163</v>
      </c>
      <c r="E14" s="193">
        <v>0</v>
      </c>
      <c r="F14" s="193">
        <v>0</v>
      </c>
      <c r="G14" s="190">
        <v>0</v>
      </c>
      <c r="H14" s="194"/>
      <c r="I14" s="193">
        <v>0</v>
      </c>
      <c r="J14" s="193">
        <v>0</v>
      </c>
      <c r="K14" s="193">
        <v>0</v>
      </c>
      <c r="L14" s="193">
        <v>0</v>
      </c>
      <c r="M14" s="193">
        <v>0</v>
      </c>
      <c r="N14" s="190">
        <v>0</v>
      </c>
      <c r="O14" s="191">
        <v>0</v>
      </c>
      <c r="P14" s="18"/>
    </row>
    <row r="15" spans="1:16" s="28" customFormat="1" ht="21" customHeight="1">
      <c r="A15" s="18"/>
      <c r="B15" s="18"/>
      <c r="C15" s="726"/>
      <c r="D15" s="195" t="s">
        <v>164</v>
      </c>
      <c r="E15" s="193">
        <v>0</v>
      </c>
      <c r="F15" s="193">
        <v>0</v>
      </c>
      <c r="G15" s="190">
        <v>0</v>
      </c>
      <c r="H15" s="194"/>
      <c r="I15" s="193">
        <v>0</v>
      </c>
      <c r="J15" s="193">
        <v>1</v>
      </c>
      <c r="K15" s="193">
        <v>1</v>
      </c>
      <c r="L15" s="193">
        <v>0</v>
      </c>
      <c r="M15" s="193">
        <v>0</v>
      </c>
      <c r="N15" s="190">
        <v>2</v>
      </c>
      <c r="O15" s="191">
        <v>2</v>
      </c>
      <c r="P15" s="18"/>
    </row>
    <row r="16" spans="1:16" s="53" customFormat="1" ht="21" customHeight="1">
      <c r="A16" s="18"/>
      <c r="B16" s="18"/>
      <c r="C16" s="726"/>
      <c r="D16" s="195" t="s">
        <v>165</v>
      </c>
      <c r="E16" s="193">
        <v>0</v>
      </c>
      <c r="F16" s="193">
        <v>0</v>
      </c>
      <c r="G16" s="190">
        <v>0</v>
      </c>
      <c r="H16" s="194"/>
      <c r="I16" s="193">
        <v>1</v>
      </c>
      <c r="J16" s="193">
        <v>0</v>
      </c>
      <c r="K16" s="193">
        <v>0</v>
      </c>
      <c r="L16" s="193">
        <v>0</v>
      </c>
      <c r="M16" s="193">
        <v>0</v>
      </c>
      <c r="N16" s="190">
        <v>1</v>
      </c>
      <c r="O16" s="191">
        <v>1</v>
      </c>
      <c r="P16" s="18"/>
    </row>
    <row r="17" spans="1:16" s="28" customFormat="1" ht="21" customHeight="1">
      <c r="A17" s="18"/>
      <c r="B17" s="18"/>
      <c r="C17" s="726"/>
      <c r="D17" s="195" t="s">
        <v>166</v>
      </c>
      <c r="E17" s="193">
        <v>0</v>
      </c>
      <c r="F17" s="193">
        <v>0</v>
      </c>
      <c r="G17" s="190">
        <v>0</v>
      </c>
      <c r="H17" s="194"/>
      <c r="I17" s="193">
        <v>1</v>
      </c>
      <c r="J17" s="193">
        <v>0</v>
      </c>
      <c r="K17" s="193">
        <v>0</v>
      </c>
      <c r="L17" s="193">
        <v>0</v>
      </c>
      <c r="M17" s="193">
        <v>0</v>
      </c>
      <c r="N17" s="190">
        <v>1</v>
      </c>
      <c r="O17" s="191">
        <v>1</v>
      </c>
      <c r="P17" s="18"/>
    </row>
    <row r="18" spans="1:16" s="28" customFormat="1" ht="21" customHeight="1">
      <c r="A18" s="18"/>
      <c r="B18" s="18"/>
      <c r="C18" s="726"/>
      <c r="D18" s="186" t="s">
        <v>167</v>
      </c>
      <c r="E18" s="193">
        <v>0</v>
      </c>
      <c r="F18" s="193">
        <v>0</v>
      </c>
      <c r="G18" s="190">
        <v>0</v>
      </c>
      <c r="H18" s="194"/>
      <c r="I18" s="193">
        <v>0</v>
      </c>
      <c r="J18" s="193">
        <v>0</v>
      </c>
      <c r="K18" s="193">
        <v>0</v>
      </c>
      <c r="L18" s="193">
        <v>0</v>
      </c>
      <c r="M18" s="193">
        <v>0</v>
      </c>
      <c r="N18" s="190">
        <v>0</v>
      </c>
      <c r="O18" s="191">
        <v>0</v>
      </c>
      <c r="P18" s="18"/>
    </row>
    <row r="19" spans="1:16" s="28" customFormat="1" ht="21" customHeight="1">
      <c r="A19" s="18"/>
      <c r="B19" s="18"/>
      <c r="C19" s="727"/>
      <c r="D19" s="196" t="s">
        <v>168</v>
      </c>
      <c r="E19" s="187">
        <v>1</v>
      </c>
      <c r="F19" s="187">
        <v>0</v>
      </c>
      <c r="G19" s="190">
        <v>1</v>
      </c>
      <c r="H19" s="200"/>
      <c r="I19" s="187">
        <v>2</v>
      </c>
      <c r="J19" s="187">
        <v>1</v>
      </c>
      <c r="K19" s="187">
        <v>1</v>
      </c>
      <c r="L19" s="187">
        <v>0</v>
      </c>
      <c r="M19" s="187">
        <v>0</v>
      </c>
      <c r="N19" s="190">
        <v>4</v>
      </c>
      <c r="O19" s="197">
        <v>5</v>
      </c>
      <c r="P19" s="18"/>
    </row>
    <row r="20" spans="1:16" s="28" customFormat="1" ht="21" customHeight="1">
      <c r="A20" s="38"/>
      <c r="B20" s="39"/>
      <c r="C20" s="725" t="s">
        <v>169</v>
      </c>
      <c r="D20" s="181"/>
      <c r="E20" s="182" t="s">
        <v>152</v>
      </c>
      <c r="F20" s="182" t="s">
        <v>153</v>
      </c>
      <c r="G20" s="182" t="s">
        <v>14</v>
      </c>
      <c r="H20" s="183" t="s">
        <v>154</v>
      </c>
      <c r="I20" s="184" t="s">
        <v>155</v>
      </c>
      <c r="J20" s="182" t="s">
        <v>156</v>
      </c>
      <c r="K20" s="182" t="s">
        <v>157</v>
      </c>
      <c r="L20" s="182" t="s">
        <v>158</v>
      </c>
      <c r="M20" s="182" t="s">
        <v>159</v>
      </c>
      <c r="N20" s="182" t="s">
        <v>14</v>
      </c>
      <c r="O20" s="198" t="s">
        <v>109</v>
      </c>
      <c r="P20" s="18"/>
    </row>
    <row r="21" spans="1:16" s="28" customFormat="1" ht="21" customHeight="1">
      <c r="A21" s="38"/>
      <c r="B21" s="39"/>
      <c r="C21" s="726"/>
      <c r="D21" s="186" t="s">
        <v>160</v>
      </c>
      <c r="E21" s="187">
        <v>0</v>
      </c>
      <c r="F21" s="187">
        <v>1</v>
      </c>
      <c r="G21" s="188">
        <v>1</v>
      </c>
      <c r="H21" s="199"/>
      <c r="I21" s="187">
        <v>0</v>
      </c>
      <c r="J21" s="187">
        <v>0</v>
      </c>
      <c r="K21" s="187">
        <v>0</v>
      </c>
      <c r="L21" s="187">
        <v>0</v>
      </c>
      <c r="M21" s="187">
        <v>0</v>
      </c>
      <c r="N21" s="190">
        <v>0</v>
      </c>
      <c r="O21" s="191">
        <v>1</v>
      </c>
      <c r="P21" s="18"/>
    </row>
    <row r="22" spans="1:16" s="28" customFormat="1" ht="21" customHeight="1">
      <c r="A22" s="18"/>
      <c r="B22" s="18"/>
      <c r="C22" s="726"/>
      <c r="D22" s="192" t="s">
        <v>161</v>
      </c>
      <c r="E22" s="193">
        <v>0</v>
      </c>
      <c r="F22" s="193">
        <v>0</v>
      </c>
      <c r="G22" s="190">
        <v>0</v>
      </c>
      <c r="H22" s="194"/>
      <c r="I22" s="193">
        <v>0</v>
      </c>
      <c r="J22" s="193">
        <v>0</v>
      </c>
      <c r="K22" s="193">
        <v>0</v>
      </c>
      <c r="L22" s="193">
        <v>0</v>
      </c>
      <c r="M22" s="193">
        <v>0</v>
      </c>
      <c r="N22" s="190">
        <v>0</v>
      </c>
      <c r="O22" s="191">
        <v>0</v>
      </c>
      <c r="P22" s="18"/>
    </row>
    <row r="23" spans="1:16" s="28" customFormat="1" ht="21" customHeight="1">
      <c r="A23" s="18"/>
      <c r="B23" s="18"/>
      <c r="C23" s="726"/>
      <c r="D23" s="195" t="s">
        <v>162</v>
      </c>
      <c r="E23" s="193">
        <v>0</v>
      </c>
      <c r="F23" s="193">
        <v>0</v>
      </c>
      <c r="G23" s="190">
        <v>0</v>
      </c>
      <c r="H23" s="194"/>
      <c r="I23" s="193">
        <v>0</v>
      </c>
      <c r="J23" s="193">
        <v>0</v>
      </c>
      <c r="K23" s="193">
        <v>0</v>
      </c>
      <c r="L23" s="193">
        <v>0</v>
      </c>
      <c r="M23" s="193">
        <v>0</v>
      </c>
      <c r="N23" s="190">
        <v>0</v>
      </c>
      <c r="O23" s="191">
        <v>0</v>
      </c>
      <c r="P23" s="18"/>
    </row>
    <row r="24" spans="1:16" s="53" customFormat="1" ht="21" customHeight="1">
      <c r="A24" s="18"/>
      <c r="B24" s="18"/>
      <c r="C24" s="726"/>
      <c r="D24" s="195" t="s">
        <v>163</v>
      </c>
      <c r="E24" s="193">
        <v>0</v>
      </c>
      <c r="F24" s="193">
        <v>1</v>
      </c>
      <c r="G24" s="190">
        <v>1</v>
      </c>
      <c r="H24" s="194"/>
      <c r="I24" s="193">
        <v>0</v>
      </c>
      <c r="J24" s="193">
        <v>0</v>
      </c>
      <c r="K24" s="193">
        <v>0</v>
      </c>
      <c r="L24" s="193">
        <v>0</v>
      </c>
      <c r="M24" s="193">
        <v>0</v>
      </c>
      <c r="N24" s="190">
        <v>0</v>
      </c>
      <c r="O24" s="191">
        <v>1</v>
      </c>
      <c r="P24" s="18"/>
    </row>
    <row r="25" spans="1:16" s="28" customFormat="1" ht="21" customHeight="1">
      <c r="A25" s="18"/>
      <c r="B25" s="18"/>
      <c r="C25" s="726"/>
      <c r="D25" s="195" t="s">
        <v>164</v>
      </c>
      <c r="E25" s="193">
        <v>0</v>
      </c>
      <c r="F25" s="193">
        <v>0</v>
      </c>
      <c r="G25" s="190">
        <v>0</v>
      </c>
      <c r="H25" s="194"/>
      <c r="I25" s="193">
        <v>0</v>
      </c>
      <c r="J25" s="193">
        <v>0</v>
      </c>
      <c r="K25" s="193">
        <v>0</v>
      </c>
      <c r="L25" s="193">
        <v>0</v>
      </c>
      <c r="M25" s="193">
        <v>0</v>
      </c>
      <c r="N25" s="190">
        <v>0</v>
      </c>
      <c r="O25" s="191">
        <v>0</v>
      </c>
      <c r="P25" s="18"/>
    </row>
    <row r="26" spans="1:16" s="28" customFormat="1" ht="21" customHeight="1">
      <c r="A26" s="18"/>
      <c r="B26" s="18"/>
      <c r="C26" s="726"/>
      <c r="D26" s="195" t="s">
        <v>165</v>
      </c>
      <c r="E26" s="193">
        <v>0</v>
      </c>
      <c r="F26" s="193">
        <v>0</v>
      </c>
      <c r="G26" s="190">
        <v>0</v>
      </c>
      <c r="H26" s="194"/>
      <c r="I26" s="193">
        <v>0</v>
      </c>
      <c r="J26" s="193">
        <v>0</v>
      </c>
      <c r="K26" s="193">
        <v>0</v>
      </c>
      <c r="L26" s="193">
        <v>0</v>
      </c>
      <c r="M26" s="193">
        <v>0</v>
      </c>
      <c r="N26" s="190">
        <v>0</v>
      </c>
      <c r="O26" s="191">
        <v>0</v>
      </c>
      <c r="P26" s="18"/>
    </row>
    <row r="27" spans="1:16" s="28" customFormat="1" ht="21" customHeight="1">
      <c r="A27" s="18"/>
      <c r="B27" s="18"/>
      <c r="C27" s="726"/>
      <c r="D27" s="195" t="s">
        <v>166</v>
      </c>
      <c r="E27" s="193">
        <v>0</v>
      </c>
      <c r="F27" s="193">
        <v>0</v>
      </c>
      <c r="G27" s="190">
        <v>0</v>
      </c>
      <c r="H27" s="194"/>
      <c r="I27" s="193">
        <v>0</v>
      </c>
      <c r="J27" s="193">
        <v>0</v>
      </c>
      <c r="K27" s="193">
        <v>0</v>
      </c>
      <c r="L27" s="193">
        <v>0</v>
      </c>
      <c r="M27" s="193">
        <v>0</v>
      </c>
      <c r="N27" s="190">
        <v>0</v>
      </c>
      <c r="O27" s="191">
        <v>0</v>
      </c>
      <c r="P27" s="18"/>
    </row>
    <row r="28" spans="1:16" s="28" customFormat="1" ht="21" customHeight="1">
      <c r="A28" s="18"/>
      <c r="B28" s="18"/>
      <c r="C28" s="726"/>
      <c r="D28" s="186" t="s">
        <v>167</v>
      </c>
      <c r="E28" s="193">
        <v>0</v>
      </c>
      <c r="F28" s="193">
        <v>0</v>
      </c>
      <c r="G28" s="190">
        <v>0</v>
      </c>
      <c r="H28" s="194"/>
      <c r="I28" s="193">
        <v>0</v>
      </c>
      <c r="J28" s="193">
        <v>0</v>
      </c>
      <c r="K28" s="193">
        <v>0</v>
      </c>
      <c r="L28" s="193">
        <v>0</v>
      </c>
      <c r="M28" s="193">
        <v>0</v>
      </c>
      <c r="N28" s="190">
        <v>0</v>
      </c>
      <c r="O28" s="191">
        <v>0</v>
      </c>
      <c r="P28" s="18"/>
    </row>
    <row r="29" spans="1:16" s="28" customFormat="1" ht="21" customHeight="1">
      <c r="A29" s="38"/>
      <c r="B29" s="39"/>
      <c r="C29" s="727"/>
      <c r="D29" s="196" t="s">
        <v>168</v>
      </c>
      <c r="E29" s="187">
        <v>0</v>
      </c>
      <c r="F29" s="187">
        <v>1</v>
      </c>
      <c r="G29" s="190">
        <v>1</v>
      </c>
      <c r="H29" s="200"/>
      <c r="I29" s="187">
        <v>0</v>
      </c>
      <c r="J29" s="187">
        <v>0</v>
      </c>
      <c r="K29" s="187">
        <v>0</v>
      </c>
      <c r="L29" s="187">
        <v>0</v>
      </c>
      <c r="M29" s="187">
        <v>0</v>
      </c>
      <c r="N29" s="190">
        <v>0</v>
      </c>
      <c r="O29" s="197">
        <v>1</v>
      </c>
      <c r="P29" s="18"/>
    </row>
    <row r="30" spans="1:16" s="28" customFormat="1" ht="21" customHeight="1">
      <c r="A30" s="38"/>
      <c r="B30" s="39"/>
      <c r="C30" s="725" t="s">
        <v>14</v>
      </c>
      <c r="D30" s="181"/>
      <c r="E30" s="182" t="s">
        <v>152</v>
      </c>
      <c r="F30" s="182" t="s">
        <v>153</v>
      </c>
      <c r="G30" s="182" t="s">
        <v>14</v>
      </c>
      <c r="H30" s="183" t="s">
        <v>154</v>
      </c>
      <c r="I30" s="184" t="s">
        <v>155</v>
      </c>
      <c r="J30" s="182" t="s">
        <v>156</v>
      </c>
      <c r="K30" s="182" t="s">
        <v>157</v>
      </c>
      <c r="L30" s="182" t="s">
        <v>158</v>
      </c>
      <c r="M30" s="182" t="s">
        <v>159</v>
      </c>
      <c r="N30" s="182" t="s">
        <v>14</v>
      </c>
      <c r="O30" s="198" t="s">
        <v>109</v>
      </c>
      <c r="P30" s="18"/>
    </row>
    <row r="31" spans="1:16" s="28" customFormat="1" ht="21" customHeight="1">
      <c r="A31" s="18"/>
      <c r="B31" s="18"/>
      <c r="C31" s="726"/>
      <c r="D31" s="186" t="s">
        <v>160</v>
      </c>
      <c r="E31" s="187">
        <v>1</v>
      </c>
      <c r="F31" s="187">
        <v>1</v>
      </c>
      <c r="G31" s="188">
        <v>2</v>
      </c>
      <c r="H31" s="207"/>
      <c r="I31" s="187">
        <v>2</v>
      </c>
      <c r="J31" s="187">
        <v>1</v>
      </c>
      <c r="K31" s="187">
        <v>1</v>
      </c>
      <c r="L31" s="187">
        <v>0</v>
      </c>
      <c r="M31" s="187">
        <v>0</v>
      </c>
      <c r="N31" s="190">
        <v>4</v>
      </c>
      <c r="O31" s="191">
        <v>6</v>
      </c>
      <c r="P31" s="18"/>
    </row>
    <row r="32" spans="1:16" s="28" customFormat="1" ht="21" customHeight="1">
      <c r="A32" s="38"/>
      <c r="B32" s="39"/>
      <c r="C32" s="726"/>
      <c r="D32" s="192" t="s">
        <v>161</v>
      </c>
      <c r="E32" s="187">
        <v>1</v>
      </c>
      <c r="F32" s="187">
        <v>0</v>
      </c>
      <c r="G32" s="188">
        <v>1</v>
      </c>
      <c r="H32" s="207"/>
      <c r="I32" s="187">
        <v>0</v>
      </c>
      <c r="J32" s="187">
        <v>0</v>
      </c>
      <c r="K32" s="187">
        <v>0</v>
      </c>
      <c r="L32" s="187">
        <v>0</v>
      </c>
      <c r="M32" s="187">
        <v>0</v>
      </c>
      <c r="N32" s="190">
        <v>0</v>
      </c>
      <c r="O32" s="191">
        <v>1</v>
      </c>
      <c r="P32" s="18"/>
    </row>
    <row r="33" spans="1:16" s="28" customFormat="1" ht="21" customHeight="1">
      <c r="A33" s="38"/>
      <c r="B33" s="39"/>
      <c r="C33" s="726"/>
      <c r="D33" s="195" t="s">
        <v>162</v>
      </c>
      <c r="E33" s="187">
        <v>0</v>
      </c>
      <c r="F33" s="187">
        <v>0</v>
      </c>
      <c r="G33" s="188">
        <v>0</v>
      </c>
      <c r="H33" s="207"/>
      <c r="I33" s="187">
        <v>0</v>
      </c>
      <c r="J33" s="187">
        <v>0</v>
      </c>
      <c r="K33" s="187">
        <v>0</v>
      </c>
      <c r="L33" s="187">
        <v>0</v>
      </c>
      <c r="M33" s="187">
        <v>0</v>
      </c>
      <c r="N33" s="190">
        <v>0</v>
      </c>
      <c r="O33" s="191">
        <v>0</v>
      </c>
      <c r="P33" s="18"/>
    </row>
    <row r="34" spans="1:16" s="28" customFormat="1" ht="21" customHeight="1">
      <c r="A34" s="18"/>
      <c r="B34" s="18"/>
      <c r="C34" s="726"/>
      <c r="D34" s="195" t="s">
        <v>163</v>
      </c>
      <c r="E34" s="187">
        <v>0</v>
      </c>
      <c r="F34" s="187">
        <v>1</v>
      </c>
      <c r="G34" s="188">
        <v>1</v>
      </c>
      <c r="H34" s="207"/>
      <c r="I34" s="187">
        <v>0</v>
      </c>
      <c r="J34" s="187">
        <v>0</v>
      </c>
      <c r="K34" s="187">
        <v>0</v>
      </c>
      <c r="L34" s="187">
        <v>0</v>
      </c>
      <c r="M34" s="187">
        <v>0</v>
      </c>
      <c r="N34" s="190">
        <v>0</v>
      </c>
      <c r="O34" s="191">
        <v>1</v>
      </c>
      <c r="P34" s="18"/>
    </row>
    <row r="35" spans="1:16" s="28" customFormat="1" ht="21" customHeight="1">
      <c r="A35" s="38"/>
      <c r="B35" s="39"/>
      <c r="C35" s="726"/>
      <c r="D35" s="195" t="s">
        <v>164</v>
      </c>
      <c r="E35" s="187">
        <v>0</v>
      </c>
      <c r="F35" s="187">
        <v>0</v>
      </c>
      <c r="G35" s="188">
        <v>0</v>
      </c>
      <c r="H35" s="207"/>
      <c r="I35" s="187">
        <v>0</v>
      </c>
      <c r="J35" s="187">
        <v>1</v>
      </c>
      <c r="K35" s="187">
        <v>1</v>
      </c>
      <c r="L35" s="187">
        <v>0</v>
      </c>
      <c r="M35" s="187">
        <v>0</v>
      </c>
      <c r="N35" s="190">
        <v>2</v>
      </c>
      <c r="O35" s="191">
        <v>2</v>
      </c>
      <c r="P35" s="18"/>
    </row>
    <row r="36" spans="1:16" s="28" customFormat="1" ht="21" customHeight="1">
      <c r="A36" s="38"/>
      <c r="B36" s="39"/>
      <c r="C36" s="726"/>
      <c r="D36" s="195" t="s">
        <v>165</v>
      </c>
      <c r="E36" s="187">
        <v>0</v>
      </c>
      <c r="F36" s="187">
        <v>0</v>
      </c>
      <c r="G36" s="188">
        <v>0</v>
      </c>
      <c r="H36" s="207"/>
      <c r="I36" s="187">
        <v>1</v>
      </c>
      <c r="J36" s="187">
        <v>0</v>
      </c>
      <c r="K36" s="187">
        <v>0</v>
      </c>
      <c r="L36" s="187">
        <v>0</v>
      </c>
      <c r="M36" s="187">
        <v>0</v>
      </c>
      <c r="N36" s="190">
        <v>1</v>
      </c>
      <c r="O36" s="191">
        <v>1</v>
      </c>
      <c r="P36" s="18"/>
    </row>
    <row r="37" spans="1:16" s="28" customFormat="1" ht="21" customHeight="1">
      <c r="A37" s="38"/>
      <c r="B37" s="39"/>
      <c r="C37" s="726"/>
      <c r="D37" s="195" t="s">
        <v>166</v>
      </c>
      <c r="E37" s="187">
        <v>0</v>
      </c>
      <c r="F37" s="187">
        <v>0</v>
      </c>
      <c r="G37" s="188">
        <v>0</v>
      </c>
      <c r="H37" s="207"/>
      <c r="I37" s="187">
        <v>1</v>
      </c>
      <c r="J37" s="187">
        <v>0</v>
      </c>
      <c r="K37" s="187">
        <v>0</v>
      </c>
      <c r="L37" s="187">
        <v>0</v>
      </c>
      <c r="M37" s="187">
        <v>0</v>
      </c>
      <c r="N37" s="190">
        <v>1</v>
      </c>
      <c r="O37" s="191">
        <v>1</v>
      </c>
      <c r="P37" s="18"/>
    </row>
    <row r="38" spans="1:16" s="28" customFormat="1" ht="21" customHeight="1">
      <c r="A38" s="38"/>
      <c r="B38" s="39"/>
      <c r="C38" s="726"/>
      <c r="D38" s="186" t="s">
        <v>167</v>
      </c>
      <c r="E38" s="187">
        <v>0</v>
      </c>
      <c r="F38" s="187">
        <v>0</v>
      </c>
      <c r="G38" s="188">
        <v>0</v>
      </c>
      <c r="H38" s="207"/>
      <c r="I38" s="187">
        <v>0</v>
      </c>
      <c r="J38" s="187">
        <v>0</v>
      </c>
      <c r="K38" s="187">
        <v>0</v>
      </c>
      <c r="L38" s="187">
        <v>0</v>
      </c>
      <c r="M38" s="187">
        <v>0</v>
      </c>
      <c r="N38" s="190">
        <v>0</v>
      </c>
      <c r="O38" s="191">
        <v>0</v>
      </c>
      <c r="P38" s="18"/>
    </row>
    <row r="39" spans="1:16" s="28" customFormat="1" ht="21" customHeight="1">
      <c r="A39" s="38"/>
      <c r="B39" s="39"/>
      <c r="C39" s="727"/>
      <c r="D39" s="196" t="s">
        <v>168</v>
      </c>
      <c r="E39" s="202">
        <v>1</v>
      </c>
      <c r="F39" s="202">
        <v>1</v>
      </c>
      <c r="G39" s="203">
        <v>2</v>
      </c>
      <c r="H39" s="208"/>
      <c r="I39" s="202">
        <v>2</v>
      </c>
      <c r="J39" s="202">
        <v>1</v>
      </c>
      <c r="K39" s="202">
        <v>1</v>
      </c>
      <c r="L39" s="202">
        <v>0</v>
      </c>
      <c r="M39" s="202">
        <v>0</v>
      </c>
      <c r="N39" s="205">
        <v>4</v>
      </c>
      <c r="O39" s="197">
        <v>6</v>
      </c>
      <c r="P39" s="18"/>
    </row>
    <row r="40" spans="1:16" s="28" customFormat="1" ht="21" customHeight="1">
      <c r="A40" s="38"/>
      <c r="B40" s="39"/>
      <c r="C40" s="12" t="s">
        <v>174</v>
      </c>
      <c r="D40" s="18"/>
      <c r="E40" s="18"/>
      <c r="F40" s="18"/>
      <c r="G40" s="18"/>
      <c r="H40" s="18"/>
      <c r="I40" s="18"/>
      <c r="J40" s="18"/>
      <c r="K40" s="18"/>
      <c r="L40" s="18"/>
      <c r="M40" s="18"/>
      <c r="N40" s="18"/>
      <c r="O40" s="18"/>
      <c r="P40" s="18"/>
    </row>
    <row r="41" spans="1:16" s="28" customFormat="1" ht="12" customHeight="1">
      <c r="A41" s="38"/>
      <c r="B41" s="39"/>
      <c r="C41" s="18"/>
      <c r="D41" s="18"/>
      <c r="E41" s="18"/>
      <c r="F41" s="18"/>
      <c r="G41" s="18"/>
      <c r="H41" s="18"/>
      <c r="I41" s="18"/>
      <c r="J41" s="18"/>
      <c r="K41" s="18"/>
      <c r="L41" s="18"/>
      <c r="M41" s="18"/>
      <c r="N41" s="18"/>
      <c r="O41" s="18"/>
      <c r="P41" s="18"/>
    </row>
  </sheetData>
  <sheetProtection selectLockedCells="1" selectUnlockedCells="1"/>
  <mergeCells count="5">
    <mergeCell ref="A3:P3"/>
    <mergeCell ref="A4:P4"/>
    <mergeCell ref="C10:C19"/>
    <mergeCell ref="C20:C29"/>
    <mergeCell ref="C30:C39"/>
  </mergeCells>
  <phoneticPr fontId="34"/>
  <pageMargins left="0.7" right="0.7" top="0.75" bottom="0.75" header="0.3" footer="0.3"/>
  <pageSetup paperSize="9" scale="63"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ECBCA"/>
  </sheetPr>
  <dimension ref="A1:O38"/>
  <sheetViews>
    <sheetView showGridLines="0" view="pageBreakPreview" zoomScale="60" zoomScaleNormal="100" workbookViewId="0"/>
  </sheetViews>
  <sheetFormatPr defaultColWidth="9" defaultRowHeight="12" customHeight="1"/>
  <cols>
    <col min="1" max="1" width="2.7265625" style="15" customWidth="1"/>
    <col min="2" max="2" width="2.26953125" style="15" customWidth="1"/>
    <col min="3" max="3" width="20.7265625" style="15" customWidth="1"/>
    <col min="4" max="14" width="14.40625" style="15" customWidth="1"/>
    <col min="15" max="15" width="4" style="15" customWidth="1"/>
  </cols>
  <sheetData>
    <row r="1" spans="1:15" s="64" customFormat="1" ht="21" customHeight="1">
      <c r="A1" s="209" t="s">
        <v>175</v>
      </c>
      <c r="B1" s="14"/>
      <c r="C1" s="14"/>
      <c r="D1" s="14"/>
      <c r="E1" s="14"/>
      <c r="F1" s="14"/>
      <c r="G1" s="14"/>
      <c r="H1" s="14"/>
      <c r="I1" s="14"/>
      <c r="J1" s="14"/>
      <c r="K1" s="14"/>
      <c r="L1" s="14"/>
      <c r="M1" s="14"/>
      <c r="N1" s="14"/>
      <c r="O1" s="119"/>
    </row>
    <row r="2" spans="1:15" s="64" customFormat="1" ht="21" customHeight="1">
      <c r="A2" s="14"/>
      <c r="B2" s="14"/>
      <c r="C2" s="14"/>
      <c r="D2" s="14"/>
      <c r="E2" s="14"/>
      <c r="F2" s="14"/>
      <c r="G2" s="14"/>
      <c r="H2" s="14"/>
      <c r="I2" s="14"/>
      <c r="J2" s="14"/>
      <c r="K2" s="14"/>
      <c r="L2" s="14"/>
      <c r="M2" s="14"/>
      <c r="N2" s="14"/>
      <c r="O2" s="119"/>
    </row>
    <row r="3" spans="1:15" s="64" customFormat="1" ht="21" customHeight="1">
      <c r="A3" s="728" t="s">
        <v>1</v>
      </c>
      <c r="B3" s="728"/>
      <c r="C3" s="728"/>
      <c r="D3" s="728"/>
      <c r="E3" s="728"/>
      <c r="F3" s="728"/>
      <c r="G3" s="728"/>
      <c r="H3" s="728"/>
      <c r="I3" s="728"/>
      <c r="J3" s="728"/>
      <c r="K3" s="728"/>
      <c r="L3" s="728"/>
      <c r="M3" s="728"/>
      <c r="N3" s="728"/>
      <c r="O3" s="728"/>
    </row>
    <row r="4" spans="1:15" s="64" customFormat="1" ht="21" customHeight="1">
      <c r="A4" s="729" t="s">
        <v>2</v>
      </c>
      <c r="B4" s="728"/>
      <c r="C4" s="728"/>
      <c r="D4" s="728"/>
      <c r="E4" s="728"/>
      <c r="F4" s="728"/>
      <c r="G4" s="728"/>
      <c r="H4" s="728"/>
      <c r="I4" s="728"/>
      <c r="J4" s="728"/>
      <c r="K4" s="728"/>
      <c r="L4" s="728"/>
      <c r="M4" s="728"/>
      <c r="N4" s="728"/>
      <c r="O4" s="728"/>
    </row>
    <row r="5" spans="1:15" s="64" customFormat="1" ht="21" customHeight="1">
      <c r="A5" s="14"/>
      <c r="B5" s="14"/>
      <c r="C5" s="14"/>
      <c r="D5" s="14"/>
      <c r="E5" s="14"/>
      <c r="F5" s="14"/>
      <c r="G5" s="14"/>
      <c r="H5" s="14"/>
      <c r="I5" s="14"/>
      <c r="J5" s="14"/>
      <c r="K5" s="14"/>
      <c r="L5" s="14"/>
      <c r="M5" s="91" t="s">
        <v>3</v>
      </c>
      <c r="N5" s="210" t="s">
        <v>4</v>
      </c>
    </row>
    <row r="6" spans="1:15" s="64" customFormat="1" ht="21" customHeight="1">
      <c r="A6" s="14"/>
      <c r="B6" s="14"/>
      <c r="C6" s="14"/>
      <c r="D6" s="14"/>
      <c r="E6" s="14"/>
      <c r="F6" s="14"/>
      <c r="G6" s="14"/>
      <c r="H6" s="14"/>
      <c r="I6" s="14"/>
      <c r="J6" s="14"/>
      <c r="K6" s="14"/>
      <c r="L6" s="14"/>
      <c r="M6" s="93" t="s">
        <v>5</v>
      </c>
      <c r="N6" s="211" t="s">
        <v>6</v>
      </c>
      <c r="O6" s="64" t="s">
        <v>7</v>
      </c>
    </row>
    <row r="7" spans="1:15" ht="21" customHeight="1">
      <c r="A7" s="12"/>
      <c r="B7" s="54" t="s">
        <v>111</v>
      </c>
      <c r="C7" s="12"/>
      <c r="D7" s="12"/>
      <c r="E7" s="12"/>
      <c r="F7" s="12"/>
      <c r="G7" s="12"/>
      <c r="H7" s="12"/>
      <c r="I7" s="12"/>
      <c r="J7" s="12"/>
      <c r="K7" s="12"/>
      <c r="L7" s="12"/>
      <c r="M7" s="12"/>
      <c r="N7" s="12"/>
      <c r="O7" s="12"/>
    </row>
    <row r="8" spans="1:15" ht="21" customHeight="1">
      <c r="A8" s="12"/>
      <c r="B8" s="54" t="s">
        <v>176</v>
      </c>
      <c r="C8" s="12"/>
      <c r="D8" s="12"/>
      <c r="E8" s="12"/>
      <c r="F8" s="12"/>
      <c r="G8" s="12"/>
      <c r="H8" s="12"/>
      <c r="I8" s="12"/>
      <c r="J8" s="12"/>
      <c r="K8" s="12"/>
      <c r="L8" s="12"/>
      <c r="M8" s="12"/>
      <c r="N8" s="12"/>
      <c r="O8" s="12"/>
    </row>
    <row r="9" spans="1:15" s="28" customFormat="1" ht="21" customHeight="1">
      <c r="A9" s="18"/>
      <c r="B9" s="18"/>
      <c r="C9" s="730"/>
      <c r="D9" s="732" t="s">
        <v>177</v>
      </c>
      <c r="E9" s="733"/>
      <c r="F9" s="733"/>
      <c r="G9" s="739" t="s">
        <v>178</v>
      </c>
      <c r="H9" s="733"/>
      <c r="I9" s="733"/>
      <c r="J9" s="733"/>
      <c r="K9" s="733"/>
      <c r="L9" s="733"/>
      <c r="M9" s="733"/>
      <c r="N9" s="736" t="s">
        <v>109</v>
      </c>
      <c r="O9" s="18"/>
    </row>
    <row r="10" spans="1:15" s="28" customFormat="1" ht="21" customHeight="1">
      <c r="A10" s="18"/>
      <c r="B10" s="18"/>
      <c r="C10" s="738"/>
      <c r="D10" s="212" t="s">
        <v>152</v>
      </c>
      <c r="E10" s="212" t="s">
        <v>153</v>
      </c>
      <c r="F10" s="212" t="s">
        <v>14</v>
      </c>
      <c r="G10" s="213" t="s">
        <v>154</v>
      </c>
      <c r="H10" s="214" t="s">
        <v>155</v>
      </c>
      <c r="I10" s="212" t="s">
        <v>156</v>
      </c>
      <c r="J10" s="212" t="s">
        <v>157</v>
      </c>
      <c r="K10" s="212" t="s">
        <v>158</v>
      </c>
      <c r="L10" s="212" t="s">
        <v>159</v>
      </c>
      <c r="M10" s="212" t="s">
        <v>14</v>
      </c>
      <c r="N10" s="740"/>
      <c r="O10" s="65"/>
    </row>
    <row r="11" spans="1:15" s="28" customFormat="1" ht="21" customHeight="1">
      <c r="A11" s="38"/>
      <c r="B11" s="39"/>
      <c r="C11" s="215" t="s">
        <v>142</v>
      </c>
      <c r="D11" s="216">
        <v>146</v>
      </c>
      <c r="E11" s="216">
        <v>542</v>
      </c>
      <c r="F11" s="217">
        <v>688</v>
      </c>
      <c r="G11" s="218"/>
      <c r="H11" s="216">
        <v>479</v>
      </c>
      <c r="I11" s="216">
        <v>866</v>
      </c>
      <c r="J11" s="216">
        <v>646</v>
      </c>
      <c r="K11" s="216">
        <v>238</v>
      </c>
      <c r="L11" s="216">
        <v>110</v>
      </c>
      <c r="M11" s="217">
        <v>2339</v>
      </c>
      <c r="N11" s="219">
        <v>3027</v>
      </c>
      <c r="O11" s="65"/>
    </row>
    <row r="12" spans="1:15" s="28" customFormat="1" ht="21" customHeight="1">
      <c r="A12" s="38"/>
      <c r="B12" s="39"/>
      <c r="C12" s="215" t="s">
        <v>143</v>
      </c>
      <c r="D12" s="216">
        <v>0</v>
      </c>
      <c r="E12" s="216">
        <v>13</v>
      </c>
      <c r="F12" s="217">
        <v>13</v>
      </c>
      <c r="G12" s="218"/>
      <c r="H12" s="216">
        <v>0</v>
      </c>
      <c r="I12" s="216">
        <v>16</v>
      </c>
      <c r="J12" s="216">
        <v>0</v>
      </c>
      <c r="K12" s="216">
        <v>9</v>
      </c>
      <c r="L12" s="216">
        <v>12</v>
      </c>
      <c r="M12" s="217">
        <v>37</v>
      </c>
      <c r="N12" s="220">
        <v>50</v>
      </c>
      <c r="O12" s="65"/>
    </row>
    <row r="13" spans="1:15" s="28" customFormat="1" ht="21" customHeight="1">
      <c r="A13" s="38"/>
      <c r="B13" s="39"/>
      <c r="C13" s="221" t="s">
        <v>168</v>
      </c>
      <c r="D13" s="222">
        <v>146</v>
      </c>
      <c r="E13" s="222">
        <v>555</v>
      </c>
      <c r="F13" s="223">
        <v>701</v>
      </c>
      <c r="G13" s="224"/>
      <c r="H13" s="225">
        <v>479</v>
      </c>
      <c r="I13" s="225">
        <v>882</v>
      </c>
      <c r="J13" s="225">
        <v>646</v>
      </c>
      <c r="K13" s="225">
        <v>247</v>
      </c>
      <c r="L13" s="225">
        <v>122</v>
      </c>
      <c r="M13" s="223">
        <v>2376</v>
      </c>
      <c r="N13" s="226">
        <v>3077</v>
      </c>
      <c r="O13" s="65"/>
    </row>
    <row r="14" spans="1:15" s="28" customFormat="1" ht="12" customHeight="1">
      <c r="A14" s="18"/>
      <c r="B14" s="18"/>
      <c r="C14" s="18"/>
      <c r="D14" s="18"/>
      <c r="E14" s="18"/>
      <c r="F14" s="18"/>
      <c r="G14" s="18"/>
      <c r="H14" s="18"/>
      <c r="I14" s="18"/>
      <c r="J14" s="18"/>
      <c r="K14" s="18"/>
      <c r="L14" s="18"/>
      <c r="M14" s="18"/>
      <c r="N14" s="18"/>
      <c r="O14" s="18"/>
    </row>
    <row r="15" spans="1:15" s="53" customFormat="1" ht="21" customHeight="1">
      <c r="A15" s="66"/>
      <c r="B15" s="227" t="s">
        <v>179</v>
      </c>
      <c r="C15" s="67"/>
      <c r="D15" s="66"/>
      <c r="E15" s="66"/>
      <c r="F15" s="66"/>
      <c r="G15" s="66"/>
      <c r="H15" s="66"/>
      <c r="I15" s="66"/>
      <c r="J15" s="66"/>
      <c r="K15" s="66"/>
      <c r="L15" s="66"/>
      <c r="M15" s="66"/>
      <c r="N15" s="66"/>
      <c r="O15" s="66"/>
    </row>
    <row r="16" spans="1:15" s="28" customFormat="1" ht="21" customHeight="1">
      <c r="A16" s="18"/>
      <c r="B16" s="18"/>
      <c r="C16" s="730"/>
      <c r="D16" s="732" t="s">
        <v>177</v>
      </c>
      <c r="E16" s="733"/>
      <c r="F16" s="733"/>
      <c r="G16" s="739" t="s">
        <v>178</v>
      </c>
      <c r="H16" s="741"/>
      <c r="I16" s="733"/>
      <c r="J16" s="733"/>
      <c r="K16" s="733"/>
      <c r="L16" s="733"/>
      <c r="M16" s="735"/>
      <c r="N16" s="736" t="s">
        <v>109</v>
      </c>
      <c r="O16" s="18"/>
    </row>
    <row r="17" spans="1:15" s="28" customFormat="1" ht="21" customHeight="1">
      <c r="A17" s="18"/>
      <c r="B17" s="18"/>
      <c r="C17" s="738"/>
      <c r="D17" s="212" t="s">
        <v>152</v>
      </c>
      <c r="E17" s="212" t="s">
        <v>153</v>
      </c>
      <c r="F17" s="212" t="s">
        <v>14</v>
      </c>
      <c r="G17" s="213" t="s">
        <v>154</v>
      </c>
      <c r="H17" s="214" t="s">
        <v>155</v>
      </c>
      <c r="I17" s="212" t="s">
        <v>156</v>
      </c>
      <c r="J17" s="212" t="s">
        <v>157</v>
      </c>
      <c r="K17" s="212" t="s">
        <v>158</v>
      </c>
      <c r="L17" s="212" t="s">
        <v>159</v>
      </c>
      <c r="M17" s="228" t="s">
        <v>14</v>
      </c>
      <c r="N17" s="740"/>
      <c r="O17" s="65"/>
    </row>
    <row r="18" spans="1:15" s="28" customFormat="1" ht="21" customHeight="1">
      <c r="A18" s="38"/>
      <c r="B18" s="39"/>
      <c r="C18" s="215" t="s">
        <v>142</v>
      </c>
      <c r="D18" s="216">
        <v>0</v>
      </c>
      <c r="E18" s="216">
        <v>0</v>
      </c>
      <c r="F18" s="217">
        <v>0</v>
      </c>
      <c r="G18" s="218"/>
      <c r="H18" s="216">
        <v>116</v>
      </c>
      <c r="I18" s="216">
        <v>129</v>
      </c>
      <c r="J18" s="216">
        <v>201</v>
      </c>
      <c r="K18" s="216">
        <v>129</v>
      </c>
      <c r="L18" s="216">
        <v>81</v>
      </c>
      <c r="M18" s="217">
        <v>656</v>
      </c>
      <c r="N18" s="219">
        <v>656</v>
      </c>
      <c r="O18" s="65"/>
    </row>
    <row r="19" spans="1:15" s="28" customFormat="1" ht="21" customHeight="1">
      <c r="A19" s="38"/>
      <c r="B19" s="39"/>
      <c r="C19" s="215" t="s">
        <v>143</v>
      </c>
      <c r="D19" s="216">
        <v>0</v>
      </c>
      <c r="E19" s="216">
        <v>0</v>
      </c>
      <c r="F19" s="217">
        <v>0</v>
      </c>
      <c r="G19" s="218"/>
      <c r="H19" s="216">
        <v>0</v>
      </c>
      <c r="I19" s="216">
        <v>0</v>
      </c>
      <c r="J19" s="216">
        <v>0</v>
      </c>
      <c r="K19" s="216">
        <v>0</v>
      </c>
      <c r="L19" s="216">
        <v>0</v>
      </c>
      <c r="M19" s="217">
        <v>0</v>
      </c>
      <c r="N19" s="219">
        <v>0</v>
      </c>
      <c r="O19" s="65"/>
    </row>
    <row r="20" spans="1:15" s="28" customFormat="1" ht="21" customHeight="1">
      <c r="A20" s="18"/>
      <c r="B20" s="18"/>
      <c r="C20" s="221" t="s">
        <v>168</v>
      </c>
      <c r="D20" s="222">
        <v>0</v>
      </c>
      <c r="E20" s="229">
        <v>0</v>
      </c>
      <c r="F20" s="222">
        <v>0</v>
      </c>
      <c r="G20" s="224"/>
      <c r="H20" s="222">
        <v>116</v>
      </c>
      <c r="I20" s="222">
        <v>129</v>
      </c>
      <c r="J20" s="222">
        <v>201</v>
      </c>
      <c r="K20" s="222">
        <v>129</v>
      </c>
      <c r="L20" s="222">
        <v>81</v>
      </c>
      <c r="M20" s="222">
        <v>656</v>
      </c>
      <c r="N20" s="230">
        <v>656</v>
      </c>
      <c r="O20" s="65"/>
    </row>
    <row r="21" spans="1:15" s="28" customFormat="1" ht="12" customHeight="1">
      <c r="A21" s="18"/>
      <c r="B21" s="18"/>
      <c r="C21" s="18"/>
      <c r="D21" s="18"/>
      <c r="E21" s="18"/>
      <c r="F21" s="18"/>
      <c r="G21" s="18"/>
      <c r="H21" s="18"/>
      <c r="I21" s="18"/>
      <c r="J21" s="18"/>
      <c r="K21" s="18"/>
      <c r="L21" s="18"/>
      <c r="M21" s="18"/>
      <c r="N21" s="18"/>
      <c r="O21" s="18"/>
    </row>
    <row r="22" spans="1:15" s="53" customFormat="1" ht="21" customHeight="1">
      <c r="A22" s="66"/>
      <c r="B22" s="227" t="s">
        <v>180</v>
      </c>
      <c r="C22" s="66"/>
      <c r="D22" s="66"/>
      <c r="E22" s="66"/>
      <c r="F22" s="66"/>
      <c r="G22" s="66"/>
      <c r="H22" s="66"/>
      <c r="I22" s="66"/>
      <c r="J22" s="66"/>
      <c r="K22" s="66"/>
      <c r="L22" s="66"/>
      <c r="M22" s="66"/>
      <c r="N22" s="66"/>
      <c r="O22" s="66"/>
    </row>
    <row r="23" spans="1:15" s="28" customFormat="1" ht="21" customHeight="1">
      <c r="A23" s="18"/>
      <c r="B23" s="18"/>
      <c r="C23" s="730"/>
      <c r="D23" s="732" t="s">
        <v>177</v>
      </c>
      <c r="E23" s="733"/>
      <c r="F23" s="733"/>
      <c r="G23" s="734" t="s">
        <v>178</v>
      </c>
      <c r="H23" s="733"/>
      <c r="I23" s="733"/>
      <c r="J23" s="733"/>
      <c r="K23" s="733"/>
      <c r="L23" s="735"/>
      <c r="M23" s="736" t="s">
        <v>109</v>
      </c>
      <c r="N23" s="18"/>
      <c r="O23" s="18"/>
    </row>
    <row r="24" spans="1:15" s="28" customFormat="1" ht="21" customHeight="1">
      <c r="A24" s="18"/>
      <c r="B24" s="18"/>
      <c r="C24" s="731"/>
      <c r="D24" s="231" t="s">
        <v>152</v>
      </c>
      <c r="E24" s="231" t="s">
        <v>153</v>
      </c>
      <c r="F24" s="231" t="s">
        <v>14</v>
      </c>
      <c r="G24" s="232" t="s">
        <v>155</v>
      </c>
      <c r="H24" s="231" t="s">
        <v>156</v>
      </c>
      <c r="I24" s="231" t="s">
        <v>157</v>
      </c>
      <c r="J24" s="231" t="s">
        <v>158</v>
      </c>
      <c r="K24" s="231" t="s">
        <v>159</v>
      </c>
      <c r="L24" s="233" t="s">
        <v>14</v>
      </c>
      <c r="M24" s="737"/>
      <c r="N24" s="18"/>
      <c r="O24" s="18"/>
    </row>
    <row r="25" spans="1:15" s="28" customFormat="1" ht="21" customHeight="1">
      <c r="A25" s="18"/>
      <c r="B25" s="18"/>
      <c r="C25" s="234" t="s">
        <v>113</v>
      </c>
      <c r="D25" s="235">
        <v>0</v>
      </c>
      <c r="E25" s="235">
        <v>0</v>
      </c>
      <c r="F25" s="235">
        <v>0</v>
      </c>
      <c r="G25" s="236">
        <v>12</v>
      </c>
      <c r="H25" s="237">
        <v>28</v>
      </c>
      <c r="I25" s="237">
        <v>240</v>
      </c>
      <c r="J25" s="237">
        <v>296</v>
      </c>
      <c r="K25" s="237">
        <v>241</v>
      </c>
      <c r="L25" s="238">
        <v>817</v>
      </c>
      <c r="M25" s="239">
        <v>817</v>
      </c>
      <c r="N25" s="18"/>
      <c r="O25" s="18"/>
    </row>
    <row r="26" spans="1:15" s="28" customFormat="1" ht="21" customHeight="1">
      <c r="A26" s="38"/>
      <c r="B26" s="39"/>
      <c r="C26" s="240" t="s">
        <v>142</v>
      </c>
      <c r="D26" s="241">
        <v>0</v>
      </c>
      <c r="E26" s="241">
        <v>0</v>
      </c>
      <c r="F26" s="217">
        <v>0</v>
      </c>
      <c r="G26" s="242">
        <v>12</v>
      </c>
      <c r="H26" s="241">
        <v>28</v>
      </c>
      <c r="I26" s="241">
        <v>240</v>
      </c>
      <c r="J26" s="241">
        <v>296</v>
      </c>
      <c r="K26" s="241">
        <v>241</v>
      </c>
      <c r="L26" s="217">
        <v>817</v>
      </c>
      <c r="M26" s="220">
        <v>817</v>
      </c>
      <c r="N26" s="18"/>
      <c r="O26" s="68"/>
    </row>
    <row r="27" spans="1:15" s="28" customFormat="1" ht="21" customHeight="1">
      <c r="A27" s="38"/>
      <c r="B27" s="39"/>
      <c r="C27" s="240" t="s">
        <v>143</v>
      </c>
      <c r="D27" s="243">
        <v>0</v>
      </c>
      <c r="E27" s="243">
        <v>0</v>
      </c>
      <c r="F27" s="217">
        <v>0</v>
      </c>
      <c r="G27" s="244">
        <v>0</v>
      </c>
      <c r="H27" s="243">
        <v>0</v>
      </c>
      <c r="I27" s="243">
        <v>0</v>
      </c>
      <c r="J27" s="243">
        <v>0</v>
      </c>
      <c r="K27" s="243">
        <v>0</v>
      </c>
      <c r="L27" s="217">
        <v>0</v>
      </c>
      <c r="M27" s="226">
        <v>0</v>
      </c>
      <c r="N27" s="18"/>
      <c r="O27" s="18"/>
    </row>
    <row r="28" spans="1:15" s="28" customFormat="1" ht="21" customHeight="1">
      <c r="A28" s="18"/>
      <c r="B28" s="18"/>
      <c r="C28" s="234" t="s">
        <v>114</v>
      </c>
      <c r="D28" s="237">
        <v>0</v>
      </c>
      <c r="E28" s="237">
        <v>0</v>
      </c>
      <c r="F28" s="237">
        <v>0</v>
      </c>
      <c r="G28" s="236">
        <v>52</v>
      </c>
      <c r="H28" s="237">
        <v>144</v>
      </c>
      <c r="I28" s="237">
        <v>201</v>
      </c>
      <c r="J28" s="237">
        <v>244</v>
      </c>
      <c r="K28" s="237">
        <v>118</v>
      </c>
      <c r="L28" s="237">
        <v>759</v>
      </c>
      <c r="M28" s="219">
        <v>759</v>
      </c>
      <c r="N28" s="18"/>
      <c r="O28" s="18"/>
    </row>
    <row r="29" spans="1:15" s="28" customFormat="1" ht="21" customHeight="1">
      <c r="A29" s="38"/>
      <c r="B29" s="39"/>
      <c r="C29" s="240" t="s">
        <v>142</v>
      </c>
      <c r="D29" s="216">
        <v>0</v>
      </c>
      <c r="E29" s="216">
        <v>0</v>
      </c>
      <c r="F29" s="217">
        <v>0</v>
      </c>
      <c r="G29" s="245">
        <v>52</v>
      </c>
      <c r="H29" s="216">
        <v>144</v>
      </c>
      <c r="I29" s="216">
        <v>189</v>
      </c>
      <c r="J29" s="216">
        <v>244</v>
      </c>
      <c r="K29" s="216">
        <v>118</v>
      </c>
      <c r="L29" s="217">
        <v>747</v>
      </c>
      <c r="M29" s="219">
        <v>747</v>
      </c>
      <c r="N29" s="18"/>
      <c r="O29" s="18"/>
    </row>
    <row r="30" spans="1:15" s="28" customFormat="1" ht="21" customHeight="1">
      <c r="A30" s="38"/>
      <c r="B30" s="39"/>
      <c r="C30" s="240" t="s">
        <v>143</v>
      </c>
      <c r="D30" s="246">
        <v>0</v>
      </c>
      <c r="E30" s="246">
        <v>0</v>
      </c>
      <c r="F30" s="222">
        <v>0</v>
      </c>
      <c r="G30" s="247">
        <v>0</v>
      </c>
      <c r="H30" s="246">
        <v>0</v>
      </c>
      <c r="I30" s="246">
        <v>12</v>
      </c>
      <c r="J30" s="246">
        <v>0</v>
      </c>
      <c r="K30" s="246">
        <v>0</v>
      </c>
      <c r="L30" s="222">
        <v>12</v>
      </c>
      <c r="M30" s="230">
        <v>12</v>
      </c>
      <c r="N30" s="18"/>
      <c r="O30" s="18"/>
    </row>
    <row r="31" spans="1:15" s="28" customFormat="1" ht="21" customHeight="1">
      <c r="A31" s="18"/>
      <c r="B31" s="18"/>
      <c r="C31" s="234" t="s">
        <v>181</v>
      </c>
      <c r="D31" s="237">
        <v>0</v>
      </c>
      <c r="E31" s="237">
        <v>0</v>
      </c>
      <c r="F31" s="237">
        <v>0</v>
      </c>
      <c r="G31" s="236">
        <v>0</v>
      </c>
      <c r="H31" s="237">
        <v>0</v>
      </c>
      <c r="I31" s="237">
        <v>0</v>
      </c>
      <c r="J31" s="237">
        <v>0</v>
      </c>
      <c r="K31" s="237">
        <v>0</v>
      </c>
      <c r="L31" s="237">
        <v>0</v>
      </c>
      <c r="M31" s="248">
        <v>0</v>
      </c>
      <c r="N31" s="18"/>
      <c r="O31" s="18"/>
    </row>
    <row r="32" spans="1:15" s="28" customFormat="1" ht="21" customHeight="1">
      <c r="A32" s="38"/>
      <c r="B32" s="39"/>
      <c r="C32" s="240" t="s">
        <v>142</v>
      </c>
      <c r="D32" s="216">
        <v>0</v>
      </c>
      <c r="E32" s="216">
        <v>0</v>
      </c>
      <c r="F32" s="217">
        <v>0</v>
      </c>
      <c r="G32" s="245">
        <v>0</v>
      </c>
      <c r="H32" s="216">
        <v>0</v>
      </c>
      <c r="I32" s="216">
        <v>0</v>
      </c>
      <c r="J32" s="216">
        <v>0</v>
      </c>
      <c r="K32" s="216">
        <v>0</v>
      </c>
      <c r="L32" s="217">
        <v>0</v>
      </c>
      <c r="M32" s="219">
        <v>0</v>
      </c>
      <c r="N32" s="18"/>
      <c r="O32" s="18"/>
    </row>
    <row r="33" spans="1:15" s="28" customFormat="1" ht="21" customHeight="1">
      <c r="A33" s="38"/>
      <c r="B33" s="39"/>
      <c r="C33" s="249" t="s">
        <v>143</v>
      </c>
      <c r="D33" s="246">
        <v>0</v>
      </c>
      <c r="E33" s="246">
        <v>0</v>
      </c>
      <c r="F33" s="222">
        <v>0</v>
      </c>
      <c r="G33" s="247">
        <v>0</v>
      </c>
      <c r="H33" s="246">
        <v>0</v>
      </c>
      <c r="I33" s="246">
        <v>0</v>
      </c>
      <c r="J33" s="246">
        <v>0</v>
      </c>
      <c r="K33" s="246">
        <v>0</v>
      </c>
      <c r="L33" s="222">
        <v>0</v>
      </c>
      <c r="M33" s="230">
        <v>0</v>
      </c>
      <c r="N33" s="18"/>
      <c r="O33" s="18"/>
    </row>
    <row r="34" spans="1:15" s="28" customFormat="1" ht="21" customHeight="1">
      <c r="A34" s="38"/>
      <c r="B34" s="39"/>
      <c r="C34" s="234" t="s">
        <v>116</v>
      </c>
      <c r="D34" s="237">
        <v>0</v>
      </c>
      <c r="E34" s="237">
        <v>0</v>
      </c>
      <c r="F34" s="237">
        <v>0</v>
      </c>
      <c r="G34" s="236">
        <v>0</v>
      </c>
      <c r="H34" s="237">
        <v>0</v>
      </c>
      <c r="I34" s="237">
        <v>0</v>
      </c>
      <c r="J34" s="237">
        <v>0</v>
      </c>
      <c r="K34" s="237">
        <v>0</v>
      </c>
      <c r="L34" s="237">
        <v>0</v>
      </c>
      <c r="M34" s="248">
        <v>0</v>
      </c>
      <c r="N34" s="18"/>
      <c r="O34" s="18"/>
    </row>
    <row r="35" spans="1:15" s="28" customFormat="1" ht="21" customHeight="1">
      <c r="A35" s="38"/>
      <c r="B35" s="39"/>
      <c r="C35" s="240" t="s">
        <v>142</v>
      </c>
      <c r="D35" s="216">
        <v>0</v>
      </c>
      <c r="E35" s="216">
        <v>0</v>
      </c>
      <c r="F35" s="217">
        <v>0</v>
      </c>
      <c r="G35" s="245">
        <v>0</v>
      </c>
      <c r="H35" s="216">
        <v>0</v>
      </c>
      <c r="I35" s="216">
        <v>0</v>
      </c>
      <c r="J35" s="216">
        <v>0</v>
      </c>
      <c r="K35" s="216">
        <v>0</v>
      </c>
      <c r="L35" s="217">
        <v>0</v>
      </c>
      <c r="M35" s="219">
        <v>0</v>
      </c>
      <c r="N35" s="18"/>
      <c r="O35" s="18"/>
    </row>
    <row r="36" spans="1:15" s="28" customFormat="1" ht="21" customHeight="1">
      <c r="A36" s="38"/>
      <c r="B36" s="39"/>
      <c r="C36" s="249" t="s">
        <v>143</v>
      </c>
      <c r="D36" s="246">
        <v>0</v>
      </c>
      <c r="E36" s="246">
        <v>0</v>
      </c>
      <c r="F36" s="222">
        <v>0</v>
      </c>
      <c r="G36" s="247">
        <v>0</v>
      </c>
      <c r="H36" s="246">
        <v>0</v>
      </c>
      <c r="I36" s="246">
        <v>0</v>
      </c>
      <c r="J36" s="246">
        <v>0</v>
      </c>
      <c r="K36" s="246">
        <v>0</v>
      </c>
      <c r="L36" s="222">
        <v>0</v>
      </c>
      <c r="M36" s="230">
        <v>0</v>
      </c>
      <c r="N36" s="18"/>
      <c r="O36" s="18"/>
    </row>
    <row r="37" spans="1:15" s="28" customFormat="1" ht="21" customHeight="1">
      <c r="A37" s="18"/>
      <c r="B37" s="18"/>
      <c r="C37" s="221" t="s">
        <v>168</v>
      </c>
      <c r="D37" s="246">
        <v>0</v>
      </c>
      <c r="E37" s="246">
        <v>0</v>
      </c>
      <c r="F37" s="222">
        <v>0</v>
      </c>
      <c r="G37" s="247">
        <v>64</v>
      </c>
      <c r="H37" s="246">
        <v>172</v>
      </c>
      <c r="I37" s="246">
        <v>441</v>
      </c>
      <c r="J37" s="246">
        <v>540</v>
      </c>
      <c r="K37" s="246">
        <v>359</v>
      </c>
      <c r="L37" s="222">
        <v>1576</v>
      </c>
      <c r="M37" s="230">
        <v>1576</v>
      </c>
      <c r="N37" s="18"/>
      <c r="O37" s="18"/>
    </row>
    <row r="38" spans="1:15" s="28" customFormat="1" ht="12" customHeight="1">
      <c r="A38" s="18"/>
      <c r="B38" s="18"/>
      <c r="C38" s="18"/>
      <c r="D38" s="18"/>
      <c r="E38" s="18"/>
      <c r="F38" s="18"/>
      <c r="G38" s="18"/>
      <c r="H38" s="18"/>
      <c r="I38" s="18"/>
      <c r="J38" s="18"/>
      <c r="K38" s="18"/>
      <c r="L38" s="18"/>
      <c r="M38" s="18"/>
      <c r="N38" s="18"/>
      <c r="O38" s="18"/>
    </row>
  </sheetData>
  <sheetProtection selectLockedCells="1" selectUnlockedCells="1"/>
  <mergeCells count="14">
    <mergeCell ref="A3:O3"/>
    <mergeCell ref="A4:O4"/>
    <mergeCell ref="C23:C24"/>
    <mergeCell ref="D23:F23"/>
    <mergeCell ref="G23:L23"/>
    <mergeCell ref="M23:M24"/>
    <mergeCell ref="C9:C10"/>
    <mergeCell ref="D9:F9"/>
    <mergeCell ref="G9:M9"/>
    <mergeCell ref="N9:N10"/>
    <mergeCell ref="C16:C17"/>
    <mergeCell ref="D16:F16"/>
    <mergeCell ref="G16:M16"/>
    <mergeCell ref="N16:N17"/>
  </mergeCells>
  <phoneticPr fontId="34"/>
  <pageMargins left="0.7" right="0.7" top="0.75" bottom="0.75" header="0.3" footer="0.3"/>
  <pageSetup paperSize="9" scale="69"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2"/>
  <sheetViews>
    <sheetView view="pageBreakPreview" topLeftCell="A3" zoomScale="60" zoomScaleNormal="100" workbookViewId="0"/>
  </sheetViews>
  <sheetFormatPr defaultRowHeight="0" customHeight="1" zeroHeight="1"/>
  <cols>
    <col min="1" max="2" width="2.26953125" style="15" customWidth="1"/>
    <col min="3" max="3" width="35" style="15" customWidth="1"/>
    <col min="4" max="14" width="14.40625" style="15" customWidth="1"/>
    <col min="15" max="15" width="4" style="15" customWidth="1"/>
  </cols>
  <sheetData>
    <row r="1" spans="1:15" ht="18" customHeight="1">
      <c r="A1" s="177" t="s">
        <v>182</v>
      </c>
      <c r="B1" s="12"/>
      <c r="C1" s="12"/>
      <c r="D1" s="12"/>
      <c r="E1" s="12"/>
      <c r="F1" s="12"/>
      <c r="G1" s="12"/>
      <c r="H1" s="12"/>
      <c r="I1" s="12"/>
      <c r="J1" s="12"/>
      <c r="K1" s="12"/>
      <c r="L1" s="12"/>
      <c r="M1" s="12"/>
      <c r="N1" s="12"/>
      <c r="O1" s="119"/>
    </row>
    <row r="2" spans="1:15" ht="18" customHeight="1">
      <c r="A2" s="12"/>
      <c r="B2" s="12"/>
      <c r="C2" s="12"/>
      <c r="D2" s="12"/>
      <c r="E2" s="12"/>
      <c r="F2" s="12"/>
      <c r="G2" s="12"/>
      <c r="H2" s="12"/>
      <c r="I2" s="12"/>
      <c r="J2" s="12"/>
      <c r="K2" s="12"/>
      <c r="L2" s="12"/>
      <c r="M2" s="12"/>
      <c r="N2" s="12"/>
      <c r="O2" s="119"/>
    </row>
    <row r="3" spans="1:15" ht="18" customHeight="1">
      <c r="A3" s="619" t="s">
        <v>1</v>
      </c>
      <c r="B3" s="619"/>
      <c r="C3" s="619"/>
      <c r="D3" s="619"/>
      <c r="E3" s="619"/>
      <c r="F3" s="619"/>
      <c r="G3" s="619"/>
      <c r="H3" s="619"/>
      <c r="I3" s="619"/>
      <c r="J3" s="619"/>
      <c r="K3" s="619"/>
      <c r="L3" s="619"/>
      <c r="M3" s="619"/>
      <c r="N3" s="619"/>
      <c r="O3" s="619"/>
    </row>
    <row r="4" spans="1:15" ht="18" customHeight="1">
      <c r="A4" s="620" t="s">
        <v>2</v>
      </c>
      <c r="B4" s="619"/>
      <c r="C4" s="619"/>
      <c r="D4" s="619"/>
      <c r="E4" s="619"/>
      <c r="F4" s="619"/>
      <c r="G4" s="619"/>
      <c r="H4" s="619"/>
      <c r="I4" s="619"/>
      <c r="J4" s="619"/>
      <c r="K4" s="619"/>
      <c r="L4" s="619"/>
      <c r="M4" s="619"/>
      <c r="N4" s="619"/>
      <c r="O4" s="619"/>
    </row>
    <row r="5" spans="1:15" ht="18" customHeight="1">
      <c r="A5" s="12"/>
      <c r="B5" s="12"/>
      <c r="C5" s="12"/>
      <c r="D5" s="12"/>
      <c r="E5" s="12"/>
      <c r="F5" s="12"/>
      <c r="G5" s="12"/>
      <c r="H5" s="12"/>
      <c r="I5" s="12"/>
      <c r="J5" s="12"/>
      <c r="K5" s="12"/>
      <c r="L5" s="12"/>
      <c r="M5" s="178" t="s">
        <v>32</v>
      </c>
      <c r="N5" s="179" t="s">
        <v>4</v>
      </c>
      <c r="O5" s="12"/>
    </row>
    <row r="6" spans="1:15" ht="18" customHeight="1">
      <c r="A6" s="12"/>
      <c r="B6" s="12"/>
      <c r="C6" s="12"/>
      <c r="D6" s="12"/>
      <c r="E6" s="12"/>
      <c r="F6" s="12"/>
      <c r="G6" s="12"/>
      <c r="H6" s="12"/>
      <c r="I6" s="12"/>
      <c r="J6" s="12"/>
      <c r="K6" s="12"/>
      <c r="L6" s="12"/>
      <c r="M6" s="178" t="s">
        <v>33</v>
      </c>
      <c r="N6" s="206" t="s">
        <v>6</v>
      </c>
      <c r="O6" s="180" t="s">
        <v>7</v>
      </c>
    </row>
    <row r="7" spans="1:15" ht="18" customHeight="1">
      <c r="A7" s="13" t="s">
        <v>34</v>
      </c>
      <c r="B7" s="17"/>
      <c r="C7" s="18"/>
      <c r="D7" s="18"/>
      <c r="E7" s="18"/>
      <c r="F7" s="18"/>
      <c r="G7" s="18"/>
      <c r="H7" s="18"/>
      <c r="I7" s="18"/>
      <c r="J7" s="18"/>
      <c r="K7" s="18"/>
      <c r="L7" s="18"/>
      <c r="M7" s="18"/>
      <c r="N7" s="18"/>
      <c r="O7" s="12"/>
    </row>
    <row r="8" spans="1:15" ht="18" customHeight="1">
      <c r="A8" s="18"/>
      <c r="B8" s="13" t="s">
        <v>183</v>
      </c>
      <c r="C8" s="18"/>
      <c r="D8" s="18"/>
      <c r="E8" s="18"/>
      <c r="F8" s="18"/>
      <c r="G8" s="18"/>
      <c r="H8" s="18"/>
      <c r="I8" s="18"/>
      <c r="J8" s="18"/>
      <c r="K8" s="18"/>
      <c r="L8" s="18"/>
      <c r="M8" s="18"/>
      <c r="N8" s="18"/>
      <c r="O8" s="12"/>
    </row>
    <row r="9" spans="1:15" ht="18" customHeight="1">
      <c r="A9" s="18"/>
      <c r="B9" s="17"/>
      <c r="C9" s="13" t="s">
        <v>184</v>
      </c>
      <c r="D9" s="18"/>
      <c r="E9" s="18"/>
      <c r="F9" s="18"/>
      <c r="G9" s="18"/>
      <c r="H9" s="18"/>
      <c r="I9" s="18"/>
      <c r="J9" s="18"/>
      <c r="K9" s="18"/>
      <c r="L9" s="18"/>
      <c r="M9" s="18"/>
      <c r="N9" s="18"/>
      <c r="O9" s="12"/>
    </row>
    <row r="10" spans="1:15" s="28" customFormat="1" ht="18" customHeight="1">
      <c r="A10" s="18"/>
      <c r="B10" s="18"/>
      <c r="C10" s="742"/>
      <c r="D10" s="744" t="s">
        <v>177</v>
      </c>
      <c r="E10" s="744"/>
      <c r="F10" s="745"/>
      <c r="G10" s="746" t="s">
        <v>178</v>
      </c>
      <c r="H10" s="747"/>
      <c r="I10" s="747"/>
      <c r="J10" s="747"/>
      <c r="K10" s="747"/>
      <c r="L10" s="747"/>
      <c r="M10" s="747"/>
      <c r="N10" s="748" t="s">
        <v>109</v>
      </c>
      <c r="O10" s="18"/>
    </row>
    <row r="11" spans="1:15" s="28" customFormat="1" ht="18" customHeight="1">
      <c r="A11" s="18"/>
      <c r="B11" s="18"/>
      <c r="C11" s="743"/>
      <c r="D11" s="250" t="s">
        <v>152</v>
      </c>
      <c r="E11" s="250" t="s">
        <v>153</v>
      </c>
      <c r="F11" s="251" t="s">
        <v>14</v>
      </c>
      <c r="G11" s="252" t="s">
        <v>154</v>
      </c>
      <c r="H11" s="250" t="s">
        <v>155</v>
      </c>
      <c r="I11" s="250" t="s">
        <v>156</v>
      </c>
      <c r="J11" s="250" t="s">
        <v>157</v>
      </c>
      <c r="K11" s="250" t="s">
        <v>158</v>
      </c>
      <c r="L11" s="250" t="s">
        <v>159</v>
      </c>
      <c r="M11" s="251" t="s">
        <v>14</v>
      </c>
      <c r="N11" s="749"/>
      <c r="O11" s="18"/>
    </row>
    <row r="12" spans="1:15" s="28" customFormat="1" ht="18" customHeight="1">
      <c r="A12" s="38"/>
      <c r="B12" s="39"/>
      <c r="C12" s="253" t="s">
        <v>185</v>
      </c>
      <c r="D12" s="193">
        <v>0</v>
      </c>
      <c r="E12" s="193">
        <v>0</v>
      </c>
      <c r="F12" s="190">
        <v>0</v>
      </c>
      <c r="G12" s="218"/>
      <c r="H12" s="193">
        <v>57</v>
      </c>
      <c r="I12" s="193">
        <v>107</v>
      </c>
      <c r="J12" s="193">
        <v>152</v>
      </c>
      <c r="K12" s="193">
        <v>56</v>
      </c>
      <c r="L12" s="193">
        <v>45</v>
      </c>
      <c r="M12" s="190">
        <v>417</v>
      </c>
      <c r="N12" s="191">
        <v>417</v>
      </c>
      <c r="O12" s="18"/>
    </row>
    <row r="13" spans="1:15" s="28" customFormat="1" ht="18" customHeight="1">
      <c r="A13" s="38"/>
      <c r="B13" s="39"/>
      <c r="C13" s="253" t="s">
        <v>186</v>
      </c>
      <c r="D13" s="193">
        <v>2</v>
      </c>
      <c r="E13" s="193">
        <v>0</v>
      </c>
      <c r="F13" s="190">
        <v>2</v>
      </c>
      <c r="G13" s="218"/>
      <c r="H13" s="193">
        <v>0</v>
      </c>
      <c r="I13" s="193">
        <v>26</v>
      </c>
      <c r="J13" s="193">
        <v>17</v>
      </c>
      <c r="K13" s="193">
        <v>18</v>
      </c>
      <c r="L13" s="193">
        <v>14</v>
      </c>
      <c r="M13" s="190">
        <v>75</v>
      </c>
      <c r="N13" s="191">
        <v>77</v>
      </c>
      <c r="O13" s="18"/>
    </row>
    <row r="14" spans="1:15" s="28" customFormat="1" ht="18" customHeight="1">
      <c r="A14" s="38"/>
      <c r="B14" s="39"/>
      <c r="C14" s="253" t="s">
        <v>187</v>
      </c>
      <c r="D14" s="193">
        <v>11</v>
      </c>
      <c r="E14" s="193">
        <v>0</v>
      </c>
      <c r="F14" s="190">
        <v>11</v>
      </c>
      <c r="G14" s="218"/>
      <c r="H14" s="193">
        <v>0</v>
      </c>
      <c r="I14" s="193">
        <v>9</v>
      </c>
      <c r="J14" s="193">
        <v>24</v>
      </c>
      <c r="K14" s="193">
        <v>6</v>
      </c>
      <c r="L14" s="193">
        <v>13</v>
      </c>
      <c r="M14" s="190">
        <v>52</v>
      </c>
      <c r="N14" s="191">
        <v>63</v>
      </c>
      <c r="O14" s="18"/>
    </row>
    <row r="15" spans="1:15" s="28" customFormat="1" ht="18" customHeight="1">
      <c r="A15" s="38"/>
      <c r="B15" s="39"/>
      <c r="C15" s="253" t="s">
        <v>188</v>
      </c>
      <c r="D15" s="193">
        <v>25</v>
      </c>
      <c r="E15" s="193">
        <v>35</v>
      </c>
      <c r="F15" s="190">
        <v>60</v>
      </c>
      <c r="G15" s="218"/>
      <c r="H15" s="193">
        <v>17</v>
      </c>
      <c r="I15" s="193">
        <v>57</v>
      </c>
      <c r="J15" s="193">
        <v>68</v>
      </c>
      <c r="K15" s="193">
        <v>8</v>
      </c>
      <c r="L15" s="193">
        <v>4</v>
      </c>
      <c r="M15" s="190">
        <v>154</v>
      </c>
      <c r="N15" s="191">
        <v>214</v>
      </c>
      <c r="O15" s="18"/>
    </row>
    <row r="16" spans="1:15" s="28" customFormat="1" ht="18" customHeight="1">
      <c r="A16" s="38"/>
      <c r="B16" s="39"/>
      <c r="C16" s="253" t="s">
        <v>189</v>
      </c>
      <c r="D16" s="193">
        <v>0</v>
      </c>
      <c r="E16" s="193">
        <v>0</v>
      </c>
      <c r="F16" s="190">
        <v>0</v>
      </c>
      <c r="G16" s="218"/>
      <c r="H16" s="193">
        <v>4</v>
      </c>
      <c r="I16" s="193">
        <v>16</v>
      </c>
      <c r="J16" s="193">
        <v>31</v>
      </c>
      <c r="K16" s="193">
        <v>18</v>
      </c>
      <c r="L16" s="193">
        <v>25</v>
      </c>
      <c r="M16" s="190">
        <v>94</v>
      </c>
      <c r="N16" s="191">
        <v>94</v>
      </c>
      <c r="O16" s="18"/>
    </row>
    <row r="17" spans="1:15" s="28" customFormat="1" ht="18" customHeight="1">
      <c r="A17" s="38"/>
      <c r="B17" s="39"/>
      <c r="C17" s="253" t="s">
        <v>190</v>
      </c>
      <c r="D17" s="193">
        <v>0</v>
      </c>
      <c r="E17" s="193">
        <v>0</v>
      </c>
      <c r="F17" s="190">
        <v>0</v>
      </c>
      <c r="G17" s="218"/>
      <c r="H17" s="193">
        <v>163</v>
      </c>
      <c r="I17" s="193">
        <v>246</v>
      </c>
      <c r="J17" s="193">
        <v>197</v>
      </c>
      <c r="K17" s="193">
        <v>75</v>
      </c>
      <c r="L17" s="193">
        <v>25</v>
      </c>
      <c r="M17" s="190">
        <v>706</v>
      </c>
      <c r="N17" s="191">
        <v>706</v>
      </c>
      <c r="O17" s="18"/>
    </row>
    <row r="18" spans="1:15" s="28" customFormat="1" ht="18" customHeight="1">
      <c r="A18" s="38"/>
      <c r="B18" s="39"/>
      <c r="C18" s="253" t="s">
        <v>191</v>
      </c>
      <c r="D18" s="193">
        <v>61</v>
      </c>
      <c r="E18" s="193">
        <v>389</v>
      </c>
      <c r="F18" s="190">
        <v>450</v>
      </c>
      <c r="G18" s="218"/>
      <c r="H18" s="193">
        <v>220</v>
      </c>
      <c r="I18" s="193">
        <v>413</v>
      </c>
      <c r="J18" s="193">
        <v>292</v>
      </c>
      <c r="K18" s="193">
        <v>86</v>
      </c>
      <c r="L18" s="193">
        <v>38</v>
      </c>
      <c r="M18" s="190">
        <v>1049</v>
      </c>
      <c r="N18" s="191">
        <v>1499</v>
      </c>
      <c r="O18" s="18"/>
    </row>
    <row r="19" spans="1:15" s="28" customFormat="1" ht="18" customHeight="1">
      <c r="A19" s="38"/>
      <c r="B19" s="39"/>
      <c r="C19" s="253" t="s">
        <v>192</v>
      </c>
      <c r="D19" s="193">
        <v>1</v>
      </c>
      <c r="E19" s="193">
        <v>1</v>
      </c>
      <c r="F19" s="190">
        <v>2</v>
      </c>
      <c r="G19" s="218"/>
      <c r="H19" s="193">
        <v>15</v>
      </c>
      <c r="I19" s="193">
        <v>10</v>
      </c>
      <c r="J19" s="193">
        <v>41</v>
      </c>
      <c r="K19" s="193">
        <v>39</v>
      </c>
      <c r="L19" s="193">
        <v>14</v>
      </c>
      <c r="M19" s="190">
        <v>119</v>
      </c>
      <c r="N19" s="191">
        <v>121</v>
      </c>
      <c r="O19" s="18"/>
    </row>
    <row r="20" spans="1:15" s="28" customFormat="1" ht="18" customHeight="1">
      <c r="A20" s="38"/>
      <c r="B20" s="39"/>
      <c r="C20" s="253" t="s">
        <v>193</v>
      </c>
      <c r="D20" s="193">
        <v>0</v>
      </c>
      <c r="E20" s="193">
        <v>6</v>
      </c>
      <c r="F20" s="190">
        <v>6</v>
      </c>
      <c r="G20" s="218"/>
      <c r="H20" s="193">
        <v>19</v>
      </c>
      <c r="I20" s="193">
        <v>46</v>
      </c>
      <c r="J20" s="193">
        <v>35</v>
      </c>
      <c r="K20" s="193">
        <v>8</v>
      </c>
      <c r="L20" s="193">
        <v>19</v>
      </c>
      <c r="M20" s="190">
        <v>127</v>
      </c>
      <c r="N20" s="191">
        <v>133</v>
      </c>
      <c r="O20" s="18"/>
    </row>
    <row r="21" spans="1:15" s="28" customFormat="1" ht="18" customHeight="1">
      <c r="A21" s="38"/>
      <c r="B21" s="39"/>
      <c r="C21" s="253" t="s">
        <v>194</v>
      </c>
      <c r="D21" s="193">
        <v>0</v>
      </c>
      <c r="E21" s="193">
        <v>0</v>
      </c>
      <c r="F21" s="190">
        <v>0</v>
      </c>
      <c r="G21" s="218"/>
      <c r="H21" s="193">
        <v>0</v>
      </c>
      <c r="I21" s="193">
        <v>0</v>
      </c>
      <c r="J21" s="193">
        <v>0</v>
      </c>
      <c r="K21" s="193">
        <v>0</v>
      </c>
      <c r="L21" s="193">
        <v>0</v>
      </c>
      <c r="M21" s="190">
        <v>0</v>
      </c>
      <c r="N21" s="191">
        <v>0</v>
      </c>
      <c r="O21" s="18"/>
    </row>
    <row r="22" spans="1:15" s="28" customFormat="1" ht="18" customHeight="1">
      <c r="A22" s="38"/>
      <c r="B22" s="39"/>
      <c r="C22" s="253" t="s">
        <v>195</v>
      </c>
      <c r="D22" s="193">
        <v>0</v>
      </c>
      <c r="E22" s="193">
        <v>0</v>
      </c>
      <c r="F22" s="190">
        <v>0</v>
      </c>
      <c r="G22" s="218"/>
      <c r="H22" s="193">
        <v>0</v>
      </c>
      <c r="I22" s="193">
        <v>0</v>
      </c>
      <c r="J22" s="193">
        <v>0</v>
      </c>
      <c r="K22" s="193">
        <v>0</v>
      </c>
      <c r="L22" s="193">
        <v>0</v>
      </c>
      <c r="M22" s="190">
        <v>0</v>
      </c>
      <c r="N22" s="191">
        <v>0</v>
      </c>
      <c r="O22" s="18"/>
    </row>
    <row r="23" spans="1:15" s="28" customFormat="1" ht="18" customHeight="1">
      <c r="A23" s="18"/>
      <c r="B23" s="18"/>
      <c r="C23" s="253" t="s">
        <v>196</v>
      </c>
      <c r="D23" s="193">
        <v>71</v>
      </c>
      <c r="E23" s="193">
        <v>327</v>
      </c>
      <c r="F23" s="190">
        <v>398</v>
      </c>
      <c r="G23" s="218"/>
      <c r="H23" s="193">
        <v>172</v>
      </c>
      <c r="I23" s="193">
        <v>555</v>
      </c>
      <c r="J23" s="193">
        <v>466</v>
      </c>
      <c r="K23" s="193">
        <v>202</v>
      </c>
      <c r="L23" s="193">
        <v>115</v>
      </c>
      <c r="M23" s="190">
        <v>1510</v>
      </c>
      <c r="N23" s="191">
        <v>1908</v>
      </c>
      <c r="O23" s="18"/>
    </row>
    <row r="24" spans="1:15" s="53" customFormat="1" ht="18" customHeight="1">
      <c r="A24" s="18"/>
      <c r="B24" s="18"/>
      <c r="C24" s="253" t="s">
        <v>197</v>
      </c>
      <c r="D24" s="193">
        <v>0</v>
      </c>
      <c r="E24" s="193">
        <v>0</v>
      </c>
      <c r="F24" s="190">
        <v>0</v>
      </c>
      <c r="G24" s="254"/>
      <c r="H24" s="193">
        <v>5</v>
      </c>
      <c r="I24" s="193">
        <v>12</v>
      </c>
      <c r="J24" s="193">
        <v>0</v>
      </c>
      <c r="K24" s="193">
        <v>3</v>
      </c>
      <c r="L24" s="193">
        <v>0</v>
      </c>
      <c r="M24" s="190">
        <v>20</v>
      </c>
      <c r="N24" s="191">
        <v>20</v>
      </c>
      <c r="O24" s="18"/>
    </row>
    <row r="25" spans="1:15" s="28" customFormat="1" ht="18" customHeight="1">
      <c r="A25" s="18"/>
      <c r="B25" s="18"/>
      <c r="C25" s="255" t="s">
        <v>198</v>
      </c>
      <c r="D25" s="256">
        <v>146</v>
      </c>
      <c r="E25" s="256">
        <v>550</v>
      </c>
      <c r="F25" s="205">
        <v>696</v>
      </c>
      <c r="G25" s="257"/>
      <c r="H25" s="256">
        <v>474</v>
      </c>
      <c r="I25" s="256">
        <v>868</v>
      </c>
      <c r="J25" s="256">
        <v>638</v>
      </c>
      <c r="K25" s="256">
        <v>242</v>
      </c>
      <c r="L25" s="256">
        <v>112</v>
      </c>
      <c r="M25" s="205">
        <v>2334</v>
      </c>
      <c r="N25" s="197">
        <v>3030</v>
      </c>
      <c r="O25" s="18"/>
    </row>
    <row r="26" spans="1:15" s="28" customFormat="1" ht="12" customHeight="1">
      <c r="A26" s="18"/>
      <c r="B26" s="18"/>
      <c r="C26" s="18"/>
      <c r="D26" s="18"/>
      <c r="E26" s="18"/>
      <c r="F26" s="18"/>
      <c r="G26" s="18"/>
      <c r="H26" s="18"/>
      <c r="I26" s="18"/>
      <c r="J26" s="18"/>
      <c r="K26" s="18"/>
      <c r="L26" s="18"/>
      <c r="M26" s="18"/>
      <c r="N26" s="18"/>
      <c r="O26" s="18"/>
    </row>
    <row r="27" spans="1:15" s="28" customFormat="1" ht="18" customHeight="1">
      <c r="A27" s="18"/>
      <c r="B27" s="18"/>
      <c r="C27" s="13" t="s">
        <v>199</v>
      </c>
      <c r="D27" s="18"/>
      <c r="E27" s="18"/>
      <c r="F27" s="18"/>
      <c r="G27" s="18"/>
      <c r="H27" s="18"/>
      <c r="I27" s="18"/>
      <c r="J27" s="18"/>
      <c r="K27" s="18"/>
      <c r="L27" s="18"/>
      <c r="M27" s="18"/>
      <c r="N27" s="18"/>
      <c r="O27" s="18"/>
    </row>
    <row r="28" spans="1:15" s="28" customFormat="1" ht="18" customHeight="1">
      <c r="A28" s="38"/>
      <c r="B28" s="39"/>
      <c r="C28" s="742"/>
      <c r="D28" s="744" t="s">
        <v>177</v>
      </c>
      <c r="E28" s="744"/>
      <c r="F28" s="745"/>
      <c r="G28" s="746" t="s">
        <v>178</v>
      </c>
      <c r="H28" s="747"/>
      <c r="I28" s="747"/>
      <c r="J28" s="747"/>
      <c r="K28" s="747"/>
      <c r="L28" s="747"/>
      <c r="M28" s="747"/>
      <c r="N28" s="748" t="s">
        <v>109</v>
      </c>
      <c r="O28" s="18"/>
    </row>
    <row r="29" spans="1:15" s="28" customFormat="1" ht="18" customHeight="1">
      <c r="A29" s="38"/>
      <c r="B29" s="39"/>
      <c r="C29" s="743"/>
      <c r="D29" s="250" t="s">
        <v>152</v>
      </c>
      <c r="E29" s="250" t="s">
        <v>153</v>
      </c>
      <c r="F29" s="251" t="s">
        <v>14</v>
      </c>
      <c r="G29" s="252" t="s">
        <v>154</v>
      </c>
      <c r="H29" s="250" t="s">
        <v>155</v>
      </c>
      <c r="I29" s="250" t="s">
        <v>156</v>
      </c>
      <c r="J29" s="250" t="s">
        <v>157</v>
      </c>
      <c r="K29" s="250" t="s">
        <v>158</v>
      </c>
      <c r="L29" s="250" t="s">
        <v>159</v>
      </c>
      <c r="M29" s="251" t="s">
        <v>14</v>
      </c>
      <c r="N29" s="749"/>
      <c r="O29" s="18"/>
    </row>
    <row r="30" spans="1:15" s="28" customFormat="1" ht="18" customHeight="1">
      <c r="A30" s="18"/>
      <c r="B30" s="18"/>
      <c r="C30" s="253" t="s">
        <v>185</v>
      </c>
      <c r="D30" s="193">
        <v>0</v>
      </c>
      <c r="E30" s="193">
        <v>0</v>
      </c>
      <c r="F30" s="190">
        <v>0</v>
      </c>
      <c r="G30" s="218"/>
      <c r="H30" s="193">
        <v>0</v>
      </c>
      <c r="I30" s="193">
        <v>7</v>
      </c>
      <c r="J30" s="193">
        <v>5</v>
      </c>
      <c r="K30" s="193">
        <v>0</v>
      </c>
      <c r="L30" s="193">
        <v>0</v>
      </c>
      <c r="M30" s="190">
        <v>12</v>
      </c>
      <c r="N30" s="191">
        <v>12</v>
      </c>
      <c r="O30" s="18"/>
    </row>
    <row r="31" spans="1:15" s="28" customFormat="1" ht="18" customHeight="1">
      <c r="A31" s="18"/>
      <c r="B31" s="18"/>
      <c r="C31" s="253" t="s">
        <v>186</v>
      </c>
      <c r="D31" s="193">
        <v>0</v>
      </c>
      <c r="E31" s="193">
        <v>0</v>
      </c>
      <c r="F31" s="190">
        <v>0</v>
      </c>
      <c r="G31" s="218"/>
      <c r="H31" s="193">
        <v>0</v>
      </c>
      <c r="I31" s="193">
        <v>2</v>
      </c>
      <c r="J31" s="193">
        <v>0</v>
      </c>
      <c r="K31" s="193">
        <v>0</v>
      </c>
      <c r="L31" s="193">
        <v>0</v>
      </c>
      <c r="M31" s="190">
        <v>2</v>
      </c>
      <c r="N31" s="191">
        <v>2</v>
      </c>
      <c r="O31" s="18"/>
    </row>
    <row r="32" spans="1:15" s="53" customFormat="1" ht="18" customHeight="1">
      <c r="A32" s="18"/>
      <c r="B32" s="18"/>
      <c r="C32" s="253" t="s">
        <v>187</v>
      </c>
      <c r="D32" s="193">
        <v>0</v>
      </c>
      <c r="E32" s="193">
        <v>0</v>
      </c>
      <c r="F32" s="190">
        <v>0</v>
      </c>
      <c r="G32" s="254"/>
      <c r="H32" s="193">
        <v>0</v>
      </c>
      <c r="I32" s="193">
        <v>7</v>
      </c>
      <c r="J32" s="193">
        <v>5</v>
      </c>
      <c r="K32" s="193">
        <v>0</v>
      </c>
      <c r="L32" s="193">
        <v>0</v>
      </c>
      <c r="M32" s="190">
        <v>12</v>
      </c>
      <c r="N32" s="191">
        <v>12</v>
      </c>
      <c r="O32" s="18"/>
    </row>
    <row r="33" spans="1:15" s="28" customFormat="1" ht="18" customHeight="1">
      <c r="A33" s="18"/>
      <c r="B33" s="18"/>
      <c r="C33" s="253" t="s">
        <v>188</v>
      </c>
      <c r="D33" s="193">
        <v>0</v>
      </c>
      <c r="E33" s="193">
        <v>0</v>
      </c>
      <c r="F33" s="190">
        <v>0</v>
      </c>
      <c r="G33" s="218"/>
      <c r="H33" s="193">
        <v>0</v>
      </c>
      <c r="I33" s="193">
        <v>7</v>
      </c>
      <c r="J33" s="193">
        <v>5</v>
      </c>
      <c r="K33" s="193">
        <v>0</v>
      </c>
      <c r="L33" s="193">
        <v>0</v>
      </c>
      <c r="M33" s="190">
        <v>12</v>
      </c>
      <c r="N33" s="191">
        <v>12</v>
      </c>
      <c r="O33" s="18"/>
    </row>
    <row r="34" spans="1:15" s="28" customFormat="1" ht="18" customHeight="1">
      <c r="A34" s="18"/>
      <c r="B34" s="18"/>
      <c r="C34" s="253" t="s">
        <v>189</v>
      </c>
      <c r="D34" s="193">
        <v>0</v>
      </c>
      <c r="E34" s="193">
        <v>0</v>
      </c>
      <c r="F34" s="190">
        <v>0</v>
      </c>
      <c r="G34" s="218"/>
      <c r="H34" s="193">
        <v>0</v>
      </c>
      <c r="I34" s="193">
        <v>0</v>
      </c>
      <c r="J34" s="193">
        <v>0</v>
      </c>
      <c r="K34" s="193">
        <v>0</v>
      </c>
      <c r="L34" s="193">
        <v>0</v>
      </c>
      <c r="M34" s="190">
        <v>0</v>
      </c>
      <c r="N34" s="191">
        <v>0</v>
      </c>
      <c r="O34" s="18"/>
    </row>
    <row r="35" spans="1:15" s="28" customFormat="1" ht="18" customHeight="1">
      <c r="A35" s="18"/>
      <c r="B35" s="18"/>
      <c r="C35" s="253" t="s">
        <v>190</v>
      </c>
      <c r="D35" s="193">
        <v>0</v>
      </c>
      <c r="E35" s="193">
        <v>0</v>
      </c>
      <c r="F35" s="190">
        <v>0</v>
      </c>
      <c r="G35" s="218"/>
      <c r="H35" s="193">
        <v>7</v>
      </c>
      <c r="I35" s="193">
        <v>1</v>
      </c>
      <c r="J35" s="193">
        <v>0</v>
      </c>
      <c r="K35" s="193">
        <v>0</v>
      </c>
      <c r="L35" s="193">
        <v>0</v>
      </c>
      <c r="M35" s="190">
        <v>8</v>
      </c>
      <c r="N35" s="191">
        <v>8</v>
      </c>
      <c r="O35" s="18"/>
    </row>
    <row r="36" spans="1:15" s="28" customFormat="1" ht="18" customHeight="1">
      <c r="A36" s="18"/>
      <c r="B36" s="18"/>
      <c r="C36" s="253" t="s">
        <v>191</v>
      </c>
      <c r="D36" s="193">
        <v>0</v>
      </c>
      <c r="E36" s="193">
        <v>5</v>
      </c>
      <c r="F36" s="190">
        <v>5</v>
      </c>
      <c r="G36" s="218"/>
      <c r="H36" s="193">
        <v>12</v>
      </c>
      <c r="I36" s="193">
        <v>7</v>
      </c>
      <c r="J36" s="193">
        <v>8</v>
      </c>
      <c r="K36" s="193">
        <v>0</v>
      </c>
      <c r="L36" s="193">
        <v>0</v>
      </c>
      <c r="M36" s="190">
        <v>27</v>
      </c>
      <c r="N36" s="191">
        <v>32</v>
      </c>
      <c r="O36" s="18"/>
    </row>
    <row r="37" spans="1:15" s="28" customFormat="1" ht="18" customHeight="1">
      <c r="A37" s="38"/>
      <c r="B37" s="39"/>
      <c r="C37" s="253" t="s">
        <v>192</v>
      </c>
      <c r="D37" s="193">
        <v>0</v>
      </c>
      <c r="E37" s="193">
        <v>0</v>
      </c>
      <c r="F37" s="190">
        <v>0</v>
      </c>
      <c r="G37" s="218"/>
      <c r="H37" s="193">
        <v>0</v>
      </c>
      <c r="I37" s="193">
        <v>0</v>
      </c>
      <c r="J37" s="193">
        <v>0</v>
      </c>
      <c r="K37" s="193">
        <v>0</v>
      </c>
      <c r="L37" s="193">
        <v>0</v>
      </c>
      <c r="M37" s="190">
        <v>0</v>
      </c>
      <c r="N37" s="191">
        <v>0</v>
      </c>
      <c r="O37" s="18"/>
    </row>
    <row r="38" spans="1:15" s="28" customFormat="1" ht="18" customHeight="1">
      <c r="A38" s="38"/>
      <c r="B38" s="39"/>
      <c r="C38" s="253" t="s">
        <v>193</v>
      </c>
      <c r="D38" s="193">
        <v>0</v>
      </c>
      <c r="E38" s="193">
        <v>0</v>
      </c>
      <c r="F38" s="190">
        <v>0</v>
      </c>
      <c r="G38" s="218"/>
      <c r="H38" s="193">
        <v>0</v>
      </c>
      <c r="I38" s="193">
        <v>0</v>
      </c>
      <c r="J38" s="193">
        <v>2</v>
      </c>
      <c r="K38" s="193">
        <v>0</v>
      </c>
      <c r="L38" s="193">
        <v>0</v>
      </c>
      <c r="M38" s="190">
        <v>2</v>
      </c>
      <c r="N38" s="191">
        <v>2</v>
      </c>
      <c r="O38" s="18"/>
    </row>
    <row r="39" spans="1:15" s="28" customFormat="1" ht="18" customHeight="1">
      <c r="A39" s="18"/>
      <c r="B39" s="18"/>
      <c r="C39" s="253" t="s">
        <v>194</v>
      </c>
      <c r="D39" s="193">
        <v>0</v>
      </c>
      <c r="E39" s="193">
        <v>0</v>
      </c>
      <c r="F39" s="190">
        <v>0</v>
      </c>
      <c r="G39" s="218"/>
      <c r="H39" s="193">
        <v>0</v>
      </c>
      <c r="I39" s="193">
        <v>0</v>
      </c>
      <c r="J39" s="193">
        <v>0</v>
      </c>
      <c r="K39" s="193">
        <v>0</v>
      </c>
      <c r="L39" s="193">
        <v>0</v>
      </c>
      <c r="M39" s="190">
        <v>0</v>
      </c>
      <c r="N39" s="191">
        <v>0</v>
      </c>
      <c r="O39" s="18"/>
    </row>
    <row r="40" spans="1:15" s="28" customFormat="1" ht="18" customHeight="1">
      <c r="A40" s="38"/>
      <c r="B40" s="39"/>
      <c r="C40" s="253" t="s">
        <v>195</v>
      </c>
      <c r="D40" s="193">
        <v>0</v>
      </c>
      <c r="E40" s="193">
        <v>0</v>
      </c>
      <c r="F40" s="190">
        <v>0</v>
      </c>
      <c r="G40" s="218"/>
      <c r="H40" s="193">
        <v>0</v>
      </c>
      <c r="I40" s="193">
        <v>0</v>
      </c>
      <c r="J40" s="193">
        <v>0</v>
      </c>
      <c r="K40" s="193">
        <v>0</v>
      </c>
      <c r="L40" s="193">
        <v>0</v>
      </c>
      <c r="M40" s="190">
        <v>0</v>
      </c>
      <c r="N40" s="191">
        <v>0</v>
      </c>
      <c r="O40" s="18"/>
    </row>
    <row r="41" spans="1:15" s="28" customFormat="1" ht="18" customHeight="1">
      <c r="A41" s="38"/>
      <c r="B41" s="39"/>
      <c r="C41" s="253" t="s">
        <v>196</v>
      </c>
      <c r="D41" s="193">
        <v>0</v>
      </c>
      <c r="E41" s="193">
        <v>5</v>
      </c>
      <c r="F41" s="190">
        <v>5</v>
      </c>
      <c r="G41" s="218"/>
      <c r="H41" s="193">
        <v>5</v>
      </c>
      <c r="I41" s="193">
        <v>2</v>
      </c>
      <c r="J41" s="193">
        <v>5</v>
      </c>
      <c r="K41" s="193">
        <v>0</v>
      </c>
      <c r="L41" s="193">
        <v>0</v>
      </c>
      <c r="M41" s="190">
        <v>12</v>
      </c>
      <c r="N41" s="191">
        <v>17</v>
      </c>
      <c r="O41" s="18"/>
    </row>
    <row r="42" spans="1:15" s="28" customFormat="1" ht="18" customHeight="1">
      <c r="A42" s="18"/>
      <c r="B42" s="18"/>
      <c r="C42" s="253" t="s">
        <v>197</v>
      </c>
      <c r="D42" s="193">
        <v>0</v>
      </c>
      <c r="E42" s="193">
        <v>0</v>
      </c>
      <c r="F42" s="190">
        <v>0</v>
      </c>
      <c r="G42" s="218"/>
      <c r="H42" s="193">
        <v>0</v>
      </c>
      <c r="I42" s="193">
        <v>0</v>
      </c>
      <c r="J42" s="193">
        <v>0</v>
      </c>
      <c r="K42" s="193">
        <v>0</v>
      </c>
      <c r="L42" s="193">
        <v>0</v>
      </c>
      <c r="M42" s="190">
        <v>0</v>
      </c>
      <c r="N42" s="191">
        <v>0</v>
      </c>
      <c r="O42" s="18"/>
    </row>
    <row r="43" spans="1:15" s="28" customFormat="1" ht="18" customHeight="1">
      <c r="A43" s="38"/>
      <c r="B43" s="39"/>
      <c r="C43" s="255" t="s">
        <v>198</v>
      </c>
      <c r="D43" s="256">
        <v>0</v>
      </c>
      <c r="E43" s="256">
        <v>5</v>
      </c>
      <c r="F43" s="205">
        <v>5</v>
      </c>
      <c r="G43" s="257"/>
      <c r="H43" s="256">
        <v>19</v>
      </c>
      <c r="I43" s="256">
        <v>9</v>
      </c>
      <c r="J43" s="256">
        <v>10</v>
      </c>
      <c r="K43" s="256">
        <v>0</v>
      </c>
      <c r="L43" s="256">
        <v>0</v>
      </c>
      <c r="M43" s="205">
        <v>38</v>
      </c>
      <c r="N43" s="197">
        <v>43</v>
      </c>
      <c r="O43" s="18"/>
    </row>
    <row r="44" spans="1:15" s="28" customFormat="1" ht="12" customHeight="1">
      <c r="A44" s="38"/>
      <c r="B44" s="39"/>
      <c r="C44" s="18"/>
      <c r="D44" s="18"/>
      <c r="E44" s="18"/>
      <c r="F44" s="18"/>
      <c r="G44" s="18"/>
      <c r="H44" s="18"/>
      <c r="I44" s="18"/>
      <c r="J44" s="18"/>
      <c r="K44" s="18"/>
      <c r="L44" s="18"/>
      <c r="M44" s="18"/>
      <c r="N44" s="18"/>
      <c r="O44" s="18"/>
    </row>
    <row r="45" spans="1:15" s="28" customFormat="1" ht="18" customHeight="1">
      <c r="A45" s="18"/>
      <c r="B45" s="18"/>
      <c r="C45" s="13" t="s">
        <v>200</v>
      </c>
      <c r="D45" s="18"/>
      <c r="E45" s="18"/>
      <c r="F45" s="18"/>
      <c r="G45" s="18"/>
      <c r="H45" s="18"/>
      <c r="I45" s="18"/>
      <c r="J45" s="18"/>
      <c r="K45" s="18"/>
      <c r="L45" s="18"/>
      <c r="M45" s="18"/>
      <c r="N45" s="18"/>
      <c r="O45" s="18"/>
    </row>
    <row r="46" spans="1:15" s="28" customFormat="1" ht="18" customHeight="1">
      <c r="A46" s="38"/>
      <c r="B46" s="39"/>
      <c r="C46" s="742"/>
      <c r="D46" s="744" t="s">
        <v>177</v>
      </c>
      <c r="E46" s="744"/>
      <c r="F46" s="745"/>
      <c r="G46" s="746" t="s">
        <v>178</v>
      </c>
      <c r="H46" s="747"/>
      <c r="I46" s="747"/>
      <c r="J46" s="747"/>
      <c r="K46" s="747"/>
      <c r="L46" s="747"/>
      <c r="M46" s="747"/>
      <c r="N46" s="748" t="s">
        <v>109</v>
      </c>
      <c r="O46" s="18"/>
    </row>
    <row r="47" spans="1:15" s="28" customFormat="1" ht="18" customHeight="1">
      <c r="A47" s="38"/>
      <c r="B47" s="39"/>
      <c r="C47" s="743"/>
      <c r="D47" s="250" t="s">
        <v>152</v>
      </c>
      <c r="E47" s="250" t="s">
        <v>153</v>
      </c>
      <c r="F47" s="251" t="s">
        <v>14</v>
      </c>
      <c r="G47" s="252" t="s">
        <v>154</v>
      </c>
      <c r="H47" s="250" t="s">
        <v>155</v>
      </c>
      <c r="I47" s="250" t="s">
        <v>156</v>
      </c>
      <c r="J47" s="250" t="s">
        <v>157</v>
      </c>
      <c r="K47" s="250" t="s">
        <v>158</v>
      </c>
      <c r="L47" s="250" t="s">
        <v>159</v>
      </c>
      <c r="M47" s="251" t="s">
        <v>14</v>
      </c>
      <c r="N47" s="749"/>
      <c r="O47" s="18"/>
    </row>
    <row r="48" spans="1:15" s="28" customFormat="1" ht="18" customHeight="1">
      <c r="A48" s="18"/>
      <c r="B48" s="18"/>
      <c r="C48" s="253" t="s">
        <v>185</v>
      </c>
      <c r="D48" s="193">
        <v>0</v>
      </c>
      <c r="E48" s="193">
        <v>0</v>
      </c>
      <c r="F48" s="190">
        <v>0</v>
      </c>
      <c r="G48" s="218"/>
      <c r="H48" s="193">
        <v>0</v>
      </c>
      <c r="I48" s="193">
        <v>0</v>
      </c>
      <c r="J48" s="193">
        <v>0</v>
      </c>
      <c r="K48" s="193">
        <v>0</v>
      </c>
      <c r="L48" s="193">
        <v>0</v>
      </c>
      <c r="M48" s="190">
        <v>0</v>
      </c>
      <c r="N48" s="191">
        <v>0</v>
      </c>
      <c r="O48" s="18"/>
    </row>
    <row r="49" spans="1:15" s="28" customFormat="1" ht="18" customHeight="1">
      <c r="A49" s="18"/>
      <c r="B49" s="18"/>
      <c r="C49" s="253" t="s">
        <v>186</v>
      </c>
      <c r="D49" s="193">
        <v>0</v>
      </c>
      <c r="E49" s="193">
        <v>0</v>
      </c>
      <c r="F49" s="190">
        <v>0</v>
      </c>
      <c r="G49" s="218"/>
      <c r="H49" s="193">
        <v>0</v>
      </c>
      <c r="I49" s="193">
        <v>0</v>
      </c>
      <c r="J49" s="193">
        <v>0</v>
      </c>
      <c r="K49" s="193">
        <v>0</v>
      </c>
      <c r="L49" s="193">
        <v>0</v>
      </c>
      <c r="M49" s="190">
        <v>0</v>
      </c>
      <c r="N49" s="191">
        <v>0</v>
      </c>
      <c r="O49" s="18"/>
    </row>
    <row r="50" spans="1:15" s="53" customFormat="1" ht="18" customHeight="1">
      <c r="A50" s="18"/>
      <c r="B50" s="18"/>
      <c r="C50" s="253" t="s">
        <v>187</v>
      </c>
      <c r="D50" s="193">
        <v>0</v>
      </c>
      <c r="E50" s="193">
        <v>0</v>
      </c>
      <c r="F50" s="190">
        <v>0</v>
      </c>
      <c r="G50" s="254"/>
      <c r="H50" s="193">
        <v>0</v>
      </c>
      <c r="I50" s="193">
        <v>0</v>
      </c>
      <c r="J50" s="193">
        <v>0</v>
      </c>
      <c r="K50" s="193">
        <v>0</v>
      </c>
      <c r="L50" s="193">
        <v>0</v>
      </c>
      <c r="M50" s="190">
        <v>0</v>
      </c>
      <c r="N50" s="191">
        <v>0</v>
      </c>
      <c r="O50" s="18"/>
    </row>
    <row r="51" spans="1:15" s="28" customFormat="1" ht="18" customHeight="1">
      <c r="A51" s="18"/>
      <c r="B51" s="18"/>
      <c r="C51" s="253" t="s">
        <v>188</v>
      </c>
      <c r="D51" s="193">
        <v>0</v>
      </c>
      <c r="E51" s="193">
        <v>0</v>
      </c>
      <c r="F51" s="190">
        <v>0</v>
      </c>
      <c r="G51" s="218"/>
      <c r="H51" s="193">
        <v>0</v>
      </c>
      <c r="I51" s="193">
        <v>0</v>
      </c>
      <c r="J51" s="193">
        <v>0</v>
      </c>
      <c r="K51" s="193">
        <v>0</v>
      </c>
      <c r="L51" s="193">
        <v>0</v>
      </c>
      <c r="M51" s="190">
        <v>0</v>
      </c>
      <c r="N51" s="191">
        <v>0</v>
      </c>
      <c r="O51" s="18"/>
    </row>
    <row r="52" spans="1:15" s="28" customFormat="1" ht="18" customHeight="1">
      <c r="A52" s="18"/>
      <c r="B52" s="18"/>
      <c r="C52" s="253" t="s">
        <v>189</v>
      </c>
      <c r="D52" s="193">
        <v>0</v>
      </c>
      <c r="E52" s="193">
        <v>0</v>
      </c>
      <c r="F52" s="190">
        <v>0</v>
      </c>
      <c r="G52" s="218"/>
      <c r="H52" s="193">
        <v>0</v>
      </c>
      <c r="I52" s="193">
        <v>0</v>
      </c>
      <c r="J52" s="193">
        <v>0</v>
      </c>
      <c r="K52" s="193">
        <v>0</v>
      </c>
      <c r="L52" s="193">
        <v>0</v>
      </c>
      <c r="M52" s="190">
        <v>0</v>
      </c>
      <c r="N52" s="191">
        <v>0</v>
      </c>
      <c r="O52" s="18"/>
    </row>
    <row r="53" spans="1:15" s="28" customFormat="1" ht="18" customHeight="1">
      <c r="A53" s="18"/>
      <c r="B53" s="18"/>
      <c r="C53" s="253" t="s">
        <v>190</v>
      </c>
      <c r="D53" s="193">
        <v>0</v>
      </c>
      <c r="E53" s="193">
        <v>0</v>
      </c>
      <c r="F53" s="190">
        <v>0</v>
      </c>
      <c r="G53" s="218"/>
      <c r="H53" s="193">
        <v>7</v>
      </c>
      <c r="I53" s="193">
        <v>0</v>
      </c>
      <c r="J53" s="193">
        <v>0</v>
      </c>
      <c r="K53" s="193">
        <v>0</v>
      </c>
      <c r="L53" s="193">
        <v>0</v>
      </c>
      <c r="M53" s="190">
        <v>7</v>
      </c>
      <c r="N53" s="191">
        <v>7</v>
      </c>
      <c r="O53" s="18"/>
    </row>
    <row r="54" spans="1:15" s="28" customFormat="1" ht="18" customHeight="1">
      <c r="A54" s="18"/>
      <c r="B54" s="18"/>
      <c r="C54" s="253" t="s">
        <v>191</v>
      </c>
      <c r="D54" s="193">
        <v>0</v>
      </c>
      <c r="E54" s="193">
        <v>0</v>
      </c>
      <c r="F54" s="190">
        <v>0</v>
      </c>
      <c r="G54" s="218"/>
      <c r="H54" s="193">
        <v>0</v>
      </c>
      <c r="I54" s="193">
        <v>12</v>
      </c>
      <c r="J54" s="193">
        <v>0</v>
      </c>
      <c r="K54" s="193">
        <v>0</v>
      </c>
      <c r="L54" s="193">
        <v>0</v>
      </c>
      <c r="M54" s="190">
        <v>12</v>
      </c>
      <c r="N54" s="191">
        <v>12</v>
      </c>
      <c r="O54" s="18"/>
    </row>
    <row r="55" spans="1:15" s="28" customFormat="1" ht="18" customHeight="1">
      <c r="A55" s="38"/>
      <c r="B55" s="39"/>
      <c r="C55" s="253" t="s">
        <v>192</v>
      </c>
      <c r="D55" s="193">
        <v>0</v>
      </c>
      <c r="E55" s="193">
        <v>0</v>
      </c>
      <c r="F55" s="190">
        <v>0</v>
      </c>
      <c r="G55" s="218"/>
      <c r="H55" s="193">
        <v>0</v>
      </c>
      <c r="I55" s="193">
        <v>0</v>
      </c>
      <c r="J55" s="193">
        <v>0</v>
      </c>
      <c r="K55" s="193">
        <v>0</v>
      </c>
      <c r="L55" s="193">
        <v>0</v>
      </c>
      <c r="M55" s="190">
        <v>0</v>
      </c>
      <c r="N55" s="191">
        <v>0</v>
      </c>
      <c r="O55" s="18"/>
    </row>
    <row r="56" spans="1:15" s="28" customFormat="1" ht="18" customHeight="1">
      <c r="A56" s="38"/>
      <c r="B56" s="39"/>
      <c r="C56" s="253" t="s">
        <v>193</v>
      </c>
      <c r="D56" s="193">
        <v>0</v>
      </c>
      <c r="E56" s="193">
        <v>0</v>
      </c>
      <c r="F56" s="190">
        <v>0</v>
      </c>
      <c r="G56" s="218"/>
      <c r="H56" s="193">
        <v>0</v>
      </c>
      <c r="I56" s="193">
        <v>0</v>
      </c>
      <c r="J56" s="193">
        <v>0</v>
      </c>
      <c r="K56" s="193">
        <v>0</v>
      </c>
      <c r="L56" s="193">
        <v>0</v>
      </c>
      <c r="M56" s="190">
        <v>0</v>
      </c>
      <c r="N56" s="191">
        <v>0</v>
      </c>
      <c r="O56" s="18"/>
    </row>
    <row r="57" spans="1:15" s="28" customFormat="1" ht="18" customHeight="1">
      <c r="A57" s="18"/>
      <c r="B57" s="18"/>
      <c r="C57" s="253" t="s">
        <v>194</v>
      </c>
      <c r="D57" s="193">
        <v>0</v>
      </c>
      <c r="E57" s="193">
        <v>0</v>
      </c>
      <c r="F57" s="190">
        <v>0</v>
      </c>
      <c r="G57" s="218"/>
      <c r="H57" s="193">
        <v>0</v>
      </c>
      <c r="I57" s="193">
        <v>0</v>
      </c>
      <c r="J57" s="193">
        <v>0</v>
      </c>
      <c r="K57" s="193">
        <v>0</v>
      </c>
      <c r="L57" s="193">
        <v>0</v>
      </c>
      <c r="M57" s="190">
        <v>0</v>
      </c>
      <c r="N57" s="191">
        <v>0</v>
      </c>
      <c r="O57" s="18"/>
    </row>
    <row r="58" spans="1:15" s="28" customFormat="1" ht="18" customHeight="1">
      <c r="A58" s="38"/>
      <c r="B58" s="39"/>
      <c r="C58" s="253" t="s">
        <v>195</v>
      </c>
      <c r="D58" s="193">
        <v>0</v>
      </c>
      <c r="E58" s="193">
        <v>0</v>
      </c>
      <c r="F58" s="190">
        <v>0</v>
      </c>
      <c r="G58" s="218"/>
      <c r="H58" s="193">
        <v>0</v>
      </c>
      <c r="I58" s="193">
        <v>0</v>
      </c>
      <c r="J58" s="193">
        <v>0</v>
      </c>
      <c r="K58" s="193">
        <v>0</v>
      </c>
      <c r="L58" s="193">
        <v>0</v>
      </c>
      <c r="M58" s="190">
        <v>0</v>
      </c>
      <c r="N58" s="191">
        <v>0</v>
      </c>
      <c r="O58" s="18"/>
    </row>
    <row r="59" spans="1:15" s="28" customFormat="1" ht="18" customHeight="1">
      <c r="A59" s="38"/>
      <c r="B59" s="39"/>
      <c r="C59" s="253" t="s">
        <v>196</v>
      </c>
      <c r="D59" s="193">
        <v>0</v>
      </c>
      <c r="E59" s="193">
        <v>1</v>
      </c>
      <c r="F59" s="190">
        <v>1</v>
      </c>
      <c r="G59" s="218"/>
      <c r="H59" s="193">
        <v>8</v>
      </c>
      <c r="I59" s="193">
        <v>0</v>
      </c>
      <c r="J59" s="193">
        <v>0</v>
      </c>
      <c r="K59" s="193">
        <v>0</v>
      </c>
      <c r="L59" s="193">
        <v>0</v>
      </c>
      <c r="M59" s="190">
        <v>8</v>
      </c>
      <c r="N59" s="191">
        <v>9</v>
      </c>
      <c r="O59" s="18"/>
    </row>
    <row r="60" spans="1:15" s="28" customFormat="1" ht="18" customHeight="1">
      <c r="A60" s="18"/>
      <c r="B60" s="18"/>
      <c r="C60" s="253" t="s">
        <v>197</v>
      </c>
      <c r="D60" s="193">
        <v>0</v>
      </c>
      <c r="E60" s="193">
        <v>0</v>
      </c>
      <c r="F60" s="190">
        <v>0</v>
      </c>
      <c r="G60" s="218"/>
      <c r="H60" s="193">
        <v>0</v>
      </c>
      <c r="I60" s="193">
        <v>0</v>
      </c>
      <c r="J60" s="193">
        <v>0</v>
      </c>
      <c r="K60" s="193">
        <v>0</v>
      </c>
      <c r="L60" s="193">
        <v>0</v>
      </c>
      <c r="M60" s="190">
        <v>0</v>
      </c>
      <c r="N60" s="191">
        <v>0</v>
      </c>
      <c r="O60" s="18"/>
    </row>
    <row r="61" spans="1:15" s="28" customFormat="1" ht="18" customHeight="1">
      <c r="A61" s="38"/>
      <c r="B61" s="39"/>
      <c r="C61" s="255" t="s">
        <v>198</v>
      </c>
      <c r="D61" s="256">
        <v>0</v>
      </c>
      <c r="E61" s="256">
        <v>1</v>
      </c>
      <c r="F61" s="205">
        <v>1</v>
      </c>
      <c r="G61" s="257"/>
      <c r="H61" s="256">
        <v>8</v>
      </c>
      <c r="I61" s="256">
        <v>12</v>
      </c>
      <c r="J61" s="256">
        <v>0</v>
      </c>
      <c r="K61" s="256">
        <v>0</v>
      </c>
      <c r="L61" s="256">
        <v>0</v>
      </c>
      <c r="M61" s="205">
        <v>20</v>
      </c>
      <c r="N61" s="197">
        <v>21</v>
      </c>
      <c r="O61" s="18"/>
    </row>
    <row r="62" spans="1:15" s="28" customFormat="1" ht="12" customHeight="1">
      <c r="A62" s="38"/>
      <c r="B62" s="39"/>
      <c r="C62" s="18"/>
      <c r="D62" s="18"/>
      <c r="E62" s="18"/>
      <c r="F62" s="18"/>
      <c r="G62" s="18"/>
      <c r="H62" s="18"/>
      <c r="I62" s="18"/>
      <c r="J62" s="18"/>
      <c r="K62" s="18"/>
      <c r="L62" s="18"/>
      <c r="M62" s="18"/>
      <c r="N62" s="18"/>
      <c r="O62" s="18"/>
    </row>
  </sheetData>
  <sheetProtection selectLockedCells="1" selectUnlockedCells="1"/>
  <mergeCells count="14">
    <mergeCell ref="A3:O3"/>
    <mergeCell ref="A4:O4"/>
    <mergeCell ref="C10:C11"/>
    <mergeCell ref="D10:F10"/>
    <mergeCell ref="G10:M10"/>
    <mergeCell ref="N10:N11"/>
    <mergeCell ref="C28:C29"/>
    <mergeCell ref="D28:F28"/>
    <mergeCell ref="G28:M28"/>
    <mergeCell ref="N28:N29"/>
    <mergeCell ref="C46:C47"/>
    <mergeCell ref="D46:F46"/>
    <mergeCell ref="G46:M46"/>
    <mergeCell ref="N46:N47"/>
  </mergeCells>
  <phoneticPr fontId="34"/>
  <pageMargins left="0.7" right="0.7" top="0.75" bottom="0.75" header="0.3" footer="0.3"/>
  <pageSetup paperSize="9" scale="45" orientation="portrait" r:id="rId1"/>
  <colBreaks count="1" manualBreakCount="1">
    <brk id="14"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3"/>
  <sheetViews>
    <sheetView view="pageBreakPreview" topLeftCell="A5" zoomScale="60" zoomScaleNormal="100" workbookViewId="0"/>
  </sheetViews>
  <sheetFormatPr defaultRowHeight="0" customHeight="1" zeroHeight="1"/>
  <cols>
    <col min="1" max="2" width="2.26953125" style="15" customWidth="1"/>
    <col min="3" max="3" width="40.7265625" style="15" customWidth="1"/>
    <col min="4" max="14" width="14.40625" style="15" customWidth="1"/>
    <col min="15" max="15" width="4" style="15" customWidth="1"/>
  </cols>
  <sheetData>
    <row r="1" spans="1:15" ht="18" customHeight="1">
      <c r="A1" s="177" t="s">
        <v>182</v>
      </c>
      <c r="B1" s="12"/>
      <c r="C1" s="12"/>
      <c r="D1" s="12"/>
      <c r="E1" s="12"/>
      <c r="F1" s="12"/>
      <c r="G1" s="12"/>
      <c r="H1" s="12"/>
      <c r="I1" s="12"/>
      <c r="J1" s="12"/>
      <c r="K1" s="12"/>
      <c r="L1" s="12"/>
      <c r="M1" s="12"/>
      <c r="N1" s="12"/>
      <c r="O1" s="119"/>
    </row>
    <row r="2" spans="1:15" ht="18" customHeight="1">
      <c r="A2" s="12"/>
      <c r="B2" s="12"/>
      <c r="C2" s="12"/>
      <c r="D2" s="12"/>
      <c r="E2" s="12"/>
      <c r="F2" s="12"/>
      <c r="G2" s="12"/>
      <c r="H2" s="12"/>
      <c r="I2" s="12"/>
      <c r="J2" s="12"/>
      <c r="K2" s="12"/>
      <c r="L2" s="12"/>
      <c r="M2" s="12"/>
      <c r="N2" s="12"/>
      <c r="O2" s="119"/>
    </row>
    <row r="3" spans="1:15" ht="18" customHeight="1">
      <c r="A3" s="619" t="s">
        <v>1</v>
      </c>
      <c r="B3" s="619"/>
      <c r="C3" s="619"/>
      <c r="D3" s="619"/>
      <c r="E3" s="619"/>
      <c r="F3" s="619"/>
      <c r="G3" s="619"/>
      <c r="H3" s="619"/>
      <c r="I3" s="619"/>
      <c r="J3" s="619"/>
      <c r="K3" s="619"/>
      <c r="L3" s="619"/>
      <c r="M3" s="619"/>
      <c r="N3" s="619"/>
      <c r="O3" s="619"/>
    </row>
    <row r="4" spans="1:15" ht="18" customHeight="1">
      <c r="A4" s="620" t="s">
        <v>2</v>
      </c>
      <c r="B4" s="619"/>
      <c r="C4" s="619"/>
      <c r="D4" s="619"/>
      <c r="E4" s="619"/>
      <c r="F4" s="619"/>
      <c r="G4" s="619"/>
      <c r="H4" s="619"/>
      <c r="I4" s="619"/>
      <c r="J4" s="619"/>
      <c r="K4" s="619"/>
      <c r="L4" s="619"/>
      <c r="M4" s="619"/>
      <c r="N4" s="619"/>
      <c r="O4" s="619"/>
    </row>
    <row r="5" spans="1:15" ht="18" customHeight="1">
      <c r="A5" s="12"/>
      <c r="B5" s="12"/>
      <c r="C5" s="12"/>
      <c r="D5" s="12"/>
      <c r="E5" s="12"/>
      <c r="F5" s="12"/>
      <c r="G5" s="12"/>
      <c r="H5" s="12"/>
      <c r="I5" s="12"/>
      <c r="J5" s="12"/>
      <c r="K5" s="12"/>
      <c r="L5" s="12"/>
      <c r="M5" s="178" t="s">
        <v>32</v>
      </c>
      <c r="N5" s="179" t="s">
        <v>4</v>
      </c>
      <c r="O5" s="12"/>
    </row>
    <row r="6" spans="1:15" ht="18" customHeight="1">
      <c r="A6" s="12"/>
      <c r="B6" s="12"/>
      <c r="C6" s="12"/>
      <c r="D6" s="12"/>
      <c r="E6" s="12"/>
      <c r="F6" s="12"/>
      <c r="G6" s="12"/>
      <c r="H6" s="12"/>
      <c r="I6" s="12"/>
      <c r="J6" s="12"/>
      <c r="K6" s="12"/>
      <c r="L6" s="12"/>
      <c r="M6" s="178" t="s">
        <v>33</v>
      </c>
      <c r="N6" s="206" t="s">
        <v>6</v>
      </c>
      <c r="O6" s="180" t="s">
        <v>7</v>
      </c>
    </row>
    <row r="7" spans="1:15" ht="18" customHeight="1">
      <c r="A7" s="13" t="s">
        <v>34</v>
      </c>
      <c r="B7" s="17"/>
      <c r="C7" s="18"/>
      <c r="D7" s="18"/>
      <c r="E7" s="18"/>
      <c r="F7" s="18"/>
      <c r="G7" s="18"/>
      <c r="H7" s="18"/>
      <c r="I7" s="18"/>
      <c r="J7" s="18"/>
      <c r="K7" s="18"/>
      <c r="L7" s="18"/>
      <c r="M7" s="18"/>
      <c r="N7" s="18"/>
      <c r="O7" s="12"/>
    </row>
    <row r="8" spans="1:15" ht="18" customHeight="1">
      <c r="A8" s="18"/>
      <c r="B8" s="13" t="s">
        <v>201</v>
      </c>
      <c r="C8" s="13"/>
      <c r="D8" s="18"/>
      <c r="E8" s="18"/>
      <c r="F8" s="18"/>
      <c r="G8" s="18"/>
      <c r="H8" s="18"/>
      <c r="I8" s="18"/>
      <c r="J8" s="18"/>
      <c r="K8" s="18"/>
      <c r="L8" s="18"/>
      <c r="M8" s="18"/>
      <c r="N8" s="18"/>
      <c r="O8" s="12"/>
    </row>
    <row r="9" spans="1:15" ht="18" customHeight="1">
      <c r="A9" s="18"/>
      <c r="B9" s="17"/>
      <c r="C9" s="13" t="s">
        <v>184</v>
      </c>
      <c r="D9" s="18"/>
      <c r="E9" s="18"/>
      <c r="F9" s="18"/>
      <c r="G9" s="18"/>
      <c r="H9" s="18"/>
      <c r="I9" s="18"/>
      <c r="J9" s="18"/>
      <c r="K9" s="18"/>
      <c r="L9" s="18"/>
      <c r="M9" s="18"/>
      <c r="N9" s="18"/>
      <c r="O9" s="12"/>
    </row>
    <row r="10" spans="1:15" s="28" customFormat="1" ht="18" customHeight="1">
      <c r="A10" s="18"/>
      <c r="B10" s="18"/>
      <c r="C10" s="742"/>
      <c r="D10" s="744" t="s">
        <v>177</v>
      </c>
      <c r="E10" s="744"/>
      <c r="F10" s="745"/>
      <c r="G10" s="746" t="s">
        <v>178</v>
      </c>
      <c r="H10" s="747"/>
      <c r="I10" s="747"/>
      <c r="J10" s="747"/>
      <c r="K10" s="747"/>
      <c r="L10" s="747"/>
      <c r="M10" s="747"/>
      <c r="N10" s="748" t="s">
        <v>109</v>
      </c>
      <c r="O10" s="18"/>
    </row>
    <row r="11" spans="1:15" s="28" customFormat="1" ht="18" customHeight="1">
      <c r="A11" s="18"/>
      <c r="B11" s="18"/>
      <c r="C11" s="743"/>
      <c r="D11" s="250" t="s">
        <v>152</v>
      </c>
      <c r="E11" s="250" t="s">
        <v>153</v>
      </c>
      <c r="F11" s="251" t="s">
        <v>14</v>
      </c>
      <c r="G11" s="252" t="s">
        <v>154</v>
      </c>
      <c r="H11" s="250" t="s">
        <v>155</v>
      </c>
      <c r="I11" s="250" t="s">
        <v>156</v>
      </c>
      <c r="J11" s="250" t="s">
        <v>157</v>
      </c>
      <c r="K11" s="250" t="s">
        <v>158</v>
      </c>
      <c r="L11" s="250" t="s">
        <v>159</v>
      </c>
      <c r="M11" s="251" t="s">
        <v>14</v>
      </c>
      <c r="N11" s="749"/>
      <c r="O11" s="18"/>
    </row>
    <row r="12" spans="1:15" s="28" customFormat="1" ht="18" customHeight="1">
      <c r="A12" s="38"/>
      <c r="B12" s="39"/>
      <c r="C12" s="253" t="s">
        <v>202</v>
      </c>
      <c r="D12" s="193">
        <v>0</v>
      </c>
      <c r="E12" s="193">
        <v>0</v>
      </c>
      <c r="F12" s="190">
        <v>0</v>
      </c>
      <c r="G12" s="218"/>
      <c r="H12" s="193">
        <v>593</v>
      </c>
      <c r="I12" s="193">
        <v>2413</v>
      </c>
      <c r="J12" s="193">
        <v>5779</v>
      </c>
      <c r="K12" s="193">
        <v>2355</v>
      </c>
      <c r="L12" s="193">
        <v>3023</v>
      </c>
      <c r="M12" s="190">
        <v>14163</v>
      </c>
      <c r="N12" s="191">
        <v>14163</v>
      </c>
      <c r="O12" s="18"/>
    </row>
    <row r="13" spans="1:15" s="28" customFormat="1" ht="18" customHeight="1">
      <c r="A13" s="38"/>
      <c r="B13" s="39"/>
      <c r="C13" s="253" t="s">
        <v>203</v>
      </c>
      <c r="D13" s="193">
        <v>6</v>
      </c>
      <c r="E13" s="193">
        <v>0</v>
      </c>
      <c r="F13" s="190">
        <v>6</v>
      </c>
      <c r="G13" s="218"/>
      <c r="H13" s="193">
        <v>0</v>
      </c>
      <c r="I13" s="193">
        <v>105</v>
      </c>
      <c r="J13" s="193">
        <v>74</v>
      </c>
      <c r="K13" s="193">
        <v>115</v>
      </c>
      <c r="L13" s="193">
        <v>57</v>
      </c>
      <c r="M13" s="190">
        <v>351</v>
      </c>
      <c r="N13" s="191">
        <v>357</v>
      </c>
      <c r="O13" s="18"/>
    </row>
    <row r="14" spans="1:15" s="28" customFormat="1" ht="18" customHeight="1">
      <c r="A14" s="38"/>
      <c r="B14" s="39"/>
      <c r="C14" s="253" t="s">
        <v>204</v>
      </c>
      <c r="D14" s="193">
        <v>45</v>
      </c>
      <c r="E14" s="193">
        <v>0</v>
      </c>
      <c r="F14" s="190">
        <v>45</v>
      </c>
      <c r="G14" s="218"/>
      <c r="H14" s="193">
        <v>0</v>
      </c>
      <c r="I14" s="193">
        <v>73</v>
      </c>
      <c r="J14" s="193">
        <v>138</v>
      </c>
      <c r="K14" s="193">
        <v>19</v>
      </c>
      <c r="L14" s="193">
        <v>49</v>
      </c>
      <c r="M14" s="190">
        <v>279</v>
      </c>
      <c r="N14" s="191">
        <v>324</v>
      </c>
      <c r="O14" s="18"/>
    </row>
    <row r="15" spans="1:15" s="28" customFormat="1" ht="18" customHeight="1">
      <c r="A15" s="38"/>
      <c r="B15" s="39"/>
      <c r="C15" s="253" t="s">
        <v>205</v>
      </c>
      <c r="D15" s="193">
        <v>280</v>
      </c>
      <c r="E15" s="193">
        <v>441</v>
      </c>
      <c r="F15" s="190">
        <v>721</v>
      </c>
      <c r="G15" s="218"/>
      <c r="H15" s="193">
        <v>135</v>
      </c>
      <c r="I15" s="193">
        <v>718</v>
      </c>
      <c r="J15" s="193">
        <v>968</v>
      </c>
      <c r="K15" s="193">
        <v>125</v>
      </c>
      <c r="L15" s="193">
        <v>39</v>
      </c>
      <c r="M15" s="190">
        <v>1985</v>
      </c>
      <c r="N15" s="191">
        <v>2706</v>
      </c>
      <c r="O15" s="18"/>
    </row>
    <row r="16" spans="1:15" s="28" customFormat="1" ht="18" customHeight="1">
      <c r="A16" s="38"/>
      <c r="B16" s="39"/>
      <c r="C16" s="253" t="s">
        <v>206</v>
      </c>
      <c r="D16" s="193">
        <v>0</v>
      </c>
      <c r="E16" s="193">
        <v>0</v>
      </c>
      <c r="F16" s="190">
        <v>0</v>
      </c>
      <c r="G16" s="218"/>
      <c r="H16" s="193">
        <v>1368</v>
      </c>
      <c r="I16" s="193">
        <v>2568</v>
      </c>
      <c r="J16" s="193">
        <v>2101</v>
      </c>
      <c r="K16" s="193">
        <v>751</v>
      </c>
      <c r="L16" s="193">
        <v>430</v>
      </c>
      <c r="M16" s="190">
        <v>7218</v>
      </c>
      <c r="N16" s="191">
        <v>7218</v>
      </c>
      <c r="O16" s="18"/>
    </row>
    <row r="17" spans="1:15" s="28" customFormat="1" ht="18" customHeight="1">
      <c r="A17" s="38"/>
      <c r="B17" s="39"/>
      <c r="C17" s="253" t="s">
        <v>207</v>
      </c>
      <c r="D17" s="193">
        <v>0</v>
      </c>
      <c r="E17" s="193">
        <v>0</v>
      </c>
      <c r="F17" s="190">
        <v>0</v>
      </c>
      <c r="G17" s="218"/>
      <c r="H17" s="193">
        <v>2063</v>
      </c>
      <c r="I17" s="193">
        <v>3337</v>
      </c>
      <c r="J17" s="193">
        <v>3029</v>
      </c>
      <c r="K17" s="193">
        <v>1017</v>
      </c>
      <c r="L17" s="193">
        <v>437</v>
      </c>
      <c r="M17" s="190">
        <v>9883</v>
      </c>
      <c r="N17" s="191">
        <v>9883</v>
      </c>
      <c r="O17" s="18"/>
    </row>
    <row r="18" spans="1:15" s="28" customFormat="1" ht="18" customHeight="1">
      <c r="A18" s="38"/>
      <c r="B18" s="39"/>
      <c r="C18" s="253" t="s">
        <v>208</v>
      </c>
      <c r="D18" s="193">
        <v>4</v>
      </c>
      <c r="E18" s="193">
        <v>5</v>
      </c>
      <c r="F18" s="190">
        <v>9</v>
      </c>
      <c r="G18" s="218"/>
      <c r="H18" s="193">
        <v>116</v>
      </c>
      <c r="I18" s="193">
        <v>86</v>
      </c>
      <c r="J18" s="193">
        <v>583</v>
      </c>
      <c r="K18" s="193">
        <v>473</v>
      </c>
      <c r="L18" s="193">
        <v>61</v>
      </c>
      <c r="M18" s="190">
        <v>1319</v>
      </c>
      <c r="N18" s="191">
        <v>1328</v>
      </c>
      <c r="O18" s="18"/>
    </row>
    <row r="19" spans="1:15" s="28" customFormat="1" ht="18" customHeight="1">
      <c r="A19" s="38"/>
      <c r="B19" s="39"/>
      <c r="C19" s="253" t="s">
        <v>209</v>
      </c>
      <c r="D19" s="193">
        <v>0</v>
      </c>
      <c r="E19" s="193">
        <v>23</v>
      </c>
      <c r="F19" s="190">
        <v>23</v>
      </c>
      <c r="G19" s="218"/>
      <c r="H19" s="193">
        <v>133</v>
      </c>
      <c r="I19" s="193">
        <v>358</v>
      </c>
      <c r="J19" s="193">
        <v>196</v>
      </c>
      <c r="K19" s="193">
        <v>70</v>
      </c>
      <c r="L19" s="193">
        <v>98</v>
      </c>
      <c r="M19" s="190">
        <v>855</v>
      </c>
      <c r="N19" s="191">
        <v>878</v>
      </c>
      <c r="O19" s="18"/>
    </row>
    <row r="20" spans="1:15" s="28" customFormat="1" ht="18" customHeight="1">
      <c r="A20" s="38"/>
      <c r="B20" s="39"/>
      <c r="C20" s="253" t="s">
        <v>210</v>
      </c>
      <c r="D20" s="193">
        <v>0</v>
      </c>
      <c r="E20" s="193">
        <v>0</v>
      </c>
      <c r="F20" s="190">
        <v>0</v>
      </c>
      <c r="G20" s="218"/>
      <c r="H20" s="193">
        <v>0</v>
      </c>
      <c r="I20" s="193">
        <v>0</v>
      </c>
      <c r="J20" s="193">
        <v>0</v>
      </c>
      <c r="K20" s="193">
        <v>0</v>
      </c>
      <c r="L20" s="193">
        <v>0</v>
      </c>
      <c r="M20" s="190">
        <v>0</v>
      </c>
      <c r="N20" s="191">
        <v>0</v>
      </c>
      <c r="O20" s="18"/>
    </row>
    <row r="21" spans="1:15" s="28" customFormat="1" ht="18" customHeight="1">
      <c r="A21" s="18"/>
      <c r="B21" s="18"/>
      <c r="C21" s="255" t="s">
        <v>211</v>
      </c>
      <c r="D21" s="256">
        <v>0</v>
      </c>
      <c r="E21" s="256">
        <v>0</v>
      </c>
      <c r="F21" s="205">
        <v>0</v>
      </c>
      <c r="G21" s="257"/>
      <c r="H21" s="256">
        <v>0</v>
      </c>
      <c r="I21" s="256">
        <v>0</v>
      </c>
      <c r="J21" s="256">
        <v>0</v>
      </c>
      <c r="K21" s="256">
        <v>0</v>
      </c>
      <c r="L21" s="256">
        <v>0</v>
      </c>
      <c r="M21" s="205">
        <v>0</v>
      </c>
      <c r="N21" s="197">
        <v>0</v>
      </c>
      <c r="O21" s="18"/>
    </row>
    <row r="22" spans="1:15" s="28" customFormat="1" ht="18" customHeight="1">
      <c r="A22" s="18"/>
      <c r="B22" s="18"/>
      <c r="C22" s="12" t="s">
        <v>212</v>
      </c>
      <c r="D22" s="18"/>
      <c r="E22" s="18"/>
      <c r="F22" s="18"/>
      <c r="G22" s="18"/>
      <c r="H22" s="18"/>
      <c r="I22" s="18"/>
      <c r="J22" s="18"/>
      <c r="K22" s="18"/>
      <c r="L22" s="18"/>
      <c r="M22" s="18"/>
      <c r="N22" s="18"/>
      <c r="O22" s="18"/>
    </row>
    <row r="23" spans="1:15" s="28" customFormat="1" ht="12" customHeight="1">
      <c r="A23" s="18"/>
      <c r="B23" s="18"/>
      <c r="C23" s="18"/>
      <c r="D23" s="18"/>
      <c r="E23" s="18"/>
      <c r="F23" s="18"/>
      <c r="G23" s="18"/>
      <c r="H23" s="18"/>
      <c r="I23" s="18"/>
      <c r="J23" s="18"/>
      <c r="K23" s="18"/>
      <c r="L23" s="18"/>
      <c r="M23" s="18"/>
      <c r="N23" s="18"/>
      <c r="O23" s="18"/>
    </row>
    <row r="24" spans="1:15" s="28" customFormat="1" ht="18" customHeight="1">
      <c r="A24" s="18"/>
      <c r="B24" s="18"/>
      <c r="C24" s="13" t="s">
        <v>199</v>
      </c>
      <c r="D24" s="18"/>
      <c r="E24" s="18"/>
      <c r="F24" s="18"/>
      <c r="G24" s="18"/>
      <c r="H24" s="18"/>
      <c r="I24" s="18"/>
      <c r="J24" s="18"/>
      <c r="K24" s="18"/>
      <c r="L24" s="18"/>
      <c r="M24" s="18"/>
      <c r="N24" s="18"/>
      <c r="O24" s="18"/>
    </row>
    <row r="25" spans="1:15" s="28" customFormat="1" ht="18" customHeight="1">
      <c r="A25" s="38"/>
      <c r="B25" s="39"/>
      <c r="C25" s="742"/>
      <c r="D25" s="744" t="s">
        <v>177</v>
      </c>
      <c r="E25" s="744"/>
      <c r="F25" s="745"/>
      <c r="G25" s="746" t="s">
        <v>178</v>
      </c>
      <c r="H25" s="747"/>
      <c r="I25" s="747"/>
      <c r="J25" s="747"/>
      <c r="K25" s="747"/>
      <c r="L25" s="747"/>
      <c r="M25" s="747"/>
      <c r="N25" s="748" t="s">
        <v>109</v>
      </c>
      <c r="O25" s="18"/>
    </row>
    <row r="26" spans="1:15" s="28" customFormat="1" ht="18" customHeight="1">
      <c r="A26" s="38"/>
      <c r="B26" s="39"/>
      <c r="C26" s="743"/>
      <c r="D26" s="250" t="s">
        <v>152</v>
      </c>
      <c r="E26" s="250" t="s">
        <v>153</v>
      </c>
      <c r="F26" s="251" t="s">
        <v>14</v>
      </c>
      <c r="G26" s="252" t="s">
        <v>154</v>
      </c>
      <c r="H26" s="250" t="s">
        <v>155</v>
      </c>
      <c r="I26" s="250" t="s">
        <v>156</v>
      </c>
      <c r="J26" s="250" t="s">
        <v>157</v>
      </c>
      <c r="K26" s="250" t="s">
        <v>158</v>
      </c>
      <c r="L26" s="250" t="s">
        <v>159</v>
      </c>
      <c r="M26" s="251" t="s">
        <v>14</v>
      </c>
      <c r="N26" s="749"/>
      <c r="O26" s="18"/>
    </row>
    <row r="27" spans="1:15" s="28" customFormat="1" ht="18" customHeight="1">
      <c r="A27" s="18"/>
      <c r="B27" s="18"/>
      <c r="C27" s="253" t="s">
        <v>202</v>
      </c>
      <c r="D27" s="193">
        <v>0</v>
      </c>
      <c r="E27" s="193">
        <v>0</v>
      </c>
      <c r="F27" s="190">
        <v>0</v>
      </c>
      <c r="G27" s="218"/>
      <c r="H27" s="193">
        <v>0</v>
      </c>
      <c r="I27" s="193">
        <v>27</v>
      </c>
      <c r="J27" s="193">
        <v>22</v>
      </c>
      <c r="K27" s="193">
        <v>0</v>
      </c>
      <c r="L27" s="193">
        <v>0</v>
      </c>
      <c r="M27" s="190">
        <v>49</v>
      </c>
      <c r="N27" s="191">
        <v>49</v>
      </c>
      <c r="O27" s="18"/>
    </row>
    <row r="28" spans="1:15" s="28" customFormat="1" ht="18" customHeight="1">
      <c r="A28" s="18"/>
      <c r="B28" s="18"/>
      <c r="C28" s="253" t="s">
        <v>203</v>
      </c>
      <c r="D28" s="193">
        <v>0</v>
      </c>
      <c r="E28" s="193">
        <v>0</v>
      </c>
      <c r="F28" s="190">
        <v>0</v>
      </c>
      <c r="G28" s="218"/>
      <c r="H28" s="193">
        <v>0</v>
      </c>
      <c r="I28" s="193">
        <v>8</v>
      </c>
      <c r="J28" s="193">
        <v>0</v>
      </c>
      <c r="K28" s="193">
        <v>0</v>
      </c>
      <c r="L28" s="193">
        <v>0</v>
      </c>
      <c r="M28" s="190">
        <v>8</v>
      </c>
      <c r="N28" s="191">
        <v>8</v>
      </c>
      <c r="O28" s="18"/>
    </row>
    <row r="29" spans="1:15" s="53" customFormat="1" ht="18" customHeight="1">
      <c r="A29" s="18"/>
      <c r="B29" s="18"/>
      <c r="C29" s="253" t="s">
        <v>204</v>
      </c>
      <c r="D29" s="193">
        <v>0</v>
      </c>
      <c r="E29" s="193">
        <v>0</v>
      </c>
      <c r="F29" s="190">
        <v>0</v>
      </c>
      <c r="G29" s="254"/>
      <c r="H29" s="193">
        <v>0</v>
      </c>
      <c r="I29" s="193">
        <v>68</v>
      </c>
      <c r="J29" s="193">
        <v>55</v>
      </c>
      <c r="K29" s="193">
        <v>0</v>
      </c>
      <c r="L29" s="193">
        <v>0</v>
      </c>
      <c r="M29" s="190">
        <v>123</v>
      </c>
      <c r="N29" s="191">
        <v>123</v>
      </c>
      <c r="O29" s="18"/>
    </row>
    <row r="30" spans="1:15" s="28" customFormat="1" ht="18" customHeight="1">
      <c r="A30" s="18"/>
      <c r="B30" s="18"/>
      <c r="C30" s="253" t="s">
        <v>205</v>
      </c>
      <c r="D30" s="193">
        <v>0</v>
      </c>
      <c r="E30" s="193">
        <v>0</v>
      </c>
      <c r="F30" s="190">
        <v>0</v>
      </c>
      <c r="G30" s="218"/>
      <c r="H30" s="193">
        <v>0</v>
      </c>
      <c r="I30" s="193">
        <v>75</v>
      </c>
      <c r="J30" s="193">
        <v>63</v>
      </c>
      <c r="K30" s="193">
        <v>0</v>
      </c>
      <c r="L30" s="193">
        <v>0</v>
      </c>
      <c r="M30" s="190">
        <v>138</v>
      </c>
      <c r="N30" s="191">
        <v>138</v>
      </c>
      <c r="O30" s="18"/>
    </row>
    <row r="31" spans="1:15" s="28" customFormat="1" ht="18" customHeight="1">
      <c r="A31" s="18"/>
      <c r="B31" s="18"/>
      <c r="C31" s="253" t="s">
        <v>206</v>
      </c>
      <c r="D31" s="193">
        <v>0</v>
      </c>
      <c r="E31" s="193">
        <v>0</v>
      </c>
      <c r="F31" s="190">
        <v>0</v>
      </c>
      <c r="G31" s="218"/>
      <c r="H31" s="193">
        <v>55</v>
      </c>
      <c r="I31" s="193">
        <v>1</v>
      </c>
      <c r="J31" s="193">
        <v>0</v>
      </c>
      <c r="K31" s="193">
        <v>0</v>
      </c>
      <c r="L31" s="193">
        <v>0</v>
      </c>
      <c r="M31" s="190">
        <v>56</v>
      </c>
      <c r="N31" s="191">
        <v>56</v>
      </c>
      <c r="O31" s="18"/>
    </row>
    <row r="32" spans="1:15" s="28" customFormat="1" ht="18" customHeight="1">
      <c r="A32" s="18"/>
      <c r="B32" s="18"/>
      <c r="C32" s="253" t="s">
        <v>207</v>
      </c>
      <c r="D32" s="193">
        <v>0</v>
      </c>
      <c r="E32" s="193">
        <v>0</v>
      </c>
      <c r="F32" s="190">
        <v>0</v>
      </c>
      <c r="G32" s="218"/>
      <c r="H32" s="193">
        <v>80</v>
      </c>
      <c r="I32" s="193">
        <v>55</v>
      </c>
      <c r="J32" s="193">
        <v>59</v>
      </c>
      <c r="K32" s="193">
        <v>0</v>
      </c>
      <c r="L32" s="193">
        <v>0</v>
      </c>
      <c r="M32" s="190">
        <v>194</v>
      </c>
      <c r="N32" s="191">
        <v>194</v>
      </c>
      <c r="O32" s="18"/>
    </row>
    <row r="33" spans="1:15" s="28" customFormat="1" ht="18" customHeight="1">
      <c r="A33" s="18"/>
      <c r="B33" s="18"/>
      <c r="C33" s="253" t="s">
        <v>208</v>
      </c>
      <c r="D33" s="193">
        <v>0</v>
      </c>
      <c r="E33" s="193">
        <v>0</v>
      </c>
      <c r="F33" s="190">
        <v>0</v>
      </c>
      <c r="G33" s="218"/>
      <c r="H33" s="193">
        <v>0</v>
      </c>
      <c r="I33" s="193">
        <v>0</v>
      </c>
      <c r="J33" s="193">
        <v>0</v>
      </c>
      <c r="K33" s="193">
        <v>0</v>
      </c>
      <c r="L33" s="193">
        <v>0</v>
      </c>
      <c r="M33" s="190">
        <v>0</v>
      </c>
      <c r="N33" s="191">
        <v>0</v>
      </c>
      <c r="O33" s="18"/>
    </row>
    <row r="34" spans="1:15" s="28" customFormat="1" ht="18" customHeight="1">
      <c r="A34" s="38"/>
      <c r="B34" s="39"/>
      <c r="C34" s="253" t="s">
        <v>209</v>
      </c>
      <c r="D34" s="193">
        <v>0</v>
      </c>
      <c r="E34" s="193">
        <v>0</v>
      </c>
      <c r="F34" s="190">
        <v>0</v>
      </c>
      <c r="G34" s="218"/>
      <c r="H34" s="193">
        <v>0</v>
      </c>
      <c r="I34" s="193">
        <v>0</v>
      </c>
      <c r="J34" s="193">
        <v>28</v>
      </c>
      <c r="K34" s="193">
        <v>0</v>
      </c>
      <c r="L34" s="193">
        <v>0</v>
      </c>
      <c r="M34" s="190">
        <v>28</v>
      </c>
      <c r="N34" s="191">
        <v>28</v>
      </c>
      <c r="O34" s="18"/>
    </row>
    <row r="35" spans="1:15" s="28" customFormat="1" ht="18" customHeight="1">
      <c r="A35" s="38"/>
      <c r="B35" s="39"/>
      <c r="C35" s="253" t="s">
        <v>210</v>
      </c>
      <c r="D35" s="193">
        <v>0</v>
      </c>
      <c r="E35" s="193">
        <v>0</v>
      </c>
      <c r="F35" s="190">
        <v>0</v>
      </c>
      <c r="G35" s="218"/>
      <c r="H35" s="193">
        <v>0</v>
      </c>
      <c r="I35" s="193">
        <v>0</v>
      </c>
      <c r="J35" s="193">
        <v>0</v>
      </c>
      <c r="K35" s="193">
        <v>0</v>
      </c>
      <c r="L35" s="193">
        <v>0</v>
      </c>
      <c r="M35" s="190">
        <v>0</v>
      </c>
      <c r="N35" s="191">
        <v>0</v>
      </c>
      <c r="O35" s="18"/>
    </row>
    <row r="36" spans="1:15" s="28" customFormat="1" ht="18" customHeight="1">
      <c r="A36" s="38"/>
      <c r="B36" s="39"/>
      <c r="C36" s="255" t="s">
        <v>211</v>
      </c>
      <c r="D36" s="256">
        <v>0</v>
      </c>
      <c r="E36" s="256">
        <v>0</v>
      </c>
      <c r="F36" s="205">
        <v>0</v>
      </c>
      <c r="G36" s="257"/>
      <c r="H36" s="256">
        <v>0</v>
      </c>
      <c r="I36" s="256">
        <v>0</v>
      </c>
      <c r="J36" s="256">
        <v>0</v>
      </c>
      <c r="K36" s="256">
        <v>0</v>
      </c>
      <c r="L36" s="256">
        <v>0</v>
      </c>
      <c r="M36" s="205">
        <v>0</v>
      </c>
      <c r="N36" s="197">
        <v>0</v>
      </c>
      <c r="O36" s="18"/>
    </row>
    <row r="37" spans="1:15" s="28" customFormat="1" ht="18" customHeight="1">
      <c r="A37" s="38"/>
      <c r="B37" s="39"/>
      <c r="C37" s="12" t="s">
        <v>212</v>
      </c>
      <c r="D37" s="18"/>
      <c r="E37" s="18"/>
      <c r="F37" s="18"/>
      <c r="G37" s="18"/>
      <c r="H37" s="18"/>
      <c r="I37" s="18"/>
      <c r="J37" s="18"/>
      <c r="K37" s="18"/>
      <c r="L37" s="18"/>
      <c r="M37" s="18"/>
      <c r="N37" s="18"/>
      <c r="O37" s="18"/>
    </row>
    <row r="38" spans="1:15" s="28" customFormat="1" ht="12" customHeight="1">
      <c r="A38" s="38"/>
      <c r="B38" s="39"/>
      <c r="C38" s="18"/>
      <c r="D38" s="18"/>
      <c r="E38" s="18"/>
      <c r="F38" s="18"/>
      <c r="G38" s="18"/>
      <c r="H38" s="18"/>
      <c r="I38" s="18"/>
      <c r="J38" s="18"/>
      <c r="K38" s="18"/>
      <c r="L38" s="18"/>
      <c r="M38" s="18"/>
      <c r="N38" s="18"/>
      <c r="O38" s="18"/>
    </row>
    <row r="39" spans="1:15" s="28" customFormat="1" ht="18" customHeight="1">
      <c r="A39" s="18"/>
      <c r="B39" s="18"/>
      <c r="C39" s="13" t="s">
        <v>200</v>
      </c>
      <c r="D39" s="18"/>
      <c r="E39" s="18"/>
      <c r="F39" s="18"/>
      <c r="G39" s="18"/>
      <c r="H39" s="18"/>
      <c r="I39" s="18"/>
      <c r="J39" s="18"/>
      <c r="K39" s="18"/>
      <c r="L39" s="18"/>
      <c r="M39" s="18"/>
      <c r="N39" s="18"/>
      <c r="O39" s="18"/>
    </row>
    <row r="40" spans="1:15" s="28" customFormat="1" ht="18" customHeight="1">
      <c r="A40" s="38"/>
      <c r="B40" s="39"/>
      <c r="C40" s="742"/>
      <c r="D40" s="744" t="s">
        <v>177</v>
      </c>
      <c r="E40" s="744"/>
      <c r="F40" s="745"/>
      <c r="G40" s="746" t="s">
        <v>178</v>
      </c>
      <c r="H40" s="747"/>
      <c r="I40" s="747"/>
      <c r="J40" s="747"/>
      <c r="K40" s="747"/>
      <c r="L40" s="747"/>
      <c r="M40" s="747"/>
      <c r="N40" s="748" t="s">
        <v>109</v>
      </c>
      <c r="O40" s="18"/>
    </row>
    <row r="41" spans="1:15" s="28" customFormat="1" ht="18" customHeight="1">
      <c r="A41" s="38"/>
      <c r="B41" s="39"/>
      <c r="C41" s="743"/>
      <c r="D41" s="250" t="s">
        <v>152</v>
      </c>
      <c r="E41" s="250" t="s">
        <v>153</v>
      </c>
      <c r="F41" s="251" t="s">
        <v>14</v>
      </c>
      <c r="G41" s="252" t="s">
        <v>154</v>
      </c>
      <c r="H41" s="250" t="s">
        <v>155</v>
      </c>
      <c r="I41" s="250" t="s">
        <v>156</v>
      </c>
      <c r="J41" s="250" t="s">
        <v>157</v>
      </c>
      <c r="K41" s="250" t="s">
        <v>158</v>
      </c>
      <c r="L41" s="250" t="s">
        <v>159</v>
      </c>
      <c r="M41" s="251" t="s">
        <v>14</v>
      </c>
      <c r="N41" s="749"/>
      <c r="O41" s="18"/>
    </row>
    <row r="42" spans="1:15" s="28" customFormat="1" ht="18" customHeight="1">
      <c r="A42" s="18"/>
      <c r="B42" s="18"/>
      <c r="C42" s="253" t="s">
        <v>202</v>
      </c>
      <c r="D42" s="193">
        <v>0</v>
      </c>
      <c r="E42" s="193">
        <v>0</v>
      </c>
      <c r="F42" s="190">
        <v>0</v>
      </c>
      <c r="G42" s="218"/>
      <c r="H42" s="193">
        <v>0</v>
      </c>
      <c r="I42" s="193">
        <v>0</v>
      </c>
      <c r="J42" s="193">
        <v>0</v>
      </c>
      <c r="K42" s="193">
        <v>0</v>
      </c>
      <c r="L42" s="193">
        <v>0</v>
      </c>
      <c r="M42" s="190">
        <v>0</v>
      </c>
      <c r="N42" s="191">
        <v>0</v>
      </c>
      <c r="O42" s="18"/>
    </row>
    <row r="43" spans="1:15" s="28" customFormat="1" ht="18" customHeight="1">
      <c r="A43" s="18"/>
      <c r="B43" s="18"/>
      <c r="C43" s="253" t="s">
        <v>203</v>
      </c>
      <c r="D43" s="193">
        <v>0</v>
      </c>
      <c r="E43" s="193">
        <v>0</v>
      </c>
      <c r="F43" s="190">
        <v>0</v>
      </c>
      <c r="G43" s="218"/>
      <c r="H43" s="193">
        <v>0</v>
      </c>
      <c r="I43" s="193">
        <v>0</v>
      </c>
      <c r="J43" s="193">
        <v>0</v>
      </c>
      <c r="K43" s="193">
        <v>0</v>
      </c>
      <c r="L43" s="193">
        <v>0</v>
      </c>
      <c r="M43" s="190">
        <v>0</v>
      </c>
      <c r="N43" s="191">
        <v>0</v>
      </c>
      <c r="O43" s="18"/>
    </row>
    <row r="44" spans="1:15" s="53" customFormat="1" ht="18" customHeight="1">
      <c r="A44" s="18"/>
      <c r="B44" s="18"/>
      <c r="C44" s="253" t="s">
        <v>204</v>
      </c>
      <c r="D44" s="193">
        <v>0</v>
      </c>
      <c r="E44" s="193">
        <v>0</v>
      </c>
      <c r="F44" s="190">
        <v>0</v>
      </c>
      <c r="G44" s="254"/>
      <c r="H44" s="193">
        <v>0</v>
      </c>
      <c r="I44" s="193">
        <v>0</v>
      </c>
      <c r="J44" s="193">
        <v>0</v>
      </c>
      <c r="K44" s="193">
        <v>0</v>
      </c>
      <c r="L44" s="193">
        <v>0</v>
      </c>
      <c r="M44" s="190">
        <v>0</v>
      </c>
      <c r="N44" s="191">
        <v>0</v>
      </c>
      <c r="O44" s="18"/>
    </row>
    <row r="45" spans="1:15" s="28" customFormat="1" ht="18" customHeight="1">
      <c r="A45" s="18"/>
      <c r="B45" s="18"/>
      <c r="C45" s="253" t="s">
        <v>205</v>
      </c>
      <c r="D45" s="193">
        <v>0</v>
      </c>
      <c r="E45" s="193">
        <v>0</v>
      </c>
      <c r="F45" s="190">
        <v>0</v>
      </c>
      <c r="G45" s="218"/>
      <c r="H45" s="193">
        <v>0</v>
      </c>
      <c r="I45" s="193">
        <v>0</v>
      </c>
      <c r="J45" s="193">
        <v>0</v>
      </c>
      <c r="K45" s="193">
        <v>0</v>
      </c>
      <c r="L45" s="193">
        <v>0</v>
      </c>
      <c r="M45" s="190">
        <v>0</v>
      </c>
      <c r="N45" s="191">
        <v>0</v>
      </c>
      <c r="O45" s="18"/>
    </row>
    <row r="46" spans="1:15" s="28" customFormat="1" ht="18" customHeight="1">
      <c r="A46" s="18"/>
      <c r="B46" s="18"/>
      <c r="C46" s="253" t="s">
        <v>206</v>
      </c>
      <c r="D46" s="193">
        <v>0</v>
      </c>
      <c r="E46" s="193">
        <v>0</v>
      </c>
      <c r="F46" s="190">
        <v>0</v>
      </c>
      <c r="G46" s="218"/>
      <c r="H46" s="193">
        <v>56</v>
      </c>
      <c r="I46" s="193">
        <v>0</v>
      </c>
      <c r="J46" s="193">
        <v>0</v>
      </c>
      <c r="K46" s="193">
        <v>0</v>
      </c>
      <c r="L46" s="193">
        <v>0</v>
      </c>
      <c r="M46" s="190">
        <v>56</v>
      </c>
      <c r="N46" s="191">
        <v>56</v>
      </c>
      <c r="O46" s="18"/>
    </row>
    <row r="47" spans="1:15" s="28" customFormat="1" ht="18" customHeight="1">
      <c r="A47" s="18"/>
      <c r="B47" s="18"/>
      <c r="C47" s="253" t="s">
        <v>207</v>
      </c>
      <c r="D47" s="193">
        <v>0</v>
      </c>
      <c r="E47" s="193">
        <v>0</v>
      </c>
      <c r="F47" s="190">
        <v>0</v>
      </c>
      <c r="G47" s="218"/>
      <c r="H47" s="193">
        <v>0</v>
      </c>
      <c r="I47" s="193">
        <v>151</v>
      </c>
      <c r="J47" s="193">
        <v>0</v>
      </c>
      <c r="K47" s="193">
        <v>0</v>
      </c>
      <c r="L47" s="193">
        <v>0</v>
      </c>
      <c r="M47" s="190">
        <v>151</v>
      </c>
      <c r="N47" s="191">
        <v>151</v>
      </c>
      <c r="O47" s="18"/>
    </row>
    <row r="48" spans="1:15" s="28" customFormat="1" ht="18" customHeight="1">
      <c r="A48" s="18"/>
      <c r="B48" s="18"/>
      <c r="C48" s="253" t="s">
        <v>208</v>
      </c>
      <c r="D48" s="193">
        <v>0</v>
      </c>
      <c r="E48" s="193">
        <v>0</v>
      </c>
      <c r="F48" s="190">
        <v>0</v>
      </c>
      <c r="G48" s="218"/>
      <c r="H48" s="193">
        <v>0</v>
      </c>
      <c r="I48" s="193">
        <v>0</v>
      </c>
      <c r="J48" s="193">
        <v>0</v>
      </c>
      <c r="K48" s="193">
        <v>0</v>
      </c>
      <c r="L48" s="193">
        <v>0</v>
      </c>
      <c r="M48" s="190">
        <v>0</v>
      </c>
      <c r="N48" s="191">
        <v>0</v>
      </c>
      <c r="O48" s="18"/>
    </row>
    <row r="49" spans="1:15" s="28" customFormat="1" ht="18" customHeight="1">
      <c r="A49" s="38"/>
      <c r="B49" s="39"/>
      <c r="C49" s="253" t="s">
        <v>209</v>
      </c>
      <c r="D49" s="193">
        <v>0</v>
      </c>
      <c r="E49" s="193">
        <v>0</v>
      </c>
      <c r="F49" s="190">
        <v>0</v>
      </c>
      <c r="G49" s="218"/>
      <c r="H49" s="193">
        <v>0</v>
      </c>
      <c r="I49" s="193">
        <v>0</v>
      </c>
      <c r="J49" s="193">
        <v>0</v>
      </c>
      <c r="K49" s="193">
        <v>0</v>
      </c>
      <c r="L49" s="193">
        <v>0</v>
      </c>
      <c r="M49" s="190">
        <v>0</v>
      </c>
      <c r="N49" s="191">
        <v>0</v>
      </c>
      <c r="O49" s="18"/>
    </row>
    <row r="50" spans="1:15" s="28" customFormat="1" ht="18" customHeight="1">
      <c r="A50" s="18"/>
      <c r="B50" s="18"/>
      <c r="C50" s="253" t="s">
        <v>210</v>
      </c>
      <c r="D50" s="193">
        <v>0</v>
      </c>
      <c r="E50" s="193">
        <v>0</v>
      </c>
      <c r="F50" s="190">
        <v>0</v>
      </c>
      <c r="G50" s="218"/>
      <c r="H50" s="193">
        <v>0</v>
      </c>
      <c r="I50" s="193">
        <v>0</v>
      </c>
      <c r="J50" s="193">
        <v>0</v>
      </c>
      <c r="K50" s="193">
        <v>0</v>
      </c>
      <c r="L50" s="193">
        <v>0</v>
      </c>
      <c r="M50" s="190">
        <v>0</v>
      </c>
      <c r="N50" s="191">
        <v>0</v>
      </c>
      <c r="O50" s="18"/>
    </row>
    <row r="51" spans="1:15" s="28" customFormat="1" ht="18" customHeight="1">
      <c r="A51" s="38"/>
      <c r="B51" s="39"/>
      <c r="C51" s="255" t="s">
        <v>211</v>
      </c>
      <c r="D51" s="256">
        <v>0</v>
      </c>
      <c r="E51" s="256">
        <v>0</v>
      </c>
      <c r="F51" s="205">
        <v>0</v>
      </c>
      <c r="G51" s="257"/>
      <c r="H51" s="256">
        <v>0</v>
      </c>
      <c r="I51" s="256">
        <v>0</v>
      </c>
      <c r="J51" s="256">
        <v>0</v>
      </c>
      <c r="K51" s="256">
        <v>0</v>
      </c>
      <c r="L51" s="256">
        <v>0</v>
      </c>
      <c r="M51" s="205">
        <v>0</v>
      </c>
      <c r="N51" s="197">
        <v>0</v>
      </c>
      <c r="O51" s="18"/>
    </row>
    <row r="52" spans="1:15" s="28" customFormat="1" ht="18" customHeight="1">
      <c r="A52" s="38"/>
      <c r="B52" s="39"/>
      <c r="C52" s="258" t="s">
        <v>212</v>
      </c>
      <c r="D52" s="44"/>
      <c r="E52" s="44"/>
      <c r="F52" s="44"/>
      <c r="G52" s="44"/>
      <c r="H52" s="44"/>
      <c r="I52" s="44"/>
      <c r="J52" s="44"/>
      <c r="K52" s="44"/>
      <c r="L52" s="44"/>
      <c r="M52" s="44"/>
      <c r="N52" s="44"/>
      <c r="O52" s="18"/>
    </row>
    <row r="53" spans="1:15" s="28" customFormat="1" ht="12" customHeight="1">
      <c r="A53" s="38"/>
      <c r="B53" s="39"/>
      <c r="C53" s="18"/>
      <c r="D53" s="18"/>
      <c r="E53" s="18"/>
      <c r="F53" s="18"/>
      <c r="G53" s="18"/>
      <c r="H53" s="18"/>
      <c r="I53" s="18"/>
      <c r="J53" s="18"/>
      <c r="K53" s="18"/>
      <c r="L53" s="18"/>
      <c r="M53" s="18"/>
      <c r="N53" s="18"/>
      <c r="O53" s="18"/>
    </row>
  </sheetData>
  <sheetProtection selectLockedCells="1" selectUnlockedCells="1"/>
  <mergeCells count="14">
    <mergeCell ref="A3:O3"/>
    <mergeCell ref="A4:O4"/>
    <mergeCell ref="C10:C11"/>
    <mergeCell ref="D10:F10"/>
    <mergeCell ref="G10:M10"/>
    <mergeCell ref="N10:N11"/>
    <mergeCell ref="C25:C26"/>
    <mergeCell ref="D25:F25"/>
    <mergeCell ref="G25:M25"/>
    <mergeCell ref="N25:N26"/>
    <mergeCell ref="C40:C41"/>
    <mergeCell ref="D40:F40"/>
    <mergeCell ref="G40:M40"/>
    <mergeCell ref="N40:N41"/>
  </mergeCells>
  <phoneticPr fontId="34"/>
  <pageMargins left="0.7" right="0.7" top="0.75" bottom="0.75" header="0.3" footer="0.3"/>
  <pageSetup paperSize="9" scale="50" orientation="landscape" r:id="rId1"/>
  <rowBreaks count="1" manualBreakCount="1">
    <brk id="52"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7"/>
  <sheetViews>
    <sheetView view="pageBreakPreview" zoomScale="60" zoomScaleNormal="100" workbookViewId="0"/>
  </sheetViews>
  <sheetFormatPr defaultRowHeight="0" customHeight="1" zeroHeight="1"/>
  <cols>
    <col min="1" max="2" width="2.26953125" style="15" customWidth="1"/>
    <col min="3" max="3" width="40.86328125" style="15" customWidth="1"/>
    <col min="4" max="14" width="14.40625" style="15" customWidth="1"/>
    <col min="15" max="15" width="4" style="15" customWidth="1"/>
  </cols>
  <sheetData>
    <row r="1" spans="1:15" ht="18" customHeight="1">
      <c r="A1" s="177" t="s">
        <v>182</v>
      </c>
      <c r="B1" s="12"/>
      <c r="C1" s="12"/>
      <c r="D1" s="12"/>
      <c r="E1" s="12"/>
      <c r="F1" s="12"/>
      <c r="G1" s="12"/>
      <c r="H1" s="12"/>
      <c r="I1" s="12"/>
      <c r="J1" s="12"/>
      <c r="K1" s="12"/>
      <c r="L1" s="12"/>
      <c r="M1" s="12"/>
      <c r="N1" s="12"/>
      <c r="O1" s="119"/>
    </row>
    <row r="2" spans="1:15" ht="18" customHeight="1">
      <c r="A2" s="12"/>
      <c r="B2" s="12"/>
      <c r="C2" s="12"/>
      <c r="D2" s="12"/>
      <c r="E2" s="12"/>
      <c r="F2" s="12"/>
      <c r="G2" s="12"/>
      <c r="H2" s="12"/>
      <c r="I2" s="12"/>
      <c r="J2" s="12"/>
      <c r="K2" s="12"/>
      <c r="L2" s="12"/>
      <c r="M2" s="12"/>
      <c r="N2" s="12"/>
      <c r="O2" s="119"/>
    </row>
    <row r="3" spans="1:15" ht="18" customHeight="1">
      <c r="A3" s="619" t="s">
        <v>1</v>
      </c>
      <c r="B3" s="619"/>
      <c r="C3" s="619"/>
      <c r="D3" s="619"/>
      <c r="E3" s="619"/>
      <c r="F3" s="619"/>
      <c r="G3" s="619"/>
      <c r="H3" s="619"/>
      <c r="I3" s="619"/>
      <c r="J3" s="619"/>
      <c r="K3" s="619"/>
      <c r="L3" s="619"/>
      <c r="M3" s="619"/>
      <c r="N3" s="619"/>
      <c r="O3" s="619"/>
    </row>
    <row r="4" spans="1:15" ht="18" customHeight="1">
      <c r="A4" s="620" t="s">
        <v>2</v>
      </c>
      <c r="B4" s="619"/>
      <c r="C4" s="619"/>
      <c r="D4" s="619"/>
      <c r="E4" s="619"/>
      <c r="F4" s="619"/>
      <c r="G4" s="619"/>
      <c r="H4" s="619"/>
      <c r="I4" s="619"/>
      <c r="J4" s="619"/>
      <c r="K4" s="619"/>
      <c r="L4" s="619"/>
      <c r="M4" s="619"/>
      <c r="N4" s="619"/>
      <c r="O4" s="619"/>
    </row>
    <row r="5" spans="1:15" ht="18" customHeight="1">
      <c r="A5" s="12"/>
      <c r="B5" s="12"/>
      <c r="C5" s="12"/>
      <c r="D5" s="12"/>
      <c r="E5" s="12"/>
      <c r="F5" s="12"/>
      <c r="G5" s="12"/>
      <c r="H5" s="12"/>
      <c r="I5" s="12"/>
      <c r="J5" s="12"/>
      <c r="K5" s="12"/>
      <c r="L5" s="12"/>
      <c r="M5" s="178" t="s">
        <v>32</v>
      </c>
      <c r="N5" s="179" t="s">
        <v>4</v>
      </c>
      <c r="O5" s="12"/>
    </row>
    <row r="6" spans="1:15" ht="18" customHeight="1">
      <c r="A6" s="12"/>
      <c r="B6" s="12"/>
      <c r="C6" s="12"/>
      <c r="D6" s="12"/>
      <c r="E6" s="12"/>
      <c r="F6" s="12"/>
      <c r="G6" s="12"/>
      <c r="H6" s="12"/>
      <c r="I6" s="12"/>
      <c r="J6" s="12"/>
      <c r="K6" s="12"/>
      <c r="L6" s="12"/>
      <c r="M6" s="178" t="s">
        <v>33</v>
      </c>
      <c r="N6" s="206" t="s">
        <v>6</v>
      </c>
      <c r="O6" s="180" t="s">
        <v>7</v>
      </c>
    </row>
    <row r="7" spans="1:15" ht="18" customHeight="1">
      <c r="A7" s="13" t="s">
        <v>34</v>
      </c>
      <c r="B7" s="17"/>
      <c r="C7" s="18"/>
      <c r="D7" s="18"/>
      <c r="E7" s="18"/>
      <c r="F7" s="18"/>
      <c r="G7" s="18"/>
      <c r="H7" s="18"/>
      <c r="I7" s="18"/>
      <c r="J7" s="18"/>
      <c r="K7" s="18"/>
      <c r="L7" s="18"/>
      <c r="M7" s="18"/>
      <c r="N7" s="18"/>
      <c r="O7" s="12"/>
    </row>
    <row r="8" spans="1:15" ht="18" customHeight="1">
      <c r="A8" s="18"/>
      <c r="B8" s="13" t="s">
        <v>213</v>
      </c>
      <c r="C8" s="18"/>
      <c r="D8" s="18"/>
      <c r="E8" s="18"/>
      <c r="F8" s="18"/>
      <c r="G8" s="18"/>
      <c r="H8" s="18"/>
      <c r="I8" s="18"/>
      <c r="J8" s="18"/>
      <c r="K8" s="18"/>
      <c r="L8" s="18"/>
      <c r="M8" s="18"/>
      <c r="N8" s="18"/>
      <c r="O8" s="12"/>
    </row>
    <row r="9" spans="1:15" ht="18" customHeight="1">
      <c r="A9" s="18"/>
      <c r="B9" s="17"/>
      <c r="C9" s="13" t="s">
        <v>184</v>
      </c>
      <c r="D9" s="18"/>
      <c r="E9" s="18"/>
      <c r="F9" s="18"/>
      <c r="G9" s="18"/>
      <c r="H9" s="18"/>
      <c r="I9" s="18"/>
      <c r="J9" s="18"/>
      <c r="K9" s="18"/>
      <c r="L9" s="18"/>
      <c r="M9" s="18"/>
      <c r="N9" s="18"/>
      <c r="O9" s="12"/>
    </row>
    <row r="10" spans="1:15" s="28" customFormat="1" ht="18" customHeight="1">
      <c r="A10" s="18"/>
      <c r="B10" s="18"/>
      <c r="C10" s="742"/>
      <c r="D10" s="744" t="s">
        <v>177</v>
      </c>
      <c r="E10" s="744"/>
      <c r="F10" s="745"/>
      <c r="G10" s="746" t="s">
        <v>178</v>
      </c>
      <c r="H10" s="747"/>
      <c r="I10" s="747"/>
      <c r="J10" s="747"/>
      <c r="K10" s="747"/>
      <c r="L10" s="747"/>
      <c r="M10" s="747"/>
      <c r="N10" s="748" t="s">
        <v>109</v>
      </c>
      <c r="O10" s="18"/>
    </row>
    <row r="11" spans="1:15" s="28" customFormat="1" ht="18" customHeight="1">
      <c r="A11" s="18"/>
      <c r="B11" s="18"/>
      <c r="C11" s="743"/>
      <c r="D11" s="250" t="s">
        <v>152</v>
      </c>
      <c r="E11" s="250" t="s">
        <v>153</v>
      </c>
      <c r="F11" s="251" t="s">
        <v>14</v>
      </c>
      <c r="G11" s="252" t="s">
        <v>154</v>
      </c>
      <c r="H11" s="250" t="s">
        <v>155</v>
      </c>
      <c r="I11" s="250" t="s">
        <v>156</v>
      </c>
      <c r="J11" s="250" t="s">
        <v>157</v>
      </c>
      <c r="K11" s="250" t="s">
        <v>158</v>
      </c>
      <c r="L11" s="250" t="s">
        <v>159</v>
      </c>
      <c r="M11" s="251" t="s">
        <v>14</v>
      </c>
      <c r="N11" s="749"/>
      <c r="O11" s="18"/>
    </row>
    <row r="12" spans="1:15" s="28" customFormat="1" ht="18" customHeight="1">
      <c r="A12" s="38"/>
      <c r="B12" s="39"/>
      <c r="C12" s="253" t="s">
        <v>214</v>
      </c>
      <c r="D12" s="193">
        <v>0</v>
      </c>
      <c r="E12" s="193">
        <v>0</v>
      </c>
      <c r="F12" s="190">
        <v>0</v>
      </c>
      <c r="G12" s="218"/>
      <c r="H12" s="193">
        <v>0</v>
      </c>
      <c r="I12" s="193">
        <v>0</v>
      </c>
      <c r="J12" s="193">
        <v>0</v>
      </c>
      <c r="K12" s="193">
        <v>0</v>
      </c>
      <c r="L12" s="193">
        <v>0</v>
      </c>
      <c r="M12" s="190">
        <v>0</v>
      </c>
      <c r="N12" s="191">
        <v>0</v>
      </c>
      <c r="O12" s="18"/>
    </row>
    <row r="13" spans="1:15" s="28" customFormat="1" ht="18" customHeight="1">
      <c r="A13" s="38"/>
      <c r="B13" s="39"/>
      <c r="C13" s="253" t="s">
        <v>215</v>
      </c>
      <c r="D13" s="193">
        <v>0</v>
      </c>
      <c r="E13" s="193">
        <v>0</v>
      </c>
      <c r="F13" s="190">
        <v>0</v>
      </c>
      <c r="G13" s="218"/>
      <c r="H13" s="193">
        <v>0</v>
      </c>
      <c r="I13" s="193">
        <v>0</v>
      </c>
      <c r="J13" s="193">
        <v>0</v>
      </c>
      <c r="K13" s="193">
        <v>0</v>
      </c>
      <c r="L13" s="193">
        <v>0</v>
      </c>
      <c r="M13" s="190">
        <v>0</v>
      </c>
      <c r="N13" s="191">
        <v>0</v>
      </c>
      <c r="O13" s="18"/>
    </row>
    <row r="14" spans="1:15" s="28" customFormat="1" ht="18" customHeight="1">
      <c r="A14" s="38"/>
      <c r="B14" s="39"/>
      <c r="C14" s="253" t="s">
        <v>216</v>
      </c>
      <c r="D14" s="193">
        <v>0</v>
      </c>
      <c r="E14" s="193">
        <v>0</v>
      </c>
      <c r="F14" s="190">
        <v>0</v>
      </c>
      <c r="G14" s="218"/>
      <c r="H14" s="193">
        <v>11</v>
      </c>
      <c r="I14" s="193">
        <v>0</v>
      </c>
      <c r="J14" s="193">
        <v>0</v>
      </c>
      <c r="K14" s="193">
        <v>0</v>
      </c>
      <c r="L14" s="193">
        <v>0</v>
      </c>
      <c r="M14" s="190">
        <v>11</v>
      </c>
      <c r="N14" s="191">
        <v>11</v>
      </c>
      <c r="O14" s="18"/>
    </row>
    <row r="15" spans="1:15" s="28" customFormat="1" ht="18" customHeight="1">
      <c r="A15" s="38"/>
      <c r="B15" s="39"/>
      <c r="C15" s="253" t="s">
        <v>217</v>
      </c>
      <c r="D15" s="193">
        <v>0</v>
      </c>
      <c r="E15" s="193">
        <v>0</v>
      </c>
      <c r="F15" s="190">
        <v>0</v>
      </c>
      <c r="G15" s="218"/>
      <c r="H15" s="193">
        <v>0</v>
      </c>
      <c r="I15" s="193">
        <v>0</v>
      </c>
      <c r="J15" s="193">
        <v>0</v>
      </c>
      <c r="K15" s="193">
        <v>0</v>
      </c>
      <c r="L15" s="193">
        <v>0</v>
      </c>
      <c r="M15" s="190">
        <v>0</v>
      </c>
      <c r="N15" s="191">
        <v>0</v>
      </c>
      <c r="O15" s="18"/>
    </row>
    <row r="16" spans="1:15" s="28" customFormat="1" ht="18" customHeight="1">
      <c r="A16" s="38"/>
      <c r="B16" s="39"/>
      <c r="C16" s="253" t="s">
        <v>218</v>
      </c>
      <c r="D16" s="193">
        <v>0</v>
      </c>
      <c r="E16" s="193">
        <v>0</v>
      </c>
      <c r="F16" s="190">
        <v>0</v>
      </c>
      <c r="G16" s="218"/>
      <c r="H16" s="193">
        <v>0</v>
      </c>
      <c r="I16" s="193">
        <v>0</v>
      </c>
      <c r="J16" s="193">
        <v>0</v>
      </c>
      <c r="K16" s="193">
        <v>0</v>
      </c>
      <c r="L16" s="193">
        <v>0</v>
      </c>
      <c r="M16" s="190">
        <v>0</v>
      </c>
      <c r="N16" s="191">
        <v>0</v>
      </c>
      <c r="O16" s="18"/>
    </row>
    <row r="17" spans="1:15" s="28" customFormat="1" ht="18" customHeight="1">
      <c r="A17" s="38"/>
      <c r="B17" s="39"/>
      <c r="C17" s="253" t="s">
        <v>219</v>
      </c>
      <c r="D17" s="193">
        <v>0</v>
      </c>
      <c r="E17" s="193">
        <v>0</v>
      </c>
      <c r="F17" s="190">
        <v>0</v>
      </c>
      <c r="G17" s="218"/>
      <c r="H17" s="193">
        <v>105</v>
      </c>
      <c r="I17" s="193">
        <v>114</v>
      </c>
      <c r="J17" s="193">
        <v>67</v>
      </c>
      <c r="K17" s="193">
        <v>23</v>
      </c>
      <c r="L17" s="193">
        <v>12</v>
      </c>
      <c r="M17" s="190">
        <v>321</v>
      </c>
      <c r="N17" s="191">
        <v>321</v>
      </c>
      <c r="O17" s="18"/>
    </row>
    <row r="18" spans="1:15" s="28" customFormat="1" ht="18" customHeight="1">
      <c r="A18" s="38"/>
      <c r="B18" s="39"/>
      <c r="C18" s="253" t="s">
        <v>220</v>
      </c>
      <c r="D18" s="193">
        <v>0</v>
      </c>
      <c r="E18" s="193">
        <v>0</v>
      </c>
      <c r="F18" s="190">
        <v>0</v>
      </c>
      <c r="G18" s="218"/>
      <c r="H18" s="193">
        <v>0</v>
      </c>
      <c r="I18" s="193">
        <v>0</v>
      </c>
      <c r="J18" s="193">
        <v>0</v>
      </c>
      <c r="K18" s="193">
        <v>0</v>
      </c>
      <c r="L18" s="193">
        <v>0</v>
      </c>
      <c r="M18" s="190">
        <v>0</v>
      </c>
      <c r="N18" s="191">
        <v>0</v>
      </c>
      <c r="O18" s="18"/>
    </row>
    <row r="19" spans="1:15" s="28" customFormat="1" ht="18" customHeight="1">
      <c r="A19" s="38"/>
      <c r="B19" s="39"/>
      <c r="C19" s="253" t="s">
        <v>221</v>
      </c>
      <c r="D19" s="193">
        <v>0</v>
      </c>
      <c r="E19" s="193">
        <v>0</v>
      </c>
      <c r="F19" s="190">
        <v>0</v>
      </c>
      <c r="G19" s="218"/>
      <c r="H19" s="193">
        <v>0</v>
      </c>
      <c r="I19" s="193">
        <v>15</v>
      </c>
      <c r="J19" s="193">
        <v>134</v>
      </c>
      <c r="K19" s="193">
        <v>107</v>
      </c>
      <c r="L19" s="193">
        <v>61</v>
      </c>
      <c r="M19" s="190">
        <v>317</v>
      </c>
      <c r="N19" s="191">
        <v>317</v>
      </c>
      <c r="O19" s="18"/>
    </row>
    <row r="20" spans="1:15" s="28" customFormat="1" ht="18" customHeight="1">
      <c r="A20" s="18"/>
      <c r="B20" s="18"/>
      <c r="C20" s="255" t="s">
        <v>222</v>
      </c>
      <c r="D20" s="256">
        <v>0</v>
      </c>
      <c r="E20" s="256">
        <v>0</v>
      </c>
      <c r="F20" s="205">
        <v>0</v>
      </c>
      <c r="G20" s="257"/>
      <c r="H20" s="256">
        <v>0</v>
      </c>
      <c r="I20" s="256">
        <v>0</v>
      </c>
      <c r="J20" s="256">
        <v>0</v>
      </c>
      <c r="K20" s="256">
        <v>0</v>
      </c>
      <c r="L20" s="256">
        <v>8</v>
      </c>
      <c r="M20" s="205">
        <v>8</v>
      </c>
      <c r="N20" s="197">
        <v>8</v>
      </c>
      <c r="O20" s="18"/>
    </row>
    <row r="21" spans="1:15" s="28" customFormat="1" ht="12" customHeight="1">
      <c r="A21" s="18"/>
      <c r="B21" s="18"/>
      <c r="C21" s="18"/>
      <c r="D21" s="18"/>
      <c r="E21" s="18"/>
      <c r="F21" s="18"/>
      <c r="G21" s="18"/>
      <c r="H21" s="18"/>
      <c r="I21" s="18"/>
      <c r="J21" s="18"/>
      <c r="K21" s="18"/>
      <c r="L21" s="18"/>
      <c r="M21" s="18"/>
      <c r="N21" s="18"/>
      <c r="O21" s="18"/>
    </row>
    <row r="22" spans="1:15" s="28" customFormat="1" ht="18" customHeight="1">
      <c r="A22" s="18"/>
      <c r="B22" s="18"/>
      <c r="C22" s="13" t="s">
        <v>199</v>
      </c>
      <c r="D22" s="18"/>
      <c r="E22" s="18"/>
      <c r="F22" s="18"/>
      <c r="G22" s="18"/>
      <c r="H22" s="18"/>
      <c r="I22" s="18"/>
      <c r="J22" s="18"/>
      <c r="K22" s="18"/>
      <c r="L22" s="18"/>
      <c r="M22" s="18"/>
      <c r="N22" s="18"/>
      <c r="O22" s="18"/>
    </row>
    <row r="23" spans="1:15" s="28" customFormat="1" ht="18" customHeight="1">
      <c r="A23" s="38"/>
      <c r="B23" s="39"/>
      <c r="C23" s="742"/>
      <c r="D23" s="744" t="s">
        <v>177</v>
      </c>
      <c r="E23" s="744"/>
      <c r="F23" s="745"/>
      <c r="G23" s="746" t="s">
        <v>178</v>
      </c>
      <c r="H23" s="747"/>
      <c r="I23" s="747"/>
      <c r="J23" s="747"/>
      <c r="K23" s="747"/>
      <c r="L23" s="747"/>
      <c r="M23" s="747"/>
      <c r="N23" s="748" t="s">
        <v>109</v>
      </c>
      <c r="O23" s="18"/>
    </row>
    <row r="24" spans="1:15" s="28" customFormat="1" ht="18" customHeight="1">
      <c r="A24" s="38"/>
      <c r="B24" s="39"/>
      <c r="C24" s="743"/>
      <c r="D24" s="250" t="s">
        <v>152</v>
      </c>
      <c r="E24" s="250" t="s">
        <v>153</v>
      </c>
      <c r="F24" s="251" t="s">
        <v>14</v>
      </c>
      <c r="G24" s="252" t="s">
        <v>154</v>
      </c>
      <c r="H24" s="250" t="s">
        <v>155</v>
      </c>
      <c r="I24" s="250" t="s">
        <v>156</v>
      </c>
      <c r="J24" s="250" t="s">
        <v>157</v>
      </c>
      <c r="K24" s="250" t="s">
        <v>158</v>
      </c>
      <c r="L24" s="250" t="s">
        <v>159</v>
      </c>
      <c r="M24" s="251" t="s">
        <v>14</v>
      </c>
      <c r="N24" s="749"/>
      <c r="O24" s="18"/>
    </row>
    <row r="25" spans="1:15" s="28" customFormat="1" ht="18" customHeight="1">
      <c r="A25" s="18"/>
      <c r="B25" s="18"/>
      <c r="C25" s="253" t="s">
        <v>214</v>
      </c>
      <c r="D25" s="193">
        <v>0</v>
      </c>
      <c r="E25" s="193">
        <v>0</v>
      </c>
      <c r="F25" s="190">
        <v>0</v>
      </c>
      <c r="G25" s="218"/>
      <c r="H25" s="193">
        <v>0</v>
      </c>
      <c r="I25" s="193">
        <v>0</v>
      </c>
      <c r="J25" s="193">
        <v>0</v>
      </c>
      <c r="K25" s="193">
        <v>0</v>
      </c>
      <c r="L25" s="193">
        <v>0</v>
      </c>
      <c r="M25" s="190">
        <v>0</v>
      </c>
      <c r="N25" s="191">
        <v>0</v>
      </c>
      <c r="O25" s="18"/>
    </row>
    <row r="26" spans="1:15" s="28" customFormat="1" ht="18" customHeight="1">
      <c r="A26" s="18"/>
      <c r="B26" s="18"/>
      <c r="C26" s="253" t="s">
        <v>215</v>
      </c>
      <c r="D26" s="193">
        <v>0</v>
      </c>
      <c r="E26" s="193">
        <v>0</v>
      </c>
      <c r="F26" s="190">
        <v>0</v>
      </c>
      <c r="G26" s="218"/>
      <c r="H26" s="193">
        <v>0</v>
      </c>
      <c r="I26" s="193">
        <v>0</v>
      </c>
      <c r="J26" s="193">
        <v>0</v>
      </c>
      <c r="K26" s="193">
        <v>0</v>
      </c>
      <c r="L26" s="193">
        <v>0</v>
      </c>
      <c r="M26" s="190">
        <v>0</v>
      </c>
      <c r="N26" s="191">
        <v>0</v>
      </c>
      <c r="O26" s="18"/>
    </row>
    <row r="27" spans="1:15" s="53" customFormat="1" ht="18" customHeight="1">
      <c r="A27" s="18"/>
      <c r="B27" s="18"/>
      <c r="C27" s="253" t="s">
        <v>216</v>
      </c>
      <c r="D27" s="193">
        <v>0</v>
      </c>
      <c r="E27" s="193">
        <v>0</v>
      </c>
      <c r="F27" s="190">
        <v>0</v>
      </c>
      <c r="G27" s="254"/>
      <c r="H27" s="193">
        <v>0</v>
      </c>
      <c r="I27" s="193">
        <v>0</v>
      </c>
      <c r="J27" s="193">
        <v>0</v>
      </c>
      <c r="K27" s="193">
        <v>0</v>
      </c>
      <c r="L27" s="193">
        <v>0</v>
      </c>
      <c r="M27" s="190">
        <v>0</v>
      </c>
      <c r="N27" s="191">
        <v>0</v>
      </c>
      <c r="O27" s="18"/>
    </row>
    <row r="28" spans="1:15" s="28" customFormat="1" ht="18" customHeight="1">
      <c r="A28" s="18"/>
      <c r="B28" s="18"/>
      <c r="C28" s="253" t="s">
        <v>217</v>
      </c>
      <c r="D28" s="193">
        <v>0</v>
      </c>
      <c r="E28" s="193">
        <v>0</v>
      </c>
      <c r="F28" s="190">
        <v>0</v>
      </c>
      <c r="G28" s="218"/>
      <c r="H28" s="193">
        <v>0</v>
      </c>
      <c r="I28" s="193">
        <v>0</v>
      </c>
      <c r="J28" s="193">
        <v>0</v>
      </c>
      <c r="K28" s="193">
        <v>0</v>
      </c>
      <c r="L28" s="193">
        <v>0</v>
      </c>
      <c r="M28" s="190">
        <v>0</v>
      </c>
      <c r="N28" s="191">
        <v>0</v>
      </c>
      <c r="O28" s="18"/>
    </row>
    <row r="29" spans="1:15" s="28" customFormat="1" ht="18" customHeight="1">
      <c r="A29" s="18"/>
      <c r="B29" s="18"/>
      <c r="C29" s="253" t="s">
        <v>218</v>
      </c>
      <c r="D29" s="193">
        <v>0</v>
      </c>
      <c r="E29" s="193">
        <v>0</v>
      </c>
      <c r="F29" s="190">
        <v>0</v>
      </c>
      <c r="G29" s="218"/>
      <c r="H29" s="193">
        <v>0</v>
      </c>
      <c r="I29" s="193">
        <v>0</v>
      </c>
      <c r="J29" s="193">
        <v>0</v>
      </c>
      <c r="K29" s="193">
        <v>0</v>
      </c>
      <c r="L29" s="193">
        <v>0</v>
      </c>
      <c r="M29" s="190">
        <v>0</v>
      </c>
      <c r="N29" s="191">
        <v>0</v>
      </c>
      <c r="O29" s="18"/>
    </row>
    <row r="30" spans="1:15" s="28" customFormat="1" ht="18" customHeight="1">
      <c r="A30" s="18"/>
      <c r="B30" s="18"/>
      <c r="C30" s="253" t="s">
        <v>219</v>
      </c>
      <c r="D30" s="193">
        <v>0</v>
      </c>
      <c r="E30" s="193">
        <v>0</v>
      </c>
      <c r="F30" s="190">
        <v>0</v>
      </c>
      <c r="G30" s="218"/>
      <c r="H30" s="193">
        <v>0</v>
      </c>
      <c r="I30" s="193">
        <v>0</v>
      </c>
      <c r="J30" s="193">
        <v>0</v>
      </c>
      <c r="K30" s="193">
        <v>0</v>
      </c>
      <c r="L30" s="193">
        <v>0</v>
      </c>
      <c r="M30" s="190">
        <v>0</v>
      </c>
      <c r="N30" s="191">
        <v>0</v>
      </c>
      <c r="O30" s="18"/>
    </row>
    <row r="31" spans="1:15" s="28" customFormat="1" ht="18" customHeight="1">
      <c r="A31" s="18"/>
      <c r="B31" s="18"/>
      <c r="C31" s="253" t="s">
        <v>220</v>
      </c>
      <c r="D31" s="193">
        <v>0</v>
      </c>
      <c r="E31" s="193">
        <v>0</v>
      </c>
      <c r="F31" s="190">
        <v>0</v>
      </c>
      <c r="G31" s="218"/>
      <c r="H31" s="193">
        <v>0</v>
      </c>
      <c r="I31" s="193">
        <v>0</v>
      </c>
      <c r="J31" s="193">
        <v>0</v>
      </c>
      <c r="K31" s="193">
        <v>0</v>
      </c>
      <c r="L31" s="193">
        <v>0</v>
      </c>
      <c r="M31" s="190">
        <v>0</v>
      </c>
      <c r="N31" s="191">
        <v>0</v>
      </c>
      <c r="O31" s="18"/>
    </row>
    <row r="32" spans="1:15" s="28" customFormat="1" ht="18" customHeight="1">
      <c r="A32" s="38"/>
      <c r="B32" s="39"/>
      <c r="C32" s="253" t="s">
        <v>221</v>
      </c>
      <c r="D32" s="193">
        <v>0</v>
      </c>
      <c r="E32" s="193">
        <v>0</v>
      </c>
      <c r="F32" s="190">
        <v>0</v>
      </c>
      <c r="G32" s="218"/>
      <c r="H32" s="193">
        <v>0</v>
      </c>
      <c r="I32" s="193">
        <v>0</v>
      </c>
      <c r="J32" s="193">
        <v>0</v>
      </c>
      <c r="K32" s="193">
        <v>0</v>
      </c>
      <c r="L32" s="193">
        <v>0</v>
      </c>
      <c r="M32" s="190">
        <v>0</v>
      </c>
      <c r="N32" s="191">
        <v>0</v>
      </c>
      <c r="O32" s="18"/>
    </row>
    <row r="33" spans="1:15" s="28" customFormat="1" ht="18" customHeight="1">
      <c r="A33" s="38"/>
      <c r="B33" s="39"/>
      <c r="C33" s="255" t="s">
        <v>222</v>
      </c>
      <c r="D33" s="256">
        <v>0</v>
      </c>
      <c r="E33" s="256">
        <v>0</v>
      </c>
      <c r="F33" s="205">
        <v>0</v>
      </c>
      <c r="G33" s="257"/>
      <c r="H33" s="256">
        <v>0</v>
      </c>
      <c r="I33" s="256">
        <v>0</v>
      </c>
      <c r="J33" s="256">
        <v>0</v>
      </c>
      <c r="K33" s="256">
        <v>0</v>
      </c>
      <c r="L33" s="256">
        <v>0</v>
      </c>
      <c r="M33" s="205">
        <v>0</v>
      </c>
      <c r="N33" s="197">
        <v>0</v>
      </c>
      <c r="O33" s="18"/>
    </row>
    <row r="34" spans="1:15" s="28" customFormat="1" ht="12" customHeight="1">
      <c r="A34" s="38"/>
      <c r="B34" s="39"/>
      <c r="C34" s="18"/>
      <c r="D34" s="18"/>
      <c r="E34" s="18"/>
      <c r="F34" s="18"/>
      <c r="G34" s="18"/>
      <c r="H34" s="18"/>
      <c r="I34" s="18"/>
      <c r="J34" s="18"/>
      <c r="K34" s="18"/>
      <c r="L34" s="18"/>
      <c r="M34" s="18"/>
      <c r="N34" s="18"/>
      <c r="O34" s="18"/>
    </row>
    <row r="35" spans="1:15" s="28" customFormat="1" ht="18" customHeight="1">
      <c r="A35" s="18"/>
      <c r="B35" s="18"/>
      <c r="C35" s="13" t="s">
        <v>200</v>
      </c>
      <c r="D35" s="18"/>
      <c r="E35" s="18"/>
      <c r="F35" s="18"/>
      <c r="G35" s="18"/>
      <c r="H35" s="18"/>
      <c r="I35" s="18"/>
      <c r="J35" s="18"/>
      <c r="K35" s="18"/>
      <c r="L35" s="18"/>
      <c r="M35" s="18"/>
      <c r="N35" s="18"/>
      <c r="O35" s="18"/>
    </row>
    <row r="36" spans="1:15" s="28" customFormat="1" ht="18" customHeight="1">
      <c r="A36" s="38"/>
      <c r="B36" s="39"/>
      <c r="C36" s="742"/>
      <c r="D36" s="744" t="s">
        <v>177</v>
      </c>
      <c r="E36" s="744"/>
      <c r="F36" s="745"/>
      <c r="G36" s="746" t="s">
        <v>178</v>
      </c>
      <c r="H36" s="747"/>
      <c r="I36" s="747"/>
      <c r="J36" s="747"/>
      <c r="K36" s="747"/>
      <c r="L36" s="747"/>
      <c r="M36" s="747"/>
      <c r="N36" s="748" t="s">
        <v>109</v>
      </c>
      <c r="O36" s="18"/>
    </row>
    <row r="37" spans="1:15" s="28" customFormat="1" ht="18" customHeight="1">
      <c r="A37" s="38"/>
      <c r="B37" s="39"/>
      <c r="C37" s="743"/>
      <c r="D37" s="250" t="s">
        <v>152</v>
      </c>
      <c r="E37" s="250" t="s">
        <v>153</v>
      </c>
      <c r="F37" s="251" t="s">
        <v>14</v>
      </c>
      <c r="G37" s="252" t="s">
        <v>154</v>
      </c>
      <c r="H37" s="250" t="s">
        <v>155</v>
      </c>
      <c r="I37" s="250" t="s">
        <v>156</v>
      </c>
      <c r="J37" s="250" t="s">
        <v>157</v>
      </c>
      <c r="K37" s="250" t="s">
        <v>158</v>
      </c>
      <c r="L37" s="250" t="s">
        <v>159</v>
      </c>
      <c r="M37" s="251" t="s">
        <v>14</v>
      </c>
      <c r="N37" s="749"/>
      <c r="O37" s="18"/>
    </row>
    <row r="38" spans="1:15" s="28" customFormat="1" ht="18" customHeight="1">
      <c r="A38" s="18"/>
      <c r="B38" s="18"/>
      <c r="C38" s="253" t="s">
        <v>214</v>
      </c>
      <c r="D38" s="193">
        <v>0</v>
      </c>
      <c r="E38" s="193">
        <v>0</v>
      </c>
      <c r="F38" s="190">
        <v>0</v>
      </c>
      <c r="G38" s="218"/>
      <c r="H38" s="193">
        <v>0</v>
      </c>
      <c r="I38" s="193">
        <v>0</v>
      </c>
      <c r="J38" s="193">
        <v>0</v>
      </c>
      <c r="K38" s="193">
        <v>0</v>
      </c>
      <c r="L38" s="193">
        <v>0</v>
      </c>
      <c r="M38" s="190">
        <v>0</v>
      </c>
      <c r="N38" s="191">
        <v>0</v>
      </c>
      <c r="O38" s="18"/>
    </row>
    <row r="39" spans="1:15" s="28" customFormat="1" ht="18" customHeight="1">
      <c r="A39" s="18"/>
      <c r="B39" s="18"/>
      <c r="C39" s="253" t="s">
        <v>215</v>
      </c>
      <c r="D39" s="193">
        <v>0</v>
      </c>
      <c r="E39" s="193">
        <v>0</v>
      </c>
      <c r="F39" s="190">
        <v>0</v>
      </c>
      <c r="G39" s="218"/>
      <c r="H39" s="193">
        <v>0</v>
      </c>
      <c r="I39" s="193">
        <v>0</v>
      </c>
      <c r="J39" s="193">
        <v>0</v>
      </c>
      <c r="K39" s="193">
        <v>0</v>
      </c>
      <c r="L39" s="193">
        <v>0</v>
      </c>
      <c r="M39" s="190">
        <v>0</v>
      </c>
      <c r="N39" s="191">
        <v>0</v>
      </c>
      <c r="O39" s="18"/>
    </row>
    <row r="40" spans="1:15" s="53" customFormat="1" ht="18" customHeight="1">
      <c r="A40" s="18"/>
      <c r="B40" s="18"/>
      <c r="C40" s="253" t="s">
        <v>216</v>
      </c>
      <c r="D40" s="193">
        <v>0</v>
      </c>
      <c r="E40" s="193">
        <v>0</v>
      </c>
      <c r="F40" s="190">
        <v>0</v>
      </c>
      <c r="G40" s="254"/>
      <c r="H40" s="193">
        <v>0</v>
      </c>
      <c r="I40" s="193">
        <v>0</v>
      </c>
      <c r="J40" s="193">
        <v>0</v>
      </c>
      <c r="K40" s="193">
        <v>0</v>
      </c>
      <c r="L40" s="193">
        <v>0</v>
      </c>
      <c r="M40" s="190">
        <v>0</v>
      </c>
      <c r="N40" s="191">
        <v>0</v>
      </c>
      <c r="O40" s="18"/>
    </row>
    <row r="41" spans="1:15" s="28" customFormat="1" ht="18" customHeight="1">
      <c r="A41" s="18"/>
      <c r="B41" s="18"/>
      <c r="C41" s="253" t="s">
        <v>217</v>
      </c>
      <c r="D41" s="193">
        <v>0</v>
      </c>
      <c r="E41" s="193">
        <v>0</v>
      </c>
      <c r="F41" s="190">
        <v>0</v>
      </c>
      <c r="G41" s="218"/>
      <c r="H41" s="193">
        <v>0</v>
      </c>
      <c r="I41" s="193">
        <v>0</v>
      </c>
      <c r="J41" s="193">
        <v>0</v>
      </c>
      <c r="K41" s="193">
        <v>0</v>
      </c>
      <c r="L41" s="193">
        <v>0</v>
      </c>
      <c r="M41" s="190">
        <v>0</v>
      </c>
      <c r="N41" s="191">
        <v>0</v>
      </c>
      <c r="O41" s="18"/>
    </row>
    <row r="42" spans="1:15" s="28" customFormat="1" ht="18" customHeight="1">
      <c r="A42" s="18"/>
      <c r="B42" s="18"/>
      <c r="C42" s="253" t="s">
        <v>218</v>
      </c>
      <c r="D42" s="193">
        <v>0</v>
      </c>
      <c r="E42" s="193">
        <v>0</v>
      </c>
      <c r="F42" s="190">
        <v>0</v>
      </c>
      <c r="G42" s="218"/>
      <c r="H42" s="193">
        <v>0</v>
      </c>
      <c r="I42" s="193">
        <v>0</v>
      </c>
      <c r="J42" s="193">
        <v>0</v>
      </c>
      <c r="K42" s="193">
        <v>0</v>
      </c>
      <c r="L42" s="193">
        <v>0</v>
      </c>
      <c r="M42" s="190">
        <v>0</v>
      </c>
      <c r="N42" s="191">
        <v>0</v>
      </c>
      <c r="O42" s="18"/>
    </row>
    <row r="43" spans="1:15" s="28" customFormat="1" ht="18" customHeight="1">
      <c r="A43" s="18"/>
      <c r="B43" s="18"/>
      <c r="C43" s="253" t="s">
        <v>219</v>
      </c>
      <c r="D43" s="193">
        <v>0</v>
      </c>
      <c r="E43" s="193">
        <v>0</v>
      </c>
      <c r="F43" s="190">
        <v>0</v>
      </c>
      <c r="G43" s="218"/>
      <c r="H43" s="193">
        <v>0</v>
      </c>
      <c r="I43" s="193">
        <v>0</v>
      </c>
      <c r="J43" s="193">
        <v>0</v>
      </c>
      <c r="K43" s="193">
        <v>0</v>
      </c>
      <c r="L43" s="193">
        <v>0</v>
      </c>
      <c r="M43" s="190">
        <v>0</v>
      </c>
      <c r="N43" s="191">
        <v>0</v>
      </c>
      <c r="O43" s="18"/>
    </row>
    <row r="44" spans="1:15" s="28" customFormat="1" ht="18" customHeight="1">
      <c r="A44" s="18"/>
      <c r="B44" s="18"/>
      <c r="C44" s="253" t="s">
        <v>220</v>
      </c>
      <c r="D44" s="193">
        <v>0</v>
      </c>
      <c r="E44" s="193">
        <v>0</v>
      </c>
      <c r="F44" s="190">
        <v>0</v>
      </c>
      <c r="G44" s="218"/>
      <c r="H44" s="193">
        <v>0</v>
      </c>
      <c r="I44" s="193">
        <v>0</v>
      </c>
      <c r="J44" s="193">
        <v>0</v>
      </c>
      <c r="K44" s="193">
        <v>0</v>
      </c>
      <c r="L44" s="193">
        <v>0</v>
      </c>
      <c r="M44" s="190">
        <v>0</v>
      </c>
      <c r="N44" s="191">
        <v>0</v>
      </c>
      <c r="O44" s="18"/>
    </row>
    <row r="45" spans="1:15" s="28" customFormat="1" ht="18" customHeight="1">
      <c r="A45" s="38"/>
      <c r="B45" s="39"/>
      <c r="C45" s="253" t="s">
        <v>221</v>
      </c>
      <c r="D45" s="193">
        <v>0</v>
      </c>
      <c r="E45" s="193">
        <v>0</v>
      </c>
      <c r="F45" s="190">
        <v>0</v>
      </c>
      <c r="G45" s="218"/>
      <c r="H45" s="193">
        <v>0</v>
      </c>
      <c r="I45" s="193">
        <v>0</v>
      </c>
      <c r="J45" s="193">
        <v>0</v>
      </c>
      <c r="K45" s="193">
        <v>0</v>
      </c>
      <c r="L45" s="193">
        <v>1</v>
      </c>
      <c r="M45" s="190">
        <v>1</v>
      </c>
      <c r="N45" s="191">
        <v>1</v>
      </c>
      <c r="O45" s="18"/>
    </row>
    <row r="46" spans="1:15" s="28" customFormat="1" ht="18" customHeight="1">
      <c r="A46" s="38"/>
      <c r="B46" s="39"/>
      <c r="C46" s="255" t="s">
        <v>222</v>
      </c>
      <c r="D46" s="256">
        <v>0</v>
      </c>
      <c r="E46" s="256">
        <v>0</v>
      </c>
      <c r="F46" s="205">
        <v>0</v>
      </c>
      <c r="G46" s="257"/>
      <c r="H46" s="256">
        <v>0</v>
      </c>
      <c r="I46" s="256">
        <v>0</v>
      </c>
      <c r="J46" s="256">
        <v>0</v>
      </c>
      <c r="K46" s="256">
        <v>0</v>
      </c>
      <c r="L46" s="256">
        <v>0</v>
      </c>
      <c r="M46" s="205">
        <v>0</v>
      </c>
      <c r="N46" s="197">
        <v>0</v>
      </c>
      <c r="O46" s="18"/>
    </row>
    <row r="47" spans="1:15" s="28" customFormat="1" ht="12" customHeight="1">
      <c r="A47" s="38"/>
      <c r="B47" s="39"/>
      <c r="C47" s="18"/>
      <c r="D47" s="18"/>
      <c r="E47" s="18"/>
      <c r="F47" s="18"/>
      <c r="G47" s="18"/>
      <c r="H47" s="18"/>
      <c r="I47" s="18"/>
      <c r="J47" s="18"/>
      <c r="K47" s="18"/>
      <c r="L47" s="18"/>
      <c r="M47" s="18"/>
      <c r="N47" s="18"/>
      <c r="O47" s="18"/>
    </row>
  </sheetData>
  <sheetProtection selectLockedCells="1" selectUnlockedCells="1"/>
  <mergeCells count="14">
    <mergeCell ref="A3:O3"/>
    <mergeCell ref="A4:O4"/>
    <mergeCell ref="C10:C11"/>
    <mergeCell ref="D10:F10"/>
    <mergeCell ref="G10:M10"/>
    <mergeCell ref="N10:N11"/>
    <mergeCell ref="C23:C24"/>
    <mergeCell ref="D23:F23"/>
    <mergeCell ref="G23:M23"/>
    <mergeCell ref="N23:N24"/>
    <mergeCell ref="C36:C37"/>
    <mergeCell ref="D36:F36"/>
    <mergeCell ref="G36:M36"/>
    <mergeCell ref="N36:N37"/>
  </mergeCells>
  <phoneticPr fontId="34"/>
  <pageMargins left="0.7" right="0.7" top="0.75" bottom="0.75" header="0.3" footer="0.3"/>
  <pageSetup paperSize="9" scale="6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3"/>
  <sheetViews>
    <sheetView view="pageBreakPreview" zoomScale="60" zoomScaleNormal="100" workbookViewId="0"/>
  </sheetViews>
  <sheetFormatPr defaultRowHeight="0" customHeight="1" zeroHeight="1"/>
  <cols>
    <col min="1" max="2" width="2.26953125" style="15" customWidth="1"/>
    <col min="3" max="3" width="25.54296875" style="15" customWidth="1"/>
    <col min="4" max="14" width="14.40625" style="15" customWidth="1"/>
    <col min="15" max="15" width="4" style="15" customWidth="1"/>
  </cols>
  <sheetData>
    <row r="1" spans="1:15" ht="18" customHeight="1">
      <c r="A1" s="177" t="s">
        <v>182</v>
      </c>
      <c r="B1" s="12"/>
      <c r="C1" s="12"/>
      <c r="D1" s="12"/>
      <c r="E1" s="12"/>
      <c r="F1" s="12"/>
      <c r="G1" s="12"/>
      <c r="H1" s="12"/>
      <c r="I1" s="12"/>
      <c r="J1" s="12"/>
      <c r="K1" s="12"/>
      <c r="L1" s="12"/>
      <c r="M1" s="12"/>
      <c r="N1" s="12"/>
      <c r="O1" s="119"/>
    </row>
    <row r="2" spans="1:15" ht="18" customHeight="1">
      <c r="A2" s="12"/>
      <c r="B2" s="12"/>
      <c r="C2" s="12"/>
      <c r="D2" s="12"/>
      <c r="E2" s="12"/>
      <c r="F2" s="12"/>
      <c r="G2" s="12"/>
      <c r="H2" s="12"/>
      <c r="I2" s="12"/>
      <c r="J2" s="12"/>
      <c r="K2" s="12"/>
      <c r="L2" s="12"/>
      <c r="M2" s="12"/>
      <c r="N2" s="12"/>
      <c r="O2" s="119"/>
    </row>
    <row r="3" spans="1:15" ht="18" customHeight="1">
      <c r="A3" s="619" t="s">
        <v>1</v>
      </c>
      <c r="B3" s="619"/>
      <c r="C3" s="619"/>
      <c r="D3" s="619"/>
      <c r="E3" s="619"/>
      <c r="F3" s="619"/>
      <c r="G3" s="619"/>
      <c r="H3" s="619"/>
      <c r="I3" s="619"/>
      <c r="J3" s="619"/>
      <c r="K3" s="619"/>
      <c r="L3" s="619"/>
      <c r="M3" s="619"/>
      <c r="N3" s="619"/>
      <c r="O3" s="619"/>
    </row>
    <row r="4" spans="1:15" ht="18" customHeight="1">
      <c r="A4" s="620" t="s">
        <v>2</v>
      </c>
      <c r="B4" s="619"/>
      <c r="C4" s="619"/>
      <c r="D4" s="619"/>
      <c r="E4" s="619"/>
      <c r="F4" s="619"/>
      <c r="G4" s="619"/>
      <c r="H4" s="619"/>
      <c r="I4" s="619"/>
      <c r="J4" s="619"/>
      <c r="K4" s="619"/>
      <c r="L4" s="619"/>
      <c r="M4" s="619"/>
      <c r="N4" s="619"/>
      <c r="O4" s="619"/>
    </row>
    <row r="5" spans="1:15" ht="18" customHeight="1">
      <c r="A5" s="12"/>
      <c r="B5" s="12"/>
      <c r="C5" s="12"/>
      <c r="D5" s="12"/>
      <c r="E5" s="12"/>
      <c r="F5" s="12"/>
      <c r="G5" s="12"/>
      <c r="H5" s="12"/>
      <c r="I5" s="12"/>
      <c r="J5" s="12"/>
      <c r="K5" s="12"/>
      <c r="L5" s="12"/>
      <c r="M5" s="178" t="s">
        <v>32</v>
      </c>
      <c r="N5" s="179" t="s">
        <v>4</v>
      </c>
      <c r="O5" s="12"/>
    </row>
    <row r="6" spans="1:15" ht="18" customHeight="1">
      <c r="A6" s="12"/>
      <c r="B6" s="12"/>
      <c r="C6" s="12"/>
      <c r="D6" s="12"/>
      <c r="E6" s="12"/>
      <c r="F6" s="12"/>
      <c r="G6" s="12"/>
      <c r="H6" s="12"/>
      <c r="I6" s="12"/>
      <c r="J6" s="12"/>
      <c r="K6" s="12"/>
      <c r="L6" s="12"/>
      <c r="M6" s="178" t="s">
        <v>33</v>
      </c>
      <c r="N6" s="206" t="s">
        <v>6</v>
      </c>
      <c r="O6" s="180" t="s">
        <v>7</v>
      </c>
    </row>
    <row r="7" spans="1:15" ht="18" customHeight="1">
      <c r="A7" s="13" t="s">
        <v>34</v>
      </c>
      <c r="B7" s="17"/>
      <c r="C7" s="18"/>
      <c r="D7" s="18"/>
      <c r="E7" s="18"/>
      <c r="F7" s="18"/>
      <c r="G7" s="18"/>
      <c r="H7" s="18"/>
      <c r="I7" s="18"/>
      <c r="J7" s="18"/>
      <c r="K7" s="18"/>
      <c r="L7" s="18"/>
      <c r="M7" s="18"/>
      <c r="N7" s="18"/>
      <c r="O7" s="12"/>
    </row>
    <row r="8" spans="1:15" ht="18" customHeight="1">
      <c r="A8" s="18"/>
      <c r="B8" s="13" t="s">
        <v>223</v>
      </c>
      <c r="C8" s="13"/>
      <c r="D8" s="18"/>
      <c r="E8" s="18"/>
      <c r="F8" s="18"/>
      <c r="G8" s="18"/>
      <c r="H8" s="18"/>
      <c r="I8" s="18"/>
      <c r="J8" s="18"/>
      <c r="K8" s="18"/>
      <c r="L8" s="18"/>
      <c r="M8" s="18"/>
      <c r="N8" s="18"/>
      <c r="O8" s="12"/>
    </row>
    <row r="9" spans="1:15" ht="18" customHeight="1">
      <c r="A9" s="18"/>
      <c r="B9" s="17"/>
      <c r="C9" s="13" t="s">
        <v>184</v>
      </c>
      <c r="D9" s="18"/>
      <c r="E9" s="18"/>
      <c r="F9" s="18"/>
      <c r="G9" s="18"/>
      <c r="H9" s="18"/>
      <c r="I9" s="18"/>
      <c r="J9" s="18"/>
      <c r="K9" s="18"/>
      <c r="L9" s="18"/>
      <c r="M9" s="18"/>
      <c r="N9" s="18"/>
      <c r="O9" s="12"/>
    </row>
    <row r="10" spans="1:15" s="28" customFormat="1" ht="18" customHeight="1">
      <c r="A10" s="18"/>
      <c r="B10" s="18"/>
      <c r="C10" s="742"/>
      <c r="D10" s="744" t="s">
        <v>177</v>
      </c>
      <c r="E10" s="744"/>
      <c r="F10" s="745"/>
      <c r="G10" s="746" t="s">
        <v>178</v>
      </c>
      <c r="H10" s="747"/>
      <c r="I10" s="747"/>
      <c r="J10" s="747"/>
      <c r="K10" s="747"/>
      <c r="L10" s="747"/>
      <c r="M10" s="747"/>
      <c r="N10" s="748" t="s">
        <v>109</v>
      </c>
      <c r="O10" s="18"/>
    </row>
    <row r="11" spans="1:15" s="28" customFormat="1" ht="18" customHeight="1">
      <c r="A11" s="18"/>
      <c r="B11" s="18"/>
      <c r="C11" s="743"/>
      <c r="D11" s="250" t="s">
        <v>152</v>
      </c>
      <c r="E11" s="250" t="s">
        <v>153</v>
      </c>
      <c r="F11" s="251" t="s">
        <v>14</v>
      </c>
      <c r="G11" s="252" t="s">
        <v>154</v>
      </c>
      <c r="H11" s="250" t="s">
        <v>155</v>
      </c>
      <c r="I11" s="250" t="s">
        <v>156</v>
      </c>
      <c r="J11" s="250" t="s">
        <v>157</v>
      </c>
      <c r="K11" s="250" t="s">
        <v>158</v>
      </c>
      <c r="L11" s="250" t="s">
        <v>159</v>
      </c>
      <c r="M11" s="251" t="s">
        <v>14</v>
      </c>
      <c r="N11" s="749"/>
      <c r="O11" s="18"/>
    </row>
    <row r="12" spans="1:15" s="28" customFormat="1" ht="18" customHeight="1">
      <c r="A12" s="38"/>
      <c r="B12" s="39"/>
      <c r="C12" s="259" t="s">
        <v>216</v>
      </c>
      <c r="D12" s="193">
        <v>0</v>
      </c>
      <c r="E12" s="193">
        <v>0</v>
      </c>
      <c r="F12" s="190">
        <v>0</v>
      </c>
      <c r="G12" s="218"/>
      <c r="H12" s="193">
        <v>88</v>
      </c>
      <c r="I12" s="193">
        <v>0</v>
      </c>
      <c r="J12" s="193">
        <v>0</v>
      </c>
      <c r="K12" s="193">
        <v>0</v>
      </c>
      <c r="L12" s="193">
        <v>0</v>
      </c>
      <c r="M12" s="190">
        <v>88</v>
      </c>
      <c r="N12" s="191">
        <v>88</v>
      </c>
      <c r="O12" s="18"/>
    </row>
    <row r="13" spans="1:15" s="28" customFormat="1" ht="18" customHeight="1">
      <c r="A13" s="18"/>
      <c r="B13" s="18"/>
      <c r="C13" s="260" t="s">
        <v>217</v>
      </c>
      <c r="D13" s="256">
        <v>0</v>
      </c>
      <c r="E13" s="256">
        <v>0</v>
      </c>
      <c r="F13" s="205">
        <v>0</v>
      </c>
      <c r="G13" s="257"/>
      <c r="H13" s="256">
        <v>0</v>
      </c>
      <c r="I13" s="256">
        <v>0</v>
      </c>
      <c r="J13" s="256">
        <v>0</v>
      </c>
      <c r="K13" s="256">
        <v>0</v>
      </c>
      <c r="L13" s="256">
        <v>0</v>
      </c>
      <c r="M13" s="205">
        <v>0</v>
      </c>
      <c r="N13" s="197">
        <v>0</v>
      </c>
      <c r="O13" s="18"/>
    </row>
    <row r="14" spans="1:15" s="28" customFormat="1" ht="12" customHeight="1">
      <c r="A14" s="18"/>
      <c r="B14" s="18"/>
      <c r="C14" s="18"/>
      <c r="D14" s="18"/>
      <c r="E14" s="18"/>
      <c r="F14" s="18"/>
      <c r="G14" s="18"/>
      <c r="H14" s="18"/>
      <c r="I14" s="18"/>
      <c r="J14" s="18"/>
      <c r="K14" s="18"/>
      <c r="L14" s="18"/>
      <c r="M14" s="18"/>
      <c r="N14" s="18"/>
      <c r="O14" s="18"/>
    </row>
    <row r="15" spans="1:15" s="28" customFormat="1" ht="18" customHeight="1">
      <c r="A15" s="18"/>
      <c r="B15" s="18"/>
      <c r="C15" s="13" t="s">
        <v>199</v>
      </c>
      <c r="D15" s="18"/>
      <c r="E15" s="18"/>
      <c r="F15" s="18"/>
      <c r="G15" s="18"/>
      <c r="H15" s="18"/>
      <c r="I15" s="18"/>
      <c r="J15" s="18"/>
      <c r="K15" s="18"/>
      <c r="L15" s="18"/>
      <c r="M15" s="18"/>
      <c r="N15" s="18"/>
      <c r="O15" s="18"/>
    </row>
    <row r="16" spans="1:15" s="28" customFormat="1" ht="18" customHeight="1">
      <c r="A16" s="38"/>
      <c r="B16" s="39"/>
      <c r="C16" s="742"/>
      <c r="D16" s="744" t="s">
        <v>177</v>
      </c>
      <c r="E16" s="744"/>
      <c r="F16" s="745"/>
      <c r="G16" s="746" t="s">
        <v>178</v>
      </c>
      <c r="H16" s="747"/>
      <c r="I16" s="747"/>
      <c r="J16" s="747"/>
      <c r="K16" s="747"/>
      <c r="L16" s="747"/>
      <c r="M16" s="747"/>
      <c r="N16" s="748" t="s">
        <v>109</v>
      </c>
      <c r="O16" s="18"/>
    </row>
    <row r="17" spans="1:15" s="28" customFormat="1" ht="18" customHeight="1">
      <c r="A17" s="38"/>
      <c r="B17" s="39"/>
      <c r="C17" s="743"/>
      <c r="D17" s="250" t="s">
        <v>152</v>
      </c>
      <c r="E17" s="250" t="s">
        <v>153</v>
      </c>
      <c r="F17" s="251" t="s">
        <v>14</v>
      </c>
      <c r="G17" s="252" t="s">
        <v>154</v>
      </c>
      <c r="H17" s="250" t="s">
        <v>155</v>
      </c>
      <c r="I17" s="250" t="s">
        <v>156</v>
      </c>
      <c r="J17" s="250" t="s">
        <v>157</v>
      </c>
      <c r="K17" s="250" t="s">
        <v>158</v>
      </c>
      <c r="L17" s="250" t="s">
        <v>159</v>
      </c>
      <c r="M17" s="251" t="s">
        <v>14</v>
      </c>
      <c r="N17" s="749"/>
      <c r="O17" s="18"/>
    </row>
    <row r="18" spans="1:15" s="28" customFormat="1" ht="18" customHeight="1">
      <c r="A18" s="18"/>
      <c r="B18" s="18"/>
      <c r="C18" s="259" t="s">
        <v>216</v>
      </c>
      <c r="D18" s="193">
        <v>0</v>
      </c>
      <c r="E18" s="193">
        <v>0</v>
      </c>
      <c r="F18" s="190">
        <v>0</v>
      </c>
      <c r="G18" s="218"/>
      <c r="H18" s="193">
        <v>0</v>
      </c>
      <c r="I18" s="193">
        <v>0</v>
      </c>
      <c r="J18" s="193">
        <v>0</v>
      </c>
      <c r="K18" s="193">
        <v>0</v>
      </c>
      <c r="L18" s="193">
        <v>0</v>
      </c>
      <c r="M18" s="190">
        <v>0</v>
      </c>
      <c r="N18" s="191">
        <v>0</v>
      </c>
      <c r="O18" s="18"/>
    </row>
    <row r="19" spans="1:15" s="28" customFormat="1" ht="18" customHeight="1">
      <c r="A19" s="38"/>
      <c r="B19" s="39"/>
      <c r="C19" s="260" t="s">
        <v>217</v>
      </c>
      <c r="D19" s="256">
        <v>0</v>
      </c>
      <c r="E19" s="256">
        <v>0</v>
      </c>
      <c r="F19" s="205">
        <v>0</v>
      </c>
      <c r="G19" s="257"/>
      <c r="H19" s="256">
        <v>0</v>
      </c>
      <c r="I19" s="256">
        <v>0</v>
      </c>
      <c r="J19" s="256">
        <v>0</v>
      </c>
      <c r="K19" s="256">
        <v>0</v>
      </c>
      <c r="L19" s="256">
        <v>0</v>
      </c>
      <c r="M19" s="205">
        <v>0</v>
      </c>
      <c r="N19" s="197">
        <v>0</v>
      </c>
      <c r="O19" s="18"/>
    </row>
    <row r="20" spans="1:15" s="28" customFormat="1" ht="12" customHeight="1">
      <c r="A20" s="38"/>
      <c r="B20" s="39"/>
      <c r="C20" s="18"/>
      <c r="D20" s="18"/>
      <c r="E20" s="18"/>
      <c r="F20" s="18"/>
      <c r="G20" s="18"/>
      <c r="H20" s="18"/>
      <c r="I20" s="18"/>
      <c r="J20" s="18"/>
      <c r="K20" s="18"/>
      <c r="L20" s="18"/>
      <c r="M20" s="18"/>
      <c r="N20" s="18"/>
      <c r="O20" s="18"/>
    </row>
    <row r="21" spans="1:15" s="28" customFormat="1" ht="18" customHeight="1">
      <c r="A21" s="18"/>
      <c r="B21" s="18"/>
      <c r="C21" s="13" t="s">
        <v>200</v>
      </c>
      <c r="D21" s="18"/>
      <c r="E21" s="18"/>
      <c r="F21" s="18"/>
      <c r="G21" s="18"/>
      <c r="H21" s="18"/>
      <c r="I21" s="18"/>
      <c r="J21" s="18"/>
      <c r="K21" s="18"/>
      <c r="L21" s="18"/>
      <c r="M21" s="18"/>
      <c r="N21" s="18"/>
      <c r="O21" s="18"/>
    </row>
    <row r="22" spans="1:15" s="28" customFormat="1" ht="18" customHeight="1">
      <c r="A22" s="38"/>
      <c r="B22" s="39"/>
      <c r="C22" s="742"/>
      <c r="D22" s="744" t="s">
        <v>177</v>
      </c>
      <c r="E22" s="744"/>
      <c r="F22" s="745"/>
      <c r="G22" s="746" t="s">
        <v>178</v>
      </c>
      <c r="H22" s="747"/>
      <c r="I22" s="747"/>
      <c r="J22" s="747"/>
      <c r="K22" s="747"/>
      <c r="L22" s="747"/>
      <c r="M22" s="747"/>
      <c r="N22" s="748" t="s">
        <v>109</v>
      </c>
      <c r="O22" s="18"/>
    </row>
    <row r="23" spans="1:15" s="28" customFormat="1" ht="18" customHeight="1">
      <c r="A23" s="38"/>
      <c r="B23" s="39"/>
      <c r="C23" s="743"/>
      <c r="D23" s="250" t="s">
        <v>152</v>
      </c>
      <c r="E23" s="250" t="s">
        <v>153</v>
      </c>
      <c r="F23" s="251" t="s">
        <v>14</v>
      </c>
      <c r="G23" s="252" t="s">
        <v>154</v>
      </c>
      <c r="H23" s="250" t="s">
        <v>155</v>
      </c>
      <c r="I23" s="250" t="s">
        <v>156</v>
      </c>
      <c r="J23" s="250" t="s">
        <v>157</v>
      </c>
      <c r="K23" s="250" t="s">
        <v>158</v>
      </c>
      <c r="L23" s="250" t="s">
        <v>159</v>
      </c>
      <c r="M23" s="251" t="s">
        <v>14</v>
      </c>
      <c r="N23" s="749"/>
      <c r="O23" s="18"/>
    </row>
    <row r="24" spans="1:15" s="28" customFormat="1" ht="18" customHeight="1">
      <c r="A24" s="18"/>
      <c r="B24" s="18"/>
      <c r="C24" s="259" t="s">
        <v>216</v>
      </c>
      <c r="D24" s="193">
        <v>0</v>
      </c>
      <c r="E24" s="193">
        <v>0</v>
      </c>
      <c r="F24" s="190">
        <v>0</v>
      </c>
      <c r="G24" s="218"/>
      <c r="H24" s="193">
        <v>0</v>
      </c>
      <c r="I24" s="193">
        <v>0</v>
      </c>
      <c r="J24" s="193">
        <v>0</v>
      </c>
      <c r="K24" s="193">
        <v>0</v>
      </c>
      <c r="L24" s="193">
        <v>0</v>
      </c>
      <c r="M24" s="190">
        <v>0</v>
      </c>
      <c r="N24" s="191">
        <v>0</v>
      </c>
      <c r="O24" s="18"/>
    </row>
    <row r="25" spans="1:15" s="28" customFormat="1" ht="18" customHeight="1">
      <c r="A25" s="38"/>
      <c r="B25" s="39"/>
      <c r="C25" s="260" t="s">
        <v>217</v>
      </c>
      <c r="D25" s="256">
        <v>0</v>
      </c>
      <c r="E25" s="256">
        <v>0</v>
      </c>
      <c r="F25" s="205">
        <v>0</v>
      </c>
      <c r="G25" s="257"/>
      <c r="H25" s="256">
        <v>0</v>
      </c>
      <c r="I25" s="256">
        <v>0</v>
      </c>
      <c r="J25" s="256">
        <v>0</v>
      </c>
      <c r="K25" s="256">
        <v>0</v>
      </c>
      <c r="L25" s="256">
        <v>0</v>
      </c>
      <c r="M25" s="205">
        <v>0</v>
      </c>
      <c r="N25" s="197">
        <v>0</v>
      </c>
      <c r="O25" s="18"/>
    </row>
    <row r="26" spans="1:15" s="28" customFormat="1" ht="12" customHeight="1">
      <c r="A26" s="38"/>
      <c r="B26" s="39"/>
      <c r="C26" s="18"/>
      <c r="D26" s="18"/>
      <c r="E26" s="18"/>
      <c r="F26" s="18"/>
      <c r="G26" s="18"/>
      <c r="H26" s="18"/>
      <c r="I26" s="18"/>
      <c r="J26" s="18"/>
      <c r="K26" s="18"/>
      <c r="L26" s="18"/>
      <c r="M26" s="18"/>
      <c r="N26" s="18"/>
      <c r="O26" s="18"/>
    </row>
    <row r="27" spans="1:15" s="28" customFormat="1" ht="18" customHeight="1">
      <c r="A27" s="38"/>
      <c r="B27" s="13" t="s">
        <v>224</v>
      </c>
      <c r="C27" s="18"/>
      <c r="D27" s="18"/>
      <c r="E27" s="18"/>
      <c r="F27" s="18"/>
      <c r="G27" s="18"/>
      <c r="H27" s="18"/>
      <c r="I27" s="18"/>
      <c r="J27" s="18"/>
      <c r="K27" s="18"/>
      <c r="L27" s="18"/>
      <c r="M27" s="18"/>
      <c r="N27" s="18"/>
      <c r="O27" s="18"/>
    </row>
    <row r="28" spans="1:15" s="28" customFormat="1" ht="18" customHeight="1">
      <c r="A28" s="18"/>
      <c r="B28" s="18"/>
      <c r="C28" s="13" t="s">
        <v>225</v>
      </c>
      <c r="D28" s="18"/>
      <c r="E28" s="18"/>
      <c r="F28" s="18"/>
      <c r="G28" s="18"/>
      <c r="H28" s="18"/>
      <c r="I28" s="18"/>
      <c r="J28" s="18"/>
      <c r="K28" s="18"/>
      <c r="L28" s="18"/>
      <c r="M28" s="18"/>
      <c r="N28" s="18"/>
      <c r="O28" s="18"/>
    </row>
    <row r="29" spans="1:15" s="28" customFormat="1" ht="18" customHeight="1">
      <c r="A29" s="38"/>
      <c r="B29" s="39"/>
      <c r="C29" s="742"/>
      <c r="D29" s="744" t="s">
        <v>177</v>
      </c>
      <c r="E29" s="744"/>
      <c r="F29" s="750"/>
      <c r="G29" s="747" t="s">
        <v>178</v>
      </c>
      <c r="H29" s="747"/>
      <c r="I29" s="747"/>
      <c r="J29" s="747"/>
      <c r="K29" s="747"/>
      <c r="L29" s="751"/>
      <c r="M29" s="748" t="s">
        <v>109</v>
      </c>
      <c r="N29" s="18"/>
      <c r="O29" s="18"/>
    </row>
    <row r="30" spans="1:15" s="28" customFormat="1" ht="18" customHeight="1">
      <c r="A30" s="38"/>
      <c r="B30" s="39"/>
      <c r="C30" s="743"/>
      <c r="D30" s="250" t="s">
        <v>152</v>
      </c>
      <c r="E30" s="250" t="s">
        <v>153</v>
      </c>
      <c r="F30" s="261" t="s">
        <v>14</v>
      </c>
      <c r="G30" s="262" t="s">
        <v>155</v>
      </c>
      <c r="H30" s="250" t="s">
        <v>156</v>
      </c>
      <c r="I30" s="250" t="s">
        <v>157</v>
      </c>
      <c r="J30" s="250" t="s">
        <v>158</v>
      </c>
      <c r="K30" s="250" t="s">
        <v>159</v>
      </c>
      <c r="L30" s="251" t="s">
        <v>14</v>
      </c>
      <c r="M30" s="749"/>
      <c r="N30" s="18"/>
      <c r="O30" s="18"/>
    </row>
    <row r="31" spans="1:15" s="28" customFormat="1" ht="18" customHeight="1">
      <c r="A31" s="18"/>
      <c r="B31" s="18"/>
      <c r="C31" s="259" t="s">
        <v>113</v>
      </c>
      <c r="D31" s="193">
        <v>0</v>
      </c>
      <c r="E31" s="193">
        <v>0</v>
      </c>
      <c r="F31" s="190">
        <v>0</v>
      </c>
      <c r="G31" s="263">
        <v>0</v>
      </c>
      <c r="H31" s="193">
        <v>0</v>
      </c>
      <c r="I31" s="193">
        <v>0</v>
      </c>
      <c r="J31" s="193">
        <v>1</v>
      </c>
      <c r="K31" s="193">
        <v>0</v>
      </c>
      <c r="L31" s="190">
        <v>1</v>
      </c>
      <c r="M31" s="191">
        <v>1</v>
      </c>
      <c r="N31" s="18"/>
      <c r="O31" s="18"/>
    </row>
    <row r="32" spans="1:15" s="28" customFormat="1" ht="18" customHeight="1">
      <c r="A32" s="18"/>
      <c r="B32" s="18"/>
      <c r="C32" s="264" t="s">
        <v>114</v>
      </c>
      <c r="D32" s="265">
        <v>0</v>
      </c>
      <c r="E32" s="265">
        <v>0</v>
      </c>
      <c r="F32" s="190">
        <v>0</v>
      </c>
      <c r="G32" s="263">
        <v>0</v>
      </c>
      <c r="H32" s="193">
        <v>0</v>
      </c>
      <c r="I32" s="193">
        <v>2</v>
      </c>
      <c r="J32" s="193">
        <v>12</v>
      </c>
      <c r="K32" s="193">
        <v>0</v>
      </c>
      <c r="L32" s="190">
        <v>14</v>
      </c>
      <c r="M32" s="191">
        <v>14</v>
      </c>
      <c r="N32" s="18"/>
      <c r="O32" s="18"/>
    </row>
    <row r="33" spans="1:15" s="28" customFormat="1" ht="18" customHeight="1">
      <c r="A33" s="18"/>
      <c r="B33" s="18"/>
      <c r="C33" s="264" t="s">
        <v>181</v>
      </c>
      <c r="D33" s="265">
        <v>0</v>
      </c>
      <c r="E33" s="265">
        <v>0</v>
      </c>
      <c r="F33" s="190">
        <v>0</v>
      </c>
      <c r="G33" s="263">
        <v>0</v>
      </c>
      <c r="H33" s="193">
        <v>0</v>
      </c>
      <c r="I33" s="193">
        <v>0</v>
      </c>
      <c r="J33" s="193">
        <v>0</v>
      </c>
      <c r="K33" s="193">
        <v>0</v>
      </c>
      <c r="L33" s="190">
        <v>0</v>
      </c>
      <c r="M33" s="191">
        <v>0</v>
      </c>
      <c r="N33" s="18"/>
      <c r="O33" s="18"/>
    </row>
    <row r="34" spans="1:15" s="28" customFormat="1" ht="18" customHeight="1">
      <c r="A34" s="38"/>
      <c r="B34" s="39"/>
      <c r="C34" s="260" t="s">
        <v>116</v>
      </c>
      <c r="D34" s="256">
        <v>0</v>
      </c>
      <c r="E34" s="256">
        <v>0</v>
      </c>
      <c r="F34" s="205">
        <v>0</v>
      </c>
      <c r="G34" s="266">
        <v>0</v>
      </c>
      <c r="H34" s="256">
        <v>0</v>
      </c>
      <c r="I34" s="256">
        <v>0</v>
      </c>
      <c r="J34" s="256">
        <v>0</v>
      </c>
      <c r="K34" s="256">
        <v>0</v>
      </c>
      <c r="L34" s="205">
        <v>0</v>
      </c>
      <c r="M34" s="197">
        <v>0</v>
      </c>
      <c r="N34" s="18"/>
      <c r="O34" s="18"/>
    </row>
    <row r="35" spans="1:15" s="28" customFormat="1" ht="12" customHeight="1">
      <c r="A35" s="38"/>
      <c r="B35" s="39"/>
      <c r="C35" s="18"/>
      <c r="D35" s="18"/>
      <c r="E35" s="18"/>
      <c r="F35" s="18"/>
      <c r="G35" s="18"/>
      <c r="H35" s="18"/>
      <c r="I35" s="18"/>
      <c r="J35" s="18"/>
      <c r="K35" s="18"/>
      <c r="L35" s="18"/>
      <c r="M35" s="18"/>
      <c r="N35" s="18"/>
      <c r="O35" s="18"/>
    </row>
    <row r="36" spans="1:15" s="28" customFormat="1" ht="18" customHeight="1">
      <c r="A36" s="18"/>
      <c r="B36" s="18"/>
      <c r="C36" s="13" t="s">
        <v>226</v>
      </c>
      <c r="D36" s="18"/>
      <c r="E36" s="18"/>
      <c r="F36" s="18"/>
      <c r="G36" s="18"/>
      <c r="H36" s="18"/>
      <c r="I36" s="18"/>
      <c r="J36" s="18"/>
      <c r="K36" s="18"/>
      <c r="L36" s="18"/>
      <c r="M36" s="18"/>
      <c r="N36" s="18"/>
      <c r="O36" s="18"/>
    </row>
    <row r="37" spans="1:15" s="28" customFormat="1" ht="18" customHeight="1">
      <c r="A37" s="38"/>
      <c r="B37" s="39"/>
      <c r="C37" s="742"/>
      <c r="D37" s="744" t="s">
        <v>177</v>
      </c>
      <c r="E37" s="744"/>
      <c r="F37" s="750"/>
      <c r="G37" s="747" t="s">
        <v>178</v>
      </c>
      <c r="H37" s="747"/>
      <c r="I37" s="747"/>
      <c r="J37" s="747"/>
      <c r="K37" s="747"/>
      <c r="L37" s="751"/>
      <c r="M37" s="748" t="s">
        <v>109</v>
      </c>
      <c r="N37" s="18"/>
      <c r="O37" s="18"/>
    </row>
    <row r="38" spans="1:15" s="28" customFormat="1" ht="18" customHeight="1">
      <c r="A38" s="38"/>
      <c r="B38" s="39"/>
      <c r="C38" s="743"/>
      <c r="D38" s="250" t="s">
        <v>152</v>
      </c>
      <c r="E38" s="250" t="s">
        <v>153</v>
      </c>
      <c r="F38" s="261" t="s">
        <v>14</v>
      </c>
      <c r="G38" s="262" t="s">
        <v>155</v>
      </c>
      <c r="H38" s="250" t="s">
        <v>156</v>
      </c>
      <c r="I38" s="250" t="s">
        <v>157</v>
      </c>
      <c r="J38" s="250" t="s">
        <v>158</v>
      </c>
      <c r="K38" s="250" t="s">
        <v>159</v>
      </c>
      <c r="L38" s="251" t="s">
        <v>14</v>
      </c>
      <c r="M38" s="749"/>
      <c r="N38" s="18"/>
      <c r="O38" s="18"/>
    </row>
    <row r="39" spans="1:15" s="28" customFormat="1" ht="18" customHeight="1">
      <c r="A39" s="18"/>
      <c r="B39" s="18"/>
      <c r="C39" s="259" t="s">
        <v>113</v>
      </c>
      <c r="D39" s="193">
        <v>0</v>
      </c>
      <c r="E39" s="193">
        <v>0</v>
      </c>
      <c r="F39" s="190">
        <v>0</v>
      </c>
      <c r="G39" s="263">
        <v>0</v>
      </c>
      <c r="H39" s="193">
        <v>0</v>
      </c>
      <c r="I39" s="193">
        <v>0</v>
      </c>
      <c r="J39" s="193">
        <v>0</v>
      </c>
      <c r="K39" s="193">
        <v>0</v>
      </c>
      <c r="L39" s="190">
        <v>0</v>
      </c>
      <c r="M39" s="191">
        <v>0</v>
      </c>
      <c r="N39" s="18"/>
      <c r="O39" s="18"/>
    </row>
    <row r="40" spans="1:15" s="28" customFormat="1" ht="18" customHeight="1">
      <c r="A40" s="18"/>
      <c r="B40" s="18"/>
      <c r="C40" s="264" t="s">
        <v>114</v>
      </c>
      <c r="D40" s="265">
        <v>0</v>
      </c>
      <c r="E40" s="265">
        <v>0</v>
      </c>
      <c r="F40" s="190">
        <v>0</v>
      </c>
      <c r="G40" s="263">
        <v>0</v>
      </c>
      <c r="H40" s="193">
        <v>0</v>
      </c>
      <c r="I40" s="193">
        <v>0</v>
      </c>
      <c r="J40" s="193">
        <v>5</v>
      </c>
      <c r="K40" s="193">
        <v>0</v>
      </c>
      <c r="L40" s="190">
        <v>5</v>
      </c>
      <c r="M40" s="191">
        <v>5</v>
      </c>
      <c r="N40" s="18"/>
      <c r="O40" s="18"/>
    </row>
    <row r="41" spans="1:15" s="28" customFormat="1" ht="18" customHeight="1">
      <c r="A41" s="18"/>
      <c r="B41" s="18"/>
      <c r="C41" s="264" t="s">
        <v>181</v>
      </c>
      <c r="D41" s="265">
        <v>0</v>
      </c>
      <c r="E41" s="265">
        <v>0</v>
      </c>
      <c r="F41" s="190">
        <v>0</v>
      </c>
      <c r="G41" s="263">
        <v>0</v>
      </c>
      <c r="H41" s="193">
        <v>0</v>
      </c>
      <c r="I41" s="193">
        <v>0</v>
      </c>
      <c r="J41" s="193">
        <v>0</v>
      </c>
      <c r="K41" s="193">
        <v>0</v>
      </c>
      <c r="L41" s="190">
        <v>0</v>
      </c>
      <c r="M41" s="191">
        <v>0</v>
      </c>
      <c r="N41" s="18"/>
      <c r="O41" s="18"/>
    </row>
    <row r="42" spans="1:15" s="28" customFormat="1" ht="18" customHeight="1">
      <c r="A42" s="38"/>
      <c r="B42" s="39"/>
      <c r="C42" s="260" t="s">
        <v>116</v>
      </c>
      <c r="D42" s="256">
        <v>0</v>
      </c>
      <c r="E42" s="256">
        <v>0</v>
      </c>
      <c r="F42" s="205">
        <v>0</v>
      </c>
      <c r="G42" s="266">
        <v>0</v>
      </c>
      <c r="H42" s="256">
        <v>0</v>
      </c>
      <c r="I42" s="256">
        <v>0</v>
      </c>
      <c r="J42" s="256">
        <v>0</v>
      </c>
      <c r="K42" s="256">
        <v>0</v>
      </c>
      <c r="L42" s="205">
        <v>0</v>
      </c>
      <c r="M42" s="197">
        <v>0</v>
      </c>
      <c r="N42" s="18"/>
      <c r="O42" s="18"/>
    </row>
    <row r="43" spans="1:15" s="28" customFormat="1" ht="12" customHeight="1">
      <c r="A43" s="38"/>
      <c r="B43" s="39"/>
      <c r="C43" s="18"/>
      <c r="D43" s="18"/>
      <c r="E43" s="18"/>
      <c r="F43" s="18"/>
      <c r="G43" s="18"/>
      <c r="H43" s="18"/>
      <c r="I43" s="18"/>
      <c r="J43" s="18"/>
      <c r="K43" s="18"/>
      <c r="L43" s="18"/>
      <c r="M43" s="18"/>
      <c r="N43" s="18"/>
      <c r="O43" s="18"/>
    </row>
  </sheetData>
  <sheetProtection selectLockedCells="1" selectUnlockedCells="1"/>
  <mergeCells count="22">
    <mergeCell ref="A3:O3"/>
    <mergeCell ref="A4:O4"/>
    <mergeCell ref="C10:C11"/>
    <mergeCell ref="D10:F10"/>
    <mergeCell ref="G10:M10"/>
    <mergeCell ref="N10:N11"/>
    <mergeCell ref="C16:C17"/>
    <mergeCell ref="D16:F16"/>
    <mergeCell ref="G16:M16"/>
    <mergeCell ref="N16:N17"/>
    <mergeCell ref="C22:C23"/>
    <mergeCell ref="D22:F22"/>
    <mergeCell ref="G22:M22"/>
    <mergeCell ref="N22:N23"/>
    <mergeCell ref="C29:C30"/>
    <mergeCell ref="D29:F29"/>
    <mergeCell ref="G29:L29"/>
    <mergeCell ref="M29:M30"/>
    <mergeCell ref="C37:C38"/>
    <mergeCell ref="D37:F37"/>
    <mergeCell ref="G37:L37"/>
    <mergeCell ref="M37:M38"/>
  </mergeCells>
  <phoneticPr fontId="34"/>
  <pageMargins left="0.7" right="0.7" top="0.75" bottom="0.75" header="0.3" footer="0.3"/>
  <pageSetup paperSize="9" scale="6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230</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281</v>
      </c>
      <c r="G11" s="274">
        <v>1178</v>
      </c>
      <c r="H11" s="275">
        <v>1459</v>
      </c>
      <c r="I11" s="276"/>
      <c r="J11" s="274">
        <v>1159</v>
      </c>
      <c r="K11" s="274">
        <v>2437</v>
      </c>
      <c r="L11" s="273">
        <v>2073</v>
      </c>
      <c r="M11" s="274">
        <v>812</v>
      </c>
      <c r="N11" s="274">
        <v>482</v>
      </c>
      <c r="O11" s="273">
        <v>6963</v>
      </c>
      <c r="P11" s="277">
        <v>8422</v>
      </c>
    </row>
    <row r="12" spans="1:17" ht="18" customHeight="1">
      <c r="C12" s="61"/>
      <c r="D12" s="278" t="s">
        <v>234</v>
      </c>
      <c r="F12" s="279">
        <v>39</v>
      </c>
      <c r="G12" s="280">
        <v>38</v>
      </c>
      <c r="H12" s="281">
        <v>77</v>
      </c>
      <c r="I12" s="282"/>
      <c r="J12" s="280">
        <v>82</v>
      </c>
      <c r="K12" s="279">
        <v>234</v>
      </c>
      <c r="L12" s="279">
        <v>346</v>
      </c>
      <c r="M12" s="279">
        <v>131</v>
      </c>
      <c r="N12" s="280">
        <v>139</v>
      </c>
      <c r="O12" s="279">
        <v>932</v>
      </c>
      <c r="P12" s="283">
        <v>1009</v>
      </c>
    </row>
    <row r="13" spans="1:17" ht="18" customHeight="1">
      <c r="C13" s="61"/>
      <c r="D13" s="284"/>
      <c r="E13" s="285" t="s">
        <v>185</v>
      </c>
      <c r="F13" s="286">
        <v>0</v>
      </c>
      <c r="G13" s="287">
        <v>0</v>
      </c>
      <c r="H13" s="281">
        <v>0</v>
      </c>
      <c r="I13" s="288"/>
      <c r="J13" s="287">
        <v>60</v>
      </c>
      <c r="K13" s="286">
        <v>107</v>
      </c>
      <c r="L13" s="286">
        <v>159</v>
      </c>
      <c r="M13" s="286">
        <v>60</v>
      </c>
      <c r="N13" s="287">
        <v>48</v>
      </c>
      <c r="O13" s="279">
        <v>434</v>
      </c>
      <c r="P13" s="283">
        <v>434</v>
      </c>
    </row>
    <row r="14" spans="1:17" ht="18" customHeight="1">
      <c r="C14" s="61"/>
      <c r="D14" s="284"/>
      <c r="E14" s="285" t="s">
        <v>186</v>
      </c>
      <c r="F14" s="286">
        <v>2</v>
      </c>
      <c r="G14" s="287">
        <v>0</v>
      </c>
      <c r="H14" s="281">
        <v>2</v>
      </c>
      <c r="I14" s="288"/>
      <c r="J14" s="287">
        <v>0</v>
      </c>
      <c r="K14" s="286">
        <v>27</v>
      </c>
      <c r="L14" s="286">
        <v>19</v>
      </c>
      <c r="M14" s="286">
        <v>18</v>
      </c>
      <c r="N14" s="287">
        <v>16</v>
      </c>
      <c r="O14" s="279">
        <v>80</v>
      </c>
      <c r="P14" s="283">
        <v>82</v>
      </c>
    </row>
    <row r="15" spans="1:17" ht="18" customHeight="1">
      <c r="C15" s="61"/>
      <c r="D15" s="284"/>
      <c r="E15" s="285" t="s">
        <v>187</v>
      </c>
      <c r="F15" s="286">
        <v>12</v>
      </c>
      <c r="G15" s="287">
        <v>0</v>
      </c>
      <c r="H15" s="281">
        <v>12</v>
      </c>
      <c r="I15" s="288"/>
      <c r="J15" s="287">
        <v>0</v>
      </c>
      <c r="K15" s="286">
        <v>9</v>
      </c>
      <c r="L15" s="286">
        <v>25</v>
      </c>
      <c r="M15" s="286">
        <v>6</v>
      </c>
      <c r="N15" s="287">
        <v>13</v>
      </c>
      <c r="O15" s="279">
        <v>53</v>
      </c>
      <c r="P15" s="283">
        <v>65</v>
      </c>
    </row>
    <row r="16" spans="1:17" ht="18" customHeight="1">
      <c r="C16" s="61"/>
      <c r="D16" s="284"/>
      <c r="E16" s="285" t="s">
        <v>188</v>
      </c>
      <c r="F16" s="286">
        <v>25</v>
      </c>
      <c r="G16" s="287">
        <v>38</v>
      </c>
      <c r="H16" s="281">
        <v>63</v>
      </c>
      <c r="I16" s="288"/>
      <c r="J16" s="287">
        <v>17</v>
      </c>
      <c r="K16" s="286">
        <v>56</v>
      </c>
      <c r="L16" s="286">
        <v>70</v>
      </c>
      <c r="M16" s="286">
        <v>8</v>
      </c>
      <c r="N16" s="287">
        <v>4</v>
      </c>
      <c r="O16" s="279">
        <v>155</v>
      </c>
      <c r="P16" s="283">
        <v>218</v>
      </c>
    </row>
    <row r="17" spans="3:16" ht="18" customHeight="1">
      <c r="C17" s="61"/>
      <c r="D17" s="284"/>
      <c r="E17" s="285" t="s">
        <v>189</v>
      </c>
      <c r="F17" s="286">
        <v>0</v>
      </c>
      <c r="G17" s="287">
        <v>0</v>
      </c>
      <c r="H17" s="281">
        <v>0</v>
      </c>
      <c r="I17" s="288"/>
      <c r="J17" s="287">
        <v>5</v>
      </c>
      <c r="K17" s="286">
        <v>35</v>
      </c>
      <c r="L17" s="286">
        <v>73</v>
      </c>
      <c r="M17" s="286">
        <v>39</v>
      </c>
      <c r="N17" s="287">
        <v>58</v>
      </c>
      <c r="O17" s="279">
        <v>210</v>
      </c>
      <c r="P17" s="283">
        <v>210</v>
      </c>
    </row>
    <row r="18" spans="3:16" ht="18" customHeight="1">
      <c r="C18" s="61"/>
      <c r="D18" s="278" t="s">
        <v>235</v>
      </c>
      <c r="E18" s="289"/>
      <c r="F18" s="279">
        <v>61</v>
      </c>
      <c r="G18" s="280">
        <v>395</v>
      </c>
      <c r="H18" s="281">
        <v>456</v>
      </c>
      <c r="I18" s="282"/>
      <c r="J18" s="280">
        <v>386</v>
      </c>
      <c r="K18" s="279">
        <v>669</v>
      </c>
      <c r="L18" s="279">
        <v>504</v>
      </c>
      <c r="M18" s="279">
        <v>164</v>
      </c>
      <c r="N18" s="280">
        <v>67</v>
      </c>
      <c r="O18" s="279">
        <v>1790</v>
      </c>
      <c r="P18" s="283">
        <v>2246</v>
      </c>
    </row>
    <row r="19" spans="3:16" ht="18" customHeight="1">
      <c r="C19" s="61"/>
      <c r="D19" s="284"/>
      <c r="E19" s="290" t="s">
        <v>190</v>
      </c>
      <c r="F19" s="286">
        <v>0</v>
      </c>
      <c r="G19" s="287">
        <v>0</v>
      </c>
      <c r="H19" s="281">
        <v>0</v>
      </c>
      <c r="I19" s="288"/>
      <c r="J19" s="287">
        <v>164</v>
      </c>
      <c r="K19" s="286">
        <v>249</v>
      </c>
      <c r="L19" s="286">
        <v>197</v>
      </c>
      <c r="M19" s="286">
        <v>75</v>
      </c>
      <c r="N19" s="287">
        <v>26</v>
      </c>
      <c r="O19" s="279">
        <v>711</v>
      </c>
      <c r="P19" s="283">
        <v>711</v>
      </c>
    </row>
    <row r="20" spans="3:16" ht="18" customHeight="1">
      <c r="C20" s="61"/>
      <c r="D20" s="284"/>
      <c r="E20" s="290" t="s">
        <v>191</v>
      </c>
      <c r="F20" s="286">
        <v>61</v>
      </c>
      <c r="G20" s="287">
        <v>395</v>
      </c>
      <c r="H20" s="281">
        <v>456</v>
      </c>
      <c r="I20" s="288"/>
      <c r="J20" s="287">
        <v>222</v>
      </c>
      <c r="K20" s="286">
        <v>420</v>
      </c>
      <c r="L20" s="286">
        <v>307</v>
      </c>
      <c r="M20" s="286">
        <v>89</v>
      </c>
      <c r="N20" s="287">
        <v>41</v>
      </c>
      <c r="O20" s="279">
        <v>1079</v>
      </c>
      <c r="P20" s="283">
        <v>1535</v>
      </c>
    </row>
    <row r="21" spans="3:16" ht="18" customHeight="1">
      <c r="C21" s="61"/>
      <c r="D21" s="278" t="s">
        <v>236</v>
      </c>
      <c r="F21" s="279">
        <v>1</v>
      </c>
      <c r="G21" s="280">
        <v>7</v>
      </c>
      <c r="H21" s="281">
        <v>8</v>
      </c>
      <c r="I21" s="282"/>
      <c r="J21" s="280">
        <v>35</v>
      </c>
      <c r="K21" s="279">
        <v>58</v>
      </c>
      <c r="L21" s="279">
        <v>81</v>
      </c>
      <c r="M21" s="279">
        <v>52</v>
      </c>
      <c r="N21" s="280">
        <v>32</v>
      </c>
      <c r="O21" s="279">
        <v>258</v>
      </c>
      <c r="P21" s="283">
        <v>266</v>
      </c>
    </row>
    <row r="22" spans="3:16" ht="18" customHeight="1">
      <c r="C22" s="61"/>
      <c r="D22" s="284"/>
      <c r="E22" s="285" t="s">
        <v>192</v>
      </c>
      <c r="F22" s="286">
        <v>1</v>
      </c>
      <c r="G22" s="287">
        <v>1</v>
      </c>
      <c r="H22" s="281">
        <v>2</v>
      </c>
      <c r="I22" s="288"/>
      <c r="J22" s="287">
        <v>16</v>
      </c>
      <c r="K22" s="286">
        <v>12</v>
      </c>
      <c r="L22" s="286">
        <v>44</v>
      </c>
      <c r="M22" s="286">
        <v>43</v>
      </c>
      <c r="N22" s="287">
        <v>14</v>
      </c>
      <c r="O22" s="279">
        <v>129</v>
      </c>
      <c r="P22" s="283">
        <v>131</v>
      </c>
    </row>
    <row r="23" spans="3:16" ht="18" customHeight="1">
      <c r="C23" s="61"/>
      <c r="D23" s="284"/>
      <c r="E23" s="285" t="s">
        <v>193</v>
      </c>
      <c r="F23" s="286">
        <v>0</v>
      </c>
      <c r="G23" s="287">
        <v>6</v>
      </c>
      <c r="H23" s="281">
        <v>6</v>
      </c>
      <c r="I23" s="288"/>
      <c r="J23" s="287">
        <v>19</v>
      </c>
      <c r="K23" s="286">
        <v>46</v>
      </c>
      <c r="L23" s="286">
        <v>37</v>
      </c>
      <c r="M23" s="286">
        <v>9</v>
      </c>
      <c r="N23" s="287">
        <v>18</v>
      </c>
      <c r="O23" s="279">
        <v>129</v>
      </c>
      <c r="P23" s="283">
        <v>135</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71</v>
      </c>
      <c r="G26" s="280">
        <v>335</v>
      </c>
      <c r="H26" s="281">
        <v>406</v>
      </c>
      <c r="I26" s="282"/>
      <c r="J26" s="280">
        <v>174</v>
      </c>
      <c r="K26" s="279">
        <v>581</v>
      </c>
      <c r="L26" s="279">
        <v>487</v>
      </c>
      <c r="M26" s="279">
        <v>209</v>
      </c>
      <c r="N26" s="280">
        <v>128</v>
      </c>
      <c r="O26" s="279">
        <v>1579</v>
      </c>
      <c r="P26" s="283">
        <v>1985</v>
      </c>
    </row>
    <row r="27" spans="3:16" ht="18" customHeight="1">
      <c r="C27" s="61"/>
      <c r="D27" s="284"/>
      <c r="E27" s="292" t="s">
        <v>196</v>
      </c>
      <c r="F27" s="286">
        <v>71</v>
      </c>
      <c r="G27" s="287">
        <v>328</v>
      </c>
      <c r="H27" s="281">
        <v>399</v>
      </c>
      <c r="I27" s="288"/>
      <c r="J27" s="287">
        <v>173</v>
      </c>
      <c r="K27" s="286">
        <v>572</v>
      </c>
      <c r="L27" s="286">
        <v>478</v>
      </c>
      <c r="M27" s="286">
        <v>208</v>
      </c>
      <c r="N27" s="287">
        <v>126</v>
      </c>
      <c r="O27" s="279">
        <v>1557</v>
      </c>
      <c r="P27" s="283">
        <v>1956</v>
      </c>
    </row>
    <row r="28" spans="3:16" ht="18" customHeight="1">
      <c r="C28" s="61"/>
      <c r="D28" s="293"/>
      <c r="E28" s="290" t="s">
        <v>238</v>
      </c>
      <c r="F28" s="294">
        <v>0</v>
      </c>
      <c r="G28" s="295">
        <v>3</v>
      </c>
      <c r="H28" s="281">
        <v>3</v>
      </c>
      <c r="I28" s="296"/>
      <c r="J28" s="295">
        <v>0</v>
      </c>
      <c r="K28" s="294">
        <v>5</v>
      </c>
      <c r="L28" s="294">
        <v>7</v>
      </c>
      <c r="M28" s="294">
        <v>1</v>
      </c>
      <c r="N28" s="295">
        <v>2</v>
      </c>
      <c r="O28" s="279">
        <v>15</v>
      </c>
      <c r="P28" s="283">
        <v>18</v>
      </c>
    </row>
    <row r="29" spans="3:16" ht="18" customHeight="1">
      <c r="C29" s="61"/>
      <c r="D29" s="297"/>
      <c r="E29" s="285" t="s">
        <v>239</v>
      </c>
      <c r="F29" s="294">
        <v>0</v>
      </c>
      <c r="G29" s="295">
        <v>4</v>
      </c>
      <c r="H29" s="281">
        <v>4</v>
      </c>
      <c r="I29" s="296"/>
      <c r="J29" s="295">
        <v>1</v>
      </c>
      <c r="K29" s="294">
        <v>4</v>
      </c>
      <c r="L29" s="294">
        <v>2</v>
      </c>
      <c r="M29" s="294">
        <v>0</v>
      </c>
      <c r="N29" s="295">
        <v>0</v>
      </c>
      <c r="O29" s="279">
        <v>7</v>
      </c>
      <c r="P29" s="283">
        <v>11</v>
      </c>
    </row>
    <row r="30" spans="3:16" ht="18" customHeight="1">
      <c r="C30" s="61"/>
      <c r="D30" s="284" t="s">
        <v>197</v>
      </c>
      <c r="E30" s="298"/>
      <c r="F30" s="286">
        <v>0</v>
      </c>
      <c r="G30" s="287">
        <v>0</v>
      </c>
      <c r="H30" s="281">
        <v>0</v>
      </c>
      <c r="I30" s="288"/>
      <c r="J30" s="287">
        <v>5</v>
      </c>
      <c r="K30" s="286">
        <v>12</v>
      </c>
      <c r="L30" s="286">
        <v>0</v>
      </c>
      <c r="M30" s="286">
        <v>3</v>
      </c>
      <c r="N30" s="287">
        <v>0</v>
      </c>
      <c r="O30" s="279">
        <v>20</v>
      </c>
      <c r="P30" s="283">
        <v>20</v>
      </c>
    </row>
    <row r="31" spans="3:16" ht="18" customHeight="1">
      <c r="C31" s="299"/>
      <c r="D31" s="300" t="s">
        <v>198</v>
      </c>
      <c r="E31" s="301"/>
      <c r="F31" s="302">
        <v>109</v>
      </c>
      <c r="G31" s="303">
        <v>403</v>
      </c>
      <c r="H31" s="304">
        <v>512</v>
      </c>
      <c r="I31" s="288"/>
      <c r="J31" s="303">
        <v>477</v>
      </c>
      <c r="K31" s="302">
        <v>883</v>
      </c>
      <c r="L31" s="302">
        <v>655</v>
      </c>
      <c r="M31" s="302">
        <v>253</v>
      </c>
      <c r="N31" s="303">
        <v>116</v>
      </c>
      <c r="O31" s="304">
        <v>2384</v>
      </c>
      <c r="P31" s="305">
        <v>2896</v>
      </c>
    </row>
    <row r="32" spans="3:16" ht="18" customHeight="1">
      <c r="C32" s="271" t="s">
        <v>240</v>
      </c>
      <c r="D32" s="306"/>
      <c r="E32" s="307"/>
      <c r="F32" s="273">
        <v>0</v>
      </c>
      <c r="G32" s="274">
        <v>0</v>
      </c>
      <c r="H32" s="275">
        <v>0</v>
      </c>
      <c r="I32" s="276"/>
      <c r="J32" s="274">
        <v>116</v>
      </c>
      <c r="K32" s="273">
        <v>131</v>
      </c>
      <c r="L32" s="273">
        <v>201</v>
      </c>
      <c r="M32" s="273">
        <v>132</v>
      </c>
      <c r="N32" s="274">
        <v>84</v>
      </c>
      <c r="O32" s="273">
        <v>664</v>
      </c>
      <c r="P32" s="277">
        <v>664</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11</v>
      </c>
      <c r="K35" s="286">
        <v>0</v>
      </c>
      <c r="L35" s="286">
        <v>0</v>
      </c>
      <c r="M35" s="286">
        <v>0</v>
      </c>
      <c r="N35" s="287">
        <v>0</v>
      </c>
      <c r="O35" s="279">
        <v>11</v>
      </c>
      <c r="P35" s="283">
        <v>11</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105</v>
      </c>
      <c r="K38" s="286">
        <v>115</v>
      </c>
      <c r="L38" s="286">
        <v>67</v>
      </c>
      <c r="M38" s="286">
        <v>24</v>
      </c>
      <c r="N38" s="287">
        <v>12</v>
      </c>
      <c r="O38" s="279">
        <v>323</v>
      </c>
      <c r="P38" s="283">
        <v>323</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16</v>
      </c>
      <c r="L40" s="309">
        <v>134</v>
      </c>
      <c r="M40" s="309">
        <v>108</v>
      </c>
      <c r="N40" s="310">
        <v>62</v>
      </c>
      <c r="O40" s="312">
        <v>320</v>
      </c>
      <c r="P40" s="313">
        <v>320</v>
      </c>
    </row>
    <row r="41" spans="3:16" ht="18" customHeight="1">
      <c r="C41" s="315"/>
      <c r="D41" s="770" t="s">
        <v>241</v>
      </c>
      <c r="E41" s="771"/>
      <c r="F41" s="302">
        <v>0</v>
      </c>
      <c r="G41" s="303">
        <v>0</v>
      </c>
      <c r="H41" s="281">
        <v>0</v>
      </c>
      <c r="I41" s="288"/>
      <c r="J41" s="303">
        <v>0</v>
      </c>
      <c r="K41" s="302">
        <v>0</v>
      </c>
      <c r="L41" s="302">
        <v>0</v>
      </c>
      <c r="M41" s="302">
        <v>0</v>
      </c>
      <c r="N41" s="303">
        <v>10</v>
      </c>
      <c r="O41" s="316">
        <v>10</v>
      </c>
      <c r="P41" s="305">
        <v>10</v>
      </c>
    </row>
    <row r="42" spans="3:16" ht="18" customHeight="1">
      <c r="C42" s="61" t="s">
        <v>242</v>
      </c>
      <c r="F42" s="274">
        <v>0</v>
      </c>
      <c r="G42" s="274">
        <v>0</v>
      </c>
      <c r="H42" s="275">
        <v>0</v>
      </c>
      <c r="I42" s="276"/>
      <c r="J42" s="274">
        <v>64</v>
      </c>
      <c r="K42" s="273">
        <v>179</v>
      </c>
      <c r="L42" s="273">
        <v>447</v>
      </c>
      <c r="M42" s="273">
        <v>545</v>
      </c>
      <c r="N42" s="274">
        <v>365</v>
      </c>
      <c r="O42" s="273">
        <v>1600</v>
      </c>
      <c r="P42" s="277">
        <v>1600</v>
      </c>
    </row>
    <row r="43" spans="3:16" ht="18" customHeight="1">
      <c r="C43" s="61"/>
      <c r="D43" s="317" t="s">
        <v>113</v>
      </c>
      <c r="E43" s="317"/>
      <c r="F43" s="287">
        <v>0</v>
      </c>
      <c r="G43" s="287">
        <v>0</v>
      </c>
      <c r="H43" s="281">
        <v>0</v>
      </c>
      <c r="I43" s="288"/>
      <c r="J43" s="287">
        <v>12</v>
      </c>
      <c r="K43" s="286">
        <v>28</v>
      </c>
      <c r="L43" s="286">
        <v>243</v>
      </c>
      <c r="M43" s="286">
        <v>299</v>
      </c>
      <c r="N43" s="287">
        <v>245</v>
      </c>
      <c r="O43" s="279">
        <v>827</v>
      </c>
      <c r="P43" s="283">
        <v>827</v>
      </c>
    </row>
    <row r="44" spans="3:16" ht="18" customHeight="1">
      <c r="C44" s="61"/>
      <c r="D44" s="317" t="s">
        <v>114</v>
      </c>
      <c r="E44" s="317"/>
      <c r="F44" s="286">
        <v>0</v>
      </c>
      <c r="G44" s="287">
        <v>0</v>
      </c>
      <c r="H44" s="281">
        <v>0</v>
      </c>
      <c r="I44" s="288"/>
      <c r="J44" s="287">
        <v>52</v>
      </c>
      <c r="K44" s="286">
        <v>151</v>
      </c>
      <c r="L44" s="286">
        <v>204</v>
      </c>
      <c r="M44" s="286">
        <v>246</v>
      </c>
      <c r="N44" s="287">
        <v>120</v>
      </c>
      <c r="O44" s="279">
        <v>773</v>
      </c>
      <c r="P44" s="283">
        <v>773</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281</v>
      </c>
      <c r="G47" s="320">
        <v>1178</v>
      </c>
      <c r="H47" s="321">
        <v>1459</v>
      </c>
      <c r="I47" s="224"/>
      <c r="J47" s="320">
        <v>1339</v>
      </c>
      <c r="K47" s="320">
        <v>2747</v>
      </c>
      <c r="L47" s="320">
        <v>2721</v>
      </c>
      <c r="M47" s="320">
        <v>1489</v>
      </c>
      <c r="N47" s="320">
        <v>931</v>
      </c>
      <c r="O47" s="320">
        <v>9227</v>
      </c>
      <c r="P47" s="322">
        <v>10686</v>
      </c>
    </row>
  </sheetData>
  <sheetProtection selectLockedCells="1" selectUnlockedCells="1"/>
  <mergeCells count="11">
    <mergeCell ref="A3:Q3"/>
    <mergeCell ref="A4:Q4"/>
    <mergeCell ref="C47:E47"/>
    <mergeCell ref="P9:P10"/>
    <mergeCell ref="I9:O9"/>
    <mergeCell ref="F9:H9"/>
    <mergeCell ref="C9:E10"/>
    <mergeCell ref="D39:E39"/>
    <mergeCell ref="D40:E40"/>
    <mergeCell ref="D41:E41"/>
    <mergeCell ref="D33:E33"/>
  </mergeCells>
  <phoneticPr fontId="34"/>
  <pageMargins left="0.7" right="0.7" top="0.75" bottom="0.75" header="0.3" footer="0.3"/>
  <pageSetup paperSize="9" scale="6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45"/>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230</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400771</v>
      </c>
      <c r="G11" s="273">
        <v>2533657</v>
      </c>
      <c r="H11" s="275">
        <v>2934428</v>
      </c>
      <c r="I11" s="276"/>
      <c r="J11" s="273">
        <v>4673141</v>
      </c>
      <c r="K11" s="273">
        <v>10396741</v>
      </c>
      <c r="L11" s="273">
        <v>11139317</v>
      </c>
      <c r="M11" s="273">
        <v>4848900</v>
      </c>
      <c r="N11" s="273">
        <v>3020900</v>
      </c>
      <c r="O11" s="273">
        <v>34078999</v>
      </c>
      <c r="P11" s="277">
        <v>37013427</v>
      </c>
    </row>
    <row r="12" spans="1:17" ht="18" customHeight="1">
      <c r="C12" s="61"/>
      <c r="D12" s="278" t="s">
        <v>234</v>
      </c>
      <c r="F12" s="279">
        <v>120904</v>
      </c>
      <c r="G12" s="280">
        <v>153417</v>
      </c>
      <c r="H12" s="281">
        <v>274321</v>
      </c>
      <c r="I12" s="282"/>
      <c r="J12" s="280">
        <v>338631</v>
      </c>
      <c r="K12" s="279">
        <v>1298652</v>
      </c>
      <c r="L12" s="279">
        <v>2394368</v>
      </c>
      <c r="M12" s="279">
        <v>1087635</v>
      </c>
      <c r="N12" s="280">
        <v>984782</v>
      </c>
      <c r="O12" s="279">
        <v>6104068</v>
      </c>
      <c r="P12" s="283">
        <v>6378389</v>
      </c>
    </row>
    <row r="13" spans="1:17" ht="18" customHeight="1">
      <c r="C13" s="61"/>
      <c r="D13" s="284"/>
      <c r="E13" s="285" t="s">
        <v>185</v>
      </c>
      <c r="F13" s="286">
        <v>0</v>
      </c>
      <c r="G13" s="287">
        <v>0</v>
      </c>
      <c r="H13" s="281">
        <v>0</v>
      </c>
      <c r="I13" s="288"/>
      <c r="J13" s="287">
        <v>279017</v>
      </c>
      <c r="K13" s="286">
        <v>789317</v>
      </c>
      <c r="L13" s="286">
        <v>1770648</v>
      </c>
      <c r="M13" s="286">
        <v>819095</v>
      </c>
      <c r="N13" s="287">
        <v>820363</v>
      </c>
      <c r="O13" s="279">
        <v>4478440</v>
      </c>
      <c r="P13" s="283">
        <v>4478440</v>
      </c>
    </row>
    <row r="14" spans="1:17" ht="18" customHeight="1">
      <c r="C14" s="61"/>
      <c r="D14" s="284"/>
      <c r="E14" s="285" t="s">
        <v>186</v>
      </c>
      <c r="F14" s="286">
        <v>5838</v>
      </c>
      <c r="G14" s="287">
        <v>0</v>
      </c>
      <c r="H14" s="281">
        <v>5838</v>
      </c>
      <c r="I14" s="288"/>
      <c r="J14" s="287">
        <v>0</v>
      </c>
      <c r="K14" s="286">
        <v>160373</v>
      </c>
      <c r="L14" s="286">
        <v>109729</v>
      </c>
      <c r="M14" s="286">
        <v>170494</v>
      </c>
      <c r="N14" s="287">
        <v>79473</v>
      </c>
      <c r="O14" s="279">
        <v>520069</v>
      </c>
      <c r="P14" s="283">
        <v>525907</v>
      </c>
    </row>
    <row r="15" spans="1:17" ht="18" customHeight="1">
      <c r="C15" s="61"/>
      <c r="D15" s="284"/>
      <c r="E15" s="285" t="s">
        <v>187</v>
      </c>
      <c r="F15" s="286">
        <v>17046</v>
      </c>
      <c r="G15" s="287">
        <v>0</v>
      </c>
      <c r="H15" s="281">
        <v>17046</v>
      </c>
      <c r="I15" s="288"/>
      <c r="J15" s="287">
        <v>0</v>
      </c>
      <c r="K15" s="286">
        <v>30958</v>
      </c>
      <c r="L15" s="286">
        <v>68844</v>
      </c>
      <c r="M15" s="286">
        <v>24098</v>
      </c>
      <c r="N15" s="287">
        <v>37507</v>
      </c>
      <c r="O15" s="279">
        <v>161407</v>
      </c>
      <c r="P15" s="283">
        <v>178453</v>
      </c>
    </row>
    <row r="16" spans="1:17" ht="18" customHeight="1">
      <c r="C16" s="61"/>
      <c r="D16" s="284"/>
      <c r="E16" s="285" t="s">
        <v>188</v>
      </c>
      <c r="F16" s="286">
        <v>98020</v>
      </c>
      <c r="G16" s="287">
        <v>153417</v>
      </c>
      <c r="H16" s="281">
        <v>251437</v>
      </c>
      <c r="I16" s="288"/>
      <c r="J16" s="287">
        <v>56785</v>
      </c>
      <c r="K16" s="286">
        <v>287971</v>
      </c>
      <c r="L16" s="286">
        <v>385512</v>
      </c>
      <c r="M16" s="286">
        <v>50826</v>
      </c>
      <c r="N16" s="287">
        <v>15981</v>
      </c>
      <c r="O16" s="279">
        <v>797075</v>
      </c>
      <c r="P16" s="283">
        <v>1048512</v>
      </c>
    </row>
    <row r="17" spans="3:16" ht="18" customHeight="1">
      <c r="C17" s="61"/>
      <c r="D17" s="284"/>
      <c r="E17" s="285" t="s">
        <v>189</v>
      </c>
      <c r="F17" s="286">
        <v>0</v>
      </c>
      <c r="G17" s="287">
        <v>0</v>
      </c>
      <c r="H17" s="281">
        <v>0</v>
      </c>
      <c r="I17" s="288"/>
      <c r="J17" s="287">
        <v>2829</v>
      </c>
      <c r="K17" s="286">
        <v>30033</v>
      </c>
      <c r="L17" s="286">
        <v>59635</v>
      </c>
      <c r="M17" s="286">
        <v>23122</v>
      </c>
      <c r="N17" s="287">
        <v>31458</v>
      </c>
      <c r="O17" s="279">
        <v>147077</v>
      </c>
      <c r="P17" s="283">
        <v>147077</v>
      </c>
    </row>
    <row r="18" spans="3:16" ht="18" customHeight="1">
      <c r="C18" s="61"/>
      <c r="D18" s="278" t="s">
        <v>235</v>
      </c>
      <c r="E18" s="289"/>
      <c r="F18" s="279">
        <v>162017</v>
      </c>
      <c r="G18" s="280">
        <v>1932307</v>
      </c>
      <c r="H18" s="281">
        <v>2094324</v>
      </c>
      <c r="I18" s="282"/>
      <c r="J18" s="280">
        <v>3095240</v>
      </c>
      <c r="K18" s="279">
        <v>6097796</v>
      </c>
      <c r="L18" s="279">
        <v>6026907</v>
      </c>
      <c r="M18" s="279">
        <v>2224748</v>
      </c>
      <c r="N18" s="280">
        <v>1254720</v>
      </c>
      <c r="O18" s="279">
        <v>18699411</v>
      </c>
      <c r="P18" s="283">
        <v>20793735</v>
      </c>
    </row>
    <row r="19" spans="3:16" ht="18" customHeight="1">
      <c r="C19" s="61"/>
      <c r="D19" s="284"/>
      <c r="E19" s="290" t="s">
        <v>190</v>
      </c>
      <c r="F19" s="286">
        <v>0</v>
      </c>
      <c r="G19" s="287">
        <v>0</v>
      </c>
      <c r="H19" s="281">
        <v>0</v>
      </c>
      <c r="I19" s="288"/>
      <c r="J19" s="287">
        <v>1100843</v>
      </c>
      <c r="K19" s="286">
        <v>2388873</v>
      </c>
      <c r="L19" s="286">
        <v>2225673</v>
      </c>
      <c r="M19" s="286">
        <v>874938</v>
      </c>
      <c r="N19" s="287">
        <v>561295</v>
      </c>
      <c r="O19" s="279">
        <v>7151622</v>
      </c>
      <c r="P19" s="283">
        <v>7151622</v>
      </c>
    </row>
    <row r="20" spans="3:16" ht="18" customHeight="1">
      <c r="C20" s="61"/>
      <c r="D20" s="284"/>
      <c r="E20" s="290" t="s">
        <v>191</v>
      </c>
      <c r="F20" s="286">
        <v>162017</v>
      </c>
      <c r="G20" s="287">
        <v>1932307</v>
      </c>
      <c r="H20" s="281">
        <v>2094324</v>
      </c>
      <c r="I20" s="288"/>
      <c r="J20" s="287">
        <v>1994397</v>
      </c>
      <c r="K20" s="286">
        <v>3708923</v>
      </c>
      <c r="L20" s="286">
        <v>3801234</v>
      </c>
      <c r="M20" s="286">
        <v>1349810</v>
      </c>
      <c r="N20" s="287">
        <v>693425</v>
      </c>
      <c r="O20" s="279">
        <v>11547789</v>
      </c>
      <c r="P20" s="283">
        <v>13642113</v>
      </c>
    </row>
    <row r="21" spans="3:16" ht="18" customHeight="1">
      <c r="C21" s="61"/>
      <c r="D21" s="278" t="s">
        <v>236</v>
      </c>
      <c r="F21" s="279">
        <v>2257</v>
      </c>
      <c r="G21" s="280">
        <v>33076</v>
      </c>
      <c r="H21" s="281">
        <v>35333</v>
      </c>
      <c r="I21" s="282"/>
      <c r="J21" s="280">
        <v>243943</v>
      </c>
      <c r="K21" s="279">
        <v>508006</v>
      </c>
      <c r="L21" s="279">
        <v>847861</v>
      </c>
      <c r="M21" s="279">
        <v>615044</v>
      </c>
      <c r="N21" s="280">
        <v>225059</v>
      </c>
      <c r="O21" s="279">
        <v>2439913</v>
      </c>
      <c r="P21" s="283">
        <v>2475246</v>
      </c>
    </row>
    <row r="22" spans="3:16" ht="18" customHeight="1">
      <c r="C22" s="61"/>
      <c r="D22" s="284"/>
      <c r="E22" s="285" t="s">
        <v>192</v>
      </c>
      <c r="F22" s="286">
        <v>2257</v>
      </c>
      <c r="G22" s="287">
        <v>4178</v>
      </c>
      <c r="H22" s="281">
        <v>6435</v>
      </c>
      <c r="I22" s="288"/>
      <c r="J22" s="287">
        <v>98805</v>
      </c>
      <c r="K22" s="286">
        <v>80854</v>
      </c>
      <c r="L22" s="286">
        <v>576601</v>
      </c>
      <c r="M22" s="286">
        <v>509202</v>
      </c>
      <c r="N22" s="287">
        <v>73418</v>
      </c>
      <c r="O22" s="279">
        <v>1338880</v>
      </c>
      <c r="P22" s="283">
        <v>1345315</v>
      </c>
    </row>
    <row r="23" spans="3:16" ht="18" customHeight="1">
      <c r="C23" s="61"/>
      <c r="D23" s="284"/>
      <c r="E23" s="285" t="s">
        <v>193</v>
      </c>
      <c r="F23" s="286">
        <v>0</v>
      </c>
      <c r="G23" s="287">
        <v>28898</v>
      </c>
      <c r="H23" s="281">
        <v>28898</v>
      </c>
      <c r="I23" s="288"/>
      <c r="J23" s="287">
        <v>145138</v>
      </c>
      <c r="K23" s="286">
        <v>427152</v>
      </c>
      <c r="L23" s="286">
        <v>271260</v>
      </c>
      <c r="M23" s="286">
        <v>105842</v>
      </c>
      <c r="N23" s="287">
        <v>151641</v>
      </c>
      <c r="O23" s="279">
        <v>1101033</v>
      </c>
      <c r="P23" s="283">
        <v>1129931</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66370</v>
      </c>
      <c r="G26" s="279">
        <v>226701</v>
      </c>
      <c r="H26" s="281">
        <v>293071</v>
      </c>
      <c r="I26" s="282"/>
      <c r="J26" s="280">
        <v>180915</v>
      </c>
      <c r="K26" s="279">
        <v>860302</v>
      </c>
      <c r="L26" s="279">
        <v>624537</v>
      </c>
      <c r="M26" s="279">
        <v>362888</v>
      </c>
      <c r="N26" s="280">
        <v>340565</v>
      </c>
      <c r="O26" s="279">
        <v>2369207</v>
      </c>
      <c r="P26" s="283">
        <v>2662278</v>
      </c>
    </row>
    <row r="27" spans="3:16" ht="18" customHeight="1">
      <c r="C27" s="61"/>
      <c r="D27" s="284"/>
      <c r="E27" s="285" t="s">
        <v>196</v>
      </c>
      <c r="F27" s="323">
        <v>66370</v>
      </c>
      <c r="G27" s="324">
        <v>226701</v>
      </c>
      <c r="H27" s="281">
        <v>293071</v>
      </c>
      <c r="I27" s="288"/>
      <c r="J27" s="324">
        <v>180915</v>
      </c>
      <c r="K27" s="323">
        <v>860302</v>
      </c>
      <c r="L27" s="323">
        <v>624537</v>
      </c>
      <c r="M27" s="323">
        <v>362888</v>
      </c>
      <c r="N27" s="324">
        <v>340565</v>
      </c>
      <c r="O27" s="279">
        <v>2369207</v>
      </c>
      <c r="P27" s="283">
        <v>2662278</v>
      </c>
    </row>
    <row r="28" spans="3:16" ht="18" customHeight="1">
      <c r="C28" s="308"/>
      <c r="D28" s="314" t="s">
        <v>246</v>
      </c>
      <c r="E28" s="289"/>
      <c r="F28" s="310">
        <v>0</v>
      </c>
      <c r="G28" s="310">
        <v>0</v>
      </c>
      <c r="H28" s="311">
        <v>0</v>
      </c>
      <c r="I28" s="288"/>
      <c r="J28" s="310">
        <v>69054</v>
      </c>
      <c r="K28" s="309">
        <v>256447</v>
      </c>
      <c r="L28" s="309">
        <v>0</v>
      </c>
      <c r="M28" s="309">
        <v>68526</v>
      </c>
      <c r="N28" s="310">
        <v>0</v>
      </c>
      <c r="O28" s="312">
        <v>394027</v>
      </c>
      <c r="P28" s="313">
        <v>394027</v>
      </c>
    </row>
    <row r="29" spans="3:16" ht="18" customHeight="1">
      <c r="C29" s="299"/>
      <c r="D29" s="300" t="s">
        <v>198</v>
      </c>
      <c r="E29" s="301"/>
      <c r="F29" s="302">
        <v>49223</v>
      </c>
      <c r="G29" s="303">
        <v>188156</v>
      </c>
      <c r="H29" s="304">
        <v>237379</v>
      </c>
      <c r="I29" s="288"/>
      <c r="J29" s="303">
        <v>745358</v>
      </c>
      <c r="K29" s="302">
        <v>1375538</v>
      </c>
      <c r="L29" s="302">
        <v>1245644</v>
      </c>
      <c r="M29" s="302">
        <v>490059</v>
      </c>
      <c r="N29" s="303">
        <v>215774</v>
      </c>
      <c r="O29" s="304">
        <v>4072373</v>
      </c>
      <c r="P29" s="305">
        <v>4309752</v>
      </c>
    </row>
    <row r="30" spans="3:16" ht="18" customHeight="1">
      <c r="C30" s="271" t="s">
        <v>240</v>
      </c>
      <c r="D30" s="306"/>
      <c r="E30" s="307"/>
      <c r="F30" s="273">
        <v>0</v>
      </c>
      <c r="G30" s="274">
        <v>0</v>
      </c>
      <c r="H30" s="275">
        <v>0</v>
      </c>
      <c r="I30" s="276"/>
      <c r="J30" s="325">
        <v>3097182</v>
      </c>
      <c r="K30" s="273">
        <v>3946254</v>
      </c>
      <c r="L30" s="273">
        <v>6402837</v>
      </c>
      <c r="M30" s="273">
        <v>4419824</v>
      </c>
      <c r="N30" s="274">
        <v>3062990</v>
      </c>
      <c r="O30" s="273">
        <v>20929087</v>
      </c>
      <c r="P30" s="277">
        <v>20929087</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36103</v>
      </c>
      <c r="K33" s="286">
        <v>0</v>
      </c>
      <c r="L33" s="286">
        <v>0</v>
      </c>
      <c r="M33" s="286">
        <v>0</v>
      </c>
      <c r="N33" s="287">
        <v>0</v>
      </c>
      <c r="O33" s="279">
        <v>36103</v>
      </c>
      <c r="P33" s="283">
        <v>36103</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3061079</v>
      </c>
      <c r="K36" s="286">
        <v>3505332</v>
      </c>
      <c r="L36" s="286">
        <v>2088499</v>
      </c>
      <c r="M36" s="286">
        <v>757143</v>
      </c>
      <c r="N36" s="287">
        <v>392962</v>
      </c>
      <c r="O36" s="279">
        <v>9805015</v>
      </c>
      <c r="P36" s="283">
        <v>9805015</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440922</v>
      </c>
      <c r="L38" s="328">
        <v>4314338</v>
      </c>
      <c r="M38" s="328">
        <v>3662681</v>
      </c>
      <c r="N38" s="329">
        <v>2297145</v>
      </c>
      <c r="O38" s="279">
        <v>10715086</v>
      </c>
      <c r="P38" s="283">
        <v>10715086</v>
      </c>
    </row>
    <row r="39" spans="3:16" ht="18" customHeight="1">
      <c r="C39" s="315"/>
      <c r="D39" s="770" t="s">
        <v>241</v>
      </c>
      <c r="E39" s="772"/>
      <c r="F39" s="286">
        <v>0</v>
      </c>
      <c r="G39" s="286">
        <v>0</v>
      </c>
      <c r="H39" s="281">
        <v>0</v>
      </c>
      <c r="I39" s="288"/>
      <c r="J39" s="330">
        <v>0</v>
      </c>
      <c r="K39" s="302">
        <v>0</v>
      </c>
      <c r="L39" s="302">
        <v>0</v>
      </c>
      <c r="M39" s="302">
        <v>0</v>
      </c>
      <c r="N39" s="303">
        <v>372883</v>
      </c>
      <c r="O39" s="316">
        <v>372883</v>
      </c>
      <c r="P39" s="305">
        <v>372883</v>
      </c>
    </row>
    <row r="40" spans="3:16" ht="18" customHeight="1">
      <c r="C40" s="61" t="s">
        <v>242</v>
      </c>
      <c r="F40" s="274">
        <v>0</v>
      </c>
      <c r="G40" s="274">
        <v>0</v>
      </c>
      <c r="H40" s="275">
        <v>0</v>
      </c>
      <c r="I40" s="276"/>
      <c r="J40" s="325">
        <v>1796320</v>
      </c>
      <c r="K40" s="273">
        <v>5815151</v>
      </c>
      <c r="L40" s="273">
        <v>14153904</v>
      </c>
      <c r="M40" s="273">
        <v>18407214</v>
      </c>
      <c r="N40" s="274">
        <v>13083564</v>
      </c>
      <c r="O40" s="273">
        <v>53256153</v>
      </c>
      <c r="P40" s="277">
        <v>53256153</v>
      </c>
    </row>
    <row r="41" spans="3:16" ht="18" customHeight="1">
      <c r="C41" s="61"/>
      <c r="D41" s="317" t="s">
        <v>113</v>
      </c>
      <c r="E41" s="317"/>
      <c r="F41" s="287">
        <v>0</v>
      </c>
      <c r="G41" s="287">
        <v>0</v>
      </c>
      <c r="H41" s="281">
        <v>0</v>
      </c>
      <c r="I41" s="288"/>
      <c r="J41" s="287">
        <v>268505</v>
      </c>
      <c r="K41" s="287">
        <v>751430</v>
      </c>
      <c r="L41" s="287">
        <v>7040939</v>
      </c>
      <c r="M41" s="287">
        <v>9176048</v>
      </c>
      <c r="N41" s="287">
        <v>8320742</v>
      </c>
      <c r="O41" s="279">
        <v>25557664</v>
      </c>
      <c r="P41" s="283">
        <v>25557664</v>
      </c>
    </row>
    <row r="42" spans="3:16" ht="18" customHeight="1">
      <c r="C42" s="61"/>
      <c r="D42" s="317" t="s">
        <v>114</v>
      </c>
      <c r="E42" s="317"/>
      <c r="F42" s="286">
        <v>0</v>
      </c>
      <c r="G42" s="287">
        <v>0</v>
      </c>
      <c r="H42" s="281">
        <v>0</v>
      </c>
      <c r="I42" s="288"/>
      <c r="J42" s="287">
        <v>1527815</v>
      </c>
      <c r="K42" s="286">
        <v>5063721</v>
      </c>
      <c r="L42" s="287">
        <v>7112965</v>
      </c>
      <c r="M42" s="286">
        <v>9231166</v>
      </c>
      <c r="N42" s="287">
        <v>4762822</v>
      </c>
      <c r="O42" s="279">
        <v>27698489</v>
      </c>
      <c r="P42" s="283">
        <v>27698489</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400771</v>
      </c>
      <c r="G45" s="331">
        <v>2533657</v>
      </c>
      <c r="H45" s="321">
        <v>2934428</v>
      </c>
      <c r="I45" s="224"/>
      <c r="J45" s="332">
        <v>9566643</v>
      </c>
      <c r="K45" s="320">
        <v>20158146</v>
      </c>
      <c r="L45" s="320">
        <v>31696058</v>
      </c>
      <c r="M45" s="320">
        <v>27675938</v>
      </c>
      <c r="N45" s="331">
        <v>19167454</v>
      </c>
      <c r="O45" s="320">
        <v>108264239</v>
      </c>
      <c r="P45" s="322">
        <v>111198667</v>
      </c>
    </row>
  </sheetData>
  <sheetProtection selectLockedCells="1" selectUnlockedCells="1"/>
  <mergeCells count="9">
    <mergeCell ref="C45:E45"/>
    <mergeCell ref="D38:E38"/>
    <mergeCell ref="D39:E39"/>
    <mergeCell ref="A3:Q3"/>
    <mergeCell ref="C9:E10"/>
    <mergeCell ref="P9:P10"/>
    <mergeCell ref="I9:O9"/>
    <mergeCell ref="F9:H9"/>
    <mergeCell ref="A4:Q4"/>
  </mergeCells>
  <phoneticPr fontId="34"/>
  <pageMargins left="0.7" right="0.7" top="0.75" bottom="0.75" header="0.3" footer="0.3"/>
  <pageSetup paperSize="9" scale="6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230</v>
      </c>
    </row>
    <row r="8" spans="1:17" ht="18" customHeight="1">
      <c r="C8" s="121"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4007710</v>
      </c>
      <c r="G11" s="274">
        <v>25761110</v>
      </c>
      <c r="H11" s="275">
        <v>29768820</v>
      </c>
      <c r="I11" s="276"/>
      <c r="J11" s="274">
        <v>47008678</v>
      </c>
      <c r="K11" s="274">
        <v>105029614</v>
      </c>
      <c r="L11" s="273">
        <v>112340572</v>
      </c>
      <c r="M11" s="274">
        <v>48774539</v>
      </c>
      <c r="N11" s="274">
        <v>30458148</v>
      </c>
      <c r="O11" s="273">
        <v>343611551</v>
      </c>
      <c r="P11" s="277">
        <v>373380371</v>
      </c>
    </row>
    <row r="12" spans="1:17" ht="18" customHeight="1">
      <c r="C12" s="61"/>
      <c r="D12" s="278" t="s">
        <v>234</v>
      </c>
      <c r="F12" s="279">
        <v>1209040</v>
      </c>
      <c r="G12" s="280">
        <v>1534170</v>
      </c>
      <c r="H12" s="281">
        <v>2743210</v>
      </c>
      <c r="I12" s="282"/>
      <c r="J12" s="280">
        <v>3397500</v>
      </c>
      <c r="K12" s="279">
        <v>13066754</v>
      </c>
      <c r="L12" s="279">
        <v>24307483</v>
      </c>
      <c r="M12" s="279">
        <v>11061475</v>
      </c>
      <c r="N12" s="280">
        <v>10030230</v>
      </c>
      <c r="O12" s="279">
        <v>61863442</v>
      </c>
      <c r="P12" s="283">
        <v>64606652</v>
      </c>
    </row>
    <row r="13" spans="1:17" ht="18" customHeight="1">
      <c r="C13" s="61"/>
      <c r="D13" s="284"/>
      <c r="E13" s="285" t="s">
        <v>185</v>
      </c>
      <c r="F13" s="286">
        <v>0</v>
      </c>
      <c r="G13" s="287">
        <v>0</v>
      </c>
      <c r="H13" s="281">
        <v>0</v>
      </c>
      <c r="I13" s="288"/>
      <c r="J13" s="287">
        <v>2801360</v>
      </c>
      <c r="K13" s="286">
        <v>7926602</v>
      </c>
      <c r="L13" s="286">
        <v>18041601</v>
      </c>
      <c r="M13" s="286">
        <v>8338151</v>
      </c>
      <c r="N13" s="287">
        <v>8369532</v>
      </c>
      <c r="O13" s="279">
        <v>45477246</v>
      </c>
      <c r="P13" s="283">
        <v>45477246</v>
      </c>
    </row>
    <row r="14" spans="1:17" ht="18" customHeight="1">
      <c r="C14" s="61"/>
      <c r="D14" s="284"/>
      <c r="E14" s="285" t="s">
        <v>186</v>
      </c>
      <c r="F14" s="286">
        <v>58380</v>
      </c>
      <c r="G14" s="287">
        <v>0</v>
      </c>
      <c r="H14" s="281">
        <v>58380</v>
      </c>
      <c r="I14" s="288"/>
      <c r="J14" s="287">
        <v>0</v>
      </c>
      <c r="K14" s="286">
        <v>1650532</v>
      </c>
      <c r="L14" s="286">
        <v>1120038</v>
      </c>
      <c r="M14" s="286">
        <v>1742864</v>
      </c>
      <c r="N14" s="287">
        <v>795491</v>
      </c>
      <c r="O14" s="279">
        <v>5308925</v>
      </c>
      <c r="P14" s="283">
        <v>5367305</v>
      </c>
    </row>
    <row r="15" spans="1:17" ht="18" customHeight="1">
      <c r="C15" s="61"/>
      <c r="D15" s="284"/>
      <c r="E15" s="285" t="s">
        <v>187</v>
      </c>
      <c r="F15" s="286">
        <v>170460</v>
      </c>
      <c r="G15" s="287">
        <v>0</v>
      </c>
      <c r="H15" s="281">
        <v>170460</v>
      </c>
      <c r="I15" s="288"/>
      <c r="J15" s="287">
        <v>0</v>
      </c>
      <c r="K15" s="286">
        <v>309580</v>
      </c>
      <c r="L15" s="286">
        <v>694374</v>
      </c>
      <c r="M15" s="286">
        <v>240980</v>
      </c>
      <c r="N15" s="287">
        <v>390817</v>
      </c>
      <c r="O15" s="279">
        <v>1635751</v>
      </c>
      <c r="P15" s="283">
        <v>1806211</v>
      </c>
    </row>
    <row r="16" spans="1:17" ht="18" customHeight="1">
      <c r="C16" s="61"/>
      <c r="D16" s="284"/>
      <c r="E16" s="285" t="s">
        <v>188</v>
      </c>
      <c r="F16" s="286">
        <v>980200</v>
      </c>
      <c r="G16" s="287">
        <v>1534170</v>
      </c>
      <c r="H16" s="281">
        <v>2514370</v>
      </c>
      <c r="I16" s="288"/>
      <c r="J16" s="287">
        <v>567850</v>
      </c>
      <c r="K16" s="286">
        <v>2879710</v>
      </c>
      <c r="L16" s="286">
        <v>3855120</v>
      </c>
      <c r="M16" s="286">
        <v>508260</v>
      </c>
      <c r="N16" s="287">
        <v>159810</v>
      </c>
      <c r="O16" s="279">
        <v>7970750</v>
      </c>
      <c r="P16" s="283">
        <v>10485120</v>
      </c>
    </row>
    <row r="17" spans="3:16" ht="18" customHeight="1">
      <c r="C17" s="61"/>
      <c r="D17" s="284"/>
      <c r="E17" s="285" t="s">
        <v>189</v>
      </c>
      <c r="F17" s="286">
        <v>0</v>
      </c>
      <c r="G17" s="287">
        <v>0</v>
      </c>
      <c r="H17" s="281">
        <v>0</v>
      </c>
      <c r="I17" s="288"/>
      <c r="J17" s="287">
        <v>28290</v>
      </c>
      <c r="K17" s="286">
        <v>300330</v>
      </c>
      <c r="L17" s="286">
        <v>596350</v>
      </c>
      <c r="M17" s="286">
        <v>231220</v>
      </c>
      <c r="N17" s="287">
        <v>314580</v>
      </c>
      <c r="O17" s="279">
        <v>1470770</v>
      </c>
      <c r="P17" s="283">
        <v>1470770</v>
      </c>
    </row>
    <row r="18" spans="3:16" ht="18" customHeight="1">
      <c r="C18" s="61"/>
      <c r="D18" s="278" t="s">
        <v>235</v>
      </c>
      <c r="E18" s="289"/>
      <c r="F18" s="279">
        <v>1620170</v>
      </c>
      <c r="G18" s="280">
        <v>19323070</v>
      </c>
      <c r="H18" s="281">
        <v>20943240</v>
      </c>
      <c r="I18" s="282"/>
      <c r="J18" s="280">
        <v>30990945</v>
      </c>
      <c r="K18" s="279">
        <v>61110014</v>
      </c>
      <c r="L18" s="279">
        <v>60296826</v>
      </c>
      <c r="M18" s="279">
        <v>22268510</v>
      </c>
      <c r="N18" s="280">
        <v>12547200</v>
      </c>
      <c r="O18" s="279">
        <v>187213495</v>
      </c>
      <c r="P18" s="283">
        <v>208156735</v>
      </c>
    </row>
    <row r="19" spans="3:16" ht="18" customHeight="1">
      <c r="C19" s="61"/>
      <c r="D19" s="284"/>
      <c r="E19" s="290" t="s">
        <v>190</v>
      </c>
      <c r="F19" s="286">
        <v>0</v>
      </c>
      <c r="G19" s="287">
        <v>0</v>
      </c>
      <c r="H19" s="281">
        <v>0</v>
      </c>
      <c r="I19" s="288"/>
      <c r="J19" s="287">
        <v>11008430</v>
      </c>
      <c r="K19" s="286">
        <v>23913047</v>
      </c>
      <c r="L19" s="286">
        <v>22256730</v>
      </c>
      <c r="M19" s="286">
        <v>8768133</v>
      </c>
      <c r="N19" s="287">
        <v>5612950</v>
      </c>
      <c r="O19" s="279">
        <v>71559290</v>
      </c>
      <c r="P19" s="283">
        <v>71559290</v>
      </c>
    </row>
    <row r="20" spans="3:16" ht="18" customHeight="1">
      <c r="C20" s="61"/>
      <c r="D20" s="284"/>
      <c r="E20" s="290" t="s">
        <v>191</v>
      </c>
      <c r="F20" s="286">
        <v>1620170</v>
      </c>
      <c r="G20" s="287">
        <v>19323070</v>
      </c>
      <c r="H20" s="281">
        <v>20943240</v>
      </c>
      <c r="I20" s="288"/>
      <c r="J20" s="287">
        <v>19982515</v>
      </c>
      <c r="K20" s="286">
        <v>37196967</v>
      </c>
      <c r="L20" s="286">
        <v>38040096</v>
      </c>
      <c r="M20" s="286">
        <v>13500377</v>
      </c>
      <c r="N20" s="287">
        <v>6934250</v>
      </c>
      <c r="O20" s="279">
        <v>115654205</v>
      </c>
      <c r="P20" s="283">
        <v>136597445</v>
      </c>
    </row>
    <row r="21" spans="3:16" ht="18" customHeight="1">
      <c r="C21" s="61"/>
      <c r="D21" s="278" t="s">
        <v>236</v>
      </c>
      <c r="F21" s="279">
        <v>22570</v>
      </c>
      <c r="G21" s="280">
        <v>330760</v>
      </c>
      <c r="H21" s="281">
        <v>353330</v>
      </c>
      <c r="I21" s="282"/>
      <c r="J21" s="280">
        <v>2448321</v>
      </c>
      <c r="K21" s="279">
        <v>5080060</v>
      </c>
      <c r="L21" s="279">
        <v>8566048</v>
      </c>
      <c r="M21" s="279">
        <v>6182746</v>
      </c>
      <c r="N21" s="280">
        <v>2250590</v>
      </c>
      <c r="O21" s="279">
        <v>24527765</v>
      </c>
      <c r="P21" s="283">
        <v>24881095</v>
      </c>
    </row>
    <row r="22" spans="3:16" ht="18" customHeight="1">
      <c r="C22" s="61"/>
      <c r="D22" s="284"/>
      <c r="E22" s="285" t="s">
        <v>192</v>
      </c>
      <c r="F22" s="286">
        <v>22570</v>
      </c>
      <c r="G22" s="287">
        <v>41780</v>
      </c>
      <c r="H22" s="281">
        <v>64350</v>
      </c>
      <c r="I22" s="288"/>
      <c r="J22" s="287">
        <v>991061</v>
      </c>
      <c r="K22" s="286">
        <v>808540</v>
      </c>
      <c r="L22" s="286">
        <v>5853448</v>
      </c>
      <c r="M22" s="286">
        <v>5124326</v>
      </c>
      <c r="N22" s="287">
        <v>734180</v>
      </c>
      <c r="O22" s="279">
        <v>13511555</v>
      </c>
      <c r="P22" s="283">
        <v>13575905</v>
      </c>
    </row>
    <row r="23" spans="3:16" ht="18" customHeight="1">
      <c r="C23" s="61"/>
      <c r="D23" s="284"/>
      <c r="E23" s="285" t="s">
        <v>193</v>
      </c>
      <c r="F23" s="286">
        <v>0</v>
      </c>
      <c r="G23" s="287">
        <v>288980</v>
      </c>
      <c r="H23" s="281">
        <v>288980</v>
      </c>
      <c r="I23" s="288"/>
      <c r="J23" s="287">
        <v>1457260</v>
      </c>
      <c r="K23" s="286">
        <v>4271520</v>
      </c>
      <c r="L23" s="286">
        <v>2712600</v>
      </c>
      <c r="M23" s="286">
        <v>1058420</v>
      </c>
      <c r="N23" s="287">
        <v>1516410</v>
      </c>
      <c r="O23" s="279">
        <v>11016210</v>
      </c>
      <c r="P23" s="283">
        <v>11305190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663700</v>
      </c>
      <c r="G26" s="280">
        <v>2691550</v>
      </c>
      <c r="H26" s="281">
        <v>3355250</v>
      </c>
      <c r="I26" s="282"/>
      <c r="J26" s="280">
        <v>2009150</v>
      </c>
      <c r="K26" s="279">
        <v>9377905</v>
      </c>
      <c r="L26" s="279">
        <v>6697485</v>
      </c>
      <c r="M26" s="279">
        <v>3660780</v>
      </c>
      <c r="N26" s="280">
        <v>3466040</v>
      </c>
      <c r="O26" s="279">
        <v>25211360</v>
      </c>
      <c r="P26" s="283">
        <v>28566610</v>
      </c>
    </row>
    <row r="27" spans="3:16" ht="18" customHeight="1">
      <c r="C27" s="61"/>
      <c r="D27" s="284"/>
      <c r="E27" s="292" t="s">
        <v>196</v>
      </c>
      <c r="F27" s="286">
        <v>663700</v>
      </c>
      <c r="G27" s="287">
        <v>2267010</v>
      </c>
      <c r="H27" s="281">
        <v>2930710</v>
      </c>
      <c r="I27" s="288"/>
      <c r="J27" s="287">
        <v>1809150</v>
      </c>
      <c r="K27" s="286">
        <v>8603020</v>
      </c>
      <c r="L27" s="286">
        <v>6245370</v>
      </c>
      <c r="M27" s="286">
        <v>3628880</v>
      </c>
      <c r="N27" s="287">
        <v>3405650</v>
      </c>
      <c r="O27" s="279">
        <v>23692070</v>
      </c>
      <c r="P27" s="283">
        <v>26622780</v>
      </c>
    </row>
    <row r="28" spans="3:16" ht="18" customHeight="1">
      <c r="C28" s="61"/>
      <c r="D28" s="293"/>
      <c r="E28" s="290" t="s">
        <v>238</v>
      </c>
      <c r="F28" s="294">
        <v>0</v>
      </c>
      <c r="G28" s="295">
        <v>78540</v>
      </c>
      <c r="H28" s="281">
        <v>78540</v>
      </c>
      <c r="I28" s="296"/>
      <c r="J28" s="295">
        <v>0</v>
      </c>
      <c r="K28" s="294">
        <v>165305</v>
      </c>
      <c r="L28" s="294">
        <v>268115</v>
      </c>
      <c r="M28" s="294">
        <v>31900</v>
      </c>
      <c r="N28" s="295">
        <v>60390</v>
      </c>
      <c r="O28" s="279">
        <v>525710</v>
      </c>
      <c r="P28" s="283">
        <v>604250</v>
      </c>
    </row>
    <row r="29" spans="3:16" ht="18" customHeight="1">
      <c r="C29" s="61"/>
      <c r="D29" s="297"/>
      <c r="E29" s="285" t="s">
        <v>239</v>
      </c>
      <c r="F29" s="294">
        <v>0</v>
      </c>
      <c r="G29" s="295">
        <v>346000</v>
      </c>
      <c r="H29" s="281">
        <v>346000</v>
      </c>
      <c r="I29" s="296"/>
      <c r="J29" s="295">
        <v>200000</v>
      </c>
      <c r="K29" s="294">
        <v>609580</v>
      </c>
      <c r="L29" s="294">
        <v>184000</v>
      </c>
      <c r="M29" s="294">
        <v>0</v>
      </c>
      <c r="N29" s="295">
        <v>0</v>
      </c>
      <c r="O29" s="279">
        <v>993580</v>
      </c>
      <c r="P29" s="283">
        <v>1339580</v>
      </c>
    </row>
    <row r="30" spans="3:16" ht="18" customHeight="1">
      <c r="C30" s="61"/>
      <c r="D30" s="284" t="s">
        <v>197</v>
      </c>
      <c r="E30" s="298"/>
      <c r="F30" s="286">
        <v>0</v>
      </c>
      <c r="G30" s="287">
        <v>0</v>
      </c>
      <c r="H30" s="281">
        <v>0</v>
      </c>
      <c r="I30" s="288"/>
      <c r="J30" s="287">
        <v>709182</v>
      </c>
      <c r="K30" s="286">
        <v>2633706</v>
      </c>
      <c r="L30" s="286">
        <v>0</v>
      </c>
      <c r="M30" s="286">
        <v>685260</v>
      </c>
      <c r="N30" s="287">
        <v>0</v>
      </c>
      <c r="O30" s="279">
        <v>4028148</v>
      </c>
      <c r="P30" s="283">
        <v>4028148</v>
      </c>
    </row>
    <row r="31" spans="3:16" ht="18" customHeight="1">
      <c r="C31" s="299"/>
      <c r="D31" s="300" t="s">
        <v>198</v>
      </c>
      <c r="E31" s="301"/>
      <c r="F31" s="302">
        <v>492230</v>
      </c>
      <c r="G31" s="303">
        <v>1881560</v>
      </c>
      <c r="H31" s="304">
        <v>2373790</v>
      </c>
      <c r="I31" s="288"/>
      <c r="J31" s="303">
        <v>7453580</v>
      </c>
      <c r="K31" s="302">
        <v>13761175</v>
      </c>
      <c r="L31" s="302">
        <v>12472730</v>
      </c>
      <c r="M31" s="302">
        <v>4915768</v>
      </c>
      <c r="N31" s="303">
        <v>2164088</v>
      </c>
      <c r="O31" s="304">
        <v>40767341</v>
      </c>
      <c r="P31" s="305">
        <v>43141131</v>
      </c>
    </row>
    <row r="32" spans="3:16" ht="18" customHeight="1">
      <c r="C32" s="271" t="s">
        <v>240</v>
      </c>
      <c r="D32" s="306"/>
      <c r="E32" s="307"/>
      <c r="F32" s="273">
        <v>0</v>
      </c>
      <c r="G32" s="274">
        <v>0</v>
      </c>
      <c r="H32" s="275">
        <v>0</v>
      </c>
      <c r="I32" s="276"/>
      <c r="J32" s="274">
        <v>30971820</v>
      </c>
      <c r="K32" s="273">
        <v>39462540</v>
      </c>
      <c r="L32" s="273">
        <v>64028370</v>
      </c>
      <c r="M32" s="273">
        <v>44198240</v>
      </c>
      <c r="N32" s="274">
        <v>30752945</v>
      </c>
      <c r="O32" s="273">
        <v>209413915</v>
      </c>
      <c r="P32" s="277">
        <v>209413915</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361030</v>
      </c>
      <c r="K35" s="286">
        <v>0</v>
      </c>
      <c r="L35" s="286">
        <v>0</v>
      </c>
      <c r="M35" s="286">
        <v>0</v>
      </c>
      <c r="N35" s="287">
        <v>0</v>
      </c>
      <c r="O35" s="279">
        <v>361030</v>
      </c>
      <c r="P35" s="283">
        <v>361030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30610790</v>
      </c>
      <c r="K38" s="286">
        <v>35053320</v>
      </c>
      <c r="L38" s="286">
        <v>20884990</v>
      </c>
      <c r="M38" s="286">
        <v>7571430</v>
      </c>
      <c r="N38" s="287">
        <v>3929620</v>
      </c>
      <c r="O38" s="279">
        <v>98050150</v>
      </c>
      <c r="P38" s="283">
        <v>98050150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4409220</v>
      </c>
      <c r="L40" s="309">
        <v>43143380</v>
      </c>
      <c r="M40" s="309">
        <v>36626810</v>
      </c>
      <c r="N40" s="310">
        <v>22971450</v>
      </c>
      <c r="O40" s="312">
        <v>107150860</v>
      </c>
      <c r="P40" s="313">
        <v>107150860</v>
      </c>
    </row>
    <row r="41" spans="3:16" ht="18" customHeight="1">
      <c r="C41" s="315"/>
      <c r="D41" s="770" t="s">
        <v>241</v>
      </c>
      <c r="E41" s="771"/>
      <c r="F41" s="302">
        <v>0</v>
      </c>
      <c r="G41" s="303">
        <v>0</v>
      </c>
      <c r="H41" s="281">
        <v>0</v>
      </c>
      <c r="I41" s="288"/>
      <c r="J41" s="303">
        <v>0</v>
      </c>
      <c r="K41" s="302">
        <v>0</v>
      </c>
      <c r="L41" s="302">
        <v>0</v>
      </c>
      <c r="M41" s="302">
        <v>0</v>
      </c>
      <c r="N41" s="303">
        <v>3851875</v>
      </c>
      <c r="O41" s="316">
        <v>3851875</v>
      </c>
      <c r="P41" s="305">
        <v>3851875</v>
      </c>
    </row>
    <row r="42" spans="3:16" ht="18" customHeight="1">
      <c r="C42" s="61" t="s">
        <v>242</v>
      </c>
      <c r="F42" s="274">
        <v>0</v>
      </c>
      <c r="G42" s="274">
        <v>0</v>
      </c>
      <c r="H42" s="275">
        <v>0</v>
      </c>
      <c r="I42" s="276"/>
      <c r="J42" s="274">
        <v>18144939</v>
      </c>
      <c r="K42" s="273">
        <v>58445087</v>
      </c>
      <c r="L42" s="273">
        <v>142709055</v>
      </c>
      <c r="M42" s="273">
        <v>185709335</v>
      </c>
      <c r="N42" s="274">
        <v>131410786</v>
      </c>
      <c r="O42" s="273">
        <v>536419202</v>
      </c>
      <c r="P42" s="277">
        <v>536419202</v>
      </c>
    </row>
    <row r="43" spans="3:16" ht="18" customHeight="1">
      <c r="C43" s="61"/>
      <c r="D43" s="317" t="s">
        <v>113</v>
      </c>
      <c r="E43" s="317"/>
      <c r="F43" s="287">
        <v>0</v>
      </c>
      <c r="G43" s="287">
        <v>0</v>
      </c>
      <c r="H43" s="281">
        <v>0</v>
      </c>
      <c r="I43" s="288"/>
      <c r="J43" s="287">
        <v>2757538</v>
      </c>
      <c r="K43" s="286">
        <v>7591723</v>
      </c>
      <c r="L43" s="286">
        <v>71326387</v>
      </c>
      <c r="M43" s="286">
        <v>93080148</v>
      </c>
      <c r="N43" s="287">
        <v>83595596</v>
      </c>
      <c r="O43" s="279">
        <v>258351392</v>
      </c>
      <c r="P43" s="283">
        <v>258351392</v>
      </c>
    </row>
    <row r="44" spans="3:16" ht="18" customHeight="1">
      <c r="C44" s="61"/>
      <c r="D44" s="317" t="s">
        <v>114</v>
      </c>
      <c r="E44" s="317"/>
      <c r="F44" s="286">
        <v>0</v>
      </c>
      <c r="G44" s="287">
        <v>0</v>
      </c>
      <c r="H44" s="281">
        <v>0</v>
      </c>
      <c r="I44" s="288"/>
      <c r="J44" s="287">
        <v>15387401</v>
      </c>
      <c r="K44" s="286">
        <v>50853364</v>
      </c>
      <c r="L44" s="286">
        <v>71382668</v>
      </c>
      <c r="M44" s="286">
        <v>92629187</v>
      </c>
      <c r="N44" s="287">
        <v>47815190</v>
      </c>
      <c r="O44" s="279">
        <v>278067810</v>
      </c>
      <c r="P44" s="283">
        <v>278067810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4007710</v>
      </c>
      <c r="G47" s="320">
        <v>25761110</v>
      </c>
      <c r="H47" s="321">
        <v>29768820</v>
      </c>
      <c r="I47" s="224"/>
      <c r="J47" s="320">
        <v>96125437</v>
      </c>
      <c r="K47" s="320">
        <v>202937241</v>
      </c>
      <c r="L47" s="320">
        <v>319077997</v>
      </c>
      <c r="M47" s="320">
        <v>278682114</v>
      </c>
      <c r="N47" s="320">
        <v>192621879</v>
      </c>
      <c r="O47" s="320">
        <v>1089444668</v>
      </c>
      <c r="P47" s="322">
        <v>1119213488</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pageSetup paperSize="9" scale="6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48"/>
  <sheetViews>
    <sheetView showGridLines="0" view="pageBreakPreview" zoomScale="60" zoomScaleNormal="10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230</v>
      </c>
    </row>
    <row r="8" spans="1:17" ht="18" customHeight="1">
      <c r="C8" s="121"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3656162</v>
      </c>
      <c r="G11" s="274">
        <v>23349220</v>
      </c>
      <c r="H11" s="275">
        <v>27005382</v>
      </c>
      <c r="I11" s="276"/>
      <c r="J11" s="274">
        <v>42818779</v>
      </c>
      <c r="K11" s="274">
        <v>95462389</v>
      </c>
      <c r="L11" s="273">
        <v>102180561</v>
      </c>
      <c r="M11" s="274">
        <v>44388649</v>
      </c>
      <c r="N11" s="274">
        <v>27628733</v>
      </c>
      <c r="O11" s="273">
        <v>312479111</v>
      </c>
      <c r="P11" s="277">
        <v>339484493</v>
      </c>
    </row>
    <row r="12" spans="1:17" ht="18" customHeight="1">
      <c r="C12" s="61"/>
      <c r="D12" s="278" t="s">
        <v>234</v>
      </c>
      <c r="F12" s="279">
        <v>1088136</v>
      </c>
      <c r="G12" s="280">
        <v>1380753</v>
      </c>
      <c r="H12" s="281">
        <v>2468889</v>
      </c>
      <c r="I12" s="282"/>
      <c r="J12" s="280">
        <v>3057746</v>
      </c>
      <c r="K12" s="279">
        <v>11686950</v>
      </c>
      <c r="L12" s="279">
        <v>21828280</v>
      </c>
      <c r="M12" s="279">
        <v>9955319</v>
      </c>
      <c r="N12" s="280">
        <v>9027198</v>
      </c>
      <c r="O12" s="279">
        <v>55555493</v>
      </c>
      <c r="P12" s="283">
        <v>58024382</v>
      </c>
    </row>
    <row r="13" spans="1:17" ht="18" customHeight="1">
      <c r="C13" s="61"/>
      <c r="D13" s="284"/>
      <c r="E13" s="285" t="s">
        <v>185</v>
      </c>
      <c r="F13" s="286">
        <v>0</v>
      </c>
      <c r="G13" s="287">
        <v>0</v>
      </c>
      <c r="H13" s="281">
        <v>0</v>
      </c>
      <c r="I13" s="288"/>
      <c r="J13" s="287">
        <v>2521220</v>
      </c>
      <c r="K13" s="286">
        <v>7124691</v>
      </c>
      <c r="L13" s="286">
        <v>16229921</v>
      </c>
      <c r="M13" s="286">
        <v>7504331</v>
      </c>
      <c r="N13" s="287">
        <v>7532575</v>
      </c>
      <c r="O13" s="279">
        <v>40912738</v>
      </c>
      <c r="P13" s="283">
        <v>40912738</v>
      </c>
    </row>
    <row r="14" spans="1:17" ht="18" customHeight="1">
      <c r="C14" s="61"/>
      <c r="D14" s="284"/>
      <c r="E14" s="285" t="s">
        <v>186</v>
      </c>
      <c r="F14" s="286">
        <v>52542</v>
      </c>
      <c r="G14" s="287">
        <v>0</v>
      </c>
      <c r="H14" s="281">
        <v>52542</v>
      </c>
      <c r="I14" s="288"/>
      <c r="J14" s="287">
        <v>0</v>
      </c>
      <c r="K14" s="286">
        <v>1474171</v>
      </c>
      <c r="L14" s="286">
        <v>1008030</v>
      </c>
      <c r="M14" s="286">
        <v>1568574</v>
      </c>
      <c r="N14" s="287">
        <v>715941</v>
      </c>
      <c r="O14" s="279">
        <v>4766716</v>
      </c>
      <c r="P14" s="283">
        <v>4819258</v>
      </c>
    </row>
    <row r="15" spans="1:17" ht="18" customHeight="1">
      <c r="C15" s="61"/>
      <c r="D15" s="284"/>
      <c r="E15" s="285" t="s">
        <v>187</v>
      </c>
      <c r="F15" s="286">
        <v>153414</v>
      </c>
      <c r="G15" s="287">
        <v>0</v>
      </c>
      <c r="H15" s="281">
        <v>153414</v>
      </c>
      <c r="I15" s="288"/>
      <c r="J15" s="287">
        <v>0</v>
      </c>
      <c r="K15" s="286">
        <v>255876</v>
      </c>
      <c r="L15" s="286">
        <v>607332</v>
      </c>
      <c r="M15" s="286">
        <v>216882</v>
      </c>
      <c r="N15" s="287">
        <v>351731</v>
      </c>
      <c r="O15" s="279">
        <v>1431821</v>
      </c>
      <c r="P15" s="283">
        <v>1585235</v>
      </c>
    </row>
    <row r="16" spans="1:17" ht="18" customHeight="1">
      <c r="C16" s="61"/>
      <c r="D16" s="284"/>
      <c r="E16" s="285" t="s">
        <v>188</v>
      </c>
      <c r="F16" s="286">
        <v>882180</v>
      </c>
      <c r="G16" s="287">
        <v>1380753</v>
      </c>
      <c r="H16" s="281">
        <v>2262933</v>
      </c>
      <c r="I16" s="288"/>
      <c r="J16" s="287">
        <v>511065</v>
      </c>
      <c r="K16" s="286">
        <v>2561915</v>
      </c>
      <c r="L16" s="286">
        <v>3446282</v>
      </c>
      <c r="M16" s="286">
        <v>457434</v>
      </c>
      <c r="N16" s="287">
        <v>143829</v>
      </c>
      <c r="O16" s="279">
        <v>7120525</v>
      </c>
      <c r="P16" s="283">
        <v>9383458</v>
      </c>
    </row>
    <row r="17" spans="3:16" ht="18" customHeight="1">
      <c r="C17" s="61"/>
      <c r="D17" s="284"/>
      <c r="E17" s="285" t="s">
        <v>189</v>
      </c>
      <c r="F17" s="286">
        <v>0</v>
      </c>
      <c r="G17" s="287">
        <v>0</v>
      </c>
      <c r="H17" s="281">
        <v>0</v>
      </c>
      <c r="I17" s="288"/>
      <c r="J17" s="287">
        <v>25461</v>
      </c>
      <c r="K17" s="286">
        <v>270297</v>
      </c>
      <c r="L17" s="286">
        <v>536715</v>
      </c>
      <c r="M17" s="286">
        <v>208098</v>
      </c>
      <c r="N17" s="287">
        <v>283122</v>
      </c>
      <c r="O17" s="279">
        <v>1323693</v>
      </c>
      <c r="P17" s="283">
        <v>1323693</v>
      </c>
    </row>
    <row r="18" spans="3:16" ht="18" customHeight="1">
      <c r="C18" s="61"/>
      <c r="D18" s="278" t="s">
        <v>235</v>
      </c>
      <c r="E18" s="289"/>
      <c r="F18" s="279">
        <v>1458153</v>
      </c>
      <c r="G18" s="280">
        <v>17368112</v>
      </c>
      <c r="H18" s="281">
        <v>18826265</v>
      </c>
      <c r="I18" s="282"/>
      <c r="J18" s="280">
        <v>27676849</v>
      </c>
      <c r="K18" s="279">
        <v>54634640</v>
      </c>
      <c r="L18" s="279">
        <v>54197126</v>
      </c>
      <c r="M18" s="279">
        <v>20041658</v>
      </c>
      <c r="N18" s="280">
        <v>11292480</v>
      </c>
      <c r="O18" s="279">
        <v>167842753</v>
      </c>
      <c r="P18" s="283">
        <v>186669018</v>
      </c>
    </row>
    <row r="19" spans="3:16" ht="18" customHeight="1">
      <c r="C19" s="61"/>
      <c r="D19" s="284"/>
      <c r="E19" s="290" t="s">
        <v>190</v>
      </c>
      <c r="F19" s="286">
        <v>0</v>
      </c>
      <c r="G19" s="287">
        <v>0</v>
      </c>
      <c r="H19" s="281">
        <v>0</v>
      </c>
      <c r="I19" s="288"/>
      <c r="J19" s="287">
        <v>9775134</v>
      </c>
      <c r="K19" s="286">
        <v>21521145</v>
      </c>
      <c r="L19" s="286">
        <v>20031057</v>
      </c>
      <c r="M19" s="286">
        <v>7891319</v>
      </c>
      <c r="N19" s="287">
        <v>5051655</v>
      </c>
      <c r="O19" s="279">
        <v>64270310</v>
      </c>
      <c r="P19" s="283">
        <v>64270310</v>
      </c>
    </row>
    <row r="20" spans="3:16" ht="18" customHeight="1">
      <c r="C20" s="61"/>
      <c r="D20" s="284"/>
      <c r="E20" s="290" t="s">
        <v>191</v>
      </c>
      <c r="F20" s="286">
        <v>1458153</v>
      </c>
      <c r="G20" s="287">
        <v>17368112</v>
      </c>
      <c r="H20" s="281">
        <v>18826265</v>
      </c>
      <c r="I20" s="288"/>
      <c r="J20" s="287">
        <v>17901715</v>
      </c>
      <c r="K20" s="286">
        <v>33113495</v>
      </c>
      <c r="L20" s="286">
        <v>34166069</v>
      </c>
      <c r="M20" s="286">
        <v>12150339</v>
      </c>
      <c r="N20" s="287">
        <v>6240825</v>
      </c>
      <c r="O20" s="279">
        <v>103572443</v>
      </c>
      <c r="P20" s="283">
        <v>122398708</v>
      </c>
    </row>
    <row r="21" spans="3:16" ht="18" customHeight="1">
      <c r="C21" s="61"/>
      <c r="D21" s="278" t="s">
        <v>236</v>
      </c>
      <c r="F21" s="279">
        <v>20313</v>
      </c>
      <c r="G21" s="280">
        <v>297684</v>
      </c>
      <c r="H21" s="281">
        <v>317997</v>
      </c>
      <c r="I21" s="282"/>
      <c r="J21" s="280">
        <v>2203487</v>
      </c>
      <c r="K21" s="279">
        <v>4572054</v>
      </c>
      <c r="L21" s="279">
        <v>7673261</v>
      </c>
      <c r="M21" s="279">
        <v>5564468</v>
      </c>
      <c r="N21" s="280">
        <v>2025531</v>
      </c>
      <c r="O21" s="279">
        <v>22038801</v>
      </c>
      <c r="P21" s="283">
        <v>22356798</v>
      </c>
    </row>
    <row r="22" spans="3:16" ht="18" customHeight="1">
      <c r="C22" s="61"/>
      <c r="D22" s="284"/>
      <c r="E22" s="285" t="s">
        <v>192</v>
      </c>
      <c r="F22" s="286">
        <v>20313</v>
      </c>
      <c r="G22" s="287">
        <v>37602</v>
      </c>
      <c r="H22" s="281">
        <v>57915</v>
      </c>
      <c r="I22" s="288"/>
      <c r="J22" s="287">
        <v>891954</v>
      </c>
      <c r="K22" s="286">
        <v>727686</v>
      </c>
      <c r="L22" s="286">
        <v>5268097</v>
      </c>
      <c r="M22" s="286">
        <v>4611890</v>
      </c>
      <c r="N22" s="287">
        <v>660762</v>
      </c>
      <c r="O22" s="279">
        <v>12160389</v>
      </c>
      <c r="P22" s="283">
        <v>12218304</v>
      </c>
    </row>
    <row r="23" spans="3:16" ht="18" customHeight="1">
      <c r="C23" s="61"/>
      <c r="D23" s="284"/>
      <c r="E23" s="285" t="s">
        <v>193</v>
      </c>
      <c r="F23" s="286">
        <v>0</v>
      </c>
      <c r="G23" s="287">
        <v>260082</v>
      </c>
      <c r="H23" s="281">
        <v>260082</v>
      </c>
      <c r="I23" s="288"/>
      <c r="J23" s="287">
        <v>1311533</v>
      </c>
      <c r="K23" s="286">
        <v>3844368</v>
      </c>
      <c r="L23" s="286">
        <v>2405164</v>
      </c>
      <c r="M23" s="286">
        <v>952578</v>
      </c>
      <c r="N23" s="287">
        <v>1364769</v>
      </c>
      <c r="O23" s="279">
        <v>9878412</v>
      </c>
      <c r="P23" s="283">
        <v>10138494</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597330</v>
      </c>
      <c r="G26" s="280">
        <v>2421111</v>
      </c>
      <c r="H26" s="281">
        <v>3018441</v>
      </c>
      <c r="I26" s="282"/>
      <c r="J26" s="280">
        <v>1788855</v>
      </c>
      <c r="K26" s="279">
        <v>8437240</v>
      </c>
      <c r="L26" s="279">
        <v>6009164</v>
      </c>
      <c r="M26" s="279">
        <v>3294702</v>
      </c>
      <c r="N26" s="280">
        <v>3119436</v>
      </c>
      <c r="O26" s="279">
        <v>22649397</v>
      </c>
      <c r="P26" s="283">
        <v>25667838</v>
      </c>
    </row>
    <row r="27" spans="3:16" ht="18" customHeight="1">
      <c r="C27" s="61"/>
      <c r="D27" s="284"/>
      <c r="E27" s="292" t="s">
        <v>196</v>
      </c>
      <c r="F27" s="286">
        <v>597330</v>
      </c>
      <c r="G27" s="287">
        <v>2039025</v>
      </c>
      <c r="H27" s="281">
        <v>2636355</v>
      </c>
      <c r="I27" s="288"/>
      <c r="J27" s="287">
        <v>1608855</v>
      </c>
      <c r="K27" s="286">
        <v>7739844</v>
      </c>
      <c r="L27" s="286">
        <v>5602261</v>
      </c>
      <c r="M27" s="286">
        <v>3265992</v>
      </c>
      <c r="N27" s="287">
        <v>3065085</v>
      </c>
      <c r="O27" s="279">
        <v>21282037</v>
      </c>
      <c r="P27" s="283">
        <v>23918392</v>
      </c>
    </row>
    <row r="28" spans="3:16" ht="18" customHeight="1">
      <c r="C28" s="61"/>
      <c r="D28" s="293"/>
      <c r="E28" s="290" t="s">
        <v>238</v>
      </c>
      <c r="F28" s="294">
        <v>0</v>
      </c>
      <c r="G28" s="295">
        <v>70686</v>
      </c>
      <c r="H28" s="281">
        <v>70686</v>
      </c>
      <c r="I28" s="296"/>
      <c r="J28" s="295">
        <v>0</v>
      </c>
      <c r="K28" s="294">
        <v>148774</v>
      </c>
      <c r="L28" s="294">
        <v>241303</v>
      </c>
      <c r="M28" s="294">
        <v>28710</v>
      </c>
      <c r="N28" s="295">
        <v>54351</v>
      </c>
      <c r="O28" s="279">
        <v>473138</v>
      </c>
      <c r="P28" s="283">
        <v>543824</v>
      </c>
    </row>
    <row r="29" spans="3:16" ht="18" customHeight="1">
      <c r="C29" s="61"/>
      <c r="D29" s="297"/>
      <c r="E29" s="285" t="s">
        <v>239</v>
      </c>
      <c r="F29" s="294">
        <v>0</v>
      </c>
      <c r="G29" s="295">
        <v>311400</v>
      </c>
      <c r="H29" s="281">
        <v>311400</v>
      </c>
      <c r="I29" s="296"/>
      <c r="J29" s="295">
        <v>180000</v>
      </c>
      <c r="K29" s="294">
        <v>548622</v>
      </c>
      <c r="L29" s="294">
        <v>165600</v>
      </c>
      <c r="M29" s="294">
        <v>0</v>
      </c>
      <c r="N29" s="295">
        <v>0</v>
      </c>
      <c r="O29" s="279">
        <v>894222</v>
      </c>
      <c r="P29" s="283">
        <v>1205622</v>
      </c>
    </row>
    <row r="30" spans="3:16" ht="18" customHeight="1">
      <c r="C30" s="61"/>
      <c r="D30" s="284" t="s">
        <v>197</v>
      </c>
      <c r="E30" s="298"/>
      <c r="F30" s="286">
        <v>0</v>
      </c>
      <c r="G30" s="287">
        <v>0</v>
      </c>
      <c r="H30" s="281">
        <v>0</v>
      </c>
      <c r="I30" s="288"/>
      <c r="J30" s="287">
        <v>638262</v>
      </c>
      <c r="K30" s="286">
        <v>2370330</v>
      </c>
      <c r="L30" s="286">
        <v>0</v>
      </c>
      <c r="M30" s="286">
        <v>616734</v>
      </c>
      <c r="N30" s="287">
        <v>0</v>
      </c>
      <c r="O30" s="279">
        <v>3625326</v>
      </c>
      <c r="P30" s="283">
        <v>3625326</v>
      </c>
    </row>
    <row r="31" spans="3:16" ht="18" customHeight="1">
      <c r="C31" s="299"/>
      <c r="D31" s="300" t="s">
        <v>198</v>
      </c>
      <c r="E31" s="301"/>
      <c r="F31" s="302">
        <v>492230</v>
      </c>
      <c r="G31" s="303">
        <v>1881560</v>
      </c>
      <c r="H31" s="304">
        <v>2373790</v>
      </c>
      <c r="I31" s="288"/>
      <c r="J31" s="303">
        <v>7453580</v>
      </c>
      <c r="K31" s="302">
        <v>13761175</v>
      </c>
      <c r="L31" s="302">
        <v>12472730</v>
      </c>
      <c r="M31" s="302">
        <v>4915768</v>
      </c>
      <c r="N31" s="303">
        <v>2164088</v>
      </c>
      <c r="O31" s="304">
        <v>40767341</v>
      </c>
      <c r="P31" s="305">
        <v>43141131</v>
      </c>
    </row>
    <row r="32" spans="3:16" ht="18" customHeight="1">
      <c r="C32" s="271" t="s">
        <v>240</v>
      </c>
      <c r="D32" s="306"/>
      <c r="E32" s="307"/>
      <c r="F32" s="273">
        <v>0</v>
      </c>
      <c r="G32" s="274">
        <v>0</v>
      </c>
      <c r="H32" s="275">
        <v>0</v>
      </c>
      <c r="I32" s="276"/>
      <c r="J32" s="274">
        <v>27874638</v>
      </c>
      <c r="K32" s="273">
        <v>35516286</v>
      </c>
      <c r="L32" s="273">
        <v>57625533</v>
      </c>
      <c r="M32" s="273">
        <v>39778416</v>
      </c>
      <c r="N32" s="274">
        <v>27621294</v>
      </c>
      <c r="O32" s="273">
        <v>188416167</v>
      </c>
      <c r="P32" s="277">
        <v>188416167</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324927</v>
      </c>
      <c r="K35" s="286">
        <v>0</v>
      </c>
      <c r="L35" s="286">
        <v>0</v>
      </c>
      <c r="M35" s="286">
        <v>0</v>
      </c>
      <c r="N35" s="287">
        <v>0</v>
      </c>
      <c r="O35" s="279">
        <v>324927</v>
      </c>
      <c r="P35" s="283">
        <v>324927</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27549711</v>
      </c>
      <c r="K38" s="286">
        <v>31547988</v>
      </c>
      <c r="L38" s="286">
        <v>18796491</v>
      </c>
      <c r="M38" s="286">
        <v>6814287</v>
      </c>
      <c r="N38" s="287">
        <v>3536658</v>
      </c>
      <c r="O38" s="279">
        <v>88245135</v>
      </c>
      <c r="P38" s="283">
        <v>88245135</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3968298</v>
      </c>
      <c r="L40" s="309">
        <v>38829042</v>
      </c>
      <c r="M40" s="309">
        <v>32964129</v>
      </c>
      <c r="N40" s="310">
        <v>20617955</v>
      </c>
      <c r="O40" s="312">
        <v>96379424</v>
      </c>
      <c r="P40" s="313">
        <v>96379424</v>
      </c>
    </row>
    <row r="41" spans="3:16" ht="18" customHeight="1">
      <c r="C41" s="315"/>
      <c r="D41" s="770" t="s">
        <v>241</v>
      </c>
      <c r="E41" s="771"/>
      <c r="F41" s="302">
        <v>0</v>
      </c>
      <c r="G41" s="303">
        <v>0</v>
      </c>
      <c r="H41" s="281">
        <v>0</v>
      </c>
      <c r="I41" s="288"/>
      <c r="J41" s="303">
        <v>0</v>
      </c>
      <c r="K41" s="302">
        <v>0</v>
      </c>
      <c r="L41" s="302">
        <v>0</v>
      </c>
      <c r="M41" s="302">
        <v>0</v>
      </c>
      <c r="N41" s="303">
        <v>3466681</v>
      </c>
      <c r="O41" s="316">
        <v>3466681</v>
      </c>
      <c r="P41" s="305">
        <v>3466681</v>
      </c>
    </row>
    <row r="42" spans="3:16" ht="18" customHeight="1">
      <c r="C42" s="61" t="s">
        <v>242</v>
      </c>
      <c r="F42" s="274">
        <v>0</v>
      </c>
      <c r="G42" s="274">
        <v>0</v>
      </c>
      <c r="H42" s="275">
        <v>0</v>
      </c>
      <c r="I42" s="276"/>
      <c r="J42" s="274">
        <v>16330435</v>
      </c>
      <c r="K42" s="273">
        <v>52600561</v>
      </c>
      <c r="L42" s="273">
        <v>128396555</v>
      </c>
      <c r="M42" s="273">
        <v>166261483</v>
      </c>
      <c r="N42" s="274">
        <v>118269685</v>
      </c>
      <c r="O42" s="273">
        <v>481858719</v>
      </c>
      <c r="P42" s="277">
        <v>481858719</v>
      </c>
    </row>
    <row r="43" spans="3:16" ht="18" customHeight="1">
      <c r="C43" s="61"/>
      <c r="D43" s="317" t="s">
        <v>113</v>
      </c>
      <c r="E43" s="317"/>
      <c r="F43" s="287">
        <v>0</v>
      </c>
      <c r="G43" s="287">
        <v>0</v>
      </c>
      <c r="H43" s="281">
        <v>0</v>
      </c>
      <c r="I43" s="288"/>
      <c r="J43" s="287">
        <v>2481780</v>
      </c>
      <c r="K43" s="286">
        <v>6832546</v>
      </c>
      <c r="L43" s="286">
        <v>64193687</v>
      </c>
      <c r="M43" s="286">
        <v>83757377</v>
      </c>
      <c r="N43" s="287">
        <v>75236020</v>
      </c>
      <c r="O43" s="279">
        <v>232501410</v>
      </c>
      <c r="P43" s="283">
        <v>232501410</v>
      </c>
    </row>
    <row r="44" spans="3:16" ht="18" customHeight="1">
      <c r="C44" s="61"/>
      <c r="D44" s="317" t="s">
        <v>114</v>
      </c>
      <c r="E44" s="317"/>
      <c r="F44" s="286">
        <v>0</v>
      </c>
      <c r="G44" s="287">
        <v>0</v>
      </c>
      <c r="H44" s="281">
        <v>0</v>
      </c>
      <c r="I44" s="288"/>
      <c r="J44" s="287">
        <v>13848655</v>
      </c>
      <c r="K44" s="286">
        <v>45768015</v>
      </c>
      <c r="L44" s="286">
        <v>64202868</v>
      </c>
      <c r="M44" s="286">
        <v>82504106</v>
      </c>
      <c r="N44" s="287">
        <v>43033665</v>
      </c>
      <c r="O44" s="279">
        <v>249357309</v>
      </c>
      <c r="P44" s="283">
        <v>249357309</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3656162</v>
      </c>
      <c r="G47" s="320">
        <v>23349220</v>
      </c>
      <c r="H47" s="321">
        <v>27005382</v>
      </c>
      <c r="I47" s="224"/>
      <c r="J47" s="320">
        <v>87023852</v>
      </c>
      <c r="K47" s="320">
        <v>183579236</v>
      </c>
      <c r="L47" s="320">
        <v>288202649</v>
      </c>
      <c r="M47" s="320">
        <v>250428548</v>
      </c>
      <c r="N47" s="320">
        <v>173519712</v>
      </c>
      <c r="O47" s="320">
        <v>982753997</v>
      </c>
      <c r="P47" s="322">
        <v>1009759379</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pageSetup paperSize="9" scale="6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249</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10</v>
      </c>
      <c r="H11" s="275">
        <v>10</v>
      </c>
      <c r="I11" s="276"/>
      <c r="J11" s="274">
        <v>24</v>
      </c>
      <c r="K11" s="274">
        <v>33</v>
      </c>
      <c r="L11" s="273">
        <v>30</v>
      </c>
      <c r="M11" s="274">
        <v>0</v>
      </c>
      <c r="N11" s="274">
        <v>0</v>
      </c>
      <c r="O11" s="273">
        <v>87</v>
      </c>
      <c r="P11" s="277">
        <v>97</v>
      </c>
    </row>
    <row r="12" spans="1:17" ht="18" customHeight="1">
      <c r="C12" s="61"/>
      <c r="D12" s="278" t="s">
        <v>234</v>
      </c>
      <c r="F12" s="279">
        <v>0</v>
      </c>
      <c r="G12" s="280">
        <v>0</v>
      </c>
      <c r="H12" s="281">
        <v>0</v>
      </c>
      <c r="I12" s="282"/>
      <c r="J12" s="280">
        <v>0</v>
      </c>
      <c r="K12" s="279">
        <v>23</v>
      </c>
      <c r="L12" s="279">
        <v>15</v>
      </c>
      <c r="M12" s="279">
        <v>0</v>
      </c>
      <c r="N12" s="280">
        <v>0</v>
      </c>
      <c r="O12" s="279">
        <v>38</v>
      </c>
      <c r="P12" s="283">
        <v>38</v>
      </c>
    </row>
    <row r="13" spans="1:17" ht="18" customHeight="1">
      <c r="C13" s="61"/>
      <c r="D13" s="284"/>
      <c r="E13" s="285" t="s">
        <v>185</v>
      </c>
      <c r="F13" s="286">
        <v>0</v>
      </c>
      <c r="G13" s="287">
        <v>0</v>
      </c>
      <c r="H13" s="281">
        <v>0</v>
      </c>
      <c r="I13" s="288"/>
      <c r="J13" s="287">
        <v>0</v>
      </c>
      <c r="K13" s="286">
        <v>7</v>
      </c>
      <c r="L13" s="286">
        <v>5</v>
      </c>
      <c r="M13" s="286">
        <v>0</v>
      </c>
      <c r="N13" s="287">
        <v>0</v>
      </c>
      <c r="O13" s="279">
        <v>12</v>
      </c>
      <c r="P13" s="283">
        <v>12</v>
      </c>
    </row>
    <row r="14" spans="1:17" ht="18" customHeight="1">
      <c r="C14" s="61"/>
      <c r="D14" s="284"/>
      <c r="E14" s="285" t="s">
        <v>186</v>
      </c>
      <c r="F14" s="286">
        <v>0</v>
      </c>
      <c r="G14" s="287">
        <v>0</v>
      </c>
      <c r="H14" s="281">
        <v>0</v>
      </c>
      <c r="I14" s="288"/>
      <c r="J14" s="287">
        <v>0</v>
      </c>
      <c r="K14" s="286">
        <v>2</v>
      </c>
      <c r="L14" s="286">
        <v>0</v>
      </c>
      <c r="M14" s="286">
        <v>0</v>
      </c>
      <c r="N14" s="287">
        <v>0</v>
      </c>
      <c r="O14" s="279">
        <v>2</v>
      </c>
      <c r="P14" s="283">
        <v>2</v>
      </c>
    </row>
    <row r="15" spans="1:17" ht="18" customHeight="1">
      <c r="C15" s="61"/>
      <c r="D15" s="284"/>
      <c r="E15" s="285" t="s">
        <v>187</v>
      </c>
      <c r="F15" s="286">
        <v>0</v>
      </c>
      <c r="G15" s="287">
        <v>0</v>
      </c>
      <c r="H15" s="281">
        <v>0</v>
      </c>
      <c r="I15" s="288"/>
      <c r="J15" s="287">
        <v>0</v>
      </c>
      <c r="K15" s="286">
        <v>7</v>
      </c>
      <c r="L15" s="286">
        <v>5</v>
      </c>
      <c r="M15" s="286">
        <v>0</v>
      </c>
      <c r="N15" s="287">
        <v>0</v>
      </c>
      <c r="O15" s="279">
        <v>12</v>
      </c>
      <c r="P15" s="283">
        <v>12</v>
      </c>
    </row>
    <row r="16" spans="1:17" ht="18" customHeight="1">
      <c r="C16" s="61"/>
      <c r="D16" s="284"/>
      <c r="E16" s="285" t="s">
        <v>188</v>
      </c>
      <c r="F16" s="286">
        <v>0</v>
      </c>
      <c r="G16" s="287">
        <v>0</v>
      </c>
      <c r="H16" s="281">
        <v>0</v>
      </c>
      <c r="I16" s="288"/>
      <c r="J16" s="287">
        <v>0</v>
      </c>
      <c r="K16" s="286">
        <v>7</v>
      </c>
      <c r="L16" s="286">
        <v>5</v>
      </c>
      <c r="M16" s="286">
        <v>0</v>
      </c>
      <c r="N16" s="287">
        <v>0</v>
      </c>
      <c r="O16" s="279">
        <v>12</v>
      </c>
      <c r="P16" s="283">
        <v>12</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5</v>
      </c>
      <c r="H18" s="281">
        <v>5</v>
      </c>
      <c r="I18" s="282"/>
      <c r="J18" s="280">
        <v>19</v>
      </c>
      <c r="K18" s="279">
        <v>8</v>
      </c>
      <c r="L18" s="279">
        <v>8</v>
      </c>
      <c r="M18" s="279">
        <v>0</v>
      </c>
      <c r="N18" s="280">
        <v>0</v>
      </c>
      <c r="O18" s="279">
        <v>35</v>
      </c>
      <c r="P18" s="283">
        <v>40</v>
      </c>
    </row>
    <row r="19" spans="3:16" ht="18" customHeight="1">
      <c r="C19" s="61"/>
      <c r="D19" s="284"/>
      <c r="E19" s="290" t="s">
        <v>190</v>
      </c>
      <c r="F19" s="286">
        <v>0</v>
      </c>
      <c r="G19" s="287">
        <v>0</v>
      </c>
      <c r="H19" s="281">
        <v>0</v>
      </c>
      <c r="I19" s="288"/>
      <c r="J19" s="287">
        <v>7</v>
      </c>
      <c r="K19" s="286">
        <v>1</v>
      </c>
      <c r="L19" s="286">
        <v>0</v>
      </c>
      <c r="M19" s="286">
        <v>0</v>
      </c>
      <c r="N19" s="287">
        <v>0</v>
      </c>
      <c r="O19" s="279">
        <v>8</v>
      </c>
      <c r="P19" s="283">
        <v>8</v>
      </c>
    </row>
    <row r="20" spans="3:16" ht="18" customHeight="1">
      <c r="C20" s="61"/>
      <c r="D20" s="284"/>
      <c r="E20" s="290" t="s">
        <v>191</v>
      </c>
      <c r="F20" s="286">
        <v>0</v>
      </c>
      <c r="G20" s="287">
        <v>5</v>
      </c>
      <c r="H20" s="281">
        <v>5</v>
      </c>
      <c r="I20" s="288"/>
      <c r="J20" s="287">
        <v>12</v>
      </c>
      <c r="K20" s="286">
        <v>7</v>
      </c>
      <c r="L20" s="286">
        <v>8</v>
      </c>
      <c r="M20" s="286">
        <v>0</v>
      </c>
      <c r="N20" s="287">
        <v>0</v>
      </c>
      <c r="O20" s="279">
        <v>27</v>
      </c>
      <c r="P20" s="283">
        <v>32</v>
      </c>
    </row>
    <row r="21" spans="3:16" ht="18" customHeight="1">
      <c r="C21" s="61"/>
      <c r="D21" s="278" t="s">
        <v>236</v>
      </c>
      <c r="F21" s="279">
        <v>0</v>
      </c>
      <c r="G21" s="280">
        <v>0</v>
      </c>
      <c r="H21" s="281">
        <v>0</v>
      </c>
      <c r="I21" s="282"/>
      <c r="J21" s="280">
        <v>0</v>
      </c>
      <c r="K21" s="279">
        <v>0</v>
      </c>
      <c r="L21" s="279">
        <v>2</v>
      </c>
      <c r="M21" s="279">
        <v>0</v>
      </c>
      <c r="N21" s="280">
        <v>0</v>
      </c>
      <c r="O21" s="279">
        <v>2</v>
      </c>
      <c r="P21" s="283">
        <v>2</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2</v>
      </c>
      <c r="M23" s="286">
        <v>0</v>
      </c>
      <c r="N23" s="287">
        <v>0</v>
      </c>
      <c r="O23" s="279">
        <v>2</v>
      </c>
      <c r="P23" s="283">
        <v>2</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5</v>
      </c>
      <c r="H26" s="281">
        <v>5</v>
      </c>
      <c r="I26" s="282"/>
      <c r="J26" s="280">
        <v>5</v>
      </c>
      <c r="K26" s="279">
        <v>2</v>
      </c>
      <c r="L26" s="279">
        <v>5</v>
      </c>
      <c r="M26" s="279">
        <v>0</v>
      </c>
      <c r="N26" s="280">
        <v>0</v>
      </c>
      <c r="O26" s="279">
        <v>12</v>
      </c>
      <c r="P26" s="283">
        <v>17</v>
      </c>
    </row>
    <row r="27" spans="3:16" ht="18" customHeight="1">
      <c r="C27" s="61"/>
      <c r="D27" s="284"/>
      <c r="E27" s="292" t="s">
        <v>196</v>
      </c>
      <c r="F27" s="286">
        <v>0</v>
      </c>
      <c r="G27" s="287">
        <v>5</v>
      </c>
      <c r="H27" s="281">
        <v>5</v>
      </c>
      <c r="I27" s="288"/>
      <c r="J27" s="287">
        <v>5</v>
      </c>
      <c r="K27" s="286">
        <v>2</v>
      </c>
      <c r="L27" s="286">
        <v>5</v>
      </c>
      <c r="M27" s="286">
        <v>0</v>
      </c>
      <c r="N27" s="287">
        <v>0</v>
      </c>
      <c r="O27" s="279">
        <v>12</v>
      </c>
      <c r="P27" s="283">
        <v>17</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6"/>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2</v>
      </c>
      <c r="M42" s="273">
        <v>13</v>
      </c>
      <c r="N42" s="274">
        <v>0</v>
      </c>
      <c r="O42" s="273">
        <v>15</v>
      </c>
      <c r="P42" s="277">
        <v>15</v>
      </c>
    </row>
    <row r="43" spans="3:16" ht="18" customHeight="1">
      <c r="C43" s="61"/>
      <c r="D43" s="317" t="s">
        <v>113</v>
      </c>
      <c r="E43" s="317"/>
      <c r="F43" s="287">
        <v>0</v>
      </c>
      <c r="G43" s="287">
        <v>0</v>
      </c>
      <c r="H43" s="281">
        <v>0</v>
      </c>
      <c r="I43" s="288"/>
      <c r="J43" s="287">
        <v>0</v>
      </c>
      <c r="K43" s="286">
        <v>0</v>
      </c>
      <c r="L43" s="286">
        <v>0</v>
      </c>
      <c r="M43" s="286">
        <v>1</v>
      </c>
      <c r="N43" s="287">
        <v>0</v>
      </c>
      <c r="O43" s="279">
        <v>1</v>
      </c>
      <c r="P43" s="283">
        <v>1</v>
      </c>
    </row>
    <row r="44" spans="3:16" ht="18" customHeight="1">
      <c r="C44" s="61"/>
      <c r="D44" s="317" t="s">
        <v>114</v>
      </c>
      <c r="E44" s="317"/>
      <c r="F44" s="286">
        <v>0</v>
      </c>
      <c r="G44" s="287">
        <v>0</v>
      </c>
      <c r="H44" s="281">
        <v>0</v>
      </c>
      <c r="I44" s="288"/>
      <c r="J44" s="287">
        <v>0</v>
      </c>
      <c r="K44" s="286">
        <v>0</v>
      </c>
      <c r="L44" s="286">
        <v>2</v>
      </c>
      <c r="M44" s="286">
        <v>12</v>
      </c>
      <c r="N44" s="287">
        <v>0</v>
      </c>
      <c r="O44" s="279">
        <v>14</v>
      </c>
      <c r="P44" s="283">
        <v>14</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10</v>
      </c>
      <c r="H47" s="321">
        <v>10</v>
      </c>
      <c r="I47" s="224"/>
      <c r="J47" s="320">
        <v>24</v>
      </c>
      <c r="K47" s="320">
        <v>33</v>
      </c>
      <c r="L47" s="320">
        <v>32</v>
      </c>
      <c r="M47" s="320">
        <v>13</v>
      </c>
      <c r="N47" s="320">
        <v>0</v>
      </c>
      <c r="O47" s="320">
        <v>102</v>
      </c>
      <c r="P47" s="322">
        <v>112</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pageSetup paperSize="9" scale="6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5"/>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249</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3">
        <v>23735</v>
      </c>
      <c r="H11" s="275">
        <v>23735</v>
      </c>
      <c r="I11" s="276"/>
      <c r="J11" s="273">
        <v>140366</v>
      </c>
      <c r="K11" s="273">
        <v>130670</v>
      </c>
      <c r="L11" s="273">
        <v>171424</v>
      </c>
      <c r="M11" s="273">
        <v>0</v>
      </c>
      <c r="N11" s="273">
        <v>0</v>
      </c>
      <c r="O11" s="273">
        <v>442460</v>
      </c>
      <c r="P11" s="277">
        <v>466195</v>
      </c>
    </row>
    <row r="12" spans="1:17" ht="18" customHeight="1">
      <c r="C12" s="61"/>
      <c r="D12" s="278" t="s">
        <v>234</v>
      </c>
      <c r="F12" s="279">
        <v>0</v>
      </c>
      <c r="G12" s="280">
        <v>0</v>
      </c>
      <c r="H12" s="281">
        <v>0</v>
      </c>
      <c r="I12" s="282"/>
      <c r="J12" s="280">
        <v>0</v>
      </c>
      <c r="K12" s="279">
        <v>72743</v>
      </c>
      <c r="L12" s="279">
        <v>48124</v>
      </c>
      <c r="M12" s="279">
        <v>0</v>
      </c>
      <c r="N12" s="280">
        <v>0</v>
      </c>
      <c r="O12" s="279">
        <v>120867</v>
      </c>
      <c r="P12" s="283">
        <v>120867</v>
      </c>
    </row>
    <row r="13" spans="1:17" ht="18" customHeight="1">
      <c r="C13" s="61"/>
      <c r="D13" s="284"/>
      <c r="E13" s="285" t="s">
        <v>185</v>
      </c>
      <c r="F13" s="286">
        <v>0</v>
      </c>
      <c r="G13" s="287">
        <v>0</v>
      </c>
      <c r="H13" s="281">
        <v>0</v>
      </c>
      <c r="I13" s="288"/>
      <c r="J13" s="287">
        <v>0</v>
      </c>
      <c r="K13" s="286">
        <v>8874</v>
      </c>
      <c r="L13" s="286">
        <v>7195</v>
      </c>
      <c r="M13" s="286">
        <v>0</v>
      </c>
      <c r="N13" s="287">
        <v>0</v>
      </c>
      <c r="O13" s="279">
        <v>16069</v>
      </c>
      <c r="P13" s="283">
        <v>16069</v>
      </c>
    </row>
    <row r="14" spans="1:17" ht="18" customHeight="1">
      <c r="C14" s="61"/>
      <c r="D14" s="284"/>
      <c r="E14" s="285" t="s">
        <v>186</v>
      </c>
      <c r="F14" s="286">
        <v>0</v>
      </c>
      <c r="G14" s="287">
        <v>0</v>
      </c>
      <c r="H14" s="281">
        <v>0</v>
      </c>
      <c r="I14" s="288"/>
      <c r="J14" s="287">
        <v>0</v>
      </c>
      <c r="K14" s="286">
        <v>11299</v>
      </c>
      <c r="L14" s="286">
        <v>0</v>
      </c>
      <c r="M14" s="286">
        <v>0</v>
      </c>
      <c r="N14" s="287">
        <v>0</v>
      </c>
      <c r="O14" s="279">
        <v>11299</v>
      </c>
      <c r="P14" s="283">
        <v>11299</v>
      </c>
    </row>
    <row r="15" spans="1:17" ht="18" customHeight="1">
      <c r="C15" s="61"/>
      <c r="D15" s="284"/>
      <c r="E15" s="285" t="s">
        <v>187</v>
      </c>
      <c r="F15" s="286">
        <v>0</v>
      </c>
      <c r="G15" s="287">
        <v>0</v>
      </c>
      <c r="H15" s="281">
        <v>0</v>
      </c>
      <c r="I15" s="288"/>
      <c r="J15" s="287">
        <v>0</v>
      </c>
      <c r="K15" s="286">
        <v>22746</v>
      </c>
      <c r="L15" s="286">
        <v>17603</v>
      </c>
      <c r="M15" s="286">
        <v>0</v>
      </c>
      <c r="N15" s="287">
        <v>0</v>
      </c>
      <c r="O15" s="279">
        <v>40349</v>
      </c>
      <c r="P15" s="283">
        <v>40349</v>
      </c>
    </row>
    <row r="16" spans="1:17" ht="18" customHeight="1">
      <c r="C16" s="61"/>
      <c r="D16" s="284"/>
      <c r="E16" s="285" t="s">
        <v>188</v>
      </c>
      <c r="F16" s="286">
        <v>0</v>
      </c>
      <c r="G16" s="287">
        <v>0</v>
      </c>
      <c r="H16" s="281">
        <v>0</v>
      </c>
      <c r="I16" s="288"/>
      <c r="J16" s="287">
        <v>0</v>
      </c>
      <c r="K16" s="286">
        <v>29824</v>
      </c>
      <c r="L16" s="286">
        <v>23326</v>
      </c>
      <c r="M16" s="286">
        <v>0</v>
      </c>
      <c r="N16" s="287">
        <v>0</v>
      </c>
      <c r="O16" s="279">
        <v>53150</v>
      </c>
      <c r="P16" s="283">
        <v>53150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22651</v>
      </c>
      <c r="H18" s="281">
        <v>22651</v>
      </c>
      <c r="I18" s="282"/>
      <c r="J18" s="280">
        <v>125486</v>
      </c>
      <c r="K18" s="279">
        <v>55053</v>
      </c>
      <c r="L18" s="279">
        <v>68552</v>
      </c>
      <c r="M18" s="279">
        <v>0</v>
      </c>
      <c r="N18" s="280">
        <v>0</v>
      </c>
      <c r="O18" s="279">
        <v>249091</v>
      </c>
      <c r="P18" s="283">
        <v>271742</v>
      </c>
    </row>
    <row r="19" spans="3:16" ht="18" customHeight="1">
      <c r="C19" s="61"/>
      <c r="D19" s="284"/>
      <c r="E19" s="290" t="s">
        <v>190</v>
      </c>
      <c r="F19" s="286">
        <v>0</v>
      </c>
      <c r="G19" s="287">
        <v>0</v>
      </c>
      <c r="H19" s="281">
        <v>0</v>
      </c>
      <c r="I19" s="288"/>
      <c r="J19" s="287">
        <v>42943</v>
      </c>
      <c r="K19" s="286">
        <v>594</v>
      </c>
      <c r="L19" s="286">
        <v>0</v>
      </c>
      <c r="M19" s="286">
        <v>0</v>
      </c>
      <c r="N19" s="287">
        <v>0</v>
      </c>
      <c r="O19" s="279">
        <v>43537</v>
      </c>
      <c r="P19" s="283">
        <v>43537</v>
      </c>
    </row>
    <row r="20" spans="3:16" ht="18" customHeight="1">
      <c r="C20" s="61"/>
      <c r="D20" s="284"/>
      <c r="E20" s="290" t="s">
        <v>191</v>
      </c>
      <c r="F20" s="286">
        <v>0</v>
      </c>
      <c r="G20" s="287">
        <v>22651</v>
      </c>
      <c r="H20" s="281">
        <v>22651</v>
      </c>
      <c r="I20" s="288"/>
      <c r="J20" s="287">
        <v>82543</v>
      </c>
      <c r="K20" s="286">
        <v>54459</v>
      </c>
      <c r="L20" s="286">
        <v>68552</v>
      </c>
      <c r="M20" s="286">
        <v>0</v>
      </c>
      <c r="N20" s="287">
        <v>0</v>
      </c>
      <c r="O20" s="279">
        <v>205554</v>
      </c>
      <c r="P20" s="283">
        <v>228205</v>
      </c>
    </row>
    <row r="21" spans="3:16" ht="18" customHeight="1">
      <c r="C21" s="61"/>
      <c r="D21" s="278" t="s">
        <v>236</v>
      </c>
      <c r="F21" s="279">
        <v>0</v>
      </c>
      <c r="G21" s="280">
        <v>0</v>
      </c>
      <c r="H21" s="281">
        <v>0</v>
      </c>
      <c r="I21" s="282"/>
      <c r="J21" s="280">
        <v>0</v>
      </c>
      <c r="K21" s="279">
        <v>0</v>
      </c>
      <c r="L21" s="279">
        <v>36176</v>
      </c>
      <c r="M21" s="279">
        <v>0</v>
      </c>
      <c r="N21" s="280">
        <v>0</v>
      </c>
      <c r="O21" s="279">
        <v>36176</v>
      </c>
      <c r="P21" s="283">
        <v>36176</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36176</v>
      </c>
      <c r="M23" s="286">
        <v>0</v>
      </c>
      <c r="N23" s="287">
        <v>0</v>
      </c>
      <c r="O23" s="279">
        <v>36176</v>
      </c>
      <c r="P23" s="283">
        <v>36176</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79">
        <v>1084</v>
      </c>
      <c r="H26" s="281">
        <v>1084</v>
      </c>
      <c r="I26" s="282"/>
      <c r="J26" s="280">
        <v>14880</v>
      </c>
      <c r="K26" s="279">
        <v>2874</v>
      </c>
      <c r="L26" s="279">
        <v>18572</v>
      </c>
      <c r="M26" s="279">
        <v>0</v>
      </c>
      <c r="N26" s="280">
        <v>0</v>
      </c>
      <c r="O26" s="279">
        <v>36326</v>
      </c>
      <c r="P26" s="283">
        <v>37410</v>
      </c>
    </row>
    <row r="27" spans="3:16" ht="18" customHeight="1">
      <c r="C27" s="61"/>
      <c r="D27" s="284"/>
      <c r="E27" s="285" t="s">
        <v>196</v>
      </c>
      <c r="F27" s="323">
        <v>0</v>
      </c>
      <c r="G27" s="324">
        <v>1084</v>
      </c>
      <c r="H27" s="281">
        <v>1084</v>
      </c>
      <c r="I27" s="288"/>
      <c r="J27" s="324">
        <v>14880</v>
      </c>
      <c r="K27" s="323">
        <v>2874</v>
      </c>
      <c r="L27" s="323">
        <v>18572</v>
      </c>
      <c r="M27" s="323">
        <v>0</v>
      </c>
      <c r="N27" s="324">
        <v>0</v>
      </c>
      <c r="O27" s="279">
        <v>36326</v>
      </c>
      <c r="P27" s="283">
        <v>37410</v>
      </c>
    </row>
    <row r="28" spans="3:16" ht="18" customHeight="1">
      <c r="C28" s="308"/>
      <c r="D28" s="314" t="s">
        <v>246</v>
      </c>
      <c r="E28" s="289"/>
      <c r="F28" s="310">
        <v>0</v>
      </c>
      <c r="G28" s="310">
        <v>0</v>
      </c>
      <c r="H28" s="311">
        <v>0</v>
      </c>
      <c r="I28" s="288"/>
      <c r="J28" s="310">
        <v>0</v>
      </c>
      <c r="K28" s="309">
        <v>0</v>
      </c>
      <c r="L28" s="309">
        <v>0</v>
      </c>
      <c r="M28" s="309">
        <v>0</v>
      </c>
      <c r="N28" s="310">
        <v>0</v>
      </c>
      <c r="O28" s="312">
        <v>0</v>
      </c>
      <c r="P28" s="313">
        <v>0</v>
      </c>
    </row>
    <row r="29" spans="3:16" ht="18" customHeight="1">
      <c r="C29" s="299"/>
      <c r="D29" s="300" t="s">
        <v>198</v>
      </c>
      <c r="E29" s="301"/>
      <c r="F29" s="333"/>
      <c r="G29" s="333"/>
      <c r="H29" s="334"/>
      <c r="I29" s="335"/>
      <c r="J29" s="333"/>
      <c r="K29" s="333"/>
      <c r="L29" s="333"/>
      <c r="M29" s="333"/>
      <c r="N29" s="333"/>
      <c r="O29" s="334"/>
      <c r="P29" s="337"/>
    </row>
    <row r="30" spans="3:16" ht="18" customHeight="1">
      <c r="C30" s="271" t="s">
        <v>240</v>
      </c>
      <c r="D30" s="306"/>
      <c r="E30" s="307"/>
      <c r="F30" s="279">
        <v>0</v>
      </c>
      <c r="G30" s="274">
        <v>0</v>
      </c>
      <c r="H30" s="275">
        <v>0</v>
      </c>
      <c r="I30" s="276"/>
      <c r="J30" s="325">
        <v>0</v>
      </c>
      <c r="K30" s="273">
        <v>0</v>
      </c>
      <c r="L30" s="273">
        <v>0</v>
      </c>
      <c r="M30" s="273">
        <v>0</v>
      </c>
      <c r="N30" s="274">
        <v>0</v>
      </c>
      <c r="O30" s="273">
        <v>0</v>
      </c>
      <c r="P30" s="277">
        <v>0</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0</v>
      </c>
      <c r="K33" s="286">
        <v>0</v>
      </c>
      <c r="L33" s="286">
        <v>0</v>
      </c>
      <c r="M33" s="286">
        <v>0</v>
      </c>
      <c r="N33" s="287">
        <v>0</v>
      </c>
      <c r="O33" s="279">
        <v>0</v>
      </c>
      <c r="P33" s="283">
        <v>0</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0</v>
      </c>
      <c r="K36" s="286">
        <v>0</v>
      </c>
      <c r="L36" s="286">
        <v>0</v>
      </c>
      <c r="M36" s="286">
        <v>0</v>
      </c>
      <c r="N36" s="287">
        <v>0</v>
      </c>
      <c r="O36" s="279">
        <v>0</v>
      </c>
      <c r="P36" s="283">
        <v>0</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0</v>
      </c>
      <c r="L38" s="328">
        <v>0</v>
      </c>
      <c r="M38" s="328">
        <v>0</v>
      </c>
      <c r="N38" s="329">
        <v>0</v>
      </c>
      <c r="O38" s="279">
        <v>0</v>
      </c>
      <c r="P38" s="283">
        <v>0</v>
      </c>
    </row>
    <row r="39" spans="3:16" ht="18" customHeight="1">
      <c r="C39" s="315"/>
      <c r="D39" s="770" t="s">
        <v>241</v>
      </c>
      <c r="E39" s="772"/>
      <c r="F39" s="286">
        <v>0</v>
      </c>
      <c r="G39" s="286">
        <v>0</v>
      </c>
      <c r="H39" s="281">
        <v>0</v>
      </c>
      <c r="I39" s="288"/>
      <c r="J39" s="330">
        <v>0</v>
      </c>
      <c r="K39" s="302">
        <v>0</v>
      </c>
      <c r="L39" s="302">
        <v>0</v>
      </c>
      <c r="M39" s="302">
        <v>0</v>
      </c>
      <c r="N39" s="303">
        <v>0</v>
      </c>
      <c r="O39" s="316">
        <v>0</v>
      </c>
      <c r="P39" s="305">
        <v>0</v>
      </c>
    </row>
    <row r="40" spans="3:16" ht="18" customHeight="1">
      <c r="C40" s="61" t="s">
        <v>242</v>
      </c>
      <c r="F40" s="274">
        <v>0</v>
      </c>
      <c r="G40" s="274">
        <v>0</v>
      </c>
      <c r="H40" s="275">
        <v>0</v>
      </c>
      <c r="I40" s="276"/>
      <c r="J40" s="325">
        <v>0</v>
      </c>
      <c r="K40" s="273">
        <v>0</v>
      </c>
      <c r="L40" s="273">
        <v>41520</v>
      </c>
      <c r="M40" s="273">
        <v>480313</v>
      </c>
      <c r="N40" s="274">
        <v>0</v>
      </c>
      <c r="O40" s="273">
        <v>521833</v>
      </c>
      <c r="P40" s="277">
        <v>521833</v>
      </c>
    </row>
    <row r="41" spans="3:16" ht="18" customHeight="1">
      <c r="C41" s="61"/>
      <c r="D41" s="317" t="s">
        <v>113</v>
      </c>
      <c r="E41" s="317"/>
      <c r="F41" s="287">
        <v>0</v>
      </c>
      <c r="G41" s="287">
        <v>0</v>
      </c>
      <c r="H41" s="281">
        <v>0</v>
      </c>
      <c r="I41" s="288"/>
      <c r="J41" s="287">
        <v>0</v>
      </c>
      <c r="K41" s="287">
        <v>0</v>
      </c>
      <c r="L41" s="287">
        <v>0</v>
      </c>
      <c r="M41" s="287">
        <v>14668</v>
      </c>
      <c r="N41" s="287">
        <v>0</v>
      </c>
      <c r="O41" s="279">
        <v>14668</v>
      </c>
      <c r="P41" s="283">
        <v>14668</v>
      </c>
    </row>
    <row r="42" spans="3:16" ht="18" customHeight="1">
      <c r="C42" s="61"/>
      <c r="D42" s="317" t="s">
        <v>114</v>
      </c>
      <c r="E42" s="317"/>
      <c r="F42" s="286">
        <v>0</v>
      </c>
      <c r="G42" s="287">
        <v>0</v>
      </c>
      <c r="H42" s="281">
        <v>0</v>
      </c>
      <c r="I42" s="288"/>
      <c r="J42" s="287">
        <v>0</v>
      </c>
      <c r="K42" s="286">
        <v>0</v>
      </c>
      <c r="L42" s="287">
        <v>41520</v>
      </c>
      <c r="M42" s="286">
        <v>465645</v>
      </c>
      <c r="N42" s="287">
        <v>0</v>
      </c>
      <c r="O42" s="279">
        <v>507165</v>
      </c>
      <c r="P42" s="283">
        <v>507165</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0</v>
      </c>
      <c r="G45" s="331">
        <v>23735</v>
      </c>
      <c r="H45" s="321">
        <v>23735</v>
      </c>
      <c r="I45" s="224"/>
      <c r="J45" s="332">
        <v>140366</v>
      </c>
      <c r="K45" s="320">
        <v>130670</v>
      </c>
      <c r="L45" s="320">
        <v>212944</v>
      </c>
      <c r="M45" s="320">
        <v>480313</v>
      </c>
      <c r="N45" s="331">
        <v>0</v>
      </c>
      <c r="O45" s="320">
        <v>964293</v>
      </c>
      <c r="P45" s="322">
        <v>988028</v>
      </c>
    </row>
  </sheetData>
  <sheetProtection selectLockedCells="1" selectUnlockedCells="1"/>
  <mergeCells count="9">
    <mergeCell ref="C45:E45"/>
    <mergeCell ref="D38:E38"/>
    <mergeCell ref="D39:E39"/>
    <mergeCell ref="A3:Q3"/>
    <mergeCell ref="A4:Q4"/>
    <mergeCell ref="C9:E10"/>
    <mergeCell ref="F9:H9"/>
    <mergeCell ref="I9:O9"/>
    <mergeCell ref="P9:P10"/>
  </mergeCells>
  <phoneticPr fontId="34"/>
  <pageMargins left="0.7" right="0.7" top="0.75" bottom="0.75" header="0.3" footer="0.3"/>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8"/>
  <sheetViews>
    <sheetView showGridLines="0" view="pageBreakPreview" zoomScale="60" zoomScaleNormal="10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249</v>
      </c>
    </row>
    <row r="8" spans="1:17" ht="18" customHeight="1">
      <c r="C8" s="4"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237350</v>
      </c>
      <c r="H11" s="275">
        <v>237350</v>
      </c>
      <c r="I11" s="276"/>
      <c r="J11" s="274">
        <v>1403660</v>
      </c>
      <c r="K11" s="274">
        <v>1328394</v>
      </c>
      <c r="L11" s="273">
        <v>1731861</v>
      </c>
      <c r="M11" s="274">
        <v>0</v>
      </c>
      <c r="N11" s="274">
        <v>0</v>
      </c>
      <c r="O11" s="273">
        <v>4463915</v>
      </c>
      <c r="P11" s="277">
        <v>4701265</v>
      </c>
    </row>
    <row r="12" spans="1:17" ht="18" customHeight="1">
      <c r="C12" s="61"/>
      <c r="D12" s="278" t="s">
        <v>234</v>
      </c>
      <c r="F12" s="279">
        <v>0</v>
      </c>
      <c r="G12" s="280">
        <v>0</v>
      </c>
      <c r="H12" s="281">
        <v>0</v>
      </c>
      <c r="I12" s="282"/>
      <c r="J12" s="280">
        <v>0</v>
      </c>
      <c r="K12" s="279">
        <v>731156</v>
      </c>
      <c r="L12" s="279">
        <v>484261</v>
      </c>
      <c r="M12" s="279">
        <v>0</v>
      </c>
      <c r="N12" s="280">
        <v>0</v>
      </c>
      <c r="O12" s="279">
        <v>1215417</v>
      </c>
      <c r="P12" s="283">
        <v>1215417</v>
      </c>
    </row>
    <row r="13" spans="1:17" ht="18" customHeight="1">
      <c r="C13" s="61"/>
      <c r="D13" s="284"/>
      <c r="E13" s="285" t="s">
        <v>185</v>
      </c>
      <c r="F13" s="286">
        <v>0</v>
      </c>
      <c r="G13" s="287">
        <v>0</v>
      </c>
      <c r="H13" s="281">
        <v>0</v>
      </c>
      <c r="I13" s="288"/>
      <c r="J13" s="287">
        <v>0</v>
      </c>
      <c r="K13" s="286">
        <v>92466</v>
      </c>
      <c r="L13" s="286">
        <v>74971</v>
      </c>
      <c r="M13" s="286">
        <v>0</v>
      </c>
      <c r="N13" s="287">
        <v>0</v>
      </c>
      <c r="O13" s="279">
        <v>167437</v>
      </c>
      <c r="P13" s="283">
        <v>167437</v>
      </c>
    </row>
    <row r="14" spans="1:17" ht="18" customHeight="1">
      <c r="C14" s="61"/>
      <c r="D14" s="284"/>
      <c r="E14" s="285" t="s">
        <v>186</v>
      </c>
      <c r="F14" s="286">
        <v>0</v>
      </c>
      <c r="G14" s="287">
        <v>0</v>
      </c>
      <c r="H14" s="281">
        <v>0</v>
      </c>
      <c r="I14" s="288"/>
      <c r="J14" s="287">
        <v>0</v>
      </c>
      <c r="K14" s="286">
        <v>112990</v>
      </c>
      <c r="L14" s="286">
        <v>0</v>
      </c>
      <c r="M14" s="286">
        <v>0</v>
      </c>
      <c r="N14" s="287">
        <v>0</v>
      </c>
      <c r="O14" s="279">
        <v>112990</v>
      </c>
      <c r="P14" s="283">
        <v>112990</v>
      </c>
    </row>
    <row r="15" spans="1:17" ht="18" customHeight="1">
      <c r="C15" s="61"/>
      <c r="D15" s="284"/>
      <c r="E15" s="285" t="s">
        <v>187</v>
      </c>
      <c r="F15" s="286">
        <v>0</v>
      </c>
      <c r="G15" s="287">
        <v>0</v>
      </c>
      <c r="H15" s="281">
        <v>0</v>
      </c>
      <c r="I15" s="288"/>
      <c r="J15" s="287">
        <v>0</v>
      </c>
      <c r="K15" s="286">
        <v>227460</v>
      </c>
      <c r="L15" s="286">
        <v>176030</v>
      </c>
      <c r="M15" s="286">
        <v>0</v>
      </c>
      <c r="N15" s="287">
        <v>0</v>
      </c>
      <c r="O15" s="279">
        <v>403490</v>
      </c>
      <c r="P15" s="283">
        <v>403490</v>
      </c>
    </row>
    <row r="16" spans="1:17" ht="18" customHeight="1">
      <c r="C16" s="61"/>
      <c r="D16" s="284"/>
      <c r="E16" s="285" t="s">
        <v>188</v>
      </c>
      <c r="F16" s="286">
        <v>0</v>
      </c>
      <c r="G16" s="287">
        <v>0</v>
      </c>
      <c r="H16" s="281">
        <v>0</v>
      </c>
      <c r="I16" s="288"/>
      <c r="J16" s="287">
        <v>0</v>
      </c>
      <c r="K16" s="286">
        <v>298240</v>
      </c>
      <c r="L16" s="286">
        <v>233260</v>
      </c>
      <c r="M16" s="286">
        <v>0</v>
      </c>
      <c r="N16" s="287">
        <v>0</v>
      </c>
      <c r="O16" s="279">
        <v>531500</v>
      </c>
      <c r="P16" s="283">
        <v>531500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226510</v>
      </c>
      <c r="H18" s="281">
        <v>226510</v>
      </c>
      <c r="I18" s="282"/>
      <c r="J18" s="280">
        <v>1254860</v>
      </c>
      <c r="K18" s="279">
        <v>568498</v>
      </c>
      <c r="L18" s="279">
        <v>700120</v>
      </c>
      <c r="M18" s="279">
        <v>0</v>
      </c>
      <c r="N18" s="280">
        <v>0</v>
      </c>
      <c r="O18" s="279">
        <v>2523478</v>
      </c>
      <c r="P18" s="283">
        <v>2749988</v>
      </c>
    </row>
    <row r="19" spans="3:16" ht="18" customHeight="1">
      <c r="C19" s="61"/>
      <c r="D19" s="284"/>
      <c r="E19" s="290" t="s">
        <v>190</v>
      </c>
      <c r="F19" s="286">
        <v>0</v>
      </c>
      <c r="G19" s="287">
        <v>0</v>
      </c>
      <c r="H19" s="281">
        <v>0</v>
      </c>
      <c r="I19" s="288"/>
      <c r="J19" s="287">
        <v>429430</v>
      </c>
      <c r="K19" s="286">
        <v>5940</v>
      </c>
      <c r="L19" s="286">
        <v>0</v>
      </c>
      <c r="M19" s="286">
        <v>0</v>
      </c>
      <c r="N19" s="287">
        <v>0</v>
      </c>
      <c r="O19" s="279">
        <v>435370</v>
      </c>
      <c r="P19" s="283">
        <v>435370</v>
      </c>
    </row>
    <row r="20" spans="3:16" ht="18" customHeight="1">
      <c r="C20" s="61"/>
      <c r="D20" s="284"/>
      <c r="E20" s="290" t="s">
        <v>191</v>
      </c>
      <c r="F20" s="286">
        <v>0</v>
      </c>
      <c r="G20" s="287">
        <v>226510</v>
      </c>
      <c r="H20" s="281">
        <v>226510</v>
      </c>
      <c r="I20" s="288"/>
      <c r="J20" s="287">
        <v>825430</v>
      </c>
      <c r="K20" s="286">
        <v>562558</v>
      </c>
      <c r="L20" s="286">
        <v>700120</v>
      </c>
      <c r="M20" s="286">
        <v>0</v>
      </c>
      <c r="N20" s="287">
        <v>0</v>
      </c>
      <c r="O20" s="279">
        <v>2088108</v>
      </c>
      <c r="P20" s="283">
        <v>2314618</v>
      </c>
    </row>
    <row r="21" spans="3:16" ht="18" customHeight="1">
      <c r="C21" s="61"/>
      <c r="D21" s="278" t="s">
        <v>236</v>
      </c>
      <c r="F21" s="279">
        <v>0</v>
      </c>
      <c r="G21" s="280">
        <v>0</v>
      </c>
      <c r="H21" s="281">
        <v>0</v>
      </c>
      <c r="I21" s="282"/>
      <c r="J21" s="280">
        <v>0</v>
      </c>
      <c r="K21" s="279">
        <v>0</v>
      </c>
      <c r="L21" s="279">
        <v>361760</v>
      </c>
      <c r="M21" s="279">
        <v>0</v>
      </c>
      <c r="N21" s="280">
        <v>0</v>
      </c>
      <c r="O21" s="279">
        <v>361760</v>
      </c>
      <c r="P21" s="283">
        <v>361760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361760</v>
      </c>
      <c r="M23" s="286">
        <v>0</v>
      </c>
      <c r="N23" s="287">
        <v>0</v>
      </c>
      <c r="O23" s="279">
        <v>361760</v>
      </c>
      <c r="P23" s="283">
        <v>361760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10840</v>
      </c>
      <c r="H26" s="281">
        <v>10840</v>
      </c>
      <c r="I26" s="282"/>
      <c r="J26" s="280">
        <v>148800</v>
      </c>
      <c r="K26" s="279">
        <v>28740</v>
      </c>
      <c r="L26" s="279">
        <v>185720</v>
      </c>
      <c r="M26" s="279">
        <v>0</v>
      </c>
      <c r="N26" s="280">
        <v>0</v>
      </c>
      <c r="O26" s="279">
        <v>363260</v>
      </c>
      <c r="P26" s="283">
        <v>374100</v>
      </c>
    </row>
    <row r="27" spans="3:16" ht="18" customHeight="1">
      <c r="C27" s="61"/>
      <c r="D27" s="284"/>
      <c r="E27" s="292" t="s">
        <v>196</v>
      </c>
      <c r="F27" s="286">
        <v>0</v>
      </c>
      <c r="G27" s="287">
        <v>10840</v>
      </c>
      <c r="H27" s="281">
        <v>10840</v>
      </c>
      <c r="I27" s="288"/>
      <c r="J27" s="287">
        <v>148800</v>
      </c>
      <c r="K27" s="286">
        <v>28740</v>
      </c>
      <c r="L27" s="286">
        <v>185720</v>
      </c>
      <c r="M27" s="286">
        <v>0</v>
      </c>
      <c r="N27" s="287">
        <v>0</v>
      </c>
      <c r="O27" s="279">
        <v>363260</v>
      </c>
      <c r="P27" s="283">
        <v>374100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7"/>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415200</v>
      </c>
      <c r="M42" s="273">
        <v>4878328</v>
      </c>
      <c r="N42" s="274">
        <v>0</v>
      </c>
      <c r="O42" s="273">
        <v>5293528</v>
      </c>
      <c r="P42" s="277">
        <v>5293528</v>
      </c>
    </row>
    <row r="43" spans="3:16" ht="18" customHeight="1">
      <c r="C43" s="61"/>
      <c r="D43" s="317" t="s">
        <v>113</v>
      </c>
      <c r="E43" s="317"/>
      <c r="F43" s="287">
        <v>0</v>
      </c>
      <c r="G43" s="287">
        <v>0</v>
      </c>
      <c r="H43" s="281">
        <v>0</v>
      </c>
      <c r="I43" s="288"/>
      <c r="J43" s="287">
        <v>0</v>
      </c>
      <c r="K43" s="286">
        <v>0</v>
      </c>
      <c r="L43" s="286">
        <v>0</v>
      </c>
      <c r="M43" s="286">
        <v>146680</v>
      </c>
      <c r="N43" s="287">
        <v>0</v>
      </c>
      <c r="O43" s="279">
        <v>146680</v>
      </c>
      <c r="P43" s="283">
        <v>146680</v>
      </c>
    </row>
    <row r="44" spans="3:16" ht="18" customHeight="1">
      <c r="C44" s="61"/>
      <c r="D44" s="317" t="s">
        <v>114</v>
      </c>
      <c r="E44" s="317"/>
      <c r="F44" s="286">
        <v>0</v>
      </c>
      <c r="G44" s="287">
        <v>0</v>
      </c>
      <c r="H44" s="281">
        <v>0</v>
      </c>
      <c r="I44" s="288"/>
      <c r="J44" s="287">
        <v>0</v>
      </c>
      <c r="K44" s="286">
        <v>0</v>
      </c>
      <c r="L44" s="286">
        <v>415200</v>
      </c>
      <c r="M44" s="286">
        <v>4731648</v>
      </c>
      <c r="N44" s="287">
        <v>0</v>
      </c>
      <c r="O44" s="279">
        <v>5146848</v>
      </c>
      <c r="P44" s="283">
        <v>5146848</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237350</v>
      </c>
      <c r="H47" s="321">
        <v>237350</v>
      </c>
      <c r="I47" s="224"/>
      <c r="J47" s="320">
        <v>1403660</v>
      </c>
      <c r="K47" s="320">
        <v>1328394</v>
      </c>
      <c r="L47" s="320">
        <v>2147061</v>
      </c>
      <c r="M47" s="320">
        <v>4878328</v>
      </c>
      <c r="N47" s="320">
        <v>0</v>
      </c>
      <c r="O47" s="320">
        <v>9757443</v>
      </c>
      <c r="P47" s="322">
        <v>9994793</v>
      </c>
    </row>
    <row r="48" spans="3:16" ht="12" customHeight="1"/>
  </sheetData>
  <sheetProtection selectLockedCells="1" selectUnlockedCells="1"/>
  <mergeCells count="11">
    <mergeCell ref="C47:E47"/>
    <mergeCell ref="D41:E41"/>
    <mergeCell ref="A3:Q3"/>
    <mergeCell ref="D33:E33"/>
    <mergeCell ref="D39:E39"/>
    <mergeCell ref="D40:E40"/>
    <mergeCell ref="A4:Q4"/>
    <mergeCell ref="C9:E10"/>
    <mergeCell ref="F9:H9"/>
    <mergeCell ref="I9:O9"/>
    <mergeCell ref="P9:P10"/>
  </mergeCells>
  <phoneticPr fontId="34"/>
  <pageMargins left="0.7" right="0.7" top="0.75" bottom="0.75" header="0.3" footer="0.3"/>
  <pageSetup paperSize="9" scale="6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249</v>
      </c>
    </row>
    <row r="8" spans="1:17" ht="18" customHeight="1">
      <c r="C8" s="4"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189880</v>
      </c>
      <c r="H11" s="275">
        <v>189880</v>
      </c>
      <c r="I11" s="276"/>
      <c r="J11" s="274">
        <v>1122928</v>
      </c>
      <c r="K11" s="274">
        <v>1062711</v>
      </c>
      <c r="L11" s="273">
        <v>1385485</v>
      </c>
      <c r="M11" s="274">
        <v>0</v>
      </c>
      <c r="N11" s="274">
        <v>0</v>
      </c>
      <c r="O11" s="273">
        <v>3571124</v>
      </c>
      <c r="P11" s="277">
        <v>3761004</v>
      </c>
    </row>
    <row r="12" spans="1:17" ht="18" customHeight="1">
      <c r="C12" s="61"/>
      <c r="D12" s="278" t="s">
        <v>234</v>
      </c>
      <c r="F12" s="279">
        <v>0</v>
      </c>
      <c r="G12" s="280">
        <v>0</v>
      </c>
      <c r="H12" s="281">
        <v>0</v>
      </c>
      <c r="I12" s="282"/>
      <c r="J12" s="280">
        <v>0</v>
      </c>
      <c r="K12" s="279">
        <v>584923</v>
      </c>
      <c r="L12" s="279">
        <v>387407</v>
      </c>
      <c r="M12" s="279">
        <v>0</v>
      </c>
      <c r="N12" s="280">
        <v>0</v>
      </c>
      <c r="O12" s="279">
        <v>972330</v>
      </c>
      <c r="P12" s="283">
        <v>972330</v>
      </c>
    </row>
    <row r="13" spans="1:17" ht="18" customHeight="1">
      <c r="C13" s="61"/>
      <c r="D13" s="284"/>
      <c r="E13" s="285" t="s">
        <v>185</v>
      </c>
      <c r="F13" s="286">
        <v>0</v>
      </c>
      <c r="G13" s="287">
        <v>0</v>
      </c>
      <c r="H13" s="281">
        <v>0</v>
      </c>
      <c r="I13" s="288"/>
      <c r="J13" s="287">
        <v>0</v>
      </c>
      <c r="K13" s="286">
        <v>73971</v>
      </c>
      <c r="L13" s="286">
        <v>59975</v>
      </c>
      <c r="M13" s="286">
        <v>0</v>
      </c>
      <c r="N13" s="287">
        <v>0</v>
      </c>
      <c r="O13" s="279">
        <v>133946</v>
      </c>
      <c r="P13" s="283">
        <v>133946</v>
      </c>
    </row>
    <row r="14" spans="1:17" ht="18" customHeight="1">
      <c r="C14" s="61"/>
      <c r="D14" s="284"/>
      <c r="E14" s="285" t="s">
        <v>186</v>
      </c>
      <c r="F14" s="286">
        <v>0</v>
      </c>
      <c r="G14" s="287">
        <v>0</v>
      </c>
      <c r="H14" s="281">
        <v>0</v>
      </c>
      <c r="I14" s="288"/>
      <c r="J14" s="287">
        <v>0</v>
      </c>
      <c r="K14" s="286">
        <v>90392</v>
      </c>
      <c r="L14" s="286">
        <v>0</v>
      </c>
      <c r="M14" s="286">
        <v>0</v>
      </c>
      <c r="N14" s="287">
        <v>0</v>
      </c>
      <c r="O14" s="279">
        <v>90392</v>
      </c>
      <c r="P14" s="283">
        <v>90392</v>
      </c>
    </row>
    <row r="15" spans="1:17" ht="18" customHeight="1">
      <c r="C15" s="61"/>
      <c r="D15" s="284"/>
      <c r="E15" s="285" t="s">
        <v>187</v>
      </c>
      <c r="F15" s="286">
        <v>0</v>
      </c>
      <c r="G15" s="287">
        <v>0</v>
      </c>
      <c r="H15" s="281">
        <v>0</v>
      </c>
      <c r="I15" s="288"/>
      <c r="J15" s="287">
        <v>0</v>
      </c>
      <c r="K15" s="286">
        <v>181968</v>
      </c>
      <c r="L15" s="286">
        <v>140824</v>
      </c>
      <c r="M15" s="286">
        <v>0</v>
      </c>
      <c r="N15" s="287">
        <v>0</v>
      </c>
      <c r="O15" s="279">
        <v>322792</v>
      </c>
      <c r="P15" s="283">
        <v>322792</v>
      </c>
    </row>
    <row r="16" spans="1:17" ht="18" customHeight="1">
      <c r="C16" s="61"/>
      <c r="D16" s="284"/>
      <c r="E16" s="285" t="s">
        <v>188</v>
      </c>
      <c r="F16" s="286">
        <v>0</v>
      </c>
      <c r="G16" s="287">
        <v>0</v>
      </c>
      <c r="H16" s="281">
        <v>0</v>
      </c>
      <c r="I16" s="288"/>
      <c r="J16" s="287">
        <v>0</v>
      </c>
      <c r="K16" s="286">
        <v>238592</v>
      </c>
      <c r="L16" s="286">
        <v>186608</v>
      </c>
      <c r="M16" s="286">
        <v>0</v>
      </c>
      <c r="N16" s="287">
        <v>0</v>
      </c>
      <c r="O16" s="279">
        <v>425200</v>
      </c>
      <c r="P16" s="283">
        <v>425200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181208</v>
      </c>
      <c r="H18" s="281">
        <v>181208</v>
      </c>
      <c r="I18" s="282"/>
      <c r="J18" s="280">
        <v>1003888</v>
      </c>
      <c r="K18" s="279">
        <v>454796</v>
      </c>
      <c r="L18" s="279">
        <v>560094</v>
      </c>
      <c r="M18" s="279">
        <v>0</v>
      </c>
      <c r="N18" s="280">
        <v>0</v>
      </c>
      <c r="O18" s="279">
        <v>2018778</v>
      </c>
      <c r="P18" s="283">
        <v>2199986</v>
      </c>
    </row>
    <row r="19" spans="3:16" ht="18" customHeight="1">
      <c r="C19" s="61"/>
      <c r="D19" s="284"/>
      <c r="E19" s="290" t="s">
        <v>190</v>
      </c>
      <c r="F19" s="286">
        <v>0</v>
      </c>
      <c r="G19" s="287">
        <v>0</v>
      </c>
      <c r="H19" s="281">
        <v>0</v>
      </c>
      <c r="I19" s="288"/>
      <c r="J19" s="287">
        <v>343544</v>
      </c>
      <c r="K19" s="286">
        <v>4752</v>
      </c>
      <c r="L19" s="286">
        <v>0</v>
      </c>
      <c r="M19" s="286">
        <v>0</v>
      </c>
      <c r="N19" s="287">
        <v>0</v>
      </c>
      <c r="O19" s="279">
        <v>348296</v>
      </c>
      <c r="P19" s="283">
        <v>348296</v>
      </c>
    </row>
    <row r="20" spans="3:16" ht="18" customHeight="1">
      <c r="C20" s="61"/>
      <c r="D20" s="284"/>
      <c r="E20" s="290" t="s">
        <v>191</v>
      </c>
      <c r="F20" s="286">
        <v>0</v>
      </c>
      <c r="G20" s="287">
        <v>181208</v>
      </c>
      <c r="H20" s="281">
        <v>181208</v>
      </c>
      <c r="I20" s="288"/>
      <c r="J20" s="287">
        <v>660344</v>
      </c>
      <c r="K20" s="286">
        <v>450044</v>
      </c>
      <c r="L20" s="286">
        <v>560094</v>
      </c>
      <c r="M20" s="286">
        <v>0</v>
      </c>
      <c r="N20" s="287">
        <v>0</v>
      </c>
      <c r="O20" s="279">
        <v>1670482</v>
      </c>
      <c r="P20" s="283">
        <v>1851690</v>
      </c>
    </row>
    <row r="21" spans="3:16" ht="18" customHeight="1">
      <c r="C21" s="61"/>
      <c r="D21" s="278" t="s">
        <v>236</v>
      </c>
      <c r="F21" s="279">
        <v>0</v>
      </c>
      <c r="G21" s="280">
        <v>0</v>
      </c>
      <c r="H21" s="281">
        <v>0</v>
      </c>
      <c r="I21" s="282"/>
      <c r="J21" s="280">
        <v>0</v>
      </c>
      <c r="K21" s="279">
        <v>0</v>
      </c>
      <c r="L21" s="279">
        <v>289408</v>
      </c>
      <c r="M21" s="279">
        <v>0</v>
      </c>
      <c r="N21" s="280">
        <v>0</v>
      </c>
      <c r="O21" s="279">
        <v>289408</v>
      </c>
      <c r="P21" s="283">
        <v>289408</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289408</v>
      </c>
      <c r="M23" s="286">
        <v>0</v>
      </c>
      <c r="N23" s="287">
        <v>0</v>
      </c>
      <c r="O23" s="279">
        <v>289408</v>
      </c>
      <c r="P23" s="283">
        <v>289408</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8672</v>
      </c>
      <c r="H26" s="281">
        <v>8672</v>
      </c>
      <c r="I26" s="282"/>
      <c r="J26" s="280">
        <v>119040</v>
      </c>
      <c r="K26" s="279">
        <v>22992</v>
      </c>
      <c r="L26" s="279">
        <v>148576</v>
      </c>
      <c r="M26" s="279">
        <v>0</v>
      </c>
      <c r="N26" s="280">
        <v>0</v>
      </c>
      <c r="O26" s="279">
        <v>290608</v>
      </c>
      <c r="P26" s="283">
        <v>299280</v>
      </c>
    </row>
    <row r="27" spans="3:16" ht="18" customHeight="1">
      <c r="C27" s="61"/>
      <c r="D27" s="284"/>
      <c r="E27" s="292" t="s">
        <v>196</v>
      </c>
      <c r="F27" s="286">
        <v>0</v>
      </c>
      <c r="G27" s="287">
        <v>8672</v>
      </c>
      <c r="H27" s="281">
        <v>8672</v>
      </c>
      <c r="I27" s="288"/>
      <c r="J27" s="287">
        <v>119040</v>
      </c>
      <c r="K27" s="286">
        <v>22992</v>
      </c>
      <c r="L27" s="286">
        <v>148576</v>
      </c>
      <c r="M27" s="286">
        <v>0</v>
      </c>
      <c r="N27" s="287">
        <v>0</v>
      </c>
      <c r="O27" s="279">
        <v>290608</v>
      </c>
      <c r="P27" s="283">
        <v>299280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7"/>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332160</v>
      </c>
      <c r="M42" s="273">
        <v>3902660</v>
      </c>
      <c r="N42" s="274">
        <v>0</v>
      </c>
      <c r="O42" s="273">
        <v>4234820</v>
      </c>
      <c r="P42" s="277">
        <v>4234820</v>
      </c>
    </row>
    <row r="43" spans="3:16" ht="18" customHeight="1">
      <c r="C43" s="61"/>
      <c r="D43" s="317" t="s">
        <v>113</v>
      </c>
      <c r="E43" s="317"/>
      <c r="F43" s="287">
        <v>0</v>
      </c>
      <c r="G43" s="287">
        <v>0</v>
      </c>
      <c r="H43" s="281">
        <v>0</v>
      </c>
      <c r="I43" s="288"/>
      <c r="J43" s="287">
        <v>0</v>
      </c>
      <c r="K43" s="286">
        <v>0</v>
      </c>
      <c r="L43" s="286">
        <v>0</v>
      </c>
      <c r="M43" s="286">
        <v>117344</v>
      </c>
      <c r="N43" s="287">
        <v>0</v>
      </c>
      <c r="O43" s="279">
        <v>117344</v>
      </c>
      <c r="P43" s="283">
        <v>117344</v>
      </c>
    </row>
    <row r="44" spans="3:16" ht="18" customHeight="1">
      <c r="C44" s="61"/>
      <c r="D44" s="317" t="s">
        <v>114</v>
      </c>
      <c r="E44" s="317"/>
      <c r="F44" s="286">
        <v>0</v>
      </c>
      <c r="G44" s="287">
        <v>0</v>
      </c>
      <c r="H44" s="281">
        <v>0</v>
      </c>
      <c r="I44" s="288"/>
      <c r="J44" s="287">
        <v>0</v>
      </c>
      <c r="K44" s="286">
        <v>0</v>
      </c>
      <c r="L44" s="286">
        <v>332160</v>
      </c>
      <c r="M44" s="286">
        <v>3785316</v>
      </c>
      <c r="N44" s="287">
        <v>0</v>
      </c>
      <c r="O44" s="279">
        <v>4117476</v>
      </c>
      <c r="P44" s="283">
        <v>4117476</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189880</v>
      </c>
      <c r="H47" s="321">
        <v>189880</v>
      </c>
      <c r="I47" s="224"/>
      <c r="J47" s="320">
        <v>1122928</v>
      </c>
      <c r="K47" s="320">
        <v>1062711</v>
      </c>
      <c r="L47" s="320">
        <v>1717645</v>
      </c>
      <c r="M47" s="320">
        <v>3902660</v>
      </c>
      <c r="N47" s="320">
        <v>0</v>
      </c>
      <c r="O47" s="320">
        <v>7805944</v>
      </c>
      <c r="P47" s="322">
        <v>7995824</v>
      </c>
    </row>
  </sheetData>
  <sheetProtection selectLockedCells="1" selectUnlockedCells="1"/>
  <mergeCells count="11">
    <mergeCell ref="C47:E47"/>
    <mergeCell ref="D41:E41"/>
    <mergeCell ref="A3:Q3"/>
    <mergeCell ref="D33:E33"/>
    <mergeCell ref="D39:E39"/>
    <mergeCell ref="D40:E40"/>
    <mergeCell ref="C9:E10"/>
    <mergeCell ref="F9:H9"/>
    <mergeCell ref="I9:O9"/>
    <mergeCell ref="P9:P10"/>
    <mergeCell ref="A4:Q4"/>
  </mergeCells>
  <phoneticPr fontId="34"/>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250</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1</v>
      </c>
      <c r="H11" s="275">
        <v>1</v>
      </c>
      <c r="I11" s="276"/>
      <c r="J11" s="274">
        <v>16</v>
      </c>
      <c r="K11" s="274">
        <v>12</v>
      </c>
      <c r="L11" s="273">
        <v>0</v>
      </c>
      <c r="M11" s="274">
        <v>0</v>
      </c>
      <c r="N11" s="274">
        <v>0</v>
      </c>
      <c r="O11" s="273">
        <v>28</v>
      </c>
      <c r="P11" s="277">
        <v>29</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8</v>
      </c>
      <c r="K18" s="279">
        <v>12</v>
      </c>
      <c r="L18" s="279">
        <v>0</v>
      </c>
      <c r="M18" s="279">
        <v>0</v>
      </c>
      <c r="N18" s="280">
        <v>0</v>
      </c>
      <c r="O18" s="279">
        <v>20</v>
      </c>
      <c r="P18" s="283">
        <v>20</v>
      </c>
    </row>
    <row r="19" spans="3:16" ht="18" customHeight="1">
      <c r="C19" s="61"/>
      <c r="D19" s="284"/>
      <c r="E19" s="290" t="s">
        <v>190</v>
      </c>
      <c r="F19" s="286">
        <v>0</v>
      </c>
      <c r="G19" s="287">
        <v>0</v>
      </c>
      <c r="H19" s="281">
        <v>0</v>
      </c>
      <c r="I19" s="288"/>
      <c r="J19" s="287">
        <v>8</v>
      </c>
      <c r="K19" s="286">
        <v>0</v>
      </c>
      <c r="L19" s="286">
        <v>0</v>
      </c>
      <c r="M19" s="286">
        <v>0</v>
      </c>
      <c r="N19" s="287">
        <v>0</v>
      </c>
      <c r="O19" s="279">
        <v>8</v>
      </c>
      <c r="P19" s="283">
        <v>8</v>
      </c>
    </row>
    <row r="20" spans="3:16" ht="18" customHeight="1">
      <c r="C20" s="61"/>
      <c r="D20" s="284"/>
      <c r="E20" s="290" t="s">
        <v>191</v>
      </c>
      <c r="F20" s="286">
        <v>0</v>
      </c>
      <c r="G20" s="287">
        <v>0</v>
      </c>
      <c r="H20" s="281">
        <v>0</v>
      </c>
      <c r="I20" s="288"/>
      <c r="J20" s="287">
        <v>0</v>
      </c>
      <c r="K20" s="286">
        <v>12</v>
      </c>
      <c r="L20" s="286">
        <v>0</v>
      </c>
      <c r="M20" s="286">
        <v>0</v>
      </c>
      <c r="N20" s="287">
        <v>0</v>
      </c>
      <c r="O20" s="279">
        <v>12</v>
      </c>
      <c r="P20" s="283">
        <v>12</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v>
      </c>
      <c r="H26" s="281">
        <v>1</v>
      </c>
      <c r="I26" s="282"/>
      <c r="J26" s="280">
        <v>8</v>
      </c>
      <c r="K26" s="279">
        <v>0</v>
      </c>
      <c r="L26" s="279">
        <v>0</v>
      </c>
      <c r="M26" s="279">
        <v>0</v>
      </c>
      <c r="N26" s="280">
        <v>0</v>
      </c>
      <c r="O26" s="279">
        <v>8</v>
      </c>
      <c r="P26" s="283">
        <v>9</v>
      </c>
    </row>
    <row r="27" spans="3:16" ht="18" customHeight="1">
      <c r="C27" s="61"/>
      <c r="D27" s="284"/>
      <c r="E27" s="292" t="s">
        <v>196</v>
      </c>
      <c r="F27" s="286">
        <v>0</v>
      </c>
      <c r="G27" s="287">
        <v>1</v>
      </c>
      <c r="H27" s="281">
        <v>1</v>
      </c>
      <c r="I27" s="288"/>
      <c r="J27" s="287">
        <v>8</v>
      </c>
      <c r="K27" s="286">
        <v>0</v>
      </c>
      <c r="L27" s="286">
        <v>0</v>
      </c>
      <c r="M27" s="286">
        <v>0</v>
      </c>
      <c r="N27" s="287">
        <v>0</v>
      </c>
      <c r="O27" s="279">
        <v>8</v>
      </c>
      <c r="P27" s="283">
        <v>9</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7"/>
    </row>
    <row r="32" spans="3:16" ht="18" customHeight="1">
      <c r="C32" s="271" t="s">
        <v>240</v>
      </c>
      <c r="D32" s="306"/>
      <c r="E32" s="307"/>
      <c r="F32" s="273">
        <v>0</v>
      </c>
      <c r="G32" s="274">
        <v>0</v>
      </c>
      <c r="H32" s="275">
        <v>0</v>
      </c>
      <c r="I32" s="276"/>
      <c r="J32" s="274">
        <v>0</v>
      </c>
      <c r="K32" s="273">
        <v>0</v>
      </c>
      <c r="L32" s="273">
        <v>0</v>
      </c>
      <c r="M32" s="273">
        <v>0</v>
      </c>
      <c r="N32" s="274">
        <v>1</v>
      </c>
      <c r="O32" s="273">
        <v>1</v>
      </c>
      <c r="P32" s="277">
        <v>1</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1</v>
      </c>
      <c r="O40" s="312">
        <v>1</v>
      </c>
      <c r="P40" s="313">
        <v>1</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5</v>
      </c>
      <c r="N42" s="274">
        <v>0</v>
      </c>
      <c r="O42" s="273">
        <v>5</v>
      </c>
      <c r="P42" s="277">
        <v>5</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5</v>
      </c>
      <c r="N44" s="287">
        <v>0</v>
      </c>
      <c r="O44" s="279">
        <v>5</v>
      </c>
      <c r="P44" s="283">
        <v>5</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1</v>
      </c>
      <c r="H47" s="321">
        <v>1</v>
      </c>
      <c r="I47" s="224"/>
      <c r="J47" s="320">
        <v>16</v>
      </c>
      <c r="K47" s="320">
        <v>12</v>
      </c>
      <c r="L47" s="320">
        <v>0</v>
      </c>
      <c r="M47" s="320">
        <v>5</v>
      </c>
      <c r="N47" s="320">
        <v>1</v>
      </c>
      <c r="O47" s="320">
        <v>34</v>
      </c>
      <c r="P47" s="322">
        <v>35</v>
      </c>
    </row>
  </sheetData>
  <sheetProtection selectLockedCells="1" selectUnlockedCells="1"/>
  <mergeCells count="11">
    <mergeCell ref="A3:Q3"/>
    <mergeCell ref="C9:E10"/>
    <mergeCell ref="F9:H9"/>
    <mergeCell ref="I9:O9"/>
    <mergeCell ref="P9:P10"/>
    <mergeCell ref="A4:Q4"/>
    <mergeCell ref="D33:E33"/>
    <mergeCell ref="D39:E39"/>
    <mergeCell ref="D40:E40"/>
    <mergeCell ref="D41:E41"/>
    <mergeCell ref="C47:E47"/>
  </mergeCells>
  <phoneticPr fontId="34"/>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45"/>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250</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3">
        <v>100</v>
      </c>
      <c r="H11" s="275">
        <v>100</v>
      </c>
      <c r="I11" s="276"/>
      <c r="J11" s="273">
        <v>47005</v>
      </c>
      <c r="K11" s="273">
        <v>148841</v>
      </c>
      <c r="L11" s="273">
        <v>0</v>
      </c>
      <c r="M11" s="273">
        <v>0</v>
      </c>
      <c r="N11" s="273">
        <v>0</v>
      </c>
      <c r="O11" s="273">
        <v>195846</v>
      </c>
      <c r="P11" s="277">
        <v>195946</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44755</v>
      </c>
      <c r="K18" s="279">
        <v>148841</v>
      </c>
      <c r="L18" s="279">
        <v>0</v>
      </c>
      <c r="M18" s="279">
        <v>0</v>
      </c>
      <c r="N18" s="280">
        <v>0</v>
      </c>
      <c r="O18" s="279">
        <v>193596</v>
      </c>
      <c r="P18" s="283">
        <v>193596</v>
      </c>
    </row>
    <row r="19" spans="3:16" ht="18" customHeight="1">
      <c r="C19" s="61"/>
      <c r="D19" s="284"/>
      <c r="E19" s="290" t="s">
        <v>190</v>
      </c>
      <c r="F19" s="286">
        <v>0</v>
      </c>
      <c r="G19" s="287">
        <v>0</v>
      </c>
      <c r="H19" s="281">
        <v>0</v>
      </c>
      <c r="I19" s="288"/>
      <c r="J19" s="287">
        <v>44755</v>
      </c>
      <c r="K19" s="286">
        <v>0</v>
      </c>
      <c r="L19" s="286">
        <v>0</v>
      </c>
      <c r="M19" s="286">
        <v>0</v>
      </c>
      <c r="N19" s="287">
        <v>0</v>
      </c>
      <c r="O19" s="279">
        <v>44755</v>
      </c>
      <c r="P19" s="283">
        <v>44755</v>
      </c>
    </row>
    <row r="20" spans="3:16" ht="18" customHeight="1">
      <c r="C20" s="61"/>
      <c r="D20" s="284"/>
      <c r="E20" s="290" t="s">
        <v>191</v>
      </c>
      <c r="F20" s="286">
        <v>0</v>
      </c>
      <c r="G20" s="287">
        <v>0</v>
      </c>
      <c r="H20" s="281">
        <v>0</v>
      </c>
      <c r="I20" s="288"/>
      <c r="J20" s="287">
        <v>0</v>
      </c>
      <c r="K20" s="286">
        <v>148841</v>
      </c>
      <c r="L20" s="286">
        <v>0</v>
      </c>
      <c r="M20" s="286">
        <v>0</v>
      </c>
      <c r="N20" s="287">
        <v>0</v>
      </c>
      <c r="O20" s="279">
        <v>148841</v>
      </c>
      <c r="P20" s="283">
        <v>148841</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79">
        <v>100</v>
      </c>
      <c r="H26" s="281">
        <v>100</v>
      </c>
      <c r="I26" s="282"/>
      <c r="J26" s="280">
        <v>2250</v>
      </c>
      <c r="K26" s="279">
        <v>0</v>
      </c>
      <c r="L26" s="279">
        <v>0</v>
      </c>
      <c r="M26" s="279">
        <v>0</v>
      </c>
      <c r="N26" s="280">
        <v>0</v>
      </c>
      <c r="O26" s="279">
        <v>2250</v>
      </c>
      <c r="P26" s="283">
        <v>2350</v>
      </c>
    </row>
    <row r="27" spans="3:16" ht="18" customHeight="1">
      <c r="C27" s="61"/>
      <c r="D27" s="284"/>
      <c r="E27" s="285" t="s">
        <v>196</v>
      </c>
      <c r="F27" s="323">
        <v>0</v>
      </c>
      <c r="G27" s="324">
        <v>100</v>
      </c>
      <c r="H27" s="281">
        <v>100</v>
      </c>
      <c r="I27" s="288"/>
      <c r="J27" s="324">
        <v>2250</v>
      </c>
      <c r="K27" s="323">
        <v>0</v>
      </c>
      <c r="L27" s="323">
        <v>0</v>
      </c>
      <c r="M27" s="323">
        <v>0</v>
      </c>
      <c r="N27" s="324">
        <v>0</v>
      </c>
      <c r="O27" s="279">
        <v>2250</v>
      </c>
      <c r="P27" s="283">
        <v>2350</v>
      </c>
    </row>
    <row r="28" spans="3:16" ht="18" customHeight="1">
      <c r="C28" s="308"/>
      <c r="D28" s="314" t="s">
        <v>246</v>
      </c>
      <c r="E28" s="289"/>
      <c r="F28" s="310">
        <v>0</v>
      </c>
      <c r="G28" s="310">
        <v>0</v>
      </c>
      <c r="H28" s="311">
        <v>0</v>
      </c>
      <c r="I28" s="288"/>
      <c r="J28" s="310">
        <v>0</v>
      </c>
      <c r="K28" s="309">
        <v>0</v>
      </c>
      <c r="L28" s="309">
        <v>0</v>
      </c>
      <c r="M28" s="309">
        <v>0</v>
      </c>
      <c r="N28" s="310">
        <v>0</v>
      </c>
      <c r="O28" s="312">
        <v>0</v>
      </c>
      <c r="P28" s="313">
        <v>0</v>
      </c>
    </row>
    <row r="29" spans="3:16" ht="18" customHeight="1">
      <c r="C29" s="299"/>
      <c r="D29" s="300" t="s">
        <v>198</v>
      </c>
      <c r="E29" s="301"/>
      <c r="F29" s="333"/>
      <c r="G29" s="333"/>
      <c r="H29" s="334"/>
      <c r="I29" s="335"/>
      <c r="J29" s="333"/>
      <c r="K29" s="333"/>
      <c r="L29" s="333"/>
      <c r="M29" s="333"/>
      <c r="N29" s="333"/>
      <c r="O29" s="334"/>
      <c r="P29" s="337"/>
    </row>
    <row r="30" spans="3:16" ht="18" customHeight="1">
      <c r="C30" s="271" t="s">
        <v>240</v>
      </c>
      <c r="D30" s="306"/>
      <c r="E30" s="307"/>
      <c r="F30" s="279">
        <v>0</v>
      </c>
      <c r="G30" s="274">
        <v>0</v>
      </c>
      <c r="H30" s="275">
        <v>0</v>
      </c>
      <c r="I30" s="276"/>
      <c r="J30" s="325">
        <v>0</v>
      </c>
      <c r="K30" s="273">
        <v>0</v>
      </c>
      <c r="L30" s="273">
        <v>0</v>
      </c>
      <c r="M30" s="273">
        <v>0</v>
      </c>
      <c r="N30" s="274">
        <v>28175</v>
      </c>
      <c r="O30" s="273">
        <v>28175</v>
      </c>
      <c r="P30" s="277">
        <v>28175</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0</v>
      </c>
      <c r="K33" s="286">
        <v>0</v>
      </c>
      <c r="L33" s="286">
        <v>0</v>
      </c>
      <c r="M33" s="286">
        <v>0</v>
      </c>
      <c r="N33" s="287">
        <v>0</v>
      </c>
      <c r="O33" s="279">
        <v>0</v>
      </c>
      <c r="P33" s="283">
        <v>0</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0</v>
      </c>
      <c r="K36" s="286">
        <v>0</v>
      </c>
      <c r="L36" s="286">
        <v>0</v>
      </c>
      <c r="M36" s="286">
        <v>0</v>
      </c>
      <c r="N36" s="287">
        <v>0</v>
      </c>
      <c r="O36" s="279">
        <v>0</v>
      </c>
      <c r="P36" s="283">
        <v>0</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0</v>
      </c>
      <c r="L38" s="328">
        <v>0</v>
      </c>
      <c r="M38" s="328">
        <v>0</v>
      </c>
      <c r="N38" s="329">
        <v>28175</v>
      </c>
      <c r="O38" s="279">
        <v>28175</v>
      </c>
      <c r="P38" s="283">
        <v>28175</v>
      </c>
    </row>
    <row r="39" spans="3:16" ht="18" customHeight="1">
      <c r="C39" s="315"/>
      <c r="D39" s="770" t="s">
        <v>241</v>
      </c>
      <c r="E39" s="772"/>
      <c r="F39" s="286">
        <v>0</v>
      </c>
      <c r="G39" s="286">
        <v>0</v>
      </c>
      <c r="H39" s="281">
        <v>0</v>
      </c>
      <c r="I39" s="288"/>
      <c r="J39" s="330">
        <v>0</v>
      </c>
      <c r="K39" s="302">
        <v>0</v>
      </c>
      <c r="L39" s="302">
        <v>0</v>
      </c>
      <c r="M39" s="302">
        <v>0</v>
      </c>
      <c r="N39" s="303">
        <v>0</v>
      </c>
      <c r="O39" s="316">
        <v>0</v>
      </c>
      <c r="P39" s="305">
        <v>0</v>
      </c>
    </row>
    <row r="40" spans="3:16" ht="18" customHeight="1">
      <c r="C40" s="61" t="s">
        <v>242</v>
      </c>
      <c r="F40" s="274">
        <v>0</v>
      </c>
      <c r="G40" s="274">
        <v>0</v>
      </c>
      <c r="H40" s="275">
        <v>0</v>
      </c>
      <c r="I40" s="276"/>
      <c r="J40" s="325">
        <v>0</v>
      </c>
      <c r="K40" s="273">
        <v>0</v>
      </c>
      <c r="L40" s="273">
        <v>0</v>
      </c>
      <c r="M40" s="273">
        <v>189380</v>
      </c>
      <c r="N40" s="274">
        <v>0</v>
      </c>
      <c r="O40" s="273">
        <v>189380</v>
      </c>
      <c r="P40" s="277">
        <v>189380</v>
      </c>
    </row>
    <row r="41" spans="3:16" ht="18" customHeight="1">
      <c r="C41" s="61"/>
      <c r="D41" s="317" t="s">
        <v>113</v>
      </c>
      <c r="E41" s="317"/>
      <c r="F41" s="287">
        <v>0</v>
      </c>
      <c r="G41" s="287">
        <v>0</v>
      </c>
      <c r="H41" s="281">
        <v>0</v>
      </c>
      <c r="I41" s="288"/>
      <c r="J41" s="287">
        <v>0</v>
      </c>
      <c r="K41" s="287">
        <v>0</v>
      </c>
      <c r="L41" s="287">
        <v>0</v>
      </c>
      <c r="M41" s="287">
        <v>0</v>
      </c>
      <c r="N41" s="287">
        <v>0</v>
      </c>
      <c r="O41" s="279">
        <v>0</v>
      </c>
      <c r="P41" s="283">
        <v>0</v>
      </c>
    </row>
    <row r="42" spans="3:16" ht="18" customHeight="1">
      <c r="C42" s="61"/>
      <c r="D42" s="317" t="s">
        <v>114</v>
      </c>
      <c r="E42" s="317"/>
      <c r="F42" s="286">
        <v>0</v>
      </c>
      <c r="G42" s="287">
        <v>0</v>
      </c>
      <c r="H42" s="281">
        <v>0</v>
      </c>
      <c r="I42" s="288"/>
      <c r="J42" s="287">
        <v>0</v>
      </c>
      <c r="K42" s="286">
        <v>0</v>
      </c>
      <c r="L42" s="287">
        <v>0</v>
      </c>
      <c r="M42" s="286">
        <v>189380</v>
      </c>
      <c r="N42" s="287">
        <v>0</v>
      </c>
      <c r="O42" s="279">
        <v>189380</v>
      </c>
      <c r="P42" s="283">
        <v>189380</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0</v>
      </c>
      <c r="G45" s="331">
        <v>100</v>
      </c>
      <c r="H45" s="321">
        <v>100</v>
      </c>
      <c r="I45" s="224"/>
      <c r="J45" s="332">
        <v>47005</v>
      </c>
      <c r="K45" s="320">
        <v>148841</v>
      </c>
      <c r="L45" s="320">
        <v>0</v>
      </c>
      <c r="M45" s="320">
        <v>189380</v>
      </c>
      <c r="N45" s="331">
        <v>28175</v>
      </c>
      <c r="O45" s="320">
        <v>413401</v>
      </c>
      <c r="P45" s="322">
        <v>413501</v>
      </c>
    </row>
  </sheetData>
  <sheetProtection selectLockedCells="1" selectUnlockedCells="1"/>
  <mergeCells count="9">
    <mergeCell ref="D38:E38"/>
    <mergeCell ref="D39:E39"/>
    <mergeCell ref="C45:E45"/>
    <mergeCell ref="A3:Q3"/>
    <mergeCell ref="C9:E10"/>
    <mergeCell ref="F9:H9"/>
    <mergeCell ref="I9:O9"/>
    <mergeCell ref="P9:P10"/>
    <mergeCell ref="A4:Q4"/>
  </mergeCells>
  <phoneticPr fontId="34"/>
  <pageMargins left="0.7" right="0.7" top="0.75" bottom="0.75" header="0.3" footer="0.3"/>
  <pageSetup paperSize="9" scale="6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48"/>
  <sheetViews>
    <sheetView showGridLines="0" view="pageBreakPreview" zoomScale="60" zoomScaleNormal="10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250</v>
      </c>
    </row>
    <row r="8" spans="1:17" ht="18" customHeight="1">
      <c r="C8" s="4"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1000</v>
      </c>
      <c r="H11" s="275">
        <v>1000</v>
      </c>
      <c r="I11" s="276"/>
      <c r="J11" s="274">
        <v>470050</v>
      </c>
      <c r="K11" s="274">
        <v>1537522</v>
      </c>
      <c r="L11" s="273">
        <v>0</v>
      </c>
      <c r="M11" s="274">
        <v>0</v>
      </c>
      <c r="N11" s="274">
        <v>0</v>
      </c>
      <c r="O11" s="273">
        <v>2007572</v>
      </c>
      <c r="P11" s="277">
        <v>2008572</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447550</v>
      </c>
      <c r="K18" s="279">
        <v>1537522</v>
      </c>
      <c r="L18" s="279">
        <v>0</v>
      </c>
      <c r="M18" s="279">
        <v>0</v>
      </c>
      <c r="N18" s="280">
        <v>0</v>
      </c>
      <c r="O18" s="279">
        <v>1985072</v>
      </c>
      <c r="P18" s="283">
        <v>1985072</v>
      </c>
    </row>
    <row r="19" spans="3:16" ht="18" customHeight="1">
      <c r="C19" s="61"/>
      <c r="D19" s="284"/>
      <c r="E19" s="290" t="s">
        <v>190</v>
      </c>
      <c r="F19" s="286">
        <v>0</v>
      </c>
      <c r="G19" s="287">
        <v>0</v>
      </c>
      <c r="H19" s="281">
        <v>0</v>
      </c>
      <c r="I19" s="288"/>
      <c r="J19" s="287">
        <v>447550</v>
      </c>
      <c r="K19" s="286">
        <v>0</v>
      </c>
      <c r="L19" s="286">
        <v>0</v>
      </c>
      <c r="M19" s="286">
        <v>0</v>
      </c>
      <c r="N19" s="287">
        <v>0</v>
      </c>
      <c r="O19" s="279">
        <v>447550</v>
      </c>
      <c r="P19" s="283">
        <v>447550</v>
      </c>
    </row>
    <row r="20" spans="3:16" ht="18" customHeight="1">
      <c r="C20" s="61"/>
      <c r="D20" s="284"/>
      <c r="E20" s="290" t="s">
        <v>191</v>
      </c>
      <c r="F20" s="286">
        <v>0</v>
      </c>
      <c r="G20" s="287">
        <v>0</v>
      </c>
      <c r="H20" s="281">
        <v>0</v>
      </c>
      <c r="I20" s="288"/>
      <c r="J20" s="287">
        <v>0</v>
      </c>
      <c r="K20" s="286">
        <v>1537522</v>
      </c>
      <c r="L20" s="286">
        <v>0</v>
      </c>
      <c r="M20" s="286">
        <v>0</v>
      </c>
      <c r="N20" s="287">
        <v>0</v>
      </c>
      <c r="O20" s="279">
        <v>1537522</v>
      </c>
      <c r="P20" s="283">
        <v>1537522</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1000</v>
      </c>
      <c r="H26" s="281">
        <v>1000</v>
      </c>
      <c r="I26" s="282"/>
      <c r="J26" s="280">
        <v>22500</v>
      </c>
      <c r="K26" s="279">
        <v>0</v>
      </c>
      <c r="L26" s="279">
        <v>0</v>
      </c>
      <c r="M26" s="279">
        <v>0</v>
      </c>
      <c r="N26" s="280">
        <v>0</v>
      </c>
      <c r="O26" s="279">
        <v>22500</v>
      </c>
      <c r="P26" s="283">
        <v>23500</v>
      </c>
    </row>
    <row r="27" spans="3:16" ht="18" customHeight="1">
      <c r="C27" s="61"/>
      <c r="D27" s="284"/>
      <c r="E27" s="292" t="s">
        <v>196</v>
      </c>
      <c r="F27" s="286">
        <v>0</v>
      </c>
      <c r="G27" s="287">
        <v>1000</v>
      </c>
      <c r="H27" s="281">
        <v>1000</v>
      </c>
      <c r="I27" s="288"/>
      <c r="J27" s="287">
        <v>22500</v>
      </c>
      <c r="K27" s="286">
        <v>0</v>
      </c>
      <c r="L27" s="286">
        <v>0</v>
      </c>
      <c r="M27" s="286">
        <v>0</v>
      </c>
      <c r="N27" s="287">
        <v>0</v>
      </c>
      <c r="O27" s="279">
        <v>22500</v>
      </c>
      <c r="P27" s="283">
        <v>23500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7"/>
    </row>
    <row r="32" spans="3:16" ht="18" customHeight="1">
      <c r="C32" s="271" t="s">
        <v>240</v>
      </c>
      <c r="D32" s="306"/>
      <c r="E32" s="307"/>
      <c r="F32" s="273">
        <v>0</v>
      </c>
      <c r="G32" s="274">
        <v>0</v>
      </c>
      <c r="H32" s="275">
        <v>0</v>
      </c>
      <c r="I32" s="276"/>
      <c r="J32" s="274">
        <v>0</v>
      </c>
      <c r="K32" s="273">
        <v>0</v>
      </c>
      <c r="L32" s="273">
        <v>0</v>
      </c>
      <c r="M32" s="273">
        <v>0</v>
      </c>
      <c r="N32" s="274">
        <v>281750</v>
      </c>
      <c r="O32" s="273">
        <v>281750</v>
      </c>
      <c r="P32" s="277">
        <v>281750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281750</v>
      </c>
      <c r="O40" s="312">
        <v>281750</v>
      </c>
      <c r="P40" s="313">
        <v>281750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1944930</v>
      </c>
      <c r="N42" s="274">
        <v>0</v>
      </c>
      <c r="O42" s="273">
        <v>1944930</v>
      </c>
      <c r="P42" s="277">
        <v>1944930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1944930</v>
      </c>
      <c r="N44" s="287">
        <v>0</v>
      </c>
      <c r="O44" s="279">
        <v>1944930</v>
      </c>
      <c r="P44" s="283">
        <v>1944930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1000</v>
      </c>
      <c r="H47" s="321">
        <v>1000</v>
      </c>
      <c r="I47" s="224"/>
      <c r="J47" s="320">
        <v>470050</v>
      </c>
      <c r="K47" s="320">
        <v>1537522</v>
      </c>
      <c r="L47" s="320">
        <v>0</v>
      </c>
      <c r="M47" s="320">
        <v>1944930</v>
      </c>
      <c r="N47" s="320">
        <v>281750</v>
      </c>
      <c r="O47" s="320">
        <v>4234252</v>
      </c>
      <c r="P47" s="322">
        <v>4235252</v>
      </c>
    </row>
    <row r="48" spans="3:16" ht="12" customHeight="1"/>
  </sheetData>
  <sheetProtection selectLockedCells="1" selectUnlockedCells="1"/>
  <mergeCells count="11">
    <mergeCell ref="A3:Q3"/>
    <mergeCell ref="C9:E10"/>
    <mergeCell ref="F9:H9"/>
    <mergeCell ref="I9:O9"/>
    <mergeCell ref="P9:P10"/>
    <mergeCell ref="A4:Q4"/>
    <mergeCell ref="D33:E33"/>
    <mergeCell ref="D39:E39"/>
    <mergeCell ref="D40:E40"/>
    <mergeCell ref="D41:E41"/>
    <mergeCell ref="C47:E47"/>
  </mergeCells>
  <phoneticPr fontId="34"/>
  <pageMargins left="0.7" right="0.7" top="0.75" bottom="0.75" header="0.3" footer="0.3"/>
  <pageSetup paperSize="9" scale="63"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7"/>
  <sheetViews>
    <sheetView showGridLines="0" view="pageBreakPreview" zoomScale="60" zoomScaleNormal="10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227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250</v>
      </c>
    </row>
    <row r="8" spans="1:17" ht="18" customHeight="1">
      <c r="C8" s="4"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700</v>
      </c>
      <c r="H11" s="275">
        <v>700</v>
      </c>
      <c r="I11" s="276"/>
      <c r="J11" s="274">
        <v>329035</v>
      </c>
      <c r="K11" s="274">
        <v>1076257</v>
      </c>
      <c r="L11" s="273">
        <v>0</v>
      </c>
      <c r="M11" s="274">
        <v>0</v>
      </c>
      <c r="N11" s="274">
        <v>0</v>
      </c>
      <c r="O11" s="273">
        <v>1405292</v>
      </c>
      <c r="P11" s="277">
        <v>1405992</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313285</v>
      </c>
      <c r="K18" s="279">
        <v>1076257</v>
      </c>
      <c r="L18" s="279">
        <v>0</v>
      </c>
      <c r="M18" s="279">
        <v>0</v>
      </c>
      <c r="N18" s="280">
        <v>0</v>
      </c>
      <c r="O18" s="279">
        <v>1389542</v>
      </c>
      <c r="P18" s="283">
        <v>1389542</v>
      </c>
    </row>
    <row r="19" spans="3:16" ht="18" customHeight="1">
      <c r="C19" s="61"/>
      <c r="D19" s="284"/>
      <c r="E19" s="290" t="s">
        <v>190</v>
      </c>
      <c r="F19" s="286">
        <v>0</v>
      </c>
      <c r="G19" s="287">
        <v>0</v>
      </c>
      <c r="H19" s="281">
        <v>0</v>
      </c>
      <c r="I19" s="288"/>
      <c r="J19" s="287">
        <v>313285</v>
      </c>
      <c r="K19" s="286">
        <v>0</v>
      </c>
      <c r="L19" s="286">
        <v>0</v>
      </c>
      <c r="M19" s="286">
        <v>0</v>
      </c>
      <c r="N19" s="287">
        <v>0</v>
      </c>
      <c r="O19" s="279">
        <v>313285</v>
      </c>
      <c r="P19" s="283">
        <v>313285</v>
      </c>
    </row>
    <row r="20" spans="3:16" ht="18" customHeight="1">
      <c r="C20" s="61"/>
      <c r="D20" s="284"/>
      <c r="E20" s="290" t="s">
        <v>191</v>
      </c>
      <c r="F20" s="286">
        <v>0</v>
      </c>
      <c r="G20" s="287">
        <v>0</v>
      </c>
      <c r="H20" s="281">
        <v>0</v>
      </c>
      <c r="I20" s="288"/>
      <c r="J20" s="287">
        <v>0</v>
      </c>
      <c r="K20" s="286">
        <v>1076257</v>
      </c>
      <c r="L20" s="286">
        <v>0</v>
      </c>
      <c r="M20" s="286">
        <v>0</v>
      </c>
      <c r="N20" s="287">
        <v>0</v>
      </c>
      <c r="O20" s="279">
        <v>1076257</v>
      </c>
      <c r="P20" s="283">
        <v>1076257</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700</v>
      </c>
      <c r="H26" s="281">
        <v>700</v>
      </c>
      <c r="I26" s="282"/>
      <c r="J26" s="280">
        <v>15750</v>
      </c>
      <c r="K26" s="279">
        <v>0</v>
      </c>
      <c r="L26" s="279">
        <v>0</v>
      </c>
      <c r="M26" s="279">
        <v>0</v>
      </c>
      <c r="N26" s="280">
        <v>0</v>
      </c>
      <c r="O26" s="279">
        <v>15750</v>
      </c>
      <c r="P26" s="283">
        <v>16450</v>
      </c>
    </row>
    <row r="27" spans="3:16" ht="18" customHeight="1">
      <c r="C27" s="61"/>
      <c r="D27" s="284"/>
      <c r="E27" s="292" t="s">
        <v>196</v>
      </c>
      <c r="F27" s="286">
        <v>0</v>
      </c>
      <c r="G27" s="287">
        <v>700</v>
      </c>
      <c r="H27" s="281">
        <v>700</v>
      </c>
      <c r="I27" s="288"/>
      <c r="J27" s="287">
        <v>15750</v>
      </c>
      <c r="K27" s="286">
        <v>0</v>
      </c>
      <c r="L27" s="286">
        <v>0</v>
      </c>
      <c r="M27" s="286">
        <v>0</v>
      </c>
      <c r="N27" s="287">
        <v>0</v>
      </c>
      <c r="O27" s="279">
        <v>15750</v>
      </c>
      <c r="P27" s="283">
        <v>16450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33"/>
      <c r="G31" s="333"/>
      <c r="H31" s="334"/>
      <c r="I31" s="335"/>
      <c r="J31" s="333"/>
      <c r="K31" s="333"/>
      <c r="L31" s="333"/>
      <c r="M31" s="333"/>
      <c r="N31" s="333"/>
      <c r="O31" s="334"/>
      <c r="P31" s="337"/>
    </row>
    <row r="32" spans="3:16" ht="18" customHeight="1">
      <c r="C32" s="271" t="s">
        <v>240</v>
      </c>
      <c r="D32" s="306"/>
      <c r="E32" s="307"/>
      <c r="F32" s="273">
        <v>0</v>
      </c>
      <c r="G32" s="274">
        <v>0</v>
      </c>
      <c r="H32" s="275">
        <v>0</v>
      </c>
      <c r="I32" s="276"/>
      <c r="J32" s="274">
        <v>0</v>
      </c>
      <c r="K32" s="273">
        <v>0</v>
      </c>
      <c r="L32" s="273">
        <v>0</v>
      </c>
      <c r="M32" s="273">
        <v>0</v>
      </c>
      <c r="N32" s="274">
        <v>197225</v>
      </c>
      <c r="O32" s="273">
        <v>197225</v>
      </c>
      <c r="P32" s="277">
        <v>197225</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197225</v>
      </c>
      <c r="O40" s="312">
        <v>197225</v>
      </c>
      <c r="P40" s="313">
        <v>197225</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1361449</v>
      </c>
      <c r="N42" s="274">
        <v>0</v>
      </c>
      <c r="O42" s="273">
        <v>1361449</v>
      </c>
      <c r="P42" s="277">
        <v>1361449</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1361449</v>
      </c>
      <c r="N44" s="287">
        <v>0</v>
      </c>
      <c r="O44" s="279">
        <v>1361449</v>
      </c>
      <c r="P44" s="283">
        <v>1361449</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700</v>
      </c>
      <c r="H47" s="321">
        <v>700</v>
      </c>
      <c r="I47" s="224"/>
      <c r="J47" s="320">
        <v>329035</v>
      </c>
      <c r="K47" s="320">
        <v>1076257</v>
      </c>
      <c r="L47" s="320">
        <v>0</v>
      </c>
      <c r="M47" s="320">
        <v>1361449</v>
      </c>
      <c r="N47" s="320">
        <v>197225</v>
      </c>
      <c r="O47" s="320">
        <v>2963966</v>
      </c>
      <c r="P47" s="322">
        <v>2964666</v>
      </c>
    </row>
  </sheetData>
  <sheetProtection selectLockedCells="1" selectUnlockedCells="1"/>
  <mergeCells count="11">
    <mergeCell ref="A3:Q3"/>
    <mergeCell ref="C9:E10"/>
    <mergeCell ref="F9:H9"/>
    <mergeCell ref="I9:O9"/>
    <mergeCell ref="P9:P10"/>
    <mergeCell ref="A4:Q4"/>
    <mergeCell ref="D33:E33"/>
    <mergeCell ref="D39:E39"/>
    <mergeCell ref="D40:E40"/>
    <mergeCell ref="D41:E41"/>
    <mergeCell ref="C47:E47"/>
  </mergeCells>
  <phoneticPr fontId="34"/>
  <pageMargins left="0.7" right="0.7" top="0.75" bottom="0.75" header="0.3" footer="0.3"/>
  <pageSetup paperSize="9" scale="6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47"/>
  <sheetViews>
    <sheetView showGridLines="0" workbookViewId="0"/>
  </sheetViews>
  <sheetFormatPr defaultColWidth="9" defaultRowHeight="12" customHeight="1"/>
  <cols>
    <col min="1" max="4" width="3.7265625" style="2" customWidth="1"/>
    <col min="5" max="5" width="33.7265625" style="2" customWidth="1"/>
    <col min="6" max="16" width="14.40625" style="2" customWidth="1"/>
    <col min="17" max="17" width="4" style="1" customWidth="1"/>
  </cols>
  <sheetData>
    <row r="1" spans="1:17" ht="18" customHeight="1">
      <c r="A1" s="121" t="s">
        <v>251</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252</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26</v>
      </c>
      <c r="H11" s="275">
        <v>26</v>
      </c>
      <c r="I11" s="276"/>
      <c r="J11" s="274">
        <v>0</v>
      </c>
      <c r="K11" s="274">
        <v>45</v>
      </c>
      <c r="L11" s="273">
        <v>0</v>
      </c>
      <c r="M11" s="274">
        <v>33</v>
      </c>
      <c r="N11" s="274">
        <v>56</v>
      </c>
      <c r="O11" s="273">
        <v>134</v>
      </c>
      <c r="P11" s="277">
        <v>160</v>
      </c>
    </row>
    <row r="12" spans="1:17" ht="18" customHeight="1">
      <c r="C12" s="61"/>
      <c r="D12" s="278" t="s">
        <v>234</v>
      </c>
      <c r="F12" s="279">
        <v>0</v>
      </c>
      <c r="G12" s="280">
        <v>0</v>
      </c>
      <c r="H12" s="281">
        <v>0</v>
      </c>
      <c r="I12" s="282"/>
      <c r="J12" s="280">
        <v>0</v>
      </c>
      <c r="K12" s="279">
        <v>12</v>
      </c>
      <c r="L12" s="279">
        <v>0</v>
      </c>
      <c r="M12" s="279">
        <v>18</v>
      </c>
      <c r="N12" s="280">
        <v>0</v>
      </c>
      <c r="O12" s="279">
        <v>30</v>
      </c>
      <c r="P12" s="283">
        <v>30</v>
      </c>
    </row>
    <row r="13" spans="1:17" ht="18" customHeight="1">
      <c r="C13" s="61"/>
      <c r="D13" s="284"/>
      <c r="E13" s="285" t="s">
        <v>185</v>
      </c>
      <c r="F13" s="286">
        <v>0</v>
      </c>
      <c r="G13" s="287">
        <v>0</v>
      </c>
      <c r="H13" s="281">
        <v>0</v>
      </c>
      <c r="I13" s="288"/>
      <c r="J13" s="287">
        <v>0</v>
      </c>
      <c r="K13" s="286">
        <v>12</v>
      </c>
      <c r="L13" s="286">
        <v>0</v>
      </c>
      <c r="M13" s="286">
        <v>5</v>
      </c>
      <c r="N13" s="287">
        <v>0</v>
      </c>
      <c r="O13" s="279">
        <v>17</v>
      </c>
      <c r="P13" s="283">
        <v>17</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13</v>
      </c>
      <c r="N17" s="287">
        <v>0</v>
      </c>
      <c r="O17" s="279">
        <v>13</v>
      </c>
      <c r="P17" s="283">
        <v>13</v>
      </c>
    </row>
    <row r="18" spans="3:16" ht="18" customHeight="1">
      <c r="C18" s="61"/>
      <c r="D18" s="278" t="s">
        <v>235</v>
      </c>
      <c r="E18" s="289"/>
      <c r="F18" s="279">
        <v>0</v>
      </c>
      <c r="G18" s="280">
        <v>1</v>
      </c>
      <c r="H18" s="281">
        <v>1</v>
      </c>
      <c r="I18" s="282"/>
      <c r="J18" s="280">
        <v>0</v>
      </c>
      <c r="K18" s="279">
        <v>12</v>
      </c>
      <c r="L18" s="279">
        <v>0</v>
      </c>
      <c r="M18" s="279">
        <v>3</v>
      </c>
      <c r="N18" s="280">
        <v>12</v>
      </c>
      <c r="O18" s="279">
        <v>27</v>
      </c>
      <c r="P18" s="283">
        <v>28</v>
      </c>
    </row>
    <row r="19" spans="3:16" ht="18" customHeight="1">
      <c r="C19" s="61"/>
      <c r="D19" s="284"/>
      <c r="E19" s="290" t="s">
        <v>190</v>
      </c>
      <c r="F19" s="286">
        <v>0</v>
      </c>
      <c r="G19" s="287">
        <v>0</v>
      </c>
      <c r="H19" s="281">
        <v>0</v>
      </c>
      <c r="I19" s="288"/>
      <c r="J19" s="287">
        <v>0</v>
      </c>
      <c r="K19" s="286">
        <v>0</v>
      </c>
      <c r="L19" s="286">
        <v>0</v>
      </c>
      <c r="M19" s="286">
        <v>3</v>
      </c>
      <c r="N19" s="287">
        <v>0</v>
      </c>
      <c r="O19" s="279">
        <v>3</v>
      </c>
      <c r="P19" s="283">
        <v>3</v>
      </c>
    </row>
    <row r="20" spans="3:16" ht="18" customHeight="1">
      <c r="C20" s="61"/>
      <c r="D20" s="284"/>
      <c r="E20" s="290" t="s">
        <v>191</v>
      </c>
      <c r="F20" s="286">
        <v>0</v>
      </c>
      <c r="G20" s="287">
        <v>1</v>
      </c>
      <c r="H20" s="281">
        <v>1</v>
      </c>
      <c r="I20" s="288"/>
      <c r="J20" s="287">
        <v>0</v>
      </c>
      <c r="K20" s="286">
        <v>12</v>
      </c>
      <c r="L20" s="286">
        <v>0</v>
      </c>
      <c r="M20" s="286">
        <v>0</v>
      </c>
      <c r="N20" s="287">
        <v>12</v>
      </c>
      <c r="O20" s="279">
        <v>24</v>
      </c>
      <c r="P20" s="283">
        <v>25</v>
      </c>
    </row>
    <row r="21" spans="3:16" ht="18" customHeight="1">
      <c r="C21" s="61"/>
      <c r="D21" s="278" t="s">
        <v>236</v>
      </c>
      <c r="F21" s="279">
        <v>0</v>
      </c>
      <c r="G21" s="280">
        <v>0</v>
      </c>
      <c r="H21" s="281">
        <v>0</v>
      </c>
      <c r="I21" s="282"/>
      <c r="J21" s="280">
        <v>0</v>
      </c>
      <c r="K21" s="279">
        <v>0</v>
      </c>
      <c r="L21" s="279">
        <v>0</v>
      </c>
      <c r="M21" s="279">
        <v>0</v>
      </c>
      <c r="N21" s="280">
        <v>20</v>
      </c>
      <c r="O21" s="279">
        <v>20</v>
      </c>
      <c r="P21" s="283">
        <v>20</v>
      </c>
    </row>
    <row r="22" spans="3:16" ht="18" customHeight="1">
      <c r="C22" s="61"/>
      <c r="D22" s="284"/>
      <c r="E22" s="285" t="s">
        <v>192</v>
      </c>
      <c r="F22" s="286">
        <v>0</v>
      </c>
      <c r="G22" s="287">
        <v>0</v>
      </c>
      <c r="H22" s="281">
        <v>0</v>
      </c>
      <c r="I22" s="288"/>
      <c r="J22" s="287">
        <v>0</v>
      </c>
      <c r="K22" s="286">
        <v>0</v>
      </c>
      <c r="L22" s="286">
        <v>0</v>
      </c>
      <c r="M22" s="286">
        <v>0</v>
      </c>
      <c r="N22" s="287">
        <v>9</v>
      </c>
      <c r="O22" s="279">
        <v>9</v>
      </c>
      <c r="P22" s="283">
        <v>9</v>
      </c>
    </row>
    <row r="23" spans="3:16" ht="18" customHeight="1">
      <c r="C23" s="61"/>
      <c r="D23" s="284"/>
      <c r="E23" s="285" t="s">
        <v>193</v>
      </c>
      <c r="F23" s="286">
        <v>0</v>
      </c>
      <c r="G23" s="287">
        <v>0</v>
      </c>
      <c r="H23" s="281">
        <v>0</v>
      </c>
      <c r="I23" s="288"/>
      <c r="J23" s="287">
        <v>0</v>
      </c>
      <c r="K23" s="286">
        <v>0</v>
      </c>
      <c r="L23" s="286">
        <v>0</v>
      </c>
      <c r="M23" s="286">
        <v>0</v>
      </c>
      <c r="N23" s="287">
        <v>11</v>
      </c>
      <c r="O23" s="279">
        <v>11</v>
      </c>
      <c r="P23" s="283">
        <v>11</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12</v>
      </c>
      <c r="H26" s="281">
        <v>12</v>
      </c>
      <c r="I26" s="282"/>
      <c r="J26" s="280">
        <v>0</v>
      </c>
      <c r="K26" s="279">
        <v>5</v>
      </c>
      <c r="L26" s="279">
        <v>0</v>
      </c>
      <c r="M26" s="279">
        <v>4</v>
      </c>
      <c r="N26" s="280">
        <v>12</v>
      </c>
      <c r="O26" s="279">
        <v>21</v>
      </c>
      <c r="P26" s="283">
        <v>33</v>
      </c>
    </row>
    <row r="27" spans="3:16" ht="18" customHeight="1">
      <c r="C27" s="61"/>
      <c r="D27" s="284"/>
      <c r="E27" s="292" t="s">
        <v>196</v>
      </c>
      <c r="F27" s="286">
        <v>0</v>
      </c>
      <c r="G27" s="287">
        <v>12</v>
      </c>
      <c r="H27" s="281">
        <v>12</v>
      </c>
      <c r="I27" s="288"/>
      <c r="J27" s="287">
        <v>0</v>
      </c>
      <c r="K27" s="286">
        <v>4</v>
      </c>
      <c r="L27" s="286">
        <v>0</v>
      </c>
      <c r="M27" s="286">
        <v>4</v>
      </c>
      <c r="N27" s="287">
        <v>12</v>
      </c>
      <c r="O27" s="279">
        <v>20</v>
      </c>
      <c r="P27" s="283">
        <v>32</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1</v>
      </c>
      <c r="L29" s="294">
        <v>0</v>
      </c>
      <c r="M29" s="294">
        <v>0</v>
      </c>
      <c r="N29" s="295">
        <v>0</v>
      </c>
      <c r="O29" s="279">
        <v>1</v>
      </c>
      <c r="P29" s="283">
        <v>1</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13</v>
      </c>
      <c r="H31" s="304">
        <v>13</v>
      </c>
      <c r="I31" s="288"/>
      <c r="J31" s="303">
        <v>0</v>
      </c>
      <c r="K31" s="302">
        <v>16</v>
      </c>
      <c r="L31" s="302">
        <v>0</v>
      </c>
      <c r="M31" s="302">
        <v>8</v>
      </c>
      <c r="N31" s="303">
        <v>12</v>
      </c>
      <c r="O31" s="304">
        <v>36</v>
      </c>
      <c r="P31" s="305">
        <v>49</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12</v>
      </c>
      <c r="M42" s="273">
        <v>0</v>
      </c>
      <c r="N42" s="274">
        <v>0</v>
      </c>
      <c r="O42" s="273">
        <v>12</v>
      </c>
      <c r="P42" s="277">
        <v>12</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12</v>
      </c>
      <c r="M44" s="286">
        <v>0</v>
      </c>
      <c r="N44" s="287">
        <v>0</v>
      </c>
      <c r="O44" s="279">
        <v>12</v>
      </c>
      <c r="P44" s="283">
        <v>12</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26</v>
      </c>
      <c r="H47" s="321">
        <v>26</v>
      </c>
      <c r="I47" s="224"/>
      <c r="J47" s="320">
        <v>0</v>
      </c>
      <c r="K47" s="320">
        <v>45</v>
      </c>
      <c r="L47" s="320">
        <v>12</v>
      </c>
      <c r="M47" s="320">
        <v>33</v>
      </c>
      <c r="N47" s="320">
        <v>56</v>
      </c>
      <c r="O47" s="320">
        <v>146</v>
      </c>
      <c r="P47" s="322">
        <v>172</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46"/>
  <sheetViews>
    <sheetView showGridLines="0" zoomScale="55" zoomScaleNormal="55"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251</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252</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3">
        <v>26735</v>
      </c>
      <c r="H11" s="275">
        <v>26735</v>
      </c>
      <c r="I11" s="276"/>
      <c r="J11" s="273">
        <v>0</v>
      </c>
      <c r="K11" s="273">
        <v>302031</v>
      </c>
      <c r="L11" s="273">
        <v>0</v>
      </c>
      <c r="M11" s="273">
        <v>224319</v>
      </c>
      <c r="N11" s="273">
        <v>342987</v>
      </c>
      <c r="O11" s="273">
        <v>869337</v>
      </c>
      <c r="P11" s="277">
        <v>896072</v>
      </c>
    </row>
    <row r="12" spans="1:17" ht="18" customHeight="1">
      <c r="C12" s="61"/>
      <c r="D12" s="278" t="s">
        <v>234</v>
      </c>
      <c r="F12" s="279">
        <v>0</v>
      </c>
      <c r="G12" s="280">
        <v>0</v>
      </c>
      <c r="H12" s="281">
        <v>0</v>
      </c>
      <c r="I12" s="282"/>
      <c r="J12" s="280">
        <v>0</v>
      </c>
      <c r="K12" s="279">
        <v>164153</v>
      </c>
      <c r="L12" s="279">
        <v>0</v>
      </c>
      <c r="M12" s="279">
        <v>137059</v>
      </c>
      <c r="N12" s="280">
        <v>0</v>
      </c>
      <c r="O12" s="279">
        <v>301212</v>
      </c>
      <c r="P12" s="283">
        <v>301212</v>
      </c>
    </row>
    <row r="13" spans="1:17" ht="18" customHeight="1">
      <c r="C13" s="61"/>
      <c r="D13" s="284"/>
      <c r="E13" s="285" t="s">
        <v>185</v>
      </c>
      <c r="F13" s="286">
        <v>0</v>
      </c>
      <c r="G13" s="287">
        <v>0</v>
      </c>
      <c r="H13" s="281">
        <v>0</v>
      </c>
      <c r="I13" s="288"/>
      <c r="J13" s="287">
        <v>0</v>
      </c>
      <c r="K13" s="286">
        <v>164153</v>
      </c>
      <c r="L13" s="286">
        <v>0</v>
      </c>
      <c r="M13" s="286">
        <v>130772</v>
      </c>
      <c r="N13" s="287">
        <v>0</v>
      </c>
      <c r="O13" s="279">
        <v>294925</v>
      </c>
      <c r="P13" s="283">
        <v>294925</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6287</v>
      </c>
      <c r="N17" s="287">
        <v>0</v>
      </c>
      <c r="O17" s="279">
        <v>6287</v>
      </c>
      <c r="P17" s="283">
        <v>6287</v>
      </c>
    </row>
    <row r="18" spans="3:16" ht="18" customHeight="1">
      <c r="C18" s="61"/>
      <c r="D18" s="278" t="s">
        <v>235</v>
      </c>
      <c r="E18" s="289"/>
      <c r="F18" s="279">
        <v>0</v>
      </c>
      <c r="G18" s="280">
        <v>5496</v>
      </c>
      <c r="H18" s="281">
        <v>5496</v>
      </c>
      <c r="I18" s="282"/>
      <c r="J18" s="280">
        <v>0</v>
      </c>
      <c r="K18" s="279">
        <v>104546</v>
      </c>
      <c r="L18" s="279">
        <v>0</v>
      </c>
      <c r="M18" s="279">
        <v>69461</v>
      </c>
      <c r="N18" s="280">
        <v>158803</v>
      </c>
      <c r="O18" s="279">
        <v>332810</v>
      </c>
      <c r="P18" s="283">
        <v>338306</v>
      </c>
    </row>
    <row r="19" spans="3:16" ht="18" customHeight="1">
      <c r="C19" s="61"/>
      <c r="D19" s="284"/>
      <c r="E19" s="290" t="s">
        <v>190</v>
      </c>
      <c r="F19" s="286">
        <v>0</v>
      </c>
      <c r="G19" s="287">
        <v>0</v>
      </c>
      <c r="H19" s="281">
        <v>0</v>
      </c>
      <c r="I19" s="288"/>
      <c r="J19" s="287">
        <v>0</v>
      </c>
      <c r="K19" s="286">
        <v>0</v>
      </c>
      <c r="L19" s="286">
        <v>0</v>
      </c>
      <c r="M19" s="286">
        <v>69461</v>
      </c>
      <c r="N19" s="287">
        <v>0</v>
      </c>
      <c r="O19" s="279">
        <v>69461</v>
      </c>
      <c r="P19" s="283">
        <v>69461</v>
      </c>
    </row>
    <row r="20" spans="3:16" ht="18" customHeight="1">
      <c r="C20" s="61"/>
      <c r="D20" s="284"/>
      <c r="E20" s="290" t="s">
        <v>191</v>
      </c>
      <c r="F20" s="286">
        <v>0</v>
      </c>
      <c r="G20" s="287">
        <v>5496</v>
      </c>
      <c r="H20" s="281">
        <v>5496</v>
      </c>
      <c r="I20" s="288"/>
      <c r="J20" s="287">
        <v>0</v>
      </c>
      <c r="K20" s="286">
        <v>104546</v>
      </c>
      <c r="L20" s="286">
        <v>0</v>
      </c>
      <c r="M20" s="286">
        <v>0</v>
      </c>
      <c r="N20" s="287">
        <v>158803</v>
      </c>
      <c r="O20" s="279">
        <v>263349</v>
      </c>
      <c r="P20" s="283">
        <v>268845</v>
      </c>
    </row>
    <row r="21" spans="3:16" ht="18" customHeight="1">
      <c r="C21" s="61"/>
      <c r="D21" s="278" t="s">
        <v>236</v>
      </c>
      <c r="F21" s="279">
        <v>0</v>
      </c>
      <c r="G21" s="280">
        <v>0</v>
      </c>
      <c r="H21" s="281">
        <v>0</v>
      </c>
      <c r="I21" s="282"/>
      <c r="J21" s="280">
        <v>0</v>
      </c>
      <c r="K21" s="279">
        <v>0</v>
      </c>
      <c r="L21" s="279">
        <v>0</v>
      </c>
      <c r="M21" s="279">
        <v>0</v>
      </c>
      <c r="N21" s="280">
        <v>119225</v>
      </c>
      <c r="O21" s="279">
        <v>119225</v>
      </c>
      <c r="P21" s="283">
        <v>119225</v>
      </c>
    </row>
    <row r="22" spans="3:16" ht="18" customHeight="1">
      <c r="C22" s="61"/>
      <c r="D22" s="284"/>
      <c r="E22" s="285" t="s">
        <v>192</v>
      </c>
      <c r="F22" s="286">
        <v>0</v>
      </c>
      <c r="G22" s="287">
        <v>0</v>
      </c>
      <c r="H22" s="281">
        <v>0</v>
      </c>
      <c r="I22" s="288"/>
      <c r="J22" s="287">
        <v>0</v>
      </c>
      <c r="K22" s="286">
        <v>0</v>
      </c>
      <c r="L22" s="286">
        <v>0</v>
      </c>
      <c r="M22" s="286">
        <v>0</v>
      </c>
      <c r="N22" s="287">
        <v>47510</v>
      </c>
      <c r="O22" s="279">
        <v>47510</v>
      </c>
      <c r="P22" s="283">
        <v>47510</v>
      </c>
    </row>
    <row r="23" spans="3:16" ht="18" customHeight="1">
      <c r="C23" s="61"/>
      <c r="D23" s="284"/>
      <c r="E23" s="285" t="s">
        <v>193</v>
      </c>
      <c r="F23" s="286">
        <v>0</v>
      </c>
      <c r="G23" s="287">
        <v>0</v>
      </c>
      <c r="H23" s="281">
        <v>0</v>
      </c>
      <c r="I23" s="288"/>
      <c r="J23" s="287">
        <v>0</v>
      </c>
      <c r="K23" s="286">
        <v>0</v>
      </c>
      <c r="L23" s="286">
        <v>0</v>
      </c>
      <c r="M23" s="286">
        <v>0</v>
      </c>
      <c r="N23" s="287">
        <v>71715</v>
      </c>
      <c r="O23" s="279">
        <v>71715</v>
      </c>
      <c r="P23" s="283">
        <v>71715</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79">
        <v>15096</v>
      </c>
      <c r="H26" s="281">
        <v>15096</v>
      </c>
      <c r="I26" s="282"/>
      <c r="J26" s="280">
        <v>0</v>
      </c>
      <c r="K26" s="279">
        <v>8100</v>
      </c>
      <c r="L26" s="279">
        <v>0</v>
      </c>
      <c r="M26" s="279">
        <v>2870</v>
      </c>
      <c r="N26" s="280">
        <v>41630</v>
      </c>
      <c r="O26" s="279">
        <v>52600</v>
      </c>
      <c r="P26" s="283">
        <v>67696</v>
      </c>
    </row>
    <row r="27" spans="3:16" ht="18" customHeight="1">
      <c r="C27" s="61"/>
      <c r="D27" s="284"/>
      <c r="E27" s="285" t="s">
        <v>196</v>
      </c>
      <c r="F27" s="323">
        <v>0</v>
      </c>
      <c r="G27" s="324">
        <v>15096</v>
      </c>
      <c r="H27" s="281">
        <v>15096</v>
      </c>
      <c r="I27" s="288"/>
      <c r="J27" s="324">
        <v>0</v>
      </c>
      <c r="K27" s="323">
        <v>8100</v>
      </c>
      <c r="L27" s="323">
        <v>0</v>
      </c>
      <c r="M27" s="323">
        <v>2870</v>
      </c>
      <c r="N27" s="324">
        <v>41630</v>
      </c>
      <c r="O27" s="279">
        <v>52600</v>
      </c>
      <c r="P27" s="283">
        <v>67696</v>
      </c>
    </row>
    <row r="28" spans="3:16" ht="18" customHeight="1">
      <c r="C28" s="308"/>
      <c r="D28" s="314" t="s">
        <v>246</v>
      </c>
      <c r="E28" s="289"/>
      <c r="F28" s="310">
        <v>0</v>
      </c>
      <c r="G28" s="310">
        <v>0</v>
      </c>
      <c r="H28" s="311">
        <v>0</v>
      </c>
      <c r="I28" s="288"/>
      <c r="J28" s="310">
        <v>0</v>
      </c>
      <c r="K28" s="309">
        <v>0</v>
      </c>
      <c r="L28" s="309">
        <v>0</v>
      </c>
      <c r="M28" s="309">
        <v>0</v>
      </c>
      <c r="N28" s="310">
        <v>0</v>
      </c>
      <c r="O28" s="312">
        <v>0</v>
      </c>
      <c r="P28" s="313">
        <v>0</v>
      </c>
    </row>
    <row r="29" spans="3:16" ht="18" customHeight="1">
      <c r="C29" s="299"/>
      <c r="D29" s="300" t="s">
        <v>198</v>
      </c>
      <c r="E29" s="301"/>
      <c r="F29" s="302">
        <v>0</v>
      </c>
      <c r="G29" s="303">
        <v>6143</v>
      </c>
      <c r="H29" s="304">
        <v>6143</v>
      </c>
      <c r="I29" s="288"/>
      <c r="J29" s="303">
        <v>0</v>
      </c>
      <c r="K29" s="302">
        <v>25232</v>
      </c>
      <c r="L29" s="302">
        <v>0</v>
      </c>
      <c r="M29" s="302">
        <v>14929</v>
      </c>
      <c r="N29" s="303">
        <v>23329</v>
      </c>
      <c r="O29" s="304">
        <v>63490</v>
      </c>
      <c r="P29" s="305">
        <v>69633</v>
      </c>
    </row>
    <row r="30" spans="3:16" ht="18" customHeight="1">
      <c r="C30" s="271" t="s">
        <v>240</v>
      </c>
      <c r="D30" s="306"/>
      <c r="E30" s="307"/>
      <c r="F30" s="273">
        <v>0</v>
      </c>
      <c r="G30" s="274">
        <v>0</v>
      </c>
      <c r="H30" s="275">
        <v>0</v>
      </c>
      <c r="I30" s="276"/>
      <c r="J30" s="325">
        <v>0</v>
      </c>
      <c r="K30" s="273">
        <v>0</v>
      </c>
      <c r="L30" s="273">
        <v>0</v>
      </c>
      <c r="M30" s="273">
        <v>0</v>
      </c>
      <c r="N30" s="274">
        <v>0</v>
      </c>
      <c r="O30" s="273">
        <v>0</v>
      </c>
      <c r="P30" s="277">
        <v>0</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0</v>
      </c>
      <c r="K33" s="286">
        <v>0</v>
      </c>
      <c r="L33" s="286">
        <v>0</v>
      </c>
      <c r="M33" s="286">
        <v>0</v>
      </c>
      <c r="N33" s="287">
        <v>0</v>
      </c>
      <c r="O33" s="279">
        <v>0</v>
      </c>
      <c r="P33" s="283">
        <v>0</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0</v>
      </c>
      <c r="K36" s="286">
        <v>0</v>
      </c>
      <c r="L36" s="286">
        <v>0</v>
      </c>
      <c r="M36" s="286">
        <v>0</v>
      </c>
      <c r="N36" s="287">
        <v>0</v>
      </c>
      <c r="O36" s="279">
        <v>0</v>
      </c>
      <c r="P36" s="283">
        <v>0</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0</v>
      </c>
      <c r="L38" s="328">
        <v>0</v>
      </c>
      <c r="M38" s="328">
        <v>0</v>
      </c>
      <c r="N38" s="329">
        <v>0</v>
      </c>
      <c r="O38" s="279">
        <v>0</v>
      </c>
      <c r="P38" s="283">
        <v>0</v>
      </c>
    </row>
    <row r="39" spans="3:16" ht="18" customHeight="1">
      <c r="C39" s="315"/>
      <c r="D39" s="770" t="s">
        <v>241</v>
      </c>
      <c r="E39" s="772"/>
      <c r="F39" s="286">
        <v>0</v>
      </c>
      <c r="G39" s="286">
        <v>0</v>
      </c>
      <c r="H39" s="281">
        <v>0</v>
      </c>
      <c r="I39" s="288"/>
      <c r="J39" s="330">
        <v>0</v>
      </c>
      <c r="K39" s="302">
        <v>0</v>
      </c>
      <c r="L39" s="302">
        <v>0</v>
      </c>
      <c r="M39" s="302">
        <v>0</v>
      </c>
      <c r="N39" s="303">
        <v>0</v>
      </c>
      <c r="O39" s="316">
        <v>0</v>
      </c>
      <c r="P39" s="305">
        <v>0</v>
      </c>
    </row>
    <row r="40" spans="3:16" ht="18" customHeight="1">
      <c r="C40" s="61" t="s">
        <v>242</v>
      </c>
      <c r="F40" s="274">
        <v>0</v>
      </c>
      <c r="G40" s="274">
        <v>0</v>
      </c>
      <c r="H40" s="275">
        <v>0</v>
      </c>
      <c r="I40" s="276"/>
      <c r="J40" s="325">
        <v>0</v>
      </c>
      <c r="K40" s="273">
        <v>0</v>
      </c>
      <c r="L40" s="273">
        <v>437702</v>
      </c>
      <c r="M40" s="273">
        <v>0</v>
      </c>
      <c r="N40" s="274">
        <v>0</v>
      </c>
      <c r="O40" s="273">
        <v>437702</v>
      </c>
      <c r="P40" s="277">
        <v>437702</v>
      </c>
    </row>
    <row r="41" spans="3:16" ht="18" customHeight="1">
      <c r="C41" s="61"/>
      <c r="D41" s="317" t="s">
        <v>113</v>
      </c>
      <c r="E41" s="317"/>
      <c r="F41" s="287">
        <v>0</v>
      </c>
      <c r="G41" s="287">
        <v>0</v>
      </c>
      <c r="H41" s="281">
        <v>0</v>
      </c>
      <c r="I41" s="288"/>
      <c r="J41" s="287">
        <v>0</v>
      </c>
      <c r="K41" s="287">
        <v>0</v>
      </c>
      <c r="L41" s="287">
        <v>0</v>
      </c>
      <c r="M41" s="287">
        <v>0</v>
      </c>
      <c r="N41" s="287">
        <v>0</v>
      </c>
      <c r="O41" s="279">
        <v>0</v>
      </c>
      <c r="P41" s="283">
        <v>0</v>
      </c>
    </row>
    <row r="42" spans="3:16" ht="18" customHeight="1">
      <c r="C42" s="61"/>
      <c r="D42" s="317" t="s">
        <v>114</v>
      </c>
      <c r="E42" s="317"/>
      <c r="F42" s="286">
        <v>0</v>
      </c>
      <c r="G42" s="287">
        <v>0</v>
      </c>
      <c r="H42" s="281">
        <v>0</v>
      </c>
      <c r="I42" s="288"/>
      <c r="J42" s="287">
        <v>0</v>
      </c>
      <c r="K42" s="286">
        <v>0</v>
      </c>
      <c r="L42" s="287">
        <v>437702</v>
      </c>
      <c r="M42" s="286">
        <v>0</v>
      </c>
      <c r="N42" s="287">
        <v>0</v>
      </c>
      <c r="O42" s="279">
        <v>437702</v>
      </c>
      <c r="P42" s="283">
        <v>437702</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0</v>
      </c>
      <c r="G45" s="331">
        <v>26735</v>
      </c>
      <c r="H45" s="321">
        <v>26735</v>
      </c>
      <c r="I45" s="224"/>
      <c r="J45" s="332">
        <v>0</v>
      </c>
      <c r="K45" s="320">
        <v>302031</v>
      </c>
      <c r="L45" s="320">
        <v>437702</v>
      </c>
      <c r="M45" s="320">
        <v>224319</v>
      </c>
      <c r="N45" s="331">
        <v>342987</v>
      </c>
      <c r="O45" s="320">
        <v>1307039</v>
      </c>
      <c r="P45" s="322">
        <v>1333774</v>
      </c>
    </row>
    <row r="46" spans="3:16" ht="12" customHeight="1"/>
  </sheetData>
  <sheetProtection selectLockedCells="1" selectUnlockedCells="1"/>
  <mergeCells count="9">
    <mergeCell ref="C45:E45"/>
    <mergeCell ref="D38:E38"/>
    <mergeCell ref="D39:E39"/>
    <mergeCell ref="A3:Q3"/>
    <mergeCell ref="C9:E10"/>
    <mergeCell ref="F9:H9"/>
    <mergeCell ref="I9:O9"/>
    <mergeCell ref="P9:P10"/>
    <mergeCell ref="A4:Q4"/>
  </mergeCells>
  <phoneticPr fontId="34"/>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251</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252</v>
      </c>
    </row>
    <row r="8" spans="1:17" ht="18" customHeight="1">
      <c r="C8" s="121"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267350</v>
      </c>
      <c r="H11" s="275">
        <v>267350</v>
      </c>
      <c r="I11" s="276"/>
      <c r="J11" s="274">
        <v>0</v>
      </c>
      <c r="K11" s="274">
        <v>3208310</v>
      </c>
      <c r="L11" s="273">
        <v>0</v>
      </c>
      <c r="M11" s="274">
        <v>2323130</v>
      </c>
      <c r="N11" s="274">
        <v>3429870</v>
      </c>
      <c r="O11" s="273">
        <v>8961310</v>
      </c>
      <c r="P11" s="277">
        <v>9228660</v>
      </c>
    </row>
    <row r="12" spans="1:17" ht="18" customHeight="1">
      <c r="C12" s="61"/>
      <c r="D12" s="278" t="s">
        <v>234</v>
      </c>
      <c r="F12" s="279">
        <v>0</v>
      </c>
      <c r="G12" s="280">
        <v>0</v>
      </c>
      <c r="H12" s="281">
        <v>0</v>
      </c>
      <c r="I12" s="282"/>
      <c r="J12" s="280">
        <v>0</v>
      </c>
      <c r="K12" s="279">
        <v>1641530</v>
      </c>
      <c r="L12" s="279">
        <v>0</v>
      </c>
      <c r="M12" s="279">
        <v>1425510</v>
      </c>
      <c r="N12" s="280">
        <v>0</v>
      </c>
      <c r="O12" s="279">
        <v>3067040</v>
      </c>
      <c r="P12" s="283">
        <v>3067040</v>
      </c>
    </row>
    <row r="13" spans="1:17" ht="18" customHeight="1">
      <c r="C13" s="61"/>
      <c r="D13" s="284"/>
      <c r="E13" s="285" t="s">
        <v>185</v>
      </c>
      <c r="F13" s="286">
        <v>0</v>
      </c>
      <c r="G13" s="287">
        <v>0</v>
      </c>
      <c r="H13" s="281">
        <v>0</v>
      </c>
      <c r="I13" s="288"/>
      <c r="J13" s="287">
        <v>0</v>
      </c>
      <c r="K13" s="286">
        <v>1641530</v>
      </c>
      <c r="L13" s="286">
        <v>0</v>
      </c>
      <c r="M13" s="286">
        <v>1362640</v>
      </c>
      <c r="N13" s="287">
        <v>0</v>
      </c>
      <c r="O13" s="279">
        <v>3004170</v>
      </c>
      <c r="P13" s="283">
        <v>3004170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62870</v>
      </c>
      <c r="N17" s="287">
        <v>0</v>
      </c>
      <c r="O17" s="279">
        <v>62870</v>
      </c>
      <c r="P17" s="283">
        <v>62870</v>
      </c>
    </row>
    <row r="18" spans="3:16" ht="18" customHeight="1">
      <c r="C18" s="61"/>
      <c r="D18" s="278" t="s">
        <v>235</v>
      </c>
      <c r="E18" s="289"/>
      <c r="F18" s="279">
        <v>0</v>
      </c>
      <c r="G18" s="280">
        <v>54960</v>
      </c>
      <c r="H18" s="281">
        <v>54960</v>
      </c>
      <c r="I18" s="282"/>
      <c r="J18" s="280">
        <v>0</v>
      </c>
      <c r="K18" s="279">
        <v>1045460</v>
      </c>
      <c r="L18" s="279">
        <v>0</v>
      </c>
      <c r="M18" s="279">
        <v>713363</v>
      </c>
      <c r="N18" s="280">
        <v>1588030</v>
      </c>
      <c r="O18" s="279">
        <v>3346853</v>
      </c>
      <c r="P18" s="283">
        <v>3401813</v>
      </c>
    </row>
    <row r="19" spans="3:16" ht="18" customHeight="1">
      <c r="C19" s="61"/>
      <c r="D19" s="284"/>
      <c r="E19" s="290" t="s">
        <v>190</v>
      </c>
      <c r="F19" s="286">
        <v>0</v>
      </c>
      <c r="G19" s="287">
        <v>0</v>
      </c>
      <c r="H19" s="281">
        <v>0</v>
      </c>
      <c r="I19" s="288"/>
      <c r="J19" s="287">
        <v>0</v>
      </c>
      <c r="K19" s="286">
        <v>0</v>
      </c>
      <c r="L19" s="286">
        <v>0</v>
      </c>
      <c r="M19" s="286">
        <v>713363</v>
      </c>
      <c r="N19" s="287">
        <v>0</v>
      </c>
      <c r="O19" s="279">
        <v>713363</v>
      </c>
      <c r="P19" s="283">
        <v>713363</v>
      </c>
    </row>
    <row r="20" spans="3:16" ht="18" customHeight="1">
      <c r="C20" s="61"/>
      <c r="D20" s="284"/>
      <c r="E20" s="290" t="s">
        <v>191</v>
      </c>
      <c r="F20" s="286">
        <v>0</v>
      </c>
      <c r="G20" s="287">
        <v>54960</v>
      </c>
      <c r="H20" s="281">
        <v>54960</v>
      </c>
      <c r="I20" s="288"/>
      <c r="J20" s="287">
        <v>0</v>
      </c>
      <c r="K20" s="286">
        <v>1045460</v>
      </c>
      <c r="L20" s="286">
        <v>0</v>
      </c>
      <c r="M20" s="286">
        <v>0</v>
      </c>
      <c r="N20" s="287">
        <v>1588030</v>
      </c>
      <c r="O20" s="279">
        <v>2633490</v>
      </c>
      <c r="P20" s="283">
        <v>2688450</v>
      </c>
    </row>
    <row r="21" spans="3:16" ht="18" customHeight="1">
      <c r="C21" s="61"/>
      <c r="D21" s="278" t="s">
        <v>236</v>
      </c>
      <c r="F21" s="279">
        <v>0</v>
      </c>
      <c r="G21" s="280">
        <v>0</v>
      </c>
      <c r="H21" s="281">
        <v>0</v>
      </c>
      <c r="I21" s="282"/>
      <c r="J21" s="280">
        <v>0</v>
      </c>
      <c r="K21" s="279">
        <v>0</v>
      </c>
      <c r="L21" s="279">
        <v>0</v>
      </c>
      <c r="M21" s="279">
        <v>0</v>
      </c>
      <c r="N21" s="280">
        <v>1192250</v>
      </c>
      <c r="O21" s="279">
        <v>1192250</v>
      </c>
      <c r="P21" s="283">
        <v>1192250</v>
      </c>
    </row>
    <row r="22" spans="3:16" ht="18" customHeight="1">
      <c r="C22" s="61"/>
      <c r="D22" s="284"/>
      <c r="E22" s="285" t="s">
        <v>192</v>
      </c>
      <c r="F22" s="286">
        <v>0</v>
      </c>
      <c r="G22" s="287">
        <v>0</v>
      </c>
      <c r="H22" s="281">
        <v>0</v>
      </c>
      <c r="I22" s="288"/>
      <c r="J22" s="287">
        <v>0</v>
      </c>
      <c r="K22" s="286">
        <v>0</v>
      </c>
      <c r="L22" s="286">
        <v>0</v>
      </c>
      <c r="M22" s="286">
        <v>0</v>
      </c>
      <c r="N22" s="287">
        <v>475100</v>
      </c>
      <c r="O22" s="279">
        <v>475100</v>
      </c>
      <c r="P22" s="283">
        <v>475100</v>
      </c>
    </row>
    <row r="23" spans="3:16" ht="18" customHeight="1">
      <c r="C23" s="61"/>
      <c r="D23" s="284"/>
      <c r="E23" s="285" t="s">
        <v>193</v>
      </c>
      <c r="F23" s="286">
        <v>0</v>
      </c>
      <c r="G23" s="287">
        <v>0</v>
      </c>
      <c r="H23" s="281">
        <v>0</v>
      </c>
      <c r="I23" s="288"/>
      <c r="J23" s="287">
        <v>0</v>
      </c>
      <c r="K23" s="286">
        <v>0</v>
      </c>
      <c r="L23" s="286">
        <v>0</v>
      </c>
      <c r="M23" s="286">
        <v>0</v>
      </c>
      <c r="N23" s="287">
        <v>717150</v>
      </c>
      <c r="O23" s="279">
        <v>717150</v>
      </c>
      <c r="P23" s="283">
        <v>717150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150960</v>
      </c>
      <c r="H26" s="281">
        <v>150960</v>
      </c>
      <c r="I26" s="282"/>
      <c r="J26" s="280">
        <v>0</v>
      </c>
      <c r="K26" s="279">
        <v>269000</v>
      </c>
      <c r="L26" s="279">
        <v>0</v>
      </c>
      <c r="M26" s="279">
        <v>28700</v>
      </c>
      <c r="N26" s="280">
        <v>416300</v>
      </c>
      <c r="O26" s="279">
        <v>714000</v>
      </c>
      <c r="P26" s="283">
        <v>864960</v>
      </c>
    </row>
    <row r="27" spans="3:16" ht="18" customHeight="1">
      <c r="C27" s="61"/>
      <c r="D27" s="284"/>
      <c r="E27" s="292" t="s">
        <v>196</v>
      </c>
      <c r="F27" s="286">
        <v>0</v>
      </c>
      <c r="G27" s="287">
        <v>150960</v>
      </c>
      <c r="H27" s="281">
        <v>150960</v>
      </c>
      <c r="I27" s="288"/>
      <c r="J27" s="287">
        <v>0</v>
      </c>
      <c r="K27" s="286">
        <v>81000</v>
      </c>
      <c r="L27" s="286">
        <v>0</v>
      </c>
      <c r="M27" s="286">
        <v>28700</v>
      </c>
      <c r="N27" s="287">
        <v>416300</v>
      </c>
      <c r="O27" s="279">
        <v>526000</v>
      </c>
      <c r="P27" s="283">
        <v>676960</v>
      </c>
    </row>
    <row r="28" spans="3:16" ht="18" customHeight="1">
      <c r="C28" s="61"/>
      <c r="D28" s="293"/>
      <c r="E28" s="285"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188000</v>
      </c>
      <c r="L29" s="294">
        <v>0</v>
      </c>
      <c r="M29" s="294">
        <v>0</v>
      </c>
      <c r="N29" s="295">
        <v>0</v>
      </c>
      <c r="O29" s="279">
        <v>188000</v>
      </c>
      <c r="P29" s="283">
        <v>188000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61430</v>
      </c>
      <c r="H31" s="304">
        <v>61430</v>
      </c>
      <c r="I31" s="288"/>
      <c r="J31" s="303">
        <v>0</v>
      </c>
      <c r="K31" s="302">
        <v>252320</v>
      </c>
      <c r="L31" s="302">
        <v>0</v>
      </c>
      <c r="M31" s="302">
        <v>155557</v>
      </c>
      <c r="N31" s="303">
        <v>233290</v>
      </c>
      <c r="O31" s="304">
        <v>641167</v>
      </c>
      <c r="P31" s="305">
        <v>702597</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4495194</v>
      </c>
      <c r="M42" s="273">
        <v>0</v>
      </c>
      <c r="N42" s="274">
        <v>0</v>
      </c>
      <c r="O42" s="273">
        <v>4495194</v>
      </c>
      <c r="P42" s="277">
        <v>4495194</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4495194</v>
      </c>
      <c r="M44" s="286">
        <v>0</v>
      </c>
      <c r="N44" s="287">
        <v>0</v>
      </c>
      <c r="O44" s="279">
        <v>4495194</v>
      </c>
      <c r="P44" s="283">
        <v>4495194</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267350</v>
      </c>
      <c r="H47" s="321">
        <v>267350</v>
      </c>
      <c r="I47" s="224"/>
      <c r="J47" s="320">
        <v>0</v>
      </c>
      <c r="K47" s="320">
        <v>3208310</v>
      </c>
      <c r="L47" s="320">
        <v>4495194</v>
      </c>
      <c r="M47" s="320">
        <v>2323130</v>
      </c>
      <c r="N47" s="320">
        <v>3429870</v>
      </c>
      <c r="O47" s="320">
        <v>13456504</v>
      </c>
      <c r="P47" s="322">
        <v>13723854</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251</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252</v>
      </c>
    </row>
    <row r="8" spans="1:17" ht="18" customHeight="1">
      <c r="C8" s="121"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246758</v>
      </c>
      <c r="H11" s="275">
        <v>246758</v>
      </c>
      <c r="I11" s="276"/>
      <c r="J11" s="274">
        <v>0</v>
      </c>
      <c r="K11" s="274">
        <v>2912711</v>
      </c>
      <c r="L11" s="273">
        <v>0</v>
      </c>
      <c r="M11" s="274">
        <v>2106370</v>
      </c>
      <c r="N11" s="274">
        <v>3110212</v>
      </c>
      <c r="O11" s="273">
        <v>8129293</v>
      </c>
      <c r="P11" s="277">
        <v>8376051</v>
      </c>
    </row>
    <row r="12" spans="1:17" ht="18" customHeight="1">
      <c r="C12" s="61"/>
      <c r="D12" s="278" t="s">
        <v>234</v>
      </c>
      <c r="F12" s="279">
        <v>0</v>
      </c>
      <c r="G12" s="280">
        <v>0</v>
      </c>
      <c r="H12" s="281">
        <v>0</v>
      </c>
      <c r="I12" s="282"/>
      <c r="J12" s="280">
        <v>0</v>
      </c>
      <c r="K12" s="279">
        <v>1477377</v>
      </c>
      <c r="L12" s="279">
        <v>0</v>
      </c>
      <c r="M12" s="279">
        <v>1282957</v>
      </c>
      <c r="N12" s="280">
        <v>0</v>
      </c>
      <c r="O12" s="279">
        <v>2760334</v>
      </c>
      <c r="P12" s="283">
        <v>2760334</v>
      </c>
    </row>
    <row r="13" spans="1:17" ht="18" customHeight="1">
      <c r="C13" s="61"/>
      <c r="D13" s="284"/>
      <c r="E13" s="285" t="s">
        <v>185</v>
      </c>
      <c r="F13" s="286">
        <v>0</v>
      </c>
      <c r="G13" s="287">
        <v>0</v>
      </c>
      <c r="H13" s="281">
        <v>0</v>
      </c>
      <c r="I13" s="288"/>
      <c r="J13" s="287">
        <v>0</v>
      </c>
      <c r="K13" s="286">
        <v>1477377</v>
      </c>
      <c r="L13" s="286">
        <v>0</v>
      </c>
      <c r="M13" s="286">
        <v>1226374</v>
      </c>
      <c r="N13" s="287">
        <v>0</v>
      </c>
      <c r="O13" s="279">
        <v>2703751</v>
      </c>
      <c r="P13" s="283">
        <v>2703751</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56583</v>
      </c>
      <c r="N17" s="287">
        <v>0</v>
      </c>
      <c r="O17" s="279">
        <v>56583</v>
      </c>
      <c r="P17" s="283">
        <v>56583</v>
      </c>
    </row>
    <row r="18" spans="3:16" ht="18" customHeight="1">
      <c r="C18" s="61"/>
      <c r="D18" s="278" t="s">
        <v>235</v>
      </c>
      <c r="E18" s="289"/>
      <c r="F18" s="279">
        <v>0</v>
      </c>
      <c r="G18" s="280">
        <v>49464</v>
      </c>
      <c r="H18" s="281">
        <v>49464</v>
      </c>
      <c r="I18" s="282"/>
      <c r="J18" s="280">
        <v>0</v>
      </c>
      <c r="K18" s="279">
        <v>940914</v>
      </c>
      <c r="L18" s="279">
        <v>0</v>
      </c>
      <c r="M18" s="279">
        <v>642026</v>
      </c>
      <c r="N18" s="280">
        <v>1429227</v>
      </c>
      <c r="O18" s="279">
        <v>3012167</v>
      </c>
      <c r="P18" s="283">
        <v>3061631</v>
      </c>
    </row>
    <row r="19" spans="3:16" ht="18" customHeight="1">
      <c r="C19" s="61"/>
      <c r="D19" s="284"/>
      <c r="E19" s="290" t="s">
        <v>190</v>
      </c>
      <c r="F19" s="286">
        <v>0</v>
      </c>
      <c r="G19" s="287">
        <v>0</v>
      </c>
      <c r="H19" s="281">
        <v>0</v>
      </c>
      <c r="I19" s="288"/>
      <c r="J19" s="287">
        <v>0</v>
      </c>
      <c r="K19" s="286">
        <v>0</v>
      </c>
      <c r="L19" s="286">
        <v>0</v>
      </c>
      <c r="M19" s="286">
        <v>642026</v>
      </c>
      <c r="N19" s="287">
        <v>0</v>
      </c>
      <c r="O19" s="279">
        <v>642026</v>
      </c>
      <c r="P19" s="283">
        <v>642026</v>
      </c>
    </row>
    <row r="20" spans="3:16" ht="18" customHeight="1">
      <c r="C20" s="61"/>
      <c r="D20" s="284"/>
      <c r="E20" s="290" t="s">
        <v>191</v>
      </c>
      <c r="F20" s="286">
        <v>0</v>
      </c>
      <c r="G20" s="287">
        <v>49464</v>
      </c>
      <c r="H20" s="281">
        <v>49464</v>
      </c>
      <c r="I20" s="288"/>
      <c r="J20" s="287">
        <v>0</v>
      </c>
      <c r="K20" s="286">
        <v>940914</v>
      </c>
      <c r="L20" s="286">
        <v>0</v>
      </c>
      <c r="M20" s="286">
        <v>0</v>
      </c>
      <c r="N20" s="287">
        <v>1429227</v>
      </c>
      <c r="O20" s="279">
        <v>2370141</v>
      </c>
      <c r="P20" s="283">
        <v>2419605</v>
      </c>
    </row>
    <row r="21" spans="3:16" ht="18" customHeight="1">
      <c r="C21" s="61"/>
      <c r="D21" s="278" t="s">
        <v>236</v>
      </c>
      <c r="F21" s="279">
        <v>0</v>
      </c>
      <c r="G21" s="280">
        <v>0</v>
      </c>
      <c r="H21" s="281">
        <v>0</v>
      </c>
      <c r="I21" s="282"/>
      <c r="J21" s="280">
        <v>0</v>
      </c>
      <c r="K21" s="279">
        <v>0</v>
      </c>
      <c r="L21" s="279">
        <v>0</v>
      </c>
      <c r="M21" s="279">
        <v>0</v>
      </c>
      <c r="N21" s="280">
        <v>1073025</v>
      </c>
      <c r="O21" s="279">
        <v>1073025</v>
      </c>
      <c r="P21" s="283">
        <v>1073025</v>
      </c>
    </row>
    <row r="22" spans="3:16" ht="18" customHeight="1">
      <c r="C22" s="61"/>
      <c r="D22" s="284"/>
      <c r="E22" s="285" t="s">
        <v>192</v>
      </c>
      <c r="F22" s="286">
        <v>0</v>
      </c>
      <c r="G22" s="287">
        <v>0</v>
      </c>
      <c r="H22" s="281">
        <v>0</v>
      </c>
      <c r="I22" s="288"/>
      <c r="J22" s="287">
        <v>0</v>
      </c>
      <c r="K22" s="286">
        <v>0</v>
      </c>
      <c r="L22" s="286">
        <v>0</v>
      </c>
      <c r="M22" s="286">
        <v>0</v>
      </c>
      <c r="N22" s="287">
        <v>427590</v>
      </c>
      <c r="O22" s="279">
        <v>427590</v>
      </c>
      <c r="P22" s="283">
        <v>427590</v>
      </c>
    </row>
    <row r="23" spans="3:16" ht="18" customHeight="1">
      <c r="C23" s="61"/>
      <c r="D23" s="284"/>
      <c r="E23" s="285" t="s">
        <v>193</v>
      </c>
      <c r="F23" s="286">
        <v>0</v>
      </c>
      <c r="G23" s="287">
        <v>0</v>
      </c>
      <c r="H23" s="281">
        <v>0</v>
      </c>
      <c r="I23" s="288"/>
      <c r="J23" s="287">
        <v>0</v>
      </c>
      <c r="K23" s="286">
        <v>0</v>
      </c>
      <c r="L23" s="286">
        <v>0</v>
      </c>
      <c r="M23" s="286">
        <v>0</v>
      </c>
      <c r="N23" s="287">
        <v>645435</v>
      </c>
      <c r="O23" s="279">
        <v>645435</v>
      </c>
      <c r="P23" s="283">
        <v>645435</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135864</v>
      </c>
      <c r="H26" s="281">
        <v>135864</v>
      </c>
      <c r="I26" s="282"/>
      <c r="J26" s="280">
        <v>0</v>
      </c>
      <c r="K26" s="279">
        <v>242100</v>
      </c>
      <c r="L26" s="279">
        <v>0</v>
      </c>
      <c r="M26" s="279">
        <v>25830</v>
      </c>
      <c r="N26" s="280">
        <v>374670</v>
      </c>
      <c r="O26" s="279">
        <v>642600</v>
      </c>
      <c r="P26" s="283">
        <v>778464</v>
      </c>
    </row>
    <row r="27" spans="3:16" ht="18" customHeight="1">
      <c r="C27" s="61"/>
      <c r="D27" s="284"/>
      <c r="E27" s="292" t="s">
        <v>196</v>
      </c>
      <c r="F27" s="286">
        <v>0</v>
      </c>
      <c r="G27" s="287">
        <v>135864</v>
      </c>
      <c r="H27" s="281">
        <v>135864</v>
      </c>
      <c r="I27" s="288"/>
      <c r="J27" s="287">
        <v>0</v>
      </c>
      <c r="K27" s="286">
        <v>72900</v>
      </c>
      <c r="L27" s="286">
        <v>0</v>
      </c>
      <c r="M27" s="286">
        <v>25830</v>
      </c>
      <c r="N27" s="287">
        <v>374670</v>
      </c>
      <c r="O27" s="279">
        <v>473400</v>
      </c>
      <c r="P27" s="283">
        <v>609264</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169200</v>
      </c>
      <c r="L29" s="294">
        <v>0</v>
      </c>
      <c r="M29" s="294">
        <v>0</v>
      </c>
      <c r="N29" s="295">
        <v>0</v>
      </c>
      <c r="O29" s="279">
        <v>169200</v>
      </c>
      <c r="P29" s="283">
        <v>169200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61430</v>
      </c>
      <c r="H31" s="304">
        <v>61430</v>
      </c>
      <c r="I31" s="288"/>
      <c r="J31" s="303">
        <v>0</v>
      </c>
      <c r="K31" s="302">
        <v>252320</v>
      </c>
      <c r="L31" s="302">
        <v>0</v>
      </c>
      <c r="M31" s="302">
        <v>155557</v>
      </c>
      <c r="N31" s="303">
        <v>233290</v>
      </c>
      <c r="O31" s="304">
        <v>641167</v>
      </c>
      <c r="P31" s="305">
        <v>702597</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4045669</v>
      </c>
      <c r="M42" s="273">
        <v>0</v>
      </c>
      <c r="N42" s="274">
        <v>0</v>
      </c>
      <c r="O42" s="273">
        <v>4045669</v>
      </c>
      <c r="P42" s="277">
        <v>4045669</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4045669</v>
      </c>
      <c r="M44" s="286">
        <v>0</v>
      </c>
      <c r="N44" s="287">
        <v>0</v>
      </c>
      <c r="O44" s="279">
        <v>4045669</v>
      </c>
      <c r="P44" s="283">
        <v>4045669</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246758</v>
      </c>
      <c r="H47" s="321">
        <v>246758</v>
      </c>
      <c r="I47" s="224"/>
      <c r="J47" s="320">
        <v>0</v>
      </c>
      <c r="K47" s="320">
        <v>2912711</v>
      </c>
      <c r="L47" s="320">
        <v>4045669</v>
      </c>
      <c r="M47" s="320">
        <v>2106370</v>
      </c>
      <c r="N47" s="320">
        <v>3110212</v>
      </c>
      <c r="O47" s="320">
        <v>12174962</v>
      </c>
      <c r="P47" s="322">
        <v>12421720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253</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254</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253</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254</v>
      </c>
    </row>
    <row r="8" spans="1:17" ht="18" customHeight="1">
      <c r="C8" s="121"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253</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254</v>
      </c>
    </row>
    <row r="8" spans="1:17" ht="18" customHeight="1">
      <c r="C8" s="121"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255</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256</v>
      </c>
    </row>
    <row r="8" spans="1:17" ht="18" customHeight="1">
      <c r="C8" s="121" t="s">
        <v>231</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46"/>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255</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256</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3">
        <v>0</v>
      </c>
      <c r="H11" s="275">
        <v>0</v>
      </c>
      <c r="I11" s="276"/>
      <c r="J11" s="273">
        <v>0</v>
      </c>
      <c r="K11" s="273">
        <v>0</v>
      </c>
      <c r="L11" s="273">
        <v>0</v>
      </c>
      <c r="M11" s="273">
        <v>0</v>
      </c>
      <c r="N11" s="273">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79">
        <v>0</v>
      </c>
      <c r="H26" s="281">
        <v>0</v>
      </c>
      <c r="I26" s="282"/>
      <c r="J26" s="280">
        <v>0</v>
      </c>
      <c r="K26" s="279">
        <v>0</v>
      </c>
      <c r="L26" s="279">
        <v>0</v>
      </c>
      <c r="M26" s="279">
        <v>0</v>
      </c>
      <c r="N26" s="280">
        <v>0</v>
      </c>
      <c r="O26" s="279">
        <v>0</v>
      </c>
      <c r="P26" s="283">
        <v>0</v>
      </c>
    </row>
    <row r="27" spans="3:16" ht="18" customHeight="1">
      <c r="C27" s="61"/>
      <c r="D27" s="284"/>
      <c r="E27" s="285" t="s">
        <v>196</v>
      </c>
      <c r="F27" s="323">
        <v>0</v>
      </c>
      <c r="G27" s="324">
        <v>0</v>
      </c>
      <c r="H27" s="281">
        <v>0</v>
      </c>
      <c r="I27" s="288"/>
      <c r="J27" s="324">
        <v>0</v>
      </c>
      <c r="K27" s="323">
        <v>0</v>
      </c>
      <c r="L27" s="323">
        <v>0</v>
      </c>
      <c r="M27" s="323">
        <v>0</v>
      </c>
      <c r="N27" s="324">
        <v>0</v>
      </c>
      <c r="O27" s="279">
        <v>0</v>
      </c>
      <c r="P27" s="283">
        <v>0</v>
      </c>
    </row>
    <row r="28" spans="3:16" ht="18" customHeight="1">
      <c r="C28" s="308"/>
      <c r="D28" s="314" t="s">
        <v>246</v>
      </c>
      <c r="E28" s="289"/>
      <c r="F28" s="310">
        <v>0</v>
      </c>
      <c r="G28" s="310">
        <v>0</v>
      </c>
      <c r="H28" s="311">
        <v>0</v>
      </c>
      <c r="I28" s="288"/>
      <c r="J28" s="310">
        <v>0</v>
      </c>
      <c r="K28" s="309">
        <v>0</v>
      </c>
      <c r="L28" s="309">
        <v>0</v>
      </c>
      <c r="M28" s="309">
        <v>0</v>
      </c>
      <c r="N28" s="310">
        <v>0</v>
      </c>
      <c r="O28" s="312">
        <v>0</v>
      </c>
      <c r="P28" s="313">
        <v>0</v>
      </c>
    </row>
    <row r="29" spans="3:16" ht="18" customHeight="1">
      <c r="C29" s="299"/>
      <c r="D29" s="300" t="s">
        <v>198</v>
      </c>
      <c r="E29" s="301"/>
      <c r="F29" s="302">
        <v>0</v>
      </c>
      <c r="G29" s="303">
        <v>0</v>
      </c>
      <c r="H29" s="304">
        <v>0</v>
      </c>
      <c r="I29" s="288"/>
      <c r="J29" s="303">
        <v>0</v>
      </c>
      <c r="K29" s="302">
        <v>0</v>
      </c>
      <c r="L29" s="302">
        <v>0</v>
      </c>
      <c r="M29" s="302">
        <v>0</v>
      </c>
      <c r="N29" s="303">
        <v>0</v>
      </c>
      <c r="O29" s="304">
        <v>0</v>
      </c>
      <c r="P29" s="305">
        <v>0</v>
      </c>
    </row>
    <row r="30" spans="3:16" ht="18" customHeight="1">
      <c r="C30" s="271" t="s">
        <v>240</v>
      </c>
      <c r="D30" s="306"/>
      <c r="E30" s="307"/>
      <c r="F30" s="273">
        <v>0</v>
      </c>
      <c r="G30" s="274">
        <v>0</v>
      </c>
      <c r="H30" s="275">
        <v>0</v>
      </c>
      <c r="I30" s="276"/>
      <c r="J30" s="325">
        <v>0</v>
      </c>
      <c r="K30" s="273">
        <v>0</v>
      </c>
      <c r="L30" s="273">
        <v>0</v>
      </c>
      <c r="M30" s="273">
        <v>0</v>
      </c>
      <c r="N30" s="274">
        <v>0</v>
      </c>
      <c r="O30" s="273">
        <v>0</v>
      </c>
      <c r="P30" s="277">
        <v>0</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0</v>
      </c>
      <c r="K33" s="286">
        <v>0</v>
      </c>
      <c r="L33" s="286">
        <v>0</v>
      </c>
      <c r="M33" s="286">
        <v>0</v>
      </c>
      <c r="N33" s="287">
        <v>0</v>
      </c>
      <c r="O33" s="279">
        <v>0</v>
      </c>
      <c r="P33" s="283">
        <v>0</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0</v>
      </c>
      <c r="K36" s="286">
        <v>0</v>
      </c>
      <c r="L36" s="286">
        <v>0</v>
      </c>
      <c r="M36" s="286">
        <v>0</v>
      </c>
      <c r="N36" s="287">
        <v>0</v>
      </c>
      <c r="O36" s="279">
        <v>0</v>
      </c>
      <c r="P36" s="283">
        <v>0</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0</v>
      </c>
      <c r="L38" s="328">
        <v>0</v>
      </c>
      <c r="M38" s="328">
        <v>0</v>
      </c>
      <c r="N38" s="329">
        <v>0</v>
      </c>
      <c r="O38" s="279">
        <v>0</v>
      </c>
      <c r="P38" s="283">
        <v>0</v>
      </c>
    </row>
    <row r="39" spans="3:16" ht="18" customHeight="1">
      <c r="C39" s="315"/>
      <c r="D39" s="770" t="s">
        <v>241</v>
      </c>
      <c r="E39" s="772"/>
      <c r="F39" s="286">
        <v>0</v>
      </c>
      <c r="G39" s="286">
        <v>0</v>
      </c>
      <c r="H39" s="281">
        <v>0</v>
      </c>
      <c r="I39" s="288"/>
      <c r="J39" s="330">
        <v>0</v>
      </c>
      <c r="K39" s="302">
        <v>0</v>
      </c>
      <c r="L39" s="302">
        <v>0</v>
      </c>
      <c r="M39" s="302">
        <v>0</v>
      </c>
      <c r="N39" s="303">
        <v>0</v>
      </c>
      <c r="O39" s="316">
        <v>0</v>
      </c>
      <c r="P39" s="305">
        <v>0</v>
      </c>
    </row>
    <row r="40" spans="3:16" ht="18" customHeight="1">
      <c r="C40" s="61" t="s">
        <v>242</v>
      </c>
      <c r="F40" s="274">
        <v>0</v>
      </c>
      <c r="G40" s="274">
        <v>0</v>
      </c>
      <c r="H40" s="275">
        <v>0</v>
      </c>
      <c r="I40" s="276"/>
      <c r="J40" s="325">
        <v>0</v>
      </c>
      <c r="K40" s="273">
        <v>0</v>
      </c>
      <c r="L40" s="273">
        <v>0</v>
      </c>
      <c r="M40" s="273">
        <v>0</v>
      </c>
      <c r="N40" s="274">
        <v>0</v>
      </c>
      <c r="O40" s="273">
        <v>0</v>
      </c>
      <c r="P40" s="277">
        <v>0</v>
      </c>
    </row>
    <row r="41" spans="3:16" ht="18" customHeight="1">
      <c r="C41" s="61"/>
      <c r="D41" s="317" t="s">
        <v>113</v>
      </c>
      <c r="E41" s="317"/>
      <c r="F41" s="287">
        <v>0</v>
      </c>
      <c r="G41" s="287">
        <v>0</v>
      </c>
      <c r="H41" s="281">
        <v>0</v>
      </c>
      <c r="I41" s="288"/>
      <c r="J41" s="287">
        <v>0</v>
      </c>
      <c r="K41" s="287">
        <v>0</v>
      </c>
      <c r="L41" s="287">
        <v>0</v>
      </c>
      <c r="M41" s="287">
        <v>0</v>
      </c>
      <c r="N41" s="287">
        <v>0</v>
      </c>
      <c r="O41" s="279">
        <v>0</v>
      </c>
      <c r="P41" s="283">
        <v>0</v>
      </c>
    </row>
    <row r="42" spans="3:16" ht="18" customHeight="1">
      <c r="C42" s="61"/>
      <c r="D42" s="317" t="s">
        <v>114</v>
      </c>
      <c r="E42" s="317"/>
      <c r="F42" s="286">
        <v>0</v>
      </c>
      <c r="G42" s="287">
        <v>0</v>
      </c>
      <c r="H42" s="281">
        <v>0</v>
      </c>
      <c r="I42" s="288"/>
      <c r="J42" s="287">
        <v>0</v>
      </c>
      <c r="K42" s="286">
        <v>0</v>
      </c>
      <c r="L42" s="287">
        <v>0</v>
      </c>
      <c r="M42" s="286">
        <v>0</v>
      </c>
      <c r="N42" s="287">
        <v>0</v>
      </c>
      <c r="O42" s="279">
        <v>0</v>
      </c>
      <c r="P42" s="283">
        <v>0</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0</v>
      </c>
      <c r="G45" s="331">
        <v>0</v>
      </c>
      <c r="H45" s="321">
        <v>0</v>
      </c>
      <c r="I45" s="224"/>
      <c r="J45" s="332">
        <v>0</v>
      </c>
      <c r="K45" s="320">
        <v>0</v>
      </c>
      <c r="L45" s="320">
        <v>0</v>
      </c>
      <c r="M45" s="320">
        <v>0</v>
      </c>
      <c r="N45" s="331">
        <v>0</v>
      </c>
      <c r="O45" s="320">
        <v>0</v>
      </c>
      <c r="P45" s="322">
        <v>0</v>
      </c>
    </row>
    <row r="46" spans="3:16" ht="12" customHeight="1"/>
  </sheetData>
  <sheetProtection selectLockedCells="1" selectUnlockedCells="1"/>
  <mergeCells count="9">
    <mergeCell ref="C45:E45"/>
    <mergeCell ref="D38:E38"/>
    <mergeCell ref="D39:E39"/>
    <mergeCell ref="A3:Q3"/>
    <mergeCell ref="C9:E10"/>
    <mergeCell ref="F9:H9"/>
    <mergeCell ref="I9:O9"/>
    <mergeCell ref="P9:P10"/>
    <mergeCell ref="A4:Q4"/>
  </mergeCells>
  <phoneticPr fontId="34"/>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255</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256</v>
      </c>
    </row>
    <row r="8" spans="1:17" ht="18" customHeight="1">
      <c r="C8" s="121" t="s">
        <v>247</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48"/>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255</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256</v>
      </c>
    </row>
    <row r="8" spans="1:17" ht="18" customHeight="1">
      <c r="C8" s="121" t="s">
        <v>248</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4">
        <v>0</v>
      </c>
      <c r="H11" s="275">
        <v>0</v>
      </c>
      <c r="I11" s="276"/>
      <c r="J11" s="274">
        <v>0</v>
      </c>
      <c r="K11" s="274">
        <v>0</v>
      </c>
      <c r="L11" s="273">
        <v>0</v>
      </c>
      <c r="M11" s="274">
        <v>0</v>
      </c>
      <c r="N11" s="274">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80">
        <v>0</v>
      </c>
      <c r="H26" s="281">
        <v>0</v>
      </c>
      <c r="I26" s="282"/>
      <c r="J26" s="280">
        <v>0</v>
      </c>
      <c r="K26" s="279">
        <v>0</v>
      </c>
      <c r="L26" s="279">
        <v>0</v>
      </c>
      <c r="M26" s="279">
        <v>0</v>
      </c>
      <c r="N26" s="280">
        <v>0</v>
      </c>
      <c r="O26" s="279">
        <v>0</v>
      </c>
      <c r="P26" s="283">
        <v>0</v>
      </c>
    </row>
    <row r="27" spans="3:16" ht="18" customHeight="1">
      <c r="C27" s="61"/>
      <c r="D27" s="284"/>
      <c r="E27" s="292" t="s">
        <v>196</v>
      </c>
      <c r="F27" s="286">
        <v>0</v>
      </c>
      <c r="G27" s="287">
        <v>0</v>
      </c>
      <c r="H27" s="281">
        <v>0</v>
      </c>
      <c r="I27" s="288"/>
      <c r="J27" s="287">
        <v>0</v>
      </c>
      <c r="K27" s="286">
        <v>0</v>
      </c>
      <c r="L27" s="286">
        <v>0</v>
      </c>
      <c r="M27" s="286">
        <v>0</v>
      </c>
      <c r="N27" s="287">
        <v>0</v>
      </c>
      <c r="O27" s="279">
        <v>0</v>
      </c>
      <c r="P27" s="283">
        <v>0</v>
      </c>
    </row>
    <row r="28" spans="3:16" ht="18" customHeight="1">
      <c r="C28" s="61"/>
      <c r="D28" s="293"/>
      <c r="E28" s="290" t="s">
        <v>238</v>
      </c>
      <c r="F28" s="294">
        <v>0</v>
      </c>
      <c r="G28" s="295">
        <v>0</v>
      </c>
      <c r="H28" s="281">
        <v>0</v>
      </c>
      <c r="I28" s="296"/>
      <c r="J28" s="295">
        <v>0</v>
      </c>
      <c r="K28" s="294">
        <v>0</v>
      </c>
      <c r="L28" s="294">
        <v>0</v>
      </c>
      <c r="M28" s="294">
        <v>0</v>
      </c>
      <c r="N28" s="295">
        <v>0</v>
      </c>
      <c r="O28" s="279">
        <v>0</v>
      </c>
      <c r="P28" s="283">
        <v>0</v>
      </c>
    </row>
    <row r="29" spans="3:16" ht="18" customHeight="1">
      <c r="C29" s="61"/>
      <c r="D29" s="297"/>
      <c r="E29" s="285" t="s">
        <v>239</v>
      </c>
      <c r="F29" s="294">
        <v>0</v>
      </c>
      <c r="G29" s="295">
        <v>0</v>
      </c>
      <c r="H29" s="281">
        <v>0</v>
      </c>
      <c r="I29" s="296"/>
      <c r="J29" s="295">
        <v>0</v>
      </c>
      <c r="K29" s="294">
        <v>0</v>
      </c>
      <c r="L29" s="294">
        <v>0</v>
      </c>
      <c r="M29" s="294">
        <v>0</v>
      </c>
      <c r="N29" s="295">
        <v>0</v>
      </c>
      <c r="O29" s="279">
        <v>0</v>
      </c>
      <c r="P29" s="283">
        <v>0</v>
      </c>
    </row>
    <row r="30" spans="3:16" ht="18" customHeight="1">
      <c r="C30" s="61"/>
      <c r="D30" s="284" t="s">
        <v>197</v>
      </c>
      <c r="E30" s="298"/>
      <c r="F30" s="286">
        <v>0</v>
      </c>
      <c r="G30" s="287">
        <v>0</v>
      </c>
      <c r="H30" s="281">
        <v>0</v>
      </c>
      <c r="I30" s="288"/>
      <c r="J30" s="287">
        <v>0</v>
      </c>
      <c r="K30" s="286">
        <v>0</v>
      </c>
      <c r="L30" s="286">
        <v>0</v>
      </c>
      <c r="M30" s="286">
        <v>0</v>
      </c>
      <c r="N30" s="287">
        <v>0</v>
      </c>
      <c r="O30" s="279">
        <v>0</v>
      </c>
      <c r="P30" s="283">
        <v>0</v>
      </c>
    </row>
    <row r="31" spans="3:16" ht="18" customHeight="1">
      <c r="C31" s="299"/>
      <c r="D31" s="300" t="s">
        <v>198</v>
      </c>
      <c r="E31" s="301"/>
      <c r="F31" s="302">
        <v>0</v>
      </c>
      <c r="G31" s="303">
        <v>0</v>
      </c>
      <c r="H31" s="304">
        <v>0</v>
      </c>
      <c r="I31" s="288"/>
      <c r="J31" s="303">
        <v>0</v>
      </c>
      <c r="K31" s="302">
        <v>0</v>
      </c>
      <c r="L31" s="302">
        <v>0</v>
      </c>
      <c r="M31" s="302">
        <v>0</v>
      </c>
      <c r="N31" s="303">
        <v>0</v>
      </c>
      <c r="O31" s="304">
        <v>0</v>
      </c>
      <c r="P31" s="305">
        <v>0</v>
      </c>
    </row>
    <row r="32" spans="3:16" ht="18" customHeight="1">
      <c r="C32" s="271" t="s">
        <v>240</v>
      </c>
      <c r="D32" s="306"/>
      <c r="E32" s="307"/>
      <c r="F32" s="273">
        <v>0</v>
      </c>
      <c r="G32" s="274">
        <v>0</v>
      </c>
      <c r="H32" s="275">
        <v>0</v>
      </c>
      <c r="I32" s="276"/>
      <c r="J32" s="274">
        <v>0</v>
      </c>
      <c r="K32" s="273">
        <v>0</v>
      </c>
      <c r="L32" s="273">
        <v>0</v>
      </c>
      <c r="M32" s="273">
        <v>0</v>
      </c>
      <c r="N32" s="274">
        <v>0</v>
      </c>
      <c r="O32" s="273">
        <v>0</v>
      </c>
      <c r="P32" s="277">
        <v>0</v>
      </c>
    </row>
    <row r="33" spans="3:16" ht="18" customHeight="1">
      <c r="C33" s="308"/>
      <c r="D33" s="767" t="s">
        <v>214</v>
      </c>
      <c r="E33" s="769"/>
      <c r="F33" s="309">
        <v>0</v>
      </c>
      <c r="G33" s="310">
        <v>0</v>
      </c>
      <c r="H33" s="311">
        <v>0</v>
      </c>
      <c r="I33" s="288"/>
      <c r="J33" s="310">
        <v>0</v>
      </c>
      <c r="K33" s="309">
        <v>0</v>
      </c>
      <c r="L33" s="309">
        <v>0</v>
      </c>
      <c r="M33" s="309">
        <v>0</v>
      </c>
      <c r="N33" s="310">
        <v>0</v>
      </c>
      <c r="O33" s="312">
        <v>0</v>
      </c>
      <c r="P33" s="313">
        <v>0</v>
      </c>
    </row>
    <row r="34" spans="3:16" ht="18" customHeight="1">
      <c r="C34" s="61"/>
      <c r="D34" s="291" t="s">
        <v>215</v>
      </c>
      <c r="E34" s="298"/>
      <c r="F34" s="309">
        <v>0</v>
      </c>
      <c r="G34" s="310">
        <v>0</v>
      </c>
      <c r="H34" s="281">
        <v>0</v>
      </c>
      <c r="I34" s="288"/>
      <c r="J34" s="287">
        <v>0</v>
      </c>
      <c r="K34" s="286">
        <v>0</v>
      </c>
      <c r="L34" s="286">
        <v>0</v>
      </c>
      <c r="M34" s="286">
        <v>0</v>
      </c>
      <c r="N34" s="287">
        <v>0</v>
      </c>
      <c r="O34" s="279">
        <v>0</v>
      </c>
      <c r="P34" s="283">
        <v>0</v>
      </c>
    </row>
    <row r="35" spans="3:16" ht="18" customHeight="1">
      <c r="C35" s="61"/>
      <c r="D35" s="291" t="s">
        <v>216</v>
      </c>
      <c r="E35" s="298"/>
      <c r="F35" s="286">
        <v>0</v>
      </c>
      <c r="G35" s="287">
        <v>0</v>
      </c>
      <c r="H35" s="281">
        <v>0</v>
      </c>
      <c r="I35" s="288"/>
      <c r="J35" s="287">
        <v>0</v>
      </c>
      <c r="K35" s="286">
        <v>0</v>
      </c>
      <c r="L35" s="286">
        <v>0</v>
      </c>
      <c r="M35" s="286">
        <v>0</v>
      </c>
      <c r="N35" s="287">
        <v>0</v>
      </c>
      <c r="O35" s="279">
        <v>0</v>
      </c>
      <c r="P35" s="283">
        <v>0</v>
      </c>
    </row>
    <row r="36" spans="3:16" ht="18" customHeight="1">
      <c r="C36" s="61"/>
      <c r="D36" s="314" t="s">
        <v>217</v>
      </c>
      <c r="E36" s="289"/>
      <c r="F36" s="286">
        <v>0</v>
      </c>
      <c r="G36" s="287">
        <v>0</v>
      </c>
      <c r="H36" s="281">
        <v>0</v>
      </c>
      <c r="I36" s="288"/>
      <c r="J36" s="287">
        <v>0</v>
      </c>
      <c r="K36" s="286">
        <v>0</v>
      </c>
      <c r="L36" s="286">
        <v>0</v>
      </c>
      <c r="M36" s="286">
        <v>0</v>
      </c>
      <c r="N36" s="287">
        <v>0</v>
      </c>
      <c r="O36" s="279">
        <v>0</v>
      </c>
      <c r="P36" s="283">
        <v>0</v>
      </c>
    </row>
    <row r="37" spans="3:16" ht="18" customHeight="1">
      <c r="C37" s="61"/>
      <c r="D37" s="314" t="s">
        <v>218</v>
      </c>
      <c r="E37" s="289"/>
      <c r="F37" s="286">
        <v>0</v>
      </c>
      <c r="G37" s="287">
        <v>0</v>
      </c>
      <c r="H37" s="281">
        <v>0</v>
      </c>
      <c r="I37" s="288"/>
      <c r="J37" s="287">
        <v>0</v>
      </c>
      <c r="K37" s="286">
        <v>0</v>
      </c>
      <c r="L37" s="286">
        <v>0</v>
      </c>
      <c r="M37" s="286">
        <v>0</v>
      </c>
      <c r="N37" s="287">
        <v>0</v>
      </c>
      <c r="O37" s="279">
        <v>0</v>
      </c>
      <c r="P37" s="283">
        <v>0</v>
      </c>
    </row>
    <row r="38" spans="3:16" ht="18" customHeight="1">
      <c r="C38" s="61"/>
      <c r="D38" s="314" t="s">
        <v>219</v>
      </c>
      <c r="E38" s="289"/>
      <c r="F38" s="310">
        <v>0</v>
      </c>
      <c r="G38" s="287">
        <v>0</v>
      </c>
      <c r="H38" s="281">
        <v>0</v>
      </c>
      <c r="I38" s="288"/>
      <c r="J38" s="287">
        <v>0</v>
      </c>
      <c r="K38" s="286">
        <v>0</v>
      </c>
      <c r="L38" s="286">
        <v>0</v>
      </c>
      <c r="M38" s="286">
        <v>0</v>
      </c>
      <c r="N38" s="287">
        <v>0</v>
      </c>
      <c r="O38" s="279">
        <v>0</v>
      </c>
      <c r="P38" s="283">
        <v>0</v>
      </c>
    </row>
    <row r="39" spans="3:16" ht="18" customHeight="1">
      <c r="C39" s="61"/>
      <c r="D39" s="767" t="s">
        <v>220</v>
      </c>
      <c r="E39" s="768"/>
      <c r="F39" s="309">
        <v>0</v>
      </c>
      <c r="G39" s="310">
        <v>0</v>
      </c>
      <c r="H39" s="281">
        <v>0</v>
      </c>
      <c r="I39" s="288"/>
      <c r="J39" s="287">
        <v>0</v>
      </c>
      <c r="K39" s="286">
        <v>0</v>
      </c>
      <c r="L39" s="286">
        <v>0</v>
      </c>
      <c r="M39" s="286">
        <v>0</v>
      </c>
      <c r="N39" s="287">
        <v>0</v>
      </c>
      <c r="O39" s="279">
        <v>0</v>
      </c>
      <c r="P39" s="283">
        <v>0</v>
      </c>
    </row>
    <row r="40" spans="3:16" ht="18" customHeight="1">
      <c r="C40" s="308"/>
      <c r="D40" s="767" t="s">
        <v>221</v>
      </c>
      <c r="E40" s="769"/>
      <c r="F40" s="309">
        <v>0</v>
      </c>
      <c r="G40" s="310">
        <v>0</v>
      </c>
      <c r="H40" s="311">
        <v>0</v>
      </c>
      <c r="I40" s="288"/>
      <c r="J40" s="310">
        <v>0</v>
      </c>
      <c r="K40" s="309">
        <v>0</v>
      </c>
      <c r="L40" s="309">
        <v>0</v>
      </c>
      <c r="M40" s="309">
        <v>0</v>
      </c>
      <c r="N40" s="310">
        <v>0</v>
      </c>
      <c r="O40" s="312">
        <v>0</v>
      </c>
      <c r="P40" s="313">
        <v>0</v>
      </c>
    </row>
    <row r="41" spans="3:16" ht="18" customHeight="1">
      <c r="C41" s="315"/>
      <c r="D41" s="770" t="s">
        <v>241</v>
      </c>
      <c r="E41" s="771"/>
      <c r="F41" s="302">
        <v>0</v>
      </c>
      <c r="G41" s="303">
        <v>0</v>
      </c>
      <c r="H41" s="281">
        <v>0</v>
      </c>
      <c r="I41" s="288"/>
      <c r="J41" s="303">
        <v>0</v>
      </c>
      <c r="K41" s="302">
        <v>0</v>
      </c>
      <c r="L41" s="302">
        <v>0</v>
      </c>
      <c r="M41" s="302">
        <v>0</v>
      </c>
      <c r="N41" s="303">
        <v>0</v>
      </c>
      <c r="O41" s="316">
        <v>0</v>
      </c>
      <c r="P41" s="305">
        <v>0</v>
      </c>
    </row>
    <row r="42" spans="3:16" ht="18" customHeight="1">
      <c r="C42" s="61" t="s">
        <v>242</v>
      </c>
      <c r="F42" s="274">
        <v>0</v>
      </c>
      <c r="G42" s="274">
        <v>0</v>
      </c>
      <c r="H42" s="275">
        <v>0</v>
      </c>
      <c r="I42" s="276"/>
      <c r="J42" s="274">
        <v>0</v>
      </c>
      <c r="K42" s="273">
        <v>0</v>
      </c>
      <c r="L42" s="273">
        <v>0</v>
      </c>
      <c r="M42" s="273">
        <v>0</v>
      </c>
      <c r="N42" s="274">
        <v>0</v>
      </c>
      <c r="O42" s="273">
        <v>0</v>
      </c>
      <c r="P42" s="277">
        <v>0</v>
      </c>
    </row>
    <row r="43" spans="3:16" ht="18" customHeight="1">
      <c r="C43" s="61"/>
      <c r="D43" s="317" t="s">
        <v>113</v>
      </c>
      <c r="E43" s="317"/>
      <c r="F43" s="287">
        <v>0</v>
      </c>
      <c r="G43" s="287">
        <v>0</v>
      </c>
      <c r="H43" s="281">
        <v>0</v>
      </c>
      <c r="I43" s="288"/>
      <c r="J43" s="287">
        <v>0</v>
      </c>
      <c r="K43" s="286">
        <v>0</v>
      </c>
      <c r="L43" s="286">
        <v>0</v>
      </c>
      <c r="M43" s="286">
        <v>0</v>
      </c>
      <c r="N43" s="287">
        <v>0</v>
      </c>
      <c r="O43" s="279">
        <v>0</v>
      </c>
      <c r="P43" s="283">
        <v>0</v>
      </c>
    </row>
    <row r="44" spans="3:16" ht="18" customHeight="1">
      <c r="C44" s="61"/>
      <c r="D44" s="317" t="s">
        <v>114</v>
      </c>
      <c r="E44" s="317"/>
      <c r="F44" s="286">
        <v>0</v>
      </c>
      <c r="G44" s="287">
        <v>0</v>
      </c>
      <c r="H44" s="281">
        <v>0</v>
      </c>
      <c r="I44" s="288"/>
      <c r="J44" s="287">
        <v>0</v>
      </c>
      <c r="K44" s="286">
        <v>0</v>
      </c>
      <c r="L44" s="286">
        <v>0</v>
      </c>
      <c r="M44" s="286">
        <v>0</v>
      </c>
      <c r="N44" s="287">
        <v>0</v>
      </c>
      <c r="O44" s="279">
        <v>0</v>
      </c>
      <c r="P44" s="283">
        <v>0</v>
      </c>
    </row>
    <row r="45" spans="3:16" ht="18" customHeight="1">
      <c r="C45" s="61"/>
      <c r="D45" s="318" t="s">
        <v>181</v>
      </c>
      <c r="E45" s="318"/>
      <c r="F45" s="309">
        <v>0</v>
      </c>
      <c r="G45" s="310">
        <v>0</v>
      </c>
      <c r="H45" s="281">
        <v>0</v>
      </c>
      <c r="I45" s="288"/>
      <c r="J45" s="310">
        <v>0</v>
      </c>
      <c r="K45" s="309">
        <v>0</v>
      </c>
      <c r="L45" s="309">
        <v>0</v>
      </c>
      <c r="M45" s="309">
        <v>0</v>
      </c>
      <c r="N45" s="310">
        <v>0</v>
      </c>
      <c r="O45" s="279">
        <v>0</v>
      </c>
      <c r="P45" s="283">
        <v>0</v>
      </c>
    </row>
    <row r="46" spans="3:16" ht="18" customHeight="1">
      <c r="C46" s="61"/>
      <c r="D46" s="319" t="s">
        <v>243</v>
      </c>
      <c r="E46" s="319"/>
      <c r="F46" s="302">
        <v>0</v>
      </c>
      <c r="G46" s="303">
        <v>0</v>
      </c>
      <c r="H46" s="304">
        <v>0</v>
      </c>
      <c r="I46" s="288"/>
      <c r="J46" s="303">
        <v>0</v>
      </c>
      <c r="K46" s="302">
        <v>0</v>
      </c>
      <c r="L46" s="302">
        <v>0</v>
      </c>
      <c r="M46" s="302">
        <v>0</v>
      </c>
      <c r="N46" s="303">
        <v>0</v>
      </c>
      <c r="O46" s="316">
        <v>0</v>
      </c>
      <c r="P46" s="305">
        <v>0</v>
      </c>
    </row>
    <row r="47" spans="3:16" ht="18" customHeight="1">
      <c r="C47" s="752" t="s">
        <v>244</v>
      </c>
      <c r="D47" s="753"/>
      <c r="E47" s="754"/>
      <c r="F47" s="320">
        <v>0</v>
      </c>
      <c r="G47" s="320">
        <v>0</v>
      </c>
      <c r="H47" s="321">
        <v>0</v>
      </c>
      <c r="I47" s="224"/>
      <c r="J47" s="320">
        <v>0</v>
      </c>
      <c r="K47" s="320">
        <v>0</v>
      </c>
      <c r="L47" s="320">
        <v>0</v>
      </c>
      <c r="M47" s="320">
        <v>0</v>
      </c>
      <c r="N47" s="320">
        <v>0</v>
      </c>
      <c r="O47" s="320">
        <v>0</v>
      </c>
      <c r="P47" s="322">
        <v>0</v>
      </c>
    </row>
    <row r="48" spans="3:16" ht="12" customHeight="1"/>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phoneticPr fontId="34"/>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52"/>
  <sheetViews>
    <sheetView showGridLines="0" workbookViewId="0"/>
  </sheetViews>
  <sheetFormatPr defaultColWidth="9" defaultRowHeight="12" customHeight="1"/>
  <cols>
    <col min="1" max="4" width="3.7265625" style="2" customWidth="1"/>
    <col min="5" max="5" width="35.54296875" style="2" customWidth="1"/>
    <col min="6" max="16" width="14.40625" style="2" customWidth="1"/>
    <col min="17" max="17" width="4" style="1" customWidth="1"/>
  </cols>
  <sheetData>
    <row r="1" spans="1:17" ht="18" customHeight="1">
      <c r="A1" s="121" t="s">
        <v>257</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258</v>
      </c>
      <c r="N6" s="1"/>
      <c r="O6" s="93" t="s">
        <v>5</v>
      </c>
      <c r="P6" s="94" t="s">
        <v>6</v>
      </c>
      <c r="Q6" s="3" t="s">
        <v>7</v>
      </c>
    </row>
    <row r="7" spans="1:17" ht="18" customHeight="1">
      <c r="C7" s="121" t="s">
        <v>259</v>
      </c>
    </row>
    <row r="8" spans="1:17" ht="18" customHeight="1">
      <c r="C8" s="761" t="s">
        <v>232</v>
      </c>
      <c r="D8" s="762"/>
      <c r="E8" s="763"/>
      <c r="F8" s="760" t="s">
        <v>177</v>
      </c>
      <c r="G8" s="758"/>
      <c r="H8" s="759"/>
      <c r="I8" s="757" t="s">
        <v>178</v>
      </c>
      <c r="J8" s="758"/>
      <c r="K8" s="758"/>
      <c r="L8" s="758"/>
      <c r="M8" s="758"/>
      <c r="N8" s="758"/>
      <c r="O8" s="759"/>
      <c r="P8" s="755" t="s">
        <v>109</v>
      </c>
    </row>
    <row r="9" spans="1:17" ht="18" customHeight="1">
      <c r="C9" s="764"/>
      <c r="D9" s="765"/>
      <c r="E9" s="766"/>
      <c r="F9" s="267" t="s">
        <v>152</v>
      </c>
      <c r="G9" s="268" t="s">
        <v>153</v>
      </c>
      <c r="H9" s="269" t="s">
        <v>14</v>
      </c>
      <c r="I9" s="270" t="s">
        <v>154</v>
      </c>
      <c r="J9" s="268" t="s">
        <v>155</v>
      </c>
      <c r="K9" s="267" t="s">
        <v>156</v>
      </c>
      <c r="L9" s="267" t="s">
        <v>157</v>
      </c>
      <c r="M9" s="267" t="s">
        <v>158</v>
      </c>
      <c r="N9" s="268" t="s">
        <v>159</v>
      </c>
      <c r="O9" s="338" t="s">
        <v>14</v>
      </c>
      <c r="P9" s="756"/>
    </row>
    <row r="10" spans="1:17" ht="18" customHeight="1">
      <c r="C10" s="271" t="s">
        <v>260</v>
      </c>
      <c r="D10" s="339"/>
      <c r="E10" s="340"/>
      <c r="F10" s="62"/>
      <c r="G10" s="62"/>
      <c r="H10" s="62"/>
      <c r="I10" s="62"/>
      <c r="J10" s="62"/>
      <c r="K10" s="62"/>
      <c r="L10" s="62"/>
      <c r="M10" s="62"/>
      <c r="N10" s="62"/>
      <c r="O10" s="62"/>
      <c r="P10" s="63"/>
    </row>
    <row r="11" spans="1:17" ht="18" customHeight="1">
      <c r="C11" s="61"/>
      <c r="D11" s="341" t="s">
        <v>119</v>
      </c>
      <c r="E11" s="342"/>
      <c r="F11" s="343">
        <v>1</v>
      </c>
      <c r="G11" s="312">
        <v>0</v>
      </c>
      <c r="H11" s="275">
        <v>1</v>
      </c>
      <c r="I11" s="276"/>
      <c r="J11" s="344">
        <v>42</v>
      </c>
      <c r="K11" s="312">
        <v>117</v>
      </c>
      <c r="L11" s="312">
        <v>388</v>
      </c>
      <c r="M11" s="312">
        <v>418</v>
      </c>
      <c r="N11" s="312">
        <v>353</v>
      </c>
      <c r="O11" s="275">
        <v>1318</v>
      </c>
      <c r="P11" s="277">
        <v>1319</v>
      </c>
    </row>
    <row r="12" spans="1:17" ht="18" customHeight="1">
      <c r="C12" s="61"/>
      <c r="D12" s="345"/>
      <c r="E12" s="285" t="s">
        <v>113</v>
      </c>
      <c r="F12" s="310">
        <v>0</v>
      </c>
      <c r="G12" s="310">
        <v>0</v>
      </c>
      <c r="H12" s="311">
        <v>0</v>
      </c>
      <c r="I12" s="288"/>
      <c r="J12" s="346">
        <v>12</v>
      </c>
      <c r="K12" s="309">
        <v>27</v>
      </c>
      <c r="L12" s="309">
        <v>208</v>
      </c>
      <c r="M12" s="309">
        <v>252</v>
      </c>
      <c r="N12" s="309">
        <v>223</v>
      </c>
      <c r="O12" s="311">
        <v>722</v>
      </c>
      <c r="P12" s="313">
        <v>722</v>
      </c>
    </row>
    <row r="13" spans="1:17" ht="18" customHeight="1">
      <c r="C13" s="61"/>
      <c r="D13" s="347"/>
      <c r="E13" s="285" t="s">
        <v>114</v>
      </c>
      <c r="F13" s="310">
        <v>0</v>
      </c>
      <c r="G13" s="310">
        <v>0</v>
      </c>
      <c r="H13" s="311">
        <v>0</v>
      </c>
      <c r="I13" s="288"/>
      <c r="J13" s="346">
        <v>23</v>
      </c>
      <c r="K13" s="309">
        <v>71</v>
      </c>
      <c r="L13" s="309">
        <v>79</v>
      </c>
      <c r="M13" s="309">
        <v>58</v>
      </c>
      <c r="N13" s="309">
        <v>58</v>
      </c>
      <c r="O13" s="311">
        <v>289</v>
      </c>
      <c r="P13" s="313">
        <v>289</v>
      </c>
    </row>
    <row r="14" spans="1:17" ht="18" customHeight="1">
      <c r="C14" s="61"/>
      <c r="D14" s="345"/>
      <c r="E14" s="285" t="s">
        <v>181</v>
      </c>
      <c r="F14" s="310">
        <v>0</v>
      </c>
      <c r="G14" s="310">
        <v>0</v>
      </c>
      <c r="H14" s="311">
        <v>0</v>
      </c>
      <c r="I14" s="288"/>
      <c r="J14" s="346">
        <v>0</v>
      </c>
      <c r="K14" s="309">
        <v>0</v>
      </c>
      <c r="L14" s="309">
        <v>0</v>
      </c>
      <c r="M14" s="309">
        <v>0</v>
      </c>
      <c r="N14" s="309">
        <v>0</v>
      </c>
      <c r="O14" s="311">
        <v>0</v>
      </c>
      <c r="P14" s="313">
        <v>0</v>
      </c>
    </row>
    <row r="15" spans="1:17" ht="18" customHeight="1">
      <c r="C15" s="61"/>
      <c r="D15" s="345"/>
      <c r="E15" s="285" t="s">
        <v>116</v>
      </c>
      <c r="F15" s="310">
        <v>0</v>
      </c>
      <c r="G15" s="310">
        <v>0</v>
      </c>
      <c r="H15" s="311">
        <v>0</v>
      </c>
      <c r="I15" s="288"/>
      <c r="J15" s="346">
        <v>0</v>
      </c>
      <c r="K15" s="309">
        <v>0</v>
      </c>
      <c r="L15" s="309">
        <v>0</v>
      </c>
      <c r="M15" s="309">
        <v>0</v>
      </c>
      <c r="N15" s="309">
        <v>0</v>
      </c>
      <c r="O15" s="311">
        <v>0</v>
      </c>
      <c r="P15" s="313">
        <v>0</v>
      </c>
    </row>
    <row r="16" spans="1:17" ht="18" customHeight="1">
      <c r="C16" s="61"/>
      <c r="D16" s="345"/>
      <c r="E16" s="285" t="s">
        <v>221</v>
      </c>
      <c r="F16" s="310">
        <v>0</v>
      </c>
      <c r="G16" s="310">
        <v>0</v>
      </c>
      <c r="H16" s="311">
        <v>0</v>
      </c>
      <c r="I16" s="288"/>
      <c r="J16" s="346">
        <v>0</v>
      </c>
      <c r="K16" s="309">
        <v>15</v>
      </c>
      <c r="L16" s="309">
        <v>91</v>
      </c>
      <c r="M16" s="309">
        <v>93</v>
      </c>
      <c r="N16" s="309">
        <v>47</v>
      </c>
      <c r="O16" s="311">
        <v>246</v>
      </c>
      <c r="P16" s="313">
        <v>246</v>
      </c>
    </row>
    <row r="17" spans="3:16" ht="18" customHeight="1">
      <c r="C17" s="61"/>
      <c r="D17" s="345"/>
      <c r="E17" s="285" t="s">
        <v>192</v>
      </c>
      <c r="F17" s="309">
        <v>1</v>
      </c>
      <c r="G17" s="309">
        <v>0</v>
      </c>
      <c r="H17" s="311">
        <v>1</v>
      </c>
      <c r="I17" s="288"/>
      <c r="J17" s="346">
        <v>2</v>
      </c>
      <c r="K17" s="309">
        <v>4</v>
      </c>
      <c r="L17" s="309">
        <v>5</v>
      </c>
      <c r="M17" s="309">
        <v>15</v>
      </c>
      <c r="N17" s="309">
        <v>12</v>
      </c>
      <c r="O17" s="311">
        <v>38</v>
      </c>
      <c r="P17" s="313">
        <v>39</v>
      </c>
    </row>
    <row r="18" spans="3:16" ht="18" customHeight="1">
      <c r="C18" s="61"/>
      <c r="D18" s="345"/>
      <c r="E18" s="285" t="s">
        <v>193</v>
      </c>
      <c r="F18" s="348">
        <v>0</v>
      </c>
      <c r="G18" s="348">
        <v>0</v>
      </c>
      <c r="H18" s="349">
        <v>0</v>
      </c>
      <c r="I18" s="288"/>
      <c r="J18" s="350">
        <v>5</v>
      </c>
      <c r="K18" s="348">
        <v>0</v>
      </c>
      <c r="L18" s="348">
        <v>5</v>
      </c>
      <c r="M18" s="348">
        <v>0</v>
      </c>
      <c r="N18" s="348">
        <v>13</v>
      </c>
      <c r="O18" s="349">
        <v>23</v>
      </c>
      <c r="P18" s="351">
        <v>23</v>
      </c>
    </row>
    <row r="19" spans="3:16" ht="18" customHeight="1">
      <c r="C19" s="61"/>
      <c r="D19" s="345"/>
      <c r="E19" s="352" t="s">
        <v>194</v>
      </c>
      <c r="F19" s="348">
        <v>0</v>
      </c>
      <c r="G19" s="348">
        <v>0</v>
      </c>
      <c r="H19" s="349">
        <v>0</v>
      </c>
      <c r="I19" s="288"/>
      <c r="J19" s="350">
        <v>0</v>
      </c>
      <c r="K19" s="348">
        <v>0</v>
      </c>
      <c r="L19" s="348">
        <v>0</v>
      </c>
      <c r="M19" s="348">
        <v>0</v>
      </c>
      <c r="N19" s="348">
        <v>0</v>
      </c>
      <c r="O19" s="349">
        <v>0</v>
      </c>
      <c r="P19" s="351">
        <v>0</v>
      </c>
    </row>
    <row r="20" spans="3:16" ht="18" customHeight="1">
      <c r="C20" s="61"/>
      <c r="D20" s="345"/>
      <c r="E20" s="352" t="s">
        <v>195</v>
      </c>
      <c r="F20" s="348">
        <v>0</v>
      </c>
      <c r="G20" s="348">
        <v>0</v>
      </c>
      <c r="H20" s="349">
        <v>0</v>
      </c>
      <c r="I20" s="288"/>
      <c r="J20" s="350">
        <v>0</v>
      </c>
      <c r="K20" s="348">
        <v>0</v>
      </c>
      <c r="L20" s="348">
        <v>0</v>
      </c>
      <c r="M20" s="348">
        <v>0</v>
      </c>
      <c r="N20" s="348">
        <v>0</v>
      </c>
      <c r="O20" s="349">
        <v>0</v>
      </c>
      <c r="P20" s="351">
        <v>0</v>
      </c>
    </row>
    <row r="21" spans="3:16" ht="18" customHeight="1">
      <c r="C21" s="61"/>
      <c r="D21" s="341" t="s">
        <v>261</v>
      </c>
      <c r="E21" s="353"/>
      <c r="F21" s="273">
        <v>1</v>
      </c>
      <c r="G21" s="273">
        <v>0</v>
      </c>
      <c r="H21" s="275">
        <v>1</v>
      </c>
      <c r="I21" s="276"/>
      <c r="J21" s="325">
        <v>43</v>
      </c>
      <c r="K21" s="273">
        <v>118</v>
      </c>
      <c r="L21" s="273">
        <v>385</v>
      </c>
      <c r="M21" s="273">
        <v>422</v>
      </c>
      <c r="N21" s="273">
        <v>355</v>
      </c>
      <c r="O21" s="275">
        <v>1323</v>
      </c>
      <c r="P21" s="277">
        <v>1324</v>
      </c>
    </row>
    <row r="22" spans="3:16" ht="18" customHeight="1">
      <c r="C22" s="61"/>
      <c r="D22" s="345"/>
      <c r="E22" s="285" t="s">
        <v>113</v>
      </c>
      <c r="F22" s="310">
        <v>0</v>
      </c>
      <c r="G22" s="310">
        <v>0</v>
      </c>
      <c r="H22" s="311">
        <v>0</v>
      </c>
      <c r="I22" s="288"/>
      <c r="J22" s="346">
        <v>12</v>
      </c>
      <c r="K22" s="309">
        <v>27</v>
      </c>
      <c r="L22" s="309">
        <v>205</v>
      </c>
      <c r="M22" s="309">
        <v>255</v>
      </c>
      <c r="N22" s="309">
        <v>224</v>
      </c>
      <c r="O22" s="311">
        <v>723</v>
      </c>
      <c r="P22" s="313">
        <v>723</v>
      </c>
    </row>
    <row r="23" spans="3:16" ht="18" customHeight="1">
      <c r="C23" s="61"/>
      <c r="D23" s="347"/>
      <c r="E23" s="285" t="s">
        <v>114</v>
      </c>
      <c r="F23" s="310">
        <v>0</v>
      </c>
      <c r="G23" s="310">
        <v>0</v>
      </c>
      <c r="H23" s="311">
        <v>0</v>
      </c>
      <c r="I23" s="288"/>
      <c r="J23" s="346">
        <v>23</v>
      </c>
      <c r="K23" s="309">
        <v>71</v>
      </c>
      <c r="L23" s="309">
        <v>79</v>
      </c>
      <c r="M23" s="309">
        <v>58</v>
      </c>
      <c r="N23" s="309">
        <v>59</v>
      </c>
      <c r="O23" s="311">
        <v>290</v>
      </c>
      <c r="P23" s="313">
        <v>290</v>
      </c>
    </row>
    <row r="24" spans="3:16" ht="18" customHeight="1">
      <c r="C24" s="61"/>
      <c r="D24" s="345"/>
      <c r="E24" s="285" t="s">
        <v>181</v>
      </c>
      <c r="F24" s="310">
        <v>0</v>
      </c>
      <c r="G24" s="310">
        <v>0</v>
      </c>
      <c r="H24" s="311">
        <v>0</v>
      </c>
      <c r="I24" s="288"/>
      <c r="J24" s="346">
        <v>0</v>
      </c>
      <c r="K24" s="309">
        <v>0</v>
      </c>
      <c r="L24" s="309">
        <v>0</v>
      </c>
      <c r="M24" s="309">
        <v>0</v>
      </c>
      <c r="N24" s="309">
        <v>0</v>
      </c>
      <c r="O24" s="311">
        <v>0</v>
      </c>
      <c r="P24" s="313">
        <v>0</v>
      </c>
    </row>
    <row r="25" spans="3:16" ht="18" customHeight="1">
      <c r="C25" s="61"/>
      <c r="D25" s="345"/>
      <c r="E25" s="285" t="s">
        <v>116</v>
      </c>
      <c r="F25" s="310">
        <v>0</v>
      </c>
      <c r="G25" s="310">
        <v>0</v>
      </c>
      <c r="H25" s="311">
        <v>0</v>
      </c>
      <c r="I25" s="288"/>
      <c r="J25" s="346">
        <v>0</v>
      </c>
      <c r="K25" s="309">
        <v>0</v>
      </c>
      <c r="L25" s="309">
        <v>0</v>
      </c>
      <c r="M25" s="309">
        <v>0</v>
      </c>
      <c r="N25" s="309">
        <v>0</v>
      </c>
      <c r="O25" s="311">
        <v>0</v>
      </c>
      <c r="P25" s="313">
        <v>0</v>
      </c>
    </row>
    <row r="26" spans="3:16" ht="18" customHeight="1">
      <c r="C26" s="61"/>
      <c r="D26" s="345"/>
      <c r="E26" s="285" t="s">
        <v>221</v>
      </c>
      <c r="F26" s="310">
        <v>0</v>
      </c>
      <c r="G26" s="310">
        <v>0</v>
      </c>
      <c r="H26" s="311">
        <v>0</v>
      </c>
      <c r="I26" s="288"/>
      <c r="J26" s="346">
        <v>0</v>
      </c>
      <c r="K26" s="309">
        <v>16</v>
      </c>
      <c r="L26" s="309">
        <v>91</v>
      </c>
      <c r="M26" s="309">
        <v>94</v>
      </c>
      <c r="N26" s="309">
        <v>47</v>
      </c>
      <c r="O26" s="311">
        <v>248</v>
      </c>
      <c r="P26" s="313">
        <v>248</v>
      </c>
    </row>
    <row r="27" spans="3:16" ht="18" customHeight="1">
      <c r="C27" s="61"/>
      <c r="D27" s="345"/>
      <c r="E27" s="285" t="s">
        <v>192</v>
      </c>
      <c r="F27" s="309">
        <v>1</v>
      </c>
      <c r="G27" s="309">
        <v>0</v>
      </c>
      <c r="H27" s="311">
        <v>1</v>
      </c>
      <c r="I27" s="288"/>
      <c r="J27" s="346">
        <v>2</v>
      </c>
      <c r="K27" s="309">
        <v>4</v>
      </c>
      <c r="L27" s="309">
        <v>5</v>
      </c>
      <c r="M27" s="309">
        <v>15</v>
      </c>
      <c r="N27" s="309">
        <v>12</v>
      </c>
      <c r="O27" s="311">
        <v>38</v>
      </c>
      <c r="P27" s="313">
        <v>39</v>
      </c>
    </row>
    <row r="28" spans="3:16" ht="18" customHeight="1">
      <c r="C28" s="61"/>
      <c r="D28" s="345"/>
      <c r="E28" s="285" t="s">
        <v>193</v>
      </c>
      <c r="F28" s="348">
        <v>0</v>
      </c>
      <c r="G28" s="348">
        <v>0</v>
      </c>
      <c r="H28" s="349">
        <v>0</v>
      </c>
      <c r="I28" s="288"/>
      <c r="J28" s="350">
        <v>6</v>
      </c>
      <c r="K28" s="348">
        <v>0</v>
      </c>
      <c r="L28" s="348">
        <v>5</v>
      </c>
      <c r="M28" s="348">
        <v>0</v>
      </c>
      <c r="N28" s="348">
        <v>13</v>
      </c>
      <c r="O28" s="349">
        <v>24</v>
      </c>
      <c r="P28" s="351">
        <v>24</v>
      </c>
    </row>
    <row r="29" spans="3:16" ht="18" customHeight="1">
      <c r="C29" s="61"/>
      <c r="D29" s="345"/>
      <c r="E29" s="352" t="s">
        <v>194</v>
      </c>
      <c r="F29" s="348">
        <v>0</v>
      </c>
      <c r="G29" s="348">
        <v>0</v>
      </c>
      <c r="H29" s="349">
        <v>0</v>
      </c>
      <c r="I29" s="288"/>
      <c r="J29" s="350">
        <v>0</v>
      </c>
      <c r="K29" s="348">
        <v>0</v>
      </c>
      <c r="L29" s="348">
        <v>0</v>
      </c>
      <c r="M29" s="348">
        <v>0</v>
      </c>
      <c r="N29" s="348">
        <v>0</v>
      </c>
      <c r="O29" s="349">
        <v>0</v>
      </c>
      <c r="P29" s="351">
        <v>0</v>
      </c>
    </row>
    <row r="30" spans="3:16" ht="18" customHeight="1">
      <c r="C30" s="61"/>
      <c r="D30" s="354"/>
      <c r="E30" s="355" t="s">
        <v>195</v>
      </c>
      <c r="F30" s="302">
        <v>0</v>
      </c>
      <c r="G30" s="302">
        <v>0</v>
      </c>
      <c r="H30" s="304">
        <v>0</v>
      </c>
      <c r="I30" s="356"/>
      <c r="J30" s="330">
        <v>0</v>
      </c>
      <c r="K30" s="302">
        <v>0</v>
      </c>
      <c r="L30" s="302">
        <v>0</v>
      </c>
      <c r="M30" s="302">
        <v>0</v>
      </c>
      <c r="N30" s="302">
        <v>0</v>
      </c>
      <c r="O30" s="304">
        <v>0</v>
      </c>
      <c r="P30" s="305">
        <v>0</v>
      </c>
    </row>
    <row r="31" spans="3:16" ht="18" customHeight="1">
      <c r="C31" s="357" t="s">
        <v>262</v>
      </c>
      <c r="D31" s="358"/>
      <c r="E31" s="359"/>
      <c r="F31" s="360"/>
      <c r="G31" s="360"/>
      <c r="H31" s="360"/>
      <c r="I31" s="360"/>
      <c r="J31" s="360"/>
      <c r="K31" s="360"/>
      <c r="L31" s="360"/>
      <c r="M31" s="360"/>
      <c r="N31" s="360"/>
      <c r="O31" s="360"/>
      <c r="P31" s="361"/>
    </row>
    <row r="32" spans="3:16" ht="18" customHeight="1">
      <c r="C32" s="61"/>
      <c r="D32" s="341" t="s">
        <v>119</v>
      </c>
      <c r="E32" s="342"/>
      <c r="F32" s="343">
        <v>1780</v>
      </c>
      <c r="G32" s="312">
        <v>0</v>
      </c>
      <c r="H32" s="275">
        <v>1780</v>
      </c>
      <c r="I32" s="276"/>
      <c r="J32" s="344">
        <v>845643</v>
      </c>
      <c r="K32" s="312">
        <v>2911898</v>
      </c>
      <c r="L32" s="312">
        <v>9201395</v>
      </c>
      <c r="M32" s="312">
        <v>9100228</v>
      </c>
      <c r="N32" s="312">
        <v>6778075</v>
      </c>
      <c r="O32" s="275">
        <v>28837239</v>
      </c>
      <c r="P32" s="277">
        <v>28839019</v>
      </c>
    </row>
    <row r="33" spans="3:16" ht="18" customHeight="1">
      <c r="C33" s="61"/>
      <c r="D33" s="345"/>
      <c r="E33" s="285" t="s">
        <v>113</v>
      </c>
      <c r="F33" s="310">
        <v>0</v>
      </c>
      <c r="G33" s="310">
        <v>0</v>
      </c>
      <c r="H33" s="311">
        <v>0</v>
      </c>
      <c r="I33" s="288"/>
      <c r="J33" s="346">
        <v>290175</v>
      </c>
      <c r="K33" s="309">
        <v>895215</v>
      </c>
      <c r="L33" s="309">
        <v>5148475</v>
      </c>
      <c r="M33" s="309">
        <v>6348470</v>
      </c>
      <c r="N33" s="309">
        <v>4797895</v>
      </c>
      <c r="O33" s="311">
        <v>17480230</v>
      </c>
      <c r="P33" s="313">
        <v>17480230</v>
      </c>
    </row>
    <row r="34" spans="3:16" ht="18" customHeight="1">
      <c r="C34" s="61"/>
      <c r="D34" s="347"/>
      <c r="E34" s="285" t="s">
        <v>114</v>
      </c>
      <c r="F34" s="310">
        <v>0</v>
      </c>
      <c r="G34" s="310">
        <v>0</v>
      </c>
      <c r="H34" s="311">
        <v>0</v>
      </c>
      <c r="I34" s="288"/>
      <c r="J34" s="346">
        <v>537695</v>
      </c>
      <c r="K34" s="309">
        <v>1803863</v>
      </c>
      <c r="L34" s="309">
        <v>1542520</v>
      </c>
      <c r="M34" s="309">
        <v>922208</v>
      </c>
      <c r="N34" s="309">
        <v>689620</v>
      </c>
      <c r="O34" s="311">
        <v>5495906</v>
      </c>
      <c r="P34" s="313">
        <v>5495906</v>
      </c>
    </row>
    <row r="35" spans="3:16" ht="18" customHeight="1">
      <c r="C35" s="61"/>
      <c r="D35" s="345"/>
      <c r="E35" s="285" t="s">
        <v>181</v>
      </c>
      <c r="F35" s="310">
        <v>0</v>
      </c>
      <c r="G35" s="310">
        <v>0</v>
      </c>
      <c r="H35" s="311">
        <v>0</v>
      </c>
      <c r="I35" s="288"/>
      <c r="J35" s="346">
        <v>0</v>
      </c>
      <c r="K35" s="309">
        <v>0</v>
      </c>
      <c r="L35" s="309">
        <v>0</v>
      </c>
      <c r="M35" s="309">
        <v>0</v>
      </c>
      <c r="N35" s="309">
        <v>0</v>
      </c>
      <c r="O35" s="311">
        <v>0</v>
      </c>
      <c r="P35" s="313">
        <v>0</v>
      </c>
    </row>
    <row r="36" spans="3:16" ht="18" customHeight="1">
      <c r="C36" s="61"/>
      <c r="D36" s="345"/>
      <c r="E36" s="285" t="s">
        <v>116</v>
      </c>
      <c r="F36" s="310">
        <v>0</v>
      </c>
      <c r="G36" s="310">
        <v>0</v>
      </c>
      <c r="H36" s="311">
        <v>0</v>
      </c>
      <c r="I36" s="288"/>
      <c r="J36" s="346">
        <v>0</v>
      </c>
      <c r="K36" s="309">
        <v>0</v>
      </c>
      <c r="L36" s="309">
        <v>0</v>
      </c>
      <c r="M36" s="309">
        <v>0</v>
      </c>
      <c r="N36" s="309">
        <v>0</v>
      </c>
      <c r="O36" s="311">
        <v>0</v>
      </c>
      <c r="P36" s="313">
        <v>0</v>
      </c>
    </row>
    <row r="37" spans="3:16" ht="18" customHeight="1">
      <c r="C37" s="61"/>
      <c r="D37" s="345"/>
      <c r="E37" s="285" t="s">
        <v>221</v>
      </c>
      <c r="F37" s="310">
        <v>0</v>
      </c>
      <c r="G37" s="310">
        <v>0</v>
      </c>
      <c r="H37" s="311">
        <v>0</v>
      </c>
      <c r="I37" s="288"/>
      <c r="J37" s="346">
        <v>0</v>
      </c>
      <c r="K37" s="309">
        <v>192125</v>
      </c>
      <c r="L37" s="309">
        <v>2488035</v>
      </c>
      <c r="M37" s="309">
        <v>1709910</v>
      </c>
      <c r="N37" s="309">
        <v>1280610</v>
      </c>
      <c r="O37" s="311">
        <v>5670680</v>
      </c>
      <c r="P37" s="313">
        <v>5670680</v>
      </c>
    </row>
    <row r="38" spans="3:16" ht="18" customHeight="1">
      <c r="C38" s="61"/>
      <c r="D38" s="345"/>
      <c r="E38" s="285" t="s">
        <v>192</v>
      </c>
      <c r="F38" s="309">
        <v>1780</v>
      </c>
      <c r="G38" s="309">
        <v>0</v>
      </c>
      <c r="H38" s="311">
        <v>1780</v>
      </c>
      <c r="I38" s="288"/>
      <c r="J38" s="346">
        <v>2030</v>
      </c>
      <c r="K38" s="309">
        <v>20695</v>
      </c>
      <c r="L38" s="309">
        <v>9750</v>
      </c>
      <c r="M38" s="309">
        <v>119640</v>
      </c>
      <c r="N38" s="309">
        <v>6320</v>
      </c>
      <c r="O38" s="311">
        <v>158435</v>
      </c>
      <c r="P38" s="313">
        <v>160215</v>
      </c>
    </row>
    <row r="39" spans="3:16" ht="18" customHeight="1">
      <c r="C39" s="61"/>
      <c r="D39" s="345"/>
      <c r="E39" s="285" t="s">
        <v>193</v>
      </c>
      <c r="F39" s="348">
        <v>0</v>
      </c>
      <c r="G39" s="348">
        <v>0</v>
      </c>
      <c r="H39" s="349">
        <v>0</v>
      </c>
      <c r="I39" s="288"/>
      <c r="J39" s="350">
        <v>15743</v>
      </c>
      <c r="K39" s="348">
        <v>0</v>
      </c>
      <c r="L39" s="348">
        <v>12615</v>
      </c>
      <c r="M39" s="348">
        <v>0</v>
      </c>
      <c r="N39" s="348">
        <v>3630</v>
      </c>
      <c r="O39" s="349">
        <v>31988</v>
      </c>
      <c r="P39" s="351">
        <v>31988</v>
      </c>
    </row>
    <row r="40" spans="3:16" ht="18" customHeight="1">
      <c r="C40" s="61"/>
      <c r="D40" s="345"/>
      <c r="E40" s="352" t="s">
        <v>194</v>
      </c>
      <c r="F40" s="348">
        <v>0</v>
      </c>
      <c r="G40" s="348">
        <v>0</v>
      </c>
      <c r="H40" s="349">
        <v>0</v>
      </c>
      <c r="I40" s="288"/>
      <c r="J40" s="350">
        <v>0</v>
      </c>
      <c r="K40" s="348">
        <v>0</v>
      </c>
      <c r="L40" s="348">
        <v>0</v>
      </c>
      <c r="M40" s="348">
        <v>0</v>
      </c>
      <c r="N40" s="348">
        <v>0</v>
      </c>
      <c r="O40" s="349">
        <v>0</v>
      </c>
      <c r="P40" s="351">
        <v>0</v>
      </c>
    </row>
    <row r="41" spans="3:16" ht="18" customHeight="1">
      <c r="C41" s="61"/>
      <c r="D41" s="345"/>
      <c r="E41" s="352" t="s">
        <v>195</v>
      </c>
      <c r="F41" s="348">
        <v>0</v>
      </c>
      <c r="G41" s="348">
        <v>0</v>
      </c>
      <c r="H41" s="349">
        <v>0</v>
      </c>
      <c r="I41" s="288"/>
      <c r="J41" s="350">
        <v>0</v>
      </c>
      <c r="K41" s="348">
        <v>0</v>
      </c>
      <c r="L41" s="348">
        <v>0</v>
      </c>
      <c r="M41" s="348">
        <v>0</v>
      </c>
      <c r="N41" s="348">
        <v>0</v>
      </c>
      <c r="O41" s="349">
        <v>0</v>
      </c>
      <c r="P41" s="351">
        <v>0</v>
      </c>
    </row>
    <row r="42" spans="3:16" ht="18" customHeight="1">
      <c r="C42" s="61"/>
      <c r="D42" s="341" t="s">
        <v>261</v>
      </c>
      <c r="E42" s="353"/>
      <c r="F42" s="273">
        <v>1404</v>
      </c>
      <c r="G42" s="273">
        <v>0</v>
      </c>
      <c r="H42" s="275">
        <v>1404</v>
      </c>
      <c r="I42" s="276"/>
      <c r="J42" s="325">
        <v>341827</v>
      </c>
      <c r="K42" s="273">
        <v>1322568</v>
      </c>
      <c r="L42" s="273">
        <v>7045165</v>
      </c>
      <c r="M42" s="273">
        <v>8047561</v>
      </c>
      <c r="N42" s="273">
        <v>5238681</v>
      </c>
      <c r="O42" s="275">
        <v>21995802</v>
      </c>
      <c r="P42" s="277">
        <v>21997206</v>
      </c>
    </row>
    <row r="43" spans="3:16" ht="18" customHeight="1">
      <c r="C43" s="61"/>
      <c r="D43" s="345"/>
      <c r="E43" s="285" t="s">
        <v>113</v>
      </c>
      <c r="F43" s="310">
        <v>0</v>
      </c>
      <c r="G43" s="310">
        <v>0</v>
      </c>
      <c r="H43" s="311">
        <v>0</v>
      </c>
      <c r="I43" s="288"/>
      <c r="J43" s="346">
        <v>177025</v>
      </c>
      <c r="K43" s="309">
        <v>583817</v>
      </c>
      <c r="L43" s="309">
        <v>4282139</v>
      </c>
      <c r="M43" s="309">
        <v>5099058</v>
      </c>
      <c r="N43" s="309">
        <v>3864611</v>
      </c>
      <c r="O43" s="311">
        <v>14006650</v>
      </c>
      <c r="P43" s="313">
        <v>14006650</v>
      </c>
    </row>
    <row r="44" spans="3:16" ht="18" customHeight="1">
      <c r="C44" s="61"/>
      <c r="D44" s="347"/>
      <c r="E44" s="285" t="s">
        <v>114</v>
      </c>
      <c r="F44" s="310">
        <v>0</v>
      </c>
      <c r="G44" s="310">
        <v>0</v>
      </c>
      <c r="H44" s="311">
        <v>0</v>
      </c>
      <c r="I44" s="288"/>
      <c r="J44" s="346">
        <v>148802</v>
      </c>
      <c r="K44" s="309">
        <v>406369</v>
      </c>
      <c r="L44" s="309">
        <v>104356</v>
      </c>
      <c r="M44" s="309">
        <v>305320</v>
      </c>
      <c r="N44" s="309">
        <v>25560</v>
      </c>
      <c r="O44" s="311">
        <v>990407</v>
      </c>
      <c r="P44" s="313">
        <v>990407</v>
      </c>
    </row>
    <row r="45" spans="3:16" ht="18" customHeight="1">
      <c r="C45" s="61"/>
      <c r="D45" s="345"/>
      <c r="E45" s="285" t="s">
        <v>181</v>
      </c>
      <c r="F45" s="310">
        <v>0</v>
      </c>
      <c r="G45" s="310">
        <v>0</v>
      </c>
      <c r="H45" s="311">
        <v>0</v>
      </c>
      <c r="I45" s="288"/>
      <c r="J45" s="346">
        <v>0</v>
      </c>
      <c r="K45" s="309">
        <v>0</v>
      </c>
      <c r="L45" s="309">
        <v>0</v>
      </c>
      <c r="M45" s="309">
        <v>0</v>
      </c>
      <c r="N45" s="309">
        <v>0</v>
      </c>
      <c r="O45" s="311">
        <v>0</v>
      </c>
      <c r="P45" s="313">
        <v>0</v>
      </c>
    </row>
    <row r="46" spans="3:16" ht="18" customHeight="1">
      <c r="C46" s="61"/>
      <c r="D46" s="345"/>
      <c r="E46" s="285" t="s">
        <v>116</v>
      </c>
      <c r="F46" s="310">
        <v>0</v>
      </c>
      <c r="G46" s="310">
        <v>0</v>
      </c>
      <c r="H46" s="311">
        <v>0</v>
      </c>
      <c r="I46" s="288"/>
      <c r="J46" s="346">
        <v>0</v>
      </c>
      <c r="K46" s="309">
        <v>0</v>
      </c>
      <c r="L46" s="309">
        <v>0</v>
      </c>
      <c r="M46" s="309">
        <v>0</v>
      </c>
      <c r="N46" s="309">
        <v>0</v>
      </c>
      <c r="O46" s="311">
        <v>0</v>
      </c>
      <c r="P46" s="313">
        <v>0</v>
      </c>
    </row>
    <row r="47" spans="3:16" ht="18" customHeight="1">
      <c r="C47" s="61"/>
      <c r="D47" s="345"/>
      <c r="E47" s="285" t="s">
        <v>221</v>
      </c>
      <c r="F47" s="310">
        <v>0</v>
      </c>
      <c r="G47" s="310">
        <v>0</v>
      </c>
      <c r="H47" s="311">
        <v>0</v>
      </c>
      <c r="I47" s="288"/>
      <c r="J47" s="346">
        <v>0</v>
      </c>
      <c r="K47" s="309">
        <v>304848</v>
      </c>
      <c r="L47" s="309">
        <v>2604072</v>
      </c>
      <c r="M47" s="309">
        <v>2458942</v>
      </c>
      <c r="N47" s="309">
        <v>1295094</v>
      </c>
      <c r="O47" s="311">
        <v>6662956</v>
      </c>
      <c r="P47" s="313">
        <v>6662956</v>
      </c>
    </row>
    <row r="48" spans="3:16" ht="18" customHeight="1">
      <c r="C48" s="61"/>
      <c r="D48" s="345"/>
      <c r="E48" s="285" t="s">
        <v>192</v>
      </c>
      <c r="F48" s="309">
        <v>1404</v>
      </c>
      <c r="G48" s="309">
        <v>0</v>
      </c>
      <c r="H48" s="311">
        <v>1404</v>
      </c>
      <c r="I48" s="288"/>
      <c r="J48" s="346">
        <v>11136</v>
      </c>
      <c r="K48" s="309">
        <v>27534</v>
      </c>
      <c r="L48" s="309">
        <v>50808</v>
      </c>
      <c r="M48" s="309">
        <v>184241</v>
      </c>
      <c r="N48" s="309">
        <v>34800</v>
      </c>
      <c r="O48" s="311">
        <v>308519</v>
      </c>
      <c r="P48" s="313">
        <v>309923</v>
      </c>
    </row>
    <row r="49" spans="3:16" ht="18" customHeight="1">
      <c r="C49" s="61"/>
      <c r="D49" s="347"/>
      <c r="E49" s="285" t="s">
        <v>193</v>
      </c>
      <c r="F49" s="309">
        <v>0</v>
      </c>
      <c r="G49" s="309">
        <v>0</v>
      </c>
      <c r="H49" s="311">
        <v>0</v>
      </c>
      <c r="I49" s="288"/>
      <c r="J49" s="346">
        <v>4864</v>
      </c>
      <c r="K49" s="309">
        <v>0</v>
      </c>
      <c r="L49" s="309">
        <v>3790</v>
      </c>
      <c r="M49" s="309">
        <v>0</v>
      </c>
      <c r="N49" s="309">
        <v>18616</v>
      </c>
      <c r="O49" s="311">
        <v>27270</v>
      </c>
      <c r="P49" s="313">
        <v>27270</v>
      </c>
    </row>
    <row r="50" spans="3:16" ht="18" customHeight="1">
      <c r="C50" s="61"/>
      <c r="D50" s="345"/>
      <c r="E50" s="352" t="s">
        <v>194</v>
      </c>
      <c r="F50" s="348">
        <v>0</v>
      </c>
      <c r="G50" s="348">
        <v>0</v>
      </c>
      <c r="H50" s="349">
        <v>0</v>
      </c>
      <c r="I50" s="288"/>
      <c r="J50" s="350">
        <v>0</v>
      </c>
      <c r="K50" s="348">
        <v>0</v>
      </c>
      <c r="L50" s="348">
        <v>0</v>
      </c>
      <c r="M50" s="348">
        <v>0</v>
      </c>
      <c r="N50" s="348">
        <v>0</v>
      </c>
      <c r="O50" s="349">
        <v>0</v>
      </c>
      <c r="P50" s="351">
        <v>0</v>
      </c>
    </row>
    <row r="51" spans="3:16" ht="18" customHeight="1">
      <c r="C51" s="61"/>
      <c r="D51" s="354"/>
      <c r="E51" s="355" t="s">
        <v>195</v>
      </c>
      <c r="F51" s="302">
        <v>0</v>
      </c>
      <c r="G51" s="302">
        <v>0</v>
      </c>
      <c r="H51" s="304">
        <v>0</v>
      </c>
      <c r="I51" s="288"/>
      <c r="J51" s="330">
        <v>0</v>
      </c>
      <c r="K51" s="302">
        <v>0</v>
      </c>
      <c r="L51" s="302">
        <v>0</v>
      </c>
      <c r="M51" s="302">
        <v>0</v>
      </c>
      <c r="N51" s="302">
        <v>0</v>
      </c>
      <c r="O51" s="304">
        <v>0</v>
      </c>
      <c r="P51" s="305">
        <v>0</v>
      </c>
    </row>
    <row r="52" spans="3:16" ht="18" customHeight="1">
      <c r="C52" s="752" t="s">
        <v>244</v>
      </c>
      <c r="D52" s="753"/>
      <c r="E52" s="754"/>
      <c r="F52" s="331">
        <v>3184</v>
      </c>
      <c r="G52" s="320">
        <v>0</v>
      </c>
      <c r="H52" s="321">
        <v>3184</v>
      </c>
      <c r="I52" s="224"/>
      <c r="J52" s="332">
        <v>1187470</v>
      </c>
      <c r="K52" s="320">
        <v>4234466</v>
      </c>
      <c r="L52" s="320">
        <v>16246560</v>
      </c>
      <c r="M52" s="320">
        <v>17147789</v>
      </c>
      <c r="N52" s="320">
        <v>12016756</v>
      </c>
      <c r="O52" s="321">
        <v>50833041</v>
      </c>
      <c r="P52" s="322">
        <v>50836225</v>
      </c>
    </row>
  </sheetData>
  <sheetProtection selectLockedCells="1" selectUnlockedCells="1"/>
  <mergeCells count="7">
    <mergeCell ref="C52:E52"/>
    <mergeCell ref="A3:Q3"/>
    <mergeCell ref="C8:E9"/>
    <mergeCell ref="F8:H8"/>
    <mergeCell ref="I8:O8"/>
    <mergeCell ref="P8:P9"/>
    <mergeCell ref="A4:Q4"/>
  </mergeCells>
  <phoneticPr fontId="34"/>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53"/>
  <sheetViews>
    <sheetView showGridLines="0"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263</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258</v>
      </c>
      <c r="N6" s="1"/>
      <c r="O6" s="93" t="s">
        <v>5</v>
      </c>
      <c r="P6" s="94" t="s">
        <v>6</v>
      </c>
      <c r="Q6" s="3" t="s">
        <v>7</v>
      </c>
    </row>
    <row r="7" spans="1:17" ht="18" customHeight="1">
      <c r="C7" s="121" t="s">
        <v>264</v>
      </c>
    </row>
    <row r="8" spans="1:17" ht="18" customHeight="1">
      <c r="C8" s="761" t="s">
        <v>232</v>
      </c>
      <c r="D8" s="762"/>
      <c r="E8" s="763"/>
      <c r="F8" s="760" t="s">
        <v>177</v>
      </c>
      <c r="G8" s="758"/>
      <c r="H8" s="759"/>
      <c r="I8" s="757" t="s">
        <v>178</v>
      </c>
      <c r="J8" s="758"/>
      <c r="K8" s="758"/>
      <c r="L8" s="758"/>
      <c r="M8" s="758"/>
      <c r="N8" s="758"/>
      <c r="O8" s="759"/>
      <c r="P8" s="755" t="s">
        <v>109</v>
      </c>
    </row>
    <row r="9" spans="1:17" ht="18" customHeight="1">
      <c r="C9" s="764"/>
      <c r="D9" s="765"/>
      <c r="E9" s="766"/>
      <c r="F9" s="267" t="s">
        <v>152</v>
      </c>
      <c r="G9" s="268" t="s">
        <v>153</v>
      </c>
      <c r="H9" s="269" t="s">
        <v>14</v>
      </c>
      <c r="I9" s="270" t="s">
        <v>154</v>
      </c>
      <c r="J9" s="268" t="s">
        <v>155</v>
      </c>
      <c r="K9" s="267" t="s">
        <v>156</v>
      </c>
      <c r="L9" s="267" t="s">
        <v>157</v>
      </c>
      <c r="M9" s="267" t="s">
        <v>158</v>
      </c>
      <c r="N9" s="268" t="s">
        <v>159</v>
      </c>
      <c r="O9" s="338" t="s">
        <v>14</v>
      </c>
      <c r="P9" s="756"/>
    </row>
    <row r="10" spans="1:17" ht="18" customHeight="1">
      <c r="C10" s="271" t="s">
        <v>260</v>
      </c>
      <c r="D10" s="339"/>
      <c r="E10" s="340"/>
      <c r="F10" s="62"/>
      <c r="G10" s="62"/>
      <c r="H10" s="62"/>
      <c r="I10" s="62"/>
      <c r="J10" s="62"/>
      <c r="K10" s="62"/>
      <c r="L10" s="62"/>
      <c r="M10" s="62"/>
      <c r="N10" s="62"/>
      <c r="O10" s="62"/>
      <c r="P10" s="63"/>
    </row>
    <row r="11" spans="1:17" ht="18" customHeight="1">
      <c r="C11" s="61"/>
      <c r="D11" s="341" t="s">
        <v>119</v>
      </c>
      <c r="E11" s="342"/>
      <c r="F11" s="343">
        <v>0</v>
      </c>
      <c r="G11" s="312">
        <v>0</v>
      </c>
      <c r="H11" s="275">
        <v>0</v>
      </c>
      <c r="I11" s="276"/>
      <c r="J11" s="344">
        <v>0</v>
      </c>
      <c r="K11" s="312">
        <v>0</v>
      </c>
      <c r="L11" s="312">
        <v>0</v>
      </c>
      <c r="M11" s="312">
        <v>0</v>
      </c>
      <c r="N11" s="312">
        <v>20</v>
      </c>
      <c r="O11" s="275">
        <v>20</v>
      </c>
      <c r="P11" s="277">
        <v>20</v>
      </c>
    </row>
    <row r="12" spans="1:17" ht="18" customHeight="1">
      <c r="C12" s="61"/>
      <c r="D12" s="345"/>
      <c r="E12" s="285" t="s">
        <v>113</v>
      </c>
      <c r="F12" s="310">
        <v>0</v>
      </c>
      <c r="G12" s="310">
        <v>0</v>
      </c>
      <c r="H12" s="311">
        <v>0</v>
      </c>
      <c r="I12" s="288"/>
      <c r="J12" s="346">
        <v>0</v>
      </c>
      <c r="K12" s="309">
        <v>0</v>
      </c>
      <c r="L12" s="309">
        <v>0</v>
      </c>
      <c r="M12" s="309">
        <v>0</v>
      </c>
      <c r="N12" s="309">
        <v>0</v>
      </c>
      <c r="O12" s="311">
        <v>0</v>
      </c>
      <c r="P12" s="313">
        <v>0</v>
      </c>
    </row>
    <row r="13" spans="1:17" ht="18" customHeight="1">
      <c r="C13" s="61"/>
      <c r="D13" s="347"/>
      <c r="E13" s="285" t="s">
        <v>114</v>
      </c>
      <c r="F13" s="310">
        <v>0</v>
      </c>
      <c r="G13" s="310">
        <v>0</v>
      </c>
      <c r="H13" s="311">
        <v>0</v>
      </c>
      <c r="I13" s="288"/>
      <c r="J13" s="346">
        <v>0</v>
      </c>
      <c r="K13" s="309">
        <v>0</v>
      </c>
      <c r="L13" s="309">
        <v>0</v>
      </c>
      <c r="M13" s="309">
        <v>0</v>
      </c>
      <c r="N13" s="309">
        <v>0</v>
      </c>
      <c r="O13" s="311">
        <v>0</v>
      </c>
      <c r="P13" s="313">
        <v>0</v>
      </c>
    </row>
    <row r="14" spans="1:17" ht="18" customHeight="1">
      <c r="C14" s="61"/>
      <c r="D14" s="345"/>
      <c r="E14" s="285" t="s">
        <v>181</v>
      </c>
      <c r="F14" s="310">
        <v>0</v>
      </c>
      <c r="G14" s="310">
        <v>0</v>
      </c>
      <c r="H14" s="311">
        <v>0</v>
      </c>
      <c r="I14" s="288"/>
      <c r="J14" s="346">
        <v>0</v>
      </c>
      <c r="K14" s="309">
        <v>0</v>
      </c>
      <c r="L14" s="309">
        <v>0</v>
      </c>
      <c r="M14" s="309">
        <v>0</v>
      </c>
      <c r="N14" s="309">
        <v>0</v>
      </c>
      <c r="O14" s="311">
        <v>0</v>
      </c>
      <c r="P14" s="313">
        <v>0</v>
      </c>
    </row>
    <row r="15" spans="1:17" ht="18" customHeight="1">
      <c r="C15" s="61"/>
      <c r="D15" s="345"/>
      <c r="E15" s="285" t="s">
        <v>116</v>
      </c>
      <c r="F15" s="310">
        <v>0</v>
      </c>
      <c r="G15" s="310">
        <v>0</v>
      </c>
      <c r="H15" s="311">
        <v>0</v>
      </c>
      <c r="I15" s="288"/>
      <c r="J15" s="346">
        <v>0</v>
      </c>
      <c r="K15" s="309">
        <v>0</v>
      </c>
      <c r="L15" s="309">
        <v>0</v>
      </c>
      <c r="M15" s="309">
        <v>0</v>
      </c>
      <c r="N15" s="309">
        <v>0</v>
      </c>
      <c r="O15" s="311">
        <v>0</v>
      </c>
      <c r="P15" s="313">
        <v>0</v>
      </c>
    </row>
    <row r="16" spans="1:17" ht="18" customHeight="1">
      <c r="C16" s="61"/>
      <c r="D16" s="345"/>
      <c r="E16" s="285" t="s">
        <v>221</v>
      </c>
      <c r="F16" s="310">
        <v>0</v>
      </c>
      <c r="G16" s="310">
        <v>0</v>
      </c>
      <c r="H16" s="311">
        <v>0</v>
      </c>
      <c r="I16" s="288"/>
      <c r="J16" s="346">
        <v>0</v>
      </c>
      <c r="K16" s="309">
        <v>0</v>
      </c>
      <c r="L16" s="309">
        <v>0</v>
      </c>
      <c r="M16" s="309">
        <v>0</v>
      </c>
      <c r="N16" s="309">
        <v>0</v>
      </c>
      <c r="O16" s="311">
        <v>0</v>
      </c>
      <c r="P16" s="313">
        <v>0</v>
      </c>
    </row>
    <row r="17" spans="3:16" ht="18" customHeight="1">
      <c r="C17" s="61"/>
      <c r="D17" s="345"/>
      <c r="E17" s="285" t="s">
        <v>192</v>
      </c>
      <c r="F17" s="309">
        <v>0</v>
      </c>
      <c r="G17" s="309">
        <v>0</v>
      </c>
      <c r="H17" s="311">
        <v>0</v>
      </c>
      <c r="I17" s="288"/>
      <c r="J17" s="346">
        <v>0</v>
      </c>
      <c r="K17" s="309">
        <v>0</v>
      </c>
      <c r="L17" s="309">
        <v>0</v>
      </c>
      <c r="M17" s="309">
        <v>0</v>
      </c>
      <c r="N17" s="309">
        <v>9</v>
      </c>
      <c r="O17" s="311">
        <v>9</v>
      </c>
      <c r="P17" s="313">
        <v>9</v>
      </c>
    </row>
    <row r="18" spans="3:16" ht="18" customHeight="1">
      <c r="C18" s="61"/>
      <c r="D18" s="345"/>
      <c r="E18" s="285" t="s">
        <v>193</v>
      </c>
      <c r="F18" s="348">
        <v>0</v>
      </c>
      <c r="G18" s="348">
        <v>0</v>
      </c>
      <c r="H18" s="349">
        <v>0</v>
      </c>
      <c r="I18" s="288"/>
      <c r="J18" s="350">
        <v>0</v>
      </c>
      <c r="K18" s="348">
        <v>0</v>
      </c>
      <c r="L18" s="348">
        <v>0</v>
      </c>
      <c r="M18" s="348">
        <v>0</v>
      </c>
      <c r="N18" s="348">
        <v>11</v>
      </c>
      <c r="O18" s="349">
        <v>11</v>
      </c>
      <c r="P18" s="351">
        <v>11</v>
      </c>
    </row>
    <row r="19" spans="3:16" ht="18" customHeight="1">
      <c r="C19" s="61"/>
      <c r="D19" s="345"/>
      <c r="E19" s="352" t="s">
        <v>194</v>
      </c>
      <c r="F19" s="348">
        <v>0</v>
      </c>
      <c r="G19" s="348">
        <v>0</v>
      </c>
      <c r="H19" s="349">
        <v>0</v>
      </c>
      <c r="I19" s="288"/>
      <c r="J19" s="350">
        <v>0</v>
      </c>
      <c r="K19" s="348">
        <v>0</v>
      </c>
      <c r="L19" s="348">
        <v>0</v>
      </c>
      <c r="M19" s="348">
        <v>0</v>
      </c>
      <c r="N19" s="348">
        <v>0</v>
      </c>
      <c r="O19" s="349">
        <v>0</v>
      </c>
      <c r="P19" s="351">
        <v>0</v>
      </c>
    </row>
    <row r="20" spans="3:16" ht="18" customHeight="1">
      <c r="C20" s="61"/>
      <c r="D20" s="354"/>
      <c r="E20" s="355" t="s">
        <v>195</v>
      </c>
      <c r="F20" s="348">
        <v>0</v>
      </c>
      <c r="G20" s="348">
        <v>0</v>
      </c>
      <c r="H20" s="349">
        <v>0</v>
      </c>
      <c r="I20" s="288"/>
      <c r="J20" s="350">
        <v>0</v>
      </c>
      <c r="K20" s="348">
        <v>0</v>
      </c>
      <c r="L20" s="348">
        <v>0</v>
      </c>
      <c r="M20" s="348">
        <v>0</v>
      </c>
      <c r="N20" s="348">
        <v>0</v>
      </c>
      <c r="O20" s="349">
        <v>0</v>
      </c>
      <c r="P20" s="351">
        <v>0</v>
      </c>
    </row>
    <row r="21" spans="3:16" ht="18" customHeight="1">
      <c r="C21" s="61"/>
      <c r="D21" s="362" t="s">
        <v>261</v>
      </c>
      <c r="E21" s="353"/>
      <c r="F21" s="273">
        <v>0</v>
      </c>
      <c r="G21" s="273">
        <v>0</v>
      </c>
      <c r="H21" s="275">
        <v>0</v>
      </c>
      <c r="I21" s="276"/>
      <c r="J21" s="325">
        <v>0</v>
      </c>
      <c r="K21" s="273">
        <v>0</v>
      </c>
      <c r="L21" s="273">
        <v>0</v>
      </c>
      <c r="M21" s="273">
        <v>0</v>
      </c>
      <c r="N21" s="273">
        <v>20</v>
      </c>
      <c r="O21" s="275">
        <v>20</v>
      </c>
      <c r="P21" s="277">
        <v>20</v>
      </c>
    </row>
    <row r="22" spans="3:16" ht="18" customHeight="1">
      <c r="C22" s="61"/>
      <c r="D22" s="345"/>
      <c r="E22" s="285" t="s">
        <v>113</v>
      </c>
      <c r="F22" s="310">
        <v>0</v>
      </c>
      <c r="G22" s="310">
        <v>0</v>
      </c>
      <c r="H22" s="311">
        <v>0</v>
      </c>
      <c r="I22" s="288"/>
      <c r="J22" s="346">
        <v>0</v>
      </c>
      <c r="K22" s="309">
        <v>0</v>
      </c>
      <c r="L22" s="309">
        <v>0</v>
      </c>
      <c r="M22" s="309">
        <v>0</v>
      </c>
      <c r="N22" s="309">
        <v>0</v>
      </c>
      <c r="O22" s="311">
        <v>0</v>
      </c>
      <c r="P22" s="313">
        <v>0</v>
      </c>
    </row>
    <row r="23" spans="3:16" ht="18" customHeight="1">
      <c r="C23" s="61"/>
      <c r="D23" s="347"/>
      <c r="E23" s="285" t="s">
        <v>114</v>
      </c>
      <c r="F23" s="310">
        <v>0</v>
      </c>
      <c r="G23" s="310">
        <v>0</v>
      </c>
      <c r="H23" s="311">
        <v>0</v>
      </c>
      <c r="I23" s="288"/>
      <c r="J23" s="346">
        <v>0</v>
      </c>
      <c r="K23" s="309">
        <v>0</v>
      </c>
      <c r="L23" s="309">
        <v>0</v>
      </c>
      <c r="M23" s="309">
        <v>0</v>
      </c>
      <c r="N23" s="309">
        <v>0</v>
      </c>
      <c r="O23" s="311">
        <v>0</v>
      </c>
      <c r="P23" s="313">
        <v>0</v>
      </c>
    </row>
    <row r="24" spans="3:16" ht="18" customHeight="1">
      <c r="C24" s="61"/>
      <c r="D24" s="345"/>
      <c r="E24" s="285" t="s">
        <v>181</v>
      </c>
      <c r="F24" s="310">
        <v>0</v>
      </c>
      <c r="G24" s="310">
        <v>0</v>
      </c>
      <c r="H24" s="311">
        <v>0</v>
      </c>
      <c r="I24" s="288"/>
      <c r="J24" s="346">
        <v>0</v>
      </c>
      <c r="K24" s="309">
        <v>0</v>
      </c>
      <c r="L24" s="309">
        <v>0</v>
      </c>
      <c r="M24" s="309">
        <v>0</v>
      </c>
      <c r="N24" s="309">
        <v>0</v>
      </c>
      <c r="O24" s="311">
        <v>0</v>
      </c>
      <c r="P24" s="313">
        <v>0</v>
      </c>
    </row>
    <row r="25" spans="3:16" ht="18" customHeight="1">
      <c r="C25" s="61"/>
      <c r="D25" s="345"/>
      <c r="E25" s="285" t="s">
        <v>116</v>
      </c>
      <c r="F25" s="310">
        <v>0</v>
      </c>
      <c r="G25" s="310">
        <v>0</v>
      </c>
      <c r="H25" s="311">
        <v>0</v>
      </c>
      <c r="I25" s="288"/>
      <c r="J25" s="346">
        <v>0</v>
      </c>
      <c r="K25" s="309">
        <v>0</v>
      </c>
      <c r="L25" s="309">
        <v>0</v>
      </c>
      <c r="M25" s="309">
        <v>0</v>
      </c>
      <c r="N25" s="309">
        <v>0</v>
      </c>
      <c r="O25" s="311">
        <v>0</v>
      </c>
      <c r="P25" s="313">
        <v>0</v>
      </c>
    </row>
    <row r="26" spans="3:16" ht="18" customHeight="1">
      <c r="C26" s="61"/>
      <c r="D26" s="345"/>
      <c r="E26" s="285" t="s">
        <v>221</v>
      </c>
      <c r="F26" s="310">
        <v>0</v>
      </c>
      <c r="G26" s="310">
        <v>0</v>
      </c>
      <c r="H26" s="311">
        <v>0</v>
      </c>
      <c r="I26" s="288"/>
      <c r="J26" s="346">
        <v>0</v>
      </c>
      <c r="K26" s="309">
        <v>0</v>
      </c>
      <c r="L26" s="309">
        <v>0</v>
      </c>
      <c r="M26" s="309">
        <v>0</v>
      </c>
      <c r="N26" s="309">
        <v>0</v>
      </c>
      <c r="O26" s="311">
        <v>0</v>
      </c>
      <c r="P26" s="313">
        <v>0</v>
      </c>
    </row>
    <row r="27" spans="3:16" ht="18" customHeight="1">
      <c r="C27" s="61"/>
      <c r="D27" s="345"/>
      <c r="E27" s="285" t="s">
        <v>192</v>
      </c>
      <c r="F27" s="309">
        <v>0</v>
      </c>
      <c r="G27" s="309">
        <v>0</v>
      </c>
      <c r="H27" s="311">
        <v>0</v>
      </c>
      <c r="I27" s="288"/>
      <c r="J27" s="346">
        <v>0</v>
      </c>
      <c r="K27" s="309">
        <v>0</v>
      </c>
      <c r="L27" s="309">
        <v>0</v>
      </c>
      <c r="M27" s="309">
        <v>0</v>
      </c>
      <c r="N27" s="309">
        <v>9</v>
      </c>
      <c r="O27" s="311">
        <v>9</v>
      </c>
      <c r="P27" s="313">
        <v>9</v>
      </c>
    </row>
    <row r="28" spans="3:16" ht="18" customHeight="1">
      <c r="C28" s="61"/>
      <c r="D28" s="345"/>
      <c r="E28" s="285" t="s">
        <v>193</v>
      </c>
      <c r="F28" s="348">
        <v>0</v>
      </c>
      <c r="G28" s="348">
        <v>0</v>
      </c>
      <c r="H28" s="349">
        <v>0</v>
      </c>
      <c r="I28" s="288"/>
      <c r="J28" s="350">
        <v>0</v>
      </c>
      <c r="K28" s="348">
        <v>0</v>
      </c>
      <c r="L28" s="348">
        <v>0</v>
      </c>
      <c r="M28" s="348">
        <v>0</v>
      </c>
      <c r="N28" s="348">
        <v>11</v>
      </c>
      <c r="O28" s="349">
        <v>11</v>
      </c>
      <c r="P28" s="351">
        <v>11</v>
      </c>
    </row>
    <row r="29" spans="3:16" ht="18" customHeight="1">
      <c r="C29" s="61"/>
      <c r="D29" s="345"/>
      <c r="E29" s="352" t="s">
        <v>194</v>
      </c>
      <c r="F29" s="348">
        <v>0</v>
      </c>
      <c r="G29" s="348">
        <v>0</v>
      </c>
      <c r="H29" s="349">
        <v>0</v>
      </c>
      <c r="I29" s="288"/>
      <c r="J29" s="350">
        <v>0</v>
      </c>
      <c r="K29" s="348">
        <v>0</v>
      </c>
      <c r="L29" s="348">
        <v>0</v>
      </c>
      <c r="M29" s="348">
        <v>0</v>
      </c>
      <c r="N29" s="348">
        <v>0</v>
      </c>
      <c r="O29" s="349">
        <v>0</v>
      </c>
      <c r="P29" s="351">
        <v>0</v>
      </c>
    </row>
    <row r="30" spans="3:16" ht="18" customHeight="1">
      <c r="C30" s="61"/>
      <c r="D30" s="354"/>
      <c r="E30" s="355" t="s">
        <v>195</v>
      </c>
      <c r="F30" s="302">
        <v>0</v>
      </c>
      <c r="G30" s="302">
        <v>0</v>
      </c>
      <c r="H30" s="304">
        <v>0</v>
      </c>
      <c r="I30" s="356"/>
      <c r="J30" s="330">
        <v>0</v>
      </c>
      <c r="K30" s="302">
        <v>0</v>
      </c>
      <c r="L30" s="302">
        <v>0</v>
      </c>
      <c r="M30" s="302">
        <v>0</v>
      </c>
      <c r="N30" s="302">
        <v>0</v>
      </c>
      <c r="O30" s="304">
        <v>0</v>
      </c>
      <c r="P30" s="305">
        <v>0</v>
      </c>
    </row>
    <row r="31" spans="3:16" ht="18" customHeight="1">
      <c r="C31" s="357" t="s">
        <v>262</v>
      </c>
      <c r="D31" s="358"/>
      <c r="E31" s="359"/>
      <c r="F31" s="360"/>
      <c r="G31" s="360"/>
      <c r="H31" s="360"/>
      <c r="I31" s="360"/>
      <c r="J31" s="360"/>
      <c r="K31" s="360"/>
      <c r="L31" s="360"/>
      <c r="M31" s="360"/>
      <c r="N31" s="360"/>
      <c r="O31" s="360"/>
      <c r="P31" s="361"/>
    </row>
    <row r="32" spans="3:16" ht="18" customHeight="1">
      <c r="C32" s="61"/>
      <c r="D32" s="341" t="s">
        <v>119</v>
      </c>
      <c r="E32" s="342"/>
      <c r="F32" s="343">
        <v>0</v>
      </c>
      <c r="G32" s="312">
        <v>0</v>
      </c>
      <c r="H32" s="275">
        <v>0</v>
      </c>
      <c r="I32" s="276"/>
      <c r="J32" s="344">
        <v>0</v>
      </c>
      <c r="K32" s="312">
        <v>0</v>
      </c>
      <c r="L32" s="312">
        <v>0</v>
      </c>
      <c r="M32" s="312">
        <v>0</v>
      </c>
      <c r="N32" s="312">
        <v>6240</v>
      </c>
      <c r="O32" s="275">
        <v>6240</v>
      </c>
      <c r="P32" s="277">
        <v>6240</v>
      </c>
    </row>
    <row r="33" spans="3:16" ht="18" customHeight="1">
      <c r="C33" s="61"/>
      <c r="D33" s="345"/>
      <c r="E33" s="285" t="s">
        <v>113</v>
      </c>
      <c r="F33" s="310">
        <v>0</v>
      </c>
      <c r="G33" s="310">
        <v>0</v>
      </c>
      <c r="H33" s="311">
        <v>0</v>
      </c>
      <c r="I33" s="288"/>
      <c r="J33" s="346">
        <v>0</v>
      </c>
      <c r="K33" s="309">
        <v>0</v>
      </c>
      <c r="L33" s="309">
        <v>0</v>
      </c>
      <c r="M33" s="309">
        <v>0</v>
      </c>
      <c r="N33" s="309">
        <v>0</v>
      </c>
      <c r="O33" s="311">
        <v>0</v>
      </c>
      <c r="P33" s="313">
        <v>0</v>
      </c>
    </row>
    <row r="34" spans="3:16" ht="18" customHeight="1">
      <c r="C34" s="61"/>
      <c r="D34" s="347"/>
      <c r="E34" s="285" t="s">
        <v>114</v>
      </c>
      <c r="F34" s="310">
        <v>0</v>
      </c>
      <c r="G34" s="310">
        <v>0</v>
      </c>
      <c r="H34" s="311">
        <v>0</v>
      </c>
      <c r="I34" s="288"/>
      <c r="J34" s="346">
        <v>0</v>
      </c>
      <c r="K34" s="309">
        <v>0</v>
      </c>
      <c r="L34" s="309">
        <v>0</v>
      </c>
      <c r="M34" s="309">
        <v>0</v>
      </c>
      <c r="N34" s="309">
        <v>0</v>
      </c>
      <c r="O34" s="311">
        <v>0</v>
      </c>
      <c r="P34" s="313">
        <v>0</v>
      </c>
    </row>
    <row r="35" spans="3:16" ht="18" customHeight="1">
      <c r="C35" s="61"/>
      <c r="D35" s="345"/>
      <c r="E35" s="285" t="s">
        <v>181</v>
      </c>
      <c r="F35" s="310">
        <v>0</v>
      </c>
      <c r="G35" s="310">
        <v>0</v>
      </c>
      <c r="H35" s="311">
        <v>0</v>
      </c>
      <c r="I35" s="288"/>
      <c r="J35" s="346">
        <v>0</v>
      </c>
      <c r="K35" s="309">
        <v>0</v>
      </c>
      <c r="L35" s="309">
        <v>0</v>
      </c>
      <c r="M35" s="309">
        <v>0</v>
      </c>
      <c r="N35" s="309">
        <v>0</v>
      </c>
      <c r="O35" s="311">
        <v>0</v>
      </c>
      <c r="P35" s="313">
        <v>0</v>
      </c>
    </row>
    <row r="36" spans="3:16" ht="18" customHeight="1">
      <c r="C36" s="61"/>
      <c r="D36" s="345"/>
      <c r="E36" s="285" t="s">
        <v>116</v>
      </c>
      <c r="F36" s="310">
        <v>0</v>
      </c>
      <c r="G36" s="310">
        <v>0</v>
      </c>
      <c r="H36" s="311">
        <v>0</v>
      </c>
      <c r="I36" s="288"/>
      <c r="J36" s="346">
        <v>0</v>
      </c>
      <c r="K36" s="309">
        <v>0</v>
      </c>
      <c r="L36" s="309">
        <v>0</v>
      </c>
      <c r="M36" s="309">
        <v>0</v>
      </c>
      <c r="N36" s="309">
        <v>0</v>
      </c>
      <c r="O36" s="311">
        <v>0</v>
      </c>
      <c r="P36" s="313">
        <v>0</v>
      </c>
    </row>
    <row r="37" spans="3:16" ht="18" customHeight="1">
      <c r="C37" s="61"/>
      <c r="D37" s="345"/>
      <c r="E37" s="285" t="s">
        <v>221</v>
      </c>
      <c r="F37" s="310">
        <v>0</v>
      </c>
      <c r="G37" s="310">
        <v>0</v>
      </c>
      <c r="H37" s="311">
        <v>0</v>
      </c>
      <c r="I37" s="288"/>
      <c r="J37" s="346">
        <v>0</v>
      </c>
      <c r="K37" s="309">
        <v>0</v>
      </c>
      <c r="L37" s="309">
        <v>0</v>
      </c>
      <c r="M37" s="309">
        <v>0</v>
      </c>
      <c r="N37" s="309">
        <v>0</v>
      </c>
      <c r="O37" s="311">
        <v>0</v>
      </c>
      <c r="P37" s="313">
        <v>0</v>
      </c>
    </row>
    <row r="38" spans="3:16" ht="18" customHeight="1">
      <c r="C38" s="61"/>
      <c r="D38" s="345"/>
      <c r="E38" s="285" t="s">
        <v>192</v>
      </c>
      <c r="F38" s="309">
        <v>0</v>
      </c>
      <c r="G38" s="309">
        <v>0</v>
      </c>
      <c r="H38" s="311">
        <v>0</v>
      </c>
      <c r="I38" s="288"/>
      <c r="J38" s="346">
        <v>0</v>
      </c>
      <c r="K38" s="309">
        <v>0</v>
      </c>
      <c r="L38" s="309">
        <v>0</v>
      </c>
      <c r="M38" s="309">
        <v>0</v>
      </c>
      <c r="N38" s="309">
        <v>2900</v>
      </c>
      <c r="O38" s="311">
        <v>2900</v>
      </c>
      <c r="P38" s="313">
        <v>2900</v>
      </c>
    </row>
    <row r="39" spans="3:16" ht="18" customHeight="1">
      <c r="C39" s="61"/>
      <c r="D39" s="345"/>
      <c r="E39" s="285" t="s">
        <v>193</v>
      </c>
      <c r="F39" s="348">
        <v>0</v>
      </c>
      <c r="G39" s="348">
        <v>0</v>
      </c>
      <c r="H39" s="349">
        <v>0</v>
      </c>
      <c r="I39" s="288"/>
      <c r="J39" s="350">
        <v>0</v>
      </c>
      <c r="K39" s="348">
        <v>0</v>
      </c>
      <c r="L39" s="348">
        <v>0</v>
      </c>
      <c r="M39" s="348">
        <v>0</v>
      </c>
      <c r="N39" s="348">
        <v>3340</v>
      </c>
      <c r="O39" s="349">
        <v>3340</v>
      </c>
      <c r="P39" s="351">
        <v>3340</v>
      </c>
    </row>
    <row r="40" spans="3:16" ht="18" customHeight="1">
      <c r="C40" s="61"/>
      <c r="D40" s="345"/>
      <c r="E40" s="352" t="s">
        <v>194</v>
      </c>
      <c r="F40" s="348">
        <v>0</v>
      </c>
      <c r="G40" s="348">
        <v>0</v>
      </c>
      <c r="H40" s="349">
        <v>0</v>
      </c>
      <c r="I40" s="288"/>
      <c r="J40" s="350">
        <v>0</v>
      </c>
      <c r="K40" s="348">
        <v>0</v>
      </c>
      <c r="L40" s="348">
        <v>0</v>
      </c>
      <c r="M40" s="348">
        <v>0</v>
      </c>
      <c r="N40" s="348">
        <v>0</v>
      </c>
      <c r="O40" s="349">
        <v>0</v>
      </c>
      <c r="P40" s="351">
        <v>0</v>
      </c>
    </row>
    <row r="41" spans="3:16" ht="18" customHeight="1">
      <c r="C41" s="61"/>
      <c r="D41" s="345"/>
      <c r="E41" s="352" t="s">
        <v>195</v>
      </c>
      <c r="F41" s="348">
        <v>0</v>
      </c>
      <c r="G41" s="348">
        <v>0</v>
      </c>
      <c r="H41" s="349">
        <v>0</v>
      </c>
      <c r="I41" s="288"/>
      <c r="J41" s="350">
        <v>0</v>
      </c>
      <c r="K41" s="348">
        <v>0</v>
      </c>
      <c r="L41" s="348">
        <v>0</v>
      </c>
      <c r="M41" s="348">
        <v>0</v>
      </c>
      <c r="N41" s="348">
        <v>0</v>
      </c>
      <c r="O41" s="349">
        <v>0</v>
      </c>
      <c r="P41" s="351">
        <v>0</v>
      </c>
    </row>
    <row r="42" spans="3:16" ht="18" customHeight="1">
      <c r="C42" s="61"/>
      <c r="D42" s="341" t="s">
        <v>261</v>
      </c>
      <c r="E42" s="353"/>
      <c r="F42" s="273">
        <v>0</v>
      </c>
      <c r="G42" s="273">
        <v>0</v>
      </c>
      <c r="H42" s="275">
        <v>0</v>
      </c>
      <c r="I42" s="276"/>
      <c r="J42" s="325">
        <v>0</v>
      </c>
      <c r="K42" s="273">
        <v>0</v>
      </c>
      <c r="L42" s="273">
        <v>0</v>
      </c>
      <c r="M42" s="273">
        <v>0</v>
      </c>
      <c r="N42" s="273">
        <v>42916</v>
      </c>
      <c r="O42" s="275">
        <v>42916</v>
      </c>
      <c r="P42" s="277">
        <v>42916</v>
      </c>
    </row>
    <row r="43" spans="3:16" ht="18" customHeight="1">
      <c r="C43" s="61"/>
      <c r="D43" s="345"/>
      <c r="E43" s="285" t="s">
        <v>113</v>
      </c>
      <c r="F43" s="310">
        <v>0</v>
      </c>
      <c r="G43" s="310">
        <v>0</v>
      </c>
      <c r="H43" s="311">
        <v>0</v>
      </c>
      <c r="I43" s="288"/>
      <c r="J43" s="346">
        <v>0</v>
      </c>
      <c r="K43" s="309">
        <v>0</v>
      </c>
      <c r="L43" s="309">
        <v>0</v>
      </c>
      <c r="M43" s="309">
        <v>0</v>
      </c>
      <c r="N43" s="309">
        <v>0</v>
      </c>
      <c r="O43" s="311">
        <v>0</v>
      </c>
      <c r="P43" s="313">
        <v>0</v>
      </c>
    </row>
    <row r="44" spans="3:16" ht="18" customHeight="1">
      <c r="C44" s="61"/>
      <c r="D44" s="347"/>
      <c r="E44" s="285" t="s">
        <v>114</v>
      </c>
      <c r="F44" s="310">
        <v>0</v>
      </c>
      <c r="G44" s="310">
        <v>0</v>
      </c>
      <c r="H44" s="311">
        <v>0</v>
      </c>
      <c r="I44" s="288"/>
      <c r="J44" s="346">
        <v>0</v>
      </c>
      <c r="K44" s="309">
        <v>0</v>
      </c>
      <c r="L44" s="309">
        <v>0</v>
      </c>
      <c r="M44" s="309">
        <v>0</v>
      </c>
      <c r="N44" s="309">
        <v>0</v>
      </c>
      <c r="O44" s="311">
        <v>0</v>
      </c>
      <c r="P44" s="313">
        <v>0</v>
      </c>
    </row>
    <row r="45" spans="3:16" ht="18" customHeight="1">
      <c r="C45" s="61"/>
      <c r="D45" s="345"/>
      <c r="E45" s="285" t="s">
        <v>181</v>
      </c>
      <c r="F45" s="310">
        <v>0</v>
      </c>
      <c r="G45" s="310">
        <v>0</v>
      </c>
      <c r="H45" s="311">
        <v>0</v>
      </c>
      <c r="I45" s="288"/>
      <c r="J45" s="346">
        <v>0</v>
      </c>
      <c r="K45" s="309">
        <v>0</v>
      </c>
      <c r="L45" s="309">
        <v>0</v>
      </c>
      <c r="M45" s="309">
        <v>0</v>
      </c>
      <c r="N45" s="309">
        <v>0</v>
      </c>
      <c r="O45" s="311">
        <v>0</v>
      </c>
      <c r="P45" s="313">
        <v>0</v>
      </c>
    </row>
    <row r="46" spans="3:16" ht="18" customHeight="1">
      <c r="C46" s="61"/>
      <c r="D46" s="345"/>
      <c r="E46" s="285" t="s">
        <v>116</v>
      </c>
      <c r="F46" s="310">
        <v>0</v>
      </c>
      <c r="G46" s="310">
        <v>0</v>
      </c>
      <c r="H46" s="311">
        <v>0</v>
      </c>
      <c r="I46" s="288"/>
      <c r="J46" s="346">
        <v>0</v>
      </c>
      <c r="K46" s="309">
        <v>0</v>
      </c>
      <c r="L46" s="309">
        <v>0</v>
      </c>
      <c r="M46" s="309">
        <v>0</v>
      </c>
      <c r="N46" s="309">
        <v>0</v>
      </c>
      <c r="O46" s="311">
        <v>0</v>
      </c>
      <c r="P46" s="313">
        <v>0</v>
      </c>
    </row>
    <row r="47" spans="3:16" ht="18" customHeight="1">
      <c r="C47" s="61"/>
      <c r="D47" s="345"/>
      <c r="E47" s="285" t="s">
        <v>221</v>
      </c>
      <c r="F47" s="310">
        <v>0</v>
      </c>
      <c r="G47" s="310">
        <v>0</v>
      </c>
      <c r="H47" s="311">
        <v>0</v>
      </c>
      <c r="I47" s="288"/>
      <c r="J47" s="346">
        <v>0</v>
      </c>
      <c r="K47" s="309">
        <v>0</v>
      </c>
      <c r="L47" s="309">
        <v>0</v>
      </c>
      <c r="M47" s="309">
        <v>0</v>
      </c>
      <c r="N47" s="309">
        <v>0</v>
      </c>
      <c r="O47" s="311">
        <v>0</v>
      </c>
      <c r="P47" s="313">
        <v>0</v>
      </c>
    </row>
    <row r="48" spans="3:16" ht="18" customHeight="1">
      <c r="C48" s="61"/>
      <c r="D48" s="345"/>
      <c r="E48" s="285" t="s">
        <v>192</v>
      </c>
      <c r="F48" s="309">
        <v>0</v>
      </c>
      <c r="G48" s="309">
        <v>0</v>
      </c>
      <c r="H48" s="311">
        <v>0</v>
      </c>
      <c r="I48" s="288"/>
      <c r="J48" s="346">
        <v>0</v>
      </c>
      <c r="K48" s="309">
        <v>0</v>
      </c>
      <c r="L48" s="309">
        <v>0</v>
      </c>
      <c r="M48" s="309">
        <v>0</v>
      </c>
      <c r="N48" s="309">
        <v>26448</v>
      </c>
      <c r="O48" s="311">
        <v>26448</v>
      </c>
      <c r="P48" s="313">
        <v>26448</v>
      </c>
    </row>
    <row r="49" spans="3:16" ht="18" customHeight="1">
      <c r="C49" s="61"/>
      <c r="D49" s="347"/>
      <c r="E49" s="285" t="s">
        <v>193</v>
      </c>
      <c r="F49" s="309">
        <v>0</v>
      </c>
      <c r="G49" s="309">
        <v>0</v>
      </c>
      <c r="H49" s="311">
        <v>0</v>
      </c>
      <c r="I49" s="288"/>
      <c r="J49" s="346">
        <v>0</v>
      </c>
      <c r="K49" s="309">
        <v>0</v>
      </c>
      <c r="L49" s="309">
        <v>0</v>
      </c>
      <c r="M49" s="309">
        <v>0</v>
      </c>
      <c r="N49" s="309">
        <v>16468</v>
      </c>
      <c r="O49" s="311">
        <v>16468</v>
      </c>
      <c r="P49" s="313">
        <v>16468</v>
      </c>
    </row>
    <row r="50" spans="3:16" ht="18" customHeight="1">
      <c r="C50" s="61"/>
      <c r="D50" s="345"/>
      <c r="E50" s="352" t="s">
        <v>194</v>
      </c>
      <c r="F50" s="348">
        <v>0</v>
      </c>
      <c r="G50" s="348">
        <v>0</v>
      </c>
      <c r="H50" s="349">
        <v>0</v>
      </c>
      <c r="I50" s="288"/>
      <c r="J50" s="350">
        <v>0</v>
      </c>
      <c r="K50" s="348">
        <v>0</v>
      </c>
      <c r="L50" s="348">
        <v>0</v>
      </c>
      <c r="M50" s="348">
        <v>0</v>
      </c>
      <c r="N50" s="348">
        <v>0</v>
      </c>
      <c r="O50" s="349">
        <v>0</v>
      </c>
      <c r="P50" s="351">
        <v>0</v>
      </c>
    </row>
    <row r="51" spans="3:16" ht="18" customHeight="1">
      <c r="C51" s="61"/>
      <c r="D51" s="354"/>
      <c r="E51" s="355" t="s">
        <v>195</v>
      </c>
      <c r="F51" s="302">
        <v>0</v>
      </c>
      <c r="G51" s="302">
        <v>0</v>
      </c>
      <c r="H51" s="304">
        <v>0</v>
      </c>
      <c r="I51" s="288"/>
      <c r="J51" s="330">
        <v>0</v>
      </c>
      <c r="K51" s="302">
        <v>0</v>
      </c>
      <c r="L51" s="302">
        <v>0</v>
      </c>
      <c r="M51" s="302">
        <v>0</v>
      </c>
      <c r="N51" s="302">
        <v>0</v>
      </c>
      <c r="O51" s="304">
        <v>0</v>
      </c>
      <c r="P51" s="305">
        <v>0</v>
      </c>
    </row>
    <row r="52" spans="3:16" ht="18" customHeight="1">
      <c r="C52" s="752" t="s">
        <v>244</v>
      </c>
      <c r="D52" s="753"/>
      <c r="E52" s="754"/>
      <c r="F52" s="331">
        <v>0</v>
      </c>
      <c r="G52" s="320">
        <v>0</v>
      </c>
      <c r="H52" s="321">
        <v>0</v>
      </c>
      <c r="I52" s="224"/>
      <c r="J52" s="332">
        <v>0</v>
      </c>
      <c r="K52" s="320">
        <v>0</v>
      </c>
      <c r="L52" s="320">
        <v>0</v>
      </c>
      <c r="M52" s="320">
        <v>0</v>
      </c>
      <c r="N52" s="320">
        <v>49156</v>
      </c>
      <c r="O52" s="321">
        <v>49156</v>
      </c>
      <c r="P52" s="322">
        <v>49156</v>
      </c>
    </row>
    <row r="53" spans="3:16" ht="12" customHeight="1"/>
  </sheetData>
  <sheetProtection selectLockedCells="1" selectUnlockedCells="1"/>
  <mergeCells count="7">
    <mergeCell ref="C52:E52"/>
    <mergeCell ref="A3:Q3"/>
    <mergeCell ref="C8:E9"/>
    <mergeCell ref="F8:H8"/>
    <mergeCell ref="I8:O8"/>
    <mergeCell ref="P8:P9"/>
    <mergeCell ref="A4:Q4"/>
  </mergeCells>
  <phoneticPr fontId="34"/>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56"/>
  <sheetViews>
    <sheetView showGridLines="0" workbookViewId="0"/>
  </sheetViews>
  <sheetFormatPr defaultColWidth="6.26953125" defaultRowHeight="15" customHeight="1"/>
  <cols>
    <col min="1" max="2" width="3.7265625" customWidth="1"/>
    <col min="3" max="3" width="13.86328125" customWidth="1"/>
    <col min="4" max="6" width="14.40625" customWidth="1"/>
    <col min="7" max="7" width="13.86328125" customWidth="1"/>
    <col min="8" max="8" width="4" customWidth="1"/>
  </cols>
  <sheetData>
    <row r="1" spans="1:8" ht="18" customHeight="1">
      <c r="A1" s="363" t="s">
        <v>265</v>
      </c>
      <c r="B1" s="364"/>
      <c r="C1" s="364"/>
      <c r="D1" s="365"/>
      <c r="E1" s="365"/>
      <c r="F1" s="365"/>
      <c r="G1" s="365"/>
      <c r="H1" s="366"/>
    </row>
    <row r="2" spans="1:8" ht="18" customHeight="1">
      <c r="A2" s="364"/>
      <c r="B2" s="364"/>
      <c r="C2" s="364"/>
      <c r="D2" s="364"/>
      <c r="E2" s="364"/>
      <c r="F2" s="364"/>
      <c r="G2" s="364"/>
      <c r="H2" s="364"/>
    </row>
    <row r="3" spans="1:8" ht="18" customHeight="1">
      <c r="A3" s="729" t="s">
        <v>1</v>
      </c>
      <c r="B3" s="729"/>
      <c r="C3" s="729"/>
      <c r="D3" s="729"/>
      <c r="E3" s="729"/>
      <c r="F3" s="729"/>
      <c r="G3" s="729"/>
      <c r="H3" s="367"/>
    </row>
    <row r="4" spans="1:8" ht="18" customHeight="1">
      <c r="A4" s="729" t="s">
        <v>2</v>
      </c>
      <c r="B4" s="729"/>
      <c r="C4" s="729"/>
      <c r="D4" s="729"/>
      <c r="E4" s="729"/>
      <c r="F4" s="729"/>
      <c r="G4" s="729"/>
      <c r="H4" s="367"/>
    </row>
    <row r="5" spans="1:8" ht="18" customHeight="1">
      <c r="A5" s="368"/>
      <c r="B5" s="368"/>
      <c r="C5" s="368"/>
      <c r="D5" s="368"/>
      <c r="E5" s="364"/>
      <c r="F5" s="369" t="s">
        <v>3</v>
      </c>
      <c r="G5" s="370" t="s">
        <v>4</v>
      </c>
      <c r="H5" s="364"/>
    </row>
    <row r="6" spans="1:8" ht="18" customHeight="1">
      <c r="A6" s="368"/>
      <c r="B6" s="368"/>
      <c r="C6" s="368"/>
      <c r="D6" s="368"/>
      <c r="E6" s="364"/>
      <c r="F6" s="371" t="s">
        <v>5</v>
      </c>
      <c r="G6" s="372" t="s">
        <v>6</v>
      </c>
      <c r="H6" s="364" t="s">
        <v>7</v>
      </c>
    </row>
    <row r="7" spans="1:8" ht="18" customHeight="1">
      <c r="A7" s="368"/>
      <c r="B7" s="368"/>
      <c r="C7" s="368"/>
      <c r="D7" s="368"/>
      <c r="E7" s="364"/>
      <c r="F7" s="373"/>
      <c r="G7" s="364"/>
      <c r="H7" s="364"/>
    </row>
    <row r="8" spans="1:8" s="374" customFormat="1" ht="18" customHeight="1">
      <c r="A8" s="375"/>
      <c r="B8" s="376" t="s">
        <v>266</v>
      </c>
      <c r="C8" s="375"/>
      <c r="D8" s="375"/>
      <c r="E8" s="375"/>
      <c r="F8" s="375"/>
      <c r="G8" s="375"/>
      <c r="H8" s="375"/>
    </row>
    <row r="9" spans="1:8" s="374" customFormat="1" ht="18" customHeight="1">
      <c r="A9" s="375"/>
      <c r="B9" s="376" t="s">
        <v>267</v>
      </c>
      <c r="C9" s="375"/>
      <c r="D9" s="375"/>
      <c r="E9" s="375"/>
      <c r="F9" s="375"/>
      <c r="G9" s="375"/>
      <c r="H9" s="375"/>
    </row>
    <row r="10" spans="1:8" ht="18" customHeight="1">
      <c r="A10" s="368"/>
      <c r="B10" s="64"/>
      <c r="C10" s="368"/>
      <c r="D10" s="368"/>
      <c r="E10" s="368"/>
      <c r="F10" s="368"/>
      <c r="G10" s="368"/>
      <c r="H10" s="377"/>
    </row>
    <row r="11" spans="1:8" ht="16.5" customHeight="1">
      <c r="A11" s="378"/>
      <c r="B11" s="378"/>
      <c r="C11" s="120" t="s">
        <v>268</v>
      </c>
      <c r="D11" s="378"/>
      <c r="E11" s="378"/>
      <c r="F11" s="378"/>
      <c r="G11" s="378"/>
      <c r="H11" s="378"/>
    </row>
    <row r="12" spans="1:8" ht="16.5" customHeight="1">
      <c r="A12" s="378"/>
      <c r="B12" s="378"/>
      <c r="C12" s="379"/>
      <c r="D12" s="380" t="s">
        <v>269</v>
      </c>
      <c r="E12" s="380" t="s">
        <v>27</v>
      </c>
      <c r="F12" s="381" t="s">
        <v>14</v>
      </c>
      <c r="G12" s="378"/>
      <c r="H12" s="378"/>
    </row>
    <row r="13" spans="1:8" ht="16.5" customHeight="1">
      <c r="A13" s="378"/>
      <c r="B13" s="378"/>
      <c r="C13" s="382" t="s">
        <v>270</v>
      </c>
      <c r="D13" s="383">
        <v>42</v>
      </c>
      <c r="E13" s="383">
        <v>31</v>
      </c>
      <c r="F13" s="384">
        <v>73</v>
      </c>
      <c r="G13" s="378"/>
      <c r="H13" s="378"/>
    </row>
    <row r="14" spans="1:8" ht="16.5" customHeight="1">
      <c r="A14" s="378"/>
      <c r="B14" s="378"/>
      <c r="C14" s="385" t="s">
        <v>271</v>
      </c>
      <c r="D14" s="386">
        <v>287006</v>
      </c>
      <c r="E14" s="386">
        <v>612521</v>
      </c>
      <c r="F14" s="387">
        <v>899527</v>
      </c>
      <c r="G14" s="378"/>
      <c r="H14" s="378"/>
    </row>
    <row r="15" spans="1:8" ht="12" customHeight="1">
      <c r="A15" s="378"/>
      <c r="B15" s="378"/>
      <c r="C15" s="378"/>
      <c r="D15" s="378"/>
      <c r="E15" s="378"/>
      <c r="F15" s="378"/>
      <c r="G15" s="378"/>
      <c r="H15" s="378"/>
    </row>
    <row r="16" spans="1:8" ht="16.5" customHeight="1">
      <c r="A16" s="378"/>
      <c r="B16" s="378"/>
      <c r="C16" s="120" t="s">
        <v>272</v>
      </c>
      <c r="D16" s="388"/>
      <c r="E16" s="378"/>
      <c r="F16" s="378"/>
      <c r="G16" s="378"/>
      <c r="H16" s="378"/>
    </row>
    <row r="17" spans="1:8" ht="16.5" customHeight="1">
      <c r="A17" s="378"/>
      <c r="B17" s="378"/>
      <c r="C17" s="379"/>
      <c r="D17" s="380" t="s">
        <v>269</v>
      </c>
      <c r="E17" s="380" t="s">
        <v>27</v>
      </c>
      <c r="F17" s="381" t="s">
        <v>14</v>
      </c>
      <c r="G17" s="378"/>
      <c r="H17" s="378"/>
    </row>
    <row r="18" spans="1:8" ht="16.5" customHeight="1">
      <c r="A18" s="378"/>
      <c r="B18" s="378"/>
      <c r="C18" s="382" t="s">
        <v>270</v>
      </c>
      <c r="D18" s="383">
        <v>0</v>
      </c>
      <c r="E18" s="383">
        <v>0</v>
      </c>
      <c r="F18" s="389">
        <v>0</v>
      </c>
      <c r="G18" s="378"/>
      <c r="H18" s="378"/>
    </row>
    <row r="19" spans="1:8" ht="16.5" customHeight="1">
      <c r="A19" s="378"/>
      <c r="B19" s="378"/>
      <c r="C19" s="385" t="s">
        <v>271</v>
      </c>
      <c r="D19" s="386">
        <v>0</v>
      </c>
      <c r="E19" s="386">
        <v>0</v>
      </c>
      <c r="F19" s="390">
        <v>0</v>
      </c>
      <c r="G19" s="378"/>
      <c r="H19" s="378"/>
    </row>
    <row r="20" spans="1:8" ht="12" customHeight="1">
      <c r="A20" s="378"/>
      <c r="B20" s="378"/>
      <c r="C20" s="378"/>
      <c r="D20" s="378"/>
      <c r="E20" s="378"/>
      <c r="F20" s="378"/>
      <c r="G20" s="378"/>
      <c r="H20" s="378"/>
    </row>
    <row r="21" spans="1:8" ht="16.5" customHeight="1">
      <c r="A21" s="378"/>
      <c r="B21" s="378"/>
      <c r="C21" s="120" t="s">
        <v>273</v>
      </c>
      <c r="D21" s="388"/>
      <c r="E21" s="378"/>
      <c r="F21" s="378"/>
      <c r="G21" s="378"/>
      <c r="H21" s="378"/>
    </row>
    <row r="22" spans="1:8" ht="16.5" customHeight="1">
      <c r="A22" s="378"/>
      <c r="B22" s="378"/>
      <c r="C22" s="379"/>
      <c r="D22" s="380" t="s">
        <v>269</v>
      </c>
      <c r="E22" s="380" t="s">
        <v>27</v>
      </c>
      <c r="F22" s="381" t="s">
        <v>14</v>
      </c>
      <c r="G22" s="378"/>
      <c r="H22" s="378"/>
    </row>
    <row r="23" spans="1:8" ht="16.5" customHeight="1">
      <c r="A23" s="378"/>
      <c r="B23" s="378"/>
      <c r="C23" s="382" t="s">
        <v>270</v>
      </c>
      <c r="D23" s="383">
        <v>0</v>
      </c>
      <c r="E23" s="383">
        <v>0</v>
      </c>
      <c r="F23" s="389">
        <v>0</v>
      </c>
      <c r="G23" s="378"/>
      <c r="H23" s="378"/>
    </row>
    <row r="24" spans="1:8" ht="16.5" customHeight="1">
      <c r="A24" s="378"/>
      <c r="B24" s="378"/>
      <c r="C24" s="385" t="s">
        <v>271</v>
      </c>
      <c r="D24" s="386">
        <v>0</v>
      </c>
      <c r="E24" s="386">
        <v>0</v>
      </c>
      <c r="F24" s="390">
        <v>0</v>
      </c>
      <c r="G24" s="378"/>
      <c r="H24" s="378"/>
    </row>
    <row r="25" spans="1:8" ht="12" customHeight="1">
      <c r="A25" s="378"/>
      <c r="B25" s="378"/>
      <c r="C25" s="378"/>
      <c r="D25" s="378"/>
      <c r="E25" s="378"/>
      <c r="F25" s="378"/>
      <c r="G25" s="378"/>
      <c r="H25" s="378"/>
    </row>
    <row r="26" spans="1:8" ht="16.5" customHeight="1">
      <c r="A26" s="378"/>
      <c r="B26" s="378"/>
      <c r="C26" s="120" t="s">
        <v>274</v>
      </c>
      <c r="D26" s="378"/>
      <c r="E26" s="378"/>
      <c r="F26" s="378"/>
      <c r="G26" s="378"/>
      <c r="H26" s="378"/>
    </row>
    <row r="27" spans="1:8" ht="16.5" customHeight="1">
      <c r="A27" s="378"/>
      <c r="B27" s="378"/>
      <c r="C27" s="379"/>
      <c r="D27" s="380" t="s">
        <v>269</v>
      </c>
      <c r="E27" s="380" t="s">
        <v>27</v>
      </c>
      <c r="F27" s="381" t="s">
        <v>14</v>
      </c>
      <c r="G27" s="378"/>
      <c r="H27" s="378"/>
    </row>
    <row r="28" spans="1:8" ht="16.5" customHeight="1">
      <c r="A28" s="378"/>
      <c r="B28" s="378"/>
      <c r="C28" s="382" t="s">
        <v>270</v>
      </c>
      <c r="D28" s="383">
        <v>42</v>
      </c>
      <c r="E28" s="383">
        <v>31</v>
      </c>
      <c r="F28" s="389">
        <v>73</v>
      </c>
      <c r="G28" s="378"/>
      <c r="H28" s="378"/>
    </row>
    <row r="29" spans="1:8" ht="16.5" customHeight="1">
      <c r="A29" s="378"/>
      <c r="B29" s="378"/>
      <c r="C29" s="385" t="s">
        <v>271</v>
      </c>
      <c r="D29" s="386">
        <v>287006</v>
      </c>
      <c r="E29" s="386">
        <v>612521</v>
      </c>
      <c r="F29" s="390">
        <v>899527</v>
      </c>
      <c r="G29" s="378"/>
      <c r="H29" s="378"/>
    </row>
    <row r="30" spans="1:8" ht="12" customHeight="1">
      <c r="A30" s="378"/>
      <c r="B30" s="378"/>
      <c r="C30" s="378"/>
      <c r="D30" s="378"/>
      <c r="E30" s="378"/>
      <c r="F30" s="378"/>
      <c r="G30" s="378"/>
      <c r="H30" s="378"/>
    </row>
    <row r="31" spans="1:8" ht="16.5" customHeight="1">
      <c r="A31" s="378"/>
      <c r="B31" s="378"/>
      <c r="C31" s="120" t="s">
        <v>275</v>
      </c>
      <c r="D31" s="378"/>
      <c r="E31" s="378"/>
      <c r="F31" s="378"/>
      <c r="G31" s="378"/>
      <c r="H31" s="378"/>
    </row>
    <row r="32" spans="1:8" ht="16.5" customHeight="1">
      <c r="A32" s="378"/>
      <c r="B32" s="378"/>
      <c r="C32" s="391"/>
      <c r="D32" s="380" t="s">
        <v>269</v>
      </c>
      <c r="E32" s="380" t="s">
        <v>27</v>
      </c>
      <c r="F32" s="381" t="s">
        <v>14</v>
      </c>
      <c r="G32" s="378"/>
      <c r="H32" s="378"/>
    </row>
    <row r="33" spans="1:8" ht="16.5" customHeight="1">
      <c r="A33" s="378"/>
      <c r="B33" s="378"/>
      <c r="C33" s="382" t="s">
        <v>270</v>
      </c>
      <c r="D33" s="383">
        <v>112</v>
      </c>
      <c r="E33" s="383">
        <v>704</v>
      </c>
      <c r="F33" s="389">
        <v>816</v>
      </c>
      <c r="G33" s="378"/>
      <c r="H33" s="378"/>
    </row>
    <row r="34" spans="1:8" ht="16.5" customHeight="1">
      <c r="A34" s="378"/>
      <c r="B34" s="378"/>
      <c r="C34" s="385" t="s">
        <v>271</v>
      </c>
      <c r="D34" s="386">
        <v>1644684</v>
      </c>
      <c r="E34" s="386">
        <v>6564117</v>
      </c>
      <c r="F34" s="390">
        <v>8208801</v>
      </c>
      <c r="G34" s="378"/>
      <c r="H34" s="378"/>
    </row>
    <row r="35" spans="1:8" ht="12" customHeight="1">
      <c r="A35" s="378"/>
      <c r="B35" s="378"/>
      <c r="C35" s="378"/>
      <c r="D35" s="378"/>
      <c r="E35" s="378"/>
      <c r="F35" s="378"/>
      <c r="G35" s="378"/>
      <c r="H35" s="378"/>
    </row>
    <row r="36" spans="1:8" ht="16.5" customHeight="1">
      <c r="A36" s="378"/>
      <c r="B36" s="378"/>
      <c r="C36" s="120" t="s">
        <v>276</v>
      </c>
      <c r="D36" s="378"/>
      <c r="E36" s="378"/>
      <c r="F36" s="378"/>
      <c r="G36" s="378"/>
      <c r="H36" s="378"/>
    </row>
    <row r="37" spans="1:8" ht="16.5" customHeight="1">
      <c r="A37" s="378"/>
      <c r="B37" s="378"/>
      <c r="C37" s="391"/>
      <c r="D37" s="380" t="s">
        <v>269</v>
      </c>
      <c r="E37" s="380" t="s">
        <v>27</v>
      </c>
      <c r="F37" s="381" t="s">
        <v>14</v>
      </c>
      <c r="G37" s="378"/>
      <c r="H37" s="378"/>
    </row>
    <row r="38" spans="1:8" ht="16.5" customHeight="1">
      <c r="A38" s="378"/>
      <c r="B38" s="378"/>
      <c r="C38" s="382" t="s">
        <v>270</v>
      </c>
      <c r="D38" s="383">
        <v>85</v>
      </c>
      <c r="E38" s="383">
        <v>925</v>
      </c>
      <c r="F38" s="389">
        <v>1010</v>
      </c>
      <c r="G38" s="378"/>
      <c r="H38" s="378"/>
    </row>
    <row r="39" spans="1:8" ht="16.5" customHeight="1">
      <c r="A39" s="392"/>
      <c r="B39" s="392"/>
      <c r="C39" s="385" t="s">
        <v>271</v>
      </c>
      <c r="D39" s="386">
        <v>1423580</v>
      </c>
      <c r="E39" s="386">
        <v>16043399</v>
      </c>
      <c r="F39" s="390">
        <v>17466979</v>
      </c>
      <c r="G39" s="392"/>
      <c r="H39" s="392"/>
    </row>
    <row r="40" spans="1:8" ht="12" customHeight="1">
      <c r="A40" s="392"/>
      <c r="B40" s="392"/>
      <c r="C40" s="392"/>
      <c r="D40" s="392"/>
      <c r="E40" s="392"/>
      <c r="F40" s="392"/>
      <c r="G40" s="392"/>
      <c r="H40" s="392"/>
    </row>
    <row r="41" spans="1:8" ht="16.5" customHeight="1">
      <c r="A41" s="392"/>
      <c r="B41" s="392"/>
      <c r="C41" s="120" t="s">
        <v>277</v>
      </c>
      <c r="D41" s="392"/>
      <c r="E41" s="392"/>
      <c r="F41" s="392"/>
      <c r="G41" s="392"/>
      <c r="H41" s="392"/>
    </row>
    <row r="42" spans="1:8" ht="16.5" customHeight="1">
      <c r="A42" s="392"/>
      <c r="B42" s="392"/>
      <c r="C42" s="391"/>
      <c r="D42" s="380" t="s">
        <v>269</v>
      </c>
      <c r="E42" s="380" t="s">
        <v>27</v>
      </c>
      <c r="F42" s="381" t="s">
        <v>14</v>
      </c>
      <c r="G42" s="392"/>
      <c r="H42" s="392"/>
    </row>
    <row r="43" spans="1:8" ht="16.5" customHeight="1">
      <c r="A43" s="392"/>
      <c r="B43" s="392"/>
      <c r="C43" s="382" t="s">
        <v>270</v>
      </c>
      <c r="D43" s="383">
        <v>0</v>
      </c>
      <c r="E43" s="383">
        <v>243</v>
      </c>
      <c r="F43" s="389">
        <v>243</v>
      </c>
      <c r="G43" s="392"/>
      <c r="H43" s="392"/>
    </row>
    <row r="44" spans="1:8" ht="16.5" customHeight="1">
      <c r="A44" s="392"/>
      <c r="B44" s="392"/>
      <c r="C44" s="385" t="s">
        <v>271</v>
      </c>
      <c r="D44" s="386">
        <v>0</v>
      </c>
      <c r="E44" s="386">
        <v>3662965</v>
      </c>
      <c r="F44" s="390">
        <v>3662965</v>
      </c>
      <c r="G44" s="392"/>
      <c r="H44" s="392"/>
    </row>
    <row r="45" spans="1:8" ht="12" customHeight="1">
      <c r="A45" s="392"/>
      <c r="B45" s="392"/>
      <c r="C45" s="392"/>
      <c r="D45" s="392"/>
      <c r="E45" s="392"/>
      <c r="F45" s="392"/>
      <c r="G45" s="392"/>
      <c r="H45" s="392"/>
    </row>
    <row r="46" spans="1:8" ht="16.5" customHeight="1">
      <c r="A46" s="392"/>
      <c r="B46" s="392"/>
      <c r="C46" s="120" t="s">
        <v>278</v>
      </c>
      <c r="D46" s="392"/>
      <c r="E46" s="392"/>
      <c r="F46" s="392"/>
      <c r="G46" s="392"/>
      <c r="H46" s="392"/>
    </row>
    <row r="47" spans="1:8" ht="16.5" customHeight="1">
      <c r="A47" s="392"/>
      <c r="B47" s="392"/>
      <c r="C47" s="391"/>
      <c r="D47" s="380" t="s">
        <v>269</v>
      </c>
      <c r="E47" s="380" t="s">
        <v>27</v>
      </c>
      <c r="F47" s="381" t="s">
        <v>14</v>
      </c>
      <c r="G47" s="392"/>
      <c r="H47" s="392"/>
    </row>
    <row r="48" spans="1:8" ht="16.5" customHeight="1">
      <c r="A48" s="392"/>
      <c r="B48" s="392"/>
      <c r="C48" s="382" t="s">
        <v>270</v>
      </c>
      <c r="D48" s="393">
        <v>239</v>
      </c>
      <c r="E48" s="393">
        <v>1903</v>
      </c>
      <c r="F48" s="394">
        <v>2142</v>
      </c>
      <c r="G48" s="392"/>
      <c r="H48" s="392"/>
    </row>
    <row r="49" spans="1:8" ht="16.5" customHeight="1">
      <c r="A49" s="392"/>
      <c r="B49" s="392"/>
      <c r="C49" s="385" t="s">
        <v>271</v>
      </c>
      <c r="D49" s="152">
        <v>3355270</v>
      </c>
      <c r="E49" s="152">
        <v>26883002</v>
      </c>
      <c r="F49" s="153">
        <v>30238272</v>
      </c>
      <c r="G49" s="392"/>
      <c r="H49" s="392"/>
    </row>
    <row r="50" spans="1:8" ht="16.5" customHeight="1">
      <c r="A50" s="375"/>
      <c r="B50" s="375"/>
      <c r="C50" s="375"/>
      <c r="D50" s="375"/>
      <c r="E50" s="375"/>
      <c r="F50" s="375"/>
      <c r="G50" s="375"/>
      <c r="H50" s="375"/>
    </row>
    <row r="51" spans="1:8" ht="16.5" customHeight="1">
      <c r="A51" s="392"/>
      <c r="B51" s="395" t="s">
        <v>279</v>
      </c>
      <c r="C51" s="392"/>
      <c r="D51" s="392"/>
      <c r="E51" s="392"/>
      <c r="F51" s="392"/>
      <c r="G51" s="392"/>
      <c r="H51" s="392"/>
    </row>
    <row r="52" spans="1:8" ht="6" customHeight="1">
      <c r="A52" s="392"/>
      <c r="B52" s="392"/>
      <c r="C52" s="392"/>
      <c r="D52" s="392"/>
      <c r="E52" s="392"/>
      <c r="F52" s="392"/>
      <c r="G52" s="392"/>
      <c r="H52" s="392"/>
    </row>
    <row r="53" spans="1:8" ht="16.5" customHeight="1">
      <c r="A53" s="392"/>
      <c r="B53" s="392"/>
      <c r="C53" s="391"/>
      <c r="D53" s="380" t="s">
        <v>269</v>
      </c>
      <c r="E53" s="380" t="s">
        <v>27</v>
      </c>
      <c r="F53" s="381" t="s">
        <v>14</v>
      </c>
      <c r="G53" s="392"/>
      <c r="H53" s="392"/>
    </row>
    <row r="54" spans="1:8" ht="16.5" customHeight="1">
      <c r="A54" s="392"/>
      <c r="B54" s="392"/>
      <c r="C54" s="382" t="s">
        <v>270</v>
      </c>
      <c r="D54" s="383">
        <v>0</v>
      </c>
      <c r="E54" s="383">
        <v>0</v>
      </c>
      <c r="F54" s="389">
        <v>0</v>
      </c>
      <c r="G54" s="392"/>
      <c r="H54" s="392"/>
    </row>
    <row r="55" spans="1:8" ht="16.5" customHeight="1">
      <c r="A55" s="392"/>
      <c r="B55" s="392"/>
      <c r="C55" s="385" t="s">
        <v>271</v>
      </c>
      <c r="D55" s="386">
        <v>0</v>
      </c>
      <c r="E55" s="386">
        <v>0</v>
      </c>
      <c r="F55" s="390">
        <v>0</v>
      </c>
      <c r="G55" s="392"/>
      <c r="H55" s="392"/>
    </row>
    <row r="56" spans="1:8" ht="16.5" customHeight="1">
      <c r="A56" s="375"/>
      <c r="B56" s="375"/>
      <c r="C56" s="375"/>
      <c r="D56" s="375"/>
      <c r="E56" s="375"/>
      <c r="F56" s="375"/>
      <c r="G56" s="375"/>
      <c r="H56" s="375"/>
    </row>
  </sheetData>
  <mergeCells count="2">
    <mergeCell ref="A3:G3"/>
    <mergeCell ref="A4:G4"/>
  </mergeCells>
  <phoneticPr fontId="34"/>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41"/>
  <sheetViews>
    <sheetView showGridLines="0" workbookViewId="0"/>
  </sheetViews>
  <sheetFormatPr defaultColWidth="9" defaultRowHeight="13.5" customHeight="1"/>
  <cols>
    <col min="1" max="4" width="3.7265625" style="1" customWidth="1"/>
    <col min="5" max="5" width="13.86328125" style="1" customWidth="1"/>
    <col min="6" max="6" width="14.40625" style="1" customWidth="1"/>
    <col min="7" max="7" width="6.54296875" style="1" customWidth="1"/>
    <col min="8" max="8" width="14.40625" style="1" customWidth="1"/>
    <col min="9" max="9" width="13.86328125" style="1" customWidth="1"/>
    <col min="10" max="10" width="4" style="57" customWidth="1"/>
  </cols>
  <sheetData>
    <row r="1" spans="1:10" ht="18" customHeight="1">
      <c r="A1" s="396" t="s">
        <v>265</v>
      </c>
      <c r="J1" s="122"/>
    </row>
    <row r="2" spans="1:10" ht="18" customHeight="1">
      <c r="I2" s="2"/>
      <c r="J2" s="122"/>
    </row>
    <row r="3" spans="1:10" ht="18" customHeight="1">
      <c r="A3" s="773" t="s">
        <v>1</v>
      </c>
      <c r="B3" s="773"/>
      <c r="C3" s="773"/>
      <c r="D3" s="773"/>
      <c r="E3" s="773"/>
      <c r="F3" s="773"/>
      <c r="G3" s="773"/>
      <c r="H3" s="773"/>
      <c r="I3" s="773"/>
      <c r="J3" s="58"/>
    </row>
    <row r="4" spans="1:10" ht="18" customHeight="1">
      <c r="A4" s="627" t="s">
        <v>2</v>
      </c>
      <c r="B4" s="773"/>
      <c r="C4" s="773"/>
      <c r="D4" s="773"/>
      <c r="E4" s="773"/>
      <c r="F4" s="773"/>
      <c r="G4" s="773"/>
      <c r="H4" s="773"/>
      <c r="I4" s="773"/>
      <c r="J4" s="58"/>
    </row>
    <row r="5" spans="1:10" ht="18" customHeight="1">
      <c r="A5" s="58"/>
      <c r="B5" s="58"/>
      <c r="C5" s="58"/>
      <c r="D5" s="58"/>
      <c r="E5" s="58"/>
      <c r="F5" s="58"/>
      <c r="G5" s="57"/>
      <c r="H5" s="91" t="s">
        <v>3</v>
      </c>
      <c r="I5" s="123" t="s">
        <v>4</v>
      </c>
    </row>
    <row r="6" spans="1:10" ht="18" customHeight="1">
      <c r="A6" s="58"/>
      <c r="B6" s="58"/>
      <c r="C6" s="58"/>
      <c r="D6" s="58"/>
      <c r="E6" s="58"/>
      <c r="F6" s="58"/>
      <c r="G6" s="57"/>
      <c r="H6" s="93" t="s">
        <v>5</v>
      </c>
      <c r="I6" s="123" t="s">
        <v>6</v>
      </c>
      <c r="J6" s="57" t="s">
        <v>7</v>
      </c>
    </row>
    <row r="7" spans="1:10" ht="18" customHeight="1">
      <c r="A7" s="58"/>
      <c r="B7" s="58"/>
      <c r="C7" s="58"/>
      <c r="D7" s="58"/>
      <c r="E7" s="58"/>
      <c r="F7" s="58"/>
      <c r="G7" s="57"/>
      <c r="H7" s="59"/>
      <c r="I7" s="60"/>
    </row>
    <row r="8" spans="1:10" s="2" customFormat="1" ht="18" customHeight="1">
      <c r="B8" s="121" t="s">
        <v>266</v>
      </c>
    </row>
    <row r="9" spans="1:10" s="2" customFormat="1" ht="18" customHeight="1">
      <c r="C9" s="121" t="s">
        <v>280</v>
      </c>
    </row>
    <row r="10" spans="1:10" s="2" customFormat="1" ht="16.5" customHeight="1">
      <c r="D10" s="3" t="s">
        <v>281</v>
      </c>
    </row>
    <row r="11" spans="1:10" s="2" customFormat="1" ht="16.5" customHeight="1">
      <c r="D11" s="774" t="s">
        <v>270</v>
      </c>
      <c r="E11" s="775"/>
      <c r="F11" s="397">
        <v>1</v>
      </c>
    </row>
    <row r="12" spans="1:10" s="2" customFormat="1" ht="16.5" customHeight="1">
      <c r="D12" s="752" t="s">
        <v>271</v>
      </c>
      <c r="E12" s="754"/>
      <c r="F12" s="398">
        <v>49909</v>
      </c>
    </row>
    <row r="13" spans="1:10" s="2" customFormat="1" ht="12" customHeight="1">
      <c r="G13" s="57"/>
      <c r="H13" s="57"/>
    </row>
    <row r="14" spans="1:10" ht="16.5" customHeight="1">
      <c r="E14" s="399" t="s">
        <v>282</v>
      </c>
      <c r="F14" s="57"/>
      <c r="G14" s="57"/>
      <c r="H14" s="57"/>
    </row>
    <row r="15" spans="1:10" ht="16.5" customHeight="1">
      <c r="E15" s="400" t="s">
        <v>270</v>
      </c>
      <c r="F15" s="401">
        <v>0</v>
      </c>
    </row>
    <row r="16" spans="1:10" ht="16.5" customHeight="1">
      <c r="E16" s="402" t="s">
        <v>271</v>
      </c>
      <c r="F16" s="403">
        <v>0</v>
      </c>
    </row>
    <row r="17" spans="4:6" ht="12" customHeight="1"/>
    <row r="18" spans="4:6" ht="16.5" customHeight="1">
      <c r="E18" s="399" t="s">
        <v>283</v>
      </c>
    </row>
    <row r="19" spans="4:6" ht="16.5" customHeight="1">
      <c r="E19" s="400" t="s">
        <v>270</v>
      </c>
      <c r="F19" s="401">
        <v>0</v>
      </c>
    </row>
    <row r="20" spans="4:6" ht="16.5" customHeight="1">
      <c r="E20" s="402" t="s">
        <v>271</v>
      </c>
      <c r="F20" s="403">
        <v>0</v>
      </c>
    </row>
    <row r="21" spans="4:6" ht="12" customHeight="1"/>
    <row r="22" spans="4:6" ht="16.5" customHeight="1">
      <c r="E22" s="399" t="s">
        <v>284</v>
      </c>
    </row>
    <row r="23" spans="4:6" ht="16.5" customHeight="1">
      <c r="E23" s="400" t="s">
        <v>270</v>
      </c>
      <c r="F23" s="401">
        <v>1</v>
      </c>
    </row>
    <row r="24" spans="4:6" ht="16.5" customHeight="1">
      <c r="E24" s="402" t="s">
        <v>271</v>
      </c>
      <c r="F24" s="403">
        <v>49909</v>
      </c>
    </row>
    <row r="25" spans="4:6" ht="12" customHeight="1"/>
    <row r="26" spans="4:6" ht="16.5" customHeight="1">
      <c r="D26" s="399" t="s">
        <v>285</v>
      </c>
    </row>
    <row r="27" spans="4:6" ht="16.5" customHeight="1">
      <c r="D27" s="774" t="s">
        <v>270</v>
      </c>
      <c r="E27" s="775"/>
      <c r="F27" s="401">
        <v>2</v>
      </c>
    </row>
    <row r="28" spans="4:6" ht="16.5" customHeight="1">
      <c r="D28" s="752" t="s">
        <v>271</v>
      </c>
      <c r="E28" s="754"/>
      <c r="F28" s="403">
        <v>51059</v>
      </c>
    </row>
    <row r="29" spans="4:6" ht="12" customHeight="1"/>
    <row r="30" spans="4:6" ht="16.5" customHeight="1">
      <c r="D30" s="399" t="s">
        <v>286</v>
      </c>
    </row>
    <row r="31" spans="4:6" ht="16.5" customHeight="1">
      <c r="D31" s="774" t="s">
        <v>270</v>
      </c>
      <c r="E31" s="775"/>
      <c r="F31" s="401">
        <v>34</v>
      </c>
    </row>
    <row r="32" spans="4:6" ht="16.5" customHeight="1">
      <c r="D32" s="752" t="s">
        <v>271</v>
      </c>
      <c r="E32" s="754"/>
      <c r="F32" s="403">
        <v>871468</v>
      </c>
    </row>
    <row r="33" spans="4:6" ht="12" customHeight="1"/>
    <row r="34" spans="4:6" ht="16.5" customHeight="1">
      <c r="D34" s="399" t="s">
        <v>287</v>
      </c>
    </row>
    <row r="35" spans="4:6" ht="16.5" customHeight="1">
      <c r="D35" s="774" t="s">
        <v>270</v>
      </c>
      <c r="E35" s="775"/>
      <c r="F35" s="401">
        <v>38</v>
      </c>
    </row>
    <row r="36" spans="4:6" ht="16.5" customHeight="1">
      <c r="D36" s="752" t="s">
        <v>271</v>
      </c>
      <c r="E36" s="754"/>
      <c r="F36" s="403">
        <v>814441</v>
      </c>
    </row>
    <row r="37" spans="4:6" ht="12" customHeight="1"/>
    <row r="38" spans="4:6" ht="16.5" customHeight="1">
      <c r="D38" s="399" t="s">
        <v>278</v>
      </c>
    </row>
    <row r="39" spans="4:6" ht="16.5" customHeight="1">
      <c r="D39" s="774" t="s">
        <v>270</v>
      </c>
      <c r="E39" s="775"/>
      <c r="F39" s="397">
        <v>75</v>
      </c>
    </row>
    <row r="40" spans="4:6" ht="16.5" customHeight="1">
      <c r="D40" s="752" t="s">
        <v>271</v>
      </c>
      <c r="E40" s="754"/>
      <c r="F40" s="398">
        <v>1786877</v>
      </c>
    </row>
    <row r="41" spans="4:6" ht="12" customHeight="1"/>
  </sheetData>
  <sheetProtection selectLockedCells="1" selectUnlockedCells="1"/>
  <mergeCells count="12">
    <mergeCell ref="D39:E39"/>
    <mergeCell ref="D40:E40"/>
    <mergeCell ref="D27:E27"/>
    <mergeCell ref="D28:E28"/>
    <mergeCell ref="D31:E31"/>
    <mergeCell ref="D32:E32"/>
    <mergeCell ref="D35:E35"/>
    <mergeCell ref="A3:I3"/>
    <mergeCell ref="A4:I4"/>
    <mergeCell ref="D11:E11"/>
    <mergeCell ref="D12:E12"/>
    <mergeCell ref="D36:E36"/>
  </mergeCells>
  <phoneticPr fontId="34"/>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41"/>
  <sheetViews>
    <sheetView zoomScale="85" workbookViewId="0"/>
  </sheetViews>
  <sheetFormatPr defaultRowHeight="0" customHeight="1" zeroHeight="1"/>
  <cols>
    <col min="1" max="2" width="2.26953125" style="15" customWidth="1"/>
    <col min="3" max="3" width="25.54296875" style="15" customWidth="1"/>
    <col min="4" max="14" width="14.40625" style="15" customWidth="1"/>
    <col min="15" max="15" width="4" style="15" customWidth="1"/>
  </cols>
  <sheetData>
    <row r="1" spans="1:15" ht="18" customHeight="1">
      <c r="A1" s="13" t="s">
        <v>288</v>
      </c>
      <c r="B1" s="13"/>
      <c r="C1" s="12"/>
      <c r="D1" s="12"/>
      <c r="E1" s="12"/>
      <c r="F1" s="12"/>
      <c r="G1" s="12"/>
      <c r="H1" s="12"/>
      <c r="I1" s="12"/>
      <c r="J1" s="12"/>
      <c r="K1" s="12"/>
      <c r="L1" s="12"/>
      <c r="M1" s="12"/>
      <c r="N1" s="12"/>
      <c r="O1" s="119"/>
    </row>
    <row r="2" spans="1:15" ht="18" customHeight="1">
      <c r="A2" s="12"/>
      <c r="B2" s="12"/>
      <c r="C2" s="12"/>
      <c r="D2" s="12"/>
      <c r="E2" s="12"/>
      <c r="F2" s="12"/>
      <c r="G2" s="12"/>
      <c r="H2" s="12"/>
      <c r="I2" s="12"/>
      <c r="J2" s="12"/>
      <c r="K2" s="12"/>
      <c r="L2" s="12"/>
      <c r="M2" s="12"/>
      <c r="N2" s="12"/>
      <c r="O2" s="119"/>
    </row>
    <row r="3" spans="1:15" ht="18" customHeight="1">
      <c r="A3" s="619" t="s">
        <v>1</v>
      </c>
      <c r="B3" s="619"/>
      <c r="C3" s="619"/>
      <c r="D3" s="619"/>
      <c r="E3" s="619"/>
      <c r="F3" s="619"/>
      <c r="G3" s="619"/>
      <c r="H3" s="619"/>
      <c r="I3" s="619"/>
      <c r="J3" s="619"/>
      <c r="K3" s="619"/>
      <c r="L3" s="619"/>
      <c r="M3" s="619"/>
      <c r="N3" s="619"/>
      <c r="O3" s="619"/>
    </row>
    <row r="4" spans="1:15" ht="18" customHeight="1">
      <c r="A4" s="620" t="s">
        <v>2</v>
      </c>
      <c r="B4" s="619"/>
      <c r="C4" s="619"/>
      <c r="D4" s="619"/>
      <c r="E4" s="619"/>
      <c r="F4" s="619"/>
      <c r="G4" s="619"/>
      <c r="H4" s="619"/>
      <c r="I4" s="619"/>
      <c r="J4" s="619"/>
      <c r="K4" s="619"/>
      <c r="L4" s="619"/>
      <c r="M4" s="619"/>
      <c r="N4" s="619"/>
      <c r="O4" s="619"/>
    </row>
    <row r="5" spans="1:15" ht="18" customHeight="1">
      <c r="A5" s="16"/>
      <c r="B5" s="17"/>
      <c r="C5" s="18"/>
      <c r="D5" s="12"/>
      <c r="E5" s="12"/>
      <c r="F5" s="12"/>
      <c r="G5" s="12"/>
      <c r="H5" s="12"/>
      <c r="I5" s="12"/>
      <c r="J5" s="12"/>
      <c r="K5" s="12"/>
      <c r="L5" s="12"/>
      <c r="M5" s="404" t="s">
        <v>32</v>
      </c>
      <c r="N5" s="405" t="s">
        <v>4</v>
      </c>
      <c r="O5" s="12"/>
    </row>
    <row r="6" spans="1:15" ht="18" customHeight="1">
      <c r="A6" s="13"/>
      <c r="B6" s="17"/>
      <c r="C6" s="18"/>
      <c r="D6" s="12"/>
      <c r="E6" s="12"/>
      <c r="F6" s="12"/>
      <c r="G6" s="12"/>
      <c r="H6" s="12"/>
      <c r="I6" s="12"/>
      <c r="J6" s="12"/>
      <c r="K6" s="12"/>
      <c r="L6" s="12"/>
      <c r="M6" s="404" t="s">
        <v>33</v>
      </c>
      <c r="N6" s="406" t="s">
        <v>6</v>
      </c>
      <c r="O6" s="180" t="s">
        <v>7</v>
      </c>
    </row>
    <row r="7" spans="1:15" ht="18" customHeight="1">
      <c r="A7" s="13" t="s">
        <v>228</v>
      </c>
      <c r="B7" s="54"/>
      <c r="C7" s="13"/>
      <c r="D7" s="12"/>
      <c r="E7" s="12"/>
      <c r="F7" s="12"/>
      <c r="G7" s="12"/>
      <c r="H7" s="12"/>
      <c r="I7" s="12"/>
      <c r="J7" s="12"/>
      <c r="K7" s="12"/>
      <c r="L7" s="12"/>
      <c r="M7" s="55"/>
      <c r="N7" s="56"/>
      <c r="O7" s="12"/>
    </row>
    <row r="8" spans="1:15" ht="18" customHeight="1">
      <c r="A8" s="13"/>
      <c r="B8" s="13" t="s">
        <v>289</v>
      </c>
      <c r="C8" s="13"/>
      <c r="D8" s="18"/>
      <c r="E8" s="18"/>
      <c r="F8" s="18"/>
      <c r="G8" s="18"/>
      <c r="H8" s="18"/>
      <c r="I8" s="18"/>
      <c r="J8" s="18"/>
      <c r="K8" s="18"/>
      <c r="L8" s="18"/>
      <c r="M8" s="18"/>
      <c r="N8" s="18"/>
      <c r="O8" s="12"/>
    </row>
    <row r="9" spans="1:15" ht="18" customHeight="1">
      <c r="A9" s="13"/>
      <c r="B9" s="54"/>
      <c r="C9" s="13" t="s">
        <v>290</v>
      </c>
      <c r="D9" s="18"/>
      <c r="E9" s="18"/>
      <c r="F9" s="18"/>
      <c r="G9" s="18"/>
      <c r="H9" s="18"/>
      <c r="I9" s="18"/>
      <c r="J9" s="18"/>
      <c r="K9" s="18"/>
      <c r="L9" s="18"/>
      <c r="M9" s="18"/>
      <c r="N9" s="18"/>
      <c r="O9" s="12"/>
    </row>
    <row r="10" spans="1:15" s="28" customFormat="1" ht="18" customHeight="1">
      <c r="A10" s="18"/>
      <c r="B10" s="18"/>
      <c r="C10" s="776"/>
      <c r="D10" s="744" t="s">
        <v>177</v>
      </c>
      <c r="E10" s="744"/>
      <c r="F10" s="745"/>
      <c r="G10" s="746" t="s">
        <v>178</v>
      </c>
      <c r="H10" s="747"/>
      <c r="I10" s="747"/>
      <c r="J10" s="747"/>
      <c r="K10" s="747"/>
      <c r="L10" s="747"/>
      <c r="M10" s="747"/>
      <c r="N10" s="748" t="s">
        <v>109</v>
      </c>
      <c r="O10" s="18"/>
    </row>
    <row r="11" spans="1:15" s="28" customFormat="1" ht="18" customHeight="1">
      <c r="A11" s="18"/>
      <c r="B11" s="18"/>
      <c r="C11" s="777"/>
      <c r="D11" s="250" t="s">
        <v>152</v>
      </c>
      <c r="E11" s="250" t="s">
        <v>153</v>
      </c>
      <c r="F11" s="251" t="s">
        <v>14</v>
      </c>
      <c r="G11" s="252" t="s">
        <v>154</v>
      </c>
      <c r="H11" s="250" t="s">
        <v>155</v>
      </c>
      <c r="I11" s="250" t="s">
        <v>156</v>
      </c>
      <c r="J11" s="250" t="s">
        <v>157</v>
      </c>
      <c r="K11" s="250" t="s">
        <v>158</v>
      </c>
      <c r="L11" s="250" t="s">
        <v>159</v>
      </c>
      <c r="M11" s="251" t="s">
        <v>14</v>
      </c>
      <c r="N11" s="749"/>
      <c r="O11" s="18"/>
    </row>
    <row r="12" spans="1:15" s="28" customFormat="1" ht="18" customHeight="1">
      <c r="A12" s="38"/>
      <c r="B12" s="39"/>
      <c r="C12" s="259" t="s">
        <v>291</v>
      </c>
      <c r="D12" s="407">
        <v>0</v>
      </c>
      <c r="E12" s="407">
        <v>0</v>
      </c>
      <c r="F12" s="408">
        <f t="shared" ref="F12:F18" si="0">D12+E12</f>
        <v>0</v>
      </c>
      <c r="G12" s="409"/>
      <c r="H12" s="407">
        <v>0</v>
      </c>
      <c r="I12" s="407">
        <v>0</v>
      </c>
      <c r="J12" s="407">
        <v>0</v>
      </c>
      <c r="K12" s="407">
        <v>0</v>
      </c>
      <c r="L12" s="407">
        <v>0</v>
      </c>
      <c r="M12" s="408">
        <f t="shared" ref="M12:M18" si="1">+SUM(G12:L12)</f>
        <v>0</v>
      </c>
      <c r="N12" s="410">
        <f t="shared" ref="N12:N18" si="2">F12+M12</f>
        <v>0</v>
      </c>
      <c r="O12" s="18"/>
    </row>
    <row r="13" spans="1:15" s="28" customFormat="1" ht="18" customHeight="1">
      <c r="A13" s="38"/>
      <c r="B13" s="39"/>
      <c r="C13" s="411" t="s">
        <v>292</v>
      </c>
      <c r="D13" s="407">
        <v>0</v>
      </c>
      <c r="E13" s="407">
        <v>0</v>
      </c>
      <c r="F13" s="408">
        <f t="shared" si="0"/>
        <v>0</v>
      </c>
      <c r="G13" s="409"/>
      <c r="H13" s="407">
        <v>0</v>
      </c>
      <c r="I13" s="407">
        <v>0</v>
      </c>
      <c r="J13" s="407">
        <v>0</v>
      </c>
      <c r="K13" s="407">
        <v>0</v>
      </c>
      <c r="L13" s="407">
        <v>0</v>
      </c>
      <c r="M13" s="408">
        <f t="shared" si="1"/>
        <v>0</v>
      </c>
      <c r="N13" s="410">
        <f t="shared" si="2"/>
        <v>0</v>
      </c>
      <c r="O13" s="18"/>
    </row>
    <row r="14" spans="1:15" s="28" customFormat="1" ht="18" customHeight="1">
      <c r="A14" s="38"/>
      <c r="B14" s="39"/>
      <c r="C14" s="411" t="s">
        <v>293</v>
      </c>
      <c r="D14" s="407">
        <v>0</v>
      </c>
      <c r="E14" s="407">
        <v>0</v>
      </c>
      <c r="F14" s="408">
        <f t="shared" si="0"/>
        <v>0</v>
      </c>
      <c r="G14" s="409"/>
      <c r="H14" s="407">
        <v>0</v>
      </c>
      <c r="I14" s="407">
        <v>0</v>
      </c>
      <c r="J14" s="407">
        <v>0</v>
      </c>
      <c r="K14" s="407">
        <v>0</v>
      </c>
      <c r="L14" s="407">
        <v>0</v>
      </c>
      <c r="M14" s="408">
        <f t="shared" si="1"/>
        <v>0</v>
      </c>
      <c r="N14" s="410">
        <f t="shared" si="2"/>
        <v>0</v>
      </c>
      <c r="O14" s="18"/>
    </row>
    <row r="15" spans="1:15" s="28" customFormat="1" ht="18" customHeight="1">
      <c r="A15" s="38"/>
      <c r="B15" s="39"/>
      <c r="C15" s="411" t="s">
        <v>294</v>
      </c>
      <c r="D15" s="407">
        <v>0</v>
      </c>
      <c r="E15" s="407">
        <v>0</v>
      </c>
      <c r="F15" s="408">
        <f t="shared" si="0"/>
        <v>0</v>
      </c>
      <c r="G15" s="409"/>
      <c r="H15" s="407">
        <v>0</v>
      </c>
      <c r="I15" s="407">
        <v>0</v>
      </c>
      <c r="J15" s="407">
        <v>0</v>
      </c>
      <c r="K15" s="407">
        <v>0</v>
      </c>
      <c r="L15" s="407">
        <v>0</v>
      </c>
      <c r="M15" s="408">
        <f t="shared" si="1"/>
        <v>0</v>
      </c>
      <c r="N15" s="410">
        <f t="shared" si="2"/>
        <v>0</v>
      </c>
      <c r="O15" s="18"/>
    </row>
    <row r="16" spans="1:15" s="28" customFormat="1" ht="18" customHeight="1">
      <c r="A16" s="38"/>
      <c r="B16" s="39"/>
      <c r="C16" s="259" t="s">
        <v>295</v>
      </c>
      <c r="D16" s="407">
        <v>0</v>
      </c>
      <c r="E16" s="407">
        <v>0</v>
      </c>
      <c r="F16" s="408">
        <f t="shared" si="0"/>
        <v>0</v>
      </c>
      <c r="G16" s="409"/>
      <c r="H16" s="407">
        <v>0</v>
      </c>
      <c r="I16" s="407">
        <v>0</v>
      </c>
      <c r="J16" s="407">
        <v>0</v>
      </c>
      <c r="K16" s="407">
        <v>0</v>
      </c>
      <c r="L16" s="407">
        <v>0</v>
      </c>
      <c r="M16" s="408">
        <f t="shared" si="1"/>
        <v>0</v>
      </c>
      <c r="N16" s="410">
        <f t="shared" si="2"/>
        <v>0</v>
      </c>
      <c r="O16" s="18"/>
    </row>
    <row r="17" spans="1:15" s="28" customFormat="1" ht="18" customHeight="1">
      <c r="A17" s="38"/>
      <c r="B17" s="39"/>
      <c r="C17" s="259" t="s">
        <v>27</v>
      </c>
      <c r="D17" s="407">
        <v>0</v>
      </c>
      <c r="E17" s="407">
        <v>0</v>
      </c>
      <c r="F17" s="408">
        <f t="shared" si="0"/>
        <v>0</v>
      </c>
      <c r="G17" s="409"/>
      <c r="H17" s="407">
        <v>0</v>
      </c>
      <c r="I17" s="407">
        <v>0</v>
      </c>
      <c r="J17" s="407">
        <v>0</v>
      </c>
      <c r="K17" s="407">
        <v>0</v>
      </c>
      <c r="L17" s="407">
        <v>0</v>
      </c>
      <c r="M17" s="408">
        <f t="shared" si="1"/>
        <v>0</v>
      </c>
      <c r="N17" s="410">
        <f t="shared" si="2"/>
        <v>0</v>
      </c>
      <c r="O17" s="18"/>
    </row>
    <row r="18" spans="1:15" s="28" customFormat="1" ht="18" customHeight="1">
      <c r="A18" s="18"/>
      <c r="B18" s="18"/>
      <c r="C18" s="260" t="s">
        <v>244</v>
      </c>
      <c r="D18" s="412">
        <f>SUM(D12:D17)</f>
        <v>0</v>
      </c>
      <c r="E18" s="412">
        <f>SUM(E12:E17)</f>
        <v>0</v>
      </c>
      <c r="F18" s="413">
        <f t="shared" si="0"/>
        <v>0</v>
      </c>
      <c r="G18" s="414"/>
      <c r="H18" s="412">
        <f>SUM(H12:H17)</f>
        <v>0</v>
      </c>
      <c r="I18" s="412">
        <f>SUM(I12:I17)</f>
        <v>0</v>
      </c>
      <c r="J18" s="412">
        <f>SUM(J12:J17)</f>
        <v>0</v>
      </c>
      <c r="K18" s="412">
        <f>SUM(K12:K17)</f>
        <v>0</v>
      </c>
      <c r="L18" s="412">
        <f>SUM(L12:L17)</f>
        <v>0</v>
      </c>
      <c r="M18" s="413">
        <f t="shared" si="1"/>
        <v>0</v>
      </c>
      <c r="N18" s="415">
        <f t="shared" si="2"/>
        <v>0</v>
      </c>
      <c r="O18" s="18"/>
    </row>
    <row r="19" spans="1:15" s="28" customFormat="1" ht="12" customHeight="1">
      <c r="A19" s="18"/>
      <c r="B19" s="18"/>
      <c r="C19" s="18"/>
      <c r="D19" s="18"/>
      <c r="E19" s="18"/>
      <c r="F19" s="18"/>
      <c r="G19" s="18"/>
      <c r="H19" s="18"/>
      <c r="I19" s="18"/>
      <c r="J19" s="18"/>
      <c r="K19" s="18"/>
      <c r="L19" s="18"/>
      <c r="M19" s="18"/>
      <c r="N19" s="18"/>
      <c r="O19" s="18"/>
    </row>
    <row r="20" spans="1:15" s="28" customFormat="1" ht="18" customHeight="1">
      <c r="A20" s="18"/>
      <c r="B20" s="18"/>
      <c r="C20" s="13" t="s">
        <v>296</v>
      </c>
      <c r="D20" s="18"/>
      <c r="E20" s="18"/>
      <c r="F20" s="18"/>
      <c r="G20" s="18"/>
      <c r="H20" s="18"/>
      <c r="I20" s="18"/>
      <c r="J20" s="18"/>
      <c r="K20" s="18"/>
      <c r="L20" s="18"/>
      <c r="M20" s="18"/>
      <c r="N20" s="18"/>
      <c r="O20" s="18"/>
    </row>
    <row r="21" spans="1:15" s="28" customFormat="1" ht="18" customHeight="1">
      <c r="A21" s="38"/>
      <c r="B21" s="39"/>
      <c r="C21" s="776"/>
      <c r="D21" s="744" t="s">
        <v>177</v>
      </c>
      <c r="E21" s="744"/>
      <c r="F21" s="745"/>
      <c r="G21" s="746" t="s">
        <v>178</v>
      </c>
      <c r="H21" s="747"/>
      <c r="I21" s="747"/>
      <c r="J21" s="747"/>
      <c r="K21" s="747"/>
      <c r="L21" s="747"/>
      <c r="M21" s="747"/>
      <c r="N21" s="748" t="s">
        <v>109</v>
      </c>
      <c r="O21" s="18"/>
    </row>
    <row r="22" spans="1:15" s="28" customFormat="1" ht="18" customHeight="1">
      <c r="A22" s="38"/>
      <c r="B22" s="39"/>
      <c r="C22" s="777"/>
      <c r="D22" s="250" t="s">
        <v>152</v>
      </c>
      <c r="E22" s="250" t="s">
        <v>153</v>
      </c>
      <c r="F22" s="251" t="s">
        <v>14</v>
      </c>
      <c r="G22" s="252" t="s">
        <v>154</v>
      </c>
      <c r="H22" s="250" t="s">
        <v>155</v>
      </c>
      <c r="I22" s="250" t="s">
        <v>156</v>
      </c>
      <c r="J22" s="250" t="s">
        <v>157</v>
      </c>
      <c r="K22" s="250" t="s">
        <v>158</v>
      </c>
      <c r="L22" s="250" t="s">
        <v>159</v>
      </c>
      <c r="M22" s="251" t="s">
        <v>14</v>
      </c>
      <c r="N22" s="749"/>
      <c r="O22" s="18"/>
    </row>
    <row r="23" spans="1:15" s="28" customFormat="1" ht="18" customHeight="1">
      <c r="A23" s="18"/>
      <c r="B23" s="18"/>
      <c r="C23" s="259" t="s">
        <v>291</v>
      </c>
      <c r="D23" s="407">
        <v>0</v>
      </c>
      <c r="E23" s="407">
        <v>0</v>
      </c>
      <c r="F23" s="408">
        <f t="shared" ref="F23:F29" si="3">D23+E23</f>
        <v>0</v>
      </c>
      <c r="G23" s="194"/>
      <c r="H23" s="407">
        <v>0</v>
      </c>
      <c r="I23" s="407">
        <v>0</v>
      </c>
      <c r="J23" s="407">
        <v>0</v>
      </c>
      <c r="K23" s="407">
        <v>0</v>
      </c>
      <c r="L23" s="407">
        <v>0</v>
      </c>
      <c r="M23" s="408">
        <f t="shared" ref="M23:M29" si="4">+SUM(G23:L23)</f>
        <v>0</v>
      </c>
      <c r="N23" s="410">
        <f t="shared" ref="N23:N29" si="5">F23+M23</f>
        <v>0</v>
      </c>
      <c r="O23" s="18"/>
    </row>
    <row r="24" spans="1:15" s="28" customFormat="1" ht="18" customHeight="1">
      <c r="A24" s="18"/>
      <c r="B24" s="18"/>
      <c r="C24" s="411" t="s">
        <v>292</v>
      </c>
      <c r="D24" s="407">
        <v>0</v>
      </c>
      <c r="E24" s="407">
        <v>0</v>
      </c>
      <c r="F24" s="408">
        <f t="shared" si="3"/>
        <v>0</v>
      </c>
      <c r="G24" s="194"/>
      <c r="H24" s="407">
        <v>0</v>
      </c>
      <c r="I24" s="407">
        <v>0</v>
      </c>
      <c r="J24" s="407">
        <v>0</v>
      </c>
      <c r="K24" s="407">
        <v>0</v>
      </c>
      <c r="L24" s="407">
        <v>0</v>
      </c>
      <c r="M24" s="408">
        <f t="shared" si="4"/>
        <v>0</v>
      </c>
      <c r="N24" s="410">
        <f t="shared" si="5"/>
        <v>0</v>
      </c>
      <c r="O24" s="18"/>
    </row>
    <row r="25" spans="1:15" s="53" customFormat="1" ht="18" customHeight="1">
      <c r="A25" s="18"/>
      <c r="B25" s="18"/>
      <c r="C25" s="411" t="s">
        <v>293</v>
      </c>
      <c r="D25" s="407">
        <v>0</v>
      </c>
      <c r="E25" s="407">
        <v>0</v>
      </c>
      <c r="F25" s="408">
        <f t="shared" si="3"/>
        <v>0</v>
      </c>
      <c r="G25" s="194"/>
      <c r="H25" s="407">
        <v>0</v>
      </c>
      <c r="I25" s="407">
        <v>0</v>
      </c>
      <c r="J25" s="407">
        <v>0</v>
      </c>
      <c r="K25" s="407">
        <v>0</v>
      </c>
      <c r="L25" s="407">
        <v>0</v>
      </c>
      <c r="M25" s="408">
        <f t="shared" si="4"/>
        <v>0</v>
      </c>
      <c r="N25" s="410">
        <f t="shared" si="5"/>
        <v>0</v>
      </c>
      <c r="O25" s="18"/>
    </row>
    <row r="26" spans="1:15" s="28" customFormat="1" ht="18" customHeight="1">
      <c r="A26" s="18"/>
      <c r="B26" s="18"/>
      <c r="C26" s="411" t="s">
        <v>294</v>
      </c>
      <c r="D26" s="407">
        <v>0</v>
      </c>
      <c r="E26" s="407">
        <v>0</v>
      </c>
      <c r="F26" s="408">
        <f t="shared" si="3"/>
        <v>0</v>
      </c>
      <c r="G26" s="194"/>
      <c r="H26" s="407">
        <v>0</v>
      </c>
      <c r="I26" s="407">
        <v>0</v>
      </c>
      <c r="J26" s="407">
        <v>0</v>
      </c>
      <c r="K26" s="407">
        <v>0</v>
      </c>
      <c r="L26" s="407">
        <v>0</v>
      </c>
      <c r="M26" s="408">
        <f t="shared" si="4"/>
        <v>0</v>
      </c>
      <c r="N26" s="410">
        <f t="shared" si="5"/>
        <v>0</v>
      </c>
      <c r="O26" s="18"/>
    </row>
    <row r="27" spans="1:15" s="28" customFormat="1" ht="18" customHeight="1">
      <c r="A27" s="18"/>
      <c r="B27" s="18"/>
      <c r="C27" s="411" t="s">
        <v>295</v>
      </c>
      <c r="D27" s="407">
        <v>0</v>
      </c>
      <c r="E27" s="407">
        <v>0</v>
      </c>
      <c r="F27" s="408">
        <f t="shared" si="3"/>
        <v>0</v>
      </c>
      <c r="G27" s="409"/>
      <c r="H27" s="407">
        <v>0</v>
      </c>
      <c r="I27" s="407">
        <v>0</v>
      </c>
      <c r="J27" s="407">
        <v>0</v>
      </c>
      <c r="K27" s="407">
        <v>0</v>
      </c>
      <c r="L27" s="407">
        <v>0</v>
      </c>
      <c r="M27" s="408">
        <f t="shared" si="4"/>
        <v>0</v>
      </c>
      <c r="N27" s="410">
        <f t="shared" si="5"/>
        <v>0</v>
      </c>
      <c r="O27" s="18"/>
    </row>
    <row r="28" spans="1:15" s="28" customFormat="1" ht="18" customHeight="1">
      <c r="A28" s="38"/>
      <c r="B28" s="39"/>
      <c r="C28" s="259" t="s">
        <v>27</v>
      </c>
      <c r="D28" s="407">
        <v>0</v>
      </c>
      <c r="E28" s="407">
        <v>0</v>
      </c>
      <c r="F28" s="408">
        <f t="shared" si="3"/>
        <v>0</v>
      </c>
      <c r="G28" s="194"/>
      <c r="H28" s="407">
        <v>0</v>
      </c>
      <c r="I28" s="407">
        <v>0</v>
      </c>
      <c r="J28" s="407">
        <v>0</v>
      </c>
      <c r="K28" s="407">
        <v>0</v>
      </c>
      <c r="L28" s="407">
        <v>0</v>
      </c>
      <c r="M28" s="408">
        <f t="shared" si="4"/>
        <v>0</v>
      </c>
      <c r="N28" s="410">
        <f t="shared" si="5"/>
        <v>0</v>
      </c>
      <c r="O28" s="18"/>
    </row>
    <row r="29" spans="1:15" s="28" customFormat="1" ht="18" customHeight="1">
      <c r="A29" s="38"/>
      <c r="B29" s="39"/>
      <c r="C29" s="260" t="s">
        <v>244</v>
      </c>
      <c r="D29" s="412">
        <f>SUM(D23:D28)</f>
        <v>0</v>
      </c>
      <c r="E29" s="412">
        <f>SUM(E23:E28)</f>
        <v>0</v>
      </c>
      <c r="F29" s="413">
        <f t="shared" si="3"/>
        <v>0</v>
      </c>
      <c r="G29" s="416"/>
      <c r="H29" s="412">
        <f>SUM(H23:H28)</f>
        <v>0</v>
      </c>
      <c r="I29" s="412">
        <f>SUM(I23:I28)</f>
        <v>0</v>
      </c>
      <c r="J29" s="412">
        <f>SUM(J23:J28)</f>
        <v>0</v>
      </c>
      <c r="K29" s="412">
        <f>SUM(K23:K28)</f>
        <v>0</v>
      </c>
      <c r="L29" s="412">
        <f>SUM(L23:L28)</f>
        <v>0</v>
      </c>
      <c r="M29" s="413">
        <f t="shared" si="4"/>
        <v>0</v>
      </c>
      <c r="N29" s="415">
        <f t="shared" si="5"/>
        <v>0</v>
      </c>
      <c r="O29" s="18"/>
    </row>
    <row r="30" spans="1:15" s="28" customFormat="1" ht="12" customHeight="1">
      <c r="A30" s="38"/>
      <c r="B30" s="39"/>
      <c r="C30" s="18"/>
      <c r="D30" s="18"/>
      <c r="E30" s="18"/>
      <c r="F30" s="18"/>
      <c r="G30" s="18"/>
      <c r="H30" s="18"/>
      <c r="I30" s="18"/>
      <c r="J30" s="18"/>
      <c r="K30" s="18"/>
      <c r="L30" s="18"/>
      <c r="M30" s="18"/>
      <c r="N30" s="18"/>
      <c r="O30" s="18"/>
    </row>
    <row r="31" spans="1:15" s="28" customFormat="1" ht="21" customHeight="1">
      <c r="A31" s="18"/>
      <c r="B31" s="18"/>
      <c r="C31" s="13" t="s">
        <v>297</v>
      </c>
      <c r="D31" s="18"/>
      <c r="E31" s="18"/>
      <c r="F31" s="18"/>
      <c r="G31" s="18"/>
      <c r="H31" s="18"/>
      <c r="I31" s="18"/>
      <c r="J31" s="18"/>
      <c r="K31" s="18"/>
      <c r="L31" s="18"/>
      <c r="M31" s="18"/>
      <c r="N31" s="18"/>
      <c r="O31" s="18"/>
    </row>
    <row r="32" spans="1:15" s="28" customFormat="1" ht="18" customHeight="1">
      <c r="A32" s="38"/>
      <c r="B32" s="39"/>
      <c r="C32" s="776"/>
      <c r="D32" s="744" t="s">
        <v>177</v>
      </c>
      <c r="E32" s="744"/>
      <c r="F32" s="745"/>
      <c r="G32" s="746" t="s">
        <v>178</v>
      </c>
      <c r="H32" s="747"/>
      <c r="I32" s="747"/>
      <c r="J32" s="747"/>
      <c r="K32" s="747"/>
      <c r="L32" s="747"/>
      <c r="M32" s="747"/>
      <c r="N32" s="748" t="s">
        <v>109</v>
      </c>
      <c r="O32" s="18"/>
    </row>
    <row r="33" spans="1:15" s="28" customFormat="1" ht="18" customHeight="1">
      <c r="A33" s="38"/>
      <c r="B33" s="39"/>
      <c r="C33" s="777"/>
      <c r="D33" s="250" t="s">
        <v>152</v>
      </c>
      <c r="E33" s="250" t="s">
        <v>153</v>
      </c>
      <c r="F33" s="251" t="s">
        <v>14</v>
      </c>
      <c r="G33" s="252" t="s">
        <v>154</v>
      </c>
      <c r="H33" s="250" t="s">
        <v>155</v>
      </c>
      <c r="I33" s="250" t="s">
        <v>156</v>
      </c>
      <c r="J33" s="250" t="s">
        <v>157</v>
      </c>
      <c r="K33" s="250" t="s">
        <v>158</v>
      </c>
      <c r="L33" s="250" t="s">
        <v>159</v>
      </c>
      <c r="M33" s="251" t="s">
        <v>14</v>
      </c>
      <c r="N33" s="749"/>
      <c r="O33" s="18"/>
    </row>
    <row r="34" spans="1:15" s="28" customFormat="1" ht="18" customHeight="1">
      <c r="A34" s="18"/>
      <c r="B34" s="18"/>
      <c r="C34" s="259" t="s">
        <v>291</v>
      </c>
      <c r="D34" s="407">
        <v>0</v>
      </c>
      <c r="E34" s="407">
        <v>0</v>
      </c>
      <c r="F34" s="408">
        <f t="shared" ref="F34:F40" si="6">D34+E34</f>
        <v>0</v>
      </c>
      <c r="G34" s="194"/>
      <c r="H34" s="407">
        <v>0</v>
      </c>
      <c r="I34" s="407">
        <v>0</v>
      </c>
      <c r="J34" s="407">
        <v>0</v>
      </c>
      <c r="K34" s="407">
        <v>0</v>
      </c>
      <c r="L34" s="407">
        <v>0</v>
      </c>
      <c r="M34" s="408">
        <f t="shared" ref="M34:M40" si="7">+SUM(G34:L34)</f>
        <v>0</v>
      </c>
      <c r="N34" s="410">
        <f t="shared" ref="N34:N40" si="8">F34+M34</f>
        <v>0</v>
      </c>
      <c r="O34" s="18"/>
    </row>
    <row r="35" spans="1:15" s="28" customFormat="1" ht="18" customHeight="1">
      <c r="A35" s="18"/>
      <c r="B35" s="18"/>
      <c r="C35" s="411" t="s">
        <v>292</v>
      </c>
      <c r="D35" s="407">
        <v>0</v>
      </c>
      <c r="E35" s="407">
        <v>0</v>
      </c>
      <c r="F35" s="408">
        <f t="shared" si="6"/>
        <v>0</v>
      </c>
      <c r="G35" s="194"/>
      <c r="H35" s="407">
        <v>0</v>
      </c>
      <c r="I35" s="407">
        <v>0</v>
      </c>
      <c r="J35" s="407">
        <v>0</v>
      </c>
      <c r="K35" s="407">
        <v>0</v>
      </c>
      <c r="L35" s="407">
        <v>0</v>
      </c>
      <c r="M35" s="408">
        <f t="shared" si="7"/>
        <v>0</v>
      </c>
      <c r="N35" s="410">
        <f t="shared" si="8"/>
        <v>0</v>
      </c>
      <c r="O35" s="18"/>
    </row>
    <row r="36" spans="1:15" s="53" customFormat="1" ht="18" customHeight="1">
      <c r="A36" s="18"/>
      <c r="B36" s="18"/>
      <c r="C36" s="411" t="s">
        <v>293</v>
      </c>
      <c r="D36" s="407">
        <v>0</v>
      </c>
      <c r="E36" s="407">
        <v>0</v>
      </c>
      <c r="F36" s="408">
        <f t="shared" si="6"/>
        <v>0</v>
      </c>
      <c r="G36" s="194"/>
      <c r="H36" s="407">
        <v>0</v>
      </c>
      <c r="I36" s="407">
        <v>0</v>
      </c>
      <c r="J36" s="407">
        <v>0</v>
      </c>
      <c r="K36" s="407">
        <v>0</v>
      </c>
      <c r="L36" s="407">
        <v>0</v>
      </c>
      <c r="M36" s="408">
        <f t="shared" si="7"/>
        <v>0</v>
      </c>
      <c r="N36" s="410">
        <f t="shared" si="8"/>
        <v>0</v>
      </c>
      <c r="O36" s="18"/>
    </row>
    <row r="37" spans="1:15" s="28" customFormat="1" ht="18" customHeight="1">
      <c r="A37" s="18"/>
      <c r="B37" s="18"/>
      <c r="C37" s="411" t="s">
        <v>294</v>
      </c>
      <c r="D37" s="407">
        <v>0</v>
      </c>
      <c r="E37" s="407">
        <v>0</v>
      </c>
      <c r="F37" s="408">
        <f t="shared" si="6"/>
        <v>0</v>
      </c>
      <c r="G37" s="194"/>
      <c r="H37" s="407">
        <v>0</v>
      </c>
      <c r="I37" s="407">
        <v>0</v>
      </c>
      <c r="J37" s="407">
        <v>0</v>
      </c>
      <c r="K37" s="407">
        <v>0</v>
      </c>
      <c r="L37" s="407">
        <v>0</v>
      </c>
      <c r="M37" s="408">
        <f t="shared" si="7"/>
        <v>0</v>
      </c>
      <c r="N37" s="410">
        <f t="shared" si="8"/>
        <v>0</v>
      </c>
      <c r="O37" s="18"/>
    </row>
    <row r="38" spans="1:15" s="28" customFormat="1" ht="18" customHeight="1">
      <c r="A38" s="18"/>
      <c r="B38" s="18"/>
      <c r="C38" s="411" t="s">
        <v>295</v>
      </c>
      <c r="D38" s="407">
        <v>0</v>
      </c>
      <c r="E38" s="407">
        <v>0</v>
      </c>
      <c r="F38" s="408">
        <f t="shared" si="6"/>
        <v>0</v>
      </c>
      <c r="G38" s="409"/>
      <c r="H38" s="407">
        <v>0</v>
      </c>
      <c r="I38" s="407">
        <v>0</v>
      </c>
      <c r="J38" s="407">
        <v>0</v>
      </c>
      <c r="K38" s="407">
        <v>0</v>
      </c>
      <c r="L38" s="407">
        <v>0</v>
      </c>
      <c r="M38" s="408">
        <f t="shared" si="7"/>
        <v>0</v>
      </c>
      <c r="N38" s="410">
        <f t="shared" si="8"/>
        <v>0</v>
      </c>
      <c r="O38" s="18"/>
    </row>
    <row r="39" spans="1:15" s="28" customFormat="1" ht="18" customHeight="1">
      <c r="A39" s="38"/>
      <c r="B39" s="39"/>
      <c r="C39" s="259" t="s">
        <v>27</v>
      </c>
      <c r="D39" s="407">
        <v>0</v>
      </c>
      <c r="E39" s="407">
        <v>0</v>
      </c>
      <c r="F39" s="408">
        <f t="shared" si="6"/>
        <v>0</v>
      </c>
      <c r="G39" s="194"/>
      <c r="H39" s="407">
        <v>0</v>
      </c>
      <c r="I39" s="407">
        <v>0</v>
      </c>
      <c r="J39" s="407">
        <v>0</v>
      </c>
      <c r="K39" s="407">
        <v>0</v>
      </c>
      <c r="L39" s="407">
        <v>0</v>
      </c>
      <c r="M39" s="408">
        <f t="shared" si="7"/>
        <v>0</v>
      </c>
      <c r="N39" s="410">
        <f t="shared" si="8"/>
        <v>0</v>
      </c>
      <c r="O39" s="18"/>
    </row>
    <row r="40" spans="1:15" s="28" customFormat="1" ht="18" customHeight="1">
      <c r="A40" s="38"/>
      <c r="B40" s="39"/>
      <c r="C40" s="260" t="s">
        <v>244</v>
      </c>
      <c r="D40" s="412">
        <f>SUM(D34:D39)</f>
        <v>0</v>
      </c>
      <c r="E40" s="412">
        <f>SUM(E34:E39)</f>
        <v>0</v>
      </c>
      <c r="F40" s="413">
        <f t="shared" si="6"/>
        <v>0</v>
      </c>
      <c r="G40" s="416"/>
      <c r="H40" s="412">
        <f>SUM(H34:H39)</f>
        <v>0</v>
      </c>
      <c r="I40" s="412">
        <f>SUM(I34:I39)</f>
        <v>0</v>
      </c>
      <c r="J40" s="412">
        <f>SUM(J34:J39)</f>
        <v>0</v>
      </c>
      <c r="K40" s="412">
        <f>SUM(K34:K39)</f>
        <v>0</v>
      </c>
      <c r="L40" s="412">
        <f>SUM(L34:L39)</f>
        <v>0</v>
      </c>
      <c r="M40" s="413">
        <f t="shared" si="7"/>
        <v>0</v>
      </c>
      <c r="N40" s="415">
        <f t="shared" si="8"/>
        <v>0</v>
      </c>
      <c r="O40" s="18"/>
    </row>
    <row r="41" spans="1:15" s="28" customFormat="1" ht="12" customHeight="1">
      <c r="A41" s="38"/>
      <c r="B41" s="39"/>
      <c r="C41" s="18"/>
      <c r="D41" s="18"/>
      <c r="E41" s="18"/>
      <c r="F41" s="18"/>
      <c r="G41" s="18"/>
      <c r="H41" s="18"/>
      <c r="I41" s="18"/>
      <c r="J41" s="18"/>
      <c r="K41" s="18"/>
      <c r="L41" s="18"/>
      <c r="M41" s="18"/>
      <c r="N41" s="18"/>
      <c r="O41" s="18"/>
    </row>
  </sheetData>
  <sheetProtection selectLockedCells="1" selectUnlockedCells="1"/>
  <mergeCells count="14">
    <mergeCell ref="A3:O3"/>
    <mergeCell ref="A4:O4"/>
    <mergeCell ref="C10:C11"/>
    <mergeCell ref="D10:F10"/>
    <mergeCell ref="G10:M10"/>
    <mergeCell ref="N10:N11"/>
    <mergeCell ref="C21:C22"/>
    <mergeCell ref="D21:F21"/>
    <mergeCell ref="G21:M21"/>
    <mergeCell ref="N21:N22"/>
    <mergeCell ref="C32:C33"/>
    <mergeCell ref="D32:F32"/>
    <mergeCell ref="G32:M32"/>
    <mergeCell ref="N32:N33"/>
  </mergeCells>
  <phoneticPr fontId="34"/>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28"/>
  <sheetViews>
    <sheetView workbookViewId="0"/>
  </sheetViews>
  <sheetFormatPr defaultRowHeight="0" customHeight="1" zeroHeight="1"/>
  <cols>
    <col min="1" max="1" width="1" style="15" customWidth="1"/>
    <col min="2" max="3" width="2.26953125" style="15" customWidth="1"/>
    <col min="4" max="5" width="13.86328125" style="15" customWidth="1"/>
    <col min="6" max="11" width="14.40625" style="15" customWidth="1"/>
    <col min="12" max="12" width="4" style="15" customWidth="1"/>
  </cols>
  <sheetData>
    <row r="1" spans="1:12" ht="18" customHeight="1">
      <c r="A1" s="209" t="s">
        <v>298</v>
      </c>
      <c r="B1" s="13"/>
      <c r="C1" s="13"/>
      <c r="D1" s="12"/>
      <c r="E1" s="12"/>
      <c r="F1" s="12"/>
      <c r="G1" s="12"/>
      <c r="H1" s="12"/>
      <c r="I1" s="12"/>
      <c r="J1" s="12"/>
      <c r="K1" s="12"/>
      <c r="L1" s="119"/>
    </row>
    <row r="2" spans="1:12" ht="18.75" customHeight="1">
      <c r="A2" s="14"/>
      <c r="B2" s="12"/>
      <c r="C2" s="12"/>
      <c r="D2" s="12"/>
      <c r="E2" s="12"/>
      <c r="F2" s="12"/>
      <c r="G2" s="12"/>
      <c r="H2" s="12"/>
      <c r="I2" s="12"/>
      <c r="J2" s="12"/>
      <c r="K2" s="12"/>
      <c r="L2" s="119"/>
    </row>
    <row r="3" spans="1:12" ht="21" customHeight="1">
      <c r="A3" s="14"/>
      <c r="B3" s="619" t="s">
        <v>1</v>
      </c>
      <c r="C3" s="619"/>
      <c r="D3" s="619"/>
      <c r="E3" s="619"/>
      <c r="F3" s="619"/>
      <c r="G3" s="619"/>
      <c r="H3" s="619"/>
      <c r="I3" s="619"/>
      <c r="J3" s="619"/>
      <c r="K3" s="619"/>
      <c r="L3" s="619"/>
    </row>
    <row r="4" spans="1:12" ht="17.25" customHeight="1">
      <c r="A4" s="14"/>
      <c r="B4" s="620" t="s">
        <v>2</v>
      </c>
      <c r="C4" s="619"/>
      <c r="D4" s="619"/>
      <c r="E4" s="619"/>
      <c r="F4" s="619"/>
      <c r="G4" s="619"/>
      <c r="H4" s="619"/>
      <c r="I4" s="619"/>
      <c r="J4" s="619"/>
      <c r="K4" s="619"/>
      <c r="L4" s="619"/>
    </row>
    <row r="5" spans="1:12" ht="21" customHeight="1">
      <c r="A5" s="14"/>
      <c r="B5" s="16"/>
      <c r="C5" s="17"/>
      <c r="D5" s="18"/>
      <c r="E5" s="12"/>
      <c r="F5" s="12"/>
      <c r="G5" s="12"/>
      <c r="H5" s="12"/>
      <c r="I5" s="12"/>
      <c r="J5" s="178" t="s">
        <v>32</v>
      </c>
      <c r="K5" s="179" t="s">
        <v>4</v>
      </c>
      <c r="L5" s="12"/>
    </row>
    <row r="6" spans="1:12" ht="21" customHeight="1">
      <c r="A6" s="14"/>
      <c r="B6" s="13"/>
      <c r="C6" s="17"/>
      <c r="D6" s="18"/>
      <c r="E6" s="12"/>
      <c r="F6" s="12"/>
      <c r="G6" s="12"/>
      <c r="H6" s="12"/>
      <c r="I6" s="12"/>
      <c r="J6" s="178" t="s">
        <v>33</v>
      </c>
      <c r="K6" s="206" t="s">
        <v>6</v>
      </c>
      <c r="L6" s="180" t="s">
        <v>7</v>
      </c>
    </row>
    <row r="7" spans="1:12" ht="21" customHeight="1">
      <c r="A7" s="14"/>
      <c r="B7" s="13" t="s">
        <v>299</v>
      </c>
      <c r="C7" s="16"/>
      <c r="D7" s="18"/>
      <c r="E7" s="18"/>
      <c r="F7" s="18"/>
      <c r="G7" s="18"/>
      <c r="H7" s="18"/>
      <c r="I7" s="18"/>
      <c r="J7" s="18"/>
      <c r="K7" s="18"/>
      <c r="L7" s="18"/>
    </row>
    <row r="8" spans="1:12" ht="12" customHeight="1">
      <c r="A8" s="14"/>
      <c r="B8" s="18"/>
      <c r="C8" s="17"/>
      <c r="D8" s="180"/>
      <c r="E8" s="18"/>
      <c r="F8" s="18"/>
      <c r="G8" s="18"/>
      <c r="H8" s="18"/>
      <c r="I8" s="18"/>
      <c r="J8" s="18"/>
      <c r="K8" s="51" t="s">
        <v>300</v>
      </c>
      <c r="L8" s="18"/>
    </row>
    <row r="9" spans="1:12" s="28" customFormat="1" ht="39.75" customHeight="1">
      <c r="A9" s="23"/>
      <c r="B9" s="18"/>
      <c r="C9" s="18"/>
      <c r="D9" s="784" t="s">
        <v>301</v>
      </c>
      <c r="E9" s="785"/>
      <c r="F9" s="417" t="s">
        <v>302</v>
      </c>
      <c r="G9" s="417" t="s">
        <v>303</v>
      </c>
      <c r="H9" s="417" t="s">
        <v>304</v>
      </c>
      <c r="I9" s="417" t="s">
        <v>305</v>
      </c>
      <c r="J9" s="417" t="s">
        <v>306</v>
      </c>
      <c r="K9" s="418" t="s">
        <v>307</v>
      </c>
      <c r="L9" s="18"/>
    </row>
    <row r="10" spans="1:12" s="28" customFormat="1" ht="21" customHeight="1">
      <c r="A10" s="23"/>
      <c r="B10" s="18"/>
      <c r="C10" s="18"/>
      <c r="D10" s="786" t="s">
        <v>308</v>
      </c>
      <c r="E10" s="419" t="s">
        <v>309</v>
      </c>
      <c r="F10" s="407">
        <v>223123940</v>
      </c>
      <c r="G10" s="407">
        <v>223123940</v>
      </c>
      <c r="H10" s="407">
        <v>173880</v>
      </c>
      <c r="I10" s="420"/>
      <c r="J10" s="420"/>
      <c r="K10" s="421">
        <v>0</v>
      </c>
      <c r="L10" s="18"/>
    </row>
    <row r="11" spans="1:12" s="28" customFormat="1" ht="21" customHeight="1">
      <c r="A11" s="23"/>
      <c r="B11" s="38"/>
      <c r="C11" s="39"/>
      <c r="D11" s="787"/>
      <c r="E11" s="419" t="s">
        <v>310</v>
      </c>
      <c r="F11" s="407">
        <v>19080930</v>
      </c>
      <c r="G11" s="407">
        <v>17879030</v>
      </c>
      <c r="H11" s="407">
        <v>34680</v>
      </c>
      <c r="I11" s="407">
        <v>0</v>
      </c>
      <c r="J11" s="422">
        <f>F11-G11-I11</f>
        <v>1201900</v>
      </c>
      <c r="K11" s="421">
        <v>0</v>
      </c>
      <c r="L11" s="18"/>
    </row>
    <row r="12" spans="1:12" s="28" customFormat="1" ht="21" customHeight="1">
      <c r="A12" s="23"/>
      <c r="B12" s="38"/>
      <c r="C12" s="39"/>
      <c r="D12" s="788"/>
      <c r="E12" s="419" t="s">
        <v>14</v>
      </c>
      <c r="F12" s="422">
        <f>F10+F11</f>
        <v>242204870</v>
      </c>
      <c r="G12" s="422">
        <f>G10+G11</f>
        <v>241002970</v>
      </c>
      <c r="H12" s="422">
        <f>H10+H11</f>
        <v>208560</v>
      </c>
      <c r="I12" s="422">
        <f>I11</f>
        <v>0</v>
      </c>
      <c r="J12" s="422">
        <f>J11</f>
        <v>1201900</v>
      </c>
      <c r="K12" s="423">
        <f>K10+K11</f>
        <v>0</v>
      </c>
      <c r="L12" s="18"/>
    </row>
    <row r="13" spans="1:12" s="28" customFormat="1" ht="21" customHeight="1">
      <c r="A13" s="23"/>
      <c r="B13" s="38"/>
      <c r="C13" s="39"/>
      <c r="D13" s="424" t="s">
        <v>311</v>
      </c>
      <c r="E13" s="419" t="s">
        <v>310</v>
      </c>
      <c r="F13" s="407">
        <v>8369955</v>
      </c>
      <c r="G13" s="407">
        <v>1159104</v>
      </c>
      <c r="H13" s="407">
        <v>0</v>
      </c>
      <c r="I13" s="407">
        <v>192730</v>
      </c>
      <c r="J13" s="422">
        <f>F13-G13-I13</f>
        <v>7018121</v>
      </c>
      <c r="K13" s="421">
        <v>0</v>
      </c>
      <c r="L13" s="18"/>
    </row>
    <row r="14" spans="1:12" s="28" customFormat="1" ht="21" customHeight="1">
      <c r="A14" s="23"/>
      <c r="B14" s="38"/>
      <c r="C14" s="39"/>
      <c r="D14" s="786" t="s">
        <v>312</v>
      </c>
      <c r="E14" s="419" t="s">
        <v>309</v>
      </c>
      <c r="F14" s="422">
        <f>F10</f>
        <v>223123940</v>
      </c>
      <c r="G14" s="422">
        <f>G10</f>
        <v>223123940</v>
      </c>
      <c r="H14" s="422">
        <f>H10</f>
        <v>173880</v>
      </c>
      <c r="I14" s="420"/>
      <c r="J14" s="420"/>
      <c r="K14" s="423">
        <f>K10</f>
        <v>0</v>
      </c>
      <c r="L14" s="18"/>
    </row>
    <row r="15" spans="1:12" s="28" customFormat="1" ht="21" customHeight="1">
      <c r="A15" s="23"/>
      <c r="B15" s="38"/>
      <c r="C15" s="39"/>
      <c r="D15" s="787"/>
      <c r="E15" s="419" t="s">
        <v>310</v>
      </c>
      <c r="F15" s="422">
        <f t="shared" ref="F15:K15" si="0">F11+F13</f>
        <v>27450885</v>
      </c>
      <c r="G15" s="422">
        <f t="shared" si="0"/>
        <v>19038134</v>
      </c>
      <c r="H15" s="422">
        <f t="shared" si="0"/>
        <v>34680</v>
      </c>
      <c r="I15" s="422">
        <f t="shared" si="0"/>
        <v>192730</v>
      </c>
      <c r="J15" s="422">
        <f t="shared" si="0"/>
        <v>8220021</v>
      </c>
      <c r="K15" s="423">
        <f t="shared" si="0"/>
        <v>0</v>
      </c>
      <c r="L15" s="18"/>
    </row>
    <row r="16" spans="1:12" s="28" customFormat="1" ht="21" customHeight="1">
      <c r="A16" s="23"/>
      <c r="B16" s="18"/>
      <c r="C16" s="18"/>
      <c r="D16" s="789"/>
      <c r="E16" s="425" t="s">
        <v>14</v>
      </c>
      <c r="F16" s="412">
        <f>F14+F15</f>
        <v>250574825</v>
      </c>
      <c r="G16" s="412">
        <f>G14+G15</f>
        <v>242162074</v>
      </c>
      <c r="H16" s="412">
        <f>H14+H15</f>
        <v>208560</v>
      </c>
      <c r="I16" s="412">
        <f>I15</f>
        <v>192730</v>
      </c>
      <c r="J16" s="412">
        <f>J15</f>
        <v>8220021</v>
      </c>
      <c r="K16" s="426">
        <f>K14+K15</f>
        <v>0</v>
      </c>
      <c r="L16" s="18"/>
    </row>
    <row r="17" spans="1:12" s="28" customFormat="1" ht="12" customHeight="1">
      <c r="A17" s="23"/>
      <c r="B17" s="18"/>
      <c r="C17" s="18"/>
      <c r="D17" s="18"/>
      <c r="E17" s="18"/>
      <c r="F17" s="18"/>
      <c r="G17" s="18"/>
      <c r="H17" s="18"/>
      <c r="I17" s="18"/>
      <c r="J17" s="18"/>
      <c r="K17" s="18"/>
      <c r="L17" s="18"/>
    </row>
    <row r="18" spans="1:12" s="28" customFormat="1" ht="21" customHeight="1">
      <c r="A18" s="23"/>
      <c r="B18" s="13" t="s">
        <v>313</v>
      </c>
      <c r="C18" s="18"/>
      <c r="D18" s="18"/>
      <c r="E18" s="18"/>
      <c r="F18" s="18"/>
      <c r="G18" s="18"/>
      <c r="H18" s="18"/>
      <c r="I18" s="18"/>
      <c r="J18" s="18"/>
      <c r="K18" s="18"/>
      <c r="L18" s="18"/>
    </row>
    <row r="19" spans="1:12" s="28" customFormat="1" ht="12" customHeight="1">
      <c r="A19" s="23"/>
      <c r="B19" s="18"/>
      <c r="C19" s="18"/>
      <c r="D19" s="180"/>
      <c r="E19" s="18"/>
      <c r="F19" s="18"/>
      <c r="G19" s="18"/>
      <c r="H19" s="18"/>
      <c r="I19" s="18"/>
      <c r="J19" s="51" t="s">
        <v>300</v>
      </c>
      <c r="K19" s="18"/>
      <c r="L19" s="18"/>
    </row>
    <row r="20" spans="1:12" s="28" customFormat="1" ht="39.75" customHeight="1">
      <c r="A20" s="23"/>
      <c r="B20" s="38"/>
      <c r="C20" s="39"/>
      <c r="D20" s="784" t="s">
        <v>301</v>
      </c>
      <c r="E20" s="785"/>
      <c r="F20" s="417" t="s">
        <v>314</v>
      </c>
      <c r="G20" s="417" t="s">
        <v>315</v>
      </c>
      <c r="H20" s="417" t="s">
        <v>316</v>
      </c>
      <c r="I20" s="417" t="s">
        <v>317</v>
      </c>
      <c r="J20" s="427" t="s">
        <v>318</v>
      </c>
      <c r="K20" s="18"/>
      <c r="L20" s="18"/>
    </row>
    <row r="21" spans="1:12" s="28" customFormat="1" ht="21" customHeight="1">
      <c r="A21" s="23"/>
      <c r="B21" s="38"/>
      <c r="C21" s="39"/>
      <c r="D21" s="780" t="s">
        <v>319</v>
      </c>
      <c r="E21" s="781"/>
      <c r="F21" s="407">
        <v>982753997</v>
      </c>
      <c r="G21" s="407">
        <v>982753997</v>
      </c>
      <c r="H21" s="407">
        <v>0</v>
      </c>
      <c r="I21" s="407">
        <v>0</v>
      </c>
      <c r="J21" s="423">
        <f t="shared" ref="J21:J27" si="1">F21-G21+H21+I21</f>
        <v>0</v>
      </c>
      <c r="K21" s="18"/>
      <c r="L21" s="18"/>
    </row>
    <row r="22" spans="1:12" s="28" customFormat="1" ht="21" customHeight="1">
      <c r="A22" s="23"/>
      <c r="B22" s="18"/>
      <c r="C22" s="18"/>
      <c r="D22" s="780" t="s">
        <v>320</v>
      </c>
      <c r="E22" s="781"/>
      <c r="F22" s="407">
        <v>27005382</v>
      </c>
      <c r="G22" s="407">
        <v>27005382</v>
      </c>
      <c r="H22" s="407">
        <v>0</v>
      </c>
      <c r="I22" s="407">
        <v>0</v>
      </c>
      <c r="J22" s="423">
        <f t="shared" si="1"/>
        <v>0</v>
      </c>
      <c r="K22" s="18"/>
      <c r="L22" s="18"/>
    </row>
    <row r="23" spans="1:12" s="28" customFormat="1" ht="21" customHeight="1">
      <c r="A23" s="23"/>
      <c r="B23" s="18"/>
      <c r="C23" s="18"/>
      <c r="D23" s="780" t="s">
        <v>321</v>
      </c>
      <c r="E23" s="781"/>
      <c r="F23" s="407">
        <v>30238272</v>
      </c>
      <c r="G23" s="407">
        <v>30238272</v>
      </c>
      <c r="H23" s="407">
        <v>0</v>
      </c>
      <c r="I23" s="407">
        <v>0</v>
      </c>
      <c r="J23" s="423">
        <f t="shared" si="1"/>
        <v>0</v>
      </c>
      <c r="K23" s="18"/>
      <c r="L23" s="18"/>
    </row>
    <row r="24" spans="1:12" s="53" customFormat="1" ht="21" customHeight="1">
      <c r="A24" s="52"/>
      <c r="B24" s="18"/>
      <c r="C24" s="18"/>
      <c r="D24" s="782" t="s">
        <v>322</v>
      </c>
      <c r="E24" s="783"/>
      <c r="F24" s="407">
        <v>1786877</v>
      </c>
      <c r="G24" s="407">
        <v>1786877</v>
      </c>
      <c r="H24" s="407">
        <v>0</v>
      </c>
      <c r="I24" s="407">
        <v>0</v>
      </c>
      <c r="J24" s="423">
        <f t="shared" si="1"/>
        <v>0</v>
      </c>
      <c r="K24" s="18"/>
      <c r="L24" s="18"/>
    </row>
    <row r="25" spans="1:12" s="28" customFormat="1" ht="21" customHeight="1">
      <c r="A25" s="23"/>
      <c r="B25" s="18"/>
      <c r="C25" s="18"/>
      <c r="D25" s="782" t="s">
        <v>323</v>
      </c>
      <c r="E25" s="783"/>
      <c r="F25" s="407">
        <v>50836225</v>
      </c>
      <c r="G25" s="407">
        <v>50836225</v>
      </c>
      <c r="H25" s="407">
        <v>0</v>
      </c>
      <c r="I25" s="407">
        <v>0</v>
      </c>
      <c r="J25" s="423">
        <f t="shared" si="1"/>
        <v>0</v>
      </c>
      <c r="K25" s="18"/>
      <c r="L25" s="18"/>
    </row>
    <row r="26" spans="1:12" s="28" customFormat="1" ht="21" customHeight="1">
      <c r="A26" s="23"/>
      <c r="B26" s="38"/>
      <c r="C26" s="39"/>
      <c r="D26" s="780" t="s">
        <v>324</v>
      </c>
      <c r="E26" s="781"/>
      <c r="F26" s="407">
        <v>0</v>
      </c>
      <c r="G26" s="407">
        <v>0</v>
      </c>
      <c r="H26" s="407">
        <v>0</v>
      </c>
      <c r="I26" s="407">
        <v>0</v>
      </c>
      <c r="J26" s="423">
        <f t="shared" si="1"/>
        <v>0</v>
      </c>
      <c r="K26" s="18"/>
      <c r="L26" s="18"/>
    </row>
    <row r="27" spans="1:12" s="28" customFormat="1" ht="21" customHeight="1">
      <c r="A27" s="23"/>
      <c r="B27" s="38"/>
      <c r="C27" s="39"/>
      <c r="D27" s="778" t="s">
        <v>14</v>
      </c>
      <c r="E27" s="779"/>
      <c r="F27" s="412">
        <f>SUM(F21:F26)</f>
        <v>1092620753</v>
      </c>
      <c r="G27" s="412">
        <f>SUM(G21:G26)</f>
        <v>1092620753</v>
      </c>
      <c r="H27" s="412">
        <f>SUM(H21:H26)</f>
        <v>0</v>
      </c>
      <c r="I27" s="412">
        <f>SUM(I21:I26)</f>
        <v>0</v>
      </c>
      <c r="J27" s="426">
        <f t="shared" si="1"/>
        <v>0</v>
      </c>
      <c r="K27" s="18"/>
      <c r="L27" s="18"/>
    </row>
    <row r="28" spans="1:12" s="28" customFormat="1" ht="12" customHeight="1">
      <c r="A28" s="23"/>
      <c r="B28" s="38"/>
      <c r="C28" s="39"/>
      <c r="D28" s="18"/>
      <c r="E28" s="18"/>
      <c r="F28" s="18"/>
      <c r="G28" s="18"/>
      <c r="H28" s="18"/>
      <c r="I28" s="18"/>
      <c r="J28" s="18"/>
      <c r="K28" s="18"/>
      <c r="L28" s="18"/>
    </row>
  </sheetData>
  <sheetProtection selectLockedCells="1" selectUnlockedCells="1"/>
  <mergeCells count="13">
    <mergeCell ref="D20:E20"/>
    <mergeCell ref="B3:L3"/>
    <mergeCell ref="B4:L4"/>
    <mergeCell ref="D9:E9"/>
    <mergeCell ref="D10:D12"/>
    <mergeCell ref="D14:D16"/>
    <mergeCell ref="D27:E27"/>
    <mergeCell ref="D21:E21"/>
    <mergeCell ref="D22:E22"/>
    <mergeCell ref="D23:E23"/>
    <mergeCell ref="D24:E24"/>
    <mergeCell ref="D25:E25"/>
    <mergeCell ref="D26:E26"/>
  </mergeCells>
  <phoneticPr fontId="34"/>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ECBCA"/>
  </sheetPr>
  <dimension ref="A1:L51"/>
  <sheetViews>
    <sheetView workbookViewId="0"/>
  </sheetViews>
  <sheetFormatPr defaultRowHeight="0" customHeight="1" zeroHeight="1"/>
  <cols>
    <col min="1" max="1" width="1.1328125" style="15" customWidth="1"/>
    <col min="2" max="3" width="2.26953125" style="15" customWidth="1"/>
    <col min="4" max="4" width="13.86328125" style="15" customWidth="1"/>
    <col min="5" max="5" width="15.54296875" style="50" customWidth="1"/>
    <col min="6" max="6" width="15.54296875" style="15" customWidth="1"/>
    <col min="7" max="7" width="14.40625" style="15" customWidth="1"/>
    <col min="8" max="8" width="13.86328125" style="15" customWidth="1"/>
    <col min="9" max="10" width="15.54296875" style="15" customWidth="1"/>
    <col min="11" max="11" width="14.40625" style="15" customWidth="1"/>
    <col min="12" max="12" width="4" style="15" customWidth="1"/>
  </cols>
  <sheetData>
    <row r="1" spans="1:12" ht="18" customHeight="1">
      <c r="A1" s="209" t="s">
        <v>325</v>
      </c>
      <c r="B1" s="13"/>
      <c r="C1" s="13"/>
      <c r="D1" s="12"/>
      <c r="E1" s="45"/>
      <c r="F1" s="12"/>
      <c r="G1" s="12"/>
      <c r="H1" s="12"/>
      <c r="I1" s="12"/>
      <c r="J1" s="12"/>
      <c r="K1" s="12"/>
      <c r="L1" s="12"/>
    </row>
    <row r="2" spans="1:12" ht="18.75" customHeight="1">
      <c r="A2" s="14"/>
      <c r="B2" s="12"/>
      <c r="C2" s="12"/>
      <c r="D2" s="12"/>
      <c r="E2" s="45"/>
      <c r="F2" s="12"/>
      <c r="G2" s="12"/>
      <c r="H2" s="12"/>
      <c r="I2" s="12"/>
      <c r="J2" s="12"/>
      <c r="K2" s="12"/>
      <c r="L2" s="12"/>
    </row>
    <row r="3" spans="1:12" ht="21" customHeight="1">
      <c r="A3" s="14"/>
      <c r="B3" s="619" t="s">
        <v>1</v>
      </c>
      <c r="C3" s="619"/>
      <c r="D3" s="619"/>
      <c r="E3" s="619"/>
      <c r="F3" s="619"/>
      <c r="G3" s="619"/>
      <c r="H3" s="619"/>
      <c r="I3" s="619"/>
      <c r="J3" s="619"/>
      <c r="K3" s="619"/>
      <c r="L3" s="619"/>
    </row>
    <row r="4" spans="1:12" ht="17.25" customHeight="1">
      <c r="A4" s="14"/>
      <c r="B4" s="620" t="s">
        <v>2</v>
      </c>
      <c r="C4" s="619"/>
      <c r="D4" s="619"/>
      <c r="E4" s="619"/>
      <c r="F4" s="619"/>
      <c r="G4" s="619"/>
      <c r="H4" s="619"/>
      <c r="I4" s="619"/>
      <c r="J4" s="619"/>
      <c r="K4" s="619"/>
      <c r="L4" s="619"/>
    </row>
    <row r="5" spans="1:12" ht="21" customHeight="1">
      <c r="A5" s="14"/>
      <c r="B5" s="16"/>
      <c r="C5" s="17"/>
      <c r="D5" s="18"/>
      <c r="E5" s="45"/>
      <c r="F5" s="12"/>
      <c r="G5" s="12"/>
      <c r="H5" s="12"/>
      <c r="I5" s="12"/>
      <c r="J5" s="404" t="s">
        <v>32</v>
      </c>
      <c r="K5" s="405" t="s">
        <v>4</v>
      </c>
      <c r="L5" s="12"/>
    </row>
    <row r="6" spans="1:12" ht="21" customHeight="1">
      <c r="A6" s="14"/>
      <c r="B6" s="16"/>
      <c r="C6" s="17"/>
      <c r="D6" s="18"/>
      <c r="E6" s="45"/>
      <c r="F6" s="12"/>
      <c r="G6" s="12"/>
      <c r="H6" s="12"/>
      <c r="I6" s="12"/>
      <c r="J6" s="404" t="s">
        <v>33</v>
      </c>
      <c r="K6" s="406" t="s">
        <v>6</v>
      </c>
      <c r="L6" s="180" t="s">
        <v>7</v>
      </c>
    </row>
    <row r="7" spans="1:12" ht="21" customHeight="1">
      <c r="A7" s="14"/>
      <c r="B7" s="13" t="s">
        <v>326</v>
      </c>
      <c r="C7" s="16"/>
      <c r="D7" s="18"/>
      <c r="E7" s="46"/>
      <c r="F7" s="18"/>
      <c r="G7" s="18"/>
      <c r="H7" s="18"/>
      <c r="I7" s="18"/>
      <c r="J7" s="18"/>
      <c r="K7" s="18"/>
      <c r="L7" s="18"/>
    </row>
    <row r="8" spans="1:12" s="14" customFormat="1" ht="21" customHeight="1">
      <c r="B8" s="23"/>
      <c r="C8" s="76" t="s">
        <v>327</v>
      </c>
      <c r="D8" s="22"/>
      <c r="E8" s="47"/>
      <c r="F8" s="22"/>
      <c r="G8" s="22"/>
      <c r="H8" s="22"/>
      <c r="I8" s="22"/>
      <c r="J8" s="22"/>
      <c r="K8" s="40" t="s">
        <v>300</v>
      </c>
      <c r="L8" s="23"/>
    </row>
    <row r="9" spans="1:12" s="28" customFormat="1" ht="21.75" customHeight="1">
      <c r="A9" s="23"/>
      <c r="B9" s="18"/>
      <c r="C9" s="22"/>
      <c r="D9" s="811" t="s">
        <v>328</v>
      </c>
      <c r="E9" s="812"/>
      <c r="F9" s="812"/>
      <c r="G9" s="812"/>
      <c r="H9" s="812" t="s">
        <v>329</v>
      </c>
      <c r="I9" s="812"/>
      <c r="J9" s="813"/>
      <c r="K9" s="814"/>
      <c r="L9" s="18"/>
    </row>
    <row r="10" spans="1:12" s="28" customFormat="1" ht="21.75" customHeight="1">
      <c r="A10" s="23"/>
      <c r="B10" s="18"/>
      <c r="C10" s="41"/>
      <c r="D10" s="815" t="s">
        <v>330</v>
      </c>
      <c r="E10" s="816"/>
      <c r="F10" s="817"/>
      <c r="G10" s="430" t="s">
        <v>331</v>
      </c>
      <c r="H10" s="818" t="s">
        <v>330</v>
      </c>
      <c r="I10" s="816"/>
      <c r="J10" s="817"/>
      <c r="K10" s="431" t="s">
        <v>331</v>
      </c>
      <c r="L10" s="18"/>
    </row>
    <row r="11" spans="1:12" s="28" customFormat="1" ht="21.75" customHeight="1">
      <c r="A11" s="23"/>
      <c r="B11" s="38"/>
      <c r="C11" s="21"/>
      <c r="D11" s="432" t="s">
        <v>332</v>
      </c>
      <c r="E11" s="806" t="s">
        <v>333</v>
      </c>
      <c r="F11" s="807"/>
      <c r="G11" s="433">
        <v>242370634</v>
      </c>
      <c r="H11" s="434" t="s">
        <v>334</v>
      </c>
      <c r="I11" s="435"/>
      <c r="J11" s="436"/>
      <c r="K11" s="421">
        <v>13952233</v>
      </c>
      <c r="L11" s="18"/>
    </row>
    <row r="12" spans="1:12" s="28" customFormat="1" ht="21.75" customHeight="1">
      <c r="A12" s="23"/>
      <c r="B12" s="38"/>
      <c r="C12" s="21"/>
      <c r="D12" s="437" t="s">
        <v>335</v>
      </c>
      <c r="E12" s="806" t="s">
        <v>336</v>
      </c>
      <c r="F12" s="807"/>
      <c r="G12" s="407">
        <v>0</v>
      </c>
      <c r="H12" s="438" t="s">
        <v>337</v>
      </c>
      <c r="I12" s="434" t="s">
        <v>319</v>
      </c>
      <c r="J12" s="436"/>
      <c r="K12" s="421">
        <v>982753997</v>
      </c>
      <c r="L12" s="18"/>
    </row>
    <row r="13" spans="1:12" s="28" customFormat="1" ht="21.75" customHeight="1">
      <c r="A13" s="23"/>
      <c r="B13" s="38"/>
      <c r="C13" s="21"/>
      <c r="D13" s="439"/>
      <c r="E13" s="806" t="s">
        <v>27</v>
      </c>
      <c r="F13" s="807"/>
      <c r="G13" s="407">
        <v>2096800</v>
      </c>
      <c r="H13" s="440"/>
      <c r="I13" s="434" t="s">
        <v>320</v>
      </c>
      <c r="J13" s="436"/>
      <c r="K13" s="421">
        <v>27005382</v>
      </c>
      <c r="L13" s="18"/>
    </row>
    <row r="14" spans="1:12" s="28" customFormat="1" ht="21.75" customHeight="1">
      <c r="A14" s="23"/>
      <c r="B14" s="38"/>
      <c r="C14" s="21"/>
      <c r="D14" s="437" t="s">
        <v>338</v>
      </c>
      <c r="E14" s="806" t="s">
        <v>339</v>
      </c>
      <c r="F14" s="807"/>
      <c r="G14" s="407">
        <v>0</v>
      </c>
      <c r="H14" s="21"/>
      <c r="I14" s="434" t="s">
        <v>321</v>
      </c>
      <c r="J14" s="436"/>
      <c r="K14" s="421">
        <v>30238272</v>
      </c>
      <c r="L14" s="18"/>
    </row>
    <row r="15" spans="1:12" s="28" customFormat="1" ht="21.75" customHeight="1">
      <c r="A15" s="23"/>
      <c r="B15" s="38"/>
      <c r="C15" s="21"/>
      <c r="D15" s="439"/>
      <c r="E15" s="806" t="s">
        <v>340</v>
      </c>
      <c r="F15" s="807"/>
      <c r="G15" s="407">
        <v>2432580</v>
      </c>
      <c r="H15" s="440"/>
      <c r="I15" s="434" t="s">
        <v>322</v>
      </c>
      <c r="J15" s="436"/>
      <c r="K15" s="421">
        <v>1786877</v>
      </c>
      <c r="L15" s="18"/>
    </row>
    <row r="16" spans="1:12" s="28" customFormat="1" ht="21.75" customHeight="1">
      <c r="A16" s="23"/>
      <c r="B16" s="18"/>
      <c r="C16" s="21"/>
      <c r="D16" s="441" t="s">
        <v>341</v>
      </c>
      <c r="E16" s="792" t="s">
        <v>342</v>
      </c>
      <c r="F16" s="793"/>
      <c r="G16" s="433">
        <v>192072646</v>
      </c>
      <c r="H16" s="440"/>
      <c r="I16" s="434" t="s">
        <v>323</v>
      </c>
      <c r="J16" s="436"/>
      <c r="K16" s="421">
        <v>50836225</v>
      </c>
      <c r="L16" s="18"/>
    </row>
    <row r="17" spans="1:12" s="28" customFormat="1" ht="21.75" customHeight="1">
      <c r="A17" s="23"/>
      <c r="B17" s="18"/>
      <c r="C17" s="21"/>
      <c r="D17" s="442"/>
      <c r="E17" s="792" t="s">
        <v>343</v>
      </c>
      <c r="F17" s="793"/>
      <c r="G17" s="433">
        <v>53478000</v>
      </c>
      <c r="H17" s="440"/>
      <c r="I17" s="434" t="s">
        <v>344</v>
      </c>
      <c r="J17" s="436"/>
      <c r="K17" s="421">
        <v>632700</v>
      </c>
      <c r="L17" s="18"/>
    </row>
    <row r="18" spans="1:12" s="28" customFormat="1" ht="21.75" customHeight="1">
      <c r="A18" s="23"/>
      <c r="B18" s="18"/>
      <c r="C18" s="21"/>
      <c r="D18" s="442"/>
      <c r="E18" s="792" t="s">
        <v>345</v>
      </c>
      <c r="F18" s="793"/>
      <c r="G18" s="433">
        <v>2999000</v>
      </c>
      <c r="H18" s="440"/>
      <c r="I18" s="434" t="s">
        <v>346</v>
      </c>
      <c r="J18" s="443"/>
      <c r="K18" s="421">
        <v>0</v>
      </c>
      <c r="L18" s="18"/>
    </row>
    <row r="19" spans="1:12" s="28" customFormat="1" ht="21.75" customHeight="1">
      <c r="A19" s="23"/>
      <c r="B19" s="13"/>
      <c r="C19" s="21"/>
      <c r="D19" s="442"/>
      <c r="E19" s="792" t="s">
        <v>347</v>
      </c>
      <c r="F19" s="793"/>
      <c r="G19" s="407">
        <v>10310300</v>
      </c>
      <c r="H19" s="440"/>
      <c r="I19" s="806" t="s">
        <v>27</v>
      </c>
      <c r="J19" s="807"/>
      <c r="K19" s="421">
        <v>0</v>
      </c>
      <c r="L19" s="18"/>
    </row>
    <row r="20" spans="1:12" s="28" customFormat="1" ht="21.75" customHeight="1">
      <c r="A20" s="23"/>
      <c r="B20" s="13"/>
      <c r="C20" s="21"/>
      <c r="D20" s="442"/>
      <c r="E20" s="792" t="s">
        <v>348</v>
      </c>
      <c r="F20" s="793"/>
      <c r="G20" s="407">
        <v>1277000</v>
      </c>
      <c r="H20" s="444" t="s">
        <v>349</v>
      </c>
      <c r="I20" s="794" t="s">
        <v>350</v>
      </c>
      <c r="J20" s="795"/>
      <c r="K20" s="421">
        <v>6782146</v>
      </c>
      <c r="L20" s="18"/>
    </row>
    <row r="21" spans="1:12" s="28" customFormat="1" ht="21.75" customHeight="1">
      <c r="A21" s="23"/>
      <c r="B21" s="13"/>
      <c r="C21" s="21"/>
      <c r="D21" s="442"/>
      <c r="E21" s="792" t="s">
        <v>351</v>
      </c>
      <c r="F21" s="793"/>
      <c r="G21" s="407">
        <v>2461000</v>
      </c>
      <c r="H21" s="440"/>
      <c r="I21" s="794" t="s">
        <v>352</v>
      </c>
      <c r="J21" s="795"/>
      <c r="K21" s="421">
        <v>4308049</v>
      </c>
      <c r="L21" s="18"/>
    </row>
    <row r="22" spans="1:12" s="28" customFormat="1" ht="21.75" customHeight="1">
      <c r="A22" s="23"/>
      <c r="B22" s="13"/>
      <c r="C22" s="21"/>
      <c r="D22" s="439"/>
      <c r="E22" s="792" t="s">
        <v>27</v>
      </c>
      <c r="F22" s="793"/>
      <c r="G22" s="407">
        <v>847000</v>
      </c>
      <c r="H22" s="440"/>
      <c r="I22" s="809" t="s">
        <v>353</v>
      </c>
      <c r="J22" s="810"/>
      <c r="K22" s="421">
        <v>30792643</v>
      </c>
      <c r="L22" s="18"/>
    </row>
    <row r="23" spans="1:12" s="28" customFormat="1" ht="21.75" customHeight="1">
      <c r="A23" s="23"/>
      <c r="B23" s="13"/>
      <c r="C23" s="21"/>
      <c r="D23" s="445" t="s">
        <v>354</v>
      </c>
      <c r="E23" s="806" t="s">
        <v>355</v>
      </c>
      <c r="F23" s="807"/>
      <c r="G23" s="433">
        <v>296359000</v>
      </c>
      <c r="H23" s="21"/>
      <c r="I23" s="434" t="s">
        <v>356</v>
      </c>
      <c r="J23" s="436"/>
      <c r="K23" s="421">
        <v>0</v>
      </c>
      <c r="L23" s="18"/>
    </row>
    <row r="24" spans="1:12" s="28" customFormat="1" ht="21.75" customHeight="1">
      <c r="A24" s="23"/>
      <c r="B24" s="13"/>
      <c r="C24" s="21"/>
      <c r="D24" s="442"/>
      <c r="E24" s="806" t="s">
        <v>357</v>
      </c>
      <c r="F24" s="807"/>
      <c r="G24" s="407">
        <v>3020000</v>
      </c>
      <c r="H24" s="21"/>
      <c r="I24" s="434" t="s">
        <v>27</v>
      </c>
      <c r="J24" s="436"/>
      <c r="K24" s="421">
        <v>4200</v>
      </c>
      <c r="L24" s="18"/>
    </row>
    <row r="25" spans="1:12" s="28" customFormat="1" ht="21.75" customHeight="1">
      <c r="A25" s="23"/>
      <c r="B25" s="13"/>
      <c r="C25" s="21"/>
      <c r="D25" s="437" t="s">
        <v>358</v>
      </c>
      <c r="E25" s="792" t="s">
        <v>359</v>
      </c>
      <c r="F25" s="793"/>
      <c r="G25" s="433">
        <v>163575000</v>
      </c>
      <c r="H25" s="434" t="s">
        <v>360</v>
      </c>
      <c r="I25" s="435"/>
      <c r="J25" s="436"/>
      <c r="K25" s="421">
        <v>0</v>
      </c>
      <c r="L25" s="18"/>
    </row>
    <row r="26" spans="1:12" s="28" customFormat="1" ht="21.75" customHeight="1">
      <c r="A26" s="23"/>
      <c r="B26" s="13"/>
      <c r="C26" s="21"/>
      <c r="D26" s="442"/>
      <c r="E26" s="792" t="s">
        <v>361</v>
      </c>
      <c r="F26" s="793"/>
      <c r="G26" s="407">
        <v>0</v>
      </c>
      <c r="H26" s="434" t="s">
        <v>362</v>
      </c>
      <c r="I26" s="435"/>
      <c r="J26" s="436"/>
      <c r="K26" s="421">
        <v>0</v>
      </c>
      <c r="L26" s="18"/>
    </row>
    <row r="27" spans="1:12" s="28" customFormat="1" ht="21.75" customHeight="1">
      <c r="A27" s="23"/>
      <c r="B27" s="13"/>
      <c r="C27" s="21"/>
      <c r="D27" s="442"/>
      <c r="E27" s="792" t="s">
        <v>345</v>
      </c>
      <c r="F27" s="793"/>
      <c r="G27" s="433">
        <v>1553750</v>
      </c>
      <c r="H27" s="434" t="s">
        <v>363</v>
      </c>
      <c r="I27" s="435"/>
      <c r="J27" s="436"/>
      <c r="K27" s="421">
        <v>0</v>
      </c>
      <c r="L27" s="18"/>
    </row>
    <row r="28" spans="1:12" s="28" customFormat="1" ht="21.75" customHeight="1">
      <c r="A28" s="23"/>
      <c r="B28" s="13"/>
      <c r="C28" s="21"/>
      <c r="D28" s="442"/>
      <c r="E28" s="792" t="s">
        <v>347</v>
      </c>
      <c r="F28" s="793"/>
      <c r="G28" s="407">
        <v>5155150</v>
      </c>
      <c r="H28" s="434" t="s">
        <v>364</v>
      </c>
      <c r="I28" s="435"/>
      <c r="J28" s="436"/>
      <c r="K28" s="421">
        <v>0</v>
      </c>
      <c r="L28" s="18"/>
    </row>
    <row r="29" spans="1:12" s="28" customFormat="1" ht="21.75" customHeight="1">
      <c r="A29" s="23"/>
      <c r="B29" s="13"/>
      <c r="C29" s="21"/>
      <c r="D29" s="439"/>
      <c r="E29" s="792" t="s">
        <v>27</v>
      </c>
      <c r="F29" s="793"/>
      <c r="G29" s="407">
        <v>0</v>
      </c>
      <c r="H29" s="438" t="s">
        <v>365</v>
      </c>
      <c r="I29" s="435" t="s">
        <v>366</v>
      </c>
      <c r="J29" s="436"/>
      <c r="K29" s="421">
        <v>0</v>
      </c>
      <c r="L29" s="18"/>
    </row>
    <row r="30" spans="1:12" s="28" customFormat="1" ht="21.75" customHeight="1">
      <c r="A30" s="23"/>
      <c r="B30" s="13"/>
      <c r="C30" s="21"/>
      <c r="D30" s="801" t="s">
        <v>367</v>
      </c>
      <c r="E30" s="802"/>
      <c r="F30" s="795"/>
      <c r="G30" s="407">
        <v>0</v>
      </c>
      <c r="H30" s="440"/>
      <c r="I30" s="435" t="s">
        <v>27</v>
      </c>
      <c r="J30" s="436"/>
      <c r="K30" s="421">
        <v>0</v>
      </c>
      <c r="L30" s="18"/>
    </row>
    <row r="31" spans="1:12" s="28" customFormat="1" ht="21.75" customHeight="1">
      <c r="A31" s="23"/>
      <c r="B31" s="13"/>
      <c r="C31" s="21"/>
      <c r="D31" s="801" t="s">
        <v>368</v>
      </c>
      <c r="E31" s="802"/>
      <c r="F31" s="795"/>
      <c r="G31" s="407">
        <v>0</v>
      </c>
      <c r="H31" s="434" t="s">
        <v>369</v>
      </c>
      <c r="I31" s="428"/>
      <c r="J31" s="429"/>
      <c r="K31" s="421">
        <v>0</v>
      </c>
      <c r="L31" s="18"/>
    </row>
    <row r="32" spans="1:12" s="28" customFormat="1" ht="21.75" customHeight="1">
      <c r="A32" s="23"/>
      <c r="B32" s="13"/>
      <c r="C32" s="21"/>
      <c r="D32" s="801" t="s">
        <v>370</v>
      </c>
      <c r="E32" s="802"/>
      <c r="F32" s="795"/>
      <c r="G32" s="407">
        <v>0</v>
      </c>
      <c r="H32" s="438" t="s">
        <v>371</v>
      </c>
      <c r="I32" s="434" t="s">
        <v>372</v>
      </c>
      <c r="J32" s="429"/>
      <c r="K32" s="421">
        <v>0</v>
      </c>
      <c r="L32" s="18"/>
    </row>
    <row r="33" spans="1:12" s="28" customFormat="1" ht="21.75" customHeight="1">
      <c r="A33" s="23"/>
      <c r="B33" s="13"/>
      <c r="C33" s="21"/>
      <c r="D33" s="441" t="s">
        <v>373</v>
      </c>
      <c r="E33" s="792" t="s">
        <v>374</v>
      </c>
      <c r="F33" s="793"/>
      <c r="G33" s="433">
        <v>136656681</v>
      </c>
      <c r="H33" s="446"/>
      <c r="I33" s="434" t="s">
        <v>375</v>
      </c>
      <c r="J33" s="429"/>
      <c r="K33" s="421">
        <v>0</v>
      </c>
      <c r="L33" s="18"/>
    </row>
    <row r="34" spans="1:12" s="28" customFormat="1" ht="21.75" customHeight="1">
      <c r="A34" s="23"/>
      <c r="B34" s="13"/>
      <c r="C34" s="21"/>
      <c r="D34" s="442"/>
      <c r="E34" s="792" t="s">
        <v>376</v>
      </c>
      <c r="F34" s="793"/>
      <c r="G34" s="407">
        <v>12712250</v>
      </c>
      <c r="H34" s="447"/>
      <c r="I34" s="434" t="s">
        <v>27</v>
      </c>
      <c r="J34" s="429"/>
      <c r="K34" s="421">
        <v>19808047</v>
      </c>
      <c r="L34" s="18"/>
    </row>
    <row r="35" spans="1:12" s="28" customFormat="1" ht="21.75" customHeight="1">
      <c r="A35" s="23"/>
      <c r="B35" s="13"/>
      <c r="C35" s="21"/>
      <c r="D35" s="442"/>
      <c r="E35" s="792" t="s">
        <v>377</v>
      </c>
      <c r="F35" s="793"/>
      <c r="G35" s="407">
        <v>0</v>
      </c>
      <c r="H35" s="799"/>
      <c r="I35" s="800"/>
      <c r="J35" s="800"/>
      <c r="K35" s="790"/>
      <c r="L35" s="18"/>
    </row>
    <row r="36" spans="1:12" s="28" customFormat="1" ht="21.75" customHeight="1">
      <c r="A36" s="23"/>
      <c r="B36" s="13"/>
      <c r="C36" s="21"/>
      <c r="D36" s="442"/>
      <c r="E36" s="792" t="s">
        <v>378</v>
      </c>
      <c r="F36" s="793"/>
      <c r="G36" s="407">
        <v>0</v>
      </c>
      <c r="H36" s="800"/>
      <c r="I36" s="800"/>
      <c r="J36" s="800"/>
      <c r="K36" s="791"/>
      <c r="L36" s="18"/>
    </row>
    <row r="37" spans="1:12" s="28" customFormat="1" ht="21.75" customHeight="1">
      <c r="A37" s="23"/>
      <c r="B37" s="13"/>
      <c r="C37" s="21"/>
      <c r="D37" s="442"/>
      <c r="E37" s="792" t="s">
        <v>379</v>
      </c>
      <c r="F37" s="793"/>
      <c r="G37" s="433">
        <v>1244399</v>
      </c>
      <c r="H37" s="800"/>
      <c r="I37" s="800"/>
      <c r="J37" s="800"/>
      <c r="K37" s="791"/>
      <c r="L37" s="18"/>
    </row>
    <row r="38" spans="1:12" s="28" customFormat="1" ht="21.75" customHeight="1">
      <c r="A38" s="23"/>
      <c r="B38" s="13"/>
      <c r="C38" s="21"/>
      <c r="D38" s="442"/>
      <c r="E38" s="792" t="s">
        <v>380</v>
      </c>
      <c r="F38" s="793"/>
      <c r="G38" s="407">
        <v>4566068</v>
      </c>
      <c r="H38" s="800"/>
      <c r="I38" s="800"/>
      <c r="J38" s="800"/>
      <c r="K38" s="791"/>
      <c r="L38" s="18"/>
    </row>
    <row r="39" spans="1:12" s="28" customFormat="1" ht="21.75" customHeight="1">
      <c r="A39" s="23"/>
      <c r="B39" s="13"/>
      <c r="C39" s="21"/>
      <c r="D39" s="442"/>
      <c r="E39" s="792" t="s">
        <v>381</v>
      </c>
      <c r="F39" s="793"/>
      <c r="G39" s="407">
        <v>10928190</v>
      </c>
      <c r="H39" s="800"/>
      <c r="I39" s="800"/>
      <c r="J39" s="800"/>
      <c r="K39" s="791"/>
      <c r="L39" s="18"/>
    </row>
    <row r="40" spans="1:12" s="28" customFormat="1" ht="21.75" customHeight="1">
      <c r="A40" s="23"/>
      <c r="B40" s="13"/>
      <c r="C40" s="21"/>
      <c r="D40" s="439"/>
      <c r="E40" s="792" t="s">
        <v>27</v>
      </c>
      <c r="F40" s="793"/>
      <c r="G40" s="407">
        <v>3705428</v>
      </c>
      <c r="H40" s="800"/>
      <c r="I40" s="800"/>
      <c r="J40" s="800"/>
      <c r="K40" s="791"/>
      <c r="L40" s="18"/>
    </row>
    <row r="41" spans="1:12" s="28" customFormat="1" ht="21.75" customHeight="1">
      <c r="A41" s="23"/>
      <c r="B41" s="13"/>
      <c r="C41" s="21"/>
      <c r="D41" s="801" t="s">
        <v>382</v>
      </c>
      <c r="E41" s="802"/>
      <c r="F41" s="795"/>
      <c r="G41" s="407">
        <v>26996400</v>
      </c>
      <c r="H41" s="800"/>
      <c r="I41" s="800"/>
      <c r="J41" s="800"/>
      <c r="K41" s="791"/>
      <c r="L41" s="18"/>
    </row>
    <row r="42" spans="1:12" s="28" customFormat="1" ht="21.75" customHeight="1">
      <c r="A42" s="23"/>
      <c r="B42" s="13"/>
      <c r="C42" s="21"/>
      <c r="D42" s="441" t="s">
        <v>383</v>
      </c>
      <c r="E42" s="806" t="s">
        <v>384</v>
      </c>
      <c r="F42" s="807"/>
      <c r="G42" s="407">
        <v>0</v>
      </c>
      <c r="H42" s="800"/>
      <c r="I42" s="800"/>
      <c r="J42" s="800"/>
      <c r="K42" s="791"/>
      <c r="L42" s="18"/>
    </row>
    <row r="43" spans="1:12" s="28" customFormat="1" ht="21.75" customHeight="1">
      <c r="A43" s="23"/>
      <c r="B43" s="13"/>
      <c r="C43" s="21"/>
      <c r="D43" s="439"/>
      <c r="E43" s="806" t="s">
        <v>27</v>
      </c>
      <c r="F43" s="807"/>
      <c r="G43" s="407">
        <v>0</v>
      </c>
      <c r="H43" s="800"/>
      <c r="I43" s="800"/>
      <c r="J43" s="800"/>
      <c r="K43" s="791"/>
      <c r="L43" s="18"/>
    </row>
    <row r="44" spans="1:12" s="28" customFormat="1" ht="21.75" customHeight="1">
      <c r="A44" s="23"/>
      <c r="B44" s="13"/>
      <c r="C44" s="21"/>
      <c r="D44" s="801" t="s">
        <v>385</v>
      </c>
      <c r="E44" s="802"/>
      <c r="F44" s="795"/>
      <c r="G44" s="407">
        <v>104843</v>
      </c>
      <c r="H44" s="800"/>
      <c r="I44" s="800"/>
      <c r="J44" s="800"/>
      <c r="K44" s="791"/>
      <c r="L44" s="18"/>
    </row>
    <row r="45" spans="1:12" s="28" customFormat="1" ht="21.75" customHeight="1">
      <c r="A45" s="23"/>
      <c r="B45" s="13"/>
      <c r="C45" s="21"/>
      <c r="D45" s="808" t="s">
        <v>386</v>
      </c>
      <c r="E45" s="797"/>
      <c r="F45" s="798"/>
      <c r="G45" s="412">
        <f>SUM(G11:G44)</f>
        <v>1176922119</v>
      </c>
      <c r="H45" s="796" t="s">
        <v>386</v>
      </c>
      <c r="I45" s="797"/>
      <c r="J45" s="798"/>
      <c r="K45" s="426">
        <f>SUM(K11:K34)</f>
        <v>1168900771</v>
      </c>
      <c r="L45" s="18"/>
    </row>
    <row r="46" spans="1:12" s="28" customFormat="1" ht="21" customHeight="1">
      <c r="A46" s="23"/>
      <c r="B46" s="13"/>
      <c r="C46" s="21"/>
      <c r="D46" s="42"/>
      <c r="E46" s="48"/>
      <c r="F46" s="42"/>
      <c r="G46" s="42"/>
      <c r="H46" s="42"/>
      <c r="I46" s="42"/>
      <c r="J46" s="42"/>
      <c r="K46" s="43"/>
      <c r="L46" s="18"/>
    </row>
    <row r="47" spans="1:12" s="28" customFormat="1" ht="21" customHeight="1">
      <c r="A47" s="23"/>
      <c r="B47" s="13"/>
      <c r="C47" s="21"/>
      <c r="D47" s="21" t="s">
        <v>387</v>
      </c>
      <c r="E47" s="48"/>
      <c r="F47" s="42"/>
      <c r="G47" s="448">
        <f>G45-K45</f>
        <v>8021348</v>
      </c>
      <c r="H47" s="21" t="s">
        <v>388</v>
      </c>
      <c r="I47" s="42"/>
      <c r="J47" s="42"/>
      <c r="K47" s="43"/>
      <c r="L47" s="18"/>
    </row>
    <row r="48" spans="1:12" s="28" customFormat="1" ht="21" customHeight="1">
      <c r="A48" s="23"/>
      <c r="B48" s="18"/>
      <c r="C48" s="21"/>
      <c r="D48" s="21" t="s">
        <v>389</v>
      </c>
      <c r="E48" s="48"/>
      <c r="F48" s="42"/>
      <c r="G48" s="449">
        <v>0</v>
      </c>
      <c r="H48" s="21" t="s">
        <v>388</v>
      </c>
      <c r="I48" s="42"/>
      <c r="J48" s="42"/>
      <c r="K48" s="43"/>
      <c r="L48" s="18"/>
    </row>
    <row r="49" spans="1:12" s="28" customFormat="1" ht="21" customHeight="1">
      <c r="A49" s="23"/>
      <c r="B49" s="18"/>
      <c r="C49" s="21"/>
      <c r="D49" s="42"/>
      <c r="E49" s="48"/>
      <c r="F49" s="42"/>
      <c r="G49" s="49"/>
      <c r="H49" s="42"/>
      <c r="I49" s="42"/>
      <c r="J49" s="42"/>
      <c r="K49" s="43"/>
      <c r="L49" s="18"/>
    </row>
    <row r="50" spans="1:12" s="28" customFormat="1" ht="21" customHeight="1">
      <c r="A50" s="23"/>
      <c r="B50" s="18"/>
      <c r="C50" s="21"/>
      <c r="D50" s="803" t="s">
        <v>390</v>
      </c>
      <c r="E50" s="804"/>
      <c r="F50" s="805"/>
      <c r="G50" s="450">
        <v>146700000</v>
      </c>
      <c r="H50" s="42"/>
      <c r="I50" s="42"/>
      <c r="J50" s="42"/>
      <c r="K50" s="43"/>
      <c r="L50" s="18"/>
    </row>
    <row r="51" spans="1:12" s="28" customFormat="1" ht="12" customHeight="1">
      <c r="A51" s="23"/>
      <c r="B51" s="38"/>
      <c r="C51" s="39"/>
      <c r="D51" s="18"/>
      <c r="E51" s="46"/>
      <c r="F51" s="18"/>
      <c r="G51" s="18"/>
      <c r="H51" s="18"/>
      <c r="I51" s="18"/>
      <c r="J51" s="18"/>
      <c r="K51" s="18"/>
      <c r="L51" s="18"/>
    </row>
  </sheetData>
  <sheetProtection selectLockedCells="1" selectUnlockedCells="1"/>
  <mergeCells count="49">
    <mergeCell ref="E16:F16"/>
    <mergeCell ref="B3:L3"/>
    <mergeCell ref="B4:L4"/>
    <mergeCell ref="D9:G9"/>
    <mergeCell ref="H9:K9"/>
    <mergeCell ref="D10:F10"/>
    <mergeCell ref="H10:J10"/>
    <mergeCell ref="E11:F11"/>
    <mergeCell ref="E12:F12"/>
    <mergeCell ref="E13:F13"/>
    <mergeCell ref="E14:F14"/>
    <mergeCell ref="E15:F15"/>
    <mergeCell ref="E17:F17"/>
    <mergeCell ref="E18:F18"/>
    <mergeCell ref="E19:F19"/>
    <mergeCell ref="I19:J19"/>
    <mergeCell ref="E20:F20"/>
    <mergeCell ref="E27:F27"/>
    <mergeCell ref="E28:F28"/>
    <mergeCell ref="E29:F29"/>
    <mergeCell ref="D30:F30"/>
    <mergeCell ref="D31:F31"/>
    <mergeCell ref="I22:J22"/>
    <mergeCell ref="E23:F23"/>
    <mergeCell ref="E24:F24"/>
    <mergeCell ref="E25:F25"/>
    <mergeCell ref="E26:F26"/>
    <mergeCell ref="D50:F50"/>
    <mergeCell ref="D41:F41"/>
    <mergeCell ref="E42:F42"/>
    <mergeCell ref="E43:F43"/>
    <mergeCell ref="D44:F44"/>
    <mergeCell ref="D45:F45"/>
    <mergeCell ref="K35:K44"/>
    <mergeCell ref="E21:F21"/>
    <mergeCell ref="I21:J21"/>
    <mergeCell ref="I20:J20"/>
    <mergeCell ref="H45:J45"/>
    <mergeCell ref="H35:J44"/>
    <mergeCell ref="E33:F33"/>
    <mergeCell ref="E34:F34"/>
    <mergeCell ref="E35:F35"/>
    <mergeCell ref="E36:F36"/>
    <mergeCell ref="E37:F37"/>
    <mergeCell ref="E38:F38"/>
    <mergeCell ref="E39:F39"/>
    <mergeCell ref="E40:F40"/>
    <mergeCell ref="D32:F32"/>
    <mergeCell ref="E22:F22"/>
  </mergeCells>
  <phoneticPr fontId="34"/>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34"/>
  <sheetViews>
    <sheetView workbookViewId="0"/>
  </sheetViews>
  <sheetFormatPr defaultRowHeight="0" customHeight="1" zeroHeight="1"/>
  <cols>
    <col min="1" max="1" width="1.40625" style="15" customWidth="1"/>
    <col min="2" max="3" width="2.26953125" style="15" customWidth="1"/>
    <col min="4" max="4" width="13.86328125" style="15" customWidth="1"/>
    <col min="5" max="7" width="14.40625" style="15" customWidth="1"/>
    <col min="8" max="10" width="13.86328125" style="15" customWidth="1"/>
    <col min="11" max="11" width="14.40625" style="15" customWidth="1"/>
    <col min="12" max="12" width="4" style="15" customWidth="1"/>
  </cols>
  <sheetData>
    <row r="1" spans="1:12" ht="18" customHeight="1">
      <c r="A1" s="209" t="s">
        <v>391</v>
      </c>
      <c r="B1" s="13"/>
      <c r="C1" s="13"/>
      <c r="D1" s="12"/>
      <c r="E1" s="12"/>
      <c r="F1" s="12"/>
      <c r="G1" s="12"/>
      <c r="H1" s="12"/>
      <c r="I1" s="12"/>
      <c r="J1" s="12"/>
      <c r="K1" s="12"/>
      <c r="L1" s="119"/>
    </row>
    <row r="2" spans="1:12" ht="18.75" customHeight="1">
      <c r="A2" s="14"/>
      <c r="B2" s="12"/>
      <c r="C2" s="12"/>
      <c r="D2" s="12"/>
      <c r="E2" s="12"/>
      <c r="F2" s="12"/>
      <c r="G2" s="12"/>
      <c r="H2" s="12"/>
      <c r="I2" s="12"/>
      <c r="J2" s="12"/>
      <c r="K2" s="12"/>
      <c r="L2" s="119"/>
    </row>
    <row r="3" spans="1:12" ht="21" customHeight="1">
      <c r="A3" s="14"/>
      <c r="B3" s="619" t="s">
        <v>1</v>
      </c>
      <c r="C3" s="619"/>
      <c r="D3" s="619"/>
      <c r="E3" s="619"/>
      <c r="F3" s="619"/>
      <c r="G3" s="619"/>
      <c r="H3" s="619"/>
      <c r="I3" s="619"/>
      <c r="J3" s="619"/>
      <c r="K3" s="619"/>
      <c r="L3" s="619"/>
    </row>
    <row r="4" spans="1:12" ht="17.25" customHeight="1">
      <c r="A4" s="14"/>
      <c r="B4" s="620" t="s">
        <v>2</v>
      </c>
      <c r="C4" s="619"/>
      <c r="D4" s="619"/>
      <c r="E4" s="619"/>
      <c r="F4" s="619"/>
      <c r="G4" s="619"/>
      <c r="H4" s="619"/>
      <c r="I4" s="619"/>
      <c r="J4" s="619"/>
      <c r="K4" s="619"/>
      <c r="L4" s="619"/>
    </row>
    <row r="5" spans="1:12" ht="21" customHeight="1">
      <c r="A5" s="14"/>
      <c r="B5" s="16"/>
      <c r="C5" s="17"/>
      <c r="D5" s="18"/>
      <c r="E5" s="12"/>
      <c r="F5" s="12"/>
      <c r="G5" s="12"/>
      <c r="H5" s="12"/>
      <c r="I5" s="12"/>
      <c r="J5" s="178" t="s">
        <v>32</v>
      </c>
      <c r="K5" s="179" t="s">
        <v>4</v>
      </c>
      <c r="L5" s="12"/>
    </row>
    <row r="6" spans="1:12" ht="21" customHeight="1">
      <c r="A6" s="14"/>
      <c r="B6" s="13"/>
      <c r="C6" s="17"/>
      <c r="D6" s="18"/>
      <c r="E6" s="12"/>
      <c r="F6" s="12"/>
      <c r="G6" s="12"/>
      <c r="H6" s="12"/>
      <c r="I6" s="12"/>
      <c r="J6" s="178" t="s">
        <v>33</v>
      </c>
      <c r="K6" s="206" t="s">
        <v>6</v>
      </c>
      <c r="L6" s="180" t="s">
        <v>7</v>
      </c>
    </row>
    <row r="7" spans="1:12" ht="22.5" customHeight="1">
      <c r="A7" s="14"/>
      <c r="B7" s="13" t="s">
        <v>326</v>
      </c>
      <c r="C7" s="16"/>
      <c r="D7" s="18"/>
      <c r="E7" s="18"/>
      <c r="F7" s="18"/>
      <c r="G7" s="18"/>
      <c r="H7" s="18"/>
      <c r="I7" s="18"/>
      <c r="J7" s="18"/>
      <c r="K7" s="18"/>
      <c r="L7" s="18"/>
    </row>
    <row r="8" spans="1:12" s="14" customFormat="1" ht="21" customHeight="1">
      <c r="B8" s="23"/>
      <c r="C8" s="76" t="s">
        <v>392</v>
      </c>
      <c r="D8" s="22"/>
      <c r="E8" s="22"/>
      <c r="F8" s="22"/>
      <c r="G8" s="22"/>
      <c r="H8" s="22"/>
      <c r="I8" s="22"/>
      <c r="J8" s="22"/>
      <c r="K8" s="40" t="s">
        <v>300</v>
      </c>
      <c r="L8" s="23"/>
    </row>
    <row r="9" spans="1:12" s="28" customFormat="1" ht="21" customHeight="1">
      <c r="A9" s="23"/>
      <c r="B9" s="18"/>
      <c r="C9" s="22"/>
      <c r="D9" s="811" t="s">
        <v>328</v>
      </c>
      <c r="E9" s="812"/>
      <c r="F9" s="812"/>
      <c r="G9" s="812"/>
      <c r="H9" s="812" t="s">
        <v>329</v>
      </c>
      <c r="I9" s="812"/>
      <c r="J9" s="813"/>
      <c r="K9" s="814"/>
      <c r="L9" s="18"/>
    </row>
    <row r="10" spans="1:12" s="28" customFormat="1" ht="21" customHeight="1">
      <c r="A10" s="23"/>
      <c r="B10" s="18"/>
      <c r="C10" s="41"/>
      <c r="D10" s="815" t="s">
        <v>330</v>
      </c>
      <c r="E10" s="816"/>
      <c r="F10" s="817"/>
      <c r="G10" s="430" t="s">
        <v>331</v>
      </c>
      <c r="H10" s="818" t="s">
        <v>330</v>
      </c>
      <c r="I10" s="816"/>
      <c r="J10" s="817"/>
      <c r="K10" s="431" t="s">
        <v>331</v>
      </c>
      <c r="L10" s="18"/>
    </row>
    <row r="11" spans="1:12" s="28" customFormat="1" ht="21" customHeight="1">
      <c r="A11" s="23"/>
      <c r="B11" s="38"/>
      <c r="C11" s="21"/>
      <c r="D11" s="437" t="s">
        <v>393</v>
      </c>
      <c r="E11" s="434" t="s">
        <v>394</v>
      </c>
      <c r="F11" s="436"/>
      <c r="G11" s="451">
        <v>0</v>
      </c>
      <c r="H11" s="434" t="s">
        <v>334</v>
      </c>
      <c r="I11" s="435"/>
      <c r="J11" s="436"/>
      <c r="K11" s="452">
        <v>0</v>
      </c>
      <c r="L11" s="18"/>
    </row>
    <row r="12" spans="1:12" s="28" customFormat="1" ht="21" customHeight="1">
      <c r="A12" s="23"/>
      <c r="B12" s="38"/>
      <c r="C12" s="21"/>
      <c r="D12" s="442"/>
      <c r="E12" s="434" t="s">
        <v>395</v>
      </c>
      <c r="F12" s="436"/>
      <c r="G12" s="451">
        <v>0</v>
      </c>
      <c r="H12" s="438" t="s">
        <v>396</v>
      </c>
      <c r="I12" s="434" t="s">
        <v>397</v>
      </c>
      <c r="J12" s="436"/>
      <c r="K12" s="452">
        <v>0</v>
      </c>
      <c r="L12" s="18"/>
    </row>
    <row r="13" spans="1:12" s="28" customFormat="1" ht="21" customHeight="1">
      <c r="A13" s="23"/>
      <c r="B13" s="38"/>
      <c r="C13" s="21"/>
      <c r="D13" s="442"/>
      <c r="E13" s="806" t="s">
        <v>398</v>
      </c>
      <c r="F13" s="807"/>
      <c r="G13" s="451">
        <v>0</v>
      </c>
      <c r="H13" s="440"/>
      <c r="I13" s="434" t="s">
        <v>399</v>
      </c>
      <c r="J13" s="436"/>
      <c r="K13" s="452">
        <v>0</v>
      </c>
      <c r="L13" s="18"/>
    </row>
    <row r="14" spans="1:12" s="28" customFormat="1" ht="21" customHeight="1">
      <c r="A14" s="23"/>
      <c r="B14" s="38"/>
      <c r="C14" s="21"/>
      <c r="D14" s="442"/>
      <c r="E14" s="434" t="s">
        <v>400</v>
      </c>
      <c r="F14" s="436"/>
      <c r="G14" s="451">
        <v>0</v>
      </c>
      <c r="H14" s="440"/>
      <c r="I14" s="434" t="s">
        <v>401</v>
      </c>
      <c r="J14" s="436"/>
      <c r="K14" s="452">
        <v>0</v>
      </c>
      <c r="L14" s="18"/>
    </row>
    <row r="15" spans="1:12" s="28" customFormat="1" ht="21" customHeight="1">
      <c r="A15" s="23"/>
      <c r="B15" s="38"/>
      <c r="C15" s="21"/>
      <c r="D15" s="442"/>
      <c r="E15" s="434" t="s">
        <v>402</v>
      </c>
      <c r="F15" s="436"/>
      <c r="G15" s="451">
        <v>0</v>
      </c>
      <c r="H15" s="440"/>
      <c r="I15" s="806" t="s">
        <v>403</v>
      </c>
      <c r="J15" s="807"/>
      <c r="K15" s="452">
        <v>0</v>
      </c>
      <c r="L15" s="18"/>
    </row>
    <row r="16" spans="1:12" s="28" customFormat="1" ht="21" customHeight="1">
      <c r="A16" s="23"/>
      <c r="B16" s="18"/>
      <c r="C16" s="21"/>
      <c r="D16" s="439"/>
      <c r="E16" s="434" t="s">
        <v>27</v>
      </c>
      <c r="F16" s="436"/>
      <c r="G16" s="451">
        <v>0</v>
      </c>
      <c r="H16" s="453"/>
      <c r="I16" s="434" t="s">
        <v>27</v>
      </c>
      <c r="J16" s="436"/>
      <c r="K16" s="452">
        <v>0</v>
      </c>
      <c r="L16" s="18"/>
    </row>
    <row r="17" spans="1:12" s="28" customFormat="1" ht="21" customHeight="1">
      <c r="A17" s="23"/>
      <c r="B17" s="18"/>
      <c r="C17" s="21"/>
      <c r="D17" s="437" t="s">
        <v>335</v>
      </c>
      <c r="E17" s="434" t="s">
        <v>404</v>
      </c>
      <c r="F17" s="436"/>
      <c r="G17" s="451">
        <v>0</v>
      </c>
      <c r="H17" s="434" t="s">
        <v>405</v>
      </c>
      <c r="I17" s="435"/>
      <c r="J17" s="436"/>
      <c r="K17" s="452">
        <v>0</v>
      </c>
      <c r="L17" s="18"/>
    </row>
    <row r="18" spans="1:12" s="28" customFormat="1" ht="21" customHeight="1">
      <c r="A18" s="23"/>
      <c r="B18" s="18"/>
      <c r="C18" s="21"/>
      <c r="D18" s="439"/>
      <c r="E18" s="434" t="s">
        <v>406</v>
      </c>
      <c r="F18" s="436"/>
      <c r="G18" s="451">
        <v>0</v>
      </c>
      <c r="H18" s="434" t="s">
        <v>364</v>
      </c>
      <c r="I18" s="435"/>
      <c r="J18" s="436"/>
      <c r="K18" s="452">
        <v>0</v>
      </c>
      <c r="L18" s="18"/>
    </row>
    <row r="19" spans="1:12" s="28" customFormat="1" ht="21" customHeight="1">
      <c r="A19" s="23"/>
      <c r="B19" s="13"/>
      <c r="C19" s="21"/>
      <c r="D19" s="445" t="s">
        <v>338</v>
      </c>
      <c r="E19" s="434" t="s">
        <v>339</v>
      </c>
      <c r="F19" s="436"/>
      <c r="G19" s="451">
        <v>0</v>
      </c>
      <c r="H19" s="434" t="s">
        <v>365</v>
      </c>
      <c r="I19" s="435"/>
      <c r="J19" s="436"/>
      <c r="K19" s="452">
        <v>0</v>
      </c>
      <c r="L19" s="18"/>
    </row>
    <row r="20" spans="1:12" s="28" customFormat="1" ht="21" customHeight="1">
      <c r="A20" s="23"/>
      <c r="B20" s="13"/>
      <c r="C20" s="21"/>
      <c r="D20" s="439"/>
      <c r="E20" s="434" t="s">
        <v>340</v>
      </c>
      <c r="F20" s="436"/>
      <c r="G20" s="451">
        <v>0</v>
      </c>
      <c r="H20" s="434" t="s">
        <v>369</v>
      </c>
      <c r="I20" s="435"/>
      <c r="J20" s="436"/>
      <c r="K20" s="452">
        <v>0</v>
      </c>
      <c r="L20" s="18"/>
    </row>
    <row r="21" spans="1:12" s="28" customFormat="1" ht="21" customHeight="1">
      <c r="A21" s="23"/>
      <c r="B21" s="13"/>
      <c r="C21" s="21"/>
      <c r="D21" s="454" t="s">
        <v>341</v>
      </c>
      <c r="E21" s="435"/>
      <c r="F21" s="436"/>
      <c r="G21" s="451">
        <v>0</v>
      </c>
      <c r="H21" s="438" t="s">
        <v>371</v>
      </c>
      <c r="I21" s="435" t="s">
        <v>407</v>
      </c>
      <c r="J21" s="436"/>
      <c r="K21" s="452">
        <v>0</v>
      </c>
      <c r="L21" s="18"/>
    </row>
    <row r="22" spans="1:12" s="28" customFormat="1" ht="21" customHeight="1">
      <c r="A22" s="23"/>
      <c r="B22" s="13"/>
      <c r="C22" s="21"/>
      <c r="D22" s="454" t="s">
        <v>358</v>
      </c>
      <c r="E22" s="435"/>
      <c r="F22" s="436"/>
      <c r="G22" s="451">
        <v>0</v>
      </c>
      <c r="H22" s="446"/>
      <c r="I22" s="434" t="s">
        <v>375</v>
      </c>
      <c r="J22" s="429"/>
      <c r="K22" s="452">
        <v>0</v>
      </c>
      <c r="L22" s="18"/>
    </row>
    <row r="23" spans="1:12" s="28" customFormat="1" ht="21" customHeight="1">
      <c r="A23" s="23"/>
      <c r="B23" s="13"/>
      <c r="C23" s="21"/>
      <c r="D23" s="454" t="s">
        <v>368</v>
      </c>
      <c r="E23" s="435"/>
      <c r="F23" s="436"/>
      <c r="G23" s="451">
        <v>0</v>
      </c>
      <c r="H23" s="447"/>
      <c r="I23" s="434" t="s">
        <v>27</v>
      </c>
      <c r="J23" s="429"/>
      <c r="K23" s="452">
        <v>0</v>
      </c>
      <c r="L23" s="18"/>
    </row>
    <row r="24" spans="1:12" s="28" customFormat="1" ht="21" customHeight="1">
      <c r="A24" s="23"/>
      <c r="B24" s="13"/>
      <c r="C24" s="21"/>
      <c r="D24" s="454" t="s">
        <v>370</v>
      </c>
      <c r="E24" s="435"/>
      <c r="F24" s="436"/>
      <c r="G24" s="451">
        <v>0</v>
      </c>
      <c r="H24" s="434" t="s">
        <v>408</v>
      </c>
      <c r="I24" s="428"/>
      <c r="J24" s="429"/>
      <c r="K24" s="452">
        <v>0</v>
      </c>
      <c r="L24" s="18"/>
    </row>
    <row r="25" spans="1:12" s="28" customFormat="1" ht="21" customHeight="1">
      <c r="A25" s="23"/>
      <c r="B25" s="13"/>
      <c r="C25" s="21"/>
      <c r="D25" s="441" t="s">
        <v>373</v>
      </c>
      <c r="E25" s="435" t="s">
        <v>409</v>
      </c>
      <c r="F25" s="436"/>
      <c r="G25" s="451">
        <v>0</v>
      </c>
      <c r="H25" s="819"/>
      <c r="I25" s="820"/>
      <c r="J25" s="821"/>
      <c r="K25" s="828"/>
      <c r="L25" s="18"/>
    </row>
    <row r="26" spans="1:12" s="28" customFormat="1" ht="21" customHeight="1">
      <c r="A26" s="23"/>
      <c r="B26" s="13"/>
      <c r="C26" s="21"/>
      <c r="D26" s="439"/>
      <c r="E26" s="435" t="s">
        <v>27</v>
      </c>
      <c r="F26" s="436"/>
      <c r="G26" s="451">
        <v>0</v>
      </c>
      <c r="H26" s="822"/>
      <c r="I26" s="823"/>
      <c r="J26" s="824"/>
      <c r="K26" s="829"/>
      <c r="L26" s="18"/>
    </row>
    <row r="27" spans="1:12" s="28" customFormat="1" ht="21" customHeight="1">
      <c r="A27" s="23"/>
      <c r="B27" s="13"/>
      <c r="C27" s="21"/>
      <c r="D27" s="454" t="s">
        <v>382</v>
      </c>
      <c r="E27" s="435"/>
      <c r="F27" s="436"/>
      <c r="G27" s="451">
        <v>0</v>
      </c>
      <c r="H27" s="822"/>
      <c r="I27" s="823"/>
      <c r="J27" s="824"/>
      <c r="K27" s="829"/>
      <c r="L27" s="18"/>
    </row>
    <row r="28" spans="1:12" s="28" customFormat="1" ht="21" customHeight="1">
      <c r="A28" s="23"/>
      <c r="B28" s="13"/>
      <c r="C28" s="21"/>
      <c r="D28" s="454" t="s">
        <v>383</v>
      </c>
      <c r="E28" s="435"/>
      <c r="F28" s="436"/>
      <c r="G28" s="451">
        <v>0</v>
      </c>
      <c r="H28" s="822"/>
      <c r="I28" s="823"/>
      <c r="J28" s="824"/>
      <c r="K28" s="829"/>
      <c r="L28" s="18"/>
    </row>
    <row r="29" spans="1:12" s="28" customFormat="1" ht="21" customHeight="1">
      <c r="A29" s="23"/>
      <c r="B29" s="13"/>
      <c r="C29" s="21"/>
      <c r="D29" s="455" t="s">
        <v>385</v>
      </c>
      <c r="E29" s="435"/>
      <c r="F29" s="436"/>
      <c r="G29" s="451">
        <v>0</v>
      </c>
      <c r="H29" s="825"/>
      <c r="I29" s="826"/>
      <c r="J29" s="827"/>
      <c r="K29" s="830"/>
      <c r="L29" s="18"/>
    </row>
    <row r="30" spans="1:12" s="28" customFormat="1" ht="21" customHeight="1">
      <c r="A30" s="23"/>
      <c r="B30" s="13"/>
      <c r="C30" s="21"/>
      <c r="D30" s="808" t="s">
        <v>386</v>
      </c>
      <c r="E30" s="797"/>
      <c r="F30" s="798"/>
      <c r="G30" s="412">
        <f>SUM(G11:G29)</f>
        <v>0</v>
      </c>
      <c r="H30" s="796" t="s">
        <v>386</v>
      </c>
      <c r="I30" s="797"/>
      <c r="J30" s="798"/>
      <c r="K30" s="426">
        <f>SUM(K11:K24)</f>
        <v>0</v>
      </c>
      <c r="L30" s="18"/>
    </row>
    <row r="31" spans="1:12" s="28" customFormat="1" ht="21" customHeight="1">
      <c r="A31" s="23"/>
      <c r="B31" s="13"/>
      <c r="C31" s="21"/>
      <c r="D31" s="42"/>
      <c r="E31" s="42"/>
      <c r="F31" s="42"/>
      <c r="G31" s="42"/>
      <c r="H31" s="42"/>
      <c r="I31" s="42"/>
      <c r="J31" s="42"/>
      <c r="K31" s="43"/>
      <c r="L31" s="18"/>
    </row>
    <row r="32" spans="1:12" s="28" customFormat="1" ht="21" customHeight="1">
      <c r="A32" s="23"/>
      <c r="B32" s="13"/>
      <c r="C32" s="21"/>
      <c r="D32" s="21" t="s">
        <v>387</v>
      </c>
      <c r="E32" s="42"/>
      <c r="F32" s="42"/>
      <c r="G32" s="448">
        <f>G30-K30</f>
        <v>0</v>
      </c>
      <c r="H32" s="21" t="s">
        <v>388</v>
      </c>
      <c r="I32" s="42"/>
      <c r="J32" s="42"/>
      <c r="K32" s="43"/>
      <c r="L32" s="18"/>
    </row>
    <row r="33" spans="1:12" s="28" customFormat="1" ht="21" customHeight="1">
      <c r="A33" s="23"/>
      <c r="B33" s="18"/>
      <c r="C33" s="21"/>
      <c r="D33" s="21" t="s">
        <v>389</v>
      </c>
      <c r="E33" s="42"/>
      <c r="F33" s="42"/>
      <c r="G33" s="449">
        <v>0</v>
      </c>
      <c r="H33" s="21" t="s">
        <v>388</v>
      </c>
      <c r="I33" s="42"/>
      <c r="J33" s="42"/>
      <c r="K33" s="43"/>
      <c r="L33" s="18"/>
    </row>
    <row r="34" spans="1:12" s="28" customFormat="1" ht="12" customHeight="1">
      <c r="A34" s="23"/>
      <c r="B34" s="38"/>
      <c r="C34" s="39"/>
      <c r="D34" s="18"/>
      <c r="E34" s="18"/>
      <c r="F34" s="18"/>
      <c r="G34" s="18"/>
      <c r="H34" s="18"/>
      <c r="I34" s="18"/>
      <c r="J34" s="18"/>
      <c r="K34" s="18"/>
      <c r="L34" s="18"/>
    </row>
  </sheetData>
  <sheetProtection selectLockedCells="1" selectUnlockedCells="1"/>
  <mergeCells count="12">
    <mergeCell ref="B3:L3"/>
    <mergeCell ref="B4:L4"/>
    <mergeCell ref="D9:G9"/>
    <mergeCell ref="H9:K9"/>
    <mergeCell ref="D10:F10"/>
    <mergeCell ref="H10:J10"/>
    <mergeCell ref="E13:F13"/>
    <mergeCell ref="I15:J15"/>
    <mergeCell ref="H25:J29"/>
    <mergeCell ref="K25:K29"/>
    <mergeCell ref="D30:F30"/>
    <mergeCell ref="H30:J30"/>
  </mergeCells>
  <phoneticPr fontId="34"/>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42"/>
  <sheetViews>
    <sheetView topLeftCell="A7" workbookViewId="0">
      <selection activeCell="H41" sqref="H41:M41"/>
    </sheetView>
  </sheetViews>
  <sheetFormatPr defaultRowHeight="0" customHeight="1" zeroHeight="1"/>
  <cols>
    <col min="1" max="1" width="2.40625" style="15" customWidth="1"/>
    <col min="2" max="4" width="3.54296875" style="15" customWidth="1"/>
    <col min="5" max="5" width="5.86328125" style="15" customWidth="1"/>
    <col min="6" max="25" width="3.54296875" style="15" customWidth="1"/>
    <col min="26" max="26" width="4" customWidth="1"/>
  </cols>
  <sheetData>
    <row r="1" spans="1:26" ht="18" customHeight="1">
      <c r="A1" s="13" t="s">
        <v>410</v>
      </c>
      <c r="B1" s="13"/>
      <c r="C1" s="13"/>
      <c r="D1" s="13"/>
      <c r="E1" s="13"/>
      <c r="F1" s="13"/>
      <c r="G1" s="13"/>
      <c r="H1" s="13"/>
      <c r="I1" s="13"/>
      <c r="J1" s="13"/>
      <c r="K1" s="13"/>
      <c r="L1" s="12"/>
      <c r="M1" s="12"/>
      <c r="N1" s="12"/>
      <c r="O1" s="12"/>
      <c r="P1" s="12"/>
      <c r="Q1" s="12"/>
      <c r="R1" s="12"/>
      <c r="S1" s="12"/>
      <c r="T1" s="12"/>
      <c r="U1" s="12"/>
      <c r="V1" s="12"/>
      <c r="W1" s="12"/>
      <c r="X1" s="12"/>
      <c r="Y1" s="14"/>
      <c r="Z1" s="119"/>
    </row>
    <row r="2" spans="1:26" ht="18.75" customHeight="1">
      <c r="A2" s="14"/>
      <c r="B2" s="12"/>
      <c r="C2" s="12"/>
      <c r="D2" s="12"/>
      <c r="E2" s="12"/>
      <c r="F2" s="12"/>
      <c r="G2" s="12"/>
      <c r="H2" s="12"/>
      <c r="I2" s="12"/>
      <c r="J2" s="12"/>
      <c r="K2" s="12"/>
      <c r="L2" s="12"/>
      <c r="M2" s="12"/>
      <c r="N2" s="12"/>
      <c r="O2" s="12"/>
      <c r="P2" s="12"/>
      <c r="Q2" s="12"/>
      <c r="R2" s="12"/>
      <c r="S2" s="12"/>
      <c r="T2" s="12"/>
      <c r="U2" s="12"/>
      <c r="V2" s="12"/>
      <c r="W2" s="12"/>
      <c r="X2" s="12"/>
      <c r="Y2" s="14"/>
      <c r="Z2" s="119"/>
    </row>
    <row r="3" spans="1:26" ht="21" customHeight="1">
      <c r="A3" s="619" t="s">
        <v>1</v>
      </c>
      <c r="B3" s="619"/>
      <c r="C3" s="619"/>
      <c r="D3" s="619"/>
      <c r="E3" s="619"/>
      <c r="F3" s="619"/>
      <c r="G3" s="619"/>
      <c r="H3" s="619"/>
      <c r="I3" s="619"/>
      <c r="J3" s="619"/>
      <c r="K3" s="619"/>
      <c r="L3" s="619"/>
      <c r="M3" s="619"/>
      <c r="N3" s="619"/>
      <c r="O3" s="619"/>
      <c r="P3" s="619"/>
      <c r="Q3" s="619"/>
      <c r="R3" s="619"/>
      <c r="S3" s="619"/>
      <c r="T3" s="619"/>
      <c r="U3" s="619"/>
      <c r="V3" s="619"/>
      <c r="W3" s="619"/>
      <c r="X3" s="619"/>
      <c r="Y3" s="619"/>
      <c r="Z3" s="12"/>
    </row>
    <row r="4" spans="1:26" ht="17.25" customHeight="1">
      <c r="A4" s="620" t="s">
        <v>2</v>
      </c>
      <c r="B4" s="619"/>
      <c r="C4" s="619"/>
      <c r="D4" s="619"/>
      <c r="E4" s="619"/>
      <c r="F4" s="619"/>
      <c r="G4" s="619"/>
      <c r="H4" s="619"/>
      <c r="I4" s="619"/>
      <c r="J4" s="619"/>
      <c r="K4" s="619"/>
      <c r="L4" s="619"/>
      <c r="M4" s="619"/>
      <c r="N4" s="619"/>
      <c r="O4" s="619"/>
      <c r="P4" s="619"/>
      <c r="Q4" s="619"/>
      <c r="R4" s="619"/>
      <c r="S4" s="619"/>
      <c r="T4" s="619"/>
      <c r="U4" s="619"/>
      <c r="V4" s="619"/>
      <c r="W4" s="619"/>
      <c r="X4" s="619"/>
      <c r="Y4" s="619"/>
      <c r="Z4" s="12"/>
    </row>
    <row r="5" spans="1:26" ht="21" customHeight="1">
      <c r="A5" s="14"/>
      <c r="B5" s="16"/>
      <c r="C5" s="17"/>
      <c r="D5" s="17"/>
      <c r="E5" s="17"/>
      <c r="F5" s="17"/>
      <c r="G5" s="17"/>
      <c r="H5" s="17"/>
      <c r="I5" s="17"/>
      <c r="J5" s="17"/>
      <c r="K5" s="17"/>
      <c r="L5" s="18"/>
      <c r="M5" s="12"/>
      <c r="N5" s="12"/>
      <c r="O5" s="12"/>
      <c r="P5" s="12"/>
      <c r="Q5" s="12"/>
      <c r="R5" s="621" t="s">
        <v>32</v>
      </c>
      <c r="S5" s="621"/>
      <c r="T5" s="621"/>
      <c r="U5" s="621"/>
      <c r="V5" s="622" t="s">
        <v>4</v>
      </c>
      <c r="W5" s="622"/>
      <c r="X5" s="622"/>
      <c r="Y5" s="622"/>
      <c r="Z5" s="12"/>
    </row>
    <row r="6" spans="1:26" ht="21" customHeight="1">
      <c r="A6" s="14"/>
      <c r="B6" s="13"/>
      <c r="C6" s="17"/>
      <c r="D6" s="17"/>
      <c r="E6" s="17"/>
      <c r="F6" s="17"/>
      <c r="G6" s="17"/>
      <c r="H6" s="17"/>
      <c r="I6" s="17"/>
      <c r="J6" s="17"/>
      <c r="K6" s="17"/>
      <c r="L6" s="18"/>
      <c r="M6" s="12"/>
      <c r="N6" s="12"/>
      <c r="O6" s="12"/>
      <c r="P6" s="12"/>
      <c r="Q6" s="12"/>
      <c r="R6" s="623" t="s">
        <v>33</v>
      </c>
      <c r="S6" s="623"/>
      <c r="T6" s="623"/>
      <c r="U6" s="623"/>
      <c r="V6" s="624" t="s">
        <v>6</v>
      </c>
      <c r="W6" s="624"/>
      <c r="X6" s="624"/>
      <c r="Y6" s="624"/>
      <c r="Z6" s="12" t="s">
        <v>7</v>
      </c>
    </row>
    <row r="7" spans="1:26" ht="21" customHeight="1">
      <c r="A7" s="14"/>
      <c r="B7" s="13"/>
      <c r="C7" s="17"/>
      <c r="D7" s="17"/>
      <c r="E7" s="17"/>
      <c r="F7" s="17"/>
      <c r="G7" s="17"/>
      <c r="H7" s="17"/>
      <c r="I7" s="17"/>
      <c r="J7" s="17"/>
      <c r="K7" s="17"/>
      <c r="L7" s="18"/>
      <c r="M7" s="12"/>
      <c r="N7" s="12"/>
      <c r="O7" s="12"/>
      <c r="P7" s="12"/>
      <c r="Q7" s="12"/>
      <c r="R7" s="19"/>
      <c r="S7" s="19"/>
      <c r="T7" s="19"/>
      <c r="U7" s="19"/>
      <c r="V7" s="20"/>
      <c r="W7" s="20"/>
      <c r="X7" s="20"/>
      <c r="Y7" s="20"/>
      <c r="Z7" s="12"/>
    </row>
    <row r="8" spans="1:26" ht="22.5" customHeight="1">
      <c r="A8" s="13" t="s">
        <v>411</v>
      </c>
      <c r="B8" s="13"/>
      <c r="C8" s="16"/>
      <c r="D8" s="16"/>
      <c r="E8" s="16"/>
      <c r="F8" s="16"/>
      <c r="G8" s="16"/>
      <c r="H8" s="16"/>
      <c r="I8" s="16"/>
      <c r="J8" s="16"/>
      <c r="K8" s="16"/>
      <c r="L8" s="18"/>
      <c r="M8" s="18"/>
      <c r="N8" s="18"/>
      <c r="O8" s="18"/>
      <c r="P8" s="18"/>
      <c r="Q8" s="18"/>
      <c r="R8" s="18"/>
      <c r="S8" s="18"/>
      <c r="T8" s="18"/>
      <c r="U8" s="18"/>
      <c r="V8" s="18"/>
      <c r="W8" s="18"/>
      <c r="X8" s="12"/>
      <c r="Y8" s="14"/>
      <c r="Z8" s="12"/>
    </row>
    <row r="9" spans="1:26" s="14" customFormat="1" ht="21" customHeight="1">
      <c r="B9" s="76" t="s">
        <v>412</v>
      </c>
      <c r="C9" s="21"/>
      <c r="D9" s="21"/>
      <c r="E9" s="21"/>
      <c r="F9" s="21"/>
      <c r="G9" s="21"/>
      <c r="H9" s="21"/>
      <c r="I9" s="21"/>
      <c r="J9" s="22"/>
      <c r="K9" s="22"/>
      <c r="L9" s="22"/>
      <c r="M9" s="22"/>
      <c r="N9" s="22"/>
      <c r="O9" s="22"/>
      <c r="P9" s="22"/>
      <c r="Q9" s="22"/>
      <c r="R9" s="22"/>
      <c r="S9" s="22"/>
      <c r="T9" s="22"/>
      <c r="U9" s="22"/>
      <c r="V9" s="22"/>
      <c r="W9" s="22"/>
      <c r="X9" s="22"/>
      <c r="Y9" s="22"/>
      <c r="Z9" s="12"/>
    </row>
    <row r="10" spans="1:26" s="28" customFormat="1" ht="21" customHeight="1">
      <c r="A10" s="23"/>
      <c r="B10" s="24"/>
      <c r="C10" s="25" t="s">
        <v>413</v>
      </c>
      <c r="D10" s="24"/>
      <c r="E10" s="24"/>
      <c r="F10" s="24"/>
      <c r="G10" s="24"/>
      <c r="H10" s="26"/>
      <c r="I10" s="24"/>
      <c r="J10" s="24"/>
      <c r="K10" s="27"/>
      <c r="L10" s="27"/>
      <c r="M10" s="27"/>
      <c r="N10" s="27"/>
      <c r="O10" s="27"/>
      <c r="P10" s="27"/>
      <c r="Q10" s="27"/>
      <c r="R10" s="27"/>
      <c r="S10" s="27"/>
      <c r="T10" s="615" t="s">
        <v>300</v>
      </c>
      <c r="U10" s="615"/>
      <c r="V10" s="615"/>
      <c r="W10" s="615"/>
      <c r="X10" s="27"/>
      <c r="Y10" s="27"/>
      <c r="Z10" s="12"/>
    </row>
    <row r="11" spans="1:26" s="28" customFormat="1" ht="21" customHeight="1">
      <c r="A11" s="23"/>
      <c r="B11" s="29"/>
      <c r="C11" s="601" t="s">
        <v>414</v>
      </c>
      <c r="D11" s="602"/>
      <c r="E11" s="602"/>
      <c r="F11" s="602"/>
      <c r="G11" s="602"/>
      <c r="H11" s="602"/>
      <c r="I11" s="602"/>
      <c r="J11" s="602"/>
      <c r="K11" s="602"/>
      <c r="L11" s="602"/>
      <c r="M11" s="601" t="s">
        <v>415</v>
      </c>
      <c r="N11" s="602"/>
      <c r="O11" s="602"/>
      <c r="P11" s="602"/>
      <c r="Q11" s="603"/>
      <c r="R11" s="30"/>
      <c r="S11" s="616" t="s">
        <v>416</v>
      </c>
      <c r="T11" s="617"/>
      <c r="U11" s="617"/>
      <c r="V11" s="617"/>
      <c r="W11" s="618"/>
      <c r="X11" s="27"/>
      <c r="Y11" s="27"/>
      <c r="Z11" s="12"/>
    </row>
    <row r="12" spans="1:26" s="28" customFormat="1" ht="21" customHeight="1">
      <c r="A12" s="23"/>
      <c r="B12" s="29"/>
      <c r="C12" s="456" t="s">
        <v>341</v>
      </c>
      <c r="D12" s="457"/>
      <c r="E12" s="457"/>
      <c r="F12" s="592" t="s">
        <v>342</v>
      </c>
      <c r="G12" s="593"/>
      <c r="H12" s="593"/>
      <c r="I12" s="593"/>
      <c r="J12" s="593"/>
      <c r="K12" s="593"/>
      <c r="L12" s="593"/>
      <c r="M12" s="583">
        <v>0</v>
      </c>
      <c r="N12" s="584"/>
      <c r="O12" s="584"/>
      <c r="P12" s="584"/>
      <c r="Q12" s="585"/>
      <c r="R12" s="30"/>
      <c r="S12" s="583">
        <v>11429659</v>
      </c>
      <c r="T12" s="584"/>
      <c r="U12" s="584"/>
      <c r="V12" s="584"/>
      <c r="W12" s="585"/>
      <c r="X12" s="27"/>
      <c r="Y12" s="27"/>
      <c r="Z12" s="12"/>
    </row>
    <row r="13" spans="1:26" s="28" customFormat="1" ht="21" customHeight="1">
      <c r="A13" s="23"/>
      <c r="B13" s="29"/>
      <c r="C13" s="83"/>
      <c r="D13" s="79"/>
      <c r="E13" s="79"/>
      <c r="F13" s="598" t="s">
        <v>343</v>
      </c>
      <c r="G13" s="599"/>
      <c r="H13" s="599"/>
      <c r="I13" s="599"/>
      <c r="J13" s="599"/>
      <c r="K13" s="599"/>
      <c r="L13" s="599"/>
      <c r="M13" s="583">
        <v>0</v>
      </c>
      <c r="N13" s="584"/>
      <c r="O13" s="584"/>
      <c r="P13" s="584"/>
      <c r="Q13" s="585"/>
      <c r="R13" s="30"/>
      <c r="S13" s="583">
        <v>0</v>
      </c>
      <c r="T13" s="584"/>
      <c r="U13" s="584"/>
      <c r="V13" s="584"/>
      <c r="W13" s="585"/>
      <c r="X13" s="27"/>
      <c r="Y13" s="27"/>
      <c r="Z13" s="12"/>
    </row>
    <row r="14" spans="1:26" s="28" customFormat="1" ht="21" customHeight="1">
      <c r="A14" s="23"/>
      <c r="B14" s="29"/>
      <c r="C14" s="458"/>
      <c r="D14" s="459"/>
      <c r="E14" s="459"/>
      <c r="F14" s="595" t="s">
        <v>417</v>
      </c>
      <c r="G14" s="596"/>
      <c r="H14" s="596"/>
      <c r="I14" s="596"/>
      <c r="J14" s="596"/>
      <c r="K14" s="596"/>
      <c r="L14" s="596"/>
      <c r="M14" s="583">
        <v>0</v>
      </c>
      <c r="N14" s="584"/>
      <c r="O14" s="584"/>
      <c r="P14" s="584"/>
      <c r="Q14" s="585"/>
      <c r="R14" s="30"/>
      <c r="S14" s="583">
        <v>1830964</v>
      </c>
      <c r="T14" s="584"/>
      <c r="U14" s="584"/>
      <c r="V14" s="584"/>
      <c r="W14" s="585"/>
      <c r="X14" s="27"/>
      <c r="Y14" s="27"/>
      <c r="Z14" s="12"/>
    </row>
    <row r="15" spans="1:26" s="28" customFormat="1" ht="21" customHeight="1">
      <c r="A15" s="23"/>
      <c r="B15" s="29"/>
      <c r="C15" s="609" t="s">
        <v>354</v>
      </c>
      <c r="D15" s="593"/>
      <c r="E15" s="610"/>
      <c r="F15" s="592" t="s">
        <v>355</v>
      </c>
      <c r="G15" s="593"/>
      <c r="H15" s="593"/>
      <c r="I15" s="593"/>
      <c r="J15" s="593"/>
      <c r="K15" s="593"/>
      <c r="L15" s="593"/>
      <c r="M15" s="583">
        <v>0</v>
      </c>
      <c r="N15" s="584"/>
      <c r="O15" s="584"/>
      <c r="P15" s="584"/>
      <c r="Q15" s="585"/>
      <c r="R15" s="30"/>
      <c r="S15" s="583">
        <v>3122166</v>
      </c>
      <c r="T15" s="584"/>
      <c r="U15" s="584"/>
      <c r="V15" s="584"/>
      <c r="W15" s="585"/>
      <c r="X15" s="27"/>
      <c r="Y15" s="27"/>
      <c r="Z15" s="12"/>
    </row>
    <row r="16" spans="1:26" s="28" customFormat="1" ht="21" customHeight="1">
      <c r="A16" s="23"/>
      <c r="B16" s="29"/>
      <c r="C16" s="611"/>
      <c r="D16" s="596"/>
      <c r="E16" s="612"/>
      <c r="F16" s="613" t="s">
        <v>357</v>
      </c>
      <c r="G16" s="614"/>
      <c r="H16" s="614"/>
      <c r="I16" s="614"/>
      <c r="J16" s="614"/>
      <c r="K16" s="614"/>
      <c r="L16" s="614"/>
      <c r="M16" s="583">
        <v>0</v>
      </c>
      <c r="N16" s="584"/>
      <c r="O16" s="584"/>
      <c r="P16" s="584"/>
      <c r="Q16" s="585"/>
      <c r="R16" s="30"/>
      <c r="S16" s="583">
        <v>390377</v>
      </c>
      <c r="T16" s="584"/>
      <c r="U16" s="584"/>
      <c r="V16" s="584"/>
      <c r="W16" s="585"/>
      <c r="X16" s="27"/>
      <c r="Y16" s="27"/>
      <c r="Z16" s="12"/>
    </row>
    <row r="17" spans="1:26" s="28" customFormat="1" ht="21" customHeight="1">
      <c r="A17" s="23"/>
      <c r="B17" s="29"/>
      <c r="C17" s="609" t="s">
        <v>358</v>
      </c>
      <c r="D17" s="593"/>
      <c r="E17" s="610"/>
      <c r="F17" s="592" t="s">
        <v>359</v>
      </c>
      <c r="G17" s="593"/>
      <c r="H17" s="593"/>
      <c r="I17" s="593"/>
      <c r="J17" s="593"/>
      <c r="K17" s="593"/>
      <c r="L17" s="593"/>
      <c r="M17" s="583">
        <v>0</v>
      </c>
      <c r="N17" s="584"/>
      <c r="O17" s="584"/>
      <c r="P17" s="584"/>
      <c r="Q17" s="585"/>
      <c r="R17" s="30"/>
      <c r="S17" s="583">
        <v>1332680</v>
      </c>
      <c r="T17" s="584"/>
      <c r="U17" s="584"/>
      <c r="V17" s="584"/>
      <c r="W17" s="585"/>
      <c r="X17" s="27"/>
      <c r="Y17" s="27"/>
      <c r="Z17" s="12"/>
    </row>
    <row r="18" spans="1:26" s="28" customFormat="1" ht="21" customHeight="1">
      <c r="A18" s="23"/>
      <c r="B18" s="29"/>
      <c r="C18" s="611"/>
      <c r="D18" s="596"/>
      <c r="E18" s="612"/>
      <c r="F18" s="613" t="s">
        <v>417</v>
      </c>
      <c r="G18" s="614"/>
      <c r="H18" s="614"/>
      <c r="I18" s="614"/>
      <c r="J18" s="614"/>
      <c r="K18" s="614"/>
      <c r="L18" s="614"/>
      <c r="M18" s="583">
        <v>0</v>
      </c>
      <c r="N18" s="584"/>
      <c r="O18" s="584"/>
      <c r="P18" s="584"/>
      <c r="Q18" s="585"/>
      <c r="R18" s="30"/>
      <c r="S18" s="583">
        <v>1476901</v>
      </c>
      <c r="T18" s="584"/>
      <c r="U18" s="584"/>
      <c r="V18" s="584"/>
      <c r="W18" s="585"/>
      <c r="X18" s="27"/>
      <c r="Y18" s="27"/>
      <c r="Z18" s="12"/>
    </row>
    <row r="19" spans="1:26" s="28" customFormat="1" ht="21" customHeight="1">
      <c r="A19" s="23"/>
      <c r="B19" s="29"/>
      <c r="C19" s="607" t="s">
        <v>373</v>
      </c>
      <c r="D19" s="581"/>
      <c r="E19" s="608"/>
      <c r="F19" s="580" t="s">
        <v>418</v>
      </c>
      <c r="G19" s="581"/>
      <c r="H19" s="581"/>
      <c r="I19" s="581"/>
      <c r="J19" s="581"/>
      <c r="K19" s="581"/>
      <c r="L19" s="581"/>
      <c r="M19" s="583">
        <v>0</v>
      </c>
      <c r="N19" s="584"/>
      <c r="O19" s="584"/>
      <c r="P19" s="584"/>
      <c r="Q19" s="585"/>
      <c r="R19" s="30"/>
      <c r="S19" s="583">
        <v>0</v>
      </c>
      <c r="T19" s="584"/>
      <c r="U19" s="584"/>
      <c r="V19" s="584"/>
      <c r="W19" s="585"/>
      <c r="X19" s="27"/>
      <c r="Y19" s="27"/>
      <c r="Z19" s="12"/>
    </row>
    <row r="20" spans="1:26" s="28" customFormat="1" ht="21" customHeight="1">
      <c r="A20" s="23"/>
      <c r="B20" s="31"/>
      <c r="C20" s="586" t="s">
        <v>109</v>
      </c>
      <c r="D20" s="587"/>
      <c r="E20" s="587"/>
      <c r="F20" s="587"/>
      <c r="G20" s="587"/>
      <c r="H20" s="587"/>
      <c r="I20" s="587"/>
      <c r="J20" s="587"/>
      <c r="K20" s="587"/>
      <c r="L20" s="588"/>
      <c r="M20" s="589">
        <f>SUM(M12:Q19)</f>
        <v>0</v>
      </c>
      <c r="N20" s="590"/>
      <c r="O20" s="590"/>
      <c r="P20" s="590"/>
      <c r="Q20" s="591"/>
      <c r="R20" s="32"/>
      <c r="S20" s="589">
        <f>SUM(S12:W19)</f>
        <v>19582747</v>
      </c>
      <c r="T20" s="590"/>
      <c r="U20" s="590"/>
      <c r="V20" s="590"/>
      <c r="W20" s="591"/>
      <c r="X20" s="27"/>
      <c r="Y20" s="33"/>
      <c r="Z20" s="12"/>
    </row>
    <row r="21" spans="1:26" s="28" customFormat="1" ht="21" customHeight="1">
      <c r="A21" s="23"/>
      <c r="B21" s="29"/>
      <c r="C21" s="25"/>
      <c r="D21" s="25"/>
      <c r="E21" s="25"/>
      <c r="F21" s="25"/>
      <c r="G21" s="25"/>
      <c r="H21" s="34"/>
      <c r="I21" s="34"/>
      <c r="J21" s="25"/>
      <c r="K21" s="27"/>
      <c r="L21" s="27"/>
      <c r="M21" s="27"/>
      <c r="N21" s="27"/>
      <c r="O21" s="27"/>
      <c r="P21" s="27"/>
      <c r="Q21" s="27"/>
      <c r="R21" s="27"/>
      <c r="S21" s="27"/>
      <c r="T21" s="27"/>
      <c r="U21" s="27"/>
      <c r="V21" s="27"/>
      <c r="W21" s="27"/>
      <c r="X21" s="27"/>
      <c r="Y21" s="27"/>
      <c r="Z21" s="12"/>
    </row>
    <row r="22" spans="1:26" s="28" customFormat="1" ht="21" customHeight="1">
      <c r="A22" s="23"/>
      <c r="B22" s="35"/>
      <c r="C22" s="25" t="s">
        <v>419</v>
      </c>
      <c r="D22" s="35"/>
      <c r="E22" s="35"/>
      <c r="F22" s="35"/>
      <c r="G22" s="35"/>
      <c r="H22" s="35"/>
      <c r="I22" s="35"/>
      <c r="J22" s="24"/>
      <c r="K22" s="27"/>
      <c r="L22" s="27"/>
      <c r="M22" s="27"/>
      <c r="N22" s="27"/>
      <c r="O22" s="27"/>
      <c r="P22" s="27"/>
      <c r="Q22" s="27"/>
      <c r="R22" s="27"/>
      <c r="S22" s="27"/>
      <c r="T22" s="27"/>
      <c r="U22" s="27"/>
      <c r="V22" s="27"/>
      <c r="W22" s="27"/>
      <c r="X22" s="27"/>
      <c r="Y22" s="27"/>
      <c r="Z22" s="12"/>
    </row>
    <row r="23" spans="1:26" s="28" customFormat="1" ht="21" customHeight="1">
      <c r="A23" s="23"/>
      <c r="B23" s="29"/>
      <c r="C23" s="601" t="s">
        <v>414</v>
      </c>
      <c r="D23" s="602"/>
      <c r="E23" s="602"/>
      <c r="F23" s="602"/>
      <c r="G23" s="602"/>
      <c r="H23" s="602"/>
      <c r="I23" s="602"/>
      <c r="J23" s="602"/>
      <c r="K23" s="602"/>
      <c r="L23" s="603"/>
      <c r="M23" s="604" t="s">
        <v>420</v>
      </c>
      <c r="N23" s="605"/>
      <c r="O23" s="605"/>
      <c r="P23" s="605"/>
      <c r="Q23" s="606"/>
      <c r="R23" s="30"/>
      <c r="S23" s="604" t="s">
        <v>421</v>
      </c>
      <c r="T23" s="605"/>
      <c r="U23" s="605"/>
      <c r="V23" s="605"/>
      <c r="W23" s="606"/>
      <c r="X23" s="27"/>
      <c r="Y23" s="27"/>
      <c r="Z23" s="12"/>
    </row>
    <row r="24" spans="1:26" s="28" customFormat="1" ht="21" customHeight="1">
      <c r="A24" s="23"/>
      <c r="B24" s="29"/>
      <c r="C24" s="456" t="s">
        <v>341</v>
      </c>
      <c r="D24" s="457"/>
      <c r="E24" s="457"/>
      <c r="F24" s="592" t="s">
        <v>342</v>
      </c>
      <c r="G24" s="593"/>
      <c r="H24" s="593"/>
      <c r="I24" s="593"/>
      <c r="J24" s="593"/>
      <c r="K24" s="593"/>
      <c r="L24" s="594"/>
      <c r="M24" s="583">
        <v>400322</v>
      </c>
      <c r="N24" s="584"/>
      <c r="O24" s="584"/>
      <c r="P24" s="584"/>
      <c r="Q24" s="585"/>
      <c r="R24" s="30"/>
      <c r="S24" s="583">
        <v>0</v>
      </c>
      <c r="T24" s="584"/>
      <c r="U24" s="584"/>
      <c r="V24" s="584"/>
      <c r="W24" s="585"/>
      <c r="X24" s="27"/>
      <c r="Y24" s="27"/>
      <c r="Z24" s="12"/>
    </row>
    <row r="25" spans="1:26" s="28" customFormat="1" ht="21" customHeight="1">
      <c r="A25" s="23"/>
      <c r="B25" s="29"/>
      <c r="C25" s="83"/>
      <c r="D25" s="79"/>
      <c r="E25" s="79"/>
      <c r="F25" s="598" t="s">
        <v>343</v>
      </c>
      <c r="G25" s="599"/>
      <c r="H25" s="599"/>
      <c r="I25" s="599"/>
      <c r="J25" s="599"/>
      <c r="K25" s="599"/>
      <c r="L25" s="600"/>
      <c r="M25" s="583">
        <v>0</v>
      </c>
      <c r="N25" s="584"/>
      <c r="O25" s="584"/>
      <c r="P25" s="584"/>
      <c r="Q25" s="585"/>
      <c r="R25" s="30"/>
      <c r="S25" s="583">
        <v>0</v>
      </c>
      <c r="T25" s="584"/>
      <c r="U25" s="584"/>
      <c r="V25" s="584"/>
      <c r="W25" s="585"/>
      <c r="X25" s="27"/>
      <c r="Y25" s="27"/>
      <c r="Z25" s="12"/>
    </row>
    <row r="26" spans="1:26" s="28" customFormat="1" ht="21" customHeight="1">
      <c r="A26" s="23"/>
      <c r="B26" s="29"/>
      <c r="C26" s="458"/>
      <c r="D26" s="459"/>
      <c r="E26" s="459"/>
      <c r="F26" s="595" t="s">
        <v>417</v>
      </c>
      <c r="G26" s="596"/>
      <c r="H26" s="596"/>
      <c r="I26" s="596"/>
      <c r="J26" s="596"/>
      <c r="K26" s="596"/>
      <c r="L26" s="597"/>
      <c r="M26" s="583">
        <v>0</v>
      </c>
      <c r="N26" s="584"/>
      <c r="O26" s="584"/>
      <c r="P26" s="584"/>
      <c r="Q26" s="585"/>
      <c r="R26" s="30"/>
      <c r="S26" s="583">
        <v>1178164</v>
      </c>
      <c r="T26" s="584"/>
      <c r="U26" s="584"/>
      <c r="V26" s="584"/>
      <c r="W26" s="585"/>
      <c r="X26" s="27"/>
      <c r="Y26" s="27"/>
      <c r="Z26" s="12"/>
    </row>
    <row r="27" spans="1:26" s="28" customFormat="1" ht="21" customHeight="1">
      <c r="A27" s="23"/>
      <c r="B27" s="29"/>
      <c r="C27" s="456" t="s">
        <v>354</v>
      </c>
      <c r="D27" s="457"/>
      <c r="E27" s="457"/>
      <c r="F27" s="592" t="s">
        <v>355</v>
      </c>
      <c r="G27" s="593"/>
      <c r="H27" s="593"/>
      <c r="I27" s="593"/>
      <c r="J27" s="593"/>
      <c r="K27" s="593"/>
      <c r="L27" s="594"/>
      <c r="M27" s="583">
        <v>0</v>
      </c>
      <c r="N27" s="584"/>
      <c r="O27" s="584"/>
      <c r="P27" s="584"/>
      <c r="Q27" s="585"/>
      <c r="R27" s="30"/>
      <c r="S27" s="583">
        <v>1180568</v>
      </c>
      <c r="T27" s="584"/>
      <c r="U27" s="584"/>
      <c r="V27" s="584"/>
      <c r="W27" s="585"/>
      <c r="X27" s="27"/>
      <c r="Y27" s="27"/>
      <c r="Z27" s="12"/>
    </row>
    <row r="28" spans="1:26" s="28" customFormat="1" ht="21" customHeight="1">
      <c r="A28" s="23"/>
      <c r="B28" s="29"/>
      <c r="C28" s="460"/>
      <c r="D28" s="459"/>
      <c r="E28" s="459"/>
      <c r="F28" s="595" t="s">
        <v>357</v>
      </c>
      <c r="G28" s="596"/>
      <c r="H28" s="596"/>
      <c r="I28" s="596"/>
      <c r="J28" s="596"/>
      <c r="K28" s="596"/>
      <c r="L28" s="597"/>
      <c r="M28" s="583">
        <v>0</v>
      </c>
      <c r="N28" s="584"/>
      <c r="O28" s="584"/>
      <c r="P28" s="584"/>
      <c r="Q28" s="585"/>
      <c r="R28" s="30"/>
      <c r="S28" s="583">
        <v>332097</v>
      </c>
      <c r="T28" s="584"/>
      <c r="U28" s="584"/>
      <c r="V28" s="584"/>
      <c r="W28" s="585"/>
      <c r="X28" s="27"/>
      <c r="Y28" s="27"/>
      <c r="Z28" s="12"/>
    </row>
    <row r="29" spans="1:26" s="28" customFormat="1" ht="21" customHeight="1">
      <c r="A29" s="23"/>
      <c r="B29" s="29"/>
      <c r="C29" s="456" t="s">
        <v>358</v>
      </c>
      <c r="D29" s="457"/>
      <c r="E29" s="457"/>
      <c r="F29" s="592" t="s">
        <v>359</v>
      </c>
      <c r="G29" s="593"/>
      <c r="H29" s="593"/>
      <c r="I29" s="593"/>
      <c r="J29" s="593"/>
      <c r="K29" s="593"/>
      <c r="L29" s="594"/>
      <c r="M29" s="583">
        <v>0</v>
      </c>
      <c r="N29" s="584"/>
      <c r="O29" s="584"/>
      <c r="P29" s="584"/>
      <c r="Q29" s="585"/>
      <c r="R29" s="30"/>
      <c r="S29" s="583">
        <v>740598</v>
      </c>
      <c r="T29" s="584"/>
      <c r="U29" s="584"/>
      <c r="V29" s="584"/>
      <c r="W29" s="585"/>
      <c r="X29" s="27"/>
      <c r="Y29" s="27"/>
      <c r="Z29" s="12"/>
    </row>
    <row r="30" spans="1:26" s="28" customFormat="1" ht="21" customHeight="1">
      <c r="A30" s="23"/>
      <c r="B30" s="29"/>
      <c r="C30" s="460"/>
      <c r="D30" s="459"/>
      <c r="E30" s="459"/>
      <c r="F30" s="595" t="s">
        <v>417</v>
      </c>
      <c r="G30" s="596"/>
      <c r="H30" s="596"/>
      <c r="I30" s="596"/>
      <c r="J30" s="596"/>
      <c r="K30" s="596"/>
      <c r="L30" s="597"/>
      <c r="M30" s="583">
        <v>0</v>
      </c>
      <c r="N30" s="584"/>
      <c r="O30" s="584"/>
      <c r="P30" s="584"/>
      <c r="Q30" s="585"/>
      <c r="R30" s="30"/>
      <c r="S30" s="583">
        <v>898433</v>
      </c>
      <c r="T30" s="584"/>
      <c r="U30" s="584"/>
      <c r="V30" s="584"/>
      <c r="W30" s="585"/>
      <c r="X30" s="27"/>
      <c r="Y30" s="27"/>
      <c r="Z30" s="12"/>
    </row>
    <row r="31" spans="1:26" s="28" customFormat="1" ht="21" customHeight="1">
      <c r="A31" s="23"/>
      <c r="B31" s="29"/>
      <c r="C31" s="461" t="s">
        <v>373</v>
      </c>
      <c r="D31" s="462"/>
      <c r="E31" s="462"/>
      <c r="F31" s="580" t="s">
        <v>418</v>
      </c>
      <c r="G31" s="581"/>
      <c r="H31" s="581"/>
      <c r="I31" s="581"/>
      <c r="J31" s="581"/>
      <c r="K31" s="581"/>
      <c r="L31" s="582"/>
      <c r="M31" s="583">
        <v>0</v>
      </c>
      <c r="N31" s="584"/>
      <c r="O31" s="584"/>
      <c r="P31" s="584"/>
      <c r="Q31" s="585"/>
      <c r="R31" s="30"/>
      <c r="S31" s="583">
        <v>0</v>
      </c>
      <c r="T31" s="584"/>
      <c r="U31" s="584"/>
      <c r="V31" s="584"/>
      <c r="W31" s="585"/>
      <c r="X31" s="27"/>
      <c r="Y31" s="27"/>
      <c r="Z31" s="12"/>
    </row>
    <row r="32" spans="1:26" s="28" customFormat="1" ht="21" customHeight="1">
      <c r="A32" s="23"/>
      <c r="B32" s="31"/>
      <c r="C32" s="586" t="s">
        <v>109</v>
      </c>
      <c r="D32" s="587"/>
      <c r="E32" s="587"/>
      <c r="F32" s="587"/>
      <c r="G32" s="587"/>
      <c r="H32" s="587"/>
      <c r="I32" s="587"/>
      <c r="J32" s="587"/>
      <c r="K32" s="587"/>
      <c r="L32" s="588"/>
      <c r="M32" s="589">
        <f>SUM(M24:Q31)</f>
        <v>400322</v>
      </c>
      <c r="N32" s="590"/>
      <c r="O32" s="590"/>
      <c r="P32" s="590"/>
      <c r="Q32" s="591"/>
      <c r="R32" s="32"/>
      <c r="S32" s="589">
        <f>SUM(S24:W31)</f>
        <v>4329860</v>
      </c>
      <c r="T32" s="590"/>
      <c r="U32" s="590"/>
      <c r="V32" s="590"/>
      <c r="W32" s="591"/>
      <c r="X32" s="27"/>
      <c r="Y32" s="33"/>
      <c r="Z32" s="12"/>
    </row>
    <row r="33" spans="1:26" s="28" customFormat="1" ht="21" customHeight="1">
      <c r="A33" s="23"/>
      <c r="B33" s="29"/>
      <c r="C33" s="29"/>
      <c r="D33" s="34"/>
      <c r="E33" s="34"/>
      <c r="F33" s="36"/>
      <c r="G33" s="29"/>
      <c r="H33" s="36"/>
      <c r="I33" s="29"/>
      <c r="J33" s="25"/>
      <c r="K33" s="27"/>
      <c r="L33" s="27"/>
      <c r="M33" s="27"/>
      <c r="N33" s="27"/>
      <c r="O33" s="27"/>
      <c r="P33" s="27"/>
      <c r="Q33" s="27"/>
      <c r="R33" s="27"/>
      <c r="S33" s="27"/>
      <c r="T33" s="27"/>
      <c r="U33" s="27"/>
      <c r="V33" s="27"/>
      <c r="W33" s="27"/>
      <c r="X33" s="27"/>
      <c r="Y33" s="27"/>
      <c r="Z33" s="12"/>
    </row>
    <row r="34" spans="1:26" s="28" customFormat="1" ht="21" customHeight="1">
      <c r="A34" s="23"/>
      <c r="B34" s="29"/>
      <c r="C34" s="25" t="s">
        <v>422</v>
      </c>
      <c r="D34" s="34"/>
      <c r="E34" s="34"/>
      <c r="F34" s="36"/>
      <c r="G34" s="29"/>
      <c r="H34" s="36"/>
      <c r="I34" s="29"/>
      <c r="J34" s="25"/>
      <c r="K34" s="27"/>
      <c r="L34" s="27"/>
      <c r="M34" s="27"/>
      <c r="N34" s="27"/>
      <c r="O34" s="27"/>
      <c r="P34" s="27"/>
      <c r="Q34" s="27"/>
      <c r="R34" s="27"/>
      <c r="S34" s="27"/>
      <c r="T34" s="27"/>
      <c r="U34" s="27"/>
      <c r="V34" s="27"/>
      <c r="W34" s="27"/>
      <c r="X34" s="27"/>
      <c r="Y34" s="27"/>
      <c r="Z34" s="12"/>
    </row>
    <row r="35" spans="1:26" s="28" customFormat="1" ht="21" customHeight="1">
      <c r="A35" s="23"/>
      <c r="B35" s="25"/>
      <c r="C35" s="573" t="s">
        <v>423</v>
      </c>
      <c r="D35" s="574"/>
      <c r="E35" s="574"/>
      <c r="F35" s="574"/>
      <c r="G35" s="575"/>
      <c r="H35" s="578">
        <v>1176922119</v>
      </c>
      <c r="I35" s="578"/>
      <c r="J35" s="578"/>
      <c r="K35" s="578"/>
      <c r="L35" s="578"/>
      <c r="M35" s="579"/>
      <c r="N35" s="27"/>
      <c r="O35" s="27"/>
      <c r="P35" s="27"/>
      <c r="Q35" s="27"/>
      <c r="R35" s="27"/>
      <c r="S35" s="27"/>
      <c r="T35" s="27"/>
      <c r="U35" s="27"/>
      <c r="V35" s="27"/>
      <c r="W35" s="27"/>
      <c r="X35" s="27"/>
      <c r="Y35" s="27"/>
      <c r="Z35" s="12"/>
    </row>
    <row r="36" spans="1:26" s="28" customFormat="1" ht="21" customHeight="1">
      <c r="A36" s="23"/>
      <c r="B36" s="25"/>
      <c r="C36" s="37"/>
      <c r="D36" s="37"/>
      <c r="E36" s="37"/>
      <c r="F36" s="37"/>
      <c r="G36" s="37"/>
      <c r="H36" s="37"/>
      <c r="I36" s="37"/>
      <c r="J36" s="37"/>
      <c r="K36" s="30"/>
      <c r="L36" s="30"/>
      <c r="M36" s="30"/>
      <c r="N36" s="27"/>
      <c r="O36" s="27"/>
      <c r="P36" s="27"/>
      <c r="Q36" s="27"/>
      <c r="R36" s="27"/>
      <c r="S36" s="27"/>
      <c r="T36" s="27"/>
      <c r="U36" s="27"/>
      <c r="V36" s="27"/>
      <c r="W36" s="27"/>
      <c r="X36" s="27"/>
      <c r="Y36" s="27"/>
      <c r="Z36" s="12"/>
    </row>
    <row r="37" spans="1:26" s="28" customFormat="1" ht="21" customHeight="1">
      <c r="A37" s="23"/>
      <c r="B37" s="25"/>
      <c r="C37" s="573" t="s">
        <v>424</v>
      </c>
      <c r="D37" s="574"/>
      <c r="E37" s="574"/>
      <c r="F37" s="574"/>
      <c r="G37" s="575"/>
      <c r="H37" s="578">
        <v>1168900771</v>
      </c>
      <c r="I37" s="578"/>
      <c r="J37" s="578"/>
      <c r="K37" s="578"/>
      <c r="L37" s="578"/>
      <c r="M37" s="579"/>
      <c r="N37" s="27"/>
      <c r="O37" s="27"/>
      <c r="P37" s="27"/>
      <c r="Q37" s="27"/>
      <c r="R37" s="27"/>
      <c r="S37" s="27"/>
      <c r="T37" s="27"/>
      <c r="U37" s="27"/>
      <c r="V37" s="27"/>
      <c r="W37" s="27"/>
      <c r="X37" s="27"/>
      <c r="Y37" s="27"/>
      <c r="Z37" s="12"/>
    </row>
    <row r="38" spans="1:26" s="28" customFormat="1" ht="21" customHeight="1">
      <c r="A38" s="23"/>
      <c r="B38" s="25"/>
      <c r="C38" s="37"/>
      <c r="D38" s="37"/>
      <c r="E38" s="37"/>
      <c r="F38" s="37"/>
      <c r="G38" s="37"/>
      <c r="H38" s="37"/>
      <c r="I38" s="37"/>
      <c r="J38" s="37"/>
      <c r="K38" s="30"/>
      <c r="L38" s="30"/>
      <c r="M38" s="30"/>
      <c r="N38" s="27"/>
      <c r="O38" s="27"/>
      <c r="P38" s="27"/>
      <c r="Q38" s="27"/>
      <c r="R38" s="27"/>
      <c r="S38" s="27"/>
      <c r="T38" s="27"/>
      <c r="U38" s="27"/>
      <c r="V38" s="27"/>
      <c r="W38" s="27"/>
      <c r="X38" s="27"/>
      <c r="Y38" s="27"/>
      <c r="Z38" s="12"/>
    </row>
    <row r="39" spans="1:26" s="28" customFormat="1" ht="21" customHeight="1">
      <c r="A39" s="23"/>
      <c r="B39" s="25"/>
      <c r="C39" s="573" t="s">
        <v>387</v>
      </c>
      <c r="D39" s="574"/>
      <c r="E39" s="574"/>
      <c r="F39" s="574"/>
      <c r="G39" s="575"/>
      <c r="H39" s="578">
        <v>8021348</v>
      </c>
      <c r="I39" s="578"/>
      <c r="J39" s="578"/>
      <c r="K39" s="578"/>
      <c r="L39" s="578"/>
      <c r="M39" s="579"/>
      <c r="N39" s="27"/>
      <c r="O39" s="27"/>
      <c r="P39" s="27"/>
      <c r="Q39" s="27"/>
      <c r="R39" s="27"/>
      <c r="S39" s="27"/>
      <c r="T39" s="27"/>
      <c r="U39" s="27"/>
      <c r="V39" s="27"/>
      <c r="W39" s="27"/>
      <c r="X39" s="27"/>
      <c r="Y39" s="27"/>
      <c r="Z39" s="12"/>
    </row>
    <row r="40" spans="1:26" s="28" customFormat="1" ht="21" customHeight="1">
      <c r="A40" s="23"/>
      <c r="B40" s="25"/>
      <c r="C40" s="37"/>
      <c r="D40" s="37"/>
      <c r="E40" s="37"/>
      <c r="F40" s="37"/>
      <c r="G40" s="37"/>
      <c r="H40" s="37"/>
      <c r="I40" s="37"/>
      <c r="J40" s="37"/>
      <c r="K40" s="30"/>
      <c r="L40" s="30"/>
      <c r="M40" s="30"/>
      <c r="N40" s="27"/>
      <c r="O40" s="27"/>
      <c r="P40" s="27"/>
      <c r="Q40" s="27"/>
      <c r="R40" s="27"/>
      <c r="S40" s="27"/>
      <c r="T40" s="27"/>
      <c r="U40" s="27"/>
      <c r="V40" s="27"/>
      <c r="W40" s="27"/>
      <c r="X40" s="27"/>
      <c r="Y40" s="27"/>
      <c r="Z40" s="12"/>
    </row>
    <row r="41" spans="1:26" s="28" customFormat="1" ht="21" customHeight="1">
      <c r="A41" s="23"/>
      <c r="B41" s="25"/>
      <c r="C41" s="573" t="s">
        <v>425</v>
      </c>
      <c r="D41" s="574"/>
      <c r="E41" s="574"/>
      <c r="F41" s="574"/>
      <c r="G41" s="575"/>
      <c r="H41" s="576">
        <f>H39-M20+M32-S32</f>
        <v>4091810</v>
      </c>
      <c r="I41" s="576"/>
      <c r="J41" s="576"/>
      <c r="K41" s="576"/>
      <c r="L41" s="576"/>
      <c r="M41" s="577"/>
      <c r="N41" s="27"/>
      <c r="O41" s="27"/>
      <c r="P41" s="27"/>
      <c r="Q41" s="27"/>
      <c r="R41" s="27"/>
      <c r="S41" s="27"/>
      <c r="T41" s="27"/>
      <c r="U41" s="27"/>
      <c r="V41" s="27"/>
      <c r="W41" s="27"/>
      <c r="X41" s="27"/>
      <c r="Y41" s="27"/>
      <c r="Z41" s="12"/>
    </row>
    <row r="42" spans="1:26" s="28" customFormat="1" ht="12" customHeight="1">
      <c r="A42" s="23"/>
      <c r="B42" s="38"/>
      <c r="C42" s="39"/>
      <c r="D42" s="39"/>
      <c r="E42" s="39"/>
      <c r="F42" s="39"/>
      <c r="G42" s="39"/>
      <c r="H42" s="39"/>
      <c r="I42" s="39"/>
      <c r="J42" s="39"/>
      <c r="K42" s="39"/>
      <c r="L42" s="18"/>
      <c r="M42" s="18"/>
      <c r="N42" s="18"/>
      <c r="O42" s="18"/>
      <c r="P42" s="18"/>
      <c r="Q42" s="18"/>
      <c r="R42" s="18"/>
      <c r="S42" s="18"/>
      <c r="T42" s="18"/>
      <c r="U42" s="18"/>
      <c r="V42" s="18"/>
      <c r="W42" s="18"/>
      <c r="X42" s="18"/>
      <c r="Y42" s="23"/>
      <c r="Z42" s="12"/>
    </row>
  </sheetData>
  <sheetProtection selectLockedCells="1" selectUnlockedCells="1"/>
  <mergeCells count="80">
    <mergeCell ref="A3:Y3"/>
    <mergeCell ref="A4:Y4"/>
    <mergeCell ref="R5:U5"/>
    <mergeCell ref="V5:Y5"/>
    <mergeCell ref="R6:U6"/>
    <mergeCell ref="V6:Y6"/>
    <mergeCell ref="T10:W10"/>
    <mergeCell ref="C11:L11"/>
    <mergeCell ref="M11:Q11"/>
    <mergeCell ref="S11:W11"/>
    <mergeCell ref="F12:L12"/>
    <mergeCell ref="M12:Q12"/>
    <mergeCell ref="S12:W12"/>
    <mergeCell ref="F13:L13"/>
    <mergeCell ref="M13:Q13"/>
    <mergeCell ref="S13:W13"/>
    <mergeCell ref="F14:L14"/>
    <mergeCell ref="M14:Q14"/>
    <mergeCell ref="S14:W14"/>
    <mergeCell ref="C15:E15"/>
    <mergeCell ref="F15:L15"/>
    <mergeCell ref="M15:Q15"/>
    <mergeCell ref="S15:W15"/>
    <mergeCell ref="C16:E16"/>
    <mergeCell ref="F16:L16"/>
    <mergeCell ref="M16:Q16"/>
    <mergeCell ref="S16:W16"/>
    <mergeCell ref="C17:E17"/>
    <mergeCell ref="F17:L17"/>
    <mergeCell ref="M17:Q17"/>
    <mergeCell ref="S17:W17"/>
    <mergeCell ref="C18:E18"/>
    <mergeCell ref="F18:L18"/>
    <mergeCell ref="M18:Q18"/>
    <mergeCell ref="S18:W18"/>
    <mergeCell ref="C19:E19"/>
    <mergeCell ref="F19:L19"/>
    <mergeCell ref="M19:Q19"/>
    <mergeCell ref="S19:W19"/>
    <mergeCell ref="C20:L20"/>
    <mergeCell ref="M20:Q20"/>
    <mergeCell ref="S20:W20"/>
    <mergeCell ref="C23:L23"/>
    <mergeCell ref="M23:Q23"/>
    <mergeCell ref="S23:W23"/>
    <mergeCell ref="F24:L24"/>
    <mergeCell ref="M24:Q24"/>
    <mergeCell ref="S24:W24"/>
    <mergeCell ref="F25:L25"/>
    <mergeCell ref="M25:Q25"/>
    <mergeCell ref="S25:W25"/>
    <mergeCell ref="F26:L26"/>
    <mergeCell ref="M26:Q26"/>
    <mergeCell ref="S26:W26"/>
    <mergeCell ref="F27:L27"/>
    <mergeCell ref="M27:Q27"/>
    <mergeCell ref="S27:W27"/>
    <mergeCell ref="F28:L28"/>
    <mergeCell ref="M28:Q28"/>
    <mergeCell ref="S28:W28"/>
    <mergeCell ref="F29:L29"/>
    <mergeCell ref="M29:Q29"/>
    <mergeCell ref="S29:W29"/>
    <mergeCell ref="F30:L30"/>
    <mergeCell ref="M30:Q30"/>
    <mergeCell ref="S30:W30"/>
    <mergeCell ref="F31:L31"/>
    <mergeCell ref="M31:Q31"/>
    <mergeCell ref="S31:W31"/>
    <mergeCell ref="C32:L32"/>
    <mergeCell ref="M32:Q32"/>
    <mergeCell ref="S32:W32"/>
    <mergeCell ref="C41:G41"/>
    <mergeCell ref="H41:M41"/>
    <mergeCell ref="C35:G35"/>
    <mergeCell ref="H35:M35"/>
    <mergeCell ref="C37:G37"/>
    <mergeCell ref="H37:M37"/>
    <mergeCell ref="C39:G39"/>
    <mergeCell ref="H39:M39"/>
  </mergeCells>
  <phoneticPr fontId="34"/>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46"/>
  <sheetViews>
    <sheetView showGridLines="0" tabSelected="1" workbookViewId="0"/>
  </sheetViews>
  <sheetFormatPr defaultColWidth="9" defaultRowHeight="0" customHeight="1" zeroHeight="1"/>
  <cols>
    <col min="1" max="4" width="3.7265625" style="2" customWidth="1"/>
    <col min="5" max="5" width="33.7265625" style="2" customWidth="1"/>
    <col min="6" max="16" width="14.40625" style="2" customWidth="1"/>
    <col min="17" max="17" width="4" style="1" customWidth="1"/>
  </cols>
  <sheetData>
    <row r="1" spans="1:17" ht="18" customHeight="1">
      <c r="A1" s="121" t="s">
        <v>253</v>
      </c>
      <c r="Q1" s="122"/>
    </row>
    <row r="2" spans="1:17" ht="18" customHeight="1">
      <c r="Q2" s="122"/>
    </row>
    <row r="3" spans="1:17" ht="18" customHeight="1">
      <c r="A3" s="721" t="s">
        <v>1</v>
      </c>
      <c r="B3" s="721"/>
      <c r="C3" s="721"/>
      <c r="D3" s="721"/>
      <c r="E3" s="721"/>
      <c r="F3" s="721"/>
      <c r="G3" s="721"/>
      <c r="H3" s="721"/>
      <c r="I3" s="721"/>
      <c r="J3" s="721"/>
      <c r="K3" s="721"/>
      <c r="L3" s="721"/>
      <c r="M3" s="721"/>
      <c r="N3" s="721"/>
      <c r="O3" s="721"/>
      <c r="P3" s="721"/>
      <c r="Q3" s="721"/>
    </row>
    <row r="4" spans="1:17" ht="18" customHeight="1">
      <c r="A4" s="620" t="s">
        <v>2</v>
      </c>
      <c r="B4" s="619"/>
      <c r="C4" s="619"/>
      <c r="D4" s="619"/>
      <c r="E4" s="619"/>
      <c r="F4" s="619"/>
      <c r="G4" s="619"/>
      <c r="H4" s="619"/>
      <c r="I4" s="619"/>
      <c r="J4" s="619"/>
      <c r="K4" s="619"/>
      <c r="L4" s="619"/>
      <c r="M4" s="619"/>
      <c r="N4" s="619"/>
      <c r="O4" s="619"/>
      <c r="P4" s="619"/>
      <c r="Q4" s="619"/>
    </row>
    <row r="5" spans="1:17" ht="18" customHeight="1">
      <c r="B5" s="121" t="s">
        <v>228</v>
      </c>
      <c r="N5" s="1"/>
      <c r="O5" s="91" t="s">
        <v>3</v>
      </c>
      <c r="P5" s="123" t="s">
        <v>4</v>
      </c>
      <c r="Q5" s="2"/>
    </row>
    <row r="6" spans="1:17" ht="18" customHeight="1">
      <c r="B6" s="121" t="s">
        <v>229</v>
      </c>
      <c r="N6" s="1"/>
      <c r="O6" s="93" t="s">
        <v>5</v>
      </c>
      <c r="P6" s="94" t="s">
        <v>6</v>
      </c>
      <c r="Q6" s="3" t="s">
        <v>7</v>
      </c>
    </row>
    <row r="7" spans="1:17" ht="18" customHeight="1">
      <c r="C7" s="121" t="s">
        <v>254</v>
      </c>
    </row>
    <row r="8" spans="1:17" ht="18" customHeight="1">
      <c r="C8" s="121" t="s">
        <v>245</v>
      </c>
    </row>
    <row r="9" spans="1:17" ht="18" customHeight="1">
      <c r="C9" s="761" t="s">
        <v>232</v>
      </c>
      <c r="D9" s="762"/>
      <c r="E9" s="763"/>
      <c r="F9" s="760" t="s">
        <v>177</v>
      </c>
      <c r="G9" s="758"/>
      <c r="H9" s="759"/>
      <c r="I9" s="757" t="s">
        <v>178</v>
      </c>
      <c r="J9" s="758"/>
      <c r="K9" s="758"/>
      <c r="L9" s="758"/>
      <c r="M9" s="758"/>
      <c r="N9" s="758"/>
      <c r="O9" s="759"/>
      <c r="P9" s="755" t="s">
        <v>109</v>
      </c>
    </row>
    <row r="10" spans="1:17" ht="18" customHeight="1">
      <c r="C10" s="764"/>
      <c r="D10" s="765"/>
      <c r="E10" s="766"/>
      <c r="F10" s="267" t="s">
        <v>152</v>
      </c>
      <c r="G10" s="268" t="s">
        <v>153</v>
      </c>
      <c r="H10" s="269" t="s">
        <v>14</v>
      </c>
      <c r="I10" s="270" t="s">
        <v>154</v>
      </c>
      <c r="J10" s="268" t="s">
        <v>155</v>
      </c>
      <c r="K10" s="267" t="s">
        <v>156</v>
      </c>
      <c r="L10" s="267" t="s">
        <v>157</v>
      </c>
      <c r="M10" s="267" t="s">
        <v>158</v>
      </c>
      <c r="N10" s="268" t="s">
        <v>159</v>
      </c>
      <c r="O10" s="269" t="s">
        <v>14</v>
      </c>
      <c r="P10" s="756"/>
    </row>
    <row r="11" spans="1:17" ht="18" customHeight="1">
      <c r="C11" s="271" t="s">
        <v>233</v>
      </c>
      <c r="D11" s="272"/>
      <c r="E11" s="272"/>
      <c r="F11" s="273">
        <v>0</v>
      </c>
      <c r="G11" s="273">
        <v>0</v>
      </c>
      <c r="H11" s="275">
        <v>0</v>
      </c>
      <c r="I11" s="276"/>
      <c r="J11" s="273">
        <v>0</v>
      </c>
      <c r="K11" s="273">
        <v>0</v>
      </c>
      <c r="L11" s="273">
        <v>0</v>
      </c>
      <c r="M11" s="273">
        <v>0</v>
      </c>
      <c r="N11" s="273">
        <v>0</v>
      </c>
      <c r="O11" s="273">
        <v>0</v>
      </c>
      <c r="P11" s="277">
        <v>0</v>
      </c>
    </row>
    <row r="12" spans="1:17" ht="18" customHeight="1">
      <c r="C12" s="61"/>
      <c r="D12" s="278" t="s">
        <v>234</v>
      </c>
      <c r="F12" s="279">
        <v>0</v>
      </c>
      <c r="G12" s="280">
        <v>0</v>
      </c>
      <c r="H12" s="281">
        <v>0</v>
      </c>
      <c r="I12" s="282"/>
      <c r="J12" s="280">
        <v>0</v>
      </c>
      <c r="K12" s="279">
        <v>0</v>
      </c>
      <c r="L12" s="279">
        <v>0</v>
      </c>
      <c r="M12" s="279">
        <v>0</v>
      </c>
      <c r="N12" s="280">
        <v>0</v>
      </c>
      <c r="O12" s="279">
        <v>0</v>
      </c>
      <c r="P12" s="283">
        <v>0</v>
      </c>
    </row>
    <row r="13" spans="1:17" ht="18" customHeight="1">
      <c r="C13" s="61"/>
      <c r="D13" s="284"/>
      <c r="E13" s="285" t="s">
        <v>185</v>
      </c>
      <c r="F13" s="286">
        <v>0</v>
      </c>
      <c r="G13" s="287">
        <v>0</v>
      </c>
      <c r="H13" s="281">
        <v>0</v>
      </c>
      <c r="I13" s="288"/>
      <c r="J13" s="287">
        <v>0</v>
      </c>
      <c r="K13" s="286">
        <v>0</v>
      </c>
      <c r="L13" s="286">
        <v>0</v>
      </c>
      <c r="M13" s="286">
        <v>0</v>
      </c>
      <c r="N13" s="287">
        <v>0</v>
      </c>
      <c r="O13" s="279">
        <v>0</v>
      </c>
      <c r="P13" s="283">
        <v>0</v>
      </c>
    </row>
    <row r="14" spans="1:17" ht="18" customHeight="1">
      <c r="C14" s="61"/>
      <c r="D14" s="284"/>
      <c r="E14" s="285" t="s">
        <v>186</v>
      </c>
      <c r="F14" s="286">
        <v>0</v>
      </c>
      <c r="G14" s="287">
        <v>0</v>
      </c>
      <c r="H14" s="281">
        <v>0</v>
      </c>
      <c r="I14" s="288"/>
      <c r="J14" s="287">
        <v>0</v>
      </c>
      <c r="K14" s="286">
        <v>0</v>
      </c>
      <c r="L14" s="286">
        <v>0</v>
      </c>
      <c r="M14" s="286">
        <v>0</v>
      </c>
      <c r="N14" s="287">
        <v>0</v>
      </c>
      <c r="O14" s="279">
        <v>0</v>
      </c>
      <c r="P14" s="283">
        <v>0</v>
      </c>
    </row>
    <row r="15" spans="1:17" ht="18" customHeight="1">
      <c r="C15" s="61"/>
      <c r="D15" s="284"/>
      <c r="E15" s="285" t="s">
        <v>187</v>
      </c>
      <c r="F15" s="286">
        <v>0</v>
      </c>
      <c r="G15" s="287">
        <v>0</v>
      </c>
      <c r="H15" s="281">
        <v>0</v>
      </c>
      <c r="I15" s="288"/>
      <c r="J15" s="287">
        <v>0</v>
      </c>
      <c r="K15" s="286">
        <v>0</v>
      </c>
      <c r="L15" s="286">
        <v>0</v>
      </c>
      <c r="M15" s="286">
        <v>0</v>
      </c>
      <c r="N15" s="287">
        <v>0</v>
      </c>
      <c r="O15" s="279">
        <v>0</v>
      </c>
      <c r="P15" s="283">
        <v>0</v>
      </c>
    </row>
    <row r="16" spans="1:17" ht="18" customHeight="1">
      <c r="C16" s="61"/>
      <c r="D16" s="284"/>
      <c r="E16" s="285" t="s">
        <v>188</v>
      </c>
      <c r="F16" s="286">
        <v>0</v>
      </c>
      <c r="G16" s="287">
        <v>0</v>
      </c>
      <c r="H16" s="281">
        <v>0</v>
      </c>
      <c r="I16" s="288"/>
      <c r="J16" s="287">
        <v>0</v>
      </c>
      <c r="K16" s="286">
        <v>0</v>
      </c>
      <c r="L16" s="286">
        <v>0</v>
      </c>
      <c r="M16" s="286">
        <v>0</v>
      </c>
      <c r="N16" s="287">
        <v>0</v>
      </c>
      <c r="O16" s="279">
        <v>0</v>
      </c>
      <c r="P16" s="283">
        <v>0</v>
      </c>
    </row>
    <row r="17" spans="3:16" ht="18" customHeight="1">
      <c r="C17" s="61"/>
      <c r="D17" s="284"/>
      <c r="E17" s="285" t="s">
        <v>189</v>
      </c>
      <c r="F17" s="286">
        <v>0</v>
      </c>
      <c r="G17" s="287">
        <v>0</v>
      </c>
      <c r="H17" s="281">
        <v>0</v>
      </c>
      <c r="I17" s="288"/>
      <c r="J17" s="287">
        <v>0</v>
      </c>
      <c r="K17" s="286">
        <v>0</v>
      </c>
      <c r="L17" s="286">
        <v>0</v>
      </c>
      <c r="M17" s="286">
        <v>0</v>
      </c>
      <c r="N17" s="287">
        <v>0</v>
      </c>
      <c r="O17" s="279">
        <v>0</v>
      </c>
      <c r="P17" s="283">
        <v>0</v>
      </c>
    </row>
    <row r="18" spans="3:16" ht="18" customHeight="1">
      <c r="C18" s="61"/>
      <c r="D18" s="278" t="s">
        <v>235</v>
      </c>
      <c r="E18" s="289"/>
      <c r="F18" s="279">
        <v>0</v>
      </c>
      <c r="G18" s="280">
        <v>0</v>
      </c>
      <c r="H18" s="281">
        <v>0</v>
      </c>
      <c r="I18" s="282"/>
      <c r="J18" s="280">
        <v>0</v>
      </c>
      <c r="K18" s="279">
        <v>0</v>
      </c>
      <c r="L18" s="279">
        <v>0</v>
      </c>
      <c r="M18" s="279">
        <v>0</v>
      </c>
      <c r="N18" s="280">
        <v>0</v>
      </c>
      <c r="O18" s="279">
        <v>0</v>
      </c>
      <c r="P18" s="283">
        <v>0</v>
      </c>
    </row>
    <row r="19" spans="3:16" ht="18" customHeight="1">
      <c r="C19" s="61"/>
      <c r="D19" s="284"/>
      <c r="E19" s="290" t="s">
        <v>190</v>
      </c>
      <c r="F19" s="286">
        <v>0</v>
      </c>
      <c r="G19" s="287">
        <v>0</v>
      </c>
      <c r="H19" s="281">
        <v>0</v>
      </c>
      <c r="I19" s="288"/>
      <c r="J19" s="287">
        <v>0</v>
      </c>
      <c r="K19" s="286">
        <v>0</v>
      </c>
      <c r="L19" s="286">
        <v>0</v>
      </c>
      <c r="M19" s="286">
        <v>0</v>
      </c>
      <c r="N19" s="287">
        <v>0</v>
      </c>
      <c r="O19" s="279">
        <v>0</v>
      </c>
      <c r="P19" s="283">
        <v>0</v>
      </c>
    </row>
    <row r="20" spans="3:16" ht="18" customHeight="1">
      <c r="C20" s="61"/>
      <c r="D20" s="284"/>
      <c r="E20" s="290" t="s">
        <v>191</v>
      </c>
      <c r="F20" s="286">
        <v>0</v>
      </c>
      <c r="G20" s="287">
        <v>0</v>
      </c>
      <c r="H20" s="281">
        <v>0</v>
      </c>
      <c r="I20" s="288"/>
      <c r="J20" s="287">
        <v>0</v>
      </c>
      <c r="K20" s="286">
        <v>0</v>
      </c>
      <c r="L20" s="286">
        <v>0</v>
      </c>
      <c r="M20" s="286">
        <v>0</v>
      </c>
      <c r="N20" s="287">
        <v>0</v>
      </c>
      <c r="O20" s="279">
        <v>0</v>
      </c>
      <c r="P20" s="283">
        <v>0</v>
      </c>
    </row>
    <row r="21" spans="3:16" ht="18" customHeight="1">
      <c r="C21" s="61"/>
      <c r="D21" s="278" t="s">
        <v>236</v>
      </c>
      <c r="F21" s="279">
        <v>0</v>
      </c>
      <c r="G21" s="280">
        <v>0</v>
      </c>
      <c r="H21" s="281">
        <v>0</v>
      </c>
      <c r="I21" s="282"/>
      <c r="J21" s="280">
        <v>0</v>
      </c>
      <c r="K21" s="279">
        <v>0</v>
      </c>
      <c r="L21" s="279">
        <v>0</v>
      </c>
      <c r="M21" s="279">
        <v>0</v>
      </c>
      <c r="N21" s="280">
        <v>0</v>
      </c>
      <c r="O21" s="279">
        <v>0</v>
      </c>
      <c r="P21" s="283">
        <v>0</v>
      </c>
    </row>
    <row r="22" spans="3:16" ht="18" customHeight="1">
      <c r="C22" s="61"/>
      <c r="D22" s="284"/>
      <c r="E22" s="285" t="s">
        <v>192</v>
      </c>
      <c r="F22" s="286">
        <v>0</v>
      </c>
      <c r="G22" s="287">
        <v>0</v>
      </c>
      <c r="H22" s="281">
        <v>0</v>
      </c>
      <c r="I22" s="288"/>
      <c r="J22" s="287">
        <v>0</v>
      </c>
      <c r="K22" s="286">
        <v>0</v>
      </c>
      <c r="L22" s="286">
        <v>0</v>
      </c>
      <c r="M22" s="286">
        <v>0</v>
      </c>
      <c r="N22" s="287">
        <v>0</v>
      </c>
      <c r="O22" s="279">
        <v>0</v>
      </c>
      <c r="P22" s="283">
        <v>0</v>
      </c>
    </row>
    <row r="23" spans="3:16" ht="18" customHeight="1">
      <c r="C23" s="61"/>
      <c r="D23" s="284"/>
      <c r="E23" s="285" t="s">
        <v>193</v>
      </c>
      <c r="F23" s="286">
        <v>0</v>
      </c>
      <c r="G23" s="287">
        <v>0</v>
      </c>
      <c r="H23" s="281">
        <v>0</v>
      </c>
      <c r="I23" s="288"/>
      <c r="J23" s="287">
        <v>0</v>
      </c>
      <c r="K23" s="286">
        <v>0</v>
      </c>
      <c r="L23" s="286">
        <v>0</v>
      </c>
      <c r="M23" s="286">
        <v>0</v>
      </c>
      <c r="N23" s="287">
        <v>0</v>
      </c>
      <c r="O23" s="279">
        <v>0</v>
      </c>
      <c r="P23" s="283">
        <v>0</v>
      </c>
    </row>
    <row r="24" spans="3:16" ht="18" customHeight="1">
      <c r="C24" s="61"/>
      <c r="D24" s="284"/>
      <c r="E24" s="285" t="s">
        <v>194</v>
      </c>
      <c r="F24" s="286">
        <v>0</v>
      </c>
      <c r="G24" s="287">
        <v>0</v>
      </c>
      <c r="H24" s="281">
        <v>0</v>
      </c>
      <c r="I24" s="288"/>
      <c r="J24" s="287">
        <v>0</v>
      </c>
      <c r="K24" s="286">
        <v>0</v>
      </c>
      <c r="L24" s="286">
        <v>0</v>
      </c>
      <c r="M24" s="286">
        <v>0</v>
      </c>
      <c r="N24" s="287">
        <v>0</v>
      </c>
      <c r="O24" s="279">
        <v>0</v>
      </c>
      <c r="P24" s="283">
        <v>0</v>
      </c>
    </row>
    <row r="25" spans="3:16" ht="18" customHeight="1">
      <c r="C25" s="61"/>
      <c r="D25" s="291"/>
      <c r="E25" s="285" t="s">
        <v>195</v>
      </c>
      <c r="F25" s="286">
        <v>0</v>
      </c>
      <c r="G25" s="287">
        <v>0</v>
      </c>
      <c r="H25" s="281">
        <v>0</v>
      </c>
      <c r="I25" s="288"/>
      <c r="J25" s="287">
        <v>0</v>
      </c>
      <c r="K25" s="286">
        <v>0</v>
      </c>
      <c r="L25" s="286">
        <v>0</v>
      </c>
      <c r="M25" s="286">
        <v>0</v>
      </c>
      <c r="N25" s="287">
        <v>0</v>
      </c>
      <c r="O25" s="279">
        <v>0</v>
      </c>
      <c r="P25" s="283">
        <v>0</v>
      </c>
    </row>
    <row r="26" spans="3:16" ht="18" customHeight="1">
      <c r="C26" s="61"/>
      <c r="D26" s="278" t="s">
        <v>237</v>
      </c>
      <c r="F26" s="279">
        <v>0</v>
      </c>
      <c r="G26" s="279">
        <v>0</v>
      </c>
      <c r="H26" s="281">
        <v>0</v>
      </c>
      <c r="I26" s="282"/>
      <c r="J26" s="280">
        <v>0</v>
      </c>
      <c r="K26" s="279">
        <v>0</v>
      </c>
      <c r="L26" s="279">
        <v>0</v>
      </c>
      <c r="M26" s="279">
        <v>0</v>
      </c>
      <c r="N26" s="280">
        <v>0</v>
      </c>
      <c r="O26" s="279">
        <v>0</v>
      </c>
      <c r="P26" s="283">
        <v>0</v>
      </c>
    </row>
    <row r="27" spans="3:16" ht="18" customHeight="1">
      <c r="C27" s="61"/>
      <c r="D27" s="284"/>
      <c r="E27" s="285" t="s">
        <v>196</v>
      </c>
      <c r="F27" s="323">
        <v>0</v>
      </c>
      <c r="G27" s="324">
        <v>0</v>
      </c>
      <c r="H27" s="281">
        <v>0</v>
      </c>
      <c r="I27" s="288"/>
      <c r="J27" s="324">
        <v>0</v>
      </c>
      <c r="K27" s="323">
        <v>0</v>
      </c>
      <c r="L27" s="323">
        <v>0</v>
      </c>
      <c r="M27" s="323">
        <v>0</v>
      </c>
      <c r="N27" s="324">
        <v>0</v>
      </c>
      <c r="O27" s="279">
        <v>0</v>
      </c>
      <c r="P27" s="283">
        <v>0</v>
      </c>
    </row>
    <row r="28" spans="3:16" ht="18" customHeight="1">
      <c r="C28" s="308"/>
      <c r="D28" s="314" t="s">
        <v>246</v>
      </c>
      <c r="E28" s="289"/>
      <c r="F28" s="310">
        <v>0</v>
      </c>
      <c r="G28" s="310">
        <v>0</v>
      </c>
      <c r="H28" s="311">
        <v>0</v>
      </c>
      <c r="I28" s="288"/>
      <c r="J28" s="310">
        <v>0</v>
      </c>
      <c r="K28" s="309">
        <v>0</v>
      </c>
      <c r="L28" s="309">
        <v>0</v>
      </c>
      <c r="M28" s="309">
        <v>0</v>
      </c>
      <c r="N28" s="310">
        <v>0</v>
      </c>
      <c r="O28" s="312">
        <v>0</v>
      </c>
      <c r="P28" s="313">
        <v>0</v>
      </c>
    </row>
    <row r="29" spans="3:16" ht="18" customHeight="1">
      <c r="C29" s="299"/>
      <c r="D29" s="300" t="s">
        <v>198</v>
      </c>
      <c r="E29" s="301"/>
      <c r="F29" s="302">
        <v>0</v>
      </c>
      <c r="G29" s="303">
        <v>0</v>
      </c>
      <c r="H29" s="304">
        <v>0</v>
      </c>
      <c r="I29" s="288"/>
      <c r="J29" s="303">
        <v>0</v>
      </c>
      <c r="K29" s="302">
        <v>0</v>
      </c>
      <c r="L29" s="302">
        <v>0</v>
      </c>
      <c r="M29" s="302">
        <v>0</v>
      </c>
      <c r="N29" s="303">
        <v>0</v>
      </c>
      <c r="O29" s="304">
        <v>0</v>
      </c>
      <c r="P29" s="305">
        <v>0</v>
      </c>
    </row>
    <row r="30" spans="3:16" ht="18" customHeight="1">
      <c r="C30" s="271" t="s">
        <v>240</v>
      </c>
      <c r="D30" s="306"/>
      <c r="E30" s="307"/>
      <c r="F30" s="273">
        <v>0</v>
      </c>
      <c r="G30" s="274">
        <v>0</v>
      </c>
      <c r="H30" s="275">
        <v>0</v>
      </c>
      <c r="I30" s="276"/>
      <c r="J30" s="325">
        <v>0</v>
      </c>
      <c r="K30" s="273">
        <v>0</v>
      </c>
      <c r="L30" s="273">
        <v>0</v>
      </c>
      <c r="M30" s="273">
        <v>0</v>
      </c>
      <c r="N30" s="274">
        <v>0</v>
      </c>
      <c r="O30" s="273">
        <v>0</v>
      </c>
      <c r="P30" s="277">
        <v>0</v>
      </c>
    </row>
    <row r="31" spans="3:16" ht="18" customHeight="1">
      <c r="C31" s="308"/>
      <c r="D31" s="314" t="s">
        <v>214</v>
      </c>
      <c r="E31" s="289"/>
      <c r="F31" s="309">
        <v>0</v>
      </c>
      <c r="G31" s="310">
        <v>0</v>
      </c>
      <c r="H31" s="311">
        <v>0</v>
      </c>
      <c r="I31" s="288"/>
      <c r="J31" s="310">
        <v>0</v>
      </c>
      <c r="K31" s="309">
        <v>0</v>
      </c>
      <c r="L31" s="309">
        <v>0</v>
      </c>
      <c r="M31" s="309">
        <v>0</v>
      </c>
      <c r="N31" s="310">
        <v>0</v>
      </c>
      <c r="O31" s="312">
        <v>0</v>
      </c>
      <c r="P31" s="313">
        <v>0</v>
      </c>
    </row>
    <row r="32" spans="3:16" ht="18" customHeight="1">
      <c r="C32" s="61"/>
      <c r="D32" s="314" t="s">
        <v>215</v>
      </c>
      <c r="E32" s="289"/>
      <c r="F32" s="309">
        <v>0</v>
      </c>
      <c r="G32" s="310">
        <v>0</v>
      </c>
      <c r="H32" s="281">
        <v>0</v>
      </c>
      <c r="I32" s="288"/>
      <c r="J32" s="326">
        <v>0</v>
      </c>
      <c r="K32" s="286">
        <v>0</v>
      </c>
      <c r="L32" s="286">
        <v>0</v>
      </c>
      <c r="M32" s="286">
        <v>0</v>
      </c>
      <c r="N32" s="287">
        <v>0</v>
      </c>
      <c r="O32" s="279">
        <v>0</v>
      </c>
      <c r="P32" s="283">
        <v>0</v>
      </c>
    </row>
    <row r="33" spans="3:16" ht="18" customHeight="1">
      <c r="C33" s="61"/>
      <c r="D33" s="291" t="s">
        <v>216</v>
      </c>
      <c r="E33" s="298"/>
      <c r="F33" s="286">
        <v>0</v>
      </c>
      <c r="G33" s="287">
        <v>0</v>
      </c>
      <c r="H33" s="281">
        <v>0</v>
      </c>
      <c r="I33" s="288"/>
      <c r="J33" s="287">
        <v>0</v>
      </c>
      <c r="K33" s="286">
        <v>0</v>
      </c>
      <c r="L33" s="286">
        <v>0</v>
      </c>
      <c r="M33" s="286">
        <v>0</v>
      </c>
      <c r="N33" s="287">
        <v>0</v>
      </c>
      <c r="O33" s="279">
        <v>0</v>
      </c>
      <c r="P33" s="283">
        <v>0</v>
      </c>
    </row>
    <row r="34" spans="3:16" ht="18" customHeight="1">
      <c r="C34" s="61"/>
      <c r="D34" s="314" t="s">
        <v>217</v>
      </c>
      <c r="E34" s="289"/>
      <c r="F34" s="286">
        <v>0</v>
      </c>
      <c r="G34" s="287">
        <v>0</v>
      </c>
      <c r="H34" s="281">
        <v>0</v>
      </c>
      <c r="I34" s="288"/>
      <c r="J34" s="326">
        <v>0</v>
      </c>
      <c r="K34" s="286">
        <v>0</v>
      </c>
      <c r="L34" s="286">
        <v>0</v>
      </c>
      <c r="M34" s="286">
        <v>0</v>
      </c>
      <c r="N34" s="287">
        <v>0</v>
      </c>
      <c r="O34" s="279">
        <v>0</v>
      </c>
      <c r="P34" s="283">
        <v>0</v>
      </c>
    </row>
    <row r="35" spans="3:16" ht="18" customHeight="1">
      <c r="C35" s="61"/>
      <c r="D35" s="314" t="s">
        <v>218</v>
      </c>
      <c r="E35" s="289"/>
      <c r="F35" s="286">
        <v>0</v>
      </c>
      <c r="G35" s="287">
        <v>0</v>
      </c>
      <c r="H35" s="281">
        <v>0</v>
      </c>
      <c r="I35" s="288"/>
      <c r="J35" s="326">
        <v>0</v>
      </c>
      <c r="K35" s="286">
        <v>0</v>
      </c>
      <c r="L35" s="286">
        <v>0</v>
      </c>
      <c r="M35" s="286">
        <v>0</v>
      </c>
      <c r="N35" s="287">
        <v>0</v>
      </c>
      <c r="O35" s="279">
        <v>0</v>
      </c>
      <c r="P35" s="283">
        <v>0</v>
      </c>
    </row>
    <row r="36" spans="3:16" ht="18" customHeight="1">
      <c r="C36" s="61"/>
      <c r="D36" s="314" t="s">
        <v>219</v>
      </c>
      <c r="E36" s="289"/>
      <c r="F36" s="310">
        <v>0</v>
      </c>
      <c r="G36" s="287">
        <v>0</v>
      </c>
      <c r="H36" s="281">
        <v>0</v>
      </c>
      <c r="I36" s="288"/>
      <c r="J36" s="326">
        <v>0</v>
      </c>
      <c r="K36" s="286">
        <v>0</v>
      </c>
      <c r="L36" s="286">
        <v>0</v>
      </c>
      <c r="M36" s="286">
        <v>0</v>
      </c>
      <c r="N36" s="287">
        <v>0</v>
      </c>
      <c r="O36" s="279">
        <v>0</v>
      </c>
      <c r="P36" s="283">
        <v>0</v>
      </c>
    </row>
    <row r="37" spans="3:16" ht="18" customHeight="1">
      <c r="C37" s="61"/>
      <c r="D37" s="314" t="s">
        <v>220</v>
      </c>
      <c r="E37" s="289"/>
      <c r="F37" s="309">
        <v>0</v>
      </c>
      <c r="G37" s="310">
        <v>0</v>
      </c>
      <c r="H37" s="281">
        <v>0</v>
      </c>
      <c r="I37" s="288"/>
      <c r="J37" s="326">
        <v>0</v>
      </c>
      <c r="K37" s="286">
        <v>0</v>
      </c>
      <c r="L37" s="286">
        <v>0</v>
      </c>
      <c r="M37" s="286">
        <v>0</v>
      </c>
      <c r="N37" s="287">
        <v>0</v>
      </c>
      <c r="O37" s="279">
        <v>0</v>
      </c>
      <c r="P37" s="283">
        <v>0</v>
      </c>
    </row>
    <row r="38" spans="3:16" ht="18" customHeight="1">
      <c r="C38" s="61"/>
      <c r="D38" s="767" t="s">
        <v>221</v>
      </c>
      <c r="E38" s="768"/>
      <c r="F38" s="286">
        <v>0</v>
      </c>
      <c r="G38" s="286">
        <v>0</v>
      </c>
      <c r="H38" s="281">
        <v>0</v>
      </c>
      <c r="I38" s="288"/>
      <c r="J38" s="327">
        <v>0</v>
      </c>
      <c r="K38" s="328">
        <v>0</v>
      </c>
      <c r="L38" s="328">
        <v>0</v>
      </c>
      <c r="M38" s="328">
        <v>0</v>
      </c>
      <c r="N38" s="329">
        <v>0</v>
      </c>
      <c r="O38" s="279">
        <v>0</v>
      </c>
      <c r="P38" s="283">
        <v>0</v>
      </c>
    </row>
    <row r="39" spans="3:16" ht="18" customHeight="1">
      <c r="C39" s="315"/>
      <c r="D39" s="770" t="s">
        <v>241</v>
      </c>
      <c r="E39" s="772"/>
      <c r="F39" s="286">
        <v>0</v>
      </c>
      <c r="G39" s="286">
        <v>0</v>
      </c>
      <c r="H39" s="281">
        <v>0</v>
      </c>
      <c r="I39" s="288"/>
      <c r="J39" s="330">
        <v>0</v>
      </c>
      <c r="K39" s="302">
        <v>0</v>
      </c>
      <c r="L39" s="302">
        <v>0</v>
      </c>
      <c r="M39" s="302">
        <v>0</v>
      </c>
      <c r="N39" s="303">
        <v>0</v>
      </c>
      <c r="O39" s="316">
        <v>0</v>
      </c>
      <c r="P39" s="305">
        <v>0</v>
      </c>
    </row>
    <row r="40" spans="3:16" ht="18" customHeight="1">
      <c r="C40" s="61" t="s">
        <v>242</v>
      </c>
      <c r="F40" s="274">
        <v>0</v>
      </c>
      <c r="G40" s="274">
        <v>0</v>
      </c>
      <c r="H40" s="275">
        <v>0</v>
      </c>
      <c r="I40" s="276"/>
      <c r="J40" s="325">
        <v>0</v>
      </c>
      <c r="K40" s="273">
        <v>0</v>
      </c>
      <c r="L40" s="273">
        <v>0</v>
      </c>
      <c r="M40" s="273">
        <v>0</v>
      </c>
      <c r="N40" s="274">
        <v>0</v>
      </c>
      <c r="O40" s="273">
        <v>0</v>
      </c>
      <c r="P40" s="277">
        <v>0</v>
      </c>
    </row>
    <row r="41" spans="3:16" ht="18" customHeight="1">
      <c r="C41" s="61"/>
      <c r="D41" s="317" t="s">
        <v>113</v>
      </c>
      <c r="E41" s="317"/>
      <c r="F41" s="287">
        <v>0</v>
      </c>
      <c r="G41" s="287">
        <v>0</v>
      </c>
      <c r="H41" s="281">
        <v>0</v>
      </c>
      <c r="I41" s="288"/>
      <c r="J41" s="287">
        <v>0</v>
      </c>
      <c r="K41" s="287">
        <v>0</v>
      </c>
      <c r="L41" s="287">
        <v>0</v>
      </c>
      <c r="M41" s="287">
        <v>0</v>
      </c>
      <c r="N41" s="287">
        <v>0</v>
      </c>
      <c r="O41" s="279">
        <v>0</v>
      </c>
      <c r="P41" s="283">
        <v>0</v>
      </c>
    </row>
    <row r="42" spans="3:16" ht="18" customHeight="1">
      <c r="C42" s="61"/>
      <c r="D42" s="317" t="s">
        <v>114</v>
      </c>
      <c r="E42" s="317"/>
      <c r="F42" s="286">
        <v>0</v>
      </c>
      <c r="G42" s="287">
        <v>0</v>
      </c>
      <c r="H42" s="281">
        <v>0</v>
      </c>
      <c r="I42" s="288"/>
      <c r="J42" s="287">
        <v>0</v>
      </c>
      <c r="K42" s="286">
        <v>0</v>
      </c>
      <c r="L42" s="287">
        <v>0</v>
      </c>
      <c r="M42" s="286">
        <v>0</v>
      </c>
      <c r="N42" s="287">
        <v>0</v>
      </c>
      <c r="O42" s="279">
        <v>0</v>
      </c>
      <c r="P42" s="283">
        <v>0</v>
      </c>
    </row>
    <row r="43" spans="3:16" ht="18" customHeight="1">
      <c r="C43" s="61"/>
      <c r="D43" s="318" t="s">
        <v>181</v>
      </c>
      <c r="E43" s="318"/>
      <c r="F43" s="309">
        <v>0</v>
      </c>
      <c r="G43" s="310">
        <v>0</v>
      </c>
      <c r="H43" s="281">
        <v>0</v>
      </c>
      <c r="I43" s="288"/>
      <c r="J43" s="310">
        <v>0</v>
      </c>
      <c r="K43" s="309">
        <v>0</v>
      </c>
      <c r="L43" s="310">
        <v>0</v>
      </c>
      <c r="M43" s="309">
        <v>0</v>
      </c>
      <c r="N43" s="310">
        <v>0</v>
      </c>
      <c r="O43" s="279">
        <v>0</v>
      </c>
      <c r="P43" s="283">
        <v>0</v>
      </c>
    </row>
    <row r="44" spans="3:16" ht="18" customHeight="1">
      <c r="C44" s="61"/>
      <c r="D44" s="319" t="s">
        <v>243</v>
      </c>
      <c r="E44" s="319"/>
      <c r="F44" s="302">
        <v>0</v>
      </c>
      <c r="G44" s="303">
        <v>0</v>
      </c>
      <c r="H44" s="304">
        <v>0</v>
      </c>
      <c r="I44" s="288"/>
      <c r="J44" s="303">
        <v>0</v>
      </c>
      <c r="K44" s="302">
        <v>0</v>
      </c>
      <c r="L44" s="303">
        <v>0</v>
      </c>
      <c r="M44" s="302">
        <v>0</v>
      </c>
      <c r="N44" s="303">
        <v>0</v>
      </c>
      <c r="O44" s="316">
        <v>0</v>
      </c>
      <c r="P44" s="305">
        <v>0</v>
      </c>
    </row>
    <row r="45" spans="3:16" ht="18" customHeight="1">
      <c r="C45" s="752" t="s">
        <v>244</v>
      </c>
      <c r="D45" s="753"/>
      <c r="E45" s="754"/>
      <c r="F45" s="320">
        <v>0</v>
      </c>
      <c r="G45" s="331">
        <v>0</v>
      </c>
      <c r="H45" s="321">
        <v>0</v>
      </c>
      <c r="I45" s="224"/>
      <c r="J45" s="332">
        <v>0</v>
      </c>
      <c r="K45" s="320">
        <v>0</v>
      </c>
      <c r="L45" s="320">
        <v>0</v>
      </c>
      <c r="M45" s="320">
        <v>0</v>
      </c>
      <c r="N45" s="331">
        <v>0</v>
      </c>
      <c r="O45" s="320">
        <v>0</v>
      </c>
      <c r="P45" s="322">
        <v>0</v>
      </c>
    </row>
    <row r="46" spans="3:16" ht="12" customHeight="1"/>
  </sheetData>
  <sheetProtection selectLockedCells="1" selectUnlockedCells="1"/>
  <mergeCells count="9">
    <mergeCell ref="C45:E45"/>
    <mergeCell ref="D38:E38"/>
    <mergeCell ref="D39:E39"/>
    <mergeCell ref="A3:Q3"/>
    <mergeCell ref="C9:E10"/>
    <mergeCell ref="F9:H9"/>
    <mergeCell ref="I9:O9"/>
    <mergeCell ref="P9:P10"/>
    <mergeCell ref="A4:Q4"/>
  </mergeCells>
  <phoneticPr fontId="34"/>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N178"/>
  <sheetViews>
    <sheetView showGridLines="0" workbookViewId="0"/>
  </sheetViews>
  <sheetFormatPr defaultColWidth="6.26953125" defaultRowHeight="15" customHeight="1"/>
  <cols>
    <col min="1" max="4" width="1.86328125" style="463" customWidth="1"/>
    <col min="5" max="5" width="24.7265625" style="463" customWidth="1"/>
    <col min="6" max="6" width="26" style="463" customWidth="1"/>
    <col min="7" max="7" width="15.1328125" style="463" customWidth="1"/>
    <col min="8" max="8" width="11.86328125" style="463" customWidth="1"/>
    <col min="9" max="10" width="16.26953125" style="463" customWidth="1"/>
    <col min="11" max="12" width="1.86328125" style="463" customWidth="1"/>
    <col min="13" max="14" width="6.26953125" style="463"/>
  </cols>
  <sheetData>
    <row r="1" spans="1:12" s="463" customFormat="1" ht="17.25" customHeight="1">
      <c r="A1" s="464" t="s">
        <v>426</v>
      </c>
      <c r="B1" s="464"/>
      <c r="C1" s="464"/>
      <c r="D1" s="464"/>
      <c r="E1" s="464"/>
      <c r="F1" s="464"/>
      <c r="G1" s="464"/>
      <c r="H1" s="464"/>
      <c r="I1" s="464"/>
      <c r="J1" s="465"/>
      <c r="K1" s="466"/>
      <c r="L1" s="466"/>
    </row>
    <row r="2" spans="1:12" s="463" customFormat="1" ht="17.25" customHeight="1">
      <c r="A2" s="464"/>
      <c r="B2" s="464"/>
      <c r="C2" s="464"/>
      <c r="D2" s="464"/>
      <c r="E2" s="464"/>
      <c r="F2" s="464"/>
      <c r="G2" s="464"/>
      <c r="H2" s="464"/>
      <c r="I2" s="464"/>
      <c r="J2" s="465"/>
      <c r="K2" s="466"/>
      <c r="L2" s="466"/>
    </row>
    <row r="3" spans="1:12" s="463" customFormat="1" ht="24" customHeight="1">
      <c r="A3" s="831" t="s">
        <v>1</v>
      </c>
      <c r="B3" s="831"/>
      <c r="C3" s="831"/>
      <c r="D3" s="831"/>
      <c r="E3" s="831"/>
      <c r="F3" s="831"/>
      <c r="G3" s="831"/>
      <c r="H3" s="831"/>
      <c r="I3" s="831"/>
      <c r="J3" s="831"/>
      <c r="K3" s="831"/>
      <c r="L3" s="831"/>
    </row>
    <row r="4" spans="1:12" s="463" customFormat="1" ht="24" customHeight="1">
      <c r="A4" s="627" t="s">
        <v>2</v>
      </c>
      <c r="B4" s="627"/>
      <c r="C4" s="627"/>
      <c r="D4" s="627"/>
      <c r="E4" s="627"/>
      <c r="F4" s="627"/>
      <c r="G4" s="627"/>
      <c r="H4" s="627"/>
      <c r="I4" s="627"/>
      <c r="J4" s="627"/>
      <c r="K4" s="627"/>
      <c r="L4" s="627"/>
    </row>
    <row r="5" spans="1:12" s="463" customFormat="1" ht="15.75" customHeight="1">
      <c r="A5" s="467"/>
      <c r="B5" s="464"/>
      <c r="C5" s="464"/>
      <c r="D5" s="464"/>
      <c r="E5" s="464"/>
      <c r="F5" s="464"/>
      <c r="G5" s="464"/>
      <c r="H5" s="468"/>
      <c r="I5" s="469" t="s">
        <v>3</v>
      </c>
      <c r="J5" s="470" t="s">
        <v>4</v>
      </c>
      <c r="K5" s="471"/>
      <c r="L5" s="471"/>
    </row>
    <row r="6" spans="1:12" s="463" customFormat="1" ht="15.75" customHeight="1">
      <c r="A6" s="467"/>
      <c r="B6" s="464"/>
      <c r="C6" s="464"/>
      <c r="D6" s="464"/>
      <c r="E6" s="464"/>
      <c r="F6" s="464"/>
      <c r="G6" s="464"/>
      <c r="H6" s="468"/>
      <c r="I6" s="472" t="s">
        <v>5</v>
      </c>
      <c r="J6" s="473" t="s">
        <v>6</v>
      </c>
      <c r="K6" s="471"/>
      <c r="L6" s="471"/>
    </row>
    <row r="7" spans="1:12" s="463" customFormat="1" ht="9.75" customHeight="1">
      <c r="A7" s="3"/>
      <c r="B7" s="3"/>
      <c r="C7" s="3"/>
      <c r="D7" s="3"/>
      <c r="E7" s="3"/>
      <c r="F7" s="3"/>
      <c r="G7" s="3"/>
      <c r="H7" s="3"/>
      <c r="I7" s="3"/>
      <c r="J7" s="3"/>
      <c r="K7" s="474"/>
      <c r="L7" s="474"/>
    </row>
    <row r="8" spans="1:12" s="463" customFormat="1" ht="17.25" customHeight="1">
      <c r="A8" s="3"/>
      <c r="B8" s="4" t="s">
        <v>427</v>
      </c>
      <c r="C8" s="3"/>
      <c r="D8" s="3"/>
      <c r="E8" s="3"/>
      <c r="F8" s="3"/>
      <c r="G8" s="3"/>
      <c r="H8" s="3"/>
      <c r="I8" s="4"/>
      <c r="J8" s="4"/>
      <c r="K8" s="474"/>
      <c r="L8" s="474"/>
    </row>
    <row r="9" spans="1:12" s="463" customFormat="1" ht="17.25" customHeight="1">
      <c r="A9" s="3"/>
      <c r="B9" s="4"/>
      <c r="C9" s="3" t="s">
        <v>428</v>
      </c>
      <c r="D9" s="3"/>
      <c r="E9" s="3"/>
      <c r="F9" s="3"/>
      <c r="G9" s="3"/>
      <c r="H9" s="3"/>
      <c r="I9" s="4"/>
      <c r="J9" s="4"/>
      <c r="K9" s="474"/>
      <c r="L9" s="474"/>
    </row>
    <row r="10" spans="1:12" s="463" customFormat="1" ht="17.25" customHeight="1">
      <c r="A10" s="3"/>
      <c r="B10" s="4"/>
      <c r="C10" s="3"/>
      <c r="D10" s="3"/>
      <c r="E10" s="475"/>
      <c r="F10" s="475"/>
      <c r="G10" s="475"/>
      <c r="H10" s="475"/>
      <c r="I10" s="476" t="s">
        <v>300</v>
      </c>
      <c r="J10" s="4"/>
      <c r="K10" s="474"/>
      <c r="L10" s="474"/>
    </row>
    <row r="11" spans="1:12" s="463" customFormat="1" ht="20.25" customHeight="1">
      <c r="A11" s="3"/>
      <c r="B11" s="3"/>
      <c r="C11" s="3"/>
      <c r="D11" s="477" t="s">
        <v>429</v>
      </c>
      <c r="E11" s="478"/>
      <c r="F11" s="478"/>
      <c r="G11" s="478"/>
      <c r="H11" s="478"/>
      <c r="I11" s="479">
        <v>6500</v>
      </c>
      <c r="J11" s="4"/>
      <c r="K11" s="474"/>
      <c r="L11" s="474"/>
    </row>
    <row r="12" spans="1:12" s="463" customFormat="1" ht="20.25" customHeight="1">
      <c r="A12" s="3"/>
      <c r="B12" s="467"/>
      <c r="C12" s="3"/>
      <c r="D12" s="3"/>
      <c r="E12" s="3"/>
      <c r="F12" s="3"/>
      <c r="G12" s="3"/>
      <c r="H12" s="3"/>
      <c r="I12" s="480"/>
      <c r="J12" s="4"/>
      <c r="K12" s="474"/>
      <c r="L12" s="474"/>
    </row>
    <row r="13" spans="1:12" s="463" customFormat="1" ht="20.25" customHeight="1">
      <c r="A13" s="3"/>
      <c r="B13" s="3"/>
      <c r="C13" s="3"/>
      <c r="D13" s="3"/>
      <c r="E13" s="3"/>
      <c r="F13" s="4"/>
      <c r="G13" s="481"/>
      <c r="H13" s="3"/>
      <c r="I13" s="3"/>
      <c r="J13" s="481"/>
      <c r="K13" s="474"/>
      <c r="L13" s="474"/>
    </row>
    <row r="14" spans="1:12" s="463" customFormat="1" ht="20.25" customHeight="1">
      <c r="A14" s="3"/>
      <c r="B14" s="4" t="s">
        <v>430</v>
      </c>
      <c r="C14" s="3"/>
      <c r="D14" s="3"/>
      <c r="E14" s="3"/>
      <c r="F14" s="4"/>
      <c r="G14" s="481"/>
      <c r="H14" s="3"/>
      <c r="I14" s="3"/>
      <c r="J14" s="481"/>
      <c r="K14" s="474"/>
      <c r="L14" s="474"/>
    </row>
    <row r="15" spans="1:12" s="463" customFormat="1" ht="20.25" customHeight="1">
      <c r="A15" s="3"/>
      <c r="B15" s="3"/>
      <c r="C15" s="3" t="s">
        <v>431</v>
      </c>
      <c r="D15" s="3"/>
      <c r="E15" s="3"/>
      <c r="F15" s="4"/>
      <c r="G15" s="481"/>
      <c r="H15" s="482"/>
      <c r="I15" s="3"/>
      <c r="J15" s="481"/>
      <c r="K15" s="474"/>
      <c r="L15" s="474"/>
    </row>
    <row r="16" spans="1:12" s="463" customFormat="1" ht="20.25" customHeight="1">
      <c r="A16" s="3"/>
      <c r="B16" s="3"/>
      <c r="C16" s="3"/>
      <c r="D16" s="3" t="s">
        <v>432</v>
      </c>
      <c r="E16" s="3"/>
      <c r="F16" s="4"/>
      <c r="G16" s="481"/>
      <c r="H16" s="482"/>
      <c r="I16" s="3"/>
      <c r="J16" s="481"/>
      <c r="K16" s="474"/>
      <c r="L16" s="474"/>
    </row>
    <row r="17" spans="1:12" s="463" customFormat="1" ht="20.25" customHeight="1">
      <c r="A17" s="3"/>
      <c r="B17" s="3"/>
      <c r="C17" s="3"/>
      <c r="D17" s="3"/>
      <c r="E17" s="483"/>
      <c r="F17" s="4"/>
      <c r="G17" s="481"/>
      <c r="H17" s="482"/>
      <c r="I17" s="476" t="s">
        <v>300</v>
      </c>
      <c r="J17" s="481"/>
      <c r="K17" s="474"/>
      <c r="L17" s="474"/>
    </row>
    <row r="18" spans="1:12" s="463" customFormat="1" ht="20.25" customHeight="1">
      <c r="A18" s="3"/>
      <c r="B18" s="3"/>
      <c r="C18" s="3"/>
      <c r="D18" s="484"/>
      <c r="E18" s="485" t="s">
        <v>109</v>
      </c>
      <c r="F18" s="485"/>
      <c r="G18" s="485"/>
      <c r="H18" s="486"/>
      <c r="I18" s="487">
        <v>192072646</v>
      </c>
      <c r="J18" s="481"/>
      <c r="K18" s="474"/>
      <c r="L18" s="474"/>
    </row>
    <row r="19" spans="1:12" s="463" customFormat="1" ht="20.25" customHeight="1">
      <c r="A19" s="3"/>
      <c r="B19" s="3"/>
      <c r="C19" s="3"/>
      <c r="D19" s="488"/>
      <c r="E19" s="489" t="s">
        <v>433</v>
      </c>
      <c r="F19" s="490"/>
      <c r="G19" s="490"/>
      <c r="H19" s="490"/>
      <c r="I19" s="491">
        <v>180642987</v>
      </c>
      <c r="J19" s="481"/>
      <c r="K19" s="474"/>
      <c r="L19" s="474"/>
    </row>
    <row r="20" spans="1:12" s="463" customFormat="1" ht="20.25" customHeight="1">
      <c r="A20" s="3"/>
      <c r="B20" s="3"/>
      <c r="C20" s="492"/>
      <c r="D20" s="493"/>
      <c r="E20" s="490" t="s">
        <v>434</v>
      </c>
      <c r="F20" s="494" t="s">
        <v>435</v>
      </c>
      <c r="G20" s="495"/>
      <c r="H20" s="496"/>
      <c r="I20" s="491">
        <v>192072646</v>
      </c>
      <c r="J20" s="3"/>
      <c r="K20" s="474"/>
      <c r="L20" s="474"/>
    </row>
    <row r="21" spans="1:12" s="463" customFormat="1" ht="20.25" customHeight="1">
      <c r="A21" s="3"/>
      <c r="B21" s="3"/>
      <c r="C21" s="492"/>
      <c r="D21" s="493"/>
      <c r="E21" s="490"/>
      <c r="F21" s="494" t="s">
        <v>436</v>
      </c>
      <c r="G21" s="495"/>
      <c r="H21" s="497" t="s">
        <v>437</v>
      </c>
      <c r="I21" s="498">
        <v>0</v>
      </c>
      <c r="J21" s="3"/>
      <c r="K21" s="474"/>
      <c r="L21" s="474"/>
    </row>
    <row r="22" spans="1:12" s="463" customFormat="1" ht="20.25" customHeight="1">
      <c r="A22" s="3"/>
      <c r="B22" s="3"/>
      <c r="C22" s="492"/>
      <c r="D22" s="493"/>
      <c r="E22" s="490"/>
      <c r="F22" s="494" t="s">
        <v>438</v>
      </c>
      <c r="G22" s="495"/>
      <c r="H22" s="497" t="s">
        <v>439</v>
      </c>
      <c r="I22" s="498">
        <v>0</v>
      </c>
      <c r="J22" s="3"/>
      <c r="K22" s="474"/>
      <c r="L22" s="474"/>
    </row>
    <row r="23" spans="1:12" s="463" customFormat="1" ht="20.25" customHeight="1">
      <c r="A23" s="3"/>
      <c r="B23" s="3"/>
      <c r="C23" s="492"/>
      <c r="D23" s="493"/>
      <c r="E23" s="490"/>
      <c r="F23" s="499"/>
      <c r="G23" s="490"/>
      <c r="H23" s="497" t="s">
        <v>440</v>
      </c>
      <c r="I23" s="498">
        <v>0</v>
      </c>
      <c r="J23" s="3"/>
      <c r="K23" s="474"/>
      <c r="L23" s="474"/>
    </row>
    <row r="24" spans="1:12" s="463" customFormat="1" ht="20.25" customHeight="1">
      <c r="A24" s="3"/>
      <c r="B24" s="3"/>
      <c r="C24" s="492"/>
      <c r="D24" s="493"/>
      <c r="E24" s="490"/>
      <c r="F24" s="499"/>
      <c r="G24" s="490"/>
      <c r="H24" s="497" t="s">
        <v>441</v>
      </c>
      <c r="I24" s="498">
        <v>0</v>
      </c>
      <c r="J24" s="3"/>
      <c r="K24" s="474"/>
      <c r="L24" s="474"/>
    </row>
    <row r="25" spans="1:12" s="463" customFormat="1" ht="20.25" customHeight="1">
      <c r="A25" s="3"/>
      <c r="B25" s="3"/>
      <c r="C25" s="492"/>
      <c r="D25" s="493"/>
      <c r="E25" s="490"/>
      <c r="F25" s="499"/>
      <c r="G25" s="490"/>
      <c r="H25" s="497" t="s">
        <v>442</v>
      </c>
      <c r="I25" s="498">
        <v>0</v>
      </c>
      <c r="J25" s="3"/>
      <c r="K25" s="474"/>
      <c r="L25" s="474"/>
    </row>
    <row r="26" spans="1:12" s="463" customFormat="1" ht="20.25" customHeight="1">
      <c r="A26" s="3"/>
      <c r="B26" s="3"/>
      <c r="C26" s="492"/>
      <c r="D26" s="493"/>
      <c r="E26" s="490"/>
      <c r="F26" s="500"/>
      <c r="G26" s="501"/>
      <c r="H26" s="497" t="s">
        <v>443</v>
      </c>
      <c r="I26" s="498">
        <v>0</v>
      </c>
      <c r="J26" s="3"/>
      <c r="K26" s="474"/>
      <c r="L26" s="474"/>
    </row>
    <row r="27" spans="1:12" s="463" customFormat="1" ht="20.25" customHeight="1">
      <c r="A27" s="3"/>
      <c r="B27" s="3"/>
      <c r="C27" s="3"/>
      <c r="D27" s="493"/>
      <c r="E27" s="490"/>
      <c r="F27" s="499" t="s">
        <v>444</v>
      </c>
      <c r="G27" s="490"/>
      <c r="H27" s="500" t="s">
        <v>437</v>
      </c>
      <c r="I27" s="491">
        <v>11429659</v>
      </c>
      <c r="J27" s="481"/>
      <c r="K27" s="474"/>
      <c r="L27" s="474"/>
    </row>
    <row r="28" spans="1:12" s="463" customFormat="1" ht="20.25" customHeight="1">
      <c r="A28" s="3"/>
      <c r="B28" s="3"/>
      <c r="C28" s="3"/>
      <c r="D28" s="493"/>
      <c r="E28" s="490"/>
      <c r="F28" s="494" t="s">
        <v>445</v>
      </c>
      <c r="G28" s="495"/>
      <c r="H28" s="497" t="s">
        <v>439</v>
      </c>
      <c r="I28" s="498">
        <v>0</v>
      </c>
      <c r="J28" s="481"/>
      <c r="K28" s="474"/>
      <c r="L28" s="474"/>
    </row>
    <row r="29" spans="1:12" s="463" customFormat="1" ht="20.25" customHeight="1">
      <c r="A29" s="3"/>
      <c r="B29" s="3"/>
      <c r="C29" s="3"/>
      <c r="D29" s="493"/>
      <c r="E29" s="490"/>
      <c r="F29" s="499"/>
      <c r="G29" s="490"/>
      <c r="H29" s="497" t="s">
        <v>440</v>
      </c>
      <c r="I29" s="498">
        <v>0</v>
      </c>
      <c r="J29" s="481"/>
      <c r="K29" s="474"/>
      <c r="L29" s="474"/>
    </row>
    <row r="30" spans="1:12" s="463" customFormat="1" ht="20.25" customHeight="1">
      <c r="A30" s="3"/>
      <c r="B30" s="3"/>
      <c r="C30" s="3"/>
      <c r="D30" s="493"/>
      <c r="E30" s="490"/>
      <c r="F30" s="499"/>
      <c r="G30" s="490"/>
      <c r="H30" s="497" t="s">
        <v>441</v>
      </c>
      <c r="I30" s="498">
        <v>0</v>
      </c>
      <c r="J30" s="481"/>
      <c r="K30" s="474"/>
      <c r="L30" s="474"/>
    </row>
    <row r="31" spans="1:12" s="463" customFormat="1" ht="20.25" customHeight="1">
      <c r="A31" s="3"/>
      <c r="B31" s="3"/>
      <c r="C31" s="3"/>
      <c r="D31" s="493"/>
      <c r="E31" s="490"/>
      <c r="F31" s="499"/>
      <c r="G31" s="490"/>
      <c r="H31" s="497" t="s">
        <v>442</v>
      </c>
      <c r="I31" s="498">
        <v>0</v>
      </c>
      <c r="J31" s="481"/>
      <c r="K31" s="474"/>
      <c r="L31" s="474"/>
    </row>
    <row r="32" spans="1:12" s="463" customFormat="1" ht="20.25" customHeight="1">
      <c r="A32" s="3"/>
      <c r="B32" s="3"/>
      <c r="C32" s="3"/>
      <c r="D32" s="502"/>
      <c r="E32" s="503"/>
      <c r="F32" s="504"/>
      <c r="G32" s="503"/>
      <c r="H32" s="505" t="s">
        <v>443</v>
      </c>
      <c r="I32" s="506">
        <v>0</v>
      </c>
      <c r="J32" s="481"/>
      <c r="K32" s="474"/>
      <c r="L32" s="474"/>
    </row>
    <row r="33" spans="1:12" s="463" customFormat="1" ht="20.25" customHeight="1">
      <c r="A33" s="3"/>
      <c r="B33" s="3"/>
      <c r="C33" s="3"/>
      <c r="D33" s="3"/>
      <c r="E33" s="3"/>
      <c r="F33" s="3"/>
      <c r="G33" s="481"/>
      <c r="H33" s="3"/>
      <c r="I33" s="3"/>
      <c r="J33" s="481"/>
      <c r="K33" s="474"/>
      <c r="L33" s="474"/>
    </row>
    <row r="34" spans="1:12" s="463" customFormat="1" ht="20.25" customHeight="1">
      <c r="A34" s="3"/>
      <c r="B34" s="3"/>
      <c r="C34" s="3"/>
      <c r="D34" s="3"/>
      <c r="E34" s="3"/>
      <c r="F34" s="3"/>
      <c r="G34" s="481"/>
      <c r="H34" s="3"/>
      <c r="I34" s="3"/>
      <c r="J34" s="481"/>
      <c r="K34" s="474"/>
      <c r="L34" s="474"/>
    </row>
    <row r="35" spans="1:12" s="463" customFormat="1" ht="20.25" customHeight="1">
      <c r="A35" s="3"/>
      <c r="B35" s="3"/>
      <c r="C35" s="3" t="s">
        <v>446</v>
      </c>
      <c r="D35" s="3"/>
      <c r="E35" s="3"/>
      <c r="F35" s="3"/>
      <c r="G35" s="481"/>
      <c r="H35" s="3"/>
      <c r="I35" s="3"/>
      <c r="J35" s="481"/>
      <c r="K35" s="474"/>
      <c r="L35" s="474"/>
    </row>
    <row r="36" spans="1:12" s="463" customFormat="1" ht="20.25" customHeight="1">
      <c r="A36" s="3"/>
      <c r="B36" s="3"/>
      <c r="C36" s="3"/>
      <c r="D36" s="3"/>
      <c r="E36" s="483"/>
      <c r="F36" s="4"/>
      <c r="G36" s="481"/>
      <c r="H36" s="482"/>
      <c r="I36" s="476" t="s">
        <v>300</v>
      </c>
      <c r="J36" s="481"/>
      <c r="K36" s="474"/>
      <c r="L36" s="474"/>
    </row>
    <row r="37" spans="1:12" s="463" customFormat="1" ht="20.25" customHeight="1">
      <c r="A37" s="3"/>
      <c r="B37" s="3"/>
      <c r="C37" s="3"/>
      <c r="D37" s="507" t="s">
        <v>109</v>
      </c>
      <c r="E37" s="508"/>
      <c r="F37" s="508"/>
      <c r="G37" s="508"/>
      <c r="H37" s="508"/>
      <c r="I37" s="509">
        <v>53478000</v>
      </c>
      <c r="J37" s="3"/>
      <c r="K37" s="474"/>
      <c r="L37" s="474"/>
    </row>
    <row r="38" spans="1:12" s="463" customFormat="1" ht="20.25" customHeight="1">
      <c r="A38" s="3"/>
      <c r="B38" s="3"/>
      <c r="C38" s="3"/>
      <c r="D38" s="493"/>
      <c r="E38" s="490" t="s">
        <v>447</v>
      </c>
      <c r="F38" s="500" t="s">
        <v>448</v>
      </c>
      <c r="G38" s="501"/>
      <c r="H38" s="510"/>
      <c r="I38" s="511">
        <v>53478000</v>
      </c>
      <c r="J38" s="3"/>
      <c r="K38" s="474"/>
      <c r="L38" s="474"/>
    </row>
    <row r="39" spans="1:12" s="463" customFormat="1" ht="20.25" customHeight="1">
      <c r="A39" s="3"/>
      <c r="B39" s="3"/>
      <c r="C39" s="3"/>
      <c r="D39" s="512"/>
      <c r="E39" s="513"/>
      <c r="F39" s="505" t="s">
        <v>449</v>
      </c>
      <c r="G39" s="514"/>
      <c r="H39" s="515"/>
      <c r="I39" s="516">
        <v>0</v>
      </c>
      <c r="J39" s="3"/>
      <c r="K39" s="474"/>
      <c r="L39" s="474"/>
    </row>
    <row r="40" spans="1:12" s="463" customFormat="1" ht="20.25" customHeight="1">
      <c r="A40" s="3"/>
      <c r="B40" s="3"/>
      <c r="C40" s="3"/>
      <c r="D40" s="3"/>
      <c r="E40" s="3"/>
      <c r="F40" s="3"/>
      <c r="G40" s="481"/>
      <c r="H40" s="3"/>
      <c r="I40" s="3"/>
      <c r="J40" s="481"/>
      <c r="K40" s="474"/>
      <c r="L40" s="474"/>
    </row>
    <row r="41" spans="1:12" s="463" customFormat="1" ht="20.25" customHeight="1">
      <c r="A41" s="3"/>
      <c r="B41" s="3"/>
      <c r="C41" s="3"/>
      <c r="D41" s="3"/>
      <c r="E41" s="3"/>
      <c r="F41" s="3"/>
      <c r="G41" s="481"/>
      <c r="H41" s="3"/>
      <c r="I41" s="3"/>
      <c r="J41" s="481"/>
      <c r="K41" s="474"/>
      <c r="L41" s="474"/>
    </row>
    <row r="42" spans="1:12" s="463" customFormat="1" ht="20.25" customHeight="1">
      <c r="A42" s="3"/>
      <c r="B42" s="3"/>
      <c r="C42" s="832" t="s">
        <v>450</v>
      </c>
      <c r="D42" s="832"/>
      <c r="E42" s="832"/>
      <c r="F42" s="832"/>
      <c r="G42" s="832"/>
      <c r="H42" s="832"/>
      <c r="I42" s="832"/>
      <c r="J42" s="832"/>
      <c r="K42" s="474"/>
      <c r="L42" s="474"/>
    </row>
    <row r="43" spans="1:12" s="463" customFormat="1" ht="20.25" customHeight="1">
      <c r="A43" s="3"/>
      <c r="B43" s="3"/>
      <c r="C43" s="832"/>
      <c r="D43" s="832"/>
      <c r="E43" s="832"/>
      <c r="F43" s="832"/>
      <c r="G43" s="832"/>
      <c r="H43" s="832"/>
      <c r="I43" s="832"/>
      <c r="J43" s="832"/>
      <c r="K43" s="474"/>
      <c r="L43" s="474"/>
    </row>
    <row r="44" spans="1:12" s="463" customFormat="1" ht="20.25" customHeight="1">
      <c r="A44" s="3"/>
      <c r="B44" s="3"/>
      <c r="C44" s="517"/>
      <c r="D44" s="832" t="s">
        <v>451</v>
      </c>
      <c r="E44" s="832"/>
      <c r="F44" s="832"/>
      <c r="G44" s="832"/>
      <c r="H44" s="832"/>
      <c r="I44" s="832"/>
      <c r="J44" s="832"/>
      <c r="K44" s="474"/>
      <c r="L44" s="474"/>
    </row>
    <row r="45" spans="1:12" s="463" customFormat="1" ht="20.25" customHeight="1">
      <c r="A45" s="3"/>
      <c r="B45" s="3"/>
      <c r="C45" s="517"/>
      <c r="D45" s="832"/>
      <c r="E45" s="832"/>
      <c r="F45" s="832"/>
      <c r="G45" s="832"/>
      <c r="H45" s="832"/>
      <c r="I45" s="832"/>
      <c r="J45" s="832"/>
      <c r="K45" s="474"/>
      <c r="L45" s="474"/>
    </row>
    <row r="46" spans="1:12" s="463" customFormat="1" ht="20.25" customHeight="1">
      <c r="A46" s="3"/>
      <c r="B46" s="3"/>
      <c r="C46" s="3"/>
      <c r="D46" s="3"/>
      <c r="E46" s="3"/>
      <c r="F46" s="3"/>
      <c r="G46" s="481"/>
      <c r="H46" s="3"/>
      <c r="I46" s="476" t="s">
        <v>300</v>
      </c>
      <c r="J46" s="481"/>
      <c r="K46" s="474"/>
      <c r="L46" s="474"/>
    </row>
    <row r="47" spans="1:12" s="463" customFormat="1" ht="20.25" customHeight="1">
      <c r="A47" s="3"/>
      <c r="B47" s="3"/>
      <c r="C47" s="3"/>
      <c r="D47" s="484" t="s">
        <v>345</v>
      </c>
      <c r="E47" s="485"/>
      <c r="F47" s="485"/>
      <c r="G47" s="485"/>
      <c r="H47" s="486"/>
      <c r="I47" s="487">
        <v>2999000</v>
      </c>
      <c r="J47" s="3"/>
      <c r="K47" s="474"/>
      <c r="L47" s="474"/>
    </row>
    <row r="48" spans="1:12" s="463" customFormat="1" ht="20.25" customHeight="1">
      <c r="A48" s="3"/>
      <c r="B48" s="3"/>
      <c r="C48" s="3"/>
      <c r="D48" s="488" t="s">
        <v>347</v>
      </c>
      <c r="E48" s="489"/>
      <c r="F48" s="490"/>
      <c r="G48" s="490"/>
      <c r="H48" s="490"/>
      <c r="I48" s="491">
        <v>10310300</v>
      </c>
      <c r="J48" s="3"/>
      <c r="K48" s="474"/>
      <c r="L48" s="474"/>
    </row>
    <row r="49" spans="1:12" s="463" customFormat="1" ht="20.25" customHeight="1">
      <c r="A49" s="3"/>
      <c r="B49" s="3"/>
      <c r="C49" s="3"/>
      <c r="D49" s="488"/>
      <c r="E49" s="518" t="s">
        <v>452</v>
      </c>
      <c r="F49" s="494" t="s">
        <v>435</v>
      </c>
      <c r="G49" s="495"/>
      <c r="H49" s="519" t="s">
        <v>453</v>
      </c>
      <c r="I49" s="498">
        <v>2486000</v>
      </c>
      <c r="J49" s="3"/>
      <c r="K49" s="474"/>
      <c r="L49" s="474"/>
    </row>
    <row r="50" spans="1:12" s="463" customFormat="1" ht="20.25" customHeight="1">
      <c r="A50" s="3"/>
      <c r="B50" s="3"/>
      <c r="C50" s="3"/>
      <c r="D50" s="488"/>
      <c r="E50" s="520"/>
      <c r="F50" s="499"/>
      <c r="G50" s="490"/>
      <c r="H50" s="519" t="s">
        <v>343</v>
      </c>
      <c r="I50" s="498">
        <v>513000</v>
      </c>
      <c r="J50" s="3"/>
      <c r="K50" s="474"/>
      <c r="L50" s="474"/>
    </row>
    <row r="51" spans="1:12" s="463" customFormat="1" ht="20.25" customHeight="1">
      <c r="A51" s="3"/>
      <c r="B51" s="3"/>
      <c r="C51" s="3"/>
      <c r="D51" s="488"/>
      <c r="E51" s="520"/>
      <c r="F51" s="499"/>
      <c r="G51" s="490"/>
      <c r="H51" s="519" t="s">
        <v>454</v>
      </c>
      <c r="I51" s="498">
        <v>6152300</v>
      </c>
      <c r="J51" s="3"/>
      <c r="K51" s="474"/>
      <c r="L51" s="474"/>
    </row>
    <row r="52" spans="1:12" s="463" customFormat="1" ht="20.25" customHeight="1">
      <c r="A52" s="3"/>
      <c r="B52" s="3"/>
      <c r="C52" s="3"/>
      <c r="D52" s="488"/>
      <c r="E52" s="520"/>
      <c r="F52" s="500"/>
      <c r="G52" s="501"/>
      <c r="H52" s="519" t="s">
        <v>455</v>
      </c>
      <c r="I52" s="498">
        <v>4158000</v>
      </c>
      <c r="J52" s="3"/>
      <c r="K52" s="474"/>
      <c r="L52" s="474"/>
    </row>
    <row r="53" spans="1:12" s="463" customFormat="1" ht="20.25" customHeight="1">
      <c r="A53" s="3"/>
      <c r="B53" s="3"/>
      <c r="C53" s="3"/>
      <c r="D53" s="488"/>
      <c r="E53" s="520"/>
      <c r="F53" s="497" t="s">
        <v>436</v>
      </c>
      <c r="G53" s="521"/>
      <c r="H53" s="522"/>
      <c r="I53" s="523">
        <v>0</v>
      </c>
      <c r="J53" s="3"/>
      <c r="K53" s="474"/>
      <c r="L53" s="474"/>
    </row>
    <row r="54" spans="1:12" s="463" customFormat="1" ht="20.25" customHeight="1">
      <c r="A54" s="3"/>
      <c r="B54" s="3"/>
      <c r="C54" s="3"/>
      <c r="D54" s="488"/>
      <c r="E54" s="520"/>
      <c r="F54" s="494" t="s">
        <v>456</v>
      </c>
      <c r="G54" s="495"/>
      <c r="H54" s="519" t="s">
        <v>439</v>
      </c>
      <c r="I54" s="511">
        <v>0</v>
      </c>
      <c r="J54" s="3"/>
      <c r="K54" s="474"/>
      <c r="L54" s="474"/>
    </row>
    <row r="55" spans="1:12" s="463" customFormat="1" ht="20.25" customHeight="1">
      <c r="A55" s="3"/>
      <c r="B55" s="3"/>
      <c r="C55" s="3"/>
      <c r="D55" s="488"/>
      <c r="E55" s="520"/>
      <c r="F55" s="499"/>
      <c r="G55" s="490"/>
      <c r="H55" s="519" t="s">
        <v>440</v>
      </c>
      <c r="I55" s="511">
        <v>0</v>
      </c>
      <c r="J55" s="3"/>
      <c r="K55" s="474"/>
      <c r="L55" s="474"/>
    </row>
    <row r="56" spans="1:12" s="463" customFormat="1" ht="20.25" customHeight="1">
      <c r="A56" s="3"/>
      <c r="B56" s="3"/>
      <c r="C56" s="3"/>
      <c r="D56" s="488"/>
      <c r="E56" s="520"/>
      <c r="F56" s="499"/>
      <c r="G56" s="490"/>
      <c r="H56" s="519" t="s">
        <v>441</v>
      </c>
      <c r="I56" s="523">
        <v>0</v>
      </c>
      <c r="J56" s="3"/>
      <c r="K56" s="474"/>
      <c r="L56" s="474"/>
    </row>
    <row r="57" spans="1:12" s="463" customFormat="1" ht="20.25" customHeight="1">
      <c r="A57" s="3"/>
      <c r="B57" s="3"/>
      <c r="C57" s="3"/>
      <c r="D57" s="488"/>
      <c r="E57" s="520"/>
      <c r="F57" s="499"/>
      <c r="G57" s="524"/>
      <c r="H57" s="519" t="s">
        <v>442</v>
      </c>
      <c r="I57" s="523">
        <v>0</v>
      </c>
      <c r="J57" s="3"/>
      <c r="K57" s="474"/>
      <c r="L57" s="474"/>
    </row>
    <row r="58" spans="1:12" s="463" customFormat="1" ht="20.25" customHeight="1">
      <c r="A58" s="3"/>
      <c r="B58" s="3"/>
      <c r="C58" s="3"/>
      <c r="D58" s="488"/>
      <c r="E58" s="520"/>
      <c r="F58" s="500"/>
      <c r="G58" s="501"/>
      <c r="H58" s="519" t="s">
        <v>443</v>
      </c>
      <c r="I58" s="523">
        <v>0</v>
      </c>
      <c r="J58" s="3"/>
      <c r="K58" s="474"/>
      <c r="L58" s="474"/>
    </row>
    <row r="59" spans="1:12" s="463" customFormat="1" ht="20.25" customHeight="1">
      <c r="A59" s="3"/>
      <c r="B59" s="3"/>
      <c r="C59" s="3"/>
      <c r="D59" s="488"/>
      <c r="E59" s="520"/>
      <c r="F59" s="500" t="s">
        <v>444</v>
      </c>
      <c r="G59" s="501"/>
      <c r="H59" s="510"/>
      <c r="I59" s="511">
        <v>1830964</v>
      </c>
      <c r="J59" s="481"/>
      <c r="K59" s="474"/>
      <c r="L59" s="474"/>
    </row>
    <row r="60" spans="1:12" s="463" customFormat="1" ht="20.25" customHeight="1">
      <c r="A60" s="3"/>
      <c r="B60" s="3"/>
      <c r="C60" s="3"/>
      <c r="D60" s="488"/>
      <c r="E60" s="520"/>
      <c r="F60" s="494" t="s">
        <v>445</v>
      </c>
      <c r="G60" s="495"/>
      <c r="H60" s="519" t="s">
        <v>439</v>
      </c>
      <c r="I60" s="511">
        <v>0</v>
      </c>
      <c r="J60" s="481"/>
      <c r="K60" s="474"/>
      <c r="L60" s="474"/>
    </row>
    <row r="61" spans="1:12" s="463" customFormat="1" ht="20.25" customHeight="1">
      <c r="A61" s="3"/>
      <c r="B61" s="3"/>
      <c r="C61" s="3"/>
      <c r="D61" s="488"/>
      <c r="E61" s="520"/>
      <c r="F61" s="499"/>
      <c r="G61" s="490"/>
      <c r="H61" s="519" t="s">
        <v>440</v>
      </c>
      <c r="I61" s="511">
        <v>0</v>
      </c>
      <c r="J61" s="481"/>
      <c r="K61" s="474"/>
      <c r="L61" s="474"/>
    </row>
    <row r="62" spans="1:12" s="463" customFormat="1" ht="20.25" customHeight="1">
      <c r="A62" s="3"/>
      <c r="B62" s="3"/>
      <c r="C62" s="3"/>
      <c r="D62" s="488"/>
      <c r="E62" s="520"/>
      <c r="F62" s="499"/>
      <c r="G62" s="490"/>
      <c r="H62" s="519" t="s">
        <v>441</v>
      </c>
      <c r="I62" s="523">
        <v>0</v>
      </c>
      <c r="J62" s="481"/>
      <c r="K62" s="474"/>
      <c r="L62" s="474"/>
    </row>
    <row r="63" spans="1:12" s="463" customFormat="1" ht="20.25" customHeight="1">
      <c r="A63" s="3"/>
      <c r="B63" s="3"/>
      <c r="C63" s="3"/>
      <c r="D63" s="488"/>
      <c r="E63" s="520"/>
      <c r="F63" s="499"/>
      <c r="G63" s="524"/>
      <c r="H63" s="519" t="s">
        <v>442</v>
      </c>
      <c r="I63" s="523">
        <v>0</v>
      </c>
      <c r="J63" s="481"/>
      <c r="K63" s="474"/>
      <c r="L63" s="474"/>
    </row>
    <row r="64" spans="1:12" s="463" customFormat="1" ht="20.25" customHeight="1">
      <c r="A64" s="3"/>
      <c r="B64" s="3"/>
      <c r="C64" s="3"/>
      <c r="D64" s="512"/>
      <c r="E64" s="513"/>
      <c r="F64" s="504"/>
      <c r="G64" s="503"/>
      <c r="H64" s="525" t="s">
        <v>443</v>
      </c>
      <c r="I64" s="516">
        <v>0</v>
      </c>
      <c r="J64" s="481"/>
      <c r="K64" s="474"/>
      <c r="L64" s="474"/>
    </row>
    <row r="65" spans="1:12" s="463" customFormat="1" ht="20.25" customHeight="1">
      <c r="A65" s="3"/>
      <c r="B65" s="3"/>
      <c r="C65" s="3"/>
      <c r="D65" s="3"/>
      <c r="E65" s="3"/>
      <c r="F65" s="3"/>
      <c r="G65" s="3"/>
      <c r="H65" s="3"/>
      <c r="I65" s="480"/>
      <c r="J65" s="481"/>
      <c r="K65" s="474"/>
      <c r="L65" s="474"/>
    </row>
    <row r="66" spans="1:12" s="463" customFormat="1" ht="20.25" customHeight="1">
      <c r="A66" s="3"/>
      <c r="B66" s="3"/>
      <c r="C66" s="3"/>
      <c r="D66" s="3"/>
      <c r="E66" s="3"/>
      <c r="F66" s="3"/>
      <c r="G66" s="481"/>
      <c r="H66" s="3"/>
      <c r="I66" s="3"/>
      <c r="J66" s="481"/>
      <c r="K66" s="474"/>
      <c r="L66" s="474"/>
    </row>
    <row r="67" spans="1:12" s="463" customFormat="1" ht="20.25" customHeight="1">
      <c r="A67" s="3"/>
      <c r="B67" s="3"/>
      <c r="C67" s="3" t="s">
        <v>457</v>
      </c>
      <c r="D67" s="3"/>
      <c r="E67" s="3"/>
      <c r="F67" s="3"/>
      <c r="G67" s="3"/>
      <c r="H67" s="3"/>
      <c r="I67" s="3"/>
      <c r="J67" s="481"/>
      <c r="K67" s="474"/>
      <c r="L67" s="474"/>
    </row>
    <row r="68" spans="1:12" s="463" customFormat="1" ht="20.25" customHeight="1">
      <c r="A68" s="3"/>
      <c r="B68" s="3"/>
      <c r="C68" s="3"/>
      <c r="D68" s="3"/>
      <c r="E68" s="3"/>
      <c r="F68" s="3"/>
      <c r="G68" s="3"/>
      <c r="H68" s="3"/>
      <c r="I68" s="476" t="s">
        <v>300</v>
      </c>
      <c r="J68" s="481"/>
      <c r="K68" s="474"/>
      <c r="L68" s="474"/>
    </row>
    <row r="69" spans="1:12" s="463" customFormat="1" ht="20.25" customHeight="1">
      <c r="A69" s="3"/>
      <c r="B69" s="3"/>
      <c r="C69" s="3"/>
      <c r="D69" s="477" t="s">
        <v>348</v>
      </c>
      <c r="E69" s="526"/>
      <c r="F69" s="527" t="s">
        <v>458</v>
      </c>
      <c r="G69" s="526"/>
      <c r="H69" s="526"/>
      <c r="I69" s="479">
        <v>1277000</v>
      </c>
      <c r="J69" s="3"/>
      <c r="K69" s="474"/>
      <c r="L69" s="474"/>
    </row>
    <row r="70" spans="1:12" s="463" customFormat="1" ht="20.25" customHeight="1">
      <c r="A70" s="3"/>
      <c r="B70" s="3"/>
      <c r="C70" s="3"/>
      <c r="D70" s="3"/>
      <c r="E70" s="3"/>
      <c r="F70" s="3"/>
      <c r="G70" s="3"/>
      <c r="H70" s="3"/>
      <c r="I70" s="3"/>
      <c r="J70" s="3"/>
      <c r="K70" s="474"/>
      <c r="L70" s="474"/>
    </row>
    <row r="71" spans="1:12" s="463" customFormat="1" ht="20.25" customHeight="1">
      <c r="A71" s="3"/>
      <c r="B71" s="3"/>
      <c r="C71" s="3"/>
      <c r="D71" s="3"/>
      <c r="E71" s="3"/>
      <c r="F71" s="3"/>
      <c r="G71" s="3"/>
      <c r="H71" s="3"/>
      <c r="I71" s="3"/>
      <c r="J71" s="3"/>
      <c r="K71" s="474"/>
      <c r="L71" s="474"/>
    </row>
    <row r="72" spans="1:12" s="463" customFormat="1" ht="20.25" customHeight="1">
      <c r="A72" s="3"/>
      <c r="B72" s="3"/>
      <c r="C72" s="3" t="s">
        <v>459</v>
      </c>
      <c r="D72" s="3"/>
      <c r="E72" s="3"/>
      <c r="F72" s="3"/>
      <c r="G72" s="481"/>
      <c r="H72" s="3"/>
      <c r="I72" s="3"/>
      <c r="J72" s="3"/>
      <c r="K72" s="474"/>
      <c r="L72" s="474"/>
    </row>
    <row r="73" spans="1:12" s="463" customFormat="1" ht="20.25" customHeight="1">
      <c r="A73" s="3"/>
      <c r="B73" s="3"/>
      <c r="C73" s="3"/>
      <c r="D73" s="3"/>
      <c r="E73" s="3"/>
      <c r="F73" s="3"/>
      <c r="G73" s="3"/>
      <c r="H73" s="3"/>
      <c r="I73" s="476" t="s">
        <v>300</v>
      </c>
      <c r="J73" s="3"/>
      <c r="K73" s="474"/>
      <c r="L73" s="474"/>
    </row>
    <row r="74" spans="1:12" s="463" customFormat="1" ht="20.25" customHeight="1">
      <c r="A74" s="3"/>
      <c r="B74" s="3"/>
      <c r="C74" s="3"/>
      <c r="D74" s="477" t="s">
        <v>351</v>
      </c>
      <c r="E74" s="526"/>
      <c r="F74" s="527" t="s">
        <v>460</v>
      </c>
      <c r="G74" s="526"/>
      <c r="H74" s="526"/>
      <c r="I74" s="479">
        <v>2461000</v>
      </c>
      <c r="J74" s="3"/>
      <c r="K74" s="474"/>
      <c r="L74" s="474"/>
    </row>
    <row r="75" spans="1:12" s="463" customFormat="1" ht="20.25" customHeight="1">
      <c r="A75" s="3"/>
      <c r="B75" s="3"/>
      <c r="C75" s="3"/>
      <c r="D75" s="3"/>
      <c r="E75" s="3"/>
      <c r="F75" s="3"/>
      <c r="G75" s="3"/>
      <c r="H75" s="3"/>
      <c r="I75" s="3"/>
      <c r="J75" s="3"/>
      <c r="K75" s="474"/>
      <c r="L75" s="474"/>
    </row>
    <row r="76" spans="1:12" s="463" customFormat="1" ht="20.25" customHeight="1">
      <c r="A76" s="3"/>
      <c r="B76" s="3"/>
      <c r="C76" s="3"/>
      <c r="D76" s="3"/>
      <c r="E76" s="3"/>
      <c r="F76" s="4"/>
      <c r="G76" s="481"/>
      <c r="H76" s="3"/>
      <c r="I76" s="3"/>
      <c r="J76" s="3"/>
      <c r="K76" s="474"/>
      <c r="L76" s="474"/>
    </row>
    <row r="77" spans="1:12" s="463" customFormat="1" ht="20.25" customHeight="1">
      <c r="A77" s="3"/>
      <c r="B77" s="3"/>
      <c r="C77" s="3" t="s">
        <v>461</v>
      </c>
      <c r="D77" s="3"/>
      <c r="E77" s="3"/>
      <c r="F77" s="4"/>
      <c r="G77" s="481"/>
      <c r="H77" s="3"/>
      <c r="I77" s="3"/>
      <c r="J77" s="3"/>
      <c r="K77" s="474"/>
      <c r="L77" s="474"/>
    </row>
    <row r="78" spans="1:12" s="463" customFormat="1" ht="20.25" customHeight="1">
      <c r="A78" s="3"/>
      <c r="B78" s="3"/>
      <c r="C78" s="3"/>
      <c r="D78" s="3" t="s">
        <v>462</v>
      </c>
      <c r="E78" s="3"/>
      <c r="F78" s="4"/>
      <c r="G78" s="481"/>
      <c r="H78" s="3"/>
      <c r="I78" s="3"/>
      <c r="J78" s="3"/>
      <c r="K78" s="474"/>
      <c r="L78" s="474"/>
    </row>
    <row r="79" spans="1:12" s="463" customFormat="1" ht="20.25" customHeight="1">
      <c r="A79" s="3"/>
      <c r="B79" s="3"/>
      <c r="C79" s="3"/>
      <c r="D79" s="3"/>
      <c r="E79" s="3"/>
      <c r="F79" s="4"/>
      <c r="G79" s="481"/>
      <c r="H79" s="3"/>
      <c r="I79" s="476" t="s">
        <v>300</v>
      </c>
      <c r="J79" s="3"/>
      <c r="K79" s="474"/>
      <c r="L79" s="474"/>
    </row>
    <row r="80" spans="1:12" s="463" customFormat="1" ht="20.25" customHeight="1">
      <c r="A80" s="3"/>
      <c r="B80" s="3"/>
      <c r="C80" s="3"/>
      <c r="D80" s="484"/>
      <c r="E80" s="485" t="s">
        <v>109</v>
      </c>
      <c r="F80" s="485"/>
      <c r="G80" s="485"/>
      <c r="H80" s="485"/>
      <c r="I80" s="509">
        <v>296359000</v>
      </c>
      <c r="J80" s="3"/>
      <c r="K80" s="474"/>
      <c r="L80" s="474"/>
    </row>
    <row r="81" spans="1:12" s="463" customFormat="1" ht="20.25" customHeight="1">
      <c r="A81" s="3"/>
      <c r="B81" s="3"/>
      <c r="C81" s="3"/>
      <c r="D81" s="488"/>
      <c r="E81" s="489" t="s">
        <v>463</v>
      </c>
      <c r="F81" s="528"/>
      <c r="G81" s="529"/>
      <c r="H81" s="529"/>
      <c r="I81" s="498">
        <v>293236834</v>
      </c>
      <c r="J81" s="3"/>
      <c r="K81" s="474"/>
      <c r="L81" s="474"/>
    </row>
    <row r="82" spans="1:12" s="463" customFormat="1" ht="20.25" customHeight="1">
      <c r="A82" s="3"/>
      <c r="B82" s="3"/>
      <c r="C82" s="3"/>
      <c r="D82" s="493"/>
      <c r="E82" s="518" t="s">
        <v>464</v>
      </c>
      <c r="F82" s="494" t="s">
        <v>465</v>
      </c>
      <c r="G82" s="495"/>
      <c r="H82" s="521"/>
      <c r="I82" s="498">
        <v>296359000</v>
      </c>
      <c r="J82" s="3"/>
      <c r="K82" s="474"/>
      <c r="L82" s="474"/>
    </row>
    <row r="83" spans="1:12" s="463" customFormat="1" ht="20.25" customHeight="1">
      <c r="A83" s="3"/>
      <c r="B83" s="3"/>
      <c r="C83" s="3"/>
      <c r="D83" s="493"/>
      <c r="E83" s="499"/>
      <c r="F83" s="494" t="s">
        <v>466</v>
      </c>
      <c r="G83" s="495"/>
      <c r="H83" s="495"/>
      <c r="I83" s="498">
        <v>0</v>
      </c>
      <c r="J83" s="3"/>
      <c r="K83" s="474"/>
      <c r="L83" s="474"/>
    </row>
    <row r="84" spans="1:12" s="463" customFormat="1" ht="20.25" customHeight="1">
      <c r="A84" s="3"/>
      <c r="B84" s="3"/>
      <c r="C84" s="3"/>
      <c r="D84" s="502"/>
      <c r="E84" s="504"/>
      <c r="F84" s="505" t="s">
        <v>467</v>
      </c>
      <c r="G84" s="514"/>
      <c r="H84" s="514"/>
      <c r="I84" s="506">
        <v>3122166</v>
      </c>
      <c r="J84" s="3"/>
      <c r="K84" s="474"/>
      <c r="L84" s="474"/>
    </row>
    <row r="85" spans="1:12" s="463" customFormat="1" ht="20.25" customHeight="1">
      <c r="A85" s="3"/>
      <c r="B85" s="3"/>
      <c r="C85" s="3"/>
      <c r="D85" s="3"/>
      <c r="E85" s="3"/>
      <c r="F85" s="4"/>
      <c r="G85" s="481"/>
      <c r="H85" s="3"/>
      <c r="I85" s="481"/>
      <c r="J85" s="3"/>
      <c r="K85" s="474"/>
      <c r="L85" s="474"/>
    </row>
    <row r="86" spans="1:12" s="463" customFormat="1" ht="20.25" customHeight="1">
      <c r="A86" s="3"/>
      <c r="B86" s="3"/>
      <c r="C86" s="3"/>
      <c r="D86" s="3"/>
      <c r="E86" s="3"/>
      <c r="F86" s="4"/>
      <c r="G86" s="481"/>
      <c r="H86" s="3"/>
      <c r="I86" s="3"/>
      <c r="J86" s="3"/>
      <c r="K86" s="474"/>
      <c r="L86" s="474"/>
    </row>
    <row r="87" spans="1:12" s="463" customFormat="1" ht="20.25" customHeight="1">
      <c r="A87" s="3"/>
      <c r="B87" s="3"/>
      <c r="C87" s="3" t="s">
        <v>468</v>
      </c>
      <c r="D87" s="3"/>
      <c r="E87" s="3"/>
      <c r="F87" s="4"/>
      <c r="G87" s="481"/>
      <c r="H87" s="3"/>
      <c r="I87" s="3"/>
      <c r="J87" s="3"/>
      <c r="K87" s="474"/>
      <c r="L87" s="474"/>
    </row>
    <row r="88" spans="1:12" s="463" customFormat="1" ht="20.25" customHeight="1">
      <c r="A88" s="3"/>
      <c r="B88" s="3"/>
      <c r="C88" s="3"/>
      <c r="D88" s="3" t="s">
        <v>462</v>
      </c>
      <c r="E88" s="3"/>
      <c r="F88" s="4"/>
      <c r="G88" s="481"/>
      <c r="H88" s="3"/>
      <c r="I88" s="3"/>
      <c r="J88" s="3"/>
      <c r="K88" s="474"/>
      <c r="L88" s="474"/>
    </row>
    <row r="89" spans="1:12" s="463" customFormat="1" ht="20.25" customHeight="1">
      <c r="A89" s="3"/>
      <c r="B89" s="3"/>
      <c r="C89" s="3"/>
      <c r="D89" s="3"/>
      <c r="E89" s="3"/>
      <c r="F89" s="4"/>
      <c r="G89" s="481"/>
      <c r="H89" s="3"/>
      <c r="I89" s="476" t="s">
        <v>300</v>
      </c>
      <c r="J89" s="3"/>
      <c r="K89" s="474"/>
      <c r="L89" s="474"/>
    </row>
    <row r="90" spans="1:12" s="463" customFormat="1" ht="20.25" customHeight="1">
      <c r="A90" s="3"/>
      <c r="B90" s="3"/>
      <c r="C90" s="3"/>
      <c r="D90" s="484"/>
      <c r="E90" s="485" t="s">
        <v>109</v>
      </c>
      <c r="F90" s="485"/>
      <c r="G90" s="485"/>
      <c r="H90" s="485"/>
      <c r="I90" s="509">
        <v>3020000</v>
      </c>
      <c r="J90" s="3"/>
      <c r="K90" s="474"/>
      <c r="L90" s="474"/>
    </row>
    <row r="91" spans="1:12" s="463" customFormat="1" ht="20.25" customHeight="1">
      <c r="A91" s="3"/>
      <c r="B91" s="3"/>
      <c r="C91" s="3"/>
      <c r="D91" s="488"/>
      <c r="E91" s="489" t="s">
        <v>463</v>
      </c>
      <c r="F91" s="528"/>
      <c r="G91" s="529"/>
      <c r="H91" s="529"/>
      <c r="I91" s="498">
        <v>2629623</v>
      </c>
      <c r="J91" s="3"/>
      <c r="K91" s="474"/>
      <c r="L91" s="474"/>
    </row>
    <row r="92" spans="1:12" s="463" customFormat="1" ht="20.25" customHeight="1">
      <c r="A92" s="3"/>
      <c r="B92" s="3"/>
      <c r="C92" s="3"/>
      <c r="D92" s="493"/>
      <c r="E92" s="518" t="s">
        <v>469</v>
      </c>
      <c r="F92" s="494" t="s">
        <v>465</v>
      </c>
      <c r="G92" s="495"/>
      <c r="H92" s="521"/>
      <c r="I92" s="498">
        <v>3020000</v>
      </c>
      <c r="J92" s="3"/>
      <c r="K92" s="474"/>
      <c r="L92" s="474"/>
    </row>
    <row r="93" spans="1:12" s="463" customFormat="1" ht="20.25" customHeight="1">
      <c r="A93" s="3"/>
      <c r="B93" s="3"/>
      <c r="C93" s="3"/>
      <c r="D93" s="493"/>
      <c r="E93" s="499"/>
      <c r="F93" s="494" t="s">
        <v>466</v>
      </c>
      <c r="G93" s="495"/>
      <c r="H93" s="495"/>
      <c r="I93" s="530">
        <v>0</v>
      </c>
      <c r="J93" s="3"/>
      <c r="K93" s="474"/>
      <c r="L93" s="474"/>
    </row>
    <row r="94" spans="1:12" s="463" customFormat="1" ht="20.25" customHeight="1">
      <c r="A94" s="3"/>
      <c r="B94" s="3"/>
      <c r="C94" s="3"/>
      <c r="D94" s="502"/>
      <c r="E94" s="504"/>
      <c r="F94" s="505" t="s">
        <v>467</v>
      </c>
      <c r="G94" s="514"/>
      <c r="H94" s="514"/>
      <c r="I94" s="506">
        <v>390377</v>
      </c>
      <c r="J94" s="3"/>
      <c r="K94" s="474"/>
      <c r="L94" s="474"/>
    </row>
    <row r="95" spans="1:12" s="463" customFormat="1" ht="20.25" customHeight="1">
      <c r="A95" s="3"/>
      <c r="B95" s="3"/>
      <c r="C95" s="3"/>
      <c r="D95" s="3"/>
      <c r="E95" s="3"/>
      <c r="F95" s="4"/>
      <c r="G95" s="481"/>
      <c r="H95" s="3"/>
      <c r="I95" s="481"/>
      <c r="J95" s="3"/>
      <c r="K95" s="474"/>
      <c r="L95" s="474"/>
    </row>
    <row r="96" spans="1:12" s="463" customFormat="1" ht="20.25" customHeight="1">
      <c r="A96" s="3"/>
      <c r="B96" s="3"/>
      <c r="C96" s="3"/>
      <c r="D96" s="3"/>
      <c r="E96" s="3"/>
      <c r="F96" s="4"/>
      <c r="G96" s="481"/>
      <c r="H96" s="3"/>
      <c r="I96" s="3"/>
      <c r="J96" s="481"/>
      <c r="K96" s="474"/>
      <c r="L96" s="474"/>
    </row>
    <row r="97" spans="1:12" s="463" customFormat="1" ht="20.25" customHeight="1">
      <c r="A97" s="3"/>
      <c r="B97" s="4" t="s">
        <v>470</v>
      </c>
      <c r="C97" s="3"/>
      <c r="D97" s="3"/>
      <c r="E97" s="3"/>
      <c r="F97" s="4"/>
      <c r="G97" s="481"/>
      <c r="H97" s="3"/>
      <c r="I97" s="3"/>
      <c r="J97" s="481"/>
      <c r="K97" s="474"/>
      <c r="L97" s="474"/>
    </row>
    <row r="98" spans="1:12" s="463" customFormat="1" ht="20.25" customHeight="1">
      <c r="A98" s="3"/>
      <c r="B98" s="3"/>
      <c r="C98" s="3" t="s">
        <v>471</v>
      </c>
      <c r="D98" s="3"/>
      <c r="E98" s="3"/>
      <c r="F98" s="4"/>
      <c r="G98" s="481"/>
      <c r="H98" s="3"/>
      <c r="I98" s="3"/>
      <c r="J98" s="481"/>
      <c r="K98" s="474"/>
      <c r="L98" s="474"/>
    </row>
    <row r="99" spans="1:12" s="463" customFormat="1" ht="20.25" customHeight="1">
      <c r="A99" s="3"/>
      <c r="B99" s="3"/>
      <c r="C99" s="3"/>
      <c r="D99" s="3"/>
      <c r="E99" s="3"/>
      <c r="F99" s="4"/>
      <c r="G99" s="481"/>
      <c r="H99" s="3"/>
      <c r="I99" s="3"/>
      <c r="J99" s="476" t="s">
        <v>300</v>
      </c>
      <c r="K99" s="474"/>
      <c r="L99" s="474"/>
    </row>
    <row r="100" spans="1:12" s="463" customFormat="1" ht="20.25" customHeight="1">
      <c r="A100" s="3"/>
      <c r="B100" s="3"/>
      <c r="C100" s="3"/>
      <c r="D100" s="3"/>
      <c r="E100" s="3"/>
      <c r="F100" s="3"/>
      <c r="G100" s="3"/>
      <c r="H100" s="3"/>
      <c r="I100" s="531" t="s">
        <v>472</v>
      </c>
      <c r="J100" s="531" t="s">
        <v>416</v>
      </c>
      <c r="K100" s="474"/>
      <c r="L100" s="474"/>
    </row>
    <row r="101" spans="1:12" s="463" customFormat="1" ht="20.25" customHeight="1">
      <c r="A101" s="3"/>
      <c r="B101" s="3"/>
      <c r="C101" s="3"/>
      <c r="D101" s="507" t="s">
        <v>109</v>
      </c>
      <c r="E101" s="508"/>
      <c r="F101" s="508"/>
      <c r="G101" s="508"/>
      <c r="H101" s="508"/>
      <c r="I101" s="509">
        <v>0</v>
      </c>
      <c r="J101" s="509">
        <v>11429659</v>
      </c>
      <c r="K101" s="3"/>
      <c r="L101" s="3"/>
    </row>
    <row r="102" spans="1:12" s="463" customFormat="1" ht="20.25" customHeight="1">
      <c r="A102" s="3"/>
      <c r="B102" s="3"/>
      <c r="C102" s="3"/>
      <c r="D102" s="493"/>
      <c r="E102" s="490" t="s">
        <v>434</v>
      </c>
      <c r="F102" s="500" t="s">
        <v>473</v>
      </c>
      <c r="G102" s="501"/>
      <c r="H102" s="522"/>
      <c r="I102" s="532">
        <v>0</v>
      </c>
      <c r="J102" s="533"/>
      <c r="K102" s="3"/>
      <c r="L102" s="3"/>
    </row>
    <row r="103" spans="1:12" s="463" customFormat="1" ht="20.25" customHeight="1">
      <c r="A103" s="3"/>
      <c r="B103" s="3"/>
      <c r="C103" s="3"/>
      <c r="D103" s="493"/>
      <c r="E103" s="490"/>
      <c r="F103" s="494" t="s">
        <v>474</v>
      </c>
      <c r="G103" s="495"/>
      <c r="H103" s="497" t="s">
        <v>439</v>
      </c>
      <c r="I103" s="534">
        <v>0</v>
      </c>
      <c r="J103" s="535"/>
      <c r="K103" s="3"/>
      <c r="L103" s="3"/>
    </row>
    <row r="104" spans="1:12" s="463" customFormat="1" ht="20.25" customHeight="1">
      <c r="A104" s="3"/>
      <c r="B104" s="3"/>
      <c r="C104" s="3"/>
      <c r="D104" s="493"/>
      <c r="E104" s="490"/>
      <c r="F104" s="499"/>
      <c r="G104" s="490"/>
      <c r="H104" s="497" t="s">
        <v>440</v>
      </c>
      <c r="I104" s="534">
        <v>0</v>
      </c>
      <c r="J104" s="535"/>
      <c r="K104" s="3"/>
      <c r="L104" s="3"/>
    </row>
    <row r="105" spans="1:12" s="463" customFormat="1" ht="20.25" customHeight="1">
      <c r="A105" s="3"/>
      <c r="B105" s="3"/>
      <c r="C105" s="3"/>
      <c r="D105" s="493"/>
      <c r="E105" s="490"/>
      <c r="F105" s="499"/>
      <c r="G105" s="490"/>
      <c r="H105" s="497" t="s">
        <v>441</v>
      </c>
      <c r="I105" s="534">
        <v>0</v>
      </c>
      <c r="J105" s="535"/>
      <c r="K105" s="3"/>
      <c r="L105" s="3"/>
    </row>
    <row r="106" spans="1:12" s="463" customFormat="1" ht="20.25" customHeight="1">
      <c r="A106" s="3"/>
      <c r="B106" s="3"/>
      <c r="C106" s="3"/>
      <c r="D106" s="493"/>
      <c r="E106" s="490"/>
      <c r="F106" s="499"/>
      <c r="G106" s="490"/>
      <c r="H106" s="497" t="s">
        <v>442</v>
      </c>
      <c r="I106" s="534">
        <v>0</v>
      </c>
      <c r="J106" s="535"/>
      <c r="K106" s="3"/>
      <c r="L106" s="3"/>
    </row>
    <row r="107" spans="1:12" s="463" customFormat="1" ht="20.25" customHeight="1">
      <c r="A107" s="3"/>
      <c r="B107" s="3"/>
      <c r="C107" s="3"/>
      <c r="D107" s="493"/>
      <c r="E107" s="490"/>
      <c r="F107" s="500"/>
      <c r="G107" s="501"/>
      <c r="H107" s="497" t="s">
        <v>443</v>
      </c>
      <c r="I107" s="534">
        <v>0</v>
      </c>
      <c r="J107" s="535"/>
      <c r="K107" s="3"/>
      <c r="L107" s="3"/>
    </row>
    <row r="108" spans="1:12" s="463" customFormat="1" ht="20.25" customHeight="1">
      <c r="A108" s="3"/>
      <c r="B108" s="3"/>
      <c r="C108" s="3"/>
      <c r="D108" s="493"/>
      <c r="E108" s="490"/>
      <c r="F108" s="499" t="s">
        <v>444</v>
      </c>
      <c r="G108" s="490"/>
      <c r="H108" s="522"/>
      <c r="I108" s="533"/>
      <c r="J108" s="491">
        <v>11429659</v>
      </c>
      <c r="K108" s="3"/>
      <c r="L108" s="3"/>
    </row>
    <row r="109" spans="1:12" s="463" customFormat="1" ht="20.25" customHeight="1">
      <c r="A109" s="3"/>
      <c r="B109" s="3"/>
      <c r="C109" s="3"/>
      <c r="D109" s="493"/>
      <c r="E109" s="490"/>
      <c r="F109" s="494" t="s">
        <v>445</v>
      </c>
      <c r="G109" s="495"/>
      <c r="H109" s="497" t="s">
        <v>439</v>
      </c>
      <c r="I109" s="535"/>
      <c r="J109" s="498">
        <v>0</v>
      </c>
      <c r="K109" s="3"/>
      <c r="L109" s="3"/>
    </row>
    <row r="110" spans="1:12" s="463" customFormat="1" ht="20.25" customHeight="1">
      <c r="A110" s="3"/>
      <c r="B110" s="3"/>
      <c r="C110" s="3"/>
      <c r="D110" s="493"/>
      <c r="E110" s="490"/>
      <c r="F110" s="499"/>
      <c r="G110" s="490"/>
      <c r="H110" s="497" t="s">
        <v>440</v>
      </c>
      <c r="I110" s="535"/>
      <c r="J110" s="498">
        <v>0</v>
      </c>
      <c r="K110" s="3"/>
      <c r="L110" s="3"/>
    </row>
    <row r="111" spans="1:12" s="463" customFormat="1" ht="20.25" customHeight="1">
      <c r="A111" s="3"/>
      <c r="B111" s="3"/>
      <c r="C111" s="3"/>
      <c r="D111" s="493"/>
      <c r="E111" s="490"/>
      <c r="F111" s="499"/>
      <c r="G111" s="490"/>
      <c r="H111" s="497" t="s">
        <v>441</v>
      </c>
      <c r="I111" s="535"/>
      <c r="J111" s="498">
        <v>0</v>
      </c>
      <c r="K111" s="3"/>
      <c r="L111" s="3"/>
    </row>
    <row r="112" spans="1:12" s="463" customFormat="1" ht="20.25" customHeight="1">
      <c r="A112" s="3"/>
      <c r="B112" s="3"/>
      <c r="C112" s="3"/>
      <c r="D112" s="493"/>
      <c r="E112" s="490"/>
      <c r="F112" s="499"/>
      <c r="G112" s="490"/>
      <c r="H112" s="497" t="s">
        <v>442</v>
      </c>
      <c r="I112" s="535"/>
      <c r="J112" s="498">
        <v>0</v>
      </c>
      <c r="K112" s="3"/>
      <c r="L112" s="3"/>
    </row>
    <row r="113" spans="1:13" s="463" customFormat="1" ht="20.25" customHeight="1">
      <c r="A113" s="3"/>
      <c r="B113" s="3"/>
      <c r="C113" s="3"/>
      <c r="D113" s="493"/>
      <c r="E113" s="503"/>
      <c r="F113" s="504"/>
      <c r="G113" s="503"/>
      <c r="H113" s="505" t="s">
        <v>443</v>
      </c>
      <c r="I113" s="536"/>
      <c r="J113" s="506">
        <v>0</v>
      </c>
      <c r="K113" s="3"/>
      <c r="L113" s="3"/>
    </row>
    <row r="114" spans="1:13" s="463" customFormat="1" ht="20.25" customHeight="1">
      <c r="A114" s="3"/>
      <c r="B114" s="3"/>
      <c r="C114" s="3"/>
      <c r="D114" s="537"/>
      <c r="E114" s="3"/>
      <c r="F114" s="3"/>
      <c r="G114" s="481"/>
      <c r="H114" s="3"/>
      <c r="I114" s="3"/>
      <c r="J114" s="467"/>
      <c r="K114" s="3"/>
      <c r="L114" s="3"/>
    </row>
    <row r="115" spans="1:13" s="463" customFormat="1" ht="20.25" customHeight="1">
      <c r="A115" s="3"/>
      <c r="B115" s="3"/>
      <c r="C115" s="3"/>
      <c r="D115" s="3"/>
      <c r="E115" s="3"/>
      <c r="F115" s="3"/>
      <c r="G115" s="481"/>
      <c r="H115" s="3"/>
      <c r="I115" s="3"/>
      <c r="J115" s="467"/>
      <c r="K115" s="3"/>
      <c r="L115" s="3"/>
    </row>
    <row r="116" spans="1:13" s="463" customFormat="1" ht="20.25" customHeight="1">
      <c r="A116" s="3"/>
      <c r="B116" s="3"/>
      <c r="C116" s="3" t="s">
        <v>475</v>
      </c>
      <c r="D116" s="3"/>
      <c r="E116" s="3"/>
      <c r="F116" s="3"/>
      <c r="G116" s="481"/>
      <c r="H116" s="3"/>
      <c r="I116" s="3"/>
      <c r="J116" s="467"/>
      <c r="K116" s="3"/>
      <c r="L116" s="3"/>
    </row>
    <row r="117" spans="1:13" s="463" customFormat="1" ht="20.25" customHeight="1">
      <c r="A117" s="3"/>
      <c r="B117" s="3"/>
      <c r="C117" s="3"/>
      <c r="D117" s="3"/>
      <c r="E117" s="3"/>
      <c r="F117" s="3"/>
      <c r="G117" s="481"/>
      <c r="H117" s="3"/>
      <c r="I117" s="3"/>
      <c r="J117" s="476" t="s">
        <v>300</v>
      </c>
      <c r="K117" s="3"/>
      <c r="L117" s="3"/>
    </row>
    <row r="118" spans="1:13" s="463" customFormat="1" ht="20.25" customHeight="1">
      <c r="A118" s="3"/>
      <c r="B118" s="3"/>
      <c r="C118" s="3"/>
      <c r="D118" s="3"/>
      <c r="E118" s="3"/>
      <c r="F118" s="3"/>
      <c r="G118" s="481"/>
      <c r="H118" s="3"/>
      <c r="I118" s="531" t="s">
        <v>472</v>
      </c>
      <c r="J118" s="531" t="s">
        <v>416</v>
      </c>
      <c r="K118" s="3"/>
      <c r="L118" s="3"/>
    </row>
    <row r="119" spans="1:13" s="463" customFormat="1" ht="20.25" customHeight="1">
      <c r="A119" s="3"/>
      <c r="B119" s="3"/>
      <c r="C119" s="3"/>
      <c r="D119" s="507" t="s">
        <v>109</v>
      </c>
      <c r="E119" s="508"/>
      <c r="F119" s="508"/>
      <c r="G119" s="508"/>
      <c r="H119" s="508"/>
      <c r="I119" s="538"/>
      <c r="J119" s="509">
        <v>0</v>
      </c>
      <c r="K119" s="3"/>
      <c r="L119" s="3"/>
    </row>
    <row r="120" spans="1:13" s="463" customFormat="1" ht="20.25" customHeight="1">
      <c r="A120" s="3"/>
      <c r="B120" s="3"/>
      <c r="C120" s="3"/>
      <c r="D120" s="493"/>
      <c r="E120" s="524" t="s">
        <v>476</v>
      </c>
      <c r="F120" s="497" t="s">
        <v>444</v>
      </c>
      <c r="G120" s="521"/>
      <c r="H120" s="522"/>
      <c r="I120" s="535"/>
      <c r="J120" s="498">
        <v>0</v>
      </c>
      <c r="K120" s="3"/>
      <c r="L120" s="3"/>
    </row>
    <row r="121" spans="1:13" s="463" customFormat="1" ht="20.25" customHeight="1">
      <c r="A121" s="3"/>
      <c r="B121" s="3"/>
      <c r="C121" s="3"/>
      <c r="D121" s="493"/>
      <c r="E121" s="490"/>
      <c r="F121" s="499" t="s">
        <v>445</v>
      </c>
      <c r="G121" s="524"/>
      <c r="H121" s="510" t="s">
        <v>439</v>
      </c>
      <c r="I121" s="533"/>
      <c r="J121" s="491">
        <v>0</v>
      </c>
      <c r="K121" s="3"/>
      <c r="L121" s="3"/>
    </row>
    <row r="122" spans="1:13" s="463" customFormat="1" ht="20.25" customHeight="1">
      <c r="A122" s="3"/>
      <c r="B122" s="3"/>
      <c r="C122" s="3"/>
      <c r="D122" s="493"/>
      <c r="E122" s="490"/>
      <c r="F122" s="499"/>
      <c r="G122" s="539"/>
      <c r="H122" s="540" t="s">
        <v>440</v>
      </c>
      <c r="I122" s="541"/>
      <c r="J122" s="542">
        <v>0</v>
      </c>
      <c r="K122" s="543"/>
      <c r="L122" s="543"/>
      <c r="M122" s="544"/>
    </row>
    <row r="123" spans="1:13" s="463" customFormat="1" ht="20.25" customHeight="1">
      <c r="A123" s="3"/>
      <c r="B123" s="3"/>
      <c r="C123" s="3"/>
      <c r="D123" s="493"/>
      <c r="E123" s="490"/>
      <c r="F123" s="499"/>
      <c r="G123" s="539"/>
      <c r="H123" s="540" t="s">
        <v>441</v>
      </c>
      <c r="I123" s="541"/>
      <c r="J123" s="542">
        <v>0</v>
      </c>
      <c r="K123" s="543"/>
      <c r="L123" s="543"/>
      <c r="M123" s="544"/>
    </row>
    <row r="124" spans="1:13" s="463" customFormat="1" ht="20.25" customHeight="1">
      <c r="A124" s="3"/>
      <c r="B124" s="3"/>
      <c r="C124" s="3"/>
      <c r="D124" s="493"/>
      <c r="E124" s="490"/>
      <c r="F124" s="499"/>
      <c r="G124" s="539"/>
      <c r="H124" s="540" t="s">
        <v>442</v>
      </c>
      <c r="I124" s="541"/>
      <c r="J124" s="542">
        <v>0</v>
      </c>
      <c r="K124" s="543"/>
      <c r="L124" s="543"/>
      <c r="M124" s="544"/>
    </row>
    <row r="125" spans="1:13" s="463" customFormat="1" ht="20.25" customHeight="1">
      <c r="A125" s="3"/>
      <c r="B125" s="3"/>
      <c r="C125" s="3"/>
      <c r="D125" s="493"/>
      <c r="E125" s="490"/>
      <c r="F125" s="497" t="s">
        <v>477</v>
      </c>
      <c r="G125" s="545"/>
      <c r="H125" s="540"/>
      <c r="I125" s="546"/>
      <c r="J125" s="547">
        <v>0</v>
      </c>
      <c r="K125" s="543"/>
      <c r="L125" s="543"/>
      <c r="M125" s="544"/>
    </row>
    <row r="126" spans="1:13" s="463" customFormat="1" ht="20.25" customHeight="1">
      <c r="A126" s="3"/>
      <c r="B126" s="3"/>
      <c r="C126" s="3"/>
      <c r="D126" s="493"/>
      <c r="E126" s="490"/>
      <c r="F126" s="499" t="s">
        <v>478</v>
      </c>
      <c r="G126" s="539"/>
      <c r="H126" s="548" t="s">
        <v>439</v>
      </c>
      <c r="I126" s="541"/>
      <c r="J126" s="542">
        <v>0</v>
      </c>
      <c r="K126" s="543"/>
      <c r="L126" s="543"/>
      <c r="M126" s="544"/>
    </row>
    <row r="127" spans="1:13" s="463" customFormat="1" ht="20.25" customHeight="1">
      <c r="A127" s="3"/>
      <c r="B127" s="3"/>
      <c r="C127" s="3"/>
      <c r="D127" s="493"/>
      <c r="E127" s="490"/>
      <c r="F127" s="499"/>
      <c r="G127" s="539"/>
      <c r="H127" s="540" t="s">
        <v>440</v>
      </c>
      <c r="I127" s="541"/>
      <c r="J127" s="542">
        <v>0</v>
      </c>
      <c r="K127" s="543"/>
      <c r="L127" s="543"/>
      <c r="M127" s="544"/>
    </row>
    <row r="128" spans="1:13" s="463" customFormat="1" ht="20.25" customHeight="1">
      <c r="A128" s="3"/>
      <c r="B128" s="3"/>
      <c r="C128" s="3"/>
      <c r="D128" s="493"/>
      <c r="E128" s="490"/>
      <c r="F128" s="499"/>
      <c r="G128" s="539"/>
      <c r="H128" s="540" t="s">
        <v>441</v>
      </c>
      <c r="I128" s="541"/>
      <c r="J128" s="542">
        <v>0</v>
      </c>
      <c r="K128" s="543"/>
      <c r="L128" s="543"/>
      <c r="M128" s="544"/>
    </row>
    <row r="129" spans="1:13" s="463" customFormat="1" ht="20.25" customHeight="1">
      <c r="A129" s="3"/>
      <c r="B129" s="3"/>
      <c r="C129" s="3"/>
      <c r="D129" s="502"/>
      <c r="E129" s="503"/>
      <c r="F129" s="504"/>
      <c r="G129" s="549"/>
      <c r="H129" s="550" t="s">
        <v>442</v>
      </c>
      <c r="I129" s="551"/>
      <c r="J129" s="552">
        <v>0</v>
      </c>
      <c r="K129" s="543"/>
      <c r="L129" s="543"/>
      <c r="M129" s="544"/>
    </row>
    <row r="130" spans="1:13" s="463" customFormat="1" ht="20.25" customHeight="1">
      <c r="A130" s="3"/>
      <c r="B130" s="3"/>
      <c r="C130" s="3"/>
      <c r="D130" s="3"/>
      <c r="E130" s="3"/>
      <c r="F130" s="3"/>
      <c r="G130" s="553"/>
      <c r="H130" s="543"/>
      <c r="I130" s="543"/>
      <c r="J130" s="554"/>
      <c r="K130" s="543"/>
      <c r="L130" s="543"/>
      <c r="M130" s="544"/>
    </row>
    <row r="131" spans="1:13" s="463" customFormat="1" ht="20.25" customHeight="1">
      <c r="A131" s="3"/>
      <c r="B131" s="3"/>
      <c r="C131" s="3"/>
      <c r="D131" s="3"/>
      <c r="E131" s="3"/>
      <c r="F131" s="3"/>
      <c r="G131" s="553"/>
      <c r="H131" s="543"/>
      <c r="I131" s="543"/>
      <c r="J131" s="554"/>
      <c r="K131" s="543"/>
      <c r="L131" s="543"/>
      <c r="M131" s="544"/>
    </row>
    <row r="132" spans="1:13" s="463" customFormat="1" ht="20.25" customHeight="1">
      <c r="A132" s="3"/>
      <c r="B132" s="3"/>
      <c r="C132" s="3" t="s">
        <v>479</v>
      </c>
      <c r="D132" s="3"/>
      <c r="E132" s="3"/>
      <c r="F132" s="3"/>
      <c r="G132" s="553"/>
      <c r="H132" s="543"/>
      <c r="I132" s="543"/>
      <c r="J132" s="554"/>
      <c r="K132" s="543"/>
      <c r="L132" s="543"/>
      <c r="M132" s="544"/>
    </row>
    <row r="133" spans="1:13" s="463" customFormat="1" ht="20.25" customHeight="1">
      <c r="A133" s="3"/>
      <c r="B133" s="3"/>
      <c r="C133" s="3"/>
      <c r="D133" s="3"/>
      <c r="E133" s="3"/>
      <c r="F133" s="3"/>
      <c r="G133" s="553"/>
      <c r="H133" s="543"/>
      <c r="I133" s="543"/>
      <c r="J133" s="555" t="s">
        <v>300</v>
      </c>
      <c r="K133" s="543"/>
      <c r="L133" s="543"/>
      <c r="M133" s="544"/>
    </row>
    <row r="134" spans="1:13" s="463" customFormat="1" ht="20.25" customHeight="1">
      <c r="A134" s="3"/>
      <c r="B134" s="3"/>
      <c r="C134" s="3"/>
      <c r="D134" s="3"/>
      <c r="E134" s="3"/>
      <c r="F134" s="3"/>
      <c r="G134" s="553"/>
      <c r="H134" s="543"/>
      <c r="I134" s="556" t="s">
        <v>472</v>
      </c>
      <c r="J134" s="556" t="s">
        <v>416</v>
      </c>
      <c r="K134" s="543"/>
      <c r="L134" s="543"/>
      <c r="M134" s="544"/>
    </row>
    <row r="135" spans="1:13" s="463" customFormat="1" ht="20.25" customHeight="1">
      <c r="A135" s="3"/>
      <c r="B135" s="3"/>
      <c r="C135" s="3"/>
      <c r="D135" s="507" t="s">
        <v>109</v>
      </c>
      <c r="E135" s="508"/>
      <c r="F135" s="508"/>
      <c r="G135" s="557"/>
      <c r="H135" s="557"/>
      <c r="I135" s="558">
        <v>0</v>
      </c>
      <c r="J135" s="558">
        <v>1830964</v>
      </c>
      <c r="K135" s="543"/>
      <c r="L135" s="543"/>
      <c r="M135" s="544"/>
    </row>
    <row r="136" spans="1:13" s="463" customFormat="1" ht="20.25" customHeight="1">
      <c r="A136" s="3"/>
      <c r="B136" s="3"/>
      <c r="C136" s="3"/>
      <c r="D136" s="493"/>
      <c r="E136" s="524" t="s">
        <v>452</v>
      </c>
      <c r="F136" s="499" t="s">
        <v>473</v>
      </c>
      <c r="G136" s="559"/>
      <c r="H136" s="540"/>
      <c r="I136" s="547">
        <v>0</v>
      </c>
      <c r="J136" s="541"/>
      <c r="K136" s="543"/>
      <c r="L136" s="543"/>
      <c r="M136" s="544"/>
    </row>
    <row r="137" spans="1:13" s="463" customFormat="1" ht="20.25" customHeight="1">
      <c r="A137" s="3"/>
      <c r="B137" s="3"/>
      <c r="C137" s="3"/>
      <c r="D137" s="493"/>
      <c r="E137" s="490"/>
      <c r="F137" s="494" t="s">
        <v>474</v>
      </c>
      <c r="G137" s="560"/>
      <c r="H137" s="561" t="s">
        <v>439</v>
      </c>
      <c r="I137" s="547">
        <v>0</v>
      </c>
      <c r="J137" s="546"/>
      <c r="K137" s="543"/>
      <c r="L137" s="543"/>
      <c r="M137" s="544"/>
    </row>
    <row r="138" spans="1:13" s="463" customFormat="1" ht="20.25" customHeight="1">
      <c r="A138" s="3"/>
      <c r="B138" s="3"/>
      <c r="C138" s="3"/>
      <c r="D138" s="493"/>
      <c r="E138" s="490"/>
      <c r="F138" s="499"/>
      <c r="G138" s="562"/>
      <c r="H138" s="561" t="s">
        <v>440</v>
      </c>
      <c r="I138" s="547">
        <v>0</v>
      </c>
      <c r="J138" s="546"/>
      <c r="K138" s="543"/>
      <c r="L138" s="543"/>
      <c r="M138" s="544"/>
    </row>
    <row r="139" spans="1:13" s="463" customFormat="1" ht="20.25" customHeight="1">
      <c r="A139" s="3"/>
      <c r="B139" s="3"/>
      <c r="C139" s="3"/>
      <c r="D139" s="493"/>
      <c r="E139" s="490"/>
      <c r="F139" s="499"/>
      <c r="G139" s="562"/>
      <c r="H139" s="561" t="s">
        <v>441</v>
      </c>
      <c r="I139" s="547">
        <v>0</v>
      </c>
      <c r="J139" s="546"/>
      <c r="K139" s="543"/>
      <c r="L139" s="543"/>
      <c r="M139" s="544"/>
    </row>
    <row r="140" spans="1:13" s="463" customFormat="1" ht="20.25" customHeight="1">
      <c r="A140" s="3"/>
      <c r="B140" s="3"/>
      <c r="C140" s="3"/>
      <c r="D140" s="493"/>
      <c r="E140" s="490"/>
      <c r="F140" s="499"/>
      <c r="G140" s="562"/>
      <c r="H140" s="561" t="s">
        <v>442</v>
      </c>
      <c r="I140" s="547">
        <v>0</v>
      </c>
      <c r="J140" s="546"/>
      <c r="K140" s="543"/>
      <c r="L140" s="543"/>
      <c r="M140" s="544"/>
    </row>
    <row r="141" spans="1:13" s="463" customFormat="1" ht="20.25" customHeight="1">
      <c r="A141" s="3"/>
      <c r="B141" s="3"/>
      <c r="C141" s="3"/>
      <c r="D141" s="493"/>
      <c r="E141" s="490"/>
      <c r="F141" s="500"/>
      <c r="G141" s="559"/>
      <c r="H141" s="561" t="s">
        <v>443</v>
      </c>
      <c r="I141" s="547">
        <v>0</v>
      </c>
      <c r="J141" s="546"/>
      <c r="K141" s="543"/>
      <c r="L141" s="543"/>
      <c r="M141" s="544"/>
    </row>
    <row r="142" spans="1:13" s="463" customFormat="1" ht="20.25" customHeight="1">
      <c r="A142" s="3"/>
      <c r="B142" s="3"/>
      <c r="C142" s="3"/>
      <c r="D142" s="493"/>
      <c r="E142" s="490"/>
      <c r="F142" s="499" t="s">
        <v>444</v>
      </c>
      <c r="G142" s="562"/>
      <c r="H142" s="540"/>
      <c r="I142" s="541"/>
      <c r="J142" s="542">
        <v>1830964</v>
      </c>
      <c r="K142" s="543"/>
      <c r="L142" s="543"/>
      <c r="M142" s="544"/>
    </row>
    <row r="143" spans="1:13" s="463" customFormat="1" ht="20.25" customHeight="1">
      <c r="A143" s="3"/>
      <c r="B143" s="3"/>
      <c r="C143" s="3"/>
      <c r="D143" s="493"/>
      <c r="E143" s="490"/>
      <c r="F143" s="494" t="s">
        <v>445</v>
      </c>
      <c r="G143" s="560"/>
      <c r="H143" s="561" t="s">
        <v>439</v>
      </c>
      <c r="I143" s="546"/>
      <c r="J143" s="542">
        <v>0</v>
      </c>
      <c r="K143" s="543"/>
      <c r="L143" s="543"/>
      <c r="M143" s="544"/>
    </row>
    <row r="144" spans="1:13" s="463" customFormat="1" ht="20.25" customHeight="1">
      <c r="A144" s="3"/>
      <c r="B144" s="3"/>
      <c r="C144" s="3"/>
      <c r="D144" s="493"/>
      <c r="E144" s="490"/>
      <c r="F144" s="499"/>
      <c r="G144" s="562"/>
      <c r="H144" s="561" t="s">
        <v>440</v>
      </c>
      <c r="I144" s="546"/>
      <c r="J144" s="542">
        <v>0</v>
      </c>
      <c r="K144" s="543"/>
      <c r="L144" s="543"/>
      <c r="M144" s="544"/>
    </row>
    <row r="145" spans="1:13" s="463" customFormat="1" ht="20.25" customHeight="1">
      <c r="A145" s="3"/>
      <c r="B145" s="3"/>
      <c r="C145" s="3"/>
      <c r="D145" s="493"/>
      <c r="E145" s="490"/>
      <c r="F145" s="499"/>
      <c r="G145" s="562"/>
      <c r="H145" s="561" t="s">
        <v>441</v>
      </c>
      <c r="I145" s="546"/>
      <c r="J145" s="542">
        <v>0</v>
      </c>
      <c r="K145" s="543"/>
      <c r="L145" s="543"/>
      <c r="M145" s="544"/>
    </row>
    <row r="146" spans="1:13" s="463" customFormat="1" ht="20.25" customHeight="1">
      <c r="A146" s="3"/>
      <c r="B146" s="3"/>
      <c r="C146" s="3"/>
      <c r="D146" s="493"/>
      <c r="E146" s="490"/>
      <c r="F146" s="499"/>
      <c r="G146" s="562"/>
      <c r="H146" s="561" t="s">
        <v>442</v>
      </c>
      <c r="I146" s="546"/>
      <c r="J146" s="542">
        <v>0</v>
      </c>
      <c r="K146" s="543"/>
      <c r="L146" s="543"/>
      <c r="M146" s="544"/>
    </row>
    <row r="147" spans="1:13" s="463" customFormat="1" ht="20.25" customHeight="1">
      <c r="A147" s="3"/>
      <c r="B147" s="3"/>
      <c r="C147" s="3"/>
      <c r="D147" s="502"/>
      <c r="E147" s="503"/>
      <c r="F147" s="504"/>
      <c r="G147" s="563"/>
      <c r="H147" s="564" t="s">
        <v>443</v>
      </c>
      <c r="I147" s="551"/>
      <c r="J147" s="552">
        <v>0</v>
      </c>
      <c r="K147" s="543"/>
      <c r="L147" s="543"/>
      <c r="M147" s="544"/>
    </row>
    <row r="148" spans="1:13" s="463" customFormat="1" ht="20.25" customHeight="1">
      <c r="A148" s="3"/>
      <c r="B148" s="3"/>
      <c r="C148" s="3"/>
      <c r="D148" s="3"/>
      <c r="E148" s="3"/>
      <c r="F148" s="3"/>
      <c r="G148" s="543"/>
      <c r="H148" s="543"/>
      <c r="I148" s="543"/>
      <c r="J148" s="554"/>
      <c r="K148" s="543"/>
      <c r="L148" s="543"/>
      <c r="M148" s="544"/>
    </row>
    <row r="149" spans="1:13" s="463" customFormat="1" ht="20.25" customHeight="1">
      <c r="A149" s="3"/>
      <c r="B149" s="3"/>
      <c r="C149" s="3"/>
      <c r="D149" s="3"/>
      <c r="E149" s="3"/>
      <c r="F149" s="3"/>
      <c r="G149" s="553"/>
      <c r="H149" s="543"/>
      <c r="I149" s="543"/>
      <c r="J149" s="554"/>
      <c r="K149" s="543"/>
      <c r="L149" s="543"/>
      <c r="M149" s="544"/>
    </row>
    <row r="150" spans="1:13" s="463" customFormat="1" ht="20.25" customHeight="1">
      <c r="A150" s="3"/>
      <c r="B150" s="3"/>
      <c r="C150" s="3" t="s">
        <v>480</v>
      </c>
      <c r="D150" s="3"/>
      <c r="E150" s="3"/>
      <c r="F150" s="3"/>
      <c r="G150" s="553"/>
      <c r="H150" s="543"/>
      <c r="I150" s="543"/>
      <c r="J150" s="554"/>
      <c r="K150" s="543"/>
      <c r="L150" s="543"/>
      <c r="M150" s="544"/>
    </row>
    <row r="151" spans="1:13" s="463" customFormat="1" ht="20.25" customHeight="1">
      <c r="A151" s="3"/>
      <c r="B151" s="3"/>
      <c r="C151" s="3"/>
      <c r="D151" s="3"/>
      <c r="E151" s="3"/>
      <c r="F151" s="3"/>
      <c r="G151" s="553"/>
      <c r="H151" s="543"/>
      <c r="I151" s="543"/>
      <c r="J151" s="555" t="s">
        <v>300</v>
      </c>
      <c r="K151" s="543"/>
      <c r="L151" s="543"/>
      <c r="M151" s="544"/>
    </row>
    <row r="152" spans="1:13" s="463" customFormat="1" ht="20.25" customHeight="1">
      <c r="A152" s="3"/>
      <c r="B152" s="3"/>
      <c r="C152" s="3"/>
      <c r="D152" s="3"/>
      <c r="E152" s="3"/>
      <c r="F152" s="3"/>
      <c r="G152" s="543"/>
      <c r="H152" s="543"/>
      <c r="I152" s="556" t="s">
        <v>472</v>
      </c>
      <c r="J152" s="565" t="s">
        <v>416</v>
      </c>
      <c r="K152" s="543"/>
      <c r="L152" s="543"/>
      <c r="M152" s="544"/>
    </row>
    <row r="153" spans="1:13" s="463" customFormat="1" ht="20.25" customHeight="1">
      <c r="A153" s="3"/>
      <c r="B153" s="3"/>
      <c r="C153" s="3"/>
      <c r="D153" s="507" t="s">
        <v>464</v>
      </c>
      <c r="E153" s="566"/>
      <c r="F153" s="567" t="s">
        <v>466</v>
      </c>
      <c r="G153" s="568"/>
      <c r="H153" s="569"/>
      <c r="I153" s="570">
        <v>0</v>
      </c>
      <c r="J153" s="541"/>
      <c r="K153" s="543"/>
      <c r="L153" s="543"/>
      <c r="M153" s="544"/>
    </row>
    <row r="154" spans="1:13" s="463" customFormat="1" ht="20.25" customHeight="1">
      <c r="A154" s="3"/>
      <c r="B154" s="3"/>
      <c r="C154" s="3"/>
      <c r="D154" s="512"/>
      <c r="E154" s="503"/>
      <c r="F154" s="504" t="s">
        <v>467</v>
      </c>
      <c r="G154" s="563"/>
      <c r="H154" s="571"/>
      <c r="I154" s="551"/>
      <c r="J154" s="552">
        <v>3122166</v>
      </c>
      <c r="K154" s="543"/>
      <c r="L154" s="543"/>
      <c r="M154" s="544"/>
    </row>
    <row r="155" spans="1:13" s="463" customFormat="1" ht="20.25" customHeight="1">
      <c r="A155" s="3"/>
      <c r="B155" s="3"/>
      <c r="C155" s="3"/>
      <c r="D155" s="3"/>
      <c r="E155" s="3"/>
      <c r="F155" s="3"/>
      <c r="G155" s="553"/>
      <c r="H155" s="543"/>
      <c r="I155" s="543"/>
      <c r="J155" s="554"/>
      <c r="K155" s="543"/>
      <c r="L155" s="543"/>
      <c r="M155" s="544"/>
    </row>
    <row r="156" spans="1:13" s="463" customFormat="1" ht="20.25" customHeight="1">
      <c r="A156" s="3"/>
      <c r="B156" s="3"/>
      <c r="C156" s="3"/>
      <c r="D156" s="3"/>
      <c r="E156" s="3"/>
      <c r="F156" s="3"/>
      <c r="G156" s="553"/>
      <c r="H156" s="543"/>
      <c r="I156" s="543"/>
      <c r="J156" s="554"/>
      <c r="K156" s="543"/>
      <c r="L156" s="543"/>
      <c r="M156" s="544"/>
    </row>
    <row r="157" spans="1:13" s="463" customFormat="1" ht="20.25" customHeight="1">
      <c r="A157" s="3"/>
      <c r="B157" s="3"/>
      <c r="C157" s="3" t="s">
        <v>481</v>
      </c>
      <c r="D157" s="3"/>
      <c r="E157" s="3"/>
      <c r="F157" s="3"/>
      <c r="G157" s="553"/>
      <c r="H157" s="543"/>
      <c r="I157" s="543"/>
      <c r="J157" s="554"/>
      <c r="K157" s="543"/>
      <c r="L157" s="543"/>
      <c r="M157" s="544"/>
    </row>
    <row r="158" spans="1:13" s="463" customFormat="1" ht="20.25" customHeight="1">
      <c r="A158" s="3"/>
      <c r="B158" s="3"/>
      <c r="C158" s="3"/>
      <c r="D158" s="3"/>
      <c r="E158" s="3"/>
      <c r="F158" s="3"/>
      <c r="G158" s="553"/>
      <c r="H158" s="543"/>
      <c r="I158" s="543"/>
      <c r="J158" s="555" t="s">
        <v>300</v>
      </c>
      <c r="K158" s="543"/>
      <c r="L158" s="543"/>
      <c r="M158" s="544"/>
    </row>
    <row r="159" spans="1:13" s="463" customFormat="1" ht="20.25" customHeight="1">
      <c r="A159" s="3"/>
      <c r="B159" s="3"/>
      <c r="C159" s="3"/>
      <c r="D159" s="3"/>
      <c r="E159" s="3"/>
      <c r="F159" s="3"/>
      <c r="G159" s="543"/>
      <c r="H159" s="543"/>
      <c r="I159" s="556" t="s">
        <v>472</v>
      </c>
      <c r="J159" s="565" t="s">
        <v>416</v>
      </c>
      <c r="K159" s="543"/>
      <c r="L159" s="543"/>
      <c r="M159" s="544"/>
    </row>
    <row r="160" spans="1:13" s="463" customFormat="1" ht="20.25" customHeight="1">
      <c r="A160" s="3"/>
      <c r="B160" s="3"/>
      <c r="C160" s="3"/>
      <c r="D160" s="507" t="s">
        <v>469</v>
      </c>
      <c r="E160" s="566"/>
      <c r="F160" s="567" t="s">
        <v>466</v>
      </c>
      <c r="G160" s="568"/>
      <c r="H160" s="569"/>
      <c r="I160" s="570">
        <v>0</v>
      </c>
      <c r="J160" s="541"/>
      <c r="K160" s="543"/>
      <c r="L160" s="543"/>
      <c r="M160" s="544"/>
    </row>
    <row r="161" spans="1:13" s="463" customFormat="1" ht="20.25" customHeight="1">
      <c r="A161" s="3"/>
      <c r="B161" s="3"/>
      <c r="C161" s="3"/>
      <c r="D161" s="512"/>
      <c r="E161" s="503"/>
      <c r="F161" s="504" t="s">
        <v>467</v>
      </c>
      <c r="G161" s="563"/>
      <c r="H161" s="571"/>
      <c r="I161" s="551"/>
      <c r="J161" s="552">
        <v>390377</v>
      </c>
      <c r="K161" s="543"/>
      <c r="L161" s="543"/>
      <c r="M161" s="544"/>
    </row>
    <row r="162" spans="1:13" s="463" customFormat="1" ht="20.25" customHeight="1">
      <c r="A162" s="3"/>
      <c r="B162" s="3"/>
      <c r="C162" s="3"/>
      <c r="D162" s="3"/>
      <c r="E162" s="3"/>
      <c r="F162" s="3"/>
      <c r="G162" s="553"/>
      <c r="H162" s="543"/>
      <c r="I162" s="543"/>
      <c r="J162" s="554"/>
      <c r="K162" s="543"/>
      <c r="L162" s="543"/>
      <c r="M162" s="544"/>
    </row>
    <row r="163" spans="1:13" s="463" customFormat="1" ht="20.25" customHeight="1">
      <c r="A163" s="3"/>
      <c r="B163" s="3"/>
      <c r="C163" s="3"/>
      <c r="D163" s="3"/>
      <c r="E163" s="3"/>
      <c r="F163" s="4"/>
      <c r="G163" s="553"/>
      <c r="H163" s="543"/>
      <c r="I163" s="543"/>
      <c r="J163" s="543"/>
      <c r="K163" s="543"/>
      <c r="L163" s="543"/>
      <c r="M163" s="544"/>
    </row>
    <row r="164" spans="1:13" s="463" customFormat="1" ht="20.25" customHeight="1">
      <c r="A164" s="3"/>
      <c r="B164" s="3"/>
      <c r="C164" s="3" t="s">
        <v>482</v>
      </c>
      <c r="D164" s="3"/>
      <c r="E164" s="3"/>
      <c r="F164" s="3"/>
      <c r="G164" s="553"/>
      <c r="H164" s="543"/>
      <c r="I164" s="543"/>
      <c r="J164" s="543"/>
      <c r="K164" s="543"/>
      <c r="L164" s="543"/>
      <c r="M164" s="544"/>
    </row>
    <row r="165" spans="1:13" s="463" customFormat="1" ht="20.25" customHeight="1">
      <c r="A165" s="3"/>
      <c r="B165" s="3"/>
      <c r="C165" s="3"/>
      <c r="D165" s="3"/>
      <c r="E165" s="3"/>
      <c r="F165" s="3"/>
      <c r="G165" s="553"/>
      <c r="H165" s="543"/>
      <c r="I165" s="543"/>
      <c r="J165" s="555" t="s">
        <v>300</v>
      </c>
      <c r="K165" s="543"/>
      <c r="L165" s="543"/>
      <c r="M165" s="544"/>
    </row>
    <row r="166" spans="1:13" s="463" customFormat="1" ht="20.25" customHeight="1">
      <c r="A166" s="3"/>
      <c r="B166" s="3"/>
      <c r="C166" s="3"/>
      <c r="D166" s="3"/>
      <c r="E166" s="3"/>
      <c r="F166" s="3"/>
      <c r="G166" s="543"/>
      <c r="H166" s="543"/>
      <c r="I166" s="556" t="s">
        <v>472</v>
      </c>
      <c r="J166" s="565" t="s">
        <v>416</v>
      </c>
      <c r="K166" s="543"/>
      <c r="L166" s="543"/>
      <c r="M166" s="544"/>
    </row>
    <row r="167" spans="1:13" s="463" customFormat="1" ht="20.25" customHeight="1">
      <c r="A167" s="3"/>
      <c r="B167" s="3"/>
      <c r="C167" s="3"/>
      <c r="D167" s="507" t="s">
        <v>464</v>
      </c>
      <c r="E167" s="566"/>
      <c r="F167" s="567" t="s">
        <v>483</v>
      </c>
      <c r="G167" s="568"/>
      <c r="H167" s="569"/>
      <c r="I167" s="570">
        <v>0</v>
      </c>
      <c r="J167" s="541"/>
      <c r="K167" s="543"/>
      <c r="L167" s="543"/>
      <c r="M167" s="544"/>
    </row>
    <row r="168" spans="1:13" s="463" customFormat="1" ht="20.25" customHeight="1">
      <c r="A168" s="3"/>
      <c r="B168" s="3"/>
      <c r="C168" s="3"/>
      <c r="D168" s="512"/>
      <c r="E168" s="503"/>
      <c r="F168" s="504" t="s">
        <v>484</v>
      </c>
      <c r="G168" s="563"/>
      <c r="H168" s="571"/>
      <c r="I168" s="551"/>
      <c r="J168" s="552">
        <v>1180568</v>
      </c>
      <c r="K168" s="543"/>
      <c r="L168" s="543"/>
      <c r="M168" s="544"/>
    </row>
    <row r="169" spans="1:13" s="463" customFormat="1" ht="20.25" customHeight="1">
      <c r="A169" s="3"/>
      <c r="B169" s="3"/>
      <c r="C169" s="3"/>
      <c r="D169" s="3"/>
      <c r="E169" s="3"/>
      <c r="F169" s="481"/>
      <c r="G169" s="553"/>
      <c r="H169" s="553"/>
      <c r="I169" s="553"/>
      <c r="J169" s="553"/>
      <c r="K169" s="543"/>
      <c r="L169" s="543"/>
      <c r="M169" s="544"/>
    </row>
    <row r="170" spans="1:13" s="463" customFormat="1" ht="20.25" customHeight="1">
      <c r="A170" s="3"/>
      <c r="B170" s="3"/>
      <c r="C170" s="3"/>
      <c r="D170" s="3"/>
      <c r="E170" s="3"/>
      <c r="F170" s="481"/>
      <c r="G170" s="553"/>
      <c r="H170" s="553"/>
      <c r="I170" s="553"/>
      <c r="J170" s="553"/>
      <c r="K170" s="543"/>
      <c r="L170" s="543"/>
      <c r="M170" s="544"/>
    </row>
    <row r="171" spans="1:13" s="463" customFormat="1" ht="20.25" customHeight="1">
      <c r="A171" s="3"/>
      <c r="B171" s="3"/>
      <c r="C171" s="3" t="s">
        <v>485</v>
      </c>
      <c r="D171" s="3"/>
      <c r="E171" s="3"/>
      <c r="F171" s="4"/>
      <c r="G171" s="553"/>
      <c r="H171" s="543"/>
      <c r="I171" s="543"/>
      <c r="J171" s="543"/>
      <c r="K171" s="543"/>
      <c r="L171" s="543"/>
      <c r="M171" s="544"/>
    </row>
    <row r="172" spans="1:13" s="463" customFormat="1" ht="20.25" customHeight="1">
      <c r="A172" s="3"/>
      <c r="B172" s="3"/>
      <c r="C172" s="3"/>
      <c r="D172" s="3"/>
      <c r="E172" s="3"/>
      <c r="F172" s="4"/>
      <c r="G172" s="553"/>
      <c r="H172" s="543"/>
      <c r="I172" s="543"/>
      <c r="J172" s="555" t="s">
        <v>300</v>
      </c>
      <c r="K172" s="543"/>
      <c r="L172" s="543"/>
      <c r="M172" s="544"/>
    </row>
    <row r="173" spans="1:13" s="463" customFormat="1" ht="20.25" customHeight="1">
      <c r="A173" s="3"/>
      <c r="B173" s="3"/>
      <c r="C173" s="3"/>
      <c r="D173" s="3"/>
      <c r="E173" s="3"/>
      <c r="F173" s="4"/>
      <c r="G173" s="553"/>
      <c r="H173" s="543"/>
      <c r="I173" s="556" t="s">
        <v>472</v>
      </c>
      <c r="J173" s="565" t="s">
        <v>416</v>
      </c>
      <c r="K173" s="543"/>
      <c r="L173" s="543"/>
      <c r="M173" s="544"/>
    </row>
    <row r="174" spans="1:13" s="463" customFormat="1" ht="20.25" customHeight="1">
      <c r="A174" s="3"/>
      <c r="B174" s="3"/>
      <c r="C174" s="3"/>
      <c r="D174" s="507" t="s">
        <v>469</v>
      </c>
      <c r="E174" s="566"/>
      <c r="F174" s="567" t="s">
        <v>483</v>
      </c>
      <c r="G174" s="568"/>
      <c r="H174" s="569"/>
      <c r="I174" s="570">
        <v>0</v>
      </c>
      <c r="J174" s="541"/>
      <c r="K174" s="543"/>
      <c r="L174" s="543"/>
      <c r="M174" s="544"/>
    </row>
    <row r="175" spans="1:13" s="463" customFormat="1" ht="20.25" customHeight="1">
      <c r="A175" s="3"/>
      <c r="B175" s="3"/>
      <c r="C175" s="3"/>
      <c r="D175" s="512"/>
      <c r="E175" s="503"/>
      <c r="F175" s="504" t="s">
        <v>484</v>
      </c>
      <c r="G175" s="563"/>
      <c r="H175" s="571"/>
      <c r="I175" s="551"/>
      <c r="J175" s="552">
        <v>332097</v>
      </c>
      <c r="K175" s="543"/>
      <c r="L175" s="543"/>
      <c r="M175" s="544"/>
    </row>
    <row r="176" spans="1:13" s="463" customFormat="1" ht="20.25" customHeight="1">
      <c r="A176" s="3"/>
      <c r="B176" s="3"/>
      <c r="C176" s="3"/>
      <c r="D176" s="3"/>
      <c r="E176" s="3"/>
      <c r="F176" s="3"/>
      <c r="G176" s="543"/>
      <c r="H176" s="543"/>
      <c r="I176" s="543"/>
      <c r="J176" s="543"/>
      <c r="K176" s="572"/>
      <c r="L176" s="572"/>
      <c r="M176" s="544"/>
    </row>
    <row r="177" spans="1:13" s="463" customFormat="1" ht="18" customHeight="1">
      <c r="A177" s="3"/>
      <c r="B177" s="3"/>
      <c r="C177" s="3"/>
      <c r="D177" s="3"/>
      <c r="E177" s="3"/>
      <c r="F177" s="3"/>
      <c r="G177" s="543"/>
      <c r="H177" s="543"/>
      <c r="I177" s="543"/>
      <c r="J177" s="543"/>
      <c r="K177" s="572"/>
      <c r="L177" s="572"/>
      <c r="M177" s="544"/>
    </row>
    <row r="178" spans="1:13" s="463" customFormat="1" ht="7.5" customHeight="1">
      <c r="A178" s="3"/>
      <c r="B178" s="3"/>
      <c r="C178" s="3"/>
      <c r="D178" s="3"/>
      <c r="E178" s="3"/>
      <c r="F178" s="3"/>
      <c r="G178" s="543"/>
      <c r="H178" s="543"/>
      <c r="I178" s="543"/>
      <c r="J178" s="543"/>
      <c r="K178" s="572"/>
      <c r="L178" s="572"/>
      <c r="M178" s="544"/>
    </row>
  </sheetData>
  <mergeCells count="4">
    <mergeCell ref="A3:L3"/>
    <mergeCell ref="A4:L4"/>
    <mergeCell ref="C42:J43"/>
    <mergeCell ref="D44:J45"/>
  </mergeCells>
  <phoneticPr fontId="3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845EAC2CE09544585FB76C2E147A62F" ma:contentTypeVersion="11" ma:contentTypeDescription="新しいドキュメントを作成します。" ma:contentTypeScope="" ma:versionID="fec4f841cf14b6e77e642e9daedc35ae">
  <xsd:schema xmlns:xsd="http://www.w3.org/2001/XMLSchema" xmlns:xs="http://www.w3.org/2001/XMLSchema" xmlns:p="http://schemas.microsoft.com/office/2006/metadata/properties" xmlns:ns2="b5562210-ba99-4384-9cbe-4d710e47e222" xmlns:ns3="34c5de3c-7b2f-41ed-951e-c3d07d900951" targetNamespace="http://schemas.microsoft.com/office/2006/metadata/properties" ma:root="true" ma:fieldsID="c16e3e093413cbdab2af60ac7cc11ccd" ns2:_="" ns3:_="">
    <xsd:import namespace="b5562210-ba99-4384-9cbe-4d710e47e222"/>
    <xsd:import namespace="34c5de3c-7b2f-41ed-951e-c3d07d9009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_x9001__x4ed8__x30fb__x624b__x6e21__x3057__xff08__x6e08__xff0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2210-ba99-4384-9cbe-4d710e47e2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333068f1-3b94-4555-9176-42e6202dabe3" ma:termSetId="09814cd3-568e-fe90-9814-8d621ff8fb84" ma:anchorId="fba54fb3-c3e1-fe81-a776-ca4b69148c4d" ma:open="true" ma:isKeyword="false">
      <xsd:complexType>
        <xsd:sequence>
          <xsd:element ref="pc:Terms" minOccurs="0" maxOccurs="1"/>
        </xsd:sequence>
      </xsd:complexType>
    </xsd:element>
    <xsd:element name="_x9001__x4ed8__x30fb__x624b__x6e21__x3057__xff08__x6e08__xff09_" ma:index="18" nillable="true" ma:displayName="（済）" ma:format="Dropdown" ma:internalName="_x9001__x4ed8__x30fb__x624b__x6e21__x3057__xff08__x6e08__xff09_">
      <xsd:simpleType>
        <xsd:restriction base="dms:Choice">
          <xsd:enumeration value="選択肢 1"/>
          <xsd:enumeration value="選択肢 2"/>
          <xsd:enumeration value="選択肢 3"/>
        </xsd:restriction>
      </xsd:simpleType>
    </xsd:element>
  </xsd:schema>
  <xsd:schema xmlns:xsd="http://www.w3.org/2001/XMLSchema" xmlns:xs="http://www.w3.org/2001/XMLSchema" xmlns:dms="http://schemas.microsoft.com/office/2006/documentManagement/types" xmlns:pc="http://schemas.microsoft.com/office/infopath/2007/PartnerControls" targetNamespace="34c5de3c-7b2f-41ed-951e-c3d07d90095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70edbd7-9c0f-4291-82eb-5230cd3ebddc}" ma:internalName="TaxCatchAll" ma:showField="CatchAllData" ma:web="34c5de3c-7b2f-41ed-951e-c3d07d9009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562210-ba99-4384-9cbe-4d710e47e222">
      <Terms xmlns="http://schemas.microsoft.com/office/infopath/2007/PartnerControls"/>
    </lcf76f155ced4ddcb4097134ff3c332f>
    <TaxCatchAll xmlns="34c5de3c-7b2f-41ed-951e-c3d07d900951" xsi:nil="true"/>
    <_x9001__x4ed8__x30fb__x624b__x6e21__x3057__xff08__x6e08__xff09_ xmlns="b5562210-ba99-4384-9cbe-4d710e47e222" xsi:nil="true"/>
  </documentManagement>
</p:properties>
</file>

<file path=customXml/itemProps1.xml><?xml version="1.0" encoding="utf-8"?>
<ds:datastoreItem xmlns:ds="http://schemas.openxmlformats.org/officeDocument/2006/customXml" ds:itemID="{C8BBF020-025B-4812-AD9E-6016166818A2}"/>
</file>

<file path=customXml/itemProps2.xml><?xml version="1.0" encoding="utf-8"?>
<ds:datastoreItem xmlns:ds="http://schemas.openxmlformats.org/officeDocument/2006/customXml" ds:itemID="{DC0A8935-6F8E-4FBE-885E-028BEAAF9107}">
  <ds:schemaRefs>
    <ds:schemaRef ds:uri="http://schemas.microsoft.com/sharepoint/v3/contenttype/forms"/>
  </ds:schemaRefs>
</ds:datastoreItem>
</file>

<file path=customXml/itemProps3.xml><?xml version="1.0" encoding="utf-8"?>
<ds:datastoreItem xmlns:ds="http://schemas.openxmlformats.org/officeDocument/2006/customXml" ds:itemID="{CD4E6997-6AD7-4F01-98A0-C7A69FBA5F51}">
  <ds:schemaRefs>
    <ds:schemaRef ds:uri="http://schemas.microsoft.com/office/infopath/2007/PartnerControls"/>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purl.org/dc/dcmitype/"/>
    <ds:schemaRef ds:uri="http://schemas.openxmlformats.org/package/2006/metadata/core-properties"/>
    <ds:schemaRef ds:uri="b5562210-ba99-4384-9cbe-4d710e47e2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47</vt:i4>
      </vt:variant>
      <vt:variant>
        <vt:lpstr>名前付き一覧</vt:lpstr>
      </vt:variant>
      <vt:variant>
        <vt:i4>10</vt:i4>
      </vt:variant>
    </vt:vector>
  </HeadingPairs>
  <TitlesOfParts>
    <vt:vector size="57" baseType="lpstr">
      <vt:lpstr>様式１</vt:lpstr>
      <vt:lpstr>様式１ 所得段階別</vt:lpstr>
      <vt:lpstr>様式１の２</vt:lpstr>
      <vt:lpstr>様式１の３</vt:lpstr>
      <vt:lpstr>様式１の４</vt:lpstr>
      <vt:lpstr>様式１の５ 総数</vt:lpstr>
      <vt:lpstr>様式１の５ ２割負担</vt:lpstr>
      <vt:lpstr>様式１の５ ３割負担</vt:lpstr>
      <vt:lpstr>様式１の６</vt:lpstr>
      <vt:lpstr>様式１の７（１６）居宅介護</vt:lpstr>
      <vt:lpstr>様式１の７（１７）居宅介護</vt:lpstr>
      <vt:lpstr>様式１の７（１８）地域密着型</vt:lpstr>
      <vt:lpstr>様式１の７（１９）地域密着型（２０）施設介護</vt:lpstr>
      <vt:lpstr>様式２（件数）</vt:lpstr>
      <vt:lpstr>様式２（単位数）</vt:lpstr>
      <vt:lpstr>様式２（費用額）</vt:lpstr>
      <vt:lpstr>様式２（給付費）</vt:lpstr>
      <vt:lpstr>様式２（件数）２割負担</vt:lpstr>
      <vt:lpstr>様式２（単位数）２割負担</vt:lpstr>
      <vt:lpstr>様式２（費用額）２割負担</vt:lpstr>
      <vt:lpstr>様式２（給付費）２割負担</vt:lpstr>
      <vt:lpstr>様式２（件数）３割負担</vt:lpstr>
      <vt:lpstr>様式２（単位数）３割負担</vt:lpstr>
      <vt:lpstr>様式２（費用額）３割負担</vt:lpstr>
      <vt:lpstr>様式２（給付費）３割負担</vt:lpstr>
      <vt:lpstr>様式２の２（件数）</vt:lpstr>
      <vt:lpstr>様式２の２（単位数）</vt:lpstr>
      <vt:lpstr>様式２の２（費用額）</vt:lpstr>
      <vt:lpstr>様式２の２（給付費）</vt:lpstr>
      <vt:lpstr>様式２の３（件数）</vt:lpstr>
      <vt:lpstr>様式２の３（費用額）</vt:lpstr>
      <vt:lpstr>様式２の３（給付費）</vt:lpstr>
      <vt:lpstr>様式２の４（件数）</vt:lpstr>
      <vt:lpstr>様式２の４（単位数）</vt:lpstr>
      <vt:lpstr>様式２の４（費用額）</vt:lpstr>
      <vt:lpstr>様式２の４（給付費）</vt:lpstr>
      <vt:lpstr>様式２の５</vt:lpstr>
      <vt:lpstr>様式２の６</vt:lpstr>
      <vt:lpstr>様式２の７(高額介護)</vt:lpstr>
      <vt:lpstr>様式２の７(高額医療合算)</vt:lpstr>
      <vt:lpstr>様式２の８</vt:lpstr>
      <vt:lpstr>様式３</vt:lpstr>
      <vt:lpstr>様式４</vt:lpstr>
      <vt:lpstr>様式４の２</vt:lpstr>
      <vt:lpstr>様式４の３</vt:lpstr>
      <vt:lpstr>様式２の３（単位数）</vt:lpstr>
      <vt:lpstr>経理状況</vt:lpstr>
      <vt:lpstr>様式１!databind</vt:lpstr>
      <vt:lpstr>'様式１ 所得段階別'!databind</vt:lpstr>
      <vt:lpstr>様式２の８!databind</vt:lpstr>
      <vt:lpstr>様式３!databind</vt:lpstr>
      <vt:lpstr>様式４!databind</vt:lpstr>
      <vt:lpstr>様式４の２!databind</vt:lpstr>
      <vt:lpstr>様式４の３!databind</vt:lpstr>
      <vt:lpstr>様式１の３!Print_Area</vt:lpstr>
      <vt:lpstr>'様式１の７（１６）居宅介護'!Print_Area</vt:lpstr>
      <vt:lpstr>'様式１の７（１７）居宅介護'!Print_Area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若山 諒太</cp:lastModifiedBy>
  <cp:revision/>
  <dcterms:created xsi:type="dcterms:W3CDTF">2026-06-16T06:31:12Z</dcterms:created>
  <dcterms:modified xsi:type="dcterms:W3CDTF">2026-08-25T09:52:05Z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0x010100A845EAC2CE09544585FB76C2E147A62F</vt:lpwstr>
  </property>
  <property fmtid="{D5CDD505-2E9C-101B-9397-08002B2CF9AE}" pid="3" name="MediaServiceImageTags">
    <vt:lpwstr/>
  </property>
</Properties>
</file>