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taka\Desktop\福祉計画\★川崎町\★0907見える化データ入力\"/>
    </mc:Choice>
  </mc:AlternateContent>
  <xr:revisionPtr revIDLastSave="0" documentId="13_ncr:1_{BC7BA4E3-4265-4BD9-A539-5C7730305E80}" xr6:coauthVersionLast="47" xr6:coauthVersionMax="47" xr10:uidLastSave="{00000000-0000-0000-0000-000000000000}"/>
  <bookViews>
    <workbookView xWindow="-120" yWindow="-120" windowWidth="29040" windowHeight="15720" tabRatio="705" activeTab="2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L64" i="11"/>
  <c r="N90" i="8" s="1"/>
  <c r="K64" i="11"/>
  <c r="M90" i="8" s="1"/>
  <c r="J64" i="11"/>
  <c r="L90" i="8" s="1"/>
  <c r="I64" i="11"/>
  <c r="K90" i="8" s="1"/>
  <c r="H64" i="11"/>
  <c r="J90" i="8" s="1"/>
  <c r="G64" i="11"/>
  <c r="I90" i="8" s="1"/>
  <c r="F64" i="11"/>
  <c r="H90" i="8" s="1"/>
  <c r="E64" i="11"/>
  <c r="G90" i="8" s="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G149" i="8"/>
  <c r="F148" i="8"/>
  <c r="F147" i="8"/>
  <c r="F146" i="8"/>
  <c r="F145" i="8"/>
  <c r="F144" i="8"/>
  <c r="S41" i="1" l="1"/>
  <c r="S64" i="1" l="1"/>
  <c r="S63" i="1"/>
  <c r="H149" i="8" l="1"/>
  <c r="I149" i="8"/>
  <c r="J149" i="8"/>
  <c r="K149" i="8"/>
  <c r="L149" i="8"/>
  <c r="M149" i="8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N101" i="8" l="1"/>
  <c r="N97" i="8" s="1"/>
  <c r="K46" i="8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L101" i="8" l="1"/>
  <c r="L97" i="8" s="1"/>
  <c r="M101" i="8"/>
  <c r="M97" i="8" s="1"/>
  <c r="K101" i="8"/>
  <c r="K97" i="8" s="1"/>
  <c r="I48" i="8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111" i="8"/>
  <c r="J113" i="8"/>
  <c r="I113" i="8"/>
  <c r="H113" i="8"/>
  <c r="G98" i="8" l="1"/>
  <c r="G176" i="8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F68" i="8"/>
  <c r="G93" i="8"/>
  <c r="G16" i="8"/>
  <c r="F16" i="8"/>
  <c r="G101" i="8" l="1"/>
  <c r="G97" i="8" s="1"/>
  <c r="G94" i="8" s="1"/>
  <c r="F92" i="8"/>
  <c r="F93" i="8"/>
  <c r="J111" i="8"/>
  <c r="J98" i="8" s="1"/>
  <c r="I111" i="8"/>
  <c r="I98" i="8" s="1"/>
  <c r="H111" i="8"/>
  <c r="H98" i="8" s="1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J101" i="8" l="1"/>
  <c r="J97" i="8" s="1"/>
  <c r="J94" i="8" s="1"/>
  <c r="I101" i="8"/>
  <c r="I97" i="8" s="1"/>
  <c r="I94" i="8" s="1"/>
  <c r="H101" i="8"/>
  <c r="H97" i="8" s="1"/>
  <c r="H9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F62" i="8"/>
  <c r="F60" i="8"/>
  <c r="F57" i="8"/>
  <c r="F58" i="8"/>
  <c r="F151" i="8"/>
  <c r="Q43" i="8"/>
  <c r="Q44" i="8"/>
  <c r="P42" i="8"/>
  <c r="P44" i="8"/>
  <c r="N43" i="8"/>
  <c r="N44" i="8"/>
  <c r="O42" i="8"/>
  <c r="P43" i="8"/>
  <c r="O43" i="8"/>
  <c r="O44" i="8"/>
  <c r="N42" i="8"/>
  <c r="Q42" i="8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94" i="8" l="1"/>
  <c r="F41" i="8" s="1"/>
  <c r="F42" i="8" s="1"/>
  <c r="G53" i="8"/>
  <c r="G41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F44" i="8" l="1"/>
  <c r="F53" i="8"/>
  <c r="F54" i="8" s="1"/>
  <c r="F43" i="8"/>
  <c r="G55" i="8"/>
  <c r="G54" i="8"/>
  <c r="G56" i="8"/>
  <c r="G42" i="8"/>
  <c r="G43" i="8"/>
  <c r="G44" i="8"/>
  <c r="J63" i="1"/>
  <c r="J62" i="1"/>
  <c r="L62" i="1"/>
  <c r="L63" i="1"/>
  <c r="J64" i="1"/>
  <c r="L64" i="1"/>
  <c r="F56" i="8" l="1"/>
  <c r="F55" i="8"/>
  <c r="J41" i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G59" i="8"/>
  <c r="G61" i="8" s="1"/>
  <c r="G63" i="8" s="1"/>
  <c r="F47" i="8"/>
  <c r="F59" i="8"/>
  <c r="F61" i="8" s="1"/>
  <c r="F63" i="8" s="1"/>
  <c r="F105" i="8"/>
  <c r="F12" i="8" s="1"/>
  <c r="F22" i="8" s="1"/>
  <c r="J105" i="8"/>
  <c r="G12" i="8" s="1"/>
  <c r="G22" i="8" s="1"/>
  <c r="F49" i="8" l="1"/>
  <c r="G49" i="8"/>
  <c r="G26" i="8"/>
  <c r="G36" i="8" s="1"/>
  <c r="M48" i="8" l="1"/>
  <c r="M49" i="8"/>
  <c r="M45" i="8"/>
  <c r="M50" i="8"/>
  <c r="M46" i="8"/>
  <c r="G51" i="8"/>
  <c r="M51" i="8" s="1"/>
  <c r="M41" i="8"/>
  <c r="M43" i="8"/>
  <c r="M44" i="8"/>
  <c r="M42" i="8"/>
  <c r="M47" i="8"/>
  <c r="L50" i="8"/>
  <c r="L41" i="8"/>
  <c r="L42" i="8"/>
  <c r="L48" i="8"/>
  <c r="L49" i="8"/>
  <c r="F51" i="8"/>
  <c r="L51" i="8" s="1"/>
  <c r="L45" i="8"/>
  <c r="L46" i="8"/>
  <c r="L44" i="8"/>
  <c r="L43" i="8"/>
  <c r="L47" i="8"/>
  <c r="M54" i="8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<sst xmlns="http://schemas.openxmlformats.org/spreadsheetml/2006/main" count="1035" uniqueCount="437">
  <si>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</si>
  <si>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</si>
  <si>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</si>
  <si>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</si>
  <si>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</si>
  <si>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</si>
  <si>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</si>
  <si>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</si>
  <si>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</si>
  <si>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</si>
  <si>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</si>
  <si>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</si>
  <si>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</si>
  <si>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</si>
  <si>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</si>
  <si>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</si>
  <si>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</si>
  <si>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</si>
  <si>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</si>
  <si>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</si>
  <si>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</si>
  <si>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</si>
  <si>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</si>
  <si>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</si>
  <si>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</si>
  <si>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</si>
  <si>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</si>
  <si>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</si>
  <si>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</si>
  <si>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</si>
  <si>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</si>
  <si>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</si>
  <si>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</si>
  <si>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</si>
  <si>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</si>
  <si>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</si>
  <si>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</si>
  <si>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</si>
  <si>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</si>
  <si>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</si>
  <si>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</si>
  <si>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</si>
  <si>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</si>
  <si>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</si>
  <si>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</si>
  <si>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</si>
  <si>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</si>
  <si>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</si>
  <si>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</si>
  <si>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</si>
  <si>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</si>
  <si>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</si>
  <si>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</si>
  <si>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</si>
  <si>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</si>
  <si>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</si>
  <si>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</si>
  <si>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</si>
  <si>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</si>
  <si>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</si>
  <si>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</si>
  <si>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</si>
  <si>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</si>
  <si>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</si>
  <si>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</si>
  <si>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</si>
  <si>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</si>
  <si>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</si>
  <si>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</si>
  <si>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</si>
  <si>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</si>
  <si>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</si>
  <si>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</si>
  <si>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</si>
  <si>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</si>
  <si>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</si>
  <si>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</si>
  <si>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</si>
  <si>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</si>
  <si>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</si>
  <si>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</si>
  <si>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</si>
  <si>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</si>
  <si>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</si>
  <si>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</si>
  <si>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</si>
  <si>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</si>
  <si>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</si>
  <si>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</si>
  <si>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</si>
  <si>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</si>
  <si>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</si>
  <si>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</si>
  <si>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</si>
  <si>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</si>
  <si>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</si>
  <si>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</si>
  <si>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</si>
  <si>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</si>
  <si>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</si>
  <si>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</si>
  <si>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</si>
  <si>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</si>
  <si>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</si>
  <si>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</si>
  <si>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</si>
  <si>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</si>
  <si>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</si>
  <si>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</si>
  <si>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</si>
  <si>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</si>
  <si>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</si>
  <si>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</si>
  <si>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</si>
  <si>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</si>
  <si>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</si>
  <si>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</si>
  <si>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</si>
  <si>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</si>
  <si>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</si>
  <si>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</si>
  <si>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</si>
  <si>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</si>
  <si>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</si>
  <si>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</si>
  <si>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</si>
  <si>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</si>
  <si>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</si>
  <si>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</si>
  <si>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</si>
  <si>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</si>
  <si>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</si>
  <si>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</si>
  <si>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</si>
  <si>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</si>
  <si>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</si>
  <si>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</si>
  <si>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</si>
  <si>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</si>
  <si>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</si>
  <si>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</si>
  <si>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</si>
  <si>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</si>
  <si>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</si>
  <si>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</si>
  <si>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</si>
  <si>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</si>
  <si>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</si>
  <si>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</si>
  <si>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</si>
  <si>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</si>
  <si>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</si>
  <si>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</si>
  <si>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</si>
  <si>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</si>
  <si>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</si>
  <si>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</si>
  <si>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</si>
  <si>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</si>
  <si>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</si>
  <si>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</si>
  <si>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</si>
  <si>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</si>
  <si>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</si>
  <si>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</si>
  <si>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</si>
  <si>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</si>
  <si>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</si>
  <si>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</si>
  <si>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</si>
  <si>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</si>
  <si>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</si>
  <si>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</si>
  <si>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</si>
  <si>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</si>
  <si>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</si>
  <si>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</si>
  <si>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</si>
  <si>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</si>
  <si>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</si>
  <si>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</si>
  <si>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</si>
  <si>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</si>
  <si>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</si>
  <si>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</si>
  <si>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</si>
  <si>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</si>
  <si>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</si>
  <si>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</si>
  <si>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</si>
  <si>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</si>
  <si>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</si>
  <si>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</si>
  <si>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</si>
  <si>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</si>
  <si>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</si>
  <si>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</si>
  <si>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</si>
  <si>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</si>
  <si>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</si>
  <si>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</si>
  <si>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</si>
  <si>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</si>
  <si>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</si>
  <si>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</si>
  <si>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</si>
  <si>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</si>
  <si>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</si>
  <si>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</si>
  <si>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</si>
  <si>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</si>
  <si>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</si>
  <si>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</si>
  <si>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</si>
  <si>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</si>
  <si>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</si>
  <si>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</si>
  <si>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</si>
  <si>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</si>
  <si>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</si>
  <si>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</si>
  <si>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</si>
  <si>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</si>
  <si>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</si>
  <si>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</si>
  <si>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</si>
  <si>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</si>
  <si>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</si>
  <si>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</si>
  <si>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</si>
  <si>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</si>
  <si>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</si>
  <si>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</si>
  <si>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</si>
  <si>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</si>
  <si>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</si>
  <si>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</si>
  <si>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</si>
  <si>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</si>
  <si>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</si>
  <si>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</si>
  <si>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</si>
  <si>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</si>
  <si>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</si>
  <si>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</si>
  <si>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</si>
  <si>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</si>
  <si>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</si>
  <si>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</si>
  <si>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</si>
  <si>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</si>
  <si>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</si>
  <si>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</si>
  <si>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</si>
  <si>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</si>
  <si>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</si>
  <si>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</si>
  <si>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</si>
  <si>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</si>
  <si>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</si>
  <si>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</si>
  <si>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</si>
  <si>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</si>
  <si>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</si>
  <si>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</si>
  <si>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</si>
  <si>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</si>
  <si>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</si>
  <si>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</si>
  <si>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</si>
  <si>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</si>
  <si>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</si>
  <si>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</si>
  <si>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</si>
  <si>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</si>
  <si>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</si>
  <si>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</si>
  <si>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</si>
  <si>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</si>
  <si>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</si>
  <si>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</si>
  <si>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</si>
  <si>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</si>
  <si>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</si>
  <si>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</si>
  <si>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</si>
  <si>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</si>
  <si>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</si>
  <si>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</si>
  <si>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</si>
  <si>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</si>
  <si>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</si>
  <si>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</si>
  <si>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</si>
  <si>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</si>
  <si>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</si>
  <si>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</si>
  <si>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</si>
  <si>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</si>
  <si>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</si>
  <si>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</si>
  <si>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</si>
  <si>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</si>
  <si>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</si>
  <si>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</si>
  <si>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</si>
  <si>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</si>
  <si>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</si>
  <si>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</si>
  <si>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</si>
  <si>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</si>
  <si>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</si>
  <si>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</si>
  <si>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</si>
  <si>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</si>
  <si>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</si>
  <si>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</si>
  <si>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</si>
  <si>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</si>
  <si>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</si>
  <si>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</si>
  <si>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</si>
  <si>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</si>
  <si>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</si>
  <si>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</si>
  <si>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</si>
  <si>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</si>
  <si>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</si>
  <si>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</si>
  <si>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</si>
  <si>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</si>
  <si>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</si>
  <si>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</si>
  <si>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</si>
  <si>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</si>
  <si>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</si>
  <si>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</si>
  <si>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</si>
  <si>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</si>
  <si>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</si>
  <si>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</si>
  <si>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</si>
  <si>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</si>
  <si>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</si>
  <si>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</si>
  <si>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</si>
  <si>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</si>
  <si>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</si>
  <si>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</si>
  <si>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</si>
  <si>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</si>
  <si>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</si>
  <si>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</si>
  <si>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</si>
  <si>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</si>
  <si>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</si>
  <si>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</si>
  <si>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</si>
  <si>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</si>
  <si>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</si>
  <si>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</si>
  <si>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</si>
  <si>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</si>
  <si>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</si>
  <si>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</si>
  <si>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</si>
  <si>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</si>
  <si>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</si>
  <si>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</si>
  <si>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</si>
  <si>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</si>
  <si>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</si>
  <si>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</si>
  <si>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</si>
  <si>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</si>
  <si>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</si>
  <si>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</si>
  <si>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</si>
  <si>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</si>
  <si>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</si>
  <si>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</si>
  <si>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</si>
  <si>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</si>
  <si>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</si>
  <si>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</si>
  <si>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</si>
  <si>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</si>
  <si>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</si>
  <si>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</si>
  <si>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</si>
  <si>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</si>
  <si>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</si>
  <si>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</si>
  <si>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</si>
  <si>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</si>
  <si>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</si>
  <si>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</si>
  <si>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</si>
  <si>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</si>
  <si>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</si>
  <si>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</si>
  <si>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</si>
  <si>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</si>
  <si>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</si>
  <si>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</si>
  <si>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</si>
  <si>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</si>
  <si>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</si>
  <si>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</si>
  <si>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</si>
  <si>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</si>
  <si>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</si>
  <si>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</si>
  <si>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</si>
  <si>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</si>
  <si>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</si>
  <si>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</si>
  <si>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</si>
  <si>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</si>
  <si>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</si>
  <si>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</si>
  <si>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</si>
  <si>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</si>
  <si>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</si>
  <si>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</si>
  <si>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</si>
  <si>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</si>
  <si>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</si>
  <si>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</si>
  <si>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</si>
  <si>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2026/09/08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</si>
  <si>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</si>
  <si>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</si>
  <si>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</si>
  <si>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</si>
  <si>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当該市町村における令和３年度→令和８年度の伸び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</si>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</sst>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176" fontId="28" fillId="2" borderId="162" xfId="0" applyNumberFormat="1" applyFont="1" applyFill="1" applyBorder="1">
      <alignment vertical="center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top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0" borderId="29" xfId="3" applyFont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28" fillId="2" borderId="180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578238.23199999996</c:v>
                </c:pt>
                <c:pt idx="1">
                  <c:v>589563.91700000002</c:v>
                </c:pt>
                <c:pt idx="2">
                  <c:v>653839.78799999994</c:v>
                </c:pt>
                <c:pt idx="3">
                  <c:v>653839</c:v>
                </c:pt>
                <c:pt idx="4">
                  <c:v>653839</c:v>
                </c:pt>
                <c:pt idx="5">
                  <c:v>653839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91870.495999999999</c:v>
                </c:pt>
                <c:pt idx="1">
                  <c:v>86313.202000000005</c:v>
                </c:pt>
                <c:pt idx="2">
                  <c:v>67176.948000000004</c:v>
                </c:pt>
                <c:pt idx="3">
                  <c:v>67177</c:v>
                </c:pt>
                <c:pt idx="4">
                  <c:v>66933</c:v>
                </c:pt>
                <c:pt idx="5">
                  <c:v>66933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312648.59899999999</c:v>
                </c:pt>
                <c:pt idx="1">
                  <c:v>290059.00999999995</c:v>
                </c:pt>
                <c:pt idx="2">
                  <c:v>267245.47560000001</c:v>
                </c:pt>
                <c:pt idx="3">
                  <c:v>274934</c:v>
                </c:pt>
                <c:pt idx="4">
                  <c:v>277915</c:v>
                </c:pt>
                <c:pt idx="5">
                  <c:v>280163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4349.2970000000005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27005.507000000001</c:v>
                </c:pt>
                <c:pt idx="1">
                  <c:v>27938.341000000004</c:v>
                </c:pt>
                <c:pt idx="2">
                  <c:v>34325.974799999996</c:v>
                </c:pt>
                <c:pt idx="3">
                  <c:v>36311</c:v>
                </c:pt>
                <c:pt idx="4">
                  <c:v>35580</c:v>
                </c:pt>
                <c:pt idx="5">
                  <c:v>35810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'1_推計値サマリ'!$D$92:$E$92</c:f>
              <c:numCache>
                <c:formatCode>#,##0_ </c:formatCode>
                <c:ptCount val="2"/>
                <c:pt idx="0">
                  <c:v>176.83126360856267</c:v>
                </c:pt>
                <c:pt idx="1">
                  <c:v>179.47151202435313</c:v>
                </c:pt>
              </c:numCache>
            </c:num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103.86975718654433</c:v>
                </c:pt>
                <c:pt idx="1">
                  <c:v>96.802846575342457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'1_推計値サマリ'!$E$92:$F$92</c:f>
              <c:numCache>
                <c:formatCode>#,##0_ </c:formatCode>
                <c:ptCount val="2"/>
                <c:pt idx="0">
                  <c:v>179.47151202435313</c:v>
                </c:pt>
                <c:pt idx="1">
                  <c:v>200.74909057414797</c:v>
                </c:pt>
              </c:numCache>
            </c:num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96.802846575342457</c:v>
                </c:pt>
                <c:pt idx="1">
                  <c:v>92.591787043291362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'1_推計値サマリ'!$F$92:$G$92</c:f>
              <c:numCache>
                <c:formatCode>#,##0_ </c:formatCode>
                <c:ptCount val="2"/>
                <c:pt idx="0">
                  <c:v>200.74909057414797</c:v>
                </c:pt>
                <c:pt idx="1">
                  <c:v>202.36428350355928</c:v>
                </c:pt>
              </c:numCache>
            </c:num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92.591787043291362</c:v>
                </c:pt>
                <c:pt idx="1">
                  <c:v>96.330857319715264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'1_推計値サマリ'!$G$92:$H$92</c:f>
              <c:numCache>
                <c:formatCode>#,##0_ </c:formatCode>
                <c:ptCount val="2"/>
                <c:pt idx="0">
                  <c:v>202.36428350355928</c:v>
                </c:pt>
                <c:pt idx="1">
                  <c:v>204.13331251951297</c:v>
                </c:pt>
              </c:numCache>
            </c:num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96.330857319715264</c:v>
                </c:pt>
                <c:pt idx="1">
                  <c:v>97.875429285045271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'1_推計値サマリ'!$H$92:$I$92</c:f>
              <c:numCache>
                <c:formatCode>#,##0_ </c:formatCode>
                <c:ptCount val="2"/>
                <c:pt idx="0">
                  <c:v>204.13331251951297</c:v>
                </c:pt>
                <c:pt idx="1">
                  <c:v>205.80390305319483</c:v>
                </c:pt>
              </c:numCache>
            </c:num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97.875429285045271</c:v>
                </c:pt>
                <c:pt idx="1">
                  <c:v>99.456405413912492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'1_推計値サマリ'!$I$92</c:f>
              <c:numCache>
                <c:formatCode>#,##0_ </c:formatCode>
                <c:ptCount val="1"/>
                <c:pt idx="0">
                  <c:v>205.80390305319483</c:v>
                </c:pt>
              </c:numCache>
            </c:num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99.456405413912492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'1_推計値サマリ'!$D$117:$E$117</c:f>
              <c:numCache>
                <c:formatCode>0.00%</c:formatCode>
                <c:ptCount val="2"/>
                <c:pt idx="0">
                  <c:v>5.6931702344546378E-2</c:v>
                </c:pt>
                <c:pt idx="1">
                  <c:v>5.7711821410451544E-2</c:v>
                </c:pt>
              </c:numCache>
            </c:num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7.7420998980632011E-2</c:v>
                </c:pt>
                <c:pt idx="1">
                  <c:v>7.8132927447995923E-2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'1_推計値サマリ'!$E$117:$F$117</c:f>
              <c:numCache>
                <c:formatCode>0.00%</c:formatCode>
                <c:ptCount val="2"/>
                <c:pt idx="0">
                  <c:v>5.7711821410451544E-2</c:v>
                </c:pt>
                <c:pt idx="1">
                  <c:v>6.0792140006140617E-2</c:v>
                </c:pt>
              </c:numCache>
            </c:num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7.8132927447995923E-2</c:v>
                </c:pt>
                <c:pt idx="1">
                  <c:v>7.9214000614062016E-2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'1_推計値サマリ'!$F$117:$G$117</c:f>
              <c:numCache>
                <c:formatCode>0.00%</c:formatCode>
                <c:ptCount val="2"/>
                <c:pt idx="0">
                  <c:v>6.0792140006140617E-2</c:v>
                </c:pt>
                <c:pt idx="1">
                  <c:v>6.1281337047353758E-2</c:v>
                </c:pt>
              </c:numCache>
            </c:num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7.9214000614062016E-2</c:v>
                </c:pt>
                <c:pt idx="1">
                  <c:v>8.2017951098731043E-2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'1_推計値サマリ'!$G$117:$H$117</c:f>
              <c:numCache>
                <c:formatCode>0.00%</c:formatCode>
                <c:ptCount val="2"/>
                <c:pt idx="0">
                  <c:v>6.1281337047353758E-2</c:v>
                </c:pt>
                <c:pt idx="1">
                  <c:v>6.1817046518888544E-2</c:v>
                </c:pt>
              </c:numCache>
            </c:num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8.2017951098731043E-2</c:v>
                </c:pt>
                <c:pt idx="1">
                  <c:v>8.2422728691851382E-2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'1_推計値サマリ'!$H$117:$I$117</c:f>
              <c:numCache>
                <c:formatCode>0.00%</c:formatCode>
                <c:ptCount val="2"/>
                <c:pt idx="0">
                  <c:v>6.1817046518888544E-2</c:v>
                </c:pt>
                <c:pt idx="1">
                  <c:v>6.2322946175637391E-2</c:v>
                </c:pt>
              </c:numCache>
            </c:num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8.2422728691851382E-2</c:v>
                </c:pt>
                <c:pt idx="1">
                  <c:v>8.4985835694050993E-2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'1_推計値サマリ'!$I$117</c:f>
              <c:numCache>
                <c:formatCode>0.00%</c:formatCode>
                <c:ptCount val="1"/>
                <c:pt idx="0">
                  <c:v>6.2322946175637391E-2</c:v>
                </c:pt>
              </c:numCache>
            </c:num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8.4985835694050993E-2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61"/>
  <sheetViews>
    <sheetView showGridLines="0" zoomScale="126" zoomScaleNormal="126" zoomScaleSheetLayoutView="70" workbookViewId="0">
      <selection activeCell="H22" sqref="H22"/>
    </sheetView>
  </sheetViews>
  <sheetFormatPr defaultColWidth="9" defaultRowHeight="13.5"/>
  <cols>
    <col min="1" max="1" width="9" style="550"/>
    <col min="2" max="2" width="28.5" style="550" customWidth="1"/>
    <col min="3" max="18" width="11.125" style="550" customWidth="1"/>
    <col min="19" max="20" width="11.25" style="550" customWidth="1"/>
    <col min="21" max="16384" width="9" style="550"/>
  </cols>
  <sheetData>
    <row r="1" spans="1:20" ht="54.75" customHeight="1">
      <c r="A1" s="1044" t="s">
        <v>349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  <c r="M1" s="1044"/>
    </row>
    <row r="2" spans="1:20" ht="15" thickBot="1">
      <c r="A2" s="352"/>
      <c r="S2" s="551" t="s">
        <v>98</v>
      </c>
      <c r="T2" s="552" t="s">
        <v>430</v>
      </c>
    </row>
    <row r="3" spans="1:20" ht="14.25" thickBot="1">
      <c r="Q3" s="1048" t="s">
        <v>67</v>
      </c>
      <c r="R3" s="1049"/>
      <c r="S3" s="887" t="s">
        <v>431</v>
      </c>
      <c r="T3" s="888"/>
    </row>
    <row r="4" spans="1:20" ht="14.25" thickBot="1">
      <c r="Q4" s="1048" t="s">
        <v>68</v>
      </c>
      <c r="R4" s="1049"/>
      <c r="S4" s="889" t="s">
        <v>432</v>
      </c>
      <c r="T4" s="890"/>
    </row>
    <row r="5" spans="1:20" ht="31.5" customHeight="1" thickBot="1">
      <c r="Q5" s="1050" t="s">
        <v>103</v>
      </c>
      <c r="R5" s="1051"/>
      <c r="S5" s="891" t="s">
        <v>326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330</v>
      </c>
    </row>
    <row r="10" spans="1:20" ht="30" customHeight="1" thickBot="1">
      <c r="A10" s="1045"/>
      <c r="B10" s="1046"/>
      <c r="C10" s="1047"/>
      <c r="D10" s="377" t="s">
        <v>366</v>
      </c>
      <c r="E10" s="749" t="s">
        <v>365</v>
      </c>
      <c r="F10" s="378" t="s">
        <v>362</v>
      </c>
      <c r="G10" s="748" t="s">
        <v>361</v>
      </c>
      <c r="H10" s="749" t="s">
        <v>360</v>
      </c>
      <c r="I10" s="750" t="s">
        <v>359</v>
      </c>
      <c r="J10" s="38" t="s">
        <v>104</v>
      </c>
      <c r="K10" s="748" t="s">
        <v>383</v>
      </c>
      <c r="L10" s="39" t="s">
        <v>105</v>
      </c>
      <c r="M10" s="748" t="s">
        <v>386</v>
      </c>
      <c r="N10" s="39" t="s">
        <v>105</v>
      </c>
      <c r="O10" s="748" t="s">
        <v>389</v>
      </c>
      <c r="P10" s="39" t="s">
        <v>105</v>
      </c>
      <c r="Q10" s="748" t="s">
        <v>392</v>
      </c>
      <c r="R10" s="39" t="s">
        <v>105</v>
      </c>
      <c r="S10" s="748" t="s">
        <v>395</v>
      </c>
      <c r="T10" s="39" t="s">
        <v>105</v>
      </c>
    </row>
    <row r="11" spans="1:20">
      <c r="A11" s="13" t="s">
        <v>1</v>
      </c>
      <c r="B11" s="3"/>
      <c r="C11" s="4"/>
      <c r="D11" s="56">
        <f t="shared" ref="D11:I11" si="0">SUM(D12:D13)</f>
        <v>5774</v>
      </c>
      <c r="E11" s="57">
        <f t="shared" si="0"/>
        <v>5740</v>
      </c>
      <c r="F11" s="58">
        <f t="shared" si="0"/>
        <v>5672</v>
      </c>
      <c r="G11" s="59">
        <f t="shared" si="0"/>
        <v>5605</v>
      </c>
      <c r="H11" s="60">
        <f t="shared" si="0"/>
        <v>5536</v>
      </c>
      <c r="I11" s="48">
        <f t="shared" si="0"/>
        <v>5469</v>
      </c>
      <c r="J11" s="86">
        <f>IFERROR((SUM(G11:I11)/3)/F11,"－")</f>
        <v>0.97614010343206403</v>
      </c>
      <c r="K11" s="59">
        <f>SUM(K12:K13)</f>
        <v>5401</v>
      </c>
      <c r="L11" s="88">
        <f>IFERROR(K11/F11,"－")</f>
        <v>0.9522214386459803</v>
      </c>
      <c r="M11" s="59">
        <f>SUM(M12:M13)</f>
        <v>5009</v>
      </c>
      <c r="N11" s="88">
        <f>IFERROR(M11/F11,"－")</f>
        <v>0.8831100141043724</v>
      </c>
      <c r="O11" s="59">
        <f>SUM(O12:O13)</f>
        <v>4640</v>
      </c>
      <c r="P11" s="88">
        <f>IFERROR(O11/F11,"－")</f>
        <v>0.81805359661495058</v>
      </c>
      <c r="Q11" s="59">
        <f>SUM(Q12:Q13)</f>
        <v>4192</v>
      </c>
      <c r="R11" s="88">
        <f>IFERROR(Q11/F11,"－")</f>
        <v>0.73906911142454157</v>
      </c>
      <c r="S11" s="59">
        <f>SUM(S12:S13)</f>
        <v>3748</v>
      </c>
      <c r="T11" s="88">
        <f>IFERROR(S11/F11,"－")</f>
        <v>0.66078984485190406</v>
      </c>
    </row>
    <row r="12" spans="1:20">
      <c r="A12" s="5"/>
      <c r="B12" s="6" t="s">
        <v>2</v>
      </c>
      <c r="C12" s="555"/>
      <c r="D12" s="55">
        <v>3270</v>
      </c>
      <c r="E12" s="50">
        <v>3285</v>
      </c>
      <c r="F12" s="51">
        <v>3257</v>
      </c>
      <c r="G12" s="52">
        <v>3231</v>
      </c>
      <c r="H12" s="53">
        <v>3203</v>
      </c>
      <c r="I12" s="54">
        <v>3177</v>
      </c>
      <c r="J12" s="86">
        <f>IFERROR((SUM(G12:I12)/3)/F12,"－")</f>
        <v>0.98362501279295866</v>
      </c>
      <c r="K12" s="61">
        <v>3149</v>
      </c>
      <c r="L12" s="88">
        <f>IFERROR(K12/F12,"－")</f>
        <v>0.96684065090574145</v>
      </c>
      <c r="M12" s="61">
        <v>2967</v>
      </c>
      <c r="N12" s="88">
        <f>IFERROR(M12/F12,"－")</f>
        <v>0.91096100706171323</v>
      </c>
      <c r="O12" s="61">
        <v>2835</v>
      </c>
      <c r="P12" s="88">
        <f>IFERROR(O12/F12,"－")</f>
        <v>0.87043291372428611</v>
      </c>
      <c r="Q12" s="61">
        <v>2639</v>
      </c>
      <c r="R12" s="88">
        <f>IFERROR(Q12/F12,"－")</f>
        <v>0.81025483573840962</v>
      </c>
      <c r="S12" s="61">
        <v>2494</v>
      </c>
      <c r="T12" s="88">
        <f>IFERROR(S12/F12,"－")</f>
        <v>0.76573533926926618</v>
      </c>
    </row>
    <row r="13" spans="1:20" ht="14.25" thickBot="1">
      <c r="A13" s="5"/>
      <c r="B13" s="62" t="s">
        <v>3</v>
      </c>
      <c r="C13" s="555"/>
      <c r="D13" s="55">
        <v>2504</v>
      </c>
      <c r="E13" s="50">
        <v>2455</v>
      </c>
      <c r="F13" s="51">
        <v>2415</v>
      </c>
      <c r="G13" s="63">
        <v>2374</v>
      </c>
      <c r="H13" s="50">
        <v>2333</v>
      </c>
      <c r="I13" s="64">
        <v>2292</v>
      </c>
      <c r="J13" s="87">
        <f>IFERROR((SUM(G13:I13)/3)/F13,"－")</f>
        <v>0.9660455486542443</v>
      </c>
      <c r="K13" s="47">
        <v>2252</v>
      </c>
      <c r="L13" s="89">
        <f>IFERROR(K13/F13,"－")</f>
        <v>0.93250517598343685</v>
      </c>
      <c r="M13" s="47">
        <v>2042</v>
      </c>
      <c r="N13" s="89">
        <f>IFERROR(M13/F13,"－")</f>
        <v>0.84554865424430636</v>
      </c>
      <c r="O13" s="47">
        <v>1805</v>
      </c>
      <c r="P13" s="89">
        <f>IFERROR(O13/F13,"－")</f>
        <v>0.7474120082815735</v>
      </c>
      <c r="Q13" s="47">
        <v>1553</v>
      </c>
      <c r="R13" s="89">
        <f>IFERROR(Q13/F13,"－")</f>
        <v>0.64306418219461703</v>
      </c>
      <c r="S13" s="47">
        <v>1254</v>
      </c>
      <c r="T13" s="89">
        <f>IFERROR(S13/F13,"－")</f>
        <v>0.51925465838509322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364</v>
      </c>
      <c r="H14" s="231"/>
      <c r="I14" s="231"/>
      <c r="J14" s="231"/>
      <c r="K14" s="635" t="s">
        <v>400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330</v>
      </c>
    </row>
    <row r="18" spans="1:20" ht="23.25" thickBot="1">
      <c r="A18" s="1045"/>
      <c r="B18" s="1046"/>
      <c r="C18" s="1047"/>
      <c r="D18" s="377" t="s">
        <v>366</v>
      </c>
      <c r="E18" s="750" t="s">
        <v>365</v>
      </c>
      <c r="F18" s="750" t="s">
        <v>362</v>
      </c>
      <c r="G18" s="748" t="s">
        <v>361</v>
      </c>
      <c r="H18" s="749" t="s">
        <v>360</v>
      </c>
      <c r="I18" s="750" t="s">
        <v>359</v>
      </c>
      <c r="J18" s="38" t="s">
        <v>104</v>
      </c>
      <c r="K18" s="748" t="s">
        <v>383</v>
      </c>
      <c r="L18" s="39" t="s">
        <v>105</v>
      </c>
      <c r="M18" s="748" t="s">
        <v>386</v>
      </c>
      <c r="N18" s="39" t="s">
        <v>105</v>
      </c>
      <c r="O18" s="748" t="s">
        <v>389</v>
      </c>
      <c r="P18" s="39" t="s">
        <v>105</v>
      </c>
      <c r="Q18" s="748" t="s">
        <v>392</v>
      </c>
      <c r="R18" s="39" t="s">
        <v>105</v>
      </c>
      <c r="S18" s="748" t="s">
        <v>395</v>
      </c>
      <c r="T18" s="39" t="s">
        <v>105</v>
      </c>
    </row>
    <row r="19" spans="1:20">
      <c r="A19" s="13" t="s">
        <v>5</v>
      </c>
      <c r="B19" s="14"/>
      <c r="C19" s="4"/>
      <c r="D19" s="59">
        <f>SUM(D20:D26)</f>
        <v>562</v>
      </c>
      <c r="E19" s="60">
        <f t="shared" ref="E19:I19" si="1">SUM(E20:E26)</f>
        <v>568</v>
      </c>
      <c r="F19" s="48">
        <f t="shared" si="1"/>
        <v>567</v>
      </c>
      <c r="G19" s="59">
        <f t="shared" si="1"/>
        <v>575</v>
      </c>
      <c r="H19" s="60">
        <f t="shared" si="1"/>
        <v>576</v>
      </c>
      <c r="I19" s="48">
        <f t="shared" si="1"/>
        <v>581</v>
      </c>
      <c r="J19" s="86">
        <f t="shared" ref="J19:J34" si="2">IFERROR((SUM(G19:I19)/3)/F19,"－")</f>
        <v>1.0182245737801294</v>
      </c>
      <c r="K19" s="59">
        <f t="shared" ref="K19:M19" si="3">SUM(K20:K26)</f>
        <v>585</v>
      </c>
      <c r="L19" s="88">
        <f t="shared" ref="L19:L34" si="4">IFERROR(K19/F19,"－")</f>
        <v>1.0317460317460319</v>
      </c>
      <c r="M19" s="59">
        <f t="shared" si="3"/>
        <v>639</v>
      </c>
      <c r="N19" s="88">
        <f>IFERROR(M19/F19,"－")</f>
        <v>1.126984126984127</v>
      </c>
      <c r="O19" s="59">
        <f t="shared" ref="O19" si="5">SUM(O20:O26)</f>
        <v>688</v>
      </c>
      <c r="P19" s="88">
        <f>IFERROR(O19/F19,"－")</f>
        <v>1.2134038800705467</v>
      </c>
      <c r="Q19" s="59">
        <f t="shared" ref="Q19:S19" si="6">SUM(Q20:Q26)</f>
        <v>666</v>
      </c>
      <c r="R19" s="88">
        <f>IFERROR(Q19/F19,"－")</f>
        <v>1.1746031746031746</v>
      </c>
      <c r="S19" s="59">
        <f t="shared" si="6"/>
        <v>586</v>
      </c>
      <c r="T19" s="90">
        <f t="shared" ref="T19:T34" si="7">IFERROR(S19/F19,"－")</f>
        <v>1.0335097001763669</v>
      </c>
    </row>
    <row r="20" spans="1:20">
      <c r="A20" s="13"/>
      <c r="B20" s="7"/>
      <c r="C20" s="8" t="s">
        <v>6</v>
      </c>
      <c r="D20" s="40">
        <v>27</v>
      </c>
      <c r="E20" s="42">
        <v>33</v>
      </c>
      <c r="F20" s="41">
        <v>33</v>
      </c>
      <c r="G20" s="40">
        <v>35</v>
      </c>
      <c r="H20" s="42">
        <v>33</v>
      </c>
      <c r="I20" s="41">
        <v>33</v>
      </c>
      <c r="J20" s="93">
        <f t="shared" si="2"/>
        <v>1.0202020202020201</v>
      </c>
      <c r="K20" s="46">
        <v>34</v>
      </c>
      <c r="L20" s="90">
        <f t="shared" si="4"/>
        <v>1.0303030303030303</v>
      </c>
      <c r="M20" s="46">
        <v>40</v>
      </c>
      <c r="N20" s="90">
        <f t="shared" ref="N20:N34" si="8">IFERROR(M20/F20,"－")</f>
        <v>1.2121212121212122</v>
      </c>
      <c r="O20" s="46">
        <v>41</v>
      </c>
      <c r="P20" s="90">
        <f t="shared" ref="P20:P34" si="9">IFERROR(O20/F20,"－")</f>
        <v>1.2424242424242424</v>
      </c>
      <c r="Q20" s="46">
        <v>37</v>
      </c>
      <c r="R20" s="90">
        <f t="shared" ref="R20:R34" si="10">IFERROR(Q20/F20,"－")</f>
        <v>1.1212121212121211</v>
      </c>
      <c r="S20" s="46">
        <v>31</v>
      </c>
      <c r="T20" s="90">
        <f t="shared" si="7"/>
        <v>0.93939393939393945</v>
      </c>
    </row>
    <row r="21" spans="1:20">
      <c r="A21" s="13"/>
      <c r="B21" s="7"/>
      <c r="C21" s="8" t="s">
        <v>7</v>
      </c>
      <c r="D21" s="40">
        <v>73</v>
      </c>
      <c r="E21" s="42">
        <v>85</v>
      </c>
      <c r="F21" s="41">
        <v>92</v>
      </c>
      <c r="G21" s="40">
        <v>93</v>
      </c>
      <c r="H21" s="42">
        <v>93</v>
      </c>
      <c r="I21" s="41">
        <v>96</v>
      </c>
      <c r="J21" s="93">
        <f t="shared" si="2"/>
        <v>1.0217391304347827</v>
      </c>
      <c r="K21" s="46">
        <v>95</v>
      </c>
      <c r="L21" s="90">
        <f t="shared" si="4"/>
        <v>1.0326086956521738</v>
      </c>
      <c r="M21" s="46">
        <v>102</v>
      </c>
      <c r="N21" s="90">
        <f t="shared" si="8"/>
        <v>1.1086956521739131</v>
      </c>
      <c r="O21" s="46">
        <v>107</v>
      </c>
      <c r="P21" s="90">
        <f t="shared" si="9"/>
        <v>1.1630434782608696</v>
      </c>
      <c r="Q21" s="46">
        <v>103</v>
      </c>
      <c r="R21" s="90">
        <f t="shared" si="10"/>
        <v>1.1195652173913044</v>
      </c>
      <c r="S21" s="46">
        <v>92</v>
      </c>
      <c r="T21" s="90">
        <f t="shared" si="7"/>
        <v>1</v>
      </c>
    </row>
    <row r="22" spans="1:20">
      <c r="A22" s="13"/>
      <c r="B22" s="7"/>
      <c r="C22" s="8" t="s">
        <v>8</v>
      </c>
      <c r="D22" s="40">
        <v>69</v>
      </c>
      <c r="E22" s="42">
        <v>70</v>
      </c>
      <c r="F22" s="41">
        <v>65</v>
      </c>
      <c r="G22" s="40">
        <v>68</v>
      </c>
      <c r="H22" s="42">
        <v>72</v>
      </c>
      <c r="I22" s="41">
        <v>73</v>
      </c>
      <c r="J22" s="93">
        <f t="shared" si="2"/>
        <v>1.0923076923076922</v>
      </c>
      <c r="K22" s="46">
        <v>75</v>
      </c>
      <c r="L22" s="90">
        <f t="shared" si="4"/>
        <v>1.1538461538461537</v>
      </c>
      <c r="M22" s="46">
        <v>82</v>
      </c>
      <c r="N22" s="90">
        <f t="shared" si="8"/>
        <v>1.2615384615384615</v>
      </c>
      <c r="O22" s="46">
        <v>85</v>
      </c>
      <c r="P22" s="90">
        <f t="shared" si="9"/>
        <v>1.3076923076923077</v>
      </c>
      <c r="Q22" s="46">
        <v>78</v>
      </c>
      <c r="R22" s="90">
        <f t="shared" si="10"/>
        <v>1.2</v>
      </c>
      <c r="S22" s="46">
        <v>67</v>
      </c>
      <c r="T22" s="90">
        <f t="shared" si="7"/>
        <v>1.0307692307692307</v>
      </c>
    </row>
    <row r="23" spans="1:20">
      <c r="A23" s="13"/>
      <c r="B23" s="7"/>
      <c r="C23" s="8" t="s">
        <v>9</v>
      </c>
      <c r="D23" s="40">
        <v>126</v>
      </c>
      <c r="E23" s="42">
        <v>116</v>
      </c>
      <c r="F23" s="41">
        <v>97</v>
      </c>
      <c r="G23" s="40">
        <v>92</v>
      </c>
      <c r="H23" s="42">
        <v>91</v>
      </c>
      <c r="I23" s="41">
        <v>93</v>
      </c>
      <c r="J23" s="93">
        <f t="shared" si="2"/>
        <v>0.94845360824742264</v>
      </c>
      <c r="K23" s="46">
        <v>94</v>
      </c>
      <c r="L23" s="90">
        <f t="shared" si="4"/>
        <v>0.96907216494845361</v>
      </c>
      <c r="M23" s="46">
        <v>104</v>
      </c>
      <c r="N23" s="90">
        <f t="shared" si="8"/>
        <v>1.0721649484536082</v>
      </c>
      <c r="O23" s="46">
        <v>108</v>
      </c>
      <c r="P23" s="90">
        <f t="shared" si="9"/>
        <v>1.1134020618556701</v>
      </c>
      <c r="Q23" s="46">
        <v>102</v>
      </c>
      <c r="R23" s="90">
        <f t="shared" si="10"/>
        <v>1.0515463917525774</v>
      </c>
      <c r="S23" s="46">
        <v>89</v>
      </c>
      <c r="T23" s="90">
        <f t="shared" si="7"/>
        <v>0.91752577319587625</v>
      </c>
    </row>
    <row r="24" spans="1:20">
      <c r="A24" s="13"/>
      <c r="B24" s="7"/>
      <c r="C24" s="8" t="s">
        <v>10</v>
      </c>
      <c r="D24" s="40">
        <v>126</v>
      </c>
      <c r="E24" s="42">
        <v>131</v>
      </c>
      <c r="F24" s="41">
        <v>133</v>
      </c>
      <c r="G24" s="40">
        <v>134</v>
      </c>
      <c r="H24" s="42">
        <v>134</v>
      </c>
      <c r="I24" s="41">
        <v>134</v>
      </c>
      <c r="J24" s="93">
        <f t="shared" si="2"/>
        <v>1.0075187969924813</v>
      </c>
      <c r="K24" s="46">
        <v>133</v>
      </c>
      <c r="L24" s="90">
        <f t="shared" si="4"/>
        <v>1</v>
      </c>
      <c r="M24" s="46">
        <v>149</v>
      </c>
      <c r="N24" s="90">
        <f t="shared" si="8"/>
        <v>1.1203007518796992</v>
      </c>
      <c r="O24" s="46">
        <v>164</v>
      </c>
      <c r="P24" s="90">
        <f t="shared" si="9"/>
        <v>1.2330827067669172</v>
      </c>
      <c r="Q24" s="46">
        <v>164</v>
      </c>
      <c r="R24" s="90">
        <f t="shared" si="10"/>
        <v>1.2330827067669172</v>
      </c>
      <c r="S24" s="46">
        <v>143</v>
      </c>
      <c r="T24" s="90">
        <f t="shared" si="7"/>
        <v>1.0751879699248121</v>
      </c>
    </row>
    <row r="25" spans="1:20">
      <c r="A25" s="13"/>
      <c r="B25" s="7"/>
      <c r="C25" s="8" t="s">
        <v>11</v>
      </c>
      <c r="D25" s="40">
        <v>89</v>
      </c>
      <c r="E25" s="42">
        <v>84</v>
      </c>
      <c r="F25" s="41">
        <v>98</v>
      </c>
      <c r="G25" s="40">
        <v>103</v>
      </c>
      <c r="H25" s="42">
        <v>103</v>
      </c>
      <c r="I25" s="41">
        <v>102</v>
      </c>
      <c r="J25" s="93">
        <f t="shared" si="2"/>
        <v>1.0476190476190477</v>
      </c>
      <c r="K25" s="46">
        <v>103</v>
      </c>
      <c r="L25" s="90">
        <f t="shared" si="4"/>
        <v>1.0510204081632653</v>
      </c>
      <c r="M25" s="46">
        <v>110</v>
      </c>
      <c r="N25" s="90">
        <f t="shared" si="8"/>
        <v>1.1224489795918366</v>
      </c>
      <c r="O25" s="46">
        <v>122</v>
      </c>
      <c r="P25" s="90">
        <f t="shared" si="9"/>
        <v>1.2448979591836735</v>
      </c>
      <c r="Q25" s="46">
        <v>119</v>
      </c>
      <c r="R25" s="90">
        <f t="shared" si="10"/>
        <v>1.2142857142857142</v>
      </c>
      <c r="S25" s="46">
        <v>107</v>
      </c>
      <c r="T25" s="90">
        <f t="shared" si="7"/>
        <v>1.0918367346938775</v>
      </c>
    </row>
    <row r="26" spans="1:20">
      <c r="A26" s="232"/>
      <c r="B26" s="559"/>
      <c r="C26" s="8" t="s">
        <v>12</v>
      </c>
      <c r="D26" s="40">
        <v>52</v>
      </c>
      <c r="E26" s="42">
        <v>49</v>
      </c>
      <c r="F26" s="41">
        <v>49</v>
      </c>
      <c r="G26" s="40">
        <v>50</v>
      </c>
      <c r="H26" s="42">
        <v>50</v>
      </c>
      <c r="I26" s="41">
        <v>50</v>
      </c>
      <c r="J26" s="93">
        <f t="shared" si="2"/>
        <v>1.0204081632653061</v>
      </c>
      <c r="K26" s="46">
        <v>51</v>
      </c>
      <c r="L26" s="90">
        <f t="shared" si="4"/>
        <v>1.0408163265306123</v>
      </c>
      <c r="M26" s="46">
        <v>52</v>
      </c>
      <c r="N26" s="90">
        <f t="shared" si="8"/>
        <v>1.0612244897959184</v>
      </c>
      <c r="O26" s="46">
        <v>61</v>
      </c>
      <c r="P26" s="90">
        <f t="shared" si="9"/>
        <v>1.2448979591836735</v>
      </c>
      <c r="Q26" s="46">
        <v>63</v>
      </c>
      <c r="R26" s="90">
        <f t="shared" si="10"/>
        <v>1.2857142857142858</v>
      </c>
      <c r="S26" s="46">
        <v>57</v>
      </c>
      <c r="T26" s="90">
        <f t="shared" si="7"/>
        <v>1.1632653061224489</v>
      </c>
    </row>
    <row r="27" spans="1:20">
      <c r="A27" s="208"/>
      <c r="B27" s="9" t="s">
        <v>13</v>
      </c>
      <c r="C27" s="10"/>
      <c r="D27" s="65">
        <f t="shared" ref="D27:K27" si="11">SUM(D28:D34)</f>
        <v>554</v>
      </c>
      <c r="E27" s="66">
        <f t="shared" si="11"/>
        <v>560</v>
      </c>
      <c r="F27" s="49">
        <f t="shared" si="11"/>
        <v>562</v>
      </c>
      <c r="G27" s="65">
        <f t="shared" si="11"/>
        <v>570</v>
      </c>
      <c r="H27" s="66">
        <f t="shared" si="11"/>
        <v>571</v>
      </c>
      <c r="I27" s="49">
        <f t="shared" si="11"/>
        <v>576</v>
      </c>
      <c r="J27" s="94">
        <f t="shared" si="2"/>
        <v>1.0183867141162515</v>
      </c>
      <c r="K27" s="67">
        <f t="shared" si="11"/>
        <v>580</v>
      </c>
      <c r="L27" s="91">
        <f t="shared" si="4"/>
        <v>1.0320284697508897</v>
      </c>
      <c r="M27" s="67">
        <f t="shared" ref="M27" si="12">SUM(M28:M34)</f>
        <v>634</v>
      </c>
      <c r="N27" s="91">
        <f t="shared" si="8"/>
        <v>1.1281138790035588</v>
      </c>
      <c r="O27" s="67">
        <f t="shared" ref="O27" si="13">SUM(O28:O34)</f>
        <v>683</v>
      </c>
      <c r="P27" s="91">
        <f t="shared" si="9"/>
        <v>1.2153024911032029</v>
      </c>
      <c r="Q27" s="67">
        <f t="shared" ref="Q27:S27" si="14">SUM(Q28:Q34)</f>
        <v>662</v>
      </c>
      <c r="R27" s="91">
        <f t="shared" si="10"/>
        <v>1.1779359430604983</v>
      </c>
      <c r="S27" s="67">
        <f t="shared" si="14"/>
        <v>584</v>
      </c>
      <c r="T27" s="90">
        <f t="shared" si="7"/>
        <v>1.0391459074733096</v>
      </c>
    </row>
    <row r="28" spans="1:20">
      <c r="A28" s="5"/>
      <c r="B28" s="11"/>
      <c r="C28" s="8" t="s">
        <v>6</v>
      </c>
      <c r="D28" s="40">
        <v>27</v>
      </c>
      <c r="E28" s="42">
        <v>33</v>
      </c>
      <c r="F28" s="41">
        <v>33</v>
      </c>
      <c r="G28" s="40">
        <v>35</v>
      </c>
      <c r="H28" s="42">
        <v>33</v>
      </c>
      <c r="I28" s="41">
        <v>33</v>
      </c>
      <c r="J28" s="93">
        <f t="shared" si="2"/>
        <v>1.0202020202020201</v>
      </c>
      <c r="K28" s="46">
        <v>34</v>
      </c>
      <c r="L28" s="90">
        <f t="shared" si="4"/>
        <v>1.0303030303030303</v>
      </c>
      <c r="M28" s="46">
        <v>40</v>
      </c>
      <c r="N28" s="90">
        <f t="shared" si="8"/>
        <v>1.2121212121212122</v>
      </c>
      <c r="O28" s="46">
        <v>41</v>
      </c>
      <c r="P28" s="90">
        <f t="shared" si="9"/>
        <v>1.2424242424242424</v>
      </c>
      <c r="Q28" s="46">
        <v>37</v>
      </c>
      <c r="R28" s="90">
        <f t="shared" si="10"/>
        <v>1.1212121212121211</v>
      </c>
      <c r="S28" s="46">
        <v>31</v>
      </c>
      <c r="T28" s="90">
        <f t="shared" si="7"/>
        <v>0.93939393939393945</v>
      </c>
    </row>
    <row r="29" spans="1:20">
      <c r="A29" s="5"/>
      <c r="B29" s="11"/>
      <c r="C29" s="8" t="s">
        <v>7</v>
      </c>
      <c r="D29" s="40">
        <v>72</v>
      </c>
      <c r="E29" s="42">
        <v>84</v>
      </c>
      <c r="F29" s="41">
        <v>91</v>
      </c>
      <c r="G29" s="40">
        <v>92</v>
      </c>
      <c r="H29" s="42">
        <v>92</v>
      </c>
      <c r="I29" s="41">
        <v>95</v>
      </c>
      <c r="J29" s="93">
        <f t="shared" si="2"/>
        <v>1.0219780219780219</v>
      </c>
      <c r="K29" s="46">
        <v>94</v>
      </c>
      <c r="L29" s="90">
        <f t="shared" si="4"/>
        <v>1.0329670329670331</v>
      </c>
      <c r="M29" s="46">
        <v>101</v>
      </c>
      <c r="N29" s="90">
        <f t="shared" si="8"/>
        <v>1.1098901098901099</v>
      </c>
      <c r="O29" s="46">
        <v>106</v>
      </c>
      <c r="P29" s="90">
        <f t="shared" si="9"/>
        <v>1.1648351648351649</v>
      </c>
      <c r="Q29" s="46">
        <v>102</v>
      </c>
      <c r="R29" s="90">
        <f t="shared" si="10"/>
        <v>1.1208791208791209</v>
      </c>
      <c r="S29" s="46">
        <v>92</v>
      </c>
      <c r="T29" s="90">
        <f t="shared" si="7"/>
        <v>1.0109890109890109</v>
      </c>
    </row>
    <row r="30" spans="1:20">
      <c r="A30" s="208"/>
      <c r="B30" s="560"/>
      <c r="C30" s="8" t="s">
        <v>8</v>
      </c>
      <c r="D30" s="40">
        <v>68</v>
      </c>
      <c r="E30" s="42">
        <v>69</v>
      </c>
      <c r="F30" s="41">
        <v>65</v>
      </c>
      <c r="G30" s="40">
        <v>68</v>
      </c>
      <c r="H30" s="42">
        <v>72</v>
      </c>
      <c r="I30" s="41">
        <v>73</v>
      </c>
      <c r="J30" s="93">
        <f t="shared" si="2"/>
        <v>1.0923076923076922</v>
      </c>
      <c r="K30" s="46">
        <v>75</v>
      </c>
      <c r="L30" s="90">
        <f t="shared" si="4"/>
        <v>1.1538461538461537</v>
      </c>
      <c r="M30" s="46">
        <v>82</v>
      </c>
      <c r="N30" s="90">
        <f t="shared" si="8"/>
        <v>1.2615384615384615</v>
      </c>
      <c r="O30" s="46">
        <v>85</v>
      </c>
      <c r="P30" s="90">
        <f t="shared" si="9"/>
        <v>1.3076923076923077</v>
      </c>
      <c r="Q30" s="46">
        <v>78</v>
      </c>
      <c r="R30" s="90">
        <f t="shared" si="10"/>
        <v>1.2</v>
      </c>
      <c r="S30" s="46">
        <v>67</v>
      </c>
      <c r="T30" s="90">
        <f t="shared" si="7"/>
        <v>1.0307692307692307</v>
      </c>
    </row>
    <row r="31" spans="1:20">
      <c r="A31" s="208"/>
      <c r="B31" s="560"/>
      <c r="C31" s="8" t="s">
        <v>9</v>
      </c>
      <c r="D31" s="40">
        <v>124</v>
      </c>
      <c r="E31" s="42">
        <v>115</v>
      </c>
      <c r="F31" s="41">
        <v>97</v>
      </c>
      <c r="G31" s="40">
        <v>92</v>
      </c>
      <c r="H31" s="42">
        <v>91</v>
      </c>
      <c r="I31" s="41">
        <v>93</v>
      </c>
      <c r="J31" s="93">
        <f t="shared" si="2"/>
        <v>0.94845360824742264</v>
      </c>
      <c r="K31" s="46">
        <v>94</v>
      </c>
      <c r="L31" s="90">
        <f t="shared" si="4"/>
        <v>0.96907216494845361</v>
      </c>
      <c r="M31" s="46">
        <v>104</v>
      </c>
      <c r="N31" s="90">
        <f t="shared" si="8"/>
        <v>1.0721649484536082</v>
      </c>
      <c r="O31" s="46">
        <v>108</v>
      </c>
      <c r="P31" s="90">
        <f t="shared" si="9"/>
        <v>1.1134020618556701</v>
      </c>
      <c r="Q31" s="46">
        <v>102</v>
      </c>
      <c r="R31" s="90">
        <f t="shared" si="10"/>
        <v>1.0515463917525774</v>
      </c>
      <c r="S31" s="46">
        <v>89</v>
      </c>
      <c r="T31" s="90">
        <f t="shared" si="7"/>
        <v>0.91752577319587625</v>
      </c>
    </row>
    <row r="32" spans="1:20">
      <c r="A32" s="208"/>
      <c r="B32" s="560"/>
      <c r="C32" s="8" t="s">
        <v>10</v>
      </c>
      <c r="D32" s="40">
        <v>125</v>
      </c>
      <c r="E32" s="42">
        <v>128</v>
      </c>
      <c r="F32" s="41">
        <v>131</v>
      </c>
      <c r="G32" s="40">
        <v>132</v>
      </c>
      <c r="H32" s="42">
        <v>132</v>
      </c>
      <c r="I32" s="41">
        <v>132</v>
      </c>
      <c r="J32" s="93">
        <f t="shared" si="2"/>
        <v>1.0076335877862594</v>
      </c>
      <c r="K32" s="46">
        <v>131</v>
      </c>
      <c r="L32" s="90">
        <f t="shared" si="4"/>
        <v>1</v>
      </c>
      <c r="M32" s="46">
        <v>147</v>
      </c>
      <c r="N32" s="90">
        <f t="shared" si="8"/>
        <v>1.1221374045801527</v>
      </c>
      <c r="O32" s="46">
        <v>162</v>
      </c>
      <c r="P32" s="90">
        <f t="shared" si="9"/>
        <v>1.2366412213740459</v>
      </c>
      <c r="Q32" s="46">
        <v>162</v>
      </c>
      <c r="R32" s="90">
        <f t="shared" si="10"/>
        <v>1.2366412213740459</v>
      </c>
      <c r="S32" s="46">
        <v>142</v>
      </c>
      <c r="T32" s="90">
        <f t="shared" si="7"/>
        <v>1.083969465648855</v>
      </c>
    </row>
    <row r="33" spans="1:20">
      <c r="A33" s="208"/>
      <c r="B33" s="560"/>
      <c r="C33" s="8" t="s">
        <v>11</v>
      </c>
      <c r="D33" s="40">
        <v>87</v>
      </c>
      <c r="E33" s="42">
        <v>83</v>
      </c>
      <c r="F33" s="41">
        <v>98</v>
      </c>
      <c r="G33" s="40">
        <v>103</v>
      </c>
      <c r="H33" s="42">
        <v>103</v>
      </c>
      <c r="I33" s="41">
        <v>102</v>
      </c>
      <c r="J33" s="93">
        <f t="shared" si="2"/>
        <v>1.0476190476190477</v>
      </c>
      <c r="K33" s="46">
        <v>103</v>
      </c>
      <c r="L33" s="90">
        <f t="shared" si="4"/>
        <v>1.0510204081632653</v>
      </c>
      <c r="M33" s="46">
        <v>110</v>
      </c>
      <c r="N33" s="90">
        <f t="shared" si="8"/>
        <v>1.1224489795918366</v>
      </c>
      <c r="O33" s="46">
        <v>122</v>
      </c>
      <c r="P33" s="90">
        <f t="shared" si="9"/>
        <v>1.2448979591836735</v>
      </c>
      <c r="Q33" s="46">
        <v>119</v>
      </c>
      <c r="R33" s="90">
        <f t="shared" si="10"/>
        <v>1.2142857142857142</v>
      </c>
      <c r="S33" s="46">
        <v>107</v>
      </c>
      <c r="T33" s="90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>
        <v>51</v>
      </c>
      <c r="E34" s="44">
        <v>48</v>
      </c>
      <c r="F34" s="45">
        <v>47</v>
      </c>
      <c r="G34" s="43">
        <v>48</v>
      </c>
      <c r="H34" s="44">
        <v>48</v>
      </c>
      <c r="I34" s="45">
        <v>48</v>
      </c>
      <c r="J34" s="95">
        <f t="shared" si="2"/>
        <v>1.0212765957446808</v>
      </c>
      <c r="K34" s="47">
        <v>49</v>
      </c>
      <c r="L34" s="92">
        <f t="shared" si="4"/>
        <v>1.0425531914893618</v>
      </c>
      <c r="M34" s="47">
        <v>50</v>
      </c>
      <c r="N34" s="92">
        <f t="shared" si="8"/>
        <v>1.0638297872340425</v>
      </c>
      <c r="O34" s="47">
        <v>59</v>
      </c>
      <c r="P34" s="92">
        <f t="shared" si="9"/>
        <v>1.2553191489361701</v>
      </c>
      <c r="Q34" s="47">
        <v>62</v>
      </c>
      <c r="R34" s="92">
        <f t="shared" si="10"/>
        <v>1.3191489361702127</v>
      </c>
      <c r="S34" s="47">
        <v>56</v>
      </c>
      <c r="T34" s="92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364</v>
      </c>
      <c r="H35" s="231"/>
      <c r="I35" s="231"/>
      <c r="J35" s="231"/>
      <c r="K35" s="635" t="s">
        <v>399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366</v>
      </c>
      <c r="E39" s="750" t="s">
        <v>365</v>
      </c>
      <c r="F39" s="563" t="s">
        <v>362</v>
      </c>
      <c r="G39" s="378" t="s">
        <v>361</v>
      </c>
      <c r="H39" s="749" t="s">
        <v>360</v>
      </c>
      <c r="I39" s="750" t="s">
        <v>359</v>
      </c>
      <c r="J39" s="39" t="s">
        <v>104</v>
      </c>
      <c r="K39" s="748" t="s">
        <v>383</v>
      </c>
      <c r="L39" s="39" t="s">
        <v>105</v>
      </c>
      <c r="M39" s="748" t="s">
        <v>386</v>
      </c>
      <c r="N39" s="39" t="s">
        <v>105</v>
      </c>
      <c r="O39" s="748" t="s">
        <v>389</v>
      </c>
      <c r="P39" s="39" t="s">
        <v>105</v>
      </c>
      <c r="Q39" s="748" t="s">
        <v>392</v>
      </c>
      <c r="R39" s="39" t="s">
        <v>105</v>
      </c>
      <c r="S39" s="748" t="s">
        <v>395</v>
      </c>
      <c r="T39" s="39" t="s">
        <v>105</v>
      </c>
    </row>
    <row r="40" spans="1:20">
      <c r="A40" s="564" t="s">
        <v>76</v>
      </c>
      <c r="B40" s="526"/>
      <c r="C40" s="565"/>
      <c r="D40" s="69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27005.507000000001</v>
      </c>
      <c r="E40" s="68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34325.974799999996</v>
      </c>
      <c r="G40" s="70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36311</v>
      </c>
      <c r="H40" s="68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35580</v>
      </c>
      <c r="I40" s="68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35810</v>
      </c>
      <c r="J40" s="96">
        <f>IFERROR((SUM(G40:I40)/3)/F40,"－")</f>
        <v>1.0458649329700416</v>
      </c>
      <c r="K40" s="70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36100</v>
      </c>
      <c r="L40" s="96">
        <f>IFERROR(K40/F40,"－")</f>
        <v>1.0516817136392003</v>
      </c>
      <c r="M40" s="756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39460</v>
      </c>
      <c r="N40" s="610">
        <f>IFERROR(M40/F40,"－")</f>
        <v>1.1495667706427379</v>
      </c>
      <c r="O40" s="756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41269</v>
      </c>
      <c r="P40" s="610">
        <f>IFERROR(O40/F40,"－")</f>
        <v>1.2022673861544642</v>
      </c>
      <c r="Q40" s="756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38770</v>
      </c>
      <c r="R40" s="610">
        <f>IFERROR(Q40/F40,"－")</f>
        <v>1.129465375008083</v>
      </c>
      <c r="S40" s="756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34587</v>
      </c>
      <c r="T40" s="610">
        <f>IFERROR(S40/F40,"－")</f>
        <v>1.0076043055301667</v>
      </c>
    </row>
    <row r="41" spans="1:20" ht="14.25" thickBot="1">
      <c r="A41" s="566" t="s">
        <v>78</v>
      </c>
      <c r="B41" s="567"/>
      <c r="C41" s="568"/>
      <c r="D41" s="71">
        <f>('2_サービス別給付費'!D47+'2_サービス別給付費'!D55)</f>
        <v>0</v>
      </c>
      <c r="E41" s="72">
        <f>('2_サービス別給付費'!E47+'2_サービス別給付費'!E55)</f>
        <v>4349.2970000000005</v>
      </c>
      <c r="F41" s="179">
        <f>('2_サービス別給付費'!F47+'2_サービス別給付費'!F55)</f>
        <v>0</v>
      </c>
      <c r="G41" s="73">
        <f>('2_サービス別給付費'!G47+'2_サービス別給付費'!G55)</f>
        <v>0</v>
      </c>
      <c r="H41" s="72">
        <f>('2_サービス別給付費'!H47+'2_サービス別給付費'!H55)</f>
        <v>0</v>
      </c>
      <c r="I41" s="72">
        <f>('2_サービス別給付費'!I47+'2_サービス別給付費'!I55)</f>
        <v>0</v>
      </c>
      <c r="J41" s="97" t="str">
        <f>IFERROR((SUM(G41:I41)/3)/F41,"－")</f>
        <v>－</v>
      </c>
      <c r="K41" s="73">
        <f>('2_サービス別給付費'!K47+'2_サービス別給付費'!K55)</f>
        <v>0</v>
      </c>
      <c r="L41" s="97" t="str">
        <f>IFERROR(K41/F41,"－")</f>
        <v>－</v>
      </c>
      <c r="M41" s="757">
        <f>('2_サービス別給付費'!M47+'2_サービス別給付費'!M55)</f>
        <v>0</v>
      </c>
      <c r="N41" s="456" t="str">
        <f t="shared" ref="N41:N42" si="15">IFERROR(M41/F41,"－")</f>
        <v>－</v>
      </c>
      <c r="O41" s="757">
        <f>('2_サービス別給付費'!O47+'2_サービス別給付費'!O55)</f>
        <v>0</v>
      </c>
      <c r="P41" s="456" t="str">
        <f t="shared" ref="P41:P42" si="16">IFERROR(O41/F41,"－")</f>
        <v>－</v>
      </c>
      <c r="Q41" s="757">
        <f>('2_サービス別給付費'!Q47+'2_サービス別給付費'!Q55)</f>
        <v>0</v>
      </c>
      <c r="R41" s="456" t="str">
        <f t="shared" ref="R41:R42" si="17">IFERROR(Q41/F41,"－")</f>
        <v>－</v>
      </c>
      <c r="S41" s="757">
        <f>('2_サービス別給付費'!S47+'2_サービス別給付費'!S55)</f>
        <v>0</v>
      </c>
      <c r="T41" s="456" t="str">
        <f>IFERROR(S41/F41,"－")</f>
        <v>－</v>
      </c>
    </row>
    <row r="42" spans="1:20" ht="14.25" thickBot="1">
      <c r="A42" s="569" t="s">
        <v>36</v>
      </c>
      <c r="B42" s="375"/>
      <c r="C42" s="570"/>
      <c r="D42" s="78">
        <f>SUM(D40:D41)</f>
        <v>27005.507000000001</v>
      </c>
      <c r="E42" s="79">
        <f t="shared" ref="E42:K42" si="18">SUM(E40:E41)</f>
        <v>32287.638000000006</v>
      </c>
      <c r="F42" s="180">
        <f t="shared" si="18"/>
        <v>34325.974799999996</v>
      </c>
      <c r="G42" s="81">
        <f t="shared" si="18"/>
        <v>36311</v>
      </c>
      <c r="H42" s="81">
        <f t="shared" si="18"/>
        <v>35580</v>
      </c>
      <c r="I42" s="79">
        <f t="shared" si="18"/>
        <v>35810</v>
      </c>
      <c r="J42" s="98">
        <f>IFERROR((SUM(G42:I42)/3)/F42,"－")</f>
        <v>1.0458649329700416</v>
      </c>
      <c r="K42" s="81">
        <f t="shared" si="18"/>
        <v>36100</v>
      </c>
      <c r="L42" s="98">
        <f>IFERROR(K42/F42,"－")</f>
        <v>1.0516817136392003</v>
      </c>
      <c r="M42" s="758">
        <f t="shared" ref="M42" si="19">SUM(M40:M41)</f>
        <v>39460</v>
      </c>
      <c r="N42" s="759">
        <f t="shared" si="15"/>
        <v>1.1495667706427379</v>
      </c>
      <c r="O42" s="758">
        <f t="shared" ref="O42" si="20">SUM(O40:O41)</f>
        <v>41269</v>
      </c>
      <c r="P42" s="759">
        <f t="shared" si="16"/>
        <v>1.2022673861544642</v>
      </c>
      <c r="Q42" s="758">
        <f t="shared" ref="Q42:S42" si="21">SUM(Q40:Q41)</f>
        <v>38770</v>
      </c>
      <c r="R42" s="759">
        <f t="shared" si="17"/>
        <v>1.129465375008083</v>
      </c>
      <c r="S42" s="758">
        <f t="shared" si="21"/>
        <v>34587</v>
      </c>
      <c r="T42" s="759">
        <f>IFERROR(S42/F42,"－")</f>
        <v>1.0076043055301667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363</v>
      </c>
      <c r="H43" s="231"/>
      <c r="I43" s="231"/>
      <c r="J43" s="231"/>
      <c r="K43" s="635" t="s">
        <v>399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366</v>
      </c>
      <c r="E61" s="750" t="s">
        <v>365</v>
      </c>
      <c r="F61" s="750" t="s">
        <v>362</v>
      </c>
      <c r="G61" s="748" t="s">
        <v>361</v>
      </c>
      <c r="H61" s="749" t="s">
        <v>360</v>
      </c>
      <c r="I61" s="750" t="s">
        <v>359</v>
      </c>
      <c r="J61" s="39" t="s">
        <v>104</v>
      </c>
      <c r="K61" s="748" t="s">
        <v>383</v>
      </c>
      <c r="L61" s="39" t="s">
        <v>105</v>
      </c>
      <c r="M61" s="748" t="s">
        <v>386</v>
      </c>
      <c r="N61" s="39" t="s">
        <v>105</v>
      </c>
      <c r="O61" s="748" t="s">
        <v>389</v>
      </c>
      <c r="P61" s="39" t="s">
        <v>105</v>
      </c>
      <c r="Q61" s="748" t="s">
        <v>392</v>
      </c>
      <c r="R61" s="39" t="s">
        <v>105</v>
      </c>
      <c r="S61" s="748" t="s">
        <v>395</v>
      </c>
      <c r="T61" s="39" t="s">
        <v>105</v>
      </c>
    </row>
    <row r="62" spans="1:20">
      <c r="A62" s="572" t="s">
        <v>76</v>
      </c>
      <c r="B62" s="28"/>
      <c r="C62" s="573"/>
      <c r="D62" s="181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312648.59899999999</v>
      </c>
      <c r="E62" s="182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267245.47560000001</v>
      </c>
      <c r="G62" s="181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274934</v>
      </c>
      <c r="H62" s="184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277915</v>
      </c>
      <c r="I62" s="182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280163</v>
      </c>
      <c r="J62" s="99">
        <f>IFERROR((SUM(G62:I62)/3)/F62,"－")</f>
        <v>1.0390097944343522</v>
      </c>
      <c r="K62" s="181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258271</v>
      </c>
      <c r="L62" s="99">
        <f>IFERROR(K62/F62,"－")</f>
        <v>0.96641860604056562</v>
      </c>
      <c r="M62" s="760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284737</v>
      </c>
      <c r="N62" s="761">
        <f>IFERROR(M62/F62,"－")</f>
        <v>1.06545115258071</v>
      </c>
      <c r="O62" s="760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301521</v>
      </c>
      <c r="P62" s="761">
        <f>IFERROR(O62/F62,"－")</f>
        <v>1.1282548350839134</v>
      </c>
      <c r="Q62" s="760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296817</v>
      </c>
      <c r="R62" s="761">
        <f>IFERROR(Q62/F62,"－")</f>
        <v>1.1106530403690023</v>
      </c>
      <c r="S62" s="760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260283</v>
      </c>
      <c r="T62" s="761">
        <f>IFERROR(S62/F62,"－")</f>
        <v>0.97394726483444349</v>
      </c>
    </row>
    <row r="63" spans="1:20">
      <c r="A63" s="37" t="s">
        <v>77</v>
      </c>
      <c r="B63" s="533"/>
      <c r="C63" s="574"/>
      <c r="D63" s="74">
        <f>('2_サービス別給付費'!D106+'2_サービス別給付費'!D121+'2_サービス別給付費'!D123)</f>
        <v>91870.495999999999</v>
      </c>
      <c r="E63" s="76">
        <f>('2_サービス別給付費'!E106+'2_サービス別給付費'!E121+'2_サービス別給付費'!E123)</f>
        <v>86313.202000000005</v>
      </c>
      <c r="F63" s="77">
        <f>('2_サービス別給付費'!F106+'2_サービス別給付費'!F121+'2_サービス別給付費'!F123)</f>
        <v>67176.948000000004</v>
      </c>
      <c r="G63" s="74">
        <f>('2_サービス別給付費'!G106+'2_サービス別給付費'!G121+'2_サービス別給付費'!G123)</f>
        <v>67177</v>
      </c>
      <c r="H63" s="75">
        <f>('2_サービス別給付費'!H106+'2_サービス別給付費'!H121+'2_サービス別給付費'!H123)</f>
        <v>66933</v>
      </c>
      <c r="I63" s="76">
        <f>('2_サービス別給付費'!I106+'2_サービス別給付費'!I121+'2_サービス別給付費'!I123)</f>
        <v>66933</v>
      </c>
      <c r="J63" s="100">
        <f>IFERROR((SUM(G63:I63)/3)/F63,"－")</f>
        <v>0.99757930850525278</v>
      </c>
      <c r="K63" s="74">
        <f>('2_サービス別給付費'!K106+'2_サービス別給付費'!K121+'2_サービス別給付費'!K123)</f>
        <v>66933</v>
      </c>
      <c r="L63" s="100">
        <f>IFERROR(K63/F63,"－")</f>
        <v>0.99636857572034976</v>
      </c>
      <c r="M63" s="408">
        <f>('2_サービス別給付費'!M106+'2_サービス別給付費'!M121+'2_サービス別給付費'!M123)</f>
        <v>77200</v>
      </c>
      <c r="N63" s="411">
        <f t="shared" ref="N63:N65" si="22">IFERROR(M63/F63,"－")</f>
        <v>1.14920374173593</v>
      </c>
      <c r="O63" s="408">
        <f>('2_サービス別給付費'!O106+'2_サービス別給付費'!O121+'2_サービス別給付費'!O123)</f>
        <v>83523</v>
      </c>
      <c r="P63" s="411">
        <f t="shared" ref="P63:P65" si="23">IFERROR(O63/F63,"－")</f>
        <v>1.2433282917229285</v>
      </c>
      <c r="Q63" s="408">
        <f>('2_サービス別給付費'!Q106+'2_サービス別給付費'!Q121+'2_サービス別給付費'!Q123)</f>
        <v>79822</v>
      </c>
      <c r="R63" s="411">
        <f t="shared" ref="R63:R65" si="24">IFERROR(Q63/F63,"－")</f>
        <v>1.1882349879902254</v>
      </c>
      <c r="S63" s="408">
        <f>('2_サービス別給付費'!S106+'2_サービス別給付費'!S121+'2_サービス別給付費'!S123)</f>
        <v>70094</v>
      </c>
      <c r="T63" s="411">
        <f>IFERROR(S63/F63,"－")</f>
        <v>1.0434234076844335</v>
      </c>
    </row>
    <row r="64" spans="1:20" ht="14.25" thickBot="1">
      <c r="A64" s="575" t="s">
        <v>61</v>
      </c>
      <c r="B64" s="576"/>
      <c r="C64" s="577"/>
      <c r="D64" s="185">
        <f>('2_サービス別給付費'!D125+'2_サービス別給付費'!D132+'2_サービス別給付費'!D134+'2_サービス別給付費'!D136+'2_サービス別給付費'!D138)</f>
        <v>578238.23199999996</v>
      </c>
      <c r="E64" s="186">
        <f>('2_サービス別給付費'!E125+'2_サービス別給付費'!E132+'2_サービス別給付費'!E134+'2_サービス別給付費'!E136+'2_サービス別給付費'!E138)</f>
        <v>589563.91700000002</v>
      </c>
      <c r="F64" s="187">
        <f>('2_サービス別給付費'!F125+'2_サービス別給付費'!F132+'2_サービス別給付費'!F134+'2_サービス別給付費'!F136+'2_サービス別給付費'!F138)</f>
        <v>653839.78799999994</v>
      </c>
      <c r="G64" s="185">
        <f>('2_サービス別給付費'!G125+'2_サービス別給付費'!G132+'2_サービス別給付費'!G134+'2_サービス別給付費'!G136+'2_サービス別給付費'!G138)</f>
        <v>653839</v>
      </c>
      <c r="H64" s="188">
        <f>('2_サービス別給付費'!H125+'2_サービス別給付費'!H132+'2_サービス別給付費'!H134+'2_サービス別給付費'!H136+'2_サービス別給付費'!H138)</f>
        <v>653839</v>
      </c>
      <c r="I64" s="186">
        <f>('2_サービス別給付費'!I125+'2_サービス別給付費'!I132+'2_サービス別給付費'!I134+'2_サービス別給付費'!I136+'2_サービス別給付費'!I138)</f>
        <v>653839</v>
      </c>
      <c r="J64" s="101">
        <f>IFERROR((SUM(G64:I64)/3)/F64,"－")</f>
        <v>0.99999879481179577</v>
      </c>
      <c r="K64" s="186">
        <f>('2_サービス別給付費'!K125+'2_サービス別給付費'!K132+'2_サービス別給付費'!K134+'2_サービス別給付費'!K136+'2_サービス別給付費'!K138)</f>
        <v>719771</v>
      </c>
      <c r="L64" s="102">
        <f>IFERROR(K64/F64,"－")</f>
        <v>1.1008369530426925</v>
      </c>
      <c r="M64" s="502">
        <f>('2_サービス別給付費'!M125+'2_サービス別給付費'!M132+'2_サービス別給付費'!M134+'2_サービス別給付費'!M136+'2_サービス別給付費'!M138)</f>
        <v>775561</v>
      </c>
      <c r="N64" s="762">
        <f t="shared" si="22"/>
        <v>1.1861636661365125</v>
      </c>
      <c r="O64" s="502">
        <f>('2_サービス別給付費'!O125+'2_サービス別給付費'!O132+'2_サービス別給付費'!O134+'2_サービス別給付費'!O136+'2_サービス別給付費'!O138)</f>
        <v>864842</v>
      </c>
      <c r="P64" s="762">
        <f t="shared" si="23"/>
        <v>1.3227124073397627</v>
      </c>
      <c r="Q64" s="502">
        <f>('2_サービス別給付費'!Q125+'2_サービス別給付費'!Q132+'2_サービス別給付費'!Q134+'2_サービス別給付費'!Q136+'2_サービス別給付費'!Q138)</f>
        <v>857383</v>
      </c>
      <c r="R64" s="762">
        <f t="shared" si="24"/>
        <v>1.3113044139185976</v>
      </c>
      <c r="S64" s="502">
        <f>('2_サービス別給付費'!S125+'2_サービス別給付費'!S132+'2_サービス別給付費'!S134+'2_サービス別給付費'!S136+'2_サービス別給付費'!S138)</f>
        <v>754475</v>
      </c>
      <c r="T64" s="762">
        <f>IFERROR(S64/F64,"－")</f>
        <v>1.1539141756848852</v>
      </c>
    </row>
    <row r="65" spans="1:20" ht="14.25" thickBot="1">
      <c r="A65" s="569" t="s">
        <v>36</v>
      </c>
      <c r="B65" s="375"/>
      <c r="C65" s="570"/>
      <c r="D65" s="78">
        <f>SUM(D62:D64)</f>
        <v>982757.32699999993</v>
      </c>
      <c r="E65" s="79">
        <f t="shared" ref="E65:I65" si="25">SUM(E62:E64)</f>
        <v>965936.12899999996</v>
      </c>
      <c r="F65" s="80">
        <f>SUM(F62:F64)</f>
        <v>988262.21159999992</v>
      </c>
      <c r="G65" s="78">
        <f t="shared" si="25"/>
        <v>995950</v>
      </c>
      <c r="H65" s="81">
        <f t="shared" si="25"/>
        <v>998687</v>
      </c>
      <c r="I65" s="79">
        <f t="shared" si="25"/>
        <v>1000935</v>
      </c>
      <c r="J65" s="98">
        <f>IFERROR((SUM(G65:I65)/3)/F65,"－")</f>
        <v>1.0103836697179651</v>
      </c>
      <c r="K65" s="81">
        <f>SUM(K62:K64)</f>
        <v>1044975</v>
      </c>
      <c r="L65" s="98">
        <f>IFERROR(K65/F65,"－")</f>
        <v>1.0573863775568044</v>
      </c>
      <c r="M65" s="758">
        <f>SUM(M62:M64)</f>
        <v>1137498</v>
      </c>
      <c r="N65" s="759">
        <f t="shared" si="22"/>
        <v>1.1510082917755065</v>
      </c>
      <c r="O65" s="758">
        <f>SUM(O62:O64)</f>
        <v>1249886</v>
      </c>
      <c r="P65" s="759">
        <f t="shared" si="23"/>
        <v>1.2647311465814628</v>
      </c>
      <c r="Q65" s="758">
        <f>SUM(Q62:Q64)</f>
        <v>1234022</v>
      </c>
      <c r="R65" s="759">
        <f t="shared" si="24"/>
        <v>1.2486787266732724</v>
      </c>
      <c r="S65" s="758">
        <f>SUM(S62:S64)</f>
        <v>1084852</v>
      </c>
      <c r="T65" s="759">
        <f>IFERROR(S65/F65,"－")</f>
        <v>1.0977370046797812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363</v>
      </c>
      <c r="H66" s="231"/>
      <c r="I66" s="231"/>
      <c r="J66" s="231"/>
      <c r="K66" s="636" t="s">
        <v>399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366</v>
      </c>
      <c r="E84" s="750" t="s">
        <v>365</v>
      </c>
      <c r="F84" s="750" t="s">
        <v>362</v>
      </c>
      <c r="G84" s="748" t="s">
        <v>361</v>
      </c>
      <c r="H84" s="749" t="s">
        <v>360</v>
      </c>
      <c r="I84" s="750" t="s">
        <v>359</v>
      </c>
      <c r="J84" s="39" t="s">
        <v>104</v>
      </c>
      <c r="K84" s="748" t="s">
        <v>383</v>
      </c>
      <c r="L84" s="39" t="s">
        <v>105</v>
      </c>
      <c r="M84" s="748" t="s">
        <v>386</v>
      </c>
      <c r="N84" s="39" t="s">
        <v>105</v>
      </c>
      <c r="O84" s="748" t="s">
        <v>389</v>
      </c>
      <c r="P84" s="39" t="s">
        <v>105</v>
      </c>
      <c r="Q84" s="748" t="s">
        <v>392</v>
      </c>
      <c r="R84" s="39" t="s">
        <v>105</v>
      </c>
      <c r="S84" s="748" t="s">
        <v>395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>
        <f>D42+D65</f>
        <v>1009762.8339999999</v>
      </c>
      <c r="E85" s="581">
        <f>E65+E42</f>
        <v>998223.76699999999</v>
      </c>
      <c r="F85" s="582">
        <f>F65+F42</f>
        <v>1022588.1863999999</v>
      </c>
      <c r="G85" s="580">
        <f>G65+G42</f>
        <v>1032261</v>
      </c>
      <c r="H85" s="581">
        <f>H65+H42</f>
        <v>1034267</v>
      </c>
      <c r="I85" s="582">
        <f>I65+I42</f>
        <v>1036745</v>
      </c>
      <c r="J85" s="98">
        <f>IFERROR((SUM(G85:I85)/3)/F85,"－")</f>
        <v>1.0115746955526665</v>
      </c>
      <c r="K85" s="580">
        <f>K65+K42</f>
        <v>1081075</v>
      </c>
      <c r="L85" s="98">
        <f>IFERROR(K85/F85,"－")</f>
        <v>1.0571948848792216</v>
      </c>
      <c r="M85" s="763">
        <f>M65+M42</f>
        <v>1176958</v>
      </c>
      <c r="N85" s="759">
        <f>IFERROR(M85/F85,"－")</f>
        <v>1.1509599031683084</v>
      </c>
      <c r="O85" s="763">
        <f>O65+O42</f>
        <v>1291155</v>
      </c>
      <c r="P85" s="759">
        <f>IFERROR(O85/F85,"－")</f>
        <v>1.2626343792856476</v>
      </c>
      <c r="Q85" s="763">
        <f>Q65+Q42</f>
        <v>1272792</v>
      </c>
      <c r="R85" s="759">
        <f>IFERROR(Q85/F85,"－")</f>
        <v>1.2446770038297013</v>
      </c>
      <c r="S85" s="763">
        <f>S65+S42</f>
        <v>1119439</v>
      </c>
      <c r="T85" s="759">
        <f>IFERROR(S85/F85,"－")</f>
        <v>1.0947114536311644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363</v>
      </c>
      <c r="H86" s="231"/>
      <c r="I86" s="231"/>
      <c r="J86" s="231"/>
      <c r="K86" s="636" t="s">
        <v>399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366</v>
      </c>
      <c r="E90" s="750" t="s">
        <v>365</v>
      </c>
      <c r="F90" s="750" t="s">
        <v>362</v>
      </c>
      <c r="G90" s="748" t="s">
        <v>361</v>
      </c>
      <c r="H90" s="749" t="s">
        <v>360</v>
      </c>
      <c r="I90" s="563" t="s">
        <v>359</v>
      </c>
    </row>
    <row r="91" spans="1:20">
      <c r="A91" s="320" t="s">
        <v>70</v>
      </c>
      <c r="B91" s="584"/>
      <c r="C91" s="321"/>
      <c r="D91" s="103">
        <f t="shared" ref="D91:I91" si="26">IFERROR((D62+D40)/D12,"－")</f>
        <v>103.86975718654433</v>
      </c>
      <c r="E91" s="104">
        <f t="shared" si="26"/>
        <v>96.802846575342457</v>
      </c>
      <c r="F91" s="105">
        <f t="shared" si="26"/>
        <v>92.591787043291362</v>
      </c>
      <c r="G91" s="103">
        <f t="shared" si="26"/>
        <v>96.330857319715264</v>
      </c>
      <c r="H91" s="104">
        <f t="shared" si="26"/>
        <v>97.875429285045271</v>
      </c>
      <c r="I91" s="105">
        <f t="shared" si="26"/>
        <v>99.456405413912492</v>
      </c>
    </row>
    <row r="92" spans="1:20" ht="14.25" thickBot="1">
      <c r="A92" s="213" t="s">
        <v>71</v>
      </c>
      <c r="B92" s="585"/>
      <c r="C92" s="214"/>
      <c r="D92" s="106">
        <f t="shared" ref="D92:I92" si="27">IFERROR(D64/D12,"－")</f>
        <v>176.83126360856267</v>
      </c>
      <c r="E92" s="107">
        <f t="shared" si="27"/>
        <v>179.47151202435313</v>
      </c>
      <c r="F92" s="108">
        <f t="shared" si="27"/>
        <v>200.74909057414797</v>
      </c>
      <c r="G92" s="106">
        <f t="shared" si="27"/>
        <v>202.36428350355928</v>
      </c>
      <c r="H92" s="107">
        <f t="shared" si="27"/>
        <v>204.13331251951297</v>
      </c>
      <c r="I92" s="108">
        <f t="shared" si="27"/>
        <v>205.80390305319483</v>
      </c>
    </row>
    <row r="101" spans="1:12">
      <c r="H101" s="1042"/>
      <c r="I101" s="1042"/>
      <c r="J101" s="1042"/>
      <c r="K101" s="1042"/>
      <c r="L101" s="1042"/>
    </row>
    <row r="102" spans="1:12">
      <c r="H102" s="1042"/>
      <c r="I102" s="1042"/>
      <c r="J102" s="1042"/>
      <c r="K102" s="1042"/>
      <c r="L102" s="1042"/>
    </row>
    <row r="103" spans="1:12">
      <c r="H103" s="1042"/>
      <c r="I103" s="1042"/>
      <c r="J103" s="1042"/>
      <c r="K103" s="1042"/>
      <c r="L103" s="1042"/>
    </row>
    <row r="104" spans="1:12">
      <c r="H104" s="1042"/>
      <c r="I104" s="1042"/>
      <c r="J104" s="1042"/>
      <c r="K104" s="1042"/>
      <c r="L104" s="1042"/>
    </row>
    <row r="105" spans="1:12">
      <c r="H105" s="1042"/>
      <c r="I105" s="1042"/>
      <c r="J105" s="1042"/>
      <c r="K105" s="1042"/>
      <c r="L105" s="1042"/>
    </row>
    <row r="106" spans="1:12">
      <c r="H106" s="1042" t="s">
        <v>367</v>
      </c>
      <c r="I106" s="1042"/>
      <c r="J106" s="1042"/>
      <c r="K106" s="1042"/>
      <c r="L106" s="1042"/>
    </row>
    <row r="107" spans="1:12">
      <c r="H107" s="1042"/>
      <c r="I107" s="1042"/>
      <c r="J107" s="1042"/>
      <c r="K107" s="1042"/>
      <c r="L107" s="1042"/>
    </row>
    <row r="108" spans="1:12">
      <c r="H108" s="1042"/>
      <c r="I108" s="1042"/>
      <c r="J108" s="1042"/>
      <c r="K108" s="1042"/>
      <c r="L108" s="1042"/>
    </row>
    <row r="109" spans="1:12">
      <c r="H109" s="1042"/>
      <c r="I109" s="1042"/>
      <c r="J109" s="1042"/>
      <c r="K109" s="1042"/>
      <c r="L109" s="1042"/>
    </row>
    <row r="110" spans="1:12">
      <c r="H110" s="1042"/>
      <c r="I110" s="1042"/>
      <c r="J110" s="1042"/>
      <c r="K110" s="1042"/>
      <c r="L110" s="1042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366</v>
      </c>
      <c r="E115" s="750" t="s">
        <v>365</v>
      </c>
      <c r="F115" s="750" t="s">
        <v>362</v>
      </c>
      <c r="G115" s="748" t="s">
        <v>361</v>
      </c>
      <c r="H115" s="749" t="s">
        <v>360</v>
      </c>
      <c r="I115" s="563" t="s">
        <v>359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>
        <f>IFERROR(('2_サービス別給付費'!D54+'2_サービス別給付費'!D58+'2_サービス別給付費'!D120+'2_サービス別給付費'!D128+'2_サービス別給付費'!D141)/D12,"－")</f>
        <v>7.7420998980632011E-2</v>
      </c>
      <c r="E116" s="621">
        <f>IFERROR(('2_サービス別給付費'!E54+'2_サービス別給付費'!E58+'2_サービス別給付費'!E120+'2_サービス別給付費'!E128+'2_サービス別給付費'!E141)/E12,"－")</f>
        <v>7.8132927447995923E-2</v>
      </c>
      <c r="F116" s="622">
        <f>IFERROR(('2_サービス別給付費'!F54+'2_サービス別給付費'!F58+'2_サービス別給付費'!F120+'2_サービス別給付費'!F128+'2_サービス別給付費'!F141)/F12,"－")</f>
        <v>7.9214000614062016E-2</v>
      </c>
      <c r="G116" s="620">
        <f>IFERROR(('2_サービス別給付費'!G54+'2_サービス別給付費'!G58+'2_サービス別給付費'!G120+'2_サービス別給付費'!G128+'2_サービス別給付費'!G141)/G12,"－")</f>
        <v>8.2017951098731043E-2</v>
      </c>
      <c r="H116" s="621">
        <f>IFERROR(('2_サービス別給付費'!H54+'2_サービス別給付費'!H58+'2_サービス別給付費'!H120+'2_サービス別給付費'!H128+'2_サービス別給付費'!H141)/H12,"－")</f>
        <v>8.2422728691851382E-2</v>
      </c>
      <c r="I116" s="622">
        <f>IFERROR(('2_サービス別給付費'!I54+'2_サービス別給付費'!I58+'2_サービス別給付費'!I120+'2_サービス別給付費'!I128+'2_サービス別給付費'!I141)/I12,"－")</f>
        <v>8.4985835694050993E-2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5.6931702344546378E-2</v>
      </c>
      <c r="E117" s="624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5.7711821410451544E-2</v>
      </c>
      <c r="F117" s="625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6.0792140006140617E-2</v>
      </c>
      <c r="G117" s="623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6.1281337047353758E-2</v>
      </c>
      <c r="H117" s="624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6.1817046518888544E-2</v>
      </c>
      <c r="I117" s="625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6.2322946175637391E-2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3"/>
      <c r="I126" s="1043"/>
      <c r="J126" s="1043"/>
      <c r="K126" s="1043"/>
      <c r="L126" s="1043"/>
    </row>
    <row r="127" spans="1:12">
      <c r="A127" s="353"/>
      <c r="B127" s="353"/>
      <c r="C127" s="353"/>
      <c r="D127" s="353"/>
      <c r="E127" s="353"/>
      <c r="F127" s="353"/>
      <c r="G127" s="353"/>
      <c r="H127" s="1043"/>
      <c r="I127" s="1043"/>
      <c r="J127" s="1043"/>
      <c r="K127" s="1043"/>
      <c r="L127" s="1043"/>
    </row>
    <row r="128" spans="1:12">
      <c r="A128" s="353"/>
      <c r="B128" s="353"/>
      <c r="C128" s="353"/>
      <c r="D128" s="353"/>
      <c r="E128" s="353"/>
      <c r="F128" s="353"/>
      <c r="G128" s="353"/>
      <c r="H128" s="1043"/>
      <c r="I128" s="1043"/>
      <c r="J128" s="1043"/>
      <c r="K128" s="1043"/>
      <c r="L128" s="1043"/>
    </row>
    <row r="129" spans="1:12">
      <c r="A129" s="353"/>
      <c r="B129" s="353"/>
      <c r="C129" s="353"/>
      <c r="D129" s="353"/>
      <c r="E129" s="353"/>
      <c r="F129" s="353"/>
      <c r="G129" s="353"/>
      <c r="H129" s="1043"/>
      <c r="I129" s="1043"/>
      <c r="J129" s="1043"/>
      <c r="K129" s="1043"/>
      <c r="L129" s="1043"/>
    </row>
    <row r="130" spans="1:12">
      <c r="A130" s="353"/>
      <c r="B130" s="353"/>
      <c r="C130" s="353"/>
      <c r="D130" s="353"/>
      <c r="E130" s="353"/>
      <c r="F130" s="353"/>
      <c r="G130" s="353"/>
      <c r="H130" s="1043"/>
      <c r="I130" s="1043"/>
      <c r="J130" s="1043"/>
      <c r="K130" s="1043"/>
      <c r="L130" s="1043"/>
    </row>
    <row r="131" spans="1:12">
      <c r="A131" s="353"/>
      <c r="B131" s="353"/>
      <c r="C131" s="353"/>
      <c r="D131" s="353"/>
      <c r="E131" s="353"/>
      <c r="F131" s="353"/>
      <c r="G131" s="353"/>
      <c r="H131" s="1043" t="s">
        <v>368</v>
      </c>
      <c r="I131" s="1043"/>
      <c r="J131" s="1043"/>
      <c r="K131" s="1043"/>
      <c r="L131" s="1043"/>
    </row>
    <row r="132" spans="1:12">
      <c r="A132" s="353"/>
      <c r="B132" s="353"/>
      <c r="C132" s="353"/>
      <c r="D132" s="353"/>
      <c r="E132" s="353"/>
      <c r="F132" s="353"/>
      <c r="G132" s="353"/>
      <c r="H132" s="1043"/>
      <c r="I132" s="1043"/>
      <c r="J132" s="1043"/>
      <c r="K132" s="1043"/>
      <c r="L132" s="1043"/>
    </row>
    <row r="133" spans="1:12">
      <c r="A133" s="353"/>
      <c r="B133" s="353"/>
      <c r="C133" s="353"/>
      <c r="D133" s="353"/>
      <c r="E133" s="353"/>
      <c r="F133" s="353"/>
      <c r="G133" s="353"/>
      <c r="H133" s="1043"/>
      <c r="I133" s="1043"/>
      <c r="J133" s="1043"/>
      <c r="K133" s="1043"/>
      <c r="L133" s="1043"/>
    </row>
    <row r="134" spans="1:12">
      <c r="A134" s="353"/>
      <c r="B134" s="353"/>
      <c r="C134" s="353"/>
      <c r="D134" s="353"/>
      <c r="E134" s="353"/>
      <c r="F134" s="353"/>
      <c r="G134" s="353"/>
      <c r="H134" s="1043"/>
      <c r="I134" s="1043"/>
      <c r="J134" s="1043"/>
      <c r="K134" s="1043"/>
      <c r="L134" s="1043"/>
    </row>
    <row r="135" spans="1:12">
      <c r="A135" s="353"/>
      <c r="B135" s="353"/>
      <c r="C135" s="353"/>
      <c r="D135" s="353"/>
      <c r="E135" s="353"/>
      <c r="F135" s="353"/>
      <c r="G135" s="353"/>
      <c r="H135" s="1043"/>
      <c r="I135" s="1043"/>
      <c r="J135" s="1043"/>
      <c r="K135" s="1043"/>
      <c r="L135" s="1043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353</v>
      </c>
      <c r="G142" s="524" t="s">
        <v>351</v>
      </c>
      <c r="H142" s="204" t="s">
        <v>384</v>
      </c>
      <c r="I142" s="204" t="s">
        <v>387</v>
      </c>
      <c r="J142" s="764" t="s">
        <v>390</v>
      </c>
      <c r="K142" s="764" t="s">
        <v>393</v>
      </c>
      <c r="L142" s="764" t="s">
        <v>396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>
        <v>6508.3305762437603</v>
      </c>
      <c r="G143" s="82">
        <v>7257.2013055748303</v>
      </c>
      <c r="H143" s="83">
        <v>8408.3412564896007</v>
      </c>
      <c r="I143" s="765">
        <v>9117.1757569865094</v>
      </c>
      <c r="J143" s="765">
        <v>9435.3626572449703</v>
      </c>
      <c r="K143" s="765">
        <v>9778.1975727727695</v>
      </c>
      <c r="L143" s="765">
        <v>10182.815156394799</v>
      </c>
    </row>
    <row r="144" spans="1:12" ht="14.25" thickBot="1">
      <c r="A144" s="202" t="s">
        <v>354</v>
      </c>
      <c r="B144" s="578"/>
      <c r="C144" s="203"/>
      <c r="D144" s="596"/>
      <c r="E144" s="597"/>
      <c r="F144" s="599"/>
      <c r="G144" s="109">
        <f>IFERROR(G143/F143,"－")</f>
        <v>1.1150634130455119</v>
      </c>
      <c r="H144" s="110">
        <f>IFERROR(H143/F143,"－")</f>
        <v>1.291935183375768</v>
      </c>
      <c r="I144" s="766">
        <f>IFERROR(I143/F143,"－")</f>
        <v>1.4008470605757746</v>
      </c>
      <c r="J144" s="766">
        <f>IFERROR(J143/F143,"－")</f>
        <v>1.4497362336948973</v>
      </c>
      <c r="K144" s="766">
        <f>IFERROR(K143/F143,"－")</f>
        <v>1.5024125554507699</v>
      </c>
      <c r="L144" s="766">
        <f>IFERROR(L143/F143,"－")</f>
        <v>1.5645817367610948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39" t="s">
        <v>353</v>
      </c>
      <c r="E149" s="1041"/>
      <c r="F149" s="1039" t="s">
        <v>352</v>
      </c>
      <c r="G149" s="1041"/>
      <c r="H149" s="1039" t="s">
        <v>385</v>
      </c>
      <c r="I149" s="1041"/>
      <c r="J149" s="1039" t="s">
        <v>388</v>
      </c>
      <c r="K149" s="1040"/>
      <c r="L149" s="1039" t="s">
        <v>391</v>
      </c>
      <c r="M149" s="1040"/>
      <c r="N149" s="1039" t="s">
        <v>394</v>
      </c>
      <c r="O149" s="1040"/>
      <c r="P149" s="1039" t="s">
        <v>397</v>
      </c>
      <c r="Q149" s="1040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>
        <v>6582.3251811038172</v>
      </c>
      <c r="E151" s="610">
        <f t="shared" ref="E151:E161" si="28">IFERROR(D151/D$159,"－")</f>
        <v>0.91333433690590304</v>
      </c>
      <c r="F151" s="609">
        <v>6391.3637498800899</v>
      </c>
      <c r="G151" s="610">
        <f t="shared" ref="G151:G161" si="29">IFERROR(F151/F$159,"－")</f>
        <v>0.88069263628809336</v>
      </c>
      <c r="H151" s="611">
        <v>7515.65069223112</v>
      </c>
      <c r="I151" s="610">
        <f t="shared" ref="I151:I161" si="30">IFERROR(H151/H$159,"－")</f>
        <v>0.89383273858330892</v>
      </c>
      <c r="J151" s="611">
        <v>8078.3624681278097</v>
      </c>
      <c r="K151" s="610">
        <f t="shared" ref="K151:K161" si="31">IFERROR(J151/J$159,"－")</f>
        <v>0.88605974958169964</v>
      </c>
      <c r="L151" s="611">
        <v>8252.5133479432807</v>
      </c>
      <c r="M151" s="610">
        <f t="shared" ref="M151:M161" si="32">IFERROR(L151/L$159,"－")</f>
        <v>0.87463658236883612</v>
      </c>
      <c r="N151" s="611">
        <v>8509.3453732143298</v>
      </c>
      <c r="O151" s="610">
        <f t="shared" ref="O151:O161" si="33">IFERROR(N151/N$159,"－")</f>
        <v>0.87023659625251004</v>
      </c>
      <c r="P151" s="611">
        <v>8934.3145238749294</v>
      </c>
      <c r="Q151" s="610">
        <f t="shared" ref="Q151:Q161" si="34">IFERROR(P151/P$159,"－")</f>
        <v>0.87739140764665524</v>
      </c>
    </row>
    <row r="152" spans="1:17">
      <c r="A152" s="33"/>
      <c r="B152" s="35" t="s">
        <v>70</v>
      </c>
      <c r="C152" s="612"/>
      <c r="D152" s="613">
        <v>2286.0398271711601</v>
      </c>
      <c r="E152" s="403">
        <f t="shared" si="28"/>
        <v>0.31720077818150655</v>
      </c>
      <c r="F152" s="613">
        <v>1937.45086791944</v>
      </c>
      <c r="G152" s="403">
        <f t="shared" si="29"/>
        <v>0.26696942613830082</v>
      </c>
      <c r="H152" s="614">
        <v>2046.471900583</v>
      </c>
      <c r="I152" s="403">
        <f t="shared" si="30"/>
        <v>0.243385923353613</v>
      </c>
      <c r="J152" s="614">
        <v>2225.2118402522701</v>
      </c>
      <c r="K152" s="403">
        <f t="shared" si="31"/>
        <v>0.24406810832258949</v>
      </c>
      <c r="L152" s="614">
        <v>2190.9678160573098</v>
      </c>
      <c r="M152" s="403">
        <f t="shared" si="32"/>
        <v>0.23220811914155404</v>
      </c>
      <c r="N152" s="614">
        <v>2243.59179328663</v>
      </c>
      <c r="O152" s="403">
        <f t="shared" si="33"/>
        <v>0.22944840054509377</v>
      </c>
      <c r="P152" s="614">
        <v>2353.3763998351001</v>
      </c>
      <c r="Q152" s="403">
        <f t="shared" si="34"/>
        <v>0.23111255224515997</v>
      </c>
    </row>
    <row r="153" spans="1:17">
      <c r="A153" s="33"/>
      <c r="B153" s="35" t="s">
        <v>81</v>
      </c>
      <c r="C153" s="612"/>
      <c r="D153" s="613">
        <v>582.48149968919699</v>
      </c>
      <c r="E153" s="403">
        <f t="shared" si="28"/>
        <v>8.082255732454946E-2</v>
      </c>
      <c r="F153" s="613">
        <v>414.05926657665702</v>
      </c>
      <c r="G153" s="403">
        <f t="shared" si="29"/>
        <v>5.7054951232865123E-2</v>
      </c>
      <c r="H153" s="614">
        <v>465.31928662036</v>
      </c>
      <c r="I153" s="403">
        <f t="shared" si="30"/>
        <v>5.534019997835176E-2</v>
      </c>
      <c r="J153" s="614">
        <v>529.88261479123901</v>
      </c>
      <c r="K153" s="403">
        <f t="shared" si="31"/>
        <v>5.8119161998735069E-2</v>
      </c>
      <c r="L153" s="614">
        <v>533.84347530719901</v>
      </c>
      <c r="M153" s="403">
        <f t="shared" si="32"/>
        <v>5.6579009699991314E-2</v>
      </c>
      <c r="N153" s="614">
        <v>533.65590479883099</v>
      </c>
      <c r="O153" s="403">
        <f t="shared" si="33"/>
        <v>5.4576101661597334E-2</v>
      </c>
      <c r="P153" s="614">
        <v>559.42471384013697</v>
      </c>
      <c r="Q153" s="403">
        <f t="shared" si="34"/>
        <v>5.4938119296884094E-2</v>
      </c>
    </row>
    <row r="154" spans="1:17">
      <c r="A154" s="31"/>
      <c r="B154" s="35" t="s">
        <v>71</v>
      </c>
      <c r="C154" s="612"/>
      <c r="D154" s="613">
        <v>3713.8038542434601</v>
      </c>
      <c r="E154" s="403">
        <f t="shared" si="28"/>
        <v>0.51531100139984709</v>
      </c>
      <c r="F154" s="613">
        <v>4039.853615384</v>
      </c>
      <c r="G154" s="403">
        <f t="shared" si="29"/>
        <v>0.55666825891692839</v>
      </c>
      <c r="H154" s="614">
        <v>5003.85950502776</v>
      </c>
      <c r="I154" s="403">
        <f t="shared" si="30"/>
        <v>0.59510661525134412</v>
      </c>
      <c r="J154" s="614">
        <v>5323.2680130843</v>
      </c>
      <c r="K154" s="403">
        <f t="shared" si="31"/>
        <v>0.58387247926037511</v>
      </c>
      <c r="L154" s="614">
        <v>5527.7020565787698</v>
      </c>
      <c r="M154" s="403">
        <f t="shared" si="32"/>
        <v>0.58584945352729056</v>
      </c>
      <c r="N154" s="614">
        <v>5732.0976751288699</v>
      </c>
      <c r="O154" s="403">
        <f t="shared" si="33"/>
        <v>0.58621209404581898</v>
      </c>
      <c r="P154" s="614">
        <v>6021.5134101997</v>
      </c>
      <c r="Q154" s="403">
        <f t="shared" si="34"/>
        <v>0.59134073610461191</v>
      </c>
    </row>
    <row r="155" spans="1:17">
      <c r="A155" s="30" t="s">
        <v>82</v>
      </c>
      <c r="B155" s="35"/>
      <c r="C155" s="612"/>
      <c r="D155" s="613">
        <v>532.71198400509729</v>
      </c>
      <c r="E155" s="403">
        <f t="shared" si="28"/>
        <v>7.3916759395276935E-2</v>
      </c>
      <c r="F155" s="613">
        <v>554.06722024976705</v>
      </c>
      <c r="G155" s="403">
        <f t="shared" si="29"/>
        <v>7.6347230415689887E-2</v>
      </c>
      <c r="H155" s="614">
        <v>597.70881921050398</v>
      </c>
      <c r="I155" s="403">
        <f t="shared" si="30"/>
        <v>7.1085223705589881E-2</v>
      </c>
      <c r="J155" s="614">
        <v>726.44815062704197</v>
      </c>
      <c r="K155" s="403">
        <f t="shared" si="31"/>
        <v>7.9679077160530035E-2</v>
      </c>
      <c r="L155" s="614">
        <v>857.05441569205095</v>
      </c>
      <c r="M155" s="403">
        <f t="shared" si="32"/>
        <v>9.0834284470661997E-2</v>
      </c>
      <c r="N155" s="614">
        <v>930.47814459793995</v>
      </c>
      <c r="O155" s="403">
        <f t="shared" si="33"/>
        <v>9.5158452022777798E-2</v>
      </c>
      <c r="P155" s="614">
        <v>898.86364856554098</v>
      </c>
      <c r="Q155" s="403">
        <f t="shared" si="34"/>
        <v>8.8272607796583177E-2</v>
      </c>
    </row>
    <row r="156" spans="1:17">
      <c r="A156" s="30" t="s">
        <v>83</v>
      </c>
      <c r="B156" s="615"/>
      <c r="C156" s="612"/>
      <c r="D156" s="613">
        <v>188.60771160820099</v>
      </c>
      <c r="E156" s="403">
        <f t="shared" si="28"/>
        <v>2.6170372091542389E-2</v>
      </c>
      <c r="F156" s="613">
        <v>311.77033544497499</v>
      </c>
      <c r="G156" s="403">
        <f t="shared" si="29"/>
        <v>4.2960133296217035E-2</v>
      </c>
      <c r="H156" s="614">
        <v>294.98174504797299</v>
      </c>
      <c r="I156" s="403">
        <f t="shared" si="30"/>
        <v>3.5082037711100814E-2</v>
      </c>
      <c r="J156" s="614">
        <v>312.36513823166001</v>
      </c>
      <c r="K156" s="403">
        <f t="shared" si="31"/>
        <v>3.4261173257770533E-2</v>
      </c>
      <c r="L156" s="614">
        <v>325.79489360964402</v>
      </c>
      <c r="M156" s="403">
        <f t="shared" si="32"/>
        <v>3.4529133160502469E-2</v>
      </c>
      <c r="N156" s="614">
        <v>338.37405496049797</v>
      </c>
      <c r="O156" s="403">
        <f t="shared" si="33"/>
        <v>3.4604951724712021E-2</v>
      </c>
      <c r="P156" s="614">
        <v>349.636983954372</v>
      </c>
      <c r="Q156" s="403">
        <f t="shared" si="34"/>
        <v>3.4335984556765745E-2</v>
      </c>
    </row>
    <row r="157" spans="1:17">
      <c r="A157" s="30" t="s">
        <v>84</v>
      </c>
      <c r="B157" s="615"/>
      <c r="C157" s="612"/>
      <c r="D157" s="613">
        <v>0</v>
      </c>
      <c r="E157" s="403">
        <f t="shared" si="28"/>
        <v>0</v>
      </c>
      <c r="F157" s="613">
        <v>0</v>
      </c>
      <c r="G157" s="403">
        <f t="shared" si="29"/>
        <v>0</v>
      </c>
      <c r="H157" s="614">
        <v>0</v>
      </c>
      <c r="I157" s="403">
        <f t="shared" si="30"/>
        <v>0</v>
      </c>
      <c r="J157" s="614">
        <v>0</v>
      </c>
      <c r="K157" s="403">
        <f t="shared" si="31"/>
        <v>0</v>
      </c>
      <c r="L157" s="614">
        <v>0</v>
      </c>
      <c r="M157" s="403">
        <f t="shared" si="32"/>
        <v>0</v>
      </c>
      <c r="N157" s="614">
        <v>0</v>
      </c>
      <c r="O157" s="403">
        <f t="shared" si="33"/>
        <v>0</v>
      </c>
      <c r="P157" s="614">
        <v>0</v>
      </c>
      <c r="Q157" s="403">
        <f t="shared" si="34"/>
        <v>0</v>
      </c>
    </row>
    <row r="158" spans="1:17">
      <c r="A158" s="30" t="s">
        <v>85</v>
      </c>
      <c r="B158" s="35"/>
      <c r="C158" s="612"/>
      <c r="D158" s="613">
        <v>-96.727414922434903</v>
      </c>
      <c r="E158" s="403">
        <f t="shared" si="28"/>
        <v>-1.3421468392722189E-2</v>
      </c>
      <c r="F158" s="613">
        <v>0</v>
      </c>
      <c r="G158" s="403">
        <f t="shared" si="29"/>
        <v>0</v>
      </c>
      <c r="H158" s="614">
        <v>0</v>
      </c>
      <c r="I158" s="403">
        <f t="shared" si="30"/>
        <v>0</v>
      </c>
      <c r="J158" s="614">
        <v>0</v>
      </c>
      <c r="K158" s="403">
        <f t="shared" si="31"/>
        <v>0</v>
      </c>
      <c r="L158" s="614">
        <v>0</v>
      </c>
      <c r="M158" s="403">
        <f t="shared" si="32"/>
        <v>0</v>
      </c>
      <c r="N158" s="614">
        <v>0</v>
      </c>
      <c r="O158" s="403">
        <f t="shared" si="33"/>
        <v>0</v>
      </c>
      <c r="P158" s="614">
        <v>0</v>
      </c>
      <c r="Q158" s="403">
        <f t="shared" si="34"/>
        <v>0</v>
      </c>
    </row>
    <row r="159" spans="1:17">
      <c r="A159" s="30" t="s">
        <v>86</v>
      </c>
      <c r="B159" s="35"/>
      <c r="C159" s="616"/>
      <c r="D159" s="613">
        <v>7206.9174617946792</v>
      </c>
      <c r="E159" s="403">
        <f t="shared" si="28"/>
        <v>1</v>
      </c>
      <c r="F159" s="613">
        <v>7257.2013055748303</v>
      </c>
      <c r="G159" s="403">
        <f t="shared" si="29"/>
        <v>1</v>
      </c>
      <c r="H159" s="614">
        <v>8408.3412564896007</v>
      </c>
      <c r="I159" s="403">
        <f t="shared" si="30"/>
        <v>1</v>
      </c>
      <c r="J159" s="614">
        <v>9117.1757569865094</v>
      </c>
      <c r="K159" s="403">
        <f t="shared" si="31"/>
        <v>1</v>
      </c>
      <c r="L159" s="614">
        <v>9435.3626572449703</v>
      </c>
      <c r="M159" s="403">
        <f t="shared" si="32"/>
        <v>1</v>
      </c>
      <c r="N159" s="614">
        <v>9778.1975727727695</v>
      </c>
      <c r="O159" s="403">
        <f t="shared" si="33"/>
        <v>1</v>
      </c>
      <c r="P159" s="614">
        <v>10182.815156394799</v>
      </c>
      <c r="Q159" s="403">
        <f t="shared" si="34"/>
        <v>1</v>
      </c>
    </row>
    <row r="160" spans="1:17">
      <c r="A160" s="30" t="s">
        <v>87</v>
      </c>
      <c r="B160" s="615"/>
      <c r="C160" s="616"/>
      <c r="D160" s="613">
        <v>698.58688555091896</v>
      </c>
      <c r="E160" s="403">
        <f t="shared" si="28"/>
        <v>9.6932827280771391E-2</v>
      </c>
      <c r="F160" s="613">
        <v>0</v>
      </c>
      <c r="G160" s="403">
        <f t="shared" si="29"/>
        <v>0</v>
      </c>
      <c r="H160" s="614">
        <v>0</v>
      </c>
      <c r="I160" s="403">
        <f t="shared" si="30"/>
        <v>0</v>
      </c>
      <c r="J160" s="614">
        <v>0</v>
      </c>
      <c r="K160" s="403">
        <f t="shared" si="31"/>
        <v>0</v>
      </c>
      <c r="L160" s="614">
        <v>0</v>
      </c>
      <c r="M160" s="403">
        <f t="shared" si="32"/>
        <v>0</v>
      </c>
      <c r="N160" s="614">
        <v>0</v>
      </c>
      <c r="O160" s="403">
        <f t="shared" si="33"/>
        <v>0</v>
      </c>
      <c r="P160" s="614">
        <v>0</v>
      </c>
      <c r="Q160" s="403">
        <f t="shared" si="34"/>
        <v>0</v>
      </c>
    </row>
    <row r="161" spans="1:17" ht="14.25" thickBot="1">
      <c r="A161" s="32" t="s">
        <v>112</v>
      </c>
      <c r="B161" s="36"/>
      <c r="C161" s="617"/>
      <c r="D161" s="618">
        <v>6508.3305762437603</v>
      </c>
      <c r="E161" s="456">
        <f t="shared" si="28"/>
        <v>0.90306717271922865</v>
      </c>
      <c r="F161" s="618">
        <v>7257.2013055748303</v>
      </c>
      <c r="G161" s="456">
        <f t="shared" si="29"/>
        <v>1</v>
      </c>
      <c r="H161" s="619">
        <v>8408.3412564896007</v>
      </c>
      <c r="I161" s="456">
        <f t="shared" si="30"/>
        <v>1</v>
      </c>
      <c r="J161" s="619">
        <v>9117.1757569865094</v>
      </c>
      <c r="K161" s="456">
        <f t="shared" si="31"/>
        <v>1</v>
      </c>
      <c r="L161" s="619">
        <v>9435.3626572449703</v>
      </c>
      <c r="M161" s="456">
        <f t="shared" si="32"/>
        <v>1</v>
      </c>
      <c r="N161" s="619">
        <v>9778.1975727727695</v>
      </c>
      <c r="O161" s="456">
        <f t="shared" si="33"/>
        <v>1</v>
      </c>
      <c r="P161" s="619">
        <v>10182.815156394799</v>
      </c>
      <c r="Q161" s="456">
        <f t="shared" si="34"/>
        <v>1</v>
      </c>
    </row>
  </sheetData>
  <mergeCells count="17">
    <mergeCell ref="A1:M1"/>
    <mergeCell ref="H101:L105"/>
    <mergeCell ref="A10:C10"/>
    <mergeCell ref="A18:C18"/>
    <mergeCell ref="Q3:R3"/>
    <mergeCell ref="Q4:R4"/>
    <mergeCell ref="Q5:R5"/>
    <mergeCell ref="H106:L110"/>
    <mergeCell ref="H126:L130"/>
    <mergeCell ref="H131:L135"/>
    <mergeCell ref="J149:K149"/>
    <mergeCell ref="L149:M149"/>
    <mergeCell ref="P149:Q149"/>
    <mergeCell ref="N149:O149"/>
    <mergeCell ref="D149:E149"/>
    <mergeCell ref="H149:I149"/>
    <mergeCell ref="F149:G149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68"/>
  <sheetViews>
    <sheetView zoomScale="85" zoomScaleNormal="85" zoomScaleSheetLayoutView="65" workbookViewId="0"/>
  </sheetViews>
  <sheetFormatPr defaultColWidth="9" defaultRowHeight="13.5"/>
  <cols>
    <col min="1" max="1" width="9" style="370"/>
    <col min="2" max="2" width="42.125" style="370" bestFit="1" customWidth="1"/>
    <col min="3" max="3" width="15.375" style="370" customWidth="1"/>
    <col min="4" max="20" width="11.125" style="370" customWidth="1"/>
    <col min="21" max="21" width="3.375" style="370" customWidth="1"/>
    <col min="22" max="16384" width="9" style="370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2026/09/08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65" t="s">
        <v>67</v>
      </c>
      <c r="R3" s="1066"/>
      <c r="S3" s="1060" t="str">
        <f>保険者名</f>
        <v>川崎町</v>
      </c>
      <c r="T3" s="1061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65" t="s">
        <v>68</v>
      </c>
      <c r="R4" s="1066"/>
      <c r="S4" s="1060" t="str">
        <f>保険者番号</f>
        <v>04324</v>
      </c>
      <c r="T4" s="1061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67" t="s">
        <v>103</v>
      </c>
      <c r="R5" s="1068"/>
      <c r="S5" s="1060" t="str">
        <f>推計パターン名</f>
        <v>R8</v>
      </c>
      <c r="T5" s="1061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366</v>
      </c>
      <c r="E10" s="749" t="s">
        <v>365</v>
      </c>
      <c r="F10" s="378" t="s">
        <v>362</v>
      </c>
      <c r="G10" s="748" t="s">
        <v>361</v>
      </c>
      <c r="H10" s="749" t="s">
        <v>360</v>
      </c>
      <c r="I10" s="750" t="s">
        <v>359</v>
      </c>
      <c r="J10" s="38" t="s">
        <v>104</v>
      </c>
      <c r="K10" s="748" t="s">
        <v>383</v>
      </c>
      <c r="L10" s="39" t="s">
        <v>105</v>
      </c>
      <c r="M10" s="748" t="s">
        <v>386</v>
      </c>
      <c r="N10" s="39" t="s">
        <v>105</v>
      </c>
      <c r="O10" s="748" t="s">
        <v>389</v>
      </c>
      <c r="P10" s="39" t="s">
        <v>105</v>
      </c>
      <c r="Q10" s="748" t="s">
        <v>392</v>
      </c>
      <c r="R10" s="39" t="s">
        <v>105</v>
      </c>
      <c r="S10" s="748" t="s">
        <v>395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2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3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2" t="s">
        <v>18</v>
      </c>
      <c r="C14" s="389" t="s">
        <v>16</v>
      </c>
      <c r="D14" s="390">
        <v>52.542000000000002</v>
      </c>
      <c r="E14" s="391">
        <v>168.56</v>
      </c>
      <c r="F14" s="392">
        <v>0</v>
      </c>
      <c r="G14" s="401">
        <v>0</v>
      </c>
      <c r="H14" s="391">
        <v>0</v>
      </c>
      <c r="I14" s="391">
        <v>0</v>
      </c>
      <c r="J14" s="402" t="str">
        <f t="shared" ref="J14:J24" si="0">IFERROR(SUM(G14:I14)/3/F14,"－")</f>
        <v>－</v>
      </c>
      <c r="K14" s="401">
        <v>0</v>
      </c>
      <c r="L14" s="403" t="str">
        <f t="shared" ref="L14:L24" si="1">IFERROR(K14/F14,"－")</f>
        <v>－</v>
      </c>
      <c r="M14" s="401">
        <v>0</v>
      </c>
      <c r="N14" s="403" t="str">
        <f>IFERROR(M14/F14,"－")</f>
        <v>－</v>
      </c>
      <c r="O14" s="401">
        <v>0</v>
      </c>
      <c r="P14" s="403" t="str">
        <f>IFERROR(O14/F14,"－")</f>
        <v>－</v>
      </c>
      <c r="Q14" s="401">
        <v>0</v>
      </c>
      <c r="R14" s="403" t="str">
        <f>IFERROR(Q14/F14,"－")</f>
        <v>－</v>
      </c>
      <c r="S14" s="401">
        <v>0</v>
      </c>
      <c r="T14" s="403" t="str">
        <f>IFERROR(S14/F14,"－")</f>
        <v>－</v>
      </c>
    </row>
    <row r="15" spans="1:21">
      <c r="A15" s="19"/>
      <c r="B15" s="1054"/>
      <c r="C15" s="389" t="s">
        <v>19</v>
      </c>
      <c r="D15" s="404">
        <v>0.5</v>
      </c>
      <c r="E15" s="405">
        <v>1.6666666666666667</v>
      </c>
      <c r="F15" s="406">
        <v>0</v>
      </c>
      <c r="G15" s="407">
        <v>0</v>
      </c>
      <c r="H15" s="405">
        <v>0</v>
      </c>
      <c r="I15" s="405">
        <v>0</v>
      </c>
      <c r="J15" s="402" t="str">
        <f t="shared" si="0"/>
        <v>－</v>
      </c>
      <c r="K15" s="407">
        <v>0</v>
      </c>
      <c r="L15" s="403" t="str">
        <f t="shared" si="1"/>
        <v>－</v>
      </c>
      <c r="M15" s="407">
        <v>0</v>
      </c>
      <c r="N15" s="403" t="str">
        <f t="shared" ref="N15:N61" si="2">IFERROR(M15/F15,"－")</f>
        <v>－</v>
      </c>
      <c r="O15" s="407">
        <v>0</v>
      </c>
      <c r="P15" s="403" t="str">
        <f t="shared" ref="P15:P61" si="3">IFERROR(O15/F15,"－")</f>
        <v>－</v>
      </c>
      <c r="Q15" s="407">
        <v>0</v>
      </c>
      <c r="R15" s="403" t="str">
        <f t="shared" ref="R15:R61" si="4">IFERROR(Q15/F15,"－")</f>
        <v>－</v>
      </c>
      <c r="S15" s="407">
        <v>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>
        <v>0.16666666666666666</v>
      </c>
      <c r="E16" s="391">
        <v>0.41666666666666669</v>
      </c>
      <c r="F16" s="392">
        <v>0</v>
      </c>
      <c r="G16" s="401">
        <v>0</v>
      </c>
      <c r="H16" s="391">
        <v>0</v>
      </c>
      <c r="I16" s="391">
        <v>0</v>
      </c>
      <c r="J16" s="402" t="str">
        <f t="shared" si="0"/>
        <v>－</v>
      </c>
      <c r="K16" s="401">
        <v>0</v>
      </c>
      <c r="L16" s="403" t="str">
        <f t="shared" si="1"/>
        <v>－</v>
      </c>
      <c r="M16" s="401">
        <v>0</v>
      </c>
      <c r="N16" s="403" t="str">
        <f t="shared" si="2"/>
        <v>－</v>
      </c>
      <c r="O16" s="401">
        <v>0</v>
      </c>
      <c r="P16" s="403" t="str">
        <f t="shared" si="3"/>
        <v>－</v>
      </c>
      <c r="Q16" s="401">
        <v>0</v>
      </c>
      <c r="R16" s="403" t="str">
        <f t="shared" si="4"/>
        <v>－</v>
      </c>
      <c r="S16" s="401">
        <v>0</v>
      </c>
      <c r="T16" s="403" t="str">
        <f t="shared" si="5"/>
        <v>－</v>
      </c>
    </row>
    <row r="17" spans="1:20">
      <c r="A17" s="19"/>
      <c r="B17" s="1052" t="s">
        <v>20</v>
      </c>
      <c r="C17" s="389" t="s">
        <v>16</v>
      </c>
      <c r="D17" s="390">
        <v>153.405</v>
      </c>
      <c r="E17" s="391">
        <v>118.694</v>
      </c>
      <c r="F17" s="392">
        <v>289.85039999999998</v>
      </c>
      <c r="G17" s="408">
        <v>318</v>
      </c>
      <c r="H17" s="409">
        <v>318</v>
      </c>
      <c r="I17" s="409">
        <v>318</v>
      </c>
      <c r="J17" s="410">
        <f t="shared" si="0"/>
        <v>1.097117685537091</v>
      </c>
      <c r="K17" s="408">
        <v>318</v>
      </c>
      <c r="L17" s="411">
        <f t="shared" si="1"/>
        <v>1.097117685537091</v>
      </c>
      <c r="M17" s="408">
        <v>318</v>
      </c>
      <c r="N17" s="411">
        <f t="shared" si="2"/>
        <v>1.097117685537091</v>
      </c>
      <c r="O17" s="408">
        <v>318</v>
      </c>
      <c r="P17" s="411">
        <f t="shared" si="3"/>
        <v>1.097117685537091</v>
      </c>
      <c r="Q17" s="408">
        <v>318</v>
      </c>
      <c r="R17" s="411">
        <f t="shared" si="4"/>
        <v>1.097117685537091</v>
      </c>
      <c r="S17" s="408">
        <v>318</v>
      </c>
      <c r="T17" s="403">
        <f t="shared" si="5"/>
        <v>1.097117685537091</v>
      </c>
    </row>
    <row r="18" spans="1:20">
      <c r="A18" s="19"/>
      <c r="B18" s="1054"/>
      <c r="C18" s="389" t="s">
        <v>19</v>
      </c>
      <c r="D18" s="404">
        <v>3.75</v>
      </c>
      <c r="E18" s="405">
        <v>2.8333333333333335</v>
      </c>
      <c r="F18" s="406">
        <v>7.1</v>
      </c>
      <c r="G18" s="407">
        <v>7.8</v>
      </c>
      <c r="H18" s="405">
        <v>7.8</v>
      </c>
      <c r="I18" s="405">
        <v>7.8</v>
      </c>
      <c r="J18" s="412">
        <f t="shared" si="0"/>
        <v>1.0985915492957747</v>
      </c>
      <c r="K18" s="407">
        <v>7.8</v>
      </c>
      <c r="L18" s="403">
        <f t="shared" si="1"/>
        <v>1.0985915492957747</v>
      </c>
      <c r="M18" s="407">
        <v>7.8</v>
      </c>
      <c r="N18" s="403">
        <f t="shared" si="2"/>
        <v>1.0985915492957747</v>
      </c>
      <c r="O18" s="407">
        <v>7.8</v>
      </c>
      <c r="P18" s="403">
        <f t="shared" si="3"/>
        <v>1.0985915492957747</v>
      </c>
      <c r="Q18" s="407">
        <v>7.8</v>
      </c>
      <c r="R18" s="403">
        <f t="shared" si="4"/>
        <v>1.0985915492957747</v>
      </c>
      <c r="S18" s="407">
        <v>7.8</v>
      </c>
      <c r="T18" s="403">
        <f t="shared" si="5"/>
        <v>1.0985915492957747</v>
      </c>
    </row>
    <row r="19" spans="1:20">
      <c r="A19" s="19"/>
      <c r="B19" s="753"/>
      <c r="C19" s="389" t="s">
        <v>17</v>
      </c>
      <c r="D19" s="390">
        <v>0.91666666666666663</v>
      </c>
      <c r="E19" s="391">
        <v>1</v>
      </c>
      <c r="F19" s="392">
        <v>1</v>
      </c>
      <c r="G19" s="401">
        <v>1</v>
      </c>
      <c r="H19" s="391">
        <v>1</v>
      </c>
      <c r="I19" s="391">
        <v>1</v>
      </c>
      <c r="J19" s="402">
        <f t="shared" si="0"/>
        <v>1</v>
      </c>
      <c r="K19" s="401">
        <v>1</v>
      </c>
      <c r="L19" s="403">
        <f t="shared" si="1"/>
        <v>1</v>
      </c>
      <c r="M19" s="401">
        <v>1</v>
      </c>
      <c r="N19" s="403">
        <f t="shared" si="2"/>
        <v>1</v>
      </c>
      <c r="O19" s="401">
        <v>1</v>
      </c>
      <c r="P19" s="403">
        <f t="shared" si="3"/>
        <v>1</v>
      </c>
      <c r="Q19" s="401">
        <v>1</v>
      </c>
      <c r="R19" s="403">
        <f t="shared" si="4"/>
        <v>1</v>
      </c>
      <c r="S19" s="401">
        <v>1</v>
      </c>
      <c r="T19" s="403">
        <f t="shared" si="5"/>
        <v>1</v>
      </c>
    </row>
    <row r="20" spans="1:20">
      <c r="A20" s="19"/>
      <c r="B20" s="1052" t="s">
        <v>21</v>
      </c>
      <c r="C20" s="389" t="s">
        <v>16</v>
      </c>
      <c r="D20" s="390">
        <v>2263.0509999999999</v>
      </c>
      <c r="E20" s="391">
        <v>2212.9319999999998</v>
      </c>
      <c r="F20" s="392">
        <v>3748.4603999999999</v>
      </c>
      <c r="G20" s="408">
        <v>4437</v>
      </c>
      <c r="H20" s="409">
        <v>4119</v>
      </c>
      <c r="I20" s="409">
        <v>4119</v>
      </c>
      <c r="J20" s="410">
        <f t="shared" si="0"/>
        <v>1.1271294209217204</v>
      </c>
      <c r="K20" s="408">
        <v>4119</v>
      </c>
      <c r="L20" s="411">
        <f t="shared" si="1"/>
        <v>1.0988511443258144</v>
      </c>
      <c r="M20" s="408">
        <v>4586</v>
      </c>
      <c r="N20" s="411">
        <f t="shared" si="2"/>
        <v>1.2234356270643809</v>
      </c>
      <c r="O20" s="408">
        <v>4586</v>
      </c>
      <c r="P20" s="411">
        <f t="shared" si="3"/>
        <v>1.2234356270643809</v>
      </c>
      <c r="Q20" s="408">
        <v>4586</v>
      </c>
      <c r="R20" s="411">
        <f t="shared" si="4"/>
        <v>1.2234356270643809</v>
      </c>
      <c r="S20" s="408">
        <v>4119</v>
      </c>
      <c r="T20" s="403">
        <f t="shared" si="5"/>
        <v>1.0988511443258144</v>
      </c>
    </row>
    <row r="21" spans="1:20">
      <c r="A21" s="19"/>
      <c r="B21" s="1054"/>
      <c r="C21" s="389" t="s">
        <v>19</v>
      </c>
      <c r="D21" s="404">
        <v>60.083333333333336</v>
      </c>
      <c r="E21" s="405">
        <v>57.666666666666664</v>
      </c>
      <c r="F21" s="406">
        <v>91.2</v>
      </c>
      <c r="G21" s="407">
        <v>109</v>
      </c>
      <c r="H21" s="405">
        <v>100.2</v>
      </c>
      <c r="I21" s="405">
        <v>100.2</v>
      </c>
      <c r="J21" s="402">
        <f t="shared" si="0"/>
        <v>1.1308479532163742</v>
      </c>
      <c r="K21" s="407">
        <v>100.2</v>
      </c>
      <c r="L21" s="403">
        <f t="shared" si="1"/>
        <v>1.0986842105263157</v>
      </c>
      <c r="M21" s="407">
        <v>112.6</v>
      </c>
      <c r="N21" s="403">
        <f t="shared" si="2"/>
        <v>1.2346491228070176</v>
      </c>
      <c r="O21" s="407">
        <v>112.6</v>
      </c>
      <c r="P21" s="403">
        <f t="shared" si="3"/>
        <v>1.2346491228070176</v>
      </c>
      <c r="Q21" s="407">
        <v>112.6</v>
      </c>
      <c r="R21" s="403">
        <f t="shared" si="4"/>
        <v>1.2346491228070176</v>
      </c>
      <c r="S21" s="407">
        <v>100.2</v>
      </c>
      <c r="T21" s="403">
        <f t="shared" si="5"/>
        <v>1.0986842105263157</v>
      </c>
    </row>
    <row r="22" spans="1:20">
      <c r="A22" s="19"/>
      <c r="B22" s="753"/>
      <c r="C22" s="389" t="s">
        <v>17</v>
      </c>
      <c r="D22" s="390">
        <v>5</v>
      </c>
      <c r="E22" s="391">
        <v>5.25</v>
      </c>
      <c r="F22" s="392">
        <v>6</v>
      </c>
      <c r="G22" s="401">
        <v>7</v>
      </c>
      <c r="H22" s="391">
        <v>6</v>
      </c>
      <c r="I22" s="391">
        <v>6</v>
      </c>
      <c r="J22" s="402">
        <f t="shared" si="0"/>
        <v>1.0555555555555556</v>
      </c>
      <c r="K22" s="401">
        <v>6</v>
      </c>
      <c r="L22" s="403">
        <f t="shared" si="1"/>
        <v>1</v>
      </c>
      <c r="M22" s="401">
        <v>7</v>
      </c>
      <c r="N22" s="403">
        <f t="shared" si="2"/>
        <v>1.1666666666666667</v>
      </c>
      <c r="O22" s="401">
        <v>7</v>
      </c>
      <c r="P22" s="403">
        <f t="shared" si="3"/>
        <v>1.1666666666666667</v>
      </c>
      <c r="Q22" s="401">
        <v>7</v>
      </c>
      <c r="R22" s="403">
        <f t="shared" si="4"/>
        <v>1.1666666666666667</v>
      </c>
      <c r="S22" s="401">
        <v>6</v>
      </c>
      <c r="T22" s="403">
        <f t="shared" si="5"/>
        <v>1</v>
      </c>
    </row>
    <row r="23" spans="1:20">
      <c r="A23" s="19"/>
      <c r="B23" s="1052" t="s">
        <v>22</v>
      </c>
      <c r="C23" s="389" t="s">
        <v>16</v>
      </c>
      <c r="D23" s="390">
        <v>0</v>
      </c>
      <c r="E23" s="391">
        <v>0</v>
      </c>
      <c r="F23" s="392">
        <v>0</v>
      </c>
      <c r="G23" s="408">
        <v>0</v>
      </c>
      <c r="H23" s="409">
        <v>0</v>
      </c>
      <c r="I23" s="409">
        <v>0</v>
      </c>
      <c r="J23" s="410" t="str">
        <f t="shared" si="0"/>
        <v>－</v>
      </c>
      <c r="K23" s="408">
        <v>0</v>
      </c>
      <c r="L23" s="411" t="str">
        <f t="shared" si="1"/>
        <v>－</v>
      </c>
      <c r="M23" s="408">
        <v>0</v>
      </c>
      <c r="N23" s="411" t="str">
        <f t="shared" si="2"/>
        <v>－</v>
      </c>
      <c r="O23" s="408">
        <v>0</v>
      </c>
      <c r="P23" s="411" t="str">
        <f t="shared" si="3"/>
        <v>－</v>
      </c>
      <c r="Q23" s="408">
        <v>0</v>
      </c>
      <c r="R23" s="411" t="str">
        <f t="shared" si="4"/>
        <v>－</v>
      </c>
      <c r="S23" s="408">
        <v>0</v>
      </c>
      <c r="T23" s="403" t="str">
        <f t="shared" si="5"/>
        <v>－</v>
      </c>
    </row>
    <row r="24" spans="1:20">
      <c r="A24" s="19"/>
      <c r="B24" s="1053"/>
      <c r="C24" s="389" t="s">
        <v>17</v>
      </c>
      <c r="D24" s="390">
        <v>0</v>
      </c>
      <c r="E24" s="391">
        <v>0</v>
      </c>
      <c r="F24" s="392">
        <v>0</v>
      </c>
      <c r="G24" s="401">
        <v>0</v>
      </c>
      <c r="H24" s="391">
        <v>0</v>
      </c>
      <c r="I24" s="391">
        <v>0</v>
      </c>
      <c r="J24" s="402" t="str">
        <f t="shared" si="0"/>
        <v>－</v>
      </c>
      <c r="K24" s="401">
        <v>0</v>
      </c>
      <c r="L24" s="403" t="str">
        <f t="shared" si="1"/>
        <v>－</v>
      </c>
      <c r="M24" s="401">
        <v>0</v>
      </c>
      <c r="N24" s="403" t="str">
        <f t="shared" si="2"/>
        <v>－</v>
      </c>
      <c r="O24" s="401">
        <v>0</v>
      </c>
      <c r="P24" s="403" t="str">
        <f t="shared" si="3"/>
        <v>－</v>
      </c>
      <c r="Q24" s="401">
        <v>0</v>
      </c>
      <c r="R24" s="403" t="str">
        <f t="shared" si="4"/>
        <v>－</v>
      </c>
      <c r="S24" s="401">
        <v>0</v>
      </c>
      <c r="T24" s="403" t="str">
        <f t="shared" si="5"/>
        <v>－</v>
      </c>
    </row>
    <row r="25" spans="1:20" hidden="1">
      <c r="A25" s="19"/>
      <c r="B25" s="1052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2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2" t="s">
        <v>23</v>
      </c>
      <c r="C27" s="389" t="s">
        <v>16</v>
      </c>
      <c r="D27" s="390">
        <v>18826.216</v>
      </c>
      <c r="E27" s="391">
        <v>17070.292000000001</v>
      </c>
      <c r="F27" s="392">
        <v>21512.58</v>
      </c>
      <c r="G27" s="408">
        <v>22398</v>
      </c>
      <c r="H27" s="409">
        <v>22103</v>
      </c>
      <c r="I27" s="409">
        <v>22103</v>
      </c>
      <c r="J27" s="410">
        <f t="shared" ref="J27:J46" si="6">IFERROR(SUM(G27:I27)/3/F27,"－")</f>
        <v>1.032016305498147</v>
      </c>
      <c r="K27" s="408">
        <v>22398</v>
      </c>
      <c r="L27" s="411">
        <f t="shared" ref="L27:L47" si="7">IFERROR(K27/F27,"－")</f>
        <v>1.0411582432232673</v>
      </c>
      <c r="M27" s="408">
        <v>24344</v>
      </c>
      <c r="N27" s="411">
        <f t="shared" si="2"/>
        <v>1.1316169422728468</v>
      </c>
      <c r="O27" s="408">
        <v>25700</v>
      </c>
      <c r="P27" s="411">
        <f t="shared" si="3"/>
        <v>1.1946498281470654</v>
      </c>
      <c r="Q27" s="408">
        <v>23754</v>
      </c>
      <c r="R27" s="411">
        <f t="shared" si="4"/>
        <v>1.1041911290974862</v>
      </c>
      <c r="S27" s="408">
        <v>21278</v>
      </c>
      <c r="T27" s="403">
        <f t="shared" si="5"/>
        <v>0.98909568261919301</v>
      </c>
    </row>
    <row r="28" spans="1:20">
      <c r="A28" s="19"/>
      <c r="B28" s="1053"/>
      <c r="C28" s="389" t="s">
        <v>17</v>
      </c>
      <c r="D28" s="390">
        <v>37.5</v>
      </c>
      <c r="E28" s="391">
        <v>34.666666666666664</v>
      </c>
      <c r="F28" s="392">
        <v>49</v>
      </c>
      <c r="G28" s="401">
        <v>52</v>
      </c>
      <c r="H28" s="391">
        <v>51</v>
      </c>
      <c r="I28" s="391">
        <v>51</v>
      </c>
      <c r="J28" s="402">
        <f t="shared" si="6"/>
        <v>1.0476190476190477</v>
      </c>
      <c r="K28" s="401">
        <v>52</v>
      </c>
      <c r="L28" s="403">
        <f t="shared" si="7"/>
        <v>1.0612244897959184</v>
      </c>
      <c r="M28" s="401">
        <v>57</v>
      </c>
      <c r="N28" s="403">
        <f t="shared" si="2"/>
        <v>1.1632653061224489</v>
      </c>
      <c r="O28" s="401">
        <v>60</v>
      </c>
      <c r="P28" s="403">
        <f t="shared" si="3"/>
        <v>1.2244897959183674</v>
      </c>
      <c r="Q28" s="401">
        <v>55</v>
      </c>
      <c r="R28" s="403">
        <f t="shared" si="4"/>
        <v>1.1224489795918366</v>
      </c>
      <c r="S28" s="401">
        <v>49</v>
      </c>
      <c r="T28" s="403">
        <f t="shared" si="5"/>
        <v>1</v>
      </c>
    </row>
    <row r="29" spans="1:20">
      <c r="A29" s="19"/>
      <c r="B29" s="1052" t="s">
        <v>24</v>
      </c>
      <c r="C29" s="389" t="s">
        <v>16</v>
      </c>
      <c r="D29" s="390">
        <v>57.911999999999999</v>
      </c>
      <c r="E29" s="391">
        <v>37.6</v>
      </c>
      <c r="F29" s="392">
        <v>0</v>
      </c>
      <c r="G29" s="408">
        <v>0</v>
      </c>
      <c r="H29" s="409">
        <v>0</v>
      </c>
      <c r="I29" s="409">
        <v>0</v>
      </c>
      <c r="J29" s="410" t="str">
        <f t="shared" si="6"/>
        <v>－</v>
      </c>
      <c r="K29" s="408">
        <v>0</v>
      </c>
      <c r="L29" s="411" t="str">
        <f t="shared" si="7"/>
        <v>－</v>
      </c>
      <c r="M29" s="408">
        <v>0</v>
      </c>
      <c r="N29" s="411" t="str">
        <f t="shared" si="2"/>
        <v>－</v>
      </c>
      <c r="O29" s="408">
        <v>0</v>
      </c>
      <c r="P29" s="411" t="str">
        <f t="shared" si="3"/>
        <v>－</v>
      </c>
      <c r="Q29" s="408">
        <v>0</v>
      </c>
      <c r="R29" s="411" t="str">
        <f t="shared" si="4"/>
        <v>－</v>
      </c>
      <c r="S29" s="408">
        <v>0</v>
      </c>
      <c r="T29" s="403" t="str">
        <f t="shared" si="5"/>
        <v>－</v>
      </c>
    </row>
    <row r="30" spans="1:20">
      <c r="A30" s="19"/>
      <c r="B30" s="1054"/>
      <c r="C30" s="389" t="s">
        <v>25</v>
      </c>
      <c r="D30" s="404">
        <v>0.75</v>
      </c>
      <c r="E30" s="405">
        <v>0.41666666666666669</v>
      </c>
      <c r="F30" s="406">
        <v>0</v>
      </c>
      <c r="G30" s="407">
        <v>0</v>
      </c>
      <c r="H30" s="405">
        <v>0</v>
      </c>
      <c r="I30" s="405">
        <v>0</v>
      </c>
      <c r="J30" s="402" t="str">
        <f t="shared" si="6"/>
        <v>－</v>
      </c>
      <c r="K30" s="407">
        <v>0</v>
      </c>
      <c r="L30" s="403" t="str">
        <f t="shared" si="7"/>
        <v>－</v>
      </c>
      <c r="M30" s="407">
        <v>0</v>
      </c>
      <c r="N30" s="403" t="str">
        <f t="shared" si="2"/>
        <v>－</v>
      </c>
      <c r="O30" s="407">
        <v>0</v>
      </c>
      <c r="P30" s="403" t="str">
        <f t="shared" si="3"/>
        <v>－</v>
      </c>
      <c r="Q30" s="407">
        <v>0</v>
      </c>
      <c r="R30" s="403" t="str">
        <f t="shared" si="4"/>
        <v>－</v>
      </c>
      <c r="S30" s="407">
        <v>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>
        <v>0.16666666666666666</v>
      </c>
      <c r="E31" s="391">
        <v>8.3333333333333329E-2</v>
      </c>
      <c r="F31" s="392">
        <v>0</v>
      </c>
      <c r="G31" s="401">
        <v>0</v>
      </c>
      <c r="H31" s="391">
        <v>0</v>
      </c>
      <c r="I31" s="391">
        <v>0</v>
      </c>
      <c r="J31" s="402" t="str">
        <f t="shared" si="6"/>
        <v>－</v>
      </c>
      <c r="K31" s="401">
        <v>0</v>
      </c>
      <c r="L31" s="403" t="str">
        <f t="shared" si="7"/>
        <v>－</v>
      </c>
      <c r="M31" s="401">
        <v>0</v>
      </c>
      <c r="N31" s="403" t="str">
        <f t="shared" si="2"/>
        <v>－</v>
      </c>
      <c r="O31" s="401">
        <v>0</v>
      </c>
      <c r="P31" s="403" t="str">
        <f t="shared" si="3"/>
        <v>－</v>
      </c>
      <c r="Q31" s="401">
        <v>0</v>
      </c>
      <c r="R31" s="403" t="str">
        <f t="shared" si="4"/>
        <v>－</v>
      </c>
      <c r="S31" s="401">
        <v>0</v>
      </c>
      <c r="T31" s="403" t="str">
        <f t="shared" si="5"/>
        <v>－</v>
      </c>
    </row>
    <row r="32" spans="1:20">
      <c r="A32" s="19"/>
      <c r="B32" s="1055" t="s">
        <v>26</v>
      </c>
      <c r="C32" s="389" t="s">
        <v>16</v>
      </c>
      <c r="D32" s="390">
        <v>260.084</v>
      </c>
      <c r="E32" s="391">
        <v>44.84</v>
      </c>
      <c r="F32" s="392">
        <v>0</v>
      </c>
      <c r="G32" s="408">
        <v>0</v>
      </c>
      <c r="H32" s="409">
        <v>0</v>
      </c>
      <c r="I32" s="409">
        <v>0</v>
      </c>
      <c r="J32" s="410" t="str">
        <f t="shared" si="6"/>
        <v>－</v>
      </c>
      <c r="K32" s="408">
        <v>0</v>
      </c>
      <c r="L32" s="411" t="str">
        <f t="shared" si="7"/>
        <v>－</v>
      </c>
      <c r="M32" s="408">
        <v>0</v>
      </c>
      <c r="N32" s="411" t="str">
        <f t="shared" si="2"/>
        <v>－</v>
      </c>
      <c r="O32" s="408">
        <v>0</v>
      </c>
      <c r="P32" s="411" t="str">
        <f t="shared" si="3"/>
        <v>－</v>
      </c>
      <c r="Q32" s="408">
        <v>0</v>
      </c>
      <c r="R32" s="411" t="str">
        <f t="shared" si="4"/>
        <v>－</v>
      </c>
      <c r="S32" s="408">
        <v>0</v>
      </c>
      <c r="T32" s="403" t="str">
        <f t="shared" si="5"/>
        <v>－</v>
      </c>
    </row>
    <row r="33" spans="1:20">
      <c r="A33" s="19"/>
      <c r="B33" s="1056"/>
      <c r="C33" s="389" t="s">
        <v>25</v>
      </c>
      <c r="D33" s="404">
        <v>1.9166666666666667</v>
      </c>
      <c r="E33" s="405">
        <v>0.33333333333333331</v>
      </c>
      <c r="F33" s="406">
        <v>0</v>
      </c>
      <c r="G33" s="407">
        <v>0</v>
      </c>
      <c r="H33" s="405">
        <v>0</v>
      </c>
      <c r="I33" s="405">
        <v>0</v>
      </c>
      <c r="J33" s="402" t="str">
        <f t="shared" si="6"/>
        <v>－</v>
      </c>
      <c r="K33" s="407">
        <v>0</v>
      </c>
      <c r="L33" s="403" t="str">
        <f t="shared" si="7"/>
        <v>－</v>
      </c>
      <c r="M33" s="407">
        <v>0</v>
      </c>
      <c r="N33" s="403" t="str">
        <f t="shared" si="2"/>
        <v>－</v>
      </c>
      <c r="O33" s="407">
        <v>0</v>
      </c>
      <c r="P33" s="403" t="str">
        <f t="shared" si="3"/>
        <v>－</v>
      </c>
      <c r="Q33" s="407">
        <v>0</v>
      </c>
      <c r="R33" s="403" t="str">
        <f t="shared" si="4"/>
        <v>－</v>
      </c>
      <c r="S33" s="407">
        <v>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>
        <v>0.5</v>
      </c>
      <c r="E34" s="391">
        <v>8.3333333333333329E-2</v>
      </c>
      <c r="F34" s="392">
        <v>0</v>
      </c>
      <c r="G34" s="401">
        <v>0</v>
      </c>
      <c r="H34" s="391">
        <v>0</v>
      </c>
      <c r="I34" s="391">
        <v>0</v>
      </c>
      <c r="J34" s="402" t="str">
        <f t="shared" si="6"/>
        <v>－</v>
      </c>
      <c r="K34" s="401">
        <v>0</v>
      </c>
      <c r="L34" s="403" t="str">
        <f t="shared" si="7"/>
        <v>－</v>
      </c>
      <c r="M34" s="401">
        <v>0</v>
      </c>
      <c r="N34" s="403" t="str">
        <f t="shared" si="2"/>
        <v>－</v>
      </c>
      <c r="O34" s="401">
        <v>0</v>
      </c>
      <c r="P34" s="403" t="str">
        <f t="shared" si="3"/>
        <v>－</v>
      </c>
      <c r="Q34" s="401">
        <v>0</v>
      </c>
      <c r="R34" s="403" t="str">
        <f t="shared" si="4"/>
        <v>－</v>
      </c>
      <c r="S34" s="401">
        <v>0</v>
      </c>
      <c r="T34" s="403" t="str">
        <f t="shared" si="5"/>
        <v>－</v>
      </c>
    </row>
    <row r="35" spans="1:20">
      <c r="A35" s="19"/>
      <c r="B35" s="1055" t="s">
        <v>27</v>
      </c>
      <c r="C35" s="389" t="s">
        <v>16</v>
      </c>
      <c r="D35" s="390">
        <v>0</v>
      </c>
      <c r="E35" s="391">
        <v>0</v>
      </c>
      <c r="F35" s="392">
        <v>0</v>
      </c>
      <c r="G35" s="408">
        <v>0</v>
      </c>
      <c r="H35" s="409">
        <v>0</v>
      </c>
      <c r="I35" s="409">
        <v>0</v>
      </c>
      <c r="J35" s="402" t="str">
        <f t="shared" si="6"/>
        <v>－</v>
      </c>
      <c r="K35" s="408">
        <v>0</v>
      </c>
      <c r="L35" s="403" t="str">
        <f t="shared" si="7"/>
        <v>－</v>
      </c>
      <c r="M35" s="408">
        <v>0</v>
      </c>
      <c r="N35" s="403" t="str">
        <f t="shared" si="2"/>
        <v>－</v>
      </c>
      <c r="O35" s="408">
        <v>0</v>
      </c>
      <c r="P35" s="403" t="str">
        <f t="shared" si="3"/>
        <v>－</v>
      </c>
      <c r="Q35" s="408">
        <v>0</v>
      </c>
      <c r="R35" s="403" t="str">
        <f t="shared" si="4"/>
        <v>－</v>
      </c>
      <c r="S35" s="408">
        <v>0</v>
      </c>
      <c r="T35" s="403" t="str">
        <f t="shared" si="5"/>
        <v>－</v>
      </c>
    </row>
    <row r="36" spans="1:20">
      <c r="A36" s="19"/>
      <c r="B36" s="1056"/>
      <c r="C36" s="389" t="s">
        <v>25</v>
      </c>
      <c r="D36" s="404">
        <v>0</v>
      </c>
      <c r="E36" s="405">
        <v>0</v>
      </c>
      <c r="F36" s="406">
        <v>0</v>
      </c>
      <c r="G36" s="407">
        <v>0</v>
      </c>
      <c r="H36" s="405">
        <v>0</v>
      </c>
      <c r="I36" s="405">
        <v>0</v>
      </c>
      <c r="J36" s="402" t="str">
        <f t="shared" si="6"/>
        <v>－</v>
      </c>
      <c r="K36" s="407">
        <v>0</v>
      </c>
      <c r="L36" s="403" t="str">
        <f t="shared" si="7"/>
        <v>－</v>
      </c>
      <c r="M36" s="407">
        <v>0</v>
      </c>
      <c r="N36" s="403" t="str">
        <f t="shared" si="2"/>
        <v>－</v>
      </c>
      <c r="O36" s="407">
        <v>0</v>
      </c>
      <c r="P36" s="403" t="str">
        <f t="shared" si="3"/>
        <v>－</v>
      </c>
      <c r="Q36" s="407">
        <v>0</v>
      </c>
      <c r="R36" s="403" t="str">
        <f t="shared" si="4"/>
        <v>－</v>
      </c>
      <c r="S36" s="407">
        <v>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>
        <v>0</v>
      </c>
      <c r="E37" s="391">
        <v>0</v>
      </c>
      <c r="F37" s="392">
        <v>0</v>
      </c>
      <c r="G37" s="401">
        <v>0</v>
      </c>
      <c r="H37" s="391">
        <v>0</v>
      </c>
      <c r="I37" s="391">
        <v>0</v>
      </c>
      <c r="J37" s="402" t="str">
        <f t="shared" si="6"/>
        <v>－</v>
      </c>
      <c r="K37" s="401">
        <v>0</v>
      </c>
      <c r="L37" s="403" t="str">
        <f t="shared" si="7"/>
        <v>－</v>
      </c>
      <c r="M37" s="401">
        <v>0</v>
      </c>
      <c r="N37" s="403" t="str">
        <f t="shared" si="2"/>
        <v>－</v>
      </c>
      <c r="O37" s="401">
        <v>0</v>
      </c>
      <c r="P37" s="403" t="str">
        <f t="shared" si="3"/>
        <v>－</v>
      </c>
      <c r="Q37" s="401">
        <v>0</v>
      </c>
      <c r="R37" s="403" t="str">
        <f t="shared" si="4"/>
        <v>－</v>
      </c>
      <c r="S37" s="401">
        <v>0</v>
      </c>
      <c r="T37" s="403" t="str">
        <f t="shared" si="5"/>
        <v>－</v>
      </c>
    </row>
    <row r="38" spans="1:20">
      <c r="A38" s="19"/>
      <c r="B38" s="1055" t="s">
        <v>264</v>
      </c>
      <c r="C38" s="419" t="s">
        <v>16</v>
      </c>
      <c r="D38" s="420">
        <v>0</v>
      </c>
      <c r="E38" s="391">
        <v>0</v>
      </c>
      <c r="F38" s="421">
        <v>0</v>
      </c>
      <c r="G38" s="408">
        <v>0</v>
      </c>
      <c r="H38" s="409">
        <v>0</v>
      </c>
      <c r="I38" s="409">
        <v>0</v>
      </c>
      <c r="J38" s="422" t="str">
        <f t="shared" si="6"/>
        <v>－</v>
      </c>
      <c r="K38" s="408">
        <v>0</v>
      </c>
      <c r="L38" s="423" t="str">
        <f t="shared" si="7"/>
        <v>－</v>
      </c>
      <c r="M38" s="408">
        <v>0</v>
      </c>
      <c r="N38" s="423" t="str">
        <f t="shared" si="2"/>
        <v>－</v>
      </c>
      <c r="O38" s="408">
        <v>0</v>
      </c>
      <c r="P38" s="423" t="str">
        <f t="shared" si="3"/>
        <v>－</v>
      </c>
      <c r="Q38" s="408">
        <v>0</v>
      </c>
      <c r="R38" s="423" t="str">
        <f t="shared" si="4"/>
        <v>－</v>
      </c>
      <c r="S38" s="408">
        <v>0</v>
      </c>
      <c r="T38" s="403" t="str">
        <f t="shared" si="5"/>
        <v>－</v>
      </c>
    </row>
    <row r="39" spans="1:20">
      <c r="A39" s="19"/>
      <c r="B39" s="1056"/>
      <c r="C39" s="419" t="s">
        <v>25</v>
      </c>
      <c r="D39" s="424">
        <v>0</v>
      </c>
      <c r="E39" s="405">
        <v>0</v>
      </c>
      <c r="F39" s="425">
        <v>0</v>
      </c>
      <c r="G39" s="407">
        <v>0</v>
      </c>
      <c r="H39" s="405">
        <v>0</v>
      </c>
      <c r="I39" s="405">
        <v>0</v>
      </c>
      <c r="J39" s="422" t="str">
        <f t="shared" si="6"/>
        <v>－</v>
      </c>
      <c r="K39" s="407">
        <v>0</v>
      </c>
      <c r="L39" s="423" t="str">
        <f t="shared" si="7"/>
        <v>－</v>
      </c>
      <c r="M39" s="407">
        <v>0</v>
      </c>
      <c r="N39" s="423" t="str">
        <f t="shared" si="2"/>
        <v>－</v>
      </c>
      <c r="O39" s="407">
        <v>0</v>
      </c>
      <c r="P39" s="423" t="str">
        <f t="shared" si="3"/>
        <v>－</v>
      </c>
      <c r="Q39" s="407">
        <v>0</v>
      </c>
      <c r="R39" s="423" t="str">
        <f t="shared" si="4"/>
        <v>－</v>
      </c>
      <c r="S39" s="407">
        <v>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>
        <v>0</v>
      </c>
      <c r="E40" s="391">
        <v>0</v>
      </c>
      <c r="F40" s="421">
        <v>0</v>
      </c>
      <c r="G40" s="401">
        <v>0</v>
      </c>
      <c r="H40" s="391">
        <v>0</v>
      </c>
      <c r="I40" s="391">
        <v>0</v>
      </c>
      <c r="J40" s="422" t="str">
        <f t="shared" si="6"/>
        <v>－</v>
      </c>
      <c r="K40" s="401">
        <v>0</v>
      </c>
      <c r="L40" s="423" t="str">
        <f t="shared" si="7"/>
        <v>－</v>
      </c>
      <c r="M40" s="401">
        <v>0</v>
      </c>
      <c r="N40" s="423" t="str">
        <f t="shared" si="2"/>
        <v>－</v>
      </c>
      <c r="O40" s="401">
        <v>0</v>
      </c>
      <c r="P40" s="423" t="str">
        <f t="shared" si="3"/>
        <v>－</v>
      </c>
      <c r="Q40" s="401">
        <v>0</v>
      </c>
      <c r="R40" s="423" t="str">
        <f t="shared" si="4"/>
        <v>－</v>
      </c>
      <c r="S40" s="401">
        <v>0</v>
      </c>
      <c r="T40" s="403" t="str">
        <f t="shared" si="5"/>
        <v>－</v>
      </c>
    </row>
    <row r="41" spans="1:20">
      <c r="A41" s="19"/>
      <c r="B41" s="1052" t="s">
        <v>28</v>
      </c>
      <c r="C41" s="389" t="s">
        <v>16</v>
      </c>
      <c r="D41" s="390">
        <v>2636.4949999999999</v>
      </c>
      <c r="E41" s="391">
        <v>3245.7919999999999</v>
      </c>
      <c r="F41" s="392">
        <v>3974.172</v>
      </c>
      <c r="G41" s="408">
        <v>4122</v>
      </c>
      <c r="H41" s="409">
        <v>4122</v>
      </c>
      <c r="I41" s="409">
        <v>4224</v>
      </c>
      <c r="J41" s="402">
        <f t="shared" si="6"/>
        <v>1.0457524233978801</v>
      </c>
      <c r="K41" s="408">
        <v>4224</v>
      </c>
      <c r="L41" s="403">
        <f t="shared" si="7"/>
        <v>1.0628629057826384</v>
      </c>
      <c r="M41" s="408">
        <v>4621</v>
      </c>
      <c r="N41" s="403">
        <f t="shared" si="2"/>
        <v>1.1627579279407132</v>
      </c>
      <c r="O41" s="408">
        <v>4824</v>
      </c>
      <c r="P41" s="403">
        <f t="shared" si="3"/>
        <v>1.2138377503540361</v>
      </c>
      <c r="Q41" s="408">
        <v>4575</v>
      </c>
      <c r="R41" s="403">
        <f t="shared" si="4"/>
        <v>1.151183189856906</v>
      </c>
      <c r="S41" s="408">
        <v>4076</v>
      </c>
      <c r="T41" s="403">
        <f t="shared" si="5"/>
        <v>1.0256224441216937</v>
      </c>
    </row>
    <row r="42" spans="1:20">
      <c r="A42" s="19"/>
      <c r="B42" s="1053"/>
      <c r="C42" s="389" t="s">
        <v>17</v>
      </c>
      <c r="D42" s="390">
        <v>33.166666666666664</v>
      </c>
      <c r="E42" s="391">
        <v>36.666666666666664</v>
      </c>
      <c r="F42" s="392">
        <v>44</v>
      </c>
      <c r="G42" s="401">
        <v>46</v>
      </c>
      <c r="H42" s="391">
        <v>46</v>
      </c>
      <c r="I42" s="391">
        <v>47</v>
      </c>
      <c r="J42" s="402">
        <f t="shared" si="6"/>
        <v>1.053030303030303</v>
      </c>
      <c r="K42" s="401">
        <v>47</v>
      </c>
      <c r="L42" s="403">
        <f t="shared" si="7"/>
        <v>1.0681818181818181</v>
      </c>
      <c r="M42" s="401">
        <v>52</v>
      </c>
      <c r="N42" s="403">
        <f t="shared" si="2"/>
        <v>1.1818181818181819</v>
      </c>
      <c r="O42" s="401">
        <v>54</v>
      </c>
      <c r="P42" s="403">
        <f t="shared" si="3"/>
        <v>1.2272727272727273</v>
      </c>
      <c r="Q42" s="401">
        <v>51</v>
      </c>
      <c r="R42" s="403">
        <f t="shared" si="4"/>
        <v>1.1590909090909092</v>
      </c>
      <c r="S42" s="401">
        <v>45</v>
      </c>
      <c r="T42" s="403">
        <f t="shared" si="5"/>
        <v>1.0227272727272727</v>
      </c>
    </row>
    <row r="43" spans="1:20">
      <c r="A43" s="19"/>
      <c r="B43" s="1052" t="s">
        <v>29</v>
      </c>
      <c r="C43" s="389" t="s">
        <v>16</v>
      </c>
      <c r="D43" s="390">
        <v>70.686000000000007</v>
      </c>
      <c r="E43" s="391">
        <v>79.811999999999998</v>
      </c>
      <c r="F43" s="392">
        <v>0</v>
      </c>
      <c r="G43" s="408">
        <v>0</v>
      </c>
      <c r="H43" s="409">
        <v>0</v>
      </c>
      <c r="I43" s="409">
        <v>0</v>
      </c>
      <c r="J43" s="402" t="str">
        <f t="shared" si="6"/>
        <v>－</v>
      </c>
      <c r="K43" s="408">
        <v>0</v>
      </c>
      <c r="L43" s="403" t="str">
        <f t="shared" si="7"/>
        <v>－</v>
      </c>
      <c r="M43" s="408">
        <v>0</v>
      </c>
      <c r="N43" s="403" t="str">
        <f t="shared" si="2"/>
        <v>－</v>
      </c>
      <c r="O43" s="408">
        <v>0</v>
      </c>
      <c r="P43" s="403" t="str">
        <f t="shared" si="3"/>
        <v>－</v>
      </c>
      <c r="Q43" s="408">
        <v>0</v>
      </c>
      <c r="R43" s="403" t="str">
        <f t="shared" si="4"/>
        <v>－</v>
      </c>
      <c r="S43" s="408">
        <v>0</v>
      </c>
      <c r="T43" s="403" t="str">
        <f t="shared" si="5"/>
        <v>－</v>
      </c>
    </row>
    <row r="44" spans="1:20">
      <c r="A44" s="19"/>
      <c r="B44" s="1053"/>
      <c r="C44" s="389" t="s">
        <v>17</v>
      </c>
      <c r="D44" s="390">
        <v>0.25</v>
      </c>
      <c r="E44" s="391">
        <v>0.25</v>
      </c>
      <c r="F44" s="392">
        <v>0</v>
      </c>
      <c r="G44" s="401">
        <v>0</v>
      </c>
      <c r="H44" s="391">
        <v>0</v>
      </c>
      <c r="I44" s="391">
        <v>0</v>
      </c>
      <c r="J44" s="402" t="str">
        <f t="shared" si="6"/>
        <v>－</v>
      </c>
      <c r="K44" s="401">
        <v>0</v>
      </c>
      <c r="L44" s="403" t="str">
        <f t="shared" si="7"/>
        <v>－</v>
      </c>
      <c r="M44" s="401">
        <v>0</v>
      </c>
      <c r="N44" s="403" t="str">
        <f t="shared" si="2"/>
        <v>－</v>
      </c>
      <c r="O44" s="401">
        <v>0</v>
      </c>
      <c r="P44" s="403" t="str">
        <f t="shared" si="3"/>
        <v>－</v>
      </c>
      <c r="Q44" s="401">
        <v>0</v>
      </c>
      <c r="R44" s="403" t="str">
        <f t="shared" si="4"/>
        <v>－</v>
      </c>
      <c r="S44" s="401">
        <v>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>
        <v>311.39999999999998</v>
      </c>
      <c r="E45" s="391">
        <v>350.1</v>
      </c>
      <c r="F45" s="392">
        <v>0</v>
      </c>
      <c r="G45" s="408">
        <v>0</v>
      </c>
      <c r="H45" s="409">
        <v>0</v>
      </c>
      <c r="I45" s="409">
        <v>0</v>
      </c>
      <c r="J45" s="402" t="str">
        <f t="shared" si="6"/>
        <v>－</v>
      </c>
      <c r="K45" s="408">
        <v>0</v>
      </c>
      <c r="L45" s="403" t="str">
        <f t="shared" si="7"/>
        <v>－</v>
      </c>
      <c r="M45" s="408">
        <v>0</v>
      </c>
      <c r="N45" s="403" t="str">
        <f t="shared" si="2"/>
        <v>－</v>
      </c>
      <c r="O45" s="408">
        <v>0</v>
      </c>
      <c r="P45" s="403" t="str">
        <f t="shared" si="3"/>
        <v>－</v>
      </c>
      <c r="Q45" s="408">
        <v>0</v>
      </c>
      <c r="R45" s="403" t="str">
        <f t="shared" si="4"/>
        <v>－</v>
      </c>
      <c r="S45" s="408">
        <v>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>
        <v>0.33333333333333331</v>
      </c>
      <c r="E46" s="391">
        <v>0.33333333333333331</v>
      </c>
      <c r="F46" s="392">
        <v>0</v>
      </c>
      <c r="G46" s="401">
        <v>0</v>
      </c>
      <c r="H46" s="391">
        <v>0</v>
      </c>
      <c r="I46" s="391">
        <v>0</v>
      </c>
      <c r="J46" s="402" t="str">
        <f t="shared" si="6"/>
        <v>－</v>
      </c>
      <c r="K46" s="401">
        <v>0</v>
      </c>
      <c r="L46" s="403" t="str">
        <f t="shared" si="7"/>
        <v>－</v>
      </c>
      <c r="M46" s="401">
        <v>0</v>
      </c>
      <c r="N46" s="403" t="str">
        <f t="shared" si="2"/>
        <v>－</v>
      </c>
      <c r="O46" s="401">
        <v>0</v>
      </c>
      <c r="P46" s="403" t="str">
        <f t="shared" si="3"/>
        <v>－</v>
      </c>
      <c r="Q46" s="401">
        <v>0</v>
      </c>
      <c r="R46" s="403" t="str">
        <f t="shared" si="4"/>
        <v>－</v>
      </c>
      <c r="S46" s="401">
        <v>0</v>
      </c>
      <c r="T46" s="403" t="str">
        <f t="shared" si="5"/>
        <v>－</v>
      </c>
    </row>
    <row r="47" spans="1:20">
      <c r="A47" s="19"/>
      <c r="B47" s="1057" t="s">
        <v>31</v>
      </c>
      <c r="C47" s="419" t="s">
        <v>16</v>
      </c>
      <c r="D47" s="420">
        <v>0</v>
      </c>
      <c r="E47" s="391">
        <v>0</v>
      </c>
      <c r="F47" s="421">
        <v>0</v>
      </c>
      <c r="G47" s="408">
        <v>0</v>
      </c>
      <c r="H47" s="409">
        <v>0</v>
      </c>
      <c r="I47" s="409">
        <v>0</v>
      </c>
      <c r="J47" s="482" t="str">
        <f>IFERROR(SUM(G47:I47)/3/F47,"－")</f>
        <v>－</v>
      </c>
      <c r="K47" s="408">
        <v>0</v>
      </c>
      <c r="L47" s="423" t="str">
        <f t="shared" si="7"/>
        <v>－</v>
      </c>
      <c r="M47" s="408">
        <v>0</v>
      </c>
      <c r="N47" s="423" t="str">
        <f t="shared" si="2"/>
        <v>－</v>
      </c>
      <c r="O47" s="408">
        <v>0</v>
      </c>
      <c r="P47" s="423" t="str">
        <f t="shared" si="3"/>
        <v>－</v>
      </c>
      <c r="Q47" s="408">
        <v>0</v>
      </c>
      <c r="R47" s="423" t="str">
        <f t="shared" si="4"/>
        <v>－</v>
      </c>
      <c r="S47" s="408">
        <v>0</v>
      </c>
      <c r="T47" s="423" t="str">
        <f t="shared" si="5"/>
        <v>－</v>
      </c>
    </row>
    <row r="48" spans="1:20" ht="14.25" thickBot="1">
      <c r="A48" s="19"/>
      <c r="B48" s="1058"/>
      <c r="C48" s="1021" t="s">
        <v>17</v>
      </c>
      <c r="D48" s="420">
        <v>0</v>
      </c>
      <c r="E48" s="391">
        <v>0</v>
      </c>
      <c r="F48" s="421">
        <v>0</v>
      </c>
      <c r="G48" s="401">
        <v>0</v>
      </c>
      <c r="H48" s="391">
        <v>0</v>
      </c>
      <c r="I48" s="391">
        <v>0</v>
      </c>
      <c r="J48" s="422" t="str">
        <f>IFERROR(SUM(G48:I48)/3/F48,"－")</f>
        <v>－</v>
      </c>
      <c r="K48" s="401">
        <v>0</v>
      </c>
      <c r="L48" s="423" t="str">
        <f>IFERROR(K48/F48,"－")</f>
        <v>－</v>
      </c>
      <c r="M48" s="401">
        <v>0</v>
      </c>
      <c r="N48" s="423" t="str">
        <f t="shared" si="2"/>
        <v>－</v>
      </c>
      <c r="O48" s="401">
        <v>0</v>
      </c>
      <c r="P48" s="423" t="str">
        <f t="shared" si="3"/>
        <v>－</v>
      </c>
      <c r="Q48" s="401">
        <v>0</v>
      </c>
      <c r="R48" s="423" t="str">
        <f t="shared" si="4"/>
        <v>－</v>
      </c>
      <c r="S48" s="401">
        <v>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2" t="s">
        <v>33</v>
      </c>
      <c r="C50" s="389" t="s">
        <v>16</v>
      </c>
      <c r="D50" s="390">
        <v>0</v>
      </c>
      <c r="E50" s="391">
        <v>0</v>
      </c>
      <c r="F50" s="392">
        <v>0</v>
      </c>
      <c r="G50" s="408">
        <v>0</v>
      </c>
      <c r="H50" s="409">
        <v>0</v>
      </c>
      <c r="I50" s="409">
        <v>0</v>
      </c>
      <c r="J50" s="410" t="str">
        <f t="shared" ref="J50:J61" si="8">IFERROR(SUM(G50:I50)/3/F50,"－")</f>
        <v>－</v>
      </c>
      <c r="K50" s="408">
        <v>0</v>
      </c>
      <c r="L50" s="411" t="str">
        <f t="shared" ref="L50:L61" si="9">IFERROR(K50/F50,"－")</f>
        <v>－</v>
      </c>
      <c r="M50" s="408">
        <v>0</v>
      </c>
      <c r="N50" s="403" t="str">
        <f t="shared" si="2"/>
        <v>－</v>
      </c>
      <c r="O50" s="408">
        <v>0</v>
      </c>
      <c r="P50" s="411" t="str">
        <f t="shared" si="3"/>
        <v>－</v>
      </c>
      <c r="Q50" s="408">
        <v>0</v>
      </c>
      <c r="R50" s="411" t="str">
        <f t="shared" si="4"/>
        <v>－</v>
      </c>
      <c r="S50" s="408">
        <v>0</v>
      </c>
      <c r="T50" s="411" t="str">
        <f>IFERROR(S50/F50,"－")</f>
        <v>－</v>
      </c>
    </row>
    <row r="51" spans="1:20">
      <c r="A51" s="19"/>
      <c r="B51" s="1054"/>
      <c r="C51" s="389" t="s">
        <v>19</v>
      </c>
      <c r="D51" s="404">
        <v>0</v>
      </c>
      <c r="E51" s="405">
        <v>0</v>
      </c>
      <c r="F51" s="406">
        <v>0</v>
      </c>
      <c r="G51" s="407">
        <v>0</v>
      </c>
      <c r="H51" s="405">
        <v>0</v>
      </c>
      <c r="I51" s="405">
        <v>0</v>
      </c>
      <c r="J51" s="402" t="str">
        <f t="shared" si="8"/>
        <v>－</v>
      </c>
      <c r="K51" s="407">
        <v>0</v>
      </c>
      <c r="L51" s="403" t="str">
        <f t="shared" si="9"/>
        <v>－</v>
      </c>
      <c r="M51" s="407">
        <v>0</v>
      </c>
      <c r="N51" s="403" t="str">
        <f t="shared" si="2"/>
        <v>－</v>
      </c>
      <c r="O51" s="407">
        <v>0</v>
      </c>
      <c r="P51" s="403" t="str">
        <f t="shared" si="3"/>
        <v>－</v>
      </c>
      <c r="Q51" s="407">
        <v>0</v>
      </c>
      <c r="R51" s="403" t="str">
        <f t="shared" si="4"/>
        <v>－</v>
      </c>
      <c r="S51" s="407">
        <v>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>
        <v>0</v>
      </c>
      <c r="E52" s="391">
        <v>0</v>
      </c>
      <c r="F52" s="392">
        <v>0</v>
      </c>
      <c r="G52" s="401">
        <v>0</v>
      </c>
      <c r="H52" s="391">
        <v>0</v>
      </c>
      <c r="I52" s="391">
        <v>0</v>
      </c>
      <c r="J52" s="402" t="str">
        <f t="shared" si="8"/>
        <v>－</v>
      </c>
      <c r="K52" s="401">
        <v>0</v>
      </c>
      <c r="L52" s="403" t="str">
        <f t="shared" si="9"/>
        <v>－</v>
      </c>
      <c r="M52" s="401">
        <v>0</v>
      </c>
      <c r="N52" s="403" t="str">
        <f t="shared" si="2"/>
        <v>－</v>
      </c>
      <c r="O52" s="401">
        <v>0</v>
      </c>
      <c r="P52" s="403" t="str">
        <f t="shared" si="3"/>
        <v>－</v>
      </c>
      <c r="Q52" s="401">
        <v>0</v>
      </c>
      <c r="R52" s="403" t="str">
        <f t="shared" si="4"/>
        <v>－</v>
      </c>
      <c r="S52" s="401">
        <v>0</v>
      </c>
      <c r="T52" s="403" t="str">
        <f t="shared" ref="T52:T55" si="10">IFERROR(S52/F52,"－")</f>
        <v>－</v>
      </c>
    </row>
    <row r="53" spans="1:20">
      <c r="A53" s="24"/>
      <c r="B53" s="1052" t="s">
        <v>34</v>
      </c>
      <c r="C53" s="389" t="s">
        <v>16</v>
      </c>
      <c r="D53" s="390">
        <v>0</v>
      </c>
      <c r="E53" s="391">
        <v>0</v>
      </c>
      <c r="F53" s="392">
        <v>0</v>
      </c>
      <c r="G53" s="408">
        <v>0</v>
      </c>
      <c r="H53" s="409">
        <v>0</v>
      </c>
      <c r="I53" s="409">
        <v>0</v>
      </c>
      <c r="J53" s="410" t="str">
        <f t="shared" si="8"/>
        <v>－</v>
      </c>
      <c r="K53" s="408">
        <v>0</v>
      </c>
      <c r="L53" s="411" t="str">
        <f t="shared" si="9"/>
        <v>－</v>
      </c>
      <c r="M53" s="408">
        <v>0</v>
      </c>
      <c r="N53" s="411" t="str">
        <f t="shared" si="2"/>
        <v>－</v>
      </c>
      <c r="O53" s="408">
        <v>0</v>
      </c>
      <c r="P53" s="411" t="str">
        <f t="shared" si="3"/>
        <v>－</v>
      </c>
      <c r="Q53" s="408">
        <v>0</v>
      </c>
      <c r="R53" s="411" t="str">
        <f t="shared" si="4"/>
        <v>－</v>
      </c>
      <c r="S53" s="408">
        <v>0</v>
      </c>
      <c r="T53" s="403" t="str">
        <f t="shared" si="10"/>
        <v>－</v>
      </c>
    </row>
    <row r="54" spans="1:20">
      <c r="A54" s="19"/>
      <c r="B54" s="1053"/>
      <c r="C54" s="389" t="s">
        <v>17</v>
      </c>
      <c r="D54" s="390">
        <v>0</v>
      </c>
      <c r="E54" s="391">
        <v>0</v>
      </c>
      <c r="F54" s="392">
        <v>0</v>
      </c>
      <c r="G54" s="401">
        <v>0</v>
      </c>
      <c r="H54" s="391">
        <v>0</v>
      </c>
      <c r="I54" s="391">
        <v>0</v>
      </c>
      <c r="J54" s="402" t="str">
        <f t="shared" si="8"/>
        <v>－</v>
      </c>
      <c r="K54" s="401">
        <v>0</v>
      </c>
      <c r="L54" s="403" t="str">
        <f t="shared" si="9"/>
        <v>－</v>
      </c>
      <c r="M54" s="401">
        <v>0</v>
      </c>
      <c r="N54" s="403" t="str">
        <f t="shared" si="2"/>
        <v>－</v>
      </c>
      <c r="O54" s="401">
        <v>0</v>
      </c>
      <c r="P54" s="403" t="str">
        <f t="shared" si="3"/>
        <v>－</v>
      </c>
      <c r="Q54" s="401">
        <v>0</v>
      </c>
      <c r="R54" s="403" t="str">
        <f t="shared" si="4"/>
        <v>－</v>
      </c>
      <c r="S54" s="401">
        <v>0</v>
      </c>
      <c r="T54" s="403" t="str">
        <f t="shared" si="10"/>
        <v>－</v>
      </c>
    </row>
    <row r="55" spans="1:20">
      <c r="A55" s="19"/>
      <c r="B55" s="1057" t="s">
        <v>35</v>
      </c>
      <c r="C55" s="389" t="s">
        <v>16</v>
      </c>
      <c r="D55" s="390">
        <v>0</v>
      </c>
      <c r="E55" s="391">
        <v>4349.2970000000005</v>
      </c>
      <c r="F55" s="392">
        <v>0</v>
      </c>
      <c r="G55" s="408">
        <v>0</v>
      </c>
      <c r="H55" s="409">
        <v>0</v>
      </c>
      <c r="I55" s="409">
        <v>0</v>
      </c>
      <c r="J55" s="410" t="str">
        <f t="shared" si="8"/>
        <v>－</v>
      </c>
      <c r="K55" s="408">
        <v>0</v>
      </c>
      <c r="L55" s="411" t="str">
        <f t="shared" si="9"/>
        <v>－</v>
      </c>
      <c r="M55" s="408">
        <v>0</v>
      </c>
      <c r="N55" s="411" t="str">
        <f t="shared" si="2"/>
        <v>－</v>
      </c>
      <c r="O55" s="408">
        <v>0</v>
      </c>
      <c r="P55" s="411" t="str">
        <f t="shared" si="3"/>
        <v>－</v>
      </c>
      <c r="Q55" s="408">
        <v>0</v>
      </c>
      <c r="R55" s="411" t="str">
        <f t="shared" si="4"/>
        <v>－</v>
      </c>
      <c r="S55" s="408">
        <v>0</v>
      </c>
      <c r="T55" s="403" t="str">
        <f t="shared" si="10"/>
        <v>－</v>
      </c>
    </row>
    <row r="56" spans="1:20" ht="14.25" thickBot="1">
      <c r="A56" s="19"/>
      <c r="B56" s="1063"/>
      <c r="C56" s="389" t="s">
        <v>17</v>
      </c>
      <c r="D56" s="438">
        <v>0</v>
      </c>
      <c r="E56" s="427">
        <v>1.4166666666666667</v>
      </c>
      <c r="F56" s="439">
        <v>0</v>
      </c>
      <c r="G56" s="426">
        <v>0</v>
      </c>
      <c r="H56" s="427">
        <v>0</v>
      </c>
      <c r="I56" s="427">
        <v>0</v>
      </c>
      <c r="J56" s="428" t="str">
        <f t="shared" si="8"/>
        <v>－</v>
      </c>
      <c r="K56" s="426">
        <v>0</v>
      </c>
      <c r="L56" s="429" t="str">
        <f t="shared" si="9"/>
        <v>－</v>
      </c>
      <c r="M56" s="426">
        <v>0</v>
      </c>
      <c r="N56" s="429" t="str">
        <f t="shared" si="2"/>
        <v>－</v>
      </c>
      <c r="O56" s="426">
        <v>0</v>
      </c>
      <c r="P56" s="429" t="str">
        <f t="shared" si="3"/>
        <v>－</v>
      </c>
      <c r="Q56" s="426">
        <v>0</v>
      </c>
      <c r="R56" s="429" t="str">
        <f t="shared" si="4"/>
        <v>－</v>
      </c>
      <c r="S56" s="426">
        <v>0</v>
      </c>
      <c r="T56" s="429" t="str">
        <f t="shared" ref="T56:T61" si="11">IFERROR(S56/F56,"－")</f>
        <v>－</v>
      </c>
    </row>
    <row r="57" spans="1:20">
      <c r="A57" s="20" t="s">
        <v>111</v>
      </c>
      <c r="B57" s="440"/>
      <c r="C57" s="441" t="s">
        <v>16</v>
      </c>
      <c r="D57" s="442">
        <v>2373.7159999999999</v>
      </c>
      <c r="E57" s="443">
        <v>4609.7190000000001</v>
      </c>
      <c r="F57" s="444">
        <v>4800.9120000000003</v>
      </c>
      <c r="G57" s="445">
        <v>5036</v>
      </c>
      <c r="H57" s="446">
        <v>4918</v>
      </c>
      <c r="I57" s="446">
        <v>5046</v>
      </c>
      <c r="J57" s="447">
        <f t="shared" si="8"/>
        <v>1.0414687875970232</v>
      </c>
      <c r="K57" s="445">
        <v>5041</v>
      </c>
      <c r="L57" s="448">
        <f t="shared" si="9"/>
        <v>1.0500088316553187</v>
      </c>
      <c r="M57" s="445">
        <v>5591</v>
      </c>
      <c r="N57" s="448">
        <f t="shared" si="2"/>
        <v>1.1645703982909914</v>
      </c>
      <c r="O57" s="445">
        <v>5841</v>
      </c>
      <c r="P57" s="448">
        <f t="shared" si="3"/>
        <v>1.2166438376708424</v>
      </c>
      <c r="Q57" s="445">
        <v>5537</v>
      </c>
      <c r="R57" s="448">
        <f t="shared" si="4"/>
        <v>1.1533225353849434</v>
      </c>
      <c r="S57" s="445">
        <v>4796</v>
      </c>
      <c r="T57" s="448">
        <f t="shared" si="11"/>
        <v>0.9989768610630646</v>
      </c>
    </row>
    <row r="58" spans="1:20" ht="14.25" thickBot="1">
      <c r="A58" s="21"/>
      <c r="B58" s="449"/>
      <c r="C58" s="450" t="s">
        <v>17</v>
      </c>
      <c r="D58" s="451">
        <v>58</v>
      </c>
      <c r="E58" s="452">
        <v>59.75</v>
      </c>
      <c r="F58" s="453">
        <v>77</v>
      </c>
      <c r="G58" s="454">
        <v>81</v>
      </c>
      <c r="H58" s="452">
        <v>79</v>
      </c>
      <c r="I58" s="452">
        <v>81</v>
      </c>
      <c r="J58" s="455">
        <f t="shared" si="8"/>
        <v>1.0432900432900432</v>
      </c>
      <c r="K58" s="454">
        <v>81</v>
      </c>
      <c r="L58" s="456">
        <f t="shared" si="9"/>
        <v>1.051948051948052</v>
      </c>
      <c r="M58" s="454">
        <v>90</v>
      </c>
      <c r="N58" s="456">
        <f t="shared" si="2"/>
        <v>1.1688311688311688</v>
      </c>
      <c r="O58" s="454">
        <v>94</v>
      </c>
      <c r="P58" s="456">
        <f t="shared" si="3"/>
        <v>1.2207792207792207</v>
      </c>
      <c r="Q58" s="454">
        <v>89</v>
      </c>
      <c r="R58" s="456">
        <f t="shared" si="4"/>
        <v>1.1558441558441559</v>
      </c>
      <c r="S58" s="454">
        <v>77</v>
      </c>
      <c r="T58" s="456">
        <f t="shared" si="11"/>
        <v>1</v>
      </c>
    </row>
    <row r="59" spans="1:20">
      <c r="A59" s="20" t="s">
        <v>416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>
        <f>IF(ISERROR(SUM(D12,D14,D17,D20,D23,D25,D27,D29,D32,D35,D38,D41,D43,D45,D47,D50,D53,D55,D57)),0,(SUM(D12,D14,D17,D20,D23,D25,D27,D29,D32,D35,D38,D41,D43,D45,D47,D50,D53,D55,D57)))</f>
        <v>27005.507000000001</v>
      </c>
      <c r="E61" s="460">
        <f>IF(ISERROR(SUM(E12,E14,E17,E20,E23,E25,E27,E29,E32,E35,E38,E41,E43,E45,E47,E50,E53,E55,E57)),0,(SUM(E12,E14,E17,E20,E23,E25,E27,E29,E32,E35,E38,E41,E43,E45,E47,E50,E53,E55,E57)))</f>
        <v>32287.638000000003</v>
      </c>
      <c r="F61" s="461">
        <f>IF(ISERROR(SUM(F12,F14,F17,F20,F23,F25,F27,F29,F32,F35,F38,F41,F43,F45,F47,F50,F53,F55,F57)),0,(SUM(F12,F14,F17,F20,F23,F25,F27,F29,F32,F35,F38,F41,F43,F45,F47,F50,F53,F55,F57)))</f>
        <v>34325.974799999996</v>
      </c>
      <c r="G61" s="462">
        <f>IF(ISERROR(SUM(G12,G14,G17,G20,G23,G25,G27,G29,G32,G35,G38,G41,G43,G45,G47,G50,G53,G55,G57)),0,(SUM(G12,G14,G17,G20,G23,G25,G27,G29,G32,G35,G38,G41,G43,G45,G47,G50,G53,G55,G57)))</f>
        <v>36311</v>
      </c>
      <c r="H61" s="460">
        <f>IF(ISERROR(SUM(H12,H14,H17,H20,H23,H25,H27,H29,H32,H35,H38,H41,H43,H45,H47,H50,H53,H55,H57,H59)),0,(SUM(H12,H14,H17,H20,H23,H25,H27,H29,H32,H35,H38,H41,H43,H45,H47,H50,H53,H55,H57,H59)))</f>
        <v>35580</v>
      </c>
      <c r="I61" s="460">
        <f>IF(ISERROR(SUM(I12,I14,I17,I20,I23,I25,I27,I29,I32,I35,I38,I41,I43,I45,I47,I50,I53,I55,I57,I59)),0,(SUM(I12,I14,I17,I20,I23,I25,I27,I29,I32,I35,I38,I41,I43,I45,I47,I50,I53,I55,I57,I59)))</f>
        <v>35810</v>
      </c>
      <c r="J61" s="463">
        <f t="shared" si="8"/>
        <v>1.0458649329700416</v>
      </c>
      <c r="K61" s="462">
        <f>IF(ISERROR(SUM(K12,K14,K17,K20,K23,K25,K27,K29,K32,K35,K38,K41,K43,K45,K47,K50,K53,K55,K57,K59)),0,(SUM(K12,K14,K17,K20,K23,K25,K27,K29,K32,K35,K38,K41,K43,K45,K47,K50,K53,K55,K57,K59)))</f>
        <v>36100</v>
      </c>
      <c r="L61" s="464">
        <f t="shared" si="9"/>
        <v>1.0516817136392003</v>
      </c>
      <c r="M61" s="462">
        <f>IF(ISERROR(SUM(M12,M14,M17,M20,M23,M25,M27,M29,M32,M35,M38,M41,M43,M45,M47,M50,M53,M55,M57,M59)),0,(SUM(M12,M14,M17,M20,M23,M25,M27,M29,M32,M35,M38,M41,M43,M45,M47,M50,M53,M55,M57,M59)))</f>
        <v>39460</v>
      </c>
      <c r="N61" s="464">
        <f t="shared" si="2"/>
        <v>1.1495667706427379</v>
      </c>
      <c r="O61" s="462">
        <f>IF(ISERROR(SUM(O12,O14,O17,O20,O23,O25,O27,O29,O32,O35,O38,O41,O43,O45,O47,O50,O53,O55,O57,O59)),0,(SUM(O12,O14,O17,O20,O23,O25,O27,O29,O32,O35,O38,O41,O43,O45,O47,O50,O53,O55,O57,O59)))</f>
        <v>41269</v>
      </c>
      <c r="P61" s="464">
        <f t="shared" si="3"/>
        <v>1.2022673861544642</v>
      </c>
      <c r="Q61" s="462">
        <f>IF(ISERROR(SUM(Q12,Q14,Q17,Q20,Q23,Q25,Q27,Q29,Q32,Q35,Q38,Q41,Q43,Q45,Q47,Q50,Q53,Q55,Q57,Q59)),0,(SUM(Q12,Q14,Q17,Q20,Q23,Q25,Q27,Q29,Q32,Q35,Q38,Q41,Q43,Q45,Q47,Q50,Q53,Q55,Q57,Q59)))</f>
        <v>38770</v>
      </c>
      <c r="R61" s="464">
        <f t="shared" si="4"/>
        <v>1.129465375008083</v>
      </c>
      <c r="S61" s="462">
        <f>IF(ISERROR(SUM(S12,S14,S17,S20,S23,S25,S27,S29,S32,S35,S38,S41,S43,S45,S47,S50,S53,S55,S57,S59)),0,(SUM(S12,S14,S17,S20,S23,S25,S27,S29,S32,S35,S38,S41,S43,S45,S47,S50,S53,S55,S57,S59)))</f>
        <v>34587</v>
      </c>
      <c r="T61" s="464">
        <f t="shared" si="11"/>
        <v>1.0076043055301667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364</v>
      </c>
      <c r="H62" s="467"/>
      <c r="I62" s="467"/>
      <c r="J62" s="467"/>
      <c r="K62" s="637" t="s">
        <v>400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366</v>
      </c>
      <c r="E66" s="749" t="s">
        <v>365</v>
      </c>
      <c r="F66" s="378" t="s">
        <v>362</v>
      </c>
      <c r="G66" s="748" t="s">
        <v>361</v>
      </c>
      <c r="H66" s="749" t="s">
        <v>360</v>
      </c>
      <c r="I66" s="750" t="s">
        <v>359</v>
      </c>
      <c r="J66" s="38" t="s">
        <v>104</v>
      </c>
      <c r="K66" s="748" t="s">
        <v>383</v>
      </c>
      <c r="L66" s="39" t="s">
        <v>105</v>
      </c>
      <c r="M66" s="748" t="s">
        <v>386</v>
      </c>
      <c r="N66" s="39" t="s">
        <v>105</v>
      </c>
      <c r="O66" s="748" t="s">
        <v>389</v>
      </c>
      <c r="P66" s="39" t="s">
        <v>105</v>
      </c>
      <c r="Q66" s="748" t="s">
        <v>392</v>
      </c>
      <c r="R66" s="39" t="s">
        <v>105</v>
      </c>
      <c r="S66" s="748" t="s">
        <v>395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2" t="s">
        <v>39</v>
      </c>
      <c r="C68" s="389" t="s">
        <v>16</v>
      </c>
      <c r="D68" s="472">
        <v>40913.158000000003</v>
      </c>
      <c r="E68" s="409">
        <v>27780.870999999999</v>
      </c>
      <c r="F68" s="473">
        <v>18100.396799999999</v>
      </c>
      <c r="G68" s="408">
        <v>17663</v>
      </c>
      <c r="H68" s="409">
        <v>17747</v>
      </c>
      <c r="I68" s="474">
        <v>17838</v>
      </c>
      <c r="J68" s="410">
        <f t="shared" ref="J68:J101" si="17">IFERROR(SUM(G68:I68)/3/F68,"－")</f>
        <v>0.98060465355838677</v>
      </c>
      <c r="K68" s="408">
        <v>16319</v>
      </c>
      <c r="L68" s="411">
        <f t="shared" ref="L68:L105" si="18">IFERROR(K68/F68,"－")</f>
        <v>0.90158244486662309</v>
      </c>
      <c r="M68" s="408">
        <v>17596</v>
      </c>
      <c r="N68" s="411">
        <f>IFERROR(M68/F68,"－")</f>
        <v>0.97213338439077768</v>
      </c>
      <c r="O68" s="408">
        <v>18208</v>
      </c>
      <c r="P68" s="411">
        <f>IFERROR(O68/F68,"－")</f>
        <v>1.0059447978510616</v>
      </c>
      <c r="Q68" s="408">
        <v>17881</v>
      </c>
      <c r="R68" s="411">
        <f>IFERROR(Q68/F68,"－")</f>
        <v>0.98787889556100794</v>
      </c>
      <c r="S68" s="408">
        <v>16604</v>
      </c>
      <c r="T68" s="411">
        <f>IFERROR(S68/F68,"－")</f>
        <v>0.91732795603685335</v>
      </c>
    </row>
    <row r="69" spans="1:20">
      <c r="A69" s="19"/>
      <c r="B69" s="1054"/>
      <c r="C69" s="389" t="s">
        <v>19</v>
      </c>
      <c r="D69" s="475">
        <v>1180.25</v>
      </c>
      <c r="E69" s="476">
        <v>705.33333333333337</v>
      </c>
      <c r="F69" s="477">
        <v>426.5</v>
      </c>
      <c r="G69" s="478">
        <v>416.6</v>
      </c>
      <c r="H69" s="476">
        <v>418.8</v>
      </c>
      <c r="I69" s="479">
        <v>421.2</v>
      </c>
      <c r="J69" s="402">
        <f t="shared" si="17"/>
        <v>0.98210238374365</v>
      </c>
      <c r="K69" s="478">
        <v>386.5</v>
      </c>
      <c r="L69" s="403">
        <f t="shared" si="18"/>
        <v>0.90621336459554513</v>
      </c>
      <c r="M69" s="478">
        <v>415.7</v>
      </c>
      <c r="N69" s="403">
        <f t="shared" ref="N69:N134" si="19">IFERROR(M69/F69,"－")</f>
        <v>0.97467760844079721</v>
      </c>
      <c r="O69" s="478">
        <v>429.1</v>
      </c>
      <c r="P69" s="403">
        <f t="shared" ref="P69:P134" si="20">IFERROR(O69/F69,"－")</f>
        <v>1.0060961313012897</v>
      </c>
      <c r="Q69" s="478">
        <v>422</v>
      </c>
      <c r="R69" s="403">
        <f t="shared" ref="R69:R134" si="21">IFERROR(Q69/F69,"－")</f>
        <v>0.98944900351699883</v>
      </c>
      <c r="S69" s="478">
        <v>392.8</v>
      </c>
      <c r="T69" s="411">
        <f t="shared" ref="T69:T106" si="22">IFERROR(S69/F69,"－")</f>
        <v>0.92098475967174676</v>
      </c>
    </row>
    <row r="70" spans="1:20">
      <c r="A70" s="19"/>
      <c r="B70" s="753"/>
      <c r="C70" s="389" t="s">
        <v>17</v>
      </c>
      <c r="D70" s="472">
        <v>34.75</v>
      </c>
      <c r="E70" s="409">
        <v>33.166666666666664</v>
      </c>
      <c r="F70" s="473">
        <v>27</v>
      </c>
      <c r="G70" s="408">
        <v>28</v>
      </c>
      <c r="H70" s="409">
        <v>28</v>
      </c>
      <c r="I70" s="474">
        <v>28</v>
      </c>
      <c r="J70" s="402">
        <f t="shared" si="17"/>
        <v>1.037037037037037</v>
      </c>
      <c r="K70" s="408">
        <v>24</v>
      </c>
      <c r="L70" s="403">
        <f t="shared" si="18"/>
        <v>0.88888888888888884</v>
      </c>
      <c r="M70" s="408">
        <v>27</v>
      </c>
      <c r="N70" s="403">
        <f t="shared" si="19"/>
        <v>1</v>
      </c>
      <c r="O70" s="408">
        <v>29</v>
      </c>
      <c r="P70" s="403">
        <f t="shared" si="20"/>
        <v>1.0740740740740742</v>
      </c>
      <c r="Q70" s="408">
        <v>28</v>
      </c>
      <c r="R70" s="403">
        <f t="shared" si="21"/>
        <v>1.037037037037037</v>
      </c>
      <c r="S70" s="408">
        <v>25</v>
      </c>
      <c r="T70" s="411">
        <f t="shared" si="22"/>
        <v>0.92592592592592593</v>
      </c>
    </row>
    <row r="71" spans="1:20">
      <c r="A71" s="19"/>
      <c r="B71" s="1052" t="s">
        <v>40</v>
      </c>
      <c r="C71" s="389" t="s">
        <v>16</v>
      </c>
      <c r="D71" s="472">
        <v>4766.7479999999996</v>
      </c>
      <c r="E71" s="409">
        <v>2668.09</v>
      </c>
      <c r="F71" s="473">
        <v>0</v>
      </c>
      <c r="G71" s="408">
        <v>0</v>
      </c>
      <c r="H71" s="409">
        <v>0</v>
      </c>
      <c r="I71" s="474">
        <v>0</v>
      </c>
      <c r="J71" s="410" t="str">
        <f t="shared" si="17"/>
        <v>－</v>
      </c>
      <c r="K71" s="408">
        <v>0</v>
      </c>
      <c r="L71" s="411" t="str">
        <f t="shared" si="18"/>
        <v>－</v>
      </c>
      <c r="M71" s="408">
        <v>0</v>
      </c>
      <c r="N71" s="411" t="str">
        <f t="shared" si="19"/>
        <v>－</v>
      </c>
      <c r="O71" s="408">
        <v>0</v>
      </c>
      <c r="P71" s="411" t="str">
        <f t="shared" si="20"/>
        <v>－</v>
      </c>
      <c r="Q71" s="408">
        <v>0</v>
      </c>
      <c r="R71" s="411" t="str">
        <f t="shared" si="21"/>
        <v>－</v>
      </c>
      <c r="S71" s="408">
        <v>0</v>
      </c>
      <c r="T71" s="411" t="str">
        <f t="shared" si="22"/>
        <v>－</v>
      </c>
    </row>
    <row r="72" spans="1:20">
      <c r="A72" s="19"/>
      <c r="B72" s="1054"/>
      <c r="C72" s="389" t="s">
        <v>19</v>
      </c>
      <c r="D72" s="472">
        <v>29.25</v>
      </c>
      <c r="E72" s="409">
        <v>17.166666666666668</v>
      </c>
      <c r="F72" s="473">
        <v>0</v>
      </c>
      <c r="G72" s="478">
        <v>0</v>
      </c>
      <c r="H72" s="476">
        <v>0</v>
      </c>
      <c r="I72" s="479">
        <v>0</v>
      </c>
      <c r="J72" s="402" t="str">
        <f t="shared" si="17"/>
        <v>－</v>
      </c>
      <c r="K72" s="478">
        <v>0</v>
      </c>
      <c r="L72" s="403" t="str">
        <f t="shared" si="18"/>
        <v>－</v>
      </c>
      <c r="M72" s="478">
        <v>0</v>
      </c>
      <c r="N72" s="403" t="str">
        <f t="shared" si="19"/>
        <v>－</v>
      </c>
      <c r="O72" s="478">
        <v>0</v>
      </c>
      <c r="P72" s="403" t="str">
        <f t="shared" si="20"/>
        <v>－</v>
      </c>
      <c r="Q72" s="478">
        <v>0</v>
      </c>
      <c r="R72" s="403" t="str">
        <f t="shared" si="21"/>
        <v>－</v>
      </c>
      <c r="S72" s="478">
        <v>0</v>
      </c>
      <c r="T72" s="411" t="str">
        <f t="shared" si="22"/>
        <v>－</v>
      </c>
    </row>
    <row r="73" spans="1:20">
      <c r="A73" s="19"/>
      <c r="B73" s="753"/>
      <c r="C73" s="389" t="s">
        <v>17</v>
      </c>
      <c r="D73" s="472">
        <v>6.25</v>
      </c>
      <c r="E73" s="409">
        <v>3.8333333333333335</v>
      </c>
      <c r="F73" s="473">
        <v>0</v>
      </c>
      <c r="G73" s="408">
        <v>0</v>
      </c>
      <c r="H73" s="409">
        <v>0</v>
      </c>
      <c r="I73" s="474">
        <v>0</v>
      </c>
      <c r="J73" s="402" t="str">
        <f t="shared" si="17"/>
        <v>－</v>
      </c>
      <c r="K73" s="408">
        <v>0</v>
      </c>
      <c r="L73" s="403" t="str">
        <f t="shared" si="18"/>
        <v>－</v>
      </c>
      <c r="M73" s="408">
        <v>0</v>
      </c>
      <c r="N73" s="403" t="str">
        <f t="shared" si="19"/>
        <v>－</v>
      </c>
      <c r="O73" s="408">
        <v>0</v>
      </c>
      <c r="P73" s="403" t="str">
        <f t="shared" si="20"/>
        <v>－</v>
      </c>
      <c r="Q73" s="408">
        <v>0</v>
      </c>
      <c r="R73" s="403" t="str">
        <f t="shared" si="21"/>
        <v>－</v>
      </c>
      <c r="S73" s="408">
        <v>0</v>
      </c>
      <c r="T73" s="411" t="str">
        <f t="shared" si="22"/>
        <v>－</v>
      </c>
    </row>
    <row r="74" spans="1:20">
      <c r="A74" s="19"/>
      <c r="B74" s="1052" t="s">
        <v>41</v>
      </c>
      <c r="C74" s="389" t="s">
        <v>16</v>
      </c>
      <c r="D74" s="472">
        <v>1431.81</v>
      </c>
      <c r="E74" s="409">
        <v>3032.9519999999998</v>
      </c>
      <c r="F74" s="473">
        <v>11259.468000000001</v>
      </c>
      <c r="G74" s="408">
        <v>12297</v>
      </c>
      <c r="H74" s="409">
        <v>12358</v>
      </c>
      <c r="I74" s="474">
        <v>13165</v>
      </c>
      <c r="J74" s="410">
        <f t="shared" si="17"/>
        <v>1.1196502949044009</v>
      </c>
      <c r="K74" s="408">
        <v>13165</v>
      </c>
      <c r="L74" s="411">
        <f t="shared" si="18"/>
        <v>1.1692381913603733</v>
      </c>
      <c r="M74" s="408">
        <v>14750</v>
      </c>
      <c r="N74" s="411">
        <f t="shared" si="19"/>
        <v>1.3100086078667303</v>
      </c>
      <c r="O74" s="408">
        <v>14750</v>
      </c>
      <c r="P74" s="411">
        <f t="shared" si="20"/>
        <v>1.3100086078667303</v>
      </c>
      <c r="Q74" s="408">
        <v>13958</v>
      </c>
      <c r="R74" s="411">
        <f t="shared" si="21"/>
        <v>1.2396678066850049</v>
      </c>
      <c r="S74" s="408">
        <v>12373</v>
      </c>
      <c r="T74" s="411">
        <f t="shared" si="22"/>
        <v>1.0988973901786478</v>
      </c>
    </row>
    <row r="75" spans="1:20">
      <c r="A75" s="19"/>
      <c r="B75" s="1054"/>
      <c r="C75" s="389" t="s">
        <v>19</v>
      </c>
      <c r="D75" s="475">
        <v>23.25</v>
      </c>
      <c r="E75" s="476">
        <v>57.166666666666664</v>
      </c>
      <c r="F75" s="477">
        <v>243.4</v>
      </c>
      <c r="G75" s="478">
        <v>266.39999999999998</v>
      </c>
      <c r="H75" s="476">
        <v>267.2</v>
      </c>
      <c r="I75" s="479">
        <v>285.3</v>
      </c>
      <c r="J75" s="402">
        <f t="shared" si="17"/>
        <v>1.1214735688852369</v>
      </c>
      <c r="K75" s="478">
        <v>285.3</v>
      </c>
      <c r="L75" s="403">
        <f t="shared" si="18"/>
        <v>1.1721446179129007</v>
      </c>
      <c r="M75" s="478">
        <v>321.10000000000002</v>
      </c>
      <c r="N75" s="403">
        <f t="shared" si="19"/>
        <v>1.3192276088742811</v>
      </c>
      <c r="O75" s="478">
        <v>321.10000000000002</v>
      </c>
      <c r="P75" s="403">
        <f t="shared" si="20"/>
        <v>1.3192276088742811</v>
      </c>
      <c r="Q75" s="478">
        <v>303.2</v>
      </c>
      <c r="R75" s="403">
        <f t="shared" si="21"/>
        <v>1.2456861133935908</v>
      </c>
      <c r="S75" s="478">
        <v>267.39999999999998</v>
      </c>
      <c r="T75" s="411">
        <f t="shared" si="22"/>
        <v>1.0986031224322101</v>
      </c>
    </row>
    <row r="76" spans="1:20">
      <c r="A76" s="19"/>
      <c r="B76" s="753"/>
      <c r="C76" s="389" t="s">
        <v>17</v>
      </c>
      <c r="D76" s="472">
        <v>4.333333333333333</v>
      </c>
      <c r="E76" s="409">
        <v>7</v>
      </c>
      <c r="F76" s="473">
        <v>16</v>
      </c>
      <c r="G76" s="408">
        <v>16</v>
      </c>
      <c r="H76" s="409">
        <v>16</v>
      </c>
      <c r="I76" s="474">
        <v>17</v>
      </c>
      <c r="J76" s="402">
        <f t="shared" si="17"/>
        <v>1.0208333333333333</v>
      </c>
      <c r="K76" s="408">
        <v>17</v>
      </c>
      <c r="L76" s="403">
        <f t="shared" si="18"/>
        <v>1.0625</v>
      </c>
      <c r="M76" s="408">
        <v>19</v>
      </c>
      <c r="N76" s="403">
        <f t="shared" si="19"/>
        <v>1.1875</v>
      </c>
      <c r="O76" s="408">
        <v>19</v>
      </c>
      <c r="P76" s="403">
        <f t="shared" si="20"/>
        <v>1.1875</v>
      </c>
      <c r="Q76" s="408">
        <v>18</v>
      </c>
      <c r="R76" s="403">
        <f t="shared" si="21"/>
        <v>1.125</v>
      </c>
      <c r="S76" s="408">
        <v>16</v>
      </c>
      <c r="T76" s="411">
        <f t="shared" si="22"/>
        <v>1</v>
      </c>
    </row>
    <row r="77" spans="1:20">
      <c r="A77" s="19"/>
      <c r="B77" s="1052" t="s">
        <v>42</v>
      </c>
      <c r="C77" s="389" t="s">
        <v>16</v>
      </c>
      <c r="D77" s="472">
        <v>7120.2209999999995</v>
      </c>
      <c r="E77" s="409">
        <v>4721.4470000000001</v>
      </c>
      <c r="F77" s="473">
        <v>5159.5295999999998</v>
      </c>
      <c r="G77" s="408">
        <v>5328</v>
      </c>
      <c r="H77" s="409">
        <v>4809</v>
      </c>
      <c r="I77" s="474">
        <v>4857</v>
      </c>
      <c r="J77" s="410">
        <f t="shared" si="17"/>
        <v>0.96869295991634585</v>
      </c>
      <c r="K77" s="408">
        <v>4857</v>
      </c>
      <c r="L77" s="411">
        <f t="shared" si="18"/>
        <v>0.94136488721762546</v>
      </c>
      <c r="M77" s="408">
        <v>5517</v>
      </c>
      <c r="N77" s="411">
        <f t="shared" si="19"/>
        <v>1.0692835253818489</v>
      </c>
      <c r="O77" s="408">
        <v>5517</v>
      </c>
      <c r="P77" s="411">
        <f t="shared" si="20"/>
        <v>1.0692835253818489</v>
      </c>
      <c r="Q77" s="408">
        <v>5517</v>
      </c>
      <c r="R77" s="411">
        <f t="shared" si="21"/>
        <v>1.0692835253818489</v>
      </c>
      <c r="S77" s="408">
        <v>4857</v>
      </c>
      <c r="T77" s="411">
        <f t="shared" si="22"/>
        <v>0.94136488721762546</v>
      </c>
    </row>
    <row r="78" spans="1:20">
      <c r="A78" s="19"/>
      <c r="B78" s="1054"/>
      <c r="C78" s="389" t="s">
        <v>19</v>
      </c>
      <c r="D78" s="475">
        <v>165.41666666666666</v>
      </c>
      <c r="E78" s="476">
        <v>114.08333333333333</v>
      </c>
      <c r="F78" s="477">
        <v>124.9</v>
      </c>
      <c r="G78" s="478">
        <v>129.1</v>
      </c>
      <c r="H78" s="476">
        <v>116.2</v>
      </c>
      <c r="I78" s="479">
        <v>117.4</v>
      </c>
      <c r="J78" s="402">
        <f t="shared" si="17"/>
        <v>0.96797437950360299</v>
      </c>
      <c r="K78" s="478">
        <v>117.4</v>
      </c>
      <c r="L78" s="403">
        <f t="shared" si="18"/>
        <v>0.93995196156925542</v>
      </c>
      <c r="M78" s="478">
        <v>133.80000000000001</v>
      </c>
      <c r="N78" s="403">
        <f t="shared" si="19"/>
        <v>1.0712570056044837</v>
      </c>
      <c r="O78" s="478">
        <v>133.80000000000001</v>
      </c>
      <c r="P78" s="403">
        <f t="shared" si="20"/>
        <v>1.0712570056044837</v>
      </c>
      <c r="Q78" s="478">
        <v>133.80000000000001</v>
      </c>
      <c r="R78" s="403">
        <f t="shared" si="21"/>
        <v>1.0712570056044837</v>
      </c>
      <c r="S78" s="478">
        <v>117.4</v>
      </c>
      <c r="T78" s="411">
        <f t="shared" si="22"/>
        <v>0.93995196156925542</v>
      </c>
    </row>
    <row r="79" spans="1:20">
      <c r="A79" s="19"/>
      <c r="B79" s="753"/>
      <c r="C79" s="389" t="s">
        <v>17</v>
      </c>
      <c r="D79" s="472">
        <v>12.833333333333334</v>
      </c>
      <c r="E79" s="409">
        <v>9.0833333333333339</v>
      </c>
      <c r="F79" s="473">
        <v>9</v>
      </c>
      <c r="G79" s="408">
        <v>9</v>
      </c>
      <c r="H79" s="409">
        <v>8</v>
      </c>
      <c r="I79" s="474">
        <v>8</v>
      </c>
      <c r="J79" s="402">
        <f t="shared" si="17"/>
        <v>0.92592592592592604</v>
      </c>
      <c r="K79" s="408">
        <v>8</v>
      </c>
      <c r="L79" s="403">
        <f t="shared" si="18"/>
        <v>0.88888888888888884</v>
      </c>
      <c r="M79" s="408">
        <v>9</v>
      </c>
      <c r="N79" s="403">
        <f t="shared" si="19"/>
        <v>1</v>
      </c>
      <c r="O79" s="408">
        <v>9</v>
      </c>
      <c r="P79" s="403">
        <f t="shared" si="20"/>
        <v>1</v>
      </c>
      <c r="Q79" s="408">
        <v>9</v>
      </c>
      <c r="R79" s="403">
        <f t="shared" si="21"/>
        <v>1</v>
      </c>
      <c r="S79" s="408">
        <v>8</v>
      </c>
      <c r="T79" s="411">
        <f t="shared" si="22"/>
        <v>0.88888888888888884</v>
      </c>
    </row>
    <row r="80" spans="1:20">
      <c r="A80" s="19"/>
      <c r="B80" s="1052" t="s">
        <v>43</v>
      </c>
      <c r="C80" s="389" t="s">
        <v>16</v>
      </c>
      <c r="D80" s="472">
        <v>1323.69</v>
      </c>
      <c r="E80" s="409">
        <v>1217.366</v>
      </c>
      <c r="F80" s="473">
        <v>1452.4680000000001</v>
      </c>
      <c r="G80" s="408">
        <v>1571</v>
      </c>
      <c r="H80" s="409">
        <v>1571</v>
      </c>
      <c r="I80" s="474">
        <v>1452</v>
      </c>
      <c r="J80" s="410">
        <f t="shared" si="17"/>
        <v>1.0542974670239436</v>
      </c>
      <c r="K80" s="408">
        <v>1452</v>
      </c>
      <c r="L80" s="411">
        <f t="shared" si="18"/>
        <v>0.99967778980328648</v>
      </c>
      <c r="M80" s="408">
        <v>1546</v>
      </c>
      <c r="N80" s="411">
        <f t="shared" si="19"/>
        <v>1.0643952224765021</v>
      </c>
      <c r="O80" s="408">
        <v>1546</v>
      </c>
      <c r="P80" s="411">
        <f t="shared" si="20"/>
        <v>1.0643952224765021</v>
      </c>
      <c r="Q80" s="408">
        <v>1546</v>
      </c>
      <c r="R80" s="411">
        <f t="shared" si="21"/>
        <v>1.0643952224765021</v>
      </c>
      <c r="S80" s="408">
        <v>1452</v>
      </c>
      <c r="T80" s="411">
        <f t="shared" si="22"/>
        <v>0.99967778980328648</v>
      </c>
    </row>
    <row r="81" spans="1:20">
      <c r="A81" s="19"/>
      <c r="B81" s="1053"/>
      <c r="C81" s="389" t="s">
        <v>17</v>
      </c>
      <c r="D81" s="472">
        <v>7.833333333333333</v>
      </c>
      <c r="E81" s="409">
        <v>8.1666666666666661</v>
      </c>
      <c r="F81" s="473">
        <v>11</v>
      </c>
      <c r="G81" s="408">
        <v>12</v>
      </c>
      <c r="H81" s="409">
        <v>12</v>
      </c>
      <c r="I81" s="474">
        <v>11</v>
      </c>
      <c r="J81" s="402">
        <f t="shared" si="17"/>
        <v>1.0606060606060606</v>
      </c>
      <c r="K81" s="408">
        <v>11</v>
      </c>
      <c r="L81" s="403">
        <f t="shared" si="18"/>
        <v>1</v>
      </c>
      <c r="M81" s="408">
        <v>12</v>
      </c>
      <c r="N81" s="403">
        <f t="shared" si="19"/>
        <v>1.0909090909090908</v>
      </c>
      <c r="O81" s="408">
        <v>12</v>
      </c>
      <c r="P81" s="403">
        <f t="shared" si="20"/>
        <v>1.0909090909090908</v>
      </c>
      <c r="Q81" s="408">
        <v>12</v>
      </c>
      <c r="R81" s="403">
        <f t="shared" si="21"/>
        <v>1.0909090909090908</v>
      </c>
      <c r="S81" s="408">
        <v>11</v>
      </c>
      <c r="T81" s="411">
        <f t="shared" si="22"/>
        <v>1</v>
      </c>
    </row>
    <row r="82" spans="1:20">
      <c r="A82" s="19"/>
      <c r="B82" s="1052" t="s">
        <v>44</v>
      </c>
      <c r="C82" s="389" t="s">
        <v>16</v>
      </c>
      <c r="D82" s="472">
        <v>64272.218000000001</v>
      </c>
      <c r="E82" s="409">
        <v>62331.951999999997</v>
      </c>
      <c r="F82" s="473">
        <v>53780.485200000003</v>
      </c>
      <c r="G82" s="408">
        <v>57862</v>
      </c>
      <c r="H82" s="409">
        <v>58230</v>
      </c>
      <c r="I82" s="474">
        <v>57296</v>
      </c>
      <c r="J82" s="410">
        <f t="shared" si="17"/>
        <v>1.0746649046595065</v>
      </c>
      <c r="K82" s="408">
        <v>49132</v>
      </c>
      <c r="L82" s="411">
        <f t="shared" si="18"/>
        <v>0.91356557712870912</v>
      </c>
      <c r="M82" s="408">
        <v>54955</v>
      </c>
      <c r="N82" s="411">
        <f t="shared" si="19"/>
        <v>1.0218390517607305</v>
      </c>
      <c r="O82" s="408">
        <v>59119</v>
      </c>
      <c r="P82" s="411">
        <f t="shared" si="20"/>
        <v>1.0992649058510167</v>
      </c>
      <c r="Q82" s="408">
        <v>60487</v>
      </c>
      <c r="R82" s="411">
        <f t="shared" si="21"/>
        <v>1.124701641776932</v>
      </c>
      <c r="S82" s="408">
        <v>52363</v>
      </c>
      <c r="T82" s="411">
        <f t="shared" si="22"/>
        <v>0.97364313105899603</v>
      </c>
    </row>
    <row r="83" spans="1:20">
      <c r="A83" s="19"/>
      <c r="B83" s="1054"/>
      <c r="C83" s="389" t="s">
        <v>19</v>
      </c>
      <c r="D83" s="472">
        <v>601.5</v>
      </c>
      <c r="E83" s="409">
        <v>534.83333333333337</v>
      </c>
      <c r="F83" s="473">
        <v>444.7</v>
      </c>
      <c r="G83" s="478">
        <v>474.4</v>
      </c>
      <c r="H83" s="476">
        <v>477.6</v>
      </c>
      <c r="I83" s="479">
        <v>468.5</v>
      </c>
      <c r="J83" s="402">
        <f t="shared" si="17"/>
        <v>1.064762761412188</v>
      </c>
      <c r="K83" s="478">
        <v>404.2</v>
      </c>
      <c r="L83" s="403">
        <f t="shared" si="18"/>
        <v>0.90892736676411068</v>
      </c>
      <c r="M83" s="478">
        <v>453.7</v>
      </c>
      <c r="N83" s="403">
        <f t="shared" si="19"/>
        <v>1.0202383629413088</v>
      </c>
      <c r="O83" s="478">
        <v>484.8</v>
      </c>
      <c r="P83" s="403">
        <f t="shared" si="20"/>
        <v>1.0901731504384979</v>
      </c>
      <c r="Q83" s="478">
        <v>492</v>
      </c>
      <c r="R83" s="403">
        <f t="shared" si="21"/>
        <v>1.1063638407915448</v>
      </c>
      <c r="S83" s="478">
        <v>424.2</v>
      </c>
      <c r="T83" s="411">
        <f t="shared" si="22"/>
        <v>0.95390150663368567</v>
      </c>
    </row>
    <row r="84" spans="1:20">
      <c r="A84" s="19"/>
      <c r="B84" s="753"/>
      <c r="C84" s="389" t="s">
        <v>17</v>
      </c>
      <c r="D84" s="472">
        <v>58.833333333333336</v>
      </c>
      <c r="E84" s="409">
        <v>53.166666666666664</v>
      </c>
      <c r="F84" s="473">
        <v>47</v>
      </c>
      <c r="G84" s="408">
        <v>50</v>
      </c>
      <c r="H84" s="409">
        <v>51</v>
      </c>
      <c r="I84" s="474">
        <v>50</v>
      </c>
      <c r="J84" s="402">
        <f t="shared" si="17"/>
        <v>1.0709219858156029</v>
      </c>
      <c r="K84" s="408">
        <v>46</v>
      </c>
      <c r="L84" s="403">
        <f t="shared" si="18"/>
        <v>0.97872340425531912</v>
      </c>
      <c r="M84" s="408">
        <v>51</v>
      </c>
      <c r="N84" s="403">
        <f t="shared" si="19"/>
        <v>1.0851063829787233</v>
      </c>
      <c r="O84" s="408">
        <v>54</v>
      </c>
      <c r="P84" s="403">
        <f t="shared" si="20"/>
        <v>1.1489361702127661</v>
      </c>
      <c r="Q84" s="408">
        <v>55</v>
      </c>
      <c r="R84" s="403">
        <f t="shared" si="21"/>
        <v>1.1702127659574468</v>
      </c>
      <c r="S84" s="408">
        <v>47</v>
      </c>
      <c r="T84" s="411">
        <f t="shared" si="22"/>
        <v>1</v>
      </c>
    </row>
    <row r="85" spans="1:20">
      <c r="A85" s="19"/>
      <c r="B85" s="1052" t="s">
        <v>45</v>
      </c>
      <c r="C85" s="389" t="s">
        <v>16</v>
      </c>
      <c r="D85" s="472">
        <v>103573.781</v>
      </c>
      <c r="E85" s="409">
        <v>98355.296000000002</v>
      </c>
      <c r="F85" s="473">
        <v>79890.374400000001</v>
      </c>
      <c r="G85" s="408">
        <v>77862</v>
      </c>
      <c r="H85" s="409">
        <v>80245</v>
      </c>
      <c r="I85" s="474">
        <v>81549</v>
      </c>
      <c r="J85" s="410">
        <f t="shared" si="17"/>
        <v>0.99993690019974835</v>
      </c>
      <c r="K85" s="408">
        <v>76722</v>
      </c>
      <c r="L85" s="411">
        <f t="shared" si="18"/>
        <v>0.96034097444410027</v>
      </c>
      <c r="M85" s="408">
        <v>85717</v>
      </c>
      <c r="N85" s="411">
        <f t="shared" si="19"/>
        <v>1.0729327612213568</v>
      </c>
      <c r="O85" s="408">
        <v>89131</v>
      </c>
      <c r="P85" s="411">
        <f t="shared" si="20"/>
        <v>1.1156663198714463</v>
      </c>
      <c r="Q85" s="408">
        <v>86128</v>
      </c>
      <c r="R85" s="411">
        <f t="shared" si="21"/>
        <v>1.0780773109006734</v>
      </c>
      <c r="S85" s="408">
        <v>75185</v>
      </c>
      <c r="T85" s="411">
        <f t="shared" si="22"/>
        <v>0.9411021110448069</v>
      </c>
    </row>
    <row r="86" spans="1:20">
      <c r="A86" s="19"/>
      <c r="B86" s="1054"/>
      <c r="C86" s="389" t="s">
        <v>19</v>
      </c>
      <c r="D86" s="475">
        <v>823.58333333333337</v>
      </c>
      <c r="E86" s="476">
        <v>760</v>
      </c>
      <c r="F86" s="477">
        <v>609.20000000000005</v>
      </c>
      <c r="G86" s="478">
        <v>593.6</v>
      </c>
      <c r="H86" s="476">
        <v>613.1</v>
      </c>
      <c r="I86" s="479">
        <v>624.5</v>
      </c>
      <c r="J86" s="402">
        <f t="shared" si="17"/>
        <v>1.0019697964543663</v>
      </c>
      <c r="K86" s="478">
        <v>591.29999999999995</v>
      </c>
      <c r="L86" s="403">
        <f t="shared" si="18"/>
        <v>0.97061720288903464</v>
      </c>
      <c r="M86" s="478">
        <v>660.6</v>
      </c>
      <c r="N86" s="403">
        <f t="shared" si="19"/>
        <v>1.0843729481286932</v>
      </c>
      <c r="O86" s="478">
        <v>687.8</v>
      </c>
      <c r="P86" s="403">
        <f t="shared" si="20"/>
        <v>1.1290216677609979</v>
      </c>
      <c r="Q86" s="478">
        <v>662.8</v>
      </c>
      <c r="R86" s="403">
        <f t="shared" si="21"/>
        <v>1.0879842416283649</v>
      </c>
      <c r="S86" s="478">
        <v>577</v>
      </c>
      <c r="T86" s="411">
        <f t="shared" si="22"/>
        <v>0.94714379514116864</v>
      </c>
    </row>
    <row r="87" spans="1:20">
      <c r="A87" s="19"/>
      <c r="B87" s="753"/>
      <c r="C87" s="389" t="s">
        <v>17</v>
      </c>
      <c r="D87" s="472">
        <v>87.416666666666671</v>
      </c>
      <c r="E87" s="409">
        <v>86.916666666666671</v>
      </c>
      <c r="F87" s="473">
        <v>72</v>
      </c>
      <c r="G87" s="408">
        <v>70</v>
      </c>
      <c r="H87" s="409">
        <v>72</v>
      </c>
      <c r="I87" s="474">
        <v>73</v>
      </c>
      <c r="J87" s="402">
        <f t="shared" si="17"/>
        <v>0.99537037037037046</v>
      </c>
      <c r="K87" s="408">
        <v>69</v>
      </c>
      <c r="L87" s="403">
        <f t="shared" si="18"/>
        <v>0.95833333333333337</v>
      </c>
      <c r="M87" s="408">
        <v>77</v>
      </c>
      <c r="N87" s="403">
        <f t="shared" si="19"/>
        <v>1.0694444444444444</v>
      </c>
      <c r="O87" s="408">
        <v>80</v>
      </c>
      <c r="P87" s="403">
        <f t="shared" si="20"/>
        <v>1.1111111111111112</v>
      </c>
      <c r="Q87" s="408">
        <v>77</v>
      </c>
      <c r="R87" s="403">
        <f t="shared" si="21"/>
        <v>1.0694444444444444</v>
      </c>
      <c r="S87" s="408">
        <v>67</v>
      </c>
      <c r="T87" s="411">
        <f t="shared" si="22"/>
        <v>0.93055555555555558</v>
      </c>
    </row>
    <row r="88" spans="1:20">
      <c r="A88" s="19"/>
      <c r="B88" s="1052" t="s">
        <v>46</v>
      </c>
      <c r="C88" s="389" t="s">
        <v>16</v>
      </c>
      <c r="D88" s="472">
        <v>12160.06</v>
      </c>
      <c r="E88" s="409">
        <v>15794.415999999999</v>
      </c>
      <c r="F88" s="473">
        <v>21874.245599999998</v>
      </c>
      <c r="G88" s="408">
        <v>22388</v>
      </c>
      <c r="H88" s="409">
        <v>21952</v>
      </c>
      <c r="I88" s="474">
        <v>22002</v>
      </c>
      <c r="J88" s="410">
        <f t="shared" si="17"/>
        <v>1.0109605791387841</v>
      </c>
      <c r="K88" s="408">
        <v>22002</v>
      </c>
      <c r="L88" s="411">
        <f t="shared" si="18"/>
        <v>1.0058404025599859</v>
      </c>
      <c r="M88" s="408">
        <v>24610</v>
      </c>
      <c r="N88" s="411">
        <f t="shared" si="19"/>
        <v>1.1250673714662873</v>
      </c>
      <c r="O88" s="408">
        <v>25970</v>
      </c>
      <c r="P88" s="411">
        <f t="shared" si="20"/>
        <v>1.1872409442088372</v>
      </c>
      <c r="Q88" s="408">
        <v>25970</v>
      </c>
      <c r="R88" s="411">
        <f t="shared" si="21"/>
        <v>1.1872409442088372</v>
      </c>
      <c r="S88" s="408">
        <v>22002</v>
      </c>
      <c r="T88" s="411">
        <f t="shared" si="22"/>
        <v>1.0058404025599859</v>
      </c>
    </row>
    <row r="89" spans="1:20">
      <c r="A89" s="19"/>
      <c r="B89" s="1054"/>
      <c r="C89" s="389" t="s">
        <v>25</v>
      </c>
      <c r="D89" s="475">
        <v>109.91666666666667</v>
      </c>
      <c r="E89" s="476">
        <v>138.5</v>
      </c>
      <c r="F89" s="477">
        <v>228</v>
      </c>
      <c r="G89" s="478">
        <v>232.6</v>
      </c>
      <c r="H89" s="476">
        <v>228.4</v>
      </c>
      <c r="I89" s="479">
        <v>228.8</v>
      </c>
      <c r="J89" s="402">
        <f t="shared" si="17"/>
        <v>1.0084795321637425</v>
      </c>
      <c r="K89" s="478">
        <v>228.8</v>
      </c>
      <c r="L89" s="403">
        <f t="shared" si="18"/>
        <v>1.0035087719298246</v>
      </c>
      <c r="M89" s="478">
        <v>259.8</v>
      </c>
      <c r="N89" s="403">
        <f t="shared" si="19"/>
        <v>1.1394736842105264</v>
      </c>
      <c r="O89" s="478">
        <v>271.2</v>
      </c>
      <c r="P89" s="403">
        <f t="shared" si="20"/>
        <v>1.1894736842105262</v>
      </c>
      <c r="Q89" s="478">
        <v>271.2</v>
      </c>
      <c r="R89" s="403">
        <f t="shared" si="21"/>
        <v>1.1894736842105262</v>
      </c>
      <c r="S89" s="478">
        <v>228.8</v>
      </c>
      <c r="T89" s="411">
        <f t="shared" si="22"/>
        <v>1.0035087719298246</v>
      </c>
    </row>
    <row r="90" spans="1:20">
      <c r="A90" s="19"/>
      <c r="B90" s="753"/>
      <c r="C90" s="389" t="s">
        <v>17</v>
      </c>
      <c r="D90" s="472">
        <v>9.9166666666666661</v>
      </c>
      <c r="E90" s="409">
        <v>15.166666666666666</v>
      </c>
      <c r="F90" s="473">
        <v>15</v>
      </c>
      <c r="G90" s="408">
        <v>16</v>
      </c>
      <c r="H90" s="409">
        <v>15</v>
      </c>
      <c r="I90" s="474">
        <v>15</v>
      </c>
      <c r="J90" s="402">
        <f t="shared" si="17"/>
        <v>1.0222222222222224</v>
      </c>
      <c r="K90" s="408">
        <v>15</v>
      </c>
      <c r="L90" s="403">
        <f t="shared" si="18"/>
        <v>1</v>
      </c>
      <c r="M90" s="408">
        <v>16</v>
      </c>
      <c r="N90" s="403">
        <f t="shared" si="19"/>
        <v>1.0666666666666667</v>
      </c>
      <c r="O90" s="408">
        <v>18</v>
      </c>
      <c r="P90" s="403">
        <f t="shared" si="20"/>
        <v>1.2</v>
      </c>
      <c r="Q90" s="408">
        <v>18</v>
      </c>
      <c r="R90" s="403">
        <f t="shared" si="21"/>
        <v>1.2</v>
      </c>
      <c r="S90" s="408">
        <v>15</v>
      </c>
      <c r="T90" s="411">
        <f t="shared" si="22"/>
        <v>1</v>
      </c>
    </row>
    <row r="91" spans="1:20">
      <c r="A91" s="19"/>
      <c r="B91" s="1055" t="s">
        <v>47</v>
      </c>
      <c r="C91" s="389" t="s">
        <v>16</v>
      </c>
      <c r="D91" s="472">
        <v>9878.1409999999996</v>
      </c>
      <c r="E91" s="409">
        <v>8613.4930000000004</v>
      </c>
      <c r="F91" s="473">
        <v>13565.22</v>
      </c>
      <c r="G91" s="408">
        <v>16521</v>
      </c>
      <c r="H91" s="409">
        <v>17050</v>
      </c>
      <c r="I91" s="474">
        <v>17050</v>
      </c>
      <c r="J91" s="410">
        <f t="shared" si="17"/>
        <v>1.2438918548071221</v>
      </c>
      <c r="K91" s="408">
        <v>14739</v>
      </c>
      <c r="L91" s="411">
        <f t="shared" si="18"/>
        <v>1.0865286372060314</v>
      </c>
      <c r="M91" s="408">
        <v>14739</v>
      </c>
      <c r="N91" s="411">
        <f t="shared" si="19"/>
        <v>1.0865286372060314</v>
      </c>
      <c r="O91" s="408">
        <v>17050</v>
      </c>
      <c r="P91" s="411">
        <f t="shared" si="20"/>
        <v>1.2568907839312595</v>
      </c>
      <c r="Q91" s="408">
        <v>17050</v>
      </c>
      <c r="R91" s="411">
        <f t="shared" si="21"/>
        <v>1.2568907839312595</v>
      </c>
      <c r="S91" s="408">
        <v>14739</v>
      </c>
      <c r="T91" s="411">
        <f t="shared" si="22"/>
        <v>1.0865286372060314</v>
      </c>
    </row>
    <row r="92" spans="1:20">
      <c r="A92" s="19"/>
      <c r="B92" s="1056"/>
      <c r="C92" s="389" t="s">
        <v>25</v>
      </c>
      <c r="D92" s="475">
        <v>71.25</v>
      </c>
      <c r="E92" s="476">
        <v>58.916666666666664</v>
      </c>
      <c r="F92" s="477">
        <v>89.5</v>
      </c>
      <c r="G92" s="478">
        <v>109.1</v>
      </c>
      <c r="H92" s="476">
        <v>112.6</v>
      </c>
      <c r="I92" s="479">
        <v>112.6</v>
      </c>
      <c r="J92" s="402">
        <f t="shared" si="17"/>
        <v>1.2450651769087522</v>
      </c>
      <c r="K92" s="478">
        <v>97.3</v>
      </c>
      <c r="L92" s="403">
        <f t="shared" si="18"/>
        <v>1.0871508379888268</v>
      </c>
      <c r="M92" s="478">
        <v>97.3</v>
      </c>
      <c r="N92" s="403">
        <f t="shared" si="19"/>
        <v>1.0871508379888268</v>
      </c>
      <c r="O92" s="478">
        <v>112.6</v>
      </c>
      <c r="P92" s="403">
        <f t="shared" si="20"/>
        <v>1.2581005586592178</v>
      </c>
      <c r="Q92" s="478">
        <v>112.6</v>
      </c>
      <c r="R92" s="403">
        <f t="shared" si="21"/>
        <v>1.2581005586592178</v>
      </c>
      <c r="S92" s="478">
        <v>97.3</v>
      </c>
      <c r="T92" s="411">
        <f t="shared" si="22"/>
        <v>1.0871508379888268</v>
      </c>
    </row>
    <row r="93" spans="1:20">
      <c r="A93" s="19"/>
      <c r="B93" s="753"/>
      <c r="C93" s="389" t="s">
        <v>17</v>
      </c>
      <c r="D93" s="472">
        <v>10.583333333333334</v>
      </c>
      <c r="E93" s="409">
        <v>8.4166666666666661</v>
      </c>
      <c r="F93" s="473">
        <v>8</v>
      </c>
      <c r="G93" s="408">
        <v>9</v>
      </c>
      <c r="H93" s="409">
        <v>9</v>
      </c>
      <c r="I93" s="474">
        <v>9</v>
      </c>
      <c r="J93" s="402">
        <f t="shared" si="17"/>
        <v>1.125</v>
      </c>
      <c r="K93" s="408">
        <v>8</v>
      </c>
      <c r="L93" s="403">
        <f t="shared" si="18"/>
        <v>1</v>
      </c>
      <c r="M93" s="408">
        <v>8</v>
      </c>
      <c r="N93" s="403">
        <f t="shared" si="19"/>
        <v>1</v>
      </c>
      <c r="O93" s="408">
        <v>9</v>
      </c>
      <c r="P93" s="403">
        <f t="shared" si="20"/>
        <v>1.125</v>
      </c>
      <c r="Q93" s="408">
        <v>9</v>
      </c>
      <c r="R93" s="403">
        <f t="shared" si="21"/>
        <v>1.125</v>
      </c>
      <c r="S93" s="408">
        <v>8</v>
      </c>
      <c r="T93" s="411">
        <f t="shared" si="22"/>
        <v>1</v>
      </c>
    </row>
    <row r="94" spans="1:20">
      <c r="A94" s="19"/>
      <c r="B94" s="1055" t="s">
        <v>48</v>
      </c>
      <c r="C94" s="389" t="s">
        <v>16</v>
      </c>
      <c r="D94" s="472">
        <v>0</v>
      </c>
      <c r="E94" s="409">
        <v>0</v>
      </c>
      <c r="F94" s="473">
        <v>0</v>
      </c>
      <c r="G94" s="408">
        <v>0</v>
      </c>
      <c r="H94" s="409">
        <v>0</v>
      </c>
      <c r="I94" s="474">
        <v>0</v>
      </c>
      <c r="J94" s="410" t="str">
        <f t="shared" si="17"/>
        <v>－</v>
      </c>
      <c r="K94" s="408">
        <v>0</v>
      </c>
      <c r="L94" s="411" t="str">
        <f t="shared" si="18"/>
        <v>－</v>
      </c>
      <c r="M94" s="408">
        <v>0</v>
      </c>
      <c r="N94" s="411" t="str">
        <f t="shared" si="19"/>
        <v>－</v>
      </c>
      <c r="O94" s="408">
        <v>0</v>
      </c>
      <c r="P94" s="411" t="str">
        <f t="shared" si="20"/>
        <v>－</v>
      </c>
      <c r="Q94" s="408">
        <v>0</v>
      </c>
      <c r="R94" s="411" t="str">
        <f t="shared" si="21"/>
        <v>－</v>
      </c>
      <c r="S94" s="408">
        <v>0</v>
      </c>
      <c r="T94" s="411" t="str">
        <f t="shared" si="22"/>
        <v>－</v>
      </c>
    </row>
    <row r="95" spans="1:20">
      <c r="A95" s="19"/>
      <c r="B95" s="1056"/>
      <c r="C95" s="389" t="s">
        <v>25</v>
      </c>
      <c r="D95" s="475">
        <v>0</v>
      </c>
      <c r="E95" s="476">
        <v>0</v>
      </c>
      <c r="F95" s="477">
        <v>0</v>
      </c>
      <c r="G95" s="478">
        <v>0</v>
      </c>
      <c r="H95" s="476">
        <v>0</v>
      </c>
      <c r="I95" s="479">
        <v>0</v>
      </c>
      <c r="J95" s="402" t="str">
        <f t="shared" si="17"/>
        <v>－</v>
      </c>
      <c r="K95" s="478">
        <v>0</v>
      </c>
      <c r="L95" s="403" t="str">
        <f t="shared" si="18"/>
        <v>－</v>
      </c>
      <c r="M95" s="478">
        <v>0</v>
      </c>
      <c r="N95" s="403" t="str">
        <f t="shared" si="19"/>
        <v>－</v>
      </c>
      <c r="O95" s="478">
        <v>0</v>
      </c>
      <c r="P95" s="403" t="str">
        <f t="shared" si="20"/>
        <v>－</v>
      </c>
      <c r="Q95" s="478">
        <v>0</v>
      </c>
      <c r="R95" s="403" t="str">
        <f t="shared" si="21"/>
        <v>－</v>
      </c>
      <c r="S95" s="478">
        <v>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>
        <v>0</v>
      </c>
      <c r="E96" s="409">
        <v>0</v>
      </c>
      <c r="F96" s="473">
        <v>0</v>
      </c>
      <c r="G96" s="408">
        <v>0</v>
      </c>
      <c r="H96" s="409">
        <v>0</v>
      </c>
      <c r="I96" s="474">
        <v>0</v>
      </c>
      <c r="J96" s="402" t="str">
        <f t="shared" si="17"/>
        <v>－</v>
      </c>
      <c r="K96" s="408">
        <v>0</v>
      </c>
      <c r="L96" s="403" t="str">
        <f t="shared" si="18"/>
        <v>－</v>
      </c>
      <c r="M96" s="408">
        <v>0</v>
      </c>
      <c r="N96" s="403" t="str">
        <f t="shared" si="19"/>
        <v>－</v>
      </c>
      <c r="O96" s="408">
        <v>0</v>
      </c>
      <c r="P96" s="403" t="str">
        <f t="shared" si="20"/>
        <v>－</v>
      </c>
      <c r="Q96" s="408">
        <v>0</v>
      </c>
      <c r="R96" s="403" t="str">
        <f t="shared" si="21"/>
        <v>－</v>
      </c>
      <c r="S96" s="408">
        <v>0</v>
      </c>
      <c r="T96" s="411" t="str">
        <f t="shared" si="22"/>
        <v>－</v>
      </c>
    </row>
    <row r="97" spans="1:20">
      <c r="A97" s="19"/>
      <c r="B97" s="1055" t="s">
        <v>238</v>
      </c>
      <c r="C97" s="419" t="s">
        <v>16</v>
      </c>
      <c r="D97" s="480">
        <v>0</v>
      </c>
      <c r="E97" s="409">
        <v>0</v>
      </c>
      <c r="F97" s="473">
        <v>0</v>
      </c>
      <c r="G97" s="408">
        <v>0</v>
      </c>
      <c r="H97" s="409">
        <v>0</v>
      </c>
      <c r="I97" s="481">
        <v>0</v>
      </c>
      <c r="J97" s="482" t="str">
        <f t="shared" ref="J97:J99" si="23">IFERROR(SUM(G97:I97)/3/F97,"－")</f>
        <v>－</v>
      </c>
      <c r="K97" s="408">
        <v>0</v>
      </c>
      <c r="L97" s="483" t="str">
        <f t="shared" si="18"/>
        <v>－</v>
      </c>
      <c r="M97" s="408">
        <v>0</v>
      </c>
      <c r="N97" s="483" t="str">
        <f t="shared" si="19"/>
        <v>－</v>
      </c>
      <c r="O97" s="408">
        <v>0</v>
      </c>
      <c r="P97" s="483" t="str">
        <f t="shared" si="20"/>
        <v>－</v>
      </c>
      <c r="Q97" s="408">
        <v>0</v>
      </c>
      <c r="R97" s="483" t="str">
        <f t="shared" si="21"/>
        <v>－</v>
      </c>
      <c r="S97" s="408">
        <v>0</v>
      </c>
      <c r="T97" s="411" t="str">
        <f t="shared" si="22"/>
        <v>－</v>
      </c>
    </row>
    <row r="98" spans="1:20">
      <c r="A98" s="19"/>
      <c r="B98" s="1056"/>
      <c r="C98" s="419" t="s">
        <v>25</v>
      </c>
      <c r="D98" s="484">
        <v>0</v>
      </c>
      <c r="E98" s="476">
        <v>0</v>
      </c>
      <c r="F98" s="477">
        <v>0</v>
      </c>
      <c r="G98" s="478">
        <v>0</v>
      </c>
      <c r="H98" s="476">
        <v>0</v>
      </c>
      <c r="I98" s="485">
        <v>0</v>
      </c>
      <c r="J98" s="422" t="str">
        <f t="shared" si="23"/>
        <v>－</v>
      </c>
      <c r="K98" s="478">
        <v>0</v>
      </c>
      <c r="L98" s="423" t="str">
        <f t="shared" si="18"/>
        <v>－</v>
      </c>
      <c r="M98" s="478">
        <v>0</v>
      </c>
      <c r="N98" s="423" t="str">
        <f t="shared" si="19"/>
        <v>－</v>
      </c>
      <c r="O98" s="478">
        <v>0</v>
      </c>
      <c r="P98" s="423" t="str">
        <f t="shared" si="20"/>
        <v>－</v>
      </c>
      <c r="Q98" s="478">
        <v>0</v>
      </c>
      <c r="R98" s="423" t="str">
        <f t="shared" si="21"/>
        <v>－</v>
      </c>
      <c r="S98" s="478">
        <v>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>
        <v>0</v>
      </c>
      <c r="E99" s="409">
        <v>0</v>
      </c>
      <c r="F99" s="473">
        <v>0</v>
      </c>
      <c r="G99" s="408">
        <v>0</v>
      </c>
      <c r="H99" s="409">
        <v>0</v>
      </c>
      <c r="I99" s="481">
        <v>0</v>
      </c>
      <c r="J99" s="422" t="str">
        <f t="shared" si="23"/>
        <v>－</v>
      </c>
      <c r="K99" s="408">
        <v>0</v>
      </c>
      <c r="L99" s="423" t="str">
        <f t="shared" si="18"/>
        <v>－</v>
      </c>
      <c r="M99" s="408">
        <v>0</v>
      </c>
      <c r="N99" s="423" t="str">
        <f t="shared" si="19"/>
        <v>－</v>
      </c>
      <c r="O99" s="408">
        <v>0</v>
      </c>
      <c r="P99" s="423" t="str">
        <f t="shared" si="20"/>
        <v>－</v>
      </c>
      <c r="Q99" s="408">
        <v>0</v>
      </c>
      <c r="R99" s="423" t="str">
        <f t="shared" si="21"/>
        <v>－</v>
      </c>
      <c r="S99" s="408">
        <v>0</v>
      </c>
      <c r="T99" s="411" t="str">
        <f t="shared" si="22"/>
        <v>－</v>
      </c>
    </row>
    <row r="100" spans="1:20">
      <c r="A100" s="19"/>
      <c r="B100" s="1052" t="s">
        <v>49</v>
      </c>
      <c r="C100" s="389" t="s">
        <v>16</v>
      </c>
      <c r="D100" s="472">
        <v>21282.201000000001</v>
      </c>
      <c r="E100" s="409">
        <v>20500.129000000001</v>
      </c>
      <c r="F100" s="473">
        <v>22575.288</v>
      </c>
      <c r="G100" s="408">
        <v>22854</v>
      </c>
      <c r="H100" s="409">
        <v>23135</v>
      </c>
      <c r="I100" s="474">
        <v>23372</v>
      </c>
      <c r="J100" s="410">
        <f t="shared" si="17"/>
        <v>1.0241434498347632</v>
      </c>
      <c r="K100" s="408">
        <v>21505</v>
      </c>
      <c r="L100" s="411">
        <f t="shared" si="18"/>
        <v>0.95259028367655818</v>
      </c>
      <c r="M100" s="408">
        <v>23364</v>
      </c>
      <c r="N100" s="411">
        <f t="shared" si="19"/>
        <v>1.0349369629304397</v>
      </c>
      <c r="O100" s="408">
        <v>25199</v>
      </c>
      <c r="P100" s="411">
        <f t="shared" si="20"/>
        <v>1.1162205328233243</v>
      </c>
      <c r="Q100" s="408">
        <v>24476</v>
      </c>
      <c r="R100" s="411">
        <f t="shared" si="21"/>
        <v>1.084194363323294</v>
      </c>
      <c r="S100" s="408">
        <v>21908</v>
      </c>
      <c r="T100" s="411">
        <f t="shared" si="22"/>
        <v>0.97044166169663038</v>
      </c>
    </row>
    <row r="101" spans="1:20">
      <c r="A101" s="19"/>
      <c r="B101" s="1053"/>
      <c r="C101" s="389" t="s">
        <v>17</v>
      </c>
      <c r="D101" s="472">
        <v>125.83333333333333</v>
      </c>
      <c r="E101" s="409">
        <v>128.25</v>
      </c>
      <c r="F101" s="473">
        <v>145</v>
      </c>
      <c r="G101" s="408">
        <v>147</v>
      </c>
      <c r="H101" s="409">
        <v>150</v>
      </c>
      <c r="I101" s="474">
        <v>152</v>
      </c>
      <c r="J101" s="402">
        <f t="shared" si="17"/>
        <v>1.0321839080459769</v>
      </c>
      <c r="K101" s="408">
        <v>141</v>
      </c>
      <c r="L101" s="403">
        <f t="shared" si="18"/>
        <v>0.97241379310344822</v>
      </c>
      <c r="M101" s="408">
        <v>154</v>
      </c>
      <c r="N101" s="403">
        <f t="shared" si="19"/>
        <v>1.0620689655172413</v>
      </c>
      <c r="O101" s="408">
        <v>165</v>
      </c>
      <c r="P101" s="403">
        <f t="shared" si="20"/>
        <v>1.1379310344827587</v>
      </c>
      <c r="Q101" s="408">
        <v>159</v>
      </c>
      <c r="R101" s="403">
        <f t="shared" si="21"/>
        <v>1.096551724137931</v>
      </c>
      <c r="S101" s="408">
        <v>142</v>
      </c>
      <c r="T101" s="411">
        <f t="shared" si="22"/>
        <v>0.97931034482758617</v>
      </c>
    </row>
    <row r="102" spans="1:20">
      <c r="A102" s="19"/>
      <c r="B102" s="1055" t="s">
        <v>50</v>
      </c>
      <c r="C102" s="389" t="s">
        <v>16</v>
      </c>
      <c r="D102" s="472">
        <v>473.13900000000001</v>
      </c>
      <c r="E102" s="409">
        <v>575.30999999999995</v>
      </c>
      <c r="F102" s="473">
        <v>0</v>
      </c>
      <c r="G102" s="408">
        <v>0</v>
      </c>
      <c r="H102" s="409">
        <v>0</v>
      </c>
      <c r="I102" s="474">
        <v>0</v>
      </c>
      <c r="J102" s="402" t="str">
        <f t="shared" ref="J102:J105" si="24">IFERROR(SUM(G102:I102)/3/F102,"－")</f>
        <v>－</v>
      </c>
      <c r="K102" s="408">
        <v>0</v>
      </c>
      <c r="L102" s="403" t="str">
        <f t="shared" si="18"/>
        <v>－</v>
      </c>
      <c r="M102" s="408">
        <v>0</v>
      </c>
      <c r="N102" s="403" t="str">
        <f t="shared" si="19"/>
        <v>－</v>
      </c>
      <c r="O102" s="408">
        <v>0</v>
      </c>
      <c r="P102" s="403" t="str">
        <f t="shared" si="20"/>
        <v>－</v>
      </c>
      <c r="Q102" s="408">
        <v>0</v>
      </c>
      <c r="R102" s="403" t="str">
        <f t="shared" si="21"/>
        <v>－</v>
      </c>
      <c r="S102" s="408">
        <v>0</v>
      </c>
      <c r="T102" s="411" t="str">
        <f t="shared" si="22"/>
        <v>－</v>
      </c>
    </row>
    <row r="103" spans="1:20">
      <c r="A103" s="19"/>
      <c r="B103" s="1059"/>
      <c r="C103" s="389" t="s">
        <v>17</v>
      </c>
      <c r="D103" s="472">
        <v>1.25</v>
      </c>
      <c r="E103" s="409">
        <v>1.5833333333333333</v>
      </c>
      <c r="F103" s="473">
        <v>0</v>
      </c>
      <c r="G103" s="408">
        <v>0</v>
      </c>
      <c r="H103" s="409">
        <v>0</v>
      </c>
      <c r="I103" s="474">
        <v>0</v>
      </c>
      <c r="J103" s="402" t="str">
        <f t="shared" si="24"/>
        <v>－</v>
      </c>
      <c r="K103" s="408">
        <v>0</v>
      </c>
      <c r="L103" s="403" t="str">
        <f t="shared" si="18"/>
        <v>－</v>
      </c>
      <c r="M103" s="408">
        <v>0</v>
      </c>
      <c r="N103" s="403" t="str">
        <f t="shared" si="19"/>
        <v>－</v>
      </c>
      <c r="O103" s="408">
        <v>0</v>
      </c>
      <c r="P103" s="403" t="str">
        <f t="shared" si="20"/>
        <v>－</v>
      </c>
      <c r="Q103" s="408">
        <v>0</v>
      </c>
      <c r="R103" s="403" t="str">
        <f t="shared" si="21"/>
        <v>－</v>
      </c>
      <c r="S103" s="408">
        <v>0</v>
      </c>
      <c r="T103" s="411" t="str">
        <f t="shared" si="22"/>
        <v>－</v>
      </c>
    </row>
    <row r="104" spans="1:20">
      <c r="A104" s="19"/>
      <c r="B104" s="1055" t="s">
        <v>51</v>
      </c>
      <c r="C104" s="389" t="s">
        <v>16</v>
      </c>
      <c r="D104" s="472">
        <v>894.22400000000005</v>
      </c>
      <c r="E104" s="409">
        <v>1009.424</v>
      </c>
      <c r="F104" s="473">
        <v>0</v>
      </c>
      <c r="G104" s="408">
        <v>0</v>
      </c>
      <c r="H104" s="409">
        <v>0</v>
      </c>
      <c r="I104" s="474">
        <v>0</v>
      </c>
      <c r="J104" s="402" t="str">
        <f t="shared" si="24"/>
        <v>－</v>
      </c>
      <c r="K104" s="408">
        <v>0</v>
      </c>
      <c r="L104" s="403" t="str">
        <f t="shared" si="18"/>
        <v>－</v>
      </c>
      <c r="M104" s="408">
        <v>0</v>
      </c>
      <c r="N104" s="403" t="str">
        <f t="shared" si="19"/>
        <v>－</v>
      </c>
      <c r="O104" s="408">
        <v>0</v>
      </c>
      <c r="P104" s="403" t="str">
        <f t="shared" si="20"/>
        <v>－</v>
      </c>
      <c r="Q104" s="408">
        <v>0</v>
      </c>
      <c r="R104" s="403" t="str">
        <f t="shared" si="21"/>
        <v>－</v>
      </c>
      <c r="S104" s="408">
        <v>0</v>
      </c>
      <c r="T104" s="411" t="str">
        <f t="shared" si="22"/>
        <v>－</v>
      </c>
    </row>
    <row r="105" spans="1:20">
      <c r="A105" s="19"/>
      <c r="B105" s="1059"/>
      <c r="C105" s="389" t="s">
        <v>17</v>
      </c>
      <c r="D105" s="472">
        <v>0.58333333333333337</v>
      </c>
      <c r="E105" s="409">
        <v>0.83333333333333337</v>
      </c>
      <c r="F105" s="473">
        <v>0</v>
      </c>
      <c r="G105" s="408">
        <v>0</v>
      </c>
      <c r="H105" s="409">
        <v>0</v>
      </c>
      <c r="I105" s="474">
        <v>0</v>
      </c>
      <c r="J105" s="402" t="str">
        <f t="shared" si="24"/>
        <v>－</v>
      </c>
      <c r="K105" s="408">
        <v>0</v>
      </c>
      <c r="L105" s="403" t="str">
        <f t="shared" si="18"/>
        <v>－</v>
      </c>
      <c r="M105" s="408">
        <v>0</v>
      </c>
      <c r="N105" s="403" t="str">
        <f t="shared" si="19"/>
        <v>－</v>
      </c>
      <c r="O105" s="408">
        <v>0</v>
      </c>
      <c r="P105" s="403" t="str">
        <f t="shared" si="20"/>
        <v>－</v>
      </c>
      <c r="Q105" s="408">
        <v>0</v>
      </c>
      <c r="R105" s="403" t="str">
        <f t="shared" si="21"/>
        <v>－</v>
      </c>
      <c r="S105" s="408">
        <v>0</v>
      </c>
      <c r="T105" s="411" t="str">
        <f t="shared" si="22"/>
        <v>－</v>
      </c>
    </row>
    <row r="106" spans="1:20">
      <c r="A106" s="19"/>
      <c r="B106" s="1057" t="s">
        <v>52</v>
      </c>
      <c r="C106" s="1022" t="s">
        <v>16</v>
      </c>
      <c r="D106" s="480">
        <v>3625.33</v>
      </c>
      <c r="E106" s="409">
        <v>6254.5960000000005</v>
      </c>
      <c r="F106" s="473">
        <v>3439.2719999999999</v>
      </c>
      <c r="G106" s="408">
        <v>3439</v>
      </c>
      <c r="H106" s="409">
        <v>3439</v>
      </c>
      <c r="I106" s="481">
        <v>3439</v>
      </c>
      <c r="J106" s="482">
        <f>IFERROR(SUM(G106:I106)/3/F106,"－")</f>
        <v>0.99992091349564682</v>
      </c>
      <c r="K106" s="408">
        <v>3439</v>
      </c>
      <c r="L106" s="483">
        <f>IFERROR(K106/F106,"－")</f>
        <v>0.99992091349564682</v>
      </c>
      <c r="M106" s="408">
        <v>3439</v>
      </c>
      <c r="N106" s="483">
        <f t="shared" si="19"/>
        <v>0.99992091349564682</v>
      </c>
      <c r="O106" s="408">
        <v>3439</v>
      </c>
      <c r="P106" s="483">
        <f t="shared" si="20"/>
        <v>0.99992091349564682</v>
      </c>
      <c r="Q106" s="408">
        <v>3439</v>
      </c>
      <c r="R106" s="483">
        <f t="shared" si="21"/>
        <v>0.99992091349564682</v>
      </c>
      <c r="S106" s="408">
        <v>3439</v>
      </c>
      <c r="T106" s="483">
        <f t="shared" si="22"/>
        <v>0.99992091349564682</v>
      </c>
    </row>
    <row r="107" spans="1:20" ht="14.25" thickBot="1">
      <c r="A107" s="25"/>
      <c r="B107" s="1064"/>
      <c r="C107" s="1011" t="s">
        <v>17</v>
      </c>
      <c r="D107" s="480">
        <v>1.6666666666666667</v>
      </c>
      <c r="E107" s="409">
        <v>2.6666666666666665</v>
      </c>
      <c r="F107" s="473">
        <v>2</v>
      </c>
      <c r="G107" s="408">
        <v>2</v>
      </c>
      <c r="H107" s="409">
        <v>2</v>
      </c>
      <c r="I107" s="481">
        <v>2</v>
      </c>
      <c r="J107" s="422">
        <f>IFERROR(SUM(G107:I107)/3/F107,"－")</f>
        <v>1</v>
      </c>
      <c r="K107" s="408">
        <v>2</v>
      </c>
      <c r="L107" s="423">
        <f>IFERROR(K107/F107,"－")</f>
        <v>1</v>
      </c>
      <c r="M107" s="408">
        <v>2</v>
      </c>
      <c r="N107" s="423">
        <f t="shared" si="19"/>
        <v>1</v>
      </c>
      <c r="O107" s="408">
        <v>2</v>
      </c>
      <c r="P107" s="423">
        <f t="shared" si="20"/>
        <v>1</v>
      </c>
      <c r="Q107" s="408">
        <v>2</v>
      </c>
      <c r="R107" s="423">
        <f t="shared" si="21"/>
        <v>1</v>
      </c>
      <c r="S107" s="408">
        <v>2</v>
      </c>
      <c r="T107" s="423">
        <f>IFERROR(S107/F107,"－")</f>
        <v>1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5" t="s">
        <v>54</v>
      </c>
      <c r="C109" s="389" t="s">
        <v>16</v>
      </c>
      <c r="D109" s="472">
        <v>0</v>
      </c>
      <c r="E109" s="409">
        <v>388.75</v>
      </c>
      <c r="F109" s="498">
        <v>0</v>
      </c>
      <c r="G109" s="473">
        <v>0</v>
      </c>
      <c r="H109" s="409">
        <v>0</v>
      </c>
      <c r="I109" s="474">
        <v>0</v>
      </c>
      <c r="J109" s="410" t="str">
        <f t="shared" ref="J109:J128" si="25">IFERROR(SUM(G109:I109)/3/F109,"－")</f>
        <v>－</v>
      </c>
      <c r="K109" s="408">
        <v>0</v>
      </c>
      <c r="L109" s="411" t="str">
        <f t="shared" ref="L109:L124" si="26">IFERROR(K109/F109,"－")</f>
        <v>－</v>
      </c>
      <c r="M109" s="408">
        <v>0</v>
      </c>
      <c r="N109" s="411" t="str">
        <f t="shared" si="19"/>
        <v>－</v>
      </c>
      <c r="O109" s="408">
        <v>0</v>
      </c>
      <c r="P109" s="411" t="str">
        <f t="shared" si="20"/>
        <v>－</v>
      </c>
      <c r="Q109" s="408">
        <v>0</v>
      </c>
      <c r="R109" s="411" t="str">
        <f t="shared" si="21"/>
        <v>－</v>
      </c>
      <c r="S109" s="408">
        <v>0</v>
      </c>
      <c r="T109" s="411" t="str">
        <f>IFERROR(S109/F109,"－")</f>
        <v>－</v>
      </c>
    </row>
    <row r="110" spans="1:20">
      <c r="A110" s="24"/>
      <c r="B110" s="1059"/>
      <c r="C110" s="389" t="s">
        <v>17</v>
      </c>
      <c r="D110" s="472">
        <v>0</v>
      </c>
      <c r="E110" s="409">
        <v>0.41666666666666669</v>
      </c>
      <c r="F110" s="498">
        <v>0</v>
      </c>
      <c r="G110" s="473">
        <v>0</v>
      </c>
      <c r="H110" s="409">
        <v>0</v>
      </c>
      <c r="I110" s="474">
        <v>0</v>
      </c>
      <c r="J110" s="412" t="str">
        <f t="shared" si="25"/>
        <v>－</v>
      </c>
      <c r="K110" s="408">
        <v>0</v>
      </c>
      <c r="L110" s="403" t="str">
        <f t="shared" si="26"/>
        <v>－</v>
      </c>
      <c r="M110" s="408">
        <v>0</v>
      </c>
      <c r="N110" s="403" t="str">
        <f t="shared" si="19"/>
        <v>－</v>
      </c>
      <c r="O110" s="408">
        <v>0</v>
      </c>
      <c r="P110" s="403" t="str">
        <f t="shared" si="20"/>
        <v>－</v>
      </c>
      <c r="Q110" s="408">
        <v>0</v>
      </c>
      <c r="R110" s="403" t="str">
        <f t="shared" si="21"/>
        <v>－</v>
      </c>
      <c r="S110" s="408">
        <v>0</v>
      </c>
      <c r="T110" s="411" t="str">
        <f t="shared" ref="T110:T127" si="27">IFERROR(S110/F110,"－")</f>
        <v>－</v>
      </c>
    </row>
    <row r="111" spans="1:20">
      <c r="A111" s="24"/>
      <c r="B111" s="1052" t="s">
        <v>55</v>
      </c>
      <c r="C111" s="389" t="s">
        <v>16</v>
      </c>
      <c r="D111" s="472">
        <v>0</v>
      </c>
      <c r="E111" s="409">
        <v>0</v>
      </c>
      <c r="F111" s="498">
        <v>0</v>
      </c>
      <c r="G111" s="473">
        <v>0</v>
      </c>
      <c r="H111" s="409">
        <v>0</v>
      </c>
      <c r="I111" s="474">
        <v>0</v>
      </c>
      <c r="J111" s="410" t="str">
        <f t="shared" si="25"/>
        <v>－</v>
      </c>
      <c r="K111" s="408">
        <v>0</v>
      </c>
      <c r="L111" s="411" t="str">
        <f t="shared" si="26"/>
        <v>－</v>
      </c>
      <c r="M111" s="408">
        <v>0</v>
      </c>
      <c r="N111" s="411" t="str">
        <f t="shared" si="19"/>
        <v>－</v>
      </c>
      <c r="O111" s="408">
        <v>0</v>
      </c>
      <c r="P111" s="411" t="str">
        <f t="shared" si="20"/>
        <v>－</v>
      </c>
      <c r="Q111" s="408">
        <v>0</v>
      </c>
      <c r="R111" s="411" t="str">
        <f t="shared" si="21"/>
        <v>－</v>
      </c>
      <c r="S111" s="408">
        <v>0</v>
      </c>
      <c r="T111" s="411" t="str">
        <f t="shared" si="27"/>
        <v>－</v>
      </c>
    </row>
    <row r="112" spans="1:20">
      <c r="A112" s="19"/>
      <c r="B112" s="1053"/>
      <c r="C112" s="389" t="s">
        <v>17</v>
      </c>
      <c r="D112" s="472">
        <v>0</v>
      </c>
      <c r="E112" s="409">
        <v>0</v>
      </c>
      <c r="F112" s="498">
        <v>0</v>
      </c>
      <c r="G112" s="473">
        <v>0</v>
      </c>
      <c r="H112" s="409">
        <v>0</v>
      </c>
      <c r="I112" s="474">
        <v>0</v>
      </c>
      <c r="J112" s="402" t="str">
        <f t="shared" si="25"/>
        <v>－</v>
      </c>
      <c r="K112" s="408">
        <v>0</v>
      </c>
      <c r="L112" s="403" t="str">
        <f t="shared" si="26"/>
        <v>－</v>
      </c>
      <c r="M112" s="408">
        <v>0</v>
      </c>
      <c r="N112" s="403" t="str">
        <f t="shared" si="19"/>
        <v>－</v>
      </c>
      <c r="O112" s="408">
        <v>0</v>
      </c>
      <c r="P112" s="403" t="str">
        <f t="shared" si="20"/>
        <v>－</v>
      </c>
      <c r="Q112" s="408">
        <v>0</v>
      </c>
      <c r="R112" s="403" t="str">
        <f t="shared" si="21"/>
        <v>－</v>
      </c>
      <c r="S112" s="408">
        <v>0</v>
      </c>
      <c r="T112" s="411" t="str">
        <f t="shared" si="27"/>
        <v>－</v>
      </c>
    </row>
    <row r="113" spans="1:20">
      <c r="A113" s="19"/>
      <c r="B113" s="1052" t="s">
        <v>94</v>
      </c>
      <c r="C113" s="389" t="s">
        <v>16</v>
      </c>
      <c r="D113" s="472">
        <v>324.89600000000002</v>
      </c>
      <c r="E113" s="409">
        <v>377.36799999999999</v>
      </c>
      <c r="F113" s="498">
        <v>0</v>
      </c>
      <c r="G113" s="473">
        <v>0</v>
      </c>
      <c r="H113" s="409">
        <v>0</v>
      </c>
      <c r="I113" s="474">
        <v>0</v>
      </c>
      <c r="J113" s="410" t="str">
        <f>IFERROR(SUM(G113:I113)/3/F113,"－")</f>
        <v>－</v>
      </c>
      <c r="K113" s="408">
        <v>0</v>
      </c>
      <c r="L113" s="429" t="str">
        <f t="shared" ref="L113:L115" si="28">IFERROR(K113/F113,"－")</f>
        <v>－</v>
      </c>
      <c r="M113" s="408">
        <v>0</v>
      </c>
      <c r="N113" s="429" t="str">
        <f t="shared" si="19"/>
        <v>－</v>
      </c>
      <c r="O113" s="408">
        <v>0</v>
      </c>
      <c r="P113" s="429" t="str">
        <f t="shared" si="20"/>
        <v>－</v>
      </c>
      <c r="Q113" s="408">
        <v>0</v>
      </c>
      <c r="R113" s="429" t="str">
        <f t="shared" si="21"/>
        <v>－</v>
      </c>
      <c r="S113" s="408">
        <v>0</v>
      </c>
      <c r="T113" s="411" t="str">
        <f t="shared" si="27"/>
        <v>－</v>
      </c>
    </row>
    <row r="114" spans="1:20">
      <c r="A114" s="19"/>
      <c r="B114" s="1054"/>
      <c r="C114" s="389" t="s">
        <v>19</v>
      </c>
      <c r="D114" s="475">
        <v>7.333333333333333</v>
      </c>
      <c r="E114" s="476">
        <v>8.1666666666666661</v>
      </c>
      <c r="F114" s="499">
        <v>0</v>
      </c>
      <c r="G114" s="477">
        <v>0</v>
      </c>
      <c r="H114" s="476">
        <v>0</v>
      </c>
      <c r="I114" s="479">
        <v>0</v>
      </c>
      <c r="J114" s="402" t="str">
        <f>IFERROR(SUM(G114:I114)/3/F114,"－")</f>
        <v>－</v>
      </c>
      <c r="K114" s="478">
        <v>0</v>
      </c>
      <c r="L114" s="429" t="str">
        <f t="shared" si="28"/>
        <v>－</v>
      </c>
      <c r="M114" s="478">
        <v>0</v>
      </c>
      <c r="N114" s="429" t="str">
        <f t="shared" si="19"/>
        <v>－</v>
      </c>
      <c r="O114" s="478">
        <v>0</v>
      </c>
      <c r="P114" s="429" t="str">
        <f t="shared" si="20"/>
        <v>－</v>
      </c>
      <c r="Q114" s="478">
        <v>0</v>
      </c>
      <c r="R114" s="429" t="str">
        <f t="shared" si="21"/>
        <v>－</v>
      </c>
      <c r="S114" s="478">
        <v>0</v>
      </c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>
        <v>0.91666666666666663</v>
      </c>
      <c r="E115" s="409">
        <v>0.91666666666666663</v>
      </c>
      <c r="F115" s="498">
        <v>0</v>
      </c>
      <c r="G115" s="473">
        <v>0</v>
      </c>
      <c r="H115" s="409">
        <v>0</v>
      </c>
      <c r="I115" s="474">
        <v>0</v>
      </c>
      <c r="J115" s="402" t="str">
        <f>IFERROR(SUM(G115:I115)/3/F115,"－")</f>
        <v>－</v>
      </c>
      <c r="K115" s="408">
        <v>0</v>
      </c>
      <c r="L115" s="429" t="str">
        <f t="shared" si="28"/>
        <v>－</v>
      </c>
      <c r="M115" s="408">
        <v>0</v>
      </c>
      <c r="N115" s="429" t="str">
        <f t="shared" si="19"/>
        <v>－</v>
      </c>
      <c r="O115" s="408">
        <v>0</v>
      </c>
      <c r="P115" s="429" t="str">
        <f t="shared" si="20"/>
        <v>－</v>
      </c>
      <c r="Q115" s="408">
        <v>0</v>
      </c>
      <c r="R115" s="429" t="str">
        <f t="shared" si="21"/>
        <v>－</v>
      </c>
      <c r="S115" s="408">
        <v>0</v>
      </c>
      <c r="T115" s="411" t="str">
        <f t="shared" si="27"/>
        <v>－</v>
      </c>
    </row>
    <row r="116" spans="1:20">
      <c r="A116" s="24"/>
      <c r="B116" s="1052" t="s">
        <v>56</v>
      </c>
      <c r="C116" s="389" t="s">
        <v>16</v>
      </c>
      <c r="D116" s="472">
        <v>0</v>
      </c>
      <c r="E116" s="409">
        <v>0</v>
      </c>
      <c r="F116" s="498">
        <v>0</v>
      </c>
      <c r="G116" s="473">
        <v>0</v>
      </c>
      <c r="H116" s="409">
        <v>0</v>
      </c>
      <c r="I116" s="474">
        <v>0</v>
      </c>
      <c r="J116" s="410" t="str">
        <f t="shared" si="25"/>
        <v>－</v>
      </c>
      <c r="K116" s="408">
        <v>0</v>
      </c>
      <c r="L116" s="411" t="str">
        <f t="shared" si="26"/>
        <v>－</v>
      </c>
      <c r="M116" s="408">
        <v>0</v>
      </c>
      <c r="N116" s="411" t="str">
        <f t="shared" si="19"/>
        <v>－</v>
      </c>
      <c r="O116" s="408">
        <v>0</v>
      </c>
      <c r="P116" s="411" t="str">
        <f t="shared" si="20"/>
        <v>－</v>
      </c>
      <c r="Q116" s="408">
        <v>0</v>
      </c>
      <c r="R116" s="411" t="str">
        <f t="shared" si="21"/>
        <v>－</v>
      </c>
      <c r="S116" s="408">
        <v>0</v>
      </c>
      <c r="T116" s="411" t="str">
        <f t="shared" si="27"/>
        <v>－</v>
      </c>
    </row>
    <row r="117" spans="1:20">
      <c r="A117" s="19"/>
      <c r="B117" s="1054"/>
      <c r="C117" s="389" t="s">
        <v>19</v>
      </c>
      <c r="D117" s="475">
        <v>0</v>
      </c>
      <c r="E117" s="476">
        <v>0</v>
      </c>
      <c r="F117" s="499">
        <v>0</v>
      </c>
      <c r="G117" s="477">
        <v>0</v>
      </c>
      <c r="H117" s="476">
        <v>0</v>
      </c>
      <c r="I117" s="479">
        <v>0</v>
      </c>
      <c r="J117" s="402" t="str">
        <f t="shared" si="25"/>
        <v>－</v>
      </c>
      <c r="K117" s="478">
        <v>0</v>
      </c>
      <c r="L117" s="403" t="str">
        <f t="shared" si="26"/>
        <v>－</v>
      </c>
      <c r="M117" s="478">
        <v>0</v>
      </c>
      <c r="N117" s="403" t="str">
        <f t="shared" si="19"/>
        <v>－</v>
      </c>
      <c r="O117" s="478">
        <v>0</v>
      </c>
      <c r="P117" s="403" t="str">
        <f t="shared" si="20"/>
        <v>－</v>
      </c>
      <c r="Q117" s="478">
        <v>0</v>
      </c>
      <c r="R117" s="403" t="str">
        <f t="shared" si="21"/>
        <v>－</v>
      </c>
      <c r="S117" s="478">
        <v>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>
        <v>0</v>
      </c>
      <c r="E118" s="409">
        <v>0</v>
      </c>
      <c r="F118" s="498">
        <v>0</v>
      </c>
      <c r="G118" s="473">
        <v>0</v>
      </c>
      <c r="H118" s="409">
        <v>0</v>
      </c>
      <c r="I118" s="474">
        <v>0</v>
      </c>
      <c r="J118" s="402" t="str">
        <f t="shared" si="25"/>
        <v>－</v>
      </c>
      <c r="K118" s="408">
        <v>0</v>
      </c>
      <c r="L118" s="403" t="str">
        <f t="shared" si="26"/>
        <v>－</v>
      </c>
      <c r="M118" s="408">
        <v>0</v>
      </c>
      <c r="N118" s="403" t="str">
        <f t="shared" si="19"/>
        <v>－</v>
      </c>
      <c r="O118" s="408">
        <v>0</v>
      </c>
      <c r="P118" s="403" t="str">
        <f t="shared" si="20"/>
        <v>－</v>
      </c>
      <c r="Q118" s="408">
        <v>0</v>
      </c>
      <c r="R118" s="403" t="str">
        <f t="shared" si="21"/>
        <v>－</v>
      </c>
      <c r="S118" s="408">
        <v>0</v>
      </c>
      <c r="T118" s="411" t="str">
        <f t="shared" si="27"/>
        <v>－</v>
      </c>
    </row>
    <row r="119" spans="1:20">
      <c r="A119" s="24"/>
      <c r="B119" s="1052" t="s">
        <v>57</v>
      </c>
      <c r="C119" s="389" t="s">
        <v>16</v>
      </c>
      <c r="D119" s="472">
        <v>0</v>
      </c>
      <c r="E119" s="409">
        <v>0</v>
      </c>
      <c r="F119" s="498">
        <v>0</v>
      </c>
      <c r="G119" s="473">
        <v>0</v>
      </c>
      <c r="H119" s="409">
        <v>0</v>
      </c>
      <c r="I119" s="474">
        <v>0</v>
      </c>
      <c r="J119" s="410" t="str">
        <f t="shared" si="25"/>
        <v>－</v>
      </c>
      <c r="K119" s="408">
        <v>0</v>
      </c>
      <c r="L119" s="411" t="str">
        <f t="shared" si="26"/>
        <v>－</v>
      </c>
      <c r="M119" s="408">
        <v>0</v>
      </c>
      <c r="N119" s="411" t="str">
        <f t="shared" si="19"/>
        <v>－</v>
      </c>
      <c r="O119" s="408">
        <v>0</v>
      </c>
      <c r="P119" s="411" t="str">
        <f t="shared" si="20"/>
        <v>－</v>
      </c>
      <c r="Q119" s="408">
        <v>0</v>
      </c>
      <c r="R119" s="411" t="str">
        <f t="shared" si="21"/>
        <v>－</v>
      </c>
      <c r="S119" s="408">
        <v>0</v>
      </c>
      <c r="T119" s="411" t="str">
        <f t="shared" si="27"/>
        <v>－</v>
      </c>
    </row>
    <row r="120" spans="1:20">
      <c r="A120" s="19"/>
      <c r="B120" s="1053"/>
      <c r="C120" s="389" t="s">
        <v>17</v>
      </c>
      <c r="D120" s="472">
        <v>0</v>
      </c>
      <c r="E120" s="409">
        <v>0</v>
      </c>
      <c r="F120" s="498">
        <v>0</v>
      </c>
      <c r="G120" s="473">
        <v>0</v>
      </c>
      <c r="H120" s="409">
        <v>0</v>
      </c>
      <c r="I120" s="474">
        <v>0</v>
      </c>
      <c r="J120" s="402" t="str">
        <f t="shared" si="25"/>
        <v>－</v>
      </c>
      <c r="K120" s="408">
        <v>0</v>
      </c>
      <c r="L120" s="403" t="str">
        <f t="shared" si="26"/>
        <v>－</v>
      </c>
      <c r="M120" s="408">
        <v>0</v>
      </c>
      <c r="N120" s="403" t="str">
        <f t="shared" si="19"/>
        <v>－</v>
      </c>
      <c r="O120" s="408">
        <v>0</v>
      </c>
      <c r="P120" s="403" t="str">
        <f t="shared" si="20"/>
        <v>－</v>
      </c>
      <c r="Q120" s="408">
        <v>0</v>
      </c>
      <c r="R120" s="403" t="str">
        <f t="shared" si="21"/>
        <v>－</v>
      </c>
      <c r="S120" s="408">
        <v>0</v>
      </c>
      <c r="T120" s="411" t="str">
        <f t="shared" si="27"/>
        <v>－</v>
      </c>
    </row>
    <row r="121" spans="1:20">
      <c r="A121" s="19"/>
      <c r="B121" s="1057" t="s">
        <v>58</v>
      </c>
      <c r="C121" s="389" t="s">
        <v>16</v>
      </c>
      <c r="D121" s="472">
        <v>88245.165999999997</v>
      </c>
      <c r="E121" s="409">
        <v>80058.606</v>
      </c>
      <c r="F121" s="498">
        <v>63737.675999999999</v>
      </c>
      <c r="G121" s="473">
        <v>63738</v>
      </c>
      <c r="H121" s="409">
        <v>63494</v>
      </c>
      <c r="I121" s="474">
        <v>63494</v>
      </c>
      <c r="J121" s="410">
        <f t="shared" si="25"/>
        <v>0.99745295597745576</v>
      </c>
      <c r="K121" s="408">
        <v>63494</v>
      </c>
      <c r="L121" s="411">
        <f t="shared" si="26"/>
        <v>0.9961768922983637</v>
      </c>
      <c r="M121" s="408">
        <v>73761</v>
      </c>
      <c r="N121" s="411">
        <f t="shared" si="19"/>
        <v>1.1572590127070213</v>
      </c>
      <c r="O121" s="408">
        <v>80084</v>
      </c>
      <c r="P121" s="411">
        <f t="shared" si="20"/>
        <v>1.2564625042180704</v>
      </c>
      <c r="Q121" s="408">
        <v>76383</v>
      </c>
      <c r="R121" s="411">
        <f t="shared" si="21"/>
        <v>1.1983963770502082</v>
      </c>
      <c r="S121" s="408">
        <v>66655</v>
      </c>
      <c r="T121" s="411">
        <f t="shared" si="27"/>
        <v>1.0457707934001232</v>
      </c>
    </row>
    <row r="122" spans="1:20">
      <c r="A122" s="19"/>
      <c r="B122" s="1058"/>
      <c r="C122" s="389" t="s">
        <v>17</v>
      </c>
      <c r="D122" s="472">
        <v>26.75</v>
      </c>
      <c r="E122" s="409">
        <v>24.5</v>
      </c>
      <c r="F122" s="498">
        <v>19</v>
      </c>
      <c r="G122" s="473">
        <v>19</v>
      </c>
      <c r="H122" s="409">
        <v>19</v>
      </c>
      <c r="I122" s="474">
        <v>19</v>
      </c>
      <c r="J122" s="402">
        <f t="shared" si="25"/>
        <v>1</v>
      </c>
      <c r="K122" s="408">
        <v>19</v>
      </c>
      <c r="L122" s="403">
        <f t="shared" si="26"/>
        <v>1</v>
      </c>
      <c r="M122" s="408">
        <v>22</v>
      </c>
      <c r="N122" s="403">
        <f t="shared" si="19"/>
        <v>1.1578947368421053</v>
      </c>
      <c r="O122" s="408">
        <v>24</v>
      </c>
      <c r="P122" s="403">
        <f t="shared" si="20"/>
        <v>1.263157894736842</v>
      </c>
      <c r="Q122" s="408">
        <v>23</v>
      </c>
      <c r="R122" s="403">
        <f t="shared" si="21"/>
        <v>1.2105263157894737</v>
      </c>
      <c r="S122" s="408">
        <v>20</v>
      </c>
      <c r="T122" s="411">
        <f t="shared" si="27"/>
        <v>1.0526315789473684</v>
      </c>
    </row>
    <row r="123" spans="1:20">
      <c r="A123" s="19"/>
      <c r="B123" s="1057" t="s">
        <v>59</v>
      </c>
      <c r="C123" s="389" t="s">
        <v>16</v>
      </c>
      <c r="D123" s="472">
        <v>0</v>
      </c>
      <c r="E123" s="409">
        <v>0</v>
      </c>
      <c r="F123" s="498">
        <v>0</v>
      </c>
      <c r="G123" s="473">
        <v>0</v>
      </c>
      <c r="H123" s="409">
        <v>0</v>
      </c>
      <c r="I123" s="474">
        <v>0</v>
      </c>
      <c r="J123" s="410" t="str">
        <f t="shared" si="25"/>
        <v>－</v>
      </c>
      <c r="K123" s="408">
        <v>0</v>
      </c>
      <c r="L123" s="403" t="str">
        <f t="shared" si="26"/>
        <v>－</v>
      </c>
      <c r="M123" s="408">
        <v>0</v>
      </c>
      <c r="N123" s="403" t="str">
        <f t="shared" si="19"/>
        <v>－</v>
      </c>
      <c r="O123" s="408">
        <v>0</v>
      </c>
      <c r="P123" s="403" t="str">
        <f t="shared" si="20"/>
        <v>－</v>
      </c>
      <c r="Q123" s="408">
        <v>0</v>
      </c>
      <c r="R123" s="403" t="str">
        <f t="shared" si="21"/>
        <v>－</v>
      </c>
      <c r="S123" s="408">
        <v>0</v>
      </c>
      <c r="T123" s="411" t="str">
        <f t="shared" si="27"/>
        <v>－</v>
      </c>
    </row>
    <row r="124" spans="1:20">
      <c r="A124" s="19"/>
      <c r="B124" s="1058"/>
      <c r="C124" s="389" t="s">
        <v>17</v>
      </c>
      <c r="D124" s="472">
        <v>0</v>
      </c>
      <c r="E124" s="409">
        <v>0</v>
      </c>
      <c r="F124" s="498">
        <v>0</v>
      </c>
      <c r="G124" s="473">
        <v>0</v>
      </c>
      <c r="H124" s="409">
        <v>0</v>
      </c>
      <c r="I124" s="474">
        <v>0</v>
      </c>
      <c r="J124" s="402" t="str">
        <f t="shared" si="25"/>
        <v>－</v>
      </c>
      <c r="K124" s="408">
        <v>0</v>
      </c>
      <c r="L124" s="403" t="str">
        <f t="shared" si="26"/>
        <v>－</v>
      </c>
      <c r="M124" s="408">
        <v>0</v>
      </c>
      <c r="N124" s="403" t="str">
        <f t="shared" si="19"/>
        <v>－</v>
      </c>
      <c r="O124" s="408">
        <v>0</v>
      </c>
      <c r="P124" s="403" t="str">
        <f t="shared" si="20"/>
        <v>－</v>
      </c>
      <c r="Q124" s="408">
        <v>0</v>
      </c>
      <c r="R124" s="403" t="str">
        <f t="shared" si="21"/>
        <v>－</v>
      </c>
      <c r="S124" s="408">
        <v>0</v>
      </c>
      <c r="T124" s="411" t="str">
        <f t="shared" si="27"/>
        <v>－</v>
      </c>
    </row>
    <row r="125" spans="1:20">
      <c r="A125" s="19"/>
      <c r="B125" s="1057" t="s">
        <v>60</v>
      </c>
      <c r="C125" s="389" t="s">
        <v>16</v>
      </c>
      <c r="D125" s="472">
        <v>96379.411999999997</v>
      </c>
      <c r="E125" s="409">
        <v>96211.827000000005</v>
      </c>
      <c r="F125" s="498">
        <v>115802.46</v>
      </c>
      <c r="G125" s="473">
        <v>115802</v>
      </c>
      <c r="H125" s="409">
        <v>115802</v>
      </c>
      <c r="I125" s="474">
        <v>115802</v>
      </c>
      <c r="J125" s="410">
        <f t="shared" si="25"/>
        <v>0.9999960277182367</v>
      </c>
      <c r="K125" s="408">
        <v>130852</v>
      </c>
      <c r="L125" s="411">
        <f t="shared" ref="L125:L130" si="29">IFERROR(K125/F125,"－")</f>
        <v>1.1299587245383216</v>
      </c>
      <c r="M125" s="408">
        <v>142025</v>
      </c>
      <c r="N125" s="411">
        <f t="shared" si="19"/>
        <v>1.2264419944101359</v>
      </c>
      <c r="O125" s="408">
        <v>156998</v>
      </c>
      <c r="P125" s="411">
        <f t="shared" si="20"/>
        <v>1.3557397658046297</v>
      </c>
      <c r="Q125" s="408">
        <v>156998</v>
      </c>
      <c r="R125" s="411">
        <f t="shared" si="21"/>
        <v>1.3557397658046297</v>
      </c>
      <c r="S125" s="408">
        <v>138351</v>
      </c>
      <c r="T125" s="411">
        <f t="shared" si="27"/>
        <v>1.1947155526747877</v>
      </c>
    </row>
    <row r="126" spans="1:20">
      <c r="A126" s="19"/>
      <c r="B126" s="1058"/>
      <c r="C126" s="389" t="s">
        <v>17</v>
      </c>
      <c r="D126" s="472">
        <v>26.416666666666668</v>
      </c>
      <c r="E126" s="409">
        <v>26.583333333333332</v>
      </c>
      <c r="F126" s="498">
        <v>31</v>
      </c>
      <c r="G126" s="473">
        <v>31</v>
      </c>
      <c r="H126" s="409">
        <v>31</v>
      </c>
      <c r="I126" s="474">
        <v>31</v>
      </c>
      <c r="J126" s="402">
        <f t="shared" si="25"/>
        <v>1</v>
      </c>
      <c r="K126" s="408">
        <v>35</v>
      </c>
      <c r="L126" s="403">
        <f t="shared" si="29"/>
        <v>1.1290322580645162</v>
      </c>
      <c r="M126" s="408">
        <v>38</v>
      </c>
      <c r="N126" s="403">
        <f t="shared" si="19"/>
        <v>1.2258064516129032</v>
      </c>
      <c r="O126" s="408">
        <v>42</v>
      </c>
      <c r="P126" s="403">
        <f t="shared" si="20"/>
        <v>1.3548387096774193</v>
      </c>
      <c r="Q126" s="408">
        <v>42</v>
      </c>
      <c r="R126" s="403">
        <f t="shared" si="21"/>
        <v>1.3548387096774193</v>
      </c>
      <c r="S126" s="408">
        <v>37</v>
      </c>
      <c r="T126" s="411">
        <f t="shared" si="27"/>
        <v>1.1935483870967742</v>
      </c>
    </row>
    <row r="127" spans="1:20">
      <c r="A127" s="19"/>
      <c r="B127" s="1055" t="s">
        <v>91</v>
      </c>
      <c r="C127" s="389" t="s">
        <v>16</v>
      </c>
      <c r="D127" s="472">
        <v>3466.68</v>
      </c>
      <c r="E127" s="409">
        <v>808.71600000000001</v>
      </c>
      <c r="F127" s="498">
        <v>0</v>
      </c>
      <c r="G127" s="473">
        <v>0</v>
      </c>
      <c r="H127" s="409">
        <v>0</v>
      </c>
      <c r="I127" s="474">
        <v>0</v>
      </c>
      <c r="J127" s="410" t="str">
        <f t="shared" si="25"/>
        <v>－</v>
      </c>
      <c r="K127" s="408">
        <v>0</v>
      </c>
      <c r="L127" s="411" t="str">
        <f t="shared" si="29"/>
        <v>－</v>
      </c>
      <c r="M127" s="408">
        <v>0</v>
      </c>
      <c r="N127" s="411" t="str">
        <f t="shared" si="19"/>
        <v>－</v>
      </c>
      <c r="O127" s="408">
        <v>0</v>
      </c>
      <c r="P127" s="411" t="str">
        <f t="shared" si="20"/>
        <v>－</v>
      </c>
      <c r="Q127" s="408">
        <v>0</v>
      </c>
      <c r="R127" s="411" t="str">
        <f t="shared" si="21"/>
        <v>－</v>
      </c>
      <c r="S127" s="408">
        <v>0</v>
      </c>
      <c r="T127" s="411" t="str">
        <f t="shared" si="27"/>
        <v>－</v>
      </c>
    </row>
    <row r="128" spans="1:20" ht="14.25" thickBot="1">
      <c r="A128" s="19"/>
      <c r="B128" s="1059"/>
      <c r="C128" s="389" t="s">
        <v>17</v>
      </c>
      <c r="D128" s="472">
        <v>0.66666666666666663</v>
      </c>
      <c r="E128" s="409">
        <v>0.25</v>
      </c>
      <c r="F128" s="498">
        <v>0</v>
      </c>
      <c r="G128" s="501">
        <v>0</v>
      </c>
      <c r="H128" s="502">
        <v>0</v>
      </c>
      <c r="I128" s="503">
        <v>0</v>
      </c>
      <c r="J128" s="428" t="str">
        <f t="shared" si="25"/>
        <v>－</v>
      </c>
      <c r="K128" s="504">
        <v>0</v>
      </c>
      <c r="L128" s="429" t="str">
        <f t="shared" si="29"/>
        <v>－</v>
      </c>
      <c r="M128" s="504">
        <v>0</v>
      </c>
      <c r="N128" s="429" t="str">
        <f t="shared" si="19"/>
        <v>－</v>
      </c>
      <c r="O128" s="504">
        <v>0</v>
      </c>
      <c r="P128" s="429" t="str">
        <f t="shared" si="20"/>
        <v>－</v>
      </c>
      <c r="Q128" s="504">
        <v>0</v>
      </c>
      <c r="R128" s="429" t="str">
        <f t="shared" si="21"/>
        <v>－</v>
      </c>
      <c r="S128" s="504">
        <v>0</v>
      </c>
      <c r="T128" s="429" t="str">
        <f>IFERROR(S128/F128,"－")</f>
        <v>－</v>
      </c>
    </row>
    <row r="129" spans="1:20" hidden="1">
      <c r="A129" s="19"/>
      <c r="B129" s="1055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59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57" t="s">
        <v>62</v>
      </c>
      <c r="C132" s="389" t="s">
        <v>16</v>
      </c>
      <c r="D132" s="472">
        <v>232501.54699999999</v>
      </c>
      <c r="E132" s="409">
        <v>232975.253</v>
      </c>
      <c r="F132" s="498">
        <v>248516.016</v>
      </c>
      <c r="G132" s="473">
        <v>248516</v>
      </c>
      <c r="H132" s="409">
        <v>248516</v>
      </c>
      <c r="I132" s="474">
        <v>248516</v>
      </c>
      <c r="J132" s="410">
        <f t="shared" ref="J132:J141" si="34">IFERROR(SUM(G132:I132)/3/F132,"－")</f>
        <v>0.99999993561783151</v>
      </c>
      <c r="K132" s="408">
        <v>269109</v>
      </c>
      <c r="L132" s="411">
        <f t="shared" ref="L132:L144" si="35">IFERROR(K132/F132,"－")</f>
        <v>1.0828638102745056</v>
      </c>
      <c r="M132" s="408">
        <v>286878</v>
      </c>
      <c r="N132" s="411">
        <f t="shared" si="19"/>
        <v>1.1543642322030465</v>
      </c>
      <c r="O132" s="408">
        <v>325731</v>
      </c>
      <c r="P132" s="411">
        <f t="shared" si="20"/>
        <v>1.3107042565819984</v>
      </c>
      <c r="Q132" s="408">
        <v>322420</v>
      </c>
      <c r="R132" s="411">
        <f t="shared" si="21"/>
        <v>1.2973811716022359</v>
      </c>
      <c r="S132" s="408">
        <v>287124</v>
      </c>
      <c r="T132" s="411">
        <f>IFERROR(S132/F132,"－")</f>
        <v>1.1553541080426784</v>
      </c>
    </row>
    <row r="133" spans="1:20">
      <c r="A133" s="19"/>
      <c r="B133" s="1058"/>
      <c r="C133" s="389" t="s">
        <v>17</v>
      </c>
      <c r="D133" s="472">
        <v>68.083333333333329</v>
      </c>
      <c r="E133" s="409">
        <v>67.833333333333329</v>
      </c>
      <c r="F133" s="498">
        <v>71</v>
      </c>
      <c r="G133" s="473">
        <v>71</v>
      </c>
      <c r="H133" s="409">
        <v>71</v>
      </c>
      <c r="I133" s="474">
        <v>71</v>
      </c>
      <c r="J133" s="402">
        <f t="shared" si="34"/>
        <v>1</v>
      </c>
      <c r="K133" s="408">
        <v>77</v>
      </c>
      <c r="L133" s="403">
        <f t="shared" si="35"/>
        <v>1.0845070422535212</v>
      </c>
      <c r="M133" s="408">
        <v>82</v>
      </c>
      <c r="N133" s="403">
        <f t="shared" si="19"/>
        <v>1.1549295774647887</v>
      </c>
      <c r="O133" s="408">
        <v>93</v>
      </c>
      <c r="P133" s="403">
        <f t="shared" si="20"/>
        <v>1.3098591549295775</v>
      </c>
      <c r="Q133" s="408">
        <v>92</v>
      </c>
      <c r="R133" s="403">
        <f t="shared" si="21"/>
        <v>1.295774647887324</v>
      </c>
      <c r="S133" s="408">
        <v>82</v>
      </c>
      <c r="T133" s="411">
        <f t="shared" ref="T133:T137" si="36">IFERROR(S133/F133,"－")</f>
        <v>1.1549295774647887</v>
      </c>
    </row>
    <row r="134" spans="1:20">
      <c r="A134" s="19"/>
      <c r="B134" s="1057" t="s">
        <v>65</v>
      </c>
      <c r="C134" s="389" t="s">
        <v>16</v>
      </c>
      <c r="D134" s="472">
        <v>249357.27299999999</v>
      </c>
      <c r="E134" s="409">
        <v>260376.837</v>
      </c>
      <c r="F134" s="498">
        <v>289521.31199999998</v>
      </c>
      <c r="G134" s="473">
        <v>289521</v>
      </c>
      <c r="H134" s="409">
        <v>289521</v>
      </c>
      <c r="I134" s="474">
        <v>289521</v>
      </c>
      <c r="J134" s="410">
        <f t="shared" si="34"/>
        <v>0.99999892235912502</v>
      </c>
      <c r="K134" s="408">
        <v>319810</v>
      </c>
      <c r="L134" s="411">
        <f t="shared" si="35"/>
        <v>1.1046164366649458</v>
      </c>
      <c r="M134" s="408">
        <v>346658</v>
      </c>
      <c r="N134" s="411">
        <f t="shared" si="19"/>
        <v>1.1973488155510985</v>
      </c>
      <c r="O134" s="408">
        <v>382113</v>
      </c>
      <c r="P134" s="411">
        <f t="shared" si="20"/>
        <v>1.3198095758836574</v>
      </c>
      <c r="Q134" s="408">
        <v>377965</v>
      </c>
      <c r="R134" s="411">
        <f t="shared" si="21"/>
        <v>1.3054824786093813</v>
      </c>
      <c r="S134" s="408">
        <v>329000</v>
      </c>
      <c r="T134" s="411">
        <f t="shared" si="36"/>
        <v>1.1363584867976835</v>
      </c>
    </row>
    <row r="135" spans="1:20">
      <c r="A135" s="19"/>
      <c r="B135" s="1058"/>
      <c r="C135" s="389" t="s">
        <v>17</v>
      </c>
      <c r="D135" s="472">
        <v>63.25</v>
      </c>
      <c r="E135" s="409">
        <v>66.583333333333329</v>
      </c>
      <c r="F135" s="498">
        <v>75</v>
      </c>
      <c r="G135" s="473">
        <v>75</v>
      </c>
      <c r="H135" s="409">
        <v>75</v>
      </c>
      <c r="I135" s="474">
        <v>75</v>
      </c>
      <c r="J135" s="402">
        <f t="shared" si="34"/>
        <v>1</v>
      </c>
      <c r="K135" s="408">
        <v>83</v>
      </c>
      <c r="L135" s="403">
        <f t="shared" si="35"/>
        <v>1.1066666666666667</v>
      </c>
      <c r="M135" s="408">
        <v>90</v>
      </c>
      <c r="N135" s="403">
        <f t="shared" ref="N135:N144" si="37">IFERROR(M135/F135,"－")</f>
        <v>1.2</v>
      </c>
      <c r="O135" s="408">
        <v>99</v>
      </c>
      <c r="P135" s="403">
        <f t="shared" ref="P135:P144" si="38">IFERROR(O135/F135,"－")</f>
        <v>1.32</v>
      </c>
      <c r="Q135" s="408">
        <v>98</v>
      </c>
      <c r="R135" s="403">
        <f t="shared" ref="R135:R144" si="39">IFERROR(Q135/F135,"－")</f>
        <v>1.3066666666666666</v>
      </c>
      <c r="S135" s="408">
        <v>85</v>
      </c>
      <c r="T135" s="411">
        <f t="shared" si="36"/>
        <v>1.1333333333333333</v>
      </c>
    </row>
    <row r="136" spans="1:20">
      <c r="A136" s="19"/>
      <c r="B136" s="752" t="s">
        <v>215</v>
      </c>
      <c r="C136" s="389" t="s">
        <v>216</v>
      </c>
      <c r="D136" s="472">
        <v>0</v>
      </c>
      <c r="E136" s="409">
        <v>0</v>
      </c>
      <c r="F136" s="498">
        <v>0</v>
      </c>
      <c r="G136" s="473">
        <v>0</v>
      </c>
      <c r="H136" s="409">
        <v>0</v>
      </c>
      <c r="I136" s="474">
        <v>0</v>
      </c>
      <c r="J136" s="402" t="str">
        <f t="shared" si="34"/>
        <v>－</v>
      </c>
      <c r="K136" s="408">
        <v>0</v>
      </c>
      <c r="L136" s="403" t="str">
        <f t="shared" si="35"/>
        <v>－</v>
      </c>
      <c r="M136" s="408">
        <v>0</v>
      </c>
      <c r="N136" s="403" t="str">
        <f t="shared" si="37"/>
        <v>－</v>
      </c>
      <c r="O136" s="408">
        <v>0</v>
      </c>
      <c r="P136" s="403" t="str">
        <f t="shared" si="38"/>
        <v>－</v>
      </c>
      <c r="Q136" s="408">
        <v>0</v>
      </c>
      <c r="R136" s="403" t="str">
        <f t="shared" si="39"/>
        <v>－</v>
      </c>
      <c r="S136" s="408">
        <v>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>
        <v>0</v>
      </c>
      <c r="E137" s="409">
        <v>0</v>
      </c>
      <c r="F137" s="498">
        <v>0</v>
      </c>
      <c r="G137" s="473">
        <v>0</v>
      </c>
      <c r="H137" s="409">
        <v>0</v>
      </c>
      <c r="I137" s="474">
        <v>0</v>
      </c>
      <c r="J137" s="402" t="str">
        <f t="shared" si="34"/>
        <v>－</v>
      </c>
      <c r="K137" s="408">
        <v>0</v>
      </c>
      <c r="L137" s="403" t="str">
        <f t="shared" si="35"/>
        <v>－</v>
      </c>
      <c r="M137" s="408">
        <v>0</v>
      </c>
      <c r="N137" s="403" t="str">
        <f t="shared" si="37"/>
        <v>－</v>
      </c>
      <c r="O137" s="408">
        <v>0</v>
      </c>
      <c r="P137" s="403" t="str">
        <f t="shared" si="38"/>
        <v>－</v>
      </c>
      <c r="Q137" s="408">
        <v>0</v>
      </c>
      <c r="R137" s="403" t="str">
        <f t="shared" si="39"/>
        <v>－</v>
      </c>
      <c r="S137" s="408">
        <v>0</v>
      </c>
      <c r="T137" s="411" t="str">
        <f t="shared" si="36"/>
        <v>－</v>
      </c>
    </row>
    <row r="138" spans="1:20" hidden="1">
      <c r="A138" s="19"/>
      <c r="B138" s="1063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>
        <v>40767.631999999998</v>
      </c>
      <c r="E140" s="446">
        <v>41883.43</v>
      </c>
      <c r="F140" s="517">
        <v>39588</v>
      </c>
      <c r="G140" s="518">
        <v>40588</v>
      </c>
      <c r="H140" s="446">
        <v>40818</v>
      </c>
      <c r="I140" s="519">
        <v>41582</v>
      </c>
      <c r="J140" s="447">
        <f t="shared" si="34"/>
        <v>1.0355663332322926</v>
      </c>
      <c r="K140" s="445">
        <v>38378</v>
      </c>
      <c r="L140" s="448">
        <f t="shared" si="35"/>
        <v>0.96943518237849857</v>
      </c>
      <c r="M140" s="445">
        <v>41943</v>
      </c>
      <c r="N140" s="448">
        <f t="shared" si="37"/>
        <v>1.0594877235525917</v>
      </c>
      <c r="O140" s="445">
        <v>45031</v>
      </c>
      <c r="P140" s="448">
        <f t="shared" si="38"/>
        <v>1.1374911589370515</v>
      </c>
      <c r="Q140" s="445">
        <v>43804</v>
      </c>
      <c r="R140" s="448">
        <f t="shared" si="39"/>
        <v>1.106496918258058</v>
      </c>
      <c r="S140" s="445">
        <v>38800</v>
      </c>
      <c r="T140" s="448">
        <f>IFERROR(S140/F140,"－")</f>
        <v>0.98009497827624537</v>
      </c>
    </row>
    <row r="141" spans="1:20" ht="14.25" thickBot="1">
      <c r="A141" s="21"/>
      <c r="B141" s="449"/>
      <c r="C141" s="450" t="s">
        <v>17</v>
      </c>
      <c r="D141" s="520">
        <v>194.5</v>
      </c>
      <c r="E141" s="487">
        <v>196.66666666666666</v>
      </c>
      <c r="F141" s="521">
        <v>181</v>
      </c>
      <c r="G141" s="511">
        <v>184</v>
      </c>
      <c r="H141" s="487">
        <v>185</v>
      </c>
      <c r="I141" s="488">
        <v>189</v>
      </c>
      <c r="J141" s="455">
        <f t="shared" si="34"/>
        <v>1.0276243093922652</v>
      </c>
      <c r="K141" s="486">
        <v>176</v>
      </c>
      <c r="L141" s="456">
        <f t="shared" si="35"/>
        <v>0.97237569060773477</v>
      </c>
      <c r="M141" s="486">
        <v>193</v>
      </c>
      <c r="N141" s="456">
        <f t="shared" si="37"/>
        <v>1.0662983425414365</v>
      </c>
      <c r="O141" s="486">
        <v>206</v>
      </c>
      <c r="P141" s="456">
        <f t="shared" si="38"/>
        <v>1.1381215469613259</v>
      </c>
      <c r="Q141" s="486">
        <v>199</v>
      </c>
      <c r="R141" s="456">
        <f t="shared" si="39"/>
        <v>1.0994475138121547</v>
      </c>
      <c r="S141" s="486">
        <v>176</v>
      </c>
      <c r="T141" s="456">
        <f>IFERROR(S141/F141,"－")</f>
        <v>0.97237569060773477</v>
      </c>
    </row>
    <row r="142" spans="1:20">
      <c r="A142" s="24" t="s">
        <v>417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982757.32700000005</v>
      </c>
      <c r="E144" s="460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965936.12900000007</v>
      </c>
      <c r="F144" s="461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988262.21160000004</v>
      </c>
      <c r="G144" s="462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995950</v>
      </c>
      <c r="H144" s="460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998687</v>
      </c>
      <c r="I144" s="460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1000935</v>
      </c>
      <c r="J144" s="463">
        <f t="shared" ref="J144" si="45">IFERROR(SUM(G144:I144)/3/F144,"－")</f>
        <v>1.0103836697179649</v>
      </c>
      <c r="K144" s="462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1044975</v>
      </c>
      <c r="L144" s="464">
        <f t="shared" si="35"/>
        <v>1.0573863775568042</v>
      </c>
      <c r="M144" s="462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1137498</v>
      </c>
      <c r="N144" s="464">
        <f t="shared" si="37"/>
        <v>1.1510082917755062</v>
      </c>
      <c r="O144" s="462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1249886</v>
      </c>
      <c r="P144" s="464">
        <f t="shared" si="38"/>
        <v>1.2647311465814626</v>
      </c>
      <c r="Q144" s="462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1234022</v>
      </c>
      <c r="R144" s="464">
        <f t="shared" si="39"/>
        <v>1.2486787266732722</v>
      </c>
      <c r="S144" s="462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1084852</v>
      </c>
      <c r="T144" s="464">
        <f>IFERROR(S144/F144,"－")</f>
        <v>1.097737004679781</v>
      </c>
    </row>
    <row r="145" spans="1:14" ht="50.1" customHeight="1">
      <c r="A145" s="726" t="s">
        <v>109</v>
      </c>
      <c r="G145" s="725" t="s">
        <v>364</v>
      </c>
      <c r="H145" s="467"/>
      <c r="I145" s="467"/>
      <c r="J145" s="467"/>
      <c r="K145" s="637" t="s">
        <v>400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366</v>
      </c>
      <c r="E149" s="749" t="s">
        <v>365</v>
      </c>
      <c r="F149" s="378" t="s">
        <v>362</v>
      </c>
      <c r="G149" s="748" t="s">
        <v>361</v>
      </c>
      <c r="H149" s="749" t="s">
        <v>360</v>
      </c>
      <c r="I149" s="750" t="s">
        <v>359</v>
      </c>
      <c r="J149" s="524" t="s">
        <v>383</v>
      </c>
      <c r="K149" s="524" t="s">
        <v>386</v>
      </c>
      <c r="L149" s="524" t="s">
        <v>389</v>
      </c>
      <c r="M149" s="524" t="s">
        <v>392</v>
      </c>
      <c r="N149" s="524" t="s">
        <v>395</v>
      </c>
    </row>
    <row r="150" spans="1:14">
      <c r="A150" s="525" t="s">
        <v>36</v>
      </c>
      <c r="B150" s="526"/>
      <c r="C150" s="527"/>
      <c r="D150" s="528">
        <f t="shared" ref="D150:I150" si="46">D61+D144</f>
        <v>1009762.834</v>
      </c>
      <c r="E150" s="529">
        <f t="shared" si="46"/>
        <v>998223.76700000011</v>
      </c>
      <c r="F150" s="530">
        <f t="shared" si="46"/>
        <v>1022588.1864</v>
      </c>
      <c r="G150" s="531">
        <f t="shared" si="46"/>
        <v>1032261</v>
      </c>
      <c r="H150" s="529">
        <f t="shared" si="46"/>
        <v>1034267</v>
      </c>
      <c r="I150" s="530">
        <f t="shared" si="46"/>
        <v>1036745</v>
      </c>
      <c r="J150" s="532">
        <f>K61+K144</f>
        <v>1081075</v>
      </c>
      <c r="K150" s="532">
        <f>M61+M144</f>
        <v>1176958</v>
      </c>
      <c r="L150" s="532">
        <f>O61+O144</f>
        <v>1291155</v>
      </c>
      <c r="M150" s="532">
        <f>Q61+Q144</f>
        <v>1272792</v>
      </c>
      <c r="N150" s="532">
        <f>S61+S144</f>
        <v>1119439</v>
      </c>
    </row>
    <row r="151" spans="1:14">
      <c r="A151" s="379"/>
      <c r="B151" s="533" t="s">
        <v>144</v>
      </c>
      <c r="C151" s="534"/>
      <c r="D151" s="535">
        <f>D12+D14+D17+D20+D23+D25+D27+D29+D32+D35+D38+D41+D43+D45+D50+D53+D57+D68+D71+D74+D77+D80+D82+D85+D88+D91+D94+D97+D100+D102+D104+D109+D111+D116+D119+D127+D113+D140</f>
        <v>339654.10600000003</v>
      </c>
      <c r="E151" s="536">
        <f>E12+E14+E17+E20+E23+E25+E27+E29+E32+E35+E38+E41+E43+E45+E50+E53+E57+E68+E71+E74+E77+E80+E82+E85+E88+E91+E94+E97+E100+E102+E104+E109+E111+E116+E119+E127+E113+E140</f>
        <v>317997.35100000002</v>
      </c>
      <c r="F151" s="536">
        <f>F12+F14+F17+F20+F23+F25+F27+F29+F32+F35+F38+F41+F43+F45+F50+F53+F57+F68+F71+F74+F77+F80+F82+F85+F88+F91+F94+F97+F100+F102+F104+F109+F111+F116+F119+F127+F113+F140</f>
        <v>301571.45039999997</v>
      </c>
      <c r="G151" s="535">
        <f>G14+G17+G20+G23+G27+G29+G32+G35+G38+G41+G43+G45+G50+G53+G57+G68+G71+G74+G77+G80+G82+G85+G88+G91+G94+G97+G100+G102+G104+G109+G111+G116+G119+G127+G113+G140</f>
        <v>311245</v>
      </c>
      <c r="H151" s="536">
        <f>H14+H17+H20+H23+H27+H29+H32+H35+H38+H41+H43+H45+H50+H53+H57+H59+H68+H71+H74+H77+H80+H82+H85+H88+H91+H94+H97+H100+H102+H104+H109+H111+H116+H119+H127+H113+H140+H142</f>
        <v>313495</v>
      </c>
      <c r="I151" s="537">
        <f>I14+I17+I20+I23+I27+I29+I32+I35+I38+I41+I43+I45+I50+I53+I57+I59+I68+I71+I74+I77+I80+I82+I85+I88+I91+I94+I97+I100+I102+I104+I109+I111+I116+I119+I127+I113+I140+I142</f>
        <v>315973</v>
      </c>
      <c r="J151" s="538">
        <f>K14+K17+K20+K23+K27+K29+K32+K35+K38+K41+K43+K45+K50+K53+K57+K59+K68+K71+K74+K77+K80+K82+K85+K88+K91+K94+K97+K100+K102+K104+K109+K111+K116+K119+K127+K113+K140+K142</f>
        <v>294371</v>
      </c>
      <c r="K151" s="538">
        <f>M14+M17+M20+M23+M27+M29+M32+M35+M38+M41+M43+M45+M50+M53+M57+M59+M68+M71+M74+M77+M80+M82+M85+M88+M91+M94+M97+M100+M102+M104+M109+M111+M116+M119+M127+M113+M140+M142</f>
        <v>324197</v>
      </c>
      <c r="L151" s="538">
        <f>O14+O17+O20+O23+O27+O29+O32+O35+O38+O41+O43+O45+O50+O53+O57+O59+O68+O71+O74+O77+O80+O82+O85+O88+O91+O94+O97+O100+O102+O104+O109+O111+O116+O119+O127+O113+O140+O142</f>
        <v>342790</v>
      </c>
      <c r="M151" s="538">
        <f>Q14+Q17+Q20+Q23+Q27+Q29+Q32+Q35+Q38+Q41+Q43+Q45+Q50+Q53+Q57+Q59+Q68+Q71+Q74+Q77+Q80+Q82+Q85+Q88+Q91+Q94+Q97+Q100+Q102+Q104+Q109+Q111+Q116+Q119+Q127+Q113+Q140+Q142</f>
        <v>335587</v>
      </c>
      <c r="N151" s="538">
        <f>S14+S17+S20+S23+S27+S29+S32+S35+S38+S41+S43+S45+S50+S53+S57+S59+S68+S71+S74+S77+S80+S82+S85+S88+S91+S94+S97+S100+S102+S104+S109+S111+S116+S119+S127+S113+S140+S142</f>
        <v>294870</v>
      </c>
    </row>
    <row r="152" spans="1:14">
      <c r="A152" s="379"/>
      <c r="B152" s="533" t="s">
        <v>145</v>
      </c>
      <c r="C152" s="534"/>
      <c r="D152" s="539">
        <f t="shared" ref="D152:I152" si="47">D47+D55+D106+D121+D123</f>
        <v>91870.495999999999</v>
      </c>
      <c r="E152" s="536">
        <f t="shared" si="47"/>
        <v>90662.498999999996</v>
      </c>
      <c r="F152" s="540">
        <f t="shared" si="47"/>
        <v>67176.948000000004</v>
      </c>
      <c r="G152" s="539">
        <f t="shared" si="47"/>
        <v>67177</v>
      </c>
      <c r="H152" s="536">
        <f t="shared" si="47"/>
        <v>66933</v>
      </c>
      <c r="I152" s="540">
        <f t="shared" si="47"/>
        <v>66933</v>
      </c>
      <c r="J152" s="538">
        <f>K47+K55+K106+K121+K123</f>
        <v>66933</v>
      </c>
      <c r="K152" s="538">
        <f>M47+M55+M106+M121+M123</f>
        <v>77200</v>
      </c>
      <c r="L152" s="538">
        <f>O47+O55+O106+O121+O123</f>
        <v>83523</v>
      </c>
      <c r="M152" s="538">
        <f>Q47+Q55+Q106+Q121+Q123</f>
        <v>79822</v>
      </c>
      <c r="N152" s="538">
        <f>S47+S55+S106+S121+S123</f>
        <v>70094</v>
      </c>
    </row>
    <row r="153" spans="1:14" ht="14.25" thickBot="1">
      <c r="A153" s="541"/>
      <c r="B153" s="542" t="s">
        <v>146</v>
      </c>
      <c r="C153" s="543"/>
      <c r="D153" s="544">
        <f t="shared" ref="D153:I153" si="48">D125+D132+D134+D136+D138</f>
        <v>578238.23199999996</v>
      </c>
      <c r="E153" s="545">
        <f t="shared" si="48"/>
        <v>589563.91700000002</v>
      </c>
      <c r="F153" s="546">
        <f t="shared" si="48"/>
        <v>653839.78799999994</v>
      </c>
      <c r="G153" s="544">
        <f t="shared" si="48"/>
        <v>653839</v>
      </c>
      <c r="H153" s="545">
        <f t="shared" si="48"/>
        <v>653839</v>
      </c>
      <c r="I153" s="546">
        <f t="shared" si="48"/>
        <v>653839</v>
      </c>
      <c r="J153" s="547">
        <f>K125+K132+K134+K136</f>
        <v>719771</v>
      </c>
      <c r="K153" s="547">
        <f>M125+M132+M134+M136</f>
        <v>775561</v>
      </c>
      <c r="L153" s="547">
        <f>O125+O132+O134+O136</f>
        <v>864842</v>
      </c>
      <c r="M153" s="547">
        <f>Q125+Q132+Q134+Q136</f>
        <v>857383</v>
      </c>
      <c r="N153" s="547">
        <f>S125+S132+S134+S136</f>
        <v>754475</v>
      </c>
    </row>
    <row r="155" spans="1:14" ht="14.25" thickBot="1">
      <c r="A155" s="22" t="s">
        <v>218</v>
      </c>
    </row>
    <row r="156" spans="1:14" ht="14.25" thickBot="1">
      <c r="A156" s="1045"/>
      <c r="B156" s="1046"/>
      <c r="C156" s="1047"/>
      <c r="D156" s="377" t="s">
        <v>366</v>
      </c>
      <c r="E156" s="749" t="s">
        <v>365</v>
      </c>
      <c r="F156" s="378" t="s">
        <v>362</v>
      </c>
      <c r="G156" s="748" t="s">
        <v>361</v>
      </c>
      <c r="H156" s="749" t="s">
        <v>360</v>
      </c>
      <c r="I156" s="750" t="s">
        <v>359</v>
      </c>
      <c r="J156" s="524" t="s">
        <v>383</v>
      </c>
      <c r="K156" s="524" t="s">
        <v>386</v>
      </c>
      <c r="L156" s="524" t="s">
        <v>389</v>
      </c>
      <c r="M156" s="524" t="s">
        <v>392</v>
      </c>
      <c r="N156" s="524" t="s">
        <v>395</v>
      </c>
    </row>
    <row r="157" spans="1:14">
      <c r="A157" s="13" t="s">
        <v>1</v>
      </c>
      <c r="B157" s="3"/>
      <c r="C157" s="144"/>
      <c r="D157" s="145">
        <f>D133+D135+D137+D139</f>
        <v>131.33333333333331</v>
      </c>
      <c r="E157" s="146">
        <f>E133+E135+E137+E139</f>
        <v>134.41666666666666</v>
      </c>
      <c r="F157" s="147">
        <f>F133+F135+F137+F139</f>
        <v>146</v>
      </c>
      <c r="G157" s="145">
        <f>G133+G135+G137+G139</f>
        <v>146</v>
      </c>
      <c r="H157" s="147">
        <f>H133+H135+H137+H139</f>
        <v>146</v>
      </c>
      <c r="I157" s="147">
        <f t="shared" ref="I157" si="49">I133+I135+I137+I139</f>
        <v>146</v>
      </c>
      <c r="J157" s="152">
        <f>K133+K135+K137</f>
        <v>160</v>
      </c>
      <c r="K157" s="152">
        <f>M133+M135+M137</f>
        <v>172</v>
      </c>
      <c r="L157" s="152">
        <f>O133+O135+O137</f>
        <v>192</v>
      </c>
      <c r="M157" s="152">
        <f>Q133+Q135+Q137</f>
        <v>190</v>
      </c>
      <c r="N157" s="152">
        <f>S133+S135+S137</f>
        <v>167</v>
      </c>
    </row>
    <row r="158" spans="1:14">
      <c r="A158" s="5"/>
      <c r="B158" s="148" t="s">
        <v>219</v>
      </c>
      <c r="C158" s="548"/>
      <c r="D158" s="46">
        <v>74.916666666666671</v>
      </c>
      <c r="E158" s="149">
        <v>72.25</v>
      </c>
      <c r="F158" s="177">
        <v>78</v>
      </c>
      <c r="G158" s="46">
        <v>78</v>
      </c>
      <c r="H158" s="177">
        <v>78</v>
      </c>
      <c r="I158" s="177">
        <v>78</v>
      </c>
      <c r="J158" s="153">
        <v>85</v>
      </c>
      <c r="K158" s="153">
        <v>90</v>
      </c>
      <c r="L158" s="153">
        <v>102</v>
      </c>
      <c r="M158" s="153">
        <v>100</v>
      </c>
      <c r="N158" s="153">
        <v>90</v>
      </c>
    </row>
    <row r="159" spans="1:14" ht="14.25" thickBot="1">
      <c r="A159" s="150"/>
      <c r="B159" s="151" t="s">
        <v>220</v>
      </c>
      <c r="C159" s="549"/>
      <c r="D159" s="734">
        <f>IFERROR(ROUND(D158/D157*100,1),"－")</f>
        <v>57</v>
      </c>
      <c r="E159" s="735">
        <f t="shared" ref="E159:J159" si="50">IFERROR(ROUND(E158/E157*100,1),"－")</f>
        <v>53.8</v>
      </c>
      <c r="F159" s="736">
        <f t="shared" si="50"/>
        <v>53.4</v>
      </c>
      <c r="G159" s="734">
        <f t="shared" si="50"/>
        <v>53.4</v>
      </c>
      <c r="H159" s="736">
        <f t="shared" si="50"/>
        <v>53.4</v>
      </c>
      <c r="I159" s="736">
        <f t="shared" si="50"/>
        <v>53.4</v>
      </c>
      <c r="J159" s="737">
        <f t="shared" si="50"/>
        <v>53.1</v>
      </c>
      <c r="K159" s="737">
        <f t="shared" ref="K159:M159" si="51">IFERROR(ROUND(K158/K157*100,1),"－")</f>
        <v>52.3</v>
      </c>
      <c r="L159" s="737">
        <f t="shared" si="51"/>
        <v>53.1</v>
      </c>
      <c r="M159" s="737">
        <f t="shared" si="51"/>
        <v>52.6</v>
      </c>
      <c r="N159" s="737">
        <f>IFERROR(ROUND(N158/N157*100,1),"－")</f>
        <v>53.9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B134:B135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B25:B26"/>
    <mergeCell ref="Q3:R3"/>
    <mergeCell ref="Q4:R4"/>
    <mergeCell ref="B27:B28"/>
    <mergeCell ref="B29:B30"/>
    <mergeCell ref="B32:B33"/>
    <mergeCell ref="B121:B122"/>
    <mergeCell ref="B129:B130"/>
    <mergeCell ref="B50:B51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L68"/>
  <sheetViews>
    <sheetView tabSelected="1" zoomScale="85" zoomScaleNormal="85" zoomScaleSheetLayoutView="80" workbookViewId="0"/>
  </sheetViews>
  <sheetFormatPr defaultColWidth="9" defaultRowHeight="13.5"/>
  <cols>
    <col min="1" max="1" width="56.625" style="767" bestFit="1" customWidth="1"/>
    <col min="2" max="12" width="17.375" style="767" customWidth="1"/>
    <col min="13" max="16384" width="9" style="767"/>
  </cols>
  <sheetData>
    <row r="1" spans="1:12" ht="14.25" customHeight="1">
      <c r="A1" s="723" t="s">
        <v>308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303</v>
      </c>
      <c r="B7" s="772"/>
      <c r="C7" s="772"/>
      <c r="D7" s="772"/>
      <c r="F7" s="697"/>
      <c r="G7" s="697"/>
      <c r="K7" s="773"/>
      <c r="L7" s="773" t="s">
        <v>314</v>
      </c>
    </row>
    <row r="8" spans="1:12" ht="14.25" thickBot="1">
      <c r="A8" s="698" t="s">
        <v>272</v>
      </c>
      <c r="B8" s="698" t="s">
        <v>324</v>
      </c>
      <c r="C8" s="708" t="s">
        <v>325</v>
      </c>
      <c r="D8" s="744" t="s">
        <v>326</v>
      </c>
      <c r="E8" s="698" t="s">
        <v>346</v>
      </c>
      <c r="F8" s="708" t="s">
        <v>345</v>
      </c>
      <c r="G8" s="703" t="s">
        <v>344</v>
      </c>
      <c r="H8" s="698" t="s">
        <v>398</v>
      </c>
      <c r="I8" s="708" t="s">
        <v>327</v>
      </c>
      <c r="J8" s="708" t="s">
        <v>328</v>
      </c>
      <c r="K8" s="708" t="s">
        <v>329</v>
      </c>
      <c r="L8" s="713" t="s">
        <v>343</v>
      </c>
    </row>
    <row r="9" spans="1:12">
      <c r="A9" s="727" t="s">
        <v>273</v>
      </c>
      <c r="B9" s="738">
        <v>1010214</v>
      </c>
      <c r="C9" s="739">
        <v>1206361</v>
      </c>
      <c r="D9" s="740">
        <v>994930</v>
      </c>
      <c r="E9" s="738">
        <v>1045953</v>
      </c>
      <c r="F9" s="739">
        <v>1071464</v>
      </c>
      <c r="G9" s="740">
        <v>1096975</v>
      </c>
      <c r="H9" s="738">
        <v>947394</v>
      </c>
      <c r="I9" s="739">
        <v>878633</v>
      </c>
      <c r="J9" s="739">
        <v>813906</v>
      </c>
      <c r="K9" s="739">
        <v>735322</v>
      </c>
      <c r="L9" s="740">
        <v>657440</v>
      </c>
    </row>
    <row r="10" spans="1:12">
      <c r="A10" s="774" t="s">
        <v>312</v>
      </c>
      <c r="B10" s="775">
        <v>40</v>
      </c>
      <c r="C10" s="776">
        <v>45</v>
      </c>
      <c r="D10" s="777">
        <v>42</v>
      </c>
      <c r="E10" s="775">
        <v>44</v>
      </c>
      <c r="F10" s="776">
        <v>46</v>
      </c>
      <c r="G10" s="777">
        <v>47</v>
      </c>
      <c r="H10" s="775">
        <v>40</v>
      </c>
      <c r="I10" s="776">
        <v>37</v>
      </c>
      <c r="J10" s="776">
        <v>34</v>
      </c>
      <c r="K10" s="776">
        <v>31</v>
      </c>
      <c r="L10" s="777">
        <v>28</v>
      </c>
    </row>
    <row r="11" spans="1:12">
      <c r="A11" s="728" t="s">
        <v>274</v>
      </c>
      <c r="B11" s="741">
        <v>0</v>
      </c>
      <c r="C11" s="742">
        <v>0</v>
      </c>
      <c r="D11" s="743">
        <v>0</v>
      </c>
      <c r="E11" s="741">
        <v>0</v>
      </c>
      <c r="F11" s="742">
        <v>0</v>
      </c>
      <c r="G11" s="743">
        <v>0</v>
      </c>
      <c r="H11" s="741">
        <v>0</v>
      </c>
      <c r="I11" s="742">
        <v>0</v>
      </c>
      <c r="J11" s="742">
        <v>0</v>
      </c>
      <c r="K11" s="742">
        <v>0</v>
      </c>
      <c r="L11" s="743">
        <v>0</v>
      </c>
    </row>
    <row r="12" spans="1:12">
      <c r="A12" s="774" t="s">
        <v>311</v>
      </c>
      <c r="B12" s="775">
        <v>0</v>
      </c>
      <c r="C12" s="776">
        <v>0</v>
      </c>
      <c r="D12" s="777">
        <v>0</v>
      </c>
      <c r="E12" s="775">
        <v>0</v>
      </c>
      <c r="F12" s="776">
        <v>0</v>
      </c>
      <c r="G12" s="777">
        <v>0</v>
      </c>
      <c r="H12" s="775">
        <v>0</v>
      </c>
      <c r="I12" s="776">
        <v>0</v>
      </c>
      <c r="J12" s="776">
        <v>0</v>
      </c>
      <c r="K12" s="776">
        <v>0</v>
      </c>
      <c r="L12" s="777">
        <v>0</v>
      </c>
    </row>
    <row r="13" spans="1:12">
      <c r="A13" s="729" t="s">
        <v>275</v>
      </c>
      <c r="B13" s="700">
        <v>0</v>
      </c>
      <c r="C13" s="710">
        <v>0</v>
      </c>
      <c r="D13" s="705">
        <v>0</v>
      </c>
      <c r="E13" s="700">
        <v>0</v>
      </c>
      <c r="F13" s="710">
        <v>0</v>
      </c>
      <c r="G13" s="705">
        <v>0</v>
      </c>
      <c r="H13" s="700">
        <v>0</v>
      </c>
      <c r="I13" s="710">
        <v>0</v>
      </c>
      <c r="J13" s="710">
        <v>0</v>
      </c>
      <c r="K13" s="710">
        <v>0</v>
      </c>
      <c r="L13" s="705">
        <v>0</v>
      </c>
    </row>
    <row r="14" spans="1:12">
      <c r="A14" s="729" t="s">
        <v>276</v>
      </c>
      <c r="B14" s="700">
        <v>0</v>
      </c>
      <c r="C14" s="710">
        <v>0</v>
      </c>
      <c r="D14" s="705">
        <v>0</v>
      </c>
      <c r="E14" s="700">
        <v>0</v>
      </c>
      <c r="F14" s="710">
        <v>0</v>
      </c>
      <c r="G14" s="705">
        <v>0</v>
      </c>
      <c r="H14" s="700">
        <v>0</v>
      </c>
      <c r="I14" s="710">
        <v>0</v>
      </c>
      <c r="J14" s="710">
        <v>0</v>
      </c>
      <c r="K14" s="710">
        <v>0</v>
      </c>
      <c r="L14" s="705">
        <v>0</v>
      </c>
    </row>
    <row r="15" spans="1:12">
      <c r="A15" s="729" t="s">
        <v>277</v>
      </c>
      <c r="B15" s="700">
        <v>0</v>
      </c>
      <c r="C15" s="710">
        <v>0</v>
      </c>
      <c r="D15" s="705">
        <v>0</v>
      </c>
      <c r="E15" s="700">
        <v>0</v>
      </c>
      <c r="F15" s="710">
        <v>0</v>
      </c>
      <c r="G15" s="705">
        <v>0</v>
      </c>
      <c r="H15" s="700">
        <v>0</v>
      </c>
      <c r="I15" s="710">
        <v>0</v>
      </c>
      <c r="J15" s="710">
        <v>0</v>
      </c>
      <c r="K15" s="710">
        <v>0</v>
      </c>
      <c r="L15" s="705">
        <v>0</v>
      </c>
    </row>
    <row r="16" spans="1:12" ht="14.25" thickBot="1">
      <c r="A16" s="730" t="s">
        <v>278</v>
      </c>
      <c r="B16" s="701">
        <v>0</v>
      </c>
      <c r="C16" s="711">
        <v>0</v>
      </c>
      <c r="D16" s="706">
        <v>0</v>
      </c>
      <c r="E16" s="701">
        <v>0</v>
      </c>
      <c r="F16" s="711">
        <v>0</v>
      </c>
      <c r="G16" s="706">
        <v>0</v>
      </c>
      <c r="H16" s="701">
        <v>0</v>
      </c>
      <c r="I16" s="711">
        <v>0</v>
      </c>
      <c r="J16" s="711">
        <v>0</v>
      </c>
      <c r="K16" s="711">
        <v>0</v>
      </c>
      <c r="L16" s="706">
        <v>0</v>
      </c>
    </row>
    <row r="17" spans="1:12">
      <c r="A17" s="727" t="s">
        <v>279</v>
      </c>
      <c r="B17" s="738">
        <v>1650786</v>
      </c>
      <c r="C17" s="739">
        <v>1461639</v>
      </c>
      <c r="D17" s="740">
        <v>1405070</v>
      </c>
      <c r="E17" s="738">
        <v>1267702</v>
      </c>
      <c r="F17" s="739">
        <v>1199019</v>
      </c>
      <c r="G17" s="740">
        <v>1130335</v>
      </c>
      <c r="H17" s="738">
        <v>1337938</v>
      </c>
      <c r="I17" s="739">
        <v>1240831</v>
      </c>
      <c r="J17" s="739">
        <v>1149423</v>
      </c>
      <c r="K17" s="739">
        <v>1038444</v>
      </c>
      <c r="L17" s="740">
        <v>928456</v>
      </c>
    </row>
    <row r="18" spans="1:12">
      <c r="A18" s="774" t="s">
        <v>312</v>
      </c>
      <c r="B18" s="775">
        <v>66</v>
      </c>
      <c r="C18" s="776">
        <v>54</v>
      </c>
      <c r="D18" s="777">
        <v>60</v>
      </c>
      <c r="E18" s="775">
        <v>54</v>
      </c>
      <c r="F18" s="776">
        <v>51</v>
      </c>
      <c r="G18" s="777">
        <v>48</v>
      </c>
      <c r="H18" s="775">
        <v>57</v>
      </c>
      <c r="I18" s="776">
        <v>53</v>
      </c>
      <c r="J18" s="776">
        <v>49</v>
      </c>
      <c r="K18" s="776">
        <v>44</v>
      </c>
      <c r="L18" s="777">
        <v>40</v>
      </c>
    </row>
    <row r="19" spans="1:12">
      <c r="A19" s="731" t="s">
        <v>280</v>
      </c>
      <c r="B19" s="741">
        <v>0</v>
      </c>
      <c r="C19" s="742">
        <v>0</v>
      </c>
      <c r="D19" s="743">
        <v>0</v>
      </c>
      <c r="E19" s="741">
        <v>0</v>
      </c>
      <c r="F19" s="742">
        <v>0</v>
      </c>
      <c r="G19" s="743">
        <v>0</v>
      </c>
      <c r="H19" s="741">
        <v>0</v>
      </c>
      <c r="I19" s="742">
        <v>0</v>
      </c>
      <c r="J19" s="742">
        <v>0</v>
      </c>
      <c r="K19" s="742">
        <v>0</v>
      </c>
      <c r="L19" s="743">
        <v>0</v>
      </c>
    </row>
    <row r="20" spans="1:12">
      <c r="A20" s="774" t="s">
        <v>311</v>
      </c>
      <c r="B20" s="775">
        <v>0</v>
      </c>
      <c r="C20" s="776">
        <v>0</v>
      </c>
      <c r="D20" s="777">
        <v>0</v>
      </c>
      <c r="E20" s="775">
        <v>0</v>
      </c>
      <c r="F20" s="776">
        <v>0</v>
      </c>
      <c r="G20" s="777">
        <v>0</v>
      </c>
      <c r="H20" s="775">
        <v>0</v>
      </c>
      <c r="I20" s="776">
        <v>0</v>
      </c>
      <c r="J20" s="776">
        <v>0</v>
      </c>
      <c r="K20" s="776">
        <v>0</v>
      </c>
      <c r="L20" s="777">
        <v>0</v>
      </c>
    </row>
    <row r="21" spans="1:12">
      <c r="A21" s="729" t="s">
        <v>281</v>
      </c>
      <c r="B21" s="700">
        <v>0</v>
      </c>
      <c r="C21" s="710">
        <v>0</v>
      </c>
      <c r="D21" s="705">
        <v>0</v>
      </c>
      <c r="E21" s="700">
        <v>0</v>
      </c>
      <c r="F21" s="710">
        <v>0</v>
      </c>
      <c r="G21" s="705">
        <v>0</v>
      </c>
      <c r="H21" s="700">
        <v>0</v>
      </c>
      <c r="I21" s="710">
        <v>0</v>
      </c>
      <c r="J21" s="710">
        <v>0</v>
      </c>
      <c r="K21" s="710">
        <v>0</v>
      </c>
      <c r="L21" s="705">
        <v>0</v>
      </c>
    </row>
    <row r="22" spans="1:12">
      <c r="A22" s="729" t="s">
        <v>282</v>
      </c>
      <c r="B22" s="700">
        <v>0</v>
      </c>
      <c r="C22" s="710">
        <v>0</v>
      </c>
      <c r="D22" s="705">
        <v>0</v>
      </c>
      <c r="E22" s="700">
        <v>0</v>
      </c>
      <c r="F22" s="710">
        <v>0</v>
      </c>
      <c r="G22" s="705">
        <v>0</v>
      </c>
      <c r="H22" s="700">
        <v>0</v>
      </c>
      <c r="I22" s="710">
        <v>0</v>
      </c>
      <c r="J22" s="710">
        <v>0</v>
      </c>
      <c r="K22" s="710">
        <v>0</v>
      </c>
      <c r="L22" s="705">
        <v>0</v>
      </c>
    </row>
    <row r="23" spans="1:12" ht="14.25" thickBot="1">
      <c r="A23" s="731" t="s">
        <v>283</v>
      </c>
      <c r="B23" s="702">
        <v>0</v>
      </c>
      <c r="C23" s="712">
        <v>0</v>
      </c>
      <c r="D23" s="707">
        <v>0</v>
      </c>
      <c r="E23" s="702">
        <v>0</v>
      </c>
      <c r="F23" s="712">
        <v>0</v>
      </c>
      <c r="G23" s="707">
        <v>0</v>
      </c>
      <c r="H23" s="702">
        <v>0</v>
      </c>
      <c r="I23" s="712">
        <v>0</v>
      </c>
      <c r="J23" s="712">
        <v>0</v>
      </c>
      <c r="K23" s="712">
        <v>0</v>
      </c>
      <c r="L23" s="707">
        <v>0</v>
      </c>
    </row>
    <row r="24" spans="1:12">
      <c r="A24" s="732" t="s">
        <v>284</v>
      </c>
      <c r="B24" s="699">
        <v>0</v>
      </c>
      <c r="C24" s="709">
        <v>0</v>
      </c>
      <c r="D24" s="704">
        <v>0</v>
      </c>
      <c r="E24" s="699">
        <v>0</v>
      </c>
      <c r="F24" s="709">
        <v>0</v>
      </c>
      <c r="G24" s="704">
        <v>0</v>
      </c>
      <c r="H24" s="699">
        <v>0</v>
      </c>
      <c r="I24" s="709">
        <v>0</v>
      </c>
      <c r="J24" s="709">
        <v>0</v>
      </c>
      <c r="K24" s="709">
        <v>0</v>
      </c>
      <c r="L24" s="704">
        <v>0</v>
      </c>
    </row>
    <row r="25" spans="1:12">
      <c r="A25" s="729" t="s">
        <v>285</v>
      </c>
      <c r="B25" s="700">
        <v>0</v>
      </c>
      <c r="C25" s="710">
        <v>0</v>
      </c>
      <c r="D25" s="705">
        <v>0</v>
      </c>
      <c r="E25" s="700">
        <v>0</v>
      </c>
      <c r="F25" s="710">
        <v>0</v>
      </c>
      <c r="G25" s="705">
        <v>0</v>
      </c>
      <c r="H25" s="700">
        <v>0</v>
      </c>
      <c r="I25" s="710">
        <v>0</v>
      </c>
      <c r="J25" s="710">
        <v>0</v>
      </c>
      <c r="K25" s="710">
        <v>0</v>
      </c>
      <c r="L25" s="705">
        <v>0</v>
      </c>
    </row>
    <row r="26" spans="1:12" ht="14.25" thickBot="1">
      <c r="A26" s="730" t="s">
        <v>286</v>
      </c>
      <c r="B26" s="701">
        <v>0</v>
      </c>
      <c r="C26" s="711">
        <v>0</v>
      </c>
      <c r="D26" s="706">
        <v>0</v>
      </c>
      <c r="E26" s="701">
        <v>0</v>
      </c>
      <c r="F26" s="711">
        <v>0</v>
      </c>
      <c r="G26" s="706">
        <v>0</v>
      </c>
      <c r="H26" s="701">
        <v>0</v>
      </c>
      <c r="I26" s="711">
        <v>0</v>
      </c>
      <c r="J26" s="711">
        <v>0</v>
      </c>
      <c r="K26" s="711">
        <v>0</v>
      </c>
      <c r="L26" s="706">
        <v>0</v>
      </c>
    </row>
    <row r="27" spans="1:12" ht="14.25" thickBot="1">
      <c r="A27" s="1006" t="s">
        <v>287</v>
      </c>
      <c r="B27" s="1007">
        <v>730000</v>
      </c>
      <c r="C27" s="1008">
        <v>740000</v>
      </c>
      <c r="D27" s="1009">
        <v>750000</v>
      </c>
      <c r="E27" s="1007">
        <v>760000</v>
      </c>
      <c r="F27" s="1008">
        <v>770000</v>
      </c>
      <c r="G27" s="1009">
        <v>0</v>
      </c>
      <c r="H27" s="1007">
        <v>819013</v>
      </c>
      <c r="I27" s="1008">
        <v>840632</v>
      </c>
      <c r="J27" s="1008">
        <v>786170</v>
      </c>
      <c r="K27" s="1008">
        <v>705931</v>
      </c>
      <c r="L27" s="1009">
        <v>655626</v>
      </c>
    </row>
    <row r="28" spans="1:12">
      <c r="A28" s="1002" t="s">
        <v>381</v>
      </c>
      <c r="B28" s="1003">
        <v>4200</v>
      </c>
      <c r="C28" s="1004">
        <v>16432</v>
      </c>
      <c r="D28" s="1005">
        <v>20000</v>
      </c>
      <c r="E28" s="1003">
        <v>29344</v>
      </c>
      <c r="F28" s="1004">
        <v>37244</v>
      </c>
      <c r="G28" s="1005">
        <v>0</v>
      </c>
      <c r="H28" s="1003">
        <v>21840</v>
      </c>
      <c r="I28" s="1004">
        <v>22417</v>
      </c>
      <c r="J28" s="1004">
        <v>20965</v>
      </c>
      <c r="K28" s="1004">
        <v>18825</v>
      </c>
      <c r="L28" s="1005">
        <v>17483</v>
      </c>
    </row>
    <row r="29" spans="1:12" ht="14.25" thickBot="1">
      <c r="A29" s="730" t="s">
        <v>380</v>
      </c>
      <c r="B29" s="701">
        <v>0</v>
      </c>
      <c r="C29" s="711">
        <v>0</v>
      </c>
      <c r="D29" s="706">
        <v>0</v>
      </c>
      <c r="E29" s="701">
        <v>0</v>
      </c>
      <c r="F29" s="711">
        <v>0</v>
      </c>
      <c r="G29" s="706">
        <v>0</v>
      </c>
      <c r="H29" s="701">
        <v>0</v>
      </c>
      <c r="I29" s="711">
        <v>0</v>
      </c>
      <c r="J29" s="711">
        <v>0</v>
      </c>
      <c r="K29" s="711">
        <v>0</v>
      </c>
      <c r="L29" s="706">
        <v>0</v>
      </c>
    </row>
    <row r="30" spans="1:12">
      <c r="A30" s="732" t="s">
        <v>288</v>
      </c>
      <c r="B30" s="699">
        <v>0</v>
      </c>
      <c r="C30" s="709">
        <v>0</v>
      </c>
      <c r="D30" s="704">
        <v>0</v>
      </c>
      <c r="E30" s="699">
        <v>0</v>
      </c>
      <c r="F30" s="709">
        <v>0</v>
      </c>
      <c r="G30" s="704">
        <v>0</v>
      </c>
      <c r="H30" s="699">
        <v>0</v>
      </c>
      <c r="I30" s="709">
        <v>0</v>
      </c>
      <c r="J30" s="709">
        <v>0</v>
      </c>
      <c r="K30" s="709">
        <v>0</v>
      </c>
      <c r="L30" s="704">
        <v>0</v>
      </c>
    </row>
    <row r="31" spans="1:12">
      <c r="A31" s="729" t="s">
        <v>289</v>
      </c>
      <c r="B31" s="700">
        <v>0</v>
      </c>
      <c r="C31" s="710">
        <v>0</v>
      </c>
      <c r="D31" s="705">
        <v>0</v>
      </c>
      <c r="E31" s="700">
        <v>0</v>
      </c>
      <c r="F31" s="710">
        <v>0</v>
      </c>
      <c r="G31" s="705">
        <v>0</v>
      </c>
      <c r="H31" s="700">
        <v>0</v>
      </c>
      <c r="I31" s="710">
        <v>0</v>
      </c>
      <c r="J31" s="710">
        <v>0</v>
      </c>
      <c r="K31" s="710">
        <v>0</v>
      </c>
      <c r="L31" s="705">
        <v>0</v>
      </c>
    </row>
    <row r="32" spans="1:12">
      <c r="A32" s="729" t="s">
        <v>290</v>
      </c>
      <c r="B32" s="700">
        <v>0</v>
      </c>
      <c r="C32" s="710">
        <v>0</v>
      </c>
      <c r="D32" s="705">
        <v>0</v>
      </c>
      <c r="E32" s="700">
        <v>0</v>
      </c>
      <c r="F32" s="710">
        <v>0</v>
      </c>
      <c r="G32" s="705">
        <v>0</v>
      </c>
      <c r="H32" s="700">
        <v>0</v>
      </c>
      <c r="I32" s="710">
        <v>0</v>
      </c>
      <c r="J32" s="710">
        <v>0</v>
      </c>
      <c r="K32" s="710">
        <v>0</v>
      </c>
      <c r="L32" s="705">
        <v>0</v>
      </c>
    </row>
    <row r="33" spans="1:12">
      <c r="A33" s="729" t="s">
        <v>291</v>
      </c>
      <c r="B33" s="700">
        <v>4308049</v>
      </c>
      <c r="C33" s="710">
        <v>4473652</v>
      </c>
      <c r="D33" s="705">
        <v>3798000</v>
      </c>
      <c r="E33" s="700">
        <v>3683185</v>
      </c>
      <c r="F33" s="710">
        <v>3428160</v>
      </c>
      <c r="G33" s="705">
        <v>0</v>
      </c>
      <c r="H33" s="700">
        <v>4147483</v>
      </c>
      <c r="I33" s="710">
        <v>4256960</v>
      </c>
      <c r="J33" s="710">
        <v>3981163</v>
      </c>
      <c r="K33" s="710">
        <v>3574836</v>
      </c>
      <c r="L33" s="705">
        <v>3320092</v>
      </c>
    </row>
    <row r="34" spans="1:12">
      <c r="A34" s="729" t="s">
        <v>292</v>
      </c>
      <c r="B34" s="700">
        <v>0</v>
      </c>
      <c r="C34" s="710">
        <v>0</v>
      </c>
      <c r="D34" s="705">
        <v>0</v>
      </c>
      <c r="E34" s="700">
        <v>0</v>
      </c>
      <c r="F34" s="710">
        <v>0</v>
      </c>
      <c r="G34" s="705">
        <v>0</v>
      </c>
      <c r="H34" s="700">
        <v>0</v>
      </c>
      <c r="I34" s="710">
        <v>0</v>
      </c>
      <c r="J34" s="710">
        <v>0</v>
      </c>
      <c r="K34" s="710">
        <v>0</v>
      </c>
      <c r="L34" s="705">
        <v>0</v>
      </c>
    </row>
    <row r="35" spans="1:12" ht="14.25" thickBot="1">
      <c r="A35" s="730" t="s">
        <v>426</v>
      </c>
      <c r="B35" s="512"/>
      <c r="C35" s="880"/>
      <c r="D35" s="970"/>
      <c r="E35" s="701">
        <v>0</v>
      </c>
      <c r="F35" s="711">
        <v>0</v>
      </c>
      <c r="G35" s="706">
        <v>0</v>
      </c>
      <c r="H35" s="701">
        <v>0</v>
      </c>
      <c r="I35" s="711">
        <v>0</v>
      </c>
      <c r="J35" s="711">
        <v>0</v>
      </c>
      <c r="K35" s="711">
        <v>0</v>
      </c>
      <c r="L35" s="706">
        <v>0</v>
      </c>
    </row>
    <row r="37" spans="1:12" ht="14.25" thickBot="1">
      <c r="A37" s="772" t="s">
        <v>316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313</v>
      </c>
    </row>
    <row r="38" spans="1:12" ht="14.25" thickBot="1">
      <c r="A38" s="717" t="s">
        <v>272</v>
      </c>
      <c r="B38" s="698" t="s">
        <v>324</v>
      </c>
      <c r="C38" s="708" t="s">
        <v>325</v>
      </c>
      <c r="D38" s="744" t="s">
        <v>326</v>
      </c>
      <c r="E38" s="717" t="s">
        <v>346</v>
      </c>
      <c r="F38" s="714" t="s">
        <v>345</v>
      </c>
      <c r="G38" s="713" t="s">
        <v>344</v>
      </c>
      <c r="H38" s="717" t="s">
        <v>398</v>
      </c>
      <c r="I38" s="714" t="s">
        <v>327</v>
      </c>
      <c r="J38" s="714" t="s">
        <v>328</v>
      </c>
      <c r="K38" s="718" t="s">
        <v>329</v>
      </c>
      <c r="L38" s="713" t="s">
        <v>343</v>
      </c>
    </row>
    <row r="39" spans="1:12">
      <c r="A39" s="732" t="s">
        <v>293</v>
      </c>
      <c r="B39" s="699">
        <v>24606798</v>
      </c>
      <c r="C39" s="715">
        <v>22439736</v>
      </c>
      <c r="D39" s="704">
        <v>28981000</v>
      </c>
      <c r="E39" s="699">
        <v>29716713</v>
      </c>
      <c r="F39" s="715">
        <v>31903814</v>
      </c>
      <c r="G39" s="704">
        <v>34090915</v>
      </c>
      <c r="H39" s="699">
        <v>28020009</v>
      </c>
      <c r="I39" s="715">
        <v>26400561</v>
      </c>
      <c r="J39" s="715">
        <v>25226016</v>
      </c>
      <c r="K39" s="709">
        <v>23481995</v>
      </c>
      <c r="L39" s="704">
        <v>22191776</v>
      </c>
    </row>
    <row r="40" spans="1:12" ht="14.25" thickBot="1">
      <c r="A40" s="733" t="s">
        <v>294</v>
      </c>
      <c r="B40" s="701">
        <v>4519729</v>
      </c>
      <c r="C40" s="716">
        <v>5886816</v>
      </c>
      <c r="D40" s="706">
        <v>7486000</v>
      </c>
      <c r="E40" s="701">
        <v>8930453</v>
      </c>
      <c r="F40" s="716">
        <v>10413588</v>
      </c>
      <c r="G40" s="706">
        <v>11896724</v>
      </c>
      <c r="H40" s="701">
        <v>7237769</v>
      </c>
      <c r="I40" s="716">
        <v>6819454</v>
      </c>
      <c r="J40" s="716">
        <v>6516061</v>
      </c>
      <c r="K40" s="711">
        <v>6065568</v>
      </c>
      <c r="L40" s="706">
        <v>5732295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304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313</v>
      </c>
    </row>
    <row r="43" spans="1:12" ht="14.25" thickBot="1">
      <c r="A43" s="717" t="s">
        <v>272</v>
      </c>
      <c r="B43" s="698" t="s">
        <v>324</v>
      </c>
      <c r="C43" s="708" t="s">
        <v>325</v>
      </c>
      <c r="D43" s="744" t="s">
        <v>326</v>
      </c>
      <c r="E43" s="717" t="s">
        <v>346</v>
      </c>
      <c r="F43" s="718" t="s">
        <v>345</v>
      </c>
      <c r="G43" s="713" t="s">
        <v>344</v>
      </c>
      <c r="H43" s="717" t="s">
        <v>398</v>
      </c>
      <c r="I43" s="718" t="s">
        <v>327</v>
      </c>
      <c r="J43" s="718" t="s">
        <v>328</v>
      </c>
      <c r="K43" s="718" t="s">
        <v>329</v>
      </c>
      <c r="L43" s="713" t="s">
        <v>343</v>
      </c>
    </row>
    <row r="44" spans="1:12">
      <c r="A44" s="732" t="s">
        <v>295</v>
      </c>
      <c r="B44" s="699">
        <v>0</v>
      </c>
      <c r="C44" s="709">
        <v>195543</v>
      </c>
      <c r="D44" s="704">
        <v>192000</v>
      </c>
      <c r="E44" s="699">
        <v>321181</v>
      </c>
      <c r="F44" s="709">
        <v>417181</v>
      </c>
      <c r="G44" s="704">
        <v>513181</v>
      </c>
      <c r="H44" s="699">
        <v>192000</v>
      </c>
      <c r="I44" s="709">
        <v>192000</v>
      </c>
      <c r="J44" s="709">
        <v>192000</v>
      </c>
      <c r="K44" s="709">
        <v>192000</v>
      </c>
      <c r="L44" s="704">
        <v>192000</v>
      </c>
    </row>
    <row r="45" spans="1:12">
      <c r="A45" s="729" t="s">
        <v>296</v>
      </c>
      <c r="B45" s="700">
        <v>14640</v>
      </c>
      <c r="C45" s="710">
        <v>188970</v>
      </c>
      <c r="D45" s="705">
        <v>169000</v>
      </c>
      <c r="E45" s="700">
        <v>278563</v>
      </c>
      <c r="F45" s="710">
        <v>355743</v>
      </c>
      <c r="G45" s="705">
        <v>432923</v>
      </c>
      <c r="H45" s="700">
        <v>169000</v>
      </c>
      <c r="I45" s="710">
        <v>169000</v>
      </c>
      <c r="J45" s="710">
        <v>169000</v>
      </c>
      <c r="K45" s="710">
        <v>169000</v>
      </c>
      <c r="L45" s="705">
        <v>169000</v>
      </c>
    </row>
    <row r="46" spans="1:12">
      <c r="A46" s="729" t="s">
        <v>297</v>
      </c>
      <c r="B46" s="700">
        <v>0</v>
      </c>
      <c r="C46" s="710">
        <v>0</v>
      </c>
      <c r="D46" s="705">
        <v>0</v>
      </c>
      <c r="E46" s="700">
        <v>0</v>
      </c>
      <c r="F46" s="710">
        <v>0</v>
      </c>
      <c r="G46" s="705">
        <v>0</v>
      </c>
      <c r="H46" s="700">
        <v>0</v>
      </c>
      <c r="I46" s="710">
        <v>0</v>
      </c>
      <c r="J46" s="710">
        <v>0</v>
      </c>
      <c r="K46" s="710">
        <v>0</v>
      </c>
      <c r="L46" s="705">
        <v>0</v>
      </c>
    </row>
    <row r="47" spans="1:12">
      <c r="A47" s="729" t="s">
        <v>298</v>
      </c>
      <c r="B47" s="700">
        <v>0</v>
      </c>
      <c r="C47" s="710">
        <v>0</v>
      </c>
      <c r="D47" s="705">
        <v>0</v>
      </c>
      <c r="E47" s="700">
        <v>0</v>
      </c>
      <c r="F47" s="710">
        <v>0</v>
      </c>
      <c r="G47" s="705">
        <v>0</v>
      </c>
      <c r="H47" s="700">
        <v>0</v>
      </c>
      <c r="I47" s="710">
        <v>0</v>
      </c>
      <c r="J47" s="710">
        <v>0</v>
      </c>
      <c r="K47" s="710">
        <v>0</v>
      </c>
      <c r="L47" s="705">
        <v>0</v>
      </c>
    </row>
    <row r="48" spans="1:12">
      <c r="A48" s="729" t="s">
        <v>320</v>
      </c>
      <c r="B48" s="700">
        <v>0</v>
      </c>
      <c r="C48" s="710">
        <v>0</v>
      </c>
      <c r="D48" s="705">
        <v>0</v>
      </c>
      <c r="E48" s="700">
        <v>0</v>
      </c>
      <c r="F48" s="710">
        <v>0</v>
      </c>
      <c r="G48" s="705">
        <v>0</v>
      </c>
      <c r="H48" s="700">
        <v>0</v>
      </c>
      <c r="I48" s="710">
        <v>0</v>
      </c>
      <c r="J48" s="710">
        <v>0</v>
      </c>
      <c r="K48" s="710">
        <v>0</v>
      </c>
      <c r="L48" s="705">
        <v>0</v>
      </c>
    </row>
    <row r="49" spans="1:12" ht="14.25" thickBot="1">
      <c r="A49" s="730" t="s">
        <v>299</v>
      </c>
      <c r="B49" s="701">
        <v>0</v>
      </c>
      <c r="C49" s="711">
        <v>0</v>
      </c>
      <c r="D49" s="706">
        <v>0</v>
      </c>
      <c r="E49" s="701">
        <v>0</v>
      </c>
      <c r="F49" s="711">
        <v>0</v>
      </c>
      <c r="G49" s="706">
        <v>0</v>
      </c>
      <c r="H49" s="701">
        <v>0</v>
      </c>
      <c r="I49" s="711">
        <v>0</v>
      </c>
      <c r="J49" s="711">
        <v>0</v>
      </c>
      <c r="K49" s="711">
        <v>0</v>
      </c>
      <c r="L49" s="706">
        <v>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422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313</v>
      </c>
    </row>
    <row r="52" spans="1:12" ht="14.25" thickBot="1">
      <c r="A52" s="717" t="s">
        <v>272</v>
      </c>
      <c r="B52" s="698" t="s">
        <v>324</v>
      </c>
      <c r="C52" s="708" t="s">
        <v>325</v>
      </c>
      <c r="D52" s="744" t="s">
        <v>326</v>
      </c>
      <c r="E52" s="717" t="s">
        <v>346</v>
      </c>
      <c r="F52" s="718" t="s">
        <v>345</v>
      </c>
      <c r="G52" s="713" t="s">
        <v>344</v>
      </c>
      <c r="H52" s="717" t="s">
        <v>398</v>
      </c>
      <c r="I52" s="718" t="s">
        <v>327</v>
      </c>
      <c r="J52" s="718" t="s">
        <v>328</v>
      </c>
      <c r="K52" s="718" t="s">
        <v>329</v>
      </c>
      <c r="L52" s="713" t="s">
        <v>343</v>
      </c>
    </row>
    <row r="53" spans="1:12" ht="14.25" thickBot="1">
      <c r="A53" s="1006" t="s">
        <v>423</v>
      </c>
      <c r="B53" s="1023"/>
      <c r="C53" s="1024"/>
      <c r="D53" s="1025"/>
      <c r="E53" s="1012">
        <v>0</v>
      </c>
      <c r="F53" s="1013">
        <v>0</v>
      </c>
      <c r="G53" s="1014">
        <v>0</v>
      </c>
      <c r="H53" s="1012">
        <v>0</v>
      </c>
      <c r="I53" s="1013">
        <v>0</v>
      </c>
      <c r="J53" s="1013">
        <v>0</v>
      </c>
      <c r="K53" s="1013">
        <v>0</v>
      </c>
      <c r="L53" s="1014">
        <v>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424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313</v>
      </c>
    </row>
    <row r="56" spans="1:12" ht="14.25" thickBot="1">
      <c r="A56" s="717" t="s">
        <v>272</v>
      </c>
      <c r="B56" s="698" t="s">
        <v>324</v>
      </c>
      <c r="C56" s="708" t="s">
        <v>325</v>
      </c>
      <c r="D56" s="744" t="s">
        <v>326</v>
      </c>
      <c r="E56" s="717" t="s">
        <v>346</v>
      </c>
      <c r="F56" s="718" t="s">
        <v>345</v>
      </c>
      <c r="G56" s="713" t="s">
        <v>344</v>
      </c>
      <c r="H56" s="717" t="s">
        <v>398</v>
      </c>
      <c r="I56" s="718" t="s">
        <v>327</v>
      </c>
      <c r="J56" s="718" t="s">
        <v>328</v>
      </c>
      <c r="K56" s="718" t="s">
        <v>329</v>
      </c>
      <c r="L56" s="713" t="s">
        <v>343</v>
      </c>
    </row>
    <row r="57" spans="1:12" ht="14.25" thickBot="1">
      <c r="A57" s="1006" t="s">
        <v>412</v>
      </c>
      <c r="B57" s="1023"/>
      <c r="C57" s="1024"/>
      <c r="D57" s="1025"/>
      <c r="E57" s="1012">
        <v>0</v>
      </c>
      <c r="F57" s="1013">
        <v>0</v>
      </c>
      <c r="G57" s="1014">
        <v>0</v>
      </c>
      <c r="H57" s="1012">
        <v>0</v>
      </c>
      <c r="I57" s="1013">
        <v>0</v>
      </c>
      <c r="J57" s="1013">
        <v>0</v>
      </c>
      <c r="K57" s="1013">
        <v>0</v>
      </c>
      <c r="L57" s="1014">
        <v>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425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313</v>
      </c>
    </row>
    <row r="60" spans="1:12" ht="14.25" thickBot="1">
      <c r="A60" s="717"/>
      <c r="B60" s="698" t="s">
        <v>324</v>
      </c>
      <c r="C60" s="708" t="s">
        <v>325</v>
      </c>
      <c r="D60" s="744" t="s">
        <v>326</v>
      </c>
      <c r="E60" s="717" t="s">
        <v>346</v>
      </c>
      <c r="F60" s="718" t="s">
        <v>345</v>
      </c>
      <c r="G60" s="713" t="s">
        <v>344</v>
      </c>
      <c r="H60" s="717" t="s">
        <v>398</v>
      </c>
      <c r="I60" s="718" t="s">
        <v>327</v>
      </c>
      <c r="J60" s="718" t="s">
        <v>328</v>
      </c>
      <c r="K60" s="718" t="s">
        <v>329</v>
      </c>
      <c r="L60" s="713" t="s">
        <v>343</v>
      </c>
    </row>
    <row r="61" spans="1:12">
      <c r="A61" s="732" t="s">
        <v>300</v>
      </c>
      <c r="B61" s="778">
        <f>SUM(B9,B11,B13:B17,B19,B21:B34)</f>
        <v>7703249</v>
      </c>
      <c r="C61" s="779">
        <f t="shared" ref="C61:D61" si="0">SUM(C9,C11,C13:C17,C19,C21:C34)</f>
        <v>7898084</v>
      </c>
      <c r="D61" s="780">
        <f t="shared" si="0"/>
        <v>6968000</v>
      </c>
      <c r="E61" s="778">
        <f t="shared" ref="E61:L61" si="1">SUM(E9,E11,E13:E17,E19,E21:E35)</f>
        <v>6786184</v>
      </c>
      <c r="F61" s="779">
        <f t="shared" si="1"/>
        <v>6505887</v>
      </c>
      <c r="G61" s="780">
        <f t="shared" si="1"/>
        <v>2227310</v>
      </c>
      <c r="H61" s="778">
        <f t="shared" si="1"/>
        <v>7273668</v>
      </c>
      <c r="I61" s="779">
        <f t="shared" si="1"/>
        <v>7239473</v>
      </c>
      <c r="J61" s="779">
        <f t="shared" si="1"/>
        <v>6751627</v>
      </c>
      <c r="K61" s="779">
        <f t="shared" si="1"/>
        <v>6073358</v>
      </c>
      <c r="L61" s="780">
        <f t="shared" si="1"/>
        <v>5579097</v>
      </c>
    </row>
    <row r="62" spans="1:12">
      <c r="A62" s="729" t="s">
        <v>317</v>
      </c>
      <c r="B62" s="781">
        <f t="shared" ref="B62:L62" si="2">SUM(B39:B40)</f>
        <v>29126527</v>
      </c>
      <c r="C62" s="782">
        <f t="shared" si="2"/>
        <v>28326552</v>
      </c>
      <c r="D62" s="783">
        <f t="shared" si="2"/>
        <v>36467000</v>
      </c>
      <c r="E62" s="781">
        <f t="shared" si="2"/>
        <v>38647166</v>
      </c>
      <c r="F62" s="782">
        <f t="shared" si="2"/>
        <v>42317402</v>
      </c>
      <c r="G62" s="783">
        <f t="shared" si="2"/>
        <v>45987639</v>
      </c>
      <c r="H62" s="781">
        <f t="shared" si="2"/>
        <v>35257778</v>
      </c>
      <c r="I62" s="782">
        <f t="shared" si="2"/>
        <v>33220015</v>
      </c>
      <c r="J62" s="782">
        <f t="shared" si="2"/>
        <v>31742077</v>
      </c>
      <c r="K62" s="782">
        <f t="shared" si="2"/>
        <v>29547563</v>
      </c>
      <c r="L62" s="783">
        <f t="shared" si="2"/>
        <v>27924071</v>
      </c>
    </row>
    <row r="63" spans="1:12">
      <c r="A63" s="729" t="s">
        <v>301</v>
      </c>
      <c r="B63" s="781">
        <f t="shared" ref="B63:L63" si="3">SUM(B44:B49)</f>
        <v>14640</v>
      </c>
      <c r="C63" s="782">
        <f t="shared" si="3"/>
        <v>384513</v>
      </c>
      <c r="D63" s="783">
        <f t="shared" si="3"/>
        <v>361000</v>
      </c>
      <c r="E63" s="781">
        <f t="shared" si="3"/>
        <v>599744</v>
      </c>
      <c r="F63" s="782">
        <f t="shared" si="3"/>
        <v>772924</v>
      </c>
      <c r="G63" s="783">
        <f t="shared" si="3"/>
        <v>946104</v>
      </c>
      <c r="H63" s="781">
        <f t="shared" si="3"/>
        <v>361000</v>
      </c>
      <c r="I63" s="782">
        <f t="shared" si="3"/>
        <v>361000</v>
      </c>
      <c r="J63" s="782">
        <f t="shared" si="3"/>
        <v>361000</v>
      </c>
      <c r="K63" s="782">
        <f t="shared" si="3"/>
        <v>361000</v>
      </c>
      <c r="L63" s="783">
        <f t="shared" si="3"/>
        <v>361000</v>
      </c>
    </row>
    <row r="64" spans="1:12">
      <c r="A64" s="729" t="s">
        <v>427</v>
      </c>
      <c r="B64" s="507"/>
      <c r="C64" s="879"/>
      <c r="D64" s="933"/>
      <c r="E64" s="781">
        <f t="shared" ref="E64:L64" si="4">SUM(E53)</f>
        <v>0</v>
      </c>
      <c r="F64" s="782">
        <f t="shared" si="4"/>
        <v>0</v>
      </c>
      <c r="G64" s="783">
        <f t="shared" si="4"/>
        <v>0</v>
      </c>
      <c r="H64" s="781">
        <f t="shared" si="4"/>
        <v>0</v>
      </c>
      <c r="I64" s="782">
        <f t="shared" si="4"/>
        <v>0</v>
      </c>
      <c r="J64" s="782">
        <f t="shared" si="4"/>
        <v>0</v>
      </c>
      <c r="K64" s="782">
        <f t="shared" si="4"/>
        <v>0</v>
      </c>
      <c r="L64" s="783">
        <f t="shared" si="4"/>
        <v>0</v>
      </c>
    </row>
    <row r="65" spans="1:12" ht="14.25" thickBot="1">
      <c r="A65" s="1015" t="s">
        <v>413</v>
      </c>
      <c r="B65" s="1026"/>
      <c r="C65" s="1027"/>
      <c r="D65" s="1028"/>
      <c r="E65" s="1016">
        <f t="shared" ref="E65:L65" si="5">SUM(E57)</f>
        <v>0</v>
      </c>
      <c r="F65" s="1017">
        <f t="shared" si="5"/>
        <v>0</v>
      </c>
      <c r="G65" s="1018">
        <f t="shared" si="5"/>
        <v>0</v>
      </c>
      <c r="H65" s="1016">
        <f t="shared" si="5"/>
        <v>0</v>
      </c>
      <c r="I65" s="1017">
        <f t="shared" si="5"/>
        <v>0</v>
      </c>
      <c r="J65" s="1017">
        <f t="shared" si="5"/>
        <v>0</v>
      </c>
      <c r="K65" s="1017">
        <f t="shared" si="5"/>
        <v>0</v>
      </c>
      <c r="L65" s="1018">
        <f t="shared" si="5"/>
        <v>0</v>
      </c>
    </row>
    <row r="66" spans="1:12" ht="14.25" thickBot="1">
      <c r="A66" s="733" t="s">
        <v>302</v>
      </c>
      <c r="B66" s="719">
        <f>SUM(B61:B65)</f>
        <v>36844416</v>
      </c>
      <c r="C66" s="721">
        <f t="shared" ref="C66:L66" si="6">SUM(C61:C65)</f>
        <v>36609149</v>
      </c>
      <c r="D66" s="720">
        <f t="shared" si="6"/>
        <v>43796000</v>
      </c>
      <c r="E66" s="719">
        <f t="shared" si="6"/>
        <v>46033094</v>
      </c>
      <c r="F66" s="721">
        <f t="shared" si="6"/>
        <v>49596213</v>
      </c>
      <c r="G66" s="720">
        <f t="shared" si="6"/>
        <v>49161053</v>
      </c>
      <c r="H66" s="719">
        <f t="shared" si="6"/>
        <v>42892446</v>
      </c>
      <c r="I66" s="721">
        <f t="shared" si="6"/>
        <v>40820488</v>
      </c>
      <c r="J66" s="721">
        <f t="shared" si="6"/>
        <v>38854704</v>
      </c>
      <c r="K66" s="721">
        <f t="shared" si="6"/>
        <v>35981921</v>
      </c>
      <c r="L66" s="720">
        <f t="shared" si="6"/>
        <v>33864168</v>
      </c>
    </row>
    <row r="68" spans="1:12">
      <c r="A68" s="767" t="s">
        <v>315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L147"/>
  <sheetViews>
    <sheetView showGridLines="0" view="pageBreakPreview" zoomScale="85" zoomScaleNormal="40" zoomScaleSheetLayoutView="85" workbookViewId="0"/>
  </sheetViews>
  <sheetFormatPr defaultColWidth="9" defaultRowHeight="13.5"/>
  <cols>
    <col min="1" max="1" width="43.125" style="353" bestFit="1" customWidth="1"/>
    <col min="2" max="4" width="11.375" style="353" customWidth="1"/>
    <col min="5" max="11" width="9" style="353"/>
    <col min="12" max="12" width="10.125" style="353" customWidth="1"/>
    <col min="13" max="16384" width="9" style="353"/>
  </cols>
  <sheetData>
    <row r="1" spans="1:12" ht="14.25">
      <c r="A1" s="352" t="s">
        <v>309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2026/09/08</v>
      </c>
    </row>
    <row r="3" spans="1:12" ht="14.25" thickBot="1">
      <c r="I3" s="1065" t="s">
        <v>67</v>
      </c>
      <c r="J3" s="1066"/>
      <c r="K3" s="1060" t="str">
        <f>保険者名</f>
        <v>川崎町</v>
      </c>
      <c r="L3" s="1061"/>
    </row>
    <row r="4" spans="1:12" ht="14.25" thickBot="1">
      <c r="I4" s="1065" t="s">
        <v>68</v>
      </c>
      <c r="J4" s="1066"/>
      <c r="K4" s="1060" t="str">
        <f>保険者番号</f>
        <v>04324</v>
      </c>
      <c r="L4" s="1061"/>
    </row>
    <row r="5" spans="1:12" ht="31.5" customHeight="1" thickBot="1">
      <c r="I5" s="1067" t="s">
        <v>103</v>
      </c>
      <c r="J5" s="1068"/>
      <c r="K5" s="1060" t="str">
        <f>推計パターン名</f>
        <v>R8</v>
      </c>
      <c r="L5" s="1061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87" t="s">
        <v>263</v>
      </c>
      <c r="B8" s="1088"/>
      <c r="C8" s="1088"/>
      <c r="D8" s="1088"/>
      <c r="E8" s="1089"/>
      <c r="F8" s="1089"/>
      <c r="G8" s="1089"/>
      <c r="H8" s="1089"/>
      <c r="I8" s="1089"/>
      <c r="J8" s="1089"/>
      <c r="K8" s="1089"/>
      <c r="L8" s="1090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097" t="s">
        <v>433</v>
      </c>
      <c r="C10" s="1098"/>
      <c r="D10" s="1098"/>
      <c r="E10" s="1098"/>
      <c r="F10" s="1098"/>
      <c r="G10" s="1098"/>
      <c r="H10" s="1098"/>
      <c r="I10" s="1098"/>
      <c r="J10" s="1098"/>
      <c r="K10" s="1098"/>
      <c r="L10" s="1099"/>
    </row>
    <row r="11" spans="1:12" ht="27" customHeight="1" thickBot="1">
      <c r="A11" s="358" t="s">
        <v>115</v>
      </c>
      <c r="B11" s="1097" t="s">
        <v>434</v>
      </c>
      <c r="C11" s="1098"/>
      <c r="D11" s="1098"/>
      <c r="E11" s="1098"/>
      <c r="F11" s="1098"/>
      <c r="G11" s="1098"/>
      <c r="H11" s="1098"/>
      <c r="I11" s="1098"/>
      <c r="J11" s="1098"/>
      <c r="K11" s="1098"/>
      <c r="L11" s="1099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097" t="s">
        <v>435</v>
      </c>
      <c r="C13" s="1098"/>
      <c r="D13" s="1098"/>
      <c r="E13" s="1098"/>
      <c r="F13" s="1098"/>
      <c r="G13" s="1098"/>
      <c r="H13" s="1098"/>
      <c r="I13" s="1098"/>
      <c r="J13" s="1098"/>
      <c r="K13" s="1098"/>
      <c r="L13" s="1099"/>
    </row>
    <row r="14" spans="1:12" ht="23.25" customHeight="1" thickBot="1">
      <c r="A14" s="359"/>
      <c r="B14" s="1091" t="s">
        <v>244</v>
      </c>
      <c r="C14" s="1091"/>
      <c r="D14" s="1091"/>
      <c r="E14" s="1092"/>
      <c r="F14" s="1092"/>
      <c r="G14" s="1092"/>
      <c r="H14" s="1092"/>
      <c r="I14" s="1092"/>
      <c r="J14" s="1092"/>
      <c r="K14" s="1092"/>
      <c r="L14" s="1092"/>
    </row>
    <row r="15" spans="1:12" ht="23.25" customHeight="1" thickBot="1">
      <c r="A15" s="1095" t="s">
        <v>74</v>
      </c>
      <c r="B15" s="1093"/>
      <c r="C15" s="1093"/>
      <c r="D15" s="1093"/>
      <c r="E15" s="1094"/>
      <c r="F15" s="1094"/>
      <c r="G15" s="1094"/>
      <c r="H15" s="1094"/>
      <c r="I15" s="1094"/>
      <c r="J15" s="1094"/>
      <c r="K15" s="1094"/>
      <c r="L15" s="1094"/>
    </row>
    <row r="16" spans="1:12" ht="125.1" customHeight="1" thickBot="1">
      <c r="A16" s="1096"/>
      <c r="B16" s="1093"/>
      <c r="C16" s="1093"/>
      <c r="D16" s="1093"/>
      <c r="E16" s="1094"/>
      <c r="F16" s="1094"/>
      <c r="G16" s="1094"/>
      <c r="H16" s="1094"/>
      <c r="I16" s="1094"/>
      <c r="J16" s="1094"/>
      <c r="K16" s="1094"/>
      <c r="L16" s="1094"/>
    </row>
    <row r="17" spans="1:12" ht="23.25" customHeight="1" thickBot="1">
      <c r="A17" s="360"/>
      <c r="B17" s="1072" t="s">
        <v>92</v>
      </c>
      <c r="C17" s="1073"/>
      <c r="D17" s="1073"/>
      <c r="E17" s="1073"/>
      <c r="F17" s="1073"/>
      <c r="G17" s="1073"/>
      <c r="H17" s="1073"/>
      <c r="I17" s="1073"/>
      <c r="J17" s="1073"/>
      <c r="K17" s="1073"/>
      <c r="L17" s="1074"/>
    </row>
    <row r="18" spans="1:12" ht="125.1" customHeight="1" thickBot="1">
      <c r="A18" s="361" t="s">
        <v>240</v>
      </c>
      <c r="B18" s="1075"/>
      <c r="C18" s="1076"/>
      <c r="D18" s="1076"/>
      <c r="E18" s="1076"/>
      <c r="F18" s="1076"/>
      <c r="G18" s="1076"/>
      <c r="H18" s="1076"/>
      <c r="I18" s="1076"/>
      <c r="J18" s="1076"/>
      <c r="K18" s="1076"/>
      <c r="L18" s="107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78" t="s">
        <v>435</v>
      </c>
      <c r="C20" s="1079"/>
      <c r="D20" s="1079"/>
      <c r="E20" s="1079"/>
      <c r="F20" s="1079"/>
      <c r="G20" s="1079"/>
      <c r="H20" s="1079"/>
      <c r="I20" s="1079"/>
      <c r="J20" s="1079"/>
      <c r="K20" s="1079"/>
      <c r="L20" s="1080"/>
    </row>
    <row r="21" spans="1:12" ht="23.25" customHeight="1" thickBot="1">
      <c r="A21" s="363" t="s">
        <v>102</v>
      </c>
      <c r="B21" s="1081" t="s">
        <v>436</v>
      </c>
      <c r="C21" s="1082"/>
      <c r="D21" s="1082"/>
      <c r="E21" s="1082"/>
      <c r="F21" s="1082"/>
      <c r="G21" s="1082"/>
      <c r="H21" s="1082"/>
      <c r="I21" s="1082"/>
      <c r="J21" s="1082"/>
      <c r="K21" s="1082"/>
      <c r="L21" s="1083"/>
    </row>
    <row r="22" spans="1:12" ht="23.25" customHeight="1" thickBot="1">
      <c r="A22" s="360"/>
      <c r="B22" s="1072" t="s">
        <v>117</v>
      </c>
      <c r="C22" s="1073"/>
      <c r="D22" s="1073"/>
      <c r="E22" s="1073"/>
      <c r="F22" s="1073"/>
      <c r="G22" s="1073"/>
      <c r="H22" s="1073"/>
      <c r="I22" s="1073"/>
      <c r="J22" s="1073"/>
      <c r="K22" s="1073"/>
      <c r="L22" s="1074"/>
    </row>
    <row r="23" spans="1:12" ht="125.1" customHeight="1" thickBot="1">
      <c r="A23" s="364" t="s">
        <v>118</v>
      </c>
      <c r="B23" s="1084"/>
      <c r="C23" s="1085"/>
      <c r="D23" s="1085"/>
      <c r="E23" s="1085"/>
      <c r="F23" s="1085"/>
      <c r="G23" s="1085"/>
      <c r="H23" s="1085"/>
      <c r="I23" s="1085"/>
      <c r="J23" s="1085"/>
      <c r="K23" s="1085"/>
      <c r="L23" s="1086"/>
    </row>
    <row r="24" spans="1:12" ht="23.25" customHeight="1" thickBot="1">
      <c r="A24" s="360"/>
      <c r="B24" s="1072" t="s">
        <v>242</v>
      </c>
      <c r="C24" s="1073"/>
      <c r="D24" s="1073"/>
      <c r="E24" s="1073"/>
      <c r="F24" s="1073"/>
      <c r="G24" s="1073"/>
      <c r="H24" s="1073"/>
      <c r="I24" s="1073"/>
      <c r="J24" s="1073"/>
      <c r="K24" s="1073"/>
      <c r="L24" s="1074"/>
    </row>
    <row r="25" spans="1:12" ht="125.1" customHeight="1" thickBot="1">
      <c r="A25" s="364" t="s">
        <v>245</v>
      </c>
      <c r="B25" s="1084"/>
      <c r="C25" s="1085"/>
      <c r="D25" s="1085"/>
      <c r="E25" s="1085"/>
      <c r="F25" s="1085"/>
      <c r="G25" s="1085"/>
      <c r="H25" s="1085"/>
      <c r="I25" s="1085"/>
      <c r="J25" s="1085"/>
      <c r="K25" s="1085"/>
      <c r="L25" s="1086"/>
    </row>
    <row r="26" spans="1:12" ht="23.25" customHeight="1" thickBot="1">
      <c r="A26" s="360"/>
      <c r="B26" s="1072" t="s">
        <v>92</v>
      </c>
      <c r="C26" s="1073"/>
      <c r="D26" s="1073"/>
      <c r="E26" s="1073"/>
      <c r="F26" s="1073"/>
      <c r="G26" s="1073"/>
      <c r="H26" s="1073"/>
      <c r="I26" s="1073"/>
      <c r="J26" s="1073"/>
      <c r="K26" s="1073"/>
      <c r="L26" s="1074"/>
    </row>
    <row r="27" spans="1:12" ht="125.1" customHeight="1">
      <c r="A27" s="364" t="s">
        <v>97</v>
      </c>
      <c r="B27" s="1084"/>
      <c r="C27" s="1085"/>
      <c r="D27" s="1085"/>
      <c r="E27" s="1085"/>
      <c r="F27" s="1085"/>
      <c r="G27" s="1085"/>
      <c r="H27" s="1085"/>
      <c r="I27" s="1085"/>
      <c r="J27" s="1085"/>
      <c r="K27" s="1085"/>
      <c r="L27" s="1086"/>
    </row>
    <row r="28" spans="1:12" ht="125.1" customHeight="1">
      <c r="A28" s="365" t="s">
        <v>96</v>
      </c>
      <c r="B28" s="1106"/>
      <c r="C28" s="1107"/>
      <c r="D28" s="1107"/>
      <c r="E28" s="1107"/>
      <c r="F28" s="1107"/>
      <c r="G28" s="1107"/>
      <c r="H28" s="1107"/>
      <c r="I28" s="1107"/>
      <c r="J28" s="1107"/>
      <c r="K28" s="1107"/>
      <c r="L28" s="1108"/>
    </row>
    <row r="29" spans="1:12" ht="125.1" customHeight="1" thickBot="1">
      <c r="A29" s="366" t="s">
        <v>95</v>
      </c>
      <c r="B29" s="1100"/>
      <c r="C29" s="1101"/>
      <c r="D29" s="1101"/>
      <c r="E29" s="1101"/>
      <c r="F29" s="1101"/>
      <c r="G29" s="1101"/>
      <c r="H29" s="1101"/>
      <c r="I29" s="1101"/>
      <c r="J29" s="1101"/>
      <c r="K29" s="1101"/>
      <c r="L29" s="1102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78" t="s">
        <v>435</v>
      </c>
      <c r="C31" s="1079"/>
      <c r="D31" s="1079"/>
      <c r="E31" s="1079"/>
      <c r="F31" s="1079"/>
      <c r="G31" s="1079"/>
      <c r="H31" s="1079"/>
      <c r="I31" s="1079"/>
      <c r="J31" s="1079"/>
      <c r="K31" s="1079"/>
      <c r="L31" s="1080"/>
    </row>
    <row r="32" spans="1:12" ht="23.25" customHeight="1">
      <c r="A32" s="367" t="s">
        <v>99</v>
      </c>
      <c r="B32" s="1103" t="s">
        <v>435</v>
      </c>
      <c r="C32" s="1104"/>
      <c r="D32" s="1104"/>
      <c r="E32" s="1104"/>
      <c r="F32" s="1104"/>
      <c r="G32" s="1104"/>
      <c r="H32" s="1104"/>
      <c r="I32" s="1104"/>
      <c r="J32" s="1104"/>
      <c r="K32" s="1104"/>
      <c r="L32" s="1105"/>
    </row>
    <row r="33" spans="1:12" ht="23.25" customHeight="1" thickBot="1">
      <c r="A33" s="363" t="s">
        <v>102</v>
      </c>
      <c r="B33" s="1081" t="s">
        <v>436</v>
      </c>
      <c r="C33" s="1082"/>
      <c r="D33" s="1082"/>
      <c r="E33" s="1082"/>
      <c r="F33" s="1082"/>
      <c r="G33" s="1082"/>
      <c r="H33" s="1082"/>
      <c r="I33" s="1082"/>
      <c r="J33" s="1082"/>
      <c r="K33" s="1082"/>
      <c r="L33" s="1083"/>
    </row>
    <row r="34" spans="1:12" ht="23.25" customHeight="1" thickBot="1">
      <c r="A34" s="360"/>
      <c r="B34" s="1072" t="s">
        <v>242</v>
      </c>
      <c r="C34" s="1073"/>
      <c r="D34" s="1073"/>
      <c r="E34" s="1073"/>
      <c r="F34" s="1073"/>
      <c r="G34" s="1073"/>
      <c r="H34" s="1073"/>
      <c r="I34" s="1073"/>
      <c r="J34" s="1073"/>
      <c r="K34" s="1073"/>
      <c r="L34" s="1074"/>
    </row>
    <row r="35" spans="1:12" ht="125.1" customHeight="1" thickBot="1">
      <c r="A35" s="368" t="s">
        <v>247</v>
      </c>
      <c r="B35" s="1069"/>
      <c r="C35" s="1070"/>
      <c r="D35" s="1070"/>
      <c r="E35" s="1070"/>
      <c r="F35" s="1070"/>
      <c r="G35" s="1070"/>
      <c r="H35" s="1070"/>
      <c r="I35" s="1070"/>
      <c r="J35" s="1070"/>
      <c r="K35" s="1070"/>
      <c r="L35" s="1071"/>
    </row>
    <row r="36" spans="1:12" ht="23.25" customHeight="1" thickBot="1">
      <c r="A36" s="360"/>
      <c r="B36" s="1072" t="s">
        <v>243</v>
      </c>
      <c r="C36" s="1073"/>
      <c r="D36" s="1073"/>
      <c r="E36" s="1073"/>
      <c r="F36" s="1073"/>
      <c r="G36" s="1073"/>
      <c r="H36" s="1073"/>
      <c r="I36" s="1073"/>
      <c r="J36" s="1073"/>
      <c r="K36" s="1073"/>
      <c r="L36" s="1074"/>
    </row>
    <row r="37" spans="1:12" ht="125.1" customHeight="1" thickBot="1">
      <c r="A37" s="368" t="s">
        <v>248</v>
      </c>
      <c r="B37" s="1069"/>
      <c r="C37" s="1070"/>
      <c r="D37" s="1070"/>
      <c r="E37" s="1070"/>
      <c r="F37" s="1070"/>
      <c r="G37" s="1070"/>
      <c r="H37" s="1070"/>
      <c r="I37" s="1070"/>
      <c r="J37" s="1070"/>
      <c r="K37" s="1070"/>
      <c r="L37" s="1071"/>
    </row>
    <row r="38" spans="1:12" ht="23.25" customHeight="1" thickBot="1">
      <c r="A38" s="360"/>
      <c r="B38" s="1072" t="s">
        <v>117</v>
      </c>
      <c r="C38" s="1073"/>
      <c r="D38" s="1073"/>
      <c r="E38" s="1073"/>
      <c r="F38" s="1073"/>
      <c r="G38" s="1073"/>
      <c r="H38" s="1073"/>
      <c r="I38" s="1073"/>
      <c r="J38" s="1073"/>
      <c r="K38" s="1073"/>
      <c r="L38" s="1074"/>
    </row>
    <row r="39" spans="1:12" ht="125.1" customHeight="1" thickBot="1">
      <c r="A39" s="368" t="s">
        <v>246</v>
      </c>
      <c r="B39" s="1069"/>
      <c r="C39" s="1070"/>
      <c r="D39" s="1070"/>
      <c r="E39" s="1070"/>
      <c r="F39" s="1070"/>
      <c r="G39" s="1070"/>
      <c r="H39" s="1070"/>
      <c r="I39" s="1070"/>
      <c r="J39" s="1070"/>
      <c r="K39" s="1070"/>
      <c r="L39" s="1071"/>
    </row>
    <row r="40" spans="1:12" ht="23.25" customHeight="1" thickBot="1">
      <c r="A40" s="360"/>
      <c r="B40" s="1072" t="s">
        <v>92</v>
      </c>
      <c r="C40" s="1073"/>
      <c r="D40" s="1073"/>
      <c r="E40" s="1073"/>
      <c r="F40" s="1073"/>
      <c r="G40" s="1073"/>
      <c r="H40" s="1073"/>
      <c r="I40" s="1073"/>
      <c r="J40" s="1073"/>
      <c r="K40" s="1073"/>
      <c r="L40" s="1074"/>
    </row>
    <row r="41" spans="1:12" ht="125.1" customHeight="1">
      <c r="A41" s="368" t="s">
        <v>249</v>
      </c>
      <c r="B41" s="1069"/>
      <c r="C41" s="1070"/>
      <c r="D41" s="1070"/>
      <c r="E41" s="1070"/>
      <c r="F41" s="1070"/>
      <c r="G41" s="1070"/>
      <c r="H41" s="1070"/>
      <c r="I41" s="1070"/>
      <c r="J41" s="1070"/>
      <c r="K41" s="1070"/>
      <c r="L41" s="1071"/>
    </row>
    <row r="42" spans="1:12" ht="125.1" customHeight="1" thickBot="1">
      <c r="A42" s="369" t="s">
        <v>250</v>
      </c>
      <c r="B42" s="1100"/>
      <c r="C42" s="1101"/>
      <c r="D42" s="1101"/>
      <c r="E42" s="1101"/>
      <c r="F42" s="1101"/>
      <c r="G42" s="1101"/>
      <c r="H42" s="1101"/>
      <c r="I42" s="1101"/>
      <c r="J42" s="1101"/>
      <c r="K42" s="1101"/>
      <c r="L42" s="1102"/>
    </row>
    <row r="43" spans="1:12" ht="27" customHeight="1" thickBot="1">
      <c r="A43" s="356" t="s">
        <v>307</v>
      </c>
    </row>
    <row r="44" spans="1:12" ht="23.25" customHeight="1" thickBot="1">
      <c r="A44" s="360"/>
      <c r="B44" s="1072" t="s">
        <v>92</v>
      </c>
      <c r="C44" s="1073"/>
      <c r="D44" s="1073"/>
      <c r="E44" s="1073"/>
      <c r="F44" s="1073"/>
      <c r="G44" s="1073"/>
      <c r="H44" s="1073"/>
      <c r="I44" s="1073"/>
      <c r="J44" s="1073"/>
      <c r="K44" s="1073"/>
      <c r="L44" s="1074"/>
    </row>
    <row r="45" spans="1:12" ht="125.1" customHeight="1">
      <c r="A45" s="873" t="s">
        <v>306</v>
      </c>
      <c r="B45" s="1069"/>
      <c r="C45" s="1070"/>
      <c r="D45" s="1070"/>
      <c r="E45" s="1070"/>
      <c r="F45" s="1070"/>
      <c r="G45" s="1070"/>
      <c r="H45" s="1070"/>
      <c r="I45" s="1070"/>
      <c r="J45" s="1070"/>
      <c r="K45" s="1070"/>
      <c r="L45" s="1071"/>
    </row>
    <row r="46" spans="1:12" ht="27" customHeight="1" thickBot="1">
      <c r="A46" s="356" t="s">
        <v>319</v>
      </c>
      <c r="B46" s="357"/>
      <c r="C46" s="354"/>
      <c r="D46" s="354"/>
    </row>
    <row r="47" spans="1:12" ht="125.1" customHeight="1">
      <c r="A47" s="368" t="s">
        <v>239</v>
      </c>
      <c r="B47" s="1069"/>
      <c r="C47" s="1070"/>
      <c r="D47" s="1070"/>
      <c r="E47" s="1070"/>
      <c r="F47" s="1070"/>
      <c r="G47" s="1070"/>
      <c r="H47" s="1070"/>
      <c r="I47" s="1070"/>
      <c r="J47" s="1070"/>
      <c r="K47" s="1070"/>
      <c r="L47" s="1071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  <mergeCell ref="A8:L8"/>
    <mergeCell ref="B14:L14"/>
    <mergeCell ref="B15:L16"/>
    <mergeCell ref="A15:A16"/>
    <mergeCell ref="B13:L13"/>
    <mergeCell ref="B10:L10"/>
    <mergeCell ref="B11:L11"/>
    <mergeCell ref="I3:J3"/>
    <mergeCell ref="K3:L3"/>
    <mergeCell ref="I4:J4"/>
    <mergeCell ref="K4:L4"/>
    <mergeCell ref="I5:J5"/>
    <mergeCell ref="K5:L5"/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Q303"/>
  <sheetViews>
    <sheetView zoomScale="85" zoomScaleNormal="85" zoomScaleSheetLayoutView="80" workbookViewId="0"/>
  </sheetViews>
  <sheetFormatPr defaultColWidth="9" defaultRowHeight="13.5"/>
  <cols>
    <col min="1" max="2" width="2.625" style="190" customWidth="1"/>
    <col min="3" max="3" width="15.625" style="190" customWidth="1"/>
    <col min="4" max="4" width="21.125" style="190" customWidth="1"/>
    <col min="5" max="5" width="20.25" style="190" customWidth="1"/>
    <col min="6" max="6" width="17" style="190" customWidth="1"/>
    <col min="7" max="16" width="14.625" style="190" customWidth="1"/>
    <col min="17" max="17" width="14.5" style="190" customWidth="1"/>
    <col min="18" max="18" width="2.875" style="190" customWidth="1"/>
    <col min="19" max="16384" width="9" style="190"/>
  </cols>
  <sheetData>
    <row r="1" spans="1:17" ht="14.25">
      <c r="A1" s="724" t="s">
        <v>310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355</v>
      </c>
      <c r="B7" s="193"/>
    </row>
    <row r="8" spans="1:17" ht="14.25" thickBot="1">
      <c r="A8" s="199" t="s">
        <v>356</v>
      </c>
      <c r="B8" s="200"/>
      <c r="C8" s="200"/>
      <c r="D8" s="200"/>
      <c r="E8" s="200"/>
      <c r="F8" s="689">
        <v>6508.3305762437603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350</v>
      </c>
      <c r="G11" s="670" t="s">
        <v>384</v>
      </c>
      <c r="H11" s="670" t="s">
        <v>387</v>
      </c>
      <c r="I11" s="670" t="s">
        <v>390</v>
      </c>
      <c r="J11" s="877" t="s">
        <v>393</v>
      </c>
      <c r="K11" s="878" t="s">
        <v>396</v>
      </c>
    </row>
    <row r="12" spans="1:17">
      <c r="A12" s="205" t="s">
        <v>229</v>
      </c>
      <c r="B12" s="206"/>
      <c r="C12" s="206"/>
      <c r="D12" s="206"/>
      <c r="E12" s="206"/>
      <c r="F12" s="972">
        <f>F105/F106/F214/12</f>
        <v>7257.2013055748348</v>
      </c>
      <c r="G12" s="671">
        <f>J105/J106/J214/12</f>
        <v>8408.3412564895971</v>
      </c>
      <c r="H12" s="671">
        <f>K105/K106/K214/12</f>
        <v>9117.1757569865131</v>
      </c>
      <c r="I12" s="671">
        <f>L105/L106/L214/12</f>
        <v>9435.3626572449721</v>
      </c>
      <c r="J12" s="671">
        <f>M105/M106/M214/12</f>
        <v>9778.1975727727677</v>
      </c>
      <c r="K12" s="921">
        <f>N105/N106/N214/12</f>
        <v>10182.815156394843</v>
      </c>
    </row>
    <row r="13" spans="1:17">
      <c r="A13" s="207" t="s">
        <v>132</v>
      </c>
      <c r="B13" s="206"/>
      <c r="C13" s="206"/>
      <c r="D13" s="206"/>
      <c r="E13" s="206"/>
      <c r="F13" s="973">
        <f>(F105+F15)/F106/F214/12-F12</f>
        <v>0</v>
      </c>
      <c r="G13" s="671">
        <f>(J105+G15)/J106/J214/12-G12</f>
        <v>0</v>
      </c>
      <c r="H13" s="671">
        <f>(K105+H15)/K106/K214/12-H12</f>
        <v>0</v>
      </c>
      <c r="I13" s="671">
        <f>(L105+I15)/L106/L214/12-I12</f>
        <v>0</v>
      </c>
      <c r="J13" s="671">
        <f>(M105+J15)/M106/M214/12-J12</f>
        <v>0</v>
      </c>
      <c r="K13" s="922">
        <f>(N105+K15)/N106/N214/12-K12</f>
        <v>0</v>
      </c>
    </row>
    <row r="14" spans="1:17">
      <c r="A14" s="208"/>
      <c r="B14" s="209" t="s">
        <v>133</v>
      </c>
      <c r="C14" s="209"/>
      <c r="D14" s="209"/>
      <c r="E14" s="209"/>
      <c r="F14" s="978">
        <v>0</v>
      </c>
      <c r="G14" s="644">
        <v>0</v>
      </c>
      <c r="H14" s="786">
        <v>0</v>
      </c>
      <c r="I14" s="786">
        <v>0</v>
      </c>
      <c r="J14" s="786">
        <v>0</v>
      </c>
      <c r="K14" s="787">
        <v>0</v>
      </c>
    </row>
    <row r="15" spans="1:17">
      <c r="A15" s="208"/>
      <c r="B15" s="209" t="s">
        <v>134</v>
      </c>
      <c r="C15" s="209"/>
      <c r="D15" s="209"/>
      <c r="E15" s="209"/>
      <c r="F15" s="978">
        <v>0</v>
      </c>
      <c r="G15" s="644">
        <v>0</v>
      </c>
      <c r="H15" s="786">
        <v>0</v>
      </c>
      <c r="I15" s="786">
        <v>0</v>
      </c>
      <c r="J15" s="786">
        <v>0</v>
      </c>
      <c r="K15" s="787">
        <v>0</v>
      </c>
    </row>
    <row r="16" spans="1:17">
      <c r="A16" s="210"/>
      <c r="B16" s="206" t="s">
        <v>135</v>
      </c>
      <c r="C16" s="206"/>
      <c r="D16" s="206"/>
      <c r="E16" s="206"/>
      <c r="F16" s="974">
        <f>IF(F14=0,0, F15/F14)</f>
        <v>0</v>
      </c>
      <c r="G16" s="672">
        <f>IF(G14=0,0,G15/G14)</f>
        <v>0</v>
      </c>
      <c r="H16" s="788">
        <f>IF(H14=0,0,H15/H14)</f>
        <v>0</v>
      </c>
      <c r="I16" s="788">
        <f>IF(I14=0,0,I15/I14)</f>
        <v>0</v>
      </c>
      <c r="J16" s="788">
        <f>IF(J14=0,0,J15/J14)</f>
        <v>0</v>
      </c>
      <c r="K16" s="789">
        <f>IF(K14=0,0,K15/K14)</f>
        <v>0</v>
      </c>
    </row>
    <row r="17" spans="1:14">
      <c r="A17" s="207" t="s">
        <v>136</v>
      </c>
      <c r="B17" s="206"/>
      <c r="C17" s="206"/>
      <c r="D17" s="206"/>
      <c r="E17" s="206"/>
      <c r="F17" s="973">
        <f>F12-(F105-F18)/F106/F214/12</f>
        <v>0</v>
      </c>
      <c r="G17" s="671">
        <f>G12-(J105-G18)/J106/J214/12</f>
        <v>0</v>
      </c>
      <c r="H17" s="784">
        <f>H12-(K105-H18)/K106/K214/12</f>
        <v>0</v>
      </c>
      <c r="I17" s="784">
        <f>I12-(L105-I18)/L106/L214/12</f>
        <v>0</v>
      </c>
      <c r="J17" s="784">
        <f>J12-(M105-J18)/M106/M214/12</f>
        <v>0</v>
      </c>
      <c r="K17" s="785">
        <f>K12-(N105-K18)/N106/N214/12</f>
        <v>0</v>
      </c>
    </row>
    <row r="18" spans="1:14">
      <c r="A18" s="208"/>
      <c r="B18" s="206" t="s">
        <v>137</v>
      </c>
      <c r="C18" s="206"/>
      <c r="D18" s="206"/>
      <c r="E18" s="206"/>
      <c r="F18" s="973">
        <f>(F68+F86)*F19</f>
        <v>0</v>
      </c>
      <c r="G18" s="671">
        <f>(J68+J86)*G19</f>
        <v>0</v>
      </c>
      <c r="H18" s="784">
        <f>(K68+K86)*H19</f>
        <v>0</v>
      </c>
      <c r="I18" s="784">
        <f>(L68+L86)*I19</f>
        <v>0</v>
      </c>
      <c r="J18" s="784">
        <f>(M68+M86)*J19</f>
        <v>0</v>
      </c>
      <c r="K18" s="785">
        <f>(N68+N86)*K19</f>
        <v>0</v>
      </c>
    </row>
    <row r="19" spans="1:14">
      <c r="A19" s="210"/>
      <c r="B19" s="209" t="s">
        <v>138</v>
      </c>
      <c r="C19" s="209"/>
      <c r="D19" s="209"/>
      <c r="E19" s="209"/>
      <c r="F19" s="979">
        <v>0</v>
      </c>
      <c r="G19" s="675">
        <v>0</v>
      </c>
      <c r="H19" s="790">
        <v>0</v>
      </c>
      <c r="I19" s="790">
        <v>0</v>
      </c>
      <c r="J19" s="790">
        <v>0</v>
      </c>
      <c r="K19" s="931">
        <v>0</v>
      </c>
    </row>
    <row r="20" spans="1:14">
      <c r="A20" s="207" t="s">
        <v>139</v>
      </c>
      <c r="B20" s="206"/>
      <c r="C20" s="206"/>
      <c r="D20" s="206"/>
      <c r="E20" s="206"/>
      <c r="F20" s="973">
        <f>F12-(F105-F21)/F106/F214/12</f>
        <v>0</v>
      </c>
      <c r="G20" s="671">
        <f>G12-(J105-G21)/J106/J214/12</f>
        <v>0</v>
      </c>
      <c r="H20" s="784">
        <f>H12-(K105-H21)/K106/K214/12</f>
        <v>0</v>
      </c>
      <c r="I20" s="784">
        <f>I12-(L105-I21)/L106/L214/12</f>
        <v>0</v>
      </c>
      <c r="J20" s="784">
        <f>J12-(M105-J21)/M106/M214/12</f>
        <v>0</v>
      </c>
      <c r="K20" s="785">
        <f>K12-(N105-K21)/N106/N214/12</f>
        <v>0</v>
      </c>
    </row>
    <row r="21" spans="1:14">
      <c r="A21" s="211"/>
      <c r="B21" s="212" t="s">
        <v>140</v>
      </c>
      <c r="C21" s="209"/>
      <c r="D21" s="209"/>
      <c r="E21" s="209"/>
      <c r="F21" s="980">
        <v>0</v>
      </c>
      <c r="G21" s="644">
        <v>0</v>
      </c>
      <c r="H21" s="786">
        <v>0</v>
      </c>
      <c r="I21" s="786">
        <v>0</v>
      </c>
      <c r="J21" s="786">
        <v>0</v>
      </c>
      <c r="K21" s="787">
        <v>0</v>
      </c>
    </row>
    <row r="22" spans="1:14" ht="14.25" thickBot="1">
      <c r="A22" s="213" t="s">
        <v>357</v>
      </c>
      <c r="B22" s="214"/>
      <c r="C22" s="214"/>
      <c r="D22" s="214"/>
      <c r="E22" s="214"/>
      <c r="F22" s="976">
        <f>F12/$F$8-1</f>
        <v>0.1150634130455126</v>
      </c>
      <c r="G22" s="674">
        <f t="shared" ref="G22:K22" si="0">G12/ROUND($F$8,0)-1</f>
        <v>0.29200080769661918</v>
      </c>
      <c r="H22" s="791">
        <f t="shared" si="0"/>
        <v>0.40091821711532161</v>
      </c>
      <c r="I22" s="791">
        <f t="shared" si="0"/>
        <v>0.44980987357789992</v>
      </c>
      <c r="J22" s="791">
        <f t="shared" si="0"/>
        <v>0.5024888710468296</v>
      </c>
      <c r="K22" s="792">
        <f t="shared" si="0"/>
        <v>0.5646612102634978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350</v>
      </c>
      <c r="G25" s="670" t="s">
        <v>384</v>
      </c>
      <c r="H25" s="670" t="s">
        <v>387</v>
      </c>
      <c r="I25" s="670" t="s">
        <v>390</v>
      </c>
      <c r="J25" s="893" t="s">
        <v>393</v>
      </c>
      <c r="K25" s="764" t="s">
        <v>396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358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350</v>
      </c>
      <c r="G40" s="681" t="s">
        <v>383</v>
      </c>
      <c r="H40" s="681" t="s">
        <v>386</v>
      </c>
      <c r="I40" s="681" t="s">
        <v>389</v>
      </c>
      <c r="J40" s="795" t="s">
        <v>392</v>
      </c>
      <c r="K40" s="795" t="s">
        <v>395</v>
      </c>
      <c r="L40" s="126" t="s">
        <v>351</v>
      </c>
      <c r="M40" s="681" t="s">
        <v>383</v>
      </c>
      <c r="N40" s="681" t="s">
        <v>386</v>
      </c>
      <c r="O40" s="681" t="s">
        <v>389</v>
      </c>
      <c r="P40" s="795" t="s">
        <v>392</v>
      </c>
      <c r="Q40" s="796" t="s">
        <v>395</v>
      </c>
    </row>
    <row r="41" spans="1:17">
      <c r="A41" s="84" t="s">
        <v>64</v>
      </c>
      <c r="B41" s="84"/>
      <c r="C41" s="34"/>
      <c r="D41" s="127"/>
      <c r="E41" s="222"/>
      <c r="F41" s="977">
        <f>(F69*'(参考)保険料の推計に要する係数'!D5+(F93-F94))/(F214*F106*12)</f>
        <v>6391.3637498800908</v>
      </c>
      <c r="G41" s="682">
        <f>(J69*'(参考)保険料の推計に要する係数'!E5+(J93-J94))/(J214*J106*12)</f>
        <v>7515.65069223112</v>
      </c>
      <c r="H41" s="682">
        <f>(K69*'(参考)保険料の推計に要する係数'!F5+(K93-K94))/(K214*K106*12)</f>
        <v>8078.3624681278125</v>
      </c>
      <c r="I41" s="682">
        <f>(L69*'(参考)保険料の推計に要する係数'!G5+(L93-L94))/(L214*L106*12)</f>
        <v>8252.513347943277</v>
      </c>
      <c r="J41" s="682">
        <f>(M69*'(参考)保険料の推計に要する係数'!H5+(M93-M94))/(M214*M106*12)</f>
        <v>8509.3453732143262</v>
      </c>
      <c r="K41" s="682">
        <f>(N69*'(参考)保険料の推計に要する係数'!I5+(N93-N94))/(N214*N106*12)</f>
        <v>8934.3145238749312</v>
      </c>
      <c r="L41" s="684">
        <f t="shared" ref="L41:L51" si="8">F41/$F$49</f>
        <v>0.88069263628809313</v>
      </c>
      <c r="M41" s="684">
        <f>G41/$G$49</f>
        <v>0.89383273858330925</v>
      </c>
      <c r="N41" s="684">
        <f>H41/$H$49</f>
        <v>0.88605974958169942</v>
      </c>
      <c r="O41" s="684">
        <f>I41/$I$49</f>
        <v>0.87463658236883557</v>
      </c>
      <c r="P41" s="684">
        <f>J41/$J$49</f>
        <v>0.87023659625251015</v>
      </c>
      <c r="Q41" s="934">
        <f>K41/$K$49</f>
        <v>0.87739140764665158</v>
      </c>
    </row>
    <row r="42" spans="1:17">
      <c r="A42" s="84"/>
      <c r="B42" s="35" t="s">
        <v>70</v>
      </c>
      <c r="C42" s="128"/>
      <c r="D42" s="223"/>
      <c r="E42" s="224"/>
      <c r="F42" s="977">
        <f>$F$41*SUM('2_サービス別給付費'!G151:I151)/SUM('2_サービス別給付費'!$G$150:$I$150)</f>
        <v>1937.4508679194353</v>
      </c>
      <c r="G42" s="682">
        <f>$G$41*SUM('2_サービス別給付費'!J151)/SUM('2_サービス別給付費'!$J$150)</f>
        <v>2046.4719005830004</v>
      </c>
      <c r="H42" s="682">
        <f>$H$41*SUM('2_サービス別給付費'!K151)/SUM('2_サービス別給付費'!$K$150)</f>
        <v>2225.211840252271</v>
      </c>
      <c r="I42" s="682">
        <f>$I$41*SUM('2_サービス別給付費'!L151)/SUM('2_サービス別給付費'!$L$150)</f>
        <v>2190.9678160573098</v>
      </c>
      <c r="J42" s="682">
        <f>$J$41*SUM('2_サービス別給付費'!M151)/SUM('2_サービス別給付費'!$M$150)</f>
        <v>2243.59179328663</v>
      </c>
      <c r="K42" s="682">
        <f>$K$41*SUM('2_サービス別給付費'!N151)/SUM('2_サービス別給付費'!$N$150)</f>
        <v>2353.3763998350969</v>
      </c>
      <c r="L42" s="684">
        <f t="shared" si="8"/>
        <v>0.2669694261383001</v>
      </c>
      <c r="M42" s="684">
        <f t="shared" ref="M42:M51" si="9">G42/$G$49</f>
        <v>0.24338592335361317</v>
      </c>
      <c r="N42" s="684">
        <f t="shared" ref="N42:N51" si="10">H42/$H$49</f>
        <v>0.24406810832258943</v>
      </c>
      <c r="O42" s="684">
        <f t="shared" ref="O42:O51" si="11">I42/$I$49</f>
        <v>0.23220811914155398</v>
      </c>
      <c r="P42" s="684">
        <f t="shared" ref="P42:P51" si="12">J42/$J$49</f>
        <v>0.22944840054509388</v>
      </c>
      <c r="Q42" s="934">
        <f t="shared" ref="Q42:Q51" si="13">K42/$K$49</f>
        <v>0.23111255224515864</v>
      </c>
    </row>
    <row r="43" spans="1:17">
      <c r="A43" s="84"/>
      <c r="B43" s="35" t="s">
        <v>81</v>
      </c>
      <c r="C43" s="128"/>
      <c r="D43" s="223"/>
      <c r="E43" s="224"/>
      <c r="F43" s="977">
        <f>$F$41*SUM('2_サービス別給付費'!G152:I152)/SUM('2_サービス別給付費'!$G$150:$I$150)</f>
        <v>414.05926657665736</v>
      </c>
      <c r="G43" s="682">
        <f>$G$41*SUM('2_サービス別給付費'!J152)/SUM('2_サービス別給付費'!$J$150)</f>
        <v>465.31928662035989</v>
      </c>
      <c r="H43" s="682">
        <f>$H$41*SUM('2_サービス別給付費'!K152)/SUM('2_サービス別給付費'!$K$150)</f>
        <v>529.88261479123901</v>
      </c>
      <c r="I43" s="682">
        <f>$I$41*SUM('2_サービス別給付費'!L152)/SUM('2_サービス別給付費'!$L$150)</f>
        <v>533.8434753071989</v>
      </c>
      <c r="J43" s="682">
        <f>$J$41*SUM('2_サービス別給付費'!M152)/SUM('2_サービス別給付費'!$M$150)</f>
        <v>533.65590479883122</v>
      </c>
      <c r="K43" s="682">
        <f>$K$41*SUM('2_サービス別給付費'!N152)/SUM('2_サービス別給付費'!$N$150)</f>
        <v>559.42471384013731</v>
      </c>
      <c r="L43" s="684">
        <f t="shared" si="8"/>
        <v>5.7054951232865143E-2</v>
      </c>
      <c r="M43" s="684">
        <f t="shared" si="9"/>
        <v>5.5340199978351767E-2</v>
      </c>
      <c r="N43" s="684">
        <f t="shared" si="10"/>
        <v>5.8119161998735035E-2</v>
      </c>
      <c r="O43" s="684">
        <f t="shared" si="11"/>
        <v>5.6579009699991294E-2</v>
      </c>
      <c r="P43" s="684">
        <f t="shared" si="12"/>
        <v>5.457610166159739E-2</v>
      </c>
      <c r="Q43" s="934">
        <f t="shared" si="13"/>
        <v>5.4938119296883886E-2</v>
      </c>
    </row>
    <row r="44" spans="1:17">
      <c r="A44" s="84"/>
      <c r="B44" s="35" t="s">
        <v>71</v>
      </c>
      <c r="C44" s="127"/>
      <c r="D44" s="225"/>
      <c r="E44" s="222"/>
      <c r="F44" s="977">
        <f>$F$41*SUM('2_サービス別給付費'!G153:I153)/SUM('2_サービス別給付費'!$G$150:$I$150)</f>
        <v>4039.8536153839977</v>
      </c>
      <c r="G44" s="682">
        <f>$G$41*SUM('2_サービス別給付費'!J153)/SUM('2_サービス別給付費'!$J$150)</f>
        <v>5003.85950502776</v>
      </c>
      <c r="H44" s="682">
        <f>$H$41*SUM('2_サービス別給付費'!K153)/SUM('2_サービス別給付費'!$K$150)</f>
        <v>5323.2680130843019</v>
      </c>
      <c r="I44" s="682">
        <f>$I$41*SUM('2_サービス別給付費'!L153)/SUM('2_サービス別給付費'!$L$150)</f>
        <v>5527.702056578768</v>
      </c>
      <c r="J44" s="682">
        <f>$J$41*SUM('2_サービス別給付費'!M153)/SUM('2_サービス別給付費'!$M$150)</f>
        <v>5732.0976751288654</v>
      </c>
      <c r="K44" s="682">
        <f>$K$41*SUM('2_サービス別給付費'!N153)/SUM('2_サービス別給付費'!$N$150)</f>
        <v>6021.5134101996964</v>
      </c>
      <c r="L44" s="684">
        <f t="shared" si="8"/>
        <v>0.55666825891692784</v>
      </c>
      <c r="M44" s="684">
        <f t="shared" si="9"/>
        <v>0.59510661525134434</v>
      </c>
      <c r="N44" s="684">
        <f t="shared" si="10"/>
        <v>0.58387247926037489</v>
      </c>
      <c r="O44" s="684">
        <f t="shared" si="11"/>
        <v>0.58584945352729023</v>
      </c>
      <c r="P44" s="684">
        <f t="shared" si="12"/>
        <v>0.58621209404581887</v>
      </c>
      <c r="Q44" s="934">
        <f t="shared" si="13"/>
        <v>0.59134073610460891</v>
      </c>
    </row>
    <row r="45" spans="1:17">
      <c r="A45" s="129" t="s">
        <v>82</v>
      </c>
      <c r="B45" s="129"/>
      <c r="C45" s="128"/>
      <c r="D45" s="223"/>
      <c r="E45" s="224"/>
      <c r="F45" s="977">
        <f>((F75+F78+F81+F82)*'(参考)保険料の推計に要する係数'!D5+F85)/(F214*F106*12)</f>
        <v>554.06722024976727</v>
      </c>
      <c r="G45" s="682">
        <f>((J75+J78+J81+J82)*'(参考)保険料の推計に要する係数'!E5+J85)/(J214*J106*12)</f>
        <v>597.70881921050375</v>
      </c>
      <c r="H45" s="682">
        <f>((K75+K78+K81+K82)*'(参考)保険料の推計に要する係数'!F5+K85)/(K214*K106*12)</f>
        <v>726.44815062704174</v>
      </c>
      <c r="I45" s="682">
        <f>((L75+L78+L81+L82)*'(参考)保険料の推計に要する係数'!G5+L85)/(L214*L106*12)</f>
        <v>857.05441569205107</v>
      </c>
      <c r="J45" s="682">
        <f>((M75+M78+M81+M82)*'(参考)保険料の推計に要する係数'!H5+M85)/(M214*M106*12)</f>
        <v>930.47814459794017</v>
      </c>
      <c r="K45" s="682">
        <f>((N75+N78+N81+N82)*'(参考)保険料の推計に要する係数'!I5+N85)/(N214*N106*12)</f>
        <v>898.8636485655411</v>
      </c>
      <c r="L45" s="684">
        <f t="shared" si="8"/>
        <v>7.6347230415689887E-2</v>
      </c>
      <c r="M45" s="684">
        <f t="shared" si="9"/>
        <v>7.1085223705589881E-2</v>
      </c>
      <c r="N45" s="684">
        <f t="shared" si="10"/>
        <v>7.9679077160529965E-2</v>
      </c>
      <c r="O45" s="684">
        <f t="shared" si="11"/>
        <v>9.0834284470661997E-2</v>
      </c>
      <c r="P45" s="684">
        <f t="shared" si="12"/>
        <v>9.5158452022777881E-2</v>
      </c>
      <c r="Q45" s="934">
        <f t="shared" si="13"/>
        <v>8.8272607796582803E-2</v>
      </c>
    </row>
    <row r="46" spans="1:17">
      <c r="A46" s="129" t="s">
        <v>83</v>
      </c>
      <c r="B46" s="226"/>
      <c r="C46" s="223"/>
      <c r="D46" s="223"/>
      <c r="E46" s="224"/>
      <c r="F46" s="977">
        <f>F86*'(参考)保険料の推計に要する係数'!D5/(F214*F106*12)</f>
        <v>311.77033544497465</v>
      </c>
      <c r="G46" s="682">
        <f>J86*'(参考)保険料の推計に要する係数'!E5/(J214*J106*12)</f>
        <v>294.98174504797294</v>
      </c>
      <c r="H46" s="682">
        <f>K86*'(参考)保険料の推計に要する係数'!F5/(K214*K106*12)</f>
        <v>312.36513823165973</v>
      </c>
      <c r="I46" s="682">
        <f>L86*'(参考)保険料の推計に要する係数'!G5/(L214*L106*12)</f>
        <v>325.79489360964362</v>
      </c>
      <c r="J46" s="682">
        <f>M86*'(参考)保険料の推計に要する係数'!H5/(M214*M106*12)</f>
        <v>338.3740549604982</v>
      </c>
      <c r="K46" s="682">
        <f>N86*'(参考)保険料の推計に要する係数'!I5/(N214*N106*12)</f>
        <v>349.63698395437228</v>
      </c>
      <c r="L46" s="684">
        <f t="shared" si="8"/>
        <v>4.2960133296216972E-2</v>
      </c>
      <c r="M46" s="684">
        <f t="shared" si="9"/>
        <v>3.5082037711100827E-2</v>
      </c>
      <c r="N46" s="684">
        <f t="shared" si="10"/>
        <v>3.4261173257770484E-2</v>
      </c>
      <c r="O46" s="684">
        <f t="shared" si="11"/>
        <v>3.452913316050242E-2</v>
      </c>
      <c r="P46" s="684">
        <f t="shared" si="12"/>
        <v>3.4604951724712063E-2</v>
      </c>
      <c r="Q46" s="934">
        <f t="shared" si="13"/>
        <v>3.433598455676562E-2</v>
      </c>
    </row>
    <row r="47" spans="1:17">
      <c r="A47" s="129" t="s">
        <v>84</v>
      </c>
      <c r="B47" s="226"/>
      <c r="C47" s="223"/>
      <c r="D47" s="223"/>
      <c r="E47" s="224"/>
      <c r="F47" s="977">
        <f>(F18+F21)/(F214*F106*12)</f>
        <v>0</v>
      </c>
      <c r="G47" s="682">
        <f>(G18+G21)/(J214*J106*12)</f>
        <v>0</v>
      </c>
      <c r="H47" s="682">
        <f>(H18+H21)/(K214*K106*12)</f>
        <v>0</v>
      </c>
      <c r="I47" s="682">
        <f>(I18+I21)/(L214*L106*12)</f>
        <v>0</v>
      </c>
      <c r="J47" s="682">
        <f>(J18+J21)/(M214*M106*12)</f>
        <v>0</v>
      </c>
      <c r="K47" s="682">
        <f>(K18+K21)/(N214*N106*12)</f>
        <v>0</v>
      </c>
      <c r="L47" s="684">
        <f t="shared" si="8"/>
        <v>0</v>
      </c>
      <c r="M47" s="684">
        <f t="shared" si="9"/>
        <v>0</v>
      </c>
      <c r="N47" s="684">
        <f t="shared" si="10"/>
        <v>0</v>
      </c>
      <c r="O47" s="684">
        <f t="shared" si="11"/>
        <v>0</v>
      </c>
      <c r="P47" s="684">
        <f t="shared" si="12"/>
        <v>0</v>
      </c>
      <c r="Q47" s="934">
        <f t="shared" si="13"/>
        <v>0</v>
      </c>
    </row>
    <row r="48" spans="1:17">
      <c r="A48" s="129" t="s">
        <v>85</v>
      </c>
      <c r="B48" s="129"/>
      <c r="C48" s="128"/>
      <c r="D48" s="128"/>
      <c r="E48" s="224"/>
      <c r="F48" s="977">
        <f>(F102+F103-F104)/(F214*F106*12)</f>
        <v>0</v>
      </c>
      <c r="G48" s="682">
        <f>(J102+J103-J104)/(J214*J106*12)</f>
        <v>0</v>
      </c>
      <c r="H48" s="682">
        <f>(K102+K103-K104)/(K214*K106*12)</f>
        <v>0</v>
      </c>
      <c r="I48" s="682">
        <f>(L102+L103-L104)/(L214*L106*12)</f>
        <v>0</v>
      </c>
      <c r="J48" s="682">
        <f>(M102+M103-M104)/(M214*M106*12)</f>
        <v>0</v>
      </c>
      <c r="K48" s="682">
        <f>(N102+N103-N104)/(N214*N106*12)</f>
        <v>0</v>
      </c>
      <c r="L48" s="684">
        <f t="shared" si="8"/>
        <v>0</v>
      </c>
      <c r="M48" s="684">
        <f t="shared" si="9"/>
        <v>0</v>
      </c>
      <c r="N48" s="684">
        <f t="shared" si="10"/>
        <v>0</v>
      </c>
      <c r="O48" s="684">
        <f t="shared" si="11"/>
        <v>0</v>
      </c>
      <c r="P48" s="684">
        <f t="shared" si="12"/>
        <v>0</v>
      </c>
      <c r="Q48" s="934">
        <f t="shared" si="13"/>
        <v>0</v>
      </c>
    </row>
    <row r="49" spans="1:17">
      <c r="A49" s="129" t="s">
        <v>86</v>
      </c>
      <c r="B49" s="129"/>
      <c r="C49" s="128"/>
      <c r="D49" s="128"/>
      <c r="E49" s="224"/>
      <c r="F49" s="977">
        <f>F41+SUM(F45:F48)</f>
        <v>7257.201305574833</v>
      </c>
      <c r="G49" s="682">
        <f>G41+SUM(G45:G48)</f>
        <v>8408.3412564895971</v>
      </c>
      <c r="H49" s="682">
        <f t="shared" ref="H49:K49" si="14">H41+SUM(H45:H48)</f>
        <v>9117.1757569865149</v>
      </c>
      <c r="I49" s="682">
        <f t="shared" si="14"/>
        <v>9435.3626572449721</v>
      </c>
      <c r="J49" s="682">
        <f t="shared" si="14"/>
        <v>9778.197572772764</v>
      </c>
      <c r="K49" s="682">
        <f t="shared" si="14"/>
        <v>10182.815156394845</v>
      </c>
      <c r="L49" s="684">
        <f t="shared" si="8"/>
        <v>1</v>
      </c>
      <c r="M49" s="684">
        <f t="shared" si="9"/>
        <v>1</v>
      </c>
      <c r="N49" s="684">
        <f t="shared" si="10"/>
        <v>1</v>
      </c>
      <c r="O49" s="684">
        <f t="shared" si="11"/>
        <v>1</v>
      </c>
      <c r="P49" s="684">
        <f t="shared" si="12"/>
        <v>1</v>
      </c>
      <c r="Q49" s="934">
        <f t="shared" si="13"/>
        <v>1</v>
      </c>
    </row>
    <row r="50" spans="1:17">
      <c r="A50" s="129" t="s">
        <v>87</v>
      </c>
      <c r="B50" s="226"/>
      <c r="C50" s="223"/>
      <c r="D50" s="223"/>
      <c r="E50" s="224"/>
      <c r="F50" s="977">
        <f>F15/(F214*F106*12)</f>
        <v>0</v>
      </c>
      <c r="G50" s="682">
        <f>G15/(J214*J106*12)</f>
        <v>0</v>
      </c>
      <c r="H50" s="682">
        <f>H15/(K214*K106*12)</f>
        <v>0</v>
      </c>
      <c r="I50" s="682">
        <f>I15/(L214*L106*12)</f>
        <v>0</v>
      </c>
      <c r="J50" s="682">
        <f>J15/(M214*M106*12)</f>
        <v>0</v>
      </c>
      <c r="K50" s="682">
        <f>K15/(N214*N106*12)</f>
        <v>0</v>
      </c>
      <c r="L50" s="684">
        <f t="shared" si="8"/>
        <v>0</v>
      </c>
      <c r="M50" s="684">
        <f t="shared" si="9"/>
        <v>0</v>
      </c>
      <c r="N50" s="684">
        <f t="shared" si="10"/>
        <v>0</v>
      </c>
      <c r="O50" s="684">
        <f t="shared" si="11"/>
        <v>0</v>
      </c>
      <c r="P50" s="684">
        <f t="shared" si="12"/>
        <v>0</v>
      </c>
      <c r="Q50" s="934">
        <f t="shared" si="13"/>
        <v>0</v>
      </c>
    </row>
    <row r="51" spans="1:17" ht="14.25" thickBot="1">
      <c r="A51" s="130" t="s">
        <v>147</v>
      </c>
      <c r="B51" s="130"/>
      <c r="C51" s="131"/>
      <c r="D51" s="131"/>
      <c r="E51" s="227"/>
      <c r="F51" s="633">
        <f>F49-F50</f>
        <v>7257.201305574833</v>
      </c>
      <c r="G51" s="683">
        <f>G49-G50</f>
        <v>8408.3412564895971</v>
      </c>
      <c r="H51" s="683">
        <f t="shared" ref="H51:K51" si="15">H49-H50</f>
        <v>9117.1757569865149</v>
      </c>
      <c r="I51" s="683">
        <f t="shared" si="15"/>
        <v>9435.3626572449721</v>
      </c>
      <c r="J51" s="683">
        <f t="shared" si="15"/>
        <v>9778.197572772764</v>
      </c>
      <c r="K51" s="683">
        <f t="shared" si="15"/>
        <v>10182.815156394845</v>
      </c>
      <c r="L51" s="687">
        <f t="shared" si="8"/>
        <v>1</v>
      </c>
      <c r="M51" s="687">
        <f t="shared" si="9"/>
        <v>1</v>
      </c>
      <c r="N51" s="687">
        <f t="shared" si="10"/>
        <v>1</v>
      </c>
      <c r="O51" s="687">
        <f t="shared" si="11"/>
        <v>1</v>
      </c>
      <c r="P51" s="687">
        <f t="shared" si="12"/>
        <v>1</v>
      </c>
      <c r="Q51" s="935">
        <f t="shared" si="13"/>
        <v>1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5" t="s">
        <v>350</v>
      </c>
      <c r="G66" s="1116"/>
      <c r="H66" s="1116"/>
      <c r="I66" s="1117"/>
      <c r="J66" s="1109" t="s">
        <v>382</v>
      </c>
      <c r="K66" s="1109" t="s">
        <v>323</v>
      </c>
      <c r="L66" s="1109" t="s">
        <v>322</v>
      </c>
      <c r="M66" s="1113" t="s">
        <v>321</v>
      </c>
      <c r="N66" s="1111" t="s">
        <v>348</v>
      </c>
    </row>
    <row r="67" spans="1:14" ht="14.25" thickBot="1">
      <c r="A67" s="232"/>
      <c r="F67" s="233" t="s">
        <v>150</v>
      </c>
      <c r="G67" s="234" t="s">
        <v>361</v>
      </c>
      <c r="H67" s="235" t="s">
        <v>360</v>
      </c>
      <c r="I67" s="236" t="s">
        <v>359</v>
      </c>
      <c r="J67" s="1118"/>
      <c r="K67" s="1110"/>
      <c r="L67" s="1110"/>
      <c r="M67" s="1114"/>
      <c r="N67" s="1112"/>
    </row>
    <row r="68" spans="1:14">
      <c r="A68" s="132" t="s">
        <v>401</v>
      </c>
      <c r="B68" s="85"/>
      <c r="C68" s="85"/>
      <c r="D68" s="85"/>
      <c r="E68" s="85"/>
      <c r="F68" s="155">
        <f t="shared" ref="F68:F75" si="24">SUM(G68:I68)</f>
        <v>3360589310</v>
      </c>
      <c r="G68" s="237">
        <f t="shared" ref="G68:N68" si="25">G69+G75+G78+G81+G82</f>
        <v>1117686436</v>
      </c>
      <c r="H68" s="238">
        <f t="shared" si="25"/>
        <v>1119841017</v>
      </c>
      <c r="I68" s="239">
        <f t="shared" si="25"/>
        <v>1123061857</v>
      </c>
      <c r="J68" s="658">
        <f t="shared" si="25"/>
        <v>1167986118</v>
      </c>
      <c r="K68" s="803">
        <f t="shared" si="25"/>
        <v>1271891667</v>
      </c>
      <c r="L68" s="803">
        <f t="shared" si="25"/>
        <v>1393368375</v>
      </c>
      <c r="M68" s="896">
        <f t="shared" si="25"/>
        <v>1371736912</v>
      </c>
      <c r="N68" s="804">
        <f t="shared" si="25"/>
        <v>1206498639</v>
      </c>
    </row>
    <row r="69" spans="1:14">
      <c r="A69" s="240"/>
      <c r="B69" s="133" t="s">
        <v>337</v>
      </c>
      <c r="C69" s="133"/>
      <c r="D69" s="241"/>
      <c r="E69" s="34"/>
      <c r="F69" s="172">
        <f t="shared" si="24"/>
        <v>3103273000</v>
      </c>
      <c r="G69" s="242">
        <f>SUM(G70:G74)</f>
        <v>1032261000</v>
      </c>
      <c r="H69" s="242">
        <f t="shared" ref="H69:I69" si="26">SUM(H70:H74)</f>
        <v>1034267000</v>
      </c>
      <c r="I69" s="242">
        <f t="shared" si="26"/>
        <v>1036745000</v>
      </c>
      <c r="J69" s="659">
        <f>SUM(J70:J73)</f>
        <v>1081075000</v>
      </c>
      <c r="K69" s="659">
        <f t="shared" ref="K69:N69" si="27">SUM(K70:K73)</f>
        <v>1176958000</v>
      </c>
      <c r="L69" s="659">
        <f t="shared" si="27"/>
        <v>1291155000</v>
      </c>
      <c r="M69" s="659">
        <f t="shared" si="27"/>
        <v>1272792000</v>
      </c>
      <c r="N69" s="936">
        <f t="shared" si="27"/>
        <v>1119439000</v>
      </c>
    </row>
    <row r="70" spans="1:14" ht="13.15" customHeight="1">
      <c r="A70" s="84"/>
      <c r="B70" s="133"/>
      <c r="C70" s="243" t="s">
        <v>336</v>
      </c>
      <c r="D70" s="244"/>
      <c r="E70" s="244"/>
      <c r="F70" s="245">
        <f t="shared" si="24"/>
        <v>3103273000</v>
      </c>
      <c r="G70" s="242">
        <f>'2_サービス別給付費'!G150*1000</f>
        <v>1032261000</v>
      </c>
      <c r="H70" s="242">
        <f>'2_サービス別給付費'!H150*1000</f>
        <v>1034267000</v>
      </c>
      <c r="I70" s="955">
        <f>'2_サービス別給付費'!I150*1000</f>
        <v>1036745000</v>
      </c>
      <c r="J70" s="659">
        <f>'2_サービス別給付費'!J150*1000</f>
        <v>1081075000</v>
      </c>
      <c r="K70" s="659">
        <f>'2_サービス別給付費'!K150*1000</f>
        <v>1176958000</v>
      </c>
      <c r="L70" s="659">
        <f>'2_サービス別給付費'!L150*1000</f>
        <v>1291155000</v>
      </c>
      <c r="M70" s="659">
        <f>'2_サービス別給付費'!M150*1000</f>
        <v>1272792000</v>
      </c>
      <c r="N70" s="936">
        <f>'2_サービス別給付費'!N150*1000</f>
        <v>1119439000</v>
      </c>
    </row>
    <row r="71" spans="1:14" ht="13.15" customHeight="1">
      <c r="A71" s="84"/>
      <c r="B71" s="133"/>
      <c r="C71" s="1125" t="s">
        <v>418</v>
      </c>
      <c r="D71" s="1126"/>
      <c r="E71" s="1127"/>
      <c r="F71" s="245">
        <f t="shared" si="24"/>
        <v>0</v>
      </c>
      <c r="G71" s="249">
        <v>0</v>
      </c>
      <c r="H71" s="250">
        <v>0</v>
      </c>
      <c r="I71" s="251">
        <v>0</v>
      </c>
      <c r="J71" s="660">
        <v>0</v>
      </c>
      <c r="K71" s="808">
        <v>0</v>
      </c>
      <c r="L71" s="808">
        <v>0</v>
      </c>
      <c r="M71" s="899">
        <v>0</v>
      </c>
      <c r="N71" s="809">
        <v>0</v>
      </c>
    </row>
    <row r="72" spans="1:14" ht="13.15" customHeight="1">
      <c r="A72" s="84"/>
      <c r="B72" s="133"/>
      <c r="C72" s="1125" t="s">
        <v>419</v>
      </c>
      <c r="D72" s="1126"/>
      <c r="E72" s="1127"/>
      <c r="F72" s="245">
        <f>SUM(G72:I72)</f>
        <v>0</v>
      </c>
      <c r="G72" s="249">
        <v>0</v>
      </c>
      <c r="H72" s="250">
        <v>0</v>
      </c>
      <c r="I72" s="251">
        <v>0</v>
      </c>
      <c r="J72" s="660">
        <v>0</v>
      </c>
      <c r="K72" s="808">
        <v>0</v>
      </c>
      <c r="L72" s="808">
        <v>0</v>
      </c>
      <c r="M72" s="899">
        <v>0</v>
      </c>
      <c r="N72" s="809">
        <v>0</v>
      </c>
    </row>
    <row r="73" spans="1:14" ht="13.15" customHeight="1">
      <c r="A73" s="84"/>
      <c r="B73" s="133"/>
      <c r="C73" s="1125" t="s">
        <v>420</v>
      </c>
      <c r="D73" s="1126"/>
      <c r="E73" s="1127"/>
      <c r="F73" s="245">
        <f>SUM(G73:I73)</f>
        <v>0</v>
      </c>
      <c r="G73" s="249">
        <v>0</v>
      </c>
      <c r="H73" s="250">
        <v>0</v>
      </c>
      <c r="I73" s="251">
        <v>0</v>
      </c>
      <c r="J73" s="660">
        <v>0</v>
      </c>
      <c r="K73" s="808">
        <v>0</v>
      </c>
      <c r="L73" s="808">
        <v>0</v>
      </c>
      <c r="M73" s="899">
        <v>0</v>
      </c>
      <c r="N73" s="809">
        <v>0</v>
      </c>
    </row>
    <row r="74" spans="1:14" ht="13.15" customHeight="1">
      <c r="A74" s="84"/>
      <c r="B74" s="133"/>
      <c r="C74" s="1125" t="s">
        <v>421</v>
      </c>
      <c r="D74" s="1126"/>
      <c r="E74" s="1127"/>
      <c r="F74" s="245">
        <f t="shared" si="24"/>
        <v>0</v>
      </c>
      <c r="G74" s="249">
        <v>0</v>
      </c>
      <c r="H74" s="250">
        <v>0</v>
      </c>
      <c r="I74" s="251">
        <v>0</v>
      </c>
      <c r="J74" s="273"/>
      <c r="K74" s="273"/>
      <c r="L74" s="273"/>
      <c r="M74" s="273"/>
      <c r="N74" s="1001"/>
    </row>
    <row r="75" spans="1:14">
      <c r="A75" s="240"/>
      <c r="B75" s="1123" t="s">
        <v>269</v>
      </c>
      <c r="C75" s="1124"/>
      <c r="D75" s="1124"/>
      <c r="E75" s="1124"/>
      <c r="F75" s="245">
        <f t="shared" si="24"/>
        <v>156669648</v>
      </c>
      <c r="G75" s="296">
        <f t="shared" ref="G75:N75" si="28">G76+G77</f>
        <v>52012152</v>
      </c>
      <c r="H75" s="810">
        <f t="shared" si="28"/>
        <v>52102608</v>
      </c>
      <c r="I75" s="811">
        <f t="shared" si="28"/>
        <v>52554888</v>
      </c>
      <c r="J75" s="722">
        <f t="shared" si="28"/>
        <v>52916712</v>
      </c>
      <c r="K75" s="722">
        <f t="shared" si="28"/>
        <v>57801331</v>
      </c>
      <c r="L75" s="722">
        <f t="shared" si="28"/>
        <v>62233670</v>
      </c>
      <c r="M75" s="722">
        <f t="shared" si="28"/>
        <v>60243641</v>
      </c>
      <c r="N75" s="937">
        <f t="shared" si="28"/>
        <v>53007168</v>
      </c>
    </row>
    <row r="76" spans="1:14">
      <c r="A76" s="84"/>
      <c r="B76" s="813"/>
      <c r="C76" s="814" t="s">
        <v>268</v>
      </c>
      <c r="D76" s="252"/>
      <c r="E76" s="252"/>
      <c r="F76" s="245">
        <f t="shared" ref="F76:F80" si="29">SUM(G76:I76)</f>
        <v>156669648</v>
      </c>
      <c r="G76" s="249">
        <v>52012152</v>
      </c>
      <c r="H76" s="250">
        <v>52102608</v>
      </c>
      <c r="I76" s="251">
        <v>52554888</v>
      </c>
      <c r="J76" s="660">
        <v>52916712</v>
      </c>
      <c r="K76" s="808">
        <v>57801331</v>
      </c>
      <c r="L76" s="808">
        <v>62233670</v>
      </c>
      <c r="M76" s="899">
        <v>60243641</v>
      </c>
      <c r="N76" s="809">
        <v>53007168</v>
      </c>
    </row>
    <row r="77" spans="1:14">
      <c r="A77" s="240"/>
      <c r="B77" s="134"/>
      <c r="C77" s="814" t="s">
        <v>338</v>
      </c>
      <c r="D77" s="252"/>
      <c r="E77" s="252"/>
      <c r="F77" s="245">
        <f t="shared" si="29"/>
        <v>0</v>
      </c>
      <c r="G77" s="815">
        <v>0</v>
      </c>
      <c r="H77" s="250">
        <v>0</v>
      </c>
      <c r="I77" s="251">
        <v>0</v>
      </c>
      <c r="J77" s="660">
        <v>0</v>
      </c>
      <c r="K77" s="808">
        <v>0</v>
      </c>
      <c r="L77" s="808">
        <v>0</v>
      </c>
      <c r="M77" s="899">
        <v>0</v>
      </c>
      <c r="N77" s="809">
        <v>0</v>
      </c>
    </row>
    <row r="78" spans="1:14">
      <c r="A78" s="240"/>
      <c r="B78" s="816" t="s">
        <v>271</v>
      </c>
      <c r="C78" s="817"/>
      <c r="D78" s="817"/>
      <c r="E78" s="817"/>
      <c r="F78" s="245">
        <f>SUM(G78:I78)</f>
        <v>93189835</v>
      </c>
      <c r="G78" s="296">
        <f t="shared" ref="G78:N78" si="30">G79+G80</f>
        <v>30937734</v>
      </c>
      <c r="H78" s="810">
        <f t="shared" si="30"/>
        <v>30991539</v>
      </c>
      <c r="I78" s="811">
        <f t="shared" si="30"/>
        <v>31260562</v>
      </c>
      <c r="J78" s="722">
        <f t="shared" si="30"/>
        <v>31475781</v>
      </c>
      <c r="K78" s="812">
        <f t="shared" si="30"/>
        <v>34381238</v>
      </c>
      <c r="L78" s="812">
        <f t="shared" si="30"/>
        <v>37017671</v>
      </c>
      <c r="M78" s="900">
        <f t="shared" si="30"/>
        <v>35833966</v>
      </c>
      <c r="N78" s="938">
        <f t="shared" si="30"/>
        <v>31529586</v>
      </c>
    </row>
    <row r="79" spans="1:14">
      <c r="A79" s="240"/>
      <c r="B79" s="818"/>
      <c r="C79" s="293" t="s">
        <v>270</v>
      </c>
      <c r="D79" s="293"/>
      <c r="E79" s="293"/>
      <c r="F79" s="245">
        <f t="shared" si="29"/>
        <v>93189835</v>
      </c>
      <c r="G79" s="249">
        <v>30937734</v>
      </c>
      <c r="H79" s="250">
        <v>30991539</v>
      </c>
      <c r="I79" s="251">
        <v>31260562</v>
      </c>
      <c r="J79" s="660">
        <v>31475781</v>
      </c>
      <c r="K79" s="808">
        <v>34381238</v>
      </c>
      <c r="L79" s="808">
        <v>37017671</v>
      </c>
      <c r="M79" s="899">
        <v>35833966</v>
      </c>
      <c r="N79" s="809">
        <v>31529586</v>
      </c>
    </row>
    <row r="80" spans="1:14">
      <c r="A80" s="240"/>
      <c r="B80" s="819"/>
      <c r="C80" s="814" t="s">
        <v>338</v>
      </c>
      <c r="D80" s="293"/>
      <c r="E80" s="293"/>
      <c r="F80" s="245">
        <f t="shared" si="29"/>
        <v>0</v>
      </c>
      <c r="G80" s="249">
        <v>0</v>
      </c>
      <c r="H80" s="250">
        <v>0</v>
      </c>
      <c r="I80" s="251">
        <v>0</v>
      </c>
      <c r="J80" s="660">
        <v>0</v>
      </c>
      <c r="K80" s="808">
        <v>0</v>
      </c>
      <c r="L80" s="808">
        <v>0</v>
      </c>
      <c r="M80" s="899">
        <v>0</v>
      </c>
      <c r="N80" s="809">
        <v>0</v>
      </c>
    </row>
    <row r="81" spans="1:14">
      <c r="A81" s="240"/>
      <c r="B81" s="135" t="s">
        <v>151</v>
      </c>
      <c r="C81" s="136"/>
      <c r="D81" s="136"/>
      <c r="E81" s="136"/>
      <c r="F81" s="245">
        <f>SUM(G81:I81)</f>
        <v>5506887</v>
      </c>
      <c r="G81" s="249">
        <v>1828210</v>
      </c>
      <c r="H81" s="250">
        <v>1831390</v>
      </c>
      <c r="I81" s="251">
        <v>1847287</v>
      </c>
      <c r="J81" s="660">
        <v>1860005</v>
      </c>
      <c r="K81" s="808">
        <v>2031698</v>
      </c>
      <c r="L81" s="808">
        <v>2187494</v>
      </c>
      <c r="M81" s="899">
        <v>2117545</v>
      </c>
      <c r="N81" s="809">
        <v>1863185</v>
      </c>
    </row>
    <row r="82" spans="1:14">
      <c r="A82" s="240"/>
      <c r="B82" s="133" t="s">
        <v>152</v>
      </c>
      <c r="C82" s="34"/>
      <c r="D82" s="34"/>
      <c r="E82" s="34"/>
      <c r="F82" s="245">
        <f>SUM(G82:I82)</f>
        <v>1949940</v>
      </c>
      <c r="G82" s="246">
        <f t="shared" ref="G82:N82" si="31">G83*G84-G85</f>
        <v>647340</v>
      </c>
      <c r="H82" s="247">
        <f t="shared" si="31"/>
        <v>648480</v>
      </c>
      <c r="I82" s="248">
        <f t="shared" si="31"/>
        <v>654120</v>
      </c>
      <c r="J82" s="659">
        <f t="shared" si="31"/>
        <v>658620</v>
      </c>
      <c r="K82" s="805">
        <f t="shared" si="31"/>
        <v>719400</v>
      </c>
      <c r="L82" s="805">
        <f t="shared" si="31"/>
        <v>774540</v>
      </c>
      <c r="M82" s="897">
        <f t="shared" si="31"/>
        <v>749760</v>
      </c>
      <c r="N82" s="939">
        <f t="shared" si="31"/>
        <v>659700</v>
      </c>
    </row>
    <row r="83" spans="1:14">
      <c r="A83" s="84"/>
      <c r="B83" s="133"/>
      <c r="C83" s="135" t="s">
        <v>230</v>
      </c>
      <c r="D83" s="255"/>
      <c r="E83" s="136"/>
      <c r="F83" s="156"/>
      <c r="G83" s="249">
        <v>60</v>
      </c>
      <c r="H83" s="250">
        <v>60</v>
      </c>
      <c r="I83" s="251">
        <v>60</v>
      </c>
      <c r="J83" s="660">
        <v>60</v>
      </c>
      <c r="K83" s="808">
        <v>60</v>
      </c>
      <c r="L83" s="808">
        <v>60</v>
      </c>
      <c r="M83" s="899">
        <v>60</v>
      </c>
      <c r="N83" s="809">
        <v>60</v>
      </c>
    </row>
    <row r="84" spans="1:14">
      <c r="A84" s="84"/>
      <c r="B84" s="133"/>
      <c r="C84" s="256" t="s">
        <v>231</v>
      </c>
      <c r="D84" s="257"/>
      <c r="E84" s="136"/>
      <c r="F84" s="172">
        <f t="shared" ref="F84:F86" si="32">SUM(G84:I84)</f>
        <v>32499</v>
      </c>
      <c r="G84" s="249">
        <v>10789</v>
      </c>
      <c r="H84" s="250">
        <v>10808</v>
      </c>
      <c r="I84" s="251">
        <v>10902</v>
      </c>
      <c r="J84" s="660">
        <v>10977</v>
      </c>
      <c r="K84" s="808">
        <v>11990</v>
      </c>
      <c r="L84" s="808">
        <v>12909</v>
      </c>
      <c r="M84" s="899">
        <v>12496</v>
      </c>
      <c r="N84" s="809">
        <v>10995</v>
      </c>
    </row>
    <row r="85" spans="1:14" ht="13.5" customHeight="1">
      <c r="A85" s="137"/>
      <c r="B85" s="138"/>
      <c r="C85" s="258" t="s">
        <v>402</v>
      </c>
      <c r="D85" s="128"/>
      <c r="E85" s="128"/>
      <c r="F85" s="172">
        <f t="shared" si="32"/>
        <v>0</v>
      </c>
      <c r="G85" s="246">
        <f>IF(G83-'(参考)保険料の推計に要する係数'!$D$38&gt;0,(G83-'(参考)保険料の推計に要する係数'!$D$38)*G84,0)</f>
        <v>0</v>
      </c>
      <c r="H85" s="246">
        <f>IF(H83-'(参考)保険料の推計に要する係数'!$D$38&gt;0,(H83-'(参考)保険料の推計に要する係数'!$D$38)*H84,0)</f>
        <v>0</v>
      </c>
      <c r="I85" s="956">
        <f>IF(I83-'(参考)保険料の推計に要する係数'!$D$38&gt;0,(I83-'(参考)保険料の推計に要する係数'!$D$38)*I84,0)</f>
        <v>0</v>
      </c>
      <c r="J85" s="659">
        <f>IF(J83-'(参考)保険料の推計に要する係数'!$D$38&gt;0,(J83-'(参考)保険料の推計に要する係数'!$D$38)*J84,0)</f>
        <v>0</v>
      </c>
      <c r="K85" s="659">
        <f>IF(K83-'(参考)保険料の推計に要する係数'!$D$38&gt;0,(K83-'(参考)保険料の推計に要する係数'!$D$38)*K84,0)</f>
        <v>0</v>
      </c>
      <c r="L85" s="659">
        <f>IF(L83-'(参考)保険料の推計に要する係数'!$D$38&gt;0,(L83-'(参考)保険料の推計に要する係数'!$D$38)*L84,0)</f>
        <v>0</v>
      </c>
      <c r="M85" s="659">
        <f>IF(M83-'(参考)保険料の推計に要する係数'!$D$38&gt;0,(M83-'(参考)保険料の推計に要する係数'!$D$38)*M84,0)</f>
        <v>0</v>
      </c>
      <c r="N85" s="936">
        <f>IF(N83-'(参考)保険料の推計に要する係数'!$D$38&gt;0,(N83-'(参考)保険料の推計に要する係数'!$D$38)*N84,0)</f>
        <v>0</v>
      </c>
    </row>
    <row r="86" spans="1:14">
      <c r="A86" s="207" t="s">
        <v>83</v>
      </c>
      <c r="B86" s="259"/>
      <c r="C86" s="259"/>
      <c r="D86" s="259"/>
      <c r="E86" s="259"/>
      <c r="F86" s="172">
        <f t="shared" si="32"/>
        <v>144790360</v>
      </c>
      <c r="G86" s="247">
        <f>SUM(G87:G91)</f>
        <v>46033094</v>
      </c>
      <c r="H86" s="247">
        <f t="shared" ref="H86:N86" si="33">SUM(H87:H91)</f>
        <v>49596213</v>
      </c>
      <c r="I86" s="248">
        <f t="shared" si="33"/>
        <v>49161053</v>
      </c>
      <c r="J86" s="659">
        <f t="shared" si="33"/>
        <v>42892446</v>
      </c>
      <c r="K86" s="659">
        <f t="shared" si="33"/>
        <v>40820488</v>
      </c>
      <c r="L86" s="659">
        <f t="shared" si="33"/>
        <v>38854704</v>
      </c>
      <c r="M86" s="659">
        <f t="shared" si="33"/>
        <v>35981921</v>
      </c>
      <c r="N86" s="936">
        <f t="shared" si="33"/>
        <v>33864168</v>
      </c>
    </row>
    <row r="87" spans="1:14">
      <c r="A87" s="232"/>
      <c r="B87" s="212" t="s">
        <v>153</v>
      </c>
      <c r="C87" s="209"/>
      <c r="D87" s="209"/>
      <c r="E87" s="209"/>
      <c r="F87" s="172">
        <f t="shared" ref="F87:F92" si="34">SUM(G87:I87)</f>
        <v>15519381</v>
      </c>
      <c r="G87" s="810">
        <f>'3_地域支援事業費'!E61</f>
        <v>6786184</v>
      </c>
      <c r="H87" s="810">
        <f>'3_地域支援事業費'!F61</f>
        <v>6505887</v>
      </c>
      <c r="I87" s="811">
        <f>'3_地域支援事業費'!G61</f>
        <v>2227310</v>
      </c>
      <c r="J87" s="722">
        <f>'3_地域支援事業費'!H61</f>
        <v>7273668</v>
      </c>
      <c r="K87" s="722">
        <f>'3_地域支援事業費'!I61</f>
        <v>7239473</v>
      </c>
      <c r="L87" s="722">
        <f>'3_地域支援事業費'!J61</f>
        <v>6751627</v>
      </c>
      <c r="M87" s="722">
        <f>'3_地域支援事業費'!K61</f>
        <v>6073358</v>
      </c>
      <c r="N87" s="937">
        <f>'3_地域支援事業費'!L61</f>
        <v>5579097</v>
      </c>
    </row>
    <row r="88" spans="1:14">
      <c r="A88" s="232"/>
      <c r="B88" s="212" t="s">
        <v>318</v>
      </c>
      <c r="C88" s="209"/>
      <c r="D88" s="209"/>
      <c r="E88" s="209"/>
      <c r="F88" s="172">
        <f t="shared" si="34"/>
        <v>126952207</v>
      </c>
      <c r="G88" s="810">
        <f>'3_地域支援事業費'!E62</f>
        <v>38647166</v>
      </c>
      <c r="H88" s="810">
        <f>'3_地域支援事業費'!F62</f>
        <v>42317402</v>
      </c>
      <c r="I88" s="811">
        <f>'3_地域支援事業費'!G62</f>
        <v>45987639</v>
      </c>
      <c r="J88" s="722">
        <f>'3_地域支援事業費'!H62</f>
        <v>35257778</v>
      </c>
      <c r="K88" s="722">
        <f>'3_地域支援事業費'!I62</f>
        <v>33220015</v>
      </c>
      <c r="L88" s="722">
        <f>'3_地域支援事業費'!J62</f>
        <v>31742077</v>
      </c>
      <c r="M88" s="722">
        <f>'3_地域支援事業費'!K62</f>
        <v>29547563</v>
      </c>
      <c r="N88" s="937">
        <f>'3_地域支援事業費'!L62</f>
        <v>27924071</v>
      </c>
    </row>
    <row r="89" spans="1:14" s="370" customFormat="1">
      <c r="A89" s="232"/>
      <c r="B89" s="212" t="s">
        <v>305</v>
      </c>
      <c r="C89" s="820"/>
      <c r="D89" s="820"/>
      <c r="E89" s="820"/>
      <c r="F89" s="172">
        <f t="shared" si="34"/>
        <v>2318772</v>
      </c>
      <c r="G89" s="940">
        <f>'3_地域支援事業費'!E63</f>
        <v>599744</v>
      </c>
      <c r="H89" s="940">
        <f>'3_地域支援事業費'!F63</f>
        <v>772924</v>
      </c>
      <c r="I89" s="957">
        <f>'3_地域支援事業費'!G63</f>
        <v>946104</v>
      </c>
      <c r="J89" s="812">
        <f>'3_地域支援事業費'!H63</f>
        <v>361000</v>
      </c>
      <c r="K89" s="812">
        <f>'3_地域支援事業費'!I63</f>
        <v>361000</v>
      </c>
      <c r="L89" s="812">
        <f>'3_地域支援事業費'!J63</f>
        <v>361000</v>
      </c>
      <c r="M89" s="812">
        <f>'3_地域支援事業費'!K63</f>
        <v>361000</v>
      </c>
      <c r="N89" s="938">
        <f>'3_地域支援事業費'!L63</f>
        <v>361000</v>
      </c>
    </row>
    <row r="90" spans="1:14" s="370" customFormat="1">
      <c r="A90" s="232"/>
      <c r="B90" s="212" t="s">
        <v>423</v>
      </c>
      <c r="C90" s="820"/>
      <c r="D90" s="820"/>
      <c r="E90" s="820"/>
      <c r="F90" s="172">
        <f t="shared" si="34"/>
        <v>0</v>
      </c>
      <c r="G90" s="940">
        <f>'3_地域支援事業費'!E64</f>
        <v>0</v>
      </c>
      <c r="H90" s="940">
        <f>'3_地域支援事業費'!F64</f>
        <v>0</v>
      </c>
      <c r="I90" s="957">
        <f>'3_地域支援事業費'!G64</f>
        <v>0</v>
      </c>
      <c r="J90" s="812">
        <f>'3_地域支援事業費'!H64</f>
        <v>0</v>
      </c>
      <c r="K90" s="812">
        <f>'3_地域支援事業費'!I64</f>
        <v>0</v>
      </c>
      <c r="L90" s="812">
        <f>'3_地域支援事業費'!J64</f>
        <v>0</v>
      </c>
      <c r="M90" s="812">
        <f>'3_地域支援事業費'!K64</f>
        <v>0</v>
      </c>
      <c r="N90" s="938">
        <f>'3_地域支援事業費'!L64</f>
        <v>0</v>
      </c>
    </row>
    <row r="91" spans="1:14" s="370" customFormat="1">
      <c r="A91" s="232"/>
      <c r="B91" s="1020" t="s">
        <v>414</v>
      </c>
      <c r="C91" s="1019"/>
      <c r="D91" s="1019"/>
      <c r="E91" s="1019"/>
      <c r="F91" s="172">
        <f t="shared" si="34"/>
        <v>0</v>
      </c>
      <c r="G91" s="940">
        <f>'3_地域支援事業費'!E65</f>
        <v>0</v>
      </c>
      <c r="H91" s="940">
        <f>'3_地域支援事業費'!F65</f>
        <v>0</v>
      </c>
      <c r="I91" s="957">
        <f>'3_地域支援事業費'!G65</f>
        <v>0</v>
      </c>
      <c r="J91" s="812">
        <f>'3_地域支援事業費'!H65</f>
        <v>0</v>
      </c>
      <c r="K91" s="812">
        <f>'3_地域支援事業費'!I65</f>
        <v>0</v>
      </c>
      <c r="L91" s="812">
        <f>'3_地域支援事業費'!J65</f>
        <v>0</v>
      </c>
      <c r="M91" s="812">
        <f>'3_地域支援事業費'!K65</f>
        <v>0</v>
      </c>
      <c r="N91" s="938">
        <f>'3_地域支援事業費'!L65</f>
        <v>0</v>
      </c>
    </row>
    <row r="92" spans="1:14">
      <c r="A92" s="260" t="s">
        <v>403</v>
      </c>
      <c r="B92" s="261"/>
      <c r="C92" s="261"/>
      <c r="D92" s="261"/>
      <c r="E92" s="261"/>
      <c r="F92" s="172">
        <f t="shared" si="34"/>
        <v>806237324.10000014</v>
      </c>
      <c r="G92" s="242">
        <f>(G68+G86)*'(参考)保険料の推計に要する係数'!$D$5</f>
        <v>267655491.90000001</v>
      </c>
      <c r="H92" s="242">
        <f>(H68+H86)*'(参考)保険料の推計に要する係数'!$D$5</f>
        <v>268970562.90000004</v>
      </c>
      <c r="I92" s="955">
        <f>(I68+I86)*'(参考)保険料の推計に要する係数'!$D$5</f>
        <v>269611269.30000001</v>
      </c>
      <c r="J92" s="659">
        <f>(J68+J86)*'(参考)保険料の推計に要する係数'!$E$5</f>
        <v>290610855.36000001</v>
      </c>
      <c r="K92" s="659">
        <f>(K68+K86)*'(参考)保険料の推計に要する係数'!$F$5</f>
        <v>328178038.75</v>
      </c>
      <c r="L92" s="659">
        <f>(L68+L86)*'(参考)保険料の推計に要する係数'!$G$5</f>
        <v>372378000.54000002</v>
      </c>
      <c r="M92" s="659">
        <f>(M68+M86)*'(参考)保険料の推計に要する係数'!$H$5</f>
        <v>380084084.91000003</v>
      </c>
      <c r="N92" s="936">
        <f>(N68+N86)*'(参考)保険料の推計に要する係数'!$I$5</f>
        <v>347301585.96000004</v>
      </c>
    </row>
    <row r="93" spans="1:14" s="264" customFormat="1" ht="13.5" customHeight="1">
      <c r="A93" s="262" t="s">
        <v>404</v>
      </c>
      <c r="B93" s="166"/>
      <c r="C93" s="166"/>
      <c r="D93" s="166"/>
      <c r="E93" s="167"/>
      <c r="F93" s="952">
        <f t="shared" ref="F93" si="35">SUM(G93:I93)</f>
        <v>168805434.55000001</v>
      </c>
      <c r="G93" s="958">
        <f t="shared" ref="G93:N93" si="36">(G68+G87)*0.05</f>
        <v>56223631</v>
      </c>
      <c r="H93" s="263">
        <f t="shared" si="36"/>
        <v>56317345.200000003</v>
      </c>
      <c r="I93" s="959">
        <f t="shared" si="36"/>
        <v>56264458.350000001</v>
      </c>
      <c r="J93" s="661">
        <f t="shared" si="36"/>
        <v>58762989.300000004</v>
      </c>
      <c r="K93" s="661">
        <f t="shared" si="36"/>
        <v>63956557</v>
      </c>
      <c r="L93" s="661">
        <f t="shared" si="36"/>
        <v>70006000.100000009</v>
      </c>
      <c r="M93" s="661">
        <f t="shared" si="36"/>
        <v>68890513.5</v>
      </c>
      <c r="N93" s="941">
        <f t="shared" si="36"/>
        <v>60603886.800000004</v>
      </c>
    </row>
    <row r="94" spans="1:14" s="264" customFormat="1" ht="13.5" customHeight="1">
      <c r="A94" s="161" t="s">
        <v>405</v>
      </c>
      <c r="B94" s="162"/>
      <c r="C94" s="163"/>
      <c r="D94" s="163"/>
      <c r="E94" s="265"/>
      <c r="F94" s="953">
        <f>SUM(G94:I94)</f>
        <v>199864000</v>
      </c>
      <c r="G94" s="960">
        <f t="shared" ref="G94:N94" si="37">ROUND((G68+G87)*G97*G95,-3)+G96</f>
        <v>69043000</v>
      </c>
      <c r="H94" s="160">
        <f t="shared" si="37"/>
        <v>66792000</v>
      </c>
      <c r="I94" s="961">
        <f t="shared" si="37"/>
        <v>64029000</v>
      </c>
      <c r="J94" s="662">
        <f t="shared" si="37"/>
        <v>55942000</v>
      </c>
      <c r="K94" s="662">
        <f t="shared" si="37"/>
        <v>94272000</v>
      </c>
      <c r="L94" s="662">
        <f t="shared" si="37"/>
        <v>149813000</v>
      </c>
      <c r="M94" s="662">
        <f t="shared" si="37"/>
        <v>168231000</v>
      </c>
      <c r="N94" s="942">
        <f t="shared" si="37"/>
        <v>131753000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>
        <v>1</v>
      </c>
      <c r="H95" s="173">
        <v>1</v>
      </c>
      <c r="I95" s="174">
        <v>1</v>
      </c>
      <c r="J95" s="663">
        <v>1</v>
      </c>
      <c r="K95" s="663">
        <v>1</v>
      </c>
      <c r="L95" s="663">
        <v>1</v>
      </c>
      <c r="M95" s="901">
        <v>1</v>
      </c>
      <c r="N95" s="943">
        <v>1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>
        <v>0</v>
      </c>
      <c r="H96" s="175">
        <v>0</v>
      </c>
      <c r="I96" s="176">
        <v>0</v>
      </c>
      <c r="J96" s="664">
        <v>0</v>
      </c>
      <c r="K96" s="664">
        <v>0</v>
      </c>
      <c r="L96" s="664">
        <v>0</v>
      </c>
      <c r="M96" s="902">
        <v>0</v>
      </c>
      <c r="N96" s="944">
        <v>0</v>
      </c>
    </row>
    <row r="97" spans="1:14" s="264" customFormat="1" ht="13.5" customHeight="1">
      <c r="A97" s="170" t="s">
        <v>406</v>
      </c>
      <c r="B97" s="164"/>
      <c r="C97" s="165"/>
      <c r="D97" s="165"/>
      <c r="E97" s="269"/>
      <c r="F97" s="954"/>
      <c r="G97" s="964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6.1400000000000003E-2</v>
      </c>
      <c r="H97" s="171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5.9299999999999999E-2</v>
      </c>
      <c r="I97" s="965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5.6899999999999999E-2</v>
      </c>
      <c r="J97" s="665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4.7600000000000003E-2</v>
      </c>
      <c r="K97" s="665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7.3700000000000002E-2</v>
      </c>
      <c r="L97" s="665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407</v>
      </c>
      <c r="C98" s="166"/>
      <c r="D98" s="166"/>
      <c r="E98" s="167"/>
      <c r="F98" s="954"/>
      <c r="G98" s="882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0.98319999999999996</v>
      </c>
      <c r="H98" s="882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0.99350000000000005</v>
      </c>
      <c r="I98" s="883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1.0055000000000001</v>
      </c>
      <c r="J98" s="666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1.0490999999999999</v>
      </c>
      <c r="K98" s="666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0.94630000000000003</v>
      </c>
      <c r="L98" s="666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0.82110000000000005</v>
      </c>
      <c r="M98" s="666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0.77500000000000002</v>
      </c>
      <c r="N98" s="946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0.83679999999999999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408</v>
      </c>
      <c r="C101" s="168"/>
      <c r="D101" s="168"/>
      <c r="E101" s="169"/>
      <c r="F101" s="954"/>
      <c r="G101" s="968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0.96589999999999998</v>
      </c>
      <c r="I101" s="992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0.96450000000000002</v>
      </c>
      <c r="J101" s="993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0.96289999999999998</v>
      </c>
      <c r="K101" s="993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0.95669999999999999</v>
      </c>
      <c r="L101" s="993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0.95079999999999998</v>
      </c>
      <c r="M101" s="993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0.94469999999999998</v>
      </c>
    </row>
    <row r="102" spans="1:14">
      <c r="A102" s="270" t="s">
        <v>154</v>
      </c>
      <c r="B102" s="271"/>
      <c r="C102" s="271"/>
      <c r="D102" s="271"/>
      <c r="E102" s="271"/>
      <c r="F102" s="172">
        <f>SUM(G102:I102)</f>
        <v>0</v>
      </c>
      <c r="G102" s="249">
        <v>0</v>
      </c>
      <c r="H102" s="815">
        <v>0</v>
      </c>
      <c r="I102" s="949">
        <v>0</v>
      </c>
      <c r="J102" s="660">
        <v>0</v>
      </c>
      <c r="K102" s="808">
        <v>0</v>
      </c>
      <c r="L102" s="808">
        <v>0</v>
      </c>
      <c r="M102" s="899">
        <v>0</v>
      </c>
      <c r="N102" s="809">
        <v>0</v>
      </c>
    </row>
    <row r="103" spans="1:14">
      <c r="A103" s="272" t="s">
        <v>155</v>
      </c>
      <c r="B103" s="209"/>
      <c r="C103" s="209"/>
      <c r="D103" s="209"/>
      <c r="E103" s="209"/>
      <c r="F103" s="950">
        <v>0</v>
      </c>
      <c r="G103" s="273"/>
      <c r="H103" s="274"/>
      <c r="I103" s="275"/>
      <c r="J103" s="660">
        <v>0</v>
      </c>
      <c r="K103" s="808">
        <v>0</v>
      </c>
      <c r="L103" s="808">
        <v>0</v>
      </c>
      <c r="M103" s="899">
        <v>0</v>
      </c>
      <c r="N103" s="809">
        <v>0</v>
      </c>
    </row>
    <row r="104" spans="1:14" ht="14.25" thickBot="1">
      <c r="A104" s="276" t="s">
        <v>415</v>
      </c>
      <c r="B104" s="277"/>
      <c r="C104" s="277"/>
      <c r="D104" s="277"/>
      <c r="E104" s="277"/>
      <c r="F104" s="951">
        <v>0</v>
      </c>
      <c r="G104" s="278"/>
      <c r="H104" s="279"/>
      <c r="I104" s="280"/>
      <c r="J104" s="667">
        <v>0</v>
      </c>
      <c r="K104" s="826">
        <v>0</v>
      </c>
      <c r="L104" s="826">
        <v>0</v>
      </c>
      <c r="M104" s="903">
        <v>0</v>
      </c>
      <c r="N104" s="827">
        <v>0</v>
      </c>
    </row>
    <row r="105" spans="1:14" ht="14.25" thickBot="1">
      <c r="A105" s="202" t="s">
        <v>409</v>
      </c>
      <c r="B105" s="203"/>
      <c r="C105" s="203"/>
      <c r="D105" s="203"/>
      <c r="E105" s="203"/>
      <c r="F105" s="281">
        <f>F92+F93-F94+F18+F21-F15+F85+F102+F103-F104</f>
        <v>775178758.6500001</v>
      </c>
      <c r="G105" s="282"/>
      <c r="H105" s="283"/>
      <c r="I105" s="284"/>
      <c r="J105" s="668">
        <f>J92+J93-J94+G18+G21-G15+J85+J102+J103-J104</f>
        <v>293431844.66000003</v>
      </c>
      <c r="K105" s="828">
        <f>K92+K93-K94+H18+H21-H15+K85+K102+K103-K104</f>
        <v>297862595.75</v>
      </c>
      <c r="L105" s="828">
        <f>L92+L93-L94+I18+I21-I15+L85+L102+L103-L104</f>
        <v>292571000.64000005</v>
      </c>
      <c r="M105" s="904">
        <f>M92+M93-M94+J18+J21-J15+M85+M102+M103-M104</f>
        <v>280743598.41000003</v>
      </c>
      <c r="N105" s="829">
        <f>N92+N93-N94+K18+K21-K15+N85+N102+N103-N104</f>
        <v>276152472.76000005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>
        <v>0.96</v>
      </c>
      <c r="G106" s="286"/>
      <c r="H106" s="287"/>
      <c r="I106" s="288"/>
      <c r="J106" s="669">
        <v>0.96</v>
      </c>
      <c r="K106" s="830">
        <v>0.96</v>
      </c>
      <c r="L106" s="830">
        <v>0.96</v>
      </c>
      <c r="M106" s="905">
        <v>0.96</v>
      </c>
      <c r="N106" s="831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5" t="s">
        <v>350</v>
      </c>
      <c r="G109" s="1116"/>
      <c r="H109" s="1116"/>
      <c r="I109" s="1117"/>
      <c r="J109" s="1109" t="s">
        <v>382</v>
      </c>
      <c r="K109" s="1109" t="s">
        <v>323</v>
      </c>
      <c r="L109" s="1109" t="s">
        <v>322</v>
      </c>
      <c r="M109" s="1113" t="s">
        <v>321</v>
      </c>
      <c r="N109" s="1111" t="s">
        <v>348</v>
      </c>
    </row>
    <row r="110" spans="1:14" ht="14.25" thickBot="1">
      <c r="A110" s="232"/>
      <c r="F110" s="233" t="s">
        <v>150</v>
      </c>
      <c r="G110" s="234" t="s">
        <v>361</v>
      </c>
      <c r="H110" s="235" t="s">
        <v>360</v>
      </c>
      <c r="I110" s="236" t="s">
        <v>359</v>
      </c>
      <c r="J110" s="1118"/>
      <c r="K110" s="1110"/>
      <c r="L110" s="1110"/>
      <c r="M110" s="1114"/>
      <c r="N110" s="1112"/>
    </row>
    <row r="111" spans="1:14">
      <c r="A111" s="132" t="s">
        <v>158</v>
      </c>
      <c r="B111" s="85"/>
      <c r="C111" s="85"/>
      <c r="D111" s="85"/>
      <c r="E111" s="289"/>
      <c r="F111" s="629">
        <f>SUM(G111:I111)</f>
        <v>9611</v>
      </c>
      <c r="G111" s="290">
        <f>'1_推計値サマリ'!G12</f>
        <v>3231</v>
      </c>
      <c r="H111" s="290">
        <f>'1_推計値サマリ'!H12</f>
        <v>3203</v>
      </c>
      <c r="I111" s="291">
        <f>'1_推計値サマリ'!I12</f>
        <v>3177</v>
      </c>
      <c r="J111" s="649">
        <f>'1_推計値サマリ'!K12</f>
        <v>3149</v>
      </c>
      <c r="K111" s="832">
        <f>'1_推計値サマリ'!M12</f>
        <v>2967</v>
      </c>
      <c r="L111" s="832">
        <f>'1_推計値サマリ'!O12</f>
        <v>2835</v>
      </c>
      <c r="M111" s="906">
        <f>'1_推計値サマリ'!Q12</f>
        <v>2639</v>
      </c>
      <c r="N111" s="833">
        <f>'1_推計値サマリ'!S12</f>
        <v>2494</v>
      </c>
    </row>
    <row r="112" spans="1:14">
      <c r="A112" s="84"/>
      <c r="B112" s="135" t="s">
        <v>159</v>
      </c>
      <c r="C112" s="136"/>
      <c r="D112" s="136"/>
      <c r="E112" s="141"/>
      <c r="F112" s="630">
        <f>SUM(G112:I112)</f>
        <v>3949</v>
      </c>
      <c r="G112" s="253">
        <v>1385</v>
      </c>
      <c r="H112" s="253">
        <v>1316</v>
      </c>
      <c r="I112" s="292">
        <v>1248</v>
      </c>
      <c r="J112" s="646">
        <v>1179</v>
      </c>
      <c r="K112" s="391">
        <v>945</v>
      </c>
      <c r="L112" s="391">
        <v>944</v>
      </c>
      <c r="M112" s="907">
        <v>941</v>
      </c>
      <c r="N112" s="834">
        <v>917</v>
      </c>
    </row>
    <row r="113" spans="1:14">
      <c r="A113" s="84"/>
      <c r="B113" s="157" t="s">
        <v>237</v>
      </c>
      <c r="C113" s="293"/>
      <c r="D113" s="293"/>
      <c r="E113" s="294"/>
      <c r="F113" s="295">
        <f>SUM(F114:F115)</f>
        <v>5662</v>
      </c>
      <c r="G113" s="296">
        <f>SUM(G114:G115)</f>
        <v>1846</v>
      </c>
      <c r="H113" s="296">
        <f t="shared" ref="H113:J113" si="38">SUM(H114:H115)</f>
        <v>1887</v>
      </c>
      <c r="I113" s="297">
        <f t="shared" si="38"/>
        <v>1929</v>
      </c>
      <c r="J113" s="650">
        <f t="shared" si="38"/>
        <v>1970</v>
      </c>
      <c r="K113" s="835">
        <f t="shared" ref="K113:M113" si="39">SUM(K114:K115)</f>
        <v>2022</v>
      </c>
      <c r="L113" s="835">
        <f t="shared" si="39"/>
        <v>1891</v>
      </c>
      <c r="M113" s="908">
        <f t="shared" si="39"/>
        <v>1698</v>
      </c>
      <c r="N113" s="836">
        <f t="shared" ref="N113" si="40">SUM(N114:N115)</f>
        <v>1577</v>
      </c>
    </row>
    <row r="114" spans="1:14">
      <c r="A114" s="84"/>
      <c r="B114" s="158"/>
      <c r="C114" s="136" t="s">
        <v>224</v>
      </c>
      <c r="D114" s="136"/>
      <c r="E114" s="141"/>
      <c r="F114" s="630">
        <f>SUM(G114:I114)</f>
        <v>3815</v>
      </c>
      <c r="G114" s="253">
        <v>1225</v>
      </c>
      <c r="H114" s="253">
        <v>1271</v>
      </c>
      <c r="I114" s="292">
        <v>1319</v>
      </c>
      <c r="J114" s="646">
        <v>1365</v>
      </c>
      <c r="K114" s="391">
        <v>1263</v>
      </c>
      <c r="L114" s="391">
        <v>998</v>
      </c>
      <c r="M114" s="907">
        <v>818</v>
      </c>
      <c r="N114" s="834">
        <v>826</v>
      </c>
    </row>
    <row r="115" spans="1:14">
      <c r="A115" s="84"/>
      <c r="B115" s="159"/>
      <c r="C115" s="136" t="s">
        <v>221</v>
      </c>
      <c r="D115" s="136"/>
      <c r="E115" s="141"/>
      <c r="F115" s="630">
        <f>SUM(G115:I115)</f>
        <v>1847</v>
      </c>
      <c r="G115" s="253">
        <v>621</v>
      </c>
      <c r="H115" s="253">
        <v>616</v>
      </c>
      <c r="I115" s="292">
        <v>610</v>
      </c>
      <c r="J115" s="646">
        <v>605</v>
      </c>
      <c r="K115" s="391">
        <v>759</v>
      </c>
      <c r="L115" s="391">
        <v>893</v>
      </c>
      <c r="M115" s="907">
        <v>880</v>
      </c>
      <c r="N115" s="834">
        <v>751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>
        <f t="shared" ref="F117" si="41">IF(F$111&gt;0,F134/F$111,0)</f>
        <v>0.13983976693372177</v>
      </c>
      <c r="G117" s="990">
        <f t="shared" ref="G117:N117" si="42">IF(G$111&gt;0,G134/G$111,0)</f>
        <v>0.13896626431445372</v>
      </c>
      <c r="H117" s="990">
        <f t="shared" si="42"/>
        <v>0.13986887293162659</v>
      </c>
      <c r="I117" s="989">
        <f t="shared" si="42"/>
        <v>0.14069877242681775</v>
      </c>
      <c r="J117" s="301">
        <f t="shared" si="42"/>
        <v>0.14163226421086059</v>
      </c>
      <c r="K117" s="301">
        <f t="shared" si="42"/>
        <v>0.1459386585776879</v>
      </c>
      <c r="L117" s="301">
        <f t="shared" si="42"/>
        <v>0.15026455026455027</v>
      </c>
      <c r="M117" s="301">
        <f t="shared" si="42"/>
        <v>0.15422508525956802</v>
      </c>
      <c r="N117" s="991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>
        <f t="shared" ref="F118:F132" si="43">IF(F$111&gt;0,F135/F$111,0)</f>
        <v>9.3330558734783062E-2</v>
      </c>
      <c r="G118" s="990">
        <f t="shared" ref="G118:N118" si="44">IF(G$111&gt;0,G135/G$111,0)</f>
        <v>9.2231507273290006E-2</v>
      </c>
      <c r="H118" s="990">
        <f t="shared" si="44"/>
        <v>9.3349984389634724E-2</v>
      </c>
      <c r="I118" s="989">
        <f t="shared" si="44"/>
        <v>9.442870632672333E-2</v>
      </c>
      <c r="J118" s="301">
        <f t="shared" si="44"/>
        <v>9.558590028580502E-2</v>
      </c>
      <c r="K118" s="301">
        <f t="shared" si="44"/>
        <v>0.10077519379844961</v>
      </c>
      <c r="L118" s="301">
        <f t="shared" si="44"/>
        <v>0.10652557319223986</v>
      </c>
      <c r="M118" s="301">
        <f t="shared" si="44"/>
        <v>0.11178476695718075</v>
      </c>
      <c r="N118" s="991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>
        <f t="shared" si="43"/>
        <v>9.4891270419311211E-2</v>
      </c>
      <c r="G119" s="990">
        <f t="shared" ref="G119:N119" si="45">IF(G$111&gt;0,G136/G$111,0)</f>
        <v>9.4707520891364902E-2</v>
      </c>
      <c r="H119" s="990">
        <f t="shared" si="45"/>
        <v>9.4911020917889485E-2</v>
      </c>
      <c r="I119" s="989">
        <f t="shared" si="45"/>
        <v>9.5058231035568153E-2</v>
      </c>
      <c r="J119" s="301">
        <f t="shared" si="45"/>
        <v>9.5268339155287388E-2</v>
      </c>
      <c r="K119" s="301">
        <f t="shared" si="45"/>
        <v>9.6056622851365014E-2</v>
      </c>
      <c r="L119" s="301">
        <f t="shared" si="45"/>
        <v>9.6649029982363313E-2</v>
      </c>
      <c r="M119" s="301">
        <f t="shared" si="45"/>
        <v>9.7385373247442217E-2</v>
      </c>
      <c r="N119" s="991">
        <f t="shared" si="45"/>
        <v>9.7433841218925427E-2</v>
      </c>
    </row>
    <row r="120" spans="1:14">
      <c r="A120" s="84"/>
      <c r="B120" s="133"/>
      <c r="C120" s="35" t="s">
        <v>124</v>
      </c>
      <c r="D120" s="128"/>
      <c r="E120" s="139"/>
      <c r="F120" s="301">
        <f t="shared" si="43"/>
        <v>0.12392050775153469</v>
      </c>
      <c r="G120" s="990">
        <f t="shared" ref="G120:N120" si="46">IF(G$111&gt;0,G137/G$111,0)</f>
        <v>0.12380068090374496</v>
      </c>
      <c r="H120" s="990">
        <f t="shared" si="46"/>
        <v>0.12394630034342803</v>
      </c>
      <c r="I120" s="989">
        <f t="shared" si="46"/>
        <v>0.12401636764242996</v>
      </c>
      <c r="J120" s="301">
        <f t="shared" si="46"/>
        <v>0.12416640203239124</v>
      </c>
      <c r="K120" s="301">
        <f t="shared" si="46"/>
        <v>0.12537917087967643</v>
      </c>
      <c r="L120" s="301">
        <f t="shared" si="46"/>
        <v>0.12627865961199294</v>
      </c>
      <c r="M120" s="301">
        <f t="shared" si="46"/>
        <v>0.1273209549071618</v>
      </c>
      <c r="N120" s="991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>
        <f t="shared" si="43"/>
        <v>0.20330870877119966</v>
      </c>
      <c r="G121" s="990">
        <f t="shared" ref="G121:N121" si="47">IF(G$111&gt;0,G138/G$111,0)</f>
        <v>0.20612813370473537</v>
      </c>
      <c r="H121" s="990">
        <f t="shared" si="47"/>
        <v>0.20324695597876991</v>
      </c>
      <c r="I121" s="989">
        <f t="shared" si="47"/>
        <v>0.20050361976707587</v>
      </c>
      <c r="J121" s="301">
        <f t="shared" si="47"/>
        <v>0.19784058431248014</v>
      </c>
      <c r="K121" s="301">
        <f t="shared" si="47"/>
        <v>0.18402426693629928</v>
      </c>
      <c r="L121" s="301">
        <f t="shared" si="47"/>
        <v>0.17001763668430336</v>
      </c>
      <c r="M121" s="301">
        <f t="shared" si="47"/>
        <v>0.1557408109132247</v>
      </c>
      <c r="N121" s="991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>
        <f t="shared" si="43"/>
        <v>0.13911143481427532</v>
      </c>
      <c r="G122" s="990">
        <f t="shared" ref="G122:N122" si="48">IF(G$111&gt;0,G139/G$111,0)</f>
        <v>0.13865676261219437</v>
      </c>
      <c r="H122" s="990">
        <f t="shared" si="48"/>
        <v>0.1392444583203247</v>
      </c>
      <c r="I122" s="989">
        <f t="shared" si="48"/>
        <v>0.1394397230091281</v>
      </c>
      <c r="J122" s="301">
        <f t="shared" si="48"/>
        <v>0.14004445855827247</v>
      </c>
      <c r="K122" s="301">
        <f t="shared" si="48"/>
        <v>0.14189416919447254</v>
      </c>
      <c r="L122" s="301">
        <f t="shared" si="48"/>
        <v>0.14391534391534391</v>
      </c>
      <c r="M122" s="301">
        <f t="shared" si="48"/>
        <v>0.14550966275104207</v>
      </c>
      <c r="N122" s="991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>
        <f t="shared" si="43"/>
        <v>0.11903027780667985</v>
      </c>
      <c r="G123" s="990">
        <f t="shared" ref="G123:N123" si="49">IF(G$111&gt;0,G140/G$111,0)</f>
        <v>0.11822965026307644</v>
      </c>
      <c r="H123" s="990">
        <f t="shared" si="49"/>
        <v>0.1189509834530128</v>
      </c>
      <c r="I123" s="989">
        <f t="shared" si="49"/>
        <v>0.11992445703493862</v>
      </c>
      <c r="J123" s="301">
        <f t="shared" si="49"/>
        <v>0.12067322959669737</v>
      </c>
      <c r="K123" s="301">
        <f t="shared" si="49"/>
        <v>0.12470508931580722</v>
      </c>
      <c r="L123" s="301">
        <f t="shared" si="49"/>
        <v>0.1291005291005291</v>
      </c>
      <c r="M123" s="301">
        <f t="shared" si="49"/>
        <v>0.13300492610837439</v>
      </c>
      <c r="N123" s="991">
        <f t="shared" si="49"/>
        <v>0.13632718524458701</v>
      </c>
    </row>
    <row r="124" spans="1:14">
      <c r="A124" s="84"/>
      <c r="B124" s="133"/>
      <c r="C124" s="35" t="s">
        <v>227</v>
      </c>
      <c r="D124" s="128"/>
      <c r="E124" s="139"/>
      <c r="F124" s="301">
        <f t="shared" si="43"/>
        <v>5.9827281240245549E-2</v>
      </c>
      <c r="G124" s="990">
        <f t="shared" ref="G124:N124" si="50">IF(G$111&gt;0,G141/G$111,0)</f>
        <v>5.8805323429278862E-2</v>
      </c>
      <c r="H124" s="990">
        <f t="shared" si="50"/>
        <v>5.9943802684982832E-2</v>
      </c>
      <c r="I124" s="989">
        <f t="shared" si="50"/>
        <v>6.0749134403525341E-2</v>
      </c>
      <c r="J124" s="301">
        <f t="shared" si="50"/>
        <v>6.1606859320419177E-2</v>
      </c>
      <c r="K124" s="301">
        <f t="shared" si="50"/>
        <v>6.6059993259184366E-2</v>
      </c>
      <c r="L124" s="301">
        <f t="shared" si="50"/>
        <v>7.0546737213403876E-2</v>
      </c>
      <c r="M124" s="301">
        <f t="shared" si="50"/>
        <v>7.4649488442591894E-2</v>
      </c>
      <c r="N124" s="991">
        <f t="shared" si="50"/>
        <v>7.858861267040898E-2</v>
      </c>
    </row>
    <row r="125" spans="1:14">
      <c r="A125" s="84"/>
      <c r="B125" s="133"/>
      <c r="C125" s="35" t="s">
        <v>228</v>
      </c>
      <c r="D125" s="128"/>
      <c r="E125" s="139"/>
      <c r="F125" s="301">
        <f t="shared" si="43"/>
        <v>2.6740193528248881E-2</v>
      </c>
      <c r="G125" s="990">
        <f t="shared" ref="G125:N125" si="51">IF(G$111&gt;0,G142/G$111,0)</f>
        <v>2.8474156607861342E-2</v>
      </c>
      <c r="H125" s="990">
        <f t="shared" si="51"/>
        <v>2.6537620980330939E-2</v>
      </c>
      <c r="I125" s="989">
        <f t="shared" si="51"/>
        <v>2.5180988353792885E-2</v>
      </c>
      <c r="J125" s="301">
        <f t="shared" si="51"/>
        <v>2.31819625277866E-2</v>
      </c>
      <c r="K125" s="301">
        <f t="shared" si="51"/>
        <v>1.5166835187057633E-2</v>
      </c>
      <c r="L125" s="301">
        <f t="shared" si="51"/>
        <v>6.7019400352733684E-3</v>
      </c>
      <c r="M125" s="301">
        <f t="shared" si="51"/>
        <v>3.7893141341417203E-4</v>
      </c>
      <c r="N125" s="991">
        <f t="shared" si="51"/>
        <v>0</v>
      </c>
    </row>
    <row r="126" spans="1:14">
      <c r="A126" s="84"/>
      <c r="B126" s="133"/>
      <c r="C126" s="35" t="s">
        <v>331</v>
      </c>
      <c r="D126" s="128"/>
      <c r="E126" s="139"/>
      <c r="F126" s="301">
        <f t="shared" si="43"/>
        <v>0</v>
      </c>
      <c r="G126" s="990">
        <f t="shared" ref="G126:N126" si="52">IF(G$111&gt;0,G143/G$111,0)</f>
        <v>0</v>
      </c>
      <c r="H126" s="990">
        <f t="shared" si="52"/>
        <v>0</v>
      </c>
      <c r="I126" s="989">
        <f t="shared" si="52"/>
        <v>0</v>
      </c>
      <c r="J126" s="301">
        <f t="shared" si="52"/>
        <v>0</v>
      </c>
      <c r="K126" s="301">
        <f t="shared" si="52"/>
        <v>0</v>
      </c>
      <c r="L126" s="301">
        <f t="shared" si="52"/>
        <v>0</v>
      </c>
      <c r="M126" s="301">
        <f t="shared" si="52"/>
        <v>0</v>
      </c>
      <c r="N126" s="991">
        <f t="shared" si="52"/>
        <v>0</v>
      </c>
    </row>
    <row r="127" spans="1:14">
      <c r="A127" s="84"/>
      <c r="B127" s="133"/>
      <c r="C127" s="35" t="s">
        <v>332</v>
      </c>
      <c r="D127" s="128"/>
      <c r="E127" s="139"/>
      <c r="F127" s="301">
        <f t="shared" si="43"/>
        <v>0</v>
      </c>
      <c r="G127" s="990">
        <f t="shared" ref="G127:N127" si="53">IF(G$111&gt;0,G144/G$111,0)</f>
        <v>0</v>
      </c>
      <c r="H127" s="990">
        <f t="shared" si="53"/>
        <v>0</v>
      </c>
      <c r="I127" s="989">
        <f t="shared" si="53"/>
        <v>0</v>
      </c>
      <c r="J127" s="301">
        <f t="shared" si="53"/>
        <v>0</v>
      </c>
      <c r="K127" s="301">
        <f>IF(K$111&gt;0,K144/K$111,0)</f>
        <v>0</v>
      </c>
      <c r="L127" s="301">
        <f t="shared" si="53"/>
        <v>0</v>
      </c>
      <c r="M127" s="301">
        <f t="shared" si="53"/>
        <v>0</v>
      </c>
      <c r="N127" s="991">
        <f t="shared" si="53"/>
        <v>0</v>
      </c>
    </row>
    <row r="128" spans="1:14">
      <c r="A128" s="84"/>
      <c r="B128" s="133"/>
      <c r="C128" s="35" t="s">
        <v>333</v>
      </c>
      <c r="D128" s="128"/>
      <c r="E128" s="139"/>
      <c r="F128" s="301">
        <f t="shared" si="43"/>
        <v>0</v>
      </c>
      <c r="G128" s="990">
        <f t="shared" ref="G128:N128" si="54">IF(G$111&gt;0,G145/G$111,0)</f>
        <v>0</v>
      </c>
      <c r="H128" s="990">
        <f t="shared" si="54"/>
        <v>0</v>
      </c>
      <c r="I128" s="989">
        <f t="shared" si="54"/>
        <v>0</v>
      </c>
      <c r="J128" s="301">
        <f t="shared" si="54"/>
        <v>0</v>
      </c>
      <c r="K128" s="301">
        <f>IF(K$111&gt;0,K145/K$111,0)</f>
        <v>0</v>
      </c>
      <c r="L128" s="301">
        <f t="shared" si="54"/>
        <v>0</v>
      </c>
      <c r="M128" s="301">
        <f t="shared" si="54"/>
        <v>0</v>
      </c>
      <c r="N128" s="991">
        <f t="shared" si="54"/>
        <v>0</v>
      </c>
    </row>
    <row r="129" spans="1:14">
      <c r="A129" s="84"/>
      <c r="B129" s="133"/>
      <c r="C129" s="35" t="s">
        <v>341</v>
      </c>
      <c r="D129" s="128"/>
      <c r="E129" s="139"/>
      <c r="F129" s="301">
        <f t="shared" si="43"/>
        <v>0</v>
      </c>
      <c r="G129" s="990">
        <f t="shared" ref="G129:N129" si="55">IF(G$111&gt;0,G146/G$111,0)</f>
        <v>0</v>
      </c>
      <c r="H129" s="990">
        <f t="shared" si="55"/>
        <v>0</v>
      </c>
      <c r="I129" s="989">
        <f t="shared" si="55"/>
        <v>0</v>
      </c>
      <c r="J129" s="301">
        <f t="shared" si="55"/>
        <v>0</v>
      </c>
      <c r="K129" s="301">
        <f>IF(K$111&gt;0,K146/K$111,0)</f>
        <v>0</v>
      </c>
      <c r="L129" s="301">
        <f t="shared" si="55"/>
        <v>0</v>
      </c>
      <c r="M129" s="301">
        <f t="shared" si="55"/>
        <v>0</v>
      </c>
      <c r="N129" s="991">
        <f t="shared" si="55"/>
        <v>0</v>
      </c>
    </row>
    <row r="130" spans="1:14" hidden="1">
      <c r="A130" s="84"/>
      <c r="B130" s="133"/>
      <c r="C130" s="35"/>
      <c r="D130" s="128"/>
      <c r="E130" s="139"/>
      <c r="F130" s="301">
        <f t="shared" si="43"/>
        <v>0</v>
      </c>
      <c r="G130" s="990">
        <f>IF(G$111&gt;0,G147/G$111,0)</f>
        <v>0</v>
      </c>
      <c r="H130" s="990">
        <f t="shared" ref="H130:N130" si="56">IF(H$111&gt;0,H147/H$111,0)</f>
        <v>0</v>
      </c>
      <c r="I130" s="989">
        <f t="shared" si="56"/>
        <v>0</v>
      </c>
      <c r="J130" s="301">
        <f t="shared" si="56"/>
        <v>0</v>
      </c>
      <c r="K130" s="301">
        <f>IF(K$111&gt;0,K147/K$111,0)</f>
        <v>0</v>
      </c>
      <c r="L130" s="301">
        <f t="shared" si="56"/>
        <v>0</v>
      </c>
      <c r="M130" s="301">
        <f t="shared" si="56"/>
        <v>0</v>
      </c>
      <c r="N130" s="991">
        <f t="shared" si="56"/>
        <v>0</v>
      </c>
    </row>
    <row r="131" spans="1:14" hidden="1">
      <c r="A131" s="84"/>
      <c r="B131" s="133"/>
      <c r="C131" s="35"/>
      <c r="D131" s="128"/>
      <c r="E131" s="139"/>
      <c r="F131" s="301">
        <f t="shared" si="43"/>
        <v>0</v>
      </c>
      <c r="G131" s="990">
        <f>IF(G$111&gt;0,G148/G$111,0)</f>
        <v>0</v>
      </c>
      <c r="H131" s="990">
        <f t="shared" ref="H131:N131" si="57">IF(H$111&gt;0,H148/H$111,0)</f>
        <v>0</v>
      </c>
      <c r="I131" s="989">
        <f t="shared" si="57"/>
        <v>0</v>
      </c>
      <c r="J131" s="301">
        <f t="shared" si="57"/>
        <v>0</v>
      </c>
      <c r="K131" s="301">
        <f>IF(K$111&gt;0,K148/K$111,0)</f>
        <v>0</v>
      </c>
      <c r="L131" s="301">
        <f t="shared" si="57"/>
        <v>0</v>
      </c>
      <c r="M131" s="301">
        <f t="shared" si="57"/>
        <v>0</v>
      </c>
      <c r="N131" s="991">
        <f t="shared" si="57"/>
        <v>0</v>
      </c>
    </row>
    <row r="132" spans="1:14">
      <c r="A132" s="84"/>
      <c r="B132" s="133"/>
      <c r="C132" s="35" t="s">
        <v>36</v>
      </c>
      <c r="D132" s="128"/>
      <c r="E132" s="139"/>
      <c r="F132" s="301">
        <f t="shared" si="43"/>
        <v>1</v>
      </c>
      <c r="G132" s="990">
        <f>IF(G$111&gt;0,G149/G$111,0)</f>
        <v>1</v>
      </c>
      <c r="H132" s="990">
        <f t="shared" ref="H132:N132" si="58">IF(H$111&gt;0,H149/H$111,0)</f>
        <v>1</v>
      </c>
      <c r="I132" s="989">
        <f t="shared" si="58"/>
        <v>1</v>
      </c>
      <c r="J132" s="301">
        <f t="shared" si="58"/>
        <v>1</v>
      </c>
      <c r="K132" s="301">
        <f t="shared" si="58"/>
        <v>1</v>
      </c>
      <c r="L132" s="301">
        <f t="shared" si="58"/>
        <v>1</v>
      </c>
      <c r="M132" s="301">
        <f t="shared" si="58"/>
        <v>1</v>
      </c>
      <c r="N132" s="991">
        <f t="shared" si="58"/>
        <v>1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>
        <f>SUM(G134:I134)</f>
        <v>1344</v>
      </c>
      <c r="G134" s="253">
        <v>449</v>
      </c>
      <c r="H134" s="253">
        <v>448</v>
      </c>
      <c r="I134" s="292">
        <v>447</v>
      </c>
      <c r="J134" s="646">
        <v>446</v>
      </c>
      <c r="K134" s="391">
        <v>433</v>
      </c>
      <c r="L134" s="391">
        <v>426</v>
      </c>
      <c r="M134" s="907">
        <v>407</v>
      </c>
      <c r="N134" s="834">
        <v>393</v>
      </c>
    </row>
    <row r="135" spans="1:14">
      <c r="A135" s="84"/>
      <c r="B135" s="307"/>
      <c r="C135" s="135" t="s">
        <v>162</v>
      </c>
      <c r="D135" s="136"/>
      <c r="E135" s="141"/>
      <c r="F135" s="630">
        <f t="shared" ref="F135:F142" si="59">SUM(G135:I135)</f>
        <v>897</v>
      </c>
      <c r="G135" s="253">
        <v>298</v>
      </c>
      <c r="H135" s="253">
        <v>299</v>
      </c>
      <c r="I135" s="292">
        <v>300</v>
      </c>
      <c r="J135" s="646">
        <v>301</v>
      </c>
      <c r="K135" s="391">
        <v>299</v>
      </c>
      <c r="L135" s="391">
        <v>302</v>
      </c>
      <c r="M135" s="907">
        <v>295</v>
      </c>
      <c r="N135" s="834">
        <v>291</v>
      </c>
    </row>
    <row r="136" spans="1:14">
      <c r="A136" s="84"/>
      <c r="B136" s="307"/>
      <c r="C136" s="135" t="s">
        <v>123</v>
      </c>
      <c r="D136" s="136"/>
      <c r="E136" s="141"/>
      <c r="F136" s="630">
        <f t="shared" si="59"/>
        <v>912</v>
      </c>
      <c r="G136" s="253">
        <v>306</v>
      </c>
      <c r="H136" s="253">
        <v>304</v>
      </c>
      <c r="I136" s="292">
        <v>302</v>
      </c>
      <c r="J136" s="646">
        <v>300</v>
      </c>
      <c r="K136" s="391">
        <v>285</v>
      </c>
      <c r="L136" s="391">
        <v>274</v>
      </c>
      <c r="M136" s="907">
        <v>257</v>
      </c>
      <c r="N136" s="834">
        <v>243</v>
      </c>
    </row>
    <row r="137" spans="1:14">
      <c r="A137" s="84"/>
      <c r="B137" s="307"/>
      <c r="C137" s="135" t="s">
        <v>124</v>
      </c>
      <c r="D137" s="136"/>
      <c r="E137" s="141"/>
      <c r="F137" s="630">
        <f t="shared" si="59"/>
        <v>1191</v>
      </c>
      <c r="G137" s="253">
        <v>400</v>
      </c>
      <c r="H137" s="253">
        <v>397</v>
      </c>
      <c r="I137" s="292">
        <v>394</v>
      </c>
      <c r="J137" s="646">
        <v>391</v>
      </c>
      <c r="K137" s="391">
        <v>372</v>
      </c>
      <c r="L137" s="391">
        <v>358</v>
      </c>
      <c r="M137" s="907">
        <v>336</v>
      </c>
      <c r="N137" s="834">
        <v>317</v>
      </c>
    </row>
    <row r="138" spans="1:14">
      <c r="A138" s="84"/>
      <c r="B138" s="307"/>
      <c r="C138" s="135" t="s">
        <v>125</v>
      </c>
      <c r="D138" s="136"/>
      <c r="E138" s="141"/>
      <c r="F138" s="630">
        <f t="shared" si="59"/>
        <v>1954</v>
      </c>
      <c r="G138" s="253">
        <v>666</v>
      </c>
      <c r="H138" s="253">
        <v>651</v>
      </c>
      <c r="I138" s="292">
        <v>637</v>
      </c>
      <c r="J138" s="646">
        <v>623</v>
      </c>
      <c r="K138" s="391">
        <v>546</v>
      </c>
      <c r="L138" s="391">
        <v>482</v>
      </c>
      <c r="M138" s="907">
        <v>411</v>
      </c>
      <c r="N138" s="834">
        <v>349</v>
      </c>
    </row>
    <row r="139" spans="1:14">
      <c r="A139" s="84"/>
      <c r="B139" s="307"/>
      <c r="C139" s="135" t="s">
        <v>232</v>
      </c>
      <c r="D139" s="136"/>
      <c r="E139" s="141"/>
      <c r="F139" s="630">
        <f t="shared" si="59"/>
        <v>1337</v>
      </c>
      <c r="G139" s="253">
        <v>448</v>
      </c>
      <c r="H139" s="253">
        <v>446</v>
      </c>
      <c r="I139" s="292">
        <v>443</v>
      </c>
      <c r="J139" s="646">
        <v>441</v>
      </c>
      <c r="K139" s="391">
        <v>421</v>
      </c>
      <c r="L139" s="391">
        <v>408</v>
      </c>
      <c r="M139" s="907">
        <v>384</v>
      </c>
      <c r="N139" s="834">
        <v>365</v>
      </c>
    </row>
    <row r="140" spans="1:14">
      <c r="A140" s="84"/>
      <c r="B140" s="307"/>
      <c r="C140" s="135" t="s">
        <v>233</v>
      </c>
      <c r="D140" s="136"/>
      <c r="E140" s="141"/>
      <c r="F140" s="630">
        <f t="shared" si="59"/>
        <v>1144</v>
      </c>
      <c r="G140" s="253">
        <v>382</v>
      </c>
      <c r="H140" s="253">
        <v>381</v>
      </c>
      <c r="I140" s="292">
        <v>381</v>
      </c>
      <c r="J140" s="646">
        <v>380</v>
      </c>
      <c r="K140" s="391">
        <v>370</v>
      </c>
      <c r="L140" s="391">
        <v>366</v>
      </c>
      <c r="M140" s="907">
        <v>351</v>
      </c>
      <c r="N140" s="834">
        <v>340</v>
      </c>
    </row>
    <row r="141" spans="1:14">
      <c r="A141" s="84"/>
      <c r="B141" s="307"/>
      <c r="C141" s="135" t="s">
        <v>234</v>
      </c>
      <c r="D141" s="136"/>
      <c r="E141" s="141"/>
      <c r="F141" s="630">
        <f t="shared" si="59"/>
        <v>575</v>
      </c>
      <c r="G141" s="253">
        <v>190</v>
      </c>
      <c r="H141" s="253">
        <v>192</v>
      </c>
      <c r="I141" s="292">
        <v>193</v>
      </c>
      <c r="J141" s="646">
        <v>194</v>
      </c>
      <c r="K141" s="391">
        <v>196</v>
      </c>
      <c r="L141" s="391">
        <v>200</v>
      </c>
      <c r="M141" s="907">
        <v>197</v>
      </c>
      <c r="N141" s="834">
        <v>196</v>
      </c>
    </row>
    <row r="142" spans="1:14">
      <c r="A142" s="84"/>
      <c r="B142" s="307"/>
      <c r="C142" s="135" t="s">
        <v>235</v>
      </c>
      <c r="D142" s="136"/>
      <c r="E142" s="141"/>
      <c r="F142" s="630">
        <f t="shared" si="59"/>
        <v>257</v>
      </c>
      <c r="G142" s="253">
        <v>92</v>
      </c>
      <c r="H142" s="253">
        <v>85</v>
      </c>
      <c r="I142" s="292">
        <v>80</v>
      </c>
      <c r="J142" s="646">
        <v>73</v>
      </c>
      <c r="K142" s="391">
        <v>45</v>
      </c>
      <c r="L142" s="391">
        <v>19</v>
      </c>
      <c r="M142" s="907">
        <v>1</v>
      </c>
      <c r="N142" s="834">
        <v>0</v>
      </c>
    </row>
    <row r="143" spans="1:14">
      <c r="A143" s="84"/>
      <c r="B143" s="307"/>
      <c r="C143" s="135" t="s">
        <v>331</v>
      </c>
      <c r="D143" s="136"/>
      <c r="E143" s="141"/>
      <c r="F143" s="630">
        <f t="shared" ref="F143" si="60">SUM(G143:I143)</f>
        <v>0</v>
      </c>
      <c r="G143" s="253">
        <v>0</v>
      </c>
      <c r="H143" s="253">
        <v>0</v>
      </c>
      <c r="I143" s="292">
        <v>0</v>
      </c>
      <c r="J143" s="646">
        <v>0</v>
      </c>
      <c r="K143" s="391">
        <v>0</v>
      </c>
      <c r="L143" s="391">
        <v>0</v>
      </c>
      <c r="M143" s="907">
        <v>0</v>
      </c>
      <c r="N143" s="834">
        <v>0</v>
      </c>
    </row>
    <row r="144" spans="1:14">
      <c r="A144" s="84"/>
      <c r="B144" s="307"/>
      <c r="C144" s="135" t="s">
        <v>332</v>
      </c>
      <c r="D144" s="136"/>
      <c r="E144" s="141"/>
      <c r="F144" s="630">
        <f>SUM(G144:I144)</f>
        <v>0</v>
      </c>
      <c r="G144" s="253">
        <v>0</v>
      </c>
      <c r="H144" s="253">
        <v>0</v>
      </c>
      <c r="I144" s="292">
        <v>0</v>
      </c>
      <c r="J144" s="646">
        <v>0</v>
      </c>
      <c r="K144" s="391">
        <v>0</v>
      </c>
      <c r="L144" s="391">
        <v>0</v>
      </c>
      <c r="M144" s="907">
        <v>0</v>
      </c>
      <c r="N144" s="834">
        <v>0</v>
      </c>
    </row>
    <row r="145" spans="1:14">
      <c r="A145" s="84"/>
      <c r="B145" s="307"/>
      <c r="C145" s="135" t="s">
        <v>333</v>
      </c>
      <c r="D145" s="136"/>
      <c r="E145" s="141"/>
      <c r="F145" s="630">
        <f>SUM(G145:I145)</f>
        <v>0</v>
      </c>
      <c r="G145" s="253">
        <v>0</v>
      </c>
      <c r="H145" s="253">
        <v>0</v>
      </c>
      <c r="I145" s="292">
        <v>0</v>
      </c>
      <c r="J145" s="646">
        <v>0</v>
      </c>
      <c r="K145" s="391">
        <v>0</v>
      </c>
      <c r="L145" s="391">
        <v>0</v>
      </c>
      <c r="M145" s="907">
        <v>0</v>
      </c>
      <c r="N145" s="834">
        <v>0</v>
      </c>
    </row>
    <row r="146" spans="1:14">
      <c r="A146" s="84"/>
      <c r="B146" s="307"/>
      <c r="C146" s="135" t="s">
        <v>341</v>
      </c>
      <c r="D146" s="136"/>
      <c r="E146" s="141"/>
      <c r="F146" s="630">
        <f>SUM(G146:I146)</f>
        <v>0</v>
      </c>
      <c r="G146" s="253">
        <v>0</v>
      </c>
      <c r="H146" s="253">
        <v>0</v>
      </c>
      <c r="I146" s="292">
        <v>0</v>
      </c>
      <c r="J146" s="646">
        <v>0</v>
      </c>
      <c r="K146" s="391">
        <v>0</v>
      </c>
      <c r="L146" s="391">
        <v>0</v>
      </c>
      <c r="M146" s="907">
        <v>0</v>
      </c>
      <c r="N146" s="834">
        <v>0</v>
      </c>
    </row>
    <row r="147" spans="1:14" hidden="1">
      <c r="A147" s="84"/>
      <c r="B147" s="307"/>
      <c r="C147" s="135"/>
      <c r="D147" s="136"/>
      <c r="E147" s="141"/>
      <c r="F147" s="630">
        <f>SUM(G147:I147)</f>
        <v>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>
        <f>SUM(G148:I148)</f>
        <v>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>
        <f>SUM(F134:F148)</f>
        <v>9611</v>
      </c>
      <c r="G149" s="311">
        <f>SUM(G134:G148)</f>
        <v>3231</v>
      </c>
      <c r="H149" s="311">
        <f t="shared" ref="H149:M149" si="61">SUM(H134:H148)</f>
        <v>3203</v>
      </c>
      <c r="I149" s="312">
        <f t="shared" si="61"/>
        <v>3177</v>
      </c>
      <c r="J149" s="654">
        <f t="shared" si="61"/>
        <v>3149</v>
      </c>
      <c r="K149" s="843">
        <f t="shared" si="61"/>
        <v>2967</v>
      </c>
      <c r="L149" s="843">
        <f t="shared" si="61"/>
        <v>2835</v>
      </c>
      <c r="M149" s="912">
        <f t="shared" si="61"/>
        <v>2639</v>
      </c>
      <c r="N149" s="844">
        <f>SUM(N134:N148)</f>
        <v>2494</v>
      </c>
    </row>
    <row r="150" spans="1:14">
      <c r="A150" s="84"/>
      <c r="B150" s="1119" t="s">
        <v>164</v>
      </c>
      <c r="C150" s="1120"/>
      <c r="D150" s="1120"/>
      <c r="E150" s="1128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369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370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371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372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373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>
        <f t="shared" ref="F181:N181" si="92">IF(AND(F$111&gt;0,F213&lt;&gt;""),F213/F$111,"")</f>
        <v>0</v>
      </c>
      <c r="G181" s="302">
        <f t="shared" si="92"/>
        <v>0</v>
      </c>
      <c r="H181" s="302">
        <f t="shared" si="92"/>
        <v>0</v>
      </c>
      <c r="I181" s="303">
        <f t="shared" si="92"/>
        <v>0</v>
      </c>
      <c r="J181" s="652">
        <f t="shared" si="92"/>
        <v>0</v>
      </c>
      <c r="K181" s="839">
        <f t="shared" si="92"/>
        <v>0</v>
      </c>
      <c r="L181" s="839">
        <f t="shared" si="92"/>
        <v>0</v>
      </c>
      <c r="M181" s="910">
        <f t="shared" si="92"/>
        <v>0</v>
      </c>
      <c r="N181" s="840">
        <f t="shared" si="92"/>
        <v>0</v>
      </c>
    </row>
    <row r="182" spans="1:14">
      <c r="A182" s="84"/>
      <c r="B182" s="1129" t="s">
        <v>181</v>
      </c>
      <c r="C182" s="1130"/>
      <c r="D182" s="1130"/>
      <c r="E182" s="1131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369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370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371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372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373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>
        <f t="shared" ref="F213:N213" si="96">SUM(F183:F212)</f>
        <v>0</v>
      </c>
      <c r="G213" s="311">
        <f t="shared" si="96"/>
        <v>0</v>
      </c>
      <c r="H213" s="311">
        <f t="shared" si="96"/>
        <v>0</v>
      </c>
      <c r="I213" s="312">
        <f t="shared" si="96"/>
        <v>0</v>
      </c>
      <c r="J213" s="654">
        <f t="shared" si="96"/>
        <v>0</v>
      </c>
      <c r="K213" s="843">
        <f t="shared" si="96"/>
        <v>0</v>
      </c>
      <c r="L213" s="843">
        <f t="shared" si="96"/>
        <v>0</v>
      </c>
      <c r="M213" s="912">
        <f t="shared" si="96"/>
        <v>0</v>
      </c>
      <c r="N213" s="844">
        <f t="shared" si="96"/>
        <v>0</v>
      </c>
    </row>
    <row r="214" spans="1:14">
      <c r="A214" s="84"/>
      <c r="B214" s="1119" t="s">
        <v>410</v>
      </c>
      <c r="C214" s="1120"/>
      <c r="D214" s="1120"/>
      <c r="E214" s="1120"/>
      <c r="F214" s="630">
        <f>SUM(G214:I214)</f>
        <v>9272.1450000000004</v>
      </c>
      <c r="G214" s="254">
        <f t="shared" ref="G214:N214" si="97">SUMPRODUCT(G134:G146,G279:G291)</f>
        <v>3121.165</v>
      </c>
      <c r="H214" s="254">
        <f t="shared" si="97"/>
        <v>3089.7150000000001</v>
      </c>
      <c r="I214" s="315">
        <f t="shared" si="97"/>
        <v>3061.2650000000003</v>
      </c>
      <c r="J214" s="656">
        <f t="shared" si="97"/>
        <v>3029.3150000000001</v>
      </c>
      <c r="K214" s="806">
        <f t="shared" si="97"/>
        <v>2835.98</v>
      </c>
      <c r="L214" s="806">
        <f t="shared" si="97"/>
        <v>2691.6600000000003</v>
      </c>
      <c r="M214" s="898">
        <f t="shared" si="97"/>
        <v>2492.29</v>
      </c>
      <c r="N214" s="807">
        <f t="shared" si="97"/>
        <v>2354.12</v>
      </c>
    </row>
    <row r="215" spans="1:14" ht="14.25" thickBot="1">
      <c r="A215" s="316"/>
      <c r="B215" s="1121" t="s">
        <v>411</v>
      </c>
      <c r="C215" s="1122"/>
      <c r="D215" s="1122"/>
      <c r="E215" s="1122"/>
      <c r="F215" s="317">
        <f>SUM(G215:I215)</f>
        <v>0</v>
      </c>
      <c r="G215" s="318">
        <f t="shared" ref="G215:N215" si="98">SUMPRODUCT(G183:G212,G221:G250)</f>
        <v>0</v>
      </c>
      <c r="H215" s="318">
        <f t="shared" si="98"/>
        <v>0</v>
      </c>
      <c r="I215" s="319">
        <f t="shared" si="98"/>
        <v>0</v>
      </c>
      <c r="J215" s="657">
        <f t="shared" si="98"/>
        <v>0</v>
      </c>
      <c r="K215" s="846">
        <f t="shared" si="98"/>
        <v>0</v>
      </c>
      <c r="L215" s="846">
        <f t="shared" si="98"/>
        <v>0</v>
      </c>
      <c r="M215" s="914">
        <f t="shared" si="98"/>
        <v>0</v>
      </c>
      <c r="N215" s="847">
        <f t="shared" si="98"/>
        <v>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5" t="s">
        <v>350</v>
      </c>
      <c r="G218" s="1116"/>
      <c r="H218" s="1116"/>
      <c r="I218" s="1117"/>
      <c r="J218" s="1109" t="s">
        <v>382</v>
      </c>
      <c r="K218" s="1109" t="s">
        <v>323</v>
      </c>
      <c r="L218" s="1109" t="s">
        <v>322</v>
      </c>
      <c r="M218" s="1113" t="s">
        <v>321</v>
      </c>
      <c r="N218" s="1111" t="s">
        <v>348</v>
      </c>
    </row>
    <row r="219" spans="1:14" ht="14.25" thickBot="1">
      <c r="A219" s="232"/>
      <c r="F219" s="233"/>
      <c r="G219" s="234" t="s">
        <v>361</v>
      </c>
      <c r="H219" s="235" t="s">
        <v>360</v>
      </c>
      <c r="I219" s="236" t="s">
        <v>359</v>
      </c>
      <c r="J219" s="1118"/>
      <c r="K219" s="1110"/>
      <c r="L219" s="1110"/>
      <c r="M219" s="1114"/>
      <c r="N219" s="1112"/>
    </row>
    <row r="220" spans="1:14">
      <c r="A220" s="320" t="s">
        <v>183</v>
      </c>
      <c r="B220" s="321"/>
      <c r="C220" s="321"/>
      <c r="D220" s="321"/>
      <c r="E220" s="321"/>
      <c r="F220" s="320"/>
      <c r="G220" s="322">
        <f>COUNT(G221:G250)</f>
        <v>0</v>
      </c>
      <c r="H220" s="322">
        <f t="shared" ref="H220:N220" si="99">COUNT(H221:H250)</f>
        <v>0</v>
      </c>
      <c r="I220" s="323">
        <f t="shared" si="99"/>
        <v>0</v>
      </c>
      <c r="J220" s="641">
        <f>COUNT(J221:J250)</f>
        <v>0</v>
      </c>
      <c r="K220" s="848">
        <f t="shared" si="99"/>
        <v>0</v>
      </c>
      <c r="L220" s="848">
        <f t="shared" si="99"/>
        <v>0</v>
      </c>
      <c r="M220" s="915">
        <f t="shared" si="99"/>
        <v>0</v>
      </c>
      <c r="N220" s="849">
        <f t="shared" si="99"/>
        <v>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369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370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371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372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373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374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375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376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377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378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379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5" t="s">
        <v>350</v>
      </c>
      <c r="G277" s="1116"/>
      <c r="H277" s="1116"/>
      <c r="I277" s="1117"/>
      <c r="J277" s="1109" t="s">
        <v>382</v>
      </c>
      <c r="K277" s="1109" t="s">
        <v>323</v>
      </c>
      <c r="L277" s="1109" t="s">
        <v>322</v>
      </c>
      <c r="M277" s="1113" t="s">
        <v>321</v>
      </c>
      <c r="N277" s="1111" t="s">
        <v>348</v>
      </c>
    </row>
    <row r="278" spans="1:14" ht="14.25" thickBot="1">
      <c r="A278" s="232"/>
      <c r="F278" s="233"/>
      <c r="G278" s="234" t="s">
        <v>361</v>
      </c>
      <c r="H278" s="235" t="s">
        <v>360</v>
      </c>
      <c r="I278" s="236" t="s">
        <v>359</v>
      </c>
      <c r="J278" s="1118"/>
      <c r="K278" s="1110"/>
      <c r="L278" s="1110"/>
      <c r="M278" s="1114"/>
      <c r="N278" s="1112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334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038">
        <v>4200000</v>
      </c>
    </row>
    <row r="298" spans="1:14">
      <c r="A298" s="232"/>
      <c r="D298" s="981" t="s">
        <v>335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038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038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038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  <mergeCell ref="F277:I277"/>
    <mergeCell ref="J277:J278"/>
    <mergeCell ref="F109:I109"/>
    <mergeCell ref="J109:J110"/>
    <mergeCell ref="K66:K67"/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K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width="2.625" style="862" customWidth="1"/>
    <col min="2" max="2" width="4.25" style="862" customWidth="1"/>
    <col min="3" max="3" width="46.75" style="862" customWidth="1"/>
    <col min="4" max="11" width="13" style="862" customWidth="1"/>
    <col min="12" max="12" width="1.625" style="862" customWidth="1"/>
    <col min="13" max="16384" width="9" style="862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347</v>
      </c>
      <c r="E4" s="864" t="s">
        <v>398</v>
      </c>
      <c r="F4" s="864" t="s">
        <v>327</v>
      </c>
      <c r="G4" s="864" t="s">
        <v>328</v>
      </c>
      <c r="H4" s="864" t="s">
        <v>329</v>
      </c>
      <c r="I4" s="865" t="s">
        <v>343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428</v>
      </c>
      <c r="D7" s="114"/>
    </row>
    <row r="8" spans="2:11" ht="18.75" customHeight="1" thickBot="1">
      <c r="C8" s="694"/>
      <c r="D8" s="690" t="s">
        <v>346</v>
      </c>
      <c r="E8" s="691" t="s">
        <v>345</v>
      </c>
      <c r="F8" s="691" t="s">
        <v>344</v>
      </c>
      <c r="G8" s="691" t="s">
        <v>398</v>
      </c>
      <c r="H8" s="691" t="s">
        <v>327</v>
      </c>
      <c r="I8" s="691" t="s">
        <v>328</v>
      </c>
      <c r="J8" s="928" t="s">
        <v>329</v>
      </c>
      <c r="K8" s="923" t="s">
        <v>343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265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266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267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429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331</v>
      </c>
      <c r="D26" s="987">
        <v>1.15E-2</v>
      </c>
    </row>
    <row r="27" spans="3:4" ht="18.75" customHeight="1">
      <c r="C27" s="115" t="s">
        <v>332</v>
      </c>
      <c r="D27" s="987">
        <v>6.1000000000000004E-3</v>
      </c>
    </row>
    <row r="28" spans="3:4" ht="18.75" customHeight="1">
      <c r="C28" s="115" t="s">
        <v>342</v>
      </c>
      <c r="D28" s="987">
        <v>3.8999999999999998E-3</v>
      </c>
    </row>
    <row r="29" spans="3:4" ht="18.75" customHeight="1" thickBot="1">
      <c r="C29" s="986" t="s">
        <v>341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339</v>
      </c>
      <c r="D34" s="120">
        <v>1</v>
      </c>
    </row>
    <row r="35" spans="2:4" ht="18.75" customHeight="1" thickBot="1">
      <c r="C35" s="121" t="s">
        <v>340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曹福泉</dc:creator>
  <cp:lastModifiedBy>直也 髙橋</cp:lastModifiedBy>
  <cp:lastPrinted>2023-03-02T06:26:57Z</cp:lastPrinted>
  <dcterms:created xsi:type="dcterms:W3CDTF">2015-10-28T05:07:20Z</dcterms:created>
  <dcterms:modified xsi:type="dcterms:W3CDTF">2026-09-09T00:51:43Z</dcterms:modified>
</cp:coreProperties>
</file>