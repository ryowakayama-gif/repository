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新しいフォルダー\"/>
    </mc:Choice>
  </mc:AlternateContent>
  <bookViews>
    <workbookView xWindow="-120" yWindow="-120" windowWidth="29040" windowHeight="15990" tabRatio="705" activeTab="4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'2_サービス別給付費'!$A$1:$U$165</definedName>
    <definedName name="_xlnm.Print_Area" localSheetId="2">'3_地域支援事業費'!$A$1:$L$56</definedName>
    <definedName name="_xlnm.Print_Area" localSheetId="3">'4_施策反映の解説'!$A$1:$L$47</definedName>
    <definedName name="_xlnm.Print_Area" localSheetId="4">'5_保険料推計'!$A$1:$Q$278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81029"/>
</workbook>
</file>

<file path=xl/calcChain.xml><?xml version="1.0" encoding="utf-8"?>
<calcChain xmlns="http://schemas.openxmlformats.org/spreadsheetml/2006/main">
  <c r="N101" i="8" l="1"/>
  <c r="L144" i="1"/>
  <c r="T2" i="10"/>
  <c r="S62" i="1"/>
  <c r="Q62" i="1"/>
  <c r="O62" i="1"/>
  <c r="M62" i="1"/>
  <c r="K62" i="1"/>
  <c r="I62" i="1"/>
  <c r="H62" i="1"/>
  <c r="G62" i="1"/>
  <c r="N107" i="8" l="1"/>
  <c r="G201" i="8"/>
  <c r="N200" i="8"/>
  <c r="M200" i="8"/>
  <c r="L200" i="8"/>
  <c r="K200" i="8"/>
  <c r="J200" i="8"/>
  <c r="I200" i="8"/>
  <c r="H200" i="8"/>
  <c r="G200" i="8"/>
  <c r="G147" i="10"/>
  <c r="H147" i="10"/>
  <c r="I147" i="10"/>
  <c r="J147" i="10"/>
  <c r="K147" i="10"/>
  <c r="L147" i="10"/>
  <c r="M147" i="10"/>
  <c r="N147" i="10"/>
  <c r="D147" i="10"/>
  <c r="Q5" i="8"/>
  <c r="Q4" i="8"/>
  <c r="Q3" i="8"/>
  <c r="K5" i="3"/>
  <c r="K4" i="3"/>
  <c r="K3" i="3"/>
  <c r="L5" i="11"/>
  <c r="L4" i="11"/>
  <c r="L3" i="11"/>
  <c r="S5" i="10"/>
  <c r="S4" i="10"/>
  <c r="S3" i="10"/>
  <c r="K233" i="8"/>
  <c r="L233" i="8" s="1"/>
  <c r="M233" i="8" s="1"/>
  <c r="N233" i="8" s="1"/>
  <c r="K234" i="8"/>
  <c r="L234" i="8" s="1"/>
  <c r="M234" i="8" s="1"/>
  <c r="N234" i="8" s="1"/>
  <c r="K235" i="8"/>
  <c r="L235" i="8" s="1"/>
  <c r="M235" i="8" s="1"/>
  <c r="N235" i="8" s="1"/>
  <c r="K236" i="8"/>
  <c r="L236" i="8" s="1"/>
  <c r="M236" i="8" s="1"/>
  <c r="N236" i="8" s="1"/>
  <c r="K237" i="8"/>
  <c r="L237" i="8" s="1"/>
  <c r="M237" i="8" s="1"/>
  <c r="N237" i="8" s="1"/>
  <c r="K238" i="8"/>
  <c r="L238" i="8" s="1"/>
  <c r="M238" i="8" s="1"/>
  <c r="N238" i="8" s="1"/>
  <c r="K239" i="8"/>
  <c r="L239" i="8" s="1"/>
  <c r="M239" i="8" s="1"/>
  <c r="N239" i="8" s="1"/>
  <c r="K240" i="8"/>
  <c r="L240" i="8" s="1"/>
  <c r="M240" i="8" s="1"/>
  <c r="N240" i="8" s="1"/>
  <c r="K241" i="8"/>
  <c r="L241" i="8" s="1"/>
  <c r="M241" i="8" s="1"/>
  <c r="N241" i="8" s="1"/>
  <c r="K242" i="8"/>
  <c r="L242" i="8" s="1"/>
  <c r="M242" i="8" s="1"/>
  <c r="N242" i="8" s="1"/>
  <c r="K243" i="8"/>
  <c r="L243" i="8" s="1"/>
  <c r="M243" i="8" s="1"/>
  <c r="N243" i="8" s="1"/>
  <c r="K244" i="8"/>
  <c r="L244" i="8" s="1"/>
  <c r="M244" i="8" s="1"/>
  <c r="N244" i="8" s="1"/>
  <c r="K245" i="8"/>
  <c r="L245" i="8" s="1"/>
  <c r="M245" i="8" s="1"/>
  <c r="N245" i="8" s="1"/>
  <c r="K246" i="8"/>
  <c r="L246" i="8" s="1"/>
  <c r="M246" i="8" s="1"/>
  <c r="N246" i="8" s="1"/>
  <c r="K247" i="8"/>
  <c r="L247" i="8" s="1"/>
  <c r="M247" i="8" s="1"/>
  <c r="N247" i="8" s="1"/>
  <c r="K248" i="8"/>
  <c r="L248" i="8" s="1"/>
  <c r="M248" i="8" s="1"/>
  <c r="N248" i="8" s="1"/>
  <c r="K249" i="8"/>
  <c r="L249" i="8" s="1"/>
  <c r="M249" i="8" s="1"/>
  <c r="N249" i="8" s="1"/>
  <c r="K250" i="8"/>
  <c r="L250" i="8" s="1"/>
  <c r="M250" i="8" s="1"/>
  <c r="N250" i="8" s="1"/>
  <c r="K232" i="8"/>
  <c r="L232" i="8" s="1"/>
  <c r="M232" i="8" s="1"/>
  <c r="N232" i="8" s="1"/>
  <c r="N76" i="8"/>
  <c r="M76" i="8"/>
  <c r="L76" i="8"/>
  <c r="K76" i="8"/>
  <c r="J76" i="8"/>
  <c r="I76" i="8"/>
  <c r="H76" i="8"/>
  <c r="G76" i="8"/>
  <c r="N73" i="8"/>
  <c r="M73" i="8"/>
  <c r="L73" i="8"/>
  <c r="K73" i="8"/>
  <c r="J73" i="8"/>
  <c r="I73" i="8"/>
  <c r="H73" i="8"/>
  <c r="G73" i="8"/>
  <c r="N145" i="8" l="1"/>
  <c r="N97" i="8" s="1"/>
  <c r="N93" i="8" s="1"/>
  <c r="G145" i="8"/>
  <c r="G97" i="8" s="1"/>
  <c r="F144" i="8"/>
  <c r="F143" i="8"/>
  <c r="F142" i="8"/>
  <c r="F141" i="8"/>
  <c r="F140" i="8"/>
  <c r="S140" i="10" l="1"/>
  <c r="Q140" i="10"/>
  <c r="O140" i="10"/>
  <c r="M140" i="10"/>
  <c r="K140" i="10"/>
  <c r="H140" i="10"/>
  <c r="I140" i="10"/>
  <c r="G140" i="10"/>
  <c r="S41" i="1" l="1"/>
  <c r="S40" i="1"/>
  <c r="S64" i="1" l="1"/>
  <c r="S63" i="1"/>
  <c r="F161" i="10" l="1"/>
  <c r="E161" i="10"/>
  <c r="D161" i="10"/>
  <c r="I161" i="10"/>
  <c r="H161" i="10"/>
  <c r="G161" i="10"/>
  <c r="K161" i="10" s="1"/>
  <c r="F72" i="8"/>
  <c r="H145" i="8" l="1"/>
  <c r="H97" i="8" s="1"/>
  <c r="I145" i="8"/>
  <c r="I97" i="8" s="1"/>
  <c r="J145" i="8"/>
  <c r="J97" i="8" s="1"/>
  <c r="K145" i="8"/>
  <c r="K97" i="8" s="1"/>
  <c r="K93" i="8" s="1"/>
  <c r="L145" i="8"/>
  <c r="L97" i="8" s="1"/>
  <c r="L93" i="8" s="1"/>
  <c r="M145" i="8"/>
  <c r="M97" i="8" s="1"/>
  <c r="M93" i="8" s="1"/>
  <c r="F139" i="8"/>
  <c r="J128" i="10"/>
  <c r="J127" i="10"/>
  <c r="T128" i="10"/>
  <c r="R128" i="10"/>
  <c r="P128" i="10"/>
  <c r="N128" i="10"/>
  <c r="L128" i="10"/>
  <c r="T127" i="10"/>
  <c r="R127" i="10"/>
  <c r="P127" i="10"/>
  <c r="N127" i="10"/>
  <c r="L127" i="10"/>
  <c r="K83" i="8" l="1"/>
  <c r="K80" i="8" s="1"/>
  <c r="L83" i="8"/>
  <c r="L80" i="8" s="1"/>
  <c r="M83" i="8"/>
  <c r="M80" i="8" s="1"/>
  <c r="N83" i="8"/>
  <c r="N80" i="8" s="1"/>
  <c r="J83" i="8"/>
  <c r="J80" i="8" s="1"/>
  <c r="H83" i="8"/>
  <c r="H80" i="8" s="1"/>
  <c r="I83" i="8"/>
  <c r="I80" i="8" s="1"/>
  <c r="G83" i="8"/>
  <c r="G80" i="8" s="1"/>
  <c r="F98" i="8"/>
  <c r="F82" i="8"/>
  <c r="F79" i="8"/>
  <c r="F78" i="8"/>
  <c r="F77" i="8"/>
  <c r="F75" i="8"/>
  <c r="F74" i="8"/>
  <c r="F71" i="8"/>
  <c r="L53" i="11"/>
  <c r="N87" i="8" s="1"/>
  <c r="L52" i="11"/>
  <c r="N86" i="8" s="1"/>
  <c r="L51" i="11"/>
  <c r="N153" i="10"/>
  <c r="N155" i="10" s="1"/>
  <c r="N149" i="10"/>
  <c r="N148" i="10"/>
  <c r="T139" i="10"/>
  <c r="T138" i="10"/>
  <c r="T131" i="10"/>
  <c r="T132" i="10"/>
  <c r="T133" i="10"/>
  <c r="T134" i="10"/>
  <c r="T135" i="10"/>
  <c r="T130" i="10"/>
  <c r="T126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07" i="10"/>
  <c r="T105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66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S59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N124" i="8" l="1"/>
  <c r="N117" i="8"/>
  <c r="N119" i="8"/>
  <c r="N120" i="8"/>
  <c r="N121" i="8"/>
  <c r="N122" i="8"/>
  <c r="N128" i="8"/>
  <c r="N125" i="8"/>
  <c r="N123" i="8"/>
  <c r="N126" i="8"/>
  <c r="N113" i="8"/>
  <c r="N114" i="8"/>
  <c r="N115" i="8"/>
  <c r="N116" i="8"/>
  <c r="N118" i="8"/>
  <c r="N127" i="8"/>
  <c r="F76" i="8"/>
  <c r="L54" i="11"/>
  <c r="N85" i="8"/>
  <c r="N84" i="8" s="1"/>
  <c r="F73" i="8"/>
  <c r="F83" i="8"/>
  <c r="N146" i="10"/>
  <c r="N70" i="8" s="1"/>
  <c r="N69" i="8" s="1"/>
  <c r="S65" i="1"/>
  <c r="F80" i="8"/>
  <c r="S42" i="1"/>
  <c r="H16" i="8"/>
  <c r="I16" i="8"/>
  <c r="J16" i="8"/>
  <c r="K16" i="8"/>
  <c r="N206" i="8"/>
  <c r="N201" i="8"/>
  <c r="K45" i="8"/>
  <c r="N199" i="8"/>
  <c r="N109" i="8"/>
  <c r="N94" i="8" s="1"/>
  <c r="N171" i="8"/>
  <c r="K46" i="8" l="1"/>
  <c r="K60" i="8"/>
  <c r="K62" i="8"/>
  <c r="K57" i="8"/>
  <c r="K48" i="8"/>
  <c r="K50" i="8"/>
  <c r="K58" i="8"/>
  <c r="S85" i="1"/>
  <c r="N148" i="8"/>
  <c r="N152" i="8"/>
  <c r="N156" i="8"/>
  <c r="N160" i="8"/>
  <c r="N164" i="8"/>
  <c r="N168" i="8"/>
  <c r="N172" i="8"/>
  <c r="N149" i="8"/>
  <c r="N153" i="8"/>
  <c r="N157" i="8"/>
  <c r="N161" i="8"/>
  <c r="N165" i="8"/>
  <c r="N169" i="8"/>
  <c r="N150" i="8"/>
  <c r="N154" i="8"/>
  <c r="N158" i="8"/>
  <c r="N162" i="8"/>
  <c r="N166" i="8"/>
  <c r="N170" i="8"/>
  <c r="N147" i="8"/>
  <c r="N151" i="8"/>
  <c r="N155" i="8"/>
  <c r="N159" i="8"/>
  <c r="N163" i="8"/>
  <c r="N167" i="8"/>
  <c r="I41" i="1"/>
  <c r="M161" i="10" l="1"/>
  <c r="L161" i="10"/>
  <c r="D53" i="11" l="1"/>
  <c r="C53" i="11"/>
  <c r="B53" i="11"/>
  <c r="D52" i="11"/>
  <c r="C52" i="11"/>
  <c r="B52" i="11"/>
  <c r="D51" i="11"/>
  <c r="C51" i="11"/>
  <c r="B51" i="11"/>
  <c r="D54" i="11" l="1"/>
  <c r="B54" i="11"/>
  <c r="C54" i="11"/>
  <c r="K51" i="11"/>
  <c r="M85" i="8" s="1"/>
  <c r="E53" i="11"/>
  <c r="G87" i="8" s="1"/>
  <c r="E52" i="11"/>
  <c r="G86" i="8" s="1"/>
  <c r="J51" i="11"/>
  <c r="L85" i="8" s="1"/>
  <c r="I51" i="11"/>
  <c r="K85" i="8" s="1"/>
  <c r="H51" i="11"/>
  <c r="J85" i="8" s="1"/>
  <c r="G51" i="11"/>
  <c r="I85" i="8" s="1"/>
  <c r="F51" i="11"/>
  <c r="H85" i="8" s="1"/>
  <c r="E51" i="11"/>
  <c r="G85" i="8" s="1"/>
  <c r="G84" i="8" l="1"/>
  <c r="F85" i="8"/>
  <c r="K53" i="11"/>
  <c r="M87" i="8" s="1"/>
  <c r="K52" i="11"/>
  <c r="M86" i="8" s="1"/>
  <c r="M84" i="8" s="1"/>
  <c r="J53" i="11"/>
  <c r="L87" i="8" s="1"/>
  <c r="J52" i="11"/>
  <c r="L86" i="8" s="1"/>
  <c r="I53" i="11"/>
  <c r="K87" i="8" s="1"/>
  <c r="I52" i="11"/>
  <c r="K86" i="8" s="1"/>
  <c r="K84" i="8" s="1"/>
  <c r="H53" i="11"/>
  <c r="J87" i="8" s="1"/>
  <c r="H52" i="11"/>
  <c r="J86" i="8" s="1"/>
  <c r="J84" i="8" s="1"/>
  <c r="G53" i="11"/>
  <c r="I87" i="8" s="1"/>
  <c r="G52" i="11"/>
  <c r="I86" i="8" s="1"/>
  <c r="I84" i="8" s="1"/>
  <c r="F53" i="11"/>
  <c r="H87" i="8" s="1"/>
  <c r="F52" i="11"/>
  <c r="H86" i="8" s="1"/>
  <c r="H84" i="8" s="1"/>
  <c r="L84" i="8" l="1"/>
  <c r="F87" i="8"/>
  <c r="F84" i="8"/>
  <c r="F86" i="8"/>
  <c r="F54" i="11"/>
  <c r="G54" i="11"/>
  <c r="K54" i="11"/>
  <c r="J54" i="11"/>
  <c r="H54" i="11" l="1"/>
  <c r="I54" i="11"/>
  <c r="E54" i="11" l="1"/>
  <c r="L2" i="3" l="1"/>
  <c r="M107" i="8"/>
  <c r="L107" i="8"/>
  <c r="K107" i="8"/>
  <c r="M123" i="8" l="1"/>
  <c r="M126" i="8"/>
  <c r="M127" i="8"/>
  <c r="M124" i="8"/>
  <c r="M113" i="8"/>
  <c r="M114" i="8"/>
  <c r="M115" i="8"/>
  <c r="M116" i="8"/>
  <c r="M117" i="8"/>
  <c r="M118" i="8"/>
  <c r="M119" i="8"/>
  <c r="M120" i="8"/>
  <c r="M121" i="8"/>
  <c r="M122" i="8"/>
  <c r="M128" i="8"/>
  <c r="M125" i="8"/>
  <c r="K126" i="8"/>
  <c r="K127" i="8"/>
  <c r="K123" i="8"/>
  <c r="K113" i="8"/>
  <c r="K114" i="8"/>
  <c r="K115" i="8"/>
  <c r="K116" i="8"/>
  <c r="K121" i="8"/>
  <c r="K122" i="8"/>
  <c r="K128" i="8"/>
  <c r="K125" i="8"/>
  <c r="K124" i="8"/>
  <c r="K117" i="8"/>
  <c r="K118" i="8"/>
  <c r="K119" i="8"/>
  <c r="K120" i="8"/>
  <c r="L113" i="8"/>
  <c r="L114" i="8"/>
  <c r="L115" i="8"/>
  <c r="L116" i="8"/>
  <c r="L117" i="8"/>
  <c r="L118" i="8"/>
  <c r="L119" i="8"/>
  <c r="L120" i="8"/>
  <c r="L121" i="8"/>
  <c r="L122" i="8"/>
  <c r="L128" i="8"/>
  <c r="L123" i="8"/>
  <c r="L125" i="8"/>
  <c r="L127" i="8"/>
  <c r="L124" i="8"/>
  <c r="L126" i="8"/>
  <c r="M206" i="8"/>
  <c r="M201" i="8"/>
  <c r="M199" i="8"/>
  <c r="M172" i="8" s="1"/>
  <c r="M169" i="8"/>
  <c r="M165" i="8"/>
  <c r="M161" i="8"/>
  <c r="M157" i="8"/>
  <c r="M153" i="8"/>
  <c r="M149" i="8"/>
  <c r="M109" i="8"/>
  <c r="M94" i="8" s="1"/>
  <c r="L206" i="8"/>
  <c r="L201" i="8"/>
  <c r="L199" i="8"/>
  <c r="L172" i="8" s="1"/>
  <c r="L169" i="8"/>
  <c r="L165" i="8"/>
  <c r="L161" i="8"/>
  <c r="L157" i="8"/>
  <c r="L153" i="8"/>
  <c r="L149" i="8"/>
  <c r="L109" i="8"/>
  <c r="L94" i="8" s="1"/>
  <c r="K206" i="8"/>
  <c r="K201" i="8"/>
  <c r="K199" i="8"/>
  <c r="K172" i="8" s="1"/>
  <c r="K169" i="8"/>
  <c r="K165" i="8"/>
  <c r="K161" i="8"/>
  <c r="K157" i="8"/>
  <c r="K153" i="8"/>
  <c r="K149" i="8"/>
  <c r="K109" i="8"/>
  <c r="K94" i="8" s="1"/>
  <c r="M153" i="10"/>
  <c r="M155" i="10" s="1"/>
  <c r="L153" i="10"/>
  <c r="L155" i="10" s="1"/>
  <c r="K153" i="10"/>
  <c r="K155" i="10" s="1"/>
  <c r="M149" i="10"/>
  <c r="M148" i="10"/>
  <c r="L149" i="10"/>
  <c r="L148" i="10"/>
  <c r="K149" i="10"/>
  <c r="K148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30" i="10"/>
  <c r="R131" i="10"/>
  <c r="R132" i="10"/>
  <c r="R133" i="10"/>
  <c r="R134" i="10"/>
  <c r="R135" i="10"/>
  <c r="R138" i="10"/>
  <c r="R139" i="10"/>
  <c r="R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30" i="10"/>
  <c r="P131" i="10"/>
  <c r="P132" i="10"/>
  <c r="P133" i="10"/>
  <c r="P134" i="10"/>
  <c r="P135" i="10"/>
  <c r="P138" i="10"/>
  <c r="P139" i="10"/>
  <c r="P66" i="10"/>
  <c r="N132" i="10"/>
  <c r="N133" i="10"/>
  <c r="N134" i="10"/>
  <c r="N135" i="10"/>
  <c r="N138" i="10"/>
  <c r="N139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30" i="10"/>
  <c r="N131" i="10"/>
  <c r="N66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Q59" i="10"/>
  <c r="O59" i="10"/>
  <c r="M59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46" i="10"/>
  <c r="K70" i="8" s="1"/>
  <c r="K69" i="8" s="1"/>
  <c r="M146" i="10"/>
  <c r="M70" i="8" s="1"/>
  <c r="M69" i="8" s="1"/>
  <c r="L146" i="10"/>
  <c r="L70" i="8" s="1"/>
  <c r="L69" i="8" s="1"/>
  <c r="O65" i="1"/>
  <c r="M150" i="8"/>
  <c r="M154" i="8"/>
  <c r="M158" i="8"/>
  <c r="M162" i="8"/>
  <c r="M166" i="8"/>
  <c r="M170" i="8"/>
  <c r="M147" i="8"/>
  <c r="M151" i="8"/>
  <c r="M155" i="8"/>
  <c r="M159" i="8"/>
  <c r="M163" i="8"/>
  <c r="M167" i="8"/>
  <c r="M171" i="8"/>
  <c r="M148" i="8"/>
  <c r="M152" i="8"/>
  <c r="M156" i="8"/>
  <c r="M160" i="8"/>
  <c r="M164" i="8"/>
  <c r="M168" i="8"/>
  <c r="L150" i="8"/>
  <c r="L154" i="8"/>
  <c r="L158" i="8"/>
  <c r="L162" i="8"/>
  <c r="L166" i="8"/>
  <c r="L170" i="8"/>
  <c r="L147" i="8"/>
  <c r="L151" i="8"/>
  <c r="L155" i="8"/>
  <c r="L159" i="8"/>
  <c r="L163" i="8"/>
  <c r="L167" i="8"/>
  <c r="L171" i="8"/>
  <c r="L148" i="8"/>
  <c r="L152" i="8"/>
  <c r="L156" i="8"/>
  <c r="L160" i="8"/>
  <c r="L164" i="8"/>
  <c r="L168" i="8"/>
  <c r="K150" i="8"/>
  <c r="K154" i="8"/>
  <c r="K158" i="8"/>
  <c r="K162" i="8"/>
  <c r="K166" i="8"/>
  <c r="K170" i="8"/>
  <c r="K147" i="8"/>
  <c r="K151" i="8"/>
  <c r="K155" i="8"/>
  <c r="K159" i="8"/>
  <c r="K163" i="8"/>
  <c r="K167" i="8"/>
  <c r="K171" i="8"/>
  <c r="K148" i="8"/>
  <c r="K152" i="8"/>
  <c r="K156" i="8"/>
  <c r="K160" i="8"/>
  <c r="K164" i="8"/>
  <c r="K168" i="8"/>
  <c r="Q65" i="1"/>
  <c r="M65" i="1"/>
  <c r="K68" i="8" l="1"/>
  <c r="K88" i="8" s="1"/>
  <c r="L68" i="8"/>
  <c r="L88" i="8" s="1"/>
  <c r="M68" i="8"/>
  <c r="M88" i="8" s="1"/>
  <c r="N68" i="8"/>
  <c r="N88" i="8" s="1"/>
  <c r="L90" i="8" l="1"/>
  <c r="L89" i="8"/>
  <c r="M90" i="8"/>
  <c r="J18" i="8"/>
  <c r="M89" i="8"/>
  <c r="K89" i="8"/>
  <c r="K90" i="8"/>
  <c r="K18" i="8"/>
  <c r="K59" i="8" s="1"/>
  <c r="N89" i="8"/>
  <c r="N90" i="8"/>
  <c r="H18" i="8"/>
  <c r="I18" i="8"/>
  <c r="K47" i="8" l="1"/>
  <c r="M101" i="8"/>
  <c r="J1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1" i="8"/>
  <c r="K101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K55" i="8"/>
  <c r="K56" i="8"/>
  <c r="K54" i="8"/>
  <c r="K61" i="8"/>
  <c r="K63" i="8" s="1"/>
  <c r="K26" i="8"/>
  <c r="J17" i="8"/>
  <c r="J20" i="8"/>
  <c r="J22" i="8"/>
  <c r="H26" i="8"/>
  <c r="H28" i="8" s="1"/>
  <c r="H12" i="8"/>
  <c r="I12" i="8"/>
  <c r="I20" i="8" s="1"/>
  <c r="K12" i="8"/>
  <c r="K20" i="8" s="1"/>
  <c r="J13" i="8"/>
  <c r="I26" i="8"/>
  <c r="I28" i="8" s="1"/>
  <c r="Q41" i="1"/>
  <c r="Q40" i="1"/>
  <c r="O41" i="1"/>
  <c r="O40" i="1"/>
  <c r="M41" i="1"/>
  <c r="M40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Q41" i="8" l="1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J36" i="8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6" i="8"/>
  <c r="K35" i="8"/>
  <c r="K34" i="8" s="1"/>
  <c r="K13" i="8"/>
  <c r="K17" i="8"/>
  <c r="H32" i="8"/>
  <c r="H31" i="8" s="1"/>
  <c r="H35" i="8"/>
  <c r="H34" i="8" s="1"/>
  <c r="I17" i="8"/>
  <c r="I22" i="8"/>
  <c r="H33" i="8"/>
  <c r="H29" i="8"/>
  <c r="H30" i="8" s="1"/>
  <c r="I13" i="8"/>
  <c r="H36" i="8"/>
  <c r="H20" i="8"/>
  <c r="H17" i="8"/>
  <c r="H22" i="8"/>
  <c r="K22" i="8"/>
  <c r="H13" i="8"/>
  <c r="I35" i="8"/>
  <c r="I34" i="8" s="1"/>
  <c r="I29" i="8"/>
  <c r="I27" i="8" s="1"/>
  <c r="I33" i="8"/>
  <c r="I32" i="8" s="1"/>
  <c r="I31" i="8" s="1"/>
  <c r="I36" i="8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J30" i="8" l="1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40" i="1"/>
  <c r="H91" i="1" s="1"/>
  <c r="I40" i="1"/>
  <c r="I91" i="1" s="1"/>
  <c r="D41" i="1"/>
  <c r="E41" i="1"/>
  <c r="F41" i="1"/>
  <c r="T41" i="1" s="1"/>
  <c r="G41" i="1"/>
  <c r="H41" i="1"/>
  <c r="K40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3" i="10" l="1"/>
  <c r="D153" i="10"/>
  <c r="D155" i="10" s="1"/>
  <c r="D149" i="10"/>
  <c r="D148" i="10"/>
  <c r="D140" i="10"/>
  <c r="D59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3" i="10" l="1"/>
  <c r="J155" i="10" s="1"/>
  <c r="I153" i="10"/>
  <c r="I155" i="10" s="1"/>
  <c r="H153" i="10"/>
  <c r="H155" i="10" s="1"/>
  <c r="G155" i="10"/>
  <c r="F153" i="10"/>
  <c r="E153" i="10"/>
  <c r="E155" i="10" s="1"/>
  <c r="J149" i="10"/>
  <c r="I149" i="10"/>
  <c r="H149" i="10"/>
  <c r="G149" i="10"/>
  <c r="F149" i="10"/>
  <c r="E149" i="10"/>
  <c r="J148" i="10"/>
  <c r="I148" i="10"/>
  <c r="H148" i="10"/>
  <c r="G148" i="10"/>
  <c r="F148" i="10"/>
  <c r="E148" i="10"/>
  <c r="F147" i="10"/>
  <c r="E147" i="10"/>
  <c r="F140" i="10"/>
  <c r="T140" i="10" s="1"/>
  <c r="E140" i="10"/>
  <c r="K59" i="10"/>
  <c r="I59" i="10"/>
  <c r="H59" i="10"/>
  <c r="G59" i="10"/>
  <c r="F59" i="10"/>
  <c r="T59" i="10" s="1"/>
  <c r="E59" i="10"/>
  <c r="D146" i="10"/>
  <c r="L97" i="10"/>
  <c r="J97" i="10"/>
  <c r="L96" i="10"/>
  <c r="J96" i="10"/>
  <c r="L95" i="10"/>
  <c r="J95" i="10"/>
  <c r="L40" i="10"/>
  <c r="J40" i="10"/>
  <c r="L39" i="10"/>
  <c r="J39" i="10"/>
  <c r="L38" i="10"/>
  <c r="J38" i="10"/>
  <c r="F155" i="10"/>
  <c r="L139" i="10"/>
  <c r="J139" i="10"/>
  <c r="L138" i="10"/>
  <c r="J138" i="10"/>
  <c r="L135" i="10"/>
  <c r="J135" i="10"/>
  <c r="L134" i="10"/>
  <c r="J134" i="10"/>
  <c r="L133" i="10"/>
  <c r="J133" i="10"/>
  <c r="L132" i="10"/>
  <c r="J132" i="10"/>
  <c r="L131" i="10"/>
  <c r="J131" i="10"/>
  <c r="L130" i="10"/>
  <c r="J130" i="10"/>
  <c r="L113" i="10"/>
  <c r="J113" i="10"/>
  <c r="L112" i="10"/>
  <c r="J112" i="10"/>
  <c r="L111" i="10"/>
  <c r="J111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5" i="10"/>
  <c r="J115" i="10"/>
  <c r="L114" i="10"/>
  <c r="J114" i="10"/>
  <c r="L110" i="10"/>
  <c r="J110" i="10"/>
  <c r="L109" i="10"/>
  <c r="J109" i="10"/>
  <c r="L108" i="10"/>
  <c r="J108" i="10"/>
  <c r="L107" i="10"/>
  <c r="J107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9" i="10"/>
  <c r="J99" i="10"/>
  <c r="L98" i="10"/>
  <c r="J98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67" i="10"/>
  <c r="J67" i="10"/>
  <c r="L66" i="10"/>
  <c r="J66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0" i="10" l="1"/>
  <c r="P140" i="10"/>
  <c r="R140" i="10"/>
  <c r="P59" i="10"/>
  <c r="R59" i="10"/>
  <c r="N59" i="10"/>
  <c r="F146" i="10"/>
  <c r="I146" i="10"/>
  <c r="H146" i="10"/>
  <c r="E146" i="10"/>
  <c r="L59" i="10"/>
  <c r="L140" i="10"/>
  <c r="J59" i="10"/>
  <c r="J146" i="10"/>
  <c r="J70" i="8" s="1"/>
  <c r="J69" i="8" s="1"/>
  <c r="J140" i="10"/>
  <c r="G146" i="10"/>
  <c r="G70" i="8" s="1"/>
  <c r="G69" i="8" s="1"/>
  <c r="G93" i="8"/>
  <c r="J199" i="8"/>
  <c r="I199" i="8"/>
  <c r="H199" i="8"/>
  <c r="G199" i="8"/>
  <c r="I70" i="8" l="1"/>
  <c r="H70" i="8"/>
  <c r="J68" i="8"/>
  <c r="O56" i="8"/>
  <c r="N55" i="8"/>
  <c r="N56" i="8"/>
  <c r="O55" i="8"/>
  <c r="F198" i="8"/>
  <c r="H69" i="8" l="1"/>
  <c r="H68" i="8" s="1"/>
  <c r="I69" i="8"/>
  <c r="I68" i="8" s="1"/>
  <c r="F70" i="8"/>
  <c r="G68" i="8"/>
  <c r="G88" i="8" s="1"/>
  <c r="J88" i="8"/>
  <c r="J89" i="8"/>
  <c r="G109" i="8"/>
  <c r="G94" i="8" s="1"/>
  <c r="G107" i="8"/>
  <c r="J109" i="8"/>
  <c r="J94" i="8" s="1"/>
  <c r="I109" i="8"/>
  <c r="I94" i="8" s="1"/>
  <c r="H109" i="8"/>
  <c r="H94" i="8" s="1"/>
  <c r="I89" i="8" l="1"/>
  <c r="I88" i="8"/>
  <c r="H88" i="8"/>
  <c r="H89" i="8"/>
  <c r="G128" i="8"/>
  <c r="G126" i="8"/>
  <c r="G124" i="8"/>
  <c r="G113" i="8"/>
  <c r="G114" i="8"/>
  <c r="G116" i="8"/>
  <c r="G117" i="8"/>
  <c r="G118" i="8"/>
  <c r="G119" i="8"/>
  <c r="G120" i="8"/>
  <c r="G127" i="8"/>
  <c r="G125" i="8"/>
  <c r="G115" i="8"/>
  <c r="G121" i="8"/>
  <c r="G122" i="8"/>
  <c r="G123" i="8"/>
  <c r="F69" i="8"/>
  <c r="G90" i="8"/>
  <c r="F68" i="8"/>
  <c r="G89" i="8"/>
  <c r="G172" i="8"/>
  <c r="G16" i="8"/>
  <c r="F16" i="8"/>
  <c r="F88" i="8" l="1"/>
  <c r="F89" i="8"/>
  <c r="J107" i="8"/>
  <c r="I107" i="8"/>
  <c r="H107" i="8"/>
  <c r="J206" i="8"/>
  <c r="I206" i="8"/>
  <c r="H206" i="8"/>
  <c r="G206" i="8"/>
  <c r="J201" i="8"/>
  <c r="I201" i="8"/>
  <c r="F200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J93" i="8"/>
  <c r="J90" i="8" s="1"/>
  <c r="I93" i="8"/>
  <c r="I90" i="8" s="1"/>
  <c r="H93" i="8"/>
  <c r="H90" i="8" s="1"/>
  <c r="F138" i="8"/>
  <c r="F137" i="8"/>
  <c r="F136" i="8"/>
  <c r="F135" i="8"/>
  <c r="F134" i="8"/>
  <c r="F133" i="8"/>
  <c r="F132" i="8"/>
  <c r="F131" i="8"/>
  <c r="F130" i="8"/>
  <c r="F111" i="8"/>
  <c r="F110" i="8"/>
  <c r="F108" i="8"/>
  <c r="F145" i="8" l="1"/>
  <c r="H113" i="8"/>
  <c r="H114" i="8"/>
  <c r="H115" i="8"/>
  <c r="H116" i="8"/>
  <c r="H117" i="8"/>
  <c r="H118" i="8"/>
  <c r="H119" i="8"/>
  <c r="H120" i="8"/>
  <c r="H121" i="8"/>
  <c r="H122" i="8"/>
  <c r="H123" i="8"/>
  <c r="H126" i="8"/>
  <c r="H128" i="8"/>
  <c r="H125" i="8"/>
  <c r="H127" i="8"/>
  <c r="H124" i="8"/>
  <c r="I124" i="8"/>
  <c r="I127" i="8"/>
  <c r="I113" i="8"/>
  <c r="I114" i="8"/>
  <c r="I115" i="8"/>
  <c r="I116" i="8"/>
  <c r="I117" i="8"/>
  <c r="I118" i="8"/>
  <c r="I119" i="8"/>
  <c r="I120" i="8"/>
  <c r="I121" i="8"/>
  <c r="I122" i="8"/>
  <c r="I123" i="8"/>
  <c r="I126" i="8"/>
  <c r="I128" i="8"/>
  <c r="I125" i="8"/>
  <c r="J125" i="8"/>
  <c r="J127" i="8"/>
  <c r="J114" i="8"/>
  <c r="J115" i="8"/>
  <c r="J116" i="8"/>
  <c r="J126" i="8"/>
  <c r="J124" i="8"/>
  <c r="J113" i="8"/>
  <c r="J117" i="8"/>
  <c r="J118" i="8"/>
  <c r="J119" i="8"/>
  <c r="J120" i="8"/>
  <c r="J121" i="8"/>
  <c r="J122" i="8"/>
  <c r="J123" i="8"/>
  <c r="J128" i="8"/>
  <c r="F90" i="8"/>
  <c r="F41" i="8" s="1"/>
  <c r="F107" i="8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99" i="8"/>
  <c r="F109" i="8"/>
  <c r="H147" i="8"/>
  <c r="I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H149" i="8"/>
  <c r="H151" i="8"/>
  <c r="H153" i="8"/>
  <c r="H155" i="8"/>
  <c r="H157" i="8"/>
  <c r="H159" i="8"/>
  <c r="H161" i="8"/>
  <c r="H163" i="8"/>
  <c r="H165" i="8"/>
  <c r="H167" i="8"/>
  <c r="H169" i="8"/>
  <c r="H171" i="8"/>
  <c r="H148" i="8"/>
  <c r="H150" i="8"/>
  <c r="H152" i="8"/>
  <c r="H154" i="8"/>
  <c r="H156" i="8"/>
  <c r="H158" i="8"/>
  <c r="H160" i="8"/>
  <c r="H162" i="8"/>
  <c r="H164" i="8"/>
  <c r="H166" i="8"/>
  <c r="H168" i="8"/>
  <c r="H170" i="8"/>
  <c r="H172" i="8"/>
  <c r="G149" i="8"/>
  <c r="G155" i="8"/>
  <c r="G158" i="8"/>
  <c r="G160" i="8"/>
  <c r="G162" i="8"/>
  <c r="G164" i="8"/>
  <c r="G166" i="8"/>
  <c r="G168" i="8"/>
  <c r="G170" i="8"/>
  <c r="G148" i="8"/>
  <c r="G150" i="8"/>
  <c r="G151" i="8"/>
  <c r="G152" i="8"/>
  <c r="G153" i="8"/>
  <c r="G154" i="8"/>
  <c r="G156" i="8"/>
  <c r="G157" i="8"/>
  <c r="G159" i="8"/>
  <c r="G161" i="8"/>
  <c r="G163" i="8"/>
  <c r="G165" i="8"/>
  <c r="G167" i="8"/>
  <c r="G169" i="8"/>
  <c r="G171" i="8"/>
  <c r="J147" i="8"/>
  <c r="H201" i="8"/>
  <c r="F201" i="8" s="1"/>
  <c r="F53" i="8" s="1"/>
  <c r="G147" i="8"/>
  <c r="F127" i="8" l="1"/>
  <c r="F123" i="8"/>
  <c r="F119" i="8"/>
  <c r="F115" i="8"/>
  <c r="F121" i="8"/>
  <c r="F124" i="8"/>
  <c r="F116" i="8"/>
  <c r="F126" i="8"/>
  <c r="F122" i="8"/>
  <c r="F118" i="8"/>
  <c r="F114" i="8"/>
  <c r="F125" i="8"/>
  <c r="F117" i="8"/>
  <c r="F128" i="8"/>
  <c r="F120" i="8"/>
  <c r="F55" i="8"/>
  <c r="F54" i="8"/>
  <c r="F56" i="8"/>
  <c r="G56" i="8"/>
  <c r="G55" i="8"/>
  <c r="G54" i="8"/>
  <c r="F62" i="8"/>
  <c r="F60" i="8"/>
  <c r="F57" i="8"/>
  <c r="F58" i="8"/>
  <c r="F147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3" i="8"/>
  <c r="F151" i="8"/>
  <c r="F155" i="8"/>
  <c r="F159" i="8"/>
  <c r="F163" i="8"/>
  <c r="F167" i="8"/>
  <c r="F171" i="8"/>
  <c r="F170" i="8"/>
  <c r="F149" i="8"/>
  <c r="F157" i="8"/>
  <c r="F161" i="8"/>
  <c r="F169" i="8"/>
  <c r="F152" i="8"/>
  <c r="F164" i="8"/>
  <c r="F172" i="8"/>
  <c r="F150" i="8"/>
  <c r="F154" i="8"/>
  <c r="F158" i="8"/>
  <c r="F162" i="8"/>
  <c r="F166" i="8"/>
  <c r="F153" i="8"/>
  <c r="F165" i="8"/>
  <c r="F148" i="8"/>
  <c r="F156" i="8"/>
  <c r="F160" i="8"/>
  <c r="F168" i="8"/>
  <c r="M44" i="8" l="1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1" i="8"/>
  <c r="F12" i="8" s="1"/>
  <c r="J101" i="8"/>
  <c r="G12" i="8" s="1"/>
  <c r="G26" i="8" l="1"/>
  <c r="M54" i="8" l="1"/>
  <c r="M55" i="8"/>
  <c r="M56" i="8"/>
  <c r="M61" i="8"/>
  <c r="M58" i="8"/>
  <c r="M62" i="8"/>
  <c r="M57" i="8"/>
  <c r="M60" i="8"/>
  <c r="M59" i="8"/>
  <c r="F26" i="8"/>
  <c r="F35" i="8" s="1"/>
  <c r="F34" i="8" s="1"/>
  <c r="G17" i="8"/>
  <c r="G20" i="8"/>
  <c r="G22" i="8"/>
  <c r="G13" i="8"/>
  <c r="M53" i="8"/>
  <c r="M63" i="8"/>
  <c r="G33" i="8"/>
  <c r="G32" i="8" s="1"/>
  <c r="G31" i="8" s="1"/>
  <c r="G28" i="8"/>
  <c r="G35" i="8"/>
  <c r="G34" i="8" s="1"/>
  <c r="G29" i="8"/>
  <c r="G36" i="8"/>
  <c r="F13" i="8" l="1"/>
  <c r="F22" i="8"/>
  <c r="F17" i="8"/>
  <c r="F20" i="8"/>
  <c r="L54" i="8"/>
  <c r="F29" i="8"/>
  <c r="F27" i="8" s="1"/>
  <c r="F28" i="8"/>
  <c r="F36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<sst xmlns="http://schemas.openxmlformats.org/spreadsheetml/2006/main" count="993" uniqueCount="450">
  <si>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</si>
  <si>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</si>
  <si>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</si>
  <si>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</si>
  <si>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</si>
  <si>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</si>
  <si>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</si>
  <si>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</si>
  <si>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</si>
  <si>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</si>
  <si>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</si>
  <si>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</si>
  <si>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</si>
  <si>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</si>
  <si>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</si>
  <si>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</si>
  <si>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</si>
  <si>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</si>
  <si>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</si>
  <si>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</si>
  <si>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</si>
  <si>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</si>
  <si>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</si>
  <si>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</si>
  <si>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</si>
  <si>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</si>
  <si>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</si>
  <si>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</si>
  <si>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</si>
  <si>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</si>
  <si>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</si>
  <si>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</si>
  <si>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</si>
  <si>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</si>
  <si>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</si>
  <si>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</si>
  <si>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</si>
  <si>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</si>
  <si>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</si>
  <si>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</si>
  <si>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</si>
  <si>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</si>
  <si>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</si>
  <si>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</si>
  <si>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</si>
  <si>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</si>
  <si>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</si>
  <si>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</si>
  <si>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</si>
  <si>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</si>
  <si>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</si>
  <si>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</si>
  <si>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</si>
  <si>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</si>
  <si>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</si>
  <si>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</si>
  <si>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</si>
  <si>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</si>
  <si>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</si>
  <si>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</si>
  <si>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</si>
  <si>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</si>
  <si>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</si>
  <si>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</si>
  <si>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</si>
  <si>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</si>
  <si>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</si>
  <si>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</si>
  <si>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</si>
  <si>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</si>
  <si>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</si>
  <si>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</si>
  <si>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</si>
  <si>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</si>
  <si>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</si>
  <si>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</si>
  <si>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</si>
  <si>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</si>
  <si>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</si>
  <si>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</si>
  <si>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</si>
  <si>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</si>
  <si>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</si>
  <si>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</si>
  <si>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</si>
  <si>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</si>
  <si>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</si>
  <si>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</si>
  <si>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</si>
  <si>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</si>
  <si>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</si>
  <si>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</si>
  <si>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</si>
  <si>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</si>
  <si>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</si>
  <si>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</si>
  <si>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</si>
  <si>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</si>
  <si>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</si>
  <si>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</si>
  <si>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</si>
  <si>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</si>
  <si>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</si>
  <si>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</si>
  <si>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</si>
  <si>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</si>
  <si>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</si>
  <si>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</si>
  <si>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</si>
  <si>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</si>
  <si>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</si>
  <si>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</si>
  <si>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</si>
  <si>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</si>
  <si>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</si>
  <si>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</si>
  <si>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</si>
  <si>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</si>
  <si>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</si>
  <si>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</si>
  <si>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</si>
  <si>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</si>
  <si>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</si>
  <si>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</si>
  <si>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</si>
  <si>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</si>
  <si>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</si>
  <si>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</si>
  <si>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</si>
  <si>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</si>
  <si>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</si>
  <si>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</si>
  <si>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</si>
  <si>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</si>
  <si>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</si>
  <si>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</si>
  <si>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</si>
  <si>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</si>
  <si>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</si>
  <si>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</si>
  <si>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</si>
  <si>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</si>
  <si>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</si>
  <si>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</si>
  <si>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</si>
  <si>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</si>
  <si>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</si>
  <si>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</si>
  <si>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</si>
  <si>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</si>
  <si>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</si>
  <si>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標準給付費見込額（A）</t>
    <rPh sb="0" eb="2">
      <t>ヒョウジュン</t>
    </rPh>
    <rPh sb="2" eb="5">
      <t>キュウフヒ</t>
    </rPh>
    <rPh sb="5" eb="8">
      <t>ミコミガク</t>
    </rPh>
    <phoneticPr fontId="8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</si>
  <si>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</si>
  <si>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</si>
  <si>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審査支払手数料差引額（K）</t>
    <rPh sb="7" eb="9">
      <t>サシヒキ</t>
    </rPh>
    <rPh sb="9" eb="10">
      <t>ガク</t>
    </rPh>
    <phoneticPr fontId="3"/>
  </si>
  <si>
    <t>地域支援事業費（B)</t>
    <rPh sb="0" eb="2">
      <t>チイキ</t>
    </rPh>
    <rPh sb="2" eb="4">
      <t>シエン</t>
    </rPh>
    <rPh sb="4" eb="7">
      <t>ジギョウヒ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</si>
  <si>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</si>
  <si>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第1号被保険者負担分相当額（D）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</si>
  <si>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調整交付金相当額（E）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</si>
  <si>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</si>
  <si>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</si>
  <si>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保険料収納必要額（L)</t>
    <rPh sb="0" eb="3">
      <t>ホケンリョウ</t>
    </rPh>
    <rPh sb="3" eb="5">
      <t>シュウノウ</t>
    </rPh>
    <rPh sb="5" eb="8">
      <t>ヒツヨウガク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</si>
  <si>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</si>
  <si>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</si>
  <si>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</si>
  <si>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</si>
  <si>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</si>
  <si>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</si>
  <si>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</si>
  <si>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</si>
  <si>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</si>
  <si>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</si>
  <si>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</si>
  <si>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</si>
  <si>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</si>
  <si>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</si>
  <si>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</si>
  <si>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</si>
  <si>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</si>
  <si>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</si>
  <si>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</si>
  <si>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</si>
  <si>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</si>
  <si>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</si>
  <si>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</si>
  <si>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</si>
  <si>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</si>
  <si>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</si>
  <si>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所得段階別加入割合補正後被保険者数（C）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</si>
  <si>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弾力化をした場合の所得段階別加入割合補正後被保険者数（C'）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</si>
  <si>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</si>
  <si>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</si>
  <si>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</si>
  <si>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</si>
  <si>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</si>
  <si>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</si>
  <si>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</si>
  <si>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</si>
  <si>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</si>
  <si>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</si>
  <si>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</si>
  <si>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</si>
  <si>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</si>
  <si>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</si>
  <si>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</si>
  <si>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</si>
  <si>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</si>
  <si>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</si>
  <si>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</si>
  <si>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</si>
  <si>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</si>
  <si>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</si>
  <si>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</si>
  <si>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</si>
  <si>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</si>
  <si>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</si>
  <si>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</si>
  <si>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</si>
  <si>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</si>
  <si>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</si>
  <si>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</si>
  <si>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第24段階と第25段階を区分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</si>
  <si>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</si>
  <si>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</si>
  <si>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</si>
  <si>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介護療養型医療施設</t>
    <rPh sb="0" eb="2">
      <t>カイゴ</t>
    </rPh>
    <rPh sb="2" eb="5">
      <t>リョウヨウガタ</t>
    </rPh>
    <rPh sb="5" eb="7">
      <t>イリョウ</t>
    </rPh>
    <rPh sb="7" eb="9">
      <t>シセツ</t>
    </rPh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</si>
  <si>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</si>
  <si>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</si>
  <si>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</si>
  <si>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</si>
  <si>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</si>
  <si>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</si>
  <si>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</si>
  <si>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</si>
  <si>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</si>
  <si>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</si>
  <si>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</si>
  <si>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</si>
  <si>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</si>
  <si>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</si>
  <si>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</si>
  <si>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</si>
  <si>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</si>
  <si>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</si>
  <si>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</si>
  <si>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</si>
  <si>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</si>
  <si>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</si>
  <si>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後期高齢者加入割合補正係数（F）</t>
  </si>
  <si>
    <t>所得段階別加入割合補正係数（G）</t>
    <phoneticPr fontId="3"/>
  </si>
  <si>
    <t>調整交付金見込額（I）</t>
    <phoneticPr fontId="3"/>
  </si>
  <si>
    <t>調整交付金見込交付割合（H）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</si>
  <si>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</si>
  <si>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令和3年度</t>
    <rPh sb="0" eb="2">
      <t>レイワ</t>
    </rPh>
    <rPh sb="3" eb="5">
      <t>ネンド</t>
    </rPh>
    <phoneticPr fontId="8"/>
  </si>
  <si>
    <t>令和5年度</t>
    <rPh sb="0" eb="2">
      <t>レイワ</t>
    </rPh>
    <rPh sb="3" eb="5">
      <t>ネンド</t>
    </rPh>
    <phoneticPr fontId="8"/>
  </si>
  <si>
    <t>令和7年度</t>
    <rPh sb="0" eb="2">
      <t>レイワ</t>
    </rPh>
    <rPh sb="3" eb="5">
      <t>ネンド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</si>
  <si>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</si>
  <si>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</si>
  <si>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</si>
  <si>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</si>
  <si>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</si>
  <si>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</si>
  <si>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</si>
  <si>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</si>
  <si>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</si>
  <si>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</si>
  <si>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</si>
  <si>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</si>
  <si>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</si>
  <si>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</si>
  <si>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</si>
  <si>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</si>
  <si>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</si>
  <si>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</si>
  <si>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</si>
  <si>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第8期</t>
    <rPh sb="0" eb="1">
      <t>ダイ</t>
    </rPh>
    <rPh sb="2" eb="3">
      <t>キ</t>
    </rPh>
    <phoneticPr fontId="3"/>
  </si>
  <si>
    <t>R7</t>
    <phoneticPr fontId="3"/>
  </si>
  <si>
    <t>R3</t>
    <phoneticPr fontId="3"/>
  </si>
  <si>
    <t>R4</t>
    <phoneticPr fontId="3"/>
  </si>
  <si>
    <t>R5</t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</si>
  <si>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</si>
  <si>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</si>
  <si>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</si>
  <si>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</si>
  <si>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</si>
  <si>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</si>
  <si>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</si>
  <si>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R12</t>
    <phoneticPr fontId="3"/>
  </si>
  <si>
    <t>R17</t>
    <phoneticPr fontId="3"/>
  </si>
  <si>
    <t>R22</t>
    <phoneticPr fontId="3"/>
  </si>
  <si>
    <t>令和12年度</t>
    <rPh sb="0" eb="2">
      <t>レイワ</t>
    </rPh>
    <rPh sb="4" eb="6">
      <t>ネンド</t>
    </rPh>
    <phoneticPr fontId="8"/>
  </si>
  <si>
    <t>令和17年度</t>
    <rPh sb="0" eb="2">
      <t>レイワ</t>
    </rPh>
    <rPh sb="4" eb="6">
      <t>ネンド</t>
    </rPh>
    <phoneticPr fontId="8"/>
  </si>
  <si>
    <t>令和22年度</t>
    <rPh sb="0" eb="2">
      <t>レイワ</t>
    </rPh>
    <rPh sb="4" eb="6">
      <t>ネンド</t>
    </rPh>
    <phoneticPr fontId="8"/>
  </si>
  <si>
    <t>令和12年度</t>
    <rPh sb="0" eb="2">
      <t>レイワ</t>
    </rPh>
    <rPh sb="4" eb="5">
      <t>ネン</t>
    </rPh>
    <rPh sb="5" eb="6">
      <t>ド</t>
    </rPh>
    <phoneticPr fontId="3"/>
  </si>
  <si>
    <t>令和17年度</t>
    <rPh sb="0" eb="2">
      <t>レイワ</t>
    </rPh>
    <rPh sb="4" eb="5">
      <t>ネン</t>
    </rPh>
    <rPh sb="5" eb="6">
      <t>ド</t>
    </rPh>
    <phoneticPr fontId="3"/>
  </si>
  <si>
    <t>令和22年度</t>
    <rPh sb="0" eb="2">
      <t>レイワ</t>
    </rPh>
    <rPh sb="4" eb="5">
      <t>ネン</t>
    </rPh>
    <rPh sb="5" eb="6">
      <t>ド</t>
    </rPh>
    <phoneticPr fontId="3"/>
  </si>
  <si>
    <t>令和12年度</t>
    <rPh sb="0" eb="2">
      <t>レイワ</t>
    </rPh>
    <rPh sb="4" eb="6">
      <t>ネンド</t>
    </rPh>
    <phoneticPr fontId="3"/>
  </si>
  <si>
    <t>令和17年度</t>
    <rPh sb="0" eb="2">
      <t>レイワ</t>
    </rPh>
    <rPh sb="4" eb="6">
      <t>ネンド</t>
    </rPh>
    <phoneticPr fontId="3"/>
  </si>
  <si>
    <t>令和22年度</t>
    <rPh sb="0" eb="2">
      <t>レイワ</t>
    </rPh>
    <rPh sb="4" eb="6">
      <t>ネンド</t>
    </rPh>
    <phoneticPr fontId="3"/>
  </si>
  <si>
    <t>令和12年度</t>
    <phoneticPr fontId="3"/>
  </si>
  <si>
    <t>令和17年度</t>
    <phoneticPr fontId="3"/>
  </si>
  <si>
    <t>令和22年度</t>
    <phoneticPr fontId="3"/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</si>
  <si>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</si>
  <si>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</si>
  <si>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</si>
  <si>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</si>
  <si>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</si>
  <si>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</si>
  <si>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</si>
  <si>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</si>
  <si>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</si>
  <si>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</si>
  <si>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</si>
  <si>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</si>
  <si>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</si>
  <si>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</si>
  <si>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</si>
  <si>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</si>
  <si>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</si>
  <si>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</si>
  <si>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</si>
  <si>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</si>
  <si>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</si>
  <si>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</si>
  <si>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</si>
  <si>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</si>
  <si>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</si>
  <si>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</si>
  <si>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</si>
  <si>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</si>
  <si>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上記以外の介護予防・日常生活総合事業</t>
    <rPh sb="0" eb="2">
      <t>ジョウキ</t>
    </rPh>
    <rPh sb="2" eb="4">
      <t>イガイ</t>
    </rPh>
    <rPh sb="5" eb="7">
      <t>カイゴ</t>
    </rPh>
    <rPh sb="7" eb="9">
      <t>ヨボウ</t>
    </rPh>
    <rPh sb="10" eb="12">
      <t>ニチジョウ</t>
    </rPh>
    <rPh sb="12" eb="14">
      <t>セイカツ</t>
    </rPh>
    <rPh sb="14" eb="16">
      <t>ソウゴウ</t>
    </rPh>
    <rPh sb="16" eb="18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</si>
  <si>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</si>
  <si>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</si>
  <si>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</si>
  <si>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</si>
  <si>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</si>
  <si>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</si>
  <si>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</si>
  <si>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</si>
  <si>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</si>
  <si>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</si>
  <si>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</si>
  <si>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</si>
  <si>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４．地域支援事業費計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</si>
  <si>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</si>
  <si>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</si>
  <si>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</si>
  <si>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</si>
  <si>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</si>
  <si>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</si>
  <si>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</si>
  <si>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</si>
  <si>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</si>
  <si>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</si>
  <si>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５．介護離職ゼロサービスのサービス見込量と必要整備量（参考）</t>
    <rPh sb="2" eb="4">
      <t>カイゴ</t>
    </rPh>
    <rPh sb="4" eb="6">
      <t>リショク</t>
    </rPh>
    <rPh sb="17" eb="19">
      <t>ミコミ</t>
    </rPh>
    <rPh sb="19" eb="20">
      <t>リョウ</t>
    </rPh>
    <rPh sb="21" eb="23">
      <t>ヒツヨウ</t>
    </rPh>
    <rPh sb="23" eb="25">
      <t>セイビ</t>
    </rPh>
    <rPh sb="25" eb="26">
      <t>リョウ</t>
    </rPh>
    <rPh sb="27" eb="29">
      <t>サンコウ</t>
    </rPh>
    <phoneticPr fontId="3"/>
  </si>
  <si>
    <t>実績及びサービス見込量</t>
    <rPh sb="0" eb="2">
      <t>ジッセキ</t>
    </rPh>
    <rPh sb="2" eb="3">
      <t>オヨ</t>
    </rPh>
    <rPh sb="8" eb="10">
      <t>ミコミ</t>
    </rPh>
    <rPh sb="10" eb="11">
      <t>リョウ</t>
    </rPh>
    <phoneticPr fontId="3"/>
  </si>
  <si>
    <t>必要整備量</t>
    <rPh sb="0" eb="2">
      <t>ヒツヨウ</t>
    </rPh>
    <rPh sb="2" eb="4">
      <t>セイビ</t>
    </rPh>
    <rPh sb="4" eb="5">
      <t>リョウ</t>
    </rPh>
    <phoneticPr fontId="3"/>
  </si>
  <si>
    <t>介護離職ゼロサービス※３</t>
    <rPh sb="0" eb="2">
      <t>カイゴ</t>
    </rPh>
    <rPh sb="2" eb="4">
      <t>リショク</t>
    </rPh>
    <phoneticPr fontId="3"/>
  </si>
  <si>
    <t>※５：サービス見込量×最大利用月比率</t>
    <phoneticPr fontId="3"/>
  </si>
  <si>
    <t>※事業費は年間累計の金額。人数は１月当たりの利用者数。</t>
    <rPh sb="1" eb="3">
      <t>ジギョウ</t>
    </rPh>
    <phoneticPr fontId="3"/>
  </si>
  <si>
    <r>
      <t>最大利用月比率</t>
    </r>
    <r>
      <rPr>
        <sz val="10"/>
        <rFont val="ＭＳ Ｐゴシック"/>
        <family val="3"/>
        <charset val="128"/>
        <scheme val="minor"/>
      </rPr>
      <t>（年度平均に対する最大利用月の比率）※４</t>
    </r>
    <rPh sb="0" eb="2">
      <t>サイダイ</t>
    </rPh>
    <rPh sb="2" eb="4">
      <t>リヨウ</t>
    </rPh>
    <rPh sb="4" eb="5">
      <t>ツキ</t>
    </rPh>
    <rPh sb="5" eb="6">
      <t>ヒ</t>
    </rPh>
    <rPh sb="6" eb="7">
      <t>リツ</t>
    </rPh>
    <rPh sb="13" eb="14">
      <t>タイ</t>
    </rPh>
    <rPh sb="22" eb="23">
      <t>ヒ</t>
    </rPh>
    <rPh sb="23" eb="24">
      <t>リツ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</si>
  <si>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</si>
  <si>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</si>
  <si>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</si>
  <si>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</si>
  <si>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</si>
  <si>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保険者機能強化推進交付金等の交付見込額</t>
  </si>
  <si>
    <t>第9期介護保険事業（支援）計画策定に向けたワークシート
【総括表】</t>
    <rPh sb="29" eb="32">
      <t>ソウカツヒョウ</t>
    </rPh>
    <phoneticPr fontId="3"/>
  </si>
  <si>
    <t>令和27年度</t>
  </si>
  <si>
    <t>令和27年度</t>
    <rPh sb="0" eb="2">
      <t>レイワ</t>
    </rPh>
    <rPh sb="4" eb="6">
      <t>ネンド</t>
    </rPh>
    <phoneticPr fontId="8"/>
  </si>
  <si>
    <t>令和22年度</t>
  </si>
  <si>
    <t>令和17年度</t>
  </si>
  <si>
    <t>令和12年度</t>
  </si>
  <si>
    <t>令和8年度</t>
    <rPh sb="0" eb="2">
      <t>レイワ</t>
    </rPh>
    <rPh sb="3" eb="5">
      <t>ネンド</t>
    </rPh>
    <phoneticPr fontId="8"/>
  </si>
  <si>
    <t>令和6年度</t>
    <rPh sb="0" eb="2">
      <t>レイワ</t>
    </rPh>
    <rPh sb="3" eb="5">
      <t>ネンド</t>
    </rPh>
    <phoneticPr fontId="8"/>
  </si>
  <si>
    <t>令和4年度</t>
    <rPh sb="0" eb="1">
      <t>レイ</t>
    </rPh>
    <rPh sb="1" eb="2">
      <t>カズ</t>
    </rPh>
    <rPh sb="3" eb="5">
      <t>ネンド</t>
    </rPh>
    <phoneticPr fontId="8"/>
  </si>
  <si>
    <t>※１：第9期平均値/令和5年度の値*100</t>
    <rPh sb="3" eb="4">
      <t>ダイ</t>
    </rPh>
    <rPh sb="5" eb="6">
      <t>キ</t>
    </rPh>
    <rPh sb="6" eb="9">
      <t>ヘイキンチ</t>
    </rPh>
    <rPh sb="10" eb="12">
      <t>レイワ</t>
    </rPh>
    <rPh sb="13" eb="15">
      <t>ネンド</t>
    </rPh>
    <rPh sb="16" eb="17">
      <t>アタイ</t>
    </rPh>
    <phoneticPr fontId="8"/>
  </si>
  <si>
    <t>※１：第9期平均値/令和5年度の値*100</t>
    <phoneticPr fontId="8"/>
  </si>
  <si>
    <t>※左記グラフでは、在宅サービスおよび施設サービスの第1号被保険者1人あたりの給付月額のバランスについて、令和3年度～令和8年度の時系列推移を確認できます。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5" eb="57">
      <t>ネンド</t>
    </rPh>
    <rPh sb="58" eb="60">
      <t>レイワ</t>
    </rPh>
    <rPh sb="61" eb="63">
      <t>ネンド</t>
    </rPh>
    <rPh sb="64" eb="69">
      <t>ジケイレツスイイ</t>
    </rPh>
    <rPh sb="70" eb="72">
      <t>カクニン</t>
    </rPh>
    <phoneticPr fontId="8"/>
  </si>
  <si>
    <t>※左記グラフでは、在宅サービスおよび施設・居住系サービス受給率のバランスについて、令和3年度～令和8年度の時系列推移を確認できます。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4" eb="46">
      <t>ネンド</t>
    </rPh>
    <rPh sb="47" eb="49">
      <t>レイワ</t>
    </rPh>
    <rPh sb="50" eb="52">
      <t>ネンド</t>
    </rPh>
    <rPh sb="53" eb="58">
      <t>ジケイレツスイイ</t>
    </rPh>
    <rPh sb="59" eb="61">
      <t>カクニン</t>
    </rPh>
    <phoneticPr fontId="8"/>
  </si>
  <si>
    <t>第9期</t>
  </si>
  <si>
    <t>第9期</t>
    <rPh sb="0" eb="1">
      <t>ダイ</t>
    </rPh>
    <rPh sb="2" eb="3">
      <t>キ</t>
    </rPh>
    <phoneticPr fontId="8"/>
  </si>
  <si>
    <t>令和27年度</t>
    <rPh sb="0" eb="2">
      <t>レイワ</t>
    </rPh>
    <rPh sb="4" eb="5">
      <t>ネン</t>
    </rPh>
    <rPh sb="5" eb="6">
      <t>ド</t>
    </rPh>
    <phoneticPr fontId="3"/>
  </si>
  <si>
    <t>保険料基準額の伸び率（％） （※当該保険料基準額/第8期保険料*100）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</si>
  <si>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第9期</t>
    <rPh sb="0" eb="1">
      <t>ダイ</t>
    </rPh>
    <rPh sb="2" eb="3">
      <t>キ</t>
    </rPh>
    <phoneticPr fontId="3"/>
  </si>
  <si>
    <t>令和27年度</t>
    <rPh sb="0" eb="2">
      <t>レイワ</t>
    </rPh>
    <rPh sb="4" eb="6">
      <t>ネンド</t>
    </rPh>
    <phoneticPr fontId="3"/>
  </si>
  <si>
    <t>令和6年度
※５</t>
    <rPh sb="0" eb="2">
      <t>レイワ</t>
    </rPh>
    <rPh sb="3" eb="5">
      <t>ネンド</t>
    </rPh>
    <phoneticPr fontId="8"/>
  </si>
  <si>
    <t>令和7年度
※５</t>
    <rPh sb="0" eb="2">
      <t>レイワ</t>
    </rPh>
    <rPh sb="3" eb="5">
      <t>ネンド</t>
    </rPh>
    <phoneticPr fontId="8"/>
  </si>
  <si>
    <t>令和8年度
※５</t>
    <rPh sb="0" eb="2">
      <t>レイワ</t>
    </rPh>
    <rPh sb="3" eb="5">
      <t>ネンド</t>
    </rPh>
    <phoneticPr fontId="8"/>
  </si>
  <si>
    <t>R3</t>
  </si>
  <si>
    <t>R4</t>
  </si>
  <si>
    <t>R5</t>
  </si>
  <si>
    <t>R6</t>
  </si>
  <si>
    <t>R6</t>
    <phoneticPr fontId="3"/>
  </si>
  <si>
    <t>R7</t>
  </si>
  <si>
    <t>R8</t>
  </si>
  <si>
    <t>R8</t>
    <phoneticPr fontId="3"/>
  </si>
  <si>
    <t>R12</t>
  </si>
  <si>
    <t>R17</t>
  </si>
  <si>
    <t>R22</t>
  </si>
  <si>
    <t>R27</t>
  </si>
  <si>
    <t>R27</t>
    <phoneticPr fontId="3"/>
  </si>
  <si>
    <t>第9期</t>
    <phoneticPr fontId="3"/>
  </si>
  <si>
    <t>１．８期保険料基準額</t>
    <rPh sb="3" eb="4">
      <t>キ</t>
    </rPh>
    <rPh sb="4" eb="7">
      <t>ホケンリョウ</t>
    </rPh>
    <rPh sb="7" eb="10">
      <t>キジュンガク</t>
    </rPh>
    <phoneticPr fontId="3"/>
  </si>
  <si>
    <r>
      <t>保険料基準額の伸び率（％） （対</t>
    </r>
    <r>
      <rPr>
        <sz val="11"/>
        <rFont val="ＭＳ Ｐゴシック"/>
        <family val="3"/>
        <charset val="128"/>
        <scheme val="minor"/>
      </rPr>
      <t>８期</t>
    </r>
    <r>
      <rPr>
        <sz val="11"/>
        <rFont val="ＭＳ Ｐゴシック"/>
        <family val="2"/>
        <charset val="128"/>
        <scheme val="minor"/>
      </rPr>
      <t>保険料）</t>
    </r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7" eb="18">
      <t>キ</t>
    </rPh>
    <rPh sb="18" eb="21">
      <t>ホケンリョウ</t>
    </rPh>
    <phoneticPr fontId="8"/>
  </si>
  <si>
    <r>
      <t>保険料基準額の伸び率（％） （対</t>
    </r>
    <r>
      <rPr>
        <sz val="11"/>
        <rFont val="ＭＳ Ｐゴシック"/>
        <family val="3"/>
        <charset val="128"/>
        <scheme val="minor"/>
      </rPr>
      <t>８期</t>
    </r>
    <r>
      <rPr>
        <sz val="11"/>
        <rFont val="ＭＳ Ｐゴシック"/>
        <family val="2"/>
        <charset val="128"/>
        <scheme val="minor"/>
      </rPr>
      <t>保険料）</t>
    </r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</si>
  <si>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第9期</t>
    <phoneticPr fontId="8"/>
  </si>
  <si>
    <t>令和27年度</t>
    <phoneticPr fontId="3"/>
  </si>
  <si>
    <t>R6～R8</t>
    <phoneticPr fontId="3"/>
  </si>
  <si>
    <t>第８期保険料の基準額（月額）</t>
    <rPh sb="0" eb="1">
      <t>ダイ</t>
    </rPh>
    <rPh sb="2" eb="3">
      <t>キ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</si>
  <si>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令和32年度</t>
    <rPh sb="0" eb="2">
      <t>レイワ</t>
    </rPh>
    <rPh sb="4" eb="5">
      <t>ネン</t>
    </rPh>
    <rPh sb="5" eb="6">
      <t>ド</t>
    </rPh>
    <phoneticPr fontId="3"/>
  </si>
  <si>
    <t>令和32年度</t>
    <rPh sb="0" eb="2">
      <t>レイワ</t>
    </rPh>
    <rPh sb="4" eb="6">
      <t>ネンド</t>
    </rPh>
    <phoneticPr fontId="8"/>
  </si>
  <si>
    <t>令和32年度</t>
    <phoneticPr fontId="3"/>
  </si>
  <si>
    <t>令和32年度</t>
    <phoneticPr fontId="3"/>
  </si>
  <si>
    <t>単位：人</t>
    <phoneticPr fontId="8"/>
  </si>
  <si>
    <t>令和32年度</t>
    <rPh sb="0" eb="2">
      <t>レイワ</t>
    </rPh>
    <rPh sb="4" eb="6">
      <t>ネンド</t>
    </rPh>
    <phoneticPr fontId="3"/>
  </si>
  <si>
    <t>R32</t>
    <phoneticPr fontId="3"/>
  </si>
  <si>
    <t>R32</t>
    <phoneticPr fontId="3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</si>
  <si>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</si>
  <si>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</si>
  <si>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</si>
  <si>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</si>
  <si>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</si>
  <si>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</si>
  <si>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</si>
  <si>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高額介護サービス費等の利用者負担の見直し等に伴う財政影響額</t>
    <rPh sb="20" eb="21">
      <t>トウ</t>
    </rPh>
    <phoneticPr fontId="3"/>
  </si>
  <si>
    <t>制度改正に伴う財政影響額</t>
    <rPh sb="0" eb="4">
      <t>セイドカイセイ</t>
    </rPh>
    <rPh sb="5" eb="6">
      <t>トモナ</t>
    </rPh>
    <phoneticPr fontId="3"/>
  </si>
  <si>
    <t>複合型サービス（新設）</t>
    <phoneticPr fontId="8"/>
  </si>
  <si>
    <t>※３：介護離職ゼロサービスは、介護老人福祉施設（地域密着含む。）、介護老人保健施設、介護医療院、介護療養型医療施設、小規模多機能型居宅介護（介護予防含む。）、看護小規模多機能型居宅介護、複合型サービス（新設）、定期巡回・随時対応型訪問介護看護、認知症対応型共同生活介護（介護予防含む。）及び特定施設入居者生活介護（地域密着、介護予防含む。）。</t>
    <rPh sb="3" eb="5">
      <t>カイゴ</t>
    </rPh>
    <rPh sb="5" eb="7">
      <t>リショク</t>
    </rPh>
    <rPh sb="15" eb="17">
      <t>カイゴ</t>
    </rPh>
    <rPh sb="17" eb="19">
      <t>ロウジン</t>
    </rPh>
    <rPh sb="19" eb="21">
      <t>フクシ</t>
    </rPh>
    <rPh sb="21" eb="23">
      <t>シセツ</t>
    </rPh>
    <rPh sb="24" eb="26">
      <t>チイキ</t>
    </rPh>
    <rPh sb="26" eb="28">
      <t>ミッチャク</t>
    </rPh>
    <rPh sb="28" eb="29">
      <t>フク</t>
    </rPh>
    <rPh sb="33" eb="35">
      <t>カイゴ</t>
    </rPh>
    <rPh sb="35" eb="37">
      <t>ロウジン</t>
    </rPh>
    <rPh sb="37" eb="39">
      <t>ホケン</t>
    </rPh>
    <rPh sb="39" eb="41">
      <t>シセツ</t>
    </rPh>
    <rPh sb="42" eb="44">
      <t>カイゴ</t>
    </rPh>
    <rPh sb="44" eb="46">
      <t>イリョウ</t>
    </rPh>
    <rPh sb="46" eb="47">
      <t>イン</t>
    </rPh>
    <rPh sb="48" eb="50">
      <t>カイゴ</t>
    </rPh>
    <rPh sb="50" eb="53">
      <t>リョウヨウガタ</t>
    </rPh>
    <rPh sb="53" eb="55">
      <t>イリョウ</t>
    </rPh>
    <rPh sb="55" eb="57">
      <t>シセツ</t>
    </rPh>
    <rPh sb="135" eb="137">
      <t>カイゴ</t>
    </rPh>
    <rPh sb="137" eb="139">
      <t>ヨボウ</t>
    </rPh>
    <rPh sb="139" eb="140">
      <t>フク</t>
    </rPh>
    <rPh sb="143" eb="144">
      <t>オヨ</t>
    </rPh>
    <rPh sb="157" eb="159">
      <t>チイキ</t>
    </rPh>
    <rPh sb="159" eb="161">
      <t>ミッチャク</t>
    </rPh>
    <rPh sb="162" eb="164">
      <t>カイゴ</t>
    </rPh>
    <rPh sb="164" eb="166">
      <t>ヨボウ</t>
    </rPh>
    <rPh sb="166" eb="167">
      <t>フク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</si>
  <si>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</si>
  <si>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</si>
  <si>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利用者負担の見直し等に伴う財政影響額</t>
    <rPh sb="9" eb="10">
      <t>トウ</t>
    </rPh>
    <phoneticPr fontId="3"/>
  </si>
  <si>
    <t>※２：令和12（17,22,27,30）年度の値/令和5年度の値*100</t>
  </si>
  <si>
    <t>※２：令和12（17,22,27,30）年度の値/令和5年度の値*100</t>
    <rPh sb="3" eb="5">
      <t>レイワ</t>
    </rPh>
    <rPh sb="20" eb="22">
      <t>ネンド</t>
    </rPh>
    <rPh sb="23" eb="24">
      <t>アタイ</t>
    </rPh>
    <rPh sb="25" eb="27">
      <t>レイワ</t>
    </rPh>
    <rPh sb="28" eb="30">
      <t>ネンド</t>
    </rPh>
    <rPh sb="31" eb="32">
      <t>アタイ</t>
    </rPh>
    <phoneticPr fontId="8"/>
  </si>
  <si>
    <t>第13段階</t>
    <phoneticPr fontId="3"/>
  </si>
  <si>
    <t>第12段階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</si>
  <si>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</si>
  <si>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2">
      <t>カリ</t>
    </rPh>
    <rPh sb="32" eb="33">
      <t>オ</t>
    </rPh>
    <rPh sb="33" eb="34">
      <t>アタイ</t>
    </rPh>
    <phoneticPr fontId="3"/>
  </si>
  <si>
    <t>※４：介護離職ゼロサービスの令和4年度平均利用者数（令和4年3月サービス～令和5年2月サービス/12ヶ月）に対する令和4年度の最大月の利用者数（令和4年3月サービス～令和5年2月サービスのうち最大月）の比率</t>
    <rPh sb="14" eb="16">
      <t>レイワ</t>
    </rPh>
    <rPh sb="19" eb="21">
      <t>ヘイキン</t>
    </rPh>
    <rPh sb="21" eb="24">
      <t>リヨウシャ</t>
    </rPh>
    <rPh sb="24" eb="25">
      <t>スウ</t>
    </rPh>
    <rPh sb="26" eb="28">
      <t>レイワ</t>
    </rPh>
    <rPh sb="37" eb="39">
      <t>レイワ</t>
    </rPh>
    <rPh sb="57" eb="59">
      <t>レイワ</t>
    </rPh>
    <rPh sb="67" eb="70">
      <t>リヨウシャ</t>
    </rPh>
    <rPh sb="70" eb="71">
      <t>スウ</t>
    </rPh>
    <rPh sb="72" eb="74">
      <t>レイワ</t>
    </rPh>
    <rPh sb="83" eb="85">
      <t>レイワ</t>
    </rPh>
    <phoneticPr fontId="3"/>
  </si>
  <si>
    <t>2023/10/05</t>
  </si>
  <si>
    <t>川崎町</t>
  </si>
  <si>
    <t>04324</t>
  </si>
  <si>
    <t>第9期川崎町介護保険（R5.8.12）</t>
  </si>
  <si>
    <t>性別／年齢５歳階級別／要介護度別に推計する　※初期値</t>
  </si>
  <si>
    <t>サービス別／要介護度別に推計する　※初期値</t>
  </si>
  <si>
    <t>令和3年度→令和4年度　※初期値</t>
  </si>
  <si>
    <t>０（ゼロ）※初期値</t>
  </si>
  <si>
    <t>令和5年度</t>
  </si>
  <si>
    <t>実績値を反映</t>
  </si>
  <si>
    <t xml:space="preserve">実績値を反映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</si>
</sst>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ＭＳ 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28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6" fillId="2" borderId="53" xfId="2" applyFill="1" applyBorder="1" applyAlignment="1">
      <alignment horizontal="center" vertical="center"/>
    </xf>
    <xf numFmtId="0" fontId="6" fillId="2" borderId="30" xfId="2" applyFill="1" applyBorder="1" applyAlignment="1">
      <alignment horizontal="center" vertical="center"/>
    </xf>
    <xf numFmtId="0" fontId="6" fillId="2" borderId="47" xfId="2" applyFill="1" applyBorder="1" applyAlignment="1">
      <alignment horizontal="center" vertical="center"/>
    </xf>
    <xf numFmtId="0" fontId="6" fillId="2" borderId="17" xfId="2" applyFill="1" applyBorder="1" applyAlignment="1">
      <alignment horizontal="center" vertical="center"/>
    </xf>
    <xf numFmtId="0" fontId="6" fillId="2" borderId="49" xfId="2" applyFill="1" applyBorder="1" applyAlignment="1">
      <alignment horizontal="center" vertical="center"/>
    </xf>
    <xf numFmtId="0" fontId="35" fillId="28" borderId="33" xfId="0" applyFont="1" applyFill="1" applyBorder="1" applyAlignment="1">
      <alignment horizontal="left" vertical="center" wrapText="1" shrinkToFit="1"/>
    </xf>
    <xf numFmtId="0" fontId="6" fillId="28" borderId="34" xfId="2" applyFill="1" applyBorder="1" applyAlignment="1">
      <alignment horizontal="center" vertical="center" wrapText="1"/>
    </xf>
    <xf numFmtId="0" fontId="6" fillId="28" borderId="2" xfId="2" applyFill="1" applyBorder="1" applyAlignment="1">
      <alignment horizontal="center" vertical="center" wrapText="1"/>
    </xf>
    <xf numFmtId="0" fontId="6" fillId="28" borderId="4" xfId="2" applyFill="1" applyBorder="1" applyAlignment="1">
      <alignment horizontal="center" vertical="center" wrapText="1"/>
    </xf>
    <xf numFmtId="176" fontId="35" fillId="2" borderId="47" xfId="0" applyNumberFormat="1" applyFont="1" applyFill="1" applyBorder="1">
      <alignment vertical="center"/>
    </xf>
    <xf numFmtId="176" fontId="35" fillId="2" borderId="30" xfId="0" applyNumberFormat="1" applyFont="1" applyFill="1" applyBorder="1">
      <alignment vertical="center"/>
    </xf>
    <xf numFmtId="176" fontId="35" fillId="2" borderId="49" xfId="0" applyNumberFormat="1" applyFont="1" applyFill="1" applyBorder="1">
      <alignment vertical="center"/>
    </xf>
    <xf numFmtId="176" fontId="35" fillId="2" borderId="1" xfId="0" applyNumberFormat="1" applyFont="1" applyFill="1" applyBorder="1">
      <alignment vertical="center"/>
    </xf>
    <xf numFmtId="191" fontId="35" fillId="28" borderId="48" xfId="0" applyNumberFormat="1" applyFont="1" applyFill="1" applyBorder="1">
      <alignment vertical="center"/>
    </xf>
    <xf numFmtId="192" fontId="35" fillId="28" borderId="47" xfId="88" applyNumberFormat="1" applyFont="1" applyFill="1" applyBorder="1">
      <alignment vertical="center"/>
    </xf>
    <xf numFmtId="192" fontId="35" fillId="28" borderId="30" xfId="88" applyNumberFormat="1" applyFont="1" applyFill="1" applyBorder="1">
      <alignment vertical="center"/>
    </xf>
    <xf numFmtId="192" fontId="35" fillId="28" borderId="50" xfId="88" applyNumberFormat="1" applyFont="1" applyFill="1" applyBorder="1">
      <alignment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0" fontId="46" fillId="27" borderId="158" xfId="81" applyFont="1" applyFill="1" applyBorder="1" applyAlignment="1">
      <alignment vertical="center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left" vertical="center"/>
    </xf>
    <xf numFmtId="0" fontId="35" fillId="2" borderId="32" xfId="0" applyFont="1" applyFill="1" applyBorder="1" applyAlignment="1">
      <alignment horizontal="left" vertical="center"/>
    </xf>
    <xf numFmtId="0" fontId="35" fillId="2" borderId="54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top" wrapText="1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33" fillId="2" borderId="41" xfId="0" applyFont="1" applyFill="1" applyBorder="1" applyAlignment="1">
      <alignment horizontal="center" vertical="center"/>
    </xf>
    <xf numFmtId="0" fontId="33" fillId="2" borderId="39" xfId="0" applyFont="1" applyFill="1" applyBorder="1" applyAlignment="1">
      <alignment horizontal="center" vertical="center"/>
    </xf>
    <xf numFmtId="0" fontId="33" fillId="2" borderId="42" xfId="0" applyFont="1" applyFill="1" applyBorder="1" applyAlignment="1">
      <alignment horizontal="center" vertical="center"/>
    </xf>
    <xf numFmtId="0" fontId="33" fillId="2" borderId="67" xfId="0" applyFont="1" applyFill="1" applyBorder="1" applyAlignment="1">
      <alignment horizontal="center" vertical="center"/>
    </xf>
    <xf numFmtId="0" fontId="33" fillId="2" borderId="66" xfId="0" applyFont="1" applyFill="1" applyBorder="1" applyAlignment="1">
      <alignment horizontal="center" vertical="center"/>
    </xf>
    <xf numFmtId="0" fontId="33" fillId="2" borderId="68" xfId="0" applyFont="1" applyFill="1" applyBorder="1" applyAlignment="1">
      <alignment horizontal="center" vertical="center"/>
    </xf>
    <xf numFmtId="0" fontId="35" fillId="2" borderId="34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35" fillId="28" borderId="43" xfId="0" applyFont="1" applyFill="1" applyBorder="1" applyAlignment="1">
      <alignment horizontal="center" vertical="center"/>
    </xf>
    <xf numFmtId="0" fontId="35" fillId="28" borderId="51" xfId="0" applyFont="1" applyFill="1" applyBorder="1" applyAlignment="1">
      <alignment horizontal="center" vertical="center"/>
    </xf>
    <xf numFmtId="0" fontId="35" fillId="28" borderId="125" xfId="0" applyFont="1" applyFill="1" applyBorder="1" applyAlignment="1">
      <alignment horizontal="center" vertical="center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</cellXfs>
  <cellStyles count="89">
    <cellStyle name="20% - アクセント 1 2" xfId="6"/>
    <cellStyle name="20% - アクセント 2 2" xfId="7"/>
    <cellStyle name="20% - アクセント 3 2" xfId="8"/>
    <cellStyle name="20% - アクセント 4 2" xfId="9"/>
    <cellStyle name="20% - アクセント 5 2" xfId="10"/>
    <cellStyle name="20% - アクセント 6 2" xfId="11"/>
    <cellStyle name="40% - アクセント 1 2" xfId="12"/>
    <cellStyle name="40% - アクセント 2 2" xfId="13"/>
    <cellStyle name="40% - アクセント 3 2" xfId="14"/>
    <cellStyle name="40% - アクセント 4 2" xfId="15"/>
    <cellStyle name="40% - アクセント 5 2" xfId="16"/>
    <cellStyle name="40% - アクセント 6 2" xfId="17"/>
    <cellStyle name="60% - アクセント 1 2" xfId="18"/>
    <cellStyle name="60% - アクセント 2 2" xfId="19"/>
    <cellStyle name="60% - アクセント 3 2" xfId="20"/>
    <cellStyle name="60% - アクセント 4 2" xfId="21"/>
    <cellStyle name="60% - アクセント 5 2" xfId="22"/>
    <cellStyle name="60% - アクセント 6 2" xfId="23"/>
    <cellStyle name="アクセント 1 2" xfId="24"/>
    <cellStyle name="アクセント 2 2" xfId="25"/>
    <cellStyle name="アクセント 3 2" xfId="26"/>
    <cellStyle name="アクセント 4 2" xfId="27"/>
    <cellStyle name="アクセント 5 2" xfId="28"/>
    <cellStyle name="アクセント 6 2" xfId="29"/>
    <cellStyle name="タイトル 2" xfId="30"/>
    <cellStyle name="チェック セル 2" xfId="31"/>
    <cellStyle name="チェック セル 2 2" xfId="66"/>
    <cellStyle name="チェック セル 2 2 2" xfId="78"/>
    <cellStyle name="チェック セル 2 2 3" xfId="82"/>
    <cellStyle name="チェック セル 2 2 4" xfId="84"/>
    <cellStyle name="チェック セル 2 3" xfId="74"/>
    <cellStyle name="チェック セル 2 3 2" xfId="79"/>
    <cellStyle name="チェック セル 2 3 3" xfId="83"/>
    <cellStyle name="チェック セル 2 3 4" xfId="85"/>
    <cellStyle name="チェック セル 2 4" xfId="77"/>
    <cellStyle name="チェック セル 2 5" xfId="80"/>
    <cellStyle name="どちらでもない 2" xfId="32"/>
    <cellStyle name="パーセント" xfId="86" builtinId="5"/>
    <cellStyle name="パーセント 2" xfId="33"/>
    <cellStyle name="パーセント 3" xfId="5"/>
    <cellStyle name="ハイパーリンク" xfId="1" builtinId="8"/>
    <cellStyle name="メモ 2" xfId="34"/>
    <cellStyle name="メモ 2 2" xfId="67"/>
    <cellStyle name="リンク セル 2" xfId="35"/>
    <cellStyle name="悪い 2" xfId="36"/>
    <cellStyle name="計算 2" xfId="37"/>
    <cellStyle name="計算 2 2" xfId="68"/>
    <cellStyle name="警告文 2" xfId="38"/>
    <cellStyle name="桁区切り" xfId="88" builtinId="6"/>
    <cellStyle name="桁区切り 2" xfId="39"/>
    <cellStyle name="桁区切り 3" xfId="40"/>
    <cellStyle name="桁区切り 3 2" xfId="41"/>
    <cellStyle name="桁区切り 4" xfId="42"/>
    <cellStyle name="桁区切り 5" xfId="62"/>
    <cellStyle name="見出し 1 2" xfId="43"/>
    <cellStyle name="見出し 2 2" xfId="44"/>
    <cellStyle name="見出し 3 2" xfId="45"/>
    <cellStyle name="見出し 4 2" xfId="46"/>
    <cellStyle name="集計 2" xfId="47"/>
    <cellStyle name="集計 2 2" xfId="72"/>
    <cellStyle name="集計 2 2 2" xfId="75"/>
    <cellStyle name="集計 2 3" xfId="69"/>
    <cellStyle name="出力 2" xfId="48"/>
    <cellStyle name="出力 2 2" xfId="73"/>
    <cellStyle name="出力 2 2 2" xfId="76"/>
    <cellStyle name="出力 2 3" xfId="70"/>
    <cellStyle name="説明文 2" xfId="49"/>
    <cellStyle name="通貨 2" xfId="50"/>
    <cellStyle name="通貨 2 2" xfId="51"/>
    <cellStyle name="通貨 3" xfId="52"/>
    <cellStyle name="入力 2" xfId="53"/>
    <cellStyle name="入力 2 2" xfId="71"/>
    <cellStyle name="標準" xfId="0" builtinId="0"/>
    <cellStyle name="標準 2" xfId="2"/>
    <cellStyle name="標準 2 2" xfId="54"/>
    <cellStyle name="標準 3" xfId="55"/>
    <cellStyle name="標準 3 2" xfId="56"/>
    <cellStyle name="標準 3 3" xfId="57"/>
    <cellStyle name="標準 3_WS130401y" xfId="58"/>
    <cellStyle name="標準 4" xfId="59"/>
    <cellStyle name="標準 4 2" xfId="60"/>
    <cellStyle name="標準 5" xfId="63"/>
    <cellStyle name="標準 6" xfId="64"/>
    <cellStyle name="標準 7" xfId="65"/>
    <cellStyle name="標準_Book1" xfId="3"/>
    <cellStyle name="標準_サービス見込量WS(Ver.1.0)" xfId="4"/>
    <cellStyle name="標準_介護円滑導入臨時特例交付金の所要額調作業シート_v2a" xfId="81"/>
    <cellStyle name="標準_第4期第１号被保険者の保険料推計WS（6段階）ver1.0" xfId="87"/>
    <cellStyle name="良い 2" xfId="61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令和3年度</c:v>
                </c:pt>
                <c:pt idx="1">
                  <c:v>令和4年度</c:v>
                </c:pt>
                <c:pt idx="2">
                  <c:v>令和5年度</c:v>
                </c:pt>
                <c:pt idx="3">
                  <c:v>令和6年度</c:v>
                </c:pt>
                <c:pt idx="4">
                  <c:v>令和7年度</c:v>
                </c:pt>
                <c:pt idx="5">
                  <c:v>令和8年度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511948.92700000003</c:v>
                </c:pt>
                <c:pt idx="1">
                  <c:v>537161.01</c:v>
                </c:pt>
                <c:pt idx="2">
                  <c:v>610276.45200000005</c:v>
                </c:pt>
                <c:pt idx="3">
                  <c:v>610277</c:v>
                </c:pt>
                <c:pt idx="4">
                  <c:v>610277</c:v>
                </c:pt>
                <c:pt idx="5">
                  <c:v>610277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令和3年度</c:v>
                </c:pt>
                <c:pt idx="1">
                  <c:v>令和4年度</c:v>
                </c:pt>
                <c:pt idx="2">
                  <c:v>令和5年度</c:v>
                </c:pt>
                <c:pt idx="3">
                  <c:v>令和6年度</c:v>
                </c:pt>
                <c:pt idx="4">
                  <c:v>令和7年度</c:v>
                </c:pt>
                <c:pt idx="5">
                  <c:v>令和8年度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82494.475999999995</c:v>
                </c:pt>
                <c:pt idx="1">
                  <c:v>85194.085000000006</c:v>
                </c:pt>
                <c:pt idx="2">
                  <c:v>85519.679999999993</c:v>
                </c:pt>
                <c:pt idx="3">
                  <c:v>85520</c:v>
                </c:pt>
                <c:pt idx="4">
                  <c:v>85520</c:v>
                </c:pt>
                <c:pt idx="5">
                  <c:v>85520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令和3年度</c:v>
                </c:pt>
                <c:pt idx="1">
                  <c:v>令和4年度</c:v>
                </c:pt>
                <c:pt idx="2">
                  <c:v>令和5年度</c:v>
                </c:pt>
                <c:pt idx="3">
                  <c:v>令和6年度</c:v>
                </c:pt>
                <c:pt idx="4">
                  <c:v>令和7年度</c:v>
                </c:pt>
                <c:pt idx="5">
                  <c:v>令和8年度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339235.55399999989</c:v>
                </c:pt>
                <c:pt idx="1">
                  <c:v>311215.092</c:v>
                </c:pt>
                <c:pt idx="2">
                  <c:v>336001.05119999999</c:v>
                </c:pt>
                <c:pt idx="3">
                  <c:v>335957</c:v>
                </c:pt>
                <c:pt idx="4">
                  <c:v>337434</c:v>
                </c:pt>
                <c:pt idx="5">
                  <c:v>343626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271768"/>
        <c:axId val="204381472"/>
      </c:barChart>
      <c:catAx>
        <c:axId val="203271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204381472"/>
        <c:crosses val="autoZero"/>
        <c:auto val="1"/>
        <c:lblAlgn val="ctr"/>
        <c:lblOffset val="100"/>
        <c:noMultiLvlLbl val="0"/>
      </c:catAx>
      <c:valAx>
        <c:axId val="204381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203271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令和3年度</c:v>
                </c:pt>
                <c:pt idx="1">
                  <c:v>令和4年度</c:v>
                </c:pt>
                <c:pt idx="2">
                  <c:v>令和5年度</c:v>
                </c:pt>
                <c:pt idx="3">
                  <c:v>令和6年度</c:v>
                </c:pt>
                <c:pt idx="4">
                  <c:v>令和7年度</c:v>
                </c:pt>
                <c:pt idx="5">
                  <c:v>令和8年度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令和3年度</c:v>
                </c:pt>
                <c:pt idx="1">
                  <c:v>令和4年度</c:v>
                </c:pt>
                <c:pt idx="2">
                  <c:v>令和5年度</c:v>
                </c:pt>
                <c:pt idx="3">
                  <c:v>令和6年度</c:v>
                </c:pt>
                <c:pt idx="4">
                  <c:v>令和7年度</c:v>
                </c:pt>
                <c:pt idx="5">
                  <c:v>令和8年度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26821.834000000003</c:v>
                </c:pt>
                <c:pt idx="1">
                  <c:v>28327.079999999998</c:v>
                </c:pt>
                <c:pt idx="2">
                  <c:v>28263.687600000001</c:v>
                </c:pt>
                <c:pt idx="3">
                  <c:v>28209</c:v>
                </c:pt>
                <c:pt idx="4">
                  <c:v>28209</c:v>
                </c:pt>
                <c:pt idx="5">
                  <c:v>29004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034432"/>
        <c:axId val="204475840"/>
      </c:barChart>
      <c:catAx>
        <c:axId val="204034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204475840"/>
        <c:crosses val="autoZero"/>
        <c:auto val="1"/>
        <c:lblAlgn val="ctr"/>
        <c:lblOffset val="100"/>
        <c:noMultiLvlLbl val="0"/>
      </c:catAx>
      <c:valAx>
        <c:axId val="2044758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20403443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令和3年度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6EC-492D-A944-C520EE943C0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'1_推計値サマリ'!$D$92:$E$92</c:f>
              <c:numCache>
                <c:formatCode>#,##0_ </c:formatCode>
                <c:ptCount val="2"/>
                <c:pt idx="0">
                  <c:v>156.99139129101502</c:v>
                </c:pt>
                <c:pt idx="1">
                  <c:v>164.11885426214482</c:v>
                </c:pt>
              </c:numCache>
            </c:num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112.25310886231215</c:v>
                </c:pt>
                <c:pt idx="1">
                  <c:v>103.74035197066912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令和4年度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6EC-492D-A944-C520EE943C0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'1_推計値サマリ'!$E$92:$F$92</c:f>
              <c:numCache>
                <c:formatCode>#,##0_ </c:formatCode>
                <c:ptCount val="2"/>
                <c:pt idx="0">
                  <c:v>164.11885426214482</c:v>
                </c:pt>
                <c:pt idx="1">
                  <c:v>186.00318561414204</c:v>
                </c:pt>
              </c:numCache>
            </c:num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103.74035197066912</c:v>
                </c:pt>
                <c:pt idx="1">
                  <c:v>111.02247448948491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令和5年度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6EC-492D-A944-C520EE943C0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'1_推計値サマリ'!$F$92:$G$92</c:f>
              <c:numCache>
                <c:formatCode>#,##0_ </c:formatCode>
                <c:ptCount val="2"/>
                <c:pt idx="0">
                  <c:v>186.00318561414204</c:v>
                </c:pt>
                <c:pt idx="1">
                  <c:v>185.38183475091131</c:v>
                </c:pt>
              </c:numCache>
            </c:num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111.02247448948491</c:v>
                </c:pt>
                <c:pt idx="1">
                  <c:v>110.62150668286756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6EC-492D-A944-C520EE943C0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'1_推計値サマリ'!$G$92:$H$92</c:f>
              <c:numCache>
                <c:formatCode>#,##0_ </c:formatCode>
                <c:ptCount val="2"/>
                <c:pt idx="0">
                  <c:v>185.38183475091131</c:v>
                </c:pt>
                <c:pt idx="1">
                  <c:v>184.82041187159297</c:v>
                </c:pt>
              </c:numCache>
            </c:num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110.62150668286756</c:v>
                </c:pt>
                <c:pt idx="1">
                  <c:v>110.73379769836463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6EC-492D-A944-C520EE943C0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'1_推計値サマリ'!$H$92:$I$92</c:f>
              <c:numCache>
                <c:formatCode>#,##0_ </c:formatCode>
                <c:ptCount val="2"/>
                <c:pt idx="0">
                  <c:v>184.82041187159297</c:v>
                </c:pt>
                <c:pt idx="1">
                  <c:v>186.00335263639136</c:v>
                </c:pt>
              </c:numCache>
            </c:num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110.73379769836463</c:v>
                </c:pt>
                <c:pt idx="1">
                  <c:v>113.5720816824139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令和8年度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'1_推計値サマリ'!$I$92</c:f>
              <c:numCache>
                <c:formatCode>#,##0_ </c:formatCode>
                <c:ptCount val="1"/>
                <c:pt idx="0">
                  <c:v>186.00335263639136</c:v>
                </c:pt>
              </c:numCache>
            </c:num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113.5720816824139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95200"/>
        <c:axId val="204895584"/>
      </c:scatterChart>
      <c:valAx>
        <c:axId val="2048952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layout/>
          <c:overlay val="0"/>
        </c:title>
        <c:numFmt formatCode="#,##0_ " sourceLinked="1"/>
        <c:majorTickMark val="none"/>
        <c:minorTickMark val="none"/>
        <c:tickLblPos val="nextTo"/>
        <c:crossAx val="204895584"/>
        <c:crosses val="autoZero"/>
        <c:crossBetween val="midCat"/>
      </c:valAx>
      <c:valAx>
        <c:axId val="204895584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204895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令和3年度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BDC0-47FE-B2DE-9A5A04060F8F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'1_推計値サマリ'!$D$117:$E$117</c:f>
              <c:numCache>
                <c:formatCode>0.00%</c:formatCode>
                <c:ptCount val="2"/>
                <c:pt idx="0">
                  <c:v>5.2361238883777979E-2</c:v>
                </c:pt>
                <c:pt idx="1">
                  <c:v>5.384967919340055E-2</c:v>
                </c:pt>
              </c:numCache>
            </c:num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8.5224368803025641E-2</c:v>
                </c:pt>
                <c:pt idx="1">
                  <c:v>8.4402688664833483E-2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令和4年度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BDC0-47FE-B2DE-9A5A04060F8F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'1_推計値サマリ'!$E$117:$F$117</c:f>
              <c:numCache>
                <c:formatCode>0.00%</c:formatCode>
                <c:ptCount val="2"/>
                <c:pt idx="0">
                  <c:v>5.384967919340055E-2</c:v>
                </c:pt>
                <c:pt idx="1">
                  <c:v>5.9433099664736359E-2</c:v>
                </c:pt>
              </c:numCache>
            </c:num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8.4402688664833483E-2</c:v>
                </c:pt>
                <c:pt idx="1">
                  <c:v>7.8939347759829318E-2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令和5年度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BDC0-47FE-B2DE-9A5A04060F8F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'1_推計値サマリ'!$F$117:$G$117</c:f>
              <c:numCache>
                <c:formatCode>0.00%</c:formatCode>
                <c:ptCount val="2"/>
                <c:pt idx="0">
                  <c:v>5.9433099664736359E-2</c:v>
                </c:pt>
                <c:pt idx="1">
                  <c:v>5.9234507897934385E-2</c:v>
                </c:pt>
              </c:numCache>
            </c:num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7.8939347759829318E-2</c:v>
                </c:pt>
                <c:pt idx="1">
                  <c:v>7.8675577156743615E-2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BDC0-47FE-B2DE-9A5A04060F8F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'1_推計値サマリ'!$G$117:$H$117</c:f>
              <c:numCache>
                <c:formatCode>0.00%</c:formatCode>
                <c:ptCount val="2"/>
                <c:pt idx="0">
                  <c:v>5.9234507897934385E-2</c:v>
                </c:pt>
                <c:pt idx="1">
                  <c:v>5.905511811023622E-2</c:v>
                </c:pt>
              </c:numCache>
            </c:num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7.8675577156743615E-2</c:v>
                </c:pt>
                <c:pt idx="1">
                  <c:v>7.8437310720775283E-2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BDC0-47FE-B2DE-9A5A04060F8F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'1_推計値サマリ'!$H$117:$I$117</c:f>
              <c:numCache>
                <c:formatCode>0.00%</c:formatCode>
                <c:ptCount val="2"/>
                <c:pt idx="0">
                  <c:v>5.905511811023622E-2</c:v>
                </c:pt>
                <c:pt idx="1">
                  <c:v>5.9433099664736359E-2</c:v>
                </c:pt>
              </c:numCache>
            </c:num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7.8437310720775283E-2</c:v>
                </c:pt>
                <c:pt idx="1">
                  <c:v>7.9853703139286802E-2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令和8年度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'1_推計値サマリ'!$I$117</c:f>
              <c:numCache>
                <c:formatCode>0.00%</c:formatCode>
                <c:ptCount val="1"/>
                <c:pt idx="0">
                  <c:v>5.9433099664736359E-2</c:v>
                </c:pt>
              </c:numCache>
            </c:num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7.9853703139286802E-2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39800"/>
        <c:axId val="204781656"/>
      </c:scatterChart>
      <c:valAx>
        <c:axId val="2047398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204781656"/>
        <c:crosses val="autoZero"/>
        <c:crossBetween val="midCat"/>
      </c:valAx>
      <c:valAx>
        <c:axId val="204781656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204739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T161"/>
  <sheetViews>
    <sheetView showGridLines="0" view="pageBreakPreview" zoomScale="85" zoomScaleNormal="100" zoomScaleSheetLayoutView="85" workbookViewId="0">
      <selection sqref="A1:M1"/>
    </sheetView>
  </sheetViews>
  <sheetFormatPr defaultColWidth="9" defaultRowHeight="13.5" x14ac:dyDescent="0.15"/>
  <cols>
    <col min="1" max="1" width="9" style="550"/>
    <col min="2" max="2" width="28.5" style="550" customWidth="1"/>
    <col min="3" max="18" width="11.125" style="550" customWidth="1"/>
    <col min="19" max="20" width="11.25" style="550" customWidth="1"/>
    <col min="21" max="16384" width="9" style="550"/>
  </cols>
  <sheetData>
    <row r="1" spans="1:20" ht="54.75" customHeight="1" x14ac:dyDescent="0.15">
      <c r="A1" s="1019" t="s">
        <v>367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</row>
    <row r="2" spans="1:20" ht="15" thickBot="1" x14ac:dyDescent="0.2">
      <c r="A2" s="352"/>
      <c r="S2" s="551" t="s">
        <v>98</v>
      </c>
      <c r="T2" s="552" t="s">
        <v>439</v>
      </c>
    </row>
    <row r="3" spans="1:20" ht="14.25" thickBot="1" x14ac:dyDescent="0.2">
      <c r="Q3" s="1024" t="s">
        <v>67</v>
      </c>
      <c r="R3" s="1025"/>
      <c r="S3" s="904" t="s">
        <v>440</v>
      </c>
      <c r="T3" s="905"/>
    </row>
    <row r="4" spans="1:20" ht="14.25" thickBot="1" x14ac:dyDescent="0.2">
      <c r="Q4" s="1024" t="s">
        <v>68</v>
      </c>
      <c r="R4" s="1025"/>
      <c r="S4" s="906" t="s">
        <v>441</v>
      </c>
      <c r="T4" s="907"/>
    </row>
    <row r="5" spans="1:20" ht="31.5" customHeight="1" thickBot="1" x14ac:dyDescent="0.2">
      <c r="Q5" s="1026" t="s">
        <v>103</v>
      </c>
      <c r="R5" s="1027"/>
      <c r="S5" s="908" t="s">
        <v>442</v>
      </c>
      <c r="T5" s="909"/>
    </row>
    <row r="6" spans="1:20" ht="14.25" x14ac:dyDescent="0.15">
      <c r="A6" s="352" t="s">
        <v>72</v>
      </c>
    </row>
    <row r="7" spans="1:20" ht="14.25" x14ac:dyDescent="0.15">
      <c r="A7" s="352"/>
    </row>
    <row r="8" spans="1:20" x14ac:dyDescent="0.15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 x14ac:dyDescent="0.2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88" t="s">
        <v>414</v>
      </c>
    </row>
    <row r="10" spans="1:20" ht="30" customHeight="1" thickBot="1" x14ac:dyDescent="0.2">
      <c r="A10" s="1021"/>
      <c r="B10" s="1022"/>
      <c r="C10" s="1023"/>
      <c r="D10" s="377" t="s">
        <v>253</v>
      </c>
      <c r="E10" s="749" t="s">
        <v>375</v>
      </c>
      <c r="F10" s="378" t="s">
        <v>254</v>
      </c>
      <c r="G10" s="748" t="s">
        <v>374</v>
      </c>
      <c r="H10" s="749" t="s">
        <v>255</v>
      </c>
      <c r="I10" s="750" t="s">
        <v>373</v>
      </c>
      <c r="J10" s="38" t="s">
        <v>104</v>
      </c>
      <c r="K10" s="748" t="s">
        <v>290</v>
      </c>
      <c r="L10" s="39" t="s">
        <v>105</v>
      </c>
      <c r="M10" s="748" t="s">
        <v>291</v>
      </c>
      <c r="N10" s="39" t="s">
        <v>105</v>
      </c>
      <c r="O10" s="748" t="s">
        <v>292</v>
      </c>
      <c r="P10" s="39" t="s">
        <v>105</v>
      </c>
      <c r="Q10" s="748" t="s">
        <v>369</v>
      </c>
      <c r="R10" s="39" t="s">
        <v>105</v>
      </c>
      <c r="S10" s="748" t="s">
        <v>411</v>
      </c>
      <c r="T10" s="39" t="s">
        <v>105</v>
      </c>
    </row>
    <row r="11" spans="1:20" x14ac:dyDescent="0.15">
      <c r="A11" s="13" t="s">
        <v>1</v>
      </c>
      <c r="B11" s="3"/>
      <c r="C11" s="4"/>
      <c r="D11" s="56">
        <f t="shared" ref="D11:I11" si="0">SUM(D12:D13)</f>
        <v>5946</v>
      </c>
      <c r="E11" s="57">
        <f t="shared" si="0"/>
        <v>5902</v>
      </c>
      <c r="F11" s="58">
        <f t="shared" si="0"/>
        <v>5856</v>
      </c>
      <c r="G11" s="59">
        <f t="shared" si="0"/>
        <v>5811</v>
      </c>
      <c r="H11" s="60">
        <f t="shared" si="0"/>
        <v>5766</v>
      </c>
      <c r="I11" s="48">
        <f t="shared" si="0"/>
        <v>5707</v>
      </c>
      <c r="J11" s="86">
        <f>IFERROR((SUM(G11:I11)/3)/F11,"－")</f>
        <v>0.98383424408014564</v>
      </c>
      <c r="K11" s="59">
        <f>SUM(K12:K13)</f>
        <v>5460</v>
      </c>
      <c r="L11" s="88">
        <f>IFERROR(K11/F11,"－")</f>
        <v>0.93237704918032782</v>
      </c>
      <c r="M11" s="59">
        <f>SUM(M12:M13)</f>
        <v>5073</v>
      </c>
      <c r="N11" s="88">
        <f>IFERROR(M11/F11,"－")</f>
        <v>0.86629098360655743</v>
      </c>
      <c r="O11" s="59">
        <f>SUM(O12:O13)</f>
        <v>4635</v>
      </c>
      <c r="P11" s="88">
        <f>IFERROR(O11/F11,"－")</f>
        <v>0.79149590163934425</v>
      </c>
      <c r="Q11" s="59">
        <f>SUM(Q12:Q13)</f>
        <v>4090</v>
      </c>
      <c r="R11" s="88">
        <f>IFERROR(Q11/F11,"－")</f>
        <v>0.69842896174863389</v>
      </c>
      <c r="S11" s="59">
        <f>SUM(S12:S13)</f>
        <v>3686</v>
      </c>
      <c r="T11" s="88">
        <f>IFERROR(S11/F11,"－")</f>
        <v>0.62943989071038253</v>
      </c>
    </row>
    <row r="12" spans="1:20" x14ac:dyDescent="0.15">
      <c r="A12" s="5"/>
      <c r="B12" s="6" t="s">
        <v>2</v>
      </c>
      <c r="C12" s="555"/>
      <c r="D12" s="55">
        <v>3261</v>
      </c>
      <c r="E12" s="50">
        <v>3273</v>
      </c>
      <c r="F12" s="51">
        <v>3281</v>
      </c>
      <c r="G12" s="52">
        <v>3292</v>
      </c>
      <c r="H12" s="53">
        <v>3302</v>
      </c>
      <c r="I12" s="54">
        <v>3281</v>
      </c>
      <c r="J12" s="86">
        <f>IFERROR((SUM(G12:I12)/3)/F12,"－")</f>
        <v>1.0032510413491822</v>
      </c>
      <c r="K12" s="61">
        <v>3186</v>
      </c>
      <c r="L12" s="88">
        <f>IFERROR(K12/F12,"－")</f>
        <v>0.97104541298384639</v>
      </c>
      <c r="M12" s="61">
        <v>3032</v>
      </c>
      <c r="N12" s="88">
        <f>IFERROR(M12/F12,"－")</f>
        <v>0.92410850350502893</v>
      </c>
      <c r="O12" s="61">
        <v>2904</v>
      </c>
      <c r="P12" s="88">
        <f>IFERROR(O12/F12,"－")</f>
        <v>0.88509600731484306</v>
      </c>
      <c r="Q12" s="61">
        <v>2658</v>
      </c>
      <c r="R12" s="88">
        <f>IFERROR(Q12/F12,"－")</f>
        <v>0.81011886619932949</v>
      </c>
      <c r="S12" s="61">
        <v>2501</v>
      </c>
      <c r="T12" s="88">
        <f>IFERROR(S12/F12,"－")</f>
        <v>0.76226760134105453</v>
      </c>
    </row>
    <row r="13" spans="1:20" ht="14.25" thickBot="1" x14ac:dyDescent="0.2">
      <c r="A13" s="5"/>
      <c r="B13" s="62" t="s">
        <v>3</v>
      </c>
      <c r="C13" s="555"/>
      <c r="D13" s="55">
        <v>2685</v>
      </c>
      <c r="E13" s="50">
        <v>2629</v>
      </c>
      <c r="F13" s="51">
        <v>2575</v>
      </c>
      <c r="G13" s="63">
        <v>2519</v>
      </c>
      <c r="H13" s="50">
        <v>2464</v>
      </c>
      <c r="I13" s="64">
        <v>2426</v>
      </c>
      <c r="J13" s="87">
        <f>IFERROR((SUM(G13:I13)/3)/F13,"－")</f>
        <v>0.95909385113268597</v>
      </c>
      <c r="K13" s="47">
        <v>2274</v>
      </c>
      <c r="L13" s="89">
        <f>IFERROR(K13/F13,"－")</f>
        <v>0.88310679611650489</v>
      </c>
      <c r="M13" s="47">
        <v>2041</v>
      </c>
      <c r="N13" s="89">
        <f>IFERROR(M13/F13,"－")</f>
        <v>0.79262135922330101</v>
      </c>
      <c r="O13" s="47">
        <v>1731</v>
      </c>
      <c r="P13" s="89">
        <f>IFERROR(O13/F13,"－")</f>
        <v>0.67223300970873789</v>
      </c>
      <c r="Q13" s="47">
        <v>1432</v>
      </c>
      <c r="R13" s="89">
        <f>IFERROR(Q13/F13,"－")</f>
        <v>0.55611650485436892</v>
      </c>
      <c r="S13" s="47">
        <v>1185</v>
      </c>
      <c r="T13" s="89">
        <f>IFERROR(S13/F13,"－")</f>
        <v>0.46019417475728153</v>
      </c>
    </row>
    <row r="14" spans="1:20" ht="13.5" customHeight="1" x14ac:dyDescent="0.15">
      <c r="A14" s="231"/>
      <c r="B14" s="556"/>
      <c r="C14" s="231"/>
      <c r="D14" s="231"/>
      <c r="E14" s="231"/>
      <c r="F14" s="231"/>
      <c r="G14" s="557" t="s">
        <v>376</v>
      </c>
      <c r="H14" s="231"/>
      <c r="I14" s="231"/>
      <c r="J14" s="231"/>
      <c r="K14" s="635" t="s">
        <v>433</v>
      </c>
      <c r="L14" s="634"/>
      <c r="M14" s="634"/>
    </row>
    <row r="15" spans="1:20" x14ac:dyDescent="0.15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 x14ac:dyDescent="0.15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 x14ac:dyDescent="0.2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88" t="s">
        <v>414</v>
      </c>
    </row>
    <row r="18" spans="1:20" ht="23.25" thickBot="1" x14ac:dyDescent="0.2">
      <c r="A18" s="1021"/>
      <c r="B18" s="1022"/>
      <c r="C18" s="1023"/>
      <c r="D18" s="377" t="s">
        <v>253</v>
      </c>
      <c r="E18" s="750" t="s">
        <v>375</v>
      </c>
      <c r="F18" s="750" t="s">
        <v>254</v>
      </c>
      <c r="G18" s="748" t="s">
        <v>374</v>
      </c>
      <c r="H18" s="749" t="s">
        <v>255</v>
      </c>
      <c r="I18" s="750" t="s">
        <v>373</v>
      </c>
      <c r="J18" s="38" t="s">
        <v>104</v>
      </c>
      <c r="K18" s="748" t="s">
        <v>290</v>
      </c>
      <c r="L18" s="39" t="s">
        <v>105</v>
      </c>
      <c r="M18" s="748" t="s">
        <v>291</v>
      </c>
      <c r="N18" s="39" t="s">
        <v>105</v>
      </c>
      <c r="O18" s="748" t="s">
        <v>292</v>
      </c>
      <c r="P18" s="39" t="s">
        <v>105</v>
      </c>
      <c r="Q18" s="748" t="s">
        <v>369</v>
      </c>
      <c r="R18" s="39" t="s">
        <v>105</v>
      </c>
      <c r="S18" s="748" t="s">
        <v>411</v>
      </c>
      <c r="T18" s="39" t="s">
        <v>105</v>
      </c>
    </row>
    <row r="19" spans="1:20" x14ac:dyDescent="0.15">
      <c r="A19" s="13" t="s">
        <v>5</v>
      </c>
      <c r="B19" s="14"/>
      <c r="C19" s="4"/>
      <c r="D19" s="59">
        <f>SUM(D20:D26)</f>
        <v>568</v>
      </c>
      <c r="E19" s="60">
        <f t="shared" ref="E19:I19" si="1">SUM(E20:E26)</f>
        <v>575</v>
      </c>
      <c r="F19" s="48">
        <f t="shared" si="1"/>
        <v>578</v>
      </c>
      <c r="G19" s="59">
        <f t="shared" si="1"/>
        <v>578</v>
      </c>
      <c r="H19" s="60">
        <f t="shared" si="1"/>
        <v>579</v>
      </c>
      <c r="I19" s="48">
        <f t="shared" si="1"/>
        <v>582</v>
      </c>
      <c r="J19" s="86">
        <f t="shared" ref="J19:J34" si="2">IFERROR((SUM(G19:I19)/3)/F19,"－")</f>
        <v>1.0028835063437138</v>
      </c>
      <c r="K19" s="59">
        <f t="shared" ref="K19:M19" si="3">SUM(K20:K26)</f>
        <v>618</v>
      </c>
      <c r="L19" s="88">
        <f t="shared" ref="L19:L34" si="4">IFERROR(K19/F19,"－")</f>
        <v>1.0692041522491349</v>
      </c>
      <c r="M19" s="59">
        <f t="shared" si="3"/>
        <v>675</v>
      </c>
      <c r="N19" s="88">
        <f>IFERROR(M19/F19,"－")</f>
        <v>1.1678200692041523</v>
      </c>
      <c r="O19" s="59">
        <f t="shared" ref="O19" si="5">SUM(O20:O26)</f>
        <v>710</v>
      </c>
      <c r="P19" s="88">
        <f>IFERROR(O19/F19,"－")</f>
        <v>1.2283737024221453</v>
      </c>
      <c r="Q19" s="59">
        <f t="shared" ref="Q19:S19" si="6">SUM(Q20:Q26)</f>
        <v>663</v>
      </c>
      <c r="R19" s="88">
        <f>IFERROR(Q19/F19,"－")</f>
        <v>1.1470588235294117</v>
      </c>
      <c r="S19" s="59">
        <f t="shared" si="6"/>
        <v>643</v>
      </c>
      <c r="T19" s="90">
        <f t="shared" ref="T19:T34" si="7">IFERROR(S19/F19,"－")</f>
        <v>1.1124567474048443</v>
      </c>
    </row>
    <row r="20" spans="1:20" x14ac:dyDescent="0.15">
      <c r="A20" s="13"/>
      <c r="B20" s="7"/>
      <c r="C20" s="8" t="s">
        <v>6</v>
      </c>
      <c r="D20" s="40">
        <v>19</v>
      </c>
      <c r="E20" s="42">
        <v>26</v>
      </c>
      <c r="F20" s="41">
        <v>31</v>
      </c>
      <c r="G20" s="40">
        <v>31</v>
      </c>
      <c r="H20" s="42">
        <v>32</v>
      </c>
      <c r="I20" s="41">
        <v>33</v>
      </c>
      <c r="J20" s="93">
        <f t="shared" si="2"/>
        <v>1.032258064516129</v>
      </c>
      <c r="K20" s="46">
        <v>36</v>
      </c>
      <c r="L20" s="90">
        <f t="shared" si="4"/>
        <v>1.1612903225806452</v>
      </c>
      <c r="M20" s="46">
        <v>38</v>
      </c>
      <c r="N20" s="90">
        <f t="shared" ref="N20:N34" si="8">IFERROR(M20/F20,"－")</f>
        <v>1.2258064516129032</v>
      </c>
      <c r="O20" s="46">
        <v>37</v>
      </c>
      <c r="P20" s="90">
        <f t="shared" ref="P20:P34" si="9">IFERROR(O20/F20,"－")</f>
        <v>1.1935483870967742</v>
      </c>
      <c r="Q20" s="46">
        <v>35</v>
      </c>
      <c r="R20" s="90">
        <f t="shared" ref="R20:R34" si="10">IFERROR(Q20/F20,"－")</f>
        <v>1.1290322580645162</v>
      </c>
      <c r="S20" s="46">
        <v>31</v>
      </c>
      <c r="T20" s="90">
        <f t="shared" si="7"/>
        <v>1</v>
      </c>
    </row>
    <row r="21" spans="1:20" x14ac:dyDescent="0.15">
      <c r="A21" s="13"/>
      <c r="B21" s="7"/>
      <c r="C21" s="8" t="s">
        <v>7</v>
      </c>
      <c r="D21" s="40">
        <v>93</v>
      </c>
      <c r="E21" s="42">
        <v>90</v>
      </c>
      <c r="F21" s="41">
        <v>92</v>
      </c>
      <c r="G21" s="40">
        <v>91</v>
      </c>
      <c r="H21" s="42">
        <v>91</v>
      </c>
      <c r="I21" s="41">
        <v>91</v>
      </c>
      <c r="J21" s="93">
        <f t="shared" si="2"/>
        <v>0.98913043478260865</v>
      </c>
      <c r="K21" s="46">
        <v>101</v>
      </c>
      <c r="L21" s="90">
        <f t="shared" si="4"/>
        <v>1.0978260869565217</v>
      </c>
      <c r="M21" s="46">
        <v>108</v>
      </c>
      <c r="N21" s="90">
        <f t="shared" si="8"/>
        <v>1.173913043478261</v>
      </c>
      <c r="O21" s="46">
        <v>108</v>
      </c>
      <c r="P21" s="90">
        <f t="shared" si="9"/>
        <v>1.173913043478261</v>
      </c>
      <c r="Q21" s="46">
        <v>94</v>
      </c>
      <c r="R21" s="90">
        <f t="shared" si="10"/>
        <v>1.0217391304347827</v>
      </c>
      <c r="S21" s="46">
        <v>91</v>
      </c>
      <c r="T21" s="90">
        <f t="shared" si="7"/>
        <v>0.98913043478260865</v>
      </c>
    </row>
    <row r="22" spans="1:20" x14ac:dyDescent="0.15">
      <c r="A22" s="13"/>
      <c r="B22" s="7"/>
      <c r="C22" s="8" t="s">
        <v>8</v>
      </c>
      <c r="D22" s="40">
        <v>43</v>
      </c>
      <c r="E22" s="42">
        <v>61</v>
      </c>
      <c r="F22" s="41">
        <v>59</v>
      </c>
      <c r="G22" s="40">
        <v>63</v>
      </c>
      <c r="H22" s="42">
        <v>61</v>
      </c>
      <c r="I22" s="41">
        <v>60</v>
      </c>
      <c r="J22" s="93">
        <f t="shared" si="2"/>
        <v>1.03954802259887</v>
      </c>
      <c r="K22" s="46">
        <v>65</v>
      </c>
      <c r="L22" s="90">
        <f t="shared" si="4"/>
        <v>1.1016949152542372</v>
      </c>
      <c r="M22" s="46">
        <v>77</v>
      </c>
      <c r="N22" s="90">
        <f t="shared" si="8"/>
        <v>1.3050847457627119</v>
      </c>
      <c r="O22" s="46">
        <v>82</v>
      </c>
      <c r="P22" s="90">
        <f t="shared" si="9"/>
        <v>1.3898305084745763</v>
      </c>
      <c r="Q22" s="46">
        <v>74</v>
      </c>
      <c r="R22" s="90">
        <f t="shared" si="10"/>
        <v>1.2542372881355932</v>
      </c>
      <c r="S22" s="46">
        <v>70</v>
      </c>
      <c r="T22" s="90">
        <f t="shared" si="7"/>
        <v>1.1864406779661016</v>
      </c>
    </row>
    <row r="23" spans="1:20" x14ac:dyDescent="0.15">
      <c r="A23" s="13"/>
      <c r="B23" s="7"/>
      <c r="C23" s="8" t="s">
        <v>9</v>
      </c>
      <c r="D23" s="40">
        <v>145</v>
      </c>
      <c r="E23" s="42">
        <v>142</v>
      </c>
      <c r="F23" s="41">
        <v>140</v>
      </c>
      <c r="G23" s="40">
        <v>140</v>
      </c>
      <c r="H23" s="42">
        <v>141</v>
      </c>
      <c r="I23" s="41">
        <v>143</v>
      </c>
      <c r="J23" s="93">
        <f t="shared" si="2"/>
        <v>1.0095238095238095</v>
      </c>
      <c r="K23" s="46">
        <v>146</v>
      </c>
      <c r="L23" s="90">
        <f t="shared" si="4"/>
        <v>1.0428571428571429</v>
      </c>
      <c r="M23" s="46">
        <v>166</v>
      </c>
      <c r="N23" s="90">
        <f t="shared" si="8"/>
        <v>1.1857142857142857</v>
      </c>
      <c r="O23" s="46">
        <v>171</v>
      </c>
      <c r="P23" s="90">
        <f t="shared" si="9"/>
        <v>1.2214285714285715</v>
      </c>
      <c r="Q23" s="46">
        <v>158</v>
      </c>
      <c r="R23" s="90">
        <f t="shared" si="10"/>
        <v>1.1285714285714286</v>
      </c>
      <c r="S23" s="46">
        <v>150</v>
      </c>
      <c r="T23" s="90">
        <f t="shared" si="7"/>
        <v>1.0714285714285714</v>
      </c>
    </row>
    <row r="24" spans="1:20" x14ac:dyDescent="0.15">
      <c r="A24" s="13"/>
      <c r="B24" s="7"/>
      <c r="C24" s="8" t="s">
        <v>10</v>
      </c>
      <c r="D24" s="40">
        <v>128</v>
      </c>
      <c r="E24" s="42">
        <v>98</v>
      </c>
      <c r="F24" s="41">
        <v>96</v>
      </c>
      <c r="G24" s="40">
        <v>90</v>
      </c>
      <c r="H24" s="42">
        <v>91</v>
      </c>
      <c r="I24" s="41">
        <v>91</v>
      </c>
      <c r="J24" s="93">
        <f t="shared" si="2"/>
        <v>0.94444444444444453</v>
      </c>
      <c r="K24" s="46">
        <v>95</v>
      </c>
      <c r="L24" s="90">
        <f t="shared" si="4"/>
        <v>0.98958333333333337</v>
      </c>
      <c r="M24" s="46">
        <v>101</v>
      </c>
      <c r="N24" s="90">
        <f t="shared" si="8"/>
        <v>1.0520833333333333</v>
      </c>
      <c r="O24" s="46">
        <v>109</v>
      </c>
      <c r="P24" s="90">
        <f t="shared" si="9"/>
        <v>1.1354166666666667</v>
      </c>
      <c r="Q24" s="46">
        <v>105</v>
      </c>
      <c r="R24" s="90">
        <f t="shared" si="10"/>
        <v>1.09375</v>
      </c>
      <c r="S24" s="46">
        <v>103</v>
      </c>
      <c r="T24" s="90">
        <f t="shared" si="7"/>
        <v>1.0729166666666667</v>
      </c>
    </row>
    <row r="25" spans="1:20" x14ac:dyDescent="0.15">
      <c r="A25" s="13"/>
      <c r="B25" s="7"/>
      <c r="C25" s="8" t="s">
        <v>11</v>
      </c>
      <c r="D25" s="40">
        <v>82</v>
      </c>
      <c r="E25" s="42">
        <v>95</v>
      </c>
      <c r="F25" s="41">
        <v>96</v>
      </c>
      <c r="G25" s="40">
        <v>99</v>
      </c>
      <c r="H25" s="42">
        <v>99</v>
      </c>
      <c r="I25" s="41">
        <v>100</v>
      </c>
      <c r="J25" s="93">
        <f t="shared" si="2"/>
        <v>1.0347222222222221</v>
      </c>
      <c r="K25" s="46">
        <v>109</v>
      </c>
      <c r="L25" s="90">
        <f t="shared" si="4"/>
        <v>1.1354166666666667</v>
      </c>
      <c r="M25" s="46">
        <v>112</v>
      </c>
      <c r="N25" s="90">
        <f t="shared" si="8"/>
        <v>1.1666666666666667</v>
      </c>
      <c r="O25" s="46">
        <v>123</v>
      </c>
      <c r="P25" s="90">
        <f t="shared" si="9"/>
        <v>1.28125</v>
      </c>
      <c r="Q25" s="46">
        <v>122</v>
      </c>
      <c r="R25" s="90">
        <f t="shared" si="10"/>
        <v>1.2708333333333333</v>
      </c>
      <c r="S25" s="46">
        <v>123</v>
      </c>
      <c r="T25" s="90">
        <f t="shared" si="7"/>
        <v>1.28125</v>
      </c>
    </row>
    <row r="26" spans="1:20" x14ac:dyDescent="0.15">
      <c r="A26" s="232"/>
      <c r="B26" s="559"/>
      <c r="C26" s="8" t="s">
        <v>12</v>
      </c>
      <c r="D26" s="40">
        <v>58</v>
      </c>
      <c r="E26" s="42">
        <v>63</v>
      </c>
      <c r="F26" s="41">
        <v>64</v>
      </c>
      <c r="G26" s="40">
        <v>64</v>
      </c>
      <c r="H26" s="42">
        <v>64</v>
      </c>
      <c r="I26" s="41">
        <v>64</v>
      </c>
      <c r="J26" s="93">
        <f t="shared" si="2"/>
        <v>1</v>
      </c>
      <c r="K26" s="46">
        <v>66</v>
      </c>
      <c r="L26" s="90">
        <f t="shared" si="4"/>
        <v>1.03125</v>
      </c>
      <c r="M26" s="46">
        <v>73</v>
      </c>
      <c r="N26" s="90">
        <f t="shared" si="8"/>
        <v>1.140625</v>
      </c>
      <c r="O26" s="46">
        <v>80</v>
      </c>
      <c r="P26" s="90">
        <f t="shared" si="9"/>
        <v>1.25</v>
      </c>
      <c r="Q26" s="46">
        <v>75</v>
      </c>
      <c r="R26" s="90">
        <f t="shared" si="10"/>
        <v>1.171875</v>
      </c>
      <c r="S26" s="46">
        <v>75</v>
      </c>
      <c r="T26" s="90">
        <f t="shared" si="7"/>
        <v>1.171875</v>
      </c>
    </row>
    <row r="27" spans="1:20" x14ac:dyDescent="0.15">
      <c r="A27" s="208"/>
      <c r="B27" s="9" t="s">
        <v>13</v>
      </c>
      <c r="C27" s="10"/>
      <c r="D27" s="65">
        <f t="shared" ref="D27:K27" si="11">SUM(D28:D34)</f>
        <v>561</v>
      </c>
      <c r="E27" s="66">
        <f t="shared" si="11"/>
        <v>568</v>
      </c>
      <c r="F27" s="49">
        <f t="shared" si="11"/>
        <v>570</v>
      </c>
      <c r="G27" s="65">
        <f t="shared" si="11"/>
        <v>570</v>
      </c>
      <c r="H27" s="66">
        <f t="shared" si="11"/>
        <v>571</v>
      </c>
      <c r="I27" s="49">
        <f t="shared" si="11"/>
        <v>574</v>
      </c>
      <c r="J27" s="94">
        <f t="shared" si="2"/>
        <v>1.002923976608187</v>
      </c>
      <c r="K27" s="67">
        <f t="shared" si="11"/>
        <v>610</v>
      </c>
      <c r="L27" s="91">
        <f t="shared" si="4"/>
        <v>1.0701754385964912</v>
      </c>
      <c r="M27" s="67">
        <f t="shared" ref="M27" si="12">SUM(M28:M34)</f>
        <v>668</v>
      </c>
      <c r="N27" s="91">
        <f t="shared" si="8"/>
        <v>1.1719298245614036</v>
      </c>
      <c r="O27" s="67">
        <f t="shared" ref="O27" si="13">SUM(O28:O34)</f>
        <v>704</v>
      </c>
      <c r="P27" s="91">
        <f t="shared" si="9"/>
        <v>1.2350877192982457</v>
      </c>
      <c r="Q27" s="67">
        <f t="shared" ref="Q27:S27" si="14">SUM(Q28:Q34)</f>
        <v>658</v>
      </c>
      <c r="R27" s="91">
        <f t="shared" si="10"/>
        <v>1.1543859649122807</v>
      </c>
      <c r="S27" s="67">
        <f t="shared" si="14"/>
        <v>639</v>
      </c>
      <c r="T27" s="90">
        <f t="shared" si="7"/>
        <v>1.1210526315789473</v>
      </c>
    </row>
    <row r="28" spans="1:20" x14ac:dyDescent="0.15">
      <c r="A28" s="5"/>
      <c r="B28" s="11"/>
      <c r="C28" s="8" t="s">
        <v>6</v>
      </c>
      <c r="D28" s="40">
        <v>19</v>
      </c>
      <c r="E28" s="42">
        <v>25</v>
      </c>
      <c r="F28" s="41">
        <v>30</v>
      </c>
      <c r="G28" s="40">
        <v>30</v>
      </c>
      <c r="H28" s="42">
        <v>31</v>
      </c>
      <c r="I28" s="41">
        <v>32</v>
      </c>
      <c r="J28" s="93">
        <f t="shared" si="2"/>
        <v>1.0333333333333334</v>
      </c>
      <c r="K28" s="46">
        <v>35</v>
      </c>
      <c r="L28" s="90">
        <f t="shared" si="4"/>
        <v>1.1666666666666667</v>
      </c>
      <c r="M28" s="46">
        <v>37</v>
      </c>
      <c r="N28" s="90">
        <f t="shared" si="8"/>
        <v>1.2333333333333334</v>
      </c>
      <c r="O28" s="46">
        <v>36</v>
      </c>
      <c r="P28" s="90">
        <f t="shared" si="9"/>
        <v>1.2</v>
      </c>
      <c r="Q28" s="46">
        <v>34</v>
      </c>
      <c r="R28" s="90">
        <f t="shared" si="10"/>
        <v>1.1333333333333333</v>
      </c>
      <c r="S28" s="46">
        <v>30</v>
      </c>
      <c r="T28" s="90">
        <f t="shared" si="7"/>
        <v>1</v>
      </c>
    </row>
    <row r="29" spans="1:20" x14ac:dyDescent="0.15">
      <c r="A29" s="5"/>
      <c r="B29" s="11"/>
      <c r="C29" s="8" t="s">
        <v>7</v>
      </c>
      <c r="D29" s="40">
        <v>91</v>
      </c>
      <c r="E29" s="42">
        <v>87</v>
      </c>
      <c r="F29" s="41">
        <v>90</v>
      </c>
      <c r="G29" s="40">
        <v>89</v>
      </c>
      <c r="H29" s="42">
        <v>89</v>
      </c>
      <c r="I29" s="41">
        <v>89</v>
      </c>
      <c r="J29" s="93">
        <f t="shared" si="2"/>
        <v>0.98888888888888893</v>
      </c>
      <c r="K29" s="46">
        <v>99</v>
      </c>
      <c r="L29" s="90">
        <f t="shared" si="4"/>
        <v>1.1000000000000001</v>
      </c>
      <c r="M29" s="46">
        <v>106</v>
      </c>
      <c r="N29" s="90">
        <f t="shared" si="8"/>
        <v>1.1777777777777778</v>
      </c>
      <c r="O29" s="46">
        <v>107</v>
      </c>
      <c r="P29" s="90">
        <f t="shared" si="9"/>
        <v>1.1888888888888889</v>
      </c>
      <c r="Q29" s="46">
        <v>93</v>
      </c>
      <c r="R29" s="90">
        <f t="shared" si="10"/>
        <v>1.0333333333333334</v>
      </c>
      <c r="S29" s="46">
        <v>90</v>
      </c>
      <c r="T29" s="90">
        <f t="shared" si="7"/>
        <v>1</v>
      </c>
    </row>
    <row r="30" spans="1:20" x14ac:dyDescent="0.15">
      <c r="A30" s="208"/>
      <c r="B30" s="560"/>
      <c r="C30" s="8" t="s">
        <v>8</v>
      </c>
      <c r="D30" s="40">
        <v>43</v>
      </c>
      <c r="E30" s="42">
        <v>61</v>
      </c>
      <c r="F30" s="41">
        <v>59</v>
      </c>
      <c r="G30" s="40">
        <v>63</v>
      </c>
      <c r="H30" s="42">
        <v>61</v>
      </c>
      <c r="I30" s="41">
        <v>60</v>
      </c>
      <c r="J30" s="93">
        <f t="shared" si="2"/>
        <v>1.03954802259887</v>
      </c>
      <c r="K30" s="46">
        <v>65</v>
      </c>
      <c r="L30" s="90">
        <f t="shared" si="4"/>
        <v>1.1016949152542372</v>
      </c>
      <c r="M30" s="46">
        <v>77</v>
      </c>
      <c r="N30" s="90">
        <f t="shared" si="8"/>
        <v>1.3050847457627119</v>
      </c>
      <c r="O30" s="46">
        <v>82</v>
      </c>
      <c r="P30" s="90">
        <f t="shared" si="9"/>
        <v>1.3898305084745763</v>
      </c>
      <c r="Q30" s="46">
        <v>74</v>
      </c>
      <c r="R30" s="90">
        <f t="shared" si="10"/>
        <v>1.2542372881355932</v>
      </c>
      <c r="S30" s="46">
        <v>70</v>
      </c>
      <c r="T30" s="90">
        <f t="shared" si="7"/>
        <v>1.1864406779661016</v>
      </c>
    </row>
    <row r="31" spans="1:20" x14ac:dyDescent="0.15">
      <c r="A31" s="208"/>
      <c r="B31" s="560"/>
      <c r="C31" s="8" t="s">
        <v>9</v>
      </c>
      <c r="D31" s="40">
        <v>143</v>
      </c>
      <c r="E31" s="42">
        <v>141</v>
      </c>
      <c r="F31" s="41">
        <v>137</v>
      </c>
      <c r="G31" s="40">
        <v>137</v>
      </c>
      <c r="H31" s="42">
        <v>138</v>
      </c>
      <c r="I31" s="41">
        <v>140</v>
      </c>
      <c r="J31" s="93">
        <f t="shared" si="2"/>
        <v>1.0097323600973236</v>
      </c>
      <c r="K31" s="46">
        <v>143</v>
      </c>
      <c r="L31" s="90">
        <f t="shared" si="4"/>
        <v>1.0437956204379562</v>
      </c>
      <c r="M31" s="46">
        <v>164</v>
      </c>
      <c r="N31" s="90">
        <f t="shared" si="8"/>
        <v>1.197080291970803</v>
      </c>
      <c r="O31" s="46">
        <v>169</v>
      </c>
      <c r="P31" s="90">
        <f t="shared" si="9"/>
        <v>1.2335766423357664</v>
      </c>
      <c r="Q31" s="46">
        <v>156</v>
      </c>
      <c r="R31" s="90">
        <f t="shared" si="10"/>
        <v>1.1386861313868613</v>
      </c>
      <c r="S31" s="46">
        <v>149</v>
      </c>
      <c r="T31" s="90">
        <f t="shared" si="7"/>
        <v>1.0875912408759123</v>
      </c>
    </row>
    <row r="32" spans="1:20" x14ac:dyDescent="0.15">
      <c r="A32" s="208"/>
      <c r="B32" s="560"/>
      <c r="C32" s="8" t="s">
        <v>10</v>
      </c>
      <c r="D32" s="40">
        <v>127</v>
      </c>
      <c r="E32" s="42">
        <v>98</v>
      </c>
      <c r="F32" s="41">
        <v>96</v>
      </c>
      <c r="G32" s="40">
        <v>90</v>
      </c>
      <c r="H32" s="42">
        <v>91</v>
      </c>
      <c r="I32" s="41">
        <v>91</v>
      </c>
      <c r="J32" s="93">
        <f t="shared" si="2"/>
        <v>0.94444444444444453</v>
      </c>
      <c r="K32" s="46">
        <v>95</v>
      </c>
      <c r="L32" s="90">
        <f t="shared" si="4"/>
        <v>0.98958333333333337</v>
      </c>
      <c r="M32" s="46">
        <v>101</v>
      </c>
      <c r="N32" s="90">
        <f t="shared" si="8"/>
        <v>1.0520833333333333</v>
      </c>
      <c r="O32" s="46">
        <v>109</v>
      </c>
      <c r="P32" s="90">
        <f t="shared" si="9"/>
        <v>1.1354166666666667</v>
      </c>
      <c r="Q32" s="46">
        <v>105</v>
      </c>
      <c r="R32" s="90">
        <f t="shared" si="10"/>
        <v>1.09375</v>
      </c>
      <c r="S32" s="46">
        <v>103</v>
      </c>
      <c r="T32" s="90">
        <f t="shared" si="7"/>
        <v>1.0729166666666667</v>
      </c>
    </row>
    <row r="33" spans="1:20" x14ac:dyDescent="0.15">
      <c r="A33" s="208"/>
      <c r="B33" s="560"/>
      <c r="C33" s="8" t="s">
        <v>11</v>
      </c>
      <c r="D33" s="40">
        <v>81</v>
      </c>
      <c r="E33" s="42">
        <v>95</v>
      </c>
      <c r="F33" s="41">
        <v>96</v>
      </c>
      <c r="G33" s="40">
        <v>99</v>
      </c>
      <c r="H33" s="42">
        <v>99</v>
      </c>
      <c r="I33" s="41">
        <v>100</v>
      </c>
      <c r="J33" s="93">
        <f t="shared" si="2"/>
        <v>1.0347222222222221</v>
      </c>
      <c r="K33" s="46">
        <v>109</v>
      </c>
      <c r="L33" s="90">
        <f t="shared" si="4"/>
        <v>1.1354166666666667</v>
      </c>
      <c r="M33" s="46">
        <v>112</v>
      </c>
      <c r="N33" s="90">
        <f t="shared" si="8"/>
        <v>1.1666666666666667</v>
      </c>
      <c r="O33" s="46">
        <v>123</v>
      </c>
      <c r="P33" s="90">
        <f t="shared" si="9"/>
        <v>1.28125</v>
      </c>
      <c r="Q33" s="46">
        <v>122</v>
      </c>
      <c r="R33" s="90">
        <f t="shared" si="10"/>
        <v>1.2708333333333333</v>
      </c>
      <c r="S33" s="46">
        <v>123</v>
      </c>
      <c r="T33" s="90">
        <f t="shared" si="7"/>
        <v>1.28125</v>
      </c>
    </row>
    <row r="34" spans="1:20" ht="14.25" thickBot="1" x14ac:dyDescent="0.2">
      <c r="A34" s="561"/>
      <c r="B34" s="562"/>
      <c r="C34" s="12" t="s">
        <v>12</v>
      </c>
      <c r="D34" s="43">
        <v>57</v>
      </c>
      <c r="E34" s="44">
        <v>61</v>
      </c>
      <c r="F34" s="45">
        <v>62</v>
      </c>
      <c r="G34" s="43">
        <v>62</v>
      </c>
      <c r="H34" s="44">
        <v>62</v>
      </c>
      <c r="I34" s="45">
        <v>62</v>
      </c>
      <c r="J34" s="95">
        <f t="shared" si="2"/>
        <v>1</v>
      </c>
      <c r="K34" s="47">
        <v>64</v>
      </c>
      <c r="L34" s="92">
        <f t="shared" si="4"/>
        <v>1.032258064516129</v>
      </c>
      <c r="M34" s="47">
        <v>71</v>
      </c>
      <c r="N34" s="92">
        <f t="shared" si="8"/>
        <v>1.1451612903225807</v>
      </c>
      <c r="O34" s="47">
        <v>78</v>
      </c>
      <c r="P34" s="92">
        <f t="shared" si="9"/>
        <v>1.2580645161290323</v>
      </c>
      <c r="Q34" s="47">
        <v>74</v>
      </c>
      <c r="R34" s="92">
        <f t="shared" si="10"/>
        <v>1.1935483870967742</v>
      </c>
      <c r="S34" s="47">
        <v>74</v>
      </c>
      <c r="T34" s="92">
        <f t="shared" si="7"/>
        <v>1.1935483870967742</v>
      </c>
    </row>
    <row r="35" spans="1:20" ht="13.5" customHeight="1" x14ac:dyDescent="0.15">
      <c r="A35" s="190"/>
      <c r="B35" s="193"/>
      <c r="C35" s="1"/>
      <c r="D35" s="26"/>
      <c r="E35" s="26"/>
      <c r="F35" s="27"/>
      <c r="G35" s="557" t="s">
        <v>376</v>
      </c>
      <c r="H35" s="231"/>
      <c r="I35" s="231"/>
      <c r="J35" s="231"/>
      <c r="K35" s="635" t="s">
        <v>432</v>
      </c>
      <c r="L35" s="635"/>
      <c r="M35" s="635"/>
    </row>
    <row r="36" spans="1:20" x14ac:dyDescent="0.15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 x14ac:dyDescent="0.15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 x14ac:dyDescent="0.2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 x14ac:dyDescent="0.2">
      <c r="A39" s="29"/>
      <c r="B39" s="375"/>
      <c r="C39" s="376"/>
      <c r="D39" s="377" t="s">
        <v>253</v>
      </c>
      <c r="E39" s="750" t="s">
        <v>375</v>
      </c>
      <c r="F39" s="563" t="s">
        <v>254</v>
      </c>
      <c r="G39" s="378" t="s">
        <v>374</v>
      </c>
      <c r="H39" s="749" t="s">
        <v>255</v>
      </c>
      <c r="I39" s="750" t="s">
        <v>373</v>
      </c>
      <c r="J39" s="39" t="s">
        <v>104</v>
      </c>
      <c r="K39" s="748" t="s">
        <v>290</v>
      </c>
      <c r="L39" s="39" t="s">
        <v>105</v>
      </c>
      <c r="M39" s="748" t="s">
        <v>291</v>
      </c>
      <c r="N39" s="39" t="s">
        <v>105</v>
      </c>
      <c r="O39" s="748" t="s">
        <v>292</v>
      </c>
      <c r="P39" s="39" t="s">
        <v>105</v>
      </c>
      <c r="Q39" s="748" t="s">
        <v>369</v>
      </c>
      <c r="R39" s="39" t="s">
        <v>105</v>
      </c>
      <c r="S39" s="748" t="s">
        <v>411</v>
      </c>
      <c r="T39" s="39" t="s">
        <v>105</v>
      </c>
    </row>
    <row r="40" spans="1:20" x14ac:dyDescent="0.15">
      <c r="A40" s="564" t="s">
        <v>76</v>
      </c>
      <c r="B40" s="526"/>
      <c r="C40" s="565"/>
      <c r="D40" s="69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26821.834000000003</v>
      </c>
      <c r="E40" s="68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28327.079999999998</v>
      </c>
      <c r="F40" s="178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28263.687600000001</v>
      </c>
      <c r="G40" s="70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28209</v>
      </c>
      <c r="H40" s="68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57)</f>
        <v>28209</v>
      </c>
      <c r="I40" s="68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57)</f>
        <v>29004</v>
      </c>
      <c r="J40" s="96">
        <f>IFERROR((SUM(G40:I40)/3)/F40,"－")</f>
        <v>1.0074410813966115</v>
      </c>
      <c r="K40" s="70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57)</f>
        <v>30614</v>
      </c>
      <c r="L40" s="96">
        <f>IFERROR(K40/F40,"－")</f>
        <v>1.083156608340095</v>
      </c>
      <c r="M40" s="756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57)</f>
        <v>33850</v>
      </c>
      <c r="N40" s="610">
        <f>IFERROR(M40/F40,"－")</f>
        <v>1.1976498070265962</v>
      </c>
      <c r="O40" s="756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57)</f>
        <v>33850</v>
      </c>
      <c r="P40" s="610">
        <f>IFERROR(O40/F40,"－")</f>
        <v>1.1976498070265962</v>
      </c>
      <c r="Q40" s="756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57)</f>
        <v>29162</v>
      </c>
      <c r="R40" s="610">
        <f>IFERROR(Q40/F40,"－")</f>
        <v>1.0317832694980678</v>
      </c>
      <c r="S40" s="756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57)</f>
        <v>28209</v>
      </c>
      <c r="T40" s="610">
        <f>IFERROR(S40/F40,"－")</f>
        <v>0.99806509324706794</v>
      </c>
    </row>
    <row r="41" spans="1:20" ht="14.25" thickBot="1" x14ac:dyDescent="0.2">
      <c r="A41" s="566" t="s">
        <v>78</v>
      </c>
      <c r="B41" s="567"/>
      <c r="C41" s="568"/>
      <c r="D41" s="71">
        <f>('2_サービス別給付費'!D47+'2_サービス別給付費'!D55)</f>
        <v>0</v>
      </c>
      <c r="E41" s="72">
        <f>('2_サービス別給付費'!E47+'2_サービス別給付費'!E55)</f>
        <v>0</v>
      </c>
      <c r="F41" s="179">
        <f>('2_サービス別給付費'!F47+'2_サービス別給付費'!F55)</f>
        <v>0</v>
      </c>
      <c r="G41" s="73">
        <f>('2_サービス別給付費'!G47+'2_サービス別給付費'!G55)</f>
        <v>0</v>
      </c>
      <c r="H41" s="72">
        <f>('2_サービス別給付費'!H47+'2_サービス別給付費'!H55)</f>
        <v>0</v>
      </c>
      <c r="I41" s="72">
        <f>('2_サービス別給付費'!I47+'2_サービス別給付費'!I55)</f>
        <v>0</v>
      </c>
      <c r="J41" s="97" t="str">
        <f>IFERROR((SUM(G41:I41)/3)/F41,"－")</f>
        <v>－</v>
      </c>
      <c r="K41" s="73">
        <f>('2_サービス別給付費'!K47+'2_サービス別給付費'!K55)</f>
        <v>0</v>
      </c>
      <c r="L41" s="97" t="str">
        <f>IFERROR(K41/F41,"－")</f>
        <v>－</v>
      </c>
      <c r="M41" s="757">
        <f>('2_サービス別給付費'!M47+'2_サービス別給付費'!M55)</f>
        <v>0</v>
      </c>
      <c r="N41" s="456" t="str">
        <f t="shared" ref="N41:N42" si="15">IFERROR(M41/F41,"－")</f>
        <v>－</v>
      </c>
      <c r="O41" s="757">
        <f>('2_サービス別給付費'!O47+'2_サービス別給付費'!O55)</f>
        <v>0</v>
      </c>
      <c r="P41" s="456" t="str">
        <f t="shared" ref="P41:P42" si="16">IFERROR(O41/F41,"－")</f>
        <v>－</v>
      </c>
      <c r="Q41" s="757">
        <f>('2_サービス別給付費'!Q47+'2_サービス別給付費'!Q55)</f>
        <v>0</v>
      </c>
      <c r="R41" s="456" t="str">
        <f t="shared" ref="R41:R42" si="17">IFERROR(Q41/F41,"－")</f>
        <v>－</v>
      </c>
      <c r="S41" s="757">
        <f>('2_サービス別給付費'!S47+'2_サービス別給付費'!S55)</f>
        <v>0</v>
      </c>
      <c r="T41" s="456" t="str">
        <f>IFERROR(S41/F41,"－")</f>
        <v>－</v>
      </c>
    </row>
    <row r="42" spans="1:20" ht="14.25" thickBot="1" x14ac:dyDescent="0.2">
      <c r="A42" s="569" t="s">
        <v>36</v>
      </c>
      <c r="B42" s="375"/>
      <c r="C42" s="570"/>
      <c r="D42" s="78">
        <f>SUM(D40:D41)</f>
        <v>26821.834000000003</v>
      </c>
      <c r="E42" s="79">
        <f t="shared" ref="E42:K42" si="18">SUM(E40:E41)</f>
        <v>28327.079999999998</v>
      </c>
      <c r="F42" s="180">
        <f t="shared" si="18"/>
        <v>28263.687600000001</v>
      </c>
      <c r="G42" s="81">
        <f t="shared" si="18"/>
        <v>28209</v>
      </c>
      <c r="H42" s="81">
        <f t="shared" si="18"/>
        <v>28209</v>
      </c>
      <c r="I42" s="79">
        <f t="shared" si="18"/>
        <v>29004</v>
      </c>
      <c r="J42" s="98">
        <f>IFERROR((SUM(G42:I42)/3)/F42,"－")</f>
        <v>1.0074410813966115</v>
      </c>
      <c r="K42" s="81">
        <f t="shared" si="18"/>
        <v>30614</v>
      </c>
      <c r="L42" s="98">
        <f>IFERROR(K42/F42,"－")</f>
        <v>1.083156608340095</v>
      </c>
      <c r="M42" s="758">
        <f t="shared" ref="M42" si="19">SUM(M40:M41)</f>
        <v>33850</v>
      </c>
      <c r="N42" s="759">
        <f t="shared" si="15"/>
        <v>1.1976498070265962</v>
      </c>
      <c r="O42" s="758">
        <f t="shared" ref="O42" si="20">SUM(O40:O41)</f>
        <v>33850</v>
      </c>
      <c r="P42" s="759">
        <f t="shared" si="16"/>
        <v>1.1976498070265962</v>
      </c>
      <c r="Q42" s="758">
        <f t="shared" ref="Q42:S42" si="21">SUM(Q40:Q41)</f>
        <v>29162</v>
      </c>
      <c r="R42" s="759">
        <f t="shared" si="17"/>
        <v>1.0317832694980678</v>
      </c>
      <c r="S42" s="758">
        <f t="shared" si="21"/>
        <v>28209</v>
      </c>
      <c r="T42" s="759">
        <f>IFERROR(S42/F42,"－")</f>
        <v>0.99806509324706794</v>
      </c>
    </row>
    <row r="43" spans="1:20" ht="13.5" customHeight="1" x14ac:dyDescent="0.15">
      <c r="A43" s="381"/>
      <c r="B43" s="15"/>
      <c r="C43" s="571"/>
      <c r="D43" s="215"/>
      <c r="E43" s="558"/>
      <c r="F43" s="558"/>
      <c r="G43" s="557" t="s">
        <v>377</v>
      </c>
      <c r="H43" s="231"/>
      <c r="I43" s="231"/>
      <c r="J43" s="231"/>
      <c r="K43" s="635" t="s">
        <v>432</v>
      </c>
      <c r="L43" s="635"/>
      <c r="M43" s="635"/>
    </row>
    <row r="44" spans="1:20" ht="13.5" customHeight="1" x14ac:dyDescent="0.15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 x14ac:dyDescent="0.15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 x14ac:dyDescent="0.15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 x14ac:dyDescent="0.15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 x14ac:dyDescent="0.15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 x14ac:dyDescent="0.15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 x14ac:dyDescent="0.15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 x14ac:dyDescent="0.15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 x14ac:dyDescent="0.15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 x14ac:dyDescent="0.15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 x14ac:dyDescent="0.15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 x14ac:dyDescent="0.15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 x14ac:dyDescent="0.15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 x14ac:dyDescent="0.15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 x14ac:dyDescent="0.15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 x14ac:dyDescent="0.15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 x14ac:dyDescent="0.2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 x14ac:dyDescent="0.2">
      <c r="A61" s="29"/>
      <c r="B61" s="375"/>
      <c r="C61" s="376"/>
      <c r="D61" s="377" t="s">
        <v>253</v>
      </c>
      <c r="E61" s="750" t="s">
        <v>375</v>
      </c>
      <c r="F61" s="750" t="s">
        <v>254</v>
      </c>
      <c r="G61" s="748" t="s">
        <v>374</v>
      </c>
      <c r="H61" s="749" t="s">
        <v>255</v>
      </c>
      <c r="I61" s="750" t="s">
        <v>373</v>
      </c>
      <c r="J61" s="39" t="s">
        <v>104</v>
      </c>
      <c r="K61" s="748" t="s">
        <v>290</v>
      </c>
      <c r="L61" s="39" t="s">
        <v>105</v>
      </c>
      <c r="M61" s="748" t="s">
        <v>291</v>
      </c>
      <c r="N61" s="39" t="s">
        <v>105</v>
      </c>
      <c r="O61" s="748" t="s">
        <v>292</v>
      </c>
      <c r="P61" s="39" t="s">
        <v>105</v>
      </c>
      <c r="Q61" s="748" t="s">
        <v>369</v>
      </c>
      <c r="R61" s="39" t="s">
        <v>105</v>
      </c>
      <c r="S61" s="748" t="s">
        <v>411</v>
      </c>
      <c r="T61" s="39" t="s">
        <v>105</v>
      </c>
    </row>
    <row r="62" spans="1:20" x14ac:dyDescent="0.15">
      <c r="A62" s="572" t="s">
        <v>76</v>
      </c>
      <c r="B62" s="28"/>
      <c r="C62" s="573"/>
      <c r="D62" s="181">
        <f>('2_サービス別給付費'!D66+'2_サービス別給付費'!D69+'2_サービス別給付費'!D72+'2_サービス別給付費'!D75+'2_サービス別給付費'!D78+
 '2_サービス別給付費'!D80+'2_サービス別給付費'!D83+'2_サービス別給付費'!D86+'2_サービス別給付費'!D89+'2_サービス別給付費'!D92+
 '2_サービス別給付費'!D95+'2_サービス別給付費'!D98+'2_サービス別給付費'!D100+'2_サービス別給付費'!D102+'2_サービス別給付費'!D107+
 '2_サービス別給付費'!D109+'2_サービス別給付費'!D114+'2_サービス別給付費'!D117+'2_サービス別給付費'!D125+'2_サービス別給付費'!D111+'2_サービス別給付費'!D138)</f>
        <v>339235.55399999989</v>
      </c>
      <c r="E62" s="182">
        <f>('2_サービス別給付費'!E66+'2_サービス別給付費'!E69+'2_サービス別給付費'!E72+'2_サービス別給付費'!E75+'2_サービス別給付費'!E78+
 '2_サービス別給付費'!E80+'2_サービス別給付費'!E83+'2_サービス別給付費'!E86+'2_サービス別給付費'!E89+'2_サービス別給付費'!E92+
 '2_サービス別給付費'!E95+'2_サービス別給付費'!E98+'2_サービス別給付費'!E100+'2_サービス別給付費'!E102+'2_サービス別給付費'!E107+
 '2_サービス別給付費'!E109+'2_サービス別給付費'!E114+'2_サービス別給付費'!E117+'2_サービス別給付費'!E125+'2_サービス別給付費'!E111+'2_サービス別給付費'!E138)</f>
        <v>311215.092</v>
      </c>
      <c r="F62" s="183">
        <f>('2_サービス別給付費'!F66+'2_サービス別給付費'!F69+'2_サービス別給付費'!F72+'2_サービス別給付費'!F75+'2_サービス別給付費'!F78+
 '2_サービス別給付費'!F80+'2_サービス別給付費'!F83+'2_サービス別給付費'!F86+'2_サービス別給付費'!F89+'2_サービス別給付費'!F92+
 '2_サービス別給付費'!F95+'2_サービス別給付費'!F98+'2_サービス別給付費'!F100+'2_サービス別給付費'!F102+'2_サービス別給付費'!F107+
 '2_サービス別給付費'!F109+'2_サービス別給付費'!F114+'2_サービス別給付費'!F117+'2_サービス別給付費'!F125+'2_サービス別給付費'!F111+'2_サービス別給付費'!F138)</f>
        <v>336001.05119999999</v>
      </c>
      <c r="G62" s="181">
        <f>('2_サービス別給付費'!G66+'2_サービス別給付費'!G69+'2_サービス別給付費'!G72+'2_サービス別給付費'!G75+'2_サービス別給付費'!G78+
 '2_サービス別給付費'!G80+'2_サービス別給付費'!G83+'2_サービス別給付費'!G86+'2_サービス別給付費'!G89+'2_サービス別給付費'!G92+
 '2_サービス別給付費'!G95+'2_サービス別給付費'!G98+'2_サービス別給付費'!G100+'2_サービス別給付費'!G102+'2_サービス別給付費'!G107+
 '2_サービス別給付費'!G109+'2_サービス別給付費'!G114+'2_サービス別給付費'!G117+'2_サービス別給付費'!G125+'2_サービス別給付費'!G111+'2_サービス別給付費'!G138+'2_サービス別給付費'!G127)</f>
        <v>335957</v>
      </c>
      <c r="H62" s="184">
        <f>('2_サービス別給付費'!H66+'2_サービス別給付費'!H69+'2_サービス別給付費'!H72+'2_サービス別給付費'!H75+'2_サービス別給付費'!H78+
 '2_サービス別給付費'!H80+'2_サービス別給付費'!H83+'2_サービス別給付費'!H86+'2_サービス別給付費'!H89+'2_サービス別給付費'!H92+
 '2_サービス別給付費'!H95+'2_サービス別給付費'!H98+'2_サービス別給付費'!H100+'2_サービス別給付費'!H102+'2_サービス別給付費'!H107+
 '2_サービス別給付費'!H109+'2_サービス別給付費'!H114+'2_サービス別給付費'!H117+'2_サービス別給付費'!H125+'2_サービス別給付費'!H111+'2_サービス別給付費'!H138+'2_サービス別給付費'!H127)</f>
        <v>337434</v>
      </c>
      <c r="I62" s="182">
        <f>('2_サービス別給付費'!I66+'2_サービス別給付費'!I69+'2_サービス別給付費'!I72+'2_サービス別給付費'!I75+'2_サービス別給付費'!I78+
 '2_サービス別給付費'!I80+'2_サービス別給付費'!I83+'2_サービス別給付費'!I86+'2_サービス別給付費'!I89+'2_サービス別給付費'!I92+
 '2_サービス別給付費'!I95+'2_サービス別給付費'!I98+'2_サービス別給付費'!I100+'2_サービス別給付費'!I102+'2_サービス別給付費'!I107+
 '2_サービス別給付費'!I109+'2_サービス別給付費'!I114+'2_サービス別給付費'!I117+'2_サービス別給付費'!I125+'2_サービス別給付費'!I111+'2_サービス別給付費'!I138+'2_サービス別給付費'!I127)</f>
        <v>343626</v>
      </c>
      <c r="J62" s="99">
        <f>IFERROR((SUM(G62:I62)/3)/F62,"－")</f>
        <v>1.0089422799599463</v>
      </c>
      <c r="K62" s="181">
        <f>('2_サービス別給付費'!K66+'2_サービス別給付費'!K69+'2_サービス別給付費'!K72+'2_サービス別給付費'!K75+'2_サービス別給付費'!K78+
 '2_サービス別給付費'!K80+'2_サービス別給付費'!K83+'2_サービス別給付費'!K86+'2_サービス別給付費'!K89+'2_サービス別給付費'!K92+
 '2_サービス別給付費'!K95+'2_サービス別給付費'!K98+'2_サービス別給付費'!K100+'2_サービス別給付費'!K102+'2_サービス別給付費'!K107+
 '2_サービス別給付費'!K109+'2_サービス別給付費'!K114+'2_サービス別給付費'!K117+'2_サービス別給付費'!K125+'2_サービス別給付費'!K111+'2_サービス別給付費'!K138+'2_サービス別給付費'!K127)</f>
        <v>349740</v>
      </c>
      <c r="L62" s="99">
        <f>IFERROR(K62/F62,"－")</f>
        <v>1.0408896006453923</v>
      </c>
      <c r="M62" s="760">
        <f>('2_サービス別給付費'!M66+'2_サービス別給付費'!M69+'2_サービス別給付費'!M72+'2_サービス別給付費'!M75+'2_サービス別給付費'!M78+
 '2_サービス別給付費'!M80+'2_サービス別給付費'!M83+'2_サービス別給付費'!M86+'2_サービス別給付費'!M89+'2_サービス別給付費'!M92+
 '2_サービス別給付費'!M95+'2_サービス別給付費'!M98+'2_サービス別給付費'!M100+'2_サービス別給付費'!M102+'2_サービス別給付費'!M107+
 '2_サービス別給付費'!M109+'2_サービス別給付費'!M114+'2_サービス別給付費'!M117+'2_サービス別給付費'!M125+'2_サービス別給付費'!M111+'2_サービス別給付費'!M138+'2_サービス別給付費'!M127)</f>
        <v>380636</v>
      </c>
      <c r="N62" s="761">
        <f>IFERROR(M62/F62,"－")</f>
        <v>1.1328416939190815</v>
      </c>
      <c r="O62" s="760">
        <f>('2_サービス別給付費'!O66+'2_サービス別給付費'!O69+'2_サービス別給付費'!O72+'2_サービス別給付費'!O75+'2_サービス別給付費'!O78+
 '2_サービス別給付費'!O80+'2_サービス別給付費'!O83+'2_サービス別給付費'!O86+'2_サービス別給付費'!O89+'2_サービス別給付費'!O92+
 '2_サービス別給付費'!O95+'2_サービス別給付費'!O98+'2_サービス別給付費'!O100+'2_サービス別給付費'!O102+'2_サービス別給付費'!O107+
 '2_サービス別給付費'!O109+'2_サービス別給付費'!O114+'2_サービス別給付費'!O117+'2_サービス別給付費'!O125+'2_サービス別給付費'!O111+'2_サービス別給付費'!O138+'2_サービス別給付費'!O127)</f>
        <v>405309</v>
      </c>
      <c r="P62" s="761">
        <f>IFERROR(O62/F62,"－")</f>
        <v>1.2062730118030061</v>
      </c>
      <c r="Q62" s="760">
        <f>('2_サービス別給付費'!Q66+'2_サービス別給付費'!Q69+'2_サービス別給付費'!Q72+'2_サービス別給付費'!Q75+'2_サービス別給付費'!Q78+
 '2_サービス別給付費'!Q80+'2_サービス別給付費'!Q83+'2_サービス別給付費'!Q86+'2_サービス別給付費'!Q89+'2_サービス別給付費'!Q92+
 '2_サービス別給付費'!Q95+'2_サービス別給付費'!Q98+'2_サービス別給付費'!Q100+'2_サービス別給付費'!Q102+'2_サービス別給付費'!Q107+
 '2_サービス別給付費'!Q109+'2_サービス別給付費'!Q114+'2_サービス別給付費'!Q117+'2_サービス別給付費'!Q125+'2_サービス別給付費'!Q111+'2_サービス別給付費'!Q138+'2_サービス別給付費'!Q127)</f>
        <v>385627</v>
      </c>
      <c r="R62" s="761">
        <f>IFERROR(Q62/F62,"－")</f>
        <v>1.147695814113572</v>
      </c>
      <c r="S62" s="760">
        <f>('2_サービス別給付費'!S66+'2_サービス別給付費'!S69+'2_サービス別給付費'!S72+'2_サービス別給付費'!S75+'2_サービス別給付費'!S78+
 '2_サービス別給付費'!S80+'2_サービス別給付費'!S83+'2_サービス別給付費'!S86+'2_サービス別給付費'!S89+'2_サービス別給付費'!S92+
 '2_サービス別給付費'!S95+'2_サービス別給付費'!S98+'2_サービス別給付費'!S100+'2_サービス別給付費'!S102+'2_サービス別給付費'!S107+
 '2_サービス別給付費'!S109+'2_サービス別給付費'!S114+'2_サービス別給付費'!S117+'2_サービス別給付費'!S125+'2_サービス別給付費'!S111+'2_サービス別給付費'!S138+'2_サービス別給付費'!S127)</f>
        <v>373616</v>
      </c>
      <c r="T62" s="761">
        <f>IFERROR(S62/F62,"－")</f>
        <v>1.1119489021408158</v>
      </c>
    </row>
    <row r="63" spans="1:20" x14ac:dyDescent="0.15">
      <c r="A63" s="37" t="s">
        <v>77</v>
      </c>
      <c r="B63" s="533"/>
      <c r="C63" s="574"/>
      <c r="D63" s="74">
        <f>('2_サービス別給付費'!D104+'2_サービス別給付費'!D119+'2_サービス別給付費'!D121)</f>
        <v>82494.475999999995</v>
      </c>
      <c r="E63" s="76">
        <f>('2_サービス別給付費'!E104+'2_サービス別給付費'!E119+'2_サービス別給付費'!E121)</f>
        <v>85194.085000000006</v>
      </c>
      <c r="F63" s="77">
        <f>('2_サービス別給付費'!F104+'2_サービス別給付費'!F119+'2_サービス別給付費'!F121)</f>
        <v>85519.679999999993</v>
      </c>
      <c r="G63" s="74">
        <f>('2_サービス別給付費'!G104+'2_サービス別給付費'!G119+'2_サービス別給付費'!G121)</f>
        <v>85520</v>
      </c>
      <c r="H63" s="75">
        <f>('2_サービス別給付費'!H104+'2_サービス別給付費'!H119+'2_サービス別給付費'!H121)</f>
        <v>85520</v>
      </c>
      <c r="I63" s="76">
        <f>('2_サービス別給付費'!I104+'2_サービス別給付費'!I119+'2_サービス別給付費'!I121)</f>
        <v>85520</v>
      </c>
      <c r="J63" s="100">
        <f>IFERROR((SUM(G63:I63)/3)/F63,"－")</f>
        <v>1.0000037418287815</v>
      </c>
      <c r="K63" s="74">
        <f>('2_サービス別給付費'!K104+'2_サービス別給付費'!K119+'2_サービス別給付費'!K121)</f>
        <v>95280</v>
      </c>
      <c r="L63" s="100">
        <f>IFERROR(K63/F63,"－")</f>
        <v>1.1141295196614394</v>
      </c>
      <c r="M63" s="408">
        <f>('2_サービス別給付費'!M104+'2_サービス別給付費'!M119+'2_サービス別給付費'!M121)</f>
        <v>101565</v>
      </c>
      <c r="N63" s="411">
        <f t="shared" ref="N63:N65" si="22">IFERROR(M63/F63,"－")</f>
        <v>1.1876213755710967</v>
      </c>
      <c r="O63" s="408">
        <f>('2_サービス別給付費'!O104+'2_サービス別給付費'!O119+'2_サービス別給付費'!O121)</f>
        <v>110378</v>
      </c>
      <c r="P63" s="411">
        <f t="shared" ref="P63:P65" si="23">IFERROR(O63/F63,"－")</f>
        <v>1.2906736788538031</v>
      </c>
      <c r="Q63" s="408">
        <f>('2_サービス別給付費'!Q104+'2_サービス別給付費'!Q119+'2_サービス別給付費'!Q121)</f>
        <v>98445</v>
      </c>
      <c r="R63" s="411">
        <f t="shared" ref="R63:R65" si="24">IFERROR(Q63/F63,"－")</f>
        <v>1.1511385449524603</v>
      </c>
      <c r="S63" s="408">
        <f>('2_サービス別給付費'!S104+'2_サービス別給付費'!S119+'2_サービス別給付費'!S121)</f>
        <v>95280</v>
      </c>
      <c r="T63" s="411">
        <f>IFERROR(S63/F63,"－")</f>
        <v>1.1141295196614394</v>
      </c>
    </row>
    <row r="64" spans="1:20" ht="14.25" thickBot="1" x14ac:dyDescent="0.2">
      <c r="A64" s="575" t="s">
        <v>61</v>
      </c>
      <c r="B64" s="576"/>
      <c r="C64" s="577"/>
      <c r="D64" s="185">
        <f>('2_サービス別給付費'!D123+'2_サービス別給付費'!D130+'2_サービス別給付費'!D132+'2_サービス別給付費'!D134+'2_サービス別給付費'!D136)</f>
        <v>511948.92700000003</v>
      </c>
      <c r="E64" s="186">
        <f>('2_サービス別給付費'!E123+'2_サービス別給付費'!E130+'2_サービス別給付費'!E132+'2_サービス別給付費'!E134+'2_サービス別給付費'!E136)</f>
        <v>537161.01</v>
      </c>
      <c r="F64" s="187">
        <f>('2_サービス別給付費'!F123+'2_サービス別給付費'!F130+'2_サービス別給付費'!F132+'2_サービス別給付費'!F134+'2_サービス別給付費'!F136)</f>
        <v>610276.45200000005</v>
      </c>
      <c r="G64" s="185">
        <f>('2_サービス別給付費'!G123+'2_サービス別給付費'!G130+'2_サービス別給付費'!G132+'2_サービス別給付費'!G134+'2_サービス別給付費'!G136)</f>
        <v>610277</v>
      </c>
      <c r="H64" s="188">
        <f>('2_サービス別給付費'!H123+'2_サービス別給付費'!H130+'2_サービス別給付費'!H132+'2_サービス別給付費'!H134+'2_サービス別給付費'!H136)</f>
        <v>610277</v>
      </c>
      <c r="I64" s="186">
        <f>('2_サービス別給付費'!I123+'2_サービス別給付費'!I130+'2_サービス別給付費'!I132+'2_サービス別給付費'!I134+'2_サービス別給付費'!I136)</f>
        <v>610277</v>
      </c>
      <c r="J64" s="101">
        <f>IFERROR((SUM(G64:I64)/3)/F64,"－")</f>
        <v>1.0000008979537029</v>
      </c>
      <c r="K64" s="186">
        <f>('2_サービス別給付費'!K123+'2_サービス別給付費'!K130+'2_サービス別給付費'!K132+'2_サービス別給付費'!K134+'2_サービス別給付費'!K136)</f>
        <v>646146</v>
      </c>
      <c r="L64" s="102">
        <f>IFERROR(K64/F64,"－")</f>
        <v>1.0587759004668265</v>
      </c>
      <c r="M64" s="502">
        <f>('2_サービス別給付費'!M123+'2_サービス別給付費'!M130+'2_サービス別給付費'!M132+'2_サービス別給付費'!M134+'2_サービス別給付費'!M136)</f>
        <v>697035</v>
      </c>
      <c r="N64" s="762">
        <f t="shared" si="22"/>
        <v>1.1421626997333332</v>
      </c>
      <c r="O64" s="502">
        <f>('2_サービス別給付費'!O123+'2_サービス別給付費'!O130+'2_サービス別給付費'!O132+'2_サービス別給付費'!O134+'2_サービス別給付費'!O136)</f>
        <v>755064</v>
      </c>
      <c r="P64" s="762">
        <f t="shared" si="23"/>
        <v>1.2372491147667615</v>
      </c>
      <c r="Q64" s="502">
        <f>('2_サービス別給付費'!Q123+'2_サービス別給付費'!Q130+'2_サービス別給付費'!Q132+'2_サービス別給付費'!Q134+'2_サービス別給付費'!Q136)</f>
        <v>730047</v>
      </c>
      <c r="R64" s="762">
        <f t="shared" si="24"/>
        <v>1.19625621733804</v>
      </c>
      <c r="S64" s="502">
        <f>('2_サービス別給付費'!S123+'2_サービス別給付費'!S130+'2_サービス別給付費'!S132+'2_サービス別給付費'!S134+'2_サービス別給付費'!S136)</f>
        <v>724679</v>
      </c>
      <c r="T64" s="762">
        <f>IFERROR(S64/F64,"－")</f>
        <v>1.1874602036914246</v>
      </c>
    </row>
    <row r="65" spans="1:20" ht="14.25" thickBot="1" x14ac:dyDescent="0.2">
      <c r="A65" s="569" t="s">
        <v>36</v>
      </c>
      <c r="B65" s="375"/>
      <c r="C65" s="570"/>
      <c r="D65" s="78">
        <f>SUM(D62:D64)</f>
        <v>933678.95699999994</v>
      </c>
      <c r="E65" s="79">
        <f t="shared" ref="E65:I65" si="25">SUM(E62:E64)</f>
        <v>933570.18700000003</v>
      </c>
      <c r="F65" s="80">
        <f>SUM(F62:F64)</f>
        <v>1031797.1832000001</v>
      </c>
      <c r="G65" s="78">
        <f t="shared" si="25"/>
        <v>1031754</v>
      </c>
      <c r="H65" s="81">
        <f t="shared" si="25"/>
        <v>1033231</v>
      </c>
      <c r="I65" s="79">
        <f t="shared" si="25"/>
        <v>1039423</v>
      </c>
      <c r="J65" s="98">
        <f>IFERROR((SUM(G65:I65)/3)/F65,"－")</f>
        <v>1.0029128626396764</v>
      </c>
      <c r="K65" s="81">
        <f>SUM(K62:K64)</f>
        <v>1091166</v>
      </c>
      <c r="L65" s="98">
        <f>IFERROR(K65/F65,"－")</f>
        <v>1.0575392313205143</v>
      </c>
      <c r="M65" s="758">
        <f>SUM(M62:M64)</f>
        <v>1179236</v>
      </c>
      <c r="N65" s="759">
        <f t="shared" si="22"/>
        <v>1.1428951534280558</v>
      </c>
      <c r="O65" s="758">
        <f>SUM(O62:O64)</f>
        <v>1270751</v>
      </c>
      <c r="P65" s="759">
        <f t="shared" si="23"/>
        <v>1.2315899100043211</v>
      </c>
      <c r="Q65" s="758">
        <f>SUM(Q62:Q64)</f>
        <v>1214119</v>
      </c>
      <c r="R65" s="759">
        <f t="shared" si="24"/>
        <v>1.1767031542328403</v>
      </c>
      <c r="S65" s="758">
        <f>SUM(S62:S64)</f>
        <v>1193575</v>
      </c>
      <c r="T65" s="759">
        <f>IFERROR(S65/F65,"－")</f>
        <v>1.1567922644431579</v>
      </c>
    </row>
    <row r="66" spans="1:20" ht="13.5" customHeight="1" x14ac:dyDescent="0.15">
      <c r="A66" s="571"/>
      <c r="B66" s="189"/>
      <c r="C66" s="571"/>
      <c r="D66" s="558"/>
      <c r="E66" s="558"/>
      <c r="F66" s="558"/>
      <c r="G66" s="557" t="s">
        <v>377</v>
      </c>
      <c r="H66" s="231"/>
      <c r="I66" s="231"/>
      <c r="J66" s="231"/>
      <c r="K66" s="636" t="s">
        <v>432</v>
      </c>
      <c r="L66" s="636"/>
      <c r="M66" s="636"/>
    </row>
    <row r="67" spans="1:20" x14ac:dyDescent="0.15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 x14ac:dyDescent="0.15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 x14ac:dyDescent="0.15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 x14ac:dyDescent="0.15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 x14ac:dyDescent="0.15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 x14ac:dyDescent="0.15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 x14ac:dyDescent="0.15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 x14ac:dyDescent="0.15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 x14ac:dyDescent="0.15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 x14ac:dyDescent="0.15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 x14ac:dyDescent="0.15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 x14ac:dyDescent="0.15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 x14ac:dyDescent="0.15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 x14ac:dyDescent="0.15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 x14ac:dyDescent="0.15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 x14ac:dyDescent="0.15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 x14ac:dyDescent="0.2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 x14ac:dyDescent="0.2">
      <c r="A84" s="202"/>
      <c r="B84" s="578"/>
      <c r="C84" s="203"/>
      <c r="D84" s="377" t="s">
        <v>253</v>
      </c>
      <c r="E84" s="750" t="s">
        <v>375</v>
      </c>
      <c r="F84" s="750" t="s">
        <v>254</v>
      </c>
      <c r="G84" s="748" t="s">
        <v>374</v>
      </c>
      <c r="H84" s="749" t="s">
        <v>255</v>
      </c>
      <c r="I84" s="750" t="s">
        <v>373</v>
      </c>
      <c r="J84" s="39" t="s">
        <v>104</v>
      </c>
      <c r="K84" s="748" t="s">
        <v>290</v>
      </c>
      <c r="L84" s="39" t="s">
        <v>105</v>
      </c>
      <c r="M84" s="748" t="s">
        <v>291</v>
      </c>
      <c r="N84" s="39" t="s">
        <v>105</v>
      </c>
      <c r="O84" s="748" t="s">
        <v>292</v>
      </c>
      <c r="P84" s="39" t="s">
        <v>105</v>
      </c>
      <c r="Q84" s="748" t="s">
        <v>369</v>
      </c>
      <c r="R84" s="39" t="s">
        <v>105</v>
      </c>
      <c r="S84" s="748" t="s">
        <v>411</v>
      </c>
      <c r="T84" s="39" t="s">
        <v>105</v>
      </c>
    </row>
    <row r="85" spans="1:20" ht="14.25" thickBot="1" x14ac:dyDescent="0.2">
      <c r="A85" s="338" t="s">
        <v>64</v>
      </c>
      <c r="B85" s="579"/>
      <c r="C85" s="339"/>
      <c r="D85" s="580">
        <f>D42+D65</f>
        <v>960500.79099999997</v>
      </c>
      <c r="E85" s="581">
        <f>E65+E42</f>
        <v>961897.26699999999</v>
      </c>
      <c r="F85" s="582">
        <f>F65+F42</f>
        <v>1060060.8708000001</v>
      </c>
      <c r="G85" s="580">
        <f>G65+G42</f>
        <v>1059963</v>
      </c>
      <c r="H85" s="581">
        <f>H65+H42</f>
        <v>1061440</v>
      </c>
      <c r="I85" s="582">
        <f>I65+I42</f>
        <v>1068427</v>
      </c>
      <c r="J85" s="98">
        <f>IFERROR((SUM(G85:I85)/3)/F85,"－")</f>
        <v>1.0030335954804555</v>
      </c>
      <c r="K85" s="580">
        <f>K65+K42</f>
        <v>1121780</v>
      </c>
      <c r="L85" s="98">
        <f>IFERROR(K85/F85,"－")</f>
        <v>1.0582222501557124</v>
      </c>
      <c r="M85" s="763">
        <f>M65+M42</f>
        <v>1213086</v>
      </c>
      <c r="N85" s="759">
        <f>IFERROR(M85/F85,"－")</f>
        <v>1.144355039804946</v>
      </c>
      <c r="O85" s="763">
        <f>O65+O42</f>
        <v>1304601</v>
      </c>
      <c r="P85" s="759">
        <f>IFERROR(O85/F85,"－")</f>
        <v>1.2306849879436186</v>
      </c>
      <c r="Q85" s="763">
        <f>Q65+Q42</f>
        <v>1243281</v>
      </c>
      <c r="R85" s="759">
        <f>IFERROR(Q85/F85,"－")</f>
        <v>1.1728392531475371</v>
      </c>
      <c r="S85" s="763">
        <f>S65+S42</f>
        <v>1221784</v>
      </c>
      <c r="T85" s="759">
        <f>IFERROR(S85/F85,"－")</f>
        <v>1.152560228996993</v>
      </c>
    </row>
    <row r="86" spans="1:20" ht="13.5" customHeight="1" x14ac:dyDescent="0.15">
      <c r="A86" s="190" t="s">
        <v>110</v>
      </c>
      <c r="B86" s="193"/>
      <c r="C86" s="190"/>
      <c r="D86" s="190"/>
      <c r="E86" s="190"/>
      <c r="F86" s="190"/>
      <c r="G86" s="557" t="s">
        <v>377</v>
      </c>
      <c r="H86" s="231"/>
      <c r="I86" s="231"/>
      <c r="J86" s="231"/>
      <c r="K86" s="636" t="s">
        <v>432</v>
      </c>
      <c r="L86" s="636"/>
      <c r="M86" s="636"/>
    </row>
    <row r="87" spans="1:20" x14ac:dyDescent="0.15">
      <c r="K87" s="636"/>
      <c r="L87" s="636"/>
      <c r="M87" s="636"/>
    </row>
    <row r="88" spans="1:20" x14ac:dyDescent="0.15">
      <c r="A88" s="373" t="s">
        <v>93</v>
      </c>
    </row>
    <row r="89" spans="1:20" ht="14.25" thickBot="1" x14ac:dyDescent="0.2">
      <c r="H89" s="583"/>
      <c r="I89" s="583" t="s">
        <v>69</v>
      </c>
    </row>
    <row r="90" spans="1:20" ht="14.25" thickBot="1" x14ac:dyDescent="0.2">
      <c r="A90" s="202"/>
      <c r="B90" s="578"/>
      <c r="C90" s="203"/>
      <c r="D90" s="377" t="s">
        <v>253</v>
      </c>
      <c r="E90" s="750" t="s">
        <v>375</v>
      </c>
      <c r="F90" s="750" t="s">
        <v>254</v>
      </c>
      <c r="G90" s="748" t="s">
        <v>374</v>
      </c>
      <c r="H90" s="749" t="s">
        <v>255</v>
      </c>
      <c r="I90" s="563" t="s">
        <v>373</v>
      </c>
    </row>
    <row r="91" spans="1:20" x14ac:dyDescent="0.15">
      <c r="A91" s="320" t="s">
        <v>70</v>
      </c>
      <c r="B91" s="584"/>
      <c r="C91" s="321"/>
      <c r="D91" s="103">
        <f t="shared" ref="D91:I91" si="26">IFERROR((D62+D40)/D12,"－")</f>
        <v>112.25310886231215</v>
      </c>
      <c r="E91" s="104">
        <f t="shared" si="26"/>
        <v>103.74035197066912</v>
      </c>
      <c r="F91" s="105">
        <f t="shared" si="26"/>
        <v>111.02247448948491</v>
      </c>
      <c r="G91" s="103">
        <f t="shared" si="26"/>
        <v>110.62150668286756</v>
      </c>
      <c r="H91" s="104">
        <f t="shared" si="26"/>
        <v>110.73379769836463</v>
      </c>
      <c r="I91" s="105">
        <f t="shared" si="26"/>
        <v>113.5720816824139</v>
      </c>
    </row>
    <row r="92" spans="1:20" ht="14.25" thickBot="1" x14ac:dyDescent="0.2">
      <c r="A92" s="213" t="s">
        <v>71</v>
      </c>
      <c r="B92" s="585"/>
      <c r="C92" s="214"/>
      <c r="D92" s="106">
        <f t="shared" ref="D92:I92" si="27">IFERROR(D64/D12,"－")</f>
        <v>156.99139129101502</v>
      </c>
      <c r="E92" s="107">
        <f t="shared" si="27"/>
        <v>164.11885426214482</v>
      </c>
      <c r="F92" s="108">
        <f t="shared" si="27"/>
        <v>186.00318561414204</v>
      </c>
      <c r="G92" s="106">
        <f t="shared" si="27"/>
        <v>185.38183475091131</v>
      </c>
      <c r="H92" s="107">
        <f t="shared" si="27"/>
        <v>184.82041187159297</v>
      </c>
      <c r="I92" s="108">
        <f t="shared" si="27"/>
        <v>186.00335263639136</v>
      </c>
    </row>
    <row r="101" spans="1:12" x14ac:dyDescent="0.15">
      <c r="H101" s="1020"/>
      <c r="I101" s="1020"/>
      <c r="J101" s="1020"/>
      <c r="K101" s="1020"/>
      <c r="L101" s="1020"/>
    </row>
    <row r="102" spans="1:12" x14ac:dyDescent="0.15">
      <c r="H102" s="1020"/>
      <c r="I102" s="1020"/>
      <c r="J102" s="1020"/>
      <c r="K102" s="1020"/>
      <c r="L102" s="1020"/>
    </row>
    <row r="103" spans="1:12" x14ac:dyDescent="0.15">
      <c r="H103" s="1020"/>
      <c r="I103" s="1020"/>
      <c r="J103" s="1020"/>
      <c r="K103" s="1020"/>
      <c r="L103" s="1020"/>
    </row>
    <row r="104" spans="1:12" x14ac:dyDescent="0.15">
      <c r="H104" s="1020"/>
      <c r="I104" s="1020"/>
      <c r="J104" s="1020"/>
      <c r="K104" s="1020"/>
      <c r="L104" s="1020"/>
    </row>
    <row r="105" spans="1:12" x14ac:dyDescent="0.15">
      <c r="H105" s="1020"/>
      <c r="I105" s="1020"/>
      <c r="J105" s="1020"/>
      <c r="K105" s="1020"/>
      <c r="L105" s="1020"/>
    </row>
    <row r="106" spans="1:12" x14ac:dyDescent="0.15">
      <c r="H106" s="1020" t="s">
        <v>378</v>
      </c>
      <c r="I106" s="1020"/>
      <c r="J106" s="1020"/>
      <c r="K106" s="1020"/>
      <c r="L106" s="1020"/>
    </row>
    <row r="107" spans="1:12" x14ac:dyDescent="0.15">
      <c r="H107" s="1020"/>
      <c r="I107" s="1020"/>
      <c r="J107" s="1020"/>
      <c r="K107" s="1020"/>
      <c r="L107" s="1020"/>
    </row>
    <row r="108" spans="1:12" x14ac:dyDescent="0.15">
      <c r="H108" s="1020"/>
      <c r="I108" s="1020"/>
      <c r="J108" s="1020"/>
      <c r="K108" s="1020"/>
      <c r="L108" s="1020"/>
    </row>
    <row r="109" spans="1:12" x14ac:dyDescent="0.15">
      <c r="H109" s="1020"/>
      <c r="I109" s="1020"/>
      <c r="J109" s="1020"/>
      <c r="K109" s="1020"/>
      <c r="L109" s="1020"/>
    </row>
    <row r="110" spans="1:12" x14ac:dyDescent="0.15">
      <c r="H110" s="1020"/>
      <c r="I110" s="1020"/>
      <c r="J110" s="1020"/>
      <c r="K110" s="1020"/>
      <c r="L110" s="1020"/>
    </row>
    <row r="112" spans="1:12" x14ac:dyDescent="0.15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 x14ac:dyDescent="0.15">
      <c r="A113" s="373" t="s">
        <v>268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 x14ac:dyDescent="0.2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 x14ac:dyDescent="0.2">
      <c r="A115" s="587"/>
      <c r="B115" s="588"/>
      <c r="C115" s="589"/>
      <c r="D115" s="377" t="s">
        <v>253</v>
      </c>
      <c r="E115" s="750" t="s">
        <v>375</v>
      </c>
      <c r="F115" s="750" t="s">
        <v>254</v>
      </c>
      <c r="G115" s="748" t="s">
        <v>374</v>
      </c>
      <c r="H115" s="749" t="s">
        <v>255</v>
      </c>
      <c r="I115" s="563" t="s">
        <v>373</v>
      </c>
      <c r="J115" s="353"/>
      <c r="K115" s="353"/>
      <c r="L115" s="353"/>
    </row>
    <row r="116" spans="1:12" x14ac:dyDescent="0.15">
      <c r="A116" s="470" t="s">
        <v>269</v>
      </c>
      <c r="B116" s="590"/>
      <c r="C116" s="591"/>
      <c r="D116" s="620">
        <f>IFERROR(('2_サービス別給付費'!D54+'2_サービス別給付費'!D58+'2_サービス別給付費'!D118+'2_サービス別給付費'!D126+'2_サービス別給付費'!D139)/D12,"－")</f>
        <v>8.5224368803025641E-2</v>
      </c>
      <c r="E116" s="621">
        <f>IFERROR(('2_サービス別給付費'!E54+'2_サービス別給付費'!E58+'2_サービス別給付費'!E118+'2_サービス別給付費'!E126+'2_サービス別給付費'!E139)/E12,"－")</f>
        <v>8.4402688664833483E-2</v>
      </c>
      <c r="F116" s="622">
        <f>IFERROR(('2_サービス別給付費'!F54+'2_サービス別給付費'!F58+'2_サービス別給付費'!F118+'2_サービス別給付費'!F126+'2_サービス別給付費'!F139)/F12,"－")</f>
        <v>7.8939347759829318E-2</v>
      </c>
      <c r="G116" s="620">
        <f>IFERROR(('2_サービス別給付費'!G54+'2_サービス別給付費'!G58+'2_サービス別給付費'!G118+'2_サービス別給付費'!G126+'2_サービス別給付費'!G139)/G12,"－")</f>
        <v>7.8675577156743615E-2</v>
      </c>
      <c r="H116" s="621">
        <f>IFERROR(('2_サービス別給付費'!H54+'2_サービス別給付費'!H58+'2_サービス別給付費'!H118+'2_サービス別給付費'!H126+'2_サービス別給付費'!H139)/H12,"－")</f>
        <v>7.8437310720775283E-2</v>
      </c>
      <c r="I116" s="622">
        <f>IFERROR(('2_サービス別給付費'!I54+'2_サービス別給付費'!I58+'2_サービス別給付費'!I118+'2_サービス別給付費'!I126+'2_サービス別給付費'!I139)/I12,"－")</f>
        <v>7.9853703139286802E-2</v>
      </c>
      <c r="J116" s="353"/>
      <c r="K116" s="353"/>
      <c r="L116" s="353"/>
    </row>
    <row r="117" spans="1:12" ht="14.25" thickBot="1" x14ac:dyDescent="0.2">
      <c r="A117" s="592" t="s">
        <v>270</v>
      </c>
      <c r="B117" s="593"/>
      <c r="C117" s="594"/>
      <c r="D117" s="623">
        <f>IFERROR(('2_サービス別給付費'!D48+'2_サービス別給付費'!D56+'2_サービス別給付費'!D105+'2_サービス別給付費'!D120+'2_サービス別給付費'!D122+'2_サービス別給付費'!D124+'2_サービス別給付費'!D131+'2_サービス別給付費'!D133+'2_サービス別給付費'!D135+'2_サービス別給付費'!D137)/D12,"－")</f>
        <v>5.2361238883777979E-2</v>
      </c>
      <c r="E117" s="624">
        <f>IFERROR(('2_サービス別給付費'!E48+'2_サービス別給付費'!E56+'2_サービス別給付費'!E105+'2_サービス別給付費'!E120+'2_サービス別給付費'!E122+'2_サービス別給付費'!E124+'2_サービス別給付費'!E131+'2_サービス別給付費'!E133+'2_サービス別給付費'!E135+'2_サービス別給付費'!E137)/E12,"－")</f>
        <v>5.384967919340055E-2</v>
      </c>
      <c r="F117" s="625">
        <f>IFERROR(('2_サービス別給付費'!F48+'2_サービス別給付費'!F56+'2_サービス別給付費'!F105+'2_サービス別給付費'!F120+'2_サービス別給付費'!F122+'2_サービス別給付費'!F124+'2_サービス別給付費'!F131+'2_サービス別給付費'!F133+'2_サービス別給付費'!F135+'2_サービス別給付費'!F137)/F12,"－")</f>
        <v>5.9433099664736359E-2</v>
      </c>
      <c r="G117" s="623">
        <f>IFERROR(('2_サービス別給付費'!G48+'2_サービス別給付費'!G56+'2_サービス別給付費'!G105+'2_サービス別給付費'!G120+'2_サービス別給付費'!G122+'2_サービス別給付費'!G124+'2_サービス別給付費'!G131+'2_サービス別給付費'!G133+'2_サービス別給付費'!G135+'2_サービス別給付費'!G137)/G12,"－")</f>
        <v>5.9234507897934385E-2</v>
      </c>
      <c r="H117" s="624">
        <f>IFERROR(('2_サービス別給付費'!H48+'2_サービス別給付費'!H56+'2_サービス別給付費'!H105+'2_サービス別給付費'!H120+'2_サービス別給付費'!H122+'2_サービス別給付費'!H124+'2_サービス別給付費'!H131+'2_サービス別給付費'!H133+'2_サービス別給付費'!H135+'2_サービス別給付費'!H137)/H12,"－")</f>
        <v>5.905511811023622E-2</v>
      </c>
      <c r="I117" s="625">
        <f>IFERROR(('2_サービス別給付費'!I48+'2_サービス別給付費'!I56+'2_サービス別給付費'!I105+'2_サービス別給付費'!I120+'2_サービス別給付費'!I122+'2_サービス別給付費'!I124+'2_サービス別給付費'!I131+'2_サービス別給付費'!I133+'2_サービス別給付費'!I135+'2_サービス別給付費'!I137)/I12,"－")</f>
        <v>5.9433099664736359E-2</v>
      </c>
      <c r="J117" s="353"/>
      <c r="K117" s="353"/>
      <c r="L117" s="353"/>
    </row>
    <row r="118" spans="1:12" x14ac:dyDescent="0.15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 x14ac:dyDescent="0.15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 x14ac:dyDescent="0.15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 x14ac:dyDescent="0.15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 x14ac:dyDescent="0.15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 x14ac:dyDescent="0.15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 x14ac:dyDescent="0.15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 x14ac:dyDescent="0.15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 x14ac:dyDescent="0.15">
      <c r="A126" s="353"/>
      <c r="B126" s="353"/>
      <c r="C126" s="353"/>
      <c r="D126" s="353"/>
      <c r="E126" s="353"/>
      <c r="F126" s="353"/>
      <c r="G126" s="353"/>
      <c r="H126" s="1028"/>
      <c r="I126" s="1028"/>
      <c r="J126" s="1028"/>
      <c r="K126" s="1028"/>
      <c r="L126" s="1028"/>
    </row>
    <row r="127" spans="1:12" x14ac:dyDescent="0.15">
      <c r="A127" s="353"/>
      <c r="B127" s="353"/>
      <c r="C127" s="353"/>
      <c r="D127" s="353"/>
      <c r="E127" s="353"/>
      <c r="F127" s="353"/>
      <c r="G127" s="353"/>
      <c r="H127" s="1028"/>
      <c r="I127" s="1028"/>
      <c r="J127" s="1028"/>
      <c r="K127" s="1028"/>
      <c r="L127" s="1028"/>
    </row>
    <row r="128" spans="1:12" x14ac:dyDescent="0.15">
      <c r="A128" s="353"/>
      <c r="B128" s="353"/>
      <c r="C128" s="353"/>
      <c r="D128" s="353"/>
      <c r="E128" s="353"/>
      <c r="F128" s="353"/>
      <c r="G128" s="353"/>
      <c r="H128" s="1028"/>
      <c r="I128" s="1028"/>
      <c r="J128" s="1028"/>
      <c r="K128" s="1028"/>
      <c r="L128" s="1028"/>
    </row>
    <row r="129" spans="1:12" x14ac:dyDescent="0.15">
      <c r="A129" s="353"/>
      <c r="B129" s="353"/>
      <c r="C129" s="353"/>
      <c r="D129" s="353"/>
      <c r="E129" s="353"/>
      <c r="F129" s="353"/>
      <c r="G129" s="353"/>
      <c r="H129" s="1028"/>
      <c r="I129" s="1028"/>
      <c r="J129" s="1028"/>
      <c r="K129" s="1028"/>
      <c r="L129" s="1028"/>
    </row>
    <row r="130" spans="1:12" x14ac:dyDescent="0.15">
      <c r="A130" s="353"/>
      <c r="B130" s="353"/>
      <c r="C130" s="353"/>
      <c r="D130" s="353"/>
      <c r="E130" s="353"/>
      <c r="F130" s="353"/>
      <c r="G130" s="353"/>
      <c r="H130" s="1028"/>
      <c r="I130" s="1028"/>
      <c r="J130" s="1028"/>
      <c r="K130" s="1028"/>
      <c r="L130" s="1028"/>
    </row>
    <row r="131" spans="1:12" x14ac:dyDescent="0.15">
      <c r="A131" s="353"/>
      <c r="B131" s="353"/>
      <c r="C131" s="353"/>
      <c r="D131" s="353"/>
      <c r="E131" s="353"/>
      <c r="F131" s="353"/>
      <c r="G131" s="353"/>
      <c r="H131" s="1028" t="s">
        <v>379</v>
      </c>
      <c r="I131" s="1028"/>
      <c r="J131" s="1028"/>
      <c r="K131" s="1028"/>
      <c r="L131" s="1028"/>
    </row>
    <row r="132" spans="1:12" x14ac:dyDescent="0.15">
      <c r="A132" s="353"/>
      <c r="B132" s="353"/>
      <c r="C132" s="353"/>
      <c r="D132" s="353"/>
      <c r="E132" s="353"/>
      <c r="F132" s="353"/>
      <c r="G132" s="353"/>
      <c r="H132" s="1028"/>
      <c r="I132" s="1028"/>
      <c r="J132" s="1028"/>
      <c r="K132" s="1028"/>
      <c r="L132" s="1028"/>
    </row>
    <row r="133" spans="1:12" x14ac:dyDescent="0.15">
      <c r="A133" s="353"/>
      <c r="B133" s="353"/>
      <c r="C133" s="353"/>
      <c r="D133" s="353"/>
      <c r="E133" s="353"/>
      <c r="F133" s="353"/>
      <c r="G133" s="353"/>
      <c r="H133" s="1028"/>
      <c r="I133" s="1028"/>
      <c r="J133" s="1028"/>
      <c r="K133" s="1028"/>
      <c r="L133" s="1028"/>
    </row>
    <row r="134" spans="1:12" x14ac:dyDescent="0.15">
      <c r="A134" s="353"/>
      <c r="B134" s="353"/>
      <c r="C134" s="353"/>
      <c r="D134" s="353"/>
      <c r="E134" s="353"/>
      <c r="F134" s="353"/>
      <c r="G134" s="353"/>
      <c r="H134" s="1028"/>
      <c r="I134" s="1028"/>
      <c r="J134" s="1028"/>
      <c r="K134" s="1028"/>
      <c r="L134" s="1028"/>
    </row>
    <row r="135" spans="1:12" x14ac:dyDescent="0.15">
      <c r="A135" s="353"/>
      <c r="B135" s="353"/>
      <c r="C135" s="353"/>
      <c r="D135" s="353"/>
      <c r="E135" s="353"/>
      <c r="F135" s="353"/>
      <c r="G135" s="353"/>
      <c r="H135" s="1028"/>
      <c r="I135" s="1028"/>
      <c r="J135" s="1028"/>
      <c r="K135" s="1028"/>
      <c r="L135" s="1028"/>
    </row>
    <row r="136" spans="1:12" x14ac:dyDescent="0.15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 x14ac:dyDescent="0.15">
      <c r="A137" s="353"/>
      <c r="B137" s="595" t="s">
        <v>271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 x14ac:dyDescent="0.15">
      <c r="A138" s="353"/>
      <c r="B138" s="595" t="s">
        <v>272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 x14ac:dyDescent="0.15">
      <c r="H139" s="746"/>
      <c r="I139" s="746"/>
      <c r="J139" s="746"/>
      <c r="K139" s="746"/>
      <c r="L139" s="746"/>
    </row>
    <row r="140" spans="1:12" x14ac:dyDescent="0.15">
      <c r="A140" s="373" t="s">
        <v>273</v>
      </c>
    </row>
    <row r="141" spans="1:12" ht="14.25" thickBot="1" x14ac:dyDescent="0.2">
      <c r="A141" s="373"/>
      <c r="F141" s="2"/>
      <c r="H141" s="2"/>
      <c r="K141" s="2"/>
      <c r="L141" s="2" t="s">
        <v>88</v>
      </c>
    </row>
    <row r="142" spans="1:12" ht="14.25" thickBot="1" x14ac:dyDescent="0.2">
      <c r="A142" s="202"/>
      <c r="B142" s="578"/>
      <c r="C142" s="203"/>
      <c r="D142" s="596"/>
      <c r="E142" s="597"/>
      <c r="F142" s="598" t="s">
        <v>275</v>
      </c>
      <c r="G142" s="524" t="s">
        <v>381</v>
      </c>
      <c r="H142" s="204" t="s">
        <v>293</v>
      </c>
      <c r="I142" s="204" t="s">
        <v>294</v>
      </c>
      <c r="J142" s="764" t="s">
        <v>295</v>
      </c>
      <c r="K142" s="764" t="s">
        <v>382</v>
      </c>
      <c r="L142" s="764" t="s">
        <v>410</v>
      </c>
    </row>
    <row r="143" spans="1:12" ht="14.25" thickBot="1" x14ac:dyDescent="0.2">
      <c r="A143" s="202" t="s">
        <v>79</v>
      </c>
      <c r="B143" s="578"/>
      <c r="C143" s="203"/>
      <c r="D143" s="596"/>
      <c r="E143" s="597"/>
      <c r="F143" s="82">
        <v>6382.5283485172404</v>
      </c>
      <c r="G143" s="82">
        <v>7644.2121364425702</v>
      </c>
      <c r="H143" s="83">
        <v>8737.52207252466</v>
      </c>
      <c r="I143" s="765">
        <v>9342.0415428445904</v>
      </c>
      <c r="J143" s="765">
        <v>9651.9332332468002</v>
      </c>
      <c r="K143" s="765">
        <v>9870.8316351991798</v>
      </c>
      <c r="L143" s="765">
        <v>10722.786136869499</v>
      </c>
    </row>
    <row r="144" spans="1:12" ht="14.25" thickBot="1" x14ac:dyDescent="0.2">
      <c r="A144" s="202" t="s">
        <v>383</v>
      </c>
      <c r="B144" s="578"/>
      <c r="C144" s="203"/>
      <c r="D144" s="596"/>
      <c r="E144" s="597"/>
      <c r="F144" s="599"/>
      <c r="G144" s="109">
        <f>IFERROR(G143/F143,"－")</f>
        <v>1.1976777413324671</v>
      </c>
      <c r="H144" s="110">
        <f>IFERROR(H143/F143,"－")</f>
        <v>1.3689750511730232</v>
      </c>
      <c r="I144" s="766">
        <f>IFERROR(I143/F143,"－")</f>
        <v>1.4636897844746575</v>
      </c>
      <c r="J144" s="766">
        <f>IFERROR(J143/F143,"－")</f>
        <v>1.5122429084845495</v>
      </c>
      <c r="K144" s="766">
        <f>IFERROR(K143/F143,"－")</f>
        <v>1.5465394113748552</v>
      </c>
      <c r="L144" s="766">
        <f>IFERROR(L143/F143,"－")</f>
        <v>1.680021701644391</v>
      </c>
    </row>
    <row r="145" spans="1:17" x14ac:dyDescent="0.15">
      <c r="A145" s="190"/>
      <c r="B145" s="193"/>
      <c r="C145" s="190"/>
    </row>
    <row r="147" spans="1:17" x14ac:dyDescent="0.15">
      <c r="A147" s="373" t="s">
        <v>274</v>
      </c>
      <c r="E147" s="34"/>
      <c r="H147" s="600"/>
      <c r="I147" s="601"/>
      <c r="J147" s="601"/>
      <c r="K147" s="601"/>
      <c r="L147" s="601"/>
    </row>
    <row r="148" spans="1:17" ht="14.25" thickBot="1" x14ac:dyDescent="0.2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 x14ac:dyDescent="0.2">
      <c r="D149" s="1029" t="s">
        <v>275</v>
      </c>
      <c r="E149" s="1031"/>
      <c r="F149" s="1029" t="s">
        <v>384</v>
      </c>
      <c r="G149" s="1031"/>
      <c r="H149" s="1029" t="s">
        <v>296</v>
      </c>
      <c r="I149" s="1031"/>
      <c r="J149" s="1029" t="s">
        <v>297</v>
      </c>
      <c r="K149" s="1030"/>
      <c r="L149" s="1029" t="s">
        <v>298</v>
      </c>
      <c r="M149" s="1030"/>
      <c r="N149" s="1029" t="s">
        <v>385</v>
      </c>
      <c r="O149" s="1030"/>
      <c r="P149" s="1029" t="s">
        <v>415</v>
      </c>
      <c r="Q149" s="1030"/>
    </row>
    <row r="150" spans="1:17" ht="14.25" thickBot="1" x14ac:dyDescent="0.2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 x14ac:dyDescent="0.15">
      <c r="A151" s="84" t="s">
        <v>64</v>
      </c>
      <c r="B151" s="85"/>
      <c r="C151" s="608"/>
      <c r="D151" s="609">
        <v>6187.2927543806691</v>
      </c>
      <c r="E151" s="610">
        <f t="shared" ref="E151:E161" si="28">IFERROR(D151/D$159,"－")</f>
        <v>0.89948551474792815</v>
      </c>
      <c r="F151" s="609">
        <v>6919.9114395283896</v>
      </c>
      <c r="G151" s="610">
        <f t="shared" ref="G151:G161" si="29">IFERROR(F151/F$159,"－")</f>
        <v>0.90524848290627735</v>
      </c>
      <c r="H151" s="611">
        <v>7933.2623880717401</v>
      </c>
      <c r="I151" s="610">
        <f t="shared" ref="I151:I161" si="30">IFERROR(H151/H$159,"－")</f>
        <v>0.90795334446342346</v>
      </c>
      <c r="J151" s="611">
        <v>8406.1879895299298</v>
      </c>
      <c r="K151" s="610">
        <f t="shared" ref="K151:K161" si="31">IFERROR(J151/J$159,"－")</f>
        <v>0.89982344340659959</v>
      </c>
      <c r="L151" s="611">
        <v>8604.8957249738596</v>
      </c>
      <c r="M151" s="610">
        <f t="shared" ref="M151:M161" si="32">IFERROR(L151/L$159,"－")</f>
        <v>0.89152043606493858</v>
      </c>
      <c r="N151" s="611">
        <v>8761.2296580204893</v>
      </c>
      <c r="O151" s="610">
        <f t="shared" ref="O151:O161" si="33">IFERROR(N151/N$159,"－")</f>
        <v>0.88758779217529427</v>
      </c>
      <c r="P151" s="611">
        <v>9541.6211990643296</v>
      </c>
      <c r="Q151" s="610">
        <f t="shared" ref="Q151:Q161" si="34">IFERROR(P151/P$159,"－")</f>
        <v>0.88984533285208189</v>
      </c>
    </row>
    <row r="152" spans="1:17" x14ac:dyDescent="0.15">
      <c r="A152" s="33"/>
      <c r="B152" s="35" t="s">
        <v>70</v>
      </c>
      <c r="C152" s="612"/>
      <c r="D152" s="613">
        <v>2383.0090362369401</v>
      </c>
      <c r="E152" s="403">
        <f t="shared" si="28"/>
        <v>0.34643295455689244</v>
      </c>
      <c r="F152" s="613">
        <v>2391.5946139707198</v>
      </c>
      <c r="G152" s="403">
        <f t="shared" si="29"/>
        <v>0.31286345424261208</v>
      </c>
      <c r="H152" s="614">
        <v>2689.8750934698801</v>
      </c>
      <c r="I152" s="403">
        <f t="shared" si="30"/>
        <v>0.30785331025695001</v>
      </c>
      <c r="J152" s="614">
        <v>2872.21782711885</v>
      </c>
      <c r="K152" s="403">
        <f t="shared" si="31"/>
        <v>0.3074507658680648</v>
      </c>
      <c r="L152" s="614">
        <v>2896.6077763881799</v>
      </c>
      <c r="M152" s="403">
        <f t="shared" si="32"/>
        <v>0.30010648710359905</v>
      </c>
      <c r="N152" s="614">
        <v>2922.9608500577601</v>
      </c>
      <c r="O152" s="403">
        <f t="shared" si="33"/>
        <v>0.29612103195383688</v>
      </c>
      <c r="P152" s="614">
        <v>3138.0849137932901</v>
      </c>
      <c r="Q152" s="403">
        <f t="shared" si="34"/>
        <v>0.29265574019080914</v>
      </c>
    </row>
    <row r="153" spans="1:17" x14ac:dyDescent="0.15">
      <c r="A153" s="33"/>
      <c r="B153" s="35" t="s">
        <v>81</v>
      </c>
      <c r="C153" s="612"/>
      <c r="D153" s="613">
        <v>519.03578648933899</v>
      </c>
      <c r="E153" s="403">
        <f t="shared" si="28"/>
        <v>7.5455484347724339E-2</v>
      </c>
      <c r="F153" s="613">
        <v>556.57275745898801</v>
      </c>
      <c r="G153" s="403">
        <f t="shared" si="29"/>
        <v>7.2809695430300206E-2</v>
      </c>
      <c r="H153" s="614">
        <v>673.82306721057205</v>
      </c>
      <c r="I153" s="403">
        <f t="shared" si="30"/>
        <v>7.7118325037418209E-2</v>
      </c>
      <c r="J153" s="614">
        <v>703.803756004609</v>
      </c>
      <c r="K153" s="403">
        <f t="shared" si="31"/>
        <v>7.5337253937141524E-2</v>
      </c>
      <c r="L153" s="614">
        <v>728.03192725681197</v>
      </c>
      <c r="M153" s="403">
        <f t="shared" si="32"/>
        <v>7.5428612036918363E-2</v>
      </c>
      <c r="N153" s="614">
        <v>693.72833147440303</v>
      </c>
      <c r="O153" s="403">
        <f t="shared" si="33"/>
        <v>7.0280636638617389E-2</v>
      </c>
      <c r="P153" s="614">
        <v>744.09688443034895</v>
      </c>
      <c r="Q153" s="403">
        <f t="shared" si="34"/>
        <v>6.939398724663802E-2</v>
      </c>
    </row>
    <row r="154" spans="1:17" x14ac:dyDescent="0.15">
      <c r="A154" s="31"/>
      <c r="B154" s="35" t="s">
        <v>71</v>
      </c>
      <c r="C154" s="612"/>
      <c r="D154" s="613">
        <v>3285.24793165439</v>
      </c>
      <c r="E154" s="403">
        <f t="shared" si="28"/>
        <v>0.47759707584331135</v>
      </c>
      <c r="F154" s="613">
        <v>3971.7440680986801</v>
      </c>
      <c r="G154" s="403">
        <f t="shared" si="29"/>
        <v>0.5195753332333648</v>
      </c>
      <c r="H154" s="614">
        <v>4569.5642273912899</v>
      </c>
      <c r="I154" s="403">
        <f t="shared" si="30"/>
        <v>0.52298170916905551</v>
      </c>
      <c r="J154" s="614">
        <v>4830.1664064064598</v>
      </c>
      <c r="K154" s="403">
        <f t="shared" si="31"/>
        <v>0.5170354236013921</v>
      </c>
      <c r="L154" s="614">
        <v>4980.2560213288698</v>
      </c>
      <c r="M154" s="403">
        <f t="shared" si="32"/>
        <v>0.51598533692442139</v>
      </c>
      <c r="N154" s="614">
        <v>5144.5404764883297</v>
      </c>
      <c r="O154" s="403">
        <f t="shared" si="33"/>
        <v>0.52118612358284033</v>
      </c>
      <c r="P154" s="614">
        <v>5659.4394008406898</v>
      </c>
      <c r="Q154" s="403">
        <f t="shared" si="34"/>
        <v>0.52779560541463477</v>
      </c>
    </row>
    <row r="155" spans="1:17" x14ac:dyDescent="0.15">
      <c r="A155" s="30" t="s">
        <v>82</v>
      </c>
      <c r="B155" s="35"/>
      <c r="C155" s="612"/>
      <c r="D155" s="613">
        <v>521.66067658844167</v>
      </c>
      <c r="E155" s="403">
        <f t="shared" si="28"/>
        <v>7.5837081067917755E-2</v>
      </c>
      <c r="F155" s="613">
        <v>532.80670111136101</v>
      </c>
      <c r="G155" s="403">
        <f t="shared" si="29"/>
        <v>6.9700669160041945E-2</v>
      </c>
      <c r="H155" s="614">
        <v>600.49295782080901</v>
      </c>
      <c r="I155" s="403">
        <f t="shared" si="30"/>
        <v>6.8725772917824571E-2</v>
      </c>
      <c r="J155" s="614">
        <v>718.20405726039098</v>
      </c>
      <c r="K155" s="403">
        <f t="shared" si="31"/>
        <v>7.6878705148821447E-2</v>
      </c>
      <c r="L155" s="614">
        <v>819.99665050655301</v>
      </c>
      <c r="M155" s="403">
        <f t="shared" si="32"/>
        <v>8.4956726356333848E-2</v>
      </c>
      <c r="N155" s="614">
        <v>869.16880087068796</v>
      </c>
      <c r="O155" s="403">
        <f t="shared" si="33"/>
        <v>8.8054262598426872E-2</v>
      </c>
      <c r="P155" s="614">
        <v>929.05557987042903</v>
      </c>
      <c r="Q155" s="403">
        <f t="shared" si="34"/>
        <v>8.6643113833627702E-2</v>
      </c>
    </row>
    <row r="156" spans="1:17" x14ac:dyDescent="0.15">
      <c r="A156" s="30" t="s">
        <v>83</v>
      </c>
      <c r="B156" s="615"/>
      <c r="C156" s="612"/>
      <c r="D156" s="613">
        <v>283.00238536806802</v>
      </c>
      <c r="E156" s="403">
        <f t="shared" si="28"/>
        <v>4.1141829938054805E-2</v>
      </c>
      <c r="F156" s="613">
        <v>191.49399580282301</v>
      </c>
      <c r="G156" s="403">
        <f t="shared" si="29"/>
        <v>2.5050847933681186E-2</v>
      </c>
      <c r="H156" s="614">
        <v>203.76672663210499</v>
      </c>
      <c r="I156" s="403">
        <f t="shared" si="30"/>
        <v>2.3320882618752332E-2</v>
      </c>
      <c r="J156" s="614">
        <v>217.64949605427799</v>
      </c>
      <c r="K156" s="403">
        <f t="shared" si="31"/>
        <v>2.3297851444578882E-2</v>
      </c>
      <c r="L156" s="614">
        <v>227.040857766389</v>
      </c>
      <c r="M156" s="403">
        <f t="shared" si="32"/>
        <v>2.3522837578727744E-2</v>
      </c>
      <c r="N156" s="614">
        <v>240.433176307997</v>
      </c>
      <c r="O156" s="403">
        <f t="shared" si="33"/>
        <v>2.4357945226278332E-2</v>
      </c>
      <c r="P156" s="614">
        <v>252.10935793474599</v>
      </c>
      <c r="Q156" s="403">
        <f t="shared" si="34"/>
        <v>2.3511553314290844E-2</v>
      </c>
    </row>
    <row r="157" spans="1:17" x14ac:dyDescent="0.15">
      <c r="A157" s="30" t="s">
        <v>84</v>
      </c>
      <c r="B157" s="615"/>
      <c r="C157" s="612"/>
      <c r="D157" s="613">
        <v>0</v>
      </c>
      <c r="E157" s="403">
        <f t="shared" si="28"/>
        <v>0</v>
      </c>
      <c r="F157" s="613">
        <v>0</v>
      </c>
      <c r="G157" s="403">
        <f t="shared" si="29"/>
        <v>0</v>
      </c>
      <c r="H157" s="614">
        <v>0</v>
      </c>
      <c r="I157" s="403">
        <f t="shared" si="30"/>
        <v>0</v>
      </c>
      <c r="J157" s="614">
        <v>0</v>
      </c>
      <c r="K157" s="403">
        <f t="shared" si="31"/>
        <v>0</v>
      </c>
      <c r="L157" s="614">
        <v>0</v>
      </c>
      <c r="M157" s="403">
        <f t="shared" si="32"/>
        <v>0</v>
      </c>
      <c r="N157" s="614">
        <v>0</v>
      </c>
      <c r="O157" s="403">
        <f t="shared" si="33"/>
        <v>0</v>
      </c>
      <c r="P157" s="614">
        <v>0</v>
      </c>
      <c r="Q157" s="403">
        <f t="shared" si="34"/>
        <v>0</v>
      </c>
    </row>
    <row r="158" spans="1:17" x14ac:dyDescent="0.15">
      <c r="A158" s="30" t="s">
        <v>85</v>
      </c>
      <c r="B158" s="35"/>
      <c r="C158" s="612"/>
      <c r="D158" s="613">
        <v>-113.253877357544</v>
      </c>
      <c r="E158" s="403">
        <f t="shared" si="28"/>
        <v>-1.6464425753900846E-2</v>
      </c>
      <c r="F158" s="613">
        <v>0</v>
      </c>
      <c r="G158" s="403">
        <f t="shared" si="29"/>
        <v>0</v>
      </c>
      <c r="H158" s="614">
        <v>0</v>
      </c>
      <c r="I158" s="403">
        <f t="shared" si="30"/>
        <v>0</v>
      </c>
      <c r="J158" s="614">
        <v>0</v>
      </c>
      <c r="K158" s="403">
        <f t="shared" si="31"/>
        <v>0</v>
      </c>
      <c r="L158" s="614">
        <v>0</v>
      </c>
      <c r="M158" s="403">
        <f t="shared" si="32"/>
        <v>0</v>
      </c>
      <c r="N158" s="614">
        <v>0</v>
      </c>
      <c r="O158" s="403">
        <f t="shared" si="33"/>
        <v>0</v>
      </c>
      <c r="P158" s="614">
        <v>0</v>
      </c>
      <c r="Q158" s="403">
        <f t="shared" si="34"/>
        <v>0</v>
      </c>
    </row>
    <row r="159" spans="1:17" x14ac:dyDescent="0.15">
      <c r="A159" s="30" t="s">
        <v>86</v>
      </c>
      <c r="B159" s="35"/>
      <c r="C159" s="616"/>
      <c r="D159" s="613">
        <v>6878.701938979636</v>
      </c>
      <c r="E159" s="403">
        <f t="shared" si="28"/>
        <v>1</v>
      </c>
      <c r="F159" s="613">
        <v>7644.2121364425702</v>
      </c>
      <c r="G159" s="403">
        <f t="shared" si="29"/>
        <v>1</v>
      </c>
      <c r="H159" s="614">
        <v>8737.5220725246509</v>
      </c>
      <c r="I159" s="403">
        <f t="shared" si="30"/>
        <v>1</v>
      </c>
      <c r="J159" s="614">
        <v>9342.0415428445995</v>
      </c>
      <c r="K159" s="403">
        <f t="shared" si="31"/>
        <v>1</v>
      </c>
      <c r="L159" s="614">
        <v>9651.9332332468002</v>
      </c>
      <c r="M159" s="403">
        <f t="shared" si="32"/>
        <v>1</v>
      </c>
      <c r="N159" s="614">
        <v>9870.8316351991798</v>
      </c>
      <c r="O159" s="403">
        <f t="shared" si="33"/>
        <v>1</v>
      </c>
      <c r="P159" s="614">
        <v>10722.786136869499</v>
      </c>
      <c r="Q159" s="403">
        <f t="shared" si="34"/>
        <v>1</v>
      </c>
    </row>
    <row r="160" spans="1:17" x14ac:dyDescent="0.15">
      <c r="A160" s="30" t="s">
        <v>87</v>
      </c>
      <c r="B160" s="615"/>
      <c r="C160" s="616"/>
      <c r="D160" s="613">
        <v>496.17359046239602</v>
      </c>
      <c r="E160" s="403">
        <f t="shared" si="28"/>
        <v>7.2131863666126048E-2</v>
      </c>
      <c r="F160" s="613">
        <v>0</v>
      </c>
      <c r="G160" s="403">
        <f t="shared" si="29"/>
        <v>0</v>
      </c>
      <c r="H160" s="614">
        <v>0</v>
      </c>
      <c r="I160" s="403">
        <f t="shared" si="30"/>
        <v>0</v>
      </c>
      <c r="J160" s="614">
        <v>0</v>
      </c>
      <c r="K160" s="403">
        <f t="shared" si="31"/>
        <v>0</v>
      </c>
      <c r="L160" s="614">
        <v>0</v>
      </c>
      <c r="M160" s="403">
        <f t="shared" si="32"/>
        <v>0</v>
      </c>
      <c r="N160" s="614">
        <v>0</v>
      </c>
      <c r="O160" s="403">
        <f t="shared" si="33"/>
        <v>0</v>
      </c>
      <c r="P160" s="614">
        <v>0</v>
      </c>
      <c r="Q160" s="403">
        <f t="shared" si="34"/>
        <v>0</v>
      </c>
    </row>
    <row r="161" spans="1:17" ht="14.25" thickBot="1" x14ac:dyDescent="0.2">
      <c r="A161" s="32" t="s">
        <v>112</v>
      </c>
      <c r="B161" s="36"/>
      <c r="C161" s="617"/>
      <c r="D161" s="618">
        <v>6382.5283485172404</v>
      </c>
      <c r="E161" s="456">
        <f t="shared" si="28"/>
        <v>0.92786813633387399</v>
      </c>
      <c r="F161" s="618">
        <v>7644.2121364425702</v>
      </c>
      <c r="G161" s="456">
        <f t="shared" si="29"/>
        <v>1</v>
      </c>
      <c r="H161" s="619">
        <v>8737.52207252466</v>
      </c>
      <c r="I161" s="456">
        <f t="shared" si="30"/>
        <v>1.0000000000000011</v>
      </c>
      <c r="J161" s="619">
        <v>9342.0415428445904</v>
      </c>
      <c r="K161" s="456">
        <f t="shared" si="31"/>
        <v>0.999999999999999</v>
      </c>
      <c r="L161" s="619">
        <v>9651.9332332468002</v>
      </c>
      <c r="M161" s="456">
        <f t="shared" si="32"/>
        <v>1</v>
      </c>
      <c r="N161" s="619">
        <v>9870.8316351991798</v>
      </c>
      <c r="O161" s="456">
        <f t="shared" si="33"/>
        <v>1</v>
      </c>
      <c r="P161" s="619">
        <v>10722.786136869499</v>
      </c>
      <c r="Q161" s="456">
        <f t="shared" si="34"/>
        <v>1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8" scale="82" fitToHeight="0" orientation="landscape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4"/>
  <sheetViews>
    <sheetView view="pageBreakPreview" zoomScale="85" zoomScaleNormal="100" zoomScaleSheetLayoutView="85" workbookViewId="0"/>
  </sheetViews>
  <sheetFormatPr defaultColWidth="9" defaultRowHeight="13.5" x14ac:dyDescent="0.15"/>
  <cols>
    <col min="1" max="1" width="9" style="370"/>
    <col min="2" max="2" width="42.125" style="370" bestFit="1" customWidth="1"/>
    <col min="3" max="3" width="15.375" style="370" customWidth="1"/>
    <col min="4" max="20" width="11.125" style="370" customWidth="1"/>
    <col min="21" max="21" width="3.375" style="370" customWidth="1"/>
    <col min="22" max="16384" width="9" style="370"/>
  </cols>
  <sheetData>
    <row r="1" spans="1:21" ht="14.25" x14ac:dyDescent="0.15">
      <c r="A1" s="191" t="s">
        <v>73</v>
      </c>
      <c r="K1" s="371"/>
      <c r="L1" s="372"/>
    </row>
    <row r="2" spans="1:21" ht="15" thickBot="1" x14ac:dyDescent="0.2">
      <c r="A2" s="191"/>
      <c r="S2" s="371" t="s">
        <v>98</v>
      </c>
      <c r="T2" s="372" t="str">
        <f>'1_推計値サマリ'!T2</f>
        <v>2023/10/05</v>
      </c>
    </row>
    <row r="3" spans="1:21" s="353" customFormat="1" ht="14.25" thickBot="1" x14ac:dyDescent="0.2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36" t="s">
        <v>67</v>
      </c>
      <c r="R3" s="1037"/>
      <c r="S3" s="1062" t="str">
        <f>保険者名</f>
        <v>川崎町</v>
      </c>
      <c r="T3" s="1063"/>
      <c r="U3" s="370"/>
    </row>
    <row r="4" spans="1:21" s="353" customFormat="1" ht="14.25" thickBot="1" x14ac:dyDescent="0.2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36" t="s">
        <v>68</v>
      </c>
      <c r="R4" s="1037"/>
      <c r="S4" s="1062" t="str">
        <f>保険者番号</f>
        <v>04324</v>
      </c>
      <c r="T4" s="1063"/>
      <c r="U4" s="370"/>
    </row>
    <row r="5" spans="1:21" s="353" customFormat="1" ht="31.5" customHeight="1" thickBot="1" x14ac:dyDescent="0.2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38" t="s">
        <v>103</v>
      </c>
      <c r="R5" s="1039"/>
      <c r="S5" s="1062" t="str">
        <f>推計パターン名</f>
        <v>第9期川崎町介護保険（R5.8.12）</v>
      </c>
      <c r="T5" s="1063"/>
      <c r="U5" s="370"/>
    </row>
    <row r="8" spans="1:21" x14ac:dyDescent="0.15">
      <c r="A8" s="373" t="s">
        <v>89</v>
      </c>
      <c r="B8" s="374"/>
    </row>
    <row r="9" spans="1:21" ht="14.25" thickBot="1" x14ac:dyDescent="0.2">
      <c r="B9" s="374"/>
      <c r="L9" s="2"/>
      <c r="R9" s="2"/>
      <c r="T9" s="2" t="s">
        <v>108</v>
      </c>
    </row>
    <row r="10" spans="1:21" ht="23.25" thickBot="1" x14ac:dyDescent="0.2">
      <c r="A10" s="29"/>
      <c r="B10" s="375"/>
      <c r="C10" s="376"/>
      <c r="D10" s="377" t="s">
        <v>253</v>
      </c>
      <c r="E10" s="749" t="s">
        <v>375</v>
      </c>
      <c r="F10" s="378" t="s">
        <v>254</v>
      </c>
      <c r="G10" s="748" t="s">
        <v>374</v>
      </c>
      <c r="H10" s="749" t="s">
        <v>255</v>
      </c>
      <c r="I10" s="750" t="s">
        <v>373</v>
      </c>
      <c r="J10" s="38" t="s">
        <v>104</v>
      </c>
      <c r="K10" s="748" t="s">
        <v>290</v>
      </c>
      <c r="L10" s="39" t="s">
        <v>105</v>
      </c>
      <c r="M10" s="748" t="s">
        <v>291</v>
      </c>
      <c r="N10" s="39" t="s">
        <v>105</v>
      </c>
      <c r="O10" s="748" t="s">
        <v>292</v>
      </c>
      <c r="P10" s="39" t="s">
        <v>105</v>
      </c>
      <c r="Q10" s="748" t="s">
        <v>369</v>
      </c>
      <c r="R10" s="39" t="s">
        <v>105</v>
      </c>
      <c r="S10" s="748" t="s">
        <v>411</v>
      </c>
      <c r="T10" s="39" t="s">
        <v>105</v>
      </c>
    </row>
    <row r="11" spans="1:21" x14ac:dyDescent="0.15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 x14ac:dyDescent="0.15">
      <c r="A12" s="19"/>
      <c r="B12" s="1052" t="s">
        <v>284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 x14ac:dyDescent="0.15">
      <c r="A13" s="19"/>
      <c r="B13" s="1056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 x14ac:dyDescent="0.15">
      <c r="A14" s="19"/>
      <c r="B14" s="1052" t="s">
        <v>18</v>
      </c>
      <c r="C14" s="389" t="s">
        <v>16</v>
      </c>
      <c r="D14" s="390">
        <v>0</v>
      </c>
      <c r="E14" s="391">
        <v>0</v>
      </c>
      <c r="F14" s="392">
        <v>0</v>
      </c>
      <c r="G14" s="401">
        <v>0</v>
      </c>
      <c r="H14" s="391">
        <v>0</v>
      </c>
      <c r="I14" s="391">
        <v>0</v>
      </c>
      <c r="J14" s="402" t="str">
        <f t="shared" ref="J14:J24" si="0">IFERROR(SUM(G14:I14)/3/F14,"－")</f>
        <v>－</v>
      </c>
      <c r="K14" s="401">
        <v>0</v>
      </c>
      <c r="L14" s="403" t="str">
        <f t="shared" ref="L14:L24" si="1">IFERROR(K14/F14,"－")</f>
        <v>－</v>
      </c>
      <c r="M14" s="401">
        <v>0</v>
      </c>
      <c r="N14" s="403" t="str">
        <f>IFERROR(M14/F14,"－")</f>
        <v>－</v>
      </c>
      <c r="O14" s="401">
        <v>0</v>
      </c>
      <c r="P14" s="403" t="str">
        <f>IFERROR(O14/F14,"－")</f>
        <v>－</v>
      </c>
      <c r="Q14" s="401">
        <v>0</v>
      </c>
      <c r="R14" s="403" t="str">
        <f>IFERROR(Q14/F14,"－")</f>
        <v>－</v>
      </c>
      <c r="S14" s="401">
        <v>0</v>
      </c>
      <c r="T14" s="403" t="str">
        <f>IFERROR(S14/F14,"－")</f>
        <v>－</v>
      </c>
    </row>
    <row r="15" spans="1:21" x14ac:dyDescent="0.15">
      <c r="A15" s="19"/>
      <c r="B15" s="1053"/>
      <c r="C15" s="389" t="s">
        <v>19</v>
      </c>
      <c r="D15" s="404">
        <v>0</v>
      </c>
      <c r="E15" s="405">
        <v>0</v>
      </c>
      <c r="F15" s="406">
        <v>0</v>
      </c>
      <c r="G15" s="407">
        <v>0</v>
      </c>
      <c r="H15" s="405">
        <v>0</v>
      </c>
      <c r="I15" s="405">
        <v>0</v>
      </c>
      <c r="J15" s="402" t="str">
        <f t="shared" si="0"/>
        <v>－</v>
      </c>
      <c r="K15" s="407">
        <v>0</v>
      </c>
      <c r="L15" s="403" t="str">
        <f t="shared" si="1"/>
        <v>－</v>
      </c>
      <c r="M15" s="407">
        <v>0</v>
      </c>
      <c r="N15" s="403" t="str">
        <f t="shared" ref="N15:N59" si="2">IFERROR(M15/F15,"－")</f>
        <v>－</v>
      </c>
      <c r="O15" s="407">
        <v>0</v>
      </c>
      <c r="P15" s="403" t="str">
        <f t="shared" ref="P15:P59" si="3">IFERROR(O15/F15,"－")</f>
        <v>－</v>
      </c>
      <c r="Q15" s="407">
        <v>0</v>
      </c>
      <c r="R15" s="403" t="str">
        <f t="shared" ref="R15:R59" si="4">IFERROR(Q15/F15,"－")</f>
        <v>－</v>
      </c>
      <c r="S15" s="407">
        <v>0</v>
      </c>
      <c r="T15" s="403" t="str">
        <f t="shared" ref="T15:T47" si="5">IFERROR(S15/F15,"－")</f>
        <v>－</v>
      </c>
    </row>
    <row r="16" spans="1:21" x14ac:dyDescent="0.15">
      <c r="A16" s="19"/>
      <c r="B16" s="753"/>
      <c r="C16" s="389" t="s">
        <v>17</v>
      </c>
      <c r="D16" s="390">
        <v>0</v>
      </c>
      <c r="E16" s="391">
        <v>0</v>
      </c>
      <c r="F16" s="392">
        <v>0</v>
      </c>
      <c r="G16" s="401">
        <v>0</v>
      </c>
      <c r="H16" s="391">
        <v>0</v>
      </c>
      <c r="I16" s="391">
        <v>0</v>
      </c>
      <c r="J16" s="402" t="str">
        <f t="shared" si="0"/>
        <v>－</v>
      </c>
      <c r="K16" s="401">
        <v>0</v>
      </c>
      <c r="L16" s="403" t="str">
        <f t="shared" si="1"/>
        <v>－</v>
      </c>
      <c r="M16" s="401">
        <v>0</v>
      </c>
      <c r="N16" s="403" t="str">
        <f t="shared" si="2"/>
        <v>－</v>
      </c>
      <c r="O16" s="401">
        <v>0</v>
      </c>
      <c r="P16" s="403" t="str">
        <f t="shared" si="3"/>
        <v>－</v>
      </c>
      <c r="Q16" s="401">
        <v>0</v>
      </c>
      <c r="R16" s="403" t="str">
        <f t="shared" si="4"/>
        <v>－</v>
      </c>
      <c r="S16" s="401">
        <v>0</v>
      </c>
      <c r="T16" s="403" t="str">
        <f t="shared" si="5"/>
        <v>－</v>
      </c>
    </row>
    <row r="17" spans="1:20" x14ac:dyDescent="0.15">
      <c r="A17" s="19"/>
      <c r="B17" s="1052" t="s">
        <v>20</v>
      </c>
      <c r="C17" s="389" t="s">
        <v>16</v>
      </c>
      <c r="D17" s="390">
        <v>0</v>
      </c>
      <c r="E17" s="391">
        <v>102.87</v>
      </c>
      <c r="F17" s="392">
        <v>0</v>
      </c>
      <c r="G17" s="408">
        <v>0</v>
      </c>
      <c r="H17" s="409">
        <v>0</v>
      </c>
      <c r="I17" s="409">
        <v>0</v>
      </c>
      <c r="J17" s="410" t="str">
        <f t="shared" si="0"/>
        <v>－</v>
      </c>
      <c r="K17" s="408">
        <v>0</v>
      </c>
      <c r="L17" s="411" t="str">
        <f t="shared" si="1"/>
        <v>－</v>
      </c>
      <c r="M17" s="408">
        <v>0</v>
      </c>
      <c r="N17" s="411" t="str">
        <f t="shared" si="2"/>
        <v>－</v>
      </c>
      <c r="O17" s="408">
        <v>0</v>
      </c>
      <c r="P17" s="411" t="str">
        <f t="shared" si="3"/>
        <v>－</v>
      </c>
      <c r="Q17" s="408">
        <v>0</v>
      </c>
      <c r="R17" s="411" t="str">
        <f t="shared" si="4"/>
        <v>－</v>
      </c>
      <c r="S17" s="408">
        <v>0</v>
      </c>
      <c r="T17" s="403" t="str">
        <f t="shared" si="5"/>
        <v>－</v>
      </c>
    </row>
    <row r="18" spans="1:20" x14ac:dyDescent="0.15">
      <c r="A18" s="19"/>
      <c r="B18" s="1053"/>
      <c r="C18" s="389" t="s">
        <v>19</v>
      </c>
      <c r="D18" s="404">
        <v>0</v>
      </c>
      <c r="E18" s="405">
        <v>2.5</v>
      </c>
      <c r="F18" s="406">
        <v>0</v>
      </c>
      <c r="G18" s="407">
        <v>0</v>
      </c>
      <c r="H18" s="405">
        <v>0</v>
      </c>
      <c r="I18" s="405">
        <v>0</v>
      </c>
      <c r="J18" s="412" t="str">
        <f t="shared" si="0"/>
        <v>－</v>
      </c>
      <c r="K18" s="407">
        <v>0</v>
      </c>
      <c r="L18" s="403" t="str">
        <f t="shared" si="1"/>
        <v>－</v>
      </c>
      <c r="M18" s="407">
        <v>0</v>
      </c>
      <c r="N18" s="403" t="str">
        <f t="shared" si="2"/>
        <v>－</v>
      </c>
      <c r="O18" s="407">
        <v>0</v>
      </c>
      <c r="P18" s="403" t="str">
        <f t="shared" si="3"/>
        <v>－</v>
      </c>
      <c r="Q18" s="407">
        <v>0</v>
      </c>
      <c r="R18" s="403" t="str">
        <f t="shared" si="4"/>
        <v>－</v>
      </c>
      <c r="S18" s="407">
        <v>0</v>
      </c>
      <c r="T18" s="403" t="str">
        <f t="shared" si="5"/>
        <v>－</v>
      </c>
    </row>
    <row r="19" spans="1:20" x14ac:dyDescent="0.15">
      <c r="A19" s="19"/>
      <c r="B19" s="753"/>
      <c r="C19" s="389" t="s">
        <v>17</v>
      </c>
      <c r="D19" s="390">
        <v>0</v>
      </c>
      <c r="E19" s="391">
        <v>0.83333333333333337</v>
      </c>
      <c r="F19" s="392">
        <v>0</v>
      </c>
      <c r="G19" s="401">
        <v>0</v>
      </c>
      <c r="H19" s="391">
        <v>0</v>
      </c>
      <c r="I19" s="391">
        <v>0</v>
      </c>
      <c r="J19" s="402" t="str">
        <f t="shared" si="0"/>
        <v>－</v>
      </c>
      <c r="K19" s="401">
        <v>0</v>
      </c>
      <c r="L19" s="403" t="str">
        <f t="shared" si="1"/>
        <v>－</v>
      </c>
      <c r="M19" s="401">
        <v>0</v>
      </c>
      <c r="N19" s="403" t="str">
        <f t="shared" si="2"/>
        <v>－</v>
      </c>
      <c r="O19" s="401">
        <v>0</v>
      </c>
      <c r="P19" s="403" t="str">
        <f t="shared" si="3"/>
        <v>－</v>
      </c>
      <c r="Q19" s="401">
        <v>0</v>
      </c>
      <c r="R19" s="403" t="str">
        <f t="shared" si="4"/>
        <v>－</v>
      </c>
      <c r="S19" s="401">
        <v>0</v>
      </c>
      <c r="T19" s="403" t="str">
        <f t="shared" si="5"/>
        <v>－</v>
      </c>
    </row>
    <row r="20" spans="1:20" x14ac:dyDescent="0.15">
      <c r="A20" s="19"/>
      <c r="B20" s="1052" t="s">
        <v>21</v>
      </c>
      <c r="C20" s="389" t="s">
        <v>16</v>
      </c>
      <c r="D20" s="390">
        <v>2490.88</v>
      </c>
      <c r="E20" s="391">
        <v>2495.085</v>
      </c>
      <c r="F20" s="392">
        <v>2768.3796000000002</v>
      </c>
      <c r="G20" s="408">
        <v>2768</v>
      </c>
      <c r="H20" s="409">
        <v>2768</v>
      </c>
      <c r="I20" s="409">
        <v>2768</v>
      </c>
      <c r="J20" s="410">
        <f t="shared" si="0"/>
        <v>0.99986288007612822</v>
      </c>
      <c r="K20" s="408">
        <v>2768</v>
      </c>
      <c r="L20" s="411">
        <f t="shared" si="1"/>
        <v>0.99986288007612822</v>
      </c>
      <c r="M20" s="408">
        <v>3562</v>
      </c>
      <c r="N20" s="411">
        <f t="shared" si="2"/>
        <v>1.2866732582482545</v>
      </c>
      <c r="O20" s="408">
        <v>3562</v>
      </c>
      <c r="P20" s="411">
        <f t="shared" si="3"/>
        <v>1.2866732582482545</v>
      </c>
      <c r="Q20" s="408">
        <v>2768</v>
      </c>
      <c r="R20" s="411">
        <f t="shared" si="4"/>
        <v>0.99986288007612822</v>
      </c>
      <c r="S20" s="408">
        <v>2768</v>
      </c>
      <c r="T20" s="403">
        <f t="shared" si="5"/>
        <v>0.99986288007612822</v>
      </c>
    </row>
    <row r="21" spans="1:20" x14ac:dyDescent="0.15">
      <c r="A21" s="19"/>
      <c r="B21" s="1053"/>
      <c r="C21" s="389" t="s">
        <v>19</v>
      </c>
      <c r="D21" s="404">
        <v>67.083333333333329</v>
      </c>
      <c r="E21" s="405">
        <v>75.416666666666671</v>
      </c>
      <c r="F21" s="406">
        <v>84.1</v>
      </c>
      <c r="G21" s="407">
        <v>84.1</v>
      </c>
      <c r="H21" s="405">
        <v>84.1</v>
      </c>
      <c r="I21" s="405">
        <v>84.1</v>
      </c>
      <c r="J21" s="402">
        <f t="shared" si="0"/>
        <v>1</v>
      </c>
      <c r="K21" s="407">
        <v>84.1</v>
      </c>
      <c r="L21" s="403">
        <f t="shared" si="1"/>
        <v>1</v>
      </c>
      <c r="M21" s="407">
        <v>108.2</v>
      </c>
      <c r="N21" s="403">
        <f t="shared" si="2"/>
        <v>1.286563614744352</v>
      </c>
      <c r="O21" s="407">
        <v>108.2</v>
      </c>
      <c r="P21" s="403">
        <f t="shared" si="3"/>
        <v>1.286563614744352</v>
      </c>
      <c r="Q21" s="407">
        <v>84.1</v>
      </c>
      <c r="R21" s="403">
        <f t="shared" si="4"/>
        <v>1</v>
      </c>
      <c r="S21" s="407">
        <v>84.1</v>
      </c>
      <c r="T21" s="403">
        <f t="shared" si="5"/>
        <v>1</v>
      </c>
    </row>
    <row r="22" spans="1:20" x14ac:dyDescent="0.15">
      <c r="A22" s="19"/>
      <c r="B22" s="753"/>
      <c r="C22" s="389" t="s">
        <v>17</v>
      </c>
      <c r="D22" s="390">
        <v>5.166666666666667</v>
      </c>
      <c r="E22" s="391">
        <v>6</v>
      </c>
      <c r="F22" s="392">
        <v>7</v>
      </c>
      <c r="G22" s="401">
        <v>7</v>
      </c>
      <c r="H22" s="391">
        <v>7</v>
      </c>
      <c r="I22" s="391">
        <v>7</v>
      </c>
      <c r="J22" s="402">
        <f t="shared" si="0"/>
        <v>1</v>
      </c>
      <c r="K22" s="401">
        <v>7</v>
      </c>
      <c r="L22" s="403">
        <f t="shared" si="1"/>
        <v>1</v>
      </c>
      <c r="M22" s="401">
        <v>9</v>
      </c>
      <c r="N22" s="403">
        <f t="shared" si="2"/>
        <v>1.2857142857142858</v>
      </c>
      <c r="O22" s="401">
        <v>9</v>
      </c>
      <c r="P22" s="403">
        <f t="shared" si="3"/>
        <v>1.2857142857142858</v>
      </c>
      <c r="Q22" s="401">
        <v>7</v>
      </c>
      <c r="R22" s="403">
        <f t="shared" si="4"/>
        <v>1</v>
      </c>
      <c r="S22" s="401">
        <v>7</v>
      </c>
      <c r="T22" s="403">
        <f t="shared" si="5"/>
        <v>1</v>
      </c>
    </row>
    <row r="23" spans="1:20" x14ac:dyDescent="0.15">
      <c r="A23" s="19"/>
      <c r="B23" s="1052" t="s">
        <v>22</v>
      </c>
      <c r="C23" s="389" t="s">
        <v>16</v>
      </c>
      <c r="D23" s="390">
        <v>0</v>
      </c>
      <c r="E23" s="391">
        <v>0</v>
      </c>
      <c r="F23" s="392">
        <v>0</v>
      </c>
      <c r="G23" s="408">
        <v>0</v>
      </c>
      <c r="H23" s="409">
        <v>0</v>
      </c>
      <c r="I23" s="409">
        <v>0</v>
      </c>
      <c r="J23" s="410" t="str">
        <f t="shared" si="0"/>
        <v>－</v>
      </c>
      <c r="K23" s="408">
        <v>0</v>
      </c>
      <c r="L23" s="411" t="str">
        <f t="shared" si="1"/>
        <v>－</v>
      </c>
      <c r="M23" s="408">
        <v>0</v>
      </c>
      <c r="N23" s="411" t="str">
        <f t="shared" si="2"/>
        <v>－</v>
      </c>
      <c r="O23" s="408">
        <v>0</v>
      </c>
      <c r="P23" s="411" t="str">
        <f t="shared" si="3"/>
        <v>－</v>
      </c>
      <c r="Q23" s="408">
        <v>0</v>
      </c>
      <c r="R23" s="411" t="str">
        <f t="shared" si="4"/>
        <v>－</v>
      </c>
      <c r="S23" s="408">
        <v>0</v>
      </c>
      <c r="T23" s="403" t="str">
        <f t="shared" si="5"/>
        <v>－</v>
      </c>
    </row>
    <row r="24" spans="1:20" x14ac:dyDescent="0.15">
      <c r="A24" s="19"/>
      <c r="B24" s="1056"/>
      <c r="C24" s="389" t="s">
        <v>17</v>
      </c>
      <c r="D24" s="390">
        <v>0</v>
      </c>
      <c r="E24" s="391">
        <v>0</v>
      </c>
      <c r="F24" s="392">
        <v>0</v>
      </c>
      <c r="G24" s="401">
        <v>0</v>
      </c>
      <c r="H24" s="391">
        <v>0</v>
      </c>
      <c r="I24" s="391">
        <v>0</v>
      </c>
      <c r="J24" s="402" t="str">
        <f t="shared" si="0"/>
        <v>－</v>
      </c>
      <c r="K24" s="401">
        <v>0</v>
      </c>
      <c r="L24" s="403" t="str">
        <f t="shared" si="1"/>
        <v>－</v>
      </c>
      <c r="M24" s="401">
        <v>0</v>
      </c>
      <c r="N24" s="403" t="str">
        <f t="shared" si="2"/>
        <v>－</v>
      </c>
      <c r="O24" s="401">
        <v>0</v>
      </c>
      <c r="P24" s="403" t="str">
        <f t="shared" si="3"/>
        <v>－</v>
      </c>
      <c r="Q24" s="401">
        <v>0</v>
      </c>
      <c r="R24" s="403" t="str">
        <f t="shared" si="4"/>
        <v>－</v>
      </c>
      <c r="S24" s="401">
        <v>0</v>
      </c>
      <c r="T24" s="403" t="str">
        <f t="shared" si="5"/>
        <v>－</v>
      </c>
    </row>
    <row r="25" spans="1:20" hidden="1" x14ac:dyDescent="0.15">
      <c r="A25" s="19"/>
      <c r="B25" s="1052" t="s">
        <v>284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 x14ac:dyDescent="0.15">
      <c r="A26" s="19"/>
      <c r="B26" s="1064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 x14ac:dyDescent="0.15">
      <c r="A27" s="19"/>
      <c r="B27" s="1052" t="s">
        <v>23</v>
      </c>
      <c r="C27" s="389" t="s">
        <v>16</v>
      </c>
      <c r="D27" s="390">
        <v>16765.704000000002</v>
      </c>
      <c r="E27" s="391">
        <v>18497.483</v>
      </c>
      <c r="F27" s="392">
        <v>18474.588</v>
      </c>
      <c r="G27" s="408">
        <v>18475</v>
      </c>
      <c r="H27" s="409">
        <v>18475</v>
      </c>
      <c r="I27" s="409">
        <v>19007</v>
      </c>
      <c r="J27" s="410">
        <f t="shared" ref="J27:J46" si="6">IFERROR(SUM(G27:I27)/3/F27,"－")</f>
        <v>1.0096210715677845</v>
      </c>
      <c r="K27" s="408">
        <v>20073</v>
      </c>
      <c r="L27" s="411">
        <f t="shared" ref="L27:L47" si="7">IFERROR(K27/F27,"－")</f>
        <v>1.0865194936958811</v>
      </c>
      <c r="M27" s="408">
        <v>21969</v>
      </c>
      <c r="N27" s="411">
        <f t="shared" si="2"/>
        <v>1.1891469514773483</v>
      </c>
      <c r="O27" s="408">
        <v>21969</v>
      </c>
      <c r="P27" s="411">
        <f t="shared" si="3"/>
        <v>1.1891469514773483</v>
      </c>
      <c r="Q27" s="408">
        <v>19007</v>
      </c>
      <c r="R27" s="411">
        <f t="shared" si="4"/>
        <v>1.0288186128968073</v>
      </c>
      <c r="S27" s="408">
        <v>18475</v>
      </c>
      <c r="T27" s="403">
        <f t="shared" si="5"/>
        <v>1.0000223009032732</v>
      </c>
    </row>
    <row r="28" spans="1:20" x14ac:dyDescent="0.15">
      <c r="A28" s="19"/>
      <c r="B28" s="1056"/>
      <c r="C28" s="389" t="s">
        <v>17</v>
      </c>
      <c r="D28" s="390">
        <v>33.416666666666664</v>
      </c>
      <c r="E28" s="391">
        <v>38.083333333333336</v>
      </c>
      <c r="F28" s="392">
        <v>36</v>
      </c>
      <c r="G28" s="401">
        <v>36</v>
      </c>
      <c r="H28" s="391">
        <v>36</v>
      </c>
      <c r="I28" s="391">
        <v>37</v>
      </c>
      <c r="J28" s="402">
        <f t="shared" si="6"/>
        <v>1.0092592592592593</v>
      </c>
      <c r="K28" s="401">
        <v>39</v>
      </c>
      <c r="L28" s="403">
        <f t="shared" si="7"/>
        <v>1.0833333333333333</v>
      </c>
      <c r="M28" s="401">
        <v>43</v>
      </c>
      <c r="N28" s="403">
        <f t="shared" si="2"/>
        <v>1.1944444444444444</v>
      </c>
      <c r="O28" s="401">
        <v>43</v>
      </c>
      <c r="P28" s="403">
        <f t="shared" si="3"/>
        <v>1.1944444444444444</v>
      </c>
      <c r="Q28" s="401">
        <v>37</v>
      </c>
      <c r="R28" s="403">
        <f t="shared" si="4"/>
        <v>1.0277777777777777</v>
      </c>
      <c r="S28" s="401">
        <v>36</v>
      </c>
      <c r="T28" s="403">
        <f t="shared" si="5"/>
        <v>1</v>
      </c>
    </row>
    <row r="29" spans="1:20" x14ac:dyDescent="0.15">
      <c r="A29" s="19"/>
      <c r="B29" s="1052" t="s">
        <v>24</v>
      </c>
      <c r="C29" s="389" t="s">
        <v>16</v>
      </c>
      <c r="D29" s="390">
        <v>336.65600000000001</v>
      </c>
      <c r="E29" s="391">
        <v>34.93</v>
      </c>
      <c r="F29" s="392">
        <v>0</v>
      </c>
      <c r="G29" s="408">
        <v>0</v>
      </c>
      <c r="H29" s="409">
        <v>0</v>
      </c>
      <c r="I29" s="409">
        <v>0</v>
      </c>
      <c r="J29" s="410" t="str">
        <f t="shared" si="6"/>
        <v>－</v>
      </c>
      <c r="K29" s="408">
        <v>0</v>
      </c>
      <c r="L29" s="411" t="str">
        <f t="shared" si="7"/>
        <v>－</v>
      </c>
      <c r="M29" s="408">
        <v>0</v>
      </c>
      <c r="N29" s="411" t="str">
        <f t="shared" si="2"/>
        <v>－</v>
      </c>
      <c r="O29" s="408">
        <v>0</v>
      </c>
      <c r="P29" s="411" t="str">
        <f t="shared" si="3"/>
        <v>－</v>
      </c>
      <c r="Q29" s="408">
        <v>0</v>
      </c>
      <c r="R29" s="411" t="str">
        <f t="shared" si="4"/>
        <v>－</v>
      </c>
      <c r="S29" s="408">
        <v>0</v>
      </c>
      <c r="T29" s="403" t="str">
        <f t="shared" si="5"/>
        <v>－</v>
      </c>
    </row>
    <row r="30" spans="1:20" x14ac:dyDescent="0.15">
      <c r="A30" s="19"/>
      <c r="B30" s="1053"/>
      <c r="C30" s="389" t="s">
        <v>25</v>
      </c>
      <c r="D30" s="404">
        <v>4.416666666666667</v>
      </c>
      <c r="E30" s="405">
        <v>0.41666666666666669</v>
      </c>
      <c r="F30" s="406">
        <v>0</v>
      </c>
      <c r="G30" s="407">
        <v>0</v>
      </c>
      <c r="H30" s="405">
        <v>0</v>
      </c>
      <c r="I30" s="405">
        <v>0</v>
      </c>
      <c r="J30" s="402" t="str">
        <f t="shared" si="6"/>
        <v>－</v>
      </c>
      <c r="K30" s="407">
        <v>0</v>
      </c>
      <c r="L30" s="403" t="str">
        <f t="shared" si="7"/>
        <v>－</v>
      </c>
      <c r="M30" s="407">
        <v>0</v>
      </c>
      <c r="N30" s="403" t="str">
        <f t="shared" si="2"/>
        <v>－</v>
      </c>
      <c r="O30" s="407">
        <v>0</v>
      </c>
      <c r="P30" s="403" t="str">
        <f t="shared" si="3"/>
        <v>－</v>
      </c>
      <c r="Q30" s="407">
        <v>0</v>
      </c>
      <c r="R30" s="403" t="str">
        <f t="shared" si="4"/>
        <v>－</v>
      </c>
      <c r="S30" s="407">
        <v>0</v>
      </c>
      <c r="T30" s="403" t="str">
        <f t="shared" si="5"/>
        <v>－</v>
      </c>
    </row>
    <row r="31" spans="1:20" x14ac:dyDescent="0.15">
      <c r="A31" s="19"/>
      <c r="B31" s="751"/>
      <c r="C31" s="389" t="s">
        <v>17</v>
      </c>
      <c r="D31" s="390">
        <v>0.75</v>
      </c>
      <c r="E31" s="391">
        <v>0.16666666666666666</v>
      </c>
      <c r="F31" s="392">
        <v>0</v>
      </c>
      <c r="G31" s="401">
        <v>0</v>
      </c>
      <c r="H31" s="391">
        <v>0</v>
      </c>
      <c r="I31" s="391">
        <v>0</v>
      </c>
      <c r="J31" s="402" t="str">
        <f t="shared" si="6"/>
        <v>－</v>
      </c>
      <c r="K31" s="401">
        <v>0</v>
      </c>
      <c r="L31" s="403" t="str">
        <f t="shared" si="7"/>
        <v>－</v>
      </c>
      <c r="M31" s="401">
        <v>0</v>
      </c>
      <c r="N31" s="403" t="str">
        <f t="shared" si="2"/>
        <v>－</v>
      </c>
      <c r="O31" s="401">
        <v>0</v>
      </c>
      <c r="P31" s="403" t="str">
        <f t="shared" si="3"/>
        <v>－</v>
      </c>
      <c r="Q31" s="401">
        <v>0</v>
      </c>
      <c r="R31" s="403" t="str">
        <f t="shared" si="4"/>
        <v>－</v>
      </c>
      <c r="S31" s="401">
        <v>0</v>
      </c>
      <c r="T31" s="403" t="str">
        <f t="shared" si="5"/>
        <v>－</v>
      </c>
    </row>
    <row r="32" spans="1:20" x14ac:dyDescent="0.15">
      <c r="A32" s="19"/>
      <c r="B32" s="1054" t="s">
        <v>26</v>
      </c>
      <c r="C32" s="389" t="s">
        <v>16</v>
      </c>
      <c r="D32" s="390">
        <v>57.131999999999998</v>
      </c>
      <c r="E32" s="391">
        <v>0</v>
      </c>
      <c r="F32" s="392">
        <v>0</v>
      </c>
      <c r="G32" s="408">
        <v>0</v>
      </c>
      <c r="H32" s="409">
        <v>0</v>
      </c>
      <c r="I32" s="409">
        <v>0</v>
      </c>
      <c r="J32" s="410" t="str">
        <f t="shared" si="6"/>
        <v>－</v>
      </c>
      <c r="K32" s="408">
        <v>0</v>
      </c>
      <c r="L32" s="411" t="str">
        <f t="shared" si="7"/>
        <v>－</v>
      </c>
      <c r="M32" s="408">
        <v>0</v>
      </c>
      <c r="N32" s="411" t="str">
        <f t="shared" si="2"/>
        <v>－</v>
      </c>
      <c r="O32" s="408">
        <v>0</v>
      </c>
      <c r="P32" s="411" t="str">
        <f t="shared" si="3"/>
        <v>－</v>
      </c>
      <c r="Q32" s="408">
        <v>0</v>
      </c>
      <c r="R32" s="411" t="str">
        <f t="shared" si="4"/>
        <v>－</v>
      </c>
      <c r="S32" s="408">
        <v>0</v>
      </c>
      <c r="T32" s="403" t="str">
        <f t="shared" si="5"/>
        <v>－</v>
      </c>
    </row>
    <row r="33" spans="1:20" x14ac:dyDescent="0.15">
      <c r="A33" s="19"/>
      <c r="B33" s="1055"/>
      <c r="C33" s="389" t="s">
        <v>25</v>
      </c>
      <c r="D33" s="404">
        <v>0.66666666666666663</v>
      </c>
      <c r="E33" s="405">
        <v>0</v>
      </c>
      <c r="F33" s="406">
        <v>0</v>
      </c>
      <c r="G33" s="407">
        <v>0</v>
      </c>
      <c r="H33" s="405">
        <v>0</v>
      </c>
      <c r="I33" s="405">
        <v>0</v>
      </c>
      <c r="J33" s="402" t="str">
        <f t="shared" si="6"/>
        <v>－</v>
      </c>
      <c r="K33" s="407">
        <v>0</v>
      </c>
      <c r="L33" s="403" t="str">
        <f t="shared" si="7"/>
        <v>－</v>
      </c>
      <c r="M33" s="407">
        <v>0</v>
      </c>
      <c r="N33" s="403" t="str">
        <f t="shared" si="2"/>
        <v>－</v>
      </c>
      <c r="O33" s="407">
        <v>0</v>
      </c>
      <c r="P33" s="403" t="str">
        <f t="shared" si="3"/>
        <v>－</v>
      </c>
      <c r="Q33" s="407">
        <v>0</v>
      </c>
      <c r="R33" s="403" t="str">
        <f t="shared" si="4"/>
        <v>－</v>
      </c>
      <c r="S33" s="407">
        <v>0</v>
      </c>
      <c r="T33" s="403" t="str">
        <f t="shared" si="5"/>
        <v>－</v>
      </c>
    </row>
    <row r="34" spans="1:20" x14ac:dyDescent="0.15">
      <c r="A34" s="19"/>
      <c r="B34" s="753"/>
      <c r="C34" s="389" t="s">
        <v>17</v>
      </c>
      <c r="D34" s="390">
        <v>0.25</v>
      </c>
      <c r="E34" s="391">
        <v>0</v>
      </c>
      <c r="F34" s="392">
        <v>0</v>
      </c>
      <c r="G34" s="401">
        <v>0</v>
      </c>
      <c r="H34" s="391">
        <v>0</v>
      </c>
      <c r="I34" s="391">
        <v>0</v>
      </c>
      <c r="J34" s="402" t="str">
        <f t="shared" si="6"/>
        <v>－</v>
      </c>
      <c r="K34" s="401">
        <v>0</v>
      </c>
      <c r="L34" s="403" t="str">
        <f t="shared" si="7"/>
        <v>－</v>
      </c>
      <c r="M34" s="401">
        <v>0</v>
      </c>
      <c r="N34" s="403" t="str">
        <f t="shared" si="2"/>
        <v>－</v>
      </c>
      <c r="O34" s="401">
        <v>0</v>
      </c>
      <c r="P34" s="403" t="str">
        <f t="shared" si="3"/>
        <v>－</v>
      </c>
      <c r="Q34" s="401">
        <v>0</v>
      </c>
      <c r="R34" s="403" t="str">
        <f t="shared" si="4"/>
        <v>－</v>
      </c>
      <c r="S34" s="401">
        <v>0</v>
      </c>
      <c r="T34" s="403" t="str">
        <f t="shared" si="5"/>
        <v>－</v>
      </c>
    </row>
    <row r="35" spans="1:20" x14ac:dyDescent="0.15">
      <c r="A35" s="19"/>
      <c r="B35" s="1054" t="s">
        <v>27</v>
      </c>
      <c r="C35" s="389" t="s">
        <v>16</v>
      </c>
      <c r="D35" s="390">
        <v>0</v>
      </c>
      <c r="E35" s="391">
        <v>0</v>
      </c>
      <c r="F35" s="392">
        <v>0</v>
      </c>
      <c r="G35" s="408">
        <v>0</v>
      </c>
      <c r="H35" s="409">
        <v>0</v>
      </c>
      <c r="I35" s="409">
        <v>0</v>
      </c>
      <c r="J35" s="402" t="str">
        <f t="shared" si="6"/>
        <v>－</v>
      </c>
      <c r="K35" s="408">
        <v>0</v>
      </c>
      <c r="L35" s="403" t="str">
        <f t="shared" si="7"/>
        <v>－</v>
      </c>
      <c r="M35" s="408">
        <v>0</v>
      </c>
      <c r="N35" s="403" t="str">
        <f t="shared" si="2"/>
        <v>－</v>
      </c>
      <c r="O35" s="408">
        <v>0</v>
      </c>
      <c r="P35" s="403" t="str">
        <f t="shared" si="3"/>
        <v>－</v>
      </c>
      <c r="Q35" s="408">
        <v>0</v>
      </c>
      <c r="R35" s="403" t="str">
        <f t="shared" si="4"/>
        <v>－</v>
      </c>
      <c r="S35" s="408">
        <v>0</v>
      </c>
      <c r="T35" s="403" t="str">
        <f t="shared" si="5"/>
        <v>－</v>
      </c>
    </row>
    <row r="36" spans="1:20" x14ac:dyDescent="0.15">
      <c r="A36" s="19"/>
      <c r="B36" s="1055"/>
      <c r="C36" s="389" t="s">
        <v>25</v>
      </c>
      <c r="D36" s="404">
        <v>0</v>
      </c>
      <c r="E36" s="405">
        <v>0</v>
      </c>
      <c r="F36" s="406">
        <v>0</v>
      </c>
      <c r="G36" s="407">
        <v>0</v>
      </c>
      <c r="H36" s="405">
        <v>0</v>
      </c>
      <c r="I36" s="405">
        <v>0</v>
      </c>
      <c r="J36" s="402" t="str">
        <f t="shared" si="6"/>
        <v>－</v>
      </c>
      <c r="K36" s="407">
        <v>0</v>
      </c>
      <c r="L36" s="403" t="str">
        <f t="shared" si="7"/>
        <v>－</v>
      </c>
      <c r="M36" s="407">
        <v>0</v>
      </c>
      <c r="N36" s="403" t="str">
        <f t="shared" si="2"/>
        <v>－</v>
      </c>
      <c r="O36" s="407">
        <v>0</v>
      </c>
      <c r="P36" s="403" t="str">
        <f t="shared" si="3"/>
        <v>－</v>
      </c>
      <c r="Q36" s="407">
        <v>0</v>
      </c>
      <c r="R36" s="403" t="str">
        <f t="shared" si="4"/>
        <v>－</v>
      </c>
      <c r="S36" s="407">
        <v>0</v>
      </c>
      <c r="T36" s="403" t="str">
        <f t="shared" si="5"/>
        <v>－</v>
      </c>
    </row>
    <row r="37" spans="1:20" x14ac:dyDescent="0.15">
      <c r="A37" s="19"/>
      <c r="B37" s="28"/>
      <c r="C37" s="389" t="s">
        <v>17</v>
      </c>
      <c r="D37" s="390">
        <v>0</v>
      </c>
      <c r="E37" s="391">
        <v>0</v>
      </c>
      <c r="F37" s="392">
        <v>0</v>
      </c>
      <c r="G37" s="401">
        <v>0</v>
      </c>
      <c r="H37" s="391">
        <v>0</v>
      </c>
      <c r="I37" s="391">
        <v>0</v>
      </c>
      <c r="J37" s="402" t="str">
        <f t="shared" si="6"/>
        <v>－</v>
      </c>
      <c r="K37" s="401">
        <v>0</v>
      </c>
      <c r="L37" s="403" t="str">
        <f t="shared" si="7"/>
        <v>－</v>
      </c>
      <c r="M37" s="401">
        <v>0</v>
      </c>
      <c r="N37" s="403" t="str">
        <f t="shared" si="2"/>
        <v>－</v>
      </c>
      <c r="O37" s="401">
        <v>0</v>
      </c>
      <c r="P37" s="403" t="str">
        <f t="shared" si="3"/>
        <v>－</v>
      </c>
      <c r="Q37" s="401">
        <v>0</v>
      </c>
      <c r="R37" s="403" t="str">
        <f t="shared" si="4"/>
        <v>－</v>
      </c>
      <c r="S37" s="401">
        <v>0</v>
      </c>
      <c r="T37" s="403" t="str">
        <f t="shared" si="5"/>
        <v>－</v>
      </c>
    </row>
    <row r="38" spans="1:20" x14ac:dyDescent="0.15">
      <c r="A38" s="19"/>
      <c r="B38" s="1054" t="s">
        <v>286</v>
      </c>
      <c r="C38" s="419" t="s">
        <v>16</v>
      </c>
      <c r="D38" s="420">
        <v>0</v>
      </c>
      <c r="E38" s="391">
        <v>0</v>
      </c>
      <c r="F38" s="421">
        <v>0</v>
      </c>
      <c r="G38" s="408">
        <v>0</v>
      </c>
      <c r="H38" s="409">
        <v>0</v>
      </c>
      <c r="I38" s="409">
        <v>0</v>
      </c>
      <c r="J38" s="422" t="str">
        <f t="shared" si="6"/>
        <v>－</v>
      </c>
      <c r="K38" s="408">
        <v>0</v>
      </c>
      <c r="L38" s="423" t="str">
        <f t="shared" si="7"/>
        <v>－</v>
      </c>
      <c r="M38" s="408">
        <v>0</v>
      </c>
      <c r="N38" s="423" t="str">
        <f t="shared" si="2"/>
        <v>－</v>
      </c>
      <c r="O38" s="408">
        <v>0</v>
      </c>
      <c r="P38" s="423" t="str">
        <f t="shared" si="3"/>
        <v>－</v>
      </c>
      <c r="Q38" s="408">
        <v>0</v>
      </c>
      <c r="R38" s="423" t="str">
        <f t="shared" si="4"/>
        <v>－</v>
      </c>
      <c r="S38" s="408">
        <v>0</v>
      </c>
      <c r="T38" s="403" t="str">
        <f t="shared" si="5"/>
        <v>－</v>
      </c>
    </row>
    <row r="39" spans="1:20" x14ac:dyDescent="0.15">
      <c r="A39" s="19"/>
      <c r="B39" s="1055"/>
      <c r="C39" s="419" t="s">
        <v>25</v>
      </c>
      <c r="D39" s="424">
        <v>0</v>
      </c>
      <c r="E39" s="405">
        <v>0</v>
      </c>
      <c r="F39" s="425">
        <v>0</v>
      </c>
      <c r="G39" s="407">
        <v>0</v>
      </c>
      <c r="H39" s="405">
        <v>0</v>
      </c>
      <c r="I39" s="405">
        <v>0</v>
      </c>
      <c r="J39" s="422" t="str">
        <f t="shared" si="6"/>
        <v>－</v>
      </c>
      <c r="K39" s="407">
        <v>0</v>
      </c>
      <c r="L39" s="423" t="str">
        <f t="shared" si="7"/>
        <v>－</v>
      </c>
      <c r="M39" s="407">
        <v>0</v>
      </c>
      <c r="N39" s="423" t="str">
        <f t="shared" si="2"/>
        <v>－</v>
      </c>
      <c r="O39" s="407">
        <v>0</v>
      </c>
      <c r="P39" s="423" t="str">
        <f t="shared" si="3"/>
        <v>－</v>
      </c>
      <c r="Q39" s="407">
        <v>0</v>
      </c>
      <c r="R39" s="423" t="str">
        <f t="shared" si="4"/>
        <v>－</v>
      </c>
      <c r="S39" s="407">
        <v>0</v>
      </c>
      <c r="T39" s="403" t="str">
        <f t="shared" si="5"/>
        <v>－</v>
      </c>
    </row>
    <row r="40" spans="1:20" x14ac:dyDescent="0.15">
      <c r="A40" s="19"/>
      <c r="B40" s="28"/>
      <c r="C40" s="419" t="s">
        <v>17</v>
      </c>
      <c r="D40" s="420">
        <v>0</v>
      </c>
      <c r="E40" s="391">
        <v>0</v>
      </c>
      <c r="F40" s="421">
        <v>0</v>
      </c>
      <c r="G40" s="401">
        <v>0</v>
      </c>
      <c r="H40" s="391">
        <v>0</v>
      </c>
      <c r="I40" s="391">
        <v>0</v>
      </c>
      <c r="J40" s="422" t="str">
        <f t="shared" si="6"/>
        <v>－</v>
      </c>
      <c r="K40" s="401">
        <v>0</v>
      </c>
      <c r="L40" s="423" t="str">
        <f t="shared" si="7"/>
        <v>－</v>
      </c>
      <c r="M40" s="401">
        <v>0</v>
      </c>
      <c r="N40" s="423" t="str">
        <f t="shared" si="2"/>
        <v>－</v>
      </c>
      <c r="O40" s="401">
        <v>0</v>
      </c>
      <c r="P40" s="423" t="str">
        <f t="shared" si="3"/>
        <v>－</v>
      </c>
      <c r="Q40" s="401">
        <v>0</v>
      </c>
      <c r="R40" s="423" t="str">
        <f t="shared" si="4"/>
        <v>－</v>
      </c>
      <c r="S40" s="401">
        <v>0</v>
      </c>
      <c r="T40" s="403" t="str">
        <f t="shared" si="5"/>
        <v>－</v>
      </c>
    </row>
    <row r="41" spans="1:20" x14ac:dyDescent="0.15">
      <c r="A41" s="19"/>
      <c r="B41" s="1052" t="s">
        <v>28</v>
      </c>
      <c r="C41" s="389" t="s">
        <v>16</v>
      </c>
      <c r="D41" s="390">
        <v>2939.4749999999999</v>
      </c>
      <c r="E41" s="391">
        <v>3180.3879999999999</v>
      </c>
      <c r="F41" s="392">
        <v>3122.8560000000002</v>
      </c>
      <c r="G41" s="408">
        <v>3123</v>
      </c>
      <c r="H41" s="409">
        <v>3123</v>
      </c>
      <c r="I41" s="409">
        <v>3200</v>
      </c>
      <c r="J41" s="402">
        <f t="shared" si="6"/>
        <v>1.0082650838420555</v>
      </c>
      <c r="K41" s="408">
        <v>3449</v>
      </c>
      <c r="L41" s="403">
        <f t="shared" si="7"/>
        <v>1.1044377326396093</v>
      </c>
      <c r="M41" s="408">
        <v>3699</v>
      </c>
      <c r="N41" s="403">
        <f t="shared" si="2"/>
        <v>1.1844926567219236</v>
      </c>
      <c r="O41" s="408">
        <v>3699</v>
      </c>
      <c r="P41" s="403">
        <f t="shared" si="3"/>
        <v>1.1844926567219236</v>
      </c>
      <c r="Q41" s="408">
        <v>3283</v>
      </c>
      <c r="R41" s="403">
        <f t="shared" si="4"/>
        <v>1.0512812630489525</v>
      </c>
      <c r="S41" s="408">
        <v>3123</v>
      </c>
      <c r="T41" s="403">
        <f t="shared" si="5"/>
        <v>1.0000461116362713</v>
      </c>
    </row>
    <row r="42" spans="1:20" x14ac:dyDescent="0.15">
      <c r="A42" s="19"/>
      <c r="B42" s="1056"/>
      <c r="C42" s="389" t="s">
        <v>17</v>
      </c>
      <c r="D42" s="390">
        <v>37.166666666666664</v>
      </c>
      <c r="E42" s="391">
        <v>36.916666666666664</v>
      </c>
      <c r="F42" s="392">
        <v>38</v>
      </c>
      <c r="G42" s="401">
        <v>38</v>
      </c>
      <c r="H42" s="391">
        <v>38</v>
      </c>
      <c r="I42" s="391">
        <v>39</v>
      </c>
      <c r="J42" s="402">
        <f t="shared" si="6"/>
        <v>1.0087719298245614</v>
      </c>
      <c r="K42" s="401">
        <v>42</v>
      </c>
      <c r="L42" s="403">
        <f t="shared" si="7"/>
        <v>1.1052631578947369</v>
      </c>
      <c r="M42" s="401">
        <v>45</v>
      </c>
      <c r="N42" s="403">
        <f t="shared" si="2"/>
        <v>1.1842105263157894</v>
      </c>
      <c r="O42" s="401">
        <v>45</v>
      </c>
      <c r="P42" s="403">
        <f t="shared" si="3"/>
        <v>1.1842105263157894</v>
      </c>
      <c r="Q42" s="401">
        <v>40</v>
      </c>
      <c r="R42" s="403">
        <f t="shared" si="4"/>
        <v>1.0526315789473684</v>
      </c>
      <c r="S42" s="401">
        <v>38</v>
      </c>
      <c r="T42" s="403">
        <f t="shared" si="5"/>
        <v>1</v>
      </c>
    </row>
    <row r="43" spans="1:20" x14ac:dyDescent="0.15">
      <c r="A43" s="19"/>
      <c r="B43" s="1052" t="s">
        <v>29</v>
      </c>
      <c r="C43" s="389" t="s">
        <v>16</v>
      </c>
      <c r="D43" s="390">
        <v>169.482</v>
      </c>
      <c r="E43" s="391">
        <v>57.51</v>
      </c>
      <c r="F43" s="392">
        <v>0</v>
      </c>
      <c r="G43" s="408">
        <v>0</v>
      </c>
      <c r="H43" s="409">
        <v>0</v>
      </c>
      <c r="I43" s="409">
        <v>0</v>
      </c>
      <c r="J43" s="402" t="str">
        <f t="shared" si="6"/>
        <v>－</v>
      </c>
      <c r="K43" s="408">
        <v>0</v>
      </c>
      <c r="L43" s="403" t="str">
        <f t="shared" si="7"/>
        <v>－</v>
      </c>
      <c r="M43" s="408">
        <v>0</v>
      </c>
      <c r="N43" s="403" t="str">
        <f t="shared" si="2"/>
        <v>－</v>
      </c>
      <c r="O43" s="408">
        <v>0</v>
      </c>
      <c r="P43" s="403" t="str">
        <f t="shared" si="3"/>
        <v>－</v>
      </c>
      <c r="Q43" s="408">
        <v>0</v>
      </c>
      <c r="R43" s="403" t="str">
        <f t="shared" si="4"/>
        <v>－</v>
      </c>
      <c r="S43" s="408">
        <v>0</v>
      </c>
      <c r="T43" s="403" t="str">
        <f t="shared" si="5"/>
        <v>－</v>
      </c>
    </row>
    <row r="44" spans="1:20" x14ac:dyDescent="0.15">
      <c r="A44" s="19"/>
      <c r="B44" s="1056"/>
      <c r="C44" s="389" t="s">
        <v>17</v>
      </c>
      <c r="D44" s="390">
        <v>0.58333333333333337</v>
      </c>
      <c r="E44" s="391">
        <v>0.25</v>
      </c>
      <c r="F44" s="392">
        <v>0</v>
      </c>
      <c r="G44" s="401">
        <v>0</v>
      </c>
      <c r="H44" s="391">
        <v>0</v>
      </c>
      <c r="I44" s="391">
        <v>0</v>
      </c>
      <c r="J44" s="402" t="str">
        <f t="shared" si="6"/>
        <v>－</v>
      </c>
      <c r="K44" s="401">
        <v>0</v>
      </c>
      <c r="L44" s="403" t="str">
        <f t="shared" si="7"/>
        <v>－</v>
      </c>
      <c r="M44" s="401">
        <v>0</v>
      </c>
      <c r="N44" s="403" t="str">
        <f t="shared" si="2"/>
        <v>－</v>
      </c>
      <c r="O44" s="401">
        <v>0</v>
      </c>
      <c r="P44" s="403" t="str">
        <f t="shared" si="3"/>
        <v>－</v>
      </c>
      <c r="Q44" s="401">
        <v>0</v>
      </c>
      <c r="R44" s="403" t="str">
        <f t="shared" si="4"/>
        <v>－</v>
      </c>
      <c r="S44" s="401">
        <v>0</v>
      </c>
      <c r="T44" s="403" t="str">
        <f t="shared" si="5"/>
        <v>－</v>
      </c>
    </row>
    <row r="45" spans="1:20" x14ac:dyDescent="0.15">
      <c r="A45" s="19"/>
      <c r="B45" s="16" t="s">
        <v>30</v>
      </c>
      <c r="C45" s="389" t="s">
        <v>16</v>
      </c>
      <c r="D45" s="390">
        <v>741.87</v>
      </c>
      <c r="E45" s="391">
        <v>429.39</v>
      </c>
      <c r="F45" s="392">
        <v>0</v>
      </c>
      <c r="G45" s="408">
        <v>0</v>
      </c>
      <c r="H45" s="409">
        <v>0</v>
      </c>
      <c r="I45" s="409">
        <v>0</v>
      </c>
      <c r="J45" s="402" t="str">
        <f t="shared" si="6"/>
        <v>－</v>
      </c>
      <c r="K45" s="408">
        <v>0</v>
      </c>
      <c r="L45" s="403" t="str">
        <f t="shared" si="7"/>
        <v>－</v>
      </c>
      <c r="M45" s="408">
        <v>0</v>
      </c>
      <c r="N45" s="403" t="str">
        <f t="shared" si="2"/>
        <v>－</v>
      </c>
      <c r="O45" s="408">
        <v>0</v>
      </c>
      <c r="P45" s="403" t="str">
        <f t="shared" si="3"/>
        <v>－</v>
      </c>
      <c r="Q45" s="408">
        <v>0</v>
      </c>
      <c r="R45" s="403" t="str">
        <f t="shared" si="4"/>
        <v>－</v>
      </c>
      <c r="S45" s="408">
        <v>0</v>
      </c>
      <c r="T45" s="403" t="str">
        <f t="shared" si="5"/>
        <v>－</v>
      </c>
    </row>
    <row r="46" spans="1:20" x14ac:dyDescent="0.15">
      <c r="A46" s="19"/>
      <c r="B46" s="17"/>
      <c r="C46" s="389" t="s">
        <v>17</v>
      </c>
      <c r="D46" s="390">
        <v>0.58333333333333337</v>
      </c>
      <c r="E46" s="391">
        <v>0.25</v>
      </c>
      <c r="F46" s="392">
        <v>0</v>
      </c>
      <c r="G46" s="401">
        <v>0</v>
      </c>
      <c r="H46" s="391">
        <v>0</v>
      </c>
      <c r="I46" s="391">
        <v>0</v>
      </c>
      <c r="J46" s="402" t="str">
        <f t="shared" si="6"/>
        <v>－</v>
      </c>
      <c r="K46" s="401">
        <v>0</v>
      </c>
      <c r="L46" s="403" t="str">
        <f t="shared" si="7"/>
        <v>－</v>
      </c>
      <c r="M46" s="401">
        <v>0</v>
      </c>
      <c r="N46" s="403" t="str">
        <f t="shared" si="2"/>
        <v>－</v>
      </c>
      <c r="O46" s="401">
        <v>0</v>
      </c>
      <c r="P46" s="403" t="str">
        <f t="shared" si="3"/>
        <v>－</v>
      </c>
      <c r="Q46" s="401">
        <v>0</v>
      </c>
      <c r="R46" s="403" t="str">
        <f t="shared" si="4"/>
        <v>－</v>
      </c>
      <c r="S46" s="401">
        <v>0</v>
      </c>
      <c r="T46" s="403" t="str">
        <f t="shared" si="5"/>
        <v>－</v>
      </c>
    </row>
    <row r="47" spans="1:20" x14ac:dyDescent="0.15">
      <c r="A47" s="19"/>
      <c r="B47" s="1057" t="s">
        <v>31</v>
      </c>
      <c r="C47" s="389" t="s">
        <v>16</v>
      </c>
      <c r="D47" s="390">
        <v>0</v>
      </c>
      <c r="E47" s="391">
        <v>0</v>
      </c>
      <c r="F47" s="392">
        <v>0</v>
      </c>
      <c r="G47" s="408">
        <v>0</v>
      </c>
      <c r="H47" s="409">
        <v>0</v>
      </c>
      <c r="I47" s="409">
        <v>0</v>
      </c>
      <c r="J47" s="410" t="str">
        <f>IFERROR(SUM(G47:I47)/3/F47,"－")</f>
        <v>－</v>
      </c>
      <c r="K47" s="408">
        <v>0</v>
      </c>
      <c r="L47" s="403" t="str">
        <f t="shared" si="7"/>
        <v>－</v>
      </c>
      <c r="M47" s="408">
        <v>0</v>
      </c>
      <c r="N47" s="403" t="str">
        <f t="shared" si="2"/>
        <v>－</v>
      </c>
      <c r="O47" s="408">
        <v>0</v>
      </c>
      <c r="P47" s="403" t="str">
        <f t="shared" si="3"/>
        <v>－</v>
      </c>
      <c r="Q47" s="408">
        <v>0</v>
      </c>
      <c r="R47" s="403" t="str">
        <f t="shared" si="4"/>
        <v>－</v>
      </c>
      <c r="S47" s="408">
        <v>0</v>
      </c>
      <c r="T47" s="403" t="str">
        <f t="shared" si="5"/>
        <v>－</v>
      </c>
    </row>
    <row r="48" spans="1:20" ht="14.25" thickBot="1" x14ac:dyDescent="0.2">
      <c r="A48" s="19"/>
      <c r="B48" s="1060"/>
      <c r="C48" s="389" t="s">
        <v>17</v>
      </c>
      <c r="D48" s="390">
        <v>0</v>
      </c>
      <c r="E48" s="391">
        <v>0</v>
      </c>
      <c r="F48" s="392">
        <v>0</v>
      </c>
      <c r="G48" s="426">
        <v>0</v>
      </c>
      <c r="H48" s="427">
        <v>0</v>
      </c>
      <c r="I48" s="427">
        <v>0</v>
      </c>
      <c r="J48" s="428" t="str">
        <f>IFERROR(SUM(G48:I48)/3/F48,"－")</f>
        <v>－</v>
      </c>
      <c r="K48" s="426">
        <v>0</v>
      </c>
      <c r="L48" s="429" t="str">
        <f>IFERROR(K48/F48,"－")</f>
        <v>－</v>
      </c>
      <c r="M48" s="426">
        <v>0</v>
      </c>
      <c r="N48" s="429" t="str">
        <f t="shared" si="2"/>
        <v>－</v>
      </c>
      <c r="O48" s="426">
        <v>0</v>
      </c>
      <c r="P48" s="429" t="str">
        <f t="shared" si="3"/>
        <v>－</v>
      </c>
      <c r="Q48" s="426">
        <v>0</v>
      </c>
      <c r="R48" s="429" t="str">
        <f t="shared" si="4"/>
        <v>－</v>
      </c>
      <c r="S48" s="426">
        <v>0</v>
      </c>
      <c r="T48" s="429" t="str">
        <f>IFERROR(S48/F48,"－")</f>
        <v>－</v>
      </c>
    </row>
    <row r="49" spans="1:20" x14ac:dyDescent="0.15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 x14ac:dyDescent="0.15">
      <c r="A50" s="24"/>
      <c r="B50" s="1052" t="s">
        <v>33</v>
      </c>
      <c r="C50" s="389" t="s">
        <v>16</v>
      </c>
      <c r="D50" s="390">
        <v>0</v>
      </c>
      <c r="E50" s="391">
        <v>0</v>
      </c>
      <c r="F50" s="392">
        <v>0</v>
      </c>
      <c r="G50" s="408">
        <v>0</v>
      </c>
      <c r="H50" s="409">
        <v>0</v>
      </c>
      <c r="I50" s="409">
        <v>0</v>
      </c>
      <c r="J50" s="410" t="str">
        <f t="shared" ref="J50:J59" si="8">IFERROR(SUM(G50:I50)/3/F50,"－")</f>
        <v>－</v>
      </c>
      <c r="K50" s="408">
        <v>0</v>
      </c>
      <c r="L50" s="411" t="str">
        <f t="shared" ref="L50:L59" si="9">IFERROR(K50/F50,"－")</f>
        <v>－</v>
      </c>
      <c r="M50" s="408">
        <v>0</v>
      </c>
      <c r="N50" s="403" t="str">
        <f t="shared" si="2"/>
        <v>－</v>
      </c>
      <c r="O50" s="408">
        <v>0</v>
      </c>
      <c r="P50" s="411" t="str">
        <f t="shared" si="3"/>
        <v>－</v>
      </c>
      <c r="Q50" s="408">
        <v>0</v>
      </c>
      <c r="R50" s="411" t="str">
        <f t="shared" si="4"/>
        <v>－</v>
      </c>
      <c r="S50" s="408">
        <v>0</v>
      </c>
      <c r="T50" s="411" t="str">
        <f>IFERROR(S50/F50,"－")</f>
        <v>－</v>
      </c>
    </row>
    <row r="51" spans="1:20" x14ac:dyDescent="0.15">
      <c r="A51" s="19"/>
      <c r="B51" s="1053"/>
      <c r="C51" s="389" t="s">
        <v>19</v>
      </c>
      <c r="D51" s="404">
        <v>0</v>
      </c>
      <c r="E51" s="405">
        <v>0</v>
      </c>
      <c r="F51" s="406">
        <v>0</v>
      </c>
      <c r="G51" s="407">
        <v>0</v>
      </c>
      <c r="H51" s="405">
        <v>0</v>
      </c>
      <c r="I51" s="405">
        <v>0</v>
      </c>
      <c r="J51" s="402" t="str">
        <f t="shared" si="8"/>
        <v>－</v>
      </c>
      <c r="K51" s="407">
        <v>0</v>
      </c>
      <c r="L51" s="403" t="str">
        <f t="shared" si="9"/>
        <v>－</v>
      </c>
      <c r="M51" s="407">
        <v>0</v>
      </c>
      <c r="N51" s="403" t="str">
        <f t="shared" si="2"/>
        <v>－</v>
      </c>
      <c r="O51" s="407">
        <v>0</v>
      </c>
      <c r="P51" s="403" t="str">
        <f t="shared" si="3"/>
        <v>－</v>
      </c>
      <c r="Q51" s="407">
        <v>0</v>
      </c>
      <c r="R51" s="403" t="str">
        <f t="shared" si="4"/>
        <v>－</v>
      </c>
      <c r="S51" s="407">
        <v>0</v>
      </c>
      <c r="T51" s="403" t="str">
        <f>IFERROR(S51/F51,"－")</f>
        <v>－</v>
      </c>
    </row>
    <row r="52" spans="1:20" x14ac:dyDescent="0.15">
      <c r="A52" s="19"/>
      <c r="B52" s="437"/>
      <c r="C52" s="389" t="s">
        <v>17</v>
      </c>
      <c r="D52" s="390">
        <v>0</v>
      </c>
      <c r="E52" s="391">
        <v>0</v>
      </c>
      <c r="F52" s="392">
        <v>0</v>
      </c>
      <c r="G52" s="401">
        <v>0</v>
      </c>
      <c r="H52" s="391">
        <v>0</v>
      </c>
      <c r="I52" s="391">
        <v>0</v>
      </c>
      <c r="J52" s="402" t="str">
        <f t="shared" si="8"/>
        <v>－</v>
      </c>
      <c r="K52" s="401">
        <v>0</v>
      </c>
      <c r="L52" s="403" t="str">
        <f t="shared" si="9"/>
        <v>－</v>
      </c>
      <c r="M52" s="401">
        <v>0</v>
      </c>
      <c r="N52" s="403" t="str">
        <f t="shared" si="2"/>
        <v>－</v>
      </c>
      <c r="O52" s="401">
        <v>0</v>
      </c>
      <c r="P52" s="403" t="str">
        <f t="shared" si="3"/>
        <v>－</v>
      </c>
      <c r="Q52" s="401">
        <v>0</v>
      </c>
      <c r="R52" s="403" t="str">
        <f t="shared" si="4"/>
        <v>－</v>
      </c>
      <c r="S52" s="401">
        <v>0</v>
      </c>
      <c r="T52" s="403" t="str">
        <f t="shared" ref="T52:T55" si="10">IFERROR(S52/F52,"－")</f>
        <v>－</v>
      </c>
    </row>
    <row r="53" spans="1:20" x14ac:dyDescent="0.15">
      <c r="A53" s="24"/>
      <c r="B53" s="1052" t="s">
        <v>34</v>
      </c>
      <c r="C53" s="389" t="s">
        <v>16</v>
      </c>
      <c r="D53" s="390">
        <v>0</v>
      </c>
      <c r="E53" s="391">
        <v>0</v>
      </c>
      <c r="F53" s="392">
        <v>0</v>
      </c>
      <c r="G53" s="408">
        <v>0</v>
      </c>
      <c r="H53" s="409">
        <v>0</v>
      </c>
      <c r="I53" s="409">
        <v>0</v>
      </c>
      <c r="J53" s="410" t="str">
        <f t="shared" si="8"/>
        <v>－</v>
      </c>
      <c r="K53" s="408">
        <v>0</v>
      </c>
      <c r="L53" s="411" t="str">
        <f t="shared" si="9"/>
        <v>－</v>
      </c>
      <c r="M53" s="408">
        <v>0</v>
      </c>
      <c r="N53" s="411" t="str">
        <f t="shared" si="2"/>
        <v>－</v>
      </c>
      <c r="O53" s="408">
        <v>0</v>
      </c>
      <c r="P53" s="411" t="str">
        <f t="shared" si="3"/>
        <v>－</v>
      </c>
      <c r="Q53" s="408">
        <v>0</v>
      </c>
      <c r="R53" s="411" t="str">
        <f t="shared" si="4"/>
        <v>－</v>
      </c>
      <c r="S53" s="408">
        <v>0</v>
      </c>
      <c r="T53" s="403" t="str">
        <f t="shared" si="10"/>
        <v>－</v>
      </c>
    </row>
    <row r="54" spans="1:20" x14ac:dyDescent="0.15">
      <c r="A54" s="19"/>
      <c r="B54" s="1056"/>
      <c r="C54" s="389" t="s">
        <v>17</v>
      </c>
      <c r="D54" s="390">
        <v>0</v>
      </c>
      <c r="E54" s="391">
        <v>0</v>
      </c>
      <c r="F54" s="392">
        <v>0</v>
      </c>
      <c r="G54" s="401">
        <v>0</v>
      </c>
      <c r="H54" s="391">
        <v>0</v>
      </c>
      <c r="I54" s="391">
        <v>0</v>
      </c>
      <c r="J54" s="402" t="str">
        <f t="shared" si="8"/>
        <v>－</v>
      </c>
      <c r="K54" s="401">
        <v>0</v>
      </c>
      <c r="L54" s="403" t="str">
        <f t="shared" si="9"/>
        <v>－</v>
      </c>
      <c r="M54" s="401">
        <v>0</v>
      </c>
      <c r="N54" s="403" t="str">
        <f t="shared" si="2"/>
        <v>－</v>
      </c>
      <c r="O54" s="401">
        <v>0</v>
      </c>
      <c r="P54" s="403" t="str">
        <f t="shared" si="3"/>
        <v>－</v>
      </c>
      <c r="Q54" s="401">
        <v>0</v>
      </c>
      <c r="R54" s="403" t="str">
        <f t="shared" si="4"/>
        <v>－</v>
      </c>
      <c r="S54" s="401">
        <v>0</v>
      </c>
      <c r="T54" s="403" t="str">
        <f t="shared" si="10"/>
        <v>－</v>
      </c>
    </row>
    <row r="55" spans="1:20" x14ac:dyDescent="0.15">
      <c r="A55" s="19"/>
      <c r="B55" s="1057" t="s">
        <v>35</v>
      </c>
      <c r="C55" s="389" t="s">
        <v>16</v>
      </c>
      <c r="D55" s="390">
        <v>0</v>
      </c>
      <c r="E55" s="391">
        <v>0</v>
      </c>
      <c r="F55" s="392">
        <v>0</v>
      </c>
      <c r="G55" s="408">
        <v>0</v>
      </c>
      <c r="H55" s="409">
        <v>0</v>
      </c>
      <c r="I55" s="409">
        <v>0</v>
      </c>
      <c r="J55" s="410" t="str">
        <f t="shared" si="8"/>
        <v>－</v>
      </c>
      <c r="K55" s="408">
        <v>0</v>
      </c>
      <c r="L55" s="411" t="str">
        <f t="shared" si="9"/>
        <v>－</v>
      </c>
      <c r="M55" s="408">
        <v>0</v>
      </c>
      <c r="N55" s="411" t="str">
        <f t="shared" si="2"/>
        <v>－</v>
      </c>
      <c r="O55" s="408">
        <v>0</v>
      </c>
      <c r="P55" s="411" t="str">
        <f t="shared" si="3"/>
        <v>－</v>
      </c>
      <c r="Q55" s="408">
        <v>0</v>
      </c>
      <c r="R55" s="411" t="str">
        <f t="shared" si="4"/>
        <v>－</v>
      </c>
      <c r="S55" s="408">
        <v>0</v>
      </c>
      <c r="T55" s="403" t="str">
        <f t="shared" si="10"/>
        <v>－</v>
      </c>
    </row>
    <row r="56" spans="1:20" ht="14.25" thickBot="1" x14ac:dyDescent="0.2">
      <c r="A56" s="19"/>
      <c r="B56" s="1061"/>
      <c r="C56" s="389" t="s">
        <v>17</v>
      </c>
      <c r="D56" s="438">
        <v>0</v>
      </c>
      <c r="E56" s="427">
        <v>0</v>
      </c>
      <c r="F56" s="439">
        <v>0</v>
      </c>
      <c r="G56" s="426">
        <v>0</v>
      </c>
      <c r="H56" s="427">
        <v>0</v>
      </c>
      <c r="I56" s="427">
        <v>0</v>
      </c>
      <c r="J56" s="428" t="str">
        <f t="shared" si="8"/>
        <v>－</v>
      </c>
      <c r="K56" s="426">
        <v>0</v>
      </c>
      <c r="L56" s="429" t="str">
        <f t="shared" si="9"/>
        <v>－</v>
      </c>
      <c r="M56" s="426">
        <v>0</v>
      </c>
      <c r="N56" s="429" t="str">
        <f t="shared" si="2"/>
        <v>－</v>
      </c>
      <c r="O56" s="426">
        <v>0</v>
      </c>
      <c r="P56" s="429" t="str">
        <f t="shared" si="3"/>
        <v>－</v>
      </c>
      <c r="Q56" s="426">
        <v>0</v>
      </c>
      <c r="R56" s="429" t="str">
        <f t="shared" si="4"/>
        <v>－</v>
      </c>
      <c r="S56" s="426">
        <v>0</v>
      </c>
      <c r="T56" s="429" t="str">
        <f>IFERROR(S56/F56,"－")</f>
        <v>－</v>
      </c>
    </row>
    <row r="57" spans="1:20" x14ac:dyDescent="0.15">
      <c r="A57" s="20" t="s">
        <v>111</v>
      </c>
      <c r="B57" s="440"/>
      <c r="C57" s="441" t="s">
        <v>16</v>
      </c>
      <c r="D57" s="442">
        <v>3320.6350000000002</v>
      </c>
      <c r="E57" s="443">
        <v>3529.424</v>
      </c>
      <c r="F57" s="444">
        <v>3897.864</v>
      </c>
      <c r="G57" s="445">
        <v>3843</v>
      </c>
      <c r="H57" s="446">
        <v>3843</v>
      </c>
      <c r="I57" s="446">
        <v>4029</v>
      </c>
      <c r="J57" s="447">
        <f t="shared" si="8"/>
        <v>1.0018307462753959</v>
      </c>
      <c r="K57" s="445">
        <v>4324</v>
      </c>
      <c r="L57" s="448">
        <f t="shared" si="9"/>
        <v>1.1093255177707586</v>
      </c>
      <c r="M57" s="445">
        <v>4620</v>
      </c>
      <c r="N57" s="448">
        <f t="shared" si="2"/>
        <v>1.1852645448892007</v>
      </c>
      <c r="O57" s="445">
        <v>4620</v>
      </c>
      <c r="P57" s="448">
        <f t="shared" si="3"/>
        <v>1.1852645448892007</v>
      </c>
      <c r="Q57" s="445">
        <v>4104</v>
      </c>
      <c r="R57" s="448">
        <f t="shared" si="4"/>
        <v>1.052884348966511</v>
      </c>
      <c r="S57" s="445">
        <v>3843</v>
      </c>
      <c r="T57" s="448">
        <f>IFERROR(S57/F57,"－")</f>
        <v>0.98592459870328975</v>
      </c>
    </row>
    <row r="58" spans="1:20" ht="14.25" thickBot="1" x14ac:dyDescent="0.2">
      <c r="A58" s="21"/>
      <c r="B58" s="449"/>
      <c r="C58" s="450" t="s">
        <v>17</v>
      </c>
      <c r="D58" s="451">
        <v>59.75</v>
      </c>
      <c r="E58" s="452">
        <v>64</v>
      </c>
      <c r="F58" s="453">
        <v>66</v>
      </c>
      <c r="G58" s="454">
        <v>65</v>
      </c>
      <c r="H58" s="452">
        <v>65</v>
      </c>
      <c r="I58" s="452">
        <v>68</v>
      </c>
      <c r="J58" s="455">
        <f t="shared" si="8"/>
        <v>1</v>
      </c>
      <c r="K58" s="454">
        <v>73</v>
      </c>
      <c r="L58" s="456">
        <f t="shared" si="9"/>
        <v>1.106060606060606</v>
      </c>
      <c r="M58" s="454">
        <v>78</v>
      </c>
      <c r="N58" s="456">
        <f t="shared" si="2"/>
        <v>1.1818181818181819</v>
      </c>
      <c r="O58" s="454">
        <v>78</v>
      </c>
      <c r="P58" s="456">
        <f t="shared" si="3"/>
        <v>1.1818181818181819</v>
      </c>
      <c r="Q58" s="454">
        <v>69</v>
      </c>
      <c r="R58" s="456">
        <f t="shared" si="4"/>
        <v>1.0454545454545454</v>
      </c>
      <c r="S58" s="454">
        <v>65</v>
      </c>
      <c r="T58" s="456">
        <f>IFERROR(S58/F58,"－")</f>
        <v>0.98484848484848486</v>
      </c>
    </row>
    <row r="59" spans="1:20" ht="14.25" thickBot="1" x14ac:dyDescent="0.2">
      <c r="A59" s="457" t="s">
        <v>36</v>
      </c>
      <c r="B59" s="375"/>
      <c r="C59" s="458" t="s">
        <v>16</v>
      </c>
      <c r="D59" s="459">
        <f>IF(ISERROR(SUM(D12,D14,D17,D20,D23,D25,D27,D29,D32,D35,D38,D41,D43,D45,D47,D50,D53,D55,D57)),0,(SUM(D12,D14,D17,D20,D23,D25,D27,D29,D32,D35,D38,D41,D43,D45,D47,D50,D53,D55,D57)))</f>
        <v>26821.834000000003</v>
      </c>
      <c r="E59" s="460">
        <f t="shared" ref="E59:I59" si="11">IF(ISERROR(SUM(E12,E14,E17,E20,E23,E25,E27,E29,E32,E35,E38,E41,E43,E45,E47,E50,E53,E55,E57)),0,(SUM(E12,E14,E17,E20,E23,E25,E27,E29,E32,E35,E38,E41,E43,E45,E47,E50,E53,E55,E57)))</f>
        <v>28327.079999999998</v>
      </c>
      <c r="F59" s="461">
        <f t="shared" si="11"/>
        <v>28263.687600000001</v>
      </c>
      <c r="G59" s="462">
        <f t="shared" si="11"/>
        <v>28209</v>
      </c>
      <c r="H59" s="460">
        <f t="shared" si="11"/>
        <v>28209</v>
      </c>
      <c r="I59" s="460">
        <f t="shared" si="11"/>
        <v>29004</v>
      </c>
      <c r="J59" s="463">
        <f t="shared" si="8"/>
        <v>1.0074410813966115</v>
      </c>
      <c r="K59" s="462">
        <f>IF(ISERROR(SUM(K12,K14,K17,K20,K23,K25,K27,K29,K32,K35,K38,K41,K43,K45,K47,K50,K53,K55,K57)),0,(SUM(K12,K14,K17,K20,K23,K25,K27,K29,K32,K35,K38,K41,K43,K45,K47,K50,K53,K55,K57)))</f>
        <v>30614</v>
      </c>
      <c r="L59" s="464">
        <f t="shared" si="9"/>
        <v>1.083156608340095</v>
      </c>
      <c r="M59" s="462">
        <f>IF(ISERROR(SUM(M12,M14,M17,M20,M23,M25,M27,M29,M32,M35,M38,M41,M43,M45,M47,M50,M53,M55,M57)),0,(SUM(M12,M14,M17,M20,M23,M25,M27,M29,M32,M35,M38,M41,M43,M45,M47,M50,M53,M55,M57)))</f>
        <v>33850</v>
      </c>
      <c r="N59" s="464">
        <f t="shared" si="2"/>
        <v>1.1976498070265962</v>
      </c>
      <c r="O59" s="462">
        <f>IF(ISERROR(SUM(O12,O14,O17,O20,O23,O25,O27,O29,O32,O35,O38,O41,O43,O45,O47,O50,O53,O55,O57)),0,(SUM(O12,O14,O17,O20,O23,O25,O27,O29,O32,O35,O38,O41,O43,O45,O47,O50,O53,O55,O57)))</f>
        <v>33850</v>
      </c>
      <c r="P59" s="464">
        <f t="shared" si="3"/>
        <v>1.1976498070265962</v>
      </c>
      <c r="Q59" s="462">
        <f>IF(ISERROR(SUM(Q12,Q14,Q17,Q20,Q23,Q25,Q27,Q29,Q32,Q35,Q38,Q41,Q43,Q45,Q47,Q50,Q53,Q55,Q57)),0,(SUM(Q12,Q14,Q17,Q20,Q23,Q25,Q27,Q29,Q32,Q35,Q38,Q41,Q43,Q45,Q47,Q50,Q53,Q55,Q57)))</f>
        <v>29162</v>
      </c>
      <c r="R59" s="464">
        <f t="shared" si="4"/>
        <v>1.0317832694980678</v>
      </c>
      <c r="S59" s="462">
        <f>IF(ISERROR(SUM(S12,S14,S17,S20,S23,S25,S27,S29,S32,S35,S38,S41,S43,S45,S47,S50,S53,S55,S57)),0,(SUM(S12,S14,S17,S20,S23,S25,S27,S29,S32,S35,S38,S41,S43,S45,S47,S50,S53,S55,S57)))</f>
        <v>28209</v>
      </c>
      <c r="T59" s="464">
        <f>IFERROR(S59/F59,"－")</f>
        <v>0.99806509324706794</v>
      </c>
    </row>
    <row r="60" spans="1:20" ht="50.1" customHeight="1" x14ac:dyDescent="0.15">
      <c r="A60" s="726" t="s">
        <v>109</v>
      </c>
      <c r="B60" s="189"/>
      <c r="C60" s="465"/>
      <c r="D60" s="466"/>
      <c r="E60" s="466"/>
      <c r="F60" s="466"/>
      <c r="G60" s="725" t="s">
        <v>376</v>
      </c>
      <c r="H60" s="467"/>
      <c r="I60" s="467"/>
      <c r="J60" s="467"/>
      <c r="K60" s="637" t="s">
        <v>433</v>
      </c>
      <c r="L60" s="522"/>
      <c r="M60" s="522"/>
    </row>
    <row r="61" spans="1:20" ht="13.5" customHeight="1" x14ac:dyDescent="0.15">
      <c r="A61" s="465"/>
      <c r="B61" s="189"/>
      <c r="C61" s="465"/>
      <c r="D61" s="466"/>
      <c r="E61" s="466"/>
      <c r="F61" s="466"/>
      <c r="G61" s="466"/>
      <c r="H61" s="466"/>
      <c r="I61" s="466"/>
      <c r="J61" s="466"/>
      <c r="K61" s="522"/>
      <c r="L61" s="522"/>
      <c r="M61" s="522"/>
    </row>
    <row r="62" spans="1:20" x14ac:dyDescent="0.15">
      <c r="A62" s="22" t="s">
        <v>90</v>
      </c>
      <c r="B62" s="189"/>
      <c r="C62" s="381"/>
    </row>
    <row r="63" spans="1:20" ht="14.25" thickBot="1" x14ac:dyDescent="0.2">
      <c r="A63" s="23"/>
      <c r="B63" s="189"/>
      <c r="C63" s="381"/>
      <c r="L63" s="2"/>
      <c r="R63" s="2"/>
      <c r="T63" s="2" t="s">
        <v>108</v>
      </c>
    </row>
    <row r="64" spans="1:20" ht="23.25" thickBot="1" x14ac:dyDescent="0.2">
      <c r="A64" s="29"/>
      <c r="B64" s="375"/>
      <c r="C64" s="376"/>
      <c r="D64" s="377" t="s">
        <v>253</v>
      </c>
      <c r="E64" s="749" t="s">
        <v>375</v>
      </c>
      <c r="F64" s="378" t="s">
        <v>254</v>
      </c>
      <c r="G64" s="748" t="s">
        <v>374</v>
      </c>
      <c r="H64" s="749" t="s">
        <v>255</v>
      </c>
      <c r="I64" s="750" t="s">
        <v>373</v>
      </c>
      <c r="J64" s="38" t="s">
        <v>104</v>
      </c>
      <c r="K64" s="748" t="s">
        <v>290</v>
      </c>
      <c r="L64" s="39" t="s">
        <v>105</v>
      </c>
      <c r="M64" s="748" t="s">
        <v>291</v>
      </c>
      <c r="N64" s="39" t="s">
        <v>105</v>
      </c>
      <c r="O64" s="748" t="s">
        <v>292</v>
      </c>
      <c r="P64" s="39" t="s">
        <v>105</v>
      </c>
      <c r="Q64" s="748" t="s">
        <v>369</v>
      </c>
      <c r="R64" s="39" t="s">
        <v>105</v>
      </c>
      <c r="S64" s="748" t="s">
        <v>411</v>
      </c>
      <c r="T64" s="39" t="s">
        <v>105</v>
      </c>
    </row>
    <row r="65" spans="1:20" x14ac:dyDescent="0.15">
      <c r="A65" s="468" t="s">
        <v>38</v>
      </c>
      <c r="B65" s="368"/>
      <c r="C65" s="469"/>
      <c r="D65" s="470"/>
      <c r="E65" s="386"/>
      <c r="F65" s="471"/>
      <c r="G65" s="385"/>
      <c r="H65" s="386"/>
      <c r="I65" s="387"/>
      <c r="J65" s="387"/>
      <c r="K65" s="385"/>
      <c r="L65" s="388"/>
      <c r="M65" s="385"/>
      <c r="N65" s="388"/>
      <c r="O65" s="385"/>
      <c r="P65" s="388"/>
      <c r="Q65" s="385"/>
      <c r="R65" s="388"/>
      <c r="S65" s="385"/>
      <c r="T65" s="388"/>
    </row>
    <row r="66" spans="1:20" x14ac:dyDescent="0.15">
      <c r="A66" s="19"/>
      <c r="B66" s="1052" t="s">
        <v>39</v>
      </c>
      <c r="C66" s="389" t="s">
        <v>16</v>
      </c>
      <c r="D66" s="472">
        <v>38010.190999999999</v>
      </c>
      <c r="E66" s="409">
        <v>35804.962</v>
      </c>
      <c r="F66" s="473">
        <v>35237.187599999997</v>
      </c>
      <c r="G66" s="408">
        <v>33900</v>
      </c>
      <c r="H66" s="409">
        <v>34867</v>
      </c>
      <c r="I66" s="474">
        <v>36988</v>
      </c>
      <c r="J66" s="410">
        <f t="shared" ref="J66:J99" si="12">IFERROR(SUM(G66:I66)/3/F66,"－")</f>
        <v>1.0004109030161836</v>
      </c>
      <c r="K66" s="408">
        <v>37171</v>
      </c>
      <c r="L66" s="411">
        <f t="shared" ref="L66:L103" si="13">IFERROR(K66/F66,"－")</f>
        <v>1.0548798735572189</v>
      </c>
      <c r="M66" s="408">
        <v>40213</v>
      </c>
      <c r="N66" s="411">
        <f>IFERROR(M66/F66,"－")</f>
        <v>1.14120912419242</v>
      </c>
      <c r="O66" s="408">
        <v>43639</v>
      </c>
      <c r="P66" s="411">
        <f>IFERROR(O66/F66,"－")</f>
        <v>1.2384359528170745</v>
      </c>
      <c r="Q66" s="408">
        <v>41751</v>
      </c>
      <c r="R66" s="411">
        <f>IFERROR(Q66/F66,"－")</f>
        <v>1.1848561943689286</v>
      </c>
      <c r="S66" s="408">
        <v>41751</v>
      </c>
      <c r="T66" s="411">
        <f>IFERROR(S66/F66,"－")</f>
        <v>1.1848561943689286</v>
      </c>
    </row>
    <row r="67" spans="1:20" x14ac:dyDescent="0.15">
      <c r="A67" s="19"/>
      <c r="B67" s="1053"/>
      <c r="C67" s="389" t="s">
        <v>19</v>
      </c>
      <c r="D67" s="475">
        <v>1047</v>
      </c>
      <c r="E67" s="476">
        <v>960.16666666666663</v>
      </c>
      <c r="F67" s="477">
        <v>971.1</v>
      </c>
      <c r="G67" s="478">
        <v>942.6</v>
      </c>
      <c r="H67" s="476">
        <v>968.8</v>
      </c>
      <c r="I67" s="479">
        <v>1045.4000000000001</v>
      </c>
      <c r="J67" s="402">
        <f t="shared" si="12"/>
        <v>1.0149315209556173</v>
      </c>
      <c r="K67" s="478">
        <v>1023.5</v>
      </c>
      <c r="L67" s="403">
        <f t="shared" si="13"/>
        <v>1.0539594274534034</v>
      </c>
      <c r="M67" s="478">
        <v>1117.2</v>
      </c>
      <c r="N67" s="403">
        <f t="shared" ref="N67:N132" si="14">IFERROR(M67/F67,"－")</f>
        <v>1.1504479456286685</v>
      </c>
      <c r="O67" s="478">
        <v>1197.5999999999999</v>
      </c>
      <c r="P67" s="403">
        <f t="shared" ref="P67:P132" si="15">IFERROR(O67/F67,"－")</f>
        <v>1.2332406549274018</v>
      </c>
      <c r="Q67" s="478">
        <v>1154.3</v>
      </c>
      <c r="R67" s="403">
        <f t="shared" ref="R67:R132" si="16">IFERROR(Q67/F67,"－")</f>
        <v>1.1886520440737307</v>
      </c>
      <c r="S67" s="478">
        <v>1154.3</v>
      </c>
      <c r="T67" s="411">
        <f t="shared" ref="T67:T104" si="17">IFERROR(S67/F67,"－")</f>
        <v>1.1886520440737307</v>
      </c>
    </row>
    <row r="68" spans="1:20" x14ac:dyDescent="0.15">
      <c r="A68" s="19"/>
      <c r="B68" s="753"/>
      <c r="C68" s="389" t="s">
        <v>17</v>
      </c>
      <c r="D68" s="472">
        <v>38.25</v>
      </c>
      <c r="E68" s="409">
        <v>36.083333333333336</v>
      </c>
      <c r="F68" s="473">
        <v>28</v>
      </c>
      <c r="G68" s="408">
        <v>27</v>
      </c>
      <c r="H68" s="409">
        <v>28</v>
      </c>
      <c r="I68" s="474">
        <v>29</v>
      </c>
      <c r="J68" s="402">
        <f t="shared" si="12"/>
        <v>1</v>
      </c>
      <c r="K68" s="408">
        <v>30</v>
      </c>
      <c r="L68" s="403">
        <f t="shared" si="13"/>
        <v>1.0714285714285714</v>
      </c>
      <c r="M68" s="408">
        <v>32</v>
      </c>
      <c r="N68" s="403">
        <f t="shared" si="14"/>
        <v>1.1428571428571428</v>
      </c>
      <c r="O68" s="408">
        <v>35</v>
      </c>
      <c r="P68" s="403">
        <f t="shared" si="15"/>
        <v>1.25</v>
      </c>
      <c r="Q68" s="408">
        <v>33</v>
      </c>
      <c r="R68" s="403">
        <f t="shared" si="16"/>
        <v>1.1785714285714286</v>
      </c>
      <c r="S68" s="408">
        <v>33</v>
      </c>
      <c r="T68" s="411">
        <f t="shared" si="17"/>
        <v>1.1785714285714286</v>
      </c>
    </row>
    <row r="69" spans="1:20" x14ac:dyDescent="0.15">
      <c r="A69" s="19"/>
      <c r="B69" s="1052" t="s">
        <v>40</v>
      </c>
      <c r="C69" s="389" t="s">
        <v>16</v>
      </c>
      <c r="D69" s="472">
        <v>5830.634</v>
      </c>
      <c r="E69" s="409">
        <v>5433.9849999999997</v>
      </c>
      <c r="F69" s="473">
        <v>5868.5472</v>
      </c>
      <c r="G69" s="408">
        <v>6911</v>
      </c>
      <c r="H69" s="409">
        <v>6911</v>
      </c>
      <c r="I69" s="474">
        <v>6911</v>
      </c>
      <c r="J69" s="410">
        <f t="shared" si="12"/>
        <v>1.177633878449508</v>
      </c>
      <c r="K69" s="408">
        <v>6911</v>
      </c>
      <c r="L69" s="411">
        <f t="shared" si="13"/>
        <v>1.177633878449508</v>
      </c>
      <c r="M69" s="408">
        <v>7477</v>
      </c>
      <c r="N69" s="411">
        <f t="shared" si="14"/>
        <v>1.2740802357353451</v>
      </c>
      <c r="O69" s="408">
        <v>7477</v>
      </c>
      <c r="P69" s="411">
        <f t="shared" si="15"/>
        <v>1.2740802357353451</v>
      </c>
      <c r="Q69" s="408">
        <v>6911</v>
      </c>
      <c r="R69" s="411">
        <f t="shared" si="16"/>
        <v>1.177633878449508</v>
      </c>
      <c r="S69" s="408">
        <v>6911</v>
      </c>
      <c r="T69" s="411">
        <f t="shared" si="17"/>
        <v>1.177633878449508</v>
      </c>
    </row>
    <row r="70" spans="1:20" x14ac:dyDescent="0.15">
      <c r="A70" s="19"/>
      <c r="B70" s="1053"/>
      <c r="C70" s="389" t="s">
        <v>19</v>
      </c>
      <c r="D70" s="472">
        <v>33.833333333333336</v>
      </c>
      <c r="E70" s="409">
        <v>31.416666666666668</v>
      </c>
      <c r="F70" s="473">
        <v>33.200000000000003</v>
      </c>
      <c r="G70" s="478">
        <v>39.1</v>
      </c>
      <c r="H70" s="476">
        <v>39.1</v>
      </c>
      <c r="I70" s="479">
        <v>39.1</v>
      </c>
      <c r="J70" s="402">
        <f t="shared" si="12"/>
        <v>1.177710843373494</v>
      </c>
      <c r="K70" s="478">
        <v>39.1</v>
      </c>
      <c r="L70" s="403">
        <f t="shared" si="13"/>
        <v>1.177710843373494</v>
      </c>
      <c r="M70" s="478">
        <v>42.3</v>
      </c>
      <c r="N70" s="403">
        <f t="shared" si="14"/>
        <v>1.2740963855421685</v>
      </c>
      <c r="O70" s="478">
        <v>42.3</v>
      </c>
      <c r="P70" s="403">
        <f t="shared" si="15"/>
        <v>1.2740963855421685</v>
      </c>
      <c r="Q70" s="478">
        <v>39.1</v>
      </c>
      <c r="R70" s="403">
        <f t="shared" si="16"/>
        <v>1.177710843373494</v>
      </c>
      <c r="S70" s="478">
        <v>39.1</v>
      </c>
      <c r="T70" s="411">
        <f t="shared" si="17"/>
        <v>1.177710843373494</v>
      </c>
    </row>
    <row r="71" spans="1:20" x14ac:dyDescent="0.15">
      <c r="A71" s="19"/>
      <c r="B71" s="753"/>
      <c r="C71" s="389" t="s">
        <v>17</v>
      </c>
      <c r="D71" s="472">
        <v>6.333333333333333</v>
      </c>
      <c r="E71" s="409">
        <v>6.5</v>
      </c>
      <c r="F71" s="473">
        <v>7</v>
      </c>
      <c r="G71" s="408">
        <v>8</v>
      </c>
      <c r="H71" s="409">
        <v>8</v>
      </c>
      <c r="I71" s="474">
        <v>8</v>
      </c>
      <c r="J71" s="402">
        <f t="shared" si="12"/>
        <v>1.1428571428571428</v>
      </c>
      <c r="K71" s="408">
        <v>8</v>
      </c>
      <c r="L71" s="403">
        <f t="shared" si="13"/>
        <v>1.1428571428571428</v>
      </c>
      <c r="M71" s="408">
        <v>9</v>
      </c>
      <c r="N71" s="403">
        <f t="shared" si="14"/>
        <v>1.2857142857142858</v>
      </c>
      <c r="O71" s="408">
        <v>9</v>
      </c>
      <c r="P71" s="403">
        <f t="shared" si="15"/>
        <v>1.2857142857142858</v>
      </c>
      <c r="Q71" s="408">
        <v>8</v>
      </c>
      <c r="R71" s="403">
        <f t="shared" si="16"/>
        <v>1.1428571428571428</v>
      </c>
      <c r="S71" s="408">
        <v>8</v>
      </c>
      <c r="T71" s="411">
        <f t="shared" si="17"/>
        <v>1.1428571428571428</v>
      </c>
    </row>
    <row r="72" spans="1:20" x14ac:dyDescent="0.15">
      <c r="A72" s="19"/>
      <c r="B72" s="1052" t="s">
        <v>41</v>
      </c>
      <c r="C72" s="389" t="s">
        <v>16</v>
      </c>
      <c r="D72" s="472">
        <v>3180.145</v>
      </c>
      <c r="E72" s="409">
        <v>2297.4549999999999</v>
      </c>
      <c r="F72" s="473">
        <v>1658.82</v>
      </c>
      <c r="G72" s="408">
        <v>1659</v>
      </c>
      <c r="H72" s="409">
        <v>1659</v>
      </c>
      <c r="I72" s="474">
        <v>1659</v>
      </c>
      <c r="J72" s="410">
        <f t="shared" si="12"/>
        <v>1.0001085108691721</v>
      </c>
      <c r="K72" s="408">
        <v>1659</v>
      </c>
      <c r="L72" s="411">
        <f t="shared" si="13"/>
        <v>1.0001085108691721</v>
      </c>
      <c r="M72" s="408">
        <v>1659</v>
      </c>
      <c r="N72" s="411">
        <f t="shared" si="14"/>
        <v>1.0001085108691721</v>
      </c>
      <c r="O72" s="408">
        <v>1659</v>
      </c>
      <c r="P72" s="411">
        <f t="shared" si="15"/>
        <v>1.0001085108691721</v>
      </c>
      <c r="Q72" s="408">
        <v>1659</v>
      </c>
      <c r="R72" s="411">
        <f t="shared" si="16"/>
        <v>1.0001085108691721</v>
      </c>
      <c r="S72" s="408">
        <v>1659</v>
      </c>
      <c r="T72" s="411">
        <f t="shared" si="17"/>
        <v>1.0001085108691721</v>
      </c>
    </row>
    <row r="73" spans="1:20" x14ac:dyDescent="0.15">
      <c r="A73" s="19"/>
      <c r="B73" s="1053"/>
      <c r="C73" s="389" t="s">
        <v>19</v>
      </c>
      <c r="D73" s="475">
        <v>59.416666666666664</v>
      </c>
      <c r="E73" s="476">
        <v>35.75</v>
      </c>
      <c r="F73" s="477">
        <v>31.2</v>
      </c>
      <c r="G73" s="478">
        <v>31.2</v>
      </c>
      <c r="H73" s="476">
        <v>31.2</v>
      </c>
      <c r="I73" s="479">
        <v>31.2</v>
      </c>
      <c r="J73" s="402">
        <f t="shared" si="12"/>
        <v>1</v>
      </c>
      <c r="K73" s="478">
        <v>31.2</v>
      </c>
      <c r="L73" s="403">
        <f t="shared" si="13"/>
        <v>1</v>
      </c>
      <c r="M73" s="478">
        <v>31.2</v>
      </c>
      <c r="N73" s="403">
        <f t="shared" si="14"/>
        <v>1</v>
      </c>
      <c r="O73" s="478">
        <v>31.2</v>
      </c>
      <c r="P73" s="403">
        <f t="shared" si="15"/>
        <v>1</v>
      </c>
      <c r="Q73" s="478">
        <v>31.2</v>
      </c>
      <c r="R73" s="403">
        <f t="shared" si="16"/>
        <v>1</v>
      </c>
      <c r="S73" s="478">
        <v>31.2</v>
      </c>
      <c r="T73" s="411">
        <f t="shared" si="17"/>
        <v>1</v>
      </c>
    </row>
    <row r="74" spans="1:20" x14ac:dyDescent="0.15">
      <c r="A74" s="19"/>
      <c r="B74" s="753"/>
      <c r="C74" s="389" t="s">
        <v>17</v>
      </c>
      <c r="D74" s="472">
        <v>6.333333333333333</v>
      </c>
      <c r="E74" s="409">
        <v>6.083333333333333</v>
      </c>
      <c r="F74" s="473">
        <v>5</v>
      </c>
      <c r="G74" s="408">
        <v>5</v>
      </c>
      <c r="H74" s="409">
        <v>5</v>
      </c>
      <c r="I74" s="474">
        <v>5</v>
      </c>
      <c r="J74" s="402">
        <f t="shared" si="12"/>
        <v>1</v>
      </c>
      <c r="K74" s="408">
        <v>5</v>
      </c>
      <c r="L74" s="403">
        <f t="shared" si="13"/>
        <v>1</v>
      </c>
      <c r="M74" s="408">
        <v>5</v>
      </c>
      <c r="N74" s="403">
        <f t="shared" si="14"/>
        <v>1</v>
      </c>
      <c r="O74" s="408">
        <v>5</v>
      </c>
      <c r="P74" s="403">
        <f t="shared" si="15"/>
        <v>1</v>
      </c>
      <c r="Q74" s="408">
        <v>5</v>
      </c>
      <c r="R74" s="403">
        <f t="shared" si="16"/>
        <v>1</v>
      </c>
      <c r="S74" s="408">
        <v>5</v>
      </c>
      <c r="T74" s="411">
        <f t="shared" si="17"/>
        <v>1</v>
      </c>
    </row>
    <row r="75" spans="1:20" x14ac:dyDescent="0.15">
      <c r="A75" s="19"/>
      <c r="B75" s="1052" t="s">
        <v>42</v>
      </c>
      <c r="C75" s="389" t="s">
        <v>16</v>
      </c>
      <c r="D75" s="472">
        <v>6738.4949999999999</v>
      </c>
      <c r="E75" s="409">
        <v>6460.7430000000004</v>
      </c>
      <c r="F75" s="473">
        <v>9688.5576000000001</v>
      </c>
      <c r="G75" s="408">
        <v>8515</v>
      </c>
      <c r="H75" s="409">
        <v>8515</v>
      </c>
      <c r="I75" s="474">
        <v>9102</v>
      </c>
      <c r="J75" s="410">
        <f t="shared" si="12"/>
        <v>0.8990674387554517</v>
      </c>
      <c r="K75" s="408">
        <v>9689</v>
      </c>
      <c r="L75" s="411">
        <f t="shared" si="13"/>
        <v>1.0000456621117677</v>
      </c>
      <c r="M75" s="408">
        <v>10982</v>
      </c>
      <c r="N75" s="411">
        <f t="shared" si="14"/>
        <v>1.1335020602034713</v>
      </c>
      <c r="O75" s="408">
        <v>11569</v>
      </c>
      <c r="P75" s="411">
        <f t="shared" si="15"/>
        <v>1.194088994217261</v>
      </c>
      <c r="Q75" s="408">
        <v>10276</v>
      </c>
      <c r="R75" s="411">
        <f t="shared" si="16"/>
        <v>1.0606325961255574</v>
      </c>
      <c r="S75" s="408">
        <v>10276</v>
      </c>
      <c r="T75" s="411">
        <f t="shared" si="17"/>
        <v>1.0606325961255574</v>
      </c>
    </row>
    <row r="76" spans="1:20" x14ac:dyDescent="0.15">
      <c r="A76" s="19"/>
      <c r="B76" s="1053"/>
      <c r="C76" s="389" t="s">
        <v>19</v>
      </c>
      <c r="D76" s="475">
        <v>162</v>
      </c>
      <c r="E76" s="476">
        <v>168.83333333333334</v>
      </c>
      <c r="F76" s="477">
        <v>250.5</v>
      </c>
      <c r="G76" s="478">
        <v>220.5</v>
      </c>
      <c r="H76" s="476">
        <v>220.5</v>
      </c>
      <c r="I76" s="479">
        <v>235.5</v>
      </c>
      <c r="J76" s="402">
        <f t="shared" si="12"/>
        <v>0.90019960079840322</v>
      </c>
      <c r="K76" s="478">
        <v>250.5</v>
      </c>
      <c r="L76" s="403">
        <f t="shared" si="13"/>
        <v>1</v>
      </c>
      <c r="M76" s="478">
        <v>284.8</v>
      </c>
      <c r="N76" s="403">
        <f t="shared" si="14"/>
        <v>1.1369261477045909</v>
      </c>
      <c r="O76" s="478">
        <v>299.8</v>
      </c>
      <c r="P76" s="403">
        <f t="shared" si="15"/>
        <v>1.196806387225549</v>
      </c>
      <c r="Q76" s="478">
        <v>265.5</v>
      </c>
      <c r="R76" s="403">
        <f t="shared" si="16"/>
        <v>1.0598802395209581</v>
      </c>
      <c r="S76" s="478">
        <v>265.5</v>
      </c>
      <c r="T76" s="411">
        <f t="shared" si="17"/>
        <v>1.0598802395209581</v>
      </c>
    </row>
    <row r="77" spans="1:20" x14ac:dyDescent="0.15">
      <c r="A77" s="19"/>
      <c r="B77" s="753"/>
      <c r="C77" s="389" t="s">
        <v>17</v>
      </c>
      <c r="D77" s="472">
        <v>13.916666666666666</v>
      </c>
      <c r="E77" s="409">
        <v>13.25</v>
      </c>
      <c r="F77" s="473">
        <v>17</v>
      </c>
      <c r="G77" s="408">
        <v>15</v>
      </c>
      <c r="H77" s="409">
        <v>15</v>
      </c>
      <c r="I77" s="474">
        <v>16</v>
      </c>
      <c r="J77" s="402">
        <f t="shared" si="12"/>
        <v>0.90196078431372551</v>
      </c>
      <c r="K77" s="408">
        <v>17</v>
      </c>
      <c r="L77" s="403">
        <f t="shared" si="13"/>
        <v>1</v>
      </c>
      <c r="M77" s="408">
        <v>19</v>
      </c>
      <c r="N77" s="403">
        <f t="shared" si="14"/>
        <v>1.1176470588235294</v>
      </c>
      <c r="O77" s="408">
        <v>20</v>
      </c>
      <c r="P77" s="403">
        <f t="shared" si="15"/>
        <v>1.1764705882352942</v>
      </c>
      <c r="Q77" s="408">
        <v>18</v>
      </c>
      <c r="R77" s="403">
        <f t="shared" si="16"/>
        <v>1.0588235294117647</v>
      </c>
      <c r="S77" s="408">
        <v>18</v>
      </c>
      <c r="T77" s="411">
        <f t="shared" si="17"/>
        <v>1.0588235294117647</v>
      </c>
    </row>
    <row r="78" spans="1:20" x14ac:dyDescent="0.15">
      <c r="A78" s="19"/>
      <c r="B78" s="1052" t="s">
        <v>43</v>
      </c>
      <c r="C78" s="389" t="s">
        <v>16</v>
      </c>
      <c r="D78" s="472">
        <v>847.98</v>
      </c>
      <c r="E78" s="409">
        <v>657.4</v>
      </c>
      <c r="F78" s="473">
        <v>576.25199999999995</v>
      </c>
      <c r="G78" s="408">
        <v>576</v>
      </c>
      <c r="H78" s="409">
        <v>576</v>
      </c>
      <c r="I78" s="474">
        <v>576</v>
      </c>
      <c r="J78" s="410">
        <f t="shared" si="12"/>
        <v>0.99956269132254649</v>
      </c>
      <c r="K78" s="408">
        <v>576</v>
      </c>
      <c r="L78" s="411">
        <f t="shared" si="13"/>
        <v>0.99956269132254649</v>
      </c>
      <c r="M78" s="408">
        <v>576</v>
      </c>
      <c r="N78" s="411">
        <f t="shared" si="14"/>
        <v>0.99956269132254649</v>
      </c>
      <c r="O78" s="408">
        <v>768</v>
      </c>
      <c r="P78" s="411">
        <f t="shared" si="15"/>
        <v>1.3327502550967287</v>
      </c>
      <c r="Q78" s="408">
        <v>576</v>
      </c>
      <c r="R78" s="411">
        <f t="shared" si="16"/>
        <v>0.99956269132254649</v>
      </c>
      <c r="S78" s="408">
        <v>576</v>
      </c>
      <c r="T78" s="411">
        <f t="shared" si="17"/>
        <v>0.99956269132254649</v>
      </c>
    </row>
    <row r="79" spans="1:20" x14ac:dyDescent="0.15">
      <c r="A79" s="19"/>
      <c r="B79" s="1056"/>
      <c r="C79" s="389" t="s">
        <v>17</v>
      </c>
      <c r="D79" s="472">
        <v>5.25</v>
      </c>
      <c r="E79" s="409">
        <v>5.166666666666667</v>
      </c>
      <c r="F79" s="473">
        <v>3</v>
      </c>
      <c r="G79" s="408">
        <v>3</v>
      </c>
      <c r="H79" s="409">
        <v>4</v>
      </c>
      <c r="I79" s="474">
        <v>4</v>
      </c>
      <c r="J79" s="402">
        <f t="shared" si="12"/>
        <v>1.2222222222222221</v>
      </c>
      <c r="K79" s="408">
        <v>4</v>
      </c>
      <c r="L79" s="403">
        <f t="shared" si="13"/>
        <v>1.3333333333333333</v>
      </c>
      <c r="M79" s="408">
        <v>3</v>
      </c>
      <c r="N79" s="403">
        <f t="shared" si="14"/>
        <v>1</v>
      </c>
      <c r="O79" s="408">
        <v>4</v>
      </c>
      <c r="P79" s="403">
        <f t="shared" si="15"/>
        <v>1.3333333333333333</v>
      </c>
      <c r="Q79" s="408">
        <v>3</v>
      </c>
      <c r="R79" s="403">
        <f t="shared" si="16"/>
        <v>1</v>
      </c>
      <c r="S79" s="408">
        <v>3</v>
      </c>
      <c r="T79" s="411">
        <f t="shared" si="17"/>
        <v>1</v>
      </c>
    </row>
    <row r="80" spans="1:20" x14ac:dyDescent="0.15">
      <c r="A80" s="19"/>
      <c r="B80" s="1052" t="s">
        <v>44</v>
      </c>
      <c r="C80" s="389" t="s">
        <v>16</v>
      </c>
      <c r="D80" s="472">
        <v>65206.45</v>
      </c>
      <c r="E80" s="409">
        <v>58437.283000000003</v>
      </c>
      <c r="F80" s="473">
        <v>56860.006800000003</v>
      </c>
      <c r="G80" s="408">
        <v>56614</v>
      </c>
      <c r="H80" s="409">
        <v>57907</v>
      </c>
      <c r="I80" s="474">
        <v>59523</v>
      </c>
      <c r="J80" s="410">
        <f t="shared" si="12"/>
        <v>1.0203070652229795</v>
      </c>
      <c r="K80" s="408">
        <v>59523</v>
      </c>
      <c r="L80" s="411">
        <f t="shared" si="13"/>
        <v>1.0468342047401935</v>
      </c>
      <c r="M80" s="408">
        <v>64510</v>
      </c>
      <c r="N80" s="411">
        <f t="shared" si="14"/>
        <v>1.1345408421583234</v>
      </c>
      <c r="O80" s="408">
        <v>70548</v>
      </c>
      <c r="P80" s="411">
        <f t="shared" si="15"/>
        <v>1.2407314731450225</v>
      </c>
      <c r="Q80" s="408">
        <v>65972</v>
      </c>
      <c r="R80" s="411">
        <f t="shared" si="16"/>
        <v>1.1602531148483788</v>
      </c>
      <c r="S80" s="408">
        <v>63479</v>
      </c>
      <c r="T80" s="411">
        <f t="shared" si="17"/>
        <v>1.1164085896662257</v>
      </c>
    </row>
    <row r="81" spans="1:20" x14ac:dyDescent="0.15">
      <c r="A81" s="19"/>
      <c r="B81" s="1053"/>
      <c r="C81" s="389" t="s">
        <v>19</v>
      </c>
      <c r="D81" s="472">
        <v>620.16666666666663</v>
      </c>
      <c r="E81" s="409">
        <v>566.25</v>
      </c>
      <c r="F81" s="473">
        <v>545.5</v>
      </c>
      <c r="G81" s="478">
        <v>542.5</v>
      </c>
      <c r="H81" s="476">
        <v>554</v>
      </c>
      <c r="I81" s="479">
        <v>571.6</v>
      </c>
      <c r="J81" s="402">
        <f t="shared" si="12"/>
        <v>1.0193095019859455</v>
      </c>
      <c r="K81" s="478">
        <v>571.6</v>
      </c>
      <c r="L81" s="403">
        <f t="shared" si="13"/>
        <v>1.047846012832264</v>
      </c>
      <c r="M81" s="478">
        <v>624.79999999999995</v>
      </c>
      <c r="N81" s="403">
        <f t="shared" si="14"/>
        <v>1.1453712190650778</v>
      </c>
      <c r="O81" s="478">
        <v>677.2</v>
      </c>
      <c r="P81" s="403">
        <f t="shared" si="15"/>
        <v>1.2414298808432631</v>
      </c>
      <c r="Q81" s="478">
        <v>635.79999999999995</v>
      </c>
      <c r="R81" s="403">
        <f t="shared" si="16"/>
        <v>1.1655362053162235</v>
      </c>
      <c r="S81" s="478">
        <v>609.20000000000005</v>
      </c>
      <c r="T81" s="411">
        <f t="shared" si="17"/>
        <v>1.1167736021998167</v>
      </c>
    </row>
    <row r="82" spans="1:20" x14ac:dyDescent="0.15">
      <c r="A82" s="19"/>
      <c r="B82" s="753"/>
      <c r="C82" s="389" t="s">
        <v>17</v>
      </c>
      <c r="D82" s="472">
        <v>58.75</v>
      </c>
      <c r="E82" s="409">
        <v>57.25</v>
      </c>
      <c r="F82" s="473">
        <v>57</v>
      </c>
      <c r="G82" s="408">
        <v>57</v>
      </c>
      <c r="H82" s="409">
        <v>58</v>
      </c>
      <c r="I82" s="474">
        <v>60</v>
      </c>
      <c r="J82" s="402">
        <f t="shared" si="12"/>
        <v>1.0233918128654971</v>
      </c>
      <c r="K82" s="408">
        <v>60</v>
      </c>
      <c r="L82" s="403">
        <f t="shared" si="13"/>
        <v>1.0526315789473684</v>
      </c>
      <c r="M82" s="408">
        <v>66</v>
      </c>
      <c r="N82" s="403">
        <f t="shared" si="14"/>
        <v>1.1578947368421053</v>
      </c>
      <c r="O82" s="408">
        <v>71</v>
      </c>
      <c r="P82" s="403">
        <f t="shared" si="15"/>
        <v>1.2456140350877194</v>
      </c>
      <c r="Q82" s="408">
        <v>67</v>
      </c>
      <c r="R82" s="403">
        <f t="shared" si="16"/>
        <v>1.1754385964912282</v>
      </c>
      <c r="S82" s="408">
        <v>64</v>
      </c>
      <c r="T82" s="411">
        <f t="shared" si="17"/>
        <v>1.1228070175438596</v>
      </c>
    </row>
    <row r="83" spans="1:20" x14ac:dyDescent="0.15">
      <c r="A83" s="19"/>
      <c r="B83" s="1052" t="s">
        <v>45</v>
      </c>
      <c r="C83" s="389" t="s">
        <v>16</v>
      </c>
      <c r="D83" s="472">
        <v>108503.499</v>
      </c>
      <c r="E83" s="409">
        <v>100809.935</v>
      </c>
      <c r="F83" s="473">
        <v>112394.556</v>
      </c>
      <c r="G83" s="408">
        <v>112370</v>
      </c>
      <c r="H83" s="409">
        <v>113885</v>
      </c>
      <c r="I83" s="474">
        <v>115215</v>
      </c>
      <c r="J83" s="410">
        <f t="shared" si="12"/>
        <v>1.0127121578142391</v>
      </c>
      <c r="K83" s="408">
        <v>120014</v>
      </c>
      <c r="L83" s="411">
        <f t="shared" si="13"/>
        <v>1.0677919311323227</v>
      </c>
      <c r="M83" s="408">
        <v>131420</v>
      </c>
      <c r="N83" s="411">
        <f t="shared" si="14"/>
        <v>1.1692737146450403</v>
      </c>
      <c r="O83" s="408">
        <v>137481</v>
      </c>
      <c r="P83" s="411">
        <f t="shared" si="15"/>
        <v>1.2231998140550508</v>
      </c>
      <c r="Q83" s="408">
        <v>130764</v>
      </c>
      <c r="R83" s="411">
        <f t="shared" si="16"/>
        <v>1.1634371330227062</v>
      </c>
      <c r="S83" s="408">
        <v>126483</v>
      </c>
      <c r="T83" s="411">
        <f t="shared" si="17"/>
        <v>1.1253480996001266</v>
      </c>
    </row>
    <row r="84" spans="1:20" x14ac:dyDescent="0.15">
      <c r="A84" s="19"/>
      <c r="B84" s="1053"/>
      <c r="C84" s="389" t="s">
        <v>19</v>
      </c>
      <c r="D84" s="475">
        <v>886.25</v>
      </c>
      <c r="E84" s="476">
        <v>831.66666666666663</v>
      </c>
      <c r="F84" s="477">
        <v>957.5</v>
      </c>
      <c r="G84" s="478">
        <v>958.9</v>
      </c>
      <c r="H84" s="476">
        <v>970.9</v>
      </c>
      <c r="I84" s="479">
        <v>981.4</v>
      </c>
      <c r="J84" s="402">
        <f t="shared" si="12"/>
        <v>1.0134725848563968</v>
      </c>
      <c r="K84" s="478">
        <v>1022.5</v>
      </c>
      <c r="L84" s="403">
        <f t="shared" si="13"/>
        <v>1.0678851174934725</v>
      </c>
      <c r="M84" s="478">
        <v>1125.4000000000001</v>
      </c>
      <c r="N84" s="403">
        <f t="shared" si="14"/>
        <v>1.1753524804177546</v>
      </c>
      <c r="O84" s="478">
        <v>1177.8</v>
      </c>
      <c r="P84" s="403">
        <f t="shared" si="15"/>
        <v>1.2300783289817232</v>
      </c>
      <c r="Q84" s="478">
        <v>1116.2</v>
      </c>
      <c r="R84" s="403">
        <f t="shared" si="16"/>
        <v>1.1657441253263707</v>
      </c>
      <c r="S84" s="478">
        <v>1076</v>
      </c>
      <c r="T84" s="411">
        <f t="shared" si="17"/>
        <v>1.1237597911227155</v>
      </c>
    </row>
    <row r="85" spans="1:20" x14ac:dyDescent="0.15">
      <c r="A85" s="19"/>
      <c r="B85" s="753"/>
      <c r="C85" s="389" t="s">
        <v>17</v>
      </c>
      <c r="D85" s="472">
        <v>100</v>
      </c>
      <c r="E85" s="409">
        <v>93.25</v>
      </c>
      <c r="F85" s="473">
        <v>90</v>
      </c>
      <c r="G85" s="408">
        <v>90</v>
      </c>
      <c r="H85" s="409">
        <v>91</v>
      </c>
      <c r="I85" s="474">
        <v>92</v>
      </c>
      <c r="J85" s="402">
        <f t="shared" si="12"/>
        <v>1.0111111111111111</v>
      </c>
      <c r="K85" s="408">
        <v>96</v>
      </c>
      <c r="L85" s="403">
        <f t="shared" si="13"/>
        <v>1.0666666666666667</v>
      </c>
      <c r="M85" s="408">
        <v>106</v>
      </c>
      <c r="N85" s="403">
        <f t="shared" si="14"/>
        <v>1.1777777777777778</v>
      </c>
      <c r="O85" s="408">
        <v>111</v>
      </c>
      <c r="P85" s="403">
        <f t="shared" si="15"/>
        <v>1.2333333333333334</v>
      </c>
      <c r="Q85" s="408">
        <v>105</v>
      </c>
      <c r="R85" s="403">
        <f t="shared" si="16"/>
        <v>1.1666666666666667</v>
      </c>
      <c r="S85" s="408">
        <v>101</v>
      </c>
      <c r="T85" s="411">
        <f t="shared" si="17"/>
        <v>1.1222222222222222</v>
      </c>
    </row>
    <row r="86" spans="1:20" x14ac:dyDescent="0.15">
      <c r="A86" s="19"/>
      <c r="B86" s="1052" t="s">
        <v>46</v>
      </c>
      <c r="C86" s="389" t="s">
        <v>16</v>
      </c>
      <c r="D86" s="472">
        <v>30501.752</v>
      </c>
      <c r="E86" s="409">
        <v>25410.346000000001</v>
      </c>
      <c r="F86" s="473">
        <v>37965.316800000001</v>
      </c>
      <c r="G86" s="408">
        <v>37648</v>
      </c>
      <c r="H86" s="409">
        <v>35363</v>
      </c>
      <c r="I86" s="474">
        <v>35363</v>
      </c>
      <c r="J86" s="410">
        <f t="shared" si="12"/>
        <v>0.95151758793348629</v>
      </c>
      <c r="K86" s="408">
        <v>35363</v>
      </c>
      <c r="L86" s="411">
        <f t="shared" si="13"/>
        <v>0.93145541722438618</v>
      </c>
      <c r="M86" s="408">
        <v>35900</v>
      </c>
      <c r="N86" s="411">
        <f t="shared" si="14"/>
        <v>0.94559990607005817</v>
      </c>
      <c r="O86" s="408">
        <v>40452</v>
      </c>
      <c r="P86" s="411">
        <f t="shared" si="15"/>
        <v>1.0654988133801111</v>
      </c>
      <c r="Q86" s="408">
        <v>39915</v>
      </c>
      <c r="R86" s="411">
        <f t="shared" si="16"/>
        <v>1.0513543245344392</v>
      </c>
      <c r="S86" s="408">
        <v>38781</v>
      </c>
      <c r="T86" s="411">
        <f t="shared" si="17"/>
        <v>1.0214849570279365</v>
      </c>
    </row>
    <row r="87" spans="1:20" x14ac:dyDescent="0.15">
      <c r="A87" s="19"/>
      <c r="B87" s="1053"/>
      <c r="C87" s="389" t="s">
        <v>25</v>
      </c>
      <c r="D87" s="475">
        <v>286.41666666666669</v>
      </c>
      <c r="E87" s="476">
        <v>247.33333333333334</v>
      </c>
      <c r="F87" s="477">
        <v>348.4</v>
      </c>
      <c r="G87" s="478">
        <v>344.9</v>
      </c>
      <c r="H87" s="476">
        <v>324.8</v>
      </c>
      <c r="I87" s="479">
        <v>324.8</v>
      </c>
      <c r="J87" s="402">
        <f t="shared" si="12"/>
        <v>0.95149253731343286</v>
      </c>
      <c r="K87" s="478">
        <v>324.8</v>
      </c>
      <c r="L87" s="403">
        <f t="shared" si="13"/>
        <v>0.9322617680826637</v>
      </c>
      <c r="M87" s="478">
        <v>330</v>
      </c>
      <c r="N87" s="403">
        <f t="shared" si="14"/>
        <v>0.94718714121699199</v>
      </c>
      <c r="O87" s="478">
        <v>371.9</v>
      </c>
      <c r="P87" s="403">
        <f t="shared" si="15"/>
        <v>1.0674512055109071</v>
      </c>
      <c r="Q87" s="478">
        <v>366.7</v>
      </c>
      <c r="R87" s="403">
        <f t="shared" si="16"/>
        <v>1.0525258323765787</v>
      </c>
      <c r="S87" s="478">
        <v>355.8</v>
      </c>
      <c r="T87" s="411">
        <f t="shared" si="17"/>
        <v>1.0212399540757751</v>
      </c>
    </row>
    <row r="88" spans="1:20" x14ac:dyDescent="0.15">
      <c r="A88" s="19"/>
      <c r="B88" s="753"/>
      <c r="C88" s="389" t="s">
        <v>17</v>
      </c>
      <c r="D88" s="472">
        <v>18.25</v>
      </c>
      <c r="E88" s="409">
        <v>14</v>
      </c>
      <c r="F88" s="473">
        <v>17</v>
      </c>
      <c r="G88" s="408">
        <v>18</v>
      </c>
      <c r="H88" s="409">
        <v>18</v>
      </c>
      <c r="I88" s="474">
        <v>18</v>
      </c>
      <c r="J88" s="402">
        <f t="shared" si="12"/>
        <v>1.0588235294117647</v>
      </c>
      <c r="K88" s="408">
        <v>18</v>
      </c>
      <c r="L88" s="403">
        <f t="shared" si="13"/>
        <v>1.0588235294117647</v>
      </c>
      <c r="M88" s="408">
        <v>19</v>
      </c>
      <c r="N88" s="403">
        <f t="shared" si="14"/>
        <v>1.1176470588235294</v>
      </c>
      <c r="O88" s="408">
        <v>21</v>
      </c>
      <c r="P88" s="403">
        <f t="shared" si="15"/>
        <v>1.2352941176470589</v>
      </c>
      <c r="Q88" s="408">
        <v>20</v>
      </c>
      <c r="R88" s="403">
        <f t="shared" si="16"/>
        <v>1.1764705882352942</v>
      </c>
      <c r="S88" s="408">
        <v>19</v>
      </c>
      <c r="T88" s="411">
        <f t="shared" si="17"/>
        <v>1.1176470588235294</v>
      </c>
    </row>
    <row r="89" spans="1:20" x14ac:dyDescent="0.15">
      <c r="A89" s="19"/>
      <c r="B89" s="1054" t="s">
        <v>47</v>
      </c>
      <c r="C89" s="389" t="s">
        <v>16</v>
      </c>
      <c r="D89" s="472">
        <v>11357.254999999999</v>
      </c>
      <c r="E89" s="409">
        <v>9729.5709999999999</v>
      </c>
      <c r="F89" s="473">
        <v>14985.8712</v>
      </c>
      <c r="G89" s="408">
        <v>14986</v>
      </c>
      <c r="H89" s="409">
        <v>14986</v>
      </c>
      <c r="I89" s="474">
        <v>14986</v>
      </c>
      <c r="J89" s="410">
        <f t="shared" si="12"/>
        <v>1.0000085947622452</v>
      </c>
      <c r="K89" s="408">
        <v>15430</v>
      </c>
      <c r="L89" s="411">
        <f t="shared" si="13"/>
        <v>1.029636501880518</v>
      </c>
      <c r="M89" s="408">
        <v>17771</v>
      </c>
      <c r="N89" s="411">
        <f t="shared" si="14"/>
        <v>1.1858503094568169</v>
      </c>
      <c r="O89" s="408">
        <v>17771</v>
      </c>
      <c r="P89" s="411">
        <f t="shared" si="15"/>
        <v>1.1858503094568169</v>
      </c>
      <c r="Q89" s="408">
        <v>17771</v>
      </c>
      <c r="R89" s="411">
        <f t="shared" si="16"/>
        <v>1.1858503094568169</v>
      </c>
      <c r="S89" s="408">
        <v>15430</v>
      </c>
      <c r="T89" s="411">
        <f t="shared" si="17"/>
        <v>1.029636501880518</v>
      </c>
    </row>
    <row r="90" spans="1:20" x14ac:dyDescent="0.15">
      <c r="A90" s="19"/>
      <c r="B90" s="1055"/>
      <c r="C90" s="389" t="s">
        <v>25</v>
      </c>
      <c r="D90" s="475">
        <v>83.916666666666671</v>
      </c>
      <c r="E90" s="476">
        <v>70.166666666666671</v>
      </c>
      <c r="F90" s="477">
        <v>113.3</v>
      </c>
      <c r="G90" s="478">
        <v>113.3</v>
      </c>
      <c r="H90" s="476">
        <v>113.3</v>
      </c>
      <c r="I90" s="479">
        <v>113.3</v>
      </c>
      <c r="J90" s="402">
        <f t="shared" si="12"/>
        <v>1</v>
      </c>
      <c r="K90" s="478">
        <v>116.3</v>
      </c>
      <c r="L90" s="403">
        <f t="shared" si="13"/>
        <v>1.026478375992939</v>
      </c>
      <c r="M90" s="478">
        <v>134.5</v>
      </c>
      <c r="N90" s="403">
        <f t="shared" si="14"/>
        <v>1.1871138570167696</v>
      </c>
      <c r="O90" s="478">
        <v>134.5</v>
      </c>
      <c r="P90" s="403">
        <f t="shared" si="15"/>
        <v>1.1871138570167696</v>
      </c>
      <c r="Q90" s="478">
        <v>134.5</v>
      </c>
      <c r="R90" s="403">
        <f t="shared" si="16"/>
        <v>1.1871138570167696</v>
      </c>
      <c r="S90" s="478">
        <v>116.3</v>
      </c>
      <c r="T90" s="411">
        <f t="shared" si="17"/>
        <v>1.026478375992939</v>
      </c>
    </row>
    <row r="91" spans="1:20" x14ac:dyDescent="0.15">
      <c r="A91" s="19"/>
      <c r="B91" s="753"/>
      <c r="C91" s="389" t="s">
        <v>17</v>
      </c>
      <c r="D91" s="472">
        <v>10.416666666666666</v>
      </c>
      <c r="E91" s="409">
        <v>9.4166666666666661</v>
      </c>
      <c r="F91" s="473">
        <v>12</v>
      </c>
      <c r="G91" s="408">
        <v>12</v>
      </c>
      <c r="H91" s="409">
        <v>12</v>
      </c>
      <c r="I91" s="474">
        <v>12</v>
      </c>
      <c r="J91" s="402">
        <f t="shared" si="12"/>
        <v>1</v>
      </c>
      <c r="K91" s="408">
        <v>13</v>
      </c>
      <c r="L91" s="403">
        <f t="shared" si="13"/>
        <v>1.0833333333333333</v>
      </c>
      <c r="M91" s="408">
        <v>14</v>
      </c>
      <c r="N91" s="403">
        <f t="shared" si="14"/>
        <v>1.1666666666666667</v>
      </c>
      <c r="O91" s="408">
        <v>14</v>
      </c>
      <c r="P91" s="403">
        <f t="shared" si="15"/>
        <v>1.1666666666666667</v>
      </c>
      <c r="Q91" s="408">
        <v>14</v>
      </c>
      <c r="R91" s="403">
        <f t="shared" si="16"/>
        <v>1.1666666666666667</v>
      </c>
      <c r="S91" s="408">
        <v>13</v>
      </c>
      <c r="T91" s="411">
        <f t="shared" si="17"/>
        <v>1.0833333333333333</v>
      </c>
    </row>
    <row r="92" spans="1:20" x14ac:dyDescent="0.15">
      <c r="A92" s="19"/>
      <c r="B92" s="1054" t="s">
        <v>48</v>
      </c>
      <c r="C92" s="389" t="s">
        <v>16</v>
      </c>
      <c r="D92" s="472">
        <v>0</v>
      </c>
      <c r="E92" s="409">
        <v>0</v>
      </c>
      <c r="F92" s="473">
        <v>0</v>
      </c>
      <c r="G92" s="408">
        <v>0</v>
      </c>
      <c r="H92" s="409">
        <v>0</v>
      </c>
      <c r="I92" s="474">
        <v>0</v>
      </c>
      <c r="J92" s="410" t="str">
        <f t="shared" si="12"/>
        <v>－</v>
      </c>
      <c r="K92" s="408">
        <v>0</v>
      </c>
      <c r="L92" s="411" t="str">
        <f t="shared" si="13"/>
        <v>－</v>
      </c>
      <c r="M92" s="408">
        <v>0</v>
      </c>
      <c r="N92" s="411" t="str">
        <f t="shared" si="14"/>
        <v>－</v>
      </c>
      <c r="O92" s="408">
        <v>0</v>
      </c>
      <c r="P92" s="411" t="str">
        <f t="shared" si="15"/>
        <v>－</v>
      </c>
      <c r="Q92" s="408">
        <v>0</v>
      </c>
      <c r="R92" s="411" t="str">
        <f t="shared" si="16"/>
        <v>－</v>
      </c>
      <c r="S92" s="408">
        <v>0</v>
      </c>
      <c r="T92" s="411" t="str">
        <f t="shared" si="17"/>
        <v>－</v>
      </c>
    </row>
    <row r="93" spans="1:20" x14ac:dyDescent="0.15">
      <c r="A93" s="19"/>
      <c r="B93" s="1055"/>
      <c r="C93" s="389" t="s">
        <v>25</v>
      </c>
      <c r="D93" s="475">
        <v>0</v>
      </c>
      <c r="E93" s="476">
        <v>0</v>
      </c>
      <c r="F93" s="477">
        <v>0</v>
      </c>
      <c r="G93" s="478">
        <v>0</v>
      </c>
      <c r="H93" s="476">
        <v>0</v>
      </c>
      <c r="I93" s="479">
        <v>0</v>
      </c>
      <c r="J93" s="402" t="str">
        <f t="shared" si="12"/>
        <v>－</v>
      </c>
      <c r="K93" s="478">
        <v>0</v>
      </c>
      <c r="L93" s="403" t="str">
        <f t="shared" si="13"/>
        <v>－</v>
      </c>
      <c r="M93" s="478">
        <v>0</v>
      </c>
      <c r="N93" s="403" t="str">
        <f t="shared" si="14"/>
        <v>－</v>
      </c>
      <c r="O93" s="478">
        <v>0</v>
      </c>
      <c r="P93" s="403" t="str">
        <f t="shared" si="15"/>
        <v>－</v>
      </c>
      <c r="Q93" s="478">
        <v>0</v>
      </c>
      <c r="R93" s="403" t="str">
        <f t="shared" si="16"/>
        <v>－</v>
      </c>
      <c r="S93" s="478">
        <v>0</v>
      </c>
      <c r="T93" s="411" t="str">
        <f t="shared" si="17"/>
        <v>－</v>
      </c>
    </row>
    <row r="94" spans="1:20" x14ac:dyDescent="0.15">
      <c r="A94" s="19"/>
      <c r="B94" s="28"/>
      <c r="C94" s="389" t="s">
        <v>17</v>
      </c>
      <c r="D94" s="472">
        <v>0</v>
      </c>
      <c r="E94" s="409">
        <v>0</v>
      </c>
      <c r="F94" s="473">
        <v>0</v>
      </c>
      <c r="G94" s="408">
        <v>0</v>
      </c>
      <c r="H94" s="409">
        <v>0</v>
      </c>
      <c r="I94" s="474">
        <v>0</v>
      </c>
      <c r="J94" s="402" t="str">
        <f t="shared" si="12"/>
        <v>－</v>
      </c>
      <c r="K94" s="408">
        <v>0</v>
      </c>
      <c r="L94" s="403" t="str">
        <f t="shared" si="13"/>
        <v>－</v>
      </c>
      <c r="M94" s="408">
        <v>0</v>
      </c>
      <c r="N94" s="403" t="str">
        <f t="shared" si="14"/>
        <v>－</v>
      </c>
      <c r="O94" s="408">
        <v>0</v>
      </c>
      <c r="P94" s="403" t="str">
        <f t="shared" si="15"/>
        <v>－</v>
      </c>
      <c r="Q94" s="408">
        <v>0</v>
      </c>
      <c r="R94" s="403" t="str">
        <f t="shared" si="16"/>
        <v>－</v>
      </c>
      <c r="S94" s="408">
        <v>0</v>
      </c>
      <c r="T94" s="411" t="str">
        <f t="shared" si="17"/>
        <v>－</v>
      </c>
    </row>
    <row r="95" spans="1:20" x14ac:dyDescent="0.15">
      <c r="A95" s="19"/>
      <c r="B95" s="1054" t="s">
        <v>252</v>
      </c>
      <c r="C95" s="419" t="s">
        <v>16</v>
      </c>
      <c r="D95" s="480">
        <v>0</v>
      </c>
      <c r="E95" s="409">
        <v>0</v>
      </c>
      <c r="F95" s="473">
        <v>0</v>
      </c>
      <c r="G95" s="408">
        <v>0</v>
      </c>
      <c r="H95" s="409">
        <v>0</v>
      </c>
      <c r="I95" s="481">
        <v>0</v>
      </c>
      <c r="J95" s="482" t="str">
        <f t="shared" ref="J95:J97" si="18">IFERROR(SUM(G95:I95)/3/F95,"－")</f>
        <v>－</v>
      </c>
      <c r="K95" s="408">
        <v>0</v>
      </c>
      <c r="L95" s="483" t="str">
        <f t="shared" si="13"/>
        <v>－</v>
      </c>
      <c r="M95" s="408">
        <v>0</v>
      </c>
      <c r="N95" s="483" t="str">
        <f t="shared" si="14"/>
        <v>－</v>
      </c>
      <c r="O95" s="408">
        <v>0</v>
      </c>
      <c r="P95" s="483" t="str">
        <f t="shared" si="15"/>
        <v>－</v>
      </c>
      <c r="Q95" s="408">
        <v>0</v>
      </c>
      <c r="R95" s="483" t="str">
        <f t="shared" si="16"/>
        <v>－</v>
      </c>
      <c r="S95" s="408">
        <v>0</v>
      </c>
      <c r="T95" s="411" t="str">
        <f t="shared" si="17"/>
        <v>－</v>
      </c>
    </row>
    <row r="96" spans="1:20" x14ac:dyDescent="0.15">
      <c r="A96" s="19"/>
      <c r="B96" s="1055"/>
      <c r="C96" s="419" t="s">
        <v>25</v>
      </c>
      <c r="D96" s="484">
        <v>0</v>
      </c>
      <c r="E96" s="476">
        <v>0</v>
      </c>
      <c r="F96" s="477">
        <v>0</v>
      </c>
      <c r="G96" s="478">
        <v>0</v>
      </c>
      <c r="H96" s="476">
        <v>0</v>
      </c>
      <c r="I96" s="485">
        <v>0</v>
      </c>
      <c r="J96" s="422" t="str">
        <f t="shared" si="18"/>
        <v>－</v>
      </c>
      <c r="K96" s="478">
        <v>0</v>
      </c>
      <c r="L96" s="423" t="str">
        <f t="shared" si="13"/>
        <v>－</v>
      </c>
      <c r="M96" s="478">
        <v>0</v>
      </c>
      <c r="N96" s="423" t="str">
        <f t="shared" si="14"/>
        <v>－</v>
      </c>
      <c r="O96" s="478">
        <v>0</v>
      </c>
      <c r="P96" s="423" t="str">
        <f t="shared" si="15"/>
        <v>－</v>
      </c>
      <c r="Q96" s="478">
        <v>0</v>
      </c>
      <c r="R96" s="423" t="str">
        <f t="shared" si="16"/>
        <v>－</v>
      </c>
      <c r="S96" s="478">
        <v>0</v>
      </c>
      <c r="T96" s="411" t="str">
        <f t="shared" si="17"/>
        <v>－</v>
      </c>
    </row>
    <row r="97" spans="1:20" x14ac:dyDescent="0.15">
      <c r="A97" s="19"/>
      <c r="B97" s="28"/>
      <c r="C97" s="419" t="s">
        <v>17</v>
      </c>
      <c r="D97" s="480">
        <v>0</v>
      </c>
      <c r="E97" s="409">
        <v>0</v>
      </c>
      <c r="F97" s="473">
        <v>0</v>
      </c>
      <c r="G97" s="408">
        <v>0</v>
      </c>
      <c r="H97" s="409">
        <v>0</v>
      </c>
      <c r="I97" s="481">
        <v>0</v>
      </c>
      <c r="J97" s="422" t="str">
        <f t="shared" si="18"/>
        <v>－</v>
      </c>
      <c r="K97" s="408">
        <v>0</v>
      </c>
      <c r="L97" s="423" t="str">
        <f t="shared" si="13"/>
        <v>－</v>
      </c>
      <c r="M97" s="408">
        <v>0</v>
      </c>
      <c r="N97" s="423" t="str">
        <f t="shared" si="14"/>
        <v>－</v>
      </c>
      <c r="O97" s="408">
        <v>0</v>
      </c>
      <c r="P97" s="423" t="str">
        <f t="shared" si="15"/>
        <v>－</v>
      </c>
      <c r="Q97" s="408">
        <v>0</v>
      </c>
      <c r="R97" s="423" t="str">
        <f t="shared" si="16"/>
        <v>－</v>
      </c>
      <c r="S97" s="408">
        <v>0</v>
      </c>
      <c r="T97" s="411" t="str">
        <f t="shared" si="17"/>
        <v>－</v>
      </c>
    </row>
    <row r="98" spans="1:20" x14ac:dyDescent="0.15">
      <c r="A98" s="19"/>
      <c r="B98" s="1052" t="s">
        <v>49</v>
      </c>
      <c r="C98" s="389" t="s">
        <v>16</v>
      </c>
      <c r="D98" s="472">
        <v>23227.065999999999</v>
      </c>
      <c r="E98" s="409">
        <v>22563.878000000001</v>
      </c>
      <c r="F98" s="473">
        <v>21992.892</v>
      </c>
      <c r="G98" s="408">
        <v>22129</v>
      </c>
      <c r="H98" s="409">
        <v>22066</v>
      </c>
      <c r="I98" s="474">
        <v>22682</v>
      </c>
      <c r="J98" s="410">
        <f t="shared" si="12"/>
        <v>1.0136153686988201</v>
      </c>
      <c r="K98" s="408">
        <v>23147</v>
      </c>
      <c r="L98" s="411">
        <f t="shared" si="13"/>
        <v>1.0524764091962076</v>
      </c>
      <c r="M98" s="408">
        <v>25308</v>
      </c>
      <c r="N98" s="411">
        <f t="shared" si="14"/>
        <v>1.1507354285193598</v>
      </c>
      <c r="O98" s="408">
        <v>26606</v>
      </c>
      <c r="P98" s="411">
        <f t="shared" si="15"/>
        <v>1.2097544970438632</v>
      </c>
      <c r="Q98" s="408">
        <v>25494</v>
      </c>
      <c r="R98" s="411">
        <f t="shared" si="16"/>
        <v>1.1591927064435181</v>
      </c>
      <c r="S98" s="408">
        <v>25009</v>
      </c>
      <c r="T98" s="411">
        <f t="shared" si="17"/>
        <v>1.1371401269100945</v>
      </c>
    </row>
    <row r="99" spans="1:20" x14ac:dyDescent="0.15">
      <c r="A99" s="19"/>
      <c r="B99" s="1056"/>
      <c r="C99" s="389" t="s">
        <v>17</v>
      </c>
      <c r="D99" s="472">
        <v>142.08333333333334</v>
      </c>
      <c r="E99" s="409">
        <v>132.91666666666666</v>
      </c>
      <c r="F99" s="473">
        <v>121</v>
      </c>
      <c r="G99" s="408">
        <v>122</v>
      </c>
      <c r="H99" s="409">
        <v>121</v>
      </c>
      <c r="I99" s="474">
        <v>123</v>
      </c>
      <c r="J99" s="402">
        <f t="shared" si="12"/>
        <v>1.0082644628099173</v>
      </c>
      <c r="K99" s="408">
        <v>127</v>
      </c>
      <c r="L99" s="403">
        <f t="shared" si="13"/>
        <v>1.0495867768595042</v>
      </c>
      <c r="M99" s="408">
        <v>140</v>
      </c>
      <c r="N99" s="403">
        <f t="shared" si="14"/>
        <v>1.1570247933884297</v>
      </c>
      <c r="O99" s="408">
        <v>147</v>
      </c>
      <c r="P99" s="403">
        <f t="shared" si="15"/>
        <v>1.2148760330578512</v>
      </c>
      <c r="Q99" s="408">
        <v>140</v>
      </c>
      <c r="R99" s="403">
        <f t="shared" si="16"/>
        <v>1.1570247933884297</v>
      </c>
      <c r="S99" s="408">
        <v>137</v>
      </c>
      <c r="T99" s="411">
        <f t="shared" si="17"/>
        <v>1.1322314049586777</v>
      </c>
    </row>
    <row r="100" spans="1:20" x14ac:dyDescent="0.15">
      <c r="A100" s="19"/>
      <c r="B100" s="1054" t="s">
        <v>50</v>
      </c>
      <c r="C100" s="389" t="s">
        <v>16</v>
      </c>
      <c r="D100" s="472">
        <v>457.88299999999998</v>
      </c>
      <c r="E100" s="409">
        <v>646.46199999999999</v>
      </c>
      <c r="F100" s="473">
        <v>0</v>
      </c>
      <c r="G100" s="408">
        <v>0</v>
      </c>
      <c r="H100" s="409">
        <v>0</v>
      </c>
      <c r="I100" s="474">
        <v>0</v>
      </c>
      <c r="J100" s="402" t="str">
        <f t="shared" ref="J100:J103" si="19">IFERROR(SUM(G100:I100)/3/F100,"－")</f>
        <v>－</v>
      </c>
      <c r="K100" s="408">
        <v>0</v>
      </c>
      <c r="L100" s="403" t="str">
        <f t="shared" si="13"/>
        <v>－</v>
      </c>
      <c r="M100" s="408">
        <v>0</v>
      </c>
      <c r="N100" s="403" t="str">
        <f t="shared" si="14"/>
        <v>－</v>
      </c>
      <c r="O100" s="408">
        <v>0</v>
      </c>
      <c r="P100" s="403" t="str">
        <f t="shared" si="15"/>
        <v>－</v>
      </c>
      <c r="Q100" s="408">
        <v>0</v>
      </c>
      <c r="R100" s="403" t="str">
        <f t="shared" si="16"/>
        <v>－</v>
      </c>
      <c r="S100" s="408">
        <v>0</v>
      </c>
      <c r="T100" s="411" t="str">
        <f t="shared" si="17"/>
        <v>－</v>
      </c>
    </row>
    <row r="101" spans="1:20" x14ac:dyDescent="0.15">
      <c r="A101" s="19"/>
      <c r="B101" s="1059"/>
      <c r="C101" s="389" t="s">
        <v>17</v>
      </c>
      <c r="D101" s="472">
        <v>1.4166666666666667</v>
      </c>
      <c r="E101" s="409">
        <v>1.75</v>
      </c>
      <c r="F101" s="473">
        <v>0</v>
      </c>
      <c r="G101" s="408">
        <v>1</v>
      </c>
      <c r="H101" s="409">
        <v>1</v>
      </c>
      <c r="I101" s="474">
        <v>1</v>
      </c>
      <c r="J101" s="402" t="str">
        <f t="shared" si="19"/>
        <v>－</v>
      </c>
      <c r="K101" s="408">
        <v>0</v>
      </c>
      <c r="L101" s="403" t="str">
        <f t="shared" si="13"/>
        <v>－</v>
      </c>
      <c r="M101" s="408">
        <v>0</v>
      </c>
      <c r="N101" s="403" t="str">
        <f t="shared" si="14"/>
        <v>－</v>
      </c>
      <c r="O101" s="408">
        <v>0</v>
      </c>
      <c r="P101" s="403" t="str">
        <f t="shared" si="15"/>
        <v>－</v>
      </c>
      <c r="Q101" s="408">
        <v>0</v>
      </c>
      <c r="R101" s="403" t="str">
        <f t="shared" si="16"/>
        <v>－</v>
      </c>
      <c r="S101" s="408">
        <v>0</v>
      </c>
      <c r="T101" s="411" t="str">
        <f t="shared" si="17"/>
        <v>－</v>
      </c>
    </row>
    <row r="102" spans="1:20" x14ac:dyDescent="0.15">
      <c r="A102" s="19"/>
      <c r="B102" s="1054" t="s">
        <v>51</v>
      </c>
      <c r="C102" s="389" t="s">
        <v>16</v>
      </c>
      <c r="D102" s="472">
        <v>1038.915</v>
      </c>
      <c r="E102" s="409">
        <v>854.32799999999997</v>
      </c>
      <c r="F102" s="473">
        <v>0</v>
      </c>
      <c r="G102" s="408">
        <v>1782</v>
      </c>
      <c r="H102" s="409">
        <v>1782</v>
      </c>
      <c r="I102" s="474">
        <v>1782</v>
      </c>
      <c r="J102" s="402" t="str">
        <f t="shared" si="19"/>
        <v>－</v>
      </c>
      <c r="K102" s="408">
        <v>0</v>
      </c>
      <c r="L102" s="403" t="str">
        <f t="shared" si="13"/>
        <v>－</v>
      </c>
      <c r="M102" s="408">
        <v>0</v>
      </c>
      <c r="N102" s="403" t="str">
        <f t="shared" si="14"/>
        <v>－</v>
      </c>
      <c r="O102" s="408">
        <v>0</v>
      </c>
      <c r="P102" s="403" t="str">
        <f t="shared" si="15"/>
        <v>－</v>
      </c>
      <c r="Q102" s="408">
        <v>0</v>
      </c>
      <c r="R102" s="403" t="str">
        <f t="shared" si="16"/>
        <v>－</v>
      </c>
      <c r="S102" s="408">
        <v>0</v>
      </c>
      <c r="T102" s="411" t="str">
        <f t="shared" si="17"/>
        <v>－</v>
      </c>
    </row>
    <row r="103" spans="1:20" x14ac:dyDescent="0.15">
      <c r="A103" s="19"/>
      <c r="B103" s="1059"/>
      <c r="C103" s="389" t="s">
        <v>17</v>
      </c>
      <c r="D103" s="472">
        <v>0.83333333333333337</v>
      </c>
      <c r="E103" s="409">
        <v>0.66666666666666663</v>
      </c>
      <c r="F103" s="473">
        <v>0</v>
      </c>
      <c r="G103" s="408">
        <v>1</v>
      </c>
      <c r="H103" s="409">
        <v>1</v>
      </c>
      <c r="I103" s="474">
        <v>1</v>
      </c>
      <c r="J103" s="402" t="str">
        <f t="shared" si="19"/>
        <v>－</v>
      </c>
      <c r="K103" s="408">
        <v>0</v>
      </c>
      <c r="L103" s="403" t="str">
        <f t="shared" si="13"/>
        <v>－</v>
      </c>
      <c r="M103" s="408">
        <v>0</v>
      </c>
      <c r="N103" s="403" t="str">
        <f t="shared" si="14"/>
        <v>－</v>
      </c>
      <c r="O103" s="408">
        <v>0</v>
      </c>
      <c r="P103" s="403" t="str">
        <f t="shared" si="15"/>
        <v>－</v>
      </c>
      <c r="Q103" s="408">
        <v>0</v>
      </c>
      <c r="R103" s="403" t="str">
        <f t="shared" si="16"/>
        <v>－</v>
      </c>
      <c r="S103" s="408">
        <v>0</v>
      </c>
      <c r="T103" s="411" t="str">
        <f t="shared" si="17"/>
        <v>－</v>
      </c>
    </row>
    <row r="104" spans="1:20" x14ac:dyDescent="0.15">
      <c r="A104" s="19"/>
      <c r="B104" s="1057" t="s">
        <v>52</v>
      </c>
      <c r="C104" s="389" t="s">
        <v>16</v>
      </c>
      <c r="D104" s="472">
        <v>0</v>
      </c>
      <c r="E104" s="409">
        <v>29.114999999999998</v>
      </c>
      <c r="F104" s="473">
        <v>0</v>
      </c>
      <c r="G104" s="408">
        <v>0</v>
      </c>
      <c r="H104" s="409">
        <v>0</v>
      </c>
      <c r="I104" s="474">
        <v>0</v>
      </c>
      <c r="J104" s="410" t="str">
        <f>IFERROR(SUM(G104:I104)/3/F104,"－")</f>
        <v>－</v>
      </c>
      <c r="K104" s="408">
        <v>0</v>
      </c>
      <c r="L104" s="411" t="str">
        <f>IFERROR(K104/F104,"－")</f>
        <v>－</v>
      </c>
      <c r="M104" s="408">
        <v>0</v>
      </c>
      <c r="N104" s="411" t="str">
        <f t="shared" si="14"/>
        <v>－</v>
      </c>
      <c r="O104" s="408">
        <v>0</v>
      </c>
      <c r="P104" s="411" t="str">
        <f t="shared" si="15"/>
        <v>－</v>
      </c>
      <c r="Q104" s="408">
        <v>0</v>
      </c>
      <c r="R104" s="411" t="str">
        <f t="shared" si="16"/>
        <v>－</v>
      </c>
      <c r="S104" s="408">
        <v>0</v>
      </c>
      <c r="T104" s="411" t="str">
        <f t="shared" si="17"/>
        <v>－</v>
      </c>
    </row>
    <row r="105" spans="1:20" ht="14.25" thickBot="1" x14ac:dyDescent="0.2">
      <c r="A105" s="25"/>
      <c r="B105" s="1060"/>
      <c r="C105" s="450" t="s">
        <v>17</v>
      </c>
      <c r="D105" s="472">
        <v>0</v>
      </c>
      <c r="E105" s="409">
        <v>8.3333333333333329E-2</v>
      </c>
      <c r="F105" s="473">
        <v>0</v>
      </c>
      <c r="G105" s="486">
        <v>0</v>
      </c>
      <c r="H105" s="487">
        <v>0</v>
      </c>
      <c r="I105" s="488">
        <v>0</v>
      </c>
      <c r="J105" s="455" t="str">
        <f>IFERROR(SUM(G105:I105)/3/F105,"－")</f>
        <v>－</v>
      </c>
      <c r="K105" s="486">
        <v>0</v>
      </c>
      <c r="L105" s="456" t="str">
        <f>IFERROR(K105/F105,"－")</f>
        <v>－</v>
      </c>
      <c r="M105" s="486">
        <v>0</v>
      </c>
      <c r="N105" s="456" t="str">
        <f t="shared" si="14"/>
        <v>－</v>
      </c>
      <c r="O105" s="486">
        <v>0</v>
      </c>
      <c r="P105" s="456" t="str">
        <f t="shared" si="15"/>
        <v>－</v>
      </c>
      <c r="Q105" s="486">
        <v>0</v>
      </c>
      <c r="R105" s="456" t="str">
        <f t="shared" si="16"/>
        <v>－</v>
      </c>
      <c r="S105" s="486">
        <v>0</v>
      </c>
      <c r="T105" s="456" t="str">
        <f>IFERROR(S105/F105,"－")</f>
        <v>－</v>
      </c>
    </row>
    <row r="106" spans="1:20" x14ac:dyDescent="0.15">
      <c r="A106" s="19" t="s">
        <v>53</v>
      </c>
      <c r="B106" s="380"/>
      <c r="C106" s="489"/>
      <c r="D106" s="490"/>
      <c r="E106" s="491"/>
      <c r="F106" s="492"/>
      <c r="G106" s="493"/>
      <c r="H106" s="491"/>
      <c r="I106" s="494"/>
      <c r="J106" s="495"/>
      <c r="K106" s="496"/>
      <c r="L106" s="497"/>
      <c r="M106" s="496"/>
      <c r="N106" s="497"/>
      <c r="O106" s="496"/>
      <c r="P106" s="497"/>
      <c r="Q106" s="496"/>
      <c r="R106" s="497"/>
      <c r="S106" s="496"/>
      <c r="T106" s="497"/>
    </row>
    <row r="107" spans="1:20" x14ac:dyDescent="0.15">
      <c r="A107" s="24"/>
      <c r="B107" s="1054" t="s">
        <v>54</v>
      </c>
      <c r="C107" s="389" t="s">
        <v>16</v>
      </c>
      <c r="D107" s="472">
        <v>0</v>
      </c>
      <c r="E107" s="409">
        <v>0</v>
      </c>
      <c r="F107" s="498">
        <v>0</v>
      </c>
      <c r="G107" s="473">
        <v>0</v>
      </c>
      <c r="H107" s="409">
        <v>0</v>
      </c>
      <c r="I107" s="474">
        <v>0</v>
      </c>
      <c r="J107" s="410" t="str">
        <f t="shared" ref="J107:J126" si="20">IFERROR(SUM(G107:I107)/3/F107,"－")</f>
        <v>－</v>
      </c>
      <c r="K107" s="408">
        <v>0</v>
      </c>
      <c r="L107" s="411" t="str">
        <f t="shared" ref="L107:L122" si="21">IFERROR(K107/F107,"－")</f>
        <v>－</v>
      </c>
      <c r="M107" s="408">
        <v>0</v>
      </c>
      <c r="N107" s="411" t="str">
        <f t="shared" si="14"/>
        <v>－</v>
      </c>
      <c r="O107" s="408">
        <v>0</v>
      </c>
      <c r="P107" s="411" t="str">
        <f t="shared" si="15"/>
        <v>－</v>
      </c>
      <c r="Q107" s="408">
        <v>0</v>
      </c>
      <c r="R107" s="411" t="str">
        <f t="shared" si="16"/>
        <v>－</v>
      </c>
      <c r="S107" s="408">
        <v>0</v>
      </c>
      <c r="T107" s="411" t="str">
        <f>IFERROR(S107/F107,"－")</f>
        <v>－</v>
      </c>
    </row>
    <row r="108" spans="1:20" x14ac:dyDescent="0.15">
      <c r="A108" s="24"/>
      <c r="B108" s="1059"/>
      <c r="C108" s="389" t="s">
        <v>17</v>
      </c>
      <c r="D108" s="472">
        <v>0</v>
      </c>
      <c r="E108" s="409">
        <v>0</v>
      </c>
      <c r="F108" s="498">
        <v>0</v>
      </c>
      <c r="G108" s="473">
        <v>0</v>
      </c>
      <c r="H108" s="409">
        <v>0</v>
      </c>
      <c r="I108" s="474">
        <v>0</v>
      </c>
      <c r="J108" s="412" t="str">
        <f t="shared" si="20"/>
        <v>－</v>
      </c>
      <c r="K108" s="408">
        <v>0</v>
      </c>
      <c r="L108" s="403" t="str">
        <f t="shared" si="21"/>
        <v>－</v>
      </c>
      <c r="M108" s="408">
        <v>0</v>
      </c>
      <c r="N108" s="403" t="str">
        <f t="shared" si="14"/>
        <v>－</v>
      </c>
      <c r="O108" s="408">
        <v>0</v>
      </c>
      <c r="P108" s="403" t="str">
        <f t="shared" si="15"/>
        <v>－</v>
      </c>
      <c r="Q108" s="408">
        <v>0</v>
      </c>
      <c r="R108" s="403" t="str">
        <f t="shared" si="16"/>
        <v>－</v>
      </c>
      <c r="S108" s="408">
        <v>0</v>
      </c>
      <c r="T108" s="411" t="str">
        <f t="shared" ref="T108:T125" si="22">IFERROR(S108/F108,"－")</f>
        <v>－</v>
      </c>
    </row>
    <row r="109" spans="1:20" x14ac:dyDescent="0.15">
      <c r="A109" s="24"/>
      <c r="B109" s="1052" t="s">
        <v>55</v>
      </c>
      <c r="C109" s="389" t="s">
        <v>16</v>
      </c>
      <c r="D109" s="472">
        <v>0</v>
      </c>
      <c r="E109" s="409">
        <v>0</v>
      </c>
      <c r="F109" s="498">
        <v>0</v>
      </c>
      <c r="G109" s="473">
        <v>0</v>
      </c>
      <c r="H109" s="409">
        <v>0</v>
      </c>
      <c r="I109" s="474">
        <v>0</v>
      </c>
      <c r="J109" s="410" t="str">
        <f t="shared" si="20"/>
        <v>－</v>
      </c>
      <c r="K109" s="408">
        <v>0</v>
      </c>
      <c r="L109" s="411" t="str">
        <f t="shared" si="21"/>
        <v>－</v>
      </c>
      <c r="M109" s="408">
        <v>0</v>
      </c>
      <c r="N109" s="411" t="str">
        <f t="shared" si="14"/>
        <v>－</v>
      </c>
      <c r="O109" s="408">
        <v>0</v>
      </c>
      <c r="P109" s="411" t="str">
        <f t="shared" si="15"/>
        <v>－</v>
      </c>
      <c r="Q109" s="408">
        <v>0</v>
      </c>
      <c r="R109" s="411" t="str">
        <f t="shared" si="16"/>
        <v>－</v>
      </c>
      <c r="S109" s="408">
        <v>0</v>
      </c>
      <c r="T109" s="411" t="str">
        <f t="shared" si="22"/>
        <v>－</v>
      </c>
    </row>
    <row r="110" spans="1:20" x14ac:dyDescent="0.15">
      <c r="A110" s="19"/>
      <c r="B110" s="1056"/>
      <c r="C110" s="389" t="s">
        <v>17</v>
      </c>
      <c r="D110" s="472">
        <v>0</v>
      </c>
      <c r="E110" s="409">
        <v>0</v>
      </c>
      <c r="F110" s="498">
        <v>0</v>
      </c>
      <c r="G110" s="473">
        <v>0</v>
      </c>
      <c r="H110" s="409">
        <v>0</v>
      </c>
      <c r="I110" s="474">
        <v>0</v>
      </c>
      <c r="J110" s="402" t="str">
        <f t="shared" si="20"/>
        <v>－</v>
      </c>
      <c r="K110" s="408">
        <v>0</v>
      </c>
      <c r="L110" s="403" t="str">
        <f t="shared" si="21"/>
        <v>－</v>
      </c>
      <c r="M110" s="408">
        <v>0</v>
      </c>
      <c r="N110" s="403" t="str">
        <f t="shared" si="14"/>
        <v>－</v>
      </c>
      <c r="O110" s="408">
        <v>0</v>
      </c>
      <c r="P110" s="403" t="str">
        <f t="shared" si="15"/>
        <v>－</v>
      </c>
      <c r="Q110" s="408">
        <v>0</v>
      </c>
      <c r="R110" s="403" t="str">
        <f t="shared" si="16"/>
        <v>－</v>
      </c>
      <c r="S110" s="408">
        <v>0</v>
      </c>
      <c r="T110" s="411" t="str">
        <f t="shared" si="22"/>
        <v>－</v>
      </c>
    </row>
    <row r="111" spans="1:20" x14ac:dyDescent="0.15">
      <c r="A111" s="19"/>
      <c r="B111" s="1052" t="s">
        <v>94</v>
      </c>
      <c r="C111" s="389" t="s">
        <v>16</v>
      </c>
      <c r="D111" s="472">
        <v>0</v>
      </c>
      <c r="E111" s="409">
        <v>122.815</v>
      </c>
      <c r="F111" s="498">
        <v>0</v>
      </c>
      <c r="G111" s="473">
        <v>0</v>
      </c>
      <c r="H111" s="409">
        <v>0</v>
      </c>
      <c r="I111" s="474">
        <v>0</v>
      </c>
      <c r="J111" s="410" t="str">
        <f>IFERROR(SUM(G111:I111)/3/F111,"－")</f>
        <v>－</v>
      </c>
      <c r="K111" s="408">
        <v>0</v>
      </c>
      <c r="L111" s="429" t="str">
        <f t="shared" ref="L111:L113" si="23">IFERROR(K111/F111,"－")</f>
        <v>－</v>
      </c>
      <c r="M111" s="408">
        <v>0</v>
      </c>
      <c r="N111" s="429" t="str">
        <f t="shared" si="14"/>
        <v>－</v>
      </c>
      <c r="O111" s="408">
        <v>0</v>
      </c>
      <c r="P111" s="429" t="str">
        <f t="shared" si="15"/>
        <v>－</v>
      </c>
      <c r="Q111" s="408">
        <v>0</v>
      </c>
      <c r="R111" s="429" t="str">
        <f t="shared" si="16"/>
        <v>－</v>
      </c>
      <c r="S111" s="408">
        <v>0</v>
      </c>
      <c r="T111" s="411" t="str">
        <f t="shared" si="22"/>
        <v>－</v>
      </c>
    </row>
    <row r="112" spans="1:20" x14ac:dyDescent="0.15">
      <c r="A112" s="19"/>
      <c r="B112" s="1053"/>
      <c r="C112" s="389" t="s">
        <v>19</v>
      </c>
      <c r="D112" s="475">
        <v>0</v>
      </c>
      <c r="E112" s="476">
        <v>2.4166666666666665</v>
      </c>
      <c r="F112" s="499">
        <v>0</v>
      </c>
      <c r="G112" s="477">
        <v>0</v>
      </c>
      <c r="H112" s="476">
        <v>0</v>
      </c>
      <c r="I112" s="479">
        <v>0</v>
      </c>
      <c r="J112" s="402" t="str">
        <f>IFERROR(SUM(G112:I112)/3/F112,"－")</f>
        <v>－</v>
      </c>
      <c r="K112" s="478">
        <v>0</v>
      </c>
      <c r="L112" s="429" t="str">
        <f t="shared" si="23"/>
        <v>－</v>
      </c>
      <c r="M112" s="478">
        <v>0</v>
      </c>
      <c r="N112" s="429" t="str">
        <f t="shared" si="14"/>
        <v>－</v>
      </c>
      <c r="O112" s="478">
        <v>0</v>
      </c>
      <c r="P112" s="429" t="str">
        <f t="shared" si="15"/>
        <v>－</v>
      </c>
      <c r="Q112" s="478">
        <v>0</v>
      </c>
      <c r="R112" s="429" t="str">
        <f t="shared" si="16"/>
        <v>－</v>
      </c>
      <c r="S112" s="478">
        <v>0</v>
      </c>
      <c r="T112" s="411" t="str">
        <f t="shared" si="22"/>
        <v>－</v>
      </c>
    </row>
    <row r="113" spans="1:20" x14ac:dyDescent="0.15">
      <c r="A113" s="19"/>
      <c r="B113" s="500"/>
      <c r="C113" s="389" t="s">
        <v>17</v>
      </c>
      <c r="D113" s="472">
        <v>0</v>
      </c>
      <c r="E113" s="409">
        <v>0.25</v>
      </c>
      <c r="F113" s="498">
        <v>0</v>
      </c>
      <c r="G113" s="473">
        <v>1</v>
      </c>
      <c r="H113" s="409">
        <v>1</v>
      </c>
      <c r="I113" s="474">
        <v>1</v>
      </c>
      <c r="J113" s="402" t="str">
        <f>IFERROR(SUM(G113:I113)/3/F113,"－")</f>
        <v>－</v>
      </c>
      <c r="K113" s="408">
        <v>1</v>
      </c>
      <c r="L113" s="429" t="str">
        <f t="shared" si="23"/>
        <v>－</v>
      </c>
      <c r="M113" s="408">
        <v>0</v>
      </c>
      <c r="N113" s="429" t="str">
        <f t="shared" si="14"/>
        <v>－</v>
      </c>
      <c r="O113" s="408">
        <v>0</v>
      </c>
      <c r="P113" s="429" t="str">
        <f t="shared" si="15"/>
        <v>－</v>
      </c>
      <c r="Q113" s="408">
        <v>0</v>
      </c>
      <c r="R113" s="429" t="str">
        <f t="shared" si="16"/>
        <v>－</v>
      </c>
      <c r="S113" s="408">
        <v>0</v>
      </c>
      <c r="T113" s="411" t="str">
        <f t="shared" si="22"/>
        <v>－</v>
      </c>
    </row>
    <row r="114" spans="1:20" x14ac:dyDescent="0.15">
      <c r="A114" s="24"/>
      <c r="B114" s="1052" t="s">
        <v>56</v>
      </c>
      <c r="C114" s="389" t="s">
        <v>16</v>
      </c>
      <c r="D114" s="472">
        <v>0</v>
      </c>
      <c r="E114" s="409">
        <v>0</v>
      </c>
      <c r="F114" s="498">
        <v>0</v>
      </c>
      <c r="G114" s="473">
        <v>0</v>
      </c>
      <c r="H114" s="409">
        <v>0</v>
      </c>
      <c r="I114" s="474">
        <v>0</v>
      </c>
      <c r="J114" s="410" t="str">
        <f t="shared" si="20"/>
        <v>－</v>
      </c>
      <c r="K114" s="408">
        <v>0</v>
      </c>
      <c r="L114" s="411" t="str">
        <f t="shared" si="21"/>
        <v>－</v>
      </c>
      <c r="M114" s="408">
        <v>0</v>
      </c>
      <c r="N114" s="411" t="str">
        <f t="shared" si="14"/>
        <v>－</v>
      </c>
      <c r="O114" s="408">
        <v>0</v>
      </c>
      <c r="P114" s="411" t="str">
        <f t="shared" si="15"/>
        <v>－</v>
      </c>
      <c r="Q114" s="408">
        <v>0</v>
      </c>
      <c r="R114" s="411" t="str">
        <f t="shared" si="16"/>
        <v>－</v>
      </c>
      <c r="S114" s="408">
        <v>0</v>
      </c>
      <c r="T114" s="411" t="str">
        <f t="shared" si="22"/>
        <v>－</v>
      </c>
    </row>
    <row r="115" spans="1:20" x14ac:dyDescent="0.15">
      <c r="A115" s="19"/>
      <c r="B115" s="1053"/>
      <c r="C115" s="389" t="s">
        <v>19</v>
      </c>
      <c r="D115" s="475">
        <v>0</v>
      </c>
      <c r="E115" s="476">
        <v>0</v>
      </c>
      <c r="F115" s="499">
        <v>0</v>
      </c>
      <c r="G115" s="477">
        <v>0</v>
      </c>
      <c r="H115" s="476">
        <v>0</v>
      </c>
      <c r="I115" s="479">
        <v>0</v>
      </c>
      <c r="J115" s="402" t="str">
        <f t="shared" si="20"/>
        <v>－</v>
      </c>
      <c r="K115" s="478">
        <v>0</v>
      </c>
      <c r="L115" s="403" t="str">
        <f t="shared" si="21"/>
        <v>－</v>
      </c>
      <c r="M115" s="478">
        <v>0</v>
      </c>
      <c r="N115" s="403" t="str">
        <f t="shared" si="14"/>
        <v>－</v>
      </c>
      <c r="O115" s="478">
        <v>0</v>
      </c>
      <c r="P115" s="403" t="str">
        <f t="shared" si="15"/>
        <v>－</v>
      </c>
      <c r="Q115" s="478">
        <v>0</v>
      </c>
      <c r="R115" s="403" t="str">
        <f t="shared" si="16"/>
        <v>－</v>
      </c>
      <c r="S115" s="478">
        <v>0</v>
      </c>
      <c r="T115" s="411" t="str">
        <f t="shared" si="22"/>
        <v>－</v>
      </c>
    </row>
    <row r="116" spans="1:20" x14ac:dyDescent="0.15">
      <c r="A116" s="19"/>
      <c r="B116" s="437"/>
      <c r="C116" s="389" t="s">
        <v>17</v>
      </c>
      <c r="D116" s="472">
        <v>0</v>
      </c>
      <c r="E116" s="409">
        <v>0</v>
      </c>
      <c r="F116" s="498">
        <v>0</v>
      </c>
      <c r="G116" s="473">
        <v>0</v>
      </c>
      <c r="H116" s="409">
        <v>0</v>
      </c>
      <c r="I116" s="474">
        <v>0</v>
      </c>
      <c r="J116" s="402" t="str">
        <f t="shared" si="20"/>
        <v>－</v>
      </c>
      <c r="K116" s="408">
        <v>0</v>
      </c>
      <c r="L116" s="403" t="str">
        <f t="shared" si="21"/>
        <v>－</v>
      </c>
      <c r="M116" s="408">
        <v>0</v>
      </c>
      <c r="N116" s="403" t="str">
        <f t="shared" si="14"/>
        <v>－</v>
      </c>
      <c r="O116" s="408">
        <v>0</v>
      </c>
      <c r="P116" s="403" t="str">
        <f t="shared" si="15"/>
        <v>－</v>
      </c>
      <c r="Q116" s="408">
        <v>0</v>
      </c>
      <c r="R116" s="403" t="str">
        <f t="shared" si="16"/>
        <v>－</v>
      </c>
      <c r="S116" s="408">
        <v>0</v>
      </c>
      <c r="T116" s="411" t="str">
        <f t="shared" si="22"/>
        <v>－</v>
      </c>
    </row>
    <row r="117" spans="1:20" x14ac:dyDescent="0.15">
      <c r="A117" s="24"/>
      <c r="B117" s="1052" t="s">
        <v>57</v>
      </c>
      <c r="C117" s="389" t="s">
        <v>16</v>
      </c>
      <c r="D117" s="472">
        <v>0</v>
      </c>
      <c r="E117" s="409">
        <v>0</v>
      </c>
      <c r="F117" s="498">
        <v>0</v>
      </c>
      <c r="G117" s="473">
        <v>0</v>
      </c>
      <c r="H117" s="409">
        <v>0</v>
      </c>
      <c r="I117" s="474">
        <v>0</v>
      </c>
      <c r="J117" s="410" t="str">
        <f t="shared" si="20"/>
        <v>－</v>
      </c>
      <c r="K117" s="408">
        <v>0</v>
      </c>
      <c r="L117" s="411" t="str">
        <f t="shared" si="21"/>
        <v>－</v>
      </c>
      <c r="M117" s="408">
        <v>0</v>
      </c>
      <c r="N117" s="411" t="str">
        <f t="shared" si="14"/>
        <v>－</v>
      </c>
      <c r="O117" s="408">
        <v>0</v>
      </c>
      <c r="P117" s="411" t="str">
        <f t="shared" si="15"/>
        <v>－</v>
      </c>
      <c r="Q117" s="408">
        <v>0</v>
      </c>
      <c r="R117" s="411" t="str">
        <f t="shared" si="16"/>
        <v>－</v>
      </c>
      <c r="S117" s="408">
        <v>0</v>
      </c>
      <c r="T117" s="411" t="str">
        <f t="shared" si="22"/>
        <v>－</v>
      </c>
    </row>
    <row r="118" spans="1:20" x14ac:dyDescent="0.15">
      <c r="A118" s="19"/>
      <c r="B118" s="1056"/>
      <c r="C118" s="389" t="s">
        <v>17</v>
      </c>
      <c r="D118" s="472">
        <v>0</v>
      </c>
      <c r="E118" s="409">
        <v>0</v>
      </c>
      <c r="F118" s="498">
        <v>0</v>
      </c>
      <c r="G118" s="473">
        <v>0</v>
      </c>
      <c r="H118" s="409">
        <v>0</v>
      </c>
      <c r="I118" s="474">
        <v>0</v>
      </c>
      <c r="J118" s="402" t="str">
        <f t="shared" si="20"/>
        <v>－</v>
      </c>
      <c r="K118" s="408">
        <v>0</v>
      </c>
      <c r="L118" s="403" t="str">
        <f t="shared" si="21"/>
        <v>－</v>
      </c>
      <c r="M118" s="408">
        <v>0</v>
      </c>
      <c r="N118" s="403" t="str">
        <f t="shared" si="14"/>
        <v>－</v>
      </c>
      <c r="O118" s="408">
        <v>0</v>
      </c>
      <c r="P118" s="403" t="str">
        <f t="shared" si="15"/>
        <v>－</v>
      </c>
      <c r="Q118" s="408">
        <v>0</v>
      </c>
      <c r="R118" s="403" t="str">
        <f t="shared" si="16"/>
        <v>－</v>
      </c>
      <c r="S118" s="408">
        <v>0</v>
      </c>
      <c r="T118" s="411" t="str">
        <f t="shared" si="22"/>
        <v>－</v>
      </c>
    </row>
    <row r="119" spans="1:20" x14ac:dyDescent="0.15">
      <c r="A119" s="19"/>
      <c r="B119" s="1057" t="s">
        <v>58</v>
      </c>
      <c r="C119" s="389" t="s">
        <v>16</v>
      </c>
      <c r="D119" s="472">
        <v>82494.475999999995</v>
      </c>
      <c r="E119" s="409">
        <v>85164.97</v>
      </c>
      <c r="F119" s="498">
        <v>85519.679999999993</v>
      </c>
      <c r="G119" s="473">
        <v>85520</v>
      </c>
      <c r="H119" s="409">
        <v>85520</v>
      </c>
      <c r="I119" s="474">
        <v>85520</v>
      </c>
      <c r="J119" s="410">
        <f t="shared" si="20"/>
        <v>1.0000037418287815</v>
      </c>
      <c r="K119" s="408">
        <v>95280</v>
      </c>
      <c r="L119" s="411">
        <f t="shared" si="21"/>
        <v>1.1141295196614394</v>
      </c>
      <c r="M119" s="408">
        <v>101565</v>
      </c>
      <c r="N119" s="411">
        <f t="shared" si="14"/>
        <v>1.1876213755710967</v>
      </c>
      <c r="O119" s="408">
        <v>110378</v>
      </c>
      <c r="P119" s="411">
        <f t="shared" si="15"/>
        <v>1.2906736788538031</v>
      </c>
      <c r="Q119" s="408">
        <v>98445</v>
      </c>
      <c r="R119" s="411">
        <f t="shared" si="16"/>
        <v>1.1511385449524603</v>
      </c>
      <c r="S119" s="408">
        <v>95280</v>
      </c>
      <c r="T119" s="411">
        <f t="shared" si="22"/>
        <v>1.1141295196614394</v>
      </c>
    </row>
    <row r="120" spans="1:20" x14ac:dyDescent="0.15">
      <c r="A120" s="19"/>
      <c r="B120" s="1058"/>
      <c r="C120" s="389" t="s">
        <v>17</v>
      </c>
      <c r="D120" s="472">
        <v>26.666666666666668</v>
      </c>
      <c r="E120" s="409">
        <v>26.666666666666668</v>
      </c>
      <c r="F120" s="498">
        <v>27</v>
      </c>
      <c r="G120" s="473">
        <v>27</v>
      </c>
      <c r="H120" s="409">
        <v>27</v>
      </c>
      <c r="I120" s="474">
        <v>27</v>
      </c>
      <c r="J120" s="402">
        <f t="shared" si="20"/>
        <v>1</v>
      </c>
      <c r="K120" s="408">
        <v>30</v>
      </c>
      <c r="L120" s="403">
        <f t="shared" si="21"/>
        <v>1.1111111111111112</v>
      </c>
      <c r="M120" s="408">
        <v>32</v>
      </c>
      <c r="N120" s="403">
        <f t="shared" si="14"/>
        <v>1.1851851851851851</v>
      </c>
      <c r="O120" s="408">
        <v>35</v>
      </c>
      <c r="P120" s="403">
        <f t="shared" si="15"/>
        <v>1.2962962962962963</v>
      </c>
      <c r="Q120" s="408">
        <v>31</v>
      </c>
      <c r="R120" s="403">
        <f t="shared" si="16"/>
        <v>1.1481481481481481</v>
      </c>
      <c r="S120" s="408">
        <v>30</v>
      </c>
      <c r="T120" s="411">
        <f t="shared" si="22"/>
        <v>1.1111111111111112</v>
      </c>
    </row>
    <row r="121" spans="1:20" x14ac:dyDescent="0.15">
      <c r="A121" s="19"/>
      <c r="B121" s="1057" t="s">
        <v>59</v>
      </c>
      <c r="C121" s="389" t="s">
        <v>16</v>
      </c>
      <c r="D121" s="472">
        <v>0</v>
      </c>
      <c r="E121" s="409">
        <v>0</v>
      </c>
      <c r="F121" s="498">
        <v>0</v>
      </c>
      <c r="G121" s="473">
        <v>0</v>
      </c>
      <c r="H121" s="409">
        <v>0</v>
      </c>
      <c r="I121" s="474">
        <v>0</v>
      </c>
      <c r="J121" s="410" t="str">
        <f t="shared" si="20"/>
        <v>－</v>
      </c>
      <c r="K121" s="408">
        <v>0</v>
      </c>
      <c r="L121" s="403" t="str">
        <f t="shared" si="21"/>
        <v>－</v>
      </c>
      <c r="M121" s="408">
        <v>0</v>
      </c>
      <c r="N121" s="403" t="str">
        <f t="shared" si="14"/>
        <v>－</v>
      </c>
      <c r="O121" s="408">
        <v>0</v>
      </c>
      <c r="P121" s="403" t="str">
        <f t="shared" si="15"/>
        <v>－</v>
      </c>
      <c r="Q121" s="408">
        <v>0</v>
      </c>
      <c r="R121" s="403" t="str">
        <f t="shared" si="16"/>
        <v>－</v>
      </c>
      <c r="S121" s="408">
        <v>0</v>
      </c>
      <c r="T121" s="411" t="str">
        <f t="shared" si="22"/>
        <v>－</v>
      </c>
    </row>
    <row r="122" spans="1:20" x14ac:dyDescent="0.15">
      <c r="A122" s="19"/>
      <c r="B122" s="1058"/>
      <c r="C122" s="389" t="s">
        <v>17</v>
      </c>
      <c r="D122" s="472">
        <v>0</v>
      </c>
      <c r="E122" s="409">
        <v>0</v>
      </c>
      <c r="F122" s="498">
        <v>0</v>
      </c>
      <c r="G122" s="473">
        <v>0</v>
      </c>
      <c r="H122" s="409">
        <v>0</v>
      </c>
      <c r="I122" s="474">
        <v>0</v>
      </c>
      <c r="J122" s="402" t="str">
        <f t="shared" si="20"/>
        <v>－</v>
      </c>
      <c r="K122" s="408">
        <v>0</v>
      </c>
      <c r="L122" s="403" t="str">
        <f t="shared" si="21"/>
        <v>－</v>
      </c>
      <c r="M122" s="408">
        <v>0</v>
      </c>
      <c r="N122" s="403" t="str">
        <f t="shared" si="14"/>
        <v>－</v>
      </c>
      <c r="O122" s="408">
        <v>0</v>
      </c>
      <c r="P122" s="403" t="str">
        <f t="shared" si="15"/>
        <v>－</v>
      </c>
      <c r="Q122" s="408">
        <v>0</v>
      </c>
      <c r="R122" s="403" t="str">
        <f t="shared" si="16"/>
        <v>－</v>
      </c>
      <c r="S122" s="408">
        <v>0</v>
      </c>
      <c r="T122" s="411" t="str">
        <f t="shared" si="22"/>
        <v>－</v>
      </c>
    </row>
    <row r="123" spans="1:20" x14ac:dyDescent="0.15">
      <c r="A123" s="19"/>
      <c r="B123" s="1057" t="s">
        <v>60</v>
      </c>
      <c r="C123" s="389" t="s">
        <v>16</v>
      </c>
      <c r="D123" s="472">
        <v>70270.183000000005</v>
      </c>
      <c r="E123" s="409">
        <v>67978.411999999997</v>
      </c>
      <c r="F123" s="498">
        <v>89050.751999999993</v>
      </c>
      <c r="G123" s="473">
        <v>89051</v>
      </c>
      <c r="H123" s="409">
        <v>89051</v>
      </c>
      <c r="I123" s="474">
        <v>89051</v>
      </c>
      <c r="J123" s="410">
        <f t="shared" si="20"/>
        <v>1.0000027849287563</v>
      </c>
      <c r="K123" s="408">
        <v>92918</v>
      </c>
      <c r="L123" s="411">
        <f t="shared" ref="L123:L128" si="24">IFERROR(K123/F123,"－")</f>
        <v>1.0434274603318343</v>
      </c>
      <c r="M123" s="408">
        <v>100779</v>
      </c>
      <c r="N123" s="411">
        <f t="shared" si="14"/>
        <v>1.1317029641703644</v>
      </c>
      <c r="O123" s="408">
        <v>112248</v>
      </c>
      <c r="P123" s="411">
        <f t="shared" si="15"/>
        <v>1.2604946895900442</v>
      </c>
      <c r="Q123" s="408">
        <v>108641</v>
      </c>
      <c r="R123" s="411">
        <f t="shared" si="16"/>
        <v>1.2199896975603306</v>
      </c>
      <c r="S123" s="408">
        <v>108641</v>
      </c>
      <c r="T123" s="411">
        <f t="shared" si="22"/>
        <v>1.2199896975603306</v>
      </c>
    </row>
    <row r="124" spans="1:20" x14ac:dyDescent="0.15">
      <c r="A124" s="19"/>
      <c r="B124" s="1058"/>
      <c r="C124" s="389" t="s">
        <v>17</v>
      </c>
      <c r="D124" s="472">
        <v>20</v>
      </c>
      <c r="E124" s="409">
        <v>18.916666666666668</v>
      </c>
      <c r="F124" s="498">
        <v>23</v>
      </c>
      <c r="G124" s="473">
        <v>23</v>
      </c>
      <c r="H124" s="409">
        <v>23</v>
      </c>
      <c r="I124" s="474">
        <v>23</v>
      </c>
      <c r="J124" s="402">
        <f t="shared" si="20"/>
        <v>1</v>
      </c>
      <c r="K124" s="408">
        <v>24</v>
      </c>
      <c r="L124" s="403">
        <f t="shared" si="24"/>
        <v>1.0434782608695652</v>
      </c>
      <c r="M124" s="408">
        <v>26</v>
      </c>
      <c r="N124" s="403">
        <f t="shared" si="14"/>
        <v>1.1304347826086956</v>
      </c>
      <c r="O124" s="408">
        <v>29</v>
      </c>
      <c r="P124" s="403">
        <f t="shared" si="15"/>
        <v>1.2608695652173914</v>
      </c>
      <c r="Q124" s="408">
        <v>28</v>
      </c>
      <c r="R124" s="403">
        <f t="shared" si="16"/>
        <v>1.2173913043478262</v>
      </c>
      <c r="S124" s="408">
        <v>28</v>
      </c>
      <c r="T124" s="411">
        <f t="shared" si="22"/>
        <v>1.2173913043478262</v>
      </c>
    </row>
    <row r="125" spans="1:20" x14ac:dyDescent="0.15">
      <c r="A125" s="19"/>
      <c r="B125" s="1054" t="s">
        <v>91</v>
      </c>
      <c r="C125" s="389" t="s">
        <v>16</v>
      </c>
      <c r="D125" s="472">
        <v>0</v>
      </c>
      <c r="E125" s="409">
        <v>0</v>
      </c>
      <c r="F125" s="498">
        <v>0</v>
      </c>
      <c r="G125" s="473">
        <v>0</v>
      </c>
      <c r="H125" s="409">
        <v>0</v>
      </c>
      <c r="I125" s="474">
        <v>0</v>
      </c>
      <c r="J125" s="410" t="str">
        <f t="shared" si="20"/>
        <v>－</v>
      </c>
      <c r="K125" s="408">
        <v>0</v>
      </c>
      <c r="L125" s="411" t="str">
        <f t="shared" si="24"/>
        <v>－</v>
      </c>
      <c r="M125" s="408">
        <v>0</v>
      </c>
      <c r="N125" s="411" t="str">
        <f t="shared" si="14"/>
        <v>－</v>
      </c>
      <c r="O125" s="408">
        <v>0</v>
      </c>
      <c r="P125" s="411" t="str">
        <f t="shared" si="15"/>
        <v>－</v>
      </c>
      <c r="Q125" s="408">
        <v>0</v>
      </c>
      <c r="R125" s="411" t="str">
        <f t="shared" si="16"/>
        <v>－</v>
      </c>
      <c r="S125" s="408">
        <v>0</v>
      </c>
      <c r="T125" s="411" t="str">
        <f t="shared" si="22"/>
        <v>－</v>
      </c>
    </row>
    <row r="126" spans="1:20" x14ac:dyDescent="0.15">
      <c r="A126" s="19"/>
      <c r="B126" s="1059"/>
      <c r="C126" s="389" t="s">
        <v>17</v>
      </c>
      <c r="D126" s="472">
        <v>0</v>
      </c>
      <c r="E126" s="409">
        <v>0</v>
      </c>
      <c r="F126" s="498">
        <v>0</v>
      </c>
      <c r="G126" s="501">
        <v>0</v>
      </c>
      <c r="H126" s="502">
        <v>0</v>
      </c>
      <c r="I126" s="503">
        <v>0</v>
      </c>
      <c r="J126" s="428" t="str">
        <f t="shared" si="20"/>
        <v>－</v>
      </c>
      <c r="K126" s="504">
        <v>0</v>
      </c>
      <c r="L126" s="429" t="str">
        <f t="shared" si="24"/>
        <v>－</v>
      </c>
      <c r="M126" s="504">
        <v>0</v>
      </c>
      <c r="N126" s="429" t="str">
        <f t="shared" si="14"/>
        <v>－</v>
      </c>
      <c r="O126" s="504">
        <v>0</v>
      </c>
      <c r="P126" s="429" t="str">
        <f t="shared" si="15"/>
        <v>－</v>
      </c>
      <c r="Q126" s="504">
        <v>0</v>
      </c>
      <c r="R126" s="429" t="str">
        <f t="shared" si="16"/>
        <v>－</v>
      </c>
      <c r="S126" s="504">
        <v>0</v>
      </c>
      <c r="T126" s="429" t="str">
        <f>IFERROR(S126/F126,"－")</f>
        <v>－</v>
      </c>
    </row>
    <row r="127" spans="1:20" x14ac:dyDescent="0.15">
      <c r="A127" s="19"/>
      <c r="B127" s="1054" t="s">
        <v>427</v>
      </c>
      <c r="C127" s="389" t="s">
        <v>16</v>
      </c>
      <c r="D127" s="507"/>
      <c r="E127" s="896"/>
      <c r="F127" s="950"/>
      <c r="G127" s="473"/>
      <c r="H127" s="409"/>
      <c r="I127" s="474"/>
      <c r="J127" s="410" t="str">
        <f>IFERROR(SUM(G127:I127)/3/F127,"－")</f>
        <v>－</v>
      </c>
      <c r="K127" s="408"/>
      <c r="L127" s="411" t="str">
        <f t="shared" si="24"/>
        <v>－</v>
      </c>
      <c r="M127" s="408"/>
      <c r="N127" s="411" t="str">
        <f t="shared" ref="N127:N128" si="25">IFERROR(M127/F127,"－")</f>
        <v>－</v>
      </c>
      <c r="O127" s="408"/>
      <c r="P127" s="411" t="str">
        <f t="shared" ref="P127:P128" si="26">IFERROR(O127/F127,"－")</f>
        <v>－</v>
      </c>
      <c r="Q127" s="408"/>
      <c r="R127" s="411" t="str">
        <f t="shared" ref="R127:R128" si="27">IFERROR(Q127/F127,"－")</f>
        <v>－</v>
      </c>
      <c r="S127" s="408"/>
      <c r="T127" s="411" t="str">
        <f t="shared" ref="T127" si="28">IFERROR(S127/F127,"－")</f>
        <v>－</v>
      </c>
    </row>
    <row r="128" spans="1:20" ht="14.25" thickBot="1" x14ac:dyDescent="0.2">
      <c r="A128" s="19"/>
      <c r="B128" s="1059"/>
      <c r="C128" s="389" t="s">
        <v>17</v>
      </c>
      <c r="D128" s="512"/>
      <c r="E128" s="897"/>
      <c r="F128" s="987"/>
      <c r="G128" s="501"/>
      <c r="H128" s="502"/>
      <c r="I128" s="503"/>
      <c r="J128" s="428" t="str">
        <f>IFERROR(SUM(G128:I128)/3/F128,"－")</f>
        <v>－</v>
      </c>
      <c r="K128" s="504"/>
      <c r="L128" s="429" t="str">
        <f t="shared" si="24"/>
        <v>－</v>
      </c>
      <c r="M128" s="504"/>
      <c r="N128" s="429" t="str">
        <f t="shared" si="25"/>
        <v>－</v>
      </c>
      <c r="O128" s="504"/>
      <c r="P128" s="429" t="str">
        <f t="shared" si="26"/>
        <v>－</v>
      </c>
      <c r="Q128" s="504"/>
      <c r="R128" s="429" t="str">
        <f t="shared" si="27"/>
        <v>－</v>
      </c>
      <c r="S128" s="504"/>
      <c r="T128" s="429" t="str">
        <f>IFERROR(S128/F128,"－")</f>
        <v>－</v>
      </c>
    </row>
    <row r="129" spans="1:20" x14ac:dyDescent="0.15">
      <c r="A129" s="505" t="s">
        <v>61</v>
      </c>
      <c r="B129" s="506"/>
      <c r="C129" s="430"/>
      <c r="D129" s="496"/>
      <c r="E129" s="491"/>
      <c r="F129" s="986"/>
      <c r="G129" s="493"/>
      <c r="H129" s="491"/>
      <c r="I129" s="494"/>
      <c r="J129" s="495"/>
      <c r="K129" s="496"/>
      <c r="L129" s="497"/>
      <c r="M129" s="496"/>
      <c r="N129" s="497"/>
      <c r="O129" s="496"/>
      <c r="P129" s="497"/>
      <c r="Q129" s="496"/>
      <c r="R129" s="497"/>
      <c r="S129" s="496"/>
      <c r="T129" s="497"/>
    </row>
    <row r="130" spans="1:20" x14ac:dyDescent="0.15">
      <c r="A130" s="19"/>
      <c r="B130" s="1057" t="s">
        <v>62</v>
      </c>
      <c r="C130" s="389" t="s">
        <v>16</v>
      </c>
      <c r="D130" s="472">
        <v>193054.02600000001</v>
      </c>
      <c r="E130" s="409">
        <v>212608.576</v>
      </c>
      <c r="F130" s="498">
        <v>231900.16800000001</v>
      </c>
      <c r="G130" s="473">
        <v>231900</v>
      </c>
      <c r="H130" s="409">
        <v>231900</v>
      </c>
      <c r="I130" s="474">
        <v>231900</v>
      </c>
      <c r="J130" s="410">
        <f t="shared" ref="J130:J139" si="29">IFERROR(SUM(G130:I130)/3/F130,"－")</f>
        <v>0.99999927555033075</v>
      </c>
      <c r="K130" s="408">
        <v>245569</v>
      </c>
      <c r="L130" s="411">
        <f t="shared" ref="L130:L140" si="30">IFERROR(K130/F130,"－")</f>
        <v>1.0589427429824025</v>
      </c>
      <c r="M130" s="408">
        <v>263320</v>
      </c>
      <c r="N130" s="411">
        <f t="shared" si="14"/>
        <v>1.135488612496391</v>
      </c>
      <c r="O130" s="408">
        <v>283820</v>
      </c>
      <c r="P130" s="411">
        <f t="shared" si="15"/>
        <v>1.2238887209430569</v>
      </c>
      <c r="Q130" s="408">
        <v>276185</v>
      </c>
      <c r="R130" s="411">
        <f t="shared" si="16"/>
        <v>1.1909650707971888</v>
      </c>
      <c r="S130" s="408">
        <v>273171</v>
      </c>
      <c r="T130" s="411">
        <f>IFERROR(S130/F130,"－")</f>
        <v>1.1779680987553229</v>
      </c>
    </row>
    <row r="131" spans="1:20" x14ac:dyDescent="0.15">
      <c r="A131" s="19"/>
      <c r="B131" s="1058"/>
      <c r="C131" s="389" t="s">
        <v>17</v>
      </c>
      <c r="D131" s="472">
        <v>57.916666666666664</v>
      </c>
      <c r="E131" s="409">
        <v>62.916666666666664</v>
      </c>
      <c r="F131" s="498">
        <v>68</v>
      </c>
      <c r="G131" s="473">
        <v>68</v>
      </c>
      <c r="H131" s="409">
        <v>68</v>
      </c>
      <c r="I131" s="474">
        <v>68</v>
      </c>
      <c r="J131" s="402">
        <f t="shared" si="29"/>
        <v>1</v>
      </c>
      <c r="K131" s="408">
        <v>72</v>
      </c>
      <c r="L131" s="403">
        <f t="shared" si="30"/>
        <v>1.0588235294117647</v>
      </c>
      <c r="M131" s="408">
        <v>77</v>
      </c>
      <c r="N131" s="403">
        <f t="shared" si="14"/>
        <v>1.1323529411764706</v>
      </c>
      <c r="O131" s="408">
        <v>83</v>
      </c>
      <c r="P131" s="403">
        <f t="shared" si="15"/>
        <v>1.2205882352941178</v>
      </c>
      <c r="Q131" s="408">
        <v>81</v>
      </c>
      <c r="R131" s="403">
        <f t="shared" si="16"/>
        <v>1.1911764705882353</v>
      </c>
      <c r="S131" s="408">
        <v>80</v>
      </c>
      <c r="T131" s="411">
        <f t="shared" ref="T131:T135" si="31">IFERROR(S131/F131,"－")</f>
        <v>1.1764705882352942</v>
      </c>
    </row>
    <row r="132" spans="1:20" x14ac:dyDescent="0.15">
      <c r="A132" s="19"/>
      <c r="B132" s="1057" t="s">
        <v>65</v>
      </c>
      <c r="C132" s="389" t="s">
        <v>16</v>
      </c>
      <c r="D132" s="472">
        <v>248624.71799999999</v>
      </c>
      <c r="E132" s="409">
        <v>256574.022</v>
      </c>
      <c r="F132" s="498">
        <v>289325.53200000001</v>
      </c>
      <c r="G132" s="473">
        <v>289326</v>
      </c>
      <c r="H132" s="409">
        <v>289326</v>
      </c>
      <c r="I132" s="474">
        <v>289326</v>
      </c>
      <c r="J132" s="410">
        <f t="shared" si="29"/>
        <v>1.0000016175551352</v>
      </c>
      <c r="K132" s="408">
        <v>307659</v>
      </c>
      <c r="L132" s="411">
        <f t="shared" si="30"/>
        <v>1.0633662292894357</v>
      </c>
      <c r="M132" s="408">
        <v>332936</v>
      </c>
      <c r="N132" s="411">
        <f t="shared" si="14"/>
        <v>1.1507314881563926</v>
      </c>
      <c r="O132" s="408">
        <v>358996</v>
      </c>
      <c r="P132" s="411">
        <f t="shared" si="15"/>
        <v>1.2408030411916775</v>
      </c>
      <c r="Q132" s="408">
        <v>345221</v>
      </c>
      <c r="R132" s="411">
        <f t="shared" si="16"/>
        <v>1.1931923104525735</v>
      </c>
      <c r="S132" s="408">
        <v>342867</v>
      </c>
      <c r="T132" s="411">
        <f t="shared" si="31"/>
        <v>1.1850561463756333</v>
      </c>
    </row>
    <row r="133" spans="1:20" x14ac:dyDescent="0.15">
      <c r="A133" s="19"/>
      <c r="B133" s="1058"/>
      <c r="C133" s="389" t="s">
        <v>17</v>
      </c>
      <c r="D133" s="472">
        <v>66.166666666666671</v>
      </c>
      <c r="E133" s="409">
        <v>67.666666666666671</v>
      </c>
      <c r="F133" s="498">
        <v>77</v>
      </c>
      <c r="G133" s="473">
        <v>77</v>
      </c>
      <c r="H133" s="409">
        <v>77</v>
      </c>
      <c r="I133" s="474">
        <v>77</v>
      </c>
      <c r="J133" s="402">
        <f t="shared" si="29"/>
        <v>1</v>
      </c>
      <c r="K133" s="408">
        <v>82</v>
      </c>
      <c r="L133" s="403">
        <f t="shared" si="30"/>
        <v>1.0649350649350648</v>
      </c>
      <c r="M133" s="408">
        <v>89</v>
      </c>
      <c r="N133" s="403">
        <f t="shared" ref="N133:N140" si="32">IFERROR(M133/F133,"－")</f>
        <v>1.1558441558441559</v>
      </c>
      <c r="O133" s="408">
        <v>96</v>
      </c>
      <c r="P133" s="403">
        <f t="shared" ref="P133:P140" si="33">IFERROR(O133/F133,"－")</f>
        <v>1.2467532467532467</v>
      </c>
      <c r="Q133" s="408">
        <v>92</v>
      </c>
      <c r="R133" s="403">
        <f t="shared" ref="R133:R140" si="34">IFERROR(Q133/F133,"－")</f>
        <v>1.1948051948051948</v>
      </c>
      <c r="S133" s="408">
        <v>91</v>
      </c>
      <c r="T133" s="411">
        <f t="shared" si="31"/>
        <v>1.1818181818181819</v>
      </c>
    </row>
    <row r="134" spans="1:20" x14ac:dyDescent="0.15">
      <c r="A134" s="19"/>
      <c r="B134" s="752" t="s">
        <v>224</v>
      </c>
      <c r="C134" s="389" t="s">
        <v>226</v>
      </c>
      <c r="D134" s="472">
        <v>0</v>
      </c>
      <c r="E134" s="409">
        <v>0</v>
      </c>
      <c r="F134" s="498">
        <v>0</v>
      </c>
      <c r="G134" s="473">
        <v>0</v>
      </c>
      <c r="H134" s="409">
        <v>0</v>
      </c>
      <c r="I134" s="474">
        <v>0</v>
      </c>
      <c r="J134" s="402" t="str">
        <f t="shared" si="29"/>
        <v>－</v>
      </c>
      <c r="K134" s="408">
        <v>0</v>
      </c>
      <c r="L134" s="403" t="str">
        <f t="shared" si="30"/>
        <v>－</v>
      </c>
      <c r="M134" s="408">
        <v>0</v>
      </c>
      <c r="N134" s="403" t="str">
        <f t="shared" si="32"/>
        <v>－</v>
      </c>
      <c r="O134" s="408">
        <v>0</v>
      </c>
      <c r="P134" s="403" t="str">
        <f t="shared" si="33"/>
        <v>－</v>
      </c>
      <c r="Q134" s="408">
        <v>0</v>
      </c>
      <c r="R134" s="403" t="str">
        <f t="shared" si="34"/>
        <v>－</v>
      </c>
      <c r="S134" s="408">
        <v>0</v>
      </c>
      <c r="T134" s="411" t="str">
        <f t="shared" si="31"/>
        <v>－</v>
      </c>
    </row>
    <row r="135" spans="1:20" x14ac:dyDescent="0.15">
      <c r="A135" s="19"/>
      <c r="B135" s="752"/>
      <c r="C135" s="389" t="s">
        <v>227</v>
      </c>
      <c r="D135" s="472">
        <v>0</v>
      </c>
      <c r="E135" s="409">
        <v>0</v>
      </c>
      <c r="F135" s="498">
        <v>0</v>
      </c>
      <c r="G135" s="473">
        <v>0</v>
      </c>
      <c r="H135" s="409">
        <v>0</v>
      </c>
      <c r="I135" s="474">
        <v>0</v>
      </c>
      <c r="J135" s="402" t="str">
        <f t="shared" si="29"/>
        <v>－</v>
      </c>
      <c r="K135" s="408">
        <v>0</v>
      </c>
      <c r="L135" s="403" t="str">
        <f t="shared" si="30"/>
        <v>－</v>
      </c>
      <c r="M135" s="408">
        <v>0</v>
      </c>
      <c r="N135" s="403" t="str">
        <f t="shared" si="32"/>
        <v>－</v>
      </c>
      <c r="O135" s="408">
        <v>0</v>
      </c>
      <c r="P135" s="403" t="str">
        <f t="shared" si="33"/>
        <v>－</v>
      </c>
      <c r="Q135" s="408">
        <v>0</v>
      </c>
      <c r="R135" s="403" t="str">
        <f t="shared" si="34"/>
        <v>－</v>
      </c>
      <c r="S135" s="408">
        <v>0</v>
      </c>
      <c r="T135" s="411" t="str">
        <f t="shared" si="31"/>
        <v>－</v>
      </c>
    </row>
    <row r="136" spans="1:20" x14ac:dyDescent="0.15">
      <c r="A136" s="19"/>
      <c r="B136" s="1057" t="s">
        <v>225</v>
      </c>
      <c r="C136" s="389" t="s">
        <v>16</v>
      </c>
      <c r="D136" s="472">
        <v>0</v>
      </c>
      <c r="E136" s="409">
        <v>0</v>
      </c>
      <c r="F136" s="498">
        <v>0</v>
      </c>
      <c r="G136" s="507"/>
      <c r="H136" s="896"/>
      <c r="I136" s="896"/>
      <c r="J136" s="508"/>
      <c r="K136" s="507"/>
      <c r="L136" s="508"/>
      <c r="M136" s="507"/>
      <c r="N136" s="508"/>
      <c r="O136" s="507"/>
      <c r="P136" s="508"/>
      <c r="Q136" s="507"/>
      <c r="R136" s="508"/>
      <c r="S136" s="507"/>
      <c r="T136" s="508"/>
    </row>
    <row r="137" spans="1:20" ht="14.25" thickBot="1" x14ac:dyDescent="0.2">
      <c r="A137" s="25"/>
      <c r="B137" s="1060"/>
      <c r="C137" s="450" t="s">
        <v>17</v>
      </c>
      <c r="D137" s="509">
        <v>0</v>
      </c>
      <c r="E137" s="502">
        <v>0</v>
      </c>
      <c r="F137" s="510">
        <v>0</v>
      </c>
      <c r="G137" s="512"/>
      <c r="H137" s="897"/>
      <c r="I137" s="897"/>
      <c r="J137" s="513"/>
      <c r="K137" s="512"/>
      <c r="L137" s="513"/>
      <c r="M137" s="512"/>
      <c r="N137" s="513"/>
      <c r="O137" s="512"/>
      <c r="P137" s="513"/>
      <c r="Q137" s="512"/>
      <c r="R137" s="513"/>
      <c r="S137" s="512"/>
      <c r="T137" s="513"/>
    </row>
    <row r="138" spans="1:20" x14ac:dyDescent="0.15">
      <c r="A138" s="24" t="s">
        <v>66</v>
      </c>
      <c r="B138" s="514"/>
      <c r="C138" s="515" t="s">
        <v>16</v>
      </c>
      <c r="D138" s="516">
        <v>44335.288999999997</v>
      </c>
      <c r="E138" s="446">
        <v>41985.928999999996</v>
      </c>
      <c r="F138" s="517">
        <v>38773.044000000002</v>
      </c>
      <c r="G138" s="518">
        <v>38867</v>
      </c>
      <c r="H138" s="446">
        <v>38917</v>
      </c>
      <c r="I138" s="519">
        <v>38839</v>
      </c>
      <c r="J138" s="447">
        <f t="shared" si="29"/>
        <v>1.0026123647483889</v>
      </c>
      <c r="K138" s="445">
        <v>40257</v>
      </c>
      <c r="L138" s="448">
        <f t="shared" si="30"/>
        <v>1.0382728784461699</v>
      </c>
      <c r="M138" s="445">
        <v>44820</v>
      </c>
      <c r="N138" s="448">
        <f t="shared" si="32"/>
        <v>1.1559577318716581</v>
      </c>
      <c r="O138" s="445">
        <v>47339</v>
      </c>
      <c r="P138" s="448">
        <f t="shared" si="33"/>
        <v>1.2209255481720753</v>
      </c>
      <c r="Q138" s="445">
        <v>44538</v>
      </c>
      <c r="R138" s="448">
        <f t="shared" si="34"/>
        <v>1.1486846377086102</v>
      </c>
      <c r="S138" s="445">
        <v>43261</v>
      </c>
      <c r="T138" s="448">
        <f>IFERROR(S138/F138,"－")</f>
        <v>1.1157493850624676</v>
      </c>
    </row>
    <row r="139" spans="1:20" ht="14.25" thickBot="1" x14ac:dyDescent="0.2">
      <c r="A139" s="21"/>
      <c r="B139" s="449"/>
      <c r="C139" s="450" t="s">
        <v>17</v>
      </c>
      <c r="D139" s="520">
        <v>218.16666666666666</v>
      </c>
      <c r="E139" s="487">
        <v>212.25</v>
      </c>
      <c r="F139" s="521">
        <v>193</v>
      </c>
      <c r="G139" s="511">
        <v>194</v>
      </c>
      <c r="H139" s="487">
        <v>194</v>
      </c>
      <c r="I139" s="488">
        <v>194</v>
      </c>
      <c r="J139" s="455">
        <f t="shared" si="29"/>
        <v>1.0051813471502591</v>
      </c>
      <c r="K139" s="486">
        <v>201</v>
      </c>
      <c r="L139" s="456">
        <f t="shared" si="30"/>
        <v>1.0414507772020725</v>
      </c>
      <c r="M139" s="486">
        <v>225</v>
      </c>
      <c r="N139" s="456">
        <f t="shared" si="32"/>
        <v>1.1658031088082901</v>
      </c>
      <c r="O139" s="486">
        <v>237</v>
      </c>
      <c r="P139" s="456">
        <f t="shared" si="33"/>
        <v>1.2279792746113989</v>
      </c>
      <c r="Q139" s="486">
        <v>222</v>
      </c>
      <c r="R139" s="456">
        <f t="shared" si="34"/>
        <v>1.150259067357513</v>
      </c>
      <c r="S139" s="486">
        <v>215</v>
      </c>
      <c r="T139" s="456">
        <f>IFERROR(S139/F139,"－")</f>
        <v>1.1139896373056994</v>
      </c>
    </row>
    <row r="140" spans="1:20" ht="14.25" thickBot="1" x14ac:dyDescent="0.2">
      <c r="A140" s="457" t="s">
        <v>36</v>
      </c>
      <c r="B140" s="375"/>
      <c r="C140" s="458" t="s">
        <v>16</v>
      </c>
      <c r="D140" s="459">
        <f t="shared" ref="D140:F140" si="35">IF(ISERROR(SUM(D66,D69,D72,D75,D78,D80,D83,D86,D89,D92,D95,D98,D100,D102,D104,D107,D109,D114,D117,D119,D121,D123,D125,D111,D130,D132,D134,D136,D138)),0,(SUM(D66,D69,D72,D75,D78,D80,D83,D86,D89,D92,D95,D98,D100,D102,D104,D107,D109,D114,D117,D119,D121,D123,D125,D111,D130,D132,D134,D136,D138)))</f>
        <v>933678.95699999994</v>
      </c>
      <c r="E140" s="460">
        <f t="shared" si="35"/>
        <v>933570.18700000003</v>
      </c>
      <c r="F140" s="461">
        <f t="shared" si="35"/>
        <v>1031797.1832</v>
      </c>
      <c r="G140" s="462">
        <f>IF(ISERROR(SUM(G66,G69,G72,G75,G78,G80,G83,G86,G89,G92,G95,G98,G100,G102,G104,G107,G109,G114,G117,G119,G121,G123,G125,G127,G111,G130,G132,G134,G138)),0,(SUM(G66,G69,G72,G75,G78,G80,G83,G86,G89,G92,G95,G98,G100,G102,G104,G107,G109,G114,G117,G119,G121,G123,G125,G127,G111,G130,G132,G134,G138)))</f>
        <v>1031754</v>
      </c>
      <c r="H140" s="460">
        <f t="shared" ref="H140:I140" si="36">IF(ISERROR(SUM(H66,H69,H72,H75,H78,H80,H83,H86,H89,H92,H95,H98,H100,H102,H104,H107,H109,H114,H117,H119,H121,H123,H125,H127,H111,H130,H132,H134,H138)),0,(SUM(H66,H69,H72,H75,H78,H80,H83,H86,H89,H92,H95,H98,H100,H102,H104,H107,H109,H114,H117,H119,H121,H123,H125,H127,H111,H130,H132,H134,H138)))</f>
        <v>1033231</v>
      </c>
      <c r="I140" s="460">
        <f t="shared" si="36"/>
        <v>1039423</v>
      </c>
      <c r="J140" s="463">
        <f t="shared" ref="J140" si="37">IFERROR(SUM(G140:I140)/3/F140,"－")</f>
        <v>1.0029128626396764</v>
      </c>
      <c r="K140" s="462">
        <f>IF(ISERROR(SUM(K66,K69,K72,K75,K78,K80,K83,K86,K89,K92,K95,K98,K100,K102,K104,K107,K109,K114,K117,K119,K121,K123,K125,K127,K111,K130,K132,K134,K138)),0,(SUM(K66,K69,K72,K75,K78,K80,K83,K86,K89,K92,K95,K98,K100,K102,K104,K107,K109,K114,K117,K119,K121,K123,K125,K127,K111,K130,K132,K134,K138)))</f>
        <v>1091166</v>
      </c>
      <c r="L140" s="464">
        <f t="shared" si="30"/>
        <v>1.0575392313205145</v>
      </c>
      <c r="M140" s="462">
        <f>IF(ISERROR(SUM(M66,M69,M72,M75,M78,M80,M83,M86,M89,M92,M95,M98,M100,M102,M104,M107,M109,M114,M117,M119,M121,M123,M125,M127,M111,M130,M132,M134,M138)),0,(SUM(M66,M69,M72,M75,M78,M80,M83,M86,M89,M92,M95,M98,M100,M102,M104,M107,M109,M114,M117,M119,M121,M123,M125,M127,M111,M130,M132,M134,M138)))</f>
        <v>1179236</v>
      </c>
      <c r="N140" s="464">
        <f t="shared" si="32"/>
        <v>1.142895153428056</v>
      </c>
      <c r="O140" s="462">
        <f>IF(ISERROR(SUM(O66,O69,O72,O75,O78,O80,O83,O86,O89,O92,O95,O98,O100,O102,O104,O107,O109,O114,O117,O119,O121,O123,O125,O127,O111,O130,O132,O134,O138)),0,(SUM(O66,O69,O72,O75,O78,O80,O83,O86,O89,O92,O95,O98,O100,O102,O104,O107,O109,O114,O117,O119,O121,O123,O125,O127,O111,O130,O132,O134,O138)))</f>
        <v>1270751</v>
      </c>
      <c r="P140" s="464">
        <f t="shared" si="33"/>
        <v>1.2315899100043211</v>
      </c>
      <c r="Q140" s="462">
        <f>IF(ISERROR(SUM(Q66,Q69,Q72,Q75,Q78,Q80,Q83,Q86,Q89,Q92,Q95,Q98,Q100,Q102,Q104,Q107,Q109,Q114,Q117,Q119,Q121,Q123,Q125,Q127,Q111,Q130,Q132,Q134,Q138)),0,(SUM(Q66,Q69,Q72,Q75,Q78,Q80,Q83,Q86,Q89,Q92,Q95,Q98,Q100,Q102,Q104,Q107,Q109,Q114,Q117,Q119,Q121,Q123,Q125,Q127,Q111,Q130,Q132,Q134,Q138)))</f>
        <v>1214119</v>
      </c>
      <c r="R140" s="464">
        <f t="shared" si="34"/>
        <v>1.1767031542328406</v>
      </c>
      <c r="S140" s="462">
        <f>IF(ISERROR(SUM(S66,S69,S72,S75,S78,S80,S83,S86,S89,S92,S95,S98,S100,S102,S104,S107,S109,S114,S117,S119,S121,S123,S125,S127,S111,S130,S132,S134,S138)),0,(SUM(S66,S69,S72,S75,S78,S80,S83,S86,S89,S92,S95,S98,S100,S102,S104,S107,S109,S114,S117,S119,S121,S123,S125,S127,S111,S130,S132,S134,S138)))</f>
        <v>1193575</v>
      </c>
      <c r="T140" s="464">
        <f>IFERROR(S140/F140,"－")</f>
        <v>1.1567922644431581</v>
      </c>
    </row>
    <row r="141" spans="1:20" ht="50.1" customHeight="1" x14ac:dyDescent="0.15">
      <c r="A141" s="726" t="s">
        <v>109</v>
      </c>
      <c r="G141" s="725" t="s">
        <v>376</v>
      </c>
      <c r="H141" s="467"/>
      <c r="I141" s="467"/>
      <c r="J141" s="467"/>
      <c r="K141" s="637" t="s">
        <v>433</v>
      </c>
      <c r="L141" s="637"/>
      <c r="M141" s="637"/>
    </row>
    <row r="142" spans="1:20" ht="13.5" customHeight="1" x14ac:dyDescent="0.15">
      <c r="G142" s="522"/>
      <c r="K142" s="637"/>
      <c r="L142" s="637"/>
      <c r="M142" s="637"/>
    </row>
    <row r="143" spans="1:20" x14ac:dyDescent="0.15">
      <c r="A143" s="22" t="s">
        <v>223</v>
      </c>
      <c r="D143" s="523"/>
      <c r="G143" s="466"/>
      <c r="H143" s="466"/>
      <c r="I143" s="466"/>
      <c r="J143" s="466"/>
      <c r="K143" s="637"/>
      <c r="L143" s="637"/>
      <c r="M143" s="637"/>
    </row>
    <row r="144" spans="1:20" ht="14.25" thickBot="1" x14ac:dyDescent="0.2">
      <c r="A144" s="22"/>
    </row>
    <row r="145" spans="1:14" ht="14.25" thickBot="1" x14ac:dyDescent="0.2">
      <c r="A145" s="29"/>
      <c r="B145" s="375"/>
      <c r="C145" s="376"/>
      <c r="D145" s="377" t="s">
        <v>253</v>
      </c>
      <c r="E145" s="749" t="s">
        <v>375</v>
      </c>
      <c r="F145" s="378" t="s">
        <v>254</v>
      </c>
      <c r="G145" s="748" t="s">
        <v>374</v>
      </c>
      <c r="H145" s="749" t="s">
        <v>255</v>
      </c>
      <c r="I145" s="750" t="s">
        <v>373</v>
      </c>
      <c r="J145" s="524" t="s">
        <v>290</v>
      </c>
      <c r="K145" s="524" t="s">
        <v>291</v>
      </c>
      <c r="L145" s="524" t="s">
        <v>292</v>
      </c>
      <c r="M145" s="524" t="s">
        <v>369</v>
      </c>
      <c r="N145" s="524" t="s">
        <v>411</v>
      </c>
    </row>
    <row r="146" spans="1:14" x14ac:dyDescent="0.15">
      <c r="A146" s="525" t="s">
        <v>36</v>
      </c>
      <c r="B146" s="526"/>
      <c r="C146" s="527"/>
      <c r="D146" s="528">
        <f t="shared" ref="D146:I146" si="38">D59+D140</f>
        <v>960500.79099999997</v>
      </c>
      <c r="E146" s="529">
        <f t="shared" si="38"/>
        <v>961897.26699999999</v>
      </c>
      <c r="F146" s="530">
        <f t="shared" si="38"/>
        <v>1060060.8707999999</v>
      </c>
      <c r="G146" s="531">
        <f t="shared" si="38"/>
        <v>1059963</v>
      </c>
      <c r="H146" s="529">
        <f t="shared" si="38"/>
        <v>1061440</v>
      </c>
      <c r="I146" s="530">
        <f t="shared" si="38"/>
        <v>1068427</v>
      </c>
      <c r="J146" s="532">
        <f>K59+K140</f>
        <v>1121780</v>
      </c>
      <c r="K146" s="532">
        <f>M59+M140</f>
        <v>1213086</v>
      </c>
      <c r="L146" s="532">
        <f>O59+O140</f>
        <v>1304601</v>
      </c>
      <c r="M146" s="532">
        <f>Q59+Q140</f>
        <v>1243281</v>
      </c>
      <c r="N146" s="532">
        <f>S59+S140</f>
        <v>1221784</v>
      </c>
    </row>
    <row r="147" spans="1:14" x14ac:dyDescent="0.15">
      <c r="A147" s="379"/>
      <c r="B147" s="533" t="s">
        <v>144</v>
      </c>
      <c r="C147" s="534"/>
      <c r="D147" s="535">
        <f>D12+D14+D17+D20+D23+D25+D27+D29+D32+D35+D38+D41+D43+D45+D50+D53+D57+D66+D69+D72+D75+D78+D80+D83+D86+D89+D92+D95+D98+D100+D102+D107+D109+D114+D117+D125+D111+D138</f>
        <v>366057.38799999992</v>
      </c>
      <c r="E147" s="536">
        <f>E12+E14+E17+E20+E23+E25+E27+E29+E32+E35+E38+E41+E43+E45+E50+E53+E57+E66+E69+E72+E75+E78+E80+E83+E86+E89+E92+E95+E98+E100+E102+E107+E109+E114+E117+E125+E111+E138</f>
        <v>339542.17200000002</v>
      </c>
      <c r="F147" s="536">
        <f>F12+F14+F17+F20+F23+F25+F27+F29+F32+F35+F38+F41+F43+F45+F50+F53+F57+F66+F69+F72+F75+F78+F80+F83+F86+F89+F92+F95+F98+F100+F102+F107+F109+F114+F117+F125+F111+F138</f>
        <v>364264.73879999999</v>
      </c>
      <c r="G147" s="535">
        <f>G14+G17+G20+G23+G27+G29+G32+G35+G38+G41+G43+G45+G50+G53+G57+G66+G69+G72+G75+G78+G80+G83+G86+G89+G92+G95+G98+G100+G102+G107+G109+G114+G117+G125+G111+G138+G127</f>
        <v>364166</v>
      </c>
      <c r="H147" s="536">
        <f>H14+H17+H20+H23+H27+H29+H32+H35+H38+H41+H43+H45+H50+H53+H57+H66+H69+H72+H75+H78+H80+H83+H86+H89+H92+H95+H98+H100+H102+H107+H109+H114+H117+H125+H111+H138+H127</f>
        <v>365643</v>
      </c>
      <c r="I147" s="537">
        <f>I14+I17+I20+I23+I27+I29+I32+I35+I38+I41+I43+I45+I50+I53+I57+I66+I69+I72+I75+I78+I80+I83+I86+I89+I92+I95+I98+I100+I102+I107+I109+I114+I117+I125+I111+I138+I127</f>
        <v>372630</v>
      </c>
      <c r="J147" s="538">
        <f>K14+K17+K20+K23+K27+K29+K32+K35+K38+K41+K43+K45+K50+K53+K57+K66+K69+K72+K75+K78+K80+K83+K86+K89+K92+K95+K98+K100+K102+K107+K109+K114+K117+K125+K111+K138+K127</f>
        <v>380354</v>
      </c>
      <c r="K147" s="538">
        <f>M14+M17+M20+M23+M27+M29+M32+M35+M38+M41+M43+M45+M50+M53+M57+M66+M69+M72+M75+M78+M80+M83+M86+M89+M92+M95+M98+M100+M102+M107+M109+M114+M117+M125+M111+M138+M127</f>
        <v>414486</v>
      </c>
      <c r="L147" s="538">
        <f>O14+O17+O20+O23+O27+O29+O32+O35+O38+O41+O43+O45+O50+O53+O57+O66+O69+O72+O75+O78+O80+O83+O86+O89+O92+O95+O98+O100+O102+O107+O109+O114+O117+O125+O111+O138+O127</f>
        <v>439159</v>
      </c>
      <c r="M147" s="538">
        <f>Q14+Q17+Q20+Q23+Q27+Q29+Q32+Q35+Q38+Q41+Q43+Q45+Q50+Q53+Q57+Q66+Q69+Q72+Q75+Q78+Q80+Q83+Q86+Q89+Q92+Q95+Q98+Q100+Q102+Q107+Q109+Q114+Q117+Q125+Q111+Q138+Q127</f>
        <v>414789</v>
      </c>
      <c r="N147" s="538">
        <f>S14+S17+S20+S23+S27+S29+S32+S35+S38+S41+S43+S45+S50+S53+S57+S66+S69+S72+S75+S78+S80+S83+S86+S89+S92+S95+S98+S100+S102+S107+S109+S114+S117+S125+S111+S138+S127</f>
        <v>401825</v>
      </c>
    </row>
    <row r="148" spans="1:14" x14ac:dyDescent="0.15">
      <c r="A148" s="379"/>
      <c r="B148" s="533" t="s">
        <v>145</v>
      </c>
      <c r="C148" s="534"/>
      <c r="D148" s="539">
        <f t="shared" ref="D148:I148" si="39">D47+D55+D104+D119+D121</f>
        <v>82494.475999999995</v>
      </c>
      <c r="E148" s="536">
        <f t="shared" si="39"/>
        <v>85194.085000000006</v>
      </c>
      <c r="F148" s="540">
        <f t="shared" si="39"/>
        <v>85519.679999999993</v>
      </c>
      <c r="G148" s="539">
        <f t="shared" si="39"/>
        <v>85520</v>
      </c>
      <c r="H148" s="536">
        <f t="shared" si="39"/>
        <v>85520</v>
      </c>
      <c r="I148" s="540">
        <f t="shared" si="39"/>
        <v>85520</v>
      </c>
      <c r="J148" s="538">
        <f>K47+K55+K104+K119+K121</f>
        <v>95280</v>
      </c>
      <c r="K148" s="538">
        <f>M47+M55+M104+M119+M121</f>
        <v>101565</v>
      </c>
      <c r="L148" s="538">
        <f>O47+O55+O104+O119+O121</f>
        <v>110378</v>
      </c>
      <c r="M148" s="538">
        <f>Q47+Q55+Q104+Q119+Q121</f>
        <v>98445</v>
      </c>
      <c r="N148" s="538">
        <f>S47+S55+S104+S119+S121</f>
        <v>95280</v>
      </c>
    </row>
    <row r="149" spans="1:14" ht="14.25" thickBot="1" x14ac:dyDescent="0.2">
      <c r="A149" s="541"/>
      <c r="B149" s="542" t="s">
        <v>146</v>
      </c>
      <c r="C149" s="543"/>
      <c r="D149" s="544">
        <f t="shared" ref="D149:I149" si="40">D123+D130+D132+D134+D136</f>
        <v>511948.92700000003</v>
      </c>
      <c r="E149" s="545">
        <f t="shared" si="40"/>
        <v>537161.01</v>
      </c>
      <c r="F149" s="546">
        <f t="shared" si="40"/>
        <v>610276.45200000005</v>
      </c>
      <c r="G149" s="544">
        <f t="shared" si="40"/>
        <v>610277</v>
      </c>
      <c r="H149" s="545">
        <f t="shared" si="40"/>
        <v>610277</v>
      </c>
      <c r="I149" s="546">
        <f t="shared" si="40"/>
        <v>610277</v>
      </c>
      <c r="J149" s="547">
        <f>K123+K130+K132+K134</f>
        <v>646146</v>
      </c>
      <c r="K149" s="547">
        <f>M123+M130+M132+M134</f>
        <v>697035</v>
      </c>
      <c r="L149" s="547">
        <f>O123+O130+O132+O134</f>
        <v>755064</v>
      </c>
      <c r="M149" s="547">
        <f>Q123+Q130+Q132+Q134</f>
        <v>730047</v>
      </c>
      <c r="N149" s="547">
        <f>S123+S130+S132+S134</f>
        <v>724679</v>
      </c>
    </row>
    <row r="151" spans="1:14" ht="14.25" thickBot="1" x14ac:dyDescent="0.2">
      <c r="A151" s="22" t="s">
        <v>228</v>
      </c>
    </row>
    <row r="152" spans="1:14" ht="14.25" thickBot="1" x14ac:dyDescent="0.2">
      <c r="A152" s="1021"/>
      <c r="B152" s="1022"/>
      <c r="C152" s="1023"/>
      <c r="D152" s="377" t="s">
        <v>253</v>
      </c>
      <c r="E152" s="749" t="s">
        <v>375</v>
      </c>
      <c r="F152" s="378" t="s">
        <v>254</v>
      </c>
      <c r="G152" s="748" t="s">
        <v>374</v>
      </c>
      <c r="H152" s="749" t="s">
        <v>255</v>
      </c>
      <c r="I152" s="750" t="s">
        <v>373</v>
      </c>
      <c r="J152" s="524" t="s">
        <v>290</v>
      </c>
      <c r="K152" s="524" t="s">
        <v>291</v>
      </c>
      <c r="L152" s="524" t="s">
        <v>292</v>
      </c>
      <c r="M152" s="524" t="s">
        <v>369</v>
      </c>
      <c r="N152" s="524" t="s">
        <v>411</v>
      </c>
    </row>
    <row r="153" spans="1:14" x14ac:dyDescent="0.15">
      <c r="A153" s="13" t="s">
        <v>1</v>
      </c>
      <c r="B153" s="3"/>
      <c r="C153" s="144"/>
      <c r="D153" s="145">
        <f>D131+D133+D135+D137</f>
        <v>124.08333333333334</v>
      </c>
      <c r="E153" s="146">
        <f>E131+E133+E135+E137</f>
        <v>130.58333333333334</v>
      </c>
      <c r="F153" s="147">
        <f>F131+F133+F135+F137</f>
        <v>145</v>
      </c>
      <c r="G153" s="145">
        <f>G131+G133+G135+G137</f>
        <v>145</v>
      </c>
      <c r="H153" s="147">
        <f>H131+H133+H135+H137</f>
        <v>145</v>
      </c>
      <c r="I153" s="147">
        <f t="shared" ref="I153" si="41">I131+I133+I135+I137</f>
        <v>145</v>
      </c>
      <c r="J153" s="152">
        <f>K131+K133+K135</f>
        <v>154</v>
      </c>
      <c r="K153" s="152">
        <f>M131+M133+M135</f>
        <v>166</v>
      </c>
      <c r="L153" s="152">
        <f>O131+O133+O135</f>
        <v>179</v>
      </c>
      <c r="M153" s="152">
        <f>Q131+Q133+Q135</f>
        <v>173</v>
      </c>
      <c r="N153" s="152">
        <f>S131+S133+S135</f>
        <v>171</v>
      </c>
    </row>
    <row r="154" spans="1:14" x14ac:dyDescent="0.15">
      <c r="A154" s="5"/>
      <c r="B154" s="148" t="s">
        <v>229</v>
      </c>
      <c r="C154" s="548"/>
      <c r="D154" s="46">
        <v>70.416666666666671</v>
      </c>
      <c r="E154" s="149">
        <v>81.833333333333329</v>
      </c>
      <c r="F154" s="177">
        <v>95</v>
      </c>
      <c r="G154" s="46">
        <v>95</v>
      </c>
      <c r="H154" s="177">
        <v>95</v>
      </c>
      <c r="I154" s="177">
        <v>95</v>
      </c>
      <c r="J154" s="153">
        <v>103</v>
      </c>
      <c r="K154" s="153">
        <v>110</v>
      </c>
      <c r="L154" s="153">
        <v>120</v>
      </c>
      <c r="M154" s="153">
        <v>117</v>
      </c>
      <c r="N154" s="153">
        <v>117</v>
      </c>
    </row>
    <row r="155" spans="1:14" ht="14.25" thickBot="1" x14ac:dyDescent="0.2">
      <c r="A155" s="150"/>
      <c r="B155" s="151" t="s">
        <v>230</v>
      </c>
      <c r="C155" s="549"/>
      <c r="D155" s="734">
        <f>IFERROR(ROUND(D154/D153*100,1),"－")</f>
        <v>56.7</v>
      </c>
      <c r="E155" s="735">
        <f t="shared" ref="E155:J155" si="42">IFERROR(ROUND(E154/E153*100,1),"－")</f>
        <v>62.7</v>
      </c>
      <c r="F155" s="736">
        <f t="shared" si="42"/>
        <v>65.5</v>
      </c>
      <c r="G155" s="734">
        <f t="shared" si="42"/>
        <v>65.5</v>
      </c>
      <c r="H155" s="736">
        <f t="shared" si="42"/>
        <v>65.5</v>
      </c>
      <c r="I155" s="736">
        <f t="shared" si="42"/>
        <v>65.5</v>
      </c>
      <c r="J155" s="737">
        <f t="shared" si="42"/>
        <v>66.900000000000006</v>
      </c>
      <c r="K155" s="737">
        <f t="shared" ref="K155:M155" si="43">IFERROR(ROUND(K154/K153*100,1),"－")</f>
        <v>66.3</v>
      </c>
      <c r="L155" s="737">
        <f t="shared" si="43"/>
        <v>67</v>
      </c>
      <c r="M155" s="737">
        <f t="shared" si="43"/>
        <v>67.599999999999994</v>
      </c>
      <c r="N155" s="737">
        <f>IFERROR(ROUND(N154/N153*100,1),"－")</f>
        <v>68.400000000000006</v>
      </c>
    </row>
    <row r="158" spans="1:14" ht="14.25" thickBot="1" x14ac:dyDescent="0.2">
      <c r="A158" s="373" t="s">
        <v>354</v>
      </c>
    </row>
    <row r="159" spans="1:14" ht="14.25" thickBot="1" x14ac:dyDescent="0.2">
      <c r="A159" s="1040"/>
      <c r="B159" s="1041"/>
      <c r="C159" s="1042"/>
      <c r="D159" s="1046" t="s">
        <v>355</v>
      </c>
      <c r="E159" s="1047"/>
      <c r="F159" s="1047"/>
      <c r="G159" s="1047"/>
      <c r="H159" s="1047"/>
      <c r="I159" s="1048"/>
      <c r="J159" s="1049" t="s">
        <v>356</v>
      </c>
      <c r="K159" s="1050"/>
      <c r="L159" s="1050"/>
      <c r="M159" s="1051"/>
    </row>
    <row r="160" spans="1:14" ht="63.75" thickBot="1" x14ac:dyDescent="0.2">
      <c r="A160" s="1043"/>
      <c r="B160" s="1044"/>
      <c r="C160" s="1045"/>
      <c r="D160" s="767" t="s">
        <v>253</v>
      </c>
      <c r="E160" s="768" t="s">
        <v>375</v>
      </c>
      <c r="F160" s="769" t="s">
        <v>254</v>
      </c>
      <c r="G160" s="770" t="s">
        <v>374</v>
      </c>
      <c r="H160" s="768" t="s">
        <v>255</v>
      </c>
      <c r="I160" s="771" t="s">
        <v>373</v>
      </c>
      <c r="J160" s="772" t="s">
        <v>360</v>
      </c>
      <c r="K160" s="773" t="s">
        <v>386</v>
      </c>
      <c r="L160" s="774" t="s">
        <v>387</v>
      </c>
      <c r="M160" s="775" t="s">
        <v>388</v>
      </c>
    </row>
    <row r="161" spans="1:13" ht="14.25" thickBot="1" x14ac:dyDescent="0.2">
      <c r="A161" s="1032" t="s">
        <v>357</v>
      </c>
      <c r="B161" s="1033"/>
      <c r="C161" s="1034"/>
      <c r="D161" s="776">
        <f t="shared" ref="D161:I161" si="44">D48+D54+D56+D105+D108+D118+D120+D122+D124+D126+D131+D133+D135+D137+D128</f>
        <v>170.75</v>
      </c>
      <c r="E161" s="777">
        <f t="shared" si="44"/>
        <v>176.25</v>
      </c>
      <c r="F161" s="778">
        <f t="shared" si="44"/>
        <v>195</v>
      </c>
      <c r="G161" s="779">
        <f t="shared" si="44"/>
        <v>195</v>
      </c>
      <c r="H161" s="777">
        <f t="shared" si="44"/>
        <v>195</v>
      </c>
      <c r="I161" s="777">
        <f t="shared" si="44"/>
        <v>195</v>
      </c>
      <c r="J161" s="780">
        <v>1.066666667</v>
      </c>
      <c r="K161" s="781">
        <f>ROUND(G161*$J161,0)</f>
        <v>208</v>
      </c>
      <c r="L161" s="782">
        <f t="shared" ref="L161:M161" si="45">ROUND(H161*$J161,0)</f>
        <v>208</v>
      </c>
      <c r="M161" s="783">
        <f t="shared" si="45"/>
        <v>208</v>
      </c>
    </row>
    <row r="162" spans="1:13" ht="27" customHeight="1" x14ac:dyDescent="0.15">
      <c r="A162" s="1035" t="s">
        <v>428</v>
      </c>
      <c r="B162" s="1035"/>
      <c r="C162" s="1035"/>
      <c r="D162" s="1035"/>
      <c r="E162" s="1035"/>
      <c r="F162" s="1035"/>
      <c r="G162" s="1035"/>
      <c r="H162" s="1035"/>
      <c r="I162" s="1035"/>
      <c r="J162" s="1035"/>
      <c r="K162" s="1035"/>
      <c r="L162" s="1035"/>
      <c r="M162" s="1035"/>
    </row>
    <row r="163" spans="1:13" x14ac:dyDescent="0.15">
      <c r="A163" s="726" t="s">
        <v>438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</row>
    <row r="164" spans="1:13" x14ac:dyDescent="0.15">
      <c r="A164" s="726" t="s">
        <v>358</v>
      </c>
      <c r="B164" s="726"/>
      <c r="C164" s="726"/>
      <c r="D164" s="726"/>
      <c r="E164" s="726"/>
      <c r="F164" s="726"/>
      <c r="G164" s="726"/>
      <c r="H164" s="726"/>
      <c r="I164" s="726"/>
      <c r="J164" s="726"/>
      <c r="K164" s="726"/>
      <c r="L164" s="726"/>
      <c r="M164" s="726"/>
    </row>
  </sheetData>
  <mergeCells count="57">
    <mergeCell ref="S3:T3"/>
    <mergeCell ref="S4:T4"/>
    <mergeCell ref="S5:T5"/>
    <mergeCell ref="B121:B122"/>
    <mergeCell ref="B20:B21"/>
    <mergeCell ref="B23:B24"/>
    <mergeCell ref="B92:B93"/>
    <mergeCell ref="B98:B99"/>
    <mergeCell ref="B100:B101"/>
    <mergeCell ref="B12:B13"/>
    <mergeCell ref="B14:B15"/>
    <mergeCell ref="B17:B18"/>
    <mergeCell ref="B25:B26"/>
    <mergeCell ref="B27:B28"/>
    <mergeCell ref="B29:B30"/>
    <mergeCell ref="B32:B33"/>
    <mergeCell ref="B136:B137"/>
    <mergeCell ref="B123:B124"/>
    <mergeCell ref="B125:B126"/>
    <mergeCell ref="B111:B112"/>
    <mergeCell ref="B104:B105"/>
    <mergeCell ref="B107:B108"/>
    <mergeCell ref="B109:B110"/>
    <mergeCell ref="B114:B115"/>
    <mergeCell ref="B117:B118"/>
    <mergeCell ref="B119:B120"/>
    <mergeCell ref="B132:B133"/>
    <mergeCell ref="B127:B128"/>
    <mergeCell ref="B35:B36"/>
    <mergeCell ref="B41:B42"/>
    <mergeCell ref="B102:B103"/>
    <mergeCell ref="B83:B84"/>
    <mergeCell ref="B47:B48"/>
    <mergeCell ref="B50:B51"/>
    <mergeCell ref="B53:B54"/>
    <mergeCell ref="B55:B56"/>
    <mergeCell ref="B69:B70"/>
    <mergeCell ref="B72:B73"/>
    <mergeCell ref="B38:B39"/>
    <mergeCell ref="B95:B96"/>
    <mergeCell ref="B66:B67"/>
    <mergeCell ref="A161:C161"/>
    <mergeCell ref="A162:M162"/>
    <mergeCell ref="Q3:R3"/>
    <mergeCell ref="Q4:R4"/>
    <mergeCell ref="Q5:R5"/>
    <mergeCell ref="A159:C160"/>
    <mergeCell ref="D159:I159"/>
    <mergeCell ref="J159:M159"/>
    <mergeCell ref="B86:B87"/>
    <mergeCell ref="B89:B90"/>
    <mergeCell ref="B43:B44"/>
    <mergeCell ref="B75:B76"/>
    <mergeCell ref="B78:B79"/>
    <mergeCell ref="B80:B81"/>
    <mergeCell ref="A152:C152"/>
    <mergeCell ref="B130:B131"/>
  </mergeCells>
  <phoneticPr fontId="3"/>
  <dataValidations count="1">
    <dataValidation type="whole" allowBlank="1" showErrorMessage="1" error="施設サービス利用者数の総数以下の数値を入力してください。" sqref="D154:N154">
      <formula1>0</formula1>
      <formula2>D153</formula2>
    </dataValidation>
  </dataValidations>
  <pageMargins left="0.70866141732283472" right="0.70866141732283472" top="0.74803149606299213" bottom="0.74803149606299213" header="0.31496062992125984" footer="0.31496062992125984"/>
  <pageSetup paperSize="8" scale="76" fitToHeight="0" orientation="landscape" r:id="rId1"/>
  <headerFooter>
    <oddFooter>&amp;C&amp;P</oddFooter>
  </headerFooter>
  <rowBreaks count="2" manualBreakCount="2">
    <brk id="61" max="16383" man="1"/>
    <brk id="128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6"/>
  <sheetViews>
    <sheetView view="pageBreakPreview" zoomScale="85" zoomScaleNormal="85" zoomScaleSheetLayoutView="85" workbookViewId="0"/>
  </sheetViews>
  <sheetFormatPr defaultColWidth="9" defaultRowHeight="13.5" x14ac:dyDescent="0.15"/>
  <cols>
    <col min="1" max="1" width="56.625" style="784" bestFit="1" customWidth="1"/>
    <col min="2" max="12" width="17.375" style="784" customWidth="1"/>
    <col min="13" max="16384" width="9" style="784"/>
  </cols>
  <sheetData>
    <row r="1" spans="1:12" ht="14.25" customHeight="1" x14ac:dyDescent="0.15">
      <c r="A1" s="723" t="s">
        <v>347</v>
      </c>
      <c r="B1" s="723"/>
      <c r="C1" s="723"/>
      <c r="D1" s="723"/>
    </row>
    <row r="2" spans="1:12" ht="14.25" thickBot="1" x14ac:dyDescent="0.2"/>
    <row r="3" spans="1:12" ht="14.25" thickBot="1" x14ac:dyDescent="0.2">
      <c r="K3" s="785" t="s">
        <v>67</v>
      </c>
      <c r="L3" s="786" t="str">
        <f>保険者名</f>
        <v>川崎町</v>
      </c>
    </row>
    <row r="4" spans="1:12" ht="14.25" thickBot="1" x14ac:dyDescent="0.2">
      <c r="K4" s="787" t="s">
        <v>68</v>
      </c>
      <c r="L4" s="786" t="str">
        <f>保険者番号</f>
        <v>04324</v>
      </c>
    </row>
    <row r="5" spans="1:12" ht="14.25" thickBot="1" x14ac:dyDescent="0.2">
      <c r="K5" s="788" t="s">
        <v>103</v>
      </c>
      <c r="L5" s="358" t="str">
        <f>推計パターン名</f>
        <v>第9期川崎町介護保険（R5.8.12）</v>
      </c>
    </row>
    <row r="7" spans="1:12" ht="14.25" thickBot="1" x14ac:dyDescent="0.2">
      <c r="A7" s="789" t="s">
        <v>341</v>
      </c>
      <c r="B7" s="789"/>
      <c r="C7" s="789"/>
      <c r="D7" s="789"/>
      <c r="F7" s="697"/>
      <c r="G7" s="697"/>
      <c r="K7" s="790"/>
      <c r="L7" s="790" t="s">
        <v>353</v>
      </c>
    </row>
    <row r="8" spans="1:12" ht="14.25" thickBot="1" x14ac:dyDescent="0.2">
      <c r="A8" s="698" t="s">
        <v>309</v>
      </c>
      <c r="B8" s="698" t="s">
        <v>277</v>
      </c>
      <c r="C8" s="708" t="s">
        <v>278</v>
      </c>
      <c r="D8" s="744" t="s">
        <v>279</v>
      </c>
      <c r="E8" s="698" t="s">
        <v>393</v>
      </c>
      <c r="F8" s="708" t="s">
        <v>276</v>
      </c>
      <c r="G8" s="703" t="s">
        <v>396</v>
      </c>
      <c r="H8" s="698" t="s">
        <v>287</v>
      </c>
      <c r="I8" s="708" t="s">
        <v>288</v>
      </c>
      <c r="J8" s="708" t="s">
        <v>289</v>
      </c>
      <c r="K8" s="708" t="s">
        <v>401</v>
      </c>
      <c r="L8" s="713" t="s">
        <v>416</v>
      </c>
    </row>
    <row r="9" spans="1:12" x14ac:dyDescent="0.15">
      <c r="A9" s="727" t="s">
        <v>310</v>
      </c>
      <c r="B9" s="738">
        <v>2104145</v>
      </c>
      <c r="C9" s="739">
        <v>1788840</v>
      </c>
      <c r="D9" s="740">
        <v>1800000</v>
      </c>
      <c r="E9" s="738">
        <v>1800000</v>
      </c>
      <c r="F9" s="739">
        <v>1800000</v>
      </c>
      <c r="G9" s="740">
        <v>1800000</v>
      </c>
      <c r="H9" s="738">
        <v>1678279</v>
      </c>
      <c r="I9" s="739">
        <v>1559324</v>
      </c>
      <c r="J9" s="739">
        <v>1424693</v>
      </c>
      <c r="K9" s="739">
        <v>1257172</v>
      </c>
      <c r="L9" s="740">
        <v>1132992</v>
      </c>
    </row>
    <row r="10" spans="1:12" x14ac:dyDescent="0.15">
      <c r="A10" s="791" t="s">
        <v>351</v>
      </c>
      <c r="B10" s="792">
        <v>2</v>
      </c>
      <c r="C10" s="793">
        <v>2</v>
      </c>
      <c r="D10" s="794">
        <v>2</v>
      </c>
      <c r="E10" s="792">
        <v>2</v>
      </c>
      <c r="F10" s="793">
        <v>2</v>
      </c>
      <c r="G10" s="794">
        <v>2</v>
      </c>
      <c r="H10" s="792">
        <v>2</v>
      </c>
      <c r="I10" s="793">
        <v>2</v>
      </c>
      <c r="J10" s="793">
        <v>2</v>
      </c>
      <c r="K10" s="793">
        <v>1</v>
      </c>
      <c r="L10" s="794">
        <v>1</v>
      </c>
    </row>
    <row r="11" spans="1:12" x14ac:dyDescent="0.15">
      <c r="A11" s="728" t="s">
        <v>311</v>
      </c>
      <c r="B11" s="741">
        <v>0</v>
      </c>
      <c r="C11" s="742">
        <v>0</v>
      </c>
      <c r="D11" s="743">
        <v>0</v>
      </c>
      <c r="E11" s="741">
        <v>0</v>
      </c>
      <c r="F11" s="742">
        <v>0</v>
      </c>
      <c r="G11" s="743">
        <v>0</v>
      </c>
      <c r="H11" s="741">
        <v>0</v>
      </c>
      <c r="I11" s="742">
        <v>0</v>
      </c>
      <c r="J11" s="742">
        <v>0</v>
      </c>
      <c r="K11" s="742">
        <v>0</v>
      </c>
      <c r="L11" s="743">
        <v>0</v>
      </c>
    </row>
    <row r="12" spans="1:12" x14ac:dyDescent="0.15">
      <c r="A12" s="791" t="s">
        <v>350</v>
      </c>
      <c r="B12" s="792">
        <v>4</v>
      </c>
      <c r="C12" s="793">
        <v>7</v>
      </c>
      <c r="D12" s="794">
        <v>8</v>
      </c>
      <c r="E12" s="792">
        <v>8</v>
      </c>
      <c r="F12" s="793">
        <v>8</v>
      </c>
      <c r="G12" s="794">
        <v>8</v>
      </c>
      <c r="H12" s="792">
        <v>7</v>
      </c>
      <c r="I12" s="793">
        <v>7</v>
      </c>
      <c r="J12" s="793">
        <v>6</v>
      </c>
      <c r="K12" s="793">
        <v>6</v>
      </c>
      <c r="L12" s="794">
        <v>5</v>
      </c>
    </row>
    <row r="13" spans="1:12" x14ac:dyDescent="0.15">
      <c r="A13" s="729" t="s">
        <v>312</v>
      </c>
      <c r="B13" s="700">
        <v>308345</v>
      </c>
      <c r="C13" s="710">
        <v>336900</v>
      </c>
      <c r="D13" s="705">
        <v>340000</v>
      </c>
      <c r="E13" s="700">
        <v>350000</v>
      </c>
      <c r="F13" s="710">
        <v>350000</v>
      </c>
      <c r="G13" s="705">
        <v>350000</v>
      </c>
      <c r="H13" s="700">
        <v>407568</v>
      </c>
      <c r="I13" s="710">
        <v>430235</v>
      </c>
      <c r="J13" s="710">
        <v>403467</v>
      </c>
      <c r="K13" s="710">
        <v>356406</v>
      </c>
      <c r="L13" s="705">
        <v>324025</v>
      </c>
    </row>
    <row r="14" spans="1:12" x14ac:dyDescent="0.15">
      <c r="A14" s="729" t="s">
        <v>313</v>
      </c>
      <c r="B14" s="700">
        <v>0</v>
      </c>
      <c r="C14" s="710">
        <v>0</v>
      </c>
      <c r="D14" s="705">
        <v>0</v>
      </c>
      <c r="E14" s="700">
        <v>0</v>
      </c>
      <c r="F14" s="710">
        <v>0</v>
      </c>
      <c r="G14" s="705">
        <v>0</v>
      </c>
      <c r="H14" s="700">
        <v>0</v>
      </c>
      <c r="I14" s="710">
        <v>0</v>
      </c>
      <c r="J14" s="710">
        <v>0</v>
      </c>
      <c r="K14" s="710">
        <v>0</v>
      </c>
      <c r="L14" s="705">
        <v>0</v>
      </c>
    </row>
    <row r="15" spans="1:12" x14ac:dyDescent="0.15">
      <c r="A15" s="729" t="s">
        <v>314</v>
      </c>
      <c r="B15" s="700">
        <v>0</v>
      </c>
      <c r="C15" s="710">
        <v>0</v>
      </c>
      <c r="D15" s="705">
        <v>0</v>
      </c>
      <c r="E15" s="700">
        <v>0</v>
      </c>
      <c r="F15" s="710">
        <v>0</v>
      </c>
      <c r="G15" s="705">
        <v>0</v>
      </c>
      <c r="H15" s="700">
        <v>0</v>
      </c>
      <c r="I15" s="710">
        <v>0</v>
      </c>
      <c r="J15" s="710">
        <v>0</v>
      </c>
      <c r="K15" s="710">
        <v>0</v>
      </c>
      <c r="L15" s="705">
        <v>0</v>
      </c>
    </row>
    <row r="16" spans="1:12" ht="14.25" thickBot="1" x14ac:dyDescent="0.2">
      <c r="A16" s="730" t="s">
        <v>315</v>
      </c>
      <c r="B16" s="701">
        <v>0</v>
      </c>
      <c r="C16" s="711">
        <v>0</v>
      </c>
      <c r="D16" s="706">
        <v>0</v>
      </c>
      <c r="E16" s="701">
        <v>0</v>
      </c>
      <c r="F16" s="711">
        <v>0</v>
      </c>
      <c r="G16" s="706">
        <v>0</v>
      </c>
      <c r="H16" s="701">
        <v>0</v>
      </c>
      <c r="I16" s="711">
        <v>0</v>
      </c>
      <c r="J16" s="711">
        <v>0</v>
      </c>
      <c r="K16" s="711">
        <v>0</v>
      </c>
      <c r="L16" s="706">
        <v>0</v>
      </c>
    </row>
    <row r="17" spans="1:12" x14ac:dyDescent="0.15">
      <c r="A17" s="727" t="s">
        <v>316</v>
      </c>
      <c r="B17" s="738">
        <v>2665843</v>
      </c>
      <c r="C17" s="739">
        <v>3494201</v>
      </c>
      <c r="D17" s="740">
        <v>3500000</v>
      </c>
      <c r="E17" s="738">
        <v>3500000</v>
      </c>
      <c r="F17" s="739">
        <v>3500000</v>
      </c>
      <c r="G17" s="740">
        <v>3500000</v>
      </c>
      <c r="H17" s="738">
        <v>3263320</v>
      </c>
      <c r="I17" s="739">
        <v>3032018</v>
      </c>
      <c r="J17" s="739">
        <v>2770236</v>
      </c>
      <c r="K17" s="739">
        <v>2444501</v>
      </c>
      <c r="L17" s="740">
        <v>2203040</v>
      </c>
    </row>
    <row r="18" spans="1:12" x14ac:dyDescent="0.15">
      <c r="A18" s="791" t="s">
        <v>351</v>
      </c>
      <c r="B18" s="792">
        <v>43</v>
      </c>
      <c r="C18" s="793">
        <v>43</v>
      </c>
      <c r="D18" s="794">
        <v>43</v>
      </c>
      <c r="E18" s="792">
        <v>43</v>
      </c>
      <c r="F18" s="793">
        <v>43</v>
      </c>
      <c r="G18" s="794">
        <v>43</v>
      </c>
      <c r="H18" s="792">
        <v>40</v>
      </c>
      <c r="I18" s="793">
        <v>37</v>
      </c>
      <c r="J18" s="793">
        <v>34</v>
      </c>
      <c r="K18" s="793">
        <v>30</v>
      </c>
      <c r="L18" s="794">
        <v>27</v>
      </c>
    </row>
    <row r="19" spans="1:12" x14ac:dyDescent="0.15">
      <c r="A19" s="731" t="s">
        <v>317</v>
      </c>
      <c r="B19" s="741">
        <v>0</v>
      </c>
      <c r="C19" s="742">
        <v>0</v>
      </c>
      <c r="D19" s="743">
        <v>0</v>
      </c>
      <c r="E19" s="741">
        <v>0</v>
      </c>
      <c r="F19" s="742">
        <v>0</v>
      </c>
      <c r="G19" s="743">
        <v>0</v>
      </c>
      <c r="H19" s="741">
        <v>0</v>
      </c>
      <c r="I19" s="742">
        <v>0</v>
      </c>
      <c r="J19" s="742">
        <v>0</v>
      </c>
      <c r="K19" s="742">
        <v>0</v>
      </c>
      <c r="L19" s="743">
        <v>0</v>
      </c>
    </row>
    <row r="20" spans="1:12" x14ac:dyDescent="0.15">
      <c r="A20" s="791" t="s">
        <v>350</v>
      </c>
      <c r="B20" s="792">
        <v>26</v>
      </c>
      <c r="C20" s="793">
        <v>18</v>
      </c>
      <c r="D20" s="794">
        <v>30</v>
      </c>
      <c r="E20" s="792">
        <v>30</v>
      </c>
      <c r="F20" s="793">
        <v>30</v>
      </c>
      <c r="G20" s="794">
        <v>30</v>
      </c>
      <c r="H20" s="792">
        <v>28</v>
      </c>
      <c r="I20" s="793">
        <v>26</v>
      </c>
      <c r="J20" s="793">
        <v>24</v>
      </c>
      <c r="K20" s="793">
        <v>21</v>
      </c>
      <c r="L20" s="794">
        <v>19</v>
      </c>
    </row>
    <row r="21" spans="1:12" x14ac:dyDescent="0.15">
      <c r="A21" s="729" t="s">
        <v>318</v>
      </c>
      <c r="B21" s="700">
        <v>0</v>
      </c>
      <c r="C21" s="710">
        <v>0</v>
      </c>
      <c r="D21" s="705">
        <v>0</v>
      </c>
      <c r="E21" s="700">
        <v>0</v>
      </c>
      <c r="F21" s="710">
        <v>0</v>
      </c>
      <c r="G21" s="705">
        <v>0</v>
      </c>
      <c r="H21" s="700">
        <v>0</v>
      </c>
      <c r="I21" s="710">
        <v>0</v>
      </c>
      <c r="J21" s="710">
        <v>0</v>
      </c>
      <c r="K21" s="710">
        <v>0</v>
      </c>
      <c r="L21" s="705">
        <v>0</v>
      </c>
    </row>
    <row r="22" spans="1:12" x14ac:dyDescent="0.15">
      <c r="A22" s="729" t="s">
        <v>319</v>
      </c>
      <c r="B22" s="700">
        <v>39498</v>
      </c>
      <c r="C22" s="710">
        <v>1980</v>
      </c>
      <c r="D22" s="705">
        <v>30000</v>
      </c>
      <c r="E22" s="700">
        <v>30000</v>
      </c>
      <c r="F22" s="710">
        <v>30000</v>
      </c>
      <c r="G22" s="705">
        <v>30000</v>
      </c>
      <c r="H22" s="700">
        <v>35962</v>
      </c>
      <c r="I22" s="710">
        <v>37962</v>
      </c>
      <c r="J22" s="710">
        <v>35600</v>
      </c>
      <c r="K22" s="710">
        <v>31448</v>
      </c>
      <c r="L22" s="705">
        <v>28590</v>
      </c>
    </row>
    <row r="23" spans="1:12" ht="14.25" thickBot="1" x14ac:dyDescent="0.2">
      <c r="A23" s="731" t="s">
        <v>320</v>
      </c>
      <c r="B23" s="702">
        <v>0</v>
      </c>
      <c r="C23" s="712">
        <v>0</v>
      </c>
      <c r="D23" s="707">
        <v>0</v>
      </c>
      <c r="E23" s="702">
        <v>0</v>
      </c>
      <c r="F23" s="712">
        <v>0</v>
      </c>
      <c r="G23" s="707">
        <v>0</v>
      </c>
      <c r="H23" s="702">
        <v>0</v>
      </c>
      <c r="I23" s="712">
        <v>0</v>
      </c>
      <c r="J23" s="712">
        <v>0</v>
      </c>
      <c r="K23" s="712">
        <v>0</v>
      </c>
      <c r="L23" s="707">
        <v>0</v>
      </c>
    </row>
    <row r="24" spans="1:12" x14ac:dyDescent="0.15">
      <c r="A24" s="732" t="s">
        <v>321</v>
      </c>
      <c r="B24" s="699">
        <v>0</v>
      </c>
      <c r="C24" s="709">
        <v>0</v>
      </c>
      <c r="D24" s="704">
        <v>0</v>
      </c>
      <c r="E24" s="699">
        <v>0</v>
      </c>
      <c r="F24" s="709">
        <v>0</v>
      </c>
      <c r="G24" s="704">
        <v>0</v>
      </c>
      <c r="H24" s="699">
        <v>0</v>
      </c>
      <c r="I24" s="709">
        <v>0</v>
      </c>
      <c r="J24" s="709">
        <v>0</v>
      </c>
      <c r="K24" s="709">
        <v>0</v>
      </c>
      <c r="L24" s="704">
        <v>0</v>
      </c>
    </row>
    <row r="25" spans="1:12" x14ac:dyDescent="0.15">
      <c r="A25" s="729" t="s">
        <v>322</v>
      </c>
      <c r="B25" s="700">
        <v>0</v>
      </c>
      <c r="C25" s="710">
        <v>0</v>
      </c>
      <c r="D25" s="705">
        <v>0</v>
      </c>
      <c r="E25" s="700">
        <v>0</v>
      </c>
      <c r="F25" s="710">
        <v>0</v>
      </c>
      <c r="G25" s="705">
        <v>0</v>
      </c>
      <c r="H25" s="700">
        <v>0</v>
      </c>
      <c r="I25" s="710">
        <v>0</v>
      </c>
      <c r="J25" s="710">
        <v>0</v>
      </c>
      <c r="K25" s="710">
        <v>0</v>
      </c>
      <c r="L25" s="705">
        <v>0</v>
      </c>
    </row>
    <row r="26" spans="1:12" ht="14.25" thickBot="1" x14ac:dyDescent="0.2">
      <c r="A26" s="730" t="s">
        <v>323</v>
      </c>
      <c r="B26" s="701">
        <v>27146</v>
      </c>
      <c r="C26" s="711">
        <v>5640</v>
      </c>
      <c r="D26" s="706">
        <v>10000</v>
      </c>
      <c r="E26" s="701">
        <v>10000</v>
      </c>
      <c r="F26" s="711">
        <v>10000</v>
      </c>
      <c r="G26" s="706">
        <v>10000</v>
      </c>
      <c r="H26" s="701">
        <v>11987</v>
      </c>
      <c r="I26" s="711">
        <v>12654</v>
      </c>
      <c r="J26" s="711">
        <v>11867</v>
      </c>
      <c r="K26" s="711">
        <v>10483</v>
      </c>
      <c r="L26" s="706">
        <v>9530</v>
      </c>
    </row>
    <row r="27" spans="1:12" ht="14.25" thickBot="1" x14ac:dyDescent="0.2">
      <c r="A27" s="731" t="s">
        <v>324</v>
      </c>
      <c r="B27" s="702">
        <v>280610</v>
      </c>
      <c r="C27" s="712">
        <v>203580</v>
      </c>
      <c r="D27" s="707">
        <v>234240</v>
      </c>
      <c r="E27" s="702">
        <v>240000</v>
      </c>
      <c r="F27" s="712">
        <v>240000</v>
      </c>
      <c r="G27" s="707">
        <v>240000</v>
      </c>
      <c r="H27" s="702">
        <v>280791</v>
      </c>
      <c r="I27" s="712">
        <v>296407</v>
      </c>
      <c r="J27" s="712">
        <v>277965</v>
      </c>
      <c r="K27" s="712">
        <v>245543</v>
      </c>
      <c r="L27" s="707">
        <v>223234</v>
      </c>
    </row>
    <row r="28" spans="1:12" x14ac:dyDescent="0.15">
      <c r="A28" s="732" t="s">
        <v>325</v>
      </c>
      <c r="B28" s="699">
        <v>0</v>
      </c>
      <c r="C28" s="709">
        <v>0</v>
      </c>
      <c r="D28" s="704">
        <v>0</v>
      </c>
      <c r="E28" s="699">
        <v>0</v>
      </c>
      <c r="F28" s="709">
        <v>0</v>
      </c>
      <c r="G28" s="704">
        <v>0</v>
      </c>
      <c r="H28" s="699">
        <v>0</v>
      </c>
      <c r="I28" s="709">
        <v>0</v>
      </c>
      <c r="J28" s="709">
        <v>0</v>
      </c>
      <c r="K28" s="709">
        <v>0</v>
      </c>
      <c r="L28" s="704">
        <v>0</v>
      </c>
    </row>
    <row r="29" spans="1:12" x14ac:dyDescent="0.15">
      <c r="A29" s="729" t="s">
        <v>326</v>
      </c>
      <c r="B29" s="700">
        <v>64440</v>
      </c>
      <c r="C29" s="710">
        <v>135473</v>
      </c>
      <c r="D29" s="705">
        <v>140000</v>
      </c>
      <c r="E29" s="700">
        <v>140000</v>
      </c>
      <c r="F29" s="710">
        <v>140000</v>
      </c>
      <c r="G29" s="705">
        <v>140000</v>
      </c>
      <c r="H29" s="700">
        <v>167822</v>
      </c>
      <c r="I29" s="710">
        <v>177156</v>
      </c>
      <c r="J29" s="710">
        <v>166133</v>
      </c>
      <c r="K29" s="710">
        <v>146756</v>
      </c>
      <c r="L29" s="705">
        <v>133422</v>
      </c>
    </row>
    <row r="30" spans="1:12" x14ac:dyDescent="0.15">
      <c r="A30" s="729" t="s">
        <v>327</v>
      </c>
      <c r="B30" s="700">
        <v>1824261</v>
      </c>
      <c r="C30" s="710">
        <v>2407179</v>
      </c>
      <c r="D30" s="705">
        <v>2450000</v>
      </c>
      <c r="E30" s="700">
        <v>2450000</v>
      </c>
      <c r="F30" s="710">
        <v>2450000</v>
      </c>
      <c r="G30" s="705">
        <v>2450000</v>
      </c>
      <c r="H30" s="700">
        <v>2936889</v>
      </c>
      <c r="I30" s="710">
        <v>3100222</v>
      </c>
      <c r="J30" s="710">
        <v>2907333</v>
      </c>
      <c r="K30" s="710">
        <v>2568222</v>
      </c>
      <c r="L30" s="705">
        <v>2334889</v>
      </c>
    </row>
    <row r="31" spans="1:12" x14ac:dyDescent="0.15">
      <c r="A31" s="729" t="s">
        <v>328</v>
      </c>
      <c r="B31" s="700">
        <v>0</v>
      </c>
      <c r="C31" s="710">
        <v>0</v>
      </c>
      <c r="D31" s="705">
        <v>0</v>
      </c>
      <c r="E31" s="700">
        <v>0</v>
      </c>
      <c r="F31" s="710">
        <v>0</v>
      </c>
      <c r="G31" s="705">
        <v>0</v>
      </c>
      <c r="H31" s="700">
        <v>0</v>
      </c>
      <c r="I31" s="710">
        <v>0</v>
      </c>
      <c r="J31" s="710">
        <v>0</v>
      </c>
      <c r="K31" s="710">
        <v>0</v>
      </c>
      <c r="L31" s="705">
        <v>0</v>
      </c>
    </row>
    <row r="32" spans="1:12" ht="14.25" thickBot="1" x14ac:dyDescent="0.2">
      <c r="A32" s="730" t="s">
        <v>329</v>
      </c>
      <c r="B32" s="701">
        <v>0</v>
      </c>
      <c r="C32" s="711">
        <v>0</v>
      </c>
      <c r="D32" s="706">
        <v>0</v>
      </c>
      <c r="E32" s="701">
        <v>0</v>
      </c>
      <c r="F32" s="711">
        <v>0</v>
      </c>
      <c r="G32" s="706">
        <v>0</v>
      </c>
      <c r="H32" s="701">
        <v>0</v>
      </c>
      <c r="I32" s="711">
        <v>0</v>
      </c>
      <c r="J32" s="711">
        <v>0</v>
      </c>
      <c r="K32" s="711">
        <v>0</v>
      </c>
      <c r="L32" s="706">
        <v>0</v>
      </c>
    </row>
    <row r="33" spans="1:12" ht="14.25" thickBot="1" x14ac:dyDescent="0.2">
      <c r="A33" s="730" t="s">
        <v>330</v>
      </c>
      <c r="B33" s="701">
        <v>0</v>
      </c>
      <c r="C33" s="711">
        <v>0</v>
      </c>
      <c r="D33" s="706">
        <v>0</v>
      </c>
      <c r="E33" s="701">
        <v>0</v>
      </c>
      <c r="F33" s="711">
        <v>0</v>
      </c>
      <c r="G33" s="706">
        <v>0</v>
      </c>
      <c r="H33" s="701">
        <v>0</v>
      </c>
      <c r="I33" s="711">
        <v>0</v>
      </c>
      <c r="J33" s="711">
        <v>0</v>
      </c>
      <c r="K33" s="711">
        <v>0</v>
      </c>
      <c r="L33" s="706">
        <v>0</v>
      </c>
    </row>
    <row r="35" spans="1:12" ht="14.25" thickBot="1" x14ac:dyDescent="0.2">
      <c r="A35" s="789" t="s">
        <v>361</v>
      </c>
      <c r="B35" s="789"/>
      <c r="C35" s="789"/>
      <c r="D35" s="789"/>
      <c r="E35" s="697"/>
      <c r="F35" s="697"/>
      <c r="G35" s="697"/>
      <c r="H35" s="697"/>
      <c r="I35" s="697"/>
      <c r="J35" s="697"/>
      <c r="K35" s="790"/>
      <c r="L35" s="790" t="s">
        <v>352</v>
      </c>
    </row>
    <row r="36" spans="1:12" ht="14.25" thickBot="1" x14ac:dyDescent="0.2">
      <c r="A36" s="717" t="s">
        <v>309</v>
      </c>
      <c r="B36" s="698" t="s">
        <v>389</v>
      </c>
      <c r="C36" s="708" t="s">
        <v>390</v>
      </c>
      <c r="D36" s="744" t="s">
        <v>391</v>
      </c>
      <c r="E36" s="717" t="s">
        <v>392</v>
      </c>
      <c r="F36" s="714" t="s">
        <v>394</v>
      </c>
      <c r="G36" s="713" t="s">
        <v>395</v>
      </c>
      <c r="H36" s="717" t="s">
        <v>397</v>
      </c>
      <c r="I36" s="714" t="s">
        <v>398</v>
      </c>
      <c r="J36" s="714" t="s">
        <v>399</v>
      </c>
      <c r="K36" s="718" t="s">
        <v>400</v>
      </c>
      <c r="L36" s="713" t="s">
        <v>416</v>
      </c>
    </row>
    <row r="37" spans="1:12" x14ac:dyDescent="0.15">
      <c r="A37" s="732" t="s">
        <v>331</v>
      </c>
      <c r="B37" s="699">
        <v>8123899</v>
      </c>
      <c r="C37" s="715">
        <v>8770489</v>
      </c>
      <c r="D37" s="704">
        <v>9000000</v>
      </c>
      <c r="E37" s="699">
        <v>9000000</v>
      </c>
      <c r="F37" s="715">
        <v>9000000</v>
      </c>
      <c r="G37" s="704">
        <v>9000000</v>
      </c>
      <c r="H37" s="699">
        <v>8739409</v>
      </c>
      <c r="I37" s="715">
        <v>8316977</v>
      </c>
      <c r="J37" s="715">
        <v>7965864</v>
      </c>
      <c r="K37" s="709">
        <v>7291070</v>
      </c>
      <c r="L37" s="704">
        <v>6860408</v>
      </c>
    </row>
    <row r="38" spans="1:12" ht="14.25" thickBot="1" x14ac:dyDescent="0.2">
      <c r="A38" s="733" t="s">
        <v>332</v>
      </c>
      <c r="B38" s="701">
        <v>3947457</v>
      </c>
      <c r="C38" s="716">
        <v>3999998</v>
      </c>
      <c r="D38" s="706">
        <v>4000000</v>
      </c>
      <c r="E38" s="701">
        <v>4000000</v>
      </c>
      <c r="F38" s="716">
        <v>4000000</v>
      </c>
      <c r="G38" s="706">
        <v>4000000</v>
      </c>
      <c r="H38" s="701">
        <v>3884182</v>
      </c>
      <c r="I38" s="716">
        <v>3696434</v>
      </c>
      <c r="J38" s="716">
        <v>3540384</v>
      </c>
      <c r="K38" s="711">
        <v>3240475</v>
      </c>
      <c r="L38" s="706">
        <v>3049070</v>
      </c>
    </row>
    <row r="39" spans="1:12" x14ac:dyDescent="0.15">
      <c r="E39" s="697"/>
      <c r="F39" s="697"/>
      <c r="G39" s="697"/>
      <c r="H39" s="697"/>
      <c r="I39" s="697"/>
      <c r="J39" s="697"/>
      <c r="K39" s="697"/>
      <c r="L39" s="697"/>
    </row>
    <row r="40" spans="1:12" ht="14.25" thickBot="1" x14ac:dyDescent="0.2">
      <c r="A40" s="789" t="s">
        <v>342</v>
      </c>
      <c r="B40" s="789"/>
      <c r="C40" s="789"/>
      <c r="D40" s="789"/>
      <c r="E40" s="697"/>
      <c r="F40" s="697"/>
      <c r="G40" s="697"/>
      <c r="H40" s="697"/>
      <c r="I40" s="697"/>
      <c r="J40" s="697"/>
      <c r="K40" s="790"/>
      <c r="L40" s="790" t="s">
        <v>352</v>
      </c>
    </row>
    <row r="41" spans="1:12" ht="14.25" thickBot="1" x14ac:dyDescent="0.2">
      <c r="A41" s="717" t="s">
        <v>309</v>
      </c>
      <c r="B41" s="698" t="s">
        <v>389</v>
      </c>
      <c r="C41" s="708" t="s">
        <v>390</v>
      </c>
      <c r="D41" s="744" t="s">
        <v>391</v>
      </c>
      <c r="E41" s="717" t="s">
        <v>392</v>
      </c>
      <c r="F41" s="718" t="s">
        <v>394</v>
      </c>
      <c r="G41" s="713" t="s">
        <v>395</v>
      </c>
      <c r="H41" s="717" t="s">
        <v>397</v>
      </c>
      <c r="I41" s="718" t="s">
        <v>398</v>
      </c>
      <c r="J41" s="718" t="s">
        <v>399</v>
      </c>
      <c r="K41" s="718" t="s">
        <v>400</v>
      </c>
      <c r="L41" s="713" t="s">
        <v>416</v>
      </c>
    </row>
    <row r="42" spans="1:12" x14ac:dyDescent="0.15">
      <c r="A42" s="732" t="s">
        <v>333</v>
      </c>
      <c r="B42" s="699">
        <v>2057834</v>
      </c>
      <c r="C42" s="709">
        <v>2242541</v>
      </c>
      <c r="D42" s="704">
        <v>2300000</v>
      </c>
      <c r="E42" s="699">
        <v>2300000</v>
      </c>
      <c r="F42" s="709">
        <v>2300000</v>
      </c>
      <c r="G42" s="704">
        <v>2300000</v>
      </c>
      <c r="H42" s="699">
        <v>2300000</v>
      </c>
      <c r="I42" s="709">
        <v>2300000</v>
      </c>
      <c r="J42" s="709">
        <v>2300000</v>
      </c>
      <c r="K42" s="709">
        <v>2300000</v>
      </c>
      <c r="L42" s="704">
        <v>2300000</v>
      </c>
    </row>
    <row r="43" spans="1:12" x14ac:dyDescent="0.15">
      <c r="A43" s="729" t="s">
        <v>334</v>
      </c>
      <c r="B43" s="700">
        <v>2035101</v>
      </c>
      <c r="C43" s="710">
        <v>2293128</v>
      </c>
      <c r="D43" s="705">
        <v>2300000</v>
      </c>
      <c r="E43" s="700">
        <v>2300000</v>
      </c>
      <c r="F43" s="710">
        <v>2300000</v>
      </c>
      <c r="G43" s="705">
        <v>2300000</v>
      </c>
      <c r="H43" s="700">
        <v>2300000</v>
      </c>
      <c r="I43" s="710">
        <v>2300000</v>
      </c>
      <c r="J43" s="710">
        <v>2300000</v>
      </c>
      <c r="K43" s="710">
        <v>2300000</v>
      </c>
      <c r="L43" s="705">
        <v>2300000</v>
      </c>
    </row>
    <row r="44" spans="1:12" x14ac:dyDescent="0.15">
      <c r="A44" s="729" t="s">
        <v>335</v>
      </c>
      <c r="B44" s="700">
        <v>1330775</v>
      </c>
      <c r="C44" s="710">
        <v>1386948</v>
      </c>
      <c r="D44" s="705">
        <v>1500000</v>
      </c>
      <c r="E44" s="700">
        <v>1500000</v>
      </c>
      <c r="F44" s="710">
        <v>1500000</v>
      </c>
      <c r="G44" s="705">
        <v>1500000</v>
      </c>
      <c r="H44" s="700">
        <v>1500000</v>
      </c>
      <c r="I44" s="710">
        <v>1500000</v>
      </c>
      <c r="J44" s="710">
        <v>1500000</v>
      </c>
      <c r="K44" s="710">
        <v>1500000</v>
      </c>
      <c r="L44" s="705">
        <v>1500000</v>
      </c>
    </row>
    <row r="45" spans="1:12" x14ac:dyDescent="0.15">
      <c r="A45" s="729" t="s">
        <v>336</v>
      </c>
      <c r="B45" s="700">
        <v>1549450</v>
      </c>
      <c r="C45" s="710">
        <v>1704000</v>
      </c>
      <c r="D45" s="705">
        <v>1800000</v>
      </c>
      <c r="E45" s="700">
        <v>1800000</v>
      </c>
      <c r="F45" s="710">
        <v>1800000</v>
      </c>
      <c r="G45" s="705">
        <v>1800000</v>
      </c>
      <c r="H45" s="700">
        <v>1800000</v>
      </c>
      <c r="I45" s="710">
        <v>1800000</v>
      </c>
      <c r="J45" s="710">
        <v>1800000</v>
      </c>
      <c r="K45" s="710">
        <v>1800000</v>
      </c>
      <c r="L45" s="705">
        <v>1800000</v>
      </c>
    </row>
    <row r="46" spans="1:12" x14ac:dyDescent="0.15">
      <c r="A46" s="729" t="s">
        <v>365</v>
      </c>
      <c r="B46" s="700">
        <v>0</v>
      </c>
      <c r="C46" s="710">
        <v>0</v>
      </c>
      <c r="D46" s="705">
        <v>0</v>
      </c>
      <c r="E46" s="700">
        <v>0</v>
      </c>
      <c r="F46" s="710">
        <v>0</v>
      </c>
      <c r="G46" s="705">
        <v>0</v>
      </c>
      <c r="H46" s="700">
        <v>0</v>
      </c>
      <c r="I46" s="710">
        <v>0</v>
      </c>
      <c r="J46" s="710">
        <v>0</v>
      </c>
      <c r="K46" s="710">
        <v>0</v>
      </c>
      <c r="L46" s="705">
        <v>0</v>
      </c>
    </row>
    <row r="47" spans="1:12" ht="14.25" thickBot="1" x14ac:dyDescent="0.2">
      <c r="A47" s="730" t="s">
        <v>337</v>
      </c>
      <c r="B47" s="701">
        <v>1005933</v>
      </c>
      <c r="C47" s="711">
        <v>1062621</v>
      </c>
      <c r="D47" s="706">
        <v>1100000</v>
      </c>
      <c r="E47" s="701">
        <v>1100000</v>
      </c>
      <c r="F47" s="711">
        <v>1100000</v>
      </c>
      <c r="G47" s="706">
        <v>1100000</v>
      </c>
      <c r="H47" s="701">
        <v>1100000</v>
      </c>
      <c r="I47" s="711">
        <v>1100000</v>
      </c>
      <c r="J47" s="711">
        <v>1100000</v>
      </c>
      <c r="K47" s="711">
        <v>1100000</v>
      </c>
      <c r="L47" s="706">
        <v>1100000</v>
      </c>
    </row>
    <row r="48" spans="1:12" x14ac:dyDescent="0.15">
      <c r="E48" s="697"/>
      <c r="F48" s="697"/>
      <c r="G48" s="697"/>
      <c r="H48" s="697"/>
      <c r="I48" s="697"/>
      <c r="J48" s="697"/>
      <c r="K48" s="697"/>
      <c r="L48" s="697"/>
    </row>
    <row r="49" spans="1:12" ht="14.25" thickBot="1" x14ac:dyDescent="0.2">
      <c r="A49" s="789" t="s">
        <v>343</v>
      </c>
      <c r="B49" s="789"/>
      <c r="C49" s="789"/>
      <c r="D49" s="789"/>
      <c r="E49" s="697"/>
      <c r="F49" s="697"/>
      <c r="G49" s="697"/>
      <c r="H49" s="697"/>
      <c r="I49" s="697"/>
      <c r="J49" s="697"/>
      <c r="K49" s="790"/>
      <c r="L49" s="790" t="s">
        <v>352</v>
      </c>
    </row>
    <row r="50" spans="1:12" ht="14.25" thickBot="1" x14ac:dyDescent="0.2">
      <c r="A50" s="717"/>
      <c r="B50" s="698" t="s">
        <v>389</v>
      </c>
      <c r="C50" s="708" t="s">
        <v>390</v>
      </c>
      <c r="D50" s="744" t="s">
        <v>391</v>
      </c>
      <c r="E50" s="717" t="s">
        <v>392</v>
      </c>
      <c r="F50" s="718" t="s">
        <v>394</v>
      </c>
      <c r="G50" s="713" t="s">
        <v>395</v>
      </c>
      <c r="H50" s="717" t="s">
        <v>397</v>
      </c>
      <c r="I50" s="718" t="s">
        <v>398</v>
      </c>
      <c r="J50" s="718" t="s">
        <v>399</v>
      </c>
      <c r="K50" s="718" t="s">
        <v>400</v>
      </c>
      <c r="L50" s="713" t="s">
        <v>416</v>
      </c>
    </row>
    <row r="51" spans="1:12" x14ac:dyDescent="0.15">
      <c r="A51" s="732" t="s">
        <v>338</v>
      </c>
      <c r="B51" s="795">
        <f>SUM(B9,B11,B13:B17,B19,B21:B33)</f>
        <v>7314288</v>
      </c>
      <c r="C51" s="796">
        <f t="shared" ref="C51:D51" si="0">SUM(C9,C11,C13:C17,C19,C21:C33)</f>
        <v>8373793</v>
      </c>
      <c r="D51" s="797">
        <f t="shared" si="0"/>
        <v>8504240</v>
      </c>
      <c r="E51" s="795">
        <f>SUM(E9,E11,E13:E17,E19,E21:E33)</f>
        <v>8520000</v>
      </c>
      <c r="F51" s="796">
        <f t="shared" ref="F51:J51" si="1">SUM(F9,F11,F13:F17,F19,F21:F33)</f>
        <v>8520000</v>
      </c>
      <c r="G51" s="797">
        <f t="shared" si="1"/>
        <v>8520000</v>
      </c>
      <c r="H51" s="795">
        <f t="shared" si="1"/>
        <v>8782618</v>
      </c>
      <c r="I51" s="796">
        <f t="shared" si="1"/>
        <v>8645978</v>
      </c>
      <c r="J51" s="796">
        <f t="shared" si="1"/>
        <v>7997294</v>
      </c>
      <c r="K51" s="796">
        <f>SUM(K9,K11,K13:K17,K19,K21:K33)</f>
        <v>7060531</v>
      </c>
      <c r="L51" s="797">
        <f>SUM(L9,L11,L13:L17,L19,L21:L33)</f>
        <v>6389722</v>
      </c>
    </row>
    <row r="52" spans="1:12" x14ac:dyDescent="0.15">
      <c r="A52" s="729" t="s">
        <v>362</v>
      </c>
      <c r="B52" s="798">
        <f>SUM(B37:B38)</f>
        <v>12071356</v>
      </c>
      <c r="C52" s="799">
        <f t="shared" ref="C52:D52" si="2">SUM(C37:C38)</f>
        <v>12770487</v>
      </c>
      <c r="D52" s="800">
        <f t="shared" si="2"/>
        <v>13000000</v>
      </c>
      <c r="E52" s="798">
        <f>SUM(E37:E38)</f>
        <v>13000000</v>
      </c>
      <c r="F52" s="799">
        <f t="shared" ref="F52:K52" si="3">SUM(F37:F38)</f>
        <v>13000000</v>
      </c>
      <c r="G52" s="800">
        <f t="shared" si="3"/>
        <v>13000000</v>
      </c>
      <c r="H52" s="798">
        <f t="shared" si="3"/>
        <v>12623591</v>
      </c>
      <c r="I52" s="799">
        <f t="shared" si="3"/>
        <v>12013411</v>
      </c>
      <c r="J52" s="799">
        <f t="shared" si="3"/>
        <v>11506248</v>
      </c>
      <c r="K52" s="799">
        <f t="shared" si="3"/>
        <v>10531545</v>
      </c>
      <c r="L52" s="800">
        <f t="shared" ref="L52" si="4">SUM(L37:L38)</f>
        <v>9909478</v>
      </c>
    </row>
    <row r="53" spans="1:12" ht="14.25" thickBot="1" x14ac:dyDescent="0.2">
      <c r="A53" s="730" t="s">
        <v>339</v>
      </c>
      <c r="B53" s="719">
        <f>SUM(B42:B47)</f>
        <v>7979093</v>
      </c>
      <c r="C53" s="721">
        <f t="shared" ref="C53:D53" si="5">SUM(C42:C47)</f>
        <v>8689238</v>
      </c>
      <c r="D53" s="720">
        <f t="shared" si="5"/>
        <v>9000000</v>
      </c>
      <c r="E53" s="719">
        <f>SUM(E42:E47)</f>
        <v>9000000</v>
      </c>
      <c r="F53" s="721">
        <f t="shared" ref="F53:K53" si="6">SUM(F42:F47)</f>
        <v>9000000</v>
      </c>
      <c r="G53" s="720">
        <f t="shared" si="6"/>
        <v>9000000</v>
      </c>
      <c r="H53" s="719">
        <f t="shared" si="6"/>
        <v>9000000</v>
      </c>
      <c r="I53" s="721">
        <f t="shared" si="6"/>
        <v>9000000</v>
      </c>
      <c r="J53" s="721">
        <f t="shared" si="6"/>
        <v>9000000</v>
      </c>
      <c r="K53" s="721">
        <f t="shared" si="6"/>
        <v>9000000</v>
      </c>
      <c r="L53" s="720">
        <f t="shared" ref="L53" si="7">SUM(L42:L47)</f>
        <v>9000000</v>
      </c>
    </row>
    <row r="54" spans="1:12" ht="14.25" thickBot="1" x14ac:dyDescent="0.2">
      <c r="A54" s="733" t="s">
        <v>340</v>
      </c>
      <c r="B54" s="719">
        <f>SUM(B51:B53)</f>
        <v>27364737</v>
      </c>
      <c r="C54" s="721">
        <f t="shared" ref="C54:D54" si="8">SUM(C51:C53)</f>
        <v>29833518</v>
      </c>
      <c r="D54" s="720">
        <f t="shared" si="8"/>
        <v>30504240</v>
      </c>
      <c r="E54" s="719">
        <f>SUM(E51:E53)</f>
        <v>30520000</v>
      </c>
      <c r="F54" s="721">
        <f t="shared" ref="F54:K54" si="9">SUM(F51:F53)</f>
        <v>30520000</v>
      </c>
      <c r="G54" s="720">
        <f t="shared" si="9"/>
        <v>30520000</v>
      </c>
      <c r="H54" s="719">
        <f t="shared" si="9"/>
        <v>30406209</v>
      </c>
      <c r="I54" s="721">
        <f t="shared" si="9"/>
        <v>29659389</v>
      </c>
      <c r="J54" s="721">
        <f t="shared" si="9"/>
        <v>28503542</v>
      </c>
      <c r="K54" s="721">
        <f t="shared" si="9"/>
        <v>26592076</v>
      </c>
      <c r="L54" s="720">
        <f t="shared" ref="L54" si="10">SUM(L51:L53)</f>
        <v>25299200</v>
      </c>
    </row>
    <row r="56" spans="1:12" x14ac:dyDescent="0.15">
      <c r="A56" s="784" t="s">
        <v>359</v>
      </c>
    </row>
  </sheetData>
  <phoneticPr fontId="3"/>
  <pageMargins left="0.7" right="0.7" top="0.75" bottom="0.75" header="0.3" footer="0.3"/>
  <pageSetup paperSize="8" scale="79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147"/>
  <sheetViews>
    <sheetView showGridLines="0" view="pageBreakPreview" topLeftCell="A31" zoomScale="85" zoomScaleNormal="40" zoomScaleSheetLayoutView="85" workbookViewId="0"/>
  </sheetViews>
  <sheetFormatPr defaultColWidth="9" defaultRowHeight="13.5" x14ac:dyDescent="0.15"/>
  <cols>
    <col min="1" max="1" width="43.125" style="353" bestFit="1" customWidth="1"/>
    <col min="2" max="4" width="11.375" style="353" customWidth="1"/>
    <col min="5" max="11" width="9" style="353"/>
    <col min="12" max="12" width="10.125" style="353" customWidth="1"/>
    <col min="13" max="16384" width="9" style="353"/>
  </cols>
  <sheetData>
    <row r="1" spans="1:12" ht="14.25" x14ac:dyDescent="0.15">
      <c r="A1" s="352" t="s">
        <v>348</v>
      </c>
      <c r="C1" s="354"/>
      <c r="D1" s="355"/>
    </row>
    <row r="2" spans="1:12" ht="15" thickBot="1" x14ac:dyDescent="0.2">
      <c r="A2" s="352"/>
      <c r="K2" s="354" t="s">
        <v>98</v>
      </c>
      <c r="L2" s="355" t="str">
        <f>'1_推計値サマリ'!T2</f>
        <v>2023/10/05</v>
      </c>
    </row>
    <row r="3" spans="1:12" ht="14.25" thickBot="1" x14ac:dyDescent="0.2">
      <c r="I3" s="1036" t="s">
        <v>67</v>
      </c>
      <c r="J3" s="1037"/>
      <c r="K3" s="1062" t="str">
        <f>保険者名</f>
        <v>川崎町</v>
      </c>
      <c r="L3" s="1063"/>
    </row>
    <row r="4" spans="1:12" ht="14.25" thickBot="1" x14ac:dyDescent="0.2">
      <c r="I4" s="1036" t="s">
        <v>68</v>
      </c>
      <c r="J4" s="1037"/>
      <c r="K4" s="1062" t="str">
        <f>保険者番号</f>
        <v>04324</v>
      </c>
      <c r="L4" s="1063"/>
    </row>
    <row r="5" spans="1:12" ht="31.5" customHeight="1" thickBot="1" x14ac:dyDescent="0.2">
      <c r="I5" s="1038" t="s">
        <v>103</v>
      </c>
      <c r="J5" s="1039"/>
      <c r="K5" s="1062" t="str">
        <f>推計パターン名</f>
        <v>第9期川崎町介護保険（R5.8.12）</v>
      </c>
      <c r="L5" s="1063"/>
    </row>
    <row r="6" spans="1:12" x14ac:dyDescent="0.15">
      <c r="C6" s="354"/>
      <c r="D6" s="354"/>
    </row>
    <row r="7" spans="1:12" ht="14.25" thickBot="1" x14ac:dyDescent="0.2">
      <c r="A7" s="353" t="s">
        <v>75</v>
      </c>
      <c r="C7" s="354"/>
      <c r="D7" s="354"/>
    </row>
    <row r="8" spans="1:12" ht="125.1" customHeight="1" thickBot="1" x14ac:dyDescent="0.2">
      <c r="A8" s="1089" t="s">
        <v>285</v>
      </c>
      <c r="B8" s="1090"/>
      <c r="C8" s="1090"/>
      <c r="D8" s="1090"/>
      <c r="E8" s="1091"/>
      <c r="F8" s="1091"/>
      <c r="G8" s="1091"/>
      <c r="H8" s="1091"/>
      <c r="I8" s="1091"/>
      <c r="J8" s="1091"/>
      <c r="K8" s="1091"/>
      <c r="L8" s="1092"/>
    </row>
    <row r="9" spans="1:12" ht="27" customHeight="1" thickBot="1" x14ac:dyDescent="0.2">
      <c r="A9" s="356" t="s">
        <v>113</v>
      </c>
      <c r="B9" s="357"/>
      <c r="C9" s="354"/>
      <c r="D9" s="354"/>
    </row>
    <row r="10" spans="1:12" ht="27" customHeight="1" thickBot="1" x14ac:dyDescent="0.2">
      <c r="A10" s="358" t="s">
        <v>114</v>
      </c>
      <c r="B10" s="1099" t="s">
        <v>443</v>
      </c>
      <c r="C10" s="1100"/>
      <c r="D10" s="1100"/>
      <c r="E10" s="1100"/>
      <c r="F10" s="1100"/>
      <c r="G10" s="1100"/>
      <c r="H10" s="1100"/>
      <c r="I10" s="1100"/>
      <c r="J10" s="1100"/>
      <c r="K10" s="1100"/>
      <c r="L10" s="1101"/>
    </row>
    <row r="11" spans="1:12" ht="27" customHeight="1" thickBot="1" x14ac:dyDescent="0.2">
      <c r="A11" s="358" t="s">
        <v>115</v>
      </c>
      <c r="B11" s="1099" t="s">
        <v>444</v>
      </c>
      <c r="C11" s="1100"/>
      <c r="D11" s="1100"/>
      <c r="E11" s="1100"/>
      <c r="F11" s="1100"/>
      <c r="G11" s="1100"/>
      <c r="H11" s="1100"/>
      <c r="I11" s="1100"/>
      <c r="J11" s="1100"/>
      <c r="K11" s="1100"/>
      <c r="L11" s="1101"/>
    </row>
    <row r="12" spans="1:12" ht="27" customHeight="1" thickBot="1" x14ac:dyDescent="0.2">
      <c r="A12" s="356" t="s">
        <v>116</v>
      </c>
      <c r="B12" s="357"/>
      <c r="C12" s="354"/>
      <c r="D12" s="354"/>
    </row>
    <row r="13" spans="1:12" ht="23.25" customHeight="1" thickBot="1" x14ac:dyDescent="0.2">
      <c r="A13" s="358" t="s">
        <v>101</v>
      </c>
      <c r="B13" s="1099" t="s">
        <v>445</v>
      </c>
      <c r="C13" s="1100"/>
      <c r="D13" s="1100"/>
      <c r="E13" s="1100"/>
      <c r="F13" s="1100"/>
      <c r="G13" s="1100"/>
      <c r="H13" s="1100"/>
      <c r="I13" s="1100"/>
      <c r="J13" s="1100"/>
      <c r="K13" s="1100"/>
      <c r="L13" s="1101"/>
    </row>
    <row r="14" spans="1:12" ht="23.25" customHeight="1" thickBot="1" x14ac:dyDescent="0.2">
      <c r="A14" s="359"/>
      <c r="B14" s="1093" t="s">
        <v>261</v>
      </c>
      <c r="C14" s="1093"/>
      <c r="D14" s="1093"/>
      <c r="E14" s="1094"/>
      <c r="F14" s="1094"/>
      <c r="G14" s="1094"/>
      <c r="H14" s="1094"/>
      <c r="I14" s="1094"/>
      <c r="J14" s="1094"/>
      <c r="K14" s="1094"/>
      <c r="L14" s="1094"/>
    </row>
    <row r="15" spans="1:12" ht="23.25" customHeight="1" thickBot="1" x14ac:dyDescent="0.2">
      <c r="A15" s="1097" t="s">
        <v>74</v>
      </c>
      <c r="B15" s="1095"/>
      <c r="C15" s="1095"/>
      <c r="D15" s="1095"/>
      <c r="E15" s="1096"/>
      <c r="F15" s="1096"/>
      <c r="G15" s="1096"/>
      <c r="H15" s="1096"/>
      <c r="I15" s="1096"/>
      <c r="J15" s="1096"/>
      <c r="K15" s="1096"/>
      <c r="L15" s="1096"/>
    </row>
    <row r="16" spans="1:12" ht="125.1" customHeight="1" thickBot="1" x14ac:dyDescent="0.2">
      <c r="A16" s="1098"/>
      <c r="B16" s="1095"/>
      <c r="C16" s="1095"/>
      <c r="D16" s="1095"/>
      <c r="E16" s="1096"/>
      <c r="F16" s="1096"/>
      <c r="G16" s="1096"/>
      <c r="H16" s="1096"/>
      <c r="I16" s="1096"/>
      <c r="J16" s="1096"/>
      <c r="K16" s="1096"/>
      <c r="L16" s="1096"/>
    </row>
    <row r="17" spans="1:12" ht="23.25" customHeight="1" thickBot="1" x14ac:dyDescent="0.2">
      <c r="A17" s="360"/>
      <c r="B17" s="1065" t="s">
        <v>92</v>
      </c>
      <c r="C17" s="1066"/>
      <c r="D17" s="1066"/>
      <c r="E17" s="1066"/>
      <c r="F17" s="1066"/>
      <c r="G17" s="1066"/>
      <c r="H17" s="1066"/>
      <c r="I17" s="1066"/>
      <c r="J17" s="1066"/>
      <c r="K17" s="1066"/>
      <c r="L17" s="1067"/>
    </row>
    <row r="18" spans="1:12" ht="125.1" customHeight="1" thickBot="1" x14ac:dyDescent="0.2">
      <c r="A18" s="361" t="s">
        <v>257</v>
      </c>
      <c r="B18" s="1102"/>
      <c r="C18" s="1103"/>
      <c r="D18" s="1103"/>
      <c r="E18" s="1103"/>
      <c r="F18" s="1103"/>
      <c r="G18" s="1103"/>
      <c r="H18" s="1103"/>
      <c r="I18" s="1103"/>
      <c r="J18" s="1103"/>
      <c r="K18" s="1103"/>
      <c r="L18" s="1104"/>
    </row>
    <row r="19" spans="1:12" ht="27" customHeight="1" thickBot="1" x14ac:dyDescent="0.2">
      <c r="A19" s="356" t="s">
        <v>258</v>
      </c>
      <c r="B19" s="357"/>
      <c r="C19" s="354"/>
      <c r="D19" s="354"/>
    </row>
    <row r="20" spans="1:12" ht="23.25" customHeight="1" x14ac:dyDescent="0.15">
      <c r="A20" s="362" t="s">
        <v>100</v>
      </c>
      <c r="B20" s="1077" t="s">
        <v>446</v>
      </c>
      <c r="C20" s="1078"/>
      <c r="D20" s="1078"/>
      <c r="E20" s="1078"/>
      <c r="F20" s="1078"/>
      <c r="G20" s="1078"/>
      <c r="H20" s="1078"/>
      <c r="I20" s="1078"/>
      <c r="J20" s="1078"/>
      <c r="K20" s="1078"/>
      <c r="L20" s="1079"/>
    </row>
    <row r="21" spans="1:12" ht="23.25" customHeight="1" thickBot="1" x14ac:dyDescent="0.2">
      <c r="A21" s="363" t="s">
        <v>102</v>
      </c>
      <c r="B21" s="1083" t="s">
        <v>447</v>
      </c>
      <c r="C21" s="1084"/>
      <c r="D21" s="1084"/>
      <c r="E21" s="1084"/>
      <c r="F21" s="1084"/>
      <c r="G21" s="1084"/>
      <c r="H21" s="1084"/>
      <c r="I21" s="1084"/>
      <c r="J21" s="1084"/>
      <c r="K21" s="1084"/>
      <c r="L21" s="1085"/>
    </row>
    <row r="22" spans="1:12" ht="23.25" customHeight="1" thickBot="1" x14ac:dyDescent="0.2">
      <c r="A22" s="360"/>
      <c r="B22" s="1065" t="s">
        <v>117</v>
      </c>
      <c r="C22" s="1066"/>
      <c r="D22" s="1066"/>
      <c r="E22" s="1066"/>
      <c r="F22" s="1066"/>
      <c r="G22" s="1066"/>
      <c r="H22" s="1066"/>
      <c r="I22" s="1066"/>
      <c r="J22" s="1066"/>
      <c r="K22" s="1066"/>
      <c r="L22" s="1067"/>
    </row>
    <row r="23" spans="1:12" ht="125.1" customHeight="1" thickBot="1" x14ac:dyDescent="0.2">
      <c r="A23" s="364" t="s">
        <v>118</v>
      </c>
      <c r="B23" s="1071"/>
      <c r="C23" s="1072"/>
      <c r="D23" s="1072"/>
      <c r="E23" s="1072"/>
      <c r="F23" s="1072"/>
      <c r="G23" s="1072"/>
      <c r="H23" s="1072"/>
      <c r="I23" s="1072"/>
      <c r="J23" s="1072"/>
      <c r="K23" s="1072"/>
      <c r="L23" s="1073"/>
    </row>
    <row r="24" spans="1:12" ht="23.25" customHeight="1" thickBot="1" x14ac:dyDescent="0.2">
      <c r="A24" s="360"/>
      <c r="B24" s="1065" t="s">
        <v>259</v>
      </c>
      <c r="C24" s="1066"/>
      <c r="D24" s="1066"/>
      <c r="E24" s="1066"/>
      <c r="F24" s="1066"/>
      <c r="G24" s="1066"/>
      <c r="H24" s="1066"/>
      <c r="I24" s="1066"/>
      <c r="J24" s="1066"/>
      <c r="K24" s="1066"/>
      <c r="L24" s="1067"/>
    </row>
    <row r="25" spans="1:12" ht="125.1" customHeight="1" thickBot="1" x14ac:dyDescent="0.2">
      <c r="A25" s="364" t="s">
        <v>262</v>
      </c>
      <c r="B25" s="1071"/>
      <c r="C25" s="1072"/>
      <c r="D25" s="1072"/>
      <c r="E25" s="1072"/>
      <c r="F25" s="1072"/>
      <c r="G25" s="1072"/>
      <c r="H25" s="1072"/>
      <c r="I25" s="1072"/>
      <c r="J25" s="1072"/>
      <c r="K25" s="1072"/>
      <c r="L25" s="1073"/>
    </row>
    <row r="26" spans="1:12" ht="23.25" customHeight="1" thickBot="1" x14ac:dyDescent="0.2">
      <c r="A26" s="360"/>
      <c r="B26" s="1065" t="s">
        <v>92</v>
      </c>
      <c r="C26" s="1066"/>
      <c r="D26" s="1066"/>
      <c r="E26" s="1066"/>
      <c r="F26" s="1066"/>
      <c r="G26" s="1066"/>
      <c r="H26" s="1066"/>
      <c r="I26" s="1066"/>
      <c r="J26" s="1066"/>
      <c r="K26" s="1066"/>
      <c r="L26" s="1067"/>
    </row>
    <row r="27" spans="1:12" ht="125.1" customHeight="1" x14ac:dyDescent="0.15">
      <c r="A27" s="364" t="s">
        <v>97</v>
      </c>
      <c r="B27" s="1071" t="s">
        <v>448</v>
      </c>
      <c r="C27" s="1072"/>
      <c r="D27" s="1072"/>
      <c r="E27" s="1072"/>
      <c r="F27" s="1072"/>
      <c r="G27" s="1072"/>
      <c r="H27" s="1072"/>
      <c r="I27" s="1072"/>
      <c r="J27" s="1072"/>
      <c r="K27" s="1072"/>
      <c r="L27" s="1073"/>
    </row>
    <row r="28" spans="1:12" ht="125.1" customHeight="1" x14ac:dyDescent="0.15">
      <c r="A28" s="365" t="s">
        <v>96</v>
      </c>
      <c r="B28" s="1086" t="s">
        <v>449</v>
      </c>
      <c r="C28" s="1087"/>
      <c r="D28" s="1087"/>
      <c r="E28" s="1087"/>
      <c r="F28" s="1087"/>
      <c r="G28" s="1087"/>
      <c r="H28" s="1087"/>
      <c r="I28" s="1087"/>
      <c r="J28" s="1087"/>
      <c r="K28" s="1087"/>
      <c r="L28" s="1088"/>
    </row>
    <row r="29" spans="1:12" ht="125.1" customHeight="1" thickBot="1" x14ac:dyDescent="0.2">
      <c r="A29" s="366" t="s">
        <v>95</v>
      </c>
      <c r="B29" s="1074" t="s">
        <v>448</v>
      </c>
      <c r="C29" s="1075"/>
      <c r="D29" s="1075"/>
      <c r="E29" s="1075"/>
      <c r="F29" s="1075"/>
      <c r="G29" s="1075"/>
      <c r="H29" s="1075"/>
      <c r="I29" s="1075"/>
      <c r="J29" s="1075"/>
      <c r="K29" s="1075"/>
      <c r="L29" s="1076"/>
    </row>
    <row r="30" spans="1:12" ht="27" customHeight="1" thickBot="1" x14ac:dyDescent="0.2">
      <c r="A30" s="356" t="s">
        <v>246</v>
      </c>
      <c r="B30" s="357"/>
      <c r="C30" s="354"/>
      <c r="D30" s="354"/>
    </row>
    <row r="31" spans="1:12" ht="23.25" customHeight="1" x14ac:dyDescent="0.15">
      <c r="A31" s="362" t="s">
        <v>100</v>
      </c>
      <c r="B31" s="1077" t="s">
        <v>446</v>
      </c>
      <c r="C31" s="1078"/>
      <c r="D31" s="1078"/>
      <c r="E31" s="1078"/>
      <c r="F31" s="1078"/>
      <c r="G31" s="1078"/>
      <c r="H31" s="1078"/>
      <c r="I31" s="1078"/>
      <c r="J31" s="1078"/>
      <c r="K31" s="1078"/>
      <c r="L31" s="1079"/>
    </row>
    <row r="32" spans="1:12" ht="23.25" customHeight="1" x14ac:dyDescent="0.15">
      <c r="A32" s="367" t="s">
        <v>99</v>
      </c>
      <c r="B32" s="1080" t="s">
        <v>446</v>
      </c>
      <c r="C32" s="1081"/>
      <c r="D32" s="1081"/>
      <c r="E32" s="1081"/>
      <c r="F32" s="1081"/>
      <c r="G32" s="1081"/>
      <c r="H32" s="1081"/>
      <c r="I32" s="1081"/>
      <c r="J32" s="1081"/>
      <c r="K32" s="1081"/>
      <c r="L32" s="1082"/>
    </row>
    <row r="33" spans="1:12" ht="23.25" customHeight="1" thickBot="1" x14ac:dyDescent="0.2">
      <c r="A33" s="363" t="s">
        <v>102</v>
      </c>
      <c r="B33" s="1083" t="s">
        <v>447</v>
      </c>
      <c r="C33" s="1084"/>
      <c r="D33" s="1084"/>
      <c r="E33" s="1084"/>
      <c r="F33" s="1084"/>
      <c r="G33" s="1084"/>
      <c r="H33" s="1084"/>
      <c r="I33" s="1084"/>
      <c r="J33" s="1084"/>
      <c r="K33" s="1084"/>
      <c r="L33" s="1085"/>
    </row>
    <row r="34" spans="1:12" ht="23.25" customHeight="1" thickBot="1" x14ac:dyDescent="0.2">
      <c r="A34" s="360"/>
      <c r="B34" s="1065" t="s">
        <v>259</v>
      </c>
      <c r="C34" s="1066"/>
      <c r="D34" s="1066"/>
      <c r="E34" s="1066"/>
      <c r="F34" s="1066"/>
      <c r="G34" s="1066"/>
      <c r="H34" s="1066"/>
      <c r="I34" s="1066"/>
      <c r="J34" s="1066"/>
      <c r="K34" s="1066"/>
      <c r="L34" s="1067"/>
    </row>
    <row r="35" spans="1:12" ht="125.1" customHeight="1" thickBot="1" x14ac:dyDescent="0.2">
      <c r="A35" s="368" t="s">
        <v>264</v>
      </c>
      <c r="B35" s="1068"/>
      <c r="C35" s="1069"/>
      <c r="D35" s="1069"/>
      <c r="E35" s="1069"/>
      <c r="F35" s="1069"/>
      <c r="G35" s="1069"/>
      <c r="H35" s="1069"/>
      <c r="I35" s="1069"/>
      <c r="J35" s="1069"/>
      <c r="K35" s="1069"/>
      <c r="L35" s="1070"/>
    </row>
    <row r="36" spans="1:12" ht="23.25" customHeight="1" thickBot="1" x14ac:dyDescent="0.2">
      <c r="A36" s="360"/>
      <c r="B36" s="1065" t="s">
        <v>260</v>
      </c>
      <c r="C36" s="1066"/>
      <c r="D36" s="1066"/>
      <c r="E36" s="1066"/>
      <c r="F36" s="1066"/>
      <c r="G36" s="1066"/>
      <c r="H36" s="1066"/>
      <c r="I36" s="1066"/>
      <c r="J36" s="1066"/>
      <c r="K36" s="1066"/>
      <c r="L36" s="1067"/>
    </row>
    <row r="37" spans="1:12" ht="125.1" customHeight="1" thickBot="1" x14ac:dyDescent="0.2">
      <c r="A37" s="368" t="s">
        <v>265</v>
      </c>
      <c r="B37" s="1068"/>
      <c r="C37" s="1069"/>
      <c r="D37" s="1069"/>
      <c r="E37" s="1069"/>
      <c r="F37" s="1069"/>
      <c r="G37" s="1069"/>
      <c r="H37" s="1069"/>
      <c r="I37" s="1069"/>
      <c r="J37" s="1069"/>
      <c r="K37" s="1069"/>
      <c r="L37" s="1070"/>
    </row>
    <row r="38" spans="1:12" ht="23.25" customHeight="1" thickBot="1" x14ac:dyDescent="0.2">
      <c r="A38" s="360"/>
      <c r="B38" s="1065" t="s">
        <v>117</v>
      </c>
      <c r="C38" s="1066"/>
      <c r="D38" s="1066"/>
      <c r="E38" s="1066"/>
      <c r="F38" s="1066"/>
      <c r="G38" s="1066"/>
      <c r="H38" s="1066"/>
      <c r="I38" s="1066"/>
      <c r="J38" s="1066"/>
      <c r="K38" s="1066"/>
      <c r="L38" s="1067"/>
    </row>
    <row r="39" spans="1:12" ht="125.1" customHeight="1" thickBot="1" x14ac:dyDescent="0.2">
      <c r="A39" s="368" t="s">
        <v>263</v>
      </c>
      <c r="B39" s="1068"/>
      <c r="C39" s="1069"/>
      <c r="D39" s="1069"/>
      <c r="E39" s="1069"/>
      <c r="F39" s="1069"/>
      <c r="G39" s="1069"/>
      <c r="H39" s="1069"/>
      <c r="I39" s="1069"/>
      <c r="J39" s="1069"/>
      <c r="K39" s="1069"/>
      <c r="L39" s="1070"/>
    </row>
    <row r="40" spans="1:12" ht="23.25" customHeight="1" thickBot="1" x14ac:dyDescent="0.2">
      <c r="A40" s="360"/>
      <c r="B40" s="1065" t="s">
        <v>92</v>
      </c>
      <c r="C40" s="1066"/>
      <c r="D40" s="1066"/>
      <c r="E40" s="1066"/>
      <c r="F40" s="1066"/>
      <c r="G40" s="1066"/>
      <c r="H40" s="1066"/>
      <c r="I40" s="1066"/>
      <c r="J40" s="1066"/>
      <c r="K40" s="1066"/>
      <c r="L40" s="1067"/>
    </row>
    <row r="41" spans="1:12" ht="125.1" customHeight="1" x14ac:dyDescent="0.15">
      <c r="A41" s="368" t="s">
        <v>266</v>
      </c>
      <c r="B41" s="1068" t="s">
        <v>448</v>
      </c>
      <c r="C41" s="1069"/>
      <c r="D41" s="1069"/>
      <c r="E41" s="1069"/>
      <c r="F41" s="1069"/>
      <c r="G41" s="1069"/>
      <c r="H41" s="1069"/>
      <c r="I41" s="1069"/>
      <c r="J41" s="1069"/>
      <c r="K41" s="1069"/>
      <c r="L41" s="1070"/>
    </row>
    <row r="42" spans="1:12" ht="125.1" customHeight="1" thickBot="1" x14ac:dyDescent="0.2">
      <c r="A42" s="369" t="s">
        <v>267</v>
      </c>
      <c r="B42" s="1074"/>
      <c r="C42" s="1075"/>
      <c r="D42" s="1075"/>
      <c r="E42" s="1075"/>
      <c r="F42" s="1075"/>
      <c r="G42" s="1075"/>
      <c r="H42" s="1075"/>
      <c r="I42" s="1075"/>
      <c r="J42" s="1075"/>
      <c r="K42" s="1075"/>
      <c r="L42" s="1076"/>
    </row>
    <row r="43" spans="1:12" ht="27" customHeight="1" thickBot="1" x14ac:dyDescent="0.2">
      <c r="A43" s="356" t="s">
        <v>346</v>
      </c>
    </row>
    <row r="44" spans="1:12" ht="23.25" customHeight="1" thickBot="1" x14ac:dyDescent="0.2">
      <c r="A44" s="360"/>
      <c r="B44" s="1065" t="s">
        <v>92</v>
      </c>
      <c r="C44" s="1066"/>
      <c r="D44" s="1066"/>
      <c r="E44" s="1066"/>
      <c r="F44" s="1066"/>
      <c r="G44" s="1066"/>
      <c r="H44" s="1066"/>
      <c r="I44" s="1066"/>
      <c r="J44" s="1066"/>
      <c r="K44" s="1066"/>
      <c r="L44" s="1067"/>
    </row>
    <row r="45" spans="1:12" ht="125.1" customHeight="1" x14ac:dyDescent="0.15">
      <c r="A45" s="890" t="s">
        <v>345</v>
      </c>
      <c r="B45" s="1068"/>
      <c r="C45" s="1069"/>
      <c r="D45" s="1069"/>
      <c r="E45" s="1069"/>
      <c r="F45" s="1069"/>
      <c r="G45" s="1069"/>
      <c r="H45" s="1069"/>
      <c r="I45" s="1069"/>
      <c r="J45" s="1069"/>
      <c r="K45" s="1069"/>
      <c r="L45" s="1070"/>
    </row>
    <row r="46" spans="1:12" ht="27" customHeight="1" thickBot="1" x14ac:dyDescent="0.2">
      <c r="A46" s="356" t="s">
        <v>364</v>
      </c>
      <c r="B46" s="357"/>
      <c r="C46" s="354"/>
      <c r="D46" s="354"/>
    </row>
    <row r="47" spans="1:12" ht="125.1" customHeight="1" x14ac:dyDescent="0.15">
      <c r="A47" s="368" t="s">
        <v>256</v>
      </c>
      <c r="B47" s="1068"/>
      <c r="C47" s="1069"/>
      <c r="D47" s="1069"/>
      <c r="E47" s="1069"/>
      <c r="F47" s="1069"/>
      <c r="G47" s="1069"/>
      <c r="H47" s="1069"/>
      <c r="I47" s="1069"/>
      <c r="J47" s="1069"/>
      <c r="K47" s="1069"/>
      <c r="L47" s="1070"/>
    </row>
    <row r="52" spans="2:2" x14ac:dyDescent="0.15">
      <c r="B52" s="357"/>
    </row>
    <row r="68" ht="13.5" customHeight="1" x14ac:dyDescent="0.15"/>
    <row r="108" ht="13.5" customHeight="1" x14ac:dyDescent="0.15"/>
    <row r="147" ht="13.5" customHeight="1" x14ac:dyDescent="0.15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8" scale="8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Q279"/>
  <sheetViews>
    <sheetView tabSelected="1" view="pageBreakPreview" zoomScale="80" zoomScaleNormal="100" zoomScaleSheetLayoutView="80" workbookViewId="0"/>
  </sheetViews>
  <sheetFormatPr defaultColWidth="9" defaultRowHeight="13.5" x14ac:dyDescent="0.15"/>
  <cols>
    <col min="1" max="2" width="2.625" style="190" customWidth="1"/>
    <col min="3" max="3" width="15.625" style="190" customWidth="1"/>
    <col min="4" max="4" width="21.125" style="190" customWidth="1"/>
    <col min="5" max="5" width="20.25" style="190" customWidth="1"/>
    <col min="6" max="6" width="17" style="190" customWidth="1"/>
    <col min="7" max="16" width="14.625" style="190" customWidth="1"/>
    <col min="17" max="17" width="14.5" style="190" customWidth="1"/>
    <col min="18" max="18" width="2.875" style="190" customWidth="1"/>
    <col min="19" max="16384" width="9" style="190"/>
  </cols>
  <sheetData>
    <row r="1" spans="1:17" ht="14.25" x14ac:dyDescent="0.15">
      <c r="A1" s="724" t="s">
        <v>349</v>
      </c>
      <c r="B1" s="189"/>
      <c r="C1" s="755"/>
      <c r="D1" s="755"/>
      <c r="E1" s="755"/>
      <c r="F1" s="755"/>
      <c r="G1" s="755"/>
      <c r="H1" s="755"/>
    </row>
    <row r="2" spans="1:17" ht="15" thickBot="1" x14ac:dyDescent="0.2">
      <c r="A2" s="191"/>
      <c r="J2" s="192"/>
    </row>
    <row r="3" spans="1:17" ht="14.25" thickBot="1" x14ac:dyDescent="0.2">
      <c r="B3" s="193"/>
      <c r="P3" s="754" t="s">
        <v>67</v>
      </c>
      <c r="Q3" s="194" t="str">
        <f>保険者名</f>
        <v>川崎町</v>
      </c>
    </row>
    <row r="4" spans="1:17" ht="14.25" thickBot="1" x14ac:dyDescent="0.2">
      <c r="B4" s="193"/>
      <c r="P4" s="628" t="s">
        <v>68</v>
      </c>
      <c r="Q4" s="195" t="str">
        <f>保険者番号</f>
        <v>04324</v>
      </c>
    </row>
    <row r="5" spans="1:17" ht="14.25" thickBot="1" x14ac:dyDescent="0.2">
      <c r="B5" s="193"/>
      <c r="P5" s="196" t="s">
        <v>103</v>
      </c>
      <c r="Q5" s="197" t="str">
        <f>推計パターン名</f>
        <v>第9期川崎町介護保険（R5.8.12）</v>
      </c>
    </row>
    <row r="6" spans="1:17" x14ac:dyDescent="0.15">
      <c r="B6" s="193"/>
    </row>
    <row r="7" spans="1:17" ht="14.25" thickBot="1" x14ac:dyDescent="0.2">
      <c r="A7" s="198" t="s">
        <v>403</v>
      </c>
      <c r="B7" s="193"/>
    </row>
    <row r="8" spans="1:17" ht="14.25" thickBot="1" x14ac:dyDescent="0.2">
      <c r="A8" s="199" t="s">
        <v>409</v>
      </c>
      <c r="B8" s="200"/>
      <c r="C8" s="200"/>
      <c r="D8" s="200"/>
      <c r="E8" s="200"/>
      <c r="F8" s="689">
        <v>6382.5283485172404</v>
      </c>
      <c r="G8" s="192"/>
    </row>
    <row r="9" spans="1:17" x14ac:dyDescent="0.15">
      <c r="G9" s="192"/>
      <c r="H9" s="192"/>
      <c r="I9" s="192"/>
      <c r="J9" s="192"/>
    </row>
    <row r="10" spans="1:17" ht="14.25" thickBot="1" x14ac:dyDescent="0.2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 x14ac:dyDescent="0.2">
      <c r="A11" s="202"/>
      <c r="B11" s="203"/>
      <c r="C11" s="203"/>
      <c r="D11" s="203"/>
      <c r="E11" s="203"/>
      <c r="F11" s="628" t="s">
        <v>402</v>
      </c>
      <c r="G11" s="670" t="s">
        <v>293</v>
      </c>
      <c r="H11" s="670" t="s">
        <v>294</v>
      </c>
      <c r="I11" s="670" t="s">
        <v>295</v>
      </c>
      <c r="J11" s="894" t="s">
        <v>382</v>
      </c>
      <c r="K11" s="895" t="s">
        <v>410</v>
      </c>
    </row>
    <row r="12" spans="1:17" x14ac:dyDescent="0.15">
      <c r="A12" s="205" t="s">
        <v>239</v>
      </c>
      <c r="B12" s="206"/>
      <c r="C12" s="206"/>
      <c r="D12" s="206"/>
      <c r="E12" s="206"/>
      <c r="F12" s="989">
        <f>F101/F102/F200/12</f>
        <v>7644.2121364425739</v>
      </c>
      <c r="G12" s="671">
        <f>J101/J102/J200/12</f>
        <v>8737.5220725246563</v>
      </c>
      <c r="H12" s="671">
        <f t="shared" ref="H12:K12" si="0">K101/K102/K200/12</f>
        <v>9342.041542844594</v>
      </c>
      <c r="I12" s="671">
        <f t="shared" si="0"/>
        <v>9651.9332332467984</v>
      </c>
      <c r="J12" s="671">
        <f t="shared" si="0"/>
        <v>9870.8316351991798</v>
      </c>
      <c r="K12" s="938">
        <f t="shared" si="0"/>
        <v>10722.786136869503</v>
      </c>
    </row>
    <row r="13" spans="1:17" x14ac:dyDescent="0.15">
      <c r="A13" s="207" t="s">
        <v>132</v>
      </c>
      <c r="B13" s="206"/>
      <c r="C13" s="206"/>
      <c r="D13" s="206"/>
      <c r="E13" s="206"/>
      <c r="F13" s="990">
        <f>(F101+F15)/F102/F200/12-F12</f>
        <v>0</v>
      </c>
      <c r="G13" s="671">
        <f>(J101+G15)/J102/J200/12-G12</f>
        <v>0</v>
      </c>
      <c r="H13" s="671">
        <f t="shared" ref="H13:K13" si="1">(K101+H15)/K102/K200/12-H12</f>
        <v>0</v>
      </c>
      <c r="I13" s="671">
        <f t="shared" si="1"/>
        <v>0</v>
      </c>
      <c r="J13" s="671">
        <f t="shared" si="1"/>
        <v>0</v>
      </c>
      <c r="K13" s="939">
        <f t="shared" si="1"/>
        <v>0</v>
      </c>
    </row>
    <row r="14" spans="1:17" x14ac:dyDescent="0.15">
      <c r="A14" s="208"/>
      <c r="B14" s="209" t="s">
        <v>133</v>
      </c>
      <c r="C14" s="209"/>
      <c r="D14" s="209"/>
      <c r="E14" s="209"/>
      <c r="F14" s="995">
        <v>0</v>
      </c>
      <c r="G14" s="644">
        <v>0</v>
      </c>
      <c r="H14" s="803">
        <v>0</v>
      </c>
      <c r="I14" s="803">
        <v>0</v>
      </c>
      <c r="J14" s="803">
        <v>0</v>
      </c>
      <c r="K14" s="804">
        <v>0</v>
      </c>
    </row>
    <row r="15" spans="1:17" x14ac:dyDescent="0.15">
      <c r="A15" s="208"/>
      <c r="B15" s="209" t="s">
        <v>134</v>
      </c>
      <c r="C15" s="209"/>
      <c r="D15" s="209"/>
      <c r="E15" s="209"/>
      <c r="F15" s="995">
        <v>0</v>
      </c>
      <c r="G15" s="644">
        <v>0</v>
      </c>
      <c r="H15" s="803">
        <v>0</v>
      </c>
      <c r="I15" s="803">
        <v>0</v>
      </c>
      <c r="J15" s="803">
        <v>0</v>
      </c>
      <c r="K15" s="804">
        <v>0</v>
      </c>
    </row>
    <row r="16" spans="1:17" x14ac:dyDescent="0.15">
      <c r="A16" s="210"/>
      <c r="B16" s="206" t="s">
        <v>135</v>
      </c>
      <c r="C16" s="206"/>
      <c r="D16" s="206"/>
      <c r="E16" s="206"/>
      <c r="F16" s="991">
        <f>IF(F14=0,0, F15/F14)</f>
        <v>0</v>
      </c>
      <c r="G16" s="672">
        <f>IF(G14=0,0,G15/G14)</f>
        <v>0</v>
      </c>
      <c r="H16" s="805">
        <f>IF(H14=0,0,H15/H14)</f>
        <v>0</v>
      </c>
      <c r="I16" s="805">
        <f>IF(I14=0,0,I15/I14)</f>
        <v>0</v>
      </c>
      <c r="J16" s="805">
        <f>IF(J14=0,0,J15/J14)</f>
        <v>0</v>
      </c>
      <c r="K16" s="806">
        <f>IF(K14=0,0,K15/K14)</f>
        <v>0</v>
      </c>
    </row>
    <row r="17" spans="1:14" x14ac:dyDescent="0.15">
      <c r="A17" s="207" t="s">
        <v>136</v>
      </c>
      <c r="B17" s="206"/>
      <c r="C17" s="206"/>
      <c r="D17" s="206"/>
      <c r="E17" s="206"/>
      <c r="F17" s="990">
        <f>F12-(F101-F18)/F102/F200/12</f>
        <v>0</v>
      </c>
      <c r="G17" s="671">
        <f>G12-(J101-G18)/J102/J200/12</f>
        <v>0</v>
      </c>
      <c r="H17" s="801">
        <f>H12-(K101-H18)/K102/K200/12</f>
        <v>0</v>
      </c>
      <c r="I17" s="801">
        <f>I12-(L101-I18)/L102/L200/12</f>
        <v>0</v>
      </c>
      <c r="J17" s="801">
        <f>J12-(M101-J18)/M102/M200/12</f>
        <v>0</v>
      </c>
      <c r="K17" s="802">
        <f>K12-(N101-K18)/N102/N200/12</f>
        <v>0</v>
      </c>
    </row>
    <row r="18" spans="1:14" x14ac:dyDescent="0.15">
      <c r="A18" s="208"/>
      <c r="B18" s="206" t="s">
        <v>137</v>
      </c>
      <c r="C18" s="206"/>
      <c r="D18" s="206"/>
      <c r="E18" s="206"/>
      <c r="F18" s="990">
        <f>(F68+F84)*F19</f>
        <v>0</v>
      </c>
      <c r="G18" s="671">
        <f>(J68+J84)*G19</f>
        <v>0</v>
      </c>
      <c r="H18" s="801">
        <f>(K68+K84)*H19</f>
        <v>0</v>
      </c>
      <c r="I18" s="801">
        <f>(L68+L84)*I19</f>
        <v>0</v>
      </c>
      <c r="J18" s="801">
        <f t="shared" ref="J18:K18" si="2">(M68+M84)*J19</f>
        <v>0</v>
      </c>
      <c r="K18" s="802">
        <f t="shared" si="2"/>
        <v>0</v>
      </c>
    </row>
    <row r="19" spans="1:14" x14ac:dyDescent="0.15">
      <c r="A19" s="210"/>
      <c r="B19" s="209" t="s">
        <v>138</v>
      </c>
      <c r="C19" s="209"/>
      <c r="D19" s="209"/>
      <c r="E19" s="209"/>
      <c r="F19" s="996">
        <v>0</v>
      </c>
      <c r="G19" s="675">
        <v>0</v>
      </c>
      <c r="H19" s="807">
        <v>0</v>
      </c>
      <c r="I19" s="807">
        <v>0</v>
      </c>
      <c r="J19" s="807">
        <v>0</v>
      </c>
      <c r="K19" s="948">
        <v>0</v>
      </c>
    </row>
    <row r="20" spans="1:14" x14ac:dyDescent="0.15">
      <c r="A20" s="207" t="s">
        <v>139</v>
      </c>
      <c r="B20" s="206"/>
      <c r="C20" s="206"/>
      <c r="D20" s="206"/>
      <c r="E20" s="206"/>
      <c r="F20" s="990">
        <f>F12-(F101-F21)/F102/F200/12</f>
        <v>0</v>
      </c>
      <c r="G20" s="671">
        <f>G12-(J101-G21)/J102/J200/12</f>
        <v>0</v>
      </c>
      <c r="H20" s="801">
        <f>H12-(K101-H21)/K102/K200/12</f>
        <v>0</v>
      </c>
      <c r="I20" s="801">
        <f>I12-(L101-I21)/L102/L200/12</f>
        <v>0</v>
      </c>
      <c r="J20" s="801">
        <f>J12-(M101-J21)/M102/M200/12</f>
        <v>0</v>
      </c>
      <c r="K20" s="802">
        <f>K12-(N101-K21)/N102/N200/12</f>
        <v>0</v>
      </c>
    </row>
    <row r="21" spans="1:14" x14ac:dyDescent="0.15">
      <c r="A21" s="211"/>
      <c r="B21" s="212" t="s">
        <v>140</v>
      </c>
      <c r="C21" s="209"/>
      <c r="D21" s="209"/>
      <c r="E21" s="209"/>
      <c r="F21" s="997">
        <v>0</v>
      </c>
      <c r="G21" s="644">
        <v>0</v>
      </c>
      <c r="H21" s="803">
        <v>0</v>
      </c>
      <c r="I21" s="803">
        <v>0</v>
      </c>
      <c r="J21" s="803">
        <v>0</v>
      </c>
      <c r="K21" s="804">
        <v>0</v>
      </c>
    </row>
    <row r="22" spans="1:14" ht="14.25" thickBot="1" x14ac:dyDescent="0.2">
      <c r="A22" s="213" t="s">
        <v>404</v>
      </c>
      <c r="B22" s="214"/>
      <c r="C22" s="214"/>
      <c r="D22" s="214"/>
      <c r="E22" s="214"/>
      <c r="F22" s="993">
        <f t="shared" ref="F22:K22" si="3">F12/$F$8-1</f>
        <v>0.19767774133246774</v>
      </c>
      <c r="G22" s="674">
        <f t="shared" si="3"/>
        <v>0.36897505117302254</v>
      </c>
      <c r="H22" s="808">
        <f t="shared" si="3"/>
        <v>0.46368978447465792</v>
      </c>
      <c r="I22" s="808">
        <f t="shared" si="3"/>
        <v>0.51224290848454923</v>
      </c>
      <c r="J22" s="808">
        <f t="shared" si="3"/>
        <v>0.54653941137485518</v>
      </c>
      <c r="K22" s="809">
        <f t="shared" si="3"/>
        <v>0.68002170164439169</v>
      </c>
    </row>
    <row r="24" spans="1:14" ht="14.25" thickBot="1" x14ac:dyDescent="0.2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 x14ac:dyDescent="0.2">
      <c r="A25" s="202"/>
      <c r="B25" s="203"/>
      <c r="C25" s="203"/>
      <c r="D25" s="203"/>
      <c r="E25" s="203"/>
      <c r="F25" s="628" t="s">
        <v>380</v>
      </c>
      <c r="G25" s="670" t="s">
        <v>293</v>
      </c>
      <c r="H25" s="670" t="s">
        <v>294</v>
      </c>
      <c r="I25" s="670" t="s">
        <v>295</v>
      </c>
      <c r="J25" s="910" t="s">
        <v>382</v>
      </c>
      <c r="K25" s="764" t="s">
        <v>410</v>
      </c>
    </row>
    <row r="26" spans="1:14" x14ac:dyDescent="0.15">
      <c r="A26" s="205" t="s">
        <v>239</v>
      </c>
      <c r="B26" s="206"/>
      <c r="C26" s="206"/>
      <c r="D26" s="206"/>
      <c r="E26" s="206"/>
      <c r="F26" s="989" t="str">
        <f>IFERROR(F101/F102/F201/12,"－")</f>
        <v>－</v>
      </c>
      <c r="G26" s="671" t="str">
        <f>IFERROR(J101/J102/J201/12,"－")</f>
        <v>－</v>
      </c>
      <c r="H26" s="801" t="str">
        <f t="shared" ref="H26:I26" si="4">IFERROR(K101/K102/K201/12,"－")</f>
        <v>－</v>
      </c>
      <c r="I26" s="801" t="str">
        <f t="shared" si="4"/>
        <v>－</v>
      </c>
      <c r="J26" s="801" t="str">
        <f>IFERROR(M101/M102/M201/12,"－")</f>
        <v>－</v>
      </c>
      <c r="K26" s="949" t="str">
        <f>IFERROR(N101/N102/N201/12,"－")</f>
        <v>－</v>
      </c>
      <c r="M26" s="215"/>
      <c r="N26" s="215"/>
    </row>
    <row r="27" spans="1:14" x14ac:dyDescent="0.15">
      <c r="A27" s="207" t="s">
        <v>132</v>
      </c>
      <c r="B27" s="206"/>
      <c r="C27" s="206"/>
      <c r="D27" s="206"/>
      <c r="E27" s="206"/>
      <c r="F27" s="990" t="str">
        <f>IFERROR((F101+F29)/F102/F201/12-F26,"－")</f>
        <v>－</v>
      </c>
      <c r="G27" s="671" t="str">
        <f>IFERROR((J101+G29)/J102/J201/12-G26,"－")</f>
        <v>－</v>
      </c>
      <c r="H27" s="801" t="str">
        <f>IFERROR((K101+H29)/K102/K201/12-H26,"－")</f>
        <v>－</v>
      </c>
      <c r="I27" s="801" t="str">
        <f>IFERROR((L101+I29)/L102/L201/12-I26,"－")</f>
        <v>－</v>
      </c>
      <c r="J27" s="801" t="str">
        <f>IFERROR((M101+J29)/M102/M201/12-J26,"－")</f>
        <v>－</v>
      </c>
      <c r="K27" s="802" t="str">
        <f>IFERROR((N101+K29)/N102/N201/12-K26,"－")</f>
        <v>－</v>
      </c>
      <c r="M27" s="215"/>
      <c r="N27" s="745"/>
    </row>
    <row r="28" spans="1:14" x14ac:dyDescent="0.15">
      <c r="A28" s="208"/>
      <c r="B28" s="206" t="s">
        <v>133</v>
      </c>
      <c r="C28" s="206"/>
      <c r="D28" s="206"/>
      <c r="E28" s="206"/>
      <c r="F28" s="990" t="str">
        <f t="shared" ref="F28:K28" si="5">IF(F26="－","－",F14)</f>
        <v>－</v>
      </c>
      <c r="G28" s="671" t="str">
        <f t="shared" si="5"/>
        <v>－</v>
      </c>
      <c r="H28" s="801" t="str">
        <f t="shared" si="5"/>
        <v>－</v>
      </c>
      <c r="I28" s="801" t="str">
        <f t="shared" si="5"/>
        <v>－</v>
      </c>
      <c r="J28" s="801" t="str">
        <f t="shared" si="5"/>
        <v>－</v>
      </c>
      <c r="K28" s="802" t="str">
        <f t="shared" si="5"/>
        <v>－</v>
      </c>
      <c r="M28" s="215"/>
    </row>
    <row r="29" spans="1:14" x14ac:dyDescent="0.15">
      <c r="A29" s="208"/>
      <c r="B29" s="206" t="s">
        <v>134</v>
      </c>
      <c r="C29" s="206"/>
      <c r="D29" s="206"/>
      <c r="E29" s="206"/>
      <c r="F29" s="990" t="str">
        <f t="shared" ref="F29:K29" si="6">IF(F26="－","－",F15)</f>
        <v>－</v>
      </c>
      <c r="G29" s="671" t="str">
        <f t="shared" si="6"/>
        <v>－</v>
      </c>
      <c r="H29" s="801" t="str">
        <f t="shared" si="6"/>
        <v>－</v>
      </c>
      <c r="I29" s="801" t="str">
        <f t="shared" si="6"/>
        <v>－</v>
      </c>
      <c r="J29" s="801" t="str">
        <f t="shared" si="6"/>
        <v>－</v>
      </c>
      <c r="K29" s="802" t="str">
        <f t="shared" si="6"/>
        <v>－</v>
      </c>
      <c r="M29" s="215"/>
      <c r="N29" s="215"/>
    </row>
    <row r="30" spans="1:14" x14ac:dyDescent="0.15">
      <c r="A30" s="210"/>
      <c r="B30" s="206" t="s">
        <v>135</v>
      </c>
      <c r="C30" s="206"/>
      <c r="D30" s="206"/>
      <c r="E30" s="206"/>
      <c r="F30" s="991" t="str">
        <f>IFERROR(F29/F28,"－")</f>
        <v>－</v>
      </c>
      <c r="G30" s="672" t="str">
        <f>IFERROR(G29/G28,"－")</f>
        <v>－</v>
      </c>
      <c r="H30" s="805" t="str">
        <f t="shared" ref="H30:I30" si="7">IFERROR(H29/H28,"－")</f>
        <v>－</v>
      </c>
      <c r="I30" s="805" t="str">
        <f t="shared" si="7"/>
        <v>－</v>
      </c>
      <c r="J30" s="805" t="str">
        <f t="shared" ref="J30:K30" si="8">IFERROR(J29/J28,"－")</f>
        <v>－</v>
      </c>
      <c r="K30" s="806" t="str">
        <f t="shared" si="8"/>
        <v>－</v>
      </c>
    </row>
    <row r="31" spans="1:14" x14ac:dyDescent="0.15">
      <c r="A31" s="207" t="s">
        <v>136</v>
      </c>
      <c r="B31" s="206"/>
      <c r="C31" s="206"/>
      <c r="D31" s="206"/>
      <c r="E31" s="206"/>
      <c r="F31" s="990" t="str">
        <f>IFERROR(F26-(F101-F32)/F102/F201/12,"－")</f>
        <v>－</v>
      </c>
      <c r="G31" s="671" t="str">
        <f>IFERROR(G26-(J101-G32)/J102/J201/12,"－")</f>
        <v>－</v>
      </c>
      <c r="H31" s="801" t="str">
        <f>IFERROR(H26-(K101-H32)/K102/K201/12,"－")</f>
        <v>－</v>
      </c>
      <c r="I31" s="801" t="str">
        <f>IFERROR(I26-(L101-I32)/L102/L201/12,"－")</f>
        <v>－</v>
      </c>
      <c r="J31" s="801" t="str">
        <f>IFERROR(J26-(M101-J32)/M102/M201/12,"－")</f>
        <v>－</v>
      </c>
      <c r="K31" s="802" t="str">
        <f>IFERROR(K26-(N101-K32)/N102/N201/12,"－")</f>
        <v>－</v>
      </c>
    </row>
    <row r="32" spans="1:14" x14ac:dyDescent="0.15">
      <c r="A32" s="208"/>
      <c r="B32" s="206" t="s">
        <v>137</v>
      </c>
      <c r="C32" s="206"/>
      <c r="D32" s="206"/>
      <c r="E32" s="206"/>
      <c r="F32" s="990" t="str">
        <f>IF(F26="－","－",(F68+F84)*F33)</f>
        <v>－</v>
      </c>
      <c r="G32" s="671" t="str">
        <f>IF(G26="－","－",(J68+J84)*G33)</f>
        <v>－</v>
      </c>
      <c r="H32" s="801" t="str">
        <f>IF(H26="－","－",(K68+K84)*H33)</f>
        <v>－</v>
      </c>
      <c r="I32" s="801" t="str">
        <f>IF(I26="－","－",(L68+L84)*I33)</f>
        <v>－</v>
      </c>
      <c r="J32" s="801" t="str">
        <f>IF(J26="－","－",(M68+M84)*J33)</f>
        <v>－</v>
      </c>
      <c r="K32" s="802" t="str">
        <f>IF(K26="－","－",(N68+N84)*K33)</f>
        <v>－</v>
      </c>
    </row>
    <row r="33" spans="1:17" x14ac:dyDescent="0.15">
      <c r="A33" s="210"/>
      <c r="B33" s="206" t="s">
        <v>138</v>
      </c>
      <c r="C33" s="206"/>
      <c r="D33" s="206"/>
      <c r="E33" s="206"/>
      <c r="F33" s="992" t="str">
        <f t="shared" ref="F33:K33" si="9">IF(F26="－","－",F19)</f>
        <v>－</v>
      </c>
      <c r="G33" s="673" t="str">
        <f t="shared" si="9"/>
        <v>－</v>
      </c>
      <c r="H33" s="810" t="str">
        <f t="shared" si="9"/>
        <v>－</v>
      </c>
      <c r="I33" s="810" t="str">
        <f t="shared" si="9"/>
        <v>－</v>
      </c>
      <c r="J33" s="810" t="str">
        <f t="shared" si="9"/>
        <v>－</v>
      </c>
      <c r="K33" s="811" t="str">
        <f t="shared" si="9"/>
        <v>－</v>
      </c>
    </row>
    <row r="34" spans="1:17" x14ac:dyDescent="0.15">
      <c r="A34" s="207" t="s">
        <v>139</v>
      </c>
      <c r="B34" s="206"/>
      <c r="C34" s="206"/>
      <c r="D34" s="206"/>
      <c r="E34" s="206"/>
      <c r="F34" s="990" t="str">
        <f>IFERROR(F26-(F101-F35)/F102/F201/12,"－")</f>
        <v>－</v>
      </c>
      <c r="G34" s="671" t="str">
        <f>IFERROR(G26-(J101-G35)/J102/J201/12,"－")</f>
        <v>－</v>
      </c>
      <c r="H34" s="801" t="str">
        <f>IFERROR(H26-(K101-H35)/K102/K201/12,"－")</f>
        <v>－</v>
      </c>
      <c r="I34" s="801" t="str">
        <f>IFERROR(I26-(L101-I35)/L102/L201/12,"－")</f>
        <v>－</v>
      </c>
      <c r="J34" s="801" t="str">
        <f>IFERROR(J26-(M101-J35)/M102/M201/12,"－")</f>
        <v>－</v>
      </c>
      <c r="K34" s="802" t="str">
        <f>IFERROR(K26-(N101-K35)/N102/N201/12,"－")</f>
        <v>－</v>
      </c>
    </row>
    <row r="35" spans="1:17" x14ac:dyDescent="0.15">
      <c r="A35" s="211"/>
      <c r="B35" s="216" t="s">
        <v>140</v>
      </c>
      <c r="C35" s="206"/>
      <c r="D35" s="206"/>
      <c r="E35" s="206"/>
      <c r="F35" s="990" t="str">
        <f t="shared" ref="F35:K35" si="10">IF(F26="－","－",F21)</f>
        <v>－</v>
      </c>
      <c r="G35" s="671" t="str">
        <f t="shared" si="10"/>
        <v>－</v>
      </c>
      <c r="H35" s="801" t="str">
        <f t="shared" si="10"/>
        <v>－</v>
      </c>
      <c r="I35" s="801" t="str">
        <f t="shared" si="10"/>
        <v>－</v>
      </c>
      <c r="J35" s="801" t="str">
        <f t="shared" si="10"/>
        <v>－</v>
      </c>
      <c r="K35" s="802" t="str">
        <f t="shared" si="10"/>
        <v>－</v>
      </c>
    </row>
    <row r="36" spans="1:17" ht="14.25" thickBot="1" x14ac:dyDescent="0.2">
      <c r="A36" s="213" t="s">
        <v>405</v>
      </c>
      <c r="B36" s="214"/>
      <c r="C36" s="214"/>
      <c r="D36" s="214"/>
      <c r="E36" s="214"/>
      <c r="F36" s="993" t="str">
        <f>IFERROR(F26/$F$8-1,"－")</f>
        <v>－</v>
      </c>
      <c r="G36" s="674" t="str">
        <f>IFERROR(G26/$F$8-1,"－")</f>
        <v>－</v>
      </c>
      <c r="H36" s="808" t="str">
        <f t="shared" ref="H36:I36" si="11">IFERROR(H26/$F$8-1,"－")</f>
        <v>－</v>
      </c>
      <c r="I36" s="808" t="str">
        <f t="shared" si="11"/>
        <v>－</v>
      </c>
      <c r="J36" s="808" t="str">
        <f t="shared" ref="J36:K36" si="12">IFERROR(J26/$F$8-1,"－")</f>
        <v>－</v>
      </c>
      <c r="K36" s="809" t="str">
        <f t="shared" si="12"/>
        <v>－</v>
      </c>
    </row>
    <row r="37" spans="1:17" x14ac:dyDescent="0.15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 x14ac:dyDescent="0.2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 x14ac:dyDescent="0.15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 x14ac:dyDescent="0.15">
      <c r="A40" s="219"/>
      <c r="B40" s="220"/>
      <c r="C40" s="220"/>
      <c r="D40" s="220"/>
      <c r="E40" s="221"/>
      <c r="F40" s="632" t="s">
        <v>406</v>
      </c>
      <c r="G40" s="681" t="s">
        <v>290</v>
      </c>
      <c r="H40" s="681" t="s">
        <v>291</v>
      </c>
      <c r="I40" s="681" t="s">
        <v>292</v>
      </c>
      <c r="J40" s="812" t="s">
        <v>369</v>
      </c>
      <c r="K40" s="812" t="s">
        <v>411</v>
      </c>
      <c r="L40" s="126" t="s">
        <v>381</v>
      </c>
      <c r="M40" s="681" t="s">
        <v>290</v>
      </c>
      <c r="N40" s="681" t="s">
        <v>291</v>
      </c>
      <c r="O40" s="681" t="s">
        <v>292</v>
      </c>
      <c r="P40" s="812" t="s">
        <v>369</v>
      </c>
      <c r="Q40" s="813" t="s">
        <v>411</v>
      </c>
    </row>
    <row r="41" spans="1:17" x14ac:dyDescent="0.15">
      <c r="A41" s="84" t="s">
        <v>64</v>
      </c>
      <c r="B41" s="84"/>
      <c r="C41" s="34"/>
      <c r="D41" s="127"/>
      <c r="E41" s="222"/>
      <c r="F41" s="994">
        <f>(F69*'(参考)保険料の推計に要する係数'!D5+(F89-F90))/(F200*F102*12)</f>
        <v>6919.9114395283887</v>
      </c>
      <c r="G41" s="682">
        <f>(J69*'(参考)保険料の推計に要する係数'!E5+(J89-J90))/(J200*J102*12)</f>
        <v>7933.262388071742</v>
      </c>
      <c r="H41" s="682">
        <f>(K69*'(参考)保険料の推計に要する係数'!F5+(K89-K90))/(K200*K102*12)</f>
        <v>8406.1879895299244</v>
      </c>
      <c r="I41" s="682">
        <f>(L69*'(参考)保険料の推計に要する係数'!G5+(L89-L90))/(L200*L102*12)</f>
        <v>8604.895724973856</v>
      </c>
      <c r="J41" s="682">
        <f>(M69*'(参考)保険料の推計に要する係数'!H5+(M89-M90))/(M200*M102*12)</f>
        <v>8761.2296580204966</v>
      </c>
      <c r="K41" s="682">
        <f>(N69*'(参考)保険料の推計に要する係数'!I5+(N89-N90))/(N200*N102*12)</f>
        <v>9541.6211990643296</v>
      </c>
      <c r="L41" s="684">
        <f t="shared" ref="L41:L51" si="13">F41/$F$49</f>
        <v>0.9052484829062768</v>
      </c>
      <c r="M41" s="684">
        <f>G41/$G$49</f>
        <v>0.90795334446342313</v>
      </c>
      <c r="N41" s="684">
        <f>H41/$H$49</f>
        <v>0.89982344340659959</v>
      </c>
      <c r="O41" s="684">
        <f>I41/$I$49</f>
        <v>0.89152043606493847</v>
      </c>
      <c r="P41" s="684">
        <f>J41/$J$49</f>
        <v>0.88758779217529482</v>
      </c>
      <c r="Q41" s="951">
        <f>K41/$K$49</f>
        <v>0.88984533285208145</v>
      </c>
    </row>
    <row r="42" spans="1:17" x14ac:dyDescent="0.15">
      <c r="A42" s="84"/>
      <c r="B42" s="35" t="s">
        <v>70</v>
      </c>
      <c r="C42" s="128"/>
      <c r="D42" s="223"/>
      <c r="E42" s="224"/>
      <c r="F42" s="994">
        <f>$F$41*SUM('2_サービス別給付費'!G147:I147)/SUM('2_サービス別給付費'!$G$146:$I$146)</f>
        <v>2391.5946139707248</v>
      </c>
      <c r="G42" s="682">
        <f>$G$41*SUM('2_サービス別給付費'!J147)/SUM('2_サービス別給付費'!$J$146)</f>
        <v>2689.8750934698774</v>
      </c>
      <c r="H42" s="682">
        <f>$H$41*SUM('2_サービス別給付費'!K147)/SUM('2_サービス別給付費'!$K$146)</f>
        <v>2872.2178271188527</v>
      </c>
      <c r="I42" s="682">
        <f>$I$41*SUM('2_サービス別給付費'!L147)/SUM('2_サービス別給付費'!$L$146)</f>
        <v>2896.6077763881781</v>
      </c>
      <c r="J42" s="682">
        <f>$J$41*SUM('2_サービス別給付費'!M147)/SUM('2_サービス別給付費'!$M$146)</f>
        <v>2922.9608500577615</v>
      </c>
      <c r="K42" s="682">
        <f>$K$41*SUM('2_サービス別給付費'!N147)/SUM('2_サービス別給付費'!$N$146)</f>
        <v>3138.0849137932928</v>
      </c>
      <c r="L42" s="684">
        <f t="shared" si="13"/>
        <v>0.31286345424261258</v>
      </c>
      <c r="M42" s="684">
        <f t="shared" ref="M42:M51" si="14">G42/$G$49</f>
        <v>0.30785331025694951</v>
      </c>
      <c r="N42" s="684">
        <f t="shared" ref="N42:N51" si="15">H42/$H$49</f>
        <v>0.3074507658680653</v>
      </c>
      <c r="O42" s="684">
        <f t="shared" ref="O42:O51" si="16">I42/$I$49</f>
        <v>0.300106487103599</v>
      </c>
      <c r="P42" s="684">
        <f t="shared" ref="P42:P51" si="17">J42/$J$49</f>
        <v>0.29612103195383693</v>
      </c>
      <c r="Q42" s="951">
        <f t="shared" ref="Q42:Q51" si="18">K42/$K$49</f>
        <v>0.29265574019080925</v>
      </c>
    </row>
    <row r="43" spans="1:17" x14ac:dyDescent="0.15">
      <c r="A43" s="84"/>
      <c r="B43" s="35" t="s">
        <v>81</v>
      </c>
      <c r="C43" s="128"/>
      <c r="D43" s="223"/>
      <c r="E43" s="224"/>
      <c r="F43" s="994">
        <f>$F$41*SUM('2_サービス別給付費'!G148:I148)/SUM('2_サービス別給付費'!$G$146:$I$146)</f>
        <v>556.57275745898789</v>
      </c>
      <c r="G43" s="682">
        <f>$G$41*SUM('2_サービス別給付費'!J148)/SUM('2_サービス別給付費'!$J$146)</f>
        <v>673.82306721057205</v>
      </c>
      <c r="H43" s="682">
        <f>$H$41*SUM('2_サービス別給付費'!K148)/SUM('2_サービス別給付費'!$K$146)</f>
        <v>703.80375600460877</v>
      </c>
      <c r="I43" s="682">
        <f>$I$41*SUM('2_サービス別給付費'!L148)/SUM('2_サービス別給付費'!$L$146)</f>
        <v>728.03192725681208</v>
      </c>
      <c r="J43" s="682">
        <f>$J$41*SUM('2_サービス別給付費'!M148)/SUM('2_サービス別給付費'!$M$146)</f>
        <v>693.72833147440338</v>
      </c>
      <c r="K43" s="682">
        <f>$K$41*SUM('2_サービス別給付費'!N148)/SUM('2_サービス別給付費'!$N$146)</f>
        <v>744.09688443034884</v>
      </c>
      <c r="L43" s="684">
        <f t="shared" si="13"/>
        <v>7.2809695430300164E-2</v>
      </c>
      <c r="M43" s="684">
        <f t="shared" si="14"/>
        <v>7.7118325037418167E-2</v>
      </c>
      <c r="N43" s="684">
        <f t="shared" si="15"/>
        <v>7.5337253937141552E-2</v>
      </c>
      <c r="O43" s="684">
        <f t="shared" si="16"/>
        <v>7.5428612036918405E-2</v>
      </c>
      <c r="P43" s="684">
        <f t="shared" si="17"/>
        <v>7.0280636638617403E-2</v>
      </c>
      <c r="Q43" s="951">
        <f t="shared" si="18"/>
        <v>6.9393987246637964E-2</v>
      </c>
    </row>
    <row r="44" spans="1:17" x14ac:dyDescent="0.15">
      <c r="A44" s="84"/>
      <c r="B44" s="35" t="s">
        <v>71</v>
      </c>
      <c r="C44" s="127"/>
      <c r="D44" s="225"/>
      <c r="E44" s="222"/>
      <c r="F44" s="994">
        <f>$F$41*SUM('2_サービス別給付費'!G149:I149)/SUM('2_サービス別給付費'!$G$146:$I$146)</f>
        <v>3971.7440680986756</v>
      </c>
      <c r="G44" s="682">
        <f>$G$41*SUM('2_サービス別給付費'!J149)/SUM('2_サービス別給付費'!$J$146)</f>
        <v>4569.5642273912927</v>
      </c>
      <c r="H44" s="682">
        <f>$H$41*SUM('2_サービス別給付費'!K149)/SUM('2_サービス別給付費'!$K$146)</f>
        <v>4830.1664064064635</v>
      </c>
      <c r="I44" s="682">
        <f>$I$41*SUM('2_サービス別給付費'!L149)/SUM('2_サービス別給付費'!$L$146)</f>
        <v>4980.2560213288662</v>
      </c>
      <c r="J44" s="682">
        <f>$J$41*SUM('2_サービス別給付費'!M149)/SUM('2_サービス別給付費'!$M$146)</f>
        <v>5144.5404764883315</v>
      </c>
      <c r="K44" s="682">
        <f>$K$41*SUM('2_サービス別給付費'!N149)/SUM('2_サービス別給付費'!$N$146)</f>
        <v>5659.439400840688</v>
      </c>
      <c r="L44" s="684">
        <f t="shared" si="13"/>
        <v>0.51957533323336402</v>
      </c>
      <c r="M44" s="684">
        <f t="shared" si="14"/>
        <v>0.52298170916905551</v>
      </c>
      <c r="N44" s="684">
        <f t="shared" si="15"/>
        <v>0.51703542360139276</v>
      </c>
      <c r="O44" s="684">
        <f t="shared" si="16"/>
        <v>0.51598533692442117</v>
      </c>
      <c r="P44" s="684">
        <f t="shared" si="17"/>
        <v>0.52118612358284044</v>
      </c>
      <c r="Q44" s="951">
        <f t="shared" si="18"/>
        <v>0.52779560541463433</v>
      </c>
    </row>
    <row r="45" spans="1:17" x14ac:dyDescent="0.15">
      <c r="A45" s="129" t="s">
        <v>82</v>
      </c>
      <c r="B45" s="129"/>
      <c r="C45" s="128"/>
      <c r="D45" s="223"/>
      <c r="E45" s="224"/>
      <c r="F45" s="994">
        <f>((F73+F76+F79+F80)*'(参考)保険料の推計に要する係数'!D5+F83)/(F200*F102*12)</f>
        <v>532.80670111136146</v>
      </c>
      <c r="G45" s="682">
        <f>((J73+J76+J79+J80)*'(参考)保険料の推計に要する係数'!E5+J83)/(J200*J102*12)</f>
        <v>600.49295782080878</v>
      </c>
      <c r="H45" s="682">
        <f>((K73+K76+K79+K80)*'(参考)保険料の推計に要する係数'!F5+K83)/(K200*K102*12)</f>
        <v>718.20405726039144</v>
      </c>
      <c r="I45" s="682">
        <f>((L73+L76+L79+L80)*'(参考)保険料の推計に要する係数'!G5+L83)/(L200*L102*12)</f>
        <v>819.99665050655256</v>
      </c>
      <c r="J45" s="682">
        <f>((M73+M76+M79+M80)*'(参考)保険料の推計に要する係数'!H5+M83)/(M200*M102*12)</f>
        <v>869.16880087068785</v>
      </c>
      <c r="K45" s="682">
        <f>((N73+N76+N79+N80)*'(参考)保険料の推計に要する係数'!I5+N83)/(N200*N102*12)</f>
        <v>929.05557987042857</v>
      </c>
      <c r="L45" s="684">
        <f t="shared" si="13"/>
        <v>6.9700669160041973E-2</v>
      </c>
      <c r="M45" s="684">
        <f t="shared" si="14"/>
        <v>6.8725772917824501E-2</v>
      </c>
      <c r="N45" s="684">
        <f t="shared" si="15"/>
        <v>7.6878705148821544E-2</v>
      </c>
      <c r="O45" s="684">
        <f t="shared" si="16"/>
        <v>8.4956726356333834E-2</v>
      </c>
      <c r="P45" s="684">
        <f t="shared" si="17"/>
        <v>8.8054262598426844E-2</v>
      </c>
      <c r="Q45" s="951">
        <f t="shared" si="18"/>
        <v>8.6643113833627605E-2</v>
      </c>
    </row>
    <row r="46" spans="1:17" x14ac:dyDescent="0.15">
      <c r="A46" s="129" t="s">
        <v>83</v>
      </c>
      <c r="B46" s="226"/>
      <c r="C46" s="223"/>
      <c r="D46" s="223"/>
      <c r="E46" s="224"/>
      <c r="F46" s="994">
        <f>F84*'(参考)保険料の推計に要する係数'!D5/(F200*F102*12)</f>
        <v>191.49399580282352</v>
      </c>
      <c r="G46" s="682">
        <f>J84*'(参考)保険料の推計に要する係数'!E5/(J200*J102*12)</f>
        <v>203.76672663210499</v>
      </c>
      <c r="H46" s="682">
        <f>K84*'(参考)保険料の推計に要する係数'!F5/(K200*K102*12)</f>
        <v>217.64949605427825</v>
      </c>
      <c r="I46" s="682">
        <f>L84*'(参考)保険料の推計に要する係数'!G5/(L200*L102*12)</f>
        <v>227.04085776638868</v>
      </c>
      <c r="J46" s="682">
        <f>M84*'(参考)保険料の推計に要する係数'!H5/(M200*M102*12)</f>
        <v>240.43317630799666</v>
      </c>
      <c r="K46" s="682">
        <f>N84*'(参考)保険料の推計に要する係数'!I5/(N200*N102*12)</f>
        <v>252.10935793474599</v>
      </c>
      <c r="L46" s="684">
        <f t="shared" si="13"/>
        <v>2.5050847933681241E-2</v>
      </c>
      <c r="M46" s="684">
        <f t="shared" si="14"/>
        <v>2.3320882618752318E-2</v>
      </c>
      <c r="N46" s="684">
        <f t="shared" si="15"/>
        <v>2.3297851444578924E-2</v>
      </c>
      <c r="O46" s="684">
        <f t="shared" si="16"/>
        <v>2.352283757872772E-2</v>
      </c>
      <c r="P46" s="684">
        <f t="shared" si="17"/>
        <v>2.4357945226278294E-2</v>
      </c>
      <c r="Q46" s="951">
        <f t="shared" si="18"/>
        <v>2.351155331429083E-2</v>
      </c>
    </row>
    <row r="47" spans="1:17" x14ac:dyDescent="0.15">
      <c r="A47" s="129" t="s">
        <v>84</v>
      </c>
      <c r="B47" s="226"/>
      <c r="C47" s="223"/>
      <c r="D47" s="223"/>
      <c r="E47" s="224"/>
      <c r="F47" s="994">
        <f>(F18+F21)/(F200*F102*12)</f>
        <v>0</v>
      </c>
      <c r="G47" s="682">
        <f>(G18+G21)/(J200*J102*12)</f>
        <v>0</v>
      </c>
      <c r="H47" s="682">
        <f t="shared" ref="H47:K47" si="19">(H18+H21)/(K200*K102*12)</f>
        <v>0</v>
      </c>
      <c r="I47" s="682">
        <f t="shared" si="19"/>
        <v>0</v>
      </c>
      <c r="J47" s="682">
        <f t="shared" si="19"/>
        <v>0</v>
      </c>
      <c r="K47" s="682">
        <f t="shared" si="19"/>
        <v>0</v>
      </c>
      <c r="L47" s="684">
        <f t="shared" si="13"/>
        <v>0</v>
      </c>
      <c r="M47" s="684">
        <f t="shared" si="14"/>
        <v>0</v>
      </c>
      <c r="N47" s="684">
        <f t="shared" si="15"/>
        <v>0</v>
      </c>
      <c r="O47" s="684">
        <f t="shared" si="16"/>
        <v>0</v>
      </c>
      <c r="P47" s="684">
        <f t="shared" si="17"/>
        <v>0</v>
      </c>
      <c r="Q47" s="951">
        <f t="shared" si="18"/>
        <v>0</v>
      </c>
    </row>
    <row r="48" spans="1:17" x14ac:dyDescent="0.15">
      <c r="A48" s="129" t="s">
        <v>85</v>
      </c>
      <c r="B48" s="129"/>
      <c r="C48" s="128"/>
      <c r="D48" s="128"/>
      <c r="E48" s="224"/>
      <c r="F48" s="994">
        <f>(F98+F99-F100)/(F200*F102*12)</f>
        <v>0</v>
      </c>
      <c r="G48" s="682">
        <f>(J98+J99-J100)/(J200*J102*12)</f>
        <v>0</v>
      </c>
      <c r="H48" s="682">
        <f t="shared" ref="H48:K48" si="20">(K98+K99-K100)/(K200*K102*12)</f>
        <v>0</v>
      </c>
      <c r="I48" s="682">
        <f t="shared" si="20"/>
        <v>0</v>
      </c>
      <c r="J48" s="682">
        <f t="shared" si="20"/>
        <v>0</v>
      </c>
      <c r="K48" s="682">
        <f t="shared" si="20"/>
        <v>0</v>
      </c>
      <c r="L48" s="684">
        <f t="shared" si="13"/>
        <v>0</v>
      </c>
      <c r="M48" s="684">
        <f t="shared" si="14"/>
        <v>0</v>
      </c>
      <c r="N48" s="684">
        <f t="shared" si="15"/>
        <v>0</v>
      </c>
      <c r="O48" s="684">
        <f t="shared" si="16"/>
        <v>0</v>
      </c>
      <c r="P48" s="684">
        <f t="shared" si="17"/>
        <v>0</v>
      </c>
      <c r="Q48" s="951">
        <f t="shared" si="18"/>
        <v>0</v>
      </c>
    </row>
    <row r="49" spans="1:17" x14ac:dyDescent="0.15">
      <c r="A49" s="129" t="s">
        <v>86</v>
      </c>
      <c r="B49" s="129"/>
      <c r="C49" s="128"/>
      <c r="D49" s="128"/>
      <c r="E49" s="224"/>
      <c r="F49" s="994">
        <f>F41+SUM(F45:F48)</f>
        <v>7644.2121364425739</v>
      </c>
      <c r="G49" s="682">
        <f>G41+SUM(G45:G48)</f>
        <v>8737.5220725246563</v>
      </c>
      <c r="H49" s="682">
        <f t="shared" ref="H49:K49" si="21">H41+SUM(H45:H48)</f>
        <v>9342.041542844594</v>
      </c>
      <c r="I49" s="682">
        <f t="shared" si="21"/>
        <v>9651.9332332467966</v>
      </c>
      <c r="J49" s="682">
        <f t="shared" si="21"/>
        <v>9870.8316351991816</v>
      </c>
      <c r="K49" s="682">
        <f t="shared" si="21"/>
        <v>10722.786136869505</v>
      </c>
      <c r="L49" s="684">
        <f t="shared" si="13"/>
        <v>1</v>
      </c>
      <c r="M49" s="684">
        <f t="shared" si="14"/>
        <v>1</v>
      </c>
      <c r="N49" s="684">
        <f t="shared" si="15"/>
        <v>1</v>
      </c>
      <c r="O49" s="684">
        <f t="shared" si="16"/>
        <v>1</v>
      </c>
      <c r="P49" s="684">
        <f t="shared" si="17"/>
        <v>1</v>
      </c>
      <c r="Q49" s="951">
        <f t="shared" si="18"/>
        <v>1</v>
      </c>
    </row>
    <row r="50" spans="1:17" x14ac:dyDescent="0.15">
      <c r="A50" s="129" t="s">
        <v>87</v>
      </c>
      <c r="B50" s="226"/>
      <c r="C50" s="223"/>
      <c r="D50" s="223"/>
      <c r="E50" s="224"/>
      <c r="F50" s="994">
        <f>F15/(F200*F102*12)</f>
        <v>0</v>
      </c>
      <c r="G50" s="682">
        <f>G15/(J200*J102*12)</f>
        <v>0</v>
      </c>
      <c r="H50" s="682">
        <f t="shared" ref="H50:K50" si="22">H15/(K200*K102*12)</f>
        <v>0</v>
      </c>
      <c r="I50" s="682">
        <f t="shared" si="22"/>
        <v>0</v>
      </c>
      <c r="J50" s="682">
        <f t="shared" si="22"/>
        <v>0</v>
      </c>
      <c r="K50" s="682">
        <f t="shared" si="22"/>
        <v>0</v>
      </c>
      <c r="L50" s="684">
        <f t="shared" si="13"/>
        <v>0</v>
      </c>
      <c r="M50" s="684">
        <f t="shared" si="14"/>
        <v>0</v>
      </c>
      <c r="N50" s="684">
        <f t="shared" si="15"/>
        <v>0</v>
      </c>
      <c r="O50" s="684">
        <f t="shared" si="16"/>
        <v>0</v>
      </c>
      <c r="P50" s="684">
        <f t="shared" si="17"/>
        <v>0</v>
      </c>
      <c r="Q50" s="951">
        <f t="shared" si="18"/>
        <v>0</v>
      </c>
    </row>
    <row r="51" spans="1:17" ht="14.25" thickBot="1" x14ac:dyDescent="0.2">
      <c r="A51" s="130" t="s">
        <v>147</v>
      </c>
      <c r="B51" s="130"/>
      <c r="C51" s="131"/>
      <c r="D51" s="131"/>
      <c r="E51" s="227"/>
      <c r="F51" s="633">
        <f>F49-F50</f>
        <v>7644.2121364425739</v>
      </c>
      <c r="G51" s="683">
        <f>G49-G50</f>
        <v>8737.5220725246563</v>
      </c>
      <c r="H51" s="683">
        <f t="shared" ref="H51:K51" si="23">H49-H50</f>
        <v>9342.041542844594</v>
      </c>
      <c r="I51" s="683">
        <f t="shared" si="23"/>
        <v>9651.9332332467966</v>
      </c>
      <c r="J51" s="683">
        <f t="shared" si="23"/>
        <v>9870.8316351991816</v>
      </c>
      <c r="K51" s="683">
        <f t="shared" si="23"/>
        <v>10722.786136869505</v>
      </c>
      <c r="L51" s="687">
        <f t="shared" si="13"/>
        <v>1</v>
      </c>
      <c r="M51" s="687">
        <f t="shared" si="14"/>
        <v>1</v>
      </c>
      <c r="N51" s="687">
        <f t="shared" si="15"/>
        <v>1</v>
      </c>
      <c r="O51" s="687">
        <f t="shared" si="16"/>
        <v>1</v>
      </c>
      <c r="P51" s="687">
        <f t="shared" si="17"/>
        <v>1</v>
      </c>
      <c r="Q51" s="952">
        <f t="shared" si="18"/>
        <v>1</v>
      </c>
    </row>
    <row r="52" spans="1:17" x14ac:dyDescent="0.15">
      <c r="A52" s="228" t="s">
        <v>148</v>
      </c>
      <c r="B52" s="229"/>
      <c r="C52" s="229"/>
      <c r="D52" s="229"/>
      <c r="E52" s="218"/>
      <c r="F52" s="688"/>
      <c r="G52" s="229"/>
      <c r="H52" s="818"/>
      <c r="I52" s="818"/>
      <c r="J52" s="818"/>
      <c r="K52" s="818"/>
      <c r="L52" s="229"/>
      <c r="M52" s="229"/>
      <c r="N52" s="818"/>
      <c r="O52" s="818"/>
      <c r="P52" s="818"/>
      <c r="Q52" s="819"/>
    </row>
    <row r="53" spans="1:17" x14ac:dyDescent="0.15">
      <c r="A53" s="84" t="s">
        <v>64</v>
      </c>
      <c r="B53" s="84"/>
      <c r="C53" s="34"/>
      <c r="D53" s="127"/>
      <c r="E53" s="222"/>
      <c r="F53" s="631" t="str">
        <f>IFERROR((F69*'(参考)保険料の推計に要する係数'!D5+(F89-F90))/(F201*F102*12),"－")</f>
        <v>－</v>
      </c>
      <c r="G53" s="682" t="str">
        <f>IFERROR((J69*'(参考)保険料の推計に要する係数'!E5+(J89-J90))/(J201*J102*12),"－")</f>
        <v>－</v>
      </c>
      <c r="H53" s="682" t="str">
        <f>IFERROR((K69*'(参考)保険料の推計に要する係数'!F5+(K89-K90))/(K201*K102*12),"－")</f>
        <v>－</v>
      </c>
      <c r="I53" s="682" t="str">
        <f>IFERROR((L69*'(参考)保険料の推計に要する係数'!G5+(L89-L90))/(L201*L102*12),"－")</f>
        <v>－</v>
      </c>
      <c r="J53" s="682" t="str">
        <f>IFERROR((M69*'(参考)保険料の推計に要する係数'!H5+(M89-M90))/(M201*M102*12),"－")</f>
        <v>－</v>
      </c>
      <c r="K53" s="814" t="str">
        <f>IFERROR((N69*'(参考)保険料の推計に要する係数'!I5+(N89-N90))/(N201*N102*12),"－")</f>
        <v>－</v>
      </c>
      <c r="L53" s="684" t="str">
        <f t="shared" ref="L53:L63" si="24">IFERROR(F53/$F$61,"－")</f>
        <v>－</v>
      </c>
      <c r="M53" s="685" t="str">
        <f t="shared" ref="M53:M63" si="25">IFERROR(G53/$G$61,"－")</f>
        <v>－</v>
      </c>
      <c r="N53" s="685" t="str">
        <f t="shared" ref="N53:N63" si="26">IFERROR(H53/$H$61,"－")</f>
        <v>－</v>
      </c>
      <c r="O53" s="685" t="str">
        <f t="shared" ref="O53:O63" si="27">IFERROR(I53/$I$61,"－")</f>
        <v>－</v>
      </c>
      <c r="P53" s="911" t="str">
        <f>IFERROR(J53/$J$61,"－")</f>
        <v>－</v>
      </c>
      <c r="Q53" s="815" t="str">
        <f t="shared" ref="Q53:Q63" si="28">IFERROR(K53/$K$61,"－")</f>
        <v>－</v>
      </c>
    </row>
    <row r="54" spans="1:17" x14ac:dyDescent="0.15">
      <c r="A54" s="84"/>
      <c r="B54" s="35" t="s">
        <v>70</v>
      </c>
      <c r="C54" s="128"/>
      <c r="D54" s="223"/>
      <c r="E54" s="224"/>
      <c r="F54" s="631" t="str">
        <f>IFERROR($F$53*SUM('2_サービス別給付費'!G147:I147)/SUM('2_サービス別給付費'!$G$146:$I$146),"－")</f>
        <v>－</v>
      </c>
      <c r="G54" s="682" t="str">
        <f>IFERROR(G53*SUM('2_サービス別給付費'!J147)/SUM('2_サービス別給付費'!J146),"－")</f>
        <v>－</v>
      </c>
      <c r="H54" s="682" t="str">
        <f>IFERROR(H53*SUM('2_サービス別給付費'!K147)/SUM('2_サービス別給付費'!K146),"－")</f>
        <v>－</v>
      </c>
      <c r="I54" s="682" t="str">
        <f>IFERROR(I53*SUM('2_サービス別給付費'!L147)/SUM('2_サービス別給付費'!L146),"－")</f>
        <v>－</v>
      </c>
      <c r="J54" s="682" t="str">
        <f>IFERROR(J53*SUM('2_サービス別給付費'!M147)/SUM('2_サービス別給付費'!M146),"－")</f>
        <v>－</v>
      </c>
      <c r="K54" s="814" t="str">
        <f>IFERROR(K53*SUM('2_サービス別給付費'!N147)/SUM('2_サービス別給付費'!N146),"－")</f>
        <v>－</v>
      </c>
      <c r="L54" s="684" t="str">
        <f t="shared" si="24"/>
        <v>－</v>
      </c>
      <c r="M54" s="685" t="str">
        <f t="shared" si="25"/>
        <v>－</v>
      </c>
      <c r="N54" s="685" t="str">
        <f t="shared" si="26"/>
        <v>－</v>
      </c>
      <c r="O54" s="685" t="str">
        <f t="shared" si="27"/>
        <v>－</v>
      </c>
      <c r="P54" s="911" t="str">
        <f t="shared" ref="P54:P63" si="29">IFERROR(J54/$J$61,"－")</f>
        <v>－</v>
      </c>
      <c r="Q54" s="815" t="str">
        <f t="shared" si="28"/>
        <v>－</v>
      </c>
    </row>
    <row r="55" spans="1:17" x14ac:dyDescent="0.15">
      <c r="A55" s="84"/>
      <c r="B55" s="35" t="s">
        <v>81</v>
      </c>
      <c r="C55" s="128"/>
      <c r="D55" s="223"/>
      <c r="E55" s="224"/>
      <c r="F55" s="631" t="str">
        <f>IFERROR($F$53*SUM('2_サービス別給付費'!G148:I148)/SUM('2_サービス別給付費'!$G$146:$I$146),"－")</f>
        <v>－</v>
      </c>
      <c r="G55" s="682" t="str">
        <f>IFERROR(G53*SUM('2_サービス別給付費'!J148)/SUM('2_サービス別給付費'!J146),"－")</f>
        <v>－</v>
      </c>
      <c r="H55" s="682" t="str">
        <f>IFERROR(H53*SUM('2_サービス別給付費'!K148)/SUM('2_サービス別給付費'!K146),"－")</f>
        <v>－</v>
      </c>
      <c r="I55" s="682" t="str">
        <f>IFERROR(I53*SUM('2_サービス別給付費'!L148)/SUM('2_サービス別給付費'!L146),"－")</f>
        <v>－</v>
      </c>
      <c r="J55" s="682" t="str">
        <f>IFERROR(J53*SUM('2_サービス別給付費'!M148)/SUM('2_サービス別給付費'!M146),"－")</f>
        <v>－</v>
      </c>
      <c r="K55" s="814" t="str">
        <f>IFERROR(K53*SUM('2_サービス別給付費'!N148)/SUM('2_サービス別給付費'!N146),"－")</f>
        <v>－</v>
      </c>
      <c r="L55" s="684" t="str">
        <f t="shared" si="24"/>
        <v>－</v>
      </c>
      <c r="M55" s="685" t="str">
        <f t="shared" si="25"/>
        <v>－</v>
      </c>
      <c r="N55" s="685" t="str">
        <f t="shared" si="26"/>
        <v>－</v>
      </c>
      <c r="O55" s="685" t="str">
        <f t="shared" si="27"/>
        <v>－</v>
      </c>
      <c r="P55" s="911" t="str">
        <f t="shared" si="29"/>
        <v>－</v>
      </c>
      <c r="Q55" s="815" t="str">
        <f t="shared" si="28"/>
        <v>－</v>
      </c>
    </row>
    <row r="56" spans="1:17" x14ac:dyDescent="0.15">
      <c r="A56" s="84"/>
      <c r="B56" s="35" t="s">
        <v>71</v>
      </c>
      <c r="C56" s="127"/>
      <c r="D56" s="225"/>
      <c r="E56" s="222"/>
      <c r="F56" s="631" t="str">
        <f>IFERROR($F$53*SUM('2_サービス別給付費'!G149:I149)/SUM('2_サービス別給付費'!$G$146:$I$146),"－")</f>
        <v>－</v>
      </c>
      <c r="G56" s="682" t="str">
        <f>IFERROR(G53*SUM('2_サービス別給付費'!J149)/SUM('2_サービス別給付費'!J146),"－")</f>
        <v>－</v>
      </c>
      <c r="H56" s="682" t="str">
        <f>IFERROR(H53*SUM('2_サービス別給付費'!K149)/SUM('2_サービス別給付費'!K146),"－")</f>
        <v>－</v>
      </c>
      <c r="I56" s="682" t="str">
        <f>IFERROR(I53*SUM('2_サービス別給付費'!L149)/SUM('2_サービス別給付費'!L146),"－")</f>
        <v>－</v>
      </c>
      <c r="J56" s="682" t="str">
        <f>IFERROR(J53*SUM('2_サービス別給付費'!M149)/SUM('2_サービス別給付費'!M146),"－")</f>
        <v>－</v>
      </c>
      <c r="K56" s="814" t="str">
        <f>IFERROR(K53*SUM('2_サービス別給付費'!N149)/SUM('2_サービス別給付費'!N146),"－")</f>
        <v>－</v>
      </c>
      <c r="L56" s="684" t="str">
        <f t="shared" si="24"/>
        <v>－</v>
      </c>
      <c r="M56" s="685" t="str">
        <f t="shared" si="25"/>
        <v>－</v>
      </c>
      <c r="N56" s="685" t="str">
        <f t="shared" si="26"/>
        <v>－</v>
      </c>
      <c r="O56" s="685" t="str">
        <f t="shared" si="27"/>
        <v>－</v>
      </c>
      <c r="P56" s="911" t="str">
        <f t="shared" si="29"/>
        <v>－</v>
      </c>
      <c r="Q56" s="815" t="str">
        <f t="shared" si="28"/>
        <v>－</v>
      </c>
    </row>
    <row r="57" spans="1:17" x14ac:dyDescent="0.15">
      <c r="A57" s="129" t="s">
        <v>82</v>
      </c>
      <c r="B57" s="129"/>
      <c r="C57" s="128"/>
      <c r="D57" s="223"/>
      <c r="E57" s="224"/>
      <c r="F57" s="631" t="str">
        <f>IFERROR(((F73+F76+F79+F80)*'(参考)保険料の推計に要する係数'!D5+F83)/(F201*F102*12),"－")</f>
        <v>－</v>
      </c>
      <c r="G57" s="682" t="str">
        <f>IFERROR(((J73+J76+J79+J80)*'(参考)保険料の推計に要する係数'!E5+J83)/(J201*J102*12),"－")</f>
        <v>－</v>
      </c>
      <c r="H57" s="682" t="str">
        <f>IFERROR(((K73+K76+K79+K80)*'(参考)保険料の推計に要する係数'!F5+K83)/(K201*K102*12),"－")</f>
        <v>－</v>
      </c>
      <c r="I57" s="682" t="str">
        <f>IFERROR(((L73+L76+L79+L80)*'(参考)保険料の推計に要する係数'!G5+L83)/(L201*L102*12),"－")</f>
        <v>－</v>
      </c>
      <c r="J57" s="682" t="str">
        <f>IFERROR(((M73+M76+M79+M80)*'(参考)保険料の推計に要する係数'!H5+M83)/(M201*M102*12),"－")</f>
        <v>－</v>
      </c>
      <c r="K57" s="814" t="str">
        <f>IFERROR(((N73+N76+N79+N80)*'(参考)保険料の推計に要する係数'!I5+N83)/(N201*N102*12),"－")</f>
        <v>－</v>
      </c>
      <c r="L57" s="684" t="str">
        <f t="shared" si="24"/>
        <v>－</v>
      </c>
      <c r="M57" s="685" t="str">
        <f t="shared" si="25"/>
        <v>－</v>
      </c>
      <c r="N57" s="685" t="str">
        <f t="shared" si="26"/>
        <v>－</v>
      </c>
      <c r="O57" s="685" t="str">
        <f t="shared" si="27"/>
        <v>－</v>
      </c>
      <c r="P57" s="911" t="str">
        <f t="shared" si="29"/>
        <v>－</v>
      </c>
      <c r="Q57" s="815" t="str">
        <f t="shared" si="28"/>
        <v>－</v>
      </c>
    </row>
    <row r="58" spans="1:17" x14ac:dyDescent="0.15">
      <c r="A58" s="129" t="s">
        <v>83</v>
      </c>
      <c r="B58" s="226"/>
      <c r="C58" s="223"/>
      <c r="D58" s="223"/>
      <c r="E58" s="224"/>
      <c r="F58" s="631" t="str">
        <f>IFERROR(F84*'(参考)保険料の推計に要する係数'!D5/(F201*F102*12),"－")</f>
        <v>－</v>
      </c>
      <c r="G58" s="682" t="str">
        <f>IFERROR(J84*'(参考)保険料の推計に要する係数'!E5/(J201*J102*12),"－")</f>
        <v>－</v>
      </c>
      <c r="H58" s="682" t="str">
        <f>IFERROR(K84*'(参考)保険料の推計に要する係数'!F5/(K201*K102*12),"－")</f>
        <v>－</v>
      </c>
      <c r="I58" s="682" t="str">
        <f>IFERROR(L84*'(参考)保険料の推計に要する係数'!G5/(L201*L102*12),"－")</f>
        <v>－</v>
      </c>
      <c r="J58" s="682" t="str">
        <f>IFERROR(M84*'(参考)保険料の推計に要する係数'!H5/(M201*M102*12),"－")</f>
        <v>－</v>
      </c>
      <c r="K58" s="814" t="str">
        <f>IFERROR(N84*'(参考)保険料の推計に要する係数'!I5/(N201*N102*12),"－")</f>
        <v>－</v>
      </c>
      <c r="L58" s="684" t="str">
        <f t="shared" si="24"/>
        <v>－</v>
      </c>
      <c r="M58" s="685" t="str">
        <f t="shared" si="25"/>
        <v>－</v>
      </c>
      <c r="N58" s="685" t="str">
        <f t="shared" si="26"/>
        <v>－</v>
      </c>
      <c r="O58" s="685" t="str">
        <f t="shared" si="27"/>
        <v>－</v>
      </c>
      <c r="P58" s="911" t="str">
        <f t="shared" si="29"/>
        <v>－</v>
      </c>
      <c r="Q58" s="815" t="str">
        <f t="shared" si="28"/>
        <v>－</v>
      </c>
    </row>
    <row r="59" spans="1:17" x14ac:dyDescent="0.15">
      <c r="A59" s="129" t="s">
        <v>84</v>
      </c>
      <c r="B59" s="226"/>
      <c r="C59" s="223"/>
      <c r="D59" s="223"/>
      <c r="E59" s="224"/>
      <c r="F59" s="631" t="str">
        <f>IFERROR((F18+F21)/(F201*F102*12),"－")</f>
        <v>－</v>
      </c>
      <c r="G59" s="682" t="str">
        <f>IFERROR((G18+G21)/(J201*J102*12),"－")</f>
        <v>－</v>
      </c>
      <c r="H59" s="682" t="str">
        <f t="shared" ref="H59:K59" si="30">IFERROR((H18+H21)/(K201*K102*12),"－")</f>
        <v>－</v>
      </c>
      <c r="I59" s="682" t="str">
        <f t="shared" si="30"/>
        <v>－</v>
      </c>
      <c r="J59" s="682" t="str">
        <f t="shared" si="30"/>
        <v>－</v>
      </c>
      <c r="K59" s="814" t="str">
        <f t="shared" si="30"/>
        <v>－</v>
      </c>
      <c r="L59" s="684" t="str">
        <f t="shared" si="24"/>
        <v>－</v>
      </c>
      <c r="M59" s="685" t="str">
        <f t="shared" si="25"/>
        <v>－</v>
      </c>
      <c r="N59" s="685" t="str">
        <f t="shared" si="26"/>
        <v>－</v>
      </c>
      <c r="O59" s="685" t="str">
        <f t="shared" si="27"/>
        <v>－</v>
      </c>
      <c r="P59" s="911" t="str">
        <f t="shared" si="29"/>
        <v>－</v>
      </c>
      <c r="Q59" s="815" t="str">
        <f t="shared" si="28"/>
        <v>－</v>
      </c>
    </row>
    <row r="60" spans="1:17" x14ac:dyDescent="0.15">
      <c r="A60" s="129" t="s">
        <v>85</v>
      </c>
      <c r="B60" s="129"/>
      <c r="C60" s="128"/>
      <c r="D60" s="128"/>
      <c r="E60" s="224"/>
      <c r="F60" s="631" t="str">
        <f>IFERROR((F98+F99-F100)/(F201*F102*12),"－")</f>
        <v>－</v>
      </c>
      <c r="G60" s="682" t="str">
        <f>IFERROR((J98+J99-J100)/(J201*J102*12),"－")</f>
        <v>－</v>
      </c>
      <c r="H60" s="682" t="str">
        <f t="shared" ref="H60:K60" si="31">IFERROR((K98+K99-K100)/(K201*K102*12),"－")</f>
        <v>－</v>
      </c>
      <c r="I60" s="682" t="str">
        <f t="shared" si="31"/>
        <v>－</v>
      </c>
      <c r="J60" s="682" t="str">
        <f t="shared" si="31"/>
        <v>－</v>
      </c>
      <c r="K60" s="814" t="str">
        <f t="shared" si="31"/>
        <v>－</v>
      </c>
      <c r="L60" s="684" t="str">
        <f t="shared" si="24"/>
        <v>－</v>
      </c>
      <c r="M60" s="685" t="str">
        <f t="shared" si="25"/>
        <v>－</v>
      </c>
      <c r="N60" s="685" t="str">
        <f t="shared" si="26"/>
        <v>－</v>
      </c>
      <c r="O60" s="685" t="str">
        <f t="shared" si="27"/>
        <v>－</v>
      </c>
      <c r="P60" s="911" t="str">
        <f t="shared" si="29"/>
        <v>－</v>
      </c>
      <c r="Q60" s="815" t="str">
        <f t="shared" si="28"/>
        <v>－</v>
      </c>
    </row>
    <row r="61" spans="1:17" x14ac:dyDescent="0.15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32">IFERROR(H53+SUM(H57:H60),"－")</f>
        <v>－</v>
      </c>
      <c r="I61" s="682" t="str">
        <f t="shared" si="32"/>
        <v>－</v>
      </c>
      <c r="J61" s="682" t="str">
        <f t="shared" si="32"/>
        <v>－</v>
      </c>
      <c r="K61" s="814" t="str">
        <f t="shared" si="32"/>
        <v>－</v>
      </c>
      <c r="L61" s="684" t="str">
        <f t="shared" si="24"/>
        <v>－</v>
      </c>
      <c r="M61" s="685" t="str">
        <f t="shared" si="25"/>
        <v>－</v>
      </c>
      <c r="N61" s="685" t="str">
        <f t="shared" si="26"/>
        <v>－</v>
      </c>
      <c r="O61" s="685" t="str">
        <f t="shared" si="27"/>
        <v>－</v>
      </c>
      <c r="P61" s="911" t="str">
        <f t="shared" si="29"/>
        <v>－</v>
      </c>
      <c r="Q61" s="815" t="str">
        <f t="shared" si="28"/>
        <v>－</v>
      </c>
    </row>
    <row r="62" spans="1:17" x14ac:dyDescent="0.15">
      <c r="A62" s="129" t="s">
        <v>87</v>
      </c>
      <c r="B62" s="226"/>
      <c r="C62" s="223"/>
      <c r="D62" s="223"/>
      <c r="E62" s="224"/>
      <c r="F62" s="631" t="str">
        <f>IFERROR(F15/(F201*F102*12),"－")</f>
        <v>－</v>
      </c>
      <c r="G62" s="682" t="str">
        <f>IFERROR(G15/(J201*J102*12),"－")</f>
        <v>－</v>
      </c>
      <c r="H62" s="682" t="str">
        <f t="shared" ref="H62:K62" si="33">IFERROR(H15/(K201*K102*12),"－")</f>
        <v>－</v>
      </c>
      <c r="I62" s="682" t="str">
        <f t="shared" si="33"/>
        <v>－</v>
      </c>
      <c r="J62" s="682" t="str">
        <f t="shared" si="33"/>
        <v>－</v>
      </c>
      <c r="K62" s="814" t="str">
        <f t="shared" si="33"/>
        <v>－</v>
      </c>
      <c r="L62" s="684" t="str">
        <f t="shared" si="24"/>
        <v>－</v>
      </c>
      <c r="M62" s="685" t="str">
        <f t="shared" si="25"/>
        <v>－</v>
      </c>
      <c r="N62" s="685" t="str">
        <f t="shared" si="26"/>
        <v>－</v>
      </c>
      <c r="O62" s="685" t="str">
        <f t="shared" si="27"/>
        <v>－</v>
      </c>
      <c r="P62" s="911" t="str">
        <f t="shared" si="29"/>
        <v>－</v>
      </c>
      <c r="Q62" s="815" t="str">
        <f t="shared" si="28"/>
        <v>－</v>
      </c>
    </row>
    <row r="63" spans="1:17" ht="14.25" thickBot="1" x14ac:dyDescent="0.2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34">IFERROR(H61-H62,"－")</f>
        <v>－</v>
      </c>
      <c r="I63" s="683" t="str">
        <f t="shared" si="34"/>
        <v>－</v>
      </c>
      <c r="J63" s="683" t="str">
        <f t="shared" si="34"/>
        <v>－</v>
      </c>
      <c r="K63" s="816" t="str">
        <f t="shared" si="34"/>
        <v>－</v>
      </c>
      <c r="L63" s="687" t="str">
        <f t="shared" si="24"/>
        <v>－</v>
      </c>
      <c r="M63" s="686" t="str">
        <f t="shared" si="25"/>
        <v>－</v>
      </c>
      <c r="N63" s="686" t="str">
        <f t="shared" si="26"/>
        <v>－</v>
      </c>
      <c r="O63" s="686" t="str">
        <f t="shared" si="27"/>
        <v>－</v>
      </c>
      <c r="P63" s="912" t="str">
        <f t="shared" si="29"/>
        <v>－</v>
      </c>
      <c r="Q63" s="817" t="str">
        <f t="shared" si="28"/>
        <v>－</v>
      </c>
    </row>
    <row r="64" spans="1:17" x14ac:dyDescent="0.15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 x14ac:dyDescent="0.2">
      <c r="A65" s="198" t="s">
        <v>149</v>
      </c>
    </row>
    <row r="66" spans="1:14" x14ac:dyDescent="0.15">
      <c r="A66" s="230"/>
      <c r="B66" s="231"/>
      <c r="C66" s="231"/>
      <c r="D66" s="231"/>
      <c r="E66" s="231"/>
      <c r="F66" s="1109" t="s">
        <v>402</v>
      </c>
      <c r="G66" s="1110"/>
      <c r="H66" s="1110"/>
      <c r="I66" s="1111"/>
      <c r="J66" s="1112" t="s">
        <v>299</v>
      </c>
      <c r="K66" s="1112" t="s">
        <v>300</v>
      </c>
      <c r="L66" s="1112" t="s">
        <v>301</v>
      </c>
      <c r="M66" s="1126" t="s">
        <v>407</v>
      </c>
      <c r="N66" s="1124" t="s">
        <v>412</v>
      </c>
    </row>
    <row r="67" spans="1:14" ht="14.25" thickBot="1" x14ac:dyDescent="0.2">
      <c r="A67" s="232"/>
      <c r="F67" s="233" t="s">
        <v>150</v>
      </c>
      <c r="G67" s="234" t="s">
        <v>374</v>
      </c>
      <c r="H67" s="235" t="s">
        <v>255</v>
      </c>
      <c r="I67" s="236" t="s">
        <v>373</v>
      </c>
      <c r="J67" s="1113"/>
      <c r="K67" s="1123"/>
      <c r="L67" s="1123"/>
      <c r="M67" s="1127"/>
      <c r="N67" s="1125"/>
    </row>
    <row r="68" spans="1:14" x14ac:dyDescent="0.15">
      <c r="A68" s="132" t="s">
        <v>151</v>
      </c>
      <c r="B68" s="85"/>
      <c r="C68" s="85"/>
      <c r="D68" s="85"/>
      <c r="E68" s="85"/>
      <c r="F68" s="155">
        <f>SUM(G68:I68)</f>
        <v>3444583583</v>
      </c>
      <c r="G68" s="237">
        <f t="shared" ref="G68:M68" si="35">G69+G73+G76+G79+G80</f>
        <v>1144349209</v>
      </c>
      <c r="H68" s="238">
        <f t="shared" si="35"/>
        <v>1145681207</v>
      </c>
      <c r="I68" s="239">
        <f t="shared" si="35"/>
        <v>1154553167</v>
      </c>
      <c r="J68" s="658">
        <f t="shared" si="35"/>
        <v>1211385966</v>
      </c>
      <c r="K68" s="820">
        <f t="shared" si="35"/>
        <v>1310956631</v>
      </c>
      <c r="L68" s="820">
        <f t="shared" si="35"/>
        <v>1407546387</v>
      </c>
      <c r="M68" s="913">
        <f t="shared" si="35"/>
        <v>1339411672</v>
      </c>
      <c r="N68" s="821">
        <f t="shared" ref="N68" si="36">N69+N73+N76+N79+N80</f>
        <v>1315014823</v>
      </c>
    </row>
    <row r="69" spans="1:14" x14ac:dyDescent="0.15">
      <c r="A69" s="240"/>
      <c r="B69" s="133" t="s">
        <v>424</v>
      </c>
      <c r="C69" s="133"/>
      <c r="D69" s="241"/>
      <c r="E69" s="34"/>
      <c r="F69" s="172">
        <f>SUM(G69:I69)</f>
        <v>3189830000</v>
      </c>
      <c r="G69" s="242">
        <f t="shared" ref="G69:N69" si="37">G70-G71</f>
        <v>1059963000</v>
      </c>
      <c r="H69" s="242">
        <f t="shared" si="37"/>
        <v>1061440000</v>
      </c>
      <c r="I69" s="972">
        <f t="shared" si="37"/>
        <v>1068427000</v>
      </c>
      <c r="J69" s="659">
        <f t="shared" si="37"/>
        <v>1121780000</v>
      </c>
      <c r="K69" s="659">
        <f t="shared" si="37"/>
        <v>1213086000</v>
      </c>
      <c r="L69" s="659">
        <f t="shared" si="37"/>
        <v>1304601000</v>
      </c>
      <c r="M69" s="659">
        <f t="shared" si="37"/>
        <v>1243281000</v>
      </c>
      <c r="N69" s="953">
        <f t="shared" si="37"/>
        <v>1221784000</v>
      </c>
    </row>
    <row r="70" spans="1:14" ht="13.15" customHeight="1" x14ac:dyDescent="0.15">
      <c r="A70" s="84"/>
      <c r="B70" s="133"/>
      <c r="C70" s="243" t="s">
        <v>423</v>
      </c>
      <c r="D70" s="244"/>
      <c r="E70" s="244"/>
      <c r="F70" s="245">
        <f>SUM(G70:I70)</f>
        <v>3189830000</v>
      </c>
      <c r="G70" s="242">
        <f>'2_サービス別給付費'!G146*1000</f>
        <v>1059963000</v>
      </c>
      <c r="H70" s="242">
        <f>'2_サービス別給付費'!H146*1000</f>
        <v>1061440000</v>
      </c>
      <c r="I70" s="972">
        <f>'2_サービス別給付費'!I146*1000</f>
        <v>1068427000</v>
      </c>
      <c r="J70" s="659">
        <f>'2_サービス別給付費'!J146*1000</f>
        <v>1121780000</v>
      </c>
      <c r="K70" s="659">
        <f>'2_サービス別給付費'!K146*1000</f>
        <v>1213086000</v>
      </c>
      <c r="L70" s="659">
        <f>'2_サービス別給付費'!L146*1000</f>
        <v>1304601000</v>
      </c>
      <c r="M70" s="659">
        <f>'2_サービス別給付費'!M146*1000</f>
        <v>1243281000</v>
      </c>
      <c r="N70" s="953">
        <f>'2_サービス別給付費'!N146*1000</f>
        <v>1221784000</v>
      </c>
    </row>
    <row r="71" spans="1:14" ht="13.15" customHeight="1" x14ac:dyDescent="0.15">
      <c r="A71" s="84"/>
      <c r="B71" s="133"/>
      <c r="C71" s="1116" t="s">
        <v>431</v>
      </c>
      <c r="D71" s="1117"/>
      <c r="E71" s="1118"/>
      <c r="F71" s="245">
        <f t="shared" ref="F71" si="38">SUM(G71:I71)</f>
        <v>0</v>
      </c>
      <c r="G71" s="249">
        <v>0</v>
      </c>
      <c r="H71" s="250">
        <v>0</v>
      </c>
      <c r="I71" s="251">
        <v>0</v>
      </c>
      <c r="J71" s="660">
        <v>0</v>
      </c>
      <c r="K71" s="825">
        <v>0</v>
      </c>
      <c r="L71" s="825">
        <v>0</v>
      </c>
      <c r="M71" s="916">
        <v>0</v>
      </c>
      <c r="N71" s="826">
        <v>0</v>
      </c>
    </row>
    <row r="72" spans="1:14" ht="13.15" hidden="1" customHeight="1" x14ac:dyDescent="0.15">
      <c r="A72" s="240"/>
      <c r="B72" s="134"/>
      <c r="C72" s="1116"/>
      <c r="D72" s="1117"/>
      <c r="E72" s="1118"/>
      <c r="F72" s="245">
        <f>SUM(G72:I72)</f>
        <v>0</v>
      </c>
      <c r="G72" s="249">
        <v>0</v>
      </c>
      <c r="H72" s="250">
        <v>0</v>
      </c>
      <c r="I72" s="251">
        <v>0</v>
      </c>
      <c r="J72" s="660">
        <v>0</v>
      </c>
      <c r="K72" s="825">
        <v>0</v>
      </c>
      <c r="L72" s="825">
        <v>0</v>
      </c>
      <c r="M72" s="916">
        <v>0</v>
      </c>
      <c r="N72" s="826">
        <v>0</v>
      </c>
    </row>
    <row r="73" spans="1:14" x14ac:dyDescent="0.15">
      <c r="A73" s="240"/>
      <c r="B73" s="1114" t="s">
        <v>306</v>
      </c>
      <c r="C73" s="1115"/>
      <c r="D73" s="1115"/>
      <c r="E73" s="1115"/>
      <c r="F73" s="245">
        <f t="shared" ref="F73:F78" si="39">SUM(G73:I73)</f>
        <v>162299291</v>
      </c>
      <c r="G73" s="296">
        <f t="shared" ref="G73:N73" si="40">G74+G75</f>
        <v>53761063</v>
      </c>
      <c r="H73" s="827">
        <f t="shared" si="40"/>
        <v>53668690</v>
      </c>
      <c r="I73" s="828">
        <f t="shared" si="40"/>
        <v>54869538</v>
      </c>
      <c r="J73" s="722">
        <f t="shared" si="40"/>
        <v>57086491</v>
      </c>
      <c r="K73" s="722">
        <f t="shared" si="40"/>
        <v>62351749</v>
      </c>
      <c r="L73" s="722">
        <f t="shared" si="40"/>
        <v>65584804</v>
      </c>
      <c r="M73" s="722">
        <f t="shared" si="40"/>
        <v>61243273</v>
      </c>
      <c r="N73" s="954">
        <f t="shared" si="40"/>
        <v>59395814</v>
      </c>
    </row>
    <row r="74" spans="1:14" x14ac:dyDescent="0.15">
      <c r="A74" s="84"/>
      <c r="B74" s="830"/>
      <c r="C74" s="831" t="s">
        <v>305</v>
      </c>
      <c r="D74" s="252"/>
      <c r="E74" s="252"/>
      <c r="F74" s="245">
        <f t="shared" si="39"/>
        <v>162299291</v>
      </c>
      <c r="G74" s="249">
        <v>53761063</v>
      </c>
      <c r="H74" s="250">
        <v>53668690</v>
      </c>
      <c r="I74" s="251">
        <v>54869538</v>
      </c>
      <c r="J74" s="660">
        <v>57086491</v>
      </c>
      <c r="K74" s="825">
        <v>62351749</v>
      </c>
      <c r="L74" s="825">
        <v>65584804</v>
      </c>
      <c r="M74" s="916">
        <v>61243273</v>
      </c>
      <c r="N74" s="826">
        <v>59395814</v>
      </c>
    </row>
    <row r="75" spans="1:14" x14ac:dyDescent="0.15">
      <c r="A75" s="240"/>
      <c r="B75" s="134"/>
      <c r="C75" s="831" t="s">
        <v>426</v>
      </c>
      <c r="D75" s="252"/>
      <c r="E75" s="252"/>
      <c r="F75" s="245">
        <f t="shared" si="39"/>
        <v>0</v>
      </c>
      <c r="G75" s="832">
        <v>0</v>
      </c>
      <c r="H75" s="250">
        <v>0</v>
      </c>
      <c r="I75" s="251">
        <v>0</v>
      </c>
      <c r="J75" s="660">
        <v>0</v>
      </c>
      <c r="K75" s="825">
        <v>0</v>
      </c>
      <c r="L75" s="825">
        <v>0</v>
      </c>
      <c r="M75" s="916">
        <v>0</v>
      </c>
      <c r="N75" s="826">
        <v>0</v>
      </c>
    </row>
    <row r="76" spans="1:14" x14ac:dyDescent="0.15">
      <c r="A76" s="240"/>
      <c r="B76" s="833" t="s">
        <v>308</v>
      </c>
      <c r="C76" s="834"/>
      <c r="D76" s="834"/>
      <c r="E76" s="834"/>
      <c r="F76" s="245">
        <f>SUM(G76:I76)</f>
        <v>82949253</v>
      </c>
      <c r="G76" s="296">
        <f t="shared" ref="G76:N76" si="41">G77+G78</f>
        <v>27476645</v>
      </c>
      <c r="H76" s="827">
        <f t="shared" si="41"/>
        <v>27429434</v>
      </c>
      <c r="I76" s="828">
        <f t="shared" si="41"/>
        <v>28043174</v>
      </c>
      <c r="J76" s="722">
        <f t="shared" si="41"/>
        <v>29176232</v>
      </c>
      <c r="K76" s="829">
        <f t="shared" si="41"/>
        <v>31867243</v>
      </c>
      <c r="L76" s="829">
        <f t="shared" si="41"/>
        <v>33519619</v>
      </c>
      <c r="M76" s="917">
        <f t="shared" si="41"/>
        <v>31300714</v>
      </c>
      <c r="N76" s="955">
        <f t="shared" si="41"/>
        <v>30356500</v>
      </c>
    </row>
    <row r="77" spans="1:14" x14ac:dyDescent="0.15">
      <c r="A77" s="240"/>
      <c r="B77" s="835"/>
      <c r="C77" s="293" t="s">
        <v>307</v>
      </c>
      <c r="D77" s="293"/>
      <c r="E77" s="293"/>
      <c r="F77" s="245">
        <f t="shared" si="39"/>
        <v>82949253</v>
      </c>
      <c r="G77" s="249">
        <v>27476645</v>
      </c>
      <c r="H77" s="250">
        <v>27429434</v>
      </c>
      <c r="I77" s="251">
        <v>28043174</v>
      </c>
      <c r="J77" s="660">
        <v>29176232</v>
      </c>
      <c r="K77" s="825">
        <v>31867243</v>
      </c>
      <c r="L77" s="825">
        <v>33519619</v>
      </c>
      <c r="M77" s="916">
        <v>31300714</v>
      </c>
      <c r="N77" s="826">
        <v>30356500</v>
      </c>
    </row>
    <row r="78" spans="1:14" x14ac:dyDescent="0.15">
      <c r="A78" s="240"/>
      <c r="B78" s="836"/>
      <c r="C78" s="1012" t="s">
        <v>425</v>
      </c>
      <c r="D78" s="293"/>
      <c r="E78" s="293"/>
      <c r="F78" s="245">
        <f t="shared" si="39"/>
        <v>0</v>
      </c>
      <c r="G78" s="249">
        <v>0</v>
      </c>
      <c r="H78" s="250">
        <v>0</v>
      </c>
      <c r="I78" s="251">
        <v>0</v>
      </c>
      <c r="J78" s="660">
        <v>0</v>
      </c>
      <c r="K78" s="825">
        <v>0</v>
      </c>
      <c r="L78" s="825">
        <v>0</v>
      </c>
      <c r="M78" s="916">
        <v>0</v>
      </c>
      <c r="N78" s="826">
        <v>0</v>
      </c>
    </row>
    <row r="79" spans="1:14" x14ac:dyDescent="0.15">
      <c r="A79" s="240"/>
      <c r="B79" s="135" t="s">
        <v>152</v>
      </c>
      <c r="C79" s="136"/>
      <c r="D79" s="136"/>
      <c r="E79" s="136"/>
      <c r="F79" s="245">
        <f>SUM(G79:I79)</f>
        <v>7410739</v>
      </c>
      <c r="G79" s="249">
        <v>2454781</v>
      </c>
      <c r="H79" s="250">
        <v>2450563</v>
      </c>
      <c r="I79" s="251">
        <v>2505395</v>
      </c>
      <c r="J79" s="660">
        <v>2606623</v>
      </c>
      <c r="K79" s="825">
        <v>2847039</v>
      </c>
      <c r="L79" s="825">
        <v>2994664</v>
      </c>
      <c r="M79" s="916">
        <v>2796425</v>
      </c>
      <c r="N79" s="826">
        <v>2712069</v>
      </c>
    </row>
    <row r="80" spans="1:14" x14ac:dyDescent="0.15">
      <c r="A80" s="240"/>
      <c r="B80" s="133" t="s">
        <v>153</v>
      </c>
      <c r="C80" s="34"/>
      <c r="D80" s="34"/>
      <c r="E80" s="34"/>
      <c r="F80" s="245">
        <f>SUM(G80:I80)</f>
        <v>2094300</v>
      </c>
      <c r="G80" s="246">
        <f t="shared" ref="G80:N80" si="42">G81*G82-G83</f>
        <v>693720</v>
      </c>
      <c r="H80" s="247">
        <f t="shared" si="42"/>
        <v>692520</v>
      </c>
      <c r="I80" s="248">
        <f t="shared" si="42"/>
        <v>708060</v>
      </c>
      <c r="J80" s="659">
        <f t="shared" si="42"/>
        <v>736620</v>
      </c>
      <c r="K80" s="822">
        <f t="shared" si="42"/>
        <v>804600</v>
      </c>
      <c r="L80" s="822">
        <f t="shared" si="42"/>
        <v>846300</v>
      </c>
      <c r="M80" s="914">
        <f t="shared" si="42"/>
        <v>790260</v>
      </c>
      <c r="N80" s="956">
        <f t="shared" si="42"/>
        <v>766440</v>
      </c>
    </row>
    <row r="81" spans="1:14" x14ac:dyDescent="0.15">
      <c r="A81" s="84"/>
      <c r="B81" s="133"/>
      <c r="C81" s="135" t="s">
        <v>240</v>
      </c>
      <c r="D81" s="255"/>
      <c r="E81" s="136"/>
      <c r="F81" s="156"/>
      <c r="G81" s="249">
        <v>60</v>
      </c>
      <c r="H81" s="250">
        <v>60</v>
      </c>
      <c r="I81" s="251">
        <v>60</v>
      </c>
      <c r="J81" s="660">
        <v>60</v>
      </c>
      <c r="K81" s="825">
        <v>60</v>
      </c>
      <c r="L81" s="825">
        <v>60</v>
      </c>
      <c r="M81" s="916">
        <v>60</v>
      </c>
      <c r="N81" s="826">
        <v>60</v>
      </c>
    </row>
    <row r="82" spans="1:14" x14ac:dyDescent="0.15">
      <c r="A82" s="84"/>
      <c r="B82" s="133"/>
      <c r="C82" s="256" t="s">
        <v>241</v>
      </c>
      <c r="D82" s="257"/>
      <c r="E82" s="136"/>
      <c r="F82" s="172">
        <f t="shared" ref="F82:F84" si="43">SUM(G82:I82)</f>
        <v>34905</v>
      </c>
      <c r="G82" s="249">
        <v>11562</v>
      </c>
      <c r="H82" s="250">
        <v>11542</v>
      </c>
      <c r="I82" s="251">
        <v>11801</v>
      </c>
      <c r="J82" s="660">
        <v>12277</v>
      </c>
      <c r="K82" s="825">
        <v>13410</v>
      </c>
      <c r="L82" s="825">
        <v>14105</v>
      </c>
      <c r="M82" s="916">
        <v>13171</v>
      </c>
      <c r="N82" s="826">
        <v>12774</v>
      </c>
    </row>
    <row r="83" spans="1:14" ht="13.5" customHeight="1" x14ac:dyDescent="0.15">
      <c r="A83" s="137"/>
      <c r="B83" s="138"/>
      <c r="C83" s="258" t="s">
        <v>154</v>
      </c>
      <c r="D83" s="128"/>
      <c r="E83" s="128"/>
      <c r="F83" s="172">
        <f t="shared" si="43"/>
        <v>0</v>
      </c>
      <c r="G83" s="246">
        <f>IF(G81-'(参考)保険料の推計に要する係数'!$D$38&gt;0,(G81-'(参考)保険料の推計に要する係数'!$D$38)*G82,0)</f>
        <v>0</v>
      </c>
      <c r="H83" s="246">
        <f>IF(H81-'(参考)保険料の推計に要する係数'!$D$38&gt;0,(H81-'(参考)保険料の推計に要する係数'!$D$38)*H82,0)</f>
        <v>0</v>
      </c>
      <c r="I83" s="973">
        <f>IF(I81-'(参考)保険料の推計に要する係数'!$D$38&gt;0,(I81-'(参考)保険料の推計に要する係数'!$D$38)*I82,0)</f>
        <v>0</v>
      </c>
      <c r="J83" s="659">
        <f>IF(J81-'(参考)保険料の推計に要する係数'!$D$38&gt;0,(J81-'(参考)保険料の推計に要する係数'!$D$38)*J82,0)</f>
        <v>0</v>
      </c>
      <c r="K83" s="659">
        <f>IF(K81-'(参考)保険料の推計に要する係数'!$D$38&gt;0,(K81-'(参考)保険料の推計に要する係数'!$D$38)*K82,0)</f>
        <v>0</v>
      </c>
      <c r="L83" s="659">
        <f>IF(L81-'(参考)保険料の推計に要する係数'!$D$38&gt;0,(L81-'(参考)保険料の推計に要する係数'!$D$38)*L82,0)</f>
        <v>0</v>
      </c>
      <c r="M83" s="659">
        <f>IF(M81-'(参考)保険料の推計に要する係数'!$D$38&gt;0,(M81-'(参考)保険料の推計に要する係数'!$D$38)*M82,0)</f>
        <v>0</v>
      </c>
      <c r="N83" s="953">
        <f>IF(N81-'(参考)保険料の推計に要する係数'!$D$38&gt;0,(N81-'(参考)保険料の推計に要する係数'!$D$38)*N82,0)</f>
        <v>0</v>
      </c>
    </row>
    <row r="84" spans="1:14" x14ac:dyDescent="0.15">
      <c r="A84" s="207" t="s">
        <v>155</v>
      </c>
      <c r="B84" s="259"/>
      <c r="C84" s="259"/>
      <c r="D84" s="259"/>
      <c r="E84" s="259"/>
      <c r="F84" s="172">
        <f t="shared" si="43"/>
        <v>91560000</v>
      </c>
      <c r="G84" s="247">
        <f>SUM(G85:G87)</f>
        <v>30520000</v>
      </c>
      <c r="H84" s="247">
        <f t="shared" ref="H84:I84" si="44">SUM(H85:H87)</f>
        <v>30520000</v>
      </c>
      <c r="I84" s="248">
        <f t="shared" si="44"/>
        <v>30520000</v>
      </c>
      <c r="J84" s="659">
        <f t="shared" ref="J84" si="45">SUM(J85:J87)</f>
        <v>30406209</v>
      </c>
      <c r="K84" s="659">
        <f t="shared" ref="K84:N84" si="46">SUM(K85:K87)</f>
        <v>29659389</v>
      </c>
      <c r="L84" s="659">
        <f t="shared" si="46"/>
        <v>28503542</v>
      </c>
      <c r="M84" s="659">
        <f t="shared" si="46"/>
        <v>26592076</v>
      </c>
      <c r="N84" s="953">
        <f t="shared" si="46"/>
        <v>25299200</v>
      </c>
    </row>
    <row r="85" spans="1:14" x14ac:dyDescent="0.15">
      <c r="A85" s="232"/>
      <c r="B85" s="212" t="s">
        <v>156</v>
      </c>
      <c r="C85" s="209"/>
      <c r="D85" s="209"/>
      <c r="E85" s="209"/>
      <c r="F85" s="172">
        <f>SUM(G85:I85)</f>
        <v>25560000</v>
      </c>
      <c r="G85" s="827">
        <f>'3_地域支援事業費'!E51</f>
        <v>8520000</v>
      </c>
      <c r="H85" s="827">
        <f>'3_地域支援事業費'!F51</f>
        <v>8520000</v>
      </c>
      <c r="I85" s="828">
        <f>'3_地域支援事業費'!G51</f>
        <v>8520000</v>
      </c>
      <c r="J85" s="722">
        <f>'3_地域支援事業費'!H51</f>
        <v>8782618</v>
      </c>
      <c r="K85" s="722">
        <f>'3_地域支援事業費'!I51</f>
        <v>8645978</v>
      </c>
      <c r="L85" s="722">
        <f>'3_地域支援事業費'!J51</f>
        <v>7997294</v>
      </c>
      <c r="M85" s="722">
        <f>'3_地域支援事業費'!K51</f>
        <v>7060531</v>
      </c>
      <c r="N85" s="954">
        <f>'3_地域支援事業費'!L51</f>
        <v>6389722</v>
      </c>
    </row>
    <row r="86" spans="1:14" x14ac:dyDescent="0.15">
      <c r="A86" s="232"/>
      <c r="B86" s="212" t="s">
        <v>363</v>
      </c>
      <c r="C86" s="209"/>
      <c r="D86" s="209"/>
      <c r="E86" s="209"/>
      <c r="F86" s="172">
        <f>SUM(G86:I86)</f>
        <v>39000000</v>
      </c>
      <c r="G86" s="827">
        <f>'3_地域支援事業費'!E52</f>
        <v>13000000</v>
      </c>
      <c r="H86" s="827">
        <f>'3_地域支援事業費'!F52</f>
        <v>13000000</v>
      </c>
      <c r="I86" s="828">
        <f>'3_地域支援事業費'!G52</f>
        <v>13000000</v>
      </c>
      <c r="J86" s="722">
        <f>'3_地域支援事業費'!H52</f>
        <v>12623591</v>
      </c>
      <c r="K86" s="722">
        <f>'3_地域支援事業費'!I52</f>
        <v>12013411</v>
      </c>
      <c r="L86" s="722">
        <f>'3_地域支援事業費'!J52</f>
        <v>11506248</v>
      </c>
      <c r="M86" s="722">
        <f>'3_地域支援事業費'!K52</f>
        <v>10531545</v>
      </c>
      <c r="N86" s="954">
        <f>'3_地域支援事業費'!L52</f>
        <v>9909478</v>
      </c>
    </row>
    <row r="87" spans="1:14" s="370" customFormat="1" x14ac:dyDescent="0.15">
      <c r="A87" s="232"/>
      <c r="B87" s="212" t="s">
        <v>344</v>
      </c>
      <c r="C87" s="837"/>
      <c r="D87" s="837"/>
      <c r="E87" s="837"/>
      <c r="F87" s="172">
        <f>SUM(G87:I87)</f>
        <v>27000000</v>
      </c>
      <c r="G87" s="957">
        <f>'3_地域支援事業費'!E53</f>
        <v>9000000</v>
      </c>
      <c r="H87" s="957">
        <f>'3_地域支援事業費'!F53</f>
        <v>9000000</v>
      </c>
      <c r="I87" s="974">
        <f>'3_地域支援事業費'!G53</f>
        <v>9000000</v>
      </c>
      <c r="J87" s="829">
        <f>'3_地域支援事業費'!H53</f>
        <v>9000000</v>
      </c>
      <c r="K87" s="829">
        <f>'3_地域支援事業費'!I53</f>
        <v>9000000</v>
      </c>
      <c r="L87" s="829">
        <f>'3_地域支援事業費'!J53</f>
        <v>9000000</v>
      </c>
      <c r="M87" s="829">
        <f>'3_地域支援事業費'!K53</f>
        <v>9000000</v>
      </c>
      <c r="N87" s="955">
        <f>'3_地域支援事業費'!L53</f>
        <v>9000000</v>
      </c>
    </row>
    <row r="88" spans="1:14" x14ac:dyDescent="0.15">
      <c r="A88" s="260" t="s">
        <v>157</v>
      </c>
      <c r="B88" s="261"/>
      <c r="C88" s="261"/>
      <c r="D88" s="261"/>
      <c r="E88" s="261"/>
      <c r="F88" s="172">
        <f>SUM(G88:I88)</f>
        <v>813313024.09000015</v>
      </c>
      <c r="G88" s="242">
        <f>(G68+G84)*'(参考)保険料の推計に要する係数'!$D$5</f>
        <v>270219918.06999999</v>
      </c>
      <c r="H88" s="242">
        <f>(H68+H84)*'(参考)保険料の推計に要する係数'!$D$5</f>
        <v>270526277.61000001</v>
      </c>
      <c r="I88" s="972">
        <f>(I68+I84)*'(参考)保険料の推計に要する係数'!$D$5</f>
        <v>272566828.41000003</v>
      </c>
      <c r="J88" s="659">
        <f>(J68+J84)*'(参考)保険料の推計に要する係数'!$E$5</f>
        <v>298030122</v>
      </c>
      <c r="K88" s="659">
        <f>(K68+K84)*'(参考)保険料の推計に要する係数'!$F$5</f>
        <v>335154005</v>
      </c>
      <c r="L88" s="659">
        <f>(L68+L84)*'(参考)保険料の推計に要する係数'!$G$5</f>
        <v>373372981.54000002</v>
      </c>
      <c r="M88" s="659">
        <f>(M68+M84)*'(参考)保険料の推計に要する係数'!$H$5</f>
        <v>368821011.96000004</v>
      </c>
      <c r="N88" s="953">
        <f>(N68+N84)*'(参考)保険料の推計に要する係数'!$I$5</f>
        <v>375287926.44000006</v>
      </c>
    </row>
    <row r="89" spans="1:14" s="264" customFormat="1" ht="13.5" customHeight="1" x14ac:dyDescent="0.15">
      <c r="A89" s="262" t="s">
        <v>158</v>
      </c>
      <c r="B89" s="166"/>
      <c r="C89" s="166"/>
      <c r="D89" s="166"/>
      <c r="E89" s="167"/>
      <c r="F89" s="969">
        <f t="shared" ref="F89" si="47">SUM(G89:I89)</f>
        <v>173507179.15000001</v>
      </c>
      <c r="G89" s="975">
        <f t="shared" ref="G89:J89" si="48">(G68+G85)*0.05</f>
        <v>57643460.450000003</v>
      </c>
      <c r="H89" s="263">
        <f t="shared" ref="H89:I89" si="49">(H68+H85)*0.05</f>
        <v>57710060.350000001</v>
      </c>
      <c r="I89" s="976">
        <f t="shared" si="49"/>
        <v>58153658.350000001</v>
      </c>
      <c r="J89" s="661">
        <f t="shared" si="48"/>
        <v>61008429.200000003</v>
      </c>
      <c r="K89" s="661">
        <f t="shared" ref="K89:N89" si="50">(K68+K85)*0.05</f>
        <v>65980130.450000003</v>
      </c>
      <c r="L89" s="661">
        <f t="shared" si="50"/>
        <v>70777184.049999997</v>
      </c>
      <c r="M89" s="661">
        <f t="shared" si="50"/>
        <v>67323610.150000006</v>
      </c>
      <c r="N89" s="958">
        <f t="shared" si="50"/>
        <v>66070227.25</v>
      </c>
    </row>
    <row r="90" spans="1:14" s="264" customFormat="1" ht="13.5" customHeight="1" x14ac:dyDescent="0.15">
      <c r="A90" s="161" t="s">
        <v>250</v>
      </c>
      <c r="B90" s="162"/>
      <c r="C90" s="163"/>
      <c r="D90" s="163"/>
      <c r="E90" s="265"/>
      <c r="F90" s="970">
        <f>SUM(G90:I90)</f>
        <v>146178000</v>
      </c>
      <c r="G90" s="977">
        <f t="shared" ref="G90:J90" si="51">ROUND((G68+G85)*G93*G91,-3)+G92</f>
        <v>52571000</v>
      </c>
      <c r="H90" s="160">
        <f t="shared" ref="H90:I90" si="52">ROUND((H68+H85)*H93*H91,-3)+H92</f>
        <v>48015000</v>
      </c>
      <c r="I90" s="978">
        <f t="shared" si="52"/>
        <v>45592000</v>
      </c>
      <c r="J90" s="662">
        <f t="shared" si="51"/>
        <v>46122000</v>
      </c>
      <c r="K90" s="662">
        <f t="shared" ref="K90:N90" si="53">ROUND((K68+K85)*K93*K91,-3)+K92</f>
        <v>82871000</v>
      </c>
      <c r="L90" s="662">
        <f t="shared" si="53"/>
        <v>129098000</v>
      </c>
      <c r="M90" s="662">
        <f t="shared" si="53"/>
        <v>141380000</v>
      </c>
      <c r="N90" s="959">
        <f t="shared" si="53"/>
        <v>140069000</v>
      </c>
    </row>
    <row r="91" spans="1:14" s="264" customFormat="1" ht="13.5" customHeight="1" x14ac:dyDescent="0.15">
      <c r="A91" s="161"/>
      <c r="B91" s="266" t="s">
        <v>282</v>
      </c>
      <c r="C91" s="267"/>
      <c r="D91" s="267"/>
      <c r="E91" s="268"/>
      <c r="F91" s="971"/>
      <c r="G91" s="979">
        <v>1</v>
      </c>
      <c r="H91" s="173">
        <v>1</v>
      </c>
      <c r="I91" s="174">
        <v>1</v>
      </c>
      <c r="J91" s="663">
        <v>1</v>
      </c>
      <c r="K91" s="663">
        <v>1</v>
      </c>
      <c r="L91" s="663">
        <v>1</v>
      </c>
      <c r="M91" s="918">
        <v>1</v>
      </c>
      <c r="N91" s="960">
        <v>1</v>
      </c>
    </row>
    <row r="92" spans="1:14" s="264" customFormat="1" ht="13.5" customHeight="1" x14ac:dyDescent="0.15">
      <c r="A92" s="161"/>
      <c r="B92" s="266" t="s">
        <v>283</v>
      </c>
      <c r="C92" s="267"/>
      <c r="D92" s="267"/>
      <c r="E92" s="268"/>
      <c r="F92" s="971"/>
      <c r="G92" s="980">
        <v>0</v>
      </c>
      <c r="H92" s="175">
        <v>0</v>
      </c>
      <c r="I92" s="176">
        <v>0</v>
      </c>
      <c r="J92" s="664">
        <v>0</v>
      </c>
      <c r="K92" s="664">
        <v>0</v>
      </c>
      <c r="L92" s="664">
        <v>0</v>
      </c>
      <c r="M92" s="919">
        <v>0</v>
      </c>
      <c r="N92" s="961">
        <v>0</v>
      </c>
    </row>
    <row r="93" spans="1:14" s="264" customFormat="1" ht="13.5" customHeight="1" x14ac:dyDescent="0.15">
      <c r="A93" s="170" t="s">
        <v>251</v>
      </c>
      <c r="B93" s="164"/>
      <c r="C93" s="165"/>
      <c r="D93" s="165"/>
      <c r="E93" s="269"/>
      <c r="F93" s="971"/>
      <c r="G93" s="981">
        <f>IF(G97&lt;&gt;0,IF(('(参考)保険料の推計に要する係数'!$D$5+0.05)-'(参考)保険料の推計に要する係数'!$D$5*G94*G97&gt;0,ROUND(('(参考)保険料の推計に要する係数'!$D$5+0.05)-('(参考)保険料の推計に要する係数'!$D$5*G94*G97),4),0),0)</f>
        <v>4.5600000000000002E-2</v>
      </c>
      <c r="H93" s="171">
        <f>IF(H97&lt;&gt;0,IF(('(参考)保険料の推計に要する係数'!$D$5+0.05)-'(参考)保険料の推計に要する係数'!$D$5*H94*H97&gt;0,ROUND(('(参考)保険料の推計に要する係数'!$D$5+0.05)-('(参考)保険料の推計に要する係数'!$D$5*H94*H97),4),0),0)</f>
        <v>4.1599999999999998E-2</v>
      </c>
      <c r="I93" s="982">
        <f>IF(I97&lt;&gt;0,IF(('(参考)保険料の推計に要する係数'!$D$5+0.05)-'(参考)保険料の推計に要する係数'!$D$5*I94*I97&gt;0,ROUND(('(参考)保険料の推計に要する係数'!$D$5+0.05)-('(参考)保険料の推計に要する係数'!$D$5*I94*I97),4),0),0)</f>
        <v>3.9199999999999999E-2</v>
      </c>
      <c r="J93" s="665">
        <f>IF(J97&lt;&gt;0,IF(('(参考)保険料の推計に要する係数'!$E$5+0.05)-'(参考)保険料の推計に要する係数'!$E$5*J94*J97&gt;0,ROUND(('(参考)保険料の推計に要する係数'!$E$5+0.05)-('(参考)保険料の推計に要する係数'!$E$5*J94*J97),4),0),0)</f>
        <v>3.78E-2</v>
      </c>
      <c r="K93" s="665">
        <f>IF(K97&lt;&gt;0,IF(('(参考)保険料の推計に要する係数'!$F$5+0.05)-'(参考)保険料の推計に要する係数'!$F$5*K94*K97&gt;0,ROUND(('(参考)保険料の推計に要する係数'!$F$5+0.05)-('(参考)保険料の推計に要する係数'!$F$5*K94*K97),4),0),0)</f>
        <v>6.2799999999999995E-2</v>
      </c>
      <c r="L93" s="665">
        <f>IF(L97&lt;&gt;0,IF(('(参考)保険料の推計に要する係数'!$G$5+0.05)-'(参考)保険料の推計に要する係数'!$G$5*L94*L97&gt;0,ROUND(('(参考)保険料の推計に要する係数'!$G$5+0.05)-('(参考)保険料の推計に要する係数'!$G$5*L94*L97),4),0),0)</f>
        <v>9.1200000000000003E-2</v>
      </c>
      <c r="M93" s="665">
        <f>IF(M97&lt;&gt;0,IF(('(参考)保険料の推計に要する係数'!$H$5+0.05)-'(参考)保険料の推計に要する係数'!$H$5*M94*M97&gt;0,ROUND(('(参考)保険料の推計に要する係数'!$H$5+0.05)-('(参考)保険料の推計に要する係数'!$H$5*M94*M97),4),0),0)</f>
        <v>0.105</v>
      </c>
      <c r="N93" s="962">
        <f>IF(N97&lt;&gt;0,IF(('(参考)保険料の推計に要する係数'!$I$5+0.05)-'(参考)保険料の推計に要する係数'!$I$5*N94*N97&gt;0,ROUND(('(参考)保険料の推計に要する係数'!$I$5+0.05)-('(参考)保険料の推計に要する係数'!$I$5*N94*N97),4),0),0)</f>
        <v>0.106</v>
      </c>
    </row>
    <row r="94" spans="1:14" s="264" customFormat="1" ht="13.5" customHeight="1" x14ac:dyDescent="0.15">
      <c r="A94" s="838"/>
      <c r="B94" s="164" t="s">
        <v>248</v>
      </c>
      <c r="C94" s="166"/>
      <c r="D94" s="166"/>
      <c r="E94" s="167"/>
      <c r="F94" s="971"/>
      <c r="G94" s="899">
        <f>IF(SUM(G108:G109)&gt;0,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ROUND(G108/G107,4)*'(参考)保険料の推計に要する係数'!D12
                                  +ROUND(G110/G107,4)*'(参考)保険料の推計に要する係数'!D13
                                  +ROUND(G111/G107,4)*'(参考)保険料の推計に要する係数'!D14
                              ),4),0)</f>
        <v>1.0610999999999999</v>
      </c>
      <c r="H94" s="899">
        <f>IF(SUM(H108:H109)&gt;0,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ROUND(H108/H107,4)*'(参考)保険料の推計に要する係数'!E12
                                  +ROUND(H110/H107,4)*'(参考)保険料の推計に要する係数'!E13
                                  +ROUND(H111/H107,4)*'(参考)保険料の推計に要する係数'!E14
                              ),4),0)</f>
        <v>1.0805</v>
      </c>
      <c r="I94" s="900">
        <f>IF(SUM(I108:I109)&gt;0,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ROUND(I108/I107,4)*'(参考)保険料の推計に要する係数'!F12
                                  +ROUND(I110/I107,4)*'(参考)保険料の推計に要する係数'!F13
                                  +ROUND(I111/I107,4)*'(参考)保険料の推計に要する係数'!F14
                              ),4),0)</f>
        <v>1.0928</v>
      </c>
      <c r="J94" s="666">
        <f>IF(SUM(J108:J109)&gt;0,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ROUND(J108/J107,4)*'(参考)保険料の推計に要する係数'!G12
                                  +ROUND(J110/J107,4)*'(参考)保険料の推計に要する係数'!G13
                                  +ROUND(J111/J107,4)*'(参考)保険料の推計に要する係数'!G14
                              ),4),0)</f>
        <v>1.0961000000000001</v>
      </c>
      <c r="K94" s="666">
        <f>IF(SUM(K108:K109)&gt;0,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ROUND(K108/K107,4)*'(参考)保険料の推計に要する係数'!H12
                                  +ROUND(K110/K107,4)*'(参考)保険料の推計に要する係数'!H13
                                  +ROUND(K111/K107,4)*'(参考)保険料の推計に要する係数'!H14
                              ),4),0)</f>
        <v>0.99139999999999995</v>
      </c>
      <c r="L94" s="666">
        <f>IF(SUM(L108:L109)&gt;0,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ROUND(L108/L107,4)*'(参考)保険料の推計に要する係数'!I12
                                  +ROUND(L110/L107,4)*'(参考)保険料の推計に要する係数'!I13
                                  +ROUND(L111/L107,4)*'(参考)保険料の推計に要する係数'!I14
                              ),4),0)</f>
        <v>0.87790000000000001</v>
      </c>
      <c r="M94" s="666">
        <f>IF(SUM(M108:M109)&gt;0,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ROUND(M108/M107,4)*'(参考)保険料の推計に要する係数'!J12
                                  +ROUND(M110/M107,4)*'(参考)保険料の推計に要する係数'!J13
                                  +ROUND(M111/M107,4)*'(参考)保険料の推計に要する係数'!J14
                              ),4),0)</f>
        <v>0.83120000000000005</v>
      </c>
      <c r="N94" s="963">
        <f>IF(SUM(N108:N109)&gt;0,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ROUND(N108/N107,4)*'(参考)保険料の推計に要する係数'!K12
                                  +ROUND(N110/N107,4)*'(参考)保険料の推計に要する係数'!K13
                                  +ROUND(N111/N107,4)*'(参考)保険料の推計に要する係数'!K14
                              ),4),0)</f>
        <v>0.83540000000000003</v>
      </c>
    </row>
    <row r="95" spans="1:14" s="264" customFormat="1" ht="13.5" hidden="1" customHeight="1" x14ac:dyDescent="0.15">
      <c r="A95" s="161"/>
      <c r="B95" s="839"/>
      <c r="C95" s="898"/>
      <c r="D95" s="840"/>
      <c r="E95" s="841"/>
      <c r="F95" s="971"/>
      <c r="G95" s="983"/>
      <c r="H95" s="901"/>
      <c r="I95" s="984"/>
      <c r="J95" s="902"/>
      <c r="K95" s="902"/>
      <c r="L95" s="902"/>
      <c r="M95" s="902"/>
      <c r="N95" s="964"/>
    </row>
    <row r="96" spans="1:14" s="264" customFormat="1" ht="13.5" hidden="1" customHeight="1" x14ac:dyDescent="0.15">
      <c r="A96" s="161"/>
      <c r="B96" s="842"/>
      <c r="C96" s="898"/>
      <c r="D96" s="840"/>
      <c r="E96" s="841"/>
      <c r="F96" s="971"/>
      <c r="G96" s="983"/>
      <c r="H96" s="901"/>
      <c r="I96" s="984"/>
      <c r="J96" s="903"/>
      <c r="K96" s="903"/>
      <c r="L96" s="903"/>
      <c r="M96" s="903"/>
      <c r="N96" s="965"/>
    </row>
    <row r="97" spans="1:14" s="264" customFormat="1" ht="13.5" customHeight="1" x14ac:dyDescent="0.15">
      <c r="A97" s="161"/>
      <c r="B97" s="162" t="s">
        <v>249</v>
      </c>
      <c r="C97" s="168"/>
      <c r="D97" s="168"/>
      <c r="E97" s="169"/>
      <c r="F97" s="971"/>
      <c r="G97" s="985">
        <f>IF(G145&gt;0,ROUND(
                            1-(
                                    (1-G255)*(ROUND(G113,3)-'(参考)保険料の推計に要する係数'!$D17)
                                 +(1-G256)*(ROUND(G114,3)-'(参考)保険料の推計に要する係数'!$D18)
                                 +(1-G257)*(ROUND(G115,3)-'(参考)保険料の推計に要する係数'!$D19)
                                   +(1-G258)*(ROUND(G116,3)-'(参考)保険料の推計に要する係数'!$D20)
                                     +(1-G259)*(ROUND(G117,3)-'(参考)保険料の推計に要する係数'!$D21)
                                   +(1-G260)*(ROUND(G118,3)-'(参考)保険料の推計に要する係数'!$D22)
                                   +(1-G261)*(ROUND(G119,3)-'(参考)保険料の推計に要する係数'!$D23)
                                   +(1-G262)*(ROUND(G120,3)-'(参考)保険料の推計に要する係数'!$D24)
                                   +(1-G263)*(ROUND(G121,3)-'(参考)保険料の推計に要する係数'!$D25)
                                   +(1-G264)*(ROUND(G122,3)-'(参考)保険料の推計に要する係数'!$D26)
                                   +(1-G265)*(ROUND(G123,3)-'(参考)保険料の推計に要する係数'!$D27)
                                   +(1-G266)*(ROUND(G124,3)-'(参考)保険料の推計に要する係数'!$D28)
                                   +(1-G267)*(ROUND(G125,3)-'(参考)保険料の推計に要する係数'!$D29)
                                   +(1-G268)*(ROUND(G126,3)-'(参考)保険料の推計に要する係数'!$D30)
                                   +(1-G269)*(ROUND(G127,3)-'(参考)保険料の推計に要する係数'!$D31)
                                 ),4),0)</f>
        <v>0.96060000000000001</v>
      </c>
      <c r="H97" s="985">
        <f>IF(H145&gt;0,ROUND(
                            1-(
                                    (1-H255)*(ROUND(H113,3)-'(参考)保険料の推計に要する係数'!$D17)
                                 +(1-H256)*(ROUND(H114,3)-'(参考)保険料の推計に要する係数'!$D18)
                                 +(1-H257)*(ROUND(H115,3)-'(参考)保険料の推計に要する係数'!$D19)
                                   +(1-H258)*(ROUND(H116,3)-'(参考)保険料の推計に要する係数'!$D20)
                                     +(1-H259)*(ROUND(H117,3)-'(参考)保険料の推計に要する係数'!$D21)
                                   +(1-H260)*(ROUND(H118,3)-'(参考)保険料の推計に要する係数'!$D22)
                                   +(1-H261)*(ROUND(H119,3)-'(参考)保険料の推計に要する係数'!$D23)
                                   +(1-H262)*(ROUND(H120,3)-'(参考)保険料の推計に要する係数'!$D24)
                                   +(1-H263)*(ROUND(H121,3)-'(参考)保険料の推計に要する係数'!$D25)
                                   +(1-H264)*(ROUND(H122,3)-'(参考)保険料の推計に要する係数'!$D26)
                                   +(1-H265)*(ROUND(H123,3)-'(参考)保険料の推計に要する係数'!$D27)
                                   +(1-H266)*(ROUND(H124,3)-'(参考)保険料の推計に要する係数'!$D28)
                                   +(1-H267)*(ROUND(H125,3)-'(参考)保険料の推計に要する係数'!$D29)
                                   +(1-H268)*(ROUND(H126,3)-'(参考)保険料の推計に要する係数'!$D30)
                                   +(1-H269)*(ROUND(H127,3)-'(参考)保険料の推計に要する係数'!$D31)
                                 ),4),0)</f>
        <v>0.95930000000000004</v>
      </c>
      <c r="I97" s="1009">
        <f>IF(I145&gt;0,ROUND(
                            1-(
                                    (1-I255)*(ROUND(I113,3)-'(参考)保険料の推計に要する係数'!$D17)
                                 +(1-I256)*(ROUND(I114,3)-'(参考)保険料の推計に要する係数'!$D18)
                                 +(1-I257)*(ROUND(I115,3)-'(参考)保険料の推計に要する係数'!$D19)
                                   +(1-I258)*(ROUND(I116,3)-'(参考)保険料の推計に要する係数'!$D20)
                                     +(1-I259)*(ROUND(I117,3)-'(参考)保険料の推計に要する係数'!$D21)
                                   +(1-I260)*(ROUND(I118,3)-'(参考)保険料の推計に要する係数'!$D22)
                                   +(1-I261)*(ROUND(I119,3)-'(参考)保険料の推計に要する係数'!$D23)
                                   +(1-I262)*(ROUND(I120,3)-'(参考)保険料の推計に要する係数'!$D24)
                                   +(1-I263)*(ROUND(I121,3)-'(参考)保険料の推計に要する係数'!$D25)
                                   +(1-I264)*(ROUND(I122,3)-'(参考)保険料の推計に要する係数'!$D26)
                                   +(1-I265)*(ROUND(I123,3)-'(参考)保険料の推計に要する係数'!$D27)
                                   +(1-I266)*(ROUND(I124,3)-'(参考)保険料の推計に要する係数'!$D28)
                                   +(1-I267)*(ROUND(I125,3)-'(参考)保険料の推計に要する係数'!$D29)
                                   +(1-I268)*(ROUND(I126,3)-'(参考)保険料の推計に要する係数'!$D30)
                                   +(1-I269)*(ROUND(I127,3)-'(参考)保険料の推計に要する係数'!$D31)
                                 ),4),0)</f>
        <v>0.95809999999999995</v>
      </c>
      <c r="J97" s="1010">
        <f>IF(J145&gt;0,ROUND(
                            1-(
                                    (1-J255)*(ROUND(J113,3)-'(参考)保険料の推計に要する係数'!$D17)
                                 +(1-J256)*(ROUND(J114,3)-'(参考)保険料の推計に要する係数'!$D18)
                                 +(1-J257)*(ROUND(J115,3)-'(参考)保険料の推計に要する係数'!$D19)
                                   +(1-J258)*(ROUND(J116,3)-'(参考)保険料の推計に要する係数'!$D20)
                                     +(1-J259)*(ROUND(J117,3)-'(参考)保険料の推計に要する係数'!$D21)
                                   +(1-J260)*(ROUND(J118,3)-'(参考)保険料の推計に要する係数'!$D22)
                                   +(1-J261)*(ROUND(J119,3)-'(参考)保険料の推計に要する係数'!$D23)
                                   +(1-J262)*(ROUND(J120,3)-'(参考)保険料の推計に要する係数'!$D24)
                                   +(1-J263)*(ROUND(J121,3)-'(参考)保険料の推計に要する係数'!$D25)
                                   +(1-J264)*(ROUND(J122,3)-'(参考)保険料の推計に要する係数'!$D26)
                                   +(1-J265)*(ROUND(J123,3)-'(参考)保険料の推計に要する係数'!$D27)
                                   +(1-J266)*(ROUND(J124,3)-'(参考)保険料の推計に要する係数'!$D28)
                                   +(1-J267)*(ROUND(J125,3)-'(参考)保険料の推計に要する係数'!$D29)
                                   +(1-J268)*(ROUND(J126,3)-'(参考)保険料の推計に要する係数'!$D30)
                                   +(1-J269)*(ROUND(J127,3)-'(参考)保険料の推計に要する係数'!$D31)
                                 ),4),0)</f>
        <v>0.95879999999999999</v>
      </c>
      <c r="K97" s="1010">
        <f>IF(K145&gt;0,ROUND(
                            1-(
                                    (1-K255)*(ROUND(K113,3)-'(参考)保険料の推計に要する係数'!$D17)
                                 +(1-K256)*(ROUND(K114,3)-'(参考)保険料の推計に要する係数'!$D18)
                                 +(1-K257)*(ROUND(K115,3)-'(参考)保険料の推計に要する係数'!$D19)
                                   +(1-K258)*(ROUND(K116,3)-'(参考)保険料の推計に要する係数'!$D20)
                                     +(1-K259)*(ROUND(K117,3)-'(参考)保険料の推計に要する係数'!$D21)
                                   +(1-K260)*(ROUND(K118,3)-'(参考)保険料の推計に要する係数'!$D22)
                                   +(1-K261)*(ROUND(K119,3)-'(参考)保険料の推計に要する係数'!$D23)
                                   +(1-K262)*(ROUND(K120,3)-'(参考)保険料の推計に要する係数'!$D24)
                                   +(1-K263)*(ROUND(K121,3)-'(参考)保険料の推計に要する係数'!$D25)
                                   +(1-K264)*(ROUND(K122,3)-'(参考)保険料の推計に要する係数'!$D26)
                                   +(1-K265)*(ROUND(K123,3)-'(参考)保険料の推計に要する係数'!$D27)
                                   +(1-K266)*(ROUND(K124,3)-'(参考)保険料の推計に要する係数'!$D28)
                                   +(1-K267)*(ROUND(K125,3)-'(参考)保険料の推計に要する係数'!$D29)
                                   +(1-K268)*(ROUND(K126,3)-'(参考)保険料の推計に要する係数'!$D30)
                                   +(1-K269)*(ROUND(K127,3)-'(参考)保険料の推計に要する係数'!$D31)
                                 ),4),0)</f>
        <v>0.95720000000000005</v>
      </c>
      <c r="L97" s="1010">
        <f>IF(L145&gt;0,ROUND(
                            1-(
                                    (1-L255)*(ROUND(L113,3)-'(参考)保険料の推計に要する係数'!$D17)
                                 +(1-L256)*(ROUND(L114,3)-'(参考)保険料の推計に要する係数'!$D18)
                                 +(1-L257)*(ROUND(L115,3)-'(参考)保険料の推計に要する係数'!$D19)
                                   +(1-L258)*(ROUND(L116,3)-'(参考)保険料の推計に要する係数'!$D20)
                                     +(1-L259)*(ROUND(L117,3)-'(参考)保険料の推計に要する係数'!$D21)
                                   +(1-L260)*(ROUND(L118,3)-'(参考)保険料の推計に要する係数'!$D22)
                                   +(1-L261)*(ROUND(L119,3)-'(参考)保険料の推計に要する係数'!$D23)
                                   +(1-L262)*(ROUND(L120,3)-'(参考)保険料の推計に要する係数'!$D24)
                                   +(1-L263)*(ROUND(L121,3)-'(参考)保険料の推計に要する係数'!$D25)
                                   +(1-L264)*(ROUND(L122,3)-'(参考)保険料の推計に要する係数'!$D26)
                                   +(1-L265)*(ROUND(L123,3)-'(参考)保険料の推計に要する係数'!$D27)
                                   +(1-L266)*(ROUND(L124,3)-'(参考)保険料の推計に要する係数'!$D28)
                                   +(1-L267)*(ROUND(L125,3)-'(参考)保険料の推計に要する係数'!$D29)
                                   +(1-L268)*(ROUND(L126,3)-'(参考)保険料の推計に要する係数'!$D30)
                                   +(1-L269)*(ROUND(L127,3)-'(参考)保険料の推計に要する係数'!$D31)
                                 ),4),0)</f>
        <v>0.95850000000000002</v>
      </c>
      <c r="M97" s="1010">
        <f>IF(M145&gt;0,ROUND(
                            1-(
                                    (1-M255)*(ROUND(M113,3)-'(参考)保険料の推計に要する係数'!$D17)
                                 +(1-M256)*(ROUND(M114,3)-'(参考)保険料の推計に要する係数'!$D18)
                                 +(1-M257)*(ROUND(M115,3)-'(参考)保険料の推計に要する係数'!$D19)
                                   +(1-M258)*(ROUND(M116,3)-'(参考)保険料の推計に要する係数'!$D20)
                                     +(1-M259)*(ROUND(M117,3)-'(参考)保険料の推計に要する係数'!$D21)
                                   +(1-M260)*(ROUND(M118,3)-'(参考)保険料の推計に要する係数'!$D22)
                                   +(1-M261)*(ROUND(M119,3)-'(参考)保険料の推計に要する係数'!$D23)
                                   +(1-M262)*(ROUND(M120,3)-'(参考)保険料の推計に要する係数'!$D24)
                                   +(1-M263)*(ROUND(M121,3)-'(参考)保険料の推計に要する係数'!$D25)
                                   +(1-M264)*(ROUND(M122,3)-'(参考)保険料の推計に要する係数'!$D26)
                                   +(1-M265)*(ROUND(M123,3)-'(参考)保険料の推計に要する係数'!$D27)
                                   +(1-M266)*(ROUND(M124,3)-'(参考)保険料の推計に要する係数'!$D28)
                                   +(1-M267)*(ROUND(M125,3)-'(参考)保険料の推計に要する係数'!$D29)
                                   +(1-M268)*(ROUND(M126,3)-'(参考)保険料の推計に要する係数'!$D30)
                                   +(1-M269)*(ROUND(M127,3)-'(参考)保険料の推計に要する係数'!$D31)
                                 ),4),0)</f>
        <v>0.95779999999999998</v>
      </c>
      <c r="N97" s="1011">
        <f>IF(N145&gt;0,ROUND(
                            1-(
                                    (1-N255)*(ROUND(N113,3)-'(参考)保険料の推計に要する係数'!$D17)
                                 +(1-N256)*(ROUND(N114,3)-'(参考)保険料の推計に要する係数'!$D18)
                                 +(1-N257)*(ROUND(N115,3)-'(参考)保険料の推計に要する係数'!$D19)
                                   +(1-N258)*(ROUND(N116,3)-'(参考)保険料の推計に要する係数'!$D20)
                                     +(1-N259)*(ROUND(N117,3)-'(参考)保険料の推計に要する係数'!$D21)
                                   +(1-N260)*(ROUND(N118,3)-'(参考)保険料の推計に要する係数'!$D22)
                                   +(1-N261)*(ROUND(N119,3)-'(参考)保険料の推計に要する係数'!$D23)
                                   +(1-N262)*(ROUND(N120,3)-'(参考)保険料の推計に要する係数'!$D24)
                                   +(1-N263)*(ROUND(N121,3)-'(参考)保険料の推計に要する係数'!$D25)
                                   +(1-N264)*(ROUND(N122,3)-'(参考)保険料の推計に要する係数'!$D26)
                                   +(1-N265)*(ROUND(N123,3)-'(参考)保険料の推計に要する係数'!$D27)
                                   +(1-N266)*(ROUND(N124,3)-'(参考)保険料の推計に要する係数'!$D28)
                                   +(1-N267)*(ROUND(N125,3)-'(参考)保険料の推計に要する係数'!$D29)
                                   +(1-N268)*(ROUND(N126,3)-'(参考)保険料の推計に要する係数'!$D30)
                                   +(1-N269)*(ROUND(N127,3)-'(参考)保険料の推計に要する係数'!$D31)
                                 ),4),0)</f>
        <v>0.9577</v>
      </c>
    </row>
    <row r="98" spans="1:14" x14ac:dyDescent="0.15">
      <c r="A98" s="270" t="s">
        <v>159</v>
      </c>
      <c r="B98" s="271"/>
      <c r="C98" s="271"/>
      <c r="D98" s="271"/>
      <c r="E98" s="271"/>
      <c r="F98" s="172">
        <f>SUM(G98:I98)</f>
        <v>0</v>
      </c>
      <c r="G98" s="249">
        <v>0</v>
      </c>
      <c r="H98" s="832">
        <v>0</v>
      </c>
      <c r="I98" s="966">
        <v>0</v>
      </c>
      <c r="J98" s="660">
        <v>0</v>
      </c>
      <c r="K98" s="825">
        <v>0</v>
      </c>
      <c r="L98" s="825">
        <v>0</v>
      </c>
      <c r="M98" s="916">
        <v>0</v>
      </c>
      <c r="N98" s="826">
        <v>0</v>
      </c>
    </row>
    <row r="99" spans="1:14" x14ac:dyDescent="0.15">
      <c r="A99" s="272" t="s">
        <v>160</v>
      </c>
      <c r="B99" s="209"/>
      <c r="C99" s="209"/>
      <c r="D99" s="209"/>
      <c r="E99" s="209"/>
      <c r="F99" s="967">
        <v>0</v>
      </c>
      <c r="G99" s="273"/>
      <c r="H99" s="274"/>
      <c r="I99" s="275"/>
      <c r="J99" s="660">
        <v>0</v>
      </c>
      <c r="K99" s="825">
        <v>0</v>
      </c>
      <c r="L99" s="825">
        <v>0</v>
      </c>
      <c r="M99" s="916">
        <v>0</v>
      </c>
      <c r="N99" s="826">
        <v>0</v>
      </c>
    </row>
    <row r="100" spans="1:14" ht="14.25" thickBot="1" x14ac:dyDescent="0.2">
      <c r="A100" s="276" t="s">
        <v>366</v>
      </c>
      <c r="B100" s="277"/>
      <c r="C100" s="277"/>
      <c r="D100" s="277"/>
      <c r="E100" s="277"/>
      <c r="F100" s="968">
        <v>0</v>
      </c>
      <c r="G100" s="278"/>
      <c r="H100" s="279"/>
      <c r="I100" s="280"/>
      <c r="J100" s="667">
        <v>0</v>
      </c>
      <c r="K100" s="843">
        <v>0</v>
      </c>
      <c r="L100" s="843">
        <v>0</v>
      </c>
      <c r="M100" s="920">
        <v>0</v>
      </c>
      <c r="N100" s="844">
        <v>0</v>
      </c>
    </row>
    <row r="101" spans="1:14" ht="14.25" thickBot="1" x14ac:dyDescent="0.2">
      <c r="A101" s="202" t="s">
        <v>161</v>
      </c>
      <c r="B101" s="203"/>
      <c r="C101" s="203"/>
      <c r="D101" s="203"/>
      <c r="E101" s="203"/>
      <c r="F101" s="281">
        <f>F88+F89-F90+F18+F21-F15+F83+F98+F99-F100</f>
        <v>840642203.24000013</v>
      </c>
      <c r="G101" s="282"/>
      <c r="H101" s="283"/>
      <c r="I101" s="284"/>
      <c r="J101" s="668">
        <f>J88+J89-J90+G18+G21-G15+J83+J98+J99-J100</f>
        <v>312916551.19999999</v>
      </c>
      <c r="K101" s="845">
        <f>K88+K89-K90+H18+H21-H15+K83+K98+K99-K100</f>
        <v>318263135.44999999</v>
      </c>
      <c r="L101" s="845">
        <f>L88+L89-L90+I18+I21-I15+L83+L98+L99-L100</f>
        <v>315052165.59000003</v>
      </c>
      <c r="M101" s="921">
        <f>M88+M89-M90+J18+J21-J15+M83+M98+M99-M100</f>
        <v>294764622.11000001</v>
      </c>
      <c r="N101" s="846">
        <f>N88+N89-N90+K18+K21-K15+N83+N98+N99-N100</f>
        <v>301289153.69000006</v>
      </c>
    </row>
    <row r="102" spans="1:14" ht="14.25" thickBot="1" x14ac:dyDescent="0.2">
      <c r="A102" s="199" t="s">
        <v>162</v>
      </c>
      <c r="B102" s="200"/>
      <c r="C102" s="200"/>
      <c r="D102" s="200"/>
      <c r="E102" s="200"/>
      <c r="F102" s="285">
        <v>0.96</v>
      </c>
      <c r="G102" s="286"/>
      <c r="H102" s="287"/>
      <c r="I102" s="288"/>
      <c r="J102" s="669">
        <v>0.97</v>
      </c>
      <c r="K102" s="847">
        <v>0.97</v>
      </c>
      <c r="L102" s="847">
        <v>0.97</v>
      </c>
      <c r="M102" s="922">
        <v>0.97</v>
      </c>
      <c r="N102" s="848">
        <v>0.97</v>
      </c>
    </row>
    <row r="103" spans="1:14" x14ac:dyDescent="0.15">
      <c r="F103" s="215"/>
    </row>
    <row r="104" spans="1:14" ht="14.25" thickBot="1" x14ac:dyDescent="0.2">
      <c r="A104" s="198" t="s">
        <v>163</v>
      </c>
    </row>
    <row r="105" spans="1:14" x14ac:dyDescent="0.15">
      <c r="A105" s="230"/>
      <c r="B105" s="231"/>
      <c r="C105" s="231"/>
      <c r="D105" s="231"/>
      <c r="E105" s="231"/>
      <c r="F105" s="1109" t="s">
        <v>380</v>
      </c>
      <c r="G105" s="1110"/>
      <c r="H105" s="1110"/>
      <c r="I105" s="1111"/>
      <c r="J105" s="1112" t="s">
        <v>372</v>
      </c>
      <c r="K105" s="1112" t="s">
        <v>371</v>
      </c>
      <c r="L105" s="1112" t="s">
        <v>370</v>
      </c>
      <c r="M105" s="1126" t="s">
        <v>368</v>
      </c>
      <c r="N105" s="1124" t="s">
        <v>413</v>
      </c>
    </row>
    <row r="106" spans="1:14" ht="14.25" thickBot="1" x14ac:dyDescent="0.2">
      <c r="A106" s="232"/>
      <c r="F106" s="233" t="s">
        <v>150</v>
      </c>
      <c r="G106" s="234" t="s">
        <v>374</v>
      </c>
      <c r="H106" s="235" t="s">
        <v>255</v>
      </c>
      <c r="I106" s="236" t="s">
        <v>373</v>
      </c>
      <c r="J106" s="1113"/>
      <c r="K106" s="1123"/>
      <c r="L106" s="1123"/>
      <c r="M106" s="1127"/>
      <c r="N106" s="1125"/>
    </row>
    <row r="107" spans="1:14" x14ac:dyDescent="0.15">
      <c r="A107" s="132" t="s">
        <v>164</v>
      </c>
      <c r="B107" s="85"/>
      <c r="C107" s="85"/>
      <c r="D107" s="85"/>
      <c r="E107" s="289"/>
      <c r="F107" s="629">
        <f>SUM(G107:I107)</f>
        <v>9875</v>
      </c>
      <c r="G107" s="290">
        <f>'1_推計値サマリ'!G12</f>
        <v>3292</v>
      </c>
      <c r="H107" s="290">
        <f>'1_推計値サマリ'!H12</f>
        <v>3302</v>
      </c>
      <c r="I107" s="291">
        <f>'1_推計値サマリ'!I12</f>
        <v>3281</v>
      </c>
      <c r="J107" s="649">
        <f>'1_推計値サマリ'!K12</f>
        <v>3186</v>
      </c>
      <c r="K107" s="849">
        <f>'1_推計値サマリ'!M12</f>
        <v>3032</v>
      </c>
      <c r="L107" s="849">
        <f>'1_推計値サマリ'!O12</f>
        <v>2904</v>
      </c>
      <c r="M107" s="923">
        <f>'1_推計値サマリ'!Q12</f>
        <v>2658</v>
      </c>
      <c r="N107" s="850">
        <f>'1_推計値サマリ'!S12</f>
        <v>2501</v>
      </c>
    </row>
    <row r="108" spans="1:14" x14ac:dyDescent="0.15">
      <c r="A108" s="84"/>
      <c r="B108" s="135" t="s">
        <v>165</v>
      </c>
      <c r="C108" s="136"/>
      <c r="D108" s="136"/>
      <c r="E108" s="141"/>
      <c r="F108" s="630">
        <f>SUM(G108:I108)</f>
        <v>4939</v>
      </c>
      <c r="G108" s="253">
        <v>1684</v>
      </c>
      <c r="H108" s="253">
        <v>1664</v>
      </c>
      <c r="I108" s="292">
        <v>1591</v>
      </c>
      <c r="J108" s="646">
        <v>1298</v>
      </c>
      <c r="K108" s="391">
        <v>1039</v>
      </c>
      <c r="L108" s="391">
        <v>1035</v>
      </c>
      <c r="M108" s="924">
        <v>1007</v>
      </c>
      <c r="N108" s="851">
        <v>1000</v>
      </c>
    </row>
    <row r="109" spans="1:14" x14ac:dyDescent="0.15">
      <c r="A109" s="84"/>
      <c r="B109" s="157" t="s">
        <v>247</v>
      </c>
      <c r="C109" s="293"/>
      <c r="D109" s="293"/>
      <c r="E109" s="294"/>
      <c r="F109" s="295">
        <f>SUM(F110:F111)</f>
        <v>4936</v>
      </c>
      <c r="G109" s="296">
        <f>SUM(G110:G111)</f>
        <v>1608</v>
      </c>
      <c r="H109" s="296">
        <f t="shared" ref="H109:J109" si="54">SUM(H110:H111)</f>
        <v>1638</v>
      </c>
      <c r="I109" s="297">
        <f t="shared" si="54"/>
        <v>1690</v>
      </c>
      <c r="J109" s="650">
        <f t="shared" si="54"/>
        <v>1888</v>
      </c>
      <c r="K109" s="852">
        <f t="shared" ref="K109:M109" si="55">SUM(K110:K111)</f>
        <v>1993</v>
      </c>
      <c r="L109" s="852">
        <f t="shared" si="55"/>
        <v>1869</v>
      </c>
      <c r="M109" s="925">
        <f t="shared" si="55"/>
        <v>1651</v>
      </c>
      <c r="N109" s="853">
        <f t="shared" ref="N109" si="56">SUM(N110:N111)</f>
        <v>1501</v>
      </c>
    </row>
    <row r="110" spans="1:14" x14ac:dyDescent="0.15">
      <c r="A110" s="84"/>
      <c r="B110" s="158"/>
      <c r="C110" s="136" t="s">
        <v>234</v>
      </c>
      <c r="D110" s="136"/>
      <c r="E110" s="141"/>
      <c r="F110" s="630">
        <f>SUM(G110:I110)</f>
        <v>3108</v>
      </c>
      <c r="G110" s="253">
        <v>999</v>
      </c>
      <c r="H110" s="253">
        <v>1028</v>
      </c>
      <c r="I110" s="292">
        <v>1081</v>
      </c>
      <c r="J110" s="646">
        <v>1292</v>
      </c>
      <c r="K110" s="391">
        <v>1234</v>
      </c>
      <c r="L110" s="391">
        <v>993</v>
      </c>
      <c r="M110" s="924">
        <v>796</v>
      </c>
      <c r="N110" s="851">
        <v>648</v>
      </c>
    </row>
    <row r="111" spans="1:14" x14ac:dyDescent="0.15">
      <c r="A111" s="84"/>
      <c r="B111" s="159"/>
      <c r="C111" s="136" t="s">
        <v>231</v>
      </c>
      <c r="D111" s="136"/>
      <c r="E111" s="141"/>
      <c r="F111" s="630">
        <f>SUM(G111:I111)</f>
        <v>1828</v>
      </c>
      <c r="G111" s="253">
        <v>609</v>
      </c>
      <c r="H111" s="253">
        <v>610</v>
      </c>
      <c r="I111" s="292">
        <v>609</v>
      </c>
      <c r="J111" s="646">
        <v>596</v>
      </c>
      <c r="K111" s="391">
        <v>759</v>
      </c>
      <c r="L111" s="391">
        <v>876</v>
      </c>
      <c r="M111" s="924">
        <v>855</v>
      </c>
      <c r="N111" s="851">
        <v>853</v>
      </c>
    </row>
    <row r="112" spans="1:14" x14ac:dyDescent="0.15">
      <c r="A112" s="84"/>
      <c r="B112" s="133" t="s">
        <v>166</v>
      </c>
      <c r="C112" s="34"/>
      <c r="D112" s="34"/>
      <c r="E112" s="298"/>
      <c r="F112" s="205"/>
      <c r="G112" s="299"/>
      <c r="H112" s="299"/>
      <c r="I112" s="300"/>
      <c r="J112" s="651"/>
      <c r="K112" s="854"/>
      <c r="L112" s="854"/>
      <c r="M112" s="926"/>
      <c r="N112" s="855"/>
    </row>
    <row r="113" spans="1:14" x14ac:dyDescent="0.15">
      <c r="A113" s="84"/>
      <c r="B113" s="133"/>
      <c r="C113" s="35" t="s">
        <v>167</v>
      </c>
      <c r="D113" s="128"/>
      <c r="E113" s="139"/>
      <c r="F113" s="301">
        <f t="shared" ref="F113" si="57">IF(F$107&gt;0,F130/F$107,0)</f>
        <v>0.13731645569620254</v>
      </c>
      <c r="G113" s="1007">
        <f t="shared" ref="G113:N113" si="58">IF(G$107&gt;0,G130/G$107,0)</f>
        <v>0.13669501822600244</v>
      </c>
      <c r="H113" s="1007">
        <f t="shared" si="58"/>
        <v>0.13688673531193216</v>
      </c>
      <c r="I113" s="1006">
        <f t="shared" si="58"/>
        <v>0.13837244742456567</v>
      </c>
      <c r="J113" s="301">
        <f t="shared" si="58"/>
        <v>0.1384180790960452</v>
      </c>
      <c r="K113" s="301">
        <f t="shared" si="58"/>
        <v>0.13852242744063326</v>
      </c>
      <c r="L113" s="301">
        <f t="shared" si="58"/>
        <v>0.13842975206611571</v>
      </c>
      <c r="M113" s="301">
        <f t="shared" si="58"/>
        <v>0.13844996237772761</v>
      </c>
      <c r="N113" s="1008">
        <f t="shared" si="58"/>
        <v>0.13834466213514593</v>
      </c>
    </row>
    <row r="114" spans="1:14" x14ac:dyDescent="0.15">
      <c r="A114" s="84"/>
      <c r="B114" s="133"/>
      <c r="C114" s="35" t="s">
        <v>168</v>
      </c>
      <c r="D114" s="128"/>
      <c r="E114" s="139"/>
      <c r="F114" s="301">
        <f t="shared" ref="F114:F128" si="59">IF(F$107&gt;0,F131/F$107,0)</f>
        <v>9.0126582278481013E-2</v>
      </c>
      <c r="G114" s="1007">
        <f t="shared" ref="G114:N114" si="60">IF(G$107&gt;0,G131/G$107,0)</f>
        <v>8.9307411907654927E-2</v>
      </c>
      <c r="H114" s="1007">
        <f t="shared" si="60"/>
        <v>8.964264082374318E-2</v>
      </c>
      <c r="I114" s="1006">
        <f t="shared" si="60"/>
        <v>9.1435537945748241E-2</v>
      </c>
      <c r="J114" s="301">
        <f t="shared" si="60"/>
        <v>9.1337099811676078E-2</v>
      </c>
      <c r="K114" s="301">
        <f t="shared" si="60"/>
        <v>9.1358839050131924E-2</v>
      </c>
      <c r="L114" s="301">
        <f t="shared" si="60"/>
        <v>9.1253443526170805E-2</v>
      </c>
      <c r="M114" s="301">
        <f t="shared" si="60"/>
        <v>9.1422121896162528E-2</v>
      </c>
      <c r="N114" s="1008">
        <f t="shared" si="60"/>
        <v>9.1563374650139945E-2</v>
      </c>
    </row>
    <row r="115" spans="1:14" x14ac:dyDescent="0.15">
      <c r="A115" s="84"/>
      <c r="B115" s="133"/>
      <c r="C115" s="35" t="s">
        <v>123</v>
      </c>
      <c r="D115" s="128"/>
      <c r="E115" s="139"/>
      <c r="F115" s="301">
        <f t="shared" si="59"/>
        <v>9.4379746835443035E-2</v>
      </c>
      <c r="G115" s="1007">
        <f t="shared" ref="G115:N115" si="61">IF(G$107&gt;0,G132/G$107,0)</f>
        <v>9.4167679222357234E-2</v>
      </c>
      <c r="H115" s="1007">
        <f t="shared" si="61"/>
        <v>9.4488188976377951E-2</v>
      </c>
      <c r="I115" s="1006">
        <f t="shared" si="61"/>
        <v>9.4483389210606519E-2</v>
      </c>
      <c r="J115" s="301">
        <f t="shared" si="61"/>
        <v>9.4475831763967358E-2</v>
      </c>
      <c r="K115" s="301">
        <f t="shared" si="61"/>
        <v>9.465699208443272E-2</v>
      </c>
      <c r="L115" s="301">
        <f t="shared" si="61"/>
        <v>9.4696969696969696E-2</v>
      </c>
      <c r="M115" s="301">
        <f t="shared" si="61"/>
        <v>9.480812641083522E-2</v>
      </c>
      <c r="N115" s="1008">
        <f t="shared" si="61"/>
        <v>9.476209516193522E-2</v>
      </c>
    </row>
    <row r="116" spans="1:14" x14ac:dyDescent="0.15">
      <c r="A116" s="84"/>
      <c r="B116" s="133"/>
      <c r="C116" s="35" t="s">
        <v>124</v>
      </c>
      <c r="D116" s="128"/>
      <c r="E116" s="139"/>
      <c r="F116" s="301">
        <f t="shared" si="59"/>
        <v>0.12324050632911393</v>
      </c>
      <c r="G116" s="1007">
        <f t="shared" ref="G116:N116" si="62">IF(G$107&gt;0,G133/G$107,0)</f>
        <v>0.12302551640340219</v>
      </c>
      <c r="H116" s="1007">
        <f t="shared" si="62"/>
        <v>0.12325863113264689</v>
      </c>
      <c r="I116" s="1006">
        <f t="shared" si="62"/>
        <v>0.12343797622676013</v>
      </c>
      <c r="J116" s="301">
        <f t="shared" si="62"/>
        <v>0.12335216572504708</v>
      </c>
      <c r="K116" s="301">
        <f t="shared" si="62"/>
        <v>0.12335092348284961</v>
      </c>
      <c r="L116" s="301">
        <f t="shared" si="62"/>
        <v>0.12327823691460055</v>
      </c>
      <c r="M116" s="301">
        <f t="shared" si="62"/>
        <v>0.12340105342362678</v>
      </c>
      <c r="N116" s="1008">
        <f t="shared" si="62"/>
        <v>0.12355057976809276</v>
      </c>
    </row>
    <row r="117" spans="1:14" x14ac:dyDescent="0.15">
      <c r="A117" s="84"/>
      <c r="B117" s="133"/>
      <c r="C117" s="35" t="s">
        <v>125</v>
      </c>
      <c r="D117" s="128"/>
      <c r="E117" s="139"/>
      <c r="F117" s="301">
        <f t="shared" si="59"/>
        <v>0.21144303797468356</v>
      </c>
      <c r="G117" s="1007">
        <f t="shared" ref="G117:N117" si="63">IF(G$107&gt;0,G134/G$107,0)</f>
        <v>0.2132442284325638</v>
      </c>
      <c r="H117" s="1007">
        <f t="shared" si="63"/>
        <v>0.21320411871592973</v>
      </c>
      <c r="I117" s="1006">
        <f t="shared" si="63"/>
        <v>0.20786345626333436</v>
      </c>
      <c r="J117" s="301">
        <f t="shared" si="63"/>
        <v>0.20778405524168236</v>
      </c>
      <c r="K117" s="301">
        <f t="shared" si="63"/>
        <v>0.20778364116094986</v>
      </c>
      <c r="L117" s="301">
        <f t="shared" si="63"/>
        <v>0.20764462809917356</v>
      </c>
      <c r="M117" s="301">
        <f t="shared" si="63"/>
        <v>0.20767494356659141</v>
      </c>
      <c r="N117" s="1008">
        <f t="shared" si="63"/>
        <v>0.20751699320271891</v>
      </c>
    </row>
    <row r="118" spans="1:14" x14ac:dyDescent="0.15">
      <c r="A118" s="84"/>
      <c r="B118" s="133"/>
      <c r="C118" s="35" t="s">
        <v>235</v>
      </c>
      <c r="D118" s="128"/>
      <c r="E118" s="139"/>
      <c r="F118" s="301">
        <f t="shared" si="59"/>
        <v>0.13802531645569621</v>
      </c>
      <c r="G118" s="1007">
        <f t="shared" ref="G118:N118" si="64">IF(G$107&gt;0,G135/G$107,0)</f>
        <v>0.137910085054678</v>
      </c>
      <c r="H118" s="1007">
        <f t="shared" si="64"/>
        <v>0.13749242883101151</v>
      </c>
      <c r="I118" s="1006">
        <f t="shared" si="64"/>
        <v>0.13867723255105152</v>
      </c>
      <c r="J118" s="301">
        <f t="shared" si="64"/>
        <v>0.13873195229127433</v>
      </c>
      <c r="K118" s="301">
        <f t="shared" si="64"/>
        <v>0.13885224274406333</v>
      </c>
      <c r="L118" s="301">
        <f t="shared" si="64"/>
        <v>0.13877410468319559</v>
      </c>
      <c r="M118" s="301">
        <f t="shared" si="64"/>
        <v>0.13882618510158012</v>
      </c>
      <c r="N118" s="1008">
        <f t="shared" si="64"/>
        <v>0.13874450219912035</v>
      </c>
    </row>
    <row r="119" spans="1:14" x14ac:dyDescent="0.15">
      <c r="A119" s="84"/>
      <c r="B119" s="133"/>
      <c r="C119" s="35" t="s">
        <v>236</v>
      </c>
      <c r="D119" s="128"/>
      <c r="E119" s="139"/>
      <c r="F119" s="301">
        <f t="shared" si="59"/>
        <v>0.11665822784810126</v>
      </c>
      <c r="G119" s="1007">
        <f t="shared" ref="G119:N119" si="65">IF(G$107&gt;0,G136/G$107,0)</f>
        <v>0.11573511543134872</v>
      </c>
      <c r="H119" s="1007">
        <f t="shared" si="65"/>
        <v>0.11689884918231375</v>
      </c>
      <c r="I119" s="1006">
        <f t="shared" si="65"/>
        <v>0.11734227369704359</v>
      </c>
      <c r="J119" s="301">
        <f t="shared" si="65"/>
        <v>0.11738857501569366</v>
      </c>
      <c r="K119" s="301">
        <f t="shared" si="65"/>
        <v>0.11741424802110818</v>
      </c>
      <c r="L119" s="301">
        <f t="shared" si="65"/>
        <v>0.11742424242424243</v>
      </c>
      <c r="M119" s="301">
        <f t="shared" si="65"/>
        <v>0.11738148984198646</v>
      </c>
      <c r="N119" s="1008">
        <f t="shared" si="65"/>
        <v>0.11755297880847661</v>
      </c>
    </row>
    <row r="120" spans="1:14" x14ac:dyDescent="0.15">
      <c r="A120" s="84"/>
      <c r="B120" s="133"/>
      <c r="C120" s="35" t="s">
        <v>237</v>
      </c>
      <c r="D120" s="128"/>
      <c r="E120" s="139"/>
      <c r="F120" s="301">
        <f t="shared" si="59"/>
        <v>5.721518987341772E-2</v>
      </c>
      <c r="G120" s="1007">
        <f t="shared" ref="G120:N120" si="66">IF(G$107&gt;0,G137/G$107,0)</f>
        <v>5.6196840826245445E-2</v>
      </c>
      <c r="H120" s="1007">
        <f t="shared" si="66"/>
        <v>5.7540884312537857E-2</v>
      </c>
      <c r="I120" s="1006">
        <f t="shared" si="66"/>
        <v>5.790917403230722E-2</v>
      </c>
      <c r="J120" s="301">
        <f t="shared" si="66"/>
        <v>5.7752667922159447E-2</v>
      </c>
      <c r="K120" s="301">
        <f t="shared" si="66"/>
        <v>5.7717678100263854E-2</v>
      </c>
      <c r="L120" s="301">
        <f t="shared" si="66"/>
        <v>5.7851239669421489E-2</v>
      </c>
      <c r="M120" s="301">
        <f t="shared" si="66"/>
        <v>5.7938299473288185E-2</v>
      </c>
      <c r="N120" s="1008">
        <f t="shared" si="66"/>
        <v>5.7976809276289482E-2</v>
      </c>
    </row>
    <row r="121" spans="1:14" x14ac:dyDescent="0.15">
      <c r="A121" s="84"/>
      <c r="B121" s="133"/>
      <c r="C121" s="35" t="s">
        <v>238</v>
      </c>
      <c r="D121" s="128"/>
      <c r="E121" s="139"/>
      <c r="F121" s="301">
        <f t="shared" si="59"/>
        <v>3.1594936708860759E-2</v>
      </c>
      <c r="G121" s="1007">
        <f t="shared" ref="G121:N121" si="67">IF(G$107&gt;0,G138/G$107,0)</f>
        <v>3.3718104495747268E-2</v>
      </c>
      <c r="H121" s="1007">
        <f t="shared" si="67"/>
        <v>3.0587522713506964E-2</v>
      </c>
      <c r="I121" s="1006">
        <f t="shared" si="67"/>
        <v>3.0478512648582749E-2</v>
      </c>
      <c r="J121" s="301">
        <f t="shared" si="67"/>
        <v>3.0759573132454487E-2</v>
      </c>
      <c r="K121" s="301">
        <f t="shared" si="67"/>
        <v>3.0343007915567283E-2</v>
      </c>
      <c r="L121" s="301">
        <f t="shared" si="67"/>
        <v>3.0647382920110194E-2</v>
      </c>
      <c r="M121" s="301">
        <f t="shared" si="67"/>
        <v>3.0097817908201655E-2</v>
      </c>
      <c r="N121" s="1008">
        <f t="shared" si="67"/>
        <v>2.9988004798080767E-2</v>
      </c>
    </row>
    <row r="122" spans="1:14" x14ac:dyDescent="0.15">
      <c r="A122" s="84"/>
      <c r="B122" s="133"/>
      <c r="C122" s="35" t="s">
        <v>418</v>
      </c>
      <c r="D122" s="128"/>
      <c r="E122" s="139"/>
      <c r="F122" s="301">
        <f t="shared" si="59"/>
        <v>0</v>
      </c>
      <c r="G122" s="1007">
        <f t="shared" ref="G122:N122" si="68">IF(G$107&gt;0,G139/G$107,0)</f>
        <v>0</v>
      </c>
      <c r="H122" s="1007">
        <f t="shared" si="68"/>
        <v>0</v>
      </c>
      <c r="I122" s="1006">
        <f t="shared" si="68"/>
        <v>0</v>
      </c>
      <c r="J122" s="301">
        <f t="shared" si="68"/>
        <v>0</v>
      </c>
      <c r="K122" s="301">
        <f t="shared" si="68"/>
        <v>0</v>
      </c>
      <c r="L122" s="301">
        <f t="shared" si="68"/>
        <v>0</v>
      </c>
      <c r="M122" s="301">
        <f t="shared" si="68"/>
        <v>0</v>
      </c>
      <c r="N122" s="1008">
        <f t="shared" si="68"/>
        <v>0</v>
      </c>
    </row>
    <row r="123" spans="1:14" x14ac:dyDescent="0.15">
      <c r="A123" s="84"/>
      <c r="B123" s="133"/>
      <c r="C123" s="35" t="s">
        <v>419</v>
      </c>
      <c r="D123" s="128"/>
      <c r="E123" s="139"/>
      <c r="F123" s="301">
        <f t="shared" si="59"/>
        <v>0</v>
      </c>
      <c r="G123" s="1007">
        <f t="shared" ref="G123:N123" si="69">IF(G$107&gt;0,G140/G$107,0)</f>
        <v>0</v>
      </c>
      <c r="H123" s="1007">
        <f t="shared" si="69"/>
        <v>0</v>
      </c>
      <c r="I123" s="1006">
        <f t="shared" si="69"/>
        <v>0</v>
      </c>
      <c r="J123" s="301">
        <f t="shared" si="69"/>
        <v>0</v>
      </c>
      <c r="K123" s="301">
        <f>IF(K$107&gt;0,K140/K$107,0)</f>
        <v>0</v>
      </c>
      <c r="L123" s="301">
        <f t="shared" si="69"/>
        <v>0</v>
      </c>
      <c r="M123" s="301">
        <f t="shared" si="69"/>
        <v>0</v>
      </c>
      <c r="N123" s="1008">
        <f t="shared" si="69"/>
        <v>0</v>
      </c>
    </row>
    <row r="124" spans="1:14" x14ac:dyDescent="0.15">
      <c r="A124" s="84"/>
      <c r="B124" s="133"/>
      <c r="C124" s="35" t="s">
        <v>420</v>
      </c>
      <c r="D124" s="128"/>
      <c r="E124" s="139"/>
      <c r="F124" s="301">
        <f t="shared" si="59"/>
        <v>0</v>
      </c>
      <c r="G124" s="1007">
        <f t="shared" ref="G124:N124" si="70">IF(G$107&gt;0,G141/G$107,0)</f>
        <v>0</v>
      </c>
      <c r="H124" s="1007">
        <f t="shared" si="70"/>
        <v>0</v>
      </c>
      <c r="I124" s="1006">
        <f t="shared" si="70"/>
        <v>0</v>
      </c>
      <c r="J124" s="301">
        <f t="shared" si="70"/>
        <v>0</v>
      </c>
      <c r="K124" s="301">
        <f>IF(K$107&gt;0,K141/K$107,0)</f>
        <v>0</v>
      </c>
      <c r="L124" s="301">
        <f t="shared" si="70"/>
        <v>0</v>
      </c>
      <c r="M124" s="301">
        <f t="shared" si="70"/>
        <v>0</v>
      </c>
      <c r="N124" s="1008">
        <f t="shared" si="70"/>
        <v>0</v>
      </c>
    </row>
    <row r="125" spans="1:14" x14ac:dyDescent="0.15">
      <c r="A125" s="84"/>
      <c r="B125" s="133"/>
      <c r="C125" s="35" t="s">
        <v>434</v>
      </c>
      <c r="D125" s="128"/>
      <c r="E125" s="139"/>
      <c r="F125" s="301">
        <f t="shared" si="59"/>
        <v>0</v>
      </c>
      <c r="G125" s="1007">
        <f t="shared" ref="G125:N125" si="71">IF(G$107&gt;0,G142/G$107,0)</f>
        <v>0</v>
      </c>
      <c r="H125" s="1007">
        <f t="shared" si="71"/>
        <v>0</v>
      </c>
      <c r="I125" s="1006">
        <f t="shared" si="71"/>
        <v>0</v>
      </c>
      <c r="J125" s="301">
        <f t="shared" si="71"/>
        <v>0</v>
      </c>
      <c r="K125" s="301">
        <f>IF(K$107&gt;0,K142/K$107,0)</f>
        <v>0</v>
      </c>
      <c r="L125" s="301">
        <f t="shared" si="71"/>
        <v>0</v>
      </c>
      <c r="M125" s="301">
        <f t="shared" si="71"/>
        <v>0</v>
      </c>
      <c r="N125" s="1008">
        <f t="shared" si="71"/>
        <v>0</v>
      </c>
    </row>
    <row r="126" spans="1:14" hidden="1" x14ac:dyDescent="0.15">
      <c r="A126" s="84"/>
      <c r="B126" s="133"/>
      <c r="C126" s="35"/>
      <c r="D126" s="128"/>
      <c r="E126" s="139"/>
      <c r="F126" s="301">
        <f t="shared" si="59"/>
        <v>0</v>
      </c>
      <c r="G126" s="1007">
        <f>IF(G$107&gt;0,G143/G$107,0)</f>
        <v>0</v>
      </c>
      <c r="H126" s="1007">
        <f t="shared" ref="H126:N126" si="72">IF(H$107&gt;0,H143/H$107,0)</f>
        <v>0</v>
      </c>
      <c r="I126" s="1006">
        <f t="shared" si="72"/>
        <v>0</v>
      </c>
      <c r="J126" s="301">
        <f t="shared" si="72"/>
        <v>0</v>
      </c>
      <c r="K126" s="301">
        <f>IF(K$107&gt;0,K143/K$107,0)</f>
        <v>0</v>
      </c>
      <c r="L126" s="301">
        <f t="shared" si="72"/>
        <v>0</v>
      </c>
      <c r="M126" s="301">
        <f t="shared" si="72"/>
        <v>0</v>
      </c>
      <c r="N126" s="1008">
        <f t="shared" si="72"/>
        <v>0</v>
      </c>
    </row>
    <row r="127" spans="1:14" hidden="1" x14ac:dyDescent="0.15">
      <c r="A127" s="84"/>
      <c r="B127" s="133"/>
      <c r="C127" s="35"/>
      <c r="D127" s="128"/>
      <c r="E127" s="139"/>
      <c r="F127" s="301">
        <f t="shared" si="59"/>
        <v>0</v>
      </c>
      <c r="G127" s="1007">
        <f>IF(G$107&gt;0,G144/G$107,0)</f>
        <v>0</v>
      </c>
      <c r="H127" s="1007">
        <f t="shared" ref="H127:N127" si="73">IF(H$107&gt;0,H144/H$107,0)</f>
        <v>0</v>
      </c>
      <c r="I127" s="1006">
        <f t="shared" si="73"/>
        <v>0</v>
      </c>
      <c r="J127" s="301">
        <f t="shared" si="73"/>
        <v>0</v>
      </c>
      <c r="K127" s="301">
        <f>IF(K$107&gt;0,K144/K$107,0)</f>
        <v>0</v>
      </c>
      <c r="L127" s="301">
        <f t="shared" si="73"/>
        <v>0</v>
      </c>
      <c r="M127" s="301">
        <f t="shared" si="73"/>
        <v>0</v>
      </c>
      <c r="N127" s="1008">
        <f t="shared" si="73"/>
        <v>0</v>
      </c>
    </row>
    <row r="128" spans="1:14" x14ac:dyDescent="0.15">
      <c r="A128" s="84"/>
      <c r="B128" s="133"/>
      <c r="C128" s="35" t="s">
        <v>36</v>
      </c>
      <c r="D128" s="128"/>
      <c r="E128" s="139"/>
      <c r="F128" s="301">
        <f t="shared" si="59"/>
        <v>1</v>
      </c>
      <c r="G128" s="1007">
        <f>IF(G$107&gt;0,G145/G$107,0)</f>
        <v>1</v>
      </c>
      <c r="H128" s="1007">
        <f t="shared" ref="H128:N128" si="74">IF(H$107&gt;0,H145/H$107,0)</f>
        <v>1</v>
      </c>
      <c r="I128" s="1006">
        <f t="shared" si="74"/>
        <v>1</v>
      </c>
      <c r="J128" s="301">
        <f t="shared" si="74"/>
        <v>1</v>
      </c>
      <c r="K128" s="301">
        <f t="shared" si="74"/>
        <v>1</v>
      </c>
      <c r="L128" s="301">
        <f t="shared" si="74"/>
        <v>1</v>
      </c>
      <c r="M128" s="301">
        <f t="shared" si="74"/>
        <v>1</v>
      </c>
      <c r="N128" s="1008">
        <f t="shared" si="74"/>
        <v>1</v>
      </c>
    </row>
    <row r="129" spans="1:14" x14ac:dyDescent="0.15">
      <c r="A129" s="84"/>
      <c r="B129" s="140" t="s">
        <v>169</v>
      </c>
      <c r="C129" s="35"/>
      <c r="D129" s="128"/>
      <c r="E129" s="139"/>
      <c r="F129" s="304"/>
      <c r="G129" s="305"/>
      <c r="H129" s="305"/>
      <c r="I129" s="306"/>
      <c r="J129" s="653"/>
      <c r="K129" s="858"/>
      <c r="L129" s="858"/>
      <c r="M129" s="928"/>
      <c r="N129" s="859"/>
    </row>
    <row r="130" spans="1:14" x14ac:dyDescent="0.15">
      <c r="A130" s="84"/>
      <c r="B130" s="307"/>
      <c r="C130" s="135" t="s">
        <v>167</v>
      </c>
      <c r="D130" s="136"/>
      <c r="E130" s="141"/>
      <c r="F130" s="630">
        <f>SUM(G130:I130)</f>
        <v>1356</v>
      </c>
      <c r="G130" s="253">
        <v>450</v>
      </c>
      <c r="H130" s="253">
        <v>452</v>
      </c>
      <c r="I130" s="292">
        <v>454</v>
      </c>
      <c r="J130" s="646">
        <v>441</v>
      </c>
      <c r="K130" s="391">
        <v>420</v>
      </c>
      <c r="L130" s="391">
        <v>402</v>
      </c>
      <c r="M130" s="924">
        <v>368</v>
      </c>
      <c r="N130" s="851">
        <v>346</v>
      </c>
    </row>
    <row r="131" spans="1:14" x14ac:dyDescent="0.15">
      <c r="A131" s="84"/>
      <c r="B131" s="307"/>
      <c r="C131" s="135" t="s">
        <v>168</v>
      </c>
      <c r="D131" s="136"/>
      <c r="E131" s="141"/>
      <c r="F131" s="630">
        <f t="shared" ref="F131:F138" si="75">SUM(G131:I131)</f>
        <v>890</v>
      </c>
      <c r="G131" s="253">
        <v>294</v>
      </c>
      <c r="H131" s="253">
        <v>296</v>
      </c>
      <c r="I131" s="292">
        <v>300</v>
      </c>
      <c r="J131" s="646">
        <v>291</v>
      </c>
      <c r="K131" s="391">
        <v>277</v>
      </c>
      <c r="L131" s="391">
        <v>265</v>
      </c>
      <c r="M131" s="924">
        <v>243</v>
      </c>
      <c r="N131" s="851">
        <v>229</v>
      </c>
    </row>
    <row r="132" spans="1:14" x14ac:dyDescent="0.15">
      <c r="A132" s="84"/>
      <c r="B132" s="307"/>
      <c r="C132" s="135" t="s">
        <v>123</v>
      </c>
      <c r="D132" s="136"/>
      <c r="E132" s="141"/>
      <c r="F132" s="630">
        <f t="shared" si="75"/>
        <v>932</v>
      </c>
      <c r="G132" s="253">
        <v>310</v>
      </c>
      <c r="H132" s="253">
        <v>312</v>
      </c>
      <c r="I132" s="292">
        <v>310</v>
      </c>
      <c r="J132" s="646">
        <v>301</v>
      </c>
      <c r="K132" s="391">
        <v>287</v>
      </c>
      <c r="L132" s="391">
        <v>275</v>
      </c>
      <c r="M132" s="924">
        <v>252</v>
      </c>
      <c r="N132" s="851">
        <v>237</v>
      </c>
    </row>
    <row r="133" spans="1:14" x14ac:dyDescent="0.15">
      <c r="A133" s="84"/>
      <c r="B133" s="307"/>
      <c r="C133" s="135" t="s">
        <v>124</v>
      </c>
      <c r="D133" s="136"/>
      <c r="E133" s="141"/>
      <c r="F133" s="630">
        <f t="shared" si="75"/>
        <v>1217</v>
      </c>
      <c r="G133" s="253">
        <v>405</v>
      </c>
      <c r="H133" s="253">
        <v>407</v>
      </c>
      <c r="I133" s="292">
        <v>405</v>
      </c>
      <c r="J133" s="646">
        <v>393</v>
      </c>
      <c r="K133" s="391">
        <v>374</v>
      </c>
      <c r="L133" s="391">
        <v>358</v>
      </c>
      <c r="M133" s="924">
        <v>328</v>
      </c>
      <c r="N133" s="851">
        <v>309</v>
      </c>
    </row>
    <row r="134" spans="1:14" x14ac:dyDescent="0.15">
      <c r="A134" s="84"/>
      <c r="B134" s="307"/>
      <c r="C134" s="135" t="s">
        <v>125</v>
      </c>
      <c r="D134" s="136"/>
      <c r="E134" s="141"/>
      <c r="F134" s="630">
        <f t="shared" si="75"/>
        <v>2088</v>
      </c>
      <c r="G134" s="253">
        <v>702</v>
      </c>
      <c r="H134" s="253">
        <v>704</v>
      </c>
      <c r="I134" s="292">
        <v>682</v>
      </c>
      <c r="J134" s="646">
        <v>662</v>
      </c>
      <c r="K134" s="391">
        <v>630</v>
      </c>
      <c r="L134" s="391">
        <v>603</v>
      </c>
      <c r="M134" s="924">
        <v>552</v>
      </c>
      <c r="N134" s="851">
        <v>519</v>
      </c>
    </row>
    <row r="135" spans="1:14" x14ac:dyDescent="0.15">
      <c r="A135" s="84"/>
      <c r="B135" s="307"/>
      <c r="C135" s="135" t="s">
        <v>242</v>
      </c>
      <c r="D135" s="136"/>
      <c r="E135" s="141"/>
      <c r="F135" s="630">
        <f t="shared" si="75"/>
        <v>1363</v>
      </c>
      <c r="G135" s="253">
        <v>454</v>
      </c>
      <c r="H135" s="253">
        <v>454</v>
      </c>
      <c r="I135" s="292">
        <v>455</v>
      </c>
      <c r="J135" s="646">
        <v>442</v>
      </c>
      <c r="K135" s="391">
        <v>421</v>
      </c>
      <c r="L135" s="391">
        <v>403</v>
      </c>
      <c r="M135" s="924">
        <v>369</v>
      </c>
      <c r="N135" s="851">
        <v>347</v>
      </c>
    </row>
    <row r="136" spans="1:14" x14ac:dyDescent="0.15">
      <c r="A136" s="84"/>
      <c r="B136" s="307"/>
      <c r="C136" s="135" t="s">
        <v>243</v>
      </c>
      <c r="D136" s="136"/>
      <c r="E136" s="141"/>
      <c r="F136" s="630">
        <f t="shared" si="75"/>
        <v>1152</v>
      </c>
      <c r="G136" s="253">
        <v>381</v>
      </c>
      <c r="H136" s="253">
        <v>386</v>
      </c>
      <c r="I136" s="292">
        <v>385</v>
      </c>
      <c r="J136" s="646">
        <v>374</v>
      </c>
      <c r="K136" s="391">
        <v>356</v>
      </c>
      <c r="L136" s="391">
        <v>341</v>
      </c>
      <c r="M136" s="924">
        <v>312</v>
      </c>
      <c r="N136" s="851">
        <v>294</v>
      </c>
    </row>
    <row r="137" spans="1:14" x14ac:dyDescent="0.15">
      <c r="A137" s="84"/>
      <c r="B137" s="307"/>
      <c r="C137" s="135" t="s">
        <v>244</v>
      </c>
      <c r="D137" s="136"/>
      <c r="E137" s="141"/>
      <c r="F137" s="630">
        <f t="shared" si="75"/>
        <v>565</v>
      </c>
      <c r="G137" s="253">
        <v>185</v>
      </c>
      <c r="H137" s="253">
        <v>190</v>
      </c>
      <c r="I137" s="292">
        <v>190</v>
      </c>
      <c r="J137" s="646">
        <v>184</v>
      </c>
      <c r="K137" s="391">
        <v>175</v>
      </c>
      <c r="L137" s="391">
        <v>168</v>
      </c>
      <c r="M137" s="924">
        <v>154</v>
      </c>
      <c r="N137" s="851">
        <v>145</v>
      </c>
    </row>
    <row r="138" spans="1:14" x14ac:dyDescent="0.15">
      <c r="A138" s="84"/>
      <c r="B138" s="307"/>
      <c r="C138" s="135" t="s">
        <v>245</v>
      </c>
      <c r="D138" s="136"/>
      <c r="E138" s="141"/>
      <c r="F138" s="630">
        <f t="shared" si="75"/>
        <v>312</v>
      </c>
      <c r="G138" s="253">
        <v>111</v>
      </c>
      <c r="H138" s="253">
        <v>101</v>
      </c>
      <c r="I138" s="292">
        <v>100</v>
      </c>
      <c r="J138" s="646">
        <v>98</v>
      </c>
      <c r="K138" s="391">
        <v>92</v>
      </c>
      <c r="L138" s="391">
        <v>89</v>
      </c>
      <c r="M138" s="924">
        <v>80</v>
      </c>
      <c r="N138" s="851">
        <v>75</v>
      </c>
    </row>
    <row r="139" spans="1:14" x14ac:dyDescent="0.15">
      <c r="A139" s="84"/>
      <c r="B139" s="307"/>
      <c r="C139" s="135" t="s">
        <v>418</v>
      </c>
      <c r="D139" s="136"/>
      <c r="E139" s="141"/>
      <c r="F139" s="630">
        <f t="shared" ref="F139" si="76">SUM(G139:I139)</f>
        <v>0</v>
      </c>
      <c r="G139" s="253">
        <v>0</v>
      </c>
      <c r="H139" s="253">
        <v>0</v>
      </c>
      <c r="I139" s="292">
        <v>0</v>
      </c>
      <c r="J139" s="646">
        <v>0</v>
      </c>
      <c r="K139" s="391">
        <v>0</v>
      </c>
      <c r="L139" s="391">
        <v>0</v>
      </c>
      <c r="M139" s="924">
        <v>0</v>
      </c>
      <c r="N139" s="851">
        <v>0</v>
      </c>
    </row>
    <row r="140" spans="1:14" x14ac:dyDescent="0.15">
      <c r="A140" s="84"/>
      <c r="B140" s="307"/>
      <c r="C140" s="135" t="s">
        <v>419</v>
      </c>
      <c r="D140" s="136"/>
      <c r="E140" s="141"/>
      <c r="F140" s="630">
        <f>SUM(G140:I140)</f>
        <v>0</v>
      </c>
      <c r="G140" s="253">
        <v>0</v>
      </c>
      <c r="H140" s="253">
        <v>0</v>
      </c>
      <c r="I140" s="292">
        <v>0</v>
      </c>
      <c r="J140" s="646">
        <v>0</v>
      </c>
      <c r="K140" s="391">
        <v>0</v>
      </c>
      <c r="L140" s="391">
        <v>0</v>
      </c>
      <c r="M140" s="924">
        <v>0</v>
      </c>
      <c r="N140" s="851">
        <v>0</v>
      </c>
    </row>
    <row r="141" spans="1:14" x14ac:dyDescent="0.15">
      <c r="A141" s="84"/>
      <c r="B141" s="307"/>
      <c r="C141" s="135" t="s">
        <v>420</v>
      </c>
      <c r="D141" s="136"/>
      <c r="E141" s="141"/>
      <c r="F141" s="630">
        <f>SUM(G141:I141)</f>
        <v>0</v>
      </c>
      <c r="G141" s="253">
        <v>0</v>
      </c>
      <c r="H141" s="253">
        <v>0</v>
      </c>
      <c r="I141" s="292">
        <v>0</v>
      </c>
      <c r="J141" s="646">
        <v>0</v>
      </c>
      <c r="K141" s="391">
        <v>0</v>
      </c>
      <c r="L141" s="391">
        <v>0</v>
      </c>
      <c r="M141" s="924">
        <v>0</v>
      </c>
      <c r="N141" s="851">
        <v>0</v>
      </c>
    </row>
    <row r="142" spans="1:14" x14ac:dyDescent="0.15">
      <c r="A142" s="84"/>
      <c r="B142" s="307"/>
      <c r="C142" s="135" t="s">
        <v>434</v>
      </c>
      <c r="D142" s="136"/>
      <c r="E142" s="141"/>
      <c r="F142" s="630">
        <f>SUM(G142:I142)</f>
        <v>0</v>
      </c>
      <c r="G142" s="253">
        <v>0</v>
      </c>
      <c r="H142" s="253">
        <v>0</v>
      </c>
      <c r="I142" s="292">
        <v>0</v>
      </c>
      <c r="J142" s="646">
        <v>0</v>
      </c>
      <c r="K142" s="391">
        <v>0</v>
      </c>
      <c r="L142" s="391">
        <v>0</v>
      </c>
      <c r="M142" s="924">
        <v>0</v>
      </c>
      <c r="N142" s="851">
        <v>0</v>
      </c>
    </row>
    <row r="143" spans="1:14" hidden="1" x14ac:dyDescent="0.15">
      <c r="A143" s="84"/>
      <c r="B143" s="307"/>
      <c r="C143" s="135"/>
      <c r="D143" s="136"/>
      <c r="E143" s="141"/>
      <c r="F143" s="630">
        <f>SUM(G143:I143)</f>
        <v>0</v>
      </c>
      <c r="G143" s="253"/>
      <c r="H143" s="253"/>
      <c r="I143" s="292"/>
      <c r="J143" s="646"/>
      <c r="K143" s="391"/>
      <c r="L143" s="391"/>
      <c r="M143" s="924"/>
      <c r="N143" s="851"/>
    </row>
    <row r="144" spans="1:14" hidden="1" x14ac:dyDescent="0.15">
      <c r="A144" s="84"/>
      <c r="B144" s="307"/>
      <c r="C144" s="135"/>
      <c r="D144" s="136"/>
      <c r="E144" s="141"/>
      <c r="F144" s="630">
        <f>SUM(G144:I144)</f>
        <v>0</v>
      </c>
      <c r="G144" s="253"/>
      <c r="H144" s="253"/>
      <c r="I144" s="292"/>
      <c r="J144" s="646"/>
      <c r="K144" s="391"/>
      <c r="L144" s="391"/>
      <c r="M144" s="924"/>
      <c r="N144" s="851"/>
    </row>
    <row r="145" spans="1:14" x14ac:dyDescent="0.15">
      <c r="A145" s="84"/>
      <c r="B145" s="307"/>
      <c r="C145" s="308" t="s">
        <v>36</v>
      </c>
      <c r="D145" s="127"/>
      <c r="E145" s="309"/>
      <c r="F145" s="310">
        <f>SUM(F130:F144)</f>
        <v>9875</v>
      </c>
      <c r="G145" s="311">
        <f>SUM(G130:G144)</f>
        <v>3292</v>
      </c>
      <c r="H145" s="311">
        <f t="shared" ref="H145:M145" si="77">SUM(H130:H144)</f>
        <v>3302</v>
      </c>
      <c r="I145" s="312">
        <f t="shared" si="77"/>
        <v>3281</v>
      </c>
      <c r="J145" s="654">
        <f t="shared" si="77"/>
        <v>3186</v>
      </c>
      <c r="K145" s="860">
        <f t="shared" si="77"/>
        <v>3032</v>
      </c>
      <c r="L145" s="860">
        <f t="shared" si="77"/>
        <v>2904</v>
      </c>
      <c r="M145" s="929">
        <f t="shared" si="77"/>
        <v>2658</v>
      </c>
      <c r="N145" s="861">
        <f>SUM(N130:N144)</f>
        <v>2501</v>
      </c>
    </row>
    <row r="146" spans="1:14" x14ac:dyDescent="0.15">
      <c r="A146" s="84"/>
      <c r="B146" s="1105" t="s">
        <v>170</v>
      </c>
      <c r="C146" s="1106"/>
      <c r="D146" s="1106"/>
      <c r="E146" s="1119"/>
      <c r="F146" s="205"/>
      <c r="G146" s="299"/>
      <c r="H146" s="299"/>
      <c r="I146" s="300"/>
      <c r="J146" s="651"/>
      <c r="K146" s="854"/>
      <c r="L146" s="854"/>
      <c r="M146" s="926"/>
      <c r="N146" s="855"/>
    </row>
    <row r="147" spans="1:14" x14ac:dyDescent="0.15">
      <c r="A147" s="84"/>
      <c r="B147" s="140"/>
      <c r="C147" s="128" t="s">
        <v>167</v>
      </c>
      <c r="D147" s="128"/>
      <c r="E147" s="139"/>
      <c r="F147" s="301" t="str">
        <f t="shared" ref="F147:J147" si="78">IF(AND(F$107&gt;0,F174&lt;&gt;""),F174/F$107,"")</f>
        <v/>
      </c>
      <c r="G147" s="302" t="str">
        <f t="shared" si="78"/>
        <v/>
      </c>
      <c r="H147" s="302" t="str">
        <f t="shared" si="78"/>
        <v/>
      </c>
      <c r="I147" s="303" t="str">
        <f t="shared" si="78"/>
        <v/>
      </c>
      <c r="J147" s="652" t="str">
        <f t="shared" si="78"/>
        <v/>
      </c>
      <c r="K147" s="856" t="str">
        <f t="shared" ref="K147:M147" si="79">IF(AND(K$107&gt;0,K174&lt;&gt;""),K174/K$107,"")</f>
        <v/>
      </c>
      <c r="L147" s="856" t="str">
        <f t="shared" si="79"/>
        <v/>
      </c>
      <c r="M147" s="927" t="str">
        <f t="shared" si="79"/>
        <v/>
      </c>
      <c r="N147" s="857" t="str">
        <f t="shared" ref="N147" si="80">IF(AND(N$107&gt;0,N174&lt;&gt;""),N174/N$107,"")</f>
        <v/>
      </c>
    </row>
    <row r="148" spans="1:14" x14ac:dyDescent="0.15">
      <c r="A148" s="84"/>
      <c r="B148" s="307"/>
      <c r="C148" s="128" t="s">
        <v>168</v>
      </c>
      <c r="D148" s="128"/>
      <c r="E148" s="139"/>
      <c r="F148" s="301" t="str">
        <f t="shared" ref="F148:J148" si="81">IF(AND(F$107&gt;0,F175&lt;&gt;""),F175/F$107,"")</f>
        <v/>
      </c>
      <c r="G148" s="302" t="str">
        <f t="shared" si="81"/>
        <v/>
      </c>
      <c r="H148" s="302" t="str">
        <f t="shared" si="81"/>
        <v/>
      </c>
      <c r="I148" s="303" t="str">
        <f t="shared" si="81"/>
        <v/>
      </c>
      <c r="J148" s="652" t="str">
        <f t="shared" si="81"/>
        <v/>
      </c>
      <c r="K148" s="856" t="str">
        <f t="shared" ref="K148:M148" si="82">IF(AND(K$107&gt;0,K175&lt;&gt;""),K175/K$107,"")</f>
        <v/>
      </c>
      <c r="L148" s="856" t="str">
        <f t="shared" si="82"/>
        <v/>
      </c>
      <c r="M148" s="927" t="str">
        <f t="shared" si="82"/>
        <v/>
      </c>
      <c r="N148" s="857" t="str">
        <f t="shared" ref="N148" si="83">IF(AND(N$107&gt;0,N175&lt;&gt;""),N175/N$107,"")</f>
        <v/>
      </c>
    </row>
    <row r="149" spans="1:14" x14ac:dyDescent="0.15">
      <c r="A149" s="84"/>
      <c r="B149" s="307"/>
      <c r="C149" s="128" t="s">
        <v>123</v>
      </c>
      <c r="D149" s="128"/>
      <c r="E149" s="139"/>
      <c r="F149" s="301" t="str">
        <f t="shared" ref="F149:J149" si="84">IF(AND(F$107&gt;0,F176&lt;&gt;""),F176/F$107,"")</f>
        <v/>
      </c>
      <c r="G149" s="302" t="str">
        <f t="shared" si="84"/>
        <v/>
      </c>
      <c r="H149" s="302" t="str">
        <f t="shared" si="84"/>
        <v/>
      </c>
      <c r="I149" s="303" t="str">
        <f t="shared" si="84"/>
        <v/>
      </c>
      <c r="J149" s="652" t="str">
        <f t="shared" si="84"/>
        <v/>
      </c>
      <c r="K149" s="856" t="str">
        <f t="shared" ref="K149:M149" si="85">IF(AND(K$107&gt;0,K176&lt;&gt;""),K176/K$107,"")</f>
        <v/>
      </c>
      <c r="L149" s="856" t="str">
        <f t="shared" si="85"/>
        <v/>
      </c>
      <c r="M149" s="927" t="str">
        <f t="shared" si="85"/>
        <v/>
      </c>
      <c r="N149" s="857" t="str">
        <f t="shared" ref="N149" si="86">IF(AND(N$107&gt;0,N176&lt;&gt;""),N176/N$107,"")</f>
        <v/>
      </c>
    </row>
    <row r="150" spans="1:14" x14ac:dyDescent="0.15">
      <c r="A150" s="84"/>
      <c r="B150" s="307"/>
      <c r="C150" s="128" t="s">
        <v>124</v>
      </c>
      <c r="D150" s="128"/>
      <c r="E150" s="139"/>
      <c r="F150" s="301" t="str">
        <f t="shared" ref="F150:J150" si="87">IF(AND(F$107&gt;0,F177&lt;&gt;""),F177/F$107,"")</f>
        <v/>
      </c>
      <c r="G150" s="302" t="str">
        <f t="shared" si="87"/>
        <v/>
      </c>
      <c r="H150" s="302" t="str">
        <f t="shared" si="87"/>
        <v/>
      </c>
      <c r="I150" s="303" t="str">
        <f t="shared" si="87"/>
        <v/>
      </c>
      <c r="J150" s="652" t="str">
        <f t="shared" si="87"/>
        <v/>
      </c>
      <c r="K150" s="856" t="str">
        <f t="shared" ref="K150:M150" si="88">IF(AND(K$107&gt;0,K177&lt;&gt;""),K177/K$107,"")</f>
        <v/>
      </c>
      <c r="L150" s="856" t="str">
        <f t="shared" si="88"/>
        <v/>
      </c>
      <c r="M150" s="927" t="str">
        <f t="shared" si="88"/>
        <v/>
      </c>
      <c r="N150" s="857" t="str">
        <f t="shared" ref="N150" si="89">IF(AND(N$107&gt;0,N177&lt;&gt;""),N177/N$107,"")</f>
        <v/>
      </c>
    </row>
    <row r="151" spans="1:14" x14ac:dyDescent="0.15">
      <c r="A151" s="84"/>
      <c r="B151" s="307"/>
      <c r="C151" s="128" t="s">
        <v>125</v>
      </c>
      <c r="D151" s="128"/>
      <c r="E151" s="139"/>
      <c r="F151" s="301" t="str">
        <f t="shared" ref="F151:J151" si="90">IF(AND(F$107&gt;0,F178&lt;&gt;""),F178/F$107,"")</f>
        <v/>
      </c>
      <c r="G151" s="302" t="str">
        <f t="shared" si="90"/>
        <v/>
      </c>
      <c r="H151" s="302" t="str">
        <f t="shared" si="90"/>
        <v/>
      </c>
      <c r="I151" s="303" t="str">
        <f t="shared" si="90"/>
        <v/>
      </c>
      <c r="J151" s="652" t="str">
        <f t="shared" si="90"/>
        <v/>
      </c>
      <c r="K151" s="856" t="str">
        <f t="shared" ref="K151:M151" si="91">IF(AND(K$107&gt;0,K178&lt;&gt;""),K178/K$107,"")</f>
        <v/>
      </c>
      <c r="L151" s="856" t="str">
        <f t="shared" si="91"/>
        <v/>
      </c>
      <c r="M151" s="927" t="str">
        <f t="shared" si="91"/>
        <v/>
      </c>
      <c r="N151" s="857" t="str">
        <f t="shared" ref="N151" si="92">IF(AND(N$107&gt;0,N178&lt;&gt;""),N178/N$107,"")</f>
        <v/>
      </c>
    </row>
    <row r="152" spans="1:14" x14ac:dyDescent="0.15">
      <c r="A152" s="84"/>
      <c r="B152" s="307"/>
      <c r="C152" s="128" t="s">
        <v>235</v>
      </c>
      <c r="D152" s="128"/>
      <c r="E152" s="139"/>
      <c r="F152" s="301" t="str">
        <f t="shared" ref="F152:J152" si="93">IF(AND(F$107&gt;0,F179&lt;&gt;""),F179/F$107,"")</f>
        <v/>
      </c>
      <c r="G152" s="302" t="str">
        <f t="shared" si="93"/>
        <v/>
      </c>
      <c r="H152" s="302" t="str">
        <f t="shared" si="93"/>
        <v/>
      </c>
      <c r="I152" s="303" t="str">
        <f t="shared" si="93"/>
        <v/>
      </c>
      <c r="J152" s="652" t="str">
        <f t="shared" si="93"/>
        <v/>
      </c>
      <c r="K152" s="856" t="str">
        <f t="shared" ref="K152:M152" si="94">IF(AND(K$107&gt;0,K179&lt;&gt;""),K179/K$107,"")</f>
        <v/>
      </c>
      <c r="L152" s="856" t="str">
        <f t="shared" si="94"/>
        <v/>
      </c>
      <c r="M152" s="927" t="str">
        <f t="shared" si="94"/>
        <v/>
      </c>
      <c r="N152" s="857" t="str">
        <f t="shared" ref="N152" si="95">IF(AND(N$107&gt;0,N179&lt;&gt;""),N179/N$107,"")</f>
        <v/>
      </c>
    </row>
    <row r="153" spans="1:14" x14ac:dyDescent="0.15">
      <c r="A153" s="84"/>
      <c r="B153" s="307"/>
      <c r="C153" s="128" t="s">
        <v>236</v>
      </c>
      <c r="D153" s="128"/>
      <c r="E153" s="139"/>
      <c r="F153" s="301" t="str">
        <f t="shared" ref="F153:J153" si="96">IF(AND(F$107&gt;0,F180&lt;&gt;""),F180/F$107,"")</f>
        <v/>
      </c>
      <c r="G153" s="302" t="str">
        <f t="shared" si="96"/>
        <v/>
      </c>
      <c r="H153" s="302" t="str">
        <f t="shared" si="96"/>
        <v/>
      </c>
      <c r="I153" s="303" t="str">
        <f t="shared" si="96"/>
        <v/>
      </c>
      <c r="J153" s="652" t="str">
        <f t="shared" si="96"/>
        <v/>
      </c>
      <c r="K153" s="856" t="str">
        <f t="shared" ref="K153:M153" si="97">IF(AND(K$107&gt;0,K180&lt;&gt;""),K180/K$107,"")</f>
        <v/>
      </c>
      <c r="L153" s="856" t="str">
        <f t="shared" si="97"/>
        <v/>
      </c>
      <c r="M153" s="927" t="str">
        <f t="shared" si="97"/>
        <v/>
      </c>
      <c r="N153" s="857" t="str">
        <f t="shared" ref="N153" si="98">IF(AND(N$107&gt;0,N180&lt;&gt;""),N180/N$107,"")</f>
        <v/>
      </c>
    </row>
    <row r="154" spans="1:14" x14ac:dyDescent="0.15">
      <c r="A154" s="84"/>
      <c r="B154" s="307"/>
      <c r="C154" s="128" t="s">
        <v>237</v>
      </c>
      <c r="D154" s="128"/>
      <c r="E154" s="139"/>
      <c r="F154" s="301" t="str">
        <f t="shared" ref="F154:J154" si="99">IF(AND(F$107&gt;0,F181&lt;&gt;""),F181/F$107,"")</f>
        <v/>
      </c>
      <c r="G154" s="302" t="str">
        <f t="shared" si="99"/>
        <v/>
      </c>
      <c r="H154" s="302" t="str">
        <f t="shared" si="99"/>
        <v/>
      </c>
      <c r="I154" s="303" t="str">
        <f t="shared" si="99"/>
        <v/>
      </c>
      <c r="J154" s="652" t="str">
        <f t="shared" si="99"/>
        <v/>
      </c>
      <c r="K154" s="856" t="str">
        <f t="shared" ref="K154:M154" si="100">IF(AND(K$107&gt;0,K181&lt;&gt;""),K181/K$107,"")</f>
        <v/>
      </c>
      <c r="L154" s="856" t="str">
        <f t="shared" si="100"/>
        <v/>
      </c>
      <c r="M154" s="927" t="str">
        <f t="shared" si="100"/>
        <v/>
      </c>
      <c r="N154" s="857" t="str">
        <f t="shared" ref="N154" si="101">IF(AND(N$107&gt;0,N181&lt;&gt;""),N181/N$107,"")</f>
        <v/>
      </c>
    </row>
    <row r="155" spans="1:14" x14ac:dyDescent="0.15">
      <c r="A155" s="84"/>
      <c r="B155" s="307"/>
      <c r="C155" s="128" t="s">
        <v>238</v>
      </c>
      <c r="D155" s="128"/>
      <c r="E155" s="139"/>
      <c r="F155" s="301" t="str">
        <f t="shared" ref="F155:J155" si="102">IF(AND(F$107&gt;0,F182&lt;&gt;""),F182/F$107,"")</f>
        <v/>
      </c>
      <c r="G155" s="302" t="str">
        <f t="shared" si="102"/>
        <v/>
      </c>
      <c r="H155" s="302" t="str">
        <f t="shared" si="102"/>
        <v/>
      </c>
      <c r="I155" s="303" t="str">
        <f t="shared" si="102"/>
        <v/>
      </c>
      <c r="J155" s="652" t="str">
        <f t="shared" si="102"/>
        <v/>
      </c>
      <c r="K155" s="856" t="str">
        <f t="shared" ref="K155:M155" si="103">IF(AND(K$107&gt;0,K182&lt;&gt;""),K182/K$107,"")</f>
        <v/>
      </c>
      <c r="L155" s="856" t="str">
        <f t="shared" si="103"/>
        <v/>
      </c>
      <c r="M155" s="927" t="str">
        <f t="shared" si="103"/>
        <v/>
      </c>
      <c r="N155" s="857" t="str">
        <f t="shared" ref="N155" si="104">IF(AND(N$107&gt;0,N182&lt;&gt;""),N182/N$107,"")</f>
        <v/>
      </c>
    </row>
    <row r="156" spans="1:14" x14ac:dyDescent="0.15">
      <c r="A156" s="84"/>
      <c r="B156" s="307"/>
      <c r="C156" s="128" t="s">
        <v>171</v>
      </c>
      <c r="D156" s="128"/>
      <c r="E156" s="139"/>
      <c r="F156" s="301" t="str">
        <f t="shared" ref="F156:J156" si="105">IF(AND(F$107&gt;0,F183&lt;&gt;""),F183/F$107,"")</f>
        <v/>
      </c>
      <c r="G156" s="302" t="str">
        <f t="shared" si="105"/>
        <v/>
      </c>
      <c r="H156" s="302" t="str">
        <f t="shared" si="105"/>
        <v/>
      </c>
      <c r="I156" s="303" t="str">
        <f t="shared" si="105"/>
        <v/>
      </c>
      <c r="J156" s="652" t="str">
        <f t="shared" si="105"/>
        <v/>
      </c>
      <c r="K156" s="856" t="str">
        <f t="shared" ref="K156:M156" si="106">IF(AND(K$107&gt;0,K183&lt;&gt;""),K183/K$107,"")</f>
        <v/>
      </c>
      <c r="L156" s="856" t="str">
        <f t="shared" si="106"/>
        <v/>
      </c>
      <c r="M156" s="927" t="str">
        <f t="shared" si="106"/>
        <v/>
      </c>
      <c r="N156" s="857" t="str">
        <f t="shared" ref="N156" si="107">IF(AND(N$107&gt;0,N183&lt;&gt;""),N183/N$107,"")</f>
        <v/>
      </c>
    </row>
    <row r="157" spans="1:14" x14ac:dyDescent="0.15">
      <c r="A157" s="84"/>
      <c r="B157" s="307"/>
      <c r="C157" s="128" t="s">
        <v>172</v>
      </c>
      <c r="D157" s="128"/>
      <c r="E157" s="139"/>
      <c r="F157" s="301" t="str">
        <f t="shared" ref="F157:J157" si="108">IF(AND(F$107&gt;0,F184&lt;&gt;""),F184/F$107,"")</f>
        <v/>
      </c>
      <c r="G157" s="302" t="str">
        <f t="shared" si="108"/>
        <v/>
      </c>
      <c r="H157" s="302" t="str">
        <f t="shared" si="108"/>
        <v/>
      </c>
      <c r="I157" s="303" t="str">
        <f t="shared" si="108"/>
        <v/>
      </c>
      <c r="J157" s="652" t="str">
        <f t="shared" si="108"/>
        <v/>
      </c>
      <c r="K157" s="856" t="str">
        <f t="shared" ref="K157:M157" si="109">IF(AND(K$107&gt;0,K184&lt;&gt;""),K184/K$107,"")</f>
        <v/>
      </c>
      <c r="L157" s="856" t="str">
        <f t="shared" si="109"/>
        <v/>
      </c>
      <c r="M157" s="927" t="str">
        <f t="shared" si="109"/>
        <v/>
      </c>
      <c r="N157" s="857" t="str">
        <f t="shared" ref="N157" si="110">IF(AND(N$107&gt;0,N184&lt;&gt;""),N184/N$107,"")</f>
        <v/>
      </c>
    </row>
    <row r="158" spans="1:14" x14ac:dyDescent="0.15">
      <c r="A158" s="84"/>
      <c r="B158" s="307"/>
      <c r="C158" s="128" t="s">
        <v>173</v>
      </c>
      <c r="D158" s="128"/>
      <c r="E158" s="139"/>
      <c r="F158" s="301" t="str">
        <f t="shared" ref="F158:J158" si="111">IF(AND(F$107&gt;0,F185&lt;&gt;""),F185/F$107,"")</f>
        <v/>
      </c>
      <c r="G158" s="302" t="str">
        <f t="shared" si="111"/>
        <v/>
      </c>
      <c r="H158" s="302" t="str">
        <f t="shared" si="111"/>
        <v/>
      </c>
      <c r="I158" s="303" t="str">
        <f t="shared" si="111"/>
        <v/>
      </c>
      <c r="J158" s="652" t="str">
        <f t="shared" si="111"/>
        <v/>
      </c>
      <c r="K158" s="856" t="str">
        <f t="shared" ref="K158:M158" si="112">IF(AND(K$107&gt;0,K185&lt;&gt;""),K185/K$107,"")</f>
        <v/>
      </c>
      <c r="L158" s="856" t="str">
        <f t="shared" si="112"/>
        <v/>
      </c>
      <c r="M158" s="927" t="str">
        <f t="shared" si="112"/>
        <v/>
      </c>
      <c r="N158" s="857" t="str">
        <f t="shared" ref="N158" si="113">IF(AND(N$107&gt;0,N185&lt;&gt;""),N185/N$107,"")</f>
        <v/>
      </c>
    </row>
    <row r="159" spans="1:14" x14ac:dyDescent="0.15">
      <c r="A159" s="84"/>
      <c r="B159" s="307"/>
      <c r="C159" s="128" t="s">
        <v>174</v>
      </c>
      <c r="D159" s="128"/>
      <c r="E159" s="139"/>
      <c r="F159" s="301" t="str">
        <f t="shared" ref="F159:J159" si="114">IF(AND(F$107&gt;0,F186&lt;&gt;""),F186/F$107,"")</f>
        <v/>
      </c>
      <c r="G159" s="302" t="str">
        <f t="shared" si="114"/>
        <v/>
      </c>
      <c r="H159" s="302" t="str">
        <f t="shared" si="114"/>
        <v/>
      </c>
      <c r="I159" s="303" t="str">
        <f t="shared" si="114"/>
        <v/>
      </c>
      <c r="J159" s="652" t="str">
        <f t="shared" si="114"/>
        <v/>
      </c>
      <c r="K159" s="856" t="str">
        <f t="shared" ref="K159:M159" si="115">IF(AND(K$107&gt;0,K186&lt;&gt;""),K186/K$107,"")</f>
        <v/>
      </c>
      <c r="L159" s="856" t="str">
        <f t="shared" si="115"/>
        <v/>
      </c>
      <c r="M159" s="927" t="str">
        <f t="shared" si="115"/>
        <v/>
      </c>
      <c r="N159" s="857" t="str">
        <f t="shared" ref="N159" si="116">IF(AND(N$107&gt;0,N186&lt;&gt;""),N186/N$107,"")</f>
        <v/>
      </c>
    </row>
    <row r="160" spans="1:14" x14ac:dyDescent="0.15">
      <c r="A160" s="84"/>
      <c r="B160" s="307"/>
      <c r="C160" s="128" t="s">
        <v>175</v>
      </c>
      <c r="D160" s="128"/>
      <c r="E160" s="139"/>
      <c r="F160" s="301" t="str">
        <f t="shared" ref="F160:J160" si="117">IF(AND(F$107&gt;0,F187&lt;&gt;""),F187/F$107,"")</f>
        <v/>
      </c>
      <c r="G160" s="302" t="str">
        <f t="shared" si="117"/>
        <v/>
      </c>
      <c r="H160" s="302" t="str">
        <f t="shared" si="117"/>
        <v/>
      </c>
      <c r="I160" s="303" t="str">
        <f t="shared" si="117"/>
        <v/>
      </c>
      <c r="J160" s="652" t="str">
        <f t="shared" si="117"/>
        <v/>
      </c>
      <c r="K160" s="856" t="str">
        <f t="shared" ref="K160:M160" si="118">IF(AND(K$107&gt;0,K187&lt;&gt;""),K187/K$107,"")</f>
        <v/>
      </c>
      <c r="L160" s="856" t="str">
        <f t="shared" si="118"/>
        <v/>
      </c>
      <c r="M160" s="927" t="str">
        <f t="shared" si="118"/>
        <v/>
      </c>
      <c r="N160" s="857" t="str">
        <f t="shared" ref="N160" si="119">IF(AND(N$107&gt;0,N187&lt;&gt;""),N187/N$107,"")</f>
        <v/>
      </c>
    </row>
    <row r="161" spans="1:14" x14ac:dyDescent="0.15">
      <c r="A161" s="84"/>
      <c r="B161" s="307"/>
      <c r="C161" s="128" t="s">
        <v>176</v>
      </c>
      <c r="D161" s="128"/>
      <c r="E161" s="139"/>
      <c r="F161" s="301" t="str">
        <f t="shared" ref="F161:J161" si="120">IF(AND(F$107&gt;0,F188&lt;&gt;""),F188/F$107,"")</f>
        <v/>
      </c>
      <c r="G161" s="302" t="str">
        <f t="shared" si="120"/>
        <v/>
      </c>
      <c r="H161" s="302" t="str">
        <f t="shared" si="120"/>
        <v/>
      </c>
      <c r="I161" s="303" t="str">
        <f t="shared" si="120"/>
        <v/>
      </c>
      <c r="J161" s="652" t="str">
        <f t="shared" si="120"/>
        <v/>
      </c>
      <c r="K161" s="856" t="str">
        <f t="shared" ref="K161:M161" si="121">IF(AND(K$107&gt;0,K188&lt;&gt;""),K188/K$107,"")</f>
        <v/>
      </c>
      <c r="L161" s="856" t="str">
        <f t="shared" si="121"/>
        <v/>
      </c>
      <c r="M161" s="927" t="str">
        <f t="shared" si="121"/>
        <v/>
      </c>
      <c r="N161" s="857" t="str">
        <f t="shared" ref="N161" si="122">IF(AND(N$107&gt;0,N188&lt;&gt;""),N188/N$107,"")</f>
        <v/>
      </c>
    </row>
    <row r="162" spans="1:14" x14ac:dyDescent="0.15">
      <c r="A162" s="84"/>
      <c r="B162" s="307"/>
      <c r="C162" s="128" t="s">
        <v>177</v>
      </c>
      <c r="D162" s="128"/>
      <c r="E162" s="139"/>
      <c r="F162" s="301" t="str">
        <f t="shared" ref="F162:J162" si="123">IF(AND(F$107&gt;0,F189&lt;&gt;""),F189/F$107,"")</f>
        <v/>
      </c>
      <c r="G162" s="302" t="str">
        <f t="shared" si="123"/>
        <v/>
      </c>
      <c r="H162" s="302" t="str">
        <f t="shared" si="123"/>
        <v/>
      </c>
      <c r="I162" s="303" t="str">
        <f t="shared" si="123"/>
        <v/>
      </c>
      <c r="J162" s="652" t="str">
        <f t="shared" si="123"/>
        <v/>
      </c>
      <c r="K162" s="856" t="str">
        <f t="shared" ref="K162:M162" si="124">IF(AND(K$107&gt;0,K189&lt;&gt;""),K189/K$107,"")</f>
        <v/>
      </c>
      <c r="L162" s="856" t="str">
        <f t="shared" si="124"/>
        <v/>
      </c>
      <c r="M162" s="927" t="str">
        <f t="shared" si="124"/>
        <v/>
      </c>
      <c r="N162" s="857" t="str">
        <f t="shared" ref="N162" si="125">IF(AND(N$107&gt;0,N189&lt;&gt;""),N189/N$107,"")</f>
        <v/>
      </c>
    </row>
    <row r="163" spans="1:14" x14ac:dyDescent="0.15">
      <c r="A163" s="84"/>
      <c r="B163" s="307"/>
      <c r="C163" s="128" t="s">
        <v>178</v>
      </c>
      <c r="D163" s="128"/>
      <c r="E163" s="139"/>
      <c r="F163" s="301" t="str">
        <f t="shared" ref="F163:J163" si="126">IF(AND(F$107&gt;0,F190&lt;&gt;""),F190/F$107,"")</f>
        <v/>
      </c>
      <c r="G163" s="302" t="str">
        <f t="shared" si="126"/>
        <v/>
      </c>
      <c r="H163" s="302" t="str">
        <f t="shared" si="126"/>
        <v/>
      </c>
      <c r="I163" s="303" t="str">
        <f t="shared" si="126"/>
        <v/>
      </c>
      <c r="J163" s="652" t="str">
        <f t="shared" si="126"/>
        <v/>
      </c>
      <c r="K163" s="856" t="str">
        <f t="shared" ref="K163:M163" si="127">IF(AND(K$107&gt;0,K190&lt;&gt;""),K190/K$107,"")</f>
        <v/>
      </c>
      <c r="L163" s="856" t="str">
        <f t="shared" si="127"/>
        <v/>
      </c>
      <c r="M163" s="927" t="str">
        <f t="shared" si="127"/>
        <v/>
      </c>
      <c r="N163" s="857" t="str">
        <f t="shared" ref="N163" si="128">IF(AND(N$107&gt;0,N190&lt;&gt;""),N190/N$107,"")</f>
        <v/>
      </c>
    </row>
    <row r="164" spans="1:14" x14ac:dyDescent="0.15">
      <c r="A164" s="84"/>
      <c r="B164" s="307"/>
      <c r="C164" s="128" t="s">
        <v>179</v>
      </c>
      <c r="D164" s="128"/>
      <c r="E164" s="139"/>
      <c r="F164" s="301" t="str">
        <f t="shared" ref="F164:J164" si="129">IF(AND(F$107&gt;0,F191&lt;&gt;""),F191/F$107,"")</f>
        <v/>
      </c>
      <c r="G164" s="302" t="str">
        <f t="shared" si="129"/>
        <v/>
      </c>
      <c r="H164" s="302" t="str">
        <f t="shared" si="129"/>
        <v/>
      </c>
      <c r="I164" s="303" t="str">
        <f t="shared" si="129"/>
        <v/>
      </c>
      <c r="J164" s="652" t="str">
        <f t="shared" si="129"/>
        <v/>
      </c>
      <c r="K164" s="856" t="str">
        <f t="shared" ref="K164:M164" si="130">IF(AND(K$107&gt;0,K191&lt;&gt;""),K191/K$107,"")</f>
        <v/>
      </c>
      <c r="L164" s="856" t="str">
        <f t="shared" si="130"/>
        <v/>
      </c>
      <c r="M164" s="927" t="str">
        <f t="shared" si="130"/>
        <v/>
      </c>
      <c r="N164" s="857" t="str">
        <f t="shared" ref="N164" si="131">IF(AND(N$107&gt;0,N191&lt;&gt;""),N191/N$107,"")</f>
        <v/>
      </c>
    </row>
    <row r="165" spans="1:14" x14ac:dyDescent="0.15">
      <c r="A165" s="84"/>
      <c r="B165" s="307"/>
      <c r="C165" s="128" t="s">
        <v>180</v>
      </c>
      <c r="D165" s="128"/>
      <c r="E165" s="139"/>
      <c r="F165" s="301" t="str">
        <f t="shared" ref="F165:J165" si="132">IF(AND(F$107&gt;0,F192&lt;&gt;""),F192/F$107,"")</f>
        <v/>
      </c>
      <c r="G165" s="302" t="str">
        <f t="shared" si="132"/>
        <v/>
      </c>
      <c r="H165" s="302" t="str">
        <f t="shared" si="132"/>
        <v/>
      </c>
      <c r="I165" s="303" t="str">
        <f t="shared" si="132"/>
        <v/>
      </c>
      <c r="J165" s="652" t="str">
        <f t="shared" si="132"/>
        <v/>
      </c>
      <c r="K165" s="856" t="str">
        <f t="shared" ref="K165:M165" si="133">IF(AND(K$107&gt;0,K192&lt;&gt;""),K192/K$107,"")</f>
        <v/>
      </c>
      <c r="L165" s="856" t="str">
        <f t="shared" si="133"/>
        <v/>
      </c>
      <c r="M165" s="927" t="str">
        <f t="shared" si="133"/>
        <v/>
      </c>
      <c r="N165" s="857" t="str">
        <f t="shared" ref="N165" si="134">IF(AND(N$107&gt;0,N192&lt;&gt;""),N192/N$107,"")</f>
        <v/>
      </c>
    </row>
    <row r="166" spans="1:14" x14ac:dyDescent="0.15">
      <c r="A166" s="84"/>
      <c r="B166" s="307"/>
      <c r="C166" s="128" t="s">
        <v>181</v>
      </c>
      <c r="D166" s="128"/>
      <c r="E166" s="139"/>
      <c r="F166" s="301" t="str">
        <f t="shared" ref="F166:J166" si="135">IF(AND(F$107&gt;0,F193&lt;&gt;""),F193/F$107,"")</f>
        <v/>
      </c>
      <c r="G166" s="302" t="str">
        <f t="shared" si="135"/>
        <v/>
      </c>
      <c r="H166" s="302" t="str">
        <f t="shared" si="135"/>
        <v/>
      </c>
      <c r="I166" s="303" t="str">
        <f t="shared" si="135"/>
        <v/>
      </c>
      <c r="J166" s="652" t="str">
        <f t="shared" si="135"/>
        <v/>
      </c>
      <c r="K166" s="856" t="str">
        <f t="shared" ref="K166:M166" si="136">IF(AND(K$107&gt;0,K193&lt;&gt;""),K193/K$107,"")</f>
        <v/>
      </c>
      <c r="L166" s="856" t="str">
        <f t="shared" si="136"/>
        <v/>
      </c>
      <c r="M166" s="927" t="str">
        <f t="shared" si="136"/>
        <v/>
      </c>
      <c r="N166" s="857" t="str">
        <f t="shared" ref="N166" si="137">IF(AND(N$107&gt;0,N193&lt;&gt;""),N193/N$107,"")</f>
        <v/>
      </c>
    </row>
    <row r="167" spans="1:14" x14ac:dyDescent="0.15">
      <c r="A167" s="84"/>
      <c r="B167" s="307"/>
      <c r="C167" s="128" t="s">
        <v>182</v>
      </c>
      <c r="D167" s="128"/>
      <c r="E167" s="139"/>
      <c r="F167" s="301" t="str">
        <f t="shared" ref="F167:J167" si="138">IF(AND(F$107&gt;0,F194&lt;&gt;""),F194/F$107,"")</f>
        <v/>
      </c>
      <c r="G167" s="302" t="str">
        <f t="shared" si="138"/>
        <v/>
      </c>
      <c r="H167" s="302" t="str">
        <f t="shared" si="138"/>
        <v/>
      </c>
      <c r="I167" s="303" t="str">
        <f t="shared" si="138"/>
        <v/>
      </c>
      <c r="J167" s="652" t="str">
        <f t="shared" si="138"/>
        <v/>
      </c>
      <c r="K167" s="856" t="str">
        <f t="shared" ref="K167:M167" si="139">IF(AND(K$107&gt;0,K194&lt;&gt;""),K194/K$107,"")</f>
        <v/>
      </c>
      <c r="L167" s="856" t="str">
        <f t="shared" si="139"/>
        <v/>
      </c>
      <c r="M167" s="927" t="str">
        <f t="shared" si="139"/>
        <v/>
      </c>
      <c r="N167" s="857" t="str">
        <f t="shared" ref="N167" si="140">IF(AND(N$107&gt;0,N194&lt;&gt;""),N194/N$107,"")</f>
        <v/>
      </c>
    </row>
    <row r="168" spans="1:14" x14ac:dyDescent="0.15">
      <c r="A168" s="84"/>
      <c r="B168" s="307"/>
      <c r="C168" s="128" t="s">
        <v>183</v>
      </c>
      <c r="D168" s="128"/>
      <c r="E168" s="139"/>
      <c r="F168" s="301" t="str">
        <f t="shared" ref="F168:J168" si="141">IF(AND(F$107&gt;0,F195&lt;&gt;""),F195/F$107,"")</f>
        <v/>
      </c>
      <c r="G168" s="302" t="str">
        <f t="shared" si="141"/>
        <v/>
      </c>
      <c r="H168" s="302" t="str">
        <f t="shared" si="141"/>
        <v/>
      </c>
      <c r="I168" s="303" t="str">
        <f t="shared" si="141"/>
        <v/>
      </c>
      <c r="J168" s="652" t="str">
        <f t="shared" si="141"/>
        <v/>
      </c>
      <c r="K168" s="856" t="str">
        <f t="shared" ref="K168:M168" si="142">IF(AND(K$107&gt;0,K195&lt;&gt;""),K195/K$107,"")</f>
        <v/>
      </c>
      <c r="L168" s="856" t="str">
        <f t="shared" si="142"/>
        <v/>
      </c>
      <c r="M168" s="927" t="str">
        <f t="shared" si="142"/>
        <v/>
      </c>
      <c r="N168" s="857" t="str">
        <f t="shared" ref="N168" si="143">IF(AND(N$107&gt;0,N195&lt;&gt;""),N195/N$107,"")</f>
        <v/>
      </c>
    </row>
    <row r="169" spans="1:14" x14ac:dyDescent="0.15">
      <c r="A169" s="84"/>
      <c r="B169" s="307"/>
      <c r="C169" s="128" t="s">
        <v>184</v>
      </c>
      <c r="D169" s="128"/>
      <c r="E169" s="139"/>
      <c r="F169" s="301" t="str">
        <f t="shared" ref="F169:J169" si="144">IF(AND(F$107&gt;0,F196&lt;&gt;""),F196/F$107,"")</f>
        <v/>
      </c>
      <c r="G169" s="302" t="str">
        <f t="shared" si="144"/>
        <v/>
      </c>
      <c r="H169" s="302" t="str">
        <f t="shared" si="144"/>
        <v/>
      </c>
      <c r="I169" s="303" t="str">
        <f t="shared" si="144"/>
        <v/>
      </c>
      <c r="J169" s="652" t="str">
        <f t="shared" si="144"/>
        <v/>
      </c>
      <c r="K169" s="856" t="str">
        <f t="shared" ref="K169:M169" si="145">IF(AND(K$107&gt;0,K196&lt;&gt;""),K196/K$107,"")</f>
        <v/>
      </c>
      <c r="L169" s="856" t="str">
        <f t="shared" si="145"/>
        <v/>
      </c>
      <c r="M169" s="927" t="str">
        <f t="shared" si="145"/>
        <v/>
      </c>
      <c r="N169" s="857" t="str">
        <f t="shared" ref="N169" si="146">IF(AND(N$107&gt;0,N196&lt;&gt;""),N196/N$107,"")</f>
        <v/>
      </c>
    </row>
    <row r="170" spans="1:14" x14ac:dyDescent="0.15">
      <c r="A170" s="84"/>
      <c r="B170" s="307"/>
      <c r="C170" s="128" t="s">
        <v>185</v>
      </c>
      <c r="D170" s="128"/>
      <c r="E170" s="139"/>
      <c r="F170" s="301" t="str">
        <f t="shared" ref="F170:J170" si="147">IF(AND(F$107&gt;0,F197&lt;&gt;""),F197/F$107,"")</f>
        <v/>
      </c>
      <c r="G170" s="302" t="str">
        <f t="shared" si="147"/>
        <v/>
      </c>
      <c r="H170" s="302" t="str">
        <f t="shared" si="147"/>
        <v/>
      </c>
      <c r="I170" s="303" t="str">
        <f t="shared" si="147"/>
        <v/>
      </c>
      <c r="J170" s="652" t="str">
        <f t="shared" si="147"/>
        <v/>
      </c>
      <c r="K170" s="856" t="str">
        <f t="shared" ref="K170:M170" si="148">IF(AND(K$107&gt;0,K197&lt;&gt;""),K197/K$107,"")</f>
        <v/>
      </c>
      <c r="L170" s="856" t="str">
        <f t="shared" si="148"/>
        <v/>
      </c>
      <c r="M170" s="927" t="str">
        <f t="shared" si="148"/>
        <v/>
      </c>
      <c r="N170" s="857" t="str">
        <f t="shared" ref="N170" si="149">IF(AND(N$107&gt;0,N197&lt;&gt;""),N197/N$107,"")</f>
        <v/>
      </c>
    </row>
    <row r="171" spans="1:14" x14ac:dyDescent="0.15">
      <c r="A171" s="84"/>
      <c r="B171" s="307"/>
      <c r="C171" s="128" t="s">
        <v>186</v>
      </c>
      <c r="D171" s="128"/>
      <c r="E171" s="139"/>
      <c r="F171" s="301" t="str">
        <f t="shared" ref="F171:J171" si="150">IF(AND(F$107&gt;0,F198&lt;&gt;""),F198/F$107,"")</f>
        <v/>
      </c>
      <c r="G171" s="302" t="str">
        <f t="shared" si="150"/>
        <v/>
      </c>
      <c r="H171" s="302" t="str">
        <f t="shared" si="150"/>
        <v/>
      </c>
      <c r="I171" s="303" t="str">
        <f t="shared" si="150"/>
        <v/>
      </c>
      <c r="J171" s="652" t="str">
        <f t="shared" si="150"/>
        <v/>
      </c>
      <c r="K171" s="856" t="str">
        <f t="shared" ref="K171:M171" si="151">IF(AND(K$107&gt;0,K198&lt;&gt;""),K198/K$107,"")</f>
        <v/>
      </c>
      <c r="L171" s="856" t="str">
        <f t="shared" si="151"/>
        <v/>
      </c>
      <c r="M171" s="927" t="str">
        <f t="shared" si="151"/>
        <v/>
      </c>
      <c r="N171" s="857" t="str">
        <f t="shared" ref="N171" si="152">IF(AND(N$107&gt;0,N198&lt;&gt;""),N198/N$107,"")</f>
        <v/>
      </c>
    </row>
    <row r="172" spans="1:14" x14ac:dyDescent="0.15">
      <c r="A172" s="84"/>
      <c r="B172" s="313"/>
      <c r="C172" s="128" t="s">
        <v>36</v>
      </c>
      <c r="D172" s="128"/>
      <c r="E172" s="139"/>
      <c r="F172" s="301">
        <f t="shared" ref="F172:J172" si="153">IF(AND(F$107&gt;0,F199&lt;&gt;""),F199/F$107,"")</f>
        <v>0</v>
      </c>
      <c r="G172" s="302">
        <f>IF(AND(G$107&gt;0,G199&lt;&gt;""),G199/G$107,"")</f>
        <v>0</v>
      </c>
      <c r="H172" s="302">
        <f t="shared" si="153"/>
        <v>0</v>
      </c>
      <c r="I172" s="303">
        <f t="shared" si="153"/>
        <v>0</v>
      </c>
      <c r="J172" s="652">
        <f t="shared" si="153"/>
        <v>0</v>
      </c>
      <c r="K172" s="856">
        <f t="shared" ref="K172:M172" si="154">IF(AND(K$107&gt;0,K199&lt;&gt;""),K199/K$107,"")</f>
        <v>0</v>
      </c>
      <c r="L172" s="856">
        <f t="shared" si="154"/>
        <v>0</v>
      </c>
      <c r="M172" s="927">
        <f t="shared" si="154"/>
        <v>0</v>
      </c>
      <c r="N172" s="857">
        <f t="shared" ref="N172" si="155">IF(AND(N$107&gt;0,N199&lt;&gt;""),N199/N$107,"")</f>
        <v>0</v>
      </c>
    </row>
    <row r="173" spans="1:14" x14ac:dyDescent="0.15">
      <c r="A173" s="84"/>
      <c r="B173" s="1120" t="s">
        <v>187</v>
      </c>
      <c r="C173" s="1121"/>
      <c r="D173" s="1121"/>
      <c r="E173" s="1122"/>
      <c r="F173" s="205"/>
      <c r="G173" s="299"/>
      <c r="H173" s="299"/>
      <c r="I173" s="300"/>
      <c r="J173" s="651"/>
      <c r="K173" s="854"/>
      <c r="L173" s="854"/>
      <c r="M173" s="926"/>
      <c r="N173" s="855"/>
    </row>
    <row r="174" spans="1:14" x14ac:dyDescent="0.15">
      <c r="A174" s="84"/>
      <c r="B174" s="133"/>
      <c r="C174" s="135" t="s">
        <v>167</v>
      </c>
      <c r="D174" s="136"/>
      <c r="E174" s="141"/>
      <c r="F174" s="630" t="str">
        <f t="shared" ref="F174:F186" si="156">IF(SUM(G174:I174)=0,"",SUM(G174:I174))</f>
        <v/>
      </c>
      <c r="G174" s="253"/>
      <c r="H174" s="253"/>
      <c r="I174" s="292"/>
      <c r="J174" s="646"/>
      <c r="K174" s="391"/>
      <c r="L174" s="391"/>
      <c r="M174" s="924"/>
      <c r="N174" s="851"/>
    </row>
    <row r="175" spans="1:14" x14ac:dyDescent="0.15">
      <c r="A175" s="84"/>
      <c r="B175" s="133"/>
      <c r="C175" s="135" t="s">
        <v>168</v>
      </c>
      <c r="D175" s="136"/>
      <c r="E175" s="141"/>
      <c r="F175" s="630" t="str">
        <f t="shared" si="156"/>
        <v/>
      </c>
      <c r="G175" s="253"/>
      <c r="H175" s="253"/>
      <c r="I175" s="292"/>
      <c r="J175" s="646"/>
      <c r="K175" s="391"/>
      <c r="L175" s="391"/>
      <c r="M175" s="924"/>
      <c r="N175" s="851"/>
    </row>
    <row r="176" spans="1:14" x14ac:dyDescent="0.15">
      <c r="A176" s="84"/>
      <c r="B176" s="133"/>
      <c r="C176" s="135" t="s">
        <v>123</v>
      </c>
      <c r="D176" s="136"/>
      <c r="E176" s="141"/>
      <c r="F176" s="630" t="str">
        <f t="shared" si="156"/>
        <v/>
      </c>
      <c r="G176" s="253"/>
      <c r="H176" s="253"/>
      <c r="I176" s="292"/>
      <c r="J176" s="646"/>
      <c r="K176" s="391"/>
      <c r="L176" s="391"/>
      <c r="M176" s="924"/>
      <c r="N176" s="851"/>
    </row>
    <row r="177" spans="1:14" x14ac:dyDescent="0.15">
      <c r="A177" s="84"/>
      <c r="B177" s="133"/>
      <c r="C177" s="135" t="s">
        <v>124</v>
      </c>
      <c r="D177" s="136"/>
      <c r="E177" s="141"/>
      <c r="F177" s="630" t="str">
        <f t="shared" si="156"/>
        <v/>
      </c>
      <c r="G177" s="253"/>
      <c r="H177" s="253"/>
      <c r="I177" s="292"/>
      <c r="J177" s="646"/>
      <c r="K177" s="391"/>
      <c r="L177" s="391"/>
      <c r="M177" s="924"/>
      <c r="N177" s="851"/>
    </row>
    <row r="178" spans="1:14" x14ac:dyDescent="0.15">
      <c r="A178" s="84"/>
      <c r="B178" s="133"/>
      <c r="C178" s="135" t="s">
        <v>125</v>
      </c>
      <c r="D178" s="136"/>
      <c r="E178" s="141"/>
      <c r="F178" s="630" t="str">
        <f t="shared" si="156"/>
        <v/>
      </c>
      <c r="G178" s="253"/>
      <c r="H178" s="253"/>
      <c r="I178" s="292"/>
      <c r="J178" s="646"/>
      <c r="K178" s="391"/>
      <c r="L178" s="391"/>
      <c r="M178" s="924"/>
      <c r="N178" s="851"/>
    </row>
    <row r="179" spans="1:14" x14ac:dyDescent="0.15">
      <c r="A179" s="84"/>
      <c r="B179" s="133"/>
      <c r="C179" s="135" t="s">
        <v>235</v>
      </c>
      <c r="D179" s="136"/>
      <c r="E179" s="141"/>
      <c r="F179" s="630" t="str">
        <f t="shared" si="156"/>
        <v/>
      </c>
      <c r="G179" s="253"/>
      <c r="H179" s="253"/>
      <c r="I179" s="292"/>
      <c r="J179" s="646"/>
      <c r="K179" s="391"/>
      <c r="L179" s="391"/>
      <c r="M179" s="924"/>
      <c r="N179" s="851"/>
    </row>
    <row r="180" spans="1:14" x14ac:dyDescent="0.15">
      <c r="A180" s="84"/>
      <c r="B180" s="133"/>
      <c r="C180" s="135" t="s">
        <v>236</v>
      </c>
      <c r="D180" s="136"/>
      <c r="E180" s="141"/>
      <c r="F180" s="630" t="str">
        <f t="shared" si="156"/>
        <v/>
      </c>
      <c r="G180" s="253"/>
      <c r="H180" s="253"/>
      <c r="I180" s="292"/>
      <c r="J180" s="646"/>
      <c r="K180" s="391"/>
      <c r="L180" s="391"/>
      <c r="M180" s="924"/>
      <c r="N180" s="851"/>
    </row>
    <row r="181" spans="1:14" x14ac:dyDescent="0.15">
      <c r="A181" s="84"/>
      <c r="B181" s="133"/>
      <c r="C181" s="135" t="s">
        <v>237</v>
      </c>
      <c r="D181" s="136"/>
      <c r="E181" s="141"/>
      <c r="F181" s="630" t="str">
        <f t="shared" si="156"/>
        <v/>
      </c>
      <c r="G181" s="253"/>
      <c r="H181" s="253"/>
      <c r="I181" s="292"/>
      <c r="J181" s="646"/>
      <c r="K181" s="391"/>
      <c r="L181" s="391"/>
      <c r="M181" s="924"/>
      <c r="N181" s="851"/>
    </row>
    <row r="182" spans="1:14" x14ac:dyDescent="0.15">
      <c r="A182" s="84"/>
      <c r="B182" s="133"/>
      <c r="C182" s="135" t="s">
        <v>238</v>
      </c>
      <c r="D182" s="136"/>
      <c r="E182" s="141"/>
      <c r="F182" s="630" t="str">
        <f t="shared" si="156"/>
        <v/>
      </c>
      <c r="G182" s="253"/>
      <c r="H182" s="253"/>
      <c r="I182" s="292"/>
      <c r="J182" s="646"/>
      <c r="K182" s="391"/>
      <c r="L182" s="391"/>
      <c r="M182" s="924"/>
      <c r="N182" s="851"/>
    </row>
    <row r="183" spans="1:14" x14ac:dyDescent="0.15">
      <c r="A183" s="84"/>
      <c r="B183" s="133"/>
      <c r="C183" s="135" t="s">
        <v>171</v>
      </c>
      <c r="D183" s="136"/>
      <c r="E183" s="141"/>
      <c r="F183" s="630" t="str">
        <f t="shared" si="156"/>
        <v/>
      </c>
      <c r="G183" s="253"/>
      <c r="H183" s="253"/>
      <c r="I183" s="292"/>
      <c r="J183" s="646"/>
      <c r="K183" s="391"/>
      <c r="L183" s="391"/>
      <c r="M183" s="924"/>
      <c r="N183" s="851"/>
    </row>
    <row r="184" spans="1:14" x14ac:dyDescent="0.15">
      <c r="A184" s="84"/>
      <c r="B184" s="133"/>
      <c r="C184" s="135" t="s">
        <v>172</v>
      </c>
      <c r="D184" s="136"/>
      <c r="E184" s="141"/>
      <c r="F184" s="630" t="str">
        <f t="shared" si="156"/>
        <v/>
      </c>
      <c r="G184" s="253"/>
      <c r="H184" s="253"/>
      <c r="I184" s="292"/>
      <c r="J184" s="646"/>
      <c r="K184" s="391"/>
      <c r="L184" s="391"/>
      <c r="M184" s="924"/>
      <c r="N184" s="851"/>
    </row>
    <row r="185" spans="1:14" x14ac:dyDescent="0.15">
      <c r="A185" s="84"/>
      <c r="B185" s="133"/>
      <c r="C185" s="135" t="s">
        <v>173</v>
      </c>
      <c r="D185" s="136"/>
      <c r="E185" s="141"/>
      <c r="F185" s="630" t="str">
        <f t="shared" si="156"/>
        <v/>
      </c>
      <c r="G185" s="253"/>
      <c r="H185" s="253"/>
      <c r="I185" s="292"/>
      <c r="J185" s="646"/>
      <c r="K185" s="391"/>
      <c r="L185" s="391"/>
      <c r="M185" s="924"/>
      <c r="N185" s="851"/>
    </row>
    <row r="186" spans="1:14" x14ac:dyDescent="0.15">
      <c r="A186" s="84"/>
      <c r="B186" s="133"/>
      <c r="C186" s="135" t="s">
        <v>174</v>
      </c>
      <c r="D186" s="136"/>
      <c r="E186" s="141"/>
      <c r="F186" s="630" t="str">
        <f t="shared" si="156"/>
        <v/>
      </c>
      <c r="G186" s="253"/>
      <c r="H186" s="253"/>
      <c r="I186" s="292"/>
      <c r="J186" s="646"/>
      <c r="K186" s="391"/>
      <c r="L186" s="391"/>
      <c r="M186" s="924"/>
      <c r="N186" s="851"/>
    </row>
    <row r="187" spans="1:14" x14ac:dyDescent="0.15">
      <c r="A187" s="84"/>
      <c r="B187" s="133"/>
      <c r="C187" s="135" t="s">
        <v>175</v>
      </c>
      <c r="D187" s="136"/>
      <c r="E187" s="141"/>
      <c r="F187" s="630" t="str">
        <f>IF(SUM(G187:I187)=0,"",SUM(G187:I187))</f>
        <v/>
      </c>
      <c r="G187" s="253"/>
      <c r="H187" s="253"/>
      <c r="I187" s="292"/>
      <c r="J187" s="646"/>
      <c r="K187" s="391"/>
      <c r="L187" s="391"/>
      <c r="M187" s="924"/>
      <c r="N187" s="851"/>
    </row>
    <row r="188" spans="1:14" x14ac:dyDescent="0.15">
      <c r="A188" s="84"/>
      <c r="B188" s="133"/>
      <c r="C188" s="135" t="s">
        <v>176</v>
      </c>
      <c r="D188" s="136"/>
      <c r="E188" s="141"/>
      <c r="F188" s="630" t="str">
        <f t="shared" ref="F188:F195" si="157">IF(SUM(G188:I188)=0,"",SUM(G188:I188))</f>
        <v/>
      </c>
      <c r="G188" s="253"/>
      <c r="H188" s="253"/>
      <c r="I188" s="292"/>
      <c r="J188" s="646"/>
      <c r="K188" s="391"/>
      <c r="L188" s="391"/>
      <c r="M188" s="924"/>
      <c r="N188" s="851"/>
    </row>
    <row r="189" spans="1:14" x14ac:dyDescent="0.15">
      <c r="A189" s="84"/>
      <c r="B189" s="133"/>
      <c r="C189" s="135" t="s">
        <v>177</v>
      </c>
      <c r="D189" s="136"/>
      <c r="E189" s="141"/>
      <c r="F189" s="630" t="str">
        <f t="shared" si="157"/>
        <v/>
      </c>
      <c r="G189" s="253"/>
      <c r="H189" s="253"/>
      <c r="I189" s="292"/>
      <c r="J189" s="646"/>
      <c r="K189" s="391"/>
      <c r="L189" s="391"/>
      <c r="M189" s="924"/>
      <c r="N189" s="851"/>
    </row>
    <row r="190" spans="1:14" x14ac:dyDescent="0.15">
      <c r="A190" s="84"/>
      <c r="B190" s="133"/>
      <c r="C190" s="135" t="s">
        <v>178</v>
      </c>
      <c r="D190" s="136"/>
      <c r="E190" s="141"/>
      <c r="F190" s="630" t="str">
        <f t="shared" si="157"/>
        <v/>
      </c>
      <c r="G190" s="253"/>
      <c r="H190" s="253"/>
      <c r="I190" s="292"/>
      <c r="J190" s="646"/>
      <c r="K190" s="391"/>
      <c r="L190" s="391"/>
      <c r="M190" s="924"/>
      <c r="N190" s="851"/>
    </row>
    <row r="191" spans="1:14" x14ac:dyDescent="0.15">
      <c r="A191" s="84"/>
      <c r="B191" s="133"/>
      <c r="C191" s="135" t="s">
        <v>179</v>
      </c>
      <c r="D191" s="136"/>
      <c r="E191" s="141"/>
      <c r="F191" s="630" t="str">
        <f t="shared" si="157"/>
        <v/>
      </c>
      <c r="G191" s="253"/>
      <c r="H191" s="253"/>
      <c r="I191" s="292"/>
      <c r="J191" s="646"/>
      <c r="K191" s="391"/>
      <c r="L191" s="391"/>
      <c r="M191" s="924"/>
      <c r="N191" s="851"/>
    </row>
    <row r="192" spans="1:14" x14ac:dyDescent="0.15">
      <c r="A192" s="84"/>
      <c r="B192" s="133"/>
      <c r="C192" s="314" t="s">
        <v>180</v>
      </c>
      <c r="D192" s="142"/>
      <c r="E192" s="143"/>
      <c r="F192" s="310" t="str">
        <f t="shared" si="157"/>
        <v/>
      </c>
      <c r="G192" s="253"/>
      <c r="H192" s="253"/>
      <c r="I192" s="292"/>
      <c r="J192" s="655"/>
      <c r="K192" s="427"/>
      <c r="L192" s="427"/>
      <c r="M192" s="930"/>
      <c r="N192" s="862"/>
    </row>
    <row r="193" spans="1:14" x14ac:dyDescent="0.15">
      <c r="A193" s="84"/>
      <c r="B193" s="133"/>
      <c r="C193" s="314" t="s">
        <v>181</v>
      </c>
      <c r="D193" s="142"/>
      <c r="E193" s="143"/>
      <c r="F193" s="310" t="str">
        <f t="shared" si="157"/>
        <v/>
      </c>
      <c r="G193" s="253"/>
      <c r="H193" s="253"/>
      <c r="I193" s="292"/>
      <c r="J193" s="655"/>
      <c r="K193" s="427"/>
      <c r="L193" s="427"/>
      <c r="M193" s="930"/>
      <c r="N193" s="862"/>
    </row>
    <row r="194" spans="1:14" x14ac:dyDescent="0.15">
      <c r="A194" s="84"/>
      <c r="B194" s="133"/>
      <c r="C194" s="314" t="s">
        <v>182</v>
      </c>
      <c r="D194" s="136"/>
      <c r="E194" s="141"/>
      <c r="F194" s="630" t="str">
        <f t="shared" si="157"/>
        <v/>
      </c>
      <c r="G194" s="253"/>
      <c r="H194" s="253"/>
      <c r="I194" s="292"/>
      <c r="J194" s="646"/>
      <c r="K194" s="391"/>
      <c r="L194" s="391"/>
      <c r="M194" s="924"/>
      <c r="N194" s="851"/>
    </row>
    <row r="195" spans="1:14" x14ac:dyDescent="0.15">
      <c r="A195" s="84"/>
      <c r="B195" s="133"/>
      <c r="C195" s="314" t="s">
        <v>183</v>
      </c>
      <c r="D195" s="136"/>
      <c r="E195" s="141"/>
      <c r="F195" s="630" t="str">
        <f t="shared" si="157"/>
        <v/>
      </c>
      <c r="G195" s="253"/>
      <c r="H195" s="253"/>
      <c r="I195" s="292"/>
      <c r="J195" s="646"/>
      <c r="K195" s="391"/>
      <c r="L195" s="391"/>
      <c r="M195" s="924"/>
      <c r="N195" s="851"/>
    </row>
    <row r="196" spans="1:14" x14ac:dyDescent="0.15">
      <c r="A196" s="84"/>
      <c r="B196" s="133"/>
      <c r="C196" s="314" t="s">
        <v>184</v>
      </c>
      <c r="D196" s="142"/>
      <c r="E196" s="143"/>
      <c r="F196" s="310" t="str">
        <f>IF(SUM(G196:I196)=0,"",SUM(G196:I196))</f>
        <v/>
      </c>
      <c r="G196" s="253"/>
      <c r="H196" s="253"/>
      <c r="I196" s="292"/>
      <c r="J196" s="655"/>
      <c r="K196" s="427"/>
      <c r="L196" s="427"/>
      <c r="M196" s="930"/>
      <c r="N196" s="862"/>
    </row>
    <row r="197" spans="1:14" x14ac:dyDescent="0.15">
      <c r="A197" s="84"/>
      <c r="B197" s="133"/>
      <c r="C197" s="314" t="s">
        <v>185</v>
      </c>
      <c r="D197" s="136"/>
      <c r="E197" s="141"/>
      <c r="F197" s="630" t="str">
        <f>IF(SUM(G197:I197)=0,"",SUM(G197:I197))</f>
        <v/>
      </c>
      <c r="G197" s="253"/>
      <c r="H197" s="253"/>
      <c r="I197" s="292"/>
      <c r="J197" s="646"/>
      <c r="K197" s="391"/>
      <c r="L197" s="391"/>
      <c r="M197" s="924"/>
      <c r="N197" s="851"/>
    </row>
    <row r="198" spans="1:14" x14ac:dyDescent="0.15">
      <c r="A198" s="84"/>
      <c r="B198" s="133"/>
      <c r="C198" s="314" t="s">
        <v>186</v>
      </c>
      <c r="D198" s="136"/>
      <c r="E198" s="141"/>
      <c r="F198" s="630" t="str">
        <f>IF(SUM(G198:I198)=0,"",SUM(G198:I198))</f>
        <v/>
      </c>
      <c r="G198" s="253"/>
      <c r="H198" s="253"/>
      <c r="I198" s="292"/>
      <c r="J198" s="646"/>
      <c r="K198" s="391"/>
      <c r="L198" s="391"/>
      <c r="M198" s="924"/>
      <c r="N198" s="851"/>
    </row>
    <row r="199" spans="1:14" x14ac:dyDescent="0.15">
      <c r="A199" s="84"/>
      <c r="B199" s="133"/>
      <c r="C199" s="308" t="s">
        <v>36</v>
      </c>
      <c r="D199" s="127"/>
      <c r="E199" s="309"/>
      <c r="F199" s="310">
        <f t="shared" ref="F199:M199" si="158">SUM(F174:F198)</f>
        <v>0</v>
      </c>
      <c r="G199" s="311">
        <f t="shared" si="158"/>
        <v>0</v>
      </c>
      <c r="H199" s="311">
        <f t="shared" si="158"/>
        <v>0</v>
      </c>
      <c r="I199" s="312">
        <f t="shared" si="158"/>
        <v>0</v>
      </c>
      <c r="J199" s="654">
        <f t="shared" si="158"/>
        <v>0</v>
      </c>
      <c r="K199" s="860">
        <f t="shared" si="158"/>
        <v>0</v>
      </c>
      <c r="L199" s="860">
        <f t="shared" si="158"/>
        <v>0</v>
      </c>
      <c r="M199" s="929">
        <f t="shared" si="158"/>
        <v>0</v>
      </c>
      <c r="N199" s="861">
        <f t="shared" ref="N199" si="159">SUM(N174:N198)</f>
        <v>0</v>
      </c>
    </row>
    <row r="200" spans="1:14" x14ac:dyDescent="0.15">
      <c r="A200" s="84"/>
      <c r="B200" s="1105" t="s">
        <v>188</v>
      </c>
      <c r="C200" s="1106"/>
      <c r="D200" s="1106"/>
      <c r="E200" s="1106"/>
      <c r="F200" s="630">
        <f>SUM(G200:I200)</f>
        <v>9546.1</v>
      </c>
      <c r="G200" s="254">
        <f t="shared" ref="G200:N200" si="160">SUMPRODUCT(G130:G142,G255:G267)</f>
        <v>3186.87</v>
      </c>
      <c r="H200" s="254">
        <f t="shared" si="160"/>
        <v>3191.3</v>
      </c>
      <c r="I200" s="315">
        <f t="shared" si="160"/>
        <v>3167.9300000000003</v>
      </c>
      <c r="J200" s="656">
        <f t="shared" si="160"/>
        <v>3076.7149999999997</v>
      </c>
      <c r="K200" s="823">
        <f t="shared" si="160"/>
        <v>2926.79</v>
      </c>
      <c r="L200" s="823">
        <f t="shared" si="160"/>
        <v>2804.2400000000002</v>
      </c>
      <c r="M200" s="915">
        <f t="shared" si="160"/>
        <v>2565.48</v>
      </c>
      <c r="N200" s="824">
        <f t="shared" si="160"/>
        <v>2413.92</v>
      </c>
    </row>
    <row r="201" spans="1:14" ht="14.25" thickBot="1" x14ac:dyDescent="0.2">
      <c r="A201" s="316"/>
      <c r="B201" s="1107" t="s">
        <v>189</v>
      </c>
      <c r="C201" s="1108"/>
      <c r="D201" s="1108"/>
      <c r="E201" s="1108"/>
      <c r="F201" s="317">
        <f>SUM(G201:I201)</f>
        <v>0</v>
      </c>
      <c r="G201" s="318">
        <f>SUMPRODUCT(G174:G198,G207:G231)</f>
        <v>0</v>
      </c>
      <c r="H201" s="318">
        <f t="shared" ref="H201:L201" si="161">SUMPRODUCT(H174:H198,H207:H231)</f>
        <v>0</v>
      </c>
      <c r="I201" s="319">
        <f t="shared" si="161"/>
        <v>0</v>
      </c>
      <c r="J201" s="657">
        <f t="shared" si="161"/>
        <v>0</v>
      </c>
      <c r="K201" s="863">
        <f t="shared" si="161"/>
        <v>0</v>
      </c>
      <c r="L201" s="863">
        <f t="shared" si="161"/>
        <v>0</v>
      </c>
      <c r="M201" s="931">
        <f>SUMPRODUCT(M174:M198,M207:M231)</f>
        <v>0</v>
      </c>
      <c r="N201" s="864">
        <f>SUMPRODUCT(N174:N198,N207:N231)</f>
        <v>0</v>
      </c>
    </row>
    <row r="202" spans="1:14" x14ac:dyDescent="0.15">
      <c r="K202" s="370"/>
      <c r="L202" s="370"/>
      <c r="M202" s="370"/>
    </row>
    <row r="203" spans="1:14" ht="14.25" thickBot="1" x14ac:dyDescent="0.2">
      <c r="A203" s="198" t="s">
        <v>190</v>
      </c>
      <c r="B203" s="201"/>
      <c r="C203" s="201"/>
      <c r="D203" s="201"/>
      <c r="E203" s="201"/>
      <c r="F203" s="201"/>
      <c r="G203" s="201"/>
      <c r="H203" s="201"/>
      <c r="I203" s="201"/>
      <c r="J203" s="201"/>
      <c r="K203" s="726"/>
      <c r="L203" s="726"/>
      <c r="M203" s="726"/>
    </row>
    <row r="204" spans="1:14" x14ac:dyDescent="0.15">
      <c r="A204" s="230"/>
      <c r="B204" s="231"/>
      <c r="C204" s="231"/>
      <c r="D204" s="231"/>
      <c r="E204" s="231"/>
      <c r="F204" s="1109" t="s">
        <v>380</v>
      </c>
      <c r="G204" s="1110"/>
      <c r="H204" s="1110"/>
      <c r="I204" s="1111"/>
      <c r="J204" s="1112" t="s">
        <v>372</v>
      </c>
      <c r="K204" s="1112" t="s">
        <v>371</v>
      </c>
      <c r="L204" s="1112" t="s">
        <v>370</v>
      </c>
      <c r="M204" s="1126" t="s">
        <v>368</v>
      </c>
      <c r="N204" s="1124" t="s">
        <v>413</v>
      </c>
    </row>
    <row r="205" spans="1:14" ht="14.25" thickBot="1" x14ac:dyDescent="0.2">
      <c r="A205" s="232"/>
      <c r="F205" s="233"/>
      <c r="G205" s="234" t="s">
        <v>374</v>
      </c>
      <c r="H205" s="235" t="s">
        <v>255</v>
      </c>
      <c r="I205" s="236" t="s">
        <v>373</v>
      </c>
      <c r="J205" s="1113"/>
      <c r="K205" s="1123"/>
      <c r="L205" s="1123"/>
      <c r="M205" s="1127"/>
      <c r="N205" s="1125"/>
    </row>
    <row r="206" spans="1:14" x14ac:dyDescent="0.15">
      <c r="A206" s="320" t="s">
        <v>191</v>
      </c>
      <c r="B206" s="321"/>
      <c r="C206" s="321"/>
      <c r="D206" s="321"/>
      <c r="E206" s="321"/>
      <c r="F206" s="320"/>
      <c r="G206" s="322">
        <f t="shared" ref="G206:M206" si="162">COUNT(G207:G231)</f>
        <v>0</v>
      </c>
      <c r="H206" s="322">
        <f t="shared" si="162"/>
        <v>0</v>
      </c>
      <c r="I206" s="323">
        <f t="shared" si="162"/>
        <v>0</v>
      </c>
      <c r="J206" s="641">
        <f t="shared" si="162"/>
        <v>0</v>
      </c>
      <c r="K206" s="865">
        <f t="shared" si="162"/>
        <v>0</v>
      </c>
      <c r="L206" s="865">
        <f t="shared" si="162"/>
        <v>0</v>
      </c>
      <c r="M206" s="932">
        <f t="shared" si="162"/>
        <v>0</v>
      </c>
      <c r="N206" s="866">
        <f t="shared" ref="N206" si="163">COUNT(N207:N231)</f>
        <v>0</v>
      </c>
    </row>
    <row r="207" spans="1:14" x14ac:dyDescent="0.15">
      <c r="A207" s="207" t="s">
        <v>192</v>
      </c>
      <c r="B207" s="259"/>
      <c r="D207" s="212" t="s">
        <v>193</v>
      </c>
      <c r="E207" s="209"/>
      <c r="F207" s="324"/>
      <c r="G207" s="325"/>
      <c r="H207" s="325"/>
      <c r="I207" s="326"/>
      <c r="J207" s="642"/>
      <c r="K207" s="867"/>
      <c r="L207" s="867"/>
      <c r="M207" s="933"/>
      <c r="N207" s="868"/>
    </row>
    <row r="208" spans="1:14" x14ac:dyDescent="0.15">
      <c r="A208" s="232"/>
      <c r="D208" s="212" t="s">
        <v>194</v>
      </c>
      <c r="E208" s="209"/>
      <c r="F208" s="324"/>
      <c r="G208" s="325"/>
      <c r="H208" s="325"/>
      <c r="I208" s="326"/>
      <c r="J208" s="642"/>
      <c r="K208" s="867"/>
      <c r="L208" s="867"/>
      <c r="M208" s="933"/>
      <c r="N208" s="868"/>
    </row>
    <row r="209" spans="1:14" x14ac:dyDescent="0.15">
      <c r="A209" s="232"/>
      <c r="C209" s="327"/>
      <c r="D209" s="212" t="s">
        <v>195</v>
      </c>
      <c r="E209" s="209"/>
      <c r="F209" s="324"/>
      <c r="G209" s="325"/>
      <c r="H209" s="325"/>
      <c r="I209" s="326"/>
      <c r="J209" s="642"/>
      <c r="K209" s="867"/>
      <c r="L209" s="867"/>
      <c r="M209" s="933"/>
      <c r="N209" s="868"/>
    </row>
    <row r="210" spans="1:14" x14ac:dyDescent="0.15">
      <c r="A210" s="232"/>
      <c r="C210" s="327"/>
      <c r="D210" s="328" t="s">
        <v>196</v>
      </c>
      <c r="E210" s="329"/>
      <c r="F210" s="324"/>
      <c r="G210" s="330"/>
      <c r="H210" s="330"/>
      <c r="I210" s="331"/>
      <c r="J210" s="643"/>
      <c r="K210" s="869"/>
      <c r="L210" s="869"/>
      <c r="M210" s="934"/>
      <c r="N210" s="870"/>
    </row>
    <row r="211" spans="1:14" x14ac:dyDescent="0.15">
      <c r="A211" s="232"/>
      <c r="C211" s="327"/>
      <c r="D211" s="328" t="s">
        <v>197</v>
      </c>
      <c r="E211" s="329"/>
      <c r="F211" s="324"/>
      <c r="G211" s="330"/>
      <c r="H211" s="330"/>
      <c r="I211" s="331"/>
      <c r="J211" s="643"/>
      <c r="K211" s="869"/>
      <c r="L211" s="869"/>
      <c r="M211" s="934"/>
      <c r="N211" s="870"/>
    </row>
    <row r="212" spans="1:14" x14ac:dyDescent="0.15">
      <c r="A212" s="232"/>
      <c r="C212" s="327"/>
      <c r="D212" s="212" t="s">
        <v>198</v>
      </c>
      <c r="E212" s="209"/>
      <c r="F212" s="324"/>
      <c r="G212" s="325"/>
      <c r="H212" s="325"/>
      <c r="I212" s="326"/>
      <c r="J212" s="642"/>
      <c r="K212" s="867"/>
      <c r="L212" s="867"/>
      <c r="M212" s="933"/>
      <c r="N212" s="868"/>
    </row>
    <row r="213" spans="1:14" x14ac:dyDescent="0.15">
      <c r="A213" s="232"/>
      <c r="C213" s="327"/>
      <c r="D213" s="212" t="s">
        <v>199</v>
      </c>
      <c r="E213" s="209"/>
      <c r="F213" s="324"/>
      <c r="G213" s="325"/>
      <c r="H213" s="325"/>
      <c r="I213" s="326"/>
      <c r="J213" s="642"/>
      <c r="K213" s="867"/>
      <c r="L213" s="867"/>
      <c r="M213" s="933"/>
      <c r="N213" s="868"/>
    </row>
    <row r="214" spans="1:14" x14ac:dyDescent="0.15">
      <c r="A214" s="232"/>
      <c r="C214" s="327"/>
      <c r="D214" s="212" t="s">
        <v>200</v>
      </c>
      <c r="E214" s="209"/>
      <c r="F214" s="324"/>
      <c r="G214" s="325"/>
      <c r="H214" s="325"/>
      <c r="I214" s="326"/>
      <c r="J214" s="642"/>
      <c r="K214" s="867"/>
      <c r="L214" s="867"/>
      <c r="M214" s="933"/>
      <c r="N214" s="868"/>
    </row>
    <row r="215" spans="1:14" x14ac:dyDescent="0.15">
      <c r="A215" s="232"/>
      <c r="C215" s="327"/>
      <c r="D215" s="212" t="s">
        <v>201</v>
      </c>
      <c r="E215" s="209"/>
      <c r="F215" s="324"/>
      <c r="G215" s="325"/>
      <c r="H215" s="325"/>
      <c r="I215" s="326"/>
      <c r="J215" s="642"/>
      <c r="K215" s="867"/>
      <c r="L215" s="867"/>
      <c r="M215" s="933"/>
      <c r="N215" s="868"/>
    </row>
    <row r="216" spans="1:14" x14ac:dyDescent="0.15">
      <c r="A216" s="232"/>
      <c r="C216" s="327"/>
      <c r="D216" s="212" t="s">
        <v>171</v>
      </c>
      <c r="E216" s="209"/>
      <c r="F216" s="324"/>
      <c r="G216" s="325"/>
      <c r="H216" s="325"/>
      <c r="I216" s="326"/>
      <c r="J216" s="642"/>
      <c r="K216" s="867"/>
      <c r="L216" s="867"/>
      <c r="M216" s="933"/>
      <c r="N216" s="868"/>
    </row>
    <row r="217" spans="1:14" x14ac:dyDescent="0.15">
      <c r="A217" s="232"/>
      <c r="C217" s="327"/>
      <c r="D217" s="212" t="s">
        <v>172</v>
      </c>
      <c r="E217" s="209"/>
      <c r="F217" s="324"/>
      <c r="G217" s="325"/>
      <c r="H217" s="325"/>
      <c r="I217" s="326"/>
      <c r="J217" s="642"/>
      <c r="K217" s="867"/>
      <c r="L217" s="867"/>
      <c r="M217" s="933"/>
      <c r="N217" s="868"/>
    </row>
    <row r="218" spans="1:14" x14ac:dyDescent="0.15">
      <c r="A218" s="232"/>
      <c r="C218" s="327"/>
      <c r="D218" s="212" t="s">
        <v>173</v>
      </c>
      <c r="E218" s="209"/>
      <c r="F218" s="324"/>
      <c r="G218" s="325"/>
      <c r="H218" s="325"/>
      <c r="I218" s="326"/>
      <c r="J218" s="642"/>
      <c r="K218" s="867"/>
      <c r="L218" s="867"/>
      <c r="M218" s="933"/>
      <c r="N218" s="868"/>
    </row>
    <row r="219" spans="1:14" x14ac:dyDescent="0.15">
      <c r="A219" s="232"/>
      <c r="C219" s="327"/>
      <c r="D219" s="212" t="s">
        <v>174</v>
      </c>
      <c r="E219" s="209"/>
      <c r="F219" s="324"/>
      <c r="G219" s="325"/>
      <c r="H219" s="325"/>
      <c r="I219" s="326"/>
      <c r="J219" s="642"/>
      <c r="K219" s="867"/>
      <c r="L219" s="867"/>
      <c r="M219" s="933"/>
      <c r="N219" s="868"/>
    </row>
    <row r="220" spans="1:14" x14ac:dyDescent="0.15">
      <c r="A220" s="232"/>
      <c r="C220" s="327"/>
      <c r="D220" s="212" t="s">
        <v>175</v>
      </c>
      <c r="E220" s="209"/>
      <c r="F220" s="324"/>
      <c r="G220" s="325"/>
      <c r="H220" s="325"/>
      <c r="I220" s="326"/>
      <c r="J220" s="642"/>
      <c r="K220" s="867"/>
      <c r="L220" s="867"/>
      <c r="M220" s="933"/>
      <c r="N220" s="868"/>
    </row>
    <row r="221" spans="1:14" x14ac:dyDescent="0.15">
      <c r="A221" s="232"/>
      <c r="C221" s="327"/>
      <c r="D221" s="212" t="s">
        <v>176</v>
      </c>
      <c r="E221" s="209"/>
      <c r="F221" s="324"/>
      <c r="G221" s="325"/>
      <c r="H221" s="325"/>
      <c r="I221" s="326"/>
      <c r="J221" s="642"/>
      <c r="K221" s="867"/>
      <c r="L221" s="867"/>
      <c r="M221" s="933"/>
      <c r="N221" s="868"/>
    </row>
    <row r="222" spans="1:14" x14ac:dyDescent="0.15">
      <c r="A222" s="232"/>
      <c r="C222" s="327"/>
      <c r="D222" s="212" t="s">
        <v>177</v>
      </c>
      <c r="E222" s="209"/>
      <c r="F222" s="324"/>
      <c r="G222" s="325"/>
      <c r="H222" s="325"/>
      <c r="I222" s="326"/>
      <c r="J222" s="642"/>
      <c r="K222" s="867"/>
      <c r="L222" s="867"/>
      <c r="M222" s="933"/>
      <c r="N222" s="868"/>
    </row>
    <row r="223" spans="1:14" x14ac:dyDescent="0.15">
      <c r="A223" s="232"/>
      <c r="C223" s="327"/>
      <c r="D223" s="212" t="s">
        <v>178</v>
      </c>
      <c r="E223" s="209"/>
      <c r="F223" s="324"/>
      <c r="G223" s="325"/>
      <c r="H223" s="325"/>
      <c r="I223" s="326"/>
      <c r="J223" s="642"/>
      <c r="K223" s="867"/>
      <c r="L223" s="867"/>
      <c r="M223" s="933"/>
      <c r="N223" s="868"/>
    </row>
    <row r="224" spans="1:14" x14ac:dyDescent="0.15">
      <c r="A224" s="232"/>
      <c r="C224" s="327"/>
      <c r="D224" s="212" t="s">
        <v>179</v>
      </c>
      <c r="E224" s="209"/>
      <c r="F224" s="324"/>
      <c r="G224" s="325"/>
      <c r="H224" s="325"/>
      <c r="I224" s="326"/>
      <c r="J224" s="642"/>
      <c r="K224" s="867"/>
      <c r="L224" s="867"/>
      <c r="M224" s="933"/>
      <c r="N224" s="868"/>
    </row>
    <row r="225" spans="1:14" x14ac:dyDescent="0.15">
      <c r="A225" s="232"/>
      <c r="C225" s="327"/>
      <c r="D225" s="212" t="s">
        <v>180</v>
      </c>
      <c r="E225" s="209"/>
      <c r="F225" s="324"/>
      <c r="G225" s="325"/>
      <c r="H225" s="325"/>
      <c r="I225" s="326"/>
      <c r="J225" s="642"/>
      <c r="K225" s="867"/>
      <c r="L225" s="867"/>
      <c r="M225" s="933"/>
      <c r="N225" s="868"/>
    </row>
    <row r="226" spans="1:14" x14ac:dyDescent="0.15">
      <c r="A226" s="232"/>
      <c r="D226" s="212" t="s">
        <v>181</v>
      </c>
      <c r="E226" s="209"/>
      <c r="F226" s="324"/>
      <c r="G226" s="325"/>
      <c r="H226" s="325"/>
      <c r="I226" s="326"/>
      <c r="J226" s="642"/>
      <c r="K226" s="867"/>
      <c r="L226" s="867"/>
      <c r="M226" s="933"/>
      <c r="N226" s="868"/>
    </row>
    <row r="227" spans="1:14" x14ac:dyDescent="0.15">
      <c r="A227" s="232"/>
      <c r="C227" s="327"/>
      <c r="D227" s="212" t="s">
        <v>182</v>
      </c>
      <c r="E227" s="209"/>
      <c r="F227" s="324"/>
      <c r="G227" s="325"/>
      <c r="H227" s="325"/>
      <c r="I227" s="326"/>
      <c r="J227" s="642"/>
      <c r="K227" s="867"/>
      <c r="L227" s="867"/>
      <c r="M227" s="933"/>
      <c r="N227" s="868"/>
    </row>
    <row r="228" spans="1:14" x14ac:dyDescent="0.15">
      <c r="A228" s="232"/>
      <c r="C228" s="327"/>
      <c r="D228" s="212" t="s">
        <v>183</v>
      </c>
      <c r="E228" s="209"/>
      <c r="F228" s="324"/>
      <c r="G228" s="325"/>
      <c r="H228" s="325"/>
      <c r="I228" s="326"/>
      <c r="J228" s="642"/>
      <c r="K228" s="867"/>
      <c r="L228" s="867"/>
      <c r="M228" s="933"/>
      <c r="N228" s="868"/>
    </row>
    <row r="229" spans="1:14" x14ac:dyDescent="0.15">
      <c r="A229" s="232"/>
      <c r="D229" s="212" t="s">
        <v>184</v>
      </c>
      <c r="E229" s="209"/>
      <c r="F229" s="324"/>
      <c r="G229" s="325"/>
      <c r="H229" s="325"/>
      <c r="I229" s="326"/>
      <c r="J229" s="642"/>
      <c r="K229" s="867"/>
      <c r="L229" s="867"/>
      <c r="M229" s="933"/>
      <c r="N229" s="868"/>
    </row>
    <row r="230" spans="1:14" x14ac:dyDescent="0.15">
      <c r="A230" s="232"/>
      <c r="C230" s="327"/>
      <c r="D230" s="212" t="s">
        <v>185</v>
      </c>
      <c r="E230" s="209"/>
      <c r="F230" s="324"/>
      <c r="G230" s="325"/>
      <c r="H230" s="325"/>
      <c r="I230" s="326"/>
      <c r="J230" s="642"/>
      <c r="K230" s="867"/>
      <c r="L230" s="867"/>
      <c r="M230" s="933"/>
      <c r="N230" s="868"/>
    </row>
    <row r="231" spans="1:14" x14ac:dyDescent="0.15">
      <c r="A231" s="232"/>
      <c r="C231" s="327"/>
      <c r="D231" s="212" t="s">
        <v>186</v>
      </c>
      <c r="E231" s="209"/>
      <c r="F231" s="324"/>
      <c r="G231" s="325"/>
      <c r="H231" s="325"/>
      <c r="I231" s="326"/>
      <c r="J231" s="642"/>
      <c r="K231" s="867"/>
      <c r="L231" s="867"/>
      <c r="M231" s="933"/>
      <c r="N231" s="868"/>
    </row>
    <row r="232" spans="1:14" x14ac:dyDescent="0.15">
      <c r="A232" s="207" t="s">
        <v>202</v>
      </c>
      <c r="B232" s="259"/>
      <c r="C232" s="259"/>
      <c r="D232" s="212" t="s">
        <v>203</v>
      </c>
      <c r="E232" s="209"/>
      <c r="F232" s="627"/>
      <c r="G232" s="273"/>
      <c r="H232" s="273"/>
      <c r="I232" s="332"/>
      <c r="J232" s="644"/>
      <c r="K232" s="803" t="str">
        <f>IF(J232="","",$J232)</f>
        <v/>
      </c>
      <c r="L232" s="803" t="str">
        <f t="shared" ref="L232:N232" si="164">IF(K232="","",$J232)</f>
        <v/>
      </c>
      <c r="M232" s="803" t="str">
        <f t="shared" si="164"/>
        <v/>
      </c>
      <c r="N232" s="804" t="str">
        <f t="shared" si="164"/>
        <v/>
      </c>
    </row>
    <row r="233" spans="1:14" x14ac:dyDescent="0.15">
      <c r="A233" s="232"/>
      <c r="D233" s="212" t="s">
        <v>204</v>
      </c>
      <c r="E233" s="209"/>
      <c r="F233" s="627"/>
      <c r="G233" s="273"/>
      <c r="H233" s="273"/>
      <c r="I233" s="332"/>
      <c r="J233" s="644"/>
      <c r="K233" s="803" t="str">
        <f t="shared" ref="K233:N233" si="165">IF(J233="","",$J233)</f>
        <v/>
      </c>
      <c r="L233" s="803" t="str">
        <f t="shared" si="165"/>
        <v/>
      </c>
      <c r="M233" s="803" t="str">
        <f t="shared" si="165"/>
        <v/>
      </c>
      <c r="N233" s="804" t="str">
        <f t="shared" si="165"/>
        <v/>
      </c>
    </row>
    <row r="234" spans="1:14" x14ac:dyDescent="0.15">
      <c r="A234" s="232"/>
      <c r="C234" s="327"/>
      <c r="D234" s="212" t="s">
        <v>205</v>
      </c>
      <c r="E234" s="209"/>
      <c r="F234" s="627"/>
      <c r="G234" s="273"/>
      <c r="H234" s="273"/>
      <c r="I234" s="332"/>
      <c r="J234" s="644"/>
      <c r="K234" s="803" t="str">
        <f t="shared" ref="K234:N234" si="166">IF(J234="","",$J234)</f>
        <v/>
      </c>
      <c r="L234" s="803" t="str">
        <f t="shared" si="166"/>
        <v/>
      </c>
      <c r="M234" s="803" t="str">
        <f t="shared" si="166"/>
        <v/>
      </c>
      <c r="N234" s="804" t="str">
        <f t="shared" si="166"/>
        <v/>
      </c>
    </row>
    <row r="235" spans="1:14" x14ac:dyDescent="0.15">
      <c r="A235" s="232"/>
      <c r="C235" s="327"/>
      <c r="D235" s="212" t="s">
        <v>206</v>
      </c>
      <c r="E235" s="209"/>
      <c r="F235" s="627"/>
      <c r="G235" s="273"/>
      <c r="H235" s="273"/>
      <c r="I235" s="332"/>
      <c r="J235" s="644"/>
      <c r="K235" s="803" t="str">
        <f t="shared" ref="K235:N235" si="167">IF(J235="","",$J235)</f>
        <v/>
      </c>
      <c r="L235" s="803" t="str">
        <f t="shared" si="167"/>
        <v/>
      </c>
      <c r="M235" s="803" t="str">
        <f t="shared" si="167"/>
        <v/>
      </c>
      <c r="N235" s="804" t="str">
        <f t="shared" si="167"/>
        <v/>
      </c>
    </row>
    <row r="236" spans="1:14" x14ac:dyDescent="0.15">
      <c r="A236" s="232"/>
      <c r="C236" s="327"/>
      <c r="D236" s="212" t="s">
        <v>207</v>
      </c>
      <c r="E236" s="209"/>
      <c r="F236" s="627"/>
      <c r="G236" s="273"/>
      <c r="H236" s="273"/>
      <c r="I236" s="332"/>
      <c r="J236" s="644"/>
      <c r="K236" s="803" t="str">
        <f t="shared" ref="K236:N236" si="168">IF(J236="","",$J236)</f>
        <v/>
      </c>
      <c r="L236" s="803" t="str">
        <f t="shared" si="168"/>
        <v/>
      </c>
      <c r="M236" s="803" t="str">
        <f t="shared" si="168"/>
        <v/>
      </c>
      <c r="N236" s="804" t="str">
        <f t="shared" si="168"/>
        <v/>
      </c>
    </row>
    <row r="237" spans="1:14" x14ac:dyDescent="0.15">
      <c r="A237" s="232"/>
      <c r="C237" s="327"/>
      <c r="D237" s="212" t="s">
        <v>208</v>
      </c>
      <c r="E237" s="209"/>
      <c r="F237" s="627"/>
      <c r="G237" s="273"/>
      <c r="H237" s="273"/>
      <c r="I237" s="332"/>
      <c r="J237" s="644"/>
      <c r="K237" s="803" t="str">
        <f t="shared" ref="K237:N237" si="169">IF(J237="","",$J237)</f>
        <v/>
      </c>
      <c r="L237" s="803" t="str">
        <f t="shared" si="169"/>
        <v/>
      </c>
      <c r="M237" s="803" t="str">
        <f t="shared" si="169"/>
        <v/>
      </c>
      <c r="N237" s="804" t="str">
        <f t="shared" si="169"/>
        <v/>
      </c>
    </row>
    <row r="238" spans="1:14" x14ac:dyDescent="0.15">
      <c r="A238" s="232"/>
      <c r="C238" s="327"/>
      <c r="D238" s="212" t="s">
        <v>209</v>
      </c>
      <c r="E238" s="209"/>
      <c r="F238" s="627"/>
      <c r="G238" s="273"/>
      <c r="H238" s="273"/>
      <c r="I238" s="332"/>
      <c r="J238" s="644"/>
      <c r="K238" s="803" t="str">
        <f t="shared" ref="K238:N238" si="170">IF(J238="","",$J238)</f>
        <v/>
      </c>
      <c r="L238" s="803" t="str">
        <f t="shared" si="170"/>
        <v/>
      </c>
      <c r="M238" s="803" t="str">
        <f t="shared" si="170"/>
        <v/>
      </c>
      <c r="N238" s="804" t="str">
        <f t="shared" si="170"/>
        <v/>
      </c>
    </row>
    <row r="239" spans="1:14" x14ac:dyDescent="0.15">
      <c r="A239" s="232"/>
      <c r="C239" s="327"/>
      <c r="D239" s="212" t="s">
        <v>210</v>
      </c>
      <c r="E239" s="209"/>
      <c r="F239" s="627"/>
      <c r="G239" s="273"/>
      <c r="H239" s="273"/>
      <c r="I239" s="332"/>
      <c r="J239" s="644"/>
      <c r="K239" s="803" t="str">
        <f t="shared" ref="K239:N239" si="171">IF(J239="","",$J239)</f>
        <v/>
      </c>
      <c r="L239" s="803" t="str">
        <f t="shared" si="171"/>
        <v/>
      </c>
      <c r="M239" s="803" t="str">
        <f t="shared" si="171"/>
        <v/>
      </c>
      <c r="N239" s="804" t="str">
        <f t="shared" si="171"/>
        <v/>
      </c>
    </row>
    <row r="240" spans="1:14" x14ac:dyDescent="0.15">
      <c r="A240" s="232"/>
      <c r="C240" s="327"/>
      <c r="D240" s="212" t="s">
        <v>211</v>
      </c>
      <c r="E240" s="209"/>
      <c r="F240" s="627"/>
      <c r="G240" s="273"/>
      <c r="H240" s="273"/>
      <c r="I240" s="332"/>
      <c r="J240" s="644"/>
      <c r="K240" s="803" t="str">
        <f t="shared" ref="K240:N240" si="172">IF(J240="","",$J240)</f>
        <v/>
      </c>
      <c r="L240" s="803" t="str">
        <f t="shared" si="172"/>
        <v/>
      </c>
      <c r="M240" s="803" t="str">
        <f t="shared" si="172"/>
        <v/>
      </c>
      <c r="N240" s="804" t="str">
        <f t="shared" si="172"/>
        <v/>
      </c>
    </row>
    <row r="241" spans="1:14" x14ac:dyDescent="0.15">
      <c r="A241" s="232"/>
      <c r="C241" s="327"/>
      <c r="D241" s="212" t="s">
        <v>212</v>
      </c>
      <c r="E241" s="209"/>
      <c r="F241" s="627"/>
      <c r="G241" s="273"/>
      <c r="H241" s="273"/>
      <c r="I241" s="332"/>
      <c r="J241" s="644"/>
      <c r="K241" s="803" t="str">
        <f t="shared" ref="K241:N241" si="173">IF(J241="","",$J241)</f>
        <v/>
      </c>
      <c r="L241" s="803" t="str">
        <f t="shared" si="173"/>
        <v/>
      </c>
      <c r="M241" s="803" t="str">
        <f t="shared" si="173"/>
        <v/>
      </c>
      <c r="N241" s="804" t="str">
        <f t="shared" si="173"/>
        <v/>
      </c>
    </row>
    <row r="242" spans="1:14" x14ac:dyDescent="0.15">
      <c r="A242" s="232"/>
      <c r="C242" s="327"/>
      <c r="D242" s="212" t="s">
        <v>213</v>
      </c>
      <c r="E242" s="209"/>
      <c r="F242" s="627"/>
      <c r="G242" s="273"/>
      <c r="H242" s="273"/>
      <c r="I242" s="332"/>
      <c r="J242" s="644"/>
      <c r="K242" s="803" t="str">
        <f t="shared" ref="K242:N242" si="174">IF(J242="","",$J242)</f>
        <v/>
      </c>
      <c r="L242" s="803" t="str">
        <f t="shared" si="174"/>
        <v/>
      </c>
      <c r="M242" s="803" t="str">
        <f t="shared" si="174"/>
        <v/>
      </c>
      <c r="N242" s="804" t="str">
        <f t="shared" si="174"/>
        <v/>
      </c>
    </row>
    <row r="243" spans="1:14" x14ac:dyDescent="0.15">
      <c r="A243" s="232"/>
      <c r="C243" s="327"/>
      <c r="D243" s="333" t="s">
        <v>214</v>
      </c>
      <c r="E243" s="277"/>
      <c r="F243" s="627"/>
      <c r="G243" s="273"/>
      <c r="H243" s="273"/>
      <c r="I243" s="332"/>
      <c r="J243" s="645"/>
      <c r="K243" s="803" t="str">
        <f t="shared" ref="K243:N243" si="175">IF(J243="","",$J243)</f>
        <v/>
      </c>
      <c r="L243" s="803" t="str">
        <f t="shared" si="175"/>
        <v/>
      </c>
      <c r="M243" s="803" t="str">
        <f t="shared" si="175"/>
        <v/>
      </c>
      <c r="N243" s="804" t="str">
        <f t="shared" si="175"/>
        <v/>
      </c>
    </row>
    <row r="244" spans="1:14" x14ac:dyDescent="0.15">
      <c r="A244" s="232"/>
      <c r="D244" s="212" t="s">
        <v>215</v>
      </c>
      <c r="E244" s="209"/>
      <c r="F244" s="627"/>
      <c r="G244" s="273"/>
      <c r="H244" s="273"/>
      <c r="I244" s="332"/>
      <c r="J244" s="646"/>
      <c r="K244" s="803" t="str">
        <f t="shared" ref="K244:N244" si="176">IF(J244="","",$J244)</f>
        <v/>
      </c>
      <c r="L244" s="803" t="str">
        <f t="shared" si="176"/>
        <v/>
      </c>
      <c r="M244" s="803" t="str">
        <f t="shared" si="176"/>
        <v/>
      </c>
      <c r="N244" s="804" t="str">
        <f t="shared" si="176"/>
        <v/>
      </c>
    </row>
    <row r="245" spans="1:14" x14ac:dyDescent="0.15">
      <c r="A245" s="232"/>
      <c r="D245" s="334" t="s">
        <v>216</v>
      </c>
      <c r="E245" s="335"/>
      <c r="F245" s="627"/>
      <c r="G245" s="273"/>
      <c r="H245" s="273"/>
      <c r="I245" s="332"/>
      <c r="J245" s="647"/>
      <c r="K245" s="803" t="str">
        <f t="shared" ref="K245:N245" si="177">IF(J245="","",$J245)</f>
        <v/>
      </c>
      <c r="L245" s="803" t="str">
        <f t="shared" si="177"/>
        <v/>
      </c>
      <c r="M245" s="803" t="str">
        <f t="shared" si="177"/>
        <v/>
      </c>
      <c r="N245" s="804" t="str">
        <f t="shared" si="177"/>
        <v/>
      </c>
    </row>
    <row r="246" spans="1:14" x14ac:dyDescent="0.15">
      <c r="A246" s="232"/>
      <c r="C246" s="327"/>
      <c r="D246" s="212" t="s">
        <v>217</v>
      </c>
      <c r="E246" s="209"/>
      <c r="F246" s="627"/>
      <c r="G246" s="273"/>
      <c r="H246" s="273"/>
      <c r="I246" s="332"/>
      <c r="J246" s="644"/>
      <c r="K246" s="803" t="str">
        <f t="shared" ref="K246:N246" si="178">IF(J246="","",$J246)</f>
        <v/>
      </c>
      <c r="L246" s="803" t="str">
        <f t="shared" si="178"/>
        <v/>
      </c>
      <c r="M246" s="803" t="str">
        <f t="shared" si="178"/>
        <v/>
      </c>
      <c r="N246" s="804" t="str">
        <f t="shared" si="178"/>
        <v/>
      </c>
    </row>
    <row r="247" spans="1:14" x14ac:dyDescent="0.15">
      <c r="A247" s="232"/>
      <c r="C247" s="327"/>
      <c r="D247" s="333" t="s">
        <v>218</v>
      </c>
      <c r="E247" s="277"/>
      <c r="F247" s="336"/>
      <c r="G247" s="278"/>
      <c r="H247" s="278"/>
      <c r="I247" s="337"/>
      <c r="J247" s="645"/>
      <c r="K247" s="803" t="str">
        <f t="shared" ref="K247:N247" si="179">IF(J247="","",$J247)</f>
        <v/>
      </c>
      <c r="L247" s="803" t="str">
        <f t="shared" si="179"/>
        <v/>
      </c>
      <c r="M247" s="803" t="str">
        <f t="shared" si="179"/>
        <v/>
      </c>
      <c r="N247" s="804" t="str">
        <f t="shared" si="179"/>
        <v/>
      </c>
    </row>
    <row r="248" spans="1:14" x14ac:dyDescent="0.15">
      <c r="A248" s="232"/>
      <c r="C248" s="327"/>
      <c r="D248" s="333" t="s">
        <v>219</v>
      </c>
      <c r="E248" s="209"/>
      <c r="F248" s="627"/>
      <c r="G248" s="273"/>
      <c r="H248" s="273"/>
      <c r="I248" s="332"/>
      <c r="J248" s="646"/>
      <c r="K248" s="803" t="str">
        <f t="shared" ref="K248:N248" si="180">IF(J248="","",$J248)</f>
        <v/>
      </c>
      <c r="L248" s="803" t="str">
        <f t="shared" si="180"/>
        <v/>
      </c>
      <c r="M248" s="803" t="str">
        <f t="shared" si="180"/>
        <v/>
      </c>
      <c r="N248" s="804" t="str">
        <f t="shared" si="180"/>
        <v/>
      </c>
    </row>
    <row r="249" spans="1:14" x14ac:dyDescent="0.15">
      <c r="A249" s="232"/>
      <c r="C249" s="327"/>
      <c r="D249" s="212" t="s">
        <v>220</v>
      </c>
      <c r="E249" s="209"/>
      <c r="F249" s="627"/>
      <c r="G249" s="273"/>
      <c r="H249" s="273"/>
      <c r="I249" s="332"/>
      <c r="J249" s="644"/>
      <c r="K249" s="803" t="str">
        <f t="shared" ref="K249:N249" si="181">IF(J249="","",$J249)</f>
        <v/>
      </c>
      <c r="L249" s="803" t="str">
        <f t="shared" si="181"/>
        <v/>
      </c>
      <c r="M249" s="803" t="str">
        <f t="shared" si="181"/>
        <v/>
      </c>
      <c r="N249" s="804" t="str">
        <f t="shared" si="181"/>
        <v/>
      </c>
    </row>
    <row r="250" spans="1:14" ht="14.25" thickBot="1" x14ac:dyDescent="0.2">
      <c r="A250" s="338"/>
      <c r="B250" s="339"/>
      <c r="C250" s="340"/>
      <c r="D250" s="341" t="s">
        <v>221</v>
      </c>
      <c r="E250" s="342"/>
      <c r="F250" s="343"/>
      <c r="G250" s="344"/>
      <c r="H250" s="344"/>
      <c r="I250" s="345"/>
      <c r="J250" s="648"/>
      <c r="K250" s="871" t="str">
        <f t="shared" ref="K250:N250" si="182">IF(J250="","",$J250)</f>
        <v/>
      </c>
      <c r="L250" s="871" t="str">
        <f t="shared" si="182"/>
        <v/>
      </c>
      <c r="M250" s="871" t="str">
        <f t="shared" si="182"/>
        <v/>
      </c>
      <c r="N250" s="872" t="str">
        <f t="shared" si="182"/>
        <v/>
      </c>
    </row>
    <row r="251" spans="1:14" x14ac:dyDescent="0.15">
      <c r="K251" s="370"/>
      <c r="L251" s="370"/>
      <c r="M251" s="370"/>
    </row>
    <row r="252" spans="1:14" ht="14.25" thickBot="1" x14ac:dyDescent="0.2">
      <c r="A252" s="198" t="s">
        <v>222</v>
      </c>
      <c r="B252" s="201"/>
      <c r="C252" s="201"/>
      <c r="D252" s="201"/>
      <c r="E252" s="201"/>
      <c r="F252" s="201"/>
      <c r="G252" s="201"/>
      <c r="H252" s="201"/>
      <c r="I252" s="201"/>
      <c r="J252" s="201"/>
      <c r="K252" s="726"/>
      <c r="L252" s="726"/>
      <c r="M252" s="726"/>
    </row>
    <row r="253" spans="1:14" x14ac:dyDescent="0.15">
      <c r="A253" s="230"/>
      <c r="B253" s="231"/>
      <c r="C253" s="231"/>
      <c r="D253" s="231"/>
      <c r="E253" s="231"/>
      <c r="F253" s="1109" t="s">
        <v>402</v>
      </c>
      <c r="G253" s="1110"/>
      <c r="H253" s="1110"/>
      <c r="I253" s="1111"/>
      <c r="J253" s="1112" t="s">
        <v>372</v>
      </c>
      <c r="K253" s="1112" t="s">
        <v>371</v>
      </c>
      <c r="L253" s="1112" t="s">
        <v>370</v>
      </c>
      <c r="M253" s="1126" t="s">
        <v>368</v>
      </c>
      <c r="N253" s="1124" t="s">
        <v>413</v>
      </c>
    </row>
    <row r="254" spans="1:14" ht="14.25" thickBot="1" x14ac:dyDescent="0.2">
      <c r="A254" s="232"/>
      <c r="F254" s="233"/>
      <c r="G254" s="234" t="s">
        <v>374</v>
      </c>
      <c r="H254" s="235" t="s">
        <v>255</v>
      </c>
      <c r="I254" s="236" t="s">
        <v>373</v>
      </c>
      <c r="J254" s="1113"/>
      <c r="K254" s="1123"/>
      <c r="L254" s="1123"/>
      <c r="M254" s="1127"/>
      <c r="N254" s="1125"/>
    </row>
    <row r="255" spans="1:14" x14ac:dyDescent="0.15">
      <c r="A255" s="230" t="s">
        <v>192</v>
      </c>
      <c r="B255" s="231"/>
      <c r="C255" s="346"/>
      <c r="D255" s="347" t="s">
        <v>193</v>
      </c>
      <c r="E255" s="348"/>
      <c r="F255" s="324"/>
      <c r="G255" s="1013">
        <v>0.44500000000000001</v>
      </c>
      <c r="H255" s="1013">
        <v>0.44500000000000001</v>
      </c>
      <c r="I255" s="1014">
        <v>0.44500000000000001</v>
      </c>
      <c r="J255" s="1015">
        <v>0.44500000000000001</v>
      </c>
      <c r="K255" s="1016">
        <v>0.44500000000000001</v>
      </c>
      <c r="L255" s="1016">
        <v>0.44500000000000001</v>
      </c>
      <c r="M255" s="1017">
        <v>0.44500000000000001</v>
      </c>
      <c r="N255" s="1018">
        <v>0.44500000000000001</v>
      </c>
    </row>
    <row r="256" spans="1:14" x14ac:dyDescent="0.15">
      <c r="A256" s="232"/>
      <c r="D256" s="998" t="s">
        <v>194</v>
      </c>
      <c r="E256" s="999"/>
      <c r="F256" s="324"/>
      <c r="G256" s="1013">
        <v>0.68</v>
      </c>
      <c r="H256" s="1013">
        <v>0.68</v>
      </c>
      <c r="I256" s="1014">
        <v>0.68</v>
      </c>
      <c r="J256" s="1015">
        <v>0.68</v>
      </c>
      <c r="K256" s="1016">
        <v>0.68</v>
      </c>
      <c r="L256" s="1016">
        <v>0.68</v>
      </c>
      <c r="M256" s="1017">
        <v>0.68</v>
      </c>
      <c r="N256" s="1018">
        <v>0.68</v>
      </c>
    </row>
    <row r="257" spans="1:14" x14ac:dyDescent="0.15">
      <c r="A257" s="232"/>
      <c r="C257" s="327"/>
      <c r="D257" s="998" t="s">
        <v>195</v>
      </c>
      <c r="E257" s="999"/>
      <c r="F257" s="324"/>
      <c r="G257" s="1013">
        <v>0.69</v>
      </c>
      <c r="H257" s="1013">
        <v>0.69</v>
      </c>
      <c r="I257" s="1014">
        <v>0.69</v>
      </c>
      <c r="J257" s="1015">
        <v>0.69</v>
      </c>
      <c r="K257" s="1016">
        <v>0.69</v>
      </c>
      <c r="L257" s="1016">
        <v>0.69</v>
      </c>
      <c r="M257" s="1017">
        <v>0.69</v>
      </c>
      <c r="N257" s="1018">
        <v>0.69</v>
      </c>
    </row>
    <row r="258" spans="1:14" x14ac:dyDescent="0.15">
      <c r="A258" s="232"/>
      <c r="C258" s="327"/>
      <c r="D258" s="998" t="s">
        <v>196</v>
      </c>
      <c r="E258" s="999"/>
      <c r="F258" s="324"/>
      <c r="G258" s="1013">
        <v>0.9</v>
      </c>
      <c r="H258" s="1013">
        <v>0.9</v>
      </c>
      <c r="I258" s="1014">
        <v>0.9</v>
      </c>
      <c r="J258" s="1015">
        <v>0.9</v>
      </c>
      <c r="K258" s="1016">
        <v>0.9</v>
      </c>
      <c r="L258" s="1016">
        <v>0.9</v>
      </c>
      <c r="M258" s="1017">
        <v>0.9</v>
      </c>
      <c r="N258" s="1018">
        <v>0.9</v>
      </c>
    </row>
    <row r="259" spans="1:14" x14ac:dyDescent="0.15">
      <c r="A259" s="232"/>
      <c r="C259" s="327"/>
      <c r="D259" s="998" t="s">
        <v>197</v>
      </c>
      <c r="E259" s="999"/>
      <c r="F259" s="324"/>
      <c r="G259" s="1013">
        <v>1</v>
      </c>
      <c r="H259" s="1013">
        <v>1</v>
      </c>
      <c r="I259" s="1014">
        <v>1</v>
      </c>
      <c r="J259" s="1015">
        <v>1</v>
      </c>
      <c r="K259" s="1016">
        <v>1</v>
      </c>
      <c r="L259" s="1016">
        <v>1</v>
      </c>
      <c r="M259" s="1017">
        <v>1</v>
      </c>
      <c r="N259" s="1018">
        <v>1</v>
      </c>
    </row>
    <row r="260" spans="1:14" x14ac:dyDescent="0.15">
      <c r="A260" s="232"/>
      <c r="C260" s="327"/>
      <c r="D260" s="998" t="s">
        <v>198</v>
      </c>
      <c r="E260" s="999"/>
      <c r="F260" s="324"/>
      <c r="G260" s="1013">
        <v>1.2</v>
      </c>
      <c r="H260" s="1013">
        <v>1.2</v>
      </c>
      <c r="I260" s="1014">
        <v>1.2</v>
      </c>
      <c r="J260" s="1015">
        <v>1.2</v>
      </c>
      <c r="K260" s="1016">
        <v>1.2</v>
      </c>
      <c r="L260" s="1016">
        <v>1.2</v>
      </c>
      <c r="M260" s="1017">
        <v>1.2</v>
      </c>
      <c r="N260" s="1018">
        <v>1.2</v>
      </c>
    </row>
    <row r="261" spans="1:14" x14ac:dyDescent="0.15">
      <c r="A261" s="232"/>
      <c r="C261" s="327"/>
      <c r="D261" s="998" t="s">
        <v>199</v>
      </c>
      <c r="E261" s="999"/>
      <c r="F261" s="324"/>
      <c r="G261" s="1013">
        <v>1.3</v>
      </c>
      <c r="H261" s="1013">
        <v>1.3</v>
      </c>
      <c r="I261" s="1014">
        <v>1.3</v>
      </c>
      <c r="J261" s="1015">
        <v>1.3</v>
      </c>
      <c r="K261" s="1016">
        <v>1.3</v>
      </c>
      <c r="L261" s="1016">
        <v>1.3</v>
      </c>
      <c r="M261" s="1017">
        <v>1.3</v>
      </c>
      <c r="N261" s="1018">
        <v>1.3</v>
      </c>
    </row>
    <row r="262" spans="1:14" x14ac:dyDescent="0.15">
      <c r="A262" s="232"/>
      <c r="C262" s="327"/>
      <c r="D262" s="998" t="s">
        <v>200</v>
      </c>
      <c r="E262" s="999"/>
      <c r="F262" s="324"/>
      <c r="G262" s="1013">
        <v>1.5</v>
      </c>
      <c r="H262" s="1013">
        <v>1.5</v>
      </c>
      <c r="I262" s="1014">
        <v>1.5</v>
      </c>
      <c r="J262" s="1015">
        <v>1.5</v>
      </c>
      <c r="K262" s="1016">
        <v>1.5</v>
      </c>
      <c r="L262" s="1016">
        <v>1.5</v>
      </c>
      <c r="M262" s="1017">
        <v>1.5</v>
      </c>
      <c r="N262" s="1018">
        <v>1.5</v>
      </c>
    </row>
    <row r="263" spans="1:14" x14ac:dyDescent="0.15">
      <c r="A263" s="232"/>
      <c r="C263" s="327"/>
      <c r="D263" s="998" t="s">
        <v>201</v>
      </c>
      <c r="E263" s="999"/>
      <c r="F263" s="324"/>
      <c r="G263" s="1013">
        <v>1.7</v>
      </c>
      <c r="H263" s="1013">
        <v>1.7</v>
      </c>
      <c r="I263" s="1014">
        <v>1.7</v>
      </c>
      <c r="J263" s="1015">
        <v>1.7</v>
      </c>
      <c r="K263" s="1016">
        <v>1.7</v>
      </c>
      <c r="L263" s="1016">
        <v>1.7</v>
      </c>
      <c r="M263" s="1017">
        <v>1.7</v>
      </c>
      <c r="N263" s="1018">
        <v>1.7</v>
      </c>
    </row>
    <row r="264" spans="1:14" x14ac:dyDescent="0.15">
      <c r="A264" s="232"/>
      <c r="C264" s="327"/>
      <c r="D264" s="998" t="s">
        <v>171</v>
      </c>
      <c r="E264" s="999"/>
      <c r="F264" s="324"/>
      <c r="G264" s="1013">
        <v>1.9</v>
      </c>
      <c r="H264" s="1013">
        <v>1.9</v>
      </c>
      <c r="I264" s="1014">
        <v>1.9</v>
      </c>
      <c r="J264" s="1015">
        <v>1.9</v>
      </c>
      <c r="K264" s="1016">
        <v>1.9</v>
      </c>
      <c r="L264" s="1016">
        <v>1.9</v>
      </c>
      <c r="M264" s="1017">
        <v>1.9</v>
      </c>
      <c r="N264" s="1018">
        <v>1.9</v>
      </c>
    </row>
    <row r="265" spans="1:14" x14ac:dyDescent="0.15">
      <c r="A265" s="232"/>
      <c r="C265" s="327"/>
      <c r="D265" s="998" t="s">
        <v>172</v>
      </c>
      <c r="E265" s="999"/>
      <c r="F265" s="324"/>
      <c r="G265" s="1013">
        <v>2.1</v>
      </c>
      <c r="H265" s="1013">
        <v>2.1</v>
      </c>
      <c r="I265" s="1014">
        <v>2.1</v>
      </c>
      <c r="J265" s="1015">
        <v>2.1</v>
      </c>
      <c r="K265" s="1016">
        <v>2.1</v>
      </c>
      <c r="L265" s="1016">
        <v>2.1</v>
      </c>
      <c r="M265" s="1017">
        <v>2.1</v>
      </c>
      <c r="N265" s="1018">
        <v>2.1</v>
      </c>
    </row>
    <row r="266" spans="1:14" x14ac:dyDescent="0.15">
      <c r="A266" s="232"/>
      <c r="C266" s="327"/>
      <c r="D266" s="998" t="s">
        <v>173</v>
      </c>
      <c r="E266" s="999"/>
      <c r="F266" s="324"/>
      <c r="G266" s="1013">
        <v>2.2999999999999998</v>
      </c>
      <c r="H266" s="1013">
        <v>2.2999999999999998</v>
      </c>
      <c r="I266" s="1014">
        <v>2.2999999999999998</v>
      </c>
      <c r="J266" s="1015">
        <v>2.2999999999999998</v>
      </c>
      <c r="K266" s="1016">
        <v>2.2999999999999998</v>
      </c>
      <c r="L266" s="1016">
        <v>2.2999999999999998</v>
      </c>
      <c r="M266" s="1017">
        <v>2.2999999999999998</v>
      </c>
      <c r="N266" s="1018">
        <v>2.2999999999999998</v>
      </c>
    </row>
    <row r="267" spans="1:14" x14ac:dyDescent="0.15">
      <c r="A267" s="232"/>
      <c r="C267" s="327"/>
      <c r="D267" s="998" t="s">
        <v>174</v>
      </c>
      <c r="E267" s="999"/>
      <c r="F267" s="324"/>
      <c r="G267" s="1013">
        <v>2.4</v>
      </c>
      <c r="H267" s="1013">
        <v>2.4</v>
      </c>
      <c r="I267" s="1014">
        <v>2.4</v>
      </c>
      <c r="J267" s="1015">
        <v>2.4</v>
      </c>
      <c r="K267" s="1016">
        <v>2.4</v>
      </c>
      <c r="L267" s="1016">
        <v>2.4</v>
      </c>
      <c r="M267" s="1017">
        <v>2.4</v>
      </c>
      <c r="N267" s="1018">
        <v>2.4</v>
      </c>
    </row>
    <row r="268" spans="1:14" hidden="1" x14ac:dyDescent="0.15">
      <c r="A268" s="232"/>
      <c r="C268" s="327"/>
      <c r="D268" s="998"/>
      <c r="E268" s="999"/>
      <c r="F268" s="324"/>
      <c r="G268" s="1000">
        <v>0</v>
      </c>
      <c r="H268" s="1000">
        <v>0</v>
      </c>
      <c r="I268" s="1001">
        <v>0</v>
      </c>
      <c r="J268" s="638">
        <v>0</v>
      </c>
      <c r="K268" s="873">
        <v>0</v>
      </c>
      <c r="L268" s="873">
        <v>0</v>
      </c>
      <c r="M268" s="935">
        <v>0</v>
      </c>
      <c r="N268" s="874">
        <v>0</v>
      </c>
    </row>
    <row r="269" spans="1:14" hidden="1" x14ac:dyDescent="0.15">
      <c r="A269" s="232"/>
      <c r="C269" s="327"/>
      <c r="D269" s="998"/>
      <c r="E269" s="999"/>
      <c r="F269" s="324"/>
      <c r="G269" s="1000">
        <v>0</v>
      </c>
      <c r="H269" s="1000">
        <v>0</v>
      </c>
      <c r="I269" s="1001">
        <v>0</v>
      </c>
      <c r="J269" s="638">
        <v>0</v>
      </c>
      <c r="K269" s="873">
        <v>0</v>
      </c>
      <c r="L269" s="873">
        <v>0</v>
      </c>
      <c r="M269" s="935">
        <v>0</v>
      </c>
      <c r="N269" s="874">
        <v>0</v>
      </c>
    </row>
    <row r="270" spans="1:14" x14ac:dyDescent="0.15">
      <c r="A270" s="260" t="s">
        <v>202</v>
      </c>
      <c r="B270" s="261"/>
      <c r="C270" s="261"/>
      <c r="D270" s="998" t="s">
        <v>203</v>
      </c>
      <c r="E270" s="999"/>
      <c r="F270" s="1002">
        <v>1200000</v>
      </c>
      <c r="G270" s="273"/>
      <c r="H270" s="273"/>
      <c r="I270" s="332"/>
      <c r="J270" s="639">
        <v>1200000</v>
      </c>
      <c r="K270" s="875">
        <v>1200000</v>
      </c>
      <c r="L270" s="875">
        <v>1200000</v>
      </c>
      <c r="M270" s="936">
        <v>1200000</v>
      </c>
      <c r="N270" s="876">
        <v>1200000</v>
      </c>
    </row>
    <row r="271" spans="1:14" x14ac:dyDescent="0.15">
      <c r="A271" s="232"/>
      <c r="D271" s="998" t="s">
        <v>204</v>
      </c>
      <c r="E271" s="999"/>
      <c r="F271" s="1002">
        <v>2100000</v>
      </c>
      <c r="G271" s="273"/>
      <c r="H271" s="273"/>
      <c r="I271" s="332"/>
      <c r="J271" s="639">
        <v>2100000</v>
      </c>
      <c r="K271" s="875">
        <v>2100000</v>
      </c>
      <c r="L271" s="875">
        <v>2100000</v>
      </c>
      <c r="M271" s="936">
        <v>2100000</v>
      </c>
      <c r="N271" s="876">
        <v>2100000</v>
      </c>
    </row>
    <row r="272" spans="1:14" x14ac:dyDescent="0.15">
      <c r="A272" s="232"/>
      <c r="D272" s="998" t="s">
        <v>421</v>
      </c>
      <c r="E272" s="999"/>
      <c r="F272" s="1002">
        <v>3200000</v>
      </c>
      <c r="G272" s="273"/>
      <c r="H272" s="273"/>
      <c r="I272" s="332"/>
      <c r="J272" s="639">
        <v>3200000</v>
      </c>
      <c r="K272" s="875">
        <v>3200000</v>
      </c>
      <c r="L272" s="875">
        <v>3200000</v>
      </c>
      <c r="M272" s="936">
        <v>3200000</v>
      </c>
      <c r="N272" s="876">
        <v>3200000</v>
      </c>
    </row>
    <row r="273" spans="1:14" x14ac:dyDescent="0.15">
      <c r="A273" s="232"/>
      <c r="D273" s="998" t="s">
        <v>206</v>
      </c>
      <c r="E273" s="999"/>
      <c r="F273" s="1002">
        <v>4100000</v>
      </c>
      <c r="G273" s="273"/>
      <c r="H273" s="273"/>
      <c r="I273" s="332"/>
      <c r="J273" s="639">
        <v>4100000</v>
      </c>
      <c r="K273" s="875">
        <v>4100000</v>
      </c>
      <c r="L273" s="875">
        <v>4100000</v>
      </c>
      <c r="M273" s="936">
        <v>4100000</v>
      </c>
      <c r="N273" s="876">
        <v>4100000</v>
      </c>
    </row>
    <row r="274" spans="1:14" x14ac:dyDescent="0.15">
      <c r="A274" s="232"/>
      <c r="D274" s="998" t="s">
        <v>422</v>
      </c>
      <c r="E274" s="999"/>
      <c r="F274" s="1002">
        <v>5000000</v>
      </c>
      <c r="G274" s="273"/>
      <c r="H274" s="273"/>
      <c r="I274" s="332"/>
      <c r="J274" s="639">
        <v>5000000</v>
      </c>
      <c r="K274" s="875">
        <v>5000000</v>
      </c>
      <c r="L274" s="875">
        <v>5000000</v>
      </c>
      <c r="M274" s="936">
        <v>5000000</v>
      </c>
      <c r="N274" s="876">
        <v>5000000</v>
      </c>
    </row>
    <row r="275" spans="1:14" x14ac:dyDescent="0.15">
      <c r="A275" s="232"/>
      <c r="D275" s="998" t="s">
        <v>208</v>
      </c>
      <c r="E275" s="999"/>
      <c r="F275" s="1002">
        <v>5900000</v>
      </c>
      <c r="G275" s="273"/>
      <c r="H275" s="273"/>
      <c r="I275" s="332"/>
      <c r="J275" s="639">
        <v>5900000</v>
      </c>
      <c r="K275" s="875">
        <v>5900000</v>
      </c>
      <c r="L275" s="875">
        <v>5900000</v>
      </c>
      <c r="M275" s="936">
        <v>5900000</v>
      </c>
      <c r="N275" s="876">
        <v>5900000</v>
      </c>
    </row>
    <row r="276" spans="1:14" ht="14.25" thickBot="1" x14ac:dyDescent="0.2">
      <c r="A276" s="232"/>
      <c r="D276" s="998" t="s">
        <v>209</v>
      </c>
      <c r="E276" s="999"/>
      <c r="F276" s="1002">
        <v>6800000</v>
      </c>
      <c r="G276" s="273"/>
      <c r="H276" s="273"/>
      <c r="I276" s="332"/>
      <c r="J276" s="639">
        <v>6800000</v>
      </c>
      <c r="K276" s="875">
        <v>6800000</v>
      </c>
      <c r="L276" s="875">
        <v>6800000</v>
      </c>
      <c r="M276" s="936">
        <v>6800000</v>
      </c>
      <c r="N276" s="876">
        <v>6800000</v>
      </c>
    </row>
    <row r="277" spans="1:14" hidden="1" x14ac:dyDescent="0.15">
      <c r="A277" s="232"/>
      <c r="D277" s="998"/>
      <c r="E277" s="999"/>
      <c r="F277" s="1002"/>
      <c r="G277" s="273"/>
      <c r="H277" s="273"/>
      <c r="I277" s="332"/>
      <c r="J277" s="639">
        <v>0</v>
      </c>
      <c r="K277" s="875">
        <v>0</v>
      </c>
      <c r="L277" s="875">
        <v>0</v>
      </c>
      <c r="M277" s="936">
        <v>0</v>
      </c>
      <c r="N277" s="876">
        <v>0</v>
      </c>
    </row>
    <row r="278" spans="1:14" ht="14.25" hidden="1" thickBot="1" x14ac:dyDescent="0.2">
      <c r="A278" s="338"/>
      <c r="B278" s="339"/>
      <c r="C278" s="339"/>
      <c r="D278" s="349"/>
      <c r="E278" s="350"/>
      <c r="F278" s="351"/>
      <c r="G278" s="344"/>
      <c r="H278" s="344"/>
      <c r="I278" s="345"/>
      <c r="J278" s="640">
        <v>0</v>
      </c>
      <c r="K278" s="877">
        <v>0</v>
      </c>
      <c r="L278" s="877">
        <v>0</v>
      </c>
      <c r="M278" s="937">
        <v>0</v>
      </c>
      <c r="N278" s="878">
        <v>0</v>
      </c>
    </row>
    <row r="279" spans="1:14" x14ac:dyDescent="0.15">
      <c r="A279" s="231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</row>
  </sheetData>
  <mergeCells count="31">
    <mergeCell ref="L66:L67"/>
    <mergeCell ref="N66:N67"/>
    <mergeCell ref="K105:K106"/>
    <mergeCell ref="K204:K205"/>
    <mergeCell ref="K253:K254"/>
    <mergeCell ref="L105:L106"/>
    <mergeCell ref="L204:L205"/>
    <mergeCell ref="L253:L254"/>
    <mergeCell ref="M105:M106"/>
    <mergeCell ref="M204:M205"/>
    <mergeCell ref="M253:M254"/>
    <mergeCell ref="M66:M67"/>
    <mergeCell ref="N105:N106"/>
    <mergeCell ref="N204:N205"/>
    <mergeCell ref="N253:N254"/>
    <mergeCell ref="F253:I253"/>
    <mergeCell ref="J253:J254"/>
    <mergeCell ref="F105:I105"/>
    <mergeCell ref="J105:J106"/>
    <mergeCell ref="K66:K67"/>
    <mergeCell ref="B200:E200"/>
    <mergeCell ref="B201:E201"/>
    <mergeCell ref="F66:I66"/>
    <mergeCell ref="F204:I204"/>
    <mergeCell ref="J204:J205"/>
    <mergeCell ref="J66:J67"/>
    <mergeCell ref="B73:E73"/>
    <mergeCell ref="C71:E71"/>
    <mergeCell ref="B146:E146"/>
    <mergeCell ref="B173:E173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11">
      <formula1>AND(G210&lt;G211,G211&lt;G212)</formula1>
    </dataValidation>
  </dataValidations>
  <pageMargins left="0.70866141732283472" right="0.70866141732283472" top="0.74803149606299213" bottom="0.74803149606299213" header="0.31496062992125984" footer="0.31496062992125984"/>
  <pageSetup paperSize="8" scale="82" fitToHeight="0" orientation="landscape" r:id="rId1"/>
  <headerFooter>
    <oddHeader>&amp;C「&amp;A」シート</oddHeader>
    <oddFooter>&amp;C&amp;P</oddFooter>
  </headerFooter>
  <rowBreaks count="3" manualBreakCount="3">
    <brk id="64" max="16" man="1"/>
    <brk id="103" max="16" man="1"/>
    <brk id="202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K38"/>
  <sheetViews>
    <sheetView view="pageBreakPreview" zoomScaleNormal="100" zoomScaleSheetLayoutView="100" workbookViewId="0"/>
  </sheetViews>
  <sheetFormatPr defaultColWidth="9" defaultRowHeight="11.25" x14ac:dyDescent="0.15"/>
  <cols>
    <col min="1" max="1" width="2.625" style="879" customWidth="1"/>
    <col min="2" max="2" width="4.25" style="879" customWidth="1"/>
    <col min="3" max="3" width="46.75" style="879" customWidth="1"/>
    <col min="4" max="11" width="13" style="879" customWidth="1"/>
    <col min="12" max="12" width="1.625" style="879" customWidth="1"/>
    <col min="13" max="16384" width="9" style="879"/>
  </cols>
  <sheetData>
    <row r="1" spans="2:11" x14ac:dyDescent="0.15">
      <c r="B1" s="879" t="s">
        <v>119</v>
      </c>
    </row>
    <row r="3" spans="2:11" ht="3" customHeight="1" thickBot="1" x14ac:dyDescent="0.2"/>
    <row r="4" spans="2:11" ht="18.75" customHeight="1" thickBot="1" x14ac:dyDescent="0.2">
      <c r="D4" s="880" t="s">
        <v>408</v>
      </c>
      <c r="E4" s="881" t="s">
        <v>287</v>
      </c>
      <c r="F4" s="881" t="s">
        <v>288</v>
      </c>
      <c r="G4" s="881" t="s">
        <v>289</v>
      </c>
      <c r="H4" s="881" t="s">
        <v>401</v>
      </c>
      <c r="I4" s="882" t="s">
        <v>417</v>
      </c>
    </row>
    <row r="5" spans="2:11" ht="18.75" customHeight="1" thickBot="1" x14ac:dyDescent="0.2">
      <c r="C5" s="111" t="s">
        <v>232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 x14ac:dyDescent="0.2">
      <c r="B7" s="879" t="s">
        <v>436</v>
      </c>
      <c r="D7" s="114"/>
    </row>
    <row r="8" spans="2:11" ht="18.75" customHeight="1" thickBot="1" x14ac:dyDescent="0.2">
      <c r="C8" s="694"/>
      <c r="D8" s="690" t="s">
        <v>393</v>
      </c>
      <c r="E8" s="691" t="s">
        <v>276</v>
      </c>
      <c r="F8" s="691" t="s">
        <v>396</v>
      </c>
      <c r="G8" s="691" t="s">
        <v>287</v>
      </c>
      <c r="H8" s="691" t="s">
        <v>288</v>
      </c>
      <c r="I8" s="691" t="s">
        <v>289</v>
      </c>
      <c r="J8" s="945" t="s">
        <v>401</v>
      </c>
      <c r="K8" s="940" t="s">
        <v>417</v>
      </c>
    </row>
    <row r="9" spans="2:11" ht="18.75" customHeight="1" x14ac:dyDescent="0.15">
      <c r="C9" s="695" t="s">
        <v>120</v>
      </c>
      <c r="D9" s="692">
        <v>0.4249</v>
      </c>
      <c r="E9" s="154">
        <v>0.41020000000000001</v>
      </c>
      <c r="F9" s="154">
        <v>0.3992</v>
      </c>
      <c r="G9" s="154">
        <v>0.38819999999999999</v>
      </c>
      <c r="H9" s="154">
        <v>0.40679999999999999</v>
      </c>
      <c r="I9" s="154">
        <v>0.433</v>
      </c>
      <c r="J9" s="946">
        <v>0.42280000000000001</v>
      </c>
      <c r="K9" s="941">
        <v>0.37419999999999998</v>
      </c>
    </row>
    <row r="10" spans="2:11" ht="18.75" customHeight="1" x14ac:dyDescent="0.15">
      <c r="C10" s="696" t="s">
        <v>280</v>
      </c>
      <c r="D10" s="693">
        <v>0.38669999999999999</v>
      </c>
      <c r="E10" s="116">
        <v>0.3962</v>
      </c>
      <c r="F10" s="116">
        <v>0.3997</v>
      </c>
      <c r="G10" s="116">
        <v>0.3921</v>
      </c>
      <c r="H10" s="116">
        <v>0.3332</v>
      </c>
      <c r="I10" s="116">
        <v>0.31090000000000001</v>
      </c>
      <c r="J10" s="947">
        <v>0.33429999999999999</v>
      </c>
      <c r="K10" s="942">
        <v>0.37859999999999999</v>
      </c>
    </row>
    <row r="11" spans="2:11" ht="18.75" customHeight="1" x14ac:dyDescent="0.15">
      <c r="C11" s="696" t="s">
        <v>281</v>
      </c>
      <c r="D11" s="693">
        <v>0.18840000000000001</v>
      </c>
      <c r="E11" s="116">
        <v>0.19359999999999999</v>
      </c>
      <c r="F11" s="116">
        <v>0.2011</v>
      </c>
      <c r="G11" s="116">
        <v>0.21970000000000001</v>
      </c>
      <c r="H11" s="116">
        <v>0.26</v>
      </c>
      <c r="I11" s="116">
        <v>0.25609999999999999</v>
      </c>
      <c r="J11" s="947">
        <v>0.2429</v>
      </c>
      <c r="K11" s="942">
        <v>0.2472</v>
      </c>
    </row>
    <row r="12" spans="2:11" ht="18.75" customHeight="1" x14ac:dyDescent="0.15">
      <c r="C12" s="883" t="s">
        <v>302</v>
      </c>
      <c r="D12" s="884">
        <v>4296</v>
      </c>
      <c r="E12" s="885">
        <v>4296</v>
      </c>
      <c r="F12" s="885">
        <v>4296</v>
      </c>
      <c r="G12" s="885">
        <v>4296</v>
      </c>
      <c r="H12" s="885">
        <v>4296</v>
      </c>
      <c r="I12" s="885">
        <v>4296</v>
      </c>
      <c r="J12" s="885">
        <v>4296</v>
      </c>
      <c r="K12" s="943">
        <v>4296</v>
      </c>
    </row>
    <row r="13" spans="2:11" ht="18.75" customHeight="1" x14ac:dyDescent="0.15">
      <c r="C13" s="883" t="s">
        <v>303</v>
      </c>
      <c r="D13" s="884">
        <v>17647</v>
      </c>
      <c r="E13" s="885">
        <v>17647</v>
      </c>
      <c r="F13" s="885">
        <v>17647</v>
      </c>
      <c r="G13" s="885">
        <v>17647</v>
      </c>
      <c r="H13" s="885">
        <v>17647</v>
      </c>
      <c r="I13" s="885">
        <v>17647</v>
      </c>
      <c r="J13" s="885">
        <v>17647</v>
      </c>
      <c r="K13" s="943">
        <v>17647</v>
      </c>
    </row>
    <row r="14" spans="2:11" ht="18.75" customHeight="1" thickBot="1" x14ac:dyDescent="0.2">
      <c r="C14" s="886" t="s">
        <v>304</v>
      </c>
      <c r="D14" s="887">
        <v>80362</v>
      </c>
      <c r="E14" s="888">
        <v>80362</v>
      </c>
      <c r="F14" s="888">
        <v>80362</v>
      </c>
      <c r="G14" s="888">
        <v>80362</v>
      </c>
      <c r="H14" s="888">
        <v>80362</v>
      </c>
      <c r="I14" s="888">
        <v>80362</v>
      </c>
      <c r="J14" s="888">
        <v>80362</v>
      </c>
      <c r="K14" s="944">
        <v>80362</v>
      </c>
    </row>
    <row r="16" spans="2:11" ht="18.75" customHeight="1" thickBot="1" x14ac:dyDescent="0.2">
      <c r="B16" s="879" t="s">
        <v>437</v>
      </c>
      <c r="D16" s="114"/>
    </row>
    <row r="17" spans="3:4" ht="18.75" customHeight="1" x14ac:dyDescent="0.15">
      <c r="C17" s="118" t="s">
        <v>121</v>
      </c>
      <c r="D17" s="891">
        <v>0.1731</v>
      </c>
    </row>
    <row r="18" spans="3:4" ht="18.75" customHeight="1" x14ac:dyDescent="0.15">
      <c r="C18" s="115" t="s">
        <v>122</v>
      </c>
      <c r="D18" s="892">
        <v>9.2399999999999996E-2</v>
      </c>
    </row>
    <row r="19" spans="3:4" ht="18.75" customHeight="1" x14ac:dyDescent="0.15">
      <c r="C19" s="115" t="s">
        <v>123</v>
      </c>
      <c r="D19" s="892">
        <v>8.3900000000000002E-2</v>
      </c>
    </row>
    <row r="20" spans="3:4" ht="18.75" customHeight="1" x14ac:dyDescent="0.15">
      <c r="C20" s="115" t="s">
        <v>124</v>
      </c>
      <c r="D20" s="892">
        <v>0.10920000000000001</v>
      </c>
    </row>
    <row r="21" spans="3:4" ht="18.75" customHeight="1" x14ac:dyDescent="0.15">
      <c r="C21" s="115" t="s">
        <v>125</v>
      </c>
      <c r="D21" s="892">
        <v>0.13800000000000001</v>
      </c>
    </row>
    <row r="22" spans="3:4" ht="18.75" customHeight="1" x14ac:dyDescent="0.15">
      <c r="C22" s="115" t="s">
        <v>126</v>
      </c>
      <c r="D22" s="892">
        <v>0.1245</v>
      </c>
    </row>
    <row r="23" spans="3:4" ht="18.75" customHeight="1" x14ac:dyDescent="0.15">
      <c r="C23" s="115" t="s">
        <v>127</v>
      </c>
      <c r="D23" s="892">
        <v>0.14699999999999999</v>
      </c>
    </row>
    <row r="24" spans="3:4" ht="18.75" customHeight="1" x14ac:dyDescent="0.15">
      <c r="C24" s="115" t="s">
        <v>128</v>
      </c>
      <c r="D24" s="892">
        <v>6.5699999999999995E-2</v>
      </c>
    </row>
    <row r="25" spans="3:4" ht="18.75" customHeight="1" x14ac:dyDescent="0.15">
      <c r="C25" s="115" t="s">
        <v>129</v>
      </c>
      <c r="D25" s="1004">
        <v>2.3099999999999999E-2</v>
      </c>
    </row>
    <row r="26" spans="3:4" ht="18.75" customHeight="1" x14ac:dyDescent="0.15">
      <c r="C26" s="115" t="s">
        <v>418</v>
      </c>
      <c r="D26" s="1004">
        <v>1.21E-2</v>
      </c>
    </row>
    <row r="27" spans="3:4" ht="18.75" customHeight="1" x14ac:dyDescent="0.15">
      <c r="C27" s="115" t="s">
        <v>419</v>
      </c>
      <c r="D27" s="1004">
        <v>6.4999999999999997E-3</v>
      </c>
    </row>
    <row r="28" spans="3:4" ht="18.75" customHeight="1" x14ac:dyDescent="0.15">
      <c r="C28" s="115" t="s">
        <v>435</v>
      </c>
      <c r="D28" s="1004">
        <v>4.3E-3</v>
      </c>
    </row>
    <row r="29" spans="3:4" ht="18.75" customHeight="1" thickBot="1" x14ac:dyDescent="0.2">
      <c r="C29" s="1003" t="s">
        <v>434</v>
      </c>
      <c r="D29" s="1004">
        <v>2.0400000000000001E-2</v>
      </c>
    </row>
    <row r="30" spans="3:4" ht="18.75" hidden="1" customHeight="1" x14ac:dyDescent="0.15">
      <c r="C30" s="1003"/>
      <c r="D30" s="1004"/>
    </row>
    <row r="31" spans="3:4" ht="18.75" hidden="1" customHeight="1" thickBot="1" x14ac:dyDescent="0.2">
      <c r="C31" s="117"/>
      <c r="D31" s="893"/>
    </row>
    <row r="32" spans="3:4" x14ac:dyDescent="0.15">
      <c r="C32" s="1005"/>
      <c r="D32" s="1005"/>
    </row>
    <row r="33" spans="2:4" ht="18.75" customHeight="1" thickBot="1" x14ac:dyDescent="0.2">
      <c r="B33" s="879" t="s">
        <v>233</v>
      </c>
      <c r="D33" s="114"/>
    </row>
    <row r="34" spans="2:4" ht="18.75" customHeight="1" x14ac:dyDescent="0.15">
      <c r="C34" s="119" t="s">
        <v>429</v>
      </c>
      <c r="D34" s="120">
        <v>1</v>
      </c>
    </row>
    <row r="35" spans="2:4" ht="18.75" customHeight="1" thickBot="1" x14ac:dyDescent="0.2">
      <c r="C35" s="121" t="s">
        <v>430</v>
      </c>
      <c r="D35" s="122">
        <v>1</v>
      </c>
    </row>
    <row r="37" spans="2:4" ht="18.75" customHeight="1" thickBot="1" x14ac:dyDescent="0.2">
      <c r="B37" s="889"/>
      <c r="D37" s="114"/>
    </row>
    <row r="38" spans="2:4" ht="36" customHeight="1" thickBot="1" x14ac:dyDescent="0.2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8" fitToHeight="0" orientation="landscape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曹福泉</dc:creator>
  <cp:lastModifiedBy>0306</cp:lastModifiedBy>
  <cp:lastPrinted>2023-10-23T00:22:01Z</cp:lastPrinted>
  <dcterms:created xsi:type="dcterms:W3CDTF">2015-10-28T05:07:20Z</dcterms:created>
  <dcterms:modified xsi:type="dcterms:W3CDTF">2023-10-23T00:22:06Z</dcterms:modified>
</cp:coreProperties>
</file>