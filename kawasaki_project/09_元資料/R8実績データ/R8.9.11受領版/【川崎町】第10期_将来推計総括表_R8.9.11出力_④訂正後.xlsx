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<sst xmlns="http://schemas.openxmlformats.org/spreadsheetml/2006/main" count="1039" uniqueCount="440">
  <si>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</si>
  <si>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</si>
  <si>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</si>
  <si>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</si>
  <si>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</si>
  <si>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</si>
  <si>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</si>
  <si>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</si>
  <si>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</si>
  <si>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</si>
  <si>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</si>
  <si>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</si>
  <si>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</si>
  <si>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</si>
  <si>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</si>
  <si>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</si>
  <si>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</si>
  <si>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</si>
  <si>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</si>
  <si>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</si>
  <si>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</si>
  <si>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</si>
  <si>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</si>
  <si>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</si>
  <si>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</si>
  <si>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</si>
  <si>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</si>
  <si>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</si>
  <si>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</si>
  <si>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</si>
  <si>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</si>
  <si>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</si>
  <si>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</si>
  <si>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</si>
  <si>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</si>
  <si>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</si>
  <si>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</si>
  <si>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</si>
  <si>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</si>
  <si>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</si>
  <si>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</si>
  <si>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</si>
  <si>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</si>
  <si>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</si>
  <si>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</si>
  <si>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</si>
  <si>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</si>
  <si>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</si>
  <si>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</si>
  <si>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</si>
  <si>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</si>
  <si>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</si>
  <si>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</si>
  <si>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</si>
  <si>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</si>
  <si>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</si>
  <si>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</si>
  <si>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</si>
  <si>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</si>
  <si>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</si>
  <si>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</si>
  <si>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</si>
  <si>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</si>
  <si>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</si>
  <si>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</si>
  <si>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</si>
  <si>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</si>
  <si>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</si>
  <si>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</si>
  <si>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</si>
  <si>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</si>
  <si>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</si>
  <si>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</si>
  <si>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</si>
  <si>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</si>
  <si>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</si>
  <si>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</si>
  <si>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</si>
  <si>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</si>
  <si>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</si>
  <si>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</si>
  <si>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</si>
  <si>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</si>
  <si>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</si>
  <si>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</si>
  <si>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</si>
  <si>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</si>
  <si>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</si>
  <si>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</si>
  <si>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</si>
  <si>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</si>
  <si>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</si>
  <si>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</si>
  <si>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</si>
  <si>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</si>
  <si>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</si>
  <si>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</si>
  <si>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</si>
  <si>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</si>
  <si>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</si>
  <si>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</si>
  <si>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</si>
  <si>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</si>
  <si>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</si>
  <si>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</si>
  <si>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</si>
  <si>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</si>
  <si>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</si>
  <si>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</si>
  <si>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</si>
  <si>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</si>
  <si>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</si>
  <si>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</si>
  <si>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</si>
  <si>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</si>
  <si>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</si>
  <si>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</si>
  <si>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</si>
  <si>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</si>
  <si>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</si>
  <si>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</si>
  <si>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</si>
  <si>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</si>
  <si>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</si>
  <si>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</si>
  <si>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</si>
  <si>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</si>
  <si>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</si>
  <si>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</si>
  <si>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</si>
  <si>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</si>
  <si>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</si>
  <si>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</si>
  <si>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</si>
  <si>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</si>
  <si>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</si>
  <si>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</si>
  <si>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</si>
  <si>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</si>
  <si>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</si>
  <si>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</si>
  <si>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</si>
  <si>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</si>
  <si>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</si>
  <si>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</si>
  <si>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</si>
  <si>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</si>
  <si>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</si>
  <si>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</si>
  <si>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</si>
  <si>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</si>
  <si>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</si>
  <si>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</si>
  <si>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</si>
  <si>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</si>
  <si>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</si>
  <si>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</si>
  <si>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</si>
  <si>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</si>
  <si>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</si>
  <si>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</si>
  <si>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</si>
  <si>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</si>
  <si>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</si>
  <si>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</si>
  <si>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</si>
  <si>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</si>
  <si>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</si>
  <si>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</si>
  <si>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</si>
  <si>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</si>
  <si>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</si>
  <si>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</si>
  <si>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</si>
  <si>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</si>
  <si>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</si>
  <si>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</si>
  <si>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</si>
  <si>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</si>
  <si>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</si>
  <si>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</si>
  <si>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</si>
  <si>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</si>
  <si>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</si>
  <si>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</si>
  <si>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</si>
  <si>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</si>
  <si>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</si>
  <si>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</si>
  <si>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</si>
  <si>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</si>
  <si>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</si>
  <si>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</si>
  <si>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</si>
  <si>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</si>
  <si>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</si>
  <si>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</si>
  <si>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</si>
  <si>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</si>
  <si>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</si>
  <si>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</si>
  <si>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</si>
  <si>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</si>
  <si>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</si>
  <si>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</si>
  <si>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</si>
  <si>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</si>
  <si>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</si>
  <si>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</si>
  <si>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</si>
  <si>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</si>
  <si>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</si>
  <si>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</si>
  <si>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</si>
  <si>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</si>
  <si>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</si>
  <si>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</si>
  <si>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</si>
  <si>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</si>
  <si>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</si>
  <si>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</si>
  <si>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</si>
  <si>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</si>
  <si>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</si>
  <si>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</si>
  <si>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</si>
  <si>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</si>
  <si>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</si>
  <si>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</si>
  <si>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</si>
  <si>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</si>
  <si>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</si>
  <si>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</si>
  <si>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</si>
  <si>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</si>
  <si>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</si>
  <si>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</si>
  <si>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</si>
  <si>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</si>
  <si>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</si>
  <si>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</si>
  <si>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</si>
  <si>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</si>
  <si>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</si>
  <si>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</si>
  <si>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</si>
  <si>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</si>
  <si>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</si>
  <si>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</si>
  <si>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</si>
  <si>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</si>
  <si>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</si>
  <si>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</si>
  <si>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</si>
  <si>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</si>
  <si>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</si>
  <si>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</si>
  <si>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</si>
  <si>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</si>
  <si>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</si>
  <si>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</si>
  <si>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</si>
  <si>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</si>
  <si>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</si>
  <si>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</si>
  <si>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</si>
  <si>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</si>
  <si>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</si>
  <si>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</si>
  <si>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</si>
  <si>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</si>
  <si>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</si>
  <si>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</si>
  <si>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</si>
  <si>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</si>
  <si>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</si>
  <si>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</si>
  <si>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</si>
  <si>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</si>
  <si>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</si>
  <si>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</si>
  <si>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</si>
  <si>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</si>
  <si>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</si>
  <si>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</si>
  <si>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</si>
  <si>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</si>
  <si>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</si>
  <si>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</si>
  <si>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</si>
  <si>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</si>
  <si>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</si>
  <si>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</si>
  <si>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</si>
  <si>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</si>
  <si>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</si>
  <si>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</si>
  <si>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</si>
  <si>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</si>
  <si>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</si>
  <si>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</si>
  <si>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</si>
  <si>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</si>
  <si>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</si>
  <si>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</si>
  <si>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</si>
  <si>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</si>
  <si>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</si>
  <si>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</si>
  <si>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</si>
  <si>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</si>
  <si>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</si>
  <si>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</si>
  <si>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</si>
  <si>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</si>
  <si>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</si>
  <si>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</si>
  <si>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</si>
  <si>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</si>
  <si>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</si>
  <si>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</si>
  <si>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</si>
  <si>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</si>
  <si>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</si>
  <si>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</si>
  <si>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</si>
  <si>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</si>
  <si>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</si>
  <si>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</si>
  <si>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</si>
  <si>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</si>
  <si>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</si>
  <si>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</si>
  <si>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</si>
  <si>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</si>
  <si>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</si>
  <si>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</si>
  <si>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</si>
  <si>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</si>
  <si>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</si>
  <si>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</si>
  <si>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</si>
  <si>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</si>
  <si>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</si>
  <si>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</si>
  <si>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</si>
  <si>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</si>
  <si>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</si>
  <si>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</si>
  <si>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</si>
  <si>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</si>
  <si>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</si>
  <si>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</si>
  <si>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</si>
  <si>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</si>
  <si>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</si>
  <si>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</si>
  <si>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</si>
  <si>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</si>
  <si>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</si>
  <si>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</si>
  <si>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</si>
  <si>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</si>
  <si>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</si>
  <si>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</si>
  <si>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</si>
  <si>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</si>
  <si>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</si>
  <si>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</si>
  <si>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</si>
  <si>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</si>
  <si>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</si>
  <si>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</si>
  <si>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</si>
  <si>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</si>
  <si>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</si>
  <si>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</si>
  <si>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</si>
  <si>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</si>
  <si>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</si>
  <si>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</si>
  <si>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</si>
  <si>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</si>
  <si>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</si>
  <si>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</si>
  <si>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</si>
  <si>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</si>
  <si>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</si>
  <si>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</si>
  <si>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</si>
  <si>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</si>
  <si>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</si>
  <si>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</si>
  <si>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</si>
  <si>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</si>
  <si>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</si>
  <si>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</si>
  <si>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</si>
  <si>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</si>
  <si>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</si>
  <si>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</si>
  <si>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</si>
  <si>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</si>
  <si>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</si>
  <si>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</si>
  <si>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</si>
  <si>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</si>
  <si>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</si>
  <si>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</si>
  <si>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</si>
  <si>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</si>
  <si>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</si>
  <si>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</si>
  <si>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</si>
  <si>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</si>
  <si>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</si>
  <si>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</si>
  <si>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</si>
  <si>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</si>
  <si>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</si>
  <si>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</si>
  <si>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</si>
  <si>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</si>
  <si>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</si>
  <si>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</si>
  <si>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</si>
  <si>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</si>
  <si>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</si>
  <si>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</si>
  <si>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</si>
  <si>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</si>
  <si>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2026/09/11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</si>
  <si>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</si>
  <si>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</si>
  <si>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</si>
  <si>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</si>
  <si>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</si>
  <si>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</si>
  <si>
    <t>令和8年度実績が少ない為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</si>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</sst>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327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5774.0</v>
      </c>
      <c r="E11" s="57" t="n">
        <f t="shared" si="0"/>
        <v>5740.0</v>
      </c>
      <c r="F11" s="58" t="n">
        <f t="shared" si="0"/>
        <v>5672.0</v>
      </c>
      <c r="G11" s="59" t="n">
        <f t="shared" si="0"/>
        <v>5605.0</v>
      </c>
      <c r="H11" s="60" t="n">
        <f t="shared" si="0"/>
        <v>5536.0</v>
      </c>
      <c r="I11" s="48" t="n">
        <f t="shared" si="0"/>
        <v>5469.0</v>
      </c>
      <c r="J11" s="86" t="n">
        <f>IFERROR((SUM(G11:I11)/3)/F11,"－")</f>
        <v>0.976140103432064</v>
      </c>
      <c r="K11" s="59" t="n">
        <f>SUM(K12:K13)</f>
        <v>5401.0</v>
      </c>
      <c r="L11" s="88" t="n">
        <f>IFERROR(K11/F11,"－")</f>
        <v>0.9522214386459803</v>
      </c>
      <c r="M11" s="59" t="n">
        <f>SUM(M12:M13)</f>
        <v>5009.0</v>
      </c>
      <c r="N11" s="88" t="n">
        <f>IFERROR(M11/F11,"－")</f>
        <v>0.8831100141043724</v>
      </c>
      <c r="O11" s="59" t="n">
        <f>SUM(O12:O13)</f>
        <v>4640.0</v>
      </c>
      <c r="P11" s="88" t="n">
        <f>IFERROR(O11/F11,"－")</f>
        <v>0.8180535966149506</v>
      </c>
      <c r="Q11" s="59" t="n">
        <f>SUM(Q12:Q13)</f>
        <v>4192.0</v>
      </c>
      <c r="R11" s="88" t="n">
        <f>IFERROR(Q11/F11,"－")</f>
        <v>0.7390691114245416</v>
      </c>
      <c r="S11" s="59" t="n">
        <f>SUM(S12:S13)</f>
        <v>3748.0</v>
      </c>
      <c r="T11" s="88" t="n">
        <f>IFERROR(S11/F11,"－")</f>
        <v>0.6607898448519041</v>
      </c>
    </row>
    <row r="12" spans="1:20">
      <c r="A12" s="5"/>
      <c r="B12" s="6" t="s">
        <v>2</v>
      </c>
      <c r="C12" s="555"/>
      <c r="D12" s="55" t="n">
        <v>3270.0</v>
      </c>
      <c r="E12" s="50" t="n">
        <v>3285.0</v>
      </c>
      <c r="F12" s="51" t="n">
        <v>3257.0</v>
      </c>
      <c r="G12" s="52" t="n">
        <v>3231.0</v>
      </c>
      <c r="H12" s="53" t="n">
        <v>3203.0</v>
      </c>
      <c r="I12" s="54" t="n">
        <v>3177.0</v>
      </c>
      <c r="J12" s="86" t="n">
        <f>IFERROR((SUM(G12:I12)/3)/F12,"－")</f>
        <v>0.9836250127929587</v>
      </c>
      <c r="K12" s="61" t="n">
        <v>3149.0</v>
      </c>
      <c r="L12" s="88" t="n">
        <f>IFERROR(K12/F12,"－")</f>
        <v>0.9668406509057414</v>
      </c>
      <c r="M12" s="61" t="n">
        <v>2967.0</v>
      </c>
      <c r="N12" s="88" t="n">
        <f>IFERROR(M12/F12,"－")</f>
        <v>0.9109610070617132</v>
      </c>
      <c r="O12" s="61" t="n">
        <v>2835.0</v>
      </c>
      <c r="P12" s="88" t="n">
        <f>IFERROR(O12/F12,"－")</f>
        <v>0.8704329137242861</v>
      </c>
      <c r="Q12" s="61" t="n">
        <v>2639.0</v>
      </c>
      <c r="R12" s="88" t="n">
        <f>IFERROR(Q12/F12,"－")</f>
        <v>0.8102548357384096</v>
      </c>
      <c r="S12" s="61" t="n">
        <v>2494.0</v>
      </c>
      <c r="T12" s="88" t="n">
        <f>IFERROR(S12/F12,"－")</f>
        <v>0.7657353392692662</v>
      </c>
    </row>
    <row r="13" spans="1:20" ht="14.25" thickBot="1">
      <c r="A13" s="5"/>
      <c r="B13" s="62" t="s">
        <v>3</v>
      </c>
      <c r="C13" s="555"/>
      <c r="D13" s="55" t="n">
        <v>2504.0</v>
      </c>
      <c r="E13" s="50" t="n">
        <v>2455.0</v>
      </c>
      <c r="F13" s="51" t="n">
        <v>2415.0</v>
      </c>
      <c r="G13" s="63" t="n">
        <v>2374.0</v>
      </c>
      <c r="H13" s="50" t="n">
        <v>2333.0</v>
      </c>
      <c r="I13" s="64" t="n">
        <v>2292.0</v>
      </c>
      <c r="J13" s="87" t="n">
        <f>IFERROR((SUM(G13:I13)/3)/F13,"－")</f>
        <v>0.9660455486542443</v>
      </c>
      <c r="K13" s="47" t="n">
        <v>2252.0</v>
      </c>
      <c r="L13" s="89" t="n">
        <f>IFERROR(K13/F13,"－")</f>
        <v>0.9325051759834369</v>
      </c>
      <c r="M13" s="47" t="n">
        <v>2042.0</v>
      </c>
      <c r="N13" s="89" t="n">
        <f>IFERROR(M13/F13,"－")</f>
        <v>0.8455486542443064</v>
      </c>
      <c r="O13" s="47" t="n">
        <v>1805.0</v>
      </c>
      <c r="P13" s="89" t="n">
        <f>IFERROR(O13/F13,"－")</f>
        <v>0.7474120082815735</v>
      </c>
      <c r="Q13" s="47" t="n">
        <v>1553.0</v>
      </c>
      <c r="R13" s="89" t="n">
        <f>IFERROR(Q13/F13,"－")</f>
        <v>0.643064182194617</v>
      </c>
      <c r="S13" s="47" t="n">
        <v>1254.0</v>
      </c>
      <c r="T13" s="89" t="n">
        <f>IFERROR(S13/F13,"－")</f>
        <v>0.5192546583850932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562.0</v>
      </c>
      <c r="E19" s="60" t="n">
        <f t="shared" ref="E19:I19" si="1">SUM(E20:E26)</f>
        <v>568.0</v>
      </c>
      <c r="F19" s="48" t="n">
        <f t="shared" si="1"/>
        <v>567.0</v>
      </c>
      <c r="G19" s="59" t="n">
        <f t="shared" si="1"/>
        <v>575.0</v>
      </c>
      <c r="H19" s="60" t="n">
        <f t="shared" si="1"/>
        <v>576.0</v>
      </c>
      <c r="I19" s="48" t="n">
        <f t="shared" si="1"/>
        <v>581.0</v>
      </c>
      <c r="J19" s="86" t="n">
        <f t="shared" ref="J19:J34" si="2">IFERROR((SUM(G19:I19)/3)/F19,"－")</f>
        <v>1.0182245737801294</v>
      </c>
      <c r="K19" s="59" t="n">
        <f t="shared" ref="K19:M19" si="3">SUM(K20:K26)</f>
        <v>585.0</v>
      </c>
      <c r="L19" s="88" t="n">
        <f t="shared" ref="L19:L34" si="4">IFERROR(K19/F19,"－")</f>
        <v>1.0317460317460319</v>
      </c>
      <c r="M19" s="59" t="n">
        <f t="shared" si="3"/>
        <v>639.0</v>
      </c>
      <c r="N19" s="88" t="n">
        <f>IFERROR(M19/F19,"－")</f>
        <v>1.126984126984127</v>
      </c>
      <c r="O19" s="59" t="n">
        <f t="shared" ref="O19" si="5">SUM(O20:O26)</f>
        <v>688.0</v>
      </c>
      <c r="P19" s="88" t="n">
        <f>IFERROR(O19/F19,"－")</f>
        <v>1.2134038800705467</v>
      </c>
      <c r="Q19" s="59" t="n">
        <f t="shared" ref="Q19:S19" si="6">SUM(Q20:Q26)</f>
        <v>666.0</v>
      </c>
      <c r="R19" s="88" t="n">
        <f>IFERROR(Q19/F19,"－")</f>
        <v>1.1746031746031746</v>
      </c>
      <c r="S19" s="59" t="n">
        <f t="shared" si="6"/>
        <v>586.0</v>
      </c>
      <c r="T19" s="90" t="n">
        <f t="shared" ref="T19:T34" si="7">IFERROR(S19/F19,"－")</f>
        <v>1.033509700176367</v>
      </c>
    </row>
    <row r="20" spans="1:20">
      <c r="A20" s="13"/>
      <c r="B20" s="7"/>
      <c r="C20" s="8" t="s">
        <v>6</v>
      </c>
      <c r="D20" s="40" t="n">
        <v>27.0</v>
      </c>
      <c r="E20" s="42" t="n">
        <v>33.0</v>
      </c>
      <c r="F20" s="41" t="n">
        <v>33.0</v>
      </c>
      <c r="G20" s="40" t="n">
        <v>35.0</v>
      </c>
      <c r="H20" s="42" t="n">
        <v>33.0</v>
      </c>
      <c r="I20" s="41" t="n">
        <v>33.0</v>
      </c>
      <c r="J20" s="93" t="n">
        <f t="shared" si="2"/>
        <v>1.02020202020202</v>
      </c>
      <c r="K20" s="46" t="n">
        <v>34.0</v>
      </c>
      <c r="L20" s="90" t="n">
        <f t="shared" si="4"/>
        <v>1.0303030303030303</v>
      </c>
      <c r="M20" s="46" t="n">
        <v>40.0</v>
      </c>
      <c r="N20" s="90" t="n">
        <f t="shared" ref="N20:N34" si="8">IFERROR(M20/F20,"－")</f>
        <v>1.2121212121212122</v>
      </c>
      <c r="O20" s="46" t="n">
        <v>41.0</v>
      </c>
      <c r="P20" s="90" t="n">
        <f t="shared" ref="P20:P34" si="9">IFERROR(O20/F20,"－")</f>
        <v>1.2424242424242424</v>
      </c>
      <c r="Q20" s="46" t="n">
        <v>37.0</v>
      </c>
      <c r="R20" s="90" t="n">
        <f t="shared" ref="R20:R34" si="10">IFERROR(Q20/F20,"－")</f>
        <v>1.121212121212121</v>
      </c>
      <c r="S20" s="46" t="n">
        <v>31.0</v>
      </c>
      <c r="T20" s="90" t="n">
        <f t="shared" si="7"/>
        <v>0.9393939393939394</v>
      </c>
    </row>
    <row r="21" spans="1:20">
      <c r="A21" s="13"/>
      <c r="B21" s="7"/>
      <c r="C21" s="8" t="s">
        <v>7</v>
      </c>
      <c r="D21" s="40" t="n">
        <v>73.0</v>
      </c>
      <c r="E21" s="42" t="n">
        <v>85.0</v>
      </c>
      <c r="F21" s="41" t="n">
        <v>92.0</v>
      </c>
      <c r="G21" s="40" t="n">
        <v>93.0</v>
      </c>
      <c r="H21" s="42" t="n">
        <v>93.0</v>
      </c>
      <c r="I21" s="41" t="n">
        <v>96.0</v>
      </c>
      <c r="J21" s="93" t="n">
        <f t="shared" si="2"/>
        <v>1.0217391304347827</v>
      </c>
      <c r="K21" s="46" t="n">
        <v>95.0</v>
      </c>
      <c r="L21" s="90" t="n">
        <f t="shared" si="4"/>
        <v>1.0326086956521738</v>
      </c>
      <c r="M21" s="46" t="n">
        <v>102.0</v>
      </c>
      <c r="N21" s="90" t="n">
        <f t="shared" si="8"/>
        <v>1.108695652173913</v>
      </c>
      <c r="O21" s="46" t="n">
        <v>107.0</v>
      </c>
      <c r="P21" s="90" t="n">
        <f t="shared" si="9"/>
        <v>1.1630434782608696</v>
      </c>
      <c r="Q21" s="46" t="n">
        <v>103.0</v>
      </c>
      <c r="R21" s="90" t="n">
        <f t="shared" si="10"/>
        <v>1.1195652173913044</v>
      </c>
      <c r="S21" s="46" t="n">
        <v>92.0</v>
      </c>
      <c r="T21" s="90" t="n">
        <f t="shared" si="7"/>
        <v>1.0</v>
      </c>
    </row>
    <row r="22" spans="1:20">
      <c r="A22" s="13"/>
      <c r="B22" s="7"/>
      <c r="C22" s="8" t="s">
        <v>8</v>
      </c>
      <c r="D22" s="40" t="n">
        <v>69.0</v>
      </c>
      <c r="E22" s="42" t="n">
        <v>70.0</v>
      </c>
      <c r="F22" s="41" t="n">
        <v>65.0</v>
      </c>
      <c r="G22" s="40" t="n">
        <v>68.0</v>
      </c>
      <c r="H22" s="42" t="n">
        <v>72.0</v>
      </c>
      <c r="I22" s="41" t="n">
        <v>73.0</v>
      </c>
      <c r="J22" s="93" t="n">
        <f t="shared" si="2"/>
        <v>1.0923076923076922</v>
      </c>
      <c r="K22" s="46" t="n">
        <v>75.0</v>
      </c>
      <c r="L22" s="90" t="n">
        <f t="shared" si="4"/>
        <v>1.1538461538461537</v>
      </c>
      <c r="M22" s="46" t="n">
        <v>82.0</v>
      </c>
      <c r="N22" s="90" t="n">
        <f t="shared" si="8"/>
        <v>1.2615384615384615</v>
      </c>
      <c r="O22" s="46" t="n">
        <v>85.0</v>
      </c>
      <c r="P22" s="90" t="n">
        <f t="shared" si="9"/>
        <v>1.3076923076923077</v>
      </c>
      <c r="Q22" s="46" t="n">
        <v>78.0</v>
      </c>
      <c r="R22" s="90" t="n">
        <f t="shared" si="10"/>
        <v>1.2</v>
      </c>
      <c r="S22" s="46" t="n">
        <v>67.0</v>
      </c>
      <c r="T22" s="90" t="n">
        <f t="shared" si="7"/>
        <v>1.0307692307692307</v>
      </c>
    </row>
    <row r="23" spans="1:20">
      <c r="A23" s="13"/>
      <c r="B23" s="7"/>
      <c r="C23" s="8" t="s">
        <v>9</v>
      </c>
      <c r="D23" s="40" t="n">
        <v>126.0</v>
      </c>
      <c r="E23" s="42" t="n">
        <v>116.0</v>
      </c>
      <c r="F23" s="41" t="n">
        <v>97.0</v>
      </c>
      <c r="G23" s="40" t="n">
        <v>92.0</v>
      </c>
      <c r="H23" s="42" t="n">
        <v>91.0</v>
      </c>
      <c r="I23" s="41" t="n">
        <v>93.0</v>
      </c>
      <c r="J23" s="93" t="n">
        <f t="shared" si="2"/>
        <v>0.9484536082474226</v>
      </c>
      <c r="K23" s="46" t="n">
        <v>94.0</v>
      </c>
      <c r="L23" s="90" t="n">
        <f t="shared" si="4"/>
        <v>0.9690721649484536</v>
      </c>
      <c r="M23" s="46" t="n">
        <v>104.0</v>
      </c>
      <c r="N23" s="90" t="n">
        <f t="shared" si="8"/>
        <v>1.0721649484536082</v>
      </c>
      <c r="O23" s="46" t="n">
        <v>108.0</v>
      </c>
      <c r="P23" s="90" t="n">
        <f t="shared" si="9"/>
        <v>1.1134020618556701</v>
      </c>
      <c r="Q23" s="46" t="n">
        <v>102.0</v>
      </c>
      <c r="R23" s="90" t="n">
        <f t="shared" si="10"/>
        <v>1.0515463917525774</v>
      </c>
      <c r="S23" s="46" t="n">
        <v>89.0</v>
      </c>
      <c r="T23" s="90" t="n">
        <f t="shared" si="7"/>
        <v>0.9175257731958762</v>
      </c>
    </row>
    <row r="24" spans="1:20">
      <c r="A24" s="13"/>
      <c r="B24" s="7"/>
      <c r="C24" s="8" t="s">
        <v>10</v>
      </c>
      <c r="D24" s="40" t="n">
        <v>126.0</v>
      </c>
      <c r="E24" s="42" t="n">
        <v>131.0</v>
      </c>
      <c r="F24" s="41" t="n">
        <v>133.0</v>
      </c>
      <c r="G24" s="40" t="n">
        <v>134.0</v>
      </c>
      <c r="H24" s="42" t="n">
        <v>134.0</v>
      </c>
      <c r="I24" s="41" t="n">
        <v>134.0</v>
      </c>
      <c r="J24" s="93" t="n">
        <f t="shared" si="2"/>
        <v>1.0075187969924813</v>
      </c>
      <c r="K24" s="46" t="n">
        <v>133.0</v>
      </c>
      <c r="L24" s="90" t="n">
        <f t="shared" si="4"/>
        <v>1.0</v>
      </c>
      <c r="M24" s="46" t="n">
        <v>149.0</v>
      </c>
      <c r="N24" s="90" t="n">
        <f t="shared" si="8"/>
        <v>1.1203007518796992</v>
      </c>
      <c r="O24" s="46" t="n">
        <v>164.0</v>
      </c>
      <c r="P24" s="90" t="n">
        <f t="shared" si="9"/>
        <v>1.2330827067669172</v>
      </c>
      <c r="Q24" s="46" t="n">
        <v>164.0</v>
      </c>
      <c r="R24" s="90" t="n">
        <f t="shared" si="10"/>
        <v>1.2330827067669172</v>
      </c>
      <c r="S24" s="46" t="n">
        <v>143.0</v>
      </c>
      <c r="T24" s="90" t="n">
        <f t="shared" si="7"/>
        <v>1.0751879699248121</v>
      </c>
    </row>
    <row r="25" spans="1:20">
      <c r="A25" s="13"/>
      <c r="B25" s="7"/>
      <c r="C25" s="8" t="s">
        <v>11</v>
      </c>
      <c r="D25" s="40" t="n">
        <v>89.0</v>
      </c>
      <c r="E25" s="42" t="n">
        <v>84.0</v>
      </c>
      <c r="F25" s="41" t="n">
        <v>98.0</v>
      </c>
      <c r="G25" s="40" t="n">
        <v>103.0</v>
      </c>
      <c r="H25" s="42" t="n">
        <v>103.0</v>
      </c>
      <c r="I25" s="41" t="n">
        <v>102.0</v>
      </c>
      <c r="J25" s="93" t="n">
        <f t="shared" si="2"/>
        <v>1.0476190476190477</v>
      </c>
      <c r="K25" s="46" t="n">
        <v>103.0</v>
      </c>
      <c r="L25" s="90" t="n">
        <f t="shared" si="4"/>
        <v>1.0510204081632653</v>
      </c>
      <c r="M25" s="46" t="n">
        <v>110.0</v>
      </c>
      <c r="N25" s="90" t="n">
        <f t="shared" si="8"/>
        <v>1.1224489795918366</v>
      </c>
      <c r="O25" s="46" t="n">
        <v>122.0</v>
      </c>
      <c r="P25" s="90" t="n">
        <f t="shared" si="9"/>
        <v>1.2448979591836735</v>
      </c>
      <c r="Q25" s="46" t="n">
        <v>119.0</v>
      </c>
      <c r="R25" s="90" t="n">
        <f t="shared" si="10"/>
        <v>1.2142857142857142</v>
      </c>
      <c r="S25" s="46" t="n">
        <v>107.0</v>
      </c>
      <c r="T25" s="90" t="n">
        <f t="shared" si="7"/>
        <v>1.0918367346938775</v>
      </c>
    </row>
    <row r="26" spans="1:20">
      <c r="A26" s="232"/>
      <c r="B26" s="559"/>
      <c r="C26" s="8" t="s">
        <v>12</v>
      </c>
      <c r="D26" s="40" t="n">
        <v>52.0</v>
      </c>
      <c r="E26" s="42" t="n">
        <v>49.0</v>
      </c>
      <c r="F26" s="41" t="n">
        <v>49.0</v>
      </c>
      <c r="G26" s="40" t="n">
        <v>50.0</v>
      </c>
      <c r="H26" s="42" t="n">
        <v>50.0</v>
      </c>
      <c r="I26" s="41" t="n">
        <v>50.0</v>
      </c>
      <c r="J26" s="93" t="n">
        <f t="shared" si="2"/>
        <v>1.0204081632653061</v>
      </c>
      <c r="K26" s="46" t="n">
        <v>51.0</v>
      </c>
      <c r="L26" s="90" t="n">
        <f t="shared" si="4"/>
        <v>1.0408163265306123</v>
      </c>
      <c r="M26" s="46" t="n">
        <v>52.0</v>
      </c>
      <c r="N26" s="90" t="n">
        <f t="shared" si="8"/>
        <v>1.0612244897959184</v>
      </c>
      <c r="O26" s="46" t="n">
        <v>61.0</v>
      </c>
      <c r="P26" s="90" t="n">
        <f t="shared" si="9"/>
        <v>1.2448979591836735</v>
      </c>
      <c r="Q26" s="46" t="n">
        <v>63.0</v>
      </c>
      <c r="R26" s="90" t="n">
        <f t="shared" si="10"/>
        <v>1.2857142857142858</v>
      </c>
      <c r="S26" s="46" t="n">
        <v>57.0</v>
      </c>
      <c r="T26" s="90" t="n">
        <f t="shared" si="7"/>
        <v>1.163265306122449</v>
      </c>
    </row>
    <row r="27" spans="1:20">
      <c r="A27" s="208"/>
      <c r="B27" s="9" t="s">
        <v>13</v>
      </c>
      <c r="C27" s="10"/>
      <c r="D27" s="65" t="n">
        <f t="shared" ref="D27:K27" si="11">SUM(D28:D34)</f>
        <v>554.0</v>
      </c>
      <c r="E27" s="66" t="n">
        <f t="shared" si="11"/>
        <v>560.0</v>
      </c>
      <c r="F27" s="49" t="n">
        <f t="shared" si="11"/>
        <v>562.0</v>
      </c>
      <c r="G27" s="65" t="n">
        <f t="shared" si="11"/>
        <v>570.0</v>
      </c>
      <c r="H27" s="66" t="n">
        <f t="shared" si="11"/>
        <v>571.0</v>
      </c>
      <c r="I27" s="49" t="n">
        <f t="shared" si="11"/>
        <v>576.0</v>
      </c>
      <c r="J27" s="94" t="n">
        <f t="shared" si="2"/>
        <v>1.0183867141162515</v>
      </c>
      <c r="K27" s="67" t="n">
        <f t="shared" si="11"/>
        <v>580.0</v>
      </c>
      <c r="L27" s="91" t="n">
        <f t="shared" si="4"/>
        <v>1.0320284697508897</v>
      </c>
      <c r="M27" s="67" t="n">
        <f t="shared" ref="M27" si="12">SUM(M28:M34)</f>
        <v>634.0</v>
      </c>
      <c r="N27" s="91" t="n">
        <f t="shared" si="8"/>
        <v>1.1281138790035588</v>
      </c>
      <c r="O27" s="67" t="n">
        <f t="shared" ref="O27" si="13">SUM(O28:O34)</f>
        <v>683.0</v>
      </c>
      <c r="P27" s="91" t="n">
        <f t="shared" si="9"/>
        <v>1.2153024911032029</v>
      </c>
      <c r="Q27" s="67" t="n">
        <f t="shared" ref="Q27:S27" si="14">SUM(Q28:Q34)</f>
        <v>662.0</v>
      </c>
      <c r="R27" s="91" t="n">
        <f t="shared" si="10"/>
        <v>1.1779359430604983</v>
      </c>
      <c r="S27" s="67" t="n">
        <f t="shared" si="14"/>
        <v>584.0</v>
      </c>
      <c r="T27" s="90" t="n">
        <f t="shared" si="7"/>
        <v>1.0391459074733096</v>
      </c>
    </row>
    <row r="28" spans="1:20">
      <c r="A28" s="5"/>
      <c r="B28" s="11"/>
      <c r="C28" s="8" t="s">
        <v>6</v>
      </c>
      <c r="D28" s="40" t="n">
        <v>27.0</v>
      </c>
      <c r="E28" s="42" t="n">
        <v>33.0</v>
      </c>
      <c r="F28" s="41" t="n">
        <v>33.0</v>
      </c>
      <c r="G28" s="40" t="n">
        <v>35.0</v>
      </c>
      <c r="H28" s="42" t="n">
        <v>33.0</v>
      </c>
      <c r="I28" s="41" t="n">
        <v>33.0</v>
      </c>
      <c r="J28" s="93" t="n">
        <f t="shared" si="2"/>
        <v>1.02020202020202</v>
      </c>
      <c r="K28" s="46" t="n">
        <v>34.0</v>
      </c>
      <c r="L28" s="90" t="n">
        <f t="shared" si="4"/>
        <v>1.0303030303030303</v>
      </c>
      <c r="M28" s="46" t="n">
        <v>40.0</v>
      </c>
      <c r="N28" s="90" t="n">
        <f t="shared" si="8"/>
        <v>1.2121212121212122</v>
      </c>
      <c r="O28" s="46" t="n">
        <v>41.0</v>
      </c>
      <c r="P28" s="90" t="n">
        <f t="shared" si="9"/>
        <v>1.2424242424242424</v>
      </c>
      <c r="Q28" s="46" t="n">
        <v>37.0</v>
      </c>
      <c r="R28" s="90" t="n">
        <f t="shared" si="10"/>
        <v>1.121212121212121</v>
      </c>
      <c r="S28" s="46" t="n">
        <v>31.0</v>
      </c>
      <c r="T28" s="90" t="n">
        <f t="shared" si="7"/>
        <v>0.9393939393939394</v>
      </c>
    </row>
    <row r="29" spans="1:20">
      <c r="A29" s="5"/>
      <c r="B29" s="11"/>
      <c r="C29" s="8" t="s">
        <v>7</v>
      </c>
      <c r="D29" s="40" t="n">
        <v>72.0</v>
      </c>
      <c r="E29" s="42" t="n">
        <v>84.0</v>
      </c>
      <c r="F29" s="41" t="n">
        <v>91.0</v>
      </c>
      <c r="G29" s="40" t="n">
        <v>92.0</v>
      </c>
      <c r="H29" s="42" t="n">
        <v>92.0</v>
      </c>
      <c r="I29" s="41" t="n">
        <v>95.0</v>
      </c>
      <c r="J29" s="93" t="n">
        <f t="shared" si="2"/>
        <v>1.021978021978022</v>
      </c>
      <c r="K29" s="46" t="n">
        <v>94.0</v>
      </c>
      <c r="L29" s="90" t="n">
        <f t="shared" si="4"/>
        <v>1.032967032967033</v>
      </c>
      <c r="M29" s="46" t="n">
        <v>101.0</v>
      </c>
      <c r="N29" s="90" t="n">
        <f t="shared" si="8"/>
        <v>1.10989010989011</v>
      </c>
      <c r="O29" s="46" t="n">
        <v>106.0</v>
      </c>
      <c r="P29" s="90" t="n">
        <f t="shared" si="9"/>
        <v>1.164835164835165</v>
      </c>
      <c r="Q29" s="46" t="n">
        <v>102.0</v>
      </c>
      <c r="R29" s="90" t="n">
        <f t="shared" si="10"/>
        <v>1.120879120879121</v>
      </c>
      <c r="S29" s="46" t="n">
        <v>92.0</v>
      </c>
      <c r="T29" s="90" t="n">
        <f t="shared" si="7"/>
        <v>1.010989010989011</v>
      </c>
    </row>
    <row r="30" spans="1:20">
      <c r="A30" s="208"/>
      <c r="B30" s="560"/>
      <c r="C30" s="8" t="s">
        <v>8</v>
      </c>
      <c r="D30" s="40" t="n">
        <v>68.0</v>
      </c>
      <c r="E30" s="42" t="n">
        <v>69.0</v>
      </c>
      <c r="F30" s="41" t="n">
        <v>65.0</v>
      </c>
      <c r="G30" s="40" t="n">
        <v>68.0</v>
      </c>
      <c r="H30" s="42" t="n">
        <v>72.0</v>
      </c>
      <c r="I30" s="41" t="n">
        <v>73.0</v>
      </c>
      <c r="J30" s="93" t="n">
        <f t="shared" si="2"/>
        <v>1.0923076923076922</v>
      </c>
      <c r="K30" s="46" t="n">
        <v>75.0</v>
      </c>
      <c r="L30" s="90" t="n">
        <f t="shared" si="4"/>
        <v>1.1538461538461537</v>
      </c>
      <c r="M30" s="46" t="n">
        <v>82.0</v>
      </c>
      <c r="N30" s="90" t="n">
        <f t="shared" si="8"/>
        <v>1.2615384615384615</v>
      </c>
      <c r="O30" s="46" t="n">
        <v>85.0</v>
      </c>
      <c r="P30" s="90" t="n">
        <f t="shared" si="9"/>
        <v>1.3076923076923077</v>
      </c>
      <c r="Q30" s="46" t="n">
        <v>78.0</v>
      </c>
      <c r="R30" s="90" t="n">
        <f t="shared" si="10"/>
        <v>1.2</v>
      </c>
      <c r="S30" s="46" t="n">
        <v>67.0</v>
      </c>
      <c r="T30" s="90" t="n">
        <f t="shared" si="7"/>
        <v>1.0307692307692307</v>
      </c>
    </row>
    <row r="31" spans="1:20">
      <c r="A31" s="208"/>
      <c r="B31" s="560"/>
      <c r="C31" s="8" t="s">
        <v>9</v>
      </c>
      <c r="D31" s="40" t="n">
        <v>124.0</v>
      </c>
      <c r="E31" s="42" t="n">
        <v>115.0</v>
      </c>
      <c r="F31" s="41" t="n">
        <v>97.0</v>
      </c>
      <c r="G31" s="40" t="n">
        <v>92.0</v>
      </c>
      <c r="H31" s="42" t="n">
        <v>91.0</v>
      </c>
      <c r="I31" s="41" t="n">
        <v>93.0</v>
      </c>
      <c r="J31" s="93" t="n">
        <f t="shared" si="2"/>
        <v>0.9484536082474226</v>
      </c>
      <c r="K31" s="46" t="n">
        <v>94.0</v>
      </c>
      <c r="L31" s="90" t="n">
        <f t="shared" si="4"/>
        <v>0.9690721649484536</v>
      </c>
      <c r="M31" s="46" t="n">
        <v>104.0</v>
      </c>
      <c r="N31" s="90" t="n">
        <f t="shared" si="8"/>
        <v>1.0721649484536082</v>
      </c>
      <c r="O31" s="46" t="n">
        <v>108.0</v>
      </c>
      <c r="P31" s="90" t="n">
        <f t="shared" si="9"/>
        <v>1.1134020618556701</v>
      </c>
      <c r="Q31" s="46" t="n">
        <v>102.0</v>
      </c>
      <c r="R31" s="90" t="n">
        <f t="shared" si="10"/>
        <v>1.0515463917525774</v>
      </c>
      <c r="S31" s="46" t="n">
        <v>89.0</v>
      </c>
      <c r="T31" s="90" t="n">
        <f t="shared" si="7"/>
        <v>0.9175257731958762</v>
      </c>
    </row>
    <row r="32" spans="1:20">
      <c r="A32" s="208"/>
      <c r="B32" s="560"/>
      <c r="C32" s="8" t="s">
        <v>10</v>
      </c>
      <c r="D32" s="40" t="n">
        <v>125.0</v>
      </c>
      <c r="E32" s="42" t="n">
        <v>128.0</v>
      </c>
      <c r="F32" s="41" t="n">
        <v>131.0</v>
      </c>
      <c r="G32" s="40" t="n">
        <v>132.0</v>
      </c>
      <c r="H32" s="42" t="n">
        <v>132.0</v>
      </c>
      <c r="I32" s="41" t="n">
        <v>132.0</v>
      </c>
      <c r="J32" s="93" t="n">
        <f t="shared" si="2"/>
        <v>1.0076335877862594</v>
      </c>
      <c r="K32" s="46" t="n">
        <v>131.0</v>
      </c>
      <c r="L32" s="90" t="n">
        <f t="shared" si="4"/>
        <v>1.0</v>
      </c>
      <c r="M32" s="46" t="n">
        <v>147.0</v>
      </c>
      <c r="N32" s="90" t="n">
        <f t="shared" si="8"/>
        <v>1.1221374045801527</v>
      </c>
      <c r="O32" s="46" t="n">
        <v>162.0</v>
      </c>
      <c r="P32" s="90" t="n">
        <f t="shared" si="9"/>
        <v>1.2366412213740459</v>
      </c>
      <c r="Q32" s="46" t="n">
        <v>162.0</v>
      </c>
      <c r="R32" s="90" t="n">
        <f t="shared" si="10"/>
        <v>1.2366412213740459</v>
      </c>
      <c r="S32" s="46" t="n">
        <v>142.0</v>
      </c>
      <c r="T32" s="90" t="n">
        <f t="shared" si="7"/>
        <v>1.083969465648855</v>
      </c>
    </row>
    <row r="33" spans="1:20">
      <c r="A33" s="208"/>
      <c r="B33" s="560"/>
      <c r="C33" s="8" t="s">
        <v>11</v>
      </c>
      <c r="D33" s="40" t="n">
        <v>87.0</v>
      </c>
      <c r="E33" s="42" t="n">
        <v>83.0</v>
      </c>
      <c r="F33" s="41" t="n">
        <v>98.0</v>
      </c>
      <c r="G33" s="40" t="n">
        <v>103.0</v>
      </c>
      <c r="H33" s="42" t="n">
        <v>103.0</v>
      </c>
      <c r="I33" s="41" t="n">
        <v>102.0</v>
      </c>
      <c r="J33" s="93" t="n">
        <f t="shared" si="2"/>
        <v>1.0476190476190477</v>
      </c>
      <c r="K33" s="46" t="n">
        <v>103.0</v>
      </c>
      <c r="L33" s="90" t="n">
        <f t="shared" si="4"/>
        <v>1.0510204081632653</v>
      </c>
      <c r="M33" s="46" t="n">
        <v>110.0</v>
      </c>
      <c r="N33" s="90" t="n">
        <f t="shared" si="8"/>
        <v>1.1224489795918366</v>
      </c>
      <c r="O33" s="46" t="n">
        <v>122.0</v>
      </c>
      <c r="P33" s="90" t="n">
        <f t="shared" si="9"/>
        <v>1.2448979591836735</v>
      </c>
      <c r="Q33" s="46" t="n">
        <v>119.0</v>
      </c>
      <c r="R33" s="90" t="n">
        <f t="shared" si="10"/>
        <v>1.2142857142857142</v>
      </c>
      <c r="S33" s="46" t="n">
        <v>107.0</v>
      </c>
      <c r="T33" s="90" t="n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 t="n">
        <v>51.0</v>
      </c>
      <c r="E34" s="44" t="n">
        <v>48.0</v>
      </c>
      <c r="F34" s="45" t="n">
        <v>47.0</v>
      </c>
      <c r="G34" s="43" t="n">
        <v>48.0</v>
      </c>
      <c r="H34" s="44" t="n">
        <v>48.0</v>
      </c>
      <c r="I34" s="45" t="n">
        <v>48.0</v>
      </c>
      <c r="J34" s="95" t="n">
        <f t="shared" si="2"/>
        <v>1.0212765957446808</v>
      </c>
      <c r="K34" s="47" t="n">
        <v>49.0</v>
      </c>
      <c r="L34" s="92" t="n">
        <f t="shared" si="4"/>
        <v>1.0425531914893618</v>
      </c>
      <c r="M34" s="47" t="n">
        <v>50.0</v>
      </c>
      <c r="N34" s="92" t="n">
        <f t="shared" si="8"/>
        <v>1.0638297872340425</v>
      </c>
      <c r="O34" s="47" t="n">
        <v>59.0</v>
      </c>
      <c r="P34" s="92" t="n">
        <f t="shared" si="9"/>
        <v>1.2553191489361701</v>
      </c>
      <c r="Q34" s="47" t="n">
        <v>62.0</v>
      </c>
      <c r="R34" s="92" t="n">
        <f t="shared" si="10"/>
        <v>1.3191489361702127</v>
      </c>
      <c r="S34" s="47" t="n">
        <v>56.0</v>
      </c>
      <c r="T34" s="92" t="n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26302.5204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36311.0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35580.0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35810.0</v>
      </c>
      <c r="J40" s="96" t="n">
        <f>IFERROR((SUM(G40:I40)/3)/F40,"－")</f>
        <v>1.3649008835416903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36100.0</v>
      </c>
      <c r="L40" s="96" t="n">
        <f>IFERROR(K40/F40,"－")</f>
        <v>1.372492044526653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39460.0</v>
      </c>
      <c r="N40" s="610" t="n">
        <f>IFERROR(M40/F40,"－")</f>
        <v>1.5002364564271946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41269.0</v>
      </c>
      <c r="P40" s="610" t="n">
        <f>IFERROR(O40/F40,"－")</f>
        <v>1.5690131353343613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38770.0</v>
      </c>
      <c r="R40" s="610" t="n">
        <f>IFERROR(Q40/F40,"－")</f>
        <v>1.4740032289833334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34587.0</v>
      </c>
      <c r="T40" s="610" t="n">
        <f>IFERROR(S40/F40,"－")</f>
        <v>1.3149690400012006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0.0</v>
      </c>
      <c r="E41" s="72" t="n">
        <f>('2_サービス別給付費'!E47+'2_サービス別給付費'!E55)</f>
        <v>4349.2970000000005</v>
      </c>
      <c r="F41" s="179" t="n">
        <f>('2_サービス別給付費'!F47+'2_サービス別給付費'!F55)</f>
        <v>3086.664</v>
      </c>
      <c r="G41" s="73" t="n">
        <f>('2_サービス別給付費'!G47+'2_サービス別給付費'!G55)</f>
        <v>0.0</v>
      </c>
      <c r="H41" s="72" t="n">
        <f>('2_サービス別給付費'!H47+'2_サービス別給付費'!H55)</f>
        <v>0.0</v>
      </c>
      <c r="I41" s="72" t="n">
        <f>('2_サービス別給付費'!I47+'2_サービス別給付費'!I55)</f>
        <v>0.0</v>
      </c>
      <c r="J41" s="97" t="n">
        <f>IFERROR((SUM(G41:I41)/3)/F41,"－")</f>
        <v>0.0</v>
      </c>
      <c r="K41" s="73" t="n">
        <f>('2_サービス別給付費'!K47+'2_サービス別給付費'!K55)</f>
        <v>0.0</v>
      </c>
      <c r="L41" s="97" t="n">
        <f>IFERROR(K41/F41,"－")</f>
        <v>0.0</v>
      </c>
      <c r="M41" s="757" t="n">
        <f>('2_サービス別給付費'!M47+'2_サービス別給付費'!M55)</f>
        <v>0.0</v>
      </c>
      <c r="N41" s="456" t="n">
        <f t="shared" ref="N41:N42" si="15">IFERROR(M41/F41,"－")</f>
        <v>0.0</v>
      </c>
      <c r="O41" s="757" t="n">
        <f>('2_サービス別給付費'!O47+'2_サービス別給付費'!O55)</f>
        <v>0.0</v>
      </c>
      <c r="P41" s="456" t="n">
        <f t="shared" ref="P41:P42" si="16">IFERROR(O41/F41,"－")</f>
        <v>0.0</v>
      </c>
      <c r="Q41" s="757" t="n">
        <f>('2_サービス別給付費'!Q47+'2_サービス別給付費'!Q55)</f>
        <v>0.0</v>
      </c>
      <c r="R41" s="456" t="n">
        <f t="shared" ref="R41:R42" si="17">IFERROR(Q41/F41,"－")</f>
        <v>0.0</v>
      </c>
      <c r="S41" s="757" t="n">
        <f>('2_サービス別給付費'!S47+'2_サービス別給付費'!S55)</f>
        <v>0.0</v>
      </c>
      <c r="T41" s="456" t="n">
        <f>IFERROR(S41/F41,"－")</f>
        <v>0.0</v>
      </c>
    </row>
    <row r="42" spans="1:20" ht="14.25" thickBot="1">
      <c r="A42" s="569" t="s">
        <v>36</v>
      </c>
      <c r="B42" s="375"/>
      <c r="C42" s="570"/>
      <c r="D42" s="78" t="n">
        <f>SUM(D40:D41)</f>
        <v>27005.507</v>
      </c>
      <c r="E42" s="79" t="n">
        <f t="shared" ref="E42:K42" si="18">SUM(E40:E41)</f>
        <v>32287.638000000006</v>
      </c>
      <c r="F42" s="180" t="n">
        <f t="shared" si="18"/>
        <v>29389.184400000002</v>
      </c>
      <c r="G42" s="81" t="n">
        <f t="shared" si="18"/>
        <v>36311.0</v>
      </c>
      <c r="H42" s="81" t="n">
        <f t="shared" si="18"/>
        <v>35580.0</v>
      </c>
      <c r="I42" s="79" t="n">
        <f t="shared" si="18"/>
        <v>35810.0</v>
      </c>
      <c r="J42" s="98" t="n">
        <f>IFERROR((SUM(G42:I42)/3)/F42,"－")</f>
        <v>1.2215491537537644</v>
      </c>
      <c r="K42" s="81" t="n">
        <f t="shared" si="18"/>
        <v>36100.0</v>
      </c>
      <c r="L42" s="98" t="n">
        <f>IFERROR(K42/F42,"－")</f>
        <v>1.2283430362905885</v>
      </c>
      <c r="M42" s="758" t="n">
        <f t="shared" ref="M42" si="19">SUM(M40:M41)</f>
        <v>39460.0</v>
      </c>
      <c r="N42" s="759" t="n">
        <f t="shared" si="15"/>
        <v>1.3426708091974133</v>
      </c>
      <c r="O42" s="758" t="n">
        <f t="shared" ref="O42" si="20">SUM(O40:O41)</f>
        <v>41269.0</v>
      </c>
      <c r="P42" s="759" t="n">
        <f t="shared" si="16"/>
        <v>1.4042240655034985</v>
      </c>
      <c r="Q42" s="758" t="n">
        <f t="shared" ref="Q42:S42" si="21">SUM(Q40:Q41)</f>
        <v>38770.0</v>
      </c>
      <c r="R42" s="759" t="n">
        <f t="shared" si="17"/>
        <v>1.3191927844040476</v>
      </c>
      <c r="S42" s="758" t="n">
        <f t="shared" si="21"/>
        <v>34587.0</v>
      </c>
      <c r="T42" s="759" t="n">
        <f>IFERROR(S42/F42,"－")</f>
        <v>1.1768615123596284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285894.774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274934.0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277915.0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280163.0</v>
      </c>
      <c r="J62" s="99" t="n">
        <f>IFERROR((SUM(G62:I62)/3)/F62,"－")</f>
        <v>0.9712337962031677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258271.0</v>
      </c>
      <c r="L62" s="99" t="n">
        <f>IFERROR(K62/F62,"－")</f>
        <v>0.9033778280955916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284737.0</v>
      </c>
      <c r="N62" s="761" t="n">
        <f>IFERROR(M62/F62,"－")</f>
        <v>0.9959503492008568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301521.0</v>
      </c>
      <c r="P62" s="761" t="n">
        <f>IFERROR(O62/F62,"－")</f>
        <v>1.0546572635147224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296817.0</v>
      </c>
      <c r="R62" s="761" t="n">
        <f>IFERROR(Q62/F62,"－")</f>
        <v>1.038203657405784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260283.0</v>
      </c>
      <c r="T62" s="761" t="n">
        <f>IFERROR(S62/F62,"－")</f>
        <v>0.9104153824091937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91870.496</v>
      </c>
      <c r="E63" s="76" t="n">
        <f>('2_サービス別給付費'!E106+'2_サービス別給付費'!E121+'2_サービス別給付費'!E123)</f>
        <v>86313.202</v>
      </c>
      <c r="F63" s="77" t="n">
        <f>('2_サービス別給付費'!F106+'2_サービス別給付費'!F121+'2_サービス別給付費'!F123)</f>
        <v>86314.56</v>
      </c>
      <c r="G63" s="74" t="n">
        <f>('2_サービス別給付費'!G106+'2_サービス別給付費'!G121+'2_サービス別給付費'!G123)</f>
        <v>66583.0</v>
      </c>
      <c r="H63" s="75" t="n">
        <f>('2_サービス別給付費'!H106+'2_サービス別給付費'!H121+'2_サービス別給付費'!H123)</f>
        <v>66637.0</v>
      </c>
      <c r="I63" s="76" t="n">
        <f>('2_サービス別給付費'!I106+'2_サービス別給付費'!I121+'2_サービス別給付費'!I123)</f>
        <v>66637.0</v>
      </c>
      <c r="J63" s="100" t="n">
        <f>IFERROR((SUM(G63:I63)/3)/F63,"－")</f>
        <v>0.7718164814835412</v>
      </c>
      <c r="K63" s="74" t="n">
        <f>('2_サービス別給付費'!K106+'2_サービス別給付費'!K121+'2_サービス別給付費'!K123)</f>
        <v>66637.0</v>
      </c>
      <c r="L63" s="100" t="n">
        <f>IFERROR(K63/F63,"－")</f>
        <v>0.7720250210393241</v>
      </c>
      <c r="M63" s="408" t="n">
        <f>('2_サービス別給付費'!M106+'2_サービス別給付費'!M121+'2_サービス別給付費'!M123)</f>
        <v>76368.0</v>
      </c>
      <c r="N63" s="411" t="n">
        <f t="shared" ref="N63:N65" si="22">IFERROR(M63/F63,"－")</f>
        <v>0.8847638220017573</v>
      </c>
      <c r="O63" s="408" t="n">
        <f>('2_サービス別給付費'!O106+'2_サービス別給付費'!O121+'2_サービス別給付費'!O123)</f>
        <v>83087.0</v>
      </c>
      <c r="P63" s="411" t="n">
        <f t="shared" ref="P63:P65" si="23">IFERROR(O63/F63,"－")</f>
        <v>0.9626070039631784</v>
      </c>
      <c r="Q63" s="408" t="n">
        <f>('2_サービス別給付費'!Q106+'2_サービス別給付費'!Q121+'2_サービス別給付費'!Q123)</f>
        <v>80021.0</v>
      </c>
      <c r="R63" s="411" t="n">
        <f t="shared" ref="R63:R65" si="24">IFERROR(Q63/F63,"－")</f>
        <v>0.9270857662948175</v>
      </c>
      <c r="S63" s="408" t="n">
        <f>('2_サービス別給付費'!S106+'2_サービス別給付費'!S121+'2_サービス別給付費'!S123)</f>
        <v>69996.0</v>
      </c>
      <c r="T63" s="411" t="n">
        <f>IFERROR(S63/F63,"－")</f>
        <v>0.8109408192545963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578238.232</v>
      </c>
      <c r="E64" s="186" t="n">
        <f>('2_サービス別給付費'!E125+'2_サービス別給付費'!E132+'2_サービス別給付費'!E134+'2_サービス別給付費'!E136+'2_サービス別給付費'!E138)</f>
        <v>589563.917</v>
      </c>
      <c r="F64" s="187" t="n">
        <f>('2_サービス別給付費'!F125+'2_サービス別給付費'!F132+'2_サービス別給付費'!F134+'2_サービス別給付費'!F136+'2_サービス別給付費'!F138)</f>
        <v>591356.292</v>
      </c>
      <c r="G64" s="185" t="n">
        <f>('2_サービス別給付費'!G125+'2_サービス別給付費'!G132+'2_サービス別給付費'!G134+'2_サービス別給付費'!G136+'2_サービス別給付費'!G138)</f>
        <v>650640.0</v>
      </c>
      <c r="H64" s="188" t="n">
        <f>('2_サービス別給付費'!H125+'2_サービス別給付費'!H132+'2_サービス別給付費'!H134+'2_サービス別給付費'!H136+'2_サービス別給付費'!H138)</f>
        <v>650640.0</v>
      </c>
      <c r="I64" s="186" t="n">
        <f>('2_サービス別給付費'!I125+'2_サービス別給付費'!I132+'2_サービス別給付費'!I134+'2_サービス別給付費'!I136+'2_サービス別給付費'!I138)</f>
        <v>650640.0</v>
      </c>
      <c r="J64" s="101" t="n">
        <f>IFERROR((SUM(G64:I64)/3)/F64,"－")</f>
        <v>1.10025040538505</v>
      </c>
      <c r="K64" s="186" t="n">
        <f>('2_サービス別給付費'!K125+'2_サービス別給付費'!K132+'2_サービス別給付費'!K134+'2_サービス別給付費'!K136+'2_サービス別給付費'!K138)</f>
        <v>716367.0</v>
      </c>
      <c r="L64" s="102" t="n">
        <f>IFERROR(K64/F64,"－")</f>
        <v>1.211396597434022</v>
      </c>
      <c r="M64" s="502" t="n">
        <f>('2_サービス別給付費'!M125+'2_サービス別給付費'!M132+'2_サービス別給付費'!M134+'2_サービス別給付費'!M136+'2_サービス別給付費'!M138)</f>
        <v>771468.0</v>
      </c>
      <c r="N64" s="762" t="n">
        <f t="shared" si="22"/>
        <v>1.3045739268129746</v>
      </c>
      <c r="O64" s="502" t="n">
        <f>('2_サービス別給付費'!O125+'2_サービス別給付費'!O132+'2_サービス別給付費'!O134+'2_サービス別給付費'!O136+'2_サービス別給付費'!O138)</f>
        <v>860303.0</v>
      </c>
      <c r="P64" s="762" t="n">
        <f t="shared" si="23"/>
        <v>1.454796392020126</v>
      </c>
      <c r="Q64" s="502" t="n">
        <f>('2_サービス別給付費'!Q125+'2_サービス別給付費'!Q132+'2_サービス別給付費'!Q134+'2_サービス別給付費'!Q136+'2_サービス別給付費'!Q138)</f>
        <v>852751.0</v>
      </c>
      <c r="R64" s="762" t="n">
        <f t="shared" si="24"/>
        <v>1.4420257491739006</v>
      </c>
      <c r="S64" s="502" t="n">
        <f>('2_サービス別給付費'!S125+'2_サービス別給付費'!S132+'2_サービス別給付費'!S134+'2_サービス別給付費'!S136+'2_サービス別給付費'!S138)</f>
        <v>750958.0</v>
      </c>
      <c r="T64" s="762" t="n">
        <f>IFERROR(S64/F64,"－")</f>
        <v>1.2698909441890236</v>
      </c>
    </row>
    <row r="65" spans="1:20" ht="14.25" thickBot="1">
      <c r="A65" s="569" t="s">
        <v>36</v>
      </c>
      <c r="B65" s="375"/>
      <c r="C65" s="570"/>
      <c r="D65" s="78" t="n">
        <f>SUM(D62:D64)</f>
        <v>982757.3269999999</v>
      </c>
      <c r="E65" s="79" t="n">
        <f t="shared" ref="E65:I65" si="25">SUM(E62:E64)</f>
        <v>965936.129</v>
      </c>
      <c r="F65" s="80" t="n">
        <f>SUM(F62:F64)</f>
        <v>963565.6259999999</v>
      </c>
      <c r="G65" s="78" t="n">
        <f t="shared" si="25"/>
        <v>992157.0</v>
      </c>
      <c r="H65" s="81" t="n">
        <f t="shared" si="25"/>
        <v>995192.0</v>
      </c>
      <c r="I65" s="79" t="n">
        <f t="shared" si="25"/>
        <v>997440.0</v>
      </c>
      <c r="J65" s="98" t="n">
        <f>IFERROR((SUM(G65:I65)/3)/F65,"－")</f>
        <v>1.0325499787667465</v>
      </c>
      <c r="K65" s="81" t="n">
        <f>SUM(K62:K64)</f>
        <v>1041275.0</v>
      </c>
      <c r="L65" s="98" t="n">
        <f>IFERROR(K65/F65,"－")</f>
        <v>1.0806477233134508</v>
      </c>
      <c r="M65" s="758" t="n">
        <f>SUM(M62:M64)</f>
        <v>1132573.0</v>
      </c>
      <c r="N65" s="759" t="n">
        <f t="shared" si="22"/>
        <v>1.1753978861840388</v>
      </c>
      <c r="O65" s="758" t="n">
        <f>SUM(O62:O64)</f>
        <v>1244911.0</v>
      </c>
      <c r="P65" s="759" t="n">
        <f t="shared" si="23"/>
        <v>1.2919836142016965</v>
      </c>
      <c r="Q65" s="758" t="n">
        <f>SUM(Q62:Q64)</f>
        <v>1229589.0</v>
      </c>
      <c r="R65" s="759" t="n">
        <f t="shared" si="24"/>
        <v>1.276082258251915</v>
      </c>
      <c r="S65" s="758" t="n">
        <f>SUM(S62:S64)</f>
        <v>1081237.0</v>
      </c>
      <c r="T65" s="759" t="n">
        <f>IFERROR(S65/F65,"－")</f>
        <v>1.1221207677244394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1009762.8339999999</v>
      </c>
      <c r="E85" s="581" t="n">
        <f>E65+E42</f>
        <v>998223.767</v>
      </c>
      <c r="F85" s="582" t="n">
        <f>F65+F42</f>
        <v>992954.8104</v>
      </c>
      <c r="G85" s="580" t="n">
        <f>G65+G42</f>
        <v>1028468.0</v>
      </c>
      <c r="H85" s="581" t="n">
        <f>H65+H42</f>
        <v>1030772.0</v>
      </c>
      <c r="I85" s="582" t="n">
        <f>I65+I42</f>
        <v>1033250.0</v>
      </c>
      <c r="J85" s="98" t="n">
        <f>IFERROR((SUM(G85:I85)/3)/F85,"－")</f>
        <v>1.038143920753798</v>
      </c>
      <c r="K85" s="580" t="n">
        <f>K65+K42</f>
        <v>1077375.0</v>
      </c>
      <c r="L85" s="98" t="n">
        <f>IFERROR(K85/F85,"－")</f>
        <v>1.0850191657422883</v>
      </c>
      <c r="M85" s="763" t="n">
        <f>M65+M42</f>
        <v>1172033.0</v>
      </c>
      <c r="N85" s="759" t="n">
        <f>IFERROR(M85/F85,"－")</f>
        <v>1.1803487809559636</v>
      </c>
      <c r="O85" s="763" t="n">
        <f>O65+O42</f>
        <v>1286180.0</v>
      </c>
      <c r="P85" s="759" t="n">
        <f>IFERROR(O85/F85,"－")</f>
        <v>1.2953056740637348</v>
      </c>
      <c r="Q85" s="763" t="n">
        <f>Q65+Q42</f>
        <v>1268359.0</v>
      </c>
      <c r="R85" s="759" t="n">
        <f>IFERROR(Q85/F85,"－")</f>
        <v>1.2773582309239802</v>
      </c>
      <c r="S85" s="763" t="n">
        <f>S65+S42</f>
        <v>1115824.0</v>
      </c>
      <c r="T85" s="759" t="n">
        <f>IFERROR(S85/F85,"－")</f>
        <v>1.1237409681821307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103.86975718654433</v>
      </c>
      <c r="E91" s="104" t="n">
        <f t="shared" si="26"/>
        <v>96.80284657534246</v>
      </c>
      <c r="F91" s="105" t="n">
        <f t="shared" si="26"/>
        <v>95.85425066011666</v>
      </c>
      <c r="G91" s="103" t="n">
        <f t="shared" si="26"/>
        <v>96.33085731971526</v>
      </c>
      <c r="H91" s="104" t="n">
        <f t="shared" si="26"/>
        <v>97.87542928504527</v>
      </c>
      <c r="I91" s="105" t="n">
        <f t="shared" si="26"/>
        <v>99.45640541391249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176.83126360856267</v>
      </c>
      <c r="E92" s="107" t="n">
        <f t="shared" si="27"/>
        <v>179.47151202435313</v>
      </c>
      <c r="F92" s="108" t="n">
        <f t="shared" si="27"/>
        <v>181.56471968068774</v>
      </c>
      <c r="G92" s="106" t="n">
        <f t="shared" si="27"/>
        <v>201.37418755803157</v>
      </c>
      <c r="H92" s="107" t="n">
        <f t="shared" si="27"/>
        <v>203.13456134873556</v>
      </c>
      <c r="I92" s="108" t="n">
        <f t="shared" si="27"/>
        <v>204.79697828139754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21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22" t="n">
        <f>IFERROR(('2_サービス別給付費'!F54+'2_サービス別給付費'!F58+'2_サービス別給付費'!F120+'2_サービス別給付費'!F128+'2_サービス別給付費'!F141)/F12,"－")</f>
        <v>0.07859993859379798</v>
      </c>
      <c r="G116" s="620" t="n">
        <f>IFERROR(('2_サービス別給付費'!G54+'2_サービス別給付費'!G58+'2_サービス別給付費'!G120+'2_サービス別給付費'!G128+'2_サービス別給付費'!G141)/G12,"－")</f>
        <v>0.08201795109873104</v>
      </c>
      <c r="H116" s="621" t="n">
        <f>IFERROR(('2_サービス別給付費'!H54+'2_サービス別給付費'!H58+'2_サービス別給付費'!H120+'2_サービス別給付費'!H128+'2_サービス別給付費'!H141)/H12,"－")</f>
        <v>0.08242272869185138</v>
      </c>
      <c r="I116" s="622" t="n">
        <f>IFERROR(('2_サービス別給付費'!I54+'2_サービス別給付費'!I58+'2_サービス別給付費'!I120+'2_サービス別給付費'!I128+'2_サービス別給付費'!I141)/I12,"－")</f>
        <v>0.08498583569405099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0.058335891925084433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0.06128133704735376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0.061817046518888544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0.06232294617563739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6508.33057624376</v>
      </c>
      <c r="G143" s="82" t="n">
        <v>7234.91756696251</v>
      </c>
      <c r="H143" s="83" t="n">
        <v>8382.63756330043</v>
      </c>
      <c r="I143" s="765" t="n">
        <v>9083.06240228491</v>
      </c>
      <c r="J143" s="765" t="n">
        <v>9402.78227469294</v>
      </c>
      <c r="K143" s="765" t="n">
        <v>9747.66730631991</v>
      </c>
      <c r="L143" s="765" t="n">
        <v>10153.3178902543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1.111639533703295</v>
      </c>
      <c r="H144" s="110" t="n">
        <f>IFERROR(H143/F143,"－")</f>
        <v>1.2879858306365275</v>
      </c>
      <c r="I144" s="766" t="n">
        <f>IFERROR(I143/F143,"－")</f>
        <v>1.3956055697968461</v>
      </c>
      <c r="J144" s="766" t="n">
        <f>IFERROR(J143/F143,"－")</f>
        <v>1.4447302829106896</v>
      </c>
      <c r="K144" s="766" t="n">
        <f>IFERROR(K143/F143,"－")</f>
        <v>1.4977216034323984</v>
      </c>
      <c r="L144" s="766" t="n">
        <f>IFERROR(L143/F143,"－")</f>
        <v>1.5600495044482237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6582.325181103817</v>
      </c>
      <c r="E151" s="610" t="n">
        <f t="shared" ref="E151:E161" si="28">IFERROR(D151/D$159,"－")</f>
        <v>0.913334336905903</v>
      </c>
      <c r="F151" s="609" t="n">
        <v>6369.08001126777</v>
      </c>
      <c r="G151" s="610" t="n">
        <f t="shared" ref="G151:G161" si="29">IFERROR(F151/F$159,"－")</f>
        <v>0.8803251664333404</v>
      </c>
      <c r="H151" s="611" t="n">
        <v>7489.94699904196</v>
      </c>
      <c r="I151" s="610" t="n">
        <f t="shared" ref="I151:I161" si="30">IFERROR(H151/H$159,"－")</f>
        <v>0.8935071977623475</v>
      </c>
      <c r="J151" s="611" t="n">
        <v>8044.2491134262</v>
      </c>
      <c r="K151" s="610" t="n">
        <f t="shared" ref="K151:K161" si="31">IFERROR(J151/J$159,"－")</f>
        <v>0.8856318229634326</v>
      </c>
      <c r="L151" s="611" t="n">
        <v>8219.93296539125</v>
      </c>
      <c r="M151" s="610" t="n">
        <f t="shared" ref="M151:M161" si="32">IFERROR(L151/L$159,"－")</f>
        <v>0.8742022015669487</v>
      </c>
      <c r="N151" s="611" t="n">
        <v>8478.81510676148</v>
      </c>
      <c r="O151" s="610" t="n">
        <f t="shared" ref="O151:O161" si="33">IFERROR(N151/N$159,"－")</f>
        <v>0.8698301696513814</v>
      </c>
      <c r="P151" s="611" t="n">
        <v>8904.81725773443</v>
      </c>
      <c r="Q151" s="610" t="n">
        <f t="shared" ref="Q151:Q161" si="34">IFERROR(P151/P$159,"－")</f>
        <v>0.8770352070116658</v>
      </c>
    </row>
    <row r="152" spans="1:17">
      <c r="A152" s="33"/>
      <c r="B152" s="35" t="s">
        <v>70</v>
      </c>
      <c r="C152" s="612"/>
      <c r="D152" s="613" t="n">
        <v>2286.03982717116</v>
      </c>
      <c r="E152" s="403" t="n">
        <f t="shared" si="28"/>
        <v>0.31720077818150655</v>
      </c>
      <c r="F152" s="613" t="n">
        <v>1937.42788647327</v>
      </c>
      <c r="G152" s="403" t="n">
        <f t="shared" si="29"/>
        <v>0.2677885226115541</v>
      </c>
      <c r="H152" s="614" t="n">
        <v>2046.47702801251</v>
      </c>
      <c r="I152" s="403" t="n">
        <f t="shared" si="30"/>
        <v>0.2441328296206053</v>
      </c>
      <c r="J152" s="614" t="n">
        <v>2225.12628042507</v>
      </c>
      <c r="K152" s="403" t="n">
        <f t="shared" si="31"/>
        <v>0.24497533781836878</v>
      </c>
      <c r="L152" s="614" t="n">
        <v>2190.7593192294</v>
      </c>
      <c r="M152" s="403" t="n">
        <f t="shared" si="32"/>
        <v>0.23299053995174443</v>
      </c>
      <c r="N152" s="614" t="n">
        <v>2243.35548944168</v>
      </c>
      <c r="O152" s="403" t="n">
        <f t="shared" si="33"/>
        <v>0.23014280431864925</v>
      </c>
      <c r="P152" s="614" t="n">
        <v>2353.20576075452</v>
      </c>
      <c r="Q152" s="403" t="n">
        <f t="shared" si="34"/>
        <v>0.23176717071108874</v>
      </c>
    </row>
    <row r="153" spans="1:17">
      <c r="A153" s="33"/>
      <c r="B153" s="35" t="s">
        <v>81</v>
      </c>
      <c r="C153" s="612"/>
      <c r="D153" s="613" t="n">
        <v>582.481499689197</v>
      </c>
      <c r="E153" s="403" t="n">
        <f t="shared" si="28"/>
        <v>0.08082255732454946</v>
      </c>
      <c r="F153" s="613" t="n">
        <v>411.611750987697</v>
      </c>
      <c r="G153" s="403" t="n">
        <f t="shared" si="29"/>
        <v>0.056892389882543894</v>
      </c>
      <c r="H153" s="614" t="n">
        <v>463.262650586062</v>
      </c>
      <c r="I153" s="403" t="n">
        <f t="shared" si="30"/>
        <v>0.05526454497021881</v>
      </c>
      <c r="J153" s="614" t="n">
        <v>524.151808263191</v>
      </c>
      <c r="K153" s="403" t="n">
        <f t="shared" si="31"/>
        <v>0.057706507458468725</v>
      </c>
      <c r="L153" s="614" t="n">
        <v>531.006212423971</v>
      </c>
      <c r="M153" s="403" t="n">
        <f t="shared" si="32"/>
        <v>0.05647330725216773</v>
      </c>
      <c r="N153" s="614" t="n">
        <v>534.929987218256</v>
      </c>
      <c r="O153" s="403" t="n">
        <f t="shared" si="33"/>
        <v>0.05487774360861014</v>
      </c>
      <c r="P153" s="614" t="n">
        <v>558.602063383096</v>
      </c>
      <c r="Q153" s="403" t="n">
        <f t="shared" si="34"/>
        <v>0.055016701872328086</v>
      </c>
    </row>
    <row r="154" spans="1:17">
      <c r="A154" s="31"/>
      <c r="B154" s="35" t="s">
        <v>71</v>
      </c>
      <c r="C154" s="612"/>
      <c r="D154" s="613" t="n">
        <v>3713.80385424346</v>
      </c>
      <c r="E154" s="403" t="n">
        <f t="shared" si="28"/>
        <v>0.5153110013998471</v>
      </c>
      <c r="F154" s="613" t="n">
        <v>4020.0403738068</v>
      </c>
      <c r="G154" s="403" t="n">
        <f t="shared" si="29"/>
        <v>0.555644253939242</v>
      </c>
      <c r="H154" s="614" t="n">
        <v>4980.20732044338</v>
      </c>
      <c r="I154" s="403" t="n">
        <f t="shared" si="30"/>
        <v>0.5941098231715224</v>
      </c>
      <c r="J154" s="614" t="n">
        <v>5294.97102473794</v>
      </c>
      <c r="K154" s="403" t="n">
        <f t="shared" si="31"/>
        <v>0.5829499776865952</v>
      </c>
      <c r="L154" s="614" t="n">
        <v>5498.16743373788</v>
      </c>
      <c r="M154" s="403" t="n">
        <f t="shared" si="32"/>
        <v>0.5847383543630367</v>
      </c>
      <c r="N154" s="614" t="n">
        <v>5700.52963010154</v>
      </c>
      <c r="O154" s="403" t="n">
        <f t="shared" si="33"/>
        <v>0.5848096217241217</v>
      </c>
      <c r="P154" s="614" t="n">
        <v>5993.00943359682</v>
      </c>
      <c r="Q154" s="403" t="n">
        <f t="shared" si="34"/>
        <v>0.5902513344282495</v>
      </c>
    </row>
    <row r="155" spans="1:17">
      <c r="A155" s="30" t="s">
        <v>82</v>
      </c>
      <c r="B155" s="35"/>
      <c r="C155" s="612"/>
      <c r="D155" s="613" t="n">
        <v>532.7119840050973</v>
      </c>
      <c r="E155" s="403" t="n">
        <f t="shared" si="28"/>
        <v>0.07391675939527693</v>
      </c>
      <c r="F155" s="613" t="n">
        <v>554.067220249767</v>
      </c>
      <c r="G155" s="403" t="n">
        <f t="shared" si="29"/>
        <v>0.07658238191681087</v>
      </c>
      <c r="H155" s="614" t="n">
        <v>597.708819210504</v>
      </c>
      <c r="I155" s="403" t="n">
        <f t="shared" si="30"/>
        <v>0.07130319242565138</v>
      </c>
      <c r="J155" s="614" t="n">
        <v>726.448150627042</v>
      </c>
      <c r="K155" s="403" t="n">
        <f t="shared" si="31"/>
        <v>0.07997832872361404</v>
      </c>
      <c r="L155" s="614" t="n">
        <v>857.054415692051</v>
      </c>
      <c r="M155" s="403" t="n">
        <f t="shared" si="32"/>
        <v>0.09114902277369165</v>
      </c>
      <c r="N155" s="614" t="n">
        <v>930.47814459794</v>
      </c>
      <c r="O155" s="403" t="n">
        <f t="shared" si="33"/>
        <v>0.09545649388286596</v>
      </c>
      <c r="P155" s="614" t="n">
        <v>898.863648565541</v>
      </c>
      <c r="Q155" s="403" t="n">
        <f t="shared" si="34"/>
        <v>0.08852905604662674</v>
      </c>
    </row>
    <row r="156" spans="1:17">
      <c r="A156" s="30" t="s">
        <v>83</v>
      </c>
      <c r="B156" s="615"/>
      <c r="C156" s="612"/>
      <c r="D156" s="613" t="n">
        <v>188.607711608201</v>
      </c>
      <c r="E156" s="403" t="n">
        <f t="shared" si="28"/>
        <v>0.02617037209154239</v>
      </c>
      <c r="F156" s="613" t="n">
        <v>311.770335444975</v>
      </c>
      <c r="G156" s="403" t="n">
        <f t="shared" si="29"/>
        <v>0.04309245164984898</v>
      </c>
      <c r="H156" s="614" t="n">
        <v>294.981745047973</v>
      </c>
      <c r="I156" s="403" t="n">
        <f t="shared" si="30"/>
        <v>0.035189609812001955</v>
      </c>
      <c r="J156" s="614" t="n">
        <v>312.36513823166</v>
      </c>
      <c r="K156" s="403" t="n">
        <f t="shared" si="31"/>
        <v>0.034389848312952505</v>
      </c>
      <c r="L156" s="614" t="n">
        <v>325.794893609644</v>
      </c>
      <c r="M156" s="403" t="n">
        <f t="shared" si="32"/>
        <v>0.03464877565936018</v>
      </c>
      <c r="N156" s="614" t="n">
        <v>338.374054960498</v>
      </c>
      <c r="O156" s="403" t="n">
        <f t="shared" si="33"/>
        <v>0.03471333646575243</v>
      </c>
      <c r="P156" s="614" t="n">
        <v>349.636983954372</v>
      </c>
      <c r="Q156" s="403" t="n">
        <f t="shared" si="34"/>
        <v>0.03443573694171167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-96.7274149224349</v>
      </c>
      <c r="E158" s="403" t="n">
        <f t="shared" si="28"/>
        <v>-0.013421468392722189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7206.917461794679</v>
      </c>
      <c r="E159" s="403" t="n">
        <f t="shared" si="28"/>
        <v>1.0</v>
      </c>
      <c r="F159" s="613" t="n">
        <v>7234.91756696251</v>
      </c>
      <c r="G159" s="403" t="n">
        <f t="shared" si="29"/>
        <v>1.0</v>
      </c>
      <c r="H159" s="614" t="n">
        <v>8382.63756330043</v>
      </c>
      <c r="I159" s="403" t="n">
        <f t="shared" si="30"/>
        <v>1.0</v>
      </c>
      <c r="J159" s="614" t="n">
        <v>9083.06240228491</v>
      </c>
      <c r="K159" s="403" t="n">
        <f t="shared" si="31"/>
        <v>1.0</v>
      </c>
      <c r="L159" s="614" t="n">
        <v>9402.78227469294</v>
      </c>
      <c r="M159" s="403" t="n">
        <f t="shared" si="32"/>
        <v>1.0</v>
      </c>
      <c r="N159" s="614" t="n">
        <v>9747.66730631992</v>
      </c>
      <c r="O159" s="403" t="n">
        <f t="shared" si="33"/>
        <v>1.0</v>
      </c>
      <c r="P159" s="614" t="n">
        <v>10153.3178902543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698.586885550919</v>
      </c>
      <c r="E160" s="403" t="n">
        <f t="shared" si="28"/>
        <v>0.09693282728077139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6508.33057624376</v>
      </c>
      <c r="E161" s="456" t="n">
        <f t="shared" si="28"/>
        <v>0.9030671727192287</v>
      </c>
      <c r="F161" s="618" t="n">
        <v>7234.91756696251</v>
      </c>
      <c r="G161" s="456" t="n">
        <f t="shared" si="29"/>
        <v>1.0</v>
      </c>
      <c r="H161" s="619" t="n">
        <v>8382.63756330043</v>
      </c>
      <c r="I161" s="456" t="n">
        <f t="shared" si="30"/>
        <v>1.0</v>
      </c>
      <c r="J161" s="619" t="n">
        <v>9083.06240228491</v>
      </c>
      <c r="K161" s="456" t="n">
        <f t="shared" si="31"/>
        <v>1.0</v>
      </c>
      <c r="L161" s="619" t="n">
        <v>9402.78227469294</v>
      </c>
      <c r="M161" s="456" t="n">
        <f t="shared" si="32"/>
        <v>1.0</v>
      </c>
      <c r="N161" s="619" t="n">
        <v>9747.66730631991</v>
      </c>
      <c r="O161" s="456" t="n">
        <f t="shared" si="33"/>
        <v>0.9999999999999991</v>
      </c>
      <c r="P161" s="619" t="n">
        <v>10153.3178902543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2026/09/11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川崎町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04324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R8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52.542</v>
      </c>
      <c r="E14" s="391" t="n">
        <v>168.56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0.5</v>
      </c>
      <c r="E15" s="405" t="n">
        <v>1.6666666666666667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0.16666666666666666</v>
      </c>
      <c r="E16" s="391" t="n">
        <v>0.4166666666666667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153.405</v>
      </c>
      <c r="E17" s="391" t="n">
        <v>118.694</v>
      </c>
      <c r="F17" s="392" t="n">
        <v>114.3072</v>
      </c>
      <c r="G17" s="408" t="n">
        <v>318.0</v>
      </c>
      <c r="H17" s="409" t="n">
        <v>318.0</v>
      </c>
      <c r="I17" s="409" t="n">
        <v>318.0</v>
      </c>
      <c r="J17" s="410" t="n">
        <f t="shared" si="0"/>
        <v>2.781976988326195</v>
      </c>
      <c r="K17" s="408" t="n">
        <v>318.0</v>
      </c>
      <c r="L17" s="411" t="n">
        <f t="shared" si="1"/>
        <v>2.781976988326195</v>
      </c>
      <c r="M17" s="408" t="n">
        <v>318.0</v>
      </c>
      <c r="N17" s="411" t="n">
        <f t="shared" si="2"/>
        <v>2.781976988326195</v>
      </c>
      <c r="O17" s="408" t="n">
        <v>318.0</v>
      </c>
      <c r="P17" s="411" t="n">
        <f t="shared" si="3"/>
        <v>2.781976988326195</v>
      </c>
      <c r="Q17" s="408" t="n">
        <v>318.0</v>
      </c>
      <c r="R17" s="411" t="n">
        <f t="shared" si="4"/>
        <v>2.781976988326195</v>
      </c>
      <c r="S17" s="408" t="n">
        <v>318.0</v>
      </c>
      <c r="T17" s="403" t="n">
        <f t="shared" si="5"/>
        <v>2.781976988326195</v>
      </c>
    </row>
    <row r="18" spans="1:20">
      <c r="A18" s="19"/>
      <c r="B18" s="1056"/>
      <c r="C18" s="389" t="s">
        <v>19</v>
      </c>
      <c r="D18" s="404" t="n">
        <v>3.75</v>
      </c>
      <c r="E18" s="405" t="n">
        <v>2.8333333333333335</v>
      </c>
      <c r="F18" s="406" t="n">
        <v>2.8</v>
      </c>
      <c r="G18" s="407" t="n">
        <v>7.8</v>
      </c>
      <c r="H18" s="405" t="n">
        <v>7.8</v>
      </c>
      <c r="I18" s="405" t="n">
        <v>7.8</v>
      </c>
      <c r="J18" s="412" t="n">
        <f t="shared" si="0"/>
        <v>2.785714285714286</v>
      </c>
      <c r="K18" s="407" t="n">
        <v>7.8</v>
      </c>
      <c r="L18" s="403" t="n">
        <f t="shared" si="1"/>
        <v>2.785714285714286</v>
      </c>
      <c r="M18" s="407" t="n">
        <v>7.8</v>
      </c>
      <c r="N18" s="403" t="n">
        <f t="shared" si="2"/>
        <v>2.785714285714286</v>
      </c>
      <c r="O18" s="407" t="n">
        <v>7.8</v>
      </c>
      <c r="P18" s="403" t="n">
        <f t="shared" si="3"/>
        <v>2.785714285714286</v>
      </c>
      <c r="Q18" s="407" t="n">
        <v>7.8</v>
      </c>
      <c r="R18" s="403" t="n">
        <f t="shared" si="4"/>
        <v>2.785714285714286</v>
      </c>
      <c r="S18" s="407" t="n">
        <v>7.8</v>
      </c>
      <c r="T18" s="403" t="n">
        <f t="shared" si="5"/>
        <v>2.785714285714286</v>
      </c>
    </row>
    <row r="19" spans="1:20">
      <c r="A19" s="19"/>
      <c r="B19" s="753"/>
      <c r="C19" s="389" t="s">
        <v>17</v>
      </c>
      <c r="D19" s="390" t="n">
        <v>0.9166666666666666</v>
      </c>
      <c r="E19" s="391" t="n">
        <v>1.0</v>
      </c>
      <c r="F19" s="392" t="n">
        <v>1.0</v>
      </c>
      <c r="G19" s="401" t="n">
        <v>1.0</v>
      </c>
      <c r="H19" s="391" t="n">
        <v>1.0</v>
      </c>
      <c r="I19" s="391" t="n">
        <v>1.0</v>
      </c>
      <c r="J19" s="402" t="n">
        <f t="shared" si="0"/>
        <v>1.0</v>
      </c>
      <c r="K19" s="401" t="n">
        <v>1.0</v>
      </c>
      <c r="L19" s="403" t="n">
        <f t="shared" si="1"/>
        <v>1.0</v>
      </c>
      <c r="M19" s="401" t="n">
        <v>1.0</v>
      </c>
      <c r="N19" s="403" t="n">
        <f t="shared" si="2"/>
        <v>1.0</v>
      </c>
      <c r="O19" s="401" t="n">
        <v>1.0</v>
      </c>
      <c r="P19" s="403" t="n">
        <f t="shared" si="3"/>
        <v>1.0</v>
      </c>
      <c r="Q19" s="401" t="n">
        <v>1.0</v>
      </c>
      <c r="R19" s="403" t="n">
        <f t="shared" si="4"/>
        <v>1.0</v>
      </c>
      <c r="S19" s="401" t="n">
        <v>1.0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2263.051</v>
      </c>
      <c r="E20" s="391" t="n">
        <v>2212.932</v>
      </c>
      <c r="F20" s="392" t="n">
        <v>2246.6412</v>
      </c>
      <c r="G20" s="408" t="n">
        <v>4437.0</v>
      </c>
      <c r="H20" s="409" t="n">
        <v>4119.0</v>
      </c>
      <c r="I20" s="409" t="n">
        <v>4119.0</v>
      </c>
      <c r="J20" s="410" t="n">
        <f t="shared" si="0"/>
        <v>1.8805851152378048</v>
      </c>
      <c r="K20" s="408" t="n">
        <v>4119.0</v>
      </c>
      <c r="L20" s="411" t="n">
        <f t="shared" si="1"/>
        <v>1.833403571518229</v>
      </c>
      <c r="M20" s="408" t="n">
        <v>4586.0</v>
      </c>
      <c r="N20" s="411" t="n">
        <f t="shared" si="2"/>
        <v>2.041269429226171</v>
      </c>
      <c r="O20" s="408" t="n">
        <v>4586.0</v>
      </c>
      <c r="P20" s="411" t="n">
        <f t="shared" si="3"/>
        <v>2.041269429226171</v>
      </c>
      <c r="Q20" s="408" t="n">
        <v>4586.0</v>
      </c>
      <c r="R20" s="411" t="n">
        <f t="shared" si="4"/>
        <v>2.041269429226171</v>
      </c>
      <c r="S20" s="408" t="n">
        <v>4119.0</v>
      </c>
      <c r="T20" s="403" t="n">
        <f t="shared" si="5"/>
        <v>1.833403571518229</v>
      </c>
    </row>
    <row r="21" spans="1:20">
      <c r="A21" s="19"/>
      <c r="B21" s="1056"/>
      <c r="C21" s="389" t="s">
        <v>19</v>
      </c>
      <c r="D21" s="404" t="n">
        <v>60.083333333333336</v>
      </c>
      <c r="E21" s="405" t="n">
        <v>57.666666666666664</v>
      </c>
      <c r="F21" s="406" t="n">
        <v>54.9</v>
      </c>
      <c r="G21" s="407" t="n">
        <v>109.0</v>
      </c>
      <c r="H21" s="405" t="n">
        <v>100.2</v>
      </c>
      <c r="I21" s="405" t="n">
        <v>100.2</v>
      </c>
      <c r="J21" s="402" t="n">
        <f t="shared" si="0"/>
        <v>1.8785670916818458</v>
      </c>
      <c r="K21" s="407" t="n">
        <v>100.2</v>
      </c>
      <c r="L21" s="403" t="n">
        <f t="shared" si="1"/>
        <v>1.825136612021858</v>
      </c>
      <c r="M21" s="407" t="n">
        <v>112.6</v>
      </c>
      <c r="N21" s="403" t="n">
        <f t="shared" si="2"/>
        <v>2.0510018214936245</v>
      </c>
      <c r="O21" s="407" t="n">
        <v>112.6</v>
      </c>
      <c r="P21" s="403" t="n">
        <f t="shared" si="3"/>
        <v>2.0510018214936245</v>
      </c>
      <c r="Q21" s="407" t="n">
        <v>112.6</v>
      </c>
      <c r="R21" s="403" t="n">
        <f t="shared" si="4"/>
        <v>2.0510018214936245</v>
      </c>
      <c r="S21" s="407" t="n">
        <v>100.2</v>
      </c>
      <c r="T21" s="403" t="n">
        <f t="shared" si="5"/>
        <v>1.825136612021858</v>
      </c>
    </row>
    <row r="22" spans="1:20">
      <c r="A22" s="19"/>
      <c r="B22" s="753"/>
      <c r="C22" s="389" t="s">
        <v>17</v>
      </c>
      <c r="D22" s="390" t="n">
        <v>5.0</v>
      </c>
      <c r="E22" s="391" t="n">
        <v>5.25</v>
      </c>
      <c r="F22" s="392" t="n">
        <v>5.0</v>
      </c>
      <c r="G22" s="401" t="n">
        <v>7.0</v>
      </c>
      <c r="H22" s="391" t="n">
        <v>6.0</v>
      </c>
      <c r="I22" s="391" t="n">
        <v>6.0</v>
      </c>
      <c r="J22" s="402" t="n">
        <f t="shared" si="0"/>
        <v>1.2666666666666666</v>
      </c>
      <c r="K22" s="401" t="n">
        <v>6.0</v>
      </c>
      <c r="L22" s="403" t="n">
        <f t="shared" si="1"/>
        <v>1.2</v>
      </c>
      <c r="M22" s="401" t="n">
        <v>7.0</v>
      </c>
      <c r="N22" s="403" t="n">
        <f t="shared" si="2"/>
        <v>1.4</v>
      </c>
      <c r="O22" s="401" t="n">
        <v>7.0</v>
      </c>
      <c r="P22" s="403" t="n">
        <f t="shared" si="3"/>
        <v>1.4</v>
      </c>
      <c r="Q22" s="401" t="n">
        <v>7.0</v>
      </c>
      <c r="R22" s="403" t="n">
        <f t="shared" si="4"/>
        <v>1.4</v>
      </c>
      <c r="S22" s="401" t="n">
        <v>6.0</v>
      </c>
      <c r="T22" s="403" t="n">
        <f t="shared" si="5"/>
        <v>1.2</v>
      </c>
    </row>
    <row r="23" spans="1:20">
      <c r="A23" s="19"/>
      <c r="B23" s="1055" t="s">
        <v>22</v>
      </c>
      <c r="C23" s="389" t="s">
        <v>16</v>
      </c>
      <c r="D23" s="390" t="n">
        <v>0.0</v>
      </c>
      <c r="E23" s="391" t="n">
        <v>0.0</v>
      </c>
      <c r="F23" s="392" t="n">
        <v>0.0</v>
      </c>
      <c r="G23" s="408" t="n">
        <v>0.0</v>
      </c>
      <c r="H23" s="409" t="n">
        <v>0.0</v>
      </c>
      <c r="I23" s="409" t="n">
        <v>0.0</v>
      </c>
      <c r="J23" s="410" t="str">
        <f t="shared" si="0"/>
        <v>－</v>
      </c>
      <c r="K23" s="408" t="n">
        <v>0.0</v>
      </c>
      <c r="L23" s="411" t="str">
        <f t="shared" si="1"/>
        <v>－</v>
      </c>
      <c r="M23" s="408" t="n">
        <v>0.0</v>
      </c>
      <c r="N23" s="411" t="str">
        <f t="shared" si="2"/>
        <v>－</v>
      </c>
      <c r="O23" s="408" t="n">
        <v>0.0</v>
      </c>
      <c r="P23" s="411" t="str">
        <f t="shared" si="3"/>
        <v>－</v>
      </c>
      <c r="Q23" s="408" t="n">
        <v>0.0</v>
      </c>
      <c r="R23" s="411" t="str">
        <f t="shared" si="4"/>
        <v>－</v>
      </c>
      <c r="S23" s="408" t="n">
        <v>0.0</v>
      </c>
      <c r="T23" s="403" t="str">
        <f t="shared" si="5"/>
        <v>－</v>
      </c>
    </row>
    <row r="24" spans="1:20">
      <c r="A24" s="19"/>
      <c r="B24" s="1059"/>
      <c r="C24" s="389" t="s">
        <v>17</v>
      </c>
      <c r="D24" s="390" t="n">
        <v>0.0</v>
      </c>
      <c r="E24" s="391" t="n">
        <v>0.0</v>
      </c>
      <c r="F24" s="392" t="n">
        <v>0.0</v>
      </c>
      <c r="G24" s="401" t="n">
        <v>0.0</v>
      </c>
      <c r="H24" s="391" t="n">
        <v>0.0</v>
      </c>
      <c r="I24" s="391" t="n">
        <v>0.0</v>
      </c>
      <c r="J24" s="402" t="str">
        <f t="shared" si="0"/>
        <v>－</v>
      </c>
      <c r="K24" s="401" t="n">
        <v>0.0</v>
      </c>
      <c r="L24" s="403" t="str">
        <f t="shared" si="1"/>
        <v>－</v>
      </c>
      <c r="M24" s="401" t="n">
        <v>0.0</v>
      </c>
      <c r="N24" s="403" t="str">
        <f t="shared" si="2"/>
        <v>－</v>
      </c>
      <c r="O24" s="401" t="n">
        <v>0.0</v>
      </c>
      <c r="P24" s="403" t="str">
        <f t="shared" si="3"/>
        <v>－</v>
      </c>
      <c r="Q24" s="401" t="n">
        <v>0.0</v>
      </c>
      <c r="R24" s="403" t="str">
        <f t="shared" si="4"/>
        <v>－</v>
      </c>
      <c r="S24" s="401" t="n">
        <v>0.0</v>
      </c>
      <c r="T24" s="403" t="str">
        <f t="shared" si="5"/>
        <v>－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18826.216</v>
      </c>
      <c r="E27" s="391" t="n">
        <v>17070.292</v>
      </c>
      <c r="F27" s="392" t="n">
        <v>16909.284</v>
      </c>
      <c r="G27" s="408" t="n">
        <v>22398.0</v>
      </c>
      <c r="H27" s="409" t="n">
        <v>22103.0</v>
      </c>
      <c r="I27" s="409" t="n">
        <v>22103.0</v>
      </c>
      <c r="J27" s="410" t="n">
        <f t="shared" ref="J27:J46" si="6">IFERROR(SUM(G27:I27)/3/F27,"－")</f>
        <v>1.3129670856160043</v>
      </c>
      <c r="K27" s="408" t="n">
        <v>22398.0</v>
      </c>
      <c r="L27" s="411" t="n">
        <f t="shared" ref="L27:L47" si="7">IFERROR(K27/F27,"－")</f>
        <v>1.3245977771737705</v>
      </c>
      <c r="M27" s="408" t="n">
        <v>24344.0</v>
      </c>
      <c r="N27" s="411" t="n">
        <f t="shared" si="2"/>
        <v>1.4396824844860374</v>
      </c>
      <c r="O27" s="408" t="n">
        <v>25700.0</v>
      </c>
      <c r="P27" s="411" t="n">
        <f t="shared" si="3"/>
        <v>1.5198751171250067</v>
      </c>
      <c r="Q27" s="408" t="n">
        <v>23754.0</v>
      </c>
      <c r="R27" s="411" t="n">
        <f t="shared" si="4"/>
        <v>1.4047904098127395</v>
      </c>
      <c r="S27" s="408" t="n">
        <v>21278.0</v>
      </c>
      <c r="T27" s="403" t="n">
        <f t="shared" si="5"/>
        <v>1.2583619744041203</v>
      </c>
    </row>
    <row r="28" spans="1:20">
      <c r="A28" s="19"/>
      <c r="B28" s="1059"/>
      <c r="C28" s="389" t="s">
        <v>17</v>
      </c>
      <c r="D28" s="390" t="n">
        <v>37.5</v>
      </c>
      <c r="E28" s="391" t="n">
        <v>34.666666666666664</v>
      </c>
      <c r="F28" s="392" t="n">
        <v>35.0</v>
      </c>
      <c r="G28" s="401" t="n">
        <v>52.0</v>
      </c>
      <c r="H28" s="391" t="n">
        <v>51.0</v>
      </c>
      <c r="I28" s="391" t="n">
        <v>51.0</v>
      </c>
      <c r="J28" s="402" t="n">
        <f t="shared" si="6"/>
        <v>1.4666666666666668</v>
      </c>
      <c r="K28" s="401" t="n">
        <v>52.0</v>
      </c>
      <c r="L28" s="403" t="n">
        <f t="shared" si="7"/>
        <v>1.4857142857142858</v>
      </c>
      <c r="M28" s="401" t="n">
        <v>57.0</v>
      </c>
      <c r="N28" s="403" t="n">
        <f t="shared" si="2"/>
        <v>1.6285714285714286</v>
      </c>
      <c r="O28" s="401" t="n">
        <v>60.0</v>
      </c>
      <c r="P28" s="403" t="n">
        <f t="shared" si="3"/>
        <v>1.7142857142857142</v>
      </c>
      <c r="Q28" s="401" t="n">
        <v>55.0</v>
      </c>
      <c r="R28" s="403" t="n">
        <f t="shared" si="4"/>
        <v>1.5714285714285714</v>
      </c>
      <c r="S28" s="401" t="n">
        <v>49.0</v>
      </c>
      <c r="T28" s="403" t="n">
        <f t="shared" si="5"/>
        <v>1.4</v>
      </c>
    </row>
    <row r="29" spans="1:20">
      <c r="A29" s="19"/>
      <c r="B29" s="1055" t="s">
        <v>24</v>
      </c>
      <c r="C29" s="389" t="s">
        <v>16</v>
      </c>
      <c r="D29" s="390" t="n">
        <v>57.912</v>
      </c>
      <c r="E29" s="391" t="n">
        <v>37.6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0.75</v>
      </c>
      <c r="E30" s="405" t="n">
        <v>0.4166666666666667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0.08333333333333333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260.084</v>
      </c>
      <c r="E32" s="391" t="n">
        <v>44.84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1.9166666666666667</v>
      </c>
      <c r="E33" s="405" t="n">
        <v>0.3333333333333333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0.5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2636.495</v>
      </c>
      <c r="E41" s="391" t="n">
        <v>3245.792</v>
      </c>
      <c r="F41" s="392" t="n">
        <v>3271.908</v>
      </c>
      <c r="G41" s="408" t="n">
        <v>4122.0</v>
      </c>
      <c r="H41" s="409" t="n">
        <v>4122.0</v>
      </c>
      <c r="I41" s="409" t="n">
        <v>4224.0</v>
      </c>
      <c r="J41" s="402" t="n">
        <f t="shared" si="6"/>
        <v>1.2702068640071786</v>
      </c>
      <c r="K41" s="408" t="n">
        <v>4224.0</v>
      </c>
      <c r="L41" s="403" t="n">
        <f t="shared" si="7"/>
        <v>1.2909898444577292</v>
      </c>
      <c r="M41" s="408" t="n">
        <v>4621.0</v>
      </c>
      <c r="N41" s="403" t="n">
        <f t="shared" si="2"/>
        <v>1.4123257744410906</v>
      </c>
      <c r="O41" s="408" t="n">
        <v>4824.0</v>
      </c>
      <c r="P41" s="403" t="n">
        <f t="shared" si="3"/>
        <v>1.4743690837272931</v>
      </c>
      <c r="Q41" s="408" t="n">
        <v>4575.0</v>
      </c>
      <c r="R41" s="403" t="n">
        <f t="shared" si="4"/>
        <v>1.398266699430424</v>
      </c>
      <c r="S41" s="408" t="n">
        <v>4076.0</v>
      </c>
      <c r="T41" s="403" t="n">
        <f t="shared" si="5"/>
        <v>1.245756298771237</v>
      </c>
    </row>
    <row r="42" spans="1:20">
      <c r="A42" s="19"/>
      <c r="B42" s="1059"/>
      <c r="C42" s="389" t="s">
        <v>17</v>
      </c>
      <c r="D42" s="390" t="n">
        <v>33.166666666666664</v>
      </c>
      <c r="E42" s="391" t="n">
        <v>36.666666666666664</v>
      </c>
      <c r="F42" s="392" t="n">
        <v>36.0</v>
      </c>
      <c r="G42" s="401" t="n">
        <v>46.0</v>
      </c>
      <c r="H42" s="391" t="n">
        <v>46.0</v>
      </c>
      <c r="I42" s="391" t="n">
        <v>47.0</v>
      </c>
      <c r="J42" s="402" t="n">
        <f t="shared" si="6"/>
        <v>1.2870370370370372</v>
      </c>
      <c r="K42" s="401" t="n">
        <v>47.0</v>
      </c>
      <c r="L42" s="403" t="n">
        <f t="shared" si="7"/>
        <v>1.3055555555555556</v>
      </c>
      <c r="M42" s="401" t="n">
        <v>52.0</v>
      </c>
      <c r="N42" s="403" t="n">
        <f t="shared" si="2"/>
        <v>1.4444444444444444</v>
      </c>
      <c r="O42" s="401" t="n">
        <v>54.0</v>
      </c>
      <c r="P42" s="403" t="n">
        <f t="shared" si="3"/>
        <v>1.5</v>
      </c>
      <c r="Q42" s="401" t="n">
        <v>51.0</v>
      </c>
      <c r="R42" s="403" t="n">
        <f t="shared" si="4"/>
        <v>1.4166666666666667</v>
      </c>
      <c r="S42" s="401" t="n">
        <v>45.0</v>
      </c>
      <c r="T42" s="403" t="n">
        <f t="shared" si="5"/>
        <v>1.25</v>
      </c>
    </row>
    <row r="43" spans="1:20">
      <c r="A43" s="19"/>
      <c r="B43" s="1055" t="s">
        <v>29</v>
      </c>
      <c r="C43" s="389" t="s">
        <v>16</v>
      </c>
      <c r="D43" s="390" t="n">
        <v>70.686</v>
      </c>
      <c r="E43" s="391" t="n">
        <v>79.812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0.25</v>
      </c>
      <c r="E44" s="391" t="n">
        <v>0.25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311.4</v>
      </c>
      <c r="E45" s="391" t="n">
        <v>350.1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0.3333333333333333</v>
      </c>
      <c r="E46" s="391" t="n">
        <v>0.3333333333333333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0.0</v>
      </c>
      <c r="E53" s="391" t="n">
        <v>0.0</v>
      </c>
      <c r="F53" s="392" t="n">
        <v>0.0</v>
      </c>
      <c r="G53" s="408" t="n">
        <v>0.0</v>
      </c>
      <c r="H53" s="409" t="n">
        <v>0.0</v>
      </c>
      <c r="I53" s="409" t="n">
        <v>0.0</v>
      </c>
      <c r="J53" s="410" t="str">
        <f t="shared" si="8"/>
        <v>－</v>
      </c>
      <c r="K53" s="408" t="n">
        <v>0.0</v>
      </c>
      <c r="L53" s="411" t="str">
        <f t="shared" si="9"/>
        <v>－</v>
      </c>
      <c r="M53" s="408" t="n">
        <v>0.0</v>
      </c>
      <c r="N53" s="411" t="str">
        <f t="shared" si="2"/>
        <v>－</v>
      </c>
      <c r="O53" s="408" t="n">
        <v>0.0</v>
      </c>
      <c r="P53" s="411" t="str">
        <f t="shared" si="3"/>
        <v>－</v>
      </c>
      <c r="Q53" s="408" t="n">
        <v>0.0</v>
      </c>
      <c r="R53" s="411" t="str">
        <f t="shared" si="4"/>
        <v>－</v>
      </c>
      <c r="S53" s="408" t="n">
        <v>0.0</v>
      </c>
      <c r="T53" s="403" t="str">
        <f t="shared" si="10"/>
        <v>－</v>
      </c>
    </row>
    <row r="54" spans="1:20">
      <c r="A54" s="19"/>
      <c r="B54" s="1059"/>
      <c r="C54" s="389" t="s">
        <v>17</v>
      </c>
      <c r="D54" s="390" t="n">
        <v>0.0</v>
      </c>
      <c r="E54" s="391" t="n">
        <v>0.0</v>
      </c>
      <c r="F54" s="392" t="n">
        <v>0.0</v>
      </c>
      <c r="G54" s="401" t="n">
        <v>0.0</v>
      </c>
      <c r="H54" s="391" t="n">
        <v>0.0</v>
      </c>
      <c r="I54" s="391" t="n">
        <v>0.0</v>
      </c>
      <c r="J54" s="402" t="str">
        <f t="shared" si="8"/>
        <v>－</v>
      </c>
      <c r="K54" s="401" t="n">
        <v>0.0</v>
      </c>
      <c r="L54" s="403" t="str">
        <f t="shared" si="9"/>
        <v>－</v>
      </c>
      <c r="M54" s="401" t="n">
        <v>0.0</v>
      </c>
      <c r="N54" s="403" t="str">
        <f t="shared" si="2"/>
        <v>－</v>
      </c>
      <c r="O54" s="401" t="n">
        <v>0.0</v>
      </c>
      <c r="P54" s="403" t="str">
        <f t="shared" si="3"/>
        <v>－</v>
      </c>
      <c r="Q54" s="401" t="n">
        <v>0.0</v>
      </c>
      <c r="R54" s="403" t="str">
        <f t="shared" si="4"/>
        <v>－</v>
      </c>
      <c r="S54" s="401" t="n">
        <v>0.0</v>
      </c>
      <c r="T54" s="403" t="str">
        <f t="shared" si="10"/>
        <v>－</v>
      </c>
    </row>
    <row r="55" spans="1:20">
      <c r="A55" s="19"/>
      <c r="B55" s="1060" t="s">
        <v>35</v>
      </c>
      <c r="C55" s="389" t="s">
        <v>16</v>
      </c>
      <c r="D55" s="390" t="n">
        <v>0.0</v>
      </c>
      <c r="E55" s="391" t="n">
        <v>4349.2970000000005</v>
      </c>
      <c r="F55" s="392" t="n">
        <v>3086.664</v>
      </c>
      <c r="G55" s="408" t="n">
        <v>0.0</v>
      </c>
      <c r="H55" s="409" t="n">
        <v>0.0</v>
      </c>
      <c r="I55" s="409" t="n">
        <v>0.0</v>
      </c>
      <c r="J55" s="410" t="n">
        <f t="shared" si="8"/>
        <v>0.0</v>
      </c>
      <c r="K55" s="408" t="n">
        <v>0.0</v>
      </c>
      <c r="L55" s="411" t="n">
        <f t="shared" si="9"/>
        <v>0.0</v>
      </c>
      <c r="M55" s="408" t="n">
        <v>0.0</v>
      </c>
      <c r="N55" s="411" t="n">
        <f t="shared" si="2"/>
        <v>0.0</v>
      </c>
      <c r="O55" s="408" t="n">
        <v>0.0</v>
      </c>
      <c r="P55" s="411" t="n">
        <f t="shared" si="3"/>
        <v>0.0</v>
      </c>
      <c r="Q55" s="408" t="n">
        <v>0.0</v>
      </c>
      <c r="R55" s="411" t="n">
        <f t="shared" si="4"/>
        <v>0.0</v>
      </c>
      <c r="S55" s="408" t="n">
        <v>0.0</v>
      </c>
      <c r="T55" s="403" t="n">
        <f t="shared" si="10"/>
        <v>0.0</v>
      </c>
    </row>
    <row r="56" spans="1:20" ht="14.25" thickBot="1">
      <c r="A56" s="19"/>
      <c r="B56" s="1062"/>
      <c r="C56" s="389" t="s">
        <v>17</v>
      </c>
      <c r="D56" s="438" t="n">
        <v>0.0</v>
      </c>
      <c r="E56" s="427" t="n">
        <v>1.4166666666666667</v>
      </c>
      <c r="F56" s="439" t="n">
        <v>1.0</v>
      </c>
      <c r="G56" s="426" t="n">
        <v>0.0</v>
      </c>
      <c r="H56" s="427" t="n">
        <v>0.0</v>
      </c>
      <c r="I56" s="427" t="n">
        <v>0.0</v>
      </c>
      <c r="J56" s="428" t="n">
        <f t="shared" si="8"/>
        <v>0.0</v>
      </c>
      <c r="K56" s="426" t="n">
        <v>0.0</v>
      </c>
      <c r="L56" s="429" t="n">
        <f t="shared" si="9"/>
        <v>0.0</v>
      </c>
      <c r="M56" s="426" t="n">
        <v>0.0</v>
      </c>
      <c r="N56" s="429" t="n">
        <f t="shared" si="2"/>
        <v>0.0</v>
      </c>
      <c r="O56" s="426" t="n">
        <v>0.0</v>
      </c>
      <c r="P56" s="429" t="n">
        <f t="shared" si="3"/>
        <v>0.0</v>
      </c>
      <c r="Q56" s="426" t="n">
        <v>0.0</v>
      </c>
      <c r="R56" s="429" t="n">
        <f t="shared" si="4"/>
        <v>0.0</v>
      </c>
      <c r="S56" s="426" t="n">
        <v>0.0</v>
      </c>
      <c r="T56" s="429" t="n">
        <f t="shared" ref="T56:T61" si="11">IFERROR(S56/F56,"－")</f>
        <v>0.0</v>
      </c>
    </row>
    <row r="57" spans="1:20">
      <c r="A57" s="20" t="s">
        <v>111</v>
      </c>
      <c r="B57" s="440"/>
      <c r="C57" s="441" t="s">
        <v>16</v>
      </c>
      <c r="D57" s="442" t="n">
        <v>2373.716</v>
      </c>
      <c r="E57" s="443" t="n">
        <v>4609.719</v>
      </c>
      <c r="F57" s="444" t="n">
        <v>3760.38</v>
      </c>
      <c r="G57" s="445" t="n">
        <v>5036.0</v>
      </c>
      <c r="H57" s="446" t="n">
        <v>4918.0</v>
      </c>
      <c r="I57" s="446" t="n">
        <v>5046.0</v>
      </c>
      <c r="J57" s="447" t="n">
        <f t="shared" si="8"/>
        <v>1.3296528542328168</v>
      </c>
      <c r="K57" s="445" t="n">
        <v>5041.0</v>
      </c>
      <c r="L57" s="448" t="n">
        <f t="shared" si="9"/>
        <v>1.340556007637526</v>
      </c>
      <c r="M57" s="445" t="n">
        <v>5591.0</v>
      </c>
      <c r="N57" s="448" t="n">
        <f t="shared" si="2"/>
        <v>1.4868178216031358</v>
      </c>
      <c r="O57" s="445" t="n">
        <v>5841.0</v>
      </c>
      <c r="P57" s="448" t="n">
        <f t="shared" si="3"/>
        <v>1.5533004643147768</v>
      </c>
      <c r="Q57" s="445" t="n">
        <v>5537.0</v>
      </c>
      <c r="R57" s="448" t="n">
        <f t="shared" si="4"/>
        <v>1.4724575707774215</v>
      </c>
      <c r="S57" s="445" t="n">
        <v>4796.0</v>
      </c>
      <c r="T57" s="448" t="n">
        <f t="shared" si="11"/>
        <v>1.2754030177801179</v>
      </c>
    </row>
    <row r="58" spans="1:20" ht="14.25" thickBot="1">
      <c r="A58" s="21"/>
      <c r="B58" s="449"/>
      <c r="C58" s="450" t="s">
        <v>17</v>
      </c>
      <c r="D58" s="451" t="n">
        <v>58.0</v>
      </c>
      <c r="E58" s="452" t="n">
        <v>59.75</v>
      </c>
      <c r="F58" s="453" t="n">
        <v>60.0</v>
      </c>
      <c r="G58" s="454" t="n">
        <v>81.0</v>
      </c>
      <c r="H58" s="452" t="n">
        <v>79.0</v>
      </c>
      <c r="I58" s="452" t="n">
        <v>81.0</v>
      </c>
      <c r="J58" s="455" t="n">
        <f t="shared" si="8"/>
        <v>1.3388888888888888</v>
      </c>
      <c r="K58" s="454" t="n">
        <v>81.0</v>
      </c>
      <c r="L58" s="456" t="n">
        <f t="shared" si="9"/>
        <v>1.35</v>
      </c>
      <c r="M58" s="454" t="n">
        <v>90.0</v>
      </c>
      <c r="N58" s="456" t="n">
        <f t="shared" si="2"/>
        <v>1.5</v>
      </c>
      <c r="O58" s="454" t="n">
        <v>94.0</v>
      </c>
      <c r="P58" s="456" t="n">
        <f t="shared" si="3"/>
        <v>1.5666666666666667</v>
      </c>
      <c r="Q58" s="454" t="n">
        <v>89.0</v>
      </c>
      <c r="R58" s="456" t="n">
        <f t="shared" si="4"/>
        <v>1.4833333333333334</v>
      </c>
      <c r="S58" s="454" t="n">
        <v>77.0</v>
      </c>
      <c r="T58" s="456" t="n">
        <f t="shared" si="11"/>
        <v>1.2833333333333334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27005.507</v>
      </c>
      <c r="E61" s="460" t="n">
        <f>IF(ISERROR(SUM(E12,E14,E17,E20,E23,E25,E27,E29,E32,E35,E38,E41,E43,E45,E47,E50,E53,E55,E57)),0,(SUM(E12,E14,E17,E20,E23,E25,E27,E29,E32,E35,E38,E41,E43,E45,E47,E50,E53,E55,E57)))</f>
        <v>32287.638000000003</v>
      </c>
      <c r="F61" s="461" t="n">
        <f>IF(ISERROR(SUM(F12,F14,F17,F20,F23,F25,F27,F29,F32,F35,F38,F41,F43,F45,F47,F50,F53,F55,F57)),0,(SUM(F12,F14,F17,F20,F23,F25,F27,F29,F32,F35,F38,F41,F43,F45,F47,F50,F53,F55,F57)))</f>
        <v>29389.184400000002</v>
      </c>
      <c r="G61" s="462" t="n">
        <f>IF(ISERROR(SUM(G12,G14,G17,G20,G23,G25,G27,G29,G32,G35,G38,G41,G43,G45,G47,G50,G53,G55,G57)),0,(SUM(G12,G14,G17,G20,G23,G25,G27,G29,G32,G35,G38,G41,G43,G45,G47,G50,G53,G55,G57)))</f>
        <v>36311.0</v>
      </c>
      <c r="H61" s="460" t="n">
        <f>IF(ISERROR(SUM(H12,H14,H17,H20,H23,H25,H27,H29,H32,H35,H38,H41,H43,H45,H47,H50,H53,H55,H57,H59)),0,(SUM(H12,H14,H17,H20,H23,H25,H27,H29,H32,H35,H38,H41,H43,H45,H47,H50,H53,H55,H57,H59)))</f>
        <v>35580.0</v>
      </c>
      <c r="I61" s="460" t="n">
        <f>IF(ISERROR(SUM(I12,I14,I17,I20,I23,I25,I27,I29,I32,I35,I38,I41,I43,I45,I47,I50,I53,I55,I57,I59)),0,(SUM(I12,I14,I17,I20,I23,I25,I27,I29,I32,I35,I38,I41,I43,I45,I47,I50,I53,I55,I57,I59)))</f>
        <v>35810.0</v>
      </c>
      <c r="J61" s="463" t="n">
        <f t="shared" si="8"/>
        <v>1.2215491537537644</v>
      </c>
      <c r="K61" s="462" t="n">
        <f>IF(ISERROR(SUM(K12,K14,K17,K20,K23,K25,K27,K29,K32,K35,K38,K41,K43,K45,K47,K50,K53,K55,K57,K59)),0,(SUM(K12,K14,K17,K20,K23,K25,K27,K29,K32,K35,K38,K41,K43,K45,K47,K50,K53,K55,K57,K59)))</f>
        <v>36100.0</v>
      </c>
      <c r="L61" s="464" t="n">
        <f t="shared" si="9"/>
        <v>1.2283430362905885</v>
      </c>
      <c r="M61" s="462" t="n">
        <f>IF(ISERROR(SUM(M12,M14,M17,M20,M23,M25,M27,M29,M32,M35,M38,M41,M43,M45,M47,M50,M53,M55,M57,M59)),0,(SUM(M12,M14,M17,M20,M23,M25,M27,M29,M32,M35,M38,M41,M43,M45,M47,M50,M53,M55,M57,M59)))</f>
        <v>39460.0</v>
      </c>
      <c r="N61" s="464" t="n">
        <f t="shared" si="2"/>
        <v>1.3426708091974133</v>
      </c>
      <c r="O61" s="462" t="n">
        <f>IF(ISERROR(SUM(O12,O14,O17,O20,O23,O25,O27,O29,O32,O35,O38,O41,O43,O45,O47,O50,O53,O55,O57,O59)),0,(SUM(O12,O14,O17,O20,O23,O25,O27,O29,O32,O35,O38,O41,O43,O45,O47,O50,O53,O55,O57,O59)))</f>
        <v>41269.0</v>
      </c>
      <c r="P61" s="464" t="n">
        <f t="shared" si="3"/>
        <v>1.4042240655034985</v>
      </c>
      <c r="Q61" s="462" t="n">
        <f>IF(ISERROR(SUM(Q12,Q14,Q17,Q20,Q23,Q25,Q27,Q29,Q32,Q35,Q38,Q41,Q43,Q45,Q47,Q50,Q53,Q55,Q57,Q59)),0,(SUM(Q12,Q14,Q17,Q20,Q23,Q25,Q27,Q29,Q32,Q35,Q38,Q41,Q43,Q45,Q47,Q50,Q53,Q55,Q57,Q59)))</f>
        <v>38770.0</v>
      </c>
      <c r="R61" s="464" t="n">
        <f t="shared" si="4"/>
        <v>1.3191927844040476</v>
      </c>
      <c r="S61" s="462" t="n">
        <f>IF(ISERROR(SUM(S12,S14,S17,S20,S23,S25,S27,S29,S32,S35,S38,S41,S43,S45,S47,S50,S53,S55,S57,S59)),0,(SUM(S12,S14,S17,S20,S23,S25,S27,S29,S32,S35,S38,S41,S43,S45,S47,S50,S53,S55,S57,S59)))</f>
        <v>34587.0</v>
      </c>
      <c r="T61" s="464" t="n">
        <f t="shared" si="11"/>
        <v>1.1768615123596284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40913.158</v>
      </c>
      <c r="E68" s="409" t="n">
        <v>27780.871</v>
      </c>
      <c r="F68" s="473" t="n">
        <v>29917.6176</v>
      </c>
      <c r="G68" s="408" t="n">
        <v>17663.0</v>
      </c>
      <c r="H68" s="409" t="n">
        <v>17747.0</v>
      </c>
      <c r="I68" s="474" t="n">
        <v>17838.0</v>
      </c>
      <c r="J68" s="410" t="n">
        <f t="shared" ref="J68:J101" si="17">IFERROR(SUM(G68:I68)/3/F68,"－")</f>
        <v>0.5932736212703424</v>
      </c>
      <c r="K68" s="408" t="n">
        <v>16319.0</v>
      </c>
      <c r="L68" s="411" t="n">
        <f t="shared" ref="L68:L105" si="18">IFERROR(K68/F68,"－")</f>
        <v>0.5454645559745372</v>
      </c>
      <c r="M68" s="408" t="n">
        <v>17596.0</v>
      </c>
      <c r="N68" s="411" t="n">
        <f>IFERROR(M68/F68,"－")</f>
        <v>0.588148435990438</v>
      </c>
      <c r="O68" s="408" t="n">
        <v>18208.0</v>
      </c>
      <c r="P68" s="411" t="n">
        <f>IFERROR(O68/F68,"－")</f>
        <v>0.6086046102815352</v>
      </c>
      <c r="Q68" s="408" t="n">
        <v>17881.0</v>
      </c>
      <c r="R68" s="411" t="n">
        <f>IFERROR(Q68/F68,"－")</f>
        <v>0.5976745955867823</v>
      </c>
      <c r="S68" s="408" t="n">
        <v>16604.0</v>
      </c>
      <c r="T68" s="411" t="n">
        <f>IFERROR(S68/F68,"－")</f>
        <v>0.5549907155708815</v>
      </c>
    </row>
    <row r="69" spans="1:20">
      <c r="A69" s="19"/>
      <c r="B69" s="1056"/>
      <c r="C69" s="389" t="s">
        <v>19</v>
      </c>
      <c r="D69" s="475" t="n">
        <v>1180.25</v>
      </c>
      <c r="E69" s="476" t="n">
        <v>705.3333333333334</v>
      </c>
      <c r="F69" s="477" t="n">
        <v>706.6</v>
      </c>
      <c r="G69" s="478" t="n">
        <v>416.6</v>
      </c>
      <c r="H69" s="476" t="n">
        <v>418.8</v>
      </c>
      <c r="I69" s="479" t="n">
        <v>421.2</v>
      </c>
      <c r="J69" s="402" t="n">
        <f t="shared" si="17"/>
        <v>0.5927917728087556</v>
      </c>
      <c r="K69" s="478" t="n">
        <v>386.5</v>
      </c>
      <c r="L69" s="403" t="n">
        <f t="shared" si="18"/>
        <v>0.5469855646759127</v>
      </c>
      <c r="M69" s="478" t="n">
        <v>415.7</v>
      </c>
      <c r="N69" s="403" t="n">
        <f t="shared" ref="N69:N134" si="19">IFERROR(M69/F69,"－")</f>
        <v>0.5883102179450891</v>
      </c>
      <c r="O69" s="478" t="n">
        <v>429.1</v>
      </c>
      <c r="P69" s="403" t="n">
        <f t="shared" ref="P69:P134" si="20">IFERROR(O69/F69,"－")</f>
        <v>0.6072742711576564</v>
      </c>
      <c r="Q69" s="478" t="n">
        <v>422.0</v>
      </c>
      <c r="R69" s="403" t="n">
        <f t="shared" ref="R69:R134" si="21">IFERROR(Q69/F69,"－")</f>
        <v>0.5972261534106991</v>
      </c>
      <c r="S69" s="478" t="n">
        <v>392.8</v>
      </c>
      <c r="T69" s="411" t="n">
        <f t="shared" ref="T69:T106" si="22">IFERROR(S69/F69,"－")</f>
        <v>0.5559015001415227</v>
      </c>
    </row>
    <row r="70" spans="1:20">
      <c r="A70" s="19"/>
      <c r="B70" s="753"/>
      <c r="C70" s="389" t="s">
        <v>17</v>
      </c>
      <c r="D70" s="472" t="n">
        <v>34.75</v>
      </c>
      <c r="E70" s="409" t="n">
        <v>33.166666666666664</v>
      </c>
      <c r="F70" s="473" t="n">
        <v>33.0</v>
      </c>
      <c r="G70" s="408" t="n">
        <v>28.0</v>
      </c>
      <c r="H70" s="409" t="n">
        <v>28.0</v>
      </c>
      <c r="I70" s="474" t="n">
        <v>28.0</v>
      </c>
      <c r="J70" s="402" t="n">
        <f t="shared" si="17"/>
        <v>0.8484848484848485</v>
      </c>
      <c r="K70" s="408" t="n">
        <v>24.0</v>
      </c>
      <c r="L70" s="403" t="n">
        <f t="shared" si="18"/>
        <v>0.7272727272727273</v>
      </c>
      <c r="M70" s="408" t="n">
        <v>27.0</v>
      </c>
      <c r="N70" s="403" t="n">
        <f t="shared" si="19"/>
        <v>0.8181818181818182</v>
      </c>
      <c r="O70" s="408" t="n">
        <v>29.0</v>
      </c>
      <c r="P70" s="403" t="n">
        <f t="shared" si="20"/>
        <v>0.8787878787878788</v>
      </c>
      <c r="Q70" s="408" t="n">
        <v>28.0</v>
      </c>
      <c r="R70" s="403" t="n">
        <f t="shared" si="21"/>
        <v>0.8484848484848485</v>
      </c>
      <c r="S70" s="408" t="n">
        <v>25.0</v>
      </c>
      <c r="T70" s="411" t="n">
        <f t="shared" si="22"/>
        <v>0.7575757575757576</v>
      </c>
    </row>
    <row r="71" spans="1:20">
      <c r="A71" s="19"/>
      <c r="B71" s="1055" t="s">
        <v>40</v>
      </c>
      <c r="C71" s="389" t="s">
        <v>16</v>
      </c>
      <c r="D71" s="472" t="n">
        <v>4766.748</v>
      </c>
      <c r="E71" s="409" t="n">
        <v>2668.09</v>
      </c>
      <c r="F71" s="473" t="n">
        <v>2061.3072</v>
      </c>
      <c r="G71" s="408" t="n">
        <v>0.0</v>
      </c>
      <c r="H71" s="409" t="n">
        <v>0.0</v>
      </c>
      <c r="I71" s="474" t="n">
        <v>0.0</v>
      </c>
      <c r="J71" s="410" t="n">
        <f t="shared" si="17"/>
        <v>0.0</v>
      </c>
      <c r="K71" s="408" t="n">
        <v>0.0</v>
      </c>
      <c r="L71" s="411" t="n">
        <f t="shared" si="18"/>
        <v>0.0</v>
      </c>
      <c r="M71" s="408" t="n">
        <v>0.0</v>
      </c>
      <c r="N71" s="411" t="n">
        <f t="shared" si="19"/>
        <v>0.0</v>
      </c>
      <c r="O71" s="408" t="n">
        <v>0.0</v>
      </c>
      <c r="P71" s="411" t="n">
        <f t="shared" si="20"/>
        <v>0.0</v>
      </c>
      <c r="Q71" s="408" t="n">
        <v>0.0</v>
      </c>
      <c r="R71" s="411" t="n">
        <f t="shared" si="21"/>
        <v>0.0</v>
      </c>
      <c r="S71" s="408" t="n">
        <v>0.0</v>
      </c>
      <c r="T71" s="411" t="n">
        <f t="shared" si="22"/>
        <v>0.0</v>
      </c>
    </row>
    <row r="72" spans="1:20">
      <c r="A72" s="19"/>
      <c r="B72" s="1056"/>
      <c r="C72" s="389" t="s">
        <v>19</v>
      </c>
      <c r="D72" s="472" t="n">
        <v>29.25</v>
      </c>
      <c r="E72" s="409" t="n">
        <v>17.166666666666668</v>
      </c>
      <c r="F72" s="473" t="n">
        <v>18.0</v>
      </c>
      <c r="G72" s="478" t="n">
        <v>0.0</v>
      </c>
      <c r="H72" s="476" t="n">
        <v>0.0</v>
      </c>
      <c r="I72" s="479" t="n">
        <v>0.0</v>
      </c>
      <c r="J72" s="402" t="n">
        <f t="shared" si="17"/>
        <v>0.0</v>
      </c>
      <c r="K72" s="478" t="n">
        <v>0.0</v>
      </c>
      <c r="L72" s="403" t="n">
        <f t="shared" si="18"/>
        <v>0.0</v>
      </c>
      <c r="M72" s="478" t="n">
        <v>0.0</v>
      </c>
      <c r="N72" s="403" t="n">
        <f t="shared" si="19"/>
        <v>0.0</v>
      </c>
      <c r="O72" s="478" t="n">
        <v>0.0</v>
      </c>
      <c r="P72" s="403" t="n">
        <f t="shared" si="20"/>
        <v>0.0</v>
      </c>
      <c r="Q72" s="478" t="n">
        <v>0.0</v>
      </c>
      <c r="R72" s="403" t="n">
        <f t="shared" si="21"/>
        <v>0.0</v>
      </c>
      <c r="S72" s="478" t="n">
        <v>0.0</v>
      </c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6.25</v>
      </c>
      <c r="E73" s="409" t="n">
        <v>3.8333333333333335</v>
      </c>
      <c r="F73" s="473" t="n">
        <v>4.0</v>
      </c>
      <c r="G73" s="408" t="n">
        <v>0.0</v>
      </c>
      <c r="H73" s="409" t="n">
        <v>0.0</v>
      </c>
      <c r="I73" s="474" t="n">
        <v>0.0</v>
      </c>
      <c r="J73" s="402" t="n">
        <f t="shared" si="17"/>
        <v>0.0</v>
      </c>
      <c r="K73" s="408" t="n">
        <v>0.0</v>
      </c>
      <c r="L73" s="403" t="n">
        <f t="shared" si="18"/>
        <v>0.0</v>
      </c>
      <c r="M73" s="408" t="n">
        <v>0.0</v>
      </c>
      <c r="N73" s="403" t="n">
        <f t="shared" si="19"/>
        <v>0.0</v>
      </c>
      <c r="O73" s="408" t="n">
        <v>0.0</v>
      </c>
      <c r="P73" s="403" t="n">
        <f t="shared" si="20"/>
        <v>0.0</v>
      </c>
      <c r="Q73" s="408" t="n">
        <v>0.0</v>
      </c>
      <c r="R73" s="403" t="n">
        <f t="shared" si="21"/>
        <v>0.0</v>
      </c>
      <c r="S73" s="408" t="n">
        <v>0.0</v>
      </c>
      <c r="T73" s="411" t="n">
        <f t="shared" si="22"/>
        <v>0.0</v>
      </c>
    </row>
    <row r="74" spans="1:20">
      <c r="A74" s="19"/>
      <c r="B74" s="1055" t="s">
        <v>41</v>
      </c>
      <c r="C74" s="389" t="s">
        <v>16</v>
      </c>
      <c r="D74" s="472" t="n">
        <v>1431.81</v>
      </c>
      <c r="E74" s="409" t="n">
        <v>3032.9519999999998</v>
      </c>
      <c r="F74" s="473" t="n">
        <v>2628.678</v>
      </c>
      <c r="G74" s="408" t="n">
        <v>12297.0</v>
      </c>
      <c r="H74" s="409" t="n">
        <v>12358.0</v>
      </c>
      <c r="I74" s="474" t="n">
        <v>13165.0</v>
      </c>
      <c r="J74" s="410" t="n">
        <f t="shared" si="17"/>
        <v>4.79582005352754</v>
      </c>
      <c r="K74" s="408" t="n">
        <v>13165.0</v>
      </c>
      <c r="L74" s="411" t="n">
        <f t="shared" si="18"/>
        <v>5.008220862349821</v>
      </c>
      <c r="M74" s="408" t="n">
        <v>14750.0</v>
      </c>
      <c r="N74" s="411" t="n">
        <f t="shared" si="19"/>
        <v>5.611185546499039</v>
      </c>
      <c r="O74" s="408" t="n">
        <v>14750.0</v>
      </c>
      <c r="P74" s="411" t="n">
        <f t="shared" si="20"/>
        <v>5.611185546499039</v>
      </c>
      <c r="Q74" s="408" t="n">
        <v>13958.0</v>
      </c>
      <c r="R74" s="411" t="n">
        <f t="shared" si="21"/>
        <v>5.309893414103972</v>
      </c>
      <c r="S74" s="408" t="n">
        <v>12373.0</v>
      </c>
      <c r="T74" s="411" t="n">
        <f t="shared" si="22"/>
        <v>4.706928729954753</v>
      </c>
    </row>
    <row r="75" spans="1:20">
      <c r="A75" s="19"/>
      <c r="B75" s="1056"/>
      <c r="C75" s="389" t="s">
        <v>19</v>
      </c>
      <c r="D75" s="475" t="n">
        <v>23.25</v>
      </c>
      <c r="E75" s="476" t="n">
        <v>57.166666666666664</v>
      </c>
      <c r="F75" s="477" t="n">
        <v>60.0</v>
      </c>
      <c r="G75" s="478" t="n">
        <v>266.4</v>
      </c>
      <c r="H75" s="476" t="n">
        <v>267.2</v>
      </c>
      <c r="I75" s="479" t="n">
        <v>285.3</v>
      </c>
      <c r="J75" s="402" t="n">
        <f t="shared" si="17"/>
        <v>4.549444444444444</v>
      </c>
      <c r="K75" s="478" t="n">
        <v>285.3</v>
      </c>
      <c r="L75" s="403" t="n">
        <f t="shared" si="18"/>
        <v>4.755</v>
      </c>
      <c r="M75" s="478" t="n">
        <v>321.1</v>
      </c>
      <c r="N75" s="403" t="n">
        <f t="shared" si="19"/>
        <v>5.3516666666666675</v>
      </c>
      <c r="O75" s="478" t="n">
        <v>321.1</v>
      </c>
      <c r="P75" s="403" t="n">
        <f t="shared" si="20"/>
        <v>5.3516666666666675</v>
      </c>
      <c r="Q75" s="478" t="n">
        <v>303.2</v>
      </c>
      <c r="R75" s="403" t="n">
        <f t="shared" si="21"/>
        <v>5.053333333333333</v>
      </c>
      <c r="S75" s="478" t="n">
        <v>267.4</v>
      </c>
      <c r="T75" s="411" t="n">
        <f t="shared" si="22"/>
        <v>4.456666666666666</v>
      </c>
    </row>
    <row r="76" spans="1:20">
      <c r="A76" s="19"/>
      <c r="B76" s="753"/>
      <c r="C76" s="389" t="s">
        <v>17</v>
      </c>
      <c r="D76" s="472" t="n">
        <v>4.333333333333333</v>
      </c>
      <c r="E76" s="409" t="n">
        <v>7.0</v>
      </c>
      <c r="F76" s="473" t="n">
        <v>7.0</v>
      </c>
      <c r="G76" s="408" t="n">
        <v>16.0</v>
      </c>
      <c r="H76" s="409" t="n">
        <v>16.0</v>
      </c>
      <c r="I76" s="474" t="n">
        <v>17.0</v>
      </c>
      <c r="J76" s="402" t="n">
        <f t="shared" si="17"/>
        <v>2.333333333333333</v>
      </c>
      <c r="K76" s="408" t="n">
        <v>17.0</v>
      </c>
      <c r="L76" s="403" t="n">
        <f t="shared" si="18"/>
        <v>2.4285714285714284</v>
      </c>
      <c r="M76" s="408" t="n">
        <v>19.0</v>
      </c>
      <c r="N76" s="403" t="n">
        <f t="shared" si="19"/>
        <v>2.7142857142857144</v>
      </c>
      <c r="O76" s="408" t="n">
        <v>19.0</v>
      </c>
      <c r="P76" s="403" t="n">
        <f t="shared" si="20"/>
        <v>2.7142857142857144</v>
      </c>
      <c r="Q76" s="408" t="n">
        <v>18.0</v>
      </c>
      <c r="R76" s="403" t="n">
        <f t="shared" si="21"/>
        <v>2.5714285714285716</v>
      </c>
      <c r="S76" s="408" t="n">
        <v>16.0</v>
      </c>
      <c r="T76" s="411" t="n">
        <f t="shared" si="22"/>
        <v>2.2857142857142856</v>
      </c>
    </row>
    <row r="77" spans="1:20">
      <c r="A77" s="19"/>
      <c r="B77" s="1055" t="s">
        <v>42</v>
      </c>
      <c r="C77" s="389" t="s">
        <v>16</v>
      </c>
      <c r="D77" s="472" t="n">
        <v>7120.221</v>
      </c>
      <c r="E77" s="409" t="n">
        <v>4721.447</v>
      </c>
      <c r="F77" s="473" t="n">
        <v>4499.3316</v>
      </c>
      <c r="G77" s="408" t="n">
        <v>5328.0</v>
      </c>
      <c r="H77" s="409" t="n">
        <v>4809.0</v>
      </c>
      <c r="I77" s="474" t="n">
        <v>4857.0</v>
      </c>
      <c r="J77" s="410" t="n">
        <f t="shared" si="17"/>
        <v>1.1108316621962249</v>
      </c>
      <c r="K77" s="408" t="n">
        <v>4857.0</v>
      </c>
      <c r="L77" s="411" t="n">
        <f t="shared" si="18"/>
        <v>1.0794936741270635</v>
      </c>
      <c r="M77" s="408" t="n">
        <v>5517.0</v>
      </c>
      <c r="N77" s="411" t="n">
        <f t="shared" si="19"/>
        <v>1.226182128918882</v>
      </c>
      <c r="O77" s="408" t="n">
        <v>5517.0</v>
      </c>
      <c r="P77" s="411" t="n">
        <f t="shared" si="20"/>
        <v>1.226182128918882</v>
      </c>
      <c r="Q77" s="408" t="n">
        <v>5517.0</v>
      </c>
      <c r="R77" s="411" t="n">
        <f t="shared" si="21"/>
        <v>1.226182128918882</v>
      </c>
      <c r="S77" s="408" t="n">
        <v>4857.0</v>
      </c>
      <c r="T77" s="411" t="n">
        <f t="shared" si="22"/>
        <v>1.0794936741270635</v>
      </c>
    </row>
    <row r="78" spans="1:20">
      <c r="A78" s="19"/>
      <c r="B78" s="1056"/>
      <c r="C78" s="389" t="s">
        <v>19</v>
      </c>
      <c r="D78" s="475" t="n">
        <v>165.41666666666666</v>
      </c>
      <c r="E78" s="476" t="n">
        <v>114.08333333333333</v>
      </c>
      <c r="F78" s="477" t="n">
        <v>109.9</v>
      </c>
      <c r="G78" s="478" t="n">
        <v>129.1</v>
      </c>
      <c r="H78" s="476" t="n">
        <v>116.2</v>
      </c>
      <c r="I78" s="479" t="n">
        <v>117.4</v>
      </c>
      <c r="J78" s="402" t="n">
        <f t="shared" si="17"/>
        <v>1.100090991810737</v>
      </c>
      <c r="K78" s="478" t="n">
        <v>117.4</v>
      </c>
      <c r="L78" s="403" t="n">
        <f t="shared" si="18"/>
        <v>1.0682438580527753</v>
      </c>
      <c r="M78" s="478" t="n">
        <v>133.8</v>
      </c>
      <c r="N78" s="403" t="n">
        <f t="shared" si="19"/>
        <v>1.2174704276615105</v>
      </c>
      <c r="O78" s="478" t="n">
        <v>133.8</v>
      </c>
      <c r="P78" s="403" t="n">
        <f t="shared" si="20"/>
        <v>1.2174704276615105</v>
      </c>
      <c r="Q78" s="478" t="n">
        <v>133.8</v>
      </c>
      <c r="R78" s="403" t="n">
        <f t="shared" si="21"/>
        <v>1.2174704276615105</v>
      </c>
      <c r="S78" s="478" t="n">
        <v>117.4</v>
      </c>
      <c r="T78" s="411" t="n">
        <f t="shared" si="22"/>
        <v>1.0682438580527753</v>
      </c>
    </row>
    <row r="79" spans="1:20">
      <c r="A79" s="19"/>
      <c r="B79" s="753"/>
      <c r="C79" s="389" t="s">
        <v>17</v>
      </c>
      <c r="D79" s="472" t="n">
        <v>12.833333333333334</v>
      </c>
      <c r="E79" s="409" t="n">
        <v>9.083333333333334</v>
      </c>
      <c r="F79" s="473" t="n">
        <v>9.0</v>
      </c>
      <c r="G79" s="408" t="n">
        <v>9.0</v>
      </c>
      <c r="H79" s="409" t="n">
        <v>8.0</v>
      </c>
      <c r="I79" s="474" t="n">
        <v>8.0</v>
      </c>
      <c r="J79" s="402" t="n">
        <f t="shared" si="17"/>
        <v>0.925925925925926</v>
      </c>
      <c r="K79" s="408" t="n">
        <v>8.0</v>
      </c>
      <c r="L79" s="403" t="n">
        <f t="shared" si="18"/>
        <v>0.8888888888888888</v>
      </c>
      <c r="M79" s="408" t="n">
        <v>9.0</v>
      </c>
      <c r="N79" s="403" t="n">
        <f t="shared" si="19"/>
        <v>1.0</v>
      </c>
      <c r="O79" s="408" t="n">
        <v>9.0</v>
      </c>
      <c r="P79" s="403" t="n">
        <f t="shared" si="20"/>
        <v>1.0</v>
      </c>
      <c r="Q79" s="408" t="n">
        <v>9.0</v>
      </c>
      <c r="R79" s="403" t="n">
        <f t="shared" si="21"/>
        <v>1.0</v>
      </c>
      <c r="S79" s="408" t="n">
        <v>8.0</v>
      </c>
      <c r="T79" s="411" t="n">
        <f t="shared" si="22"/>
        <v>0.8888888888888888</v>
      </c>
    </row>
    <row r="80" spans="1:20">
      <c r="A80" s="19"/>
      <c r="B80" s="1055" t="s">
        <v>43</v>
      </c>
      <c r="C80" s="389" t="s">
        <v>16</v>
      </c>
      <c r="D80" s="472" t="n">
        <v>1323.69</v>
      </c>
      <c r="E80" s="409" t="n">
        <v>1217.366</v>
      </c>
      <c r="F80" s="473" t="n">
        <v>1170.408</v>
      </c>
      <c r="G80" s="408" t="n">
        <v>1571.0</v>
      </c>
      <c r="H80" s="409" t="n">
        <v>1571.0</v>
      </c>
      <c r="I80" s="474" t="n">
        <v>1452.0</v>
      </c>
      <c r="J80" s="410" t="n">
        <f t="shared" si="17"/>
        <v>1.3083756547574295</v>
      </c>
      <c r="K80" s="408" t="n">
        <v>1452.0</v>
      </c>
      <c r="L80" s="411" t="n">
        <f t="shared" si="18"/>
        <v>1.240593023971128</v>
      </c>
      <c r="M80" s="408" t="n">
        <v>1546.0</v>
      </c>
      <c r="N80" s="411" t="n">
        <f t="shared" si="19"/>
        <v>1.3209068974238045</v>
      </c>
      <c r="O80" s="408" t="n">
        <v>1546.0</v>
      </c>
      <c r="P80" s="411" t="n">
        <f t="shared" si="20"/>
        <v>1.3209068974238045</v>
      </c>
      <c r="Q80" s="408" t="n">
        <v>1546.0</v>
      </c>
      <c r="R80" s="411" t="n">
        <f t="shared" si="21"/>
        <v>1.3209068974238045</v>
      </c>
      <c r="S80" s="408" t="n">
        <v>1452.0</v>
      </c>
      <c r="T80" s="411" t="n">
        <f t="shared" si="22"/>
        <v>1.240593023971128</v>
      </c>
    </row>
    <row r="81" spans="1:20">
      <c r="A81" s="19"/>
      <c r="B81" s="1059"/>
      <c r="C81" s="389" t="s">
        <v>17</v>
      </c>
      <c r="D81" s="472" t="n">
        <v>7.833333333333333</v>
      </c>
      <c r="E81" s="409" t="n">
        <v>8.166666666666666</v>
      </c>
      <c r="F81" s="473" t="n">
        <v>9.0</v>
      </c>
      <c r="G81" s="408" t="n">
        <v>12.0</v>
      </c>
      <c r="H81" s="409" t="n">
        <v>12.0</v>
      </c>
      <c r="I81" s="474" t="n">
        <v>11.0</v>
      </c>
      <c r="J81" s="402" t="n">
        <f t="shared" si="17"/>
        <v>1.2962962962962963</v>
      </c>
      <c r="K81" s="408" t="n">
        <v>11.0</v>
      </c>
      <c r="L81" s="403" t="n">
        <f t="shared" si="18"/>
        <v>1.2222222222222223</v>
      </c>
      <c r="M81" s="408" t="n">
        <v>12.0</v>
      </c>
      <c r="N81" s="403" t="n">
        <f t="shared" si="19"/>
        <v>1.3333333333333333</v>
      </c>
      <c r="O81" s="408" t="n">
        <v>12.0</v>
      </c>
      <c r="P81" s="403" t="n">
        <f t="shared" si="20"/>
        <v>1.3333333333333333</v>
      </c>
      <c r="Q81" s="408" t="n">
        <v>12.0</v>
      </c>
      <c r="R81" s="403" t="n">
        <f t="shared" si="21"/>
        <v>1.3333333333333333</v>
      </c>
      <c r="S81" s="408" t="n">
        <v>11.0</v>
      </c>
      <c r="T81" s="411" t="n">
        <f t="shared" si="22"/>
        <v>1.2222222222222223</v>
      </c>
    </row>
    <row r="82" spans="1:20">
      <c r="A82" s="19"/>
      <c r="B82" s="1055" t="s">
        <v>44</v>
      </c>
      <c r="C82" s="389" t="s">
        <v>16</v>
      </c>
      <c r="D82" s="472" t="n">
        <v>64272.218</v>
      </c>
      <c r="E82" s="409" t="n">
        <v>62331.952</v>
      </c>
      <c r="F82" s="473" t="n">
        <v>62600.4624</v>
      </c>
      <c r="G82" s="408" t="n">
        <v>57862.0</v>
      </c>
      <c r="H82" s="409" t="n">
        <v>58230.0</v>
      </c>
      <c r="I82" s="474" t="n">
        <v>57296.0</v>
      </c>
      <c r="J82" s="410" t="n">
        <f t="shared" si="17"/>
        <v>0.9232519662666262</v>
      </c>
      <c r="K82" s="408" t="n">
        <v>49132.0</v>
      </c>
      <c r="L82" s="411" t="n">
        <f t="shared" si="18"/>
        <v>0.7848504326702865</v>
      </c>
      <c r="M82" s="408" t="n">
        <v>54955.0</v>
      </c>
      <c r="N82" s="411" t="n">
        <f t="shared" si="19"/>
        <v>0.8778689149107628</v>
      </c>
      <c r="O82" s="408" t="n">
        <v>59119.0</v>
      </c>
      <c r="P82" s="411" t="n">
        <f t="shared" si="20"/>
        <v>0.9443859954619122</v>
      </c>
      <c r="Q82" s="408" t="n">
        <v>60487.0</v>
      </c>
      <c r="R82" s="411" t="n">
        <f t="shared" si="21"/>
        <v>0.96623886918765</v>
      </c>
      <c r="S82" s="408" t="n">
        <v>52363.0</v>
      </c>
      <c r="T82" s="411" t="n">
        <f t="shared" si="22"/>
        <v>0.8364634699567332</v>
      </c>
    </row>
    <row r="83" spans="1:20">
      <c r="A83" s="19"/>
      <c r="B83" s="1056"/>
      <c r="C83" s="389" t="s">
        <v>19</v>
      </c>
      <c r="D83" s="472" t="n">
        <v>601.5</v>
      </c>
      <c r="E83" s="409" t="n">
        <v>534.8333333333334</v>
      </c>
      <c r="F83" s="473" t="n">
        <v>533.5</v>
      </c>
      <c r="G83" s="478" t="n">
        <v>474.4</v>
      </c>
      <c r="H83" s="476" t="n">
        <v>477.6</v>
      </c>
      <c r="I83" s="479" t="n">
        <v>468.5</v>
      </c>
      <c r="J83" s="402" t="n">
        <f t="shared" si="17"/>
        <v>0.887535145267104</v>
      </c>
      <c r="K83" s="478" t="n">
        <v>404.2</v>
      </c>
      <c r="L83" s="403" t="n">
        <f t="shared" si="18"/>
        <v>0.7576382380506091</v>
      </c>
      <c r="M83" s="478" t="n">
        <v>453.7</v>
      </c>
      <c r="N83" s="403" t="n">
        <f t="shared" si="19"/>
        <v>0.8504217432052483</v>
      </c>
      <c r="O83" s="478" t="n">
        <v>484.8</v>
      </c>
      <c r="P83" s="403" t="n">
        <f t="shared" si="20"/>
        <v>0.9087160262417995</v>
      </c>
      <c r="Q83" s="478" t="n">
        <v>492.0</v>
      </c>
      <c r="R83" s="403" t="n">
        <f t="shared" si="21"/>
        <v>0.922211808809747</v>
      </c>
      <c r="S83" s="478" t="n">
        <v>424.2</v>
      </c>
      <c r="T83" s="411" t="n">
        <f t="shared" si="22"/>
        <v>0.7951265229615745</v>
      </c>
    </row>
    <row r="84" spans="1:20">
      <c r="A84" s="19"/>
      <c r="B84" s="753"/>
      <c r="C84" s="389" t="s">
        <v>17</v>
      </c>
      <c r="D84" s="472" t="n">
        <v>58.833333333333336</v>
      </c>
      <c r="E84" s="409" t="n">
        <v>53.166666666666664</v>
      </c>
      <c r="F84" s="473" t="n">
        <v>53.0</v>
      </c>
      <c r="G84" s="408" t="n">
        <v>50.0</v>
      </c>
      <c r="H84" s="409" t="n">
        <v>51.0</v>
      </c>
      <c r="I84" s="474" t="n">
        <v>50.0</v>
      </c>
      <c r="J84" s="402" t="n">
        <f t="shared" si="17"/>
        <v>0.949685534591195</v>
      </c>
      <c r="K84" s="408" t="n">
        <v>46.0</v>
      </c>
      <c r="L84" s="403" t="n">
        <f t="shared" si="18"/>
        <v>0.8679245283018868</v>
      </c>
      <c r="M84" s="408" t="n">
        <v>51.0</v>
      </c>
      <c r="N84" s="403" t="n">
        <f t="shared" si="19"/>
        <v>0.9622641509433962</v>
      </c>
      <c r="O84" s="408" t="n">
        <v>54.0</v>
      </c>
      <c r="P84" s="403" t="n">
        <f t="shared" si="20"/>
        <v>1.0188679245283019</v>
      </c>
      <c r="Q84" s="408" t="n">
        <v>55.0</v>
      </c>
      <c r="R84" s="403" t="n">
        <f t="shared" si="21"/>
        <v>1.0377358490566038</v>
      </c>
      <c r="S84" s="408" t="n">
        <v>47.0</v>
      </c>
      <c r="T84" s="411" t="n">
        <f t="shared" si="22"/>
        <v>0.8867924528301887</v>
      </c>
    </row>
    <row r="85" spans="1:20">
      <c r="A85" s="19"/>
      <c r="B85" s="1055" t="s">
        <v>45</v>
      </c>
      <c r="C85" s="389" t="s">
        <v>16</v>
      </c>
      <c r="D85" s="472" t="n">
        <v>103573.781</v>
      </c>
      <c r="E85" s="409" t="n">
        <v>98355.296</v>
      </c>
      <c r="F85" s="473" t="n">
        <v>99231.9876</v>
      </c>
      <c r="G85" s="408" t="n">
        <v>77862.0</v>
      </c>
      <c r="H85" s="409" t="n">
        <v>80245.0</v>
      </c>
      <c r="I85" s="474" t="n">
        <v>81549.0</v>
      </c>
      <c r="J85" s="410" t="n">
        <f t="shared" si="17"/>
        <v>0.8050361104863462</v>
      </c>
      <c r="K85" s="408" t="n">
        <v>76722.0</v>
      </c>
      <c r="L85" s="411" t="n">
        <f t="shared" si="18"/>
        <v>0.7731579489192858</v>
      </c>
      <c r="M85" s="408" t="n">
        <v>85717.0</v>
      </c>
      <c r="N85" s="411" t="n">
        <f t="shared" si="19"/>
        <v>0.8638041227746204</v>
      </c>
      <c r="O85" s="408" t="n">
        <v>89131.0</v>
      </c>
      <c r="P85" s="411" t="n">
        <f t="shared" si="20"/>
        <v>0.89820835151749</v>
      </c>
      <c r="Q85" s="408" t="n">
        <v>86128.0</v>
      </c>
      <c r="R85" s="411" t="n">
        <f t="shared" si="21"/>
        <v>0.8679459323860204</v>
      </c>
      <c r="S85" s="408" t="n">
        <v>75185.0</v>
      </c>
      <c r="T85" s="411" t="n">
        <f t="shared" si="22"/>
        <v>0.7576689918080408</v>
      </c>
    </row>
    <row r="86" spans="1:20">
      <c r="A86" s="19"/>
      <c r="B86" s="1056"/>
      <c r="C86" s="389" t="s">
        <v>19</v>
      </c>
      <c r="D86" s="475" t="n">
        <v>823.5833333333334</v>
      </c>
      <c r="E86" s="476" t="n">
        <v>760.0</v>
      </c>
      <c r="F86" s="477" t="n">
        <v>758.5</v>
      </c>
      <c r="G86" s="478" t="n">
        <v>593.6</v>
      </c>
      <c r="H86" s="476" t="n">
        <v>613.1</v>
      </c>
      <c r="I86" s="479" t="n">
        <v>624.5</v>
      </c>
      <c r="J86" s="402" t="n">
        <f t="shared" si="17"/>
        <v>0.8047462096242584</v>
      </c>
      <c r="K86" s="478" t="n">
        <v>591.3</v>
      </c>
      <c r="L86" s="403" t="n">
        <f t="shared" si="18"/>
        <v>0.7795649307844429</v>
      </c>
      <c r="M86" s="478" t="n">
        <v>660.6</v>
      </c>
      <c r="N86" s="403" t="n">
        <f t="shared" si="19"/>
        <v>0.8709294660514173</v>
      </c>
      <c r="O86" s="478" t="n">
        <v>687.8</v>
      </c>
      <c r="P86" s="403" t="n">
        <f t="shared" si="20"/>
        <v>0.9067897165458141</v>
      </c>
      <c r="Q86" s="478" t="n">
        <v>662.8</v>
      </c>
      <c r="R86" s="403" t="n">
        <f t="shared" si="21"/>
        <v>0.873829927488464</v>
      </c>
      <c r="S86" s="478" t="n">
        <v>577.0</v>
      </c>
      <c r="T86" s="411" t="n">
        <f t="shared" si="22"/>
        <v>0.7607119314436388</v>
      </c>
    </row>
    <row r="87" spans="1:20">
      <c r="A87" s="19"/>
      <c r="B87" s="753"/>
      <c r="C87" s="389" t="s">
        <v>17</v>
      </c>
      <c r="D87" s="472" t="n">
        <v>87.41666666666667</v>
      </c>
      <c r="E87" s="409" t="n">
        <v>86.91666666666667</v>
      </c>
      <c r="F87" s="473" t="n">
        <v>87.0</v>
      </c>
      <c r="G87" s="408" t="n">
        <v>70.0</v>
      </c>
      <c r="H87" s="409" t="n">
        <v>72.0</v>
      </c>
      <c r="I87" s="474" t="n">
        <v>73.0</v>
      </c>
      <c r="J87" s="402" t="n">
        <f t="shared" si="17"/>
        <v>0.8237547892720307</v>
      </c>
      <c r="K87" s="408" t="n">
        <v>69.0</v>
      </c>
      <c r="L87" s="403" t="n">
        <f t="shared" si="18"/>
        <v>0.7931034482758621</v>
      </c>
      <c r="M87" s="408" t="n">
        <v>77.0</v>
      </c>
      <c r="N87" s="403" t="n">
        <f t="shared" si="19"/>
        <v>0.8850574712643678</v>
      </c>
      <c r="O87" s="408" t="n">
        <v>80.0</v>
      </c>
      <c r="P87" s="403" t="n">
        <f t="shared" si="20"/>
        <v>0.9195402298850575</v>
      </c>
      <c r="Q87" s="408" t="n">
        <v>77.0</v>
      </c>
      <c r="R87" s="403" t="n">
        <f t="shared" si="21"/>
        <v>0.8850574712643678</v>
      </c>
      <c r="S87" s="408" t="n">
        <v>67.0</v>
      </c>
      <c r="T87" s="411" t="n">
        <f t="shared" si="22"/>
        <v>0.7701149425287356</v>
      </c>
    </row>
    <row r="88" spans="1:20">
      <c r="A88" s="19"/>
      <c r="B88" s="1055" t="s">
        <v>46</v>
      </c>
      <c r="C88" s="389" t="s">
        <v>16</v>
      </c>
      <c r="D88" s="472" t="n">
        <v>12160.06</v>
      </c>
      <c r="E88" s="409" t="n">
        <v>15794.416</v>
      </c>
      <c r="F88" s="473" t="n">
        <v>14475.5664</v>
      </c>
      <c r="G88" s="408" t="n">
        <v>22388.0</v>
      </c>
      <c r="H88" s="409" t="n">
        <v>21952.0</v>
      </c>
      <c r="I88" s="474" t="n">
        <v>22002.0</v>
      </c>
      <c r="J88" s="410" t="n">
        <f t="shared" si="17"/>
        <v>1.5276777010949982</v>
      </c>
      <c r="K88" s="408" t="n">
        <v>22002.0</v>
      </c>
      <c r="L88" s="411" t="n">
        <f t="shared" si="18"/>
        <v>1.5199405254360203</v>
      </c>
      <c r="M88" s="408" t="n">
        <v>24610.0</v>
      </c>
      <c r="N88" s="411" t="n">
        <f t="shared" si="19"/>
        <v>1.7001061872093655</v>
      </c>
      <c r="O88" s="408" t="n">
        <v>25970.0</v>
      </c>
      <c r="P88" s="411" t="n">
        <f t="shared" si="20"/>
        <v>1.794057605925527</v>
      </c>
      <c r="Q88" s="408" t="n">
        <v>25970.0</v>
      </c>
      <c r="R88" s="411" t="n">
        <f t="shared" si="21"/>
        <v>1.794057605925527</v>
      </c>
      <c r="S88" s="408" t="n">
        <v>22002.0</v>
      </c>
      <c r="T88" s="411" t="n">
        <f t="shared" si="22"/>
        <v>1.5199405254360203</v>
      </c>
    </row>
    <row r="89" spans="1:20">
      <c r="A89" s="19"/>
      <c r="B89" s="1056"/>
      <c r="C89" s="389" t="s">
        <v>25</v>
      </c>
      <c r="D89" s="475" t="n">
        <v>109.91666666666667</v>
      </c>
      <c r="E89" s="476" t="n">
        <v>138.5</v>
      </c>
      <c r="F89" s="477" t="n">
        <v>129.9</v>
      </c>
      <c r="G89" s="478" t="n">
        <v>232.6</v>
      </c>
      <c r="H89" s="476" t="n">
        <v>228.4</v>
      </c>
      <c r="I89" s="479" t="n">
        <v>228.8</v>
      </c>
      <c r="J89" s="402" t="n">
        <f t="shared" si="17"/>
        <v>1.7700795483705412</v>
      </c>
      <c r="K89" s="478" t="n">
        <v>228.8</v>
      </c>
      <c r="L89" s="403" t="n">
        <f t="shared" si="18"/>
        <v>1.7613548883756736</v>
      </c>
      <c r="M89" s="478" t="n">
        <v>259.8</v>
      </c>
      <c r="N89" s="403" t="n">
        <f t="shared" si="19"/>
        <v>2.0</v>
      </c>
      <c r="O89" s="478" t="n">
        <v>271.2</v>
      </c>
      <c r="P89" s="403" t="n">
        <f t="shared" si="20"/>
        <v>2.087759815242494</v>
      </c>
      <c r="Q89" s="478" t="n">
        <v>271.2</v>
      </c>
      <c r="R89" s="403" t="n">
        <f t="shared" si="21"/>
        <v>2.087759815242494</v>
      </c>
      <c r="S89" s="478" t="n">
        <v>228.8</v>
      </c>
      <c r="T89" s="411" t="n">
        <f t="shared" si="22"/>
        <v>1.7613548883756736</v>
      </c>
    </row>
    <row r="90" spans="1:20">
      <c r="A90" s="19"/>
      <c r="B90" s="753"/>
      <c r="C90" s="389" t="s">
        <v>17</v>
      </c>
      <c r="D90" s="472" t="n">
        <v>9.916666666666666</v>
      </c>
      <c r="E90" s="409" t="n">
        <v>15.166666666666666</v>
      </c>
      <c r="F90" s="473" t="n">
        <v>14.0</v>
      </c>
      <c r="G90" s="408" t="n">
        <v>16.0</v>
      </c>
      <c r="H90" s="409" t="n">
        <v>15.0</v>
      </c>
      <c r="I90" s="474" t="n">
        <v>15.0</v>
      </c>
      <c r="J90" s="402" t="n">
        <f t="shared" si="17"/>
        <v>1.0952380952380953</v>
      </c>
      <c r="K90" s="408" t="n">
        <v>15.0</v>
      </c>
      <c r="L90" s="403" t="n">
        <f t="shared" si="18"/>
        <v>1.0714285714285714</v>
      </c>
      <c r="M90" s="408" t="n">
        <v>16.0</v>
      </c>
      <c r="N90" s="403" t="n">
        <f t="shared" si="19"/>
        <v>1.1428571428571428</v>
      </c>
      <c r="O90" s="408" t="n">
        <v>18.0</v>
      </c>
      <c r="P90" s="403" t="n">
        <f t="shared" si="20"/>
        <v>1.2857142857142858</v>
      </c>
      <c r="Q90" s="408" t="n">
        <v>18.0</v>
      </c>
      <c r="R90" s="403" t="n">
        <f t="shared" si="21"/>
        <v>1.2857142857142858</v>
      </c>
      <c r="S90" s="408" t="n">
        <v>15.0</v>
      </c>
      <c r="T90" s="411" t="n">
        <f t="shared" si="22"/>
        <v>1.0714285714285714</v>
      </c>
    </row>
    <row r="91" spans="1:20">
      <c r="A91" s="19"/>
      <c r="B91" s="1057" t="s">
        <v>47</v>
      </c>
      <c r="C91" s="389" t="s">
        <v>16</v>
      </c>
      <c r="D91" s="472" t="n">
        <v>9878.141</v>
      </c>
      <c r="E91" s="409" t="n">
        <v>8613.493</v>
      </c>
      <c r="F91" s="473" t="n">
        <v>7712.2752</v>
      </c>
      <c r="G91" s="408" t="n">
        <v>16521.0</v>
      </c>
      <c r="H91" s="409" t="n">
        <v>17050.0</v>
      </c>
      <c r="I91" s="474" t="n">
        <v>17050.0</v>
      </c>
      <c r="J91" s="410" t="n">
        <f t="shared" si="17"/>
        <v>2.1878973751697384</v>
      </c>
      <c r="K91" s="408" t="n">
        <v>14739.0</v>
      </c>
      <c r="L91" s="411" t="n">
        <f t="shared" si="18"/>
        <v>1.9111091886347624</v>
      </c>
      <c r="M91" s="408" t="n">
        <v>14739.0</v>
      </c>
      <c r="N91" s="411" t="n">
        <f t="shared" si="19"/>
        <v>1.9111091886347624</v>
      </c>
      <c r="O91" s="408" t="n">
        <v>17050.0</v>
      </c>
      <c r="P91" s="411" t="n">
        <f t="shared" si="20"/>
        <v>2.210761358723299</v>
      </c>
      <c r="Q91" s="408" t="n">
        <v>17050.0</v>
      </c>
      <c r="R91" s="411" t="n">
        <f t="shared" si="21"/>
        <v>2.210761358723299</v>
      </c>
      <c r="S91" s="408" t="n">
        <v>14739.0</v>
      </c>
      <c r="T91" s="411" t="n">
        <f t="shared" si="22"/>
        <v>1.9111091886347624</v>
      </c>
    </row>
    <row r="92" spans="1:20">
      <c r="A92" s="19"/>
      <c r="B92" s="1058"/>
      <c r="C92" s="389" t="s">
        <v>25</v>
      </c>
      <c r="D92" s="475" t="n">
        <v>71.25</v>
      </c>
      <c r="E92" s="476" t="n">
        <v>58.916666666666664</v>
      </c>
      <c r="F92" s="477" t="n">
        <v>55.5</v>
      </c>
      <c r="G92" s="478" t="n">
        <v>109.1</v>
      </c>
      <c r="H92" s="476" t="n">
        <v>112.6</v>
      </c>
      <c r="I92" s="479" t="n">
        <v>112.6</v>
      </c>
      <c r="J92" s="402" t="n">
        <f t="shared" si="17"/>
        <v>2.0078078078078074</v>
      </c>
      <c r="K92" s="478" t="n">
        <v>97.3</v>
      </c>
      <c r="L92" s="403" t="n">
        <f t="shared" si="18"/>
        <v>1.753153153153153</v>
      </c>
      <c r="M92" s="478" t="n">
        <v>97.3</v>
      </c>
      <c r="N92" s="403" t="n">
        <f t="shared" si="19"/>
        <v>1.753153153153153</v>
      </c>
      <c r="O92" s="478" t="n">
        <v>112.6</v>
      </c>
      <c r="P92" s="403" t="n">
        <f t="shared" si="20"/>
        <v>2.0288288288288285</v>
      </c>
      <c r="Q92" s="478" t="n">
        <v>112.6</v>
      </c>
      <c r="R92" s="403" t="n">
        <f t="shared" si="21"/>
        <v>2.0288288288288285</v>
      </c>
      <c r="S92" s="478" t="n">
        <v>97.3</v>
      </c>
      <c r="T92" s="411" t="n">
        <f t="shared" si="22"/>
        <v>1.753153153153153</v>
      </c>
    </row>
    <row r="93" spans="1:20">
      <c r="A93" s="19"/>
      <c r="B93" s="753"/>
      <c r="C93" s="389" t="s">
        <v>17</v>
      </c>
      <c r="D93" s="472" t="n">
        <v>10.583333333333334</v>
      </c>
      <c r="E93" s="409" t="n">
        <v>8.416666666666666</v>
      </c>
      <c r="F93" s="473" t="n">
        <v>8.0</v>
      </c>
      <c r="G93" s="408" t="n">
        <v>9.0</v>
      </c>
      <c r="H93" s="409" t="n">
        <v>9.0</v>
      </c>
      <c r="I93" s="474" t="n">
        <v>9.0</v>
      </c>
      <c r="J93" s="402" t="n">
        <f t="shared" si="17"/>
        <v>1.125</v>
      </c>
      <c r="K93" s="408" t="n">
        <v>8.0</v>
      </c>
      <c r="L93" s="403" t="n">
        <f t="shared" si="18"/>
        <v>1.0</v>
      </c>
      <c r="M93" s="408" t="n">
        <v>8.0</v>
      </c>
      <c r="N93" s="403" t="n">
        <f t="shared" si="19"/>
        <v>1.0</v>
      </c>
      <c r="O93" s="408" t="n">
        <v>9.0</v>
      </c>
      <c r="P93" s="403" t="n">
        <f t="shared" si="20"/>
        <v>1.125</v>
      </c>
      <c r="Q93" s="408" t="n">
        <v>9.0</v>
      </c>
      <c r="R93" s="403" t="n">
        <f t="shared" si="21"/>
        <v>1.125</v>
      </c>
      <c r="S93" s="408" t="n">
        <v>8.0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21282.201</v>
      </c>
      <c r="E100" s="409" t="n">
        <v>20500.129</v>
      </c>
      <c r="F100" s="473" t="n">
        <v>19495.572</v>
      </c>
      <c r="G100" s="408" t="n">
        <v>22854.0</v>
      </c>
      <c r="H100" s="409" t="n">
        <v>23135.0</v>
      </c>
      <c r="I100" s="474" t="n">
        <v>23372.0</v>
      </c>
      <c r="J100" s="410" t="n">
        <f t="shared" si="17"/>
        <v>1.1859274164068299</v>
      </c>
      <c r="K100" s="408" t="n">
        <v>21505.0</v>
      </c>
      <c r="L100" s="411" t="n">
        <f t="shared" si="18"/>
        <v>1.1030709947879447</v>
      </c>
      <c r="M100" s="408" t="n">
        <v>23364.0</v>
      </c>
      <c r="N100" s="411" t="n">
        <f t="shared" si="19"/>
        <v>1.1984259810381557</v>
      </c>
      <c r="O100" s="408" t="n">
        <v>25199.0</v>
      </c>
      <c r="P100" s="411" t="n">
        <f t="shared" si="20"/>
        <v>1.29254991851483</v>
      </c>
      <c r="Q100" s="408" t="n">
        <v>24476.0</v>
      </c>
      <c r="R100" s="411" t="n">
        <f t="shared" si="21"/>
        <v>1.2554645742120314</v>
      </c>
      <c r="S100" s="408" t="n">
        <v>21908.0</v>
      </c>
      <c r="T100" s="411" t="n">
        <f t="shared" si="22"/>
        <v>1.1237423554435848</v>
      </c>
    </row>
    <row r="101" spans="1:20">
      <c r="A101" s="19"/>
      <c r="B101" s="1059"/>
      <c r="C101" s="389" t="s">
        <v>17</v>
      </c>
      <c r="D101" s="472" t="n">
        <v>125.83333333333333</v>
      </c>
      <c r="E101" s="409" t="n">
        <v>128.25</v>
      </c>
      <c r="F101" s="473" t="n">
        <v>128.0</v>
      </c>
      <c r="G101" s="408" t="n">
        <v>147.0</v>
      </c>
      <c r="H101" s="409" t="n">
        <v>150.0</v>
      </c>
      <c r="I101" s="474" t="n">
        <v>152.0</v>
      </c>
      <c r="J101" s="402" t="n">
        <f t="shared" si="17"/>
        <v>1.1692708333333333</v>
      </c>
      <c r="K101" s="408" t="n">
        <v>141.0</v>
      </c>
      <c r="L101" s="403" t="n">
        <f t="shared" si="18"/>
        <v>1.1015625</v>
      </c>
      <c r="M101" s="408" t="n">
        <v>154.0</v>
      </c>
      <c r="N101" s="403" t="n">
        <f t="shared" si="19"/>
        <v>1.203125</v>
      </c>
      <c r="O101" s="408" t="n">
        <v>165.0</v>
      </c>
      <c r="P101" s="403" t="n">
        <f t="shared" si="20"/>
        <v>1.2890625</v>
      </c>
      <c r="Q101" s="408" t="n">
        <v>159.0</v>
      </c>
      <c r="R101" s="403" t="n">
        <f t="shared" si="21"/>
        <v>1.2421875</v>
      </c>
      <c r="S101" s="408" t="n">
        <v>142.0</v>
      </c>
      <c r="T101" s="411" t="n">
        <f t="shared" si="22"/>
        <v>1.109375</v>
      </c>
    </row>
    <row r="102" spans="1:20">
      <c r="A102" s="19"/>
      <c r="B102" s="1057" t="s">
        <v>50</v>
      </c>
      <c r="C102" s="389" t="s">
        <v>16</v>
      </c>
      <c r="D102" s="472" t="n">
        <v>473.139</v>
      </c>
      <c r="E102" s="409" t="n">
        <v>575.31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1.25</v>
      </c>
      <c r="E103" s="409" t="n">
        <v>1.5833333333333333</v>
      </c>
      <c r="F103" s="473" t="n">
        <v>1.0</v>
      </c>
      <c r="G103" s="408" t="n">
        <v>0.0</v>
      </c>
      <c r="H103" s="409" t="n">
        <v>0.0</v>
      </c>
      <c r="I103" s="474" t="n">
        <v>0.0</v>
      </c>
      <c r="J103" s="402" t="n">
        <f t="shared" si="24"/>
        <v>0.0</v>
      </c>
      <c r="K103" s="408" t="n">
        <v>0.0</v>
      </c>
      <c r="L103" s="403" t="n">
        <f t="shared" si="18"/>
        <v>0.0</v>
      </c>
      <c r="M103" s="408" t="n">
        <v>0.0</v>
      </c>
      <c r="N103" s="403" t="n">
        <f t="shared" si="19"/>
        <v>0.0</v>
      </c>
      <c r="O103" s="408" t="n">
        <v>0.0</v>
      </c>
      <c r="P103" s="403" t="n">
        <f t="shared" si="20"/>
        <v>0.0</v>
      </c>
      <c r="Q103" s="408" t="n">
        <v>0.0</v>
      </c>
      <c r="R103" s="403" t="n">
        <f t="shared" si="21"/>
        <v>0.0</v>
      </c>
      <c r="S103" s="408" t="n">
        <v>0.0</v>
      </c>
      <c r="T103" s="411" t="n">
        <f t="shared" si="22"/>
        <v>0.0</v>
      </c>
    </row>
    <row r="104" spans="1:20">
      <c r="A104" s="19"/>
      <c r="B104" s="1057" t="s">
        <v>51</v>
      </c>
      <c r="C104" s="389" t="s">
        <v>16</v>
      </c>
      <c r="D104" s="472" t="n">
        <v>894.224</v>
      </c>
      <c r="E104" s="409" t="n">
        <v>1009.424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0.5833333333333334</v>
      </c>
      <c r="E105" s="409" t="n">
        <v>0.8333333333333334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3625.33</v>
      </c>
      <c r="E106" s="409" t="n">
        <v>6254.5960000000005</v>
      </c>
      <c r="F106" s="473" t="n">
        <v>4472.916</v>
      </c>
      <c r="G106" s="408" t="n">
        <v>4432.0</v>
      </c>
      <c r="H106" s="409" t="n">
        <v>4432.0</v>
      </c>
      <c r="I106" s="481" t="n">
        <v>4432.0</v>
      </c>
      <c r="J106" s="482" t="n">
        <f>IFERROR(SUM(G106:I106)/3/F106,"－")</f>
        <v>0.9908524998010246</v>
      </c>
      <c r="K106" s="408" t="n">
        <v>4432.0</v>
      </c>
      <c r="L106" s="483" t="n">
        <f>IFERROR(K106/F106,"－")</f>
        <v>0.9908524998010246</v>
      </c>
      <c r="M106" s="408" t="n">
        <v>4432.0</v>
      </c>
      <c r="N106" s="483" t="n">
        <f t="shared" si="19"/>
        <v>0.9908524998010246</v>
      </c>
      <c r="O106" s="408" t="n">
        <v>4432.0</v>
      </c>
      <c r="P106" s="483" t="n">
        <f t="shared" si="20"/>
        <v>0.9908524998010246</v>
      </c>
      <c r="Q106" s="408" t="n">
        <v>4432.0</v>
      </c>
      <c r="R106" s="483" t="n">
        <f t="shared" si="21"/>
        <v>0.9908524998010246</v>
      </c>
      <c r="S106" s="408" t="n">
        <v>4432.0</v>
      </c>
      <c r="T106" s="483" t="n">
        <f t="shared" si="22"/>
        <v>0.9908524998010246</v>
      </c>
    </row>
    <row r="107" spans="1:20" ht="14.25" thickBot="1">
      <c r="A107" s="25"/>
      <c r="B107" s="1064"/>
      <c r="C107" s="1011" t="s">
        <v>17</v>
      </c>
      <c r="D107" s="480" t="n">
        <v>1.6666666666666667</v>
      </c>
      <c r="E107" s="409" t="n">
        <v>2.6666666666666665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0.0</v>
      </c>
      <c r="E109" s="409" t="n">
        <v>388.75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0.0</v>
      </c>
      <c r="E110" s="409" t="n">
        <v>0.4166666666666667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324.896</v>
      </c>
      <c r="E113" s="409" t="n">
        <v>377.368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7.333333333333333</v>
      </c>
      <c r="E114" s="476" t="n">
        <v>8.166666666666666</v>
      </c>
      <c r="F114" s="499" t="n">
        <v>8.3</v>
      </c>
      <c r="G114" s="477" t="n">
        <v>0.0</v>
      </c>
      <c r="H114" s="476" t="n">
        <v>0.0</v>
      </c>
      <c r="I114" s="479" t="n">
        <v>0.0</v>
      </c>
      <c r="J114" s="402" t="n">
        <f>IFERROR(SUM(G114:I114)/3/F114,"－")</f>
        <v>0.0</v>
      </c>
      <c r="K114" s="478" t="n">
        <v>0.0</v>
      </c>
      <c r="L114" s="429" t="n">
        <f t="shared" si="28"/>
        <v>0.0</v>
      </c>
      <c r="M114" s="478" t="n">
        <v>0.0</v>
      </c>
      <c r="N114" s="429" t="n">
        <f t="shared" si="19"/>
        <v>0.0</v>
      </c>
      <c r="O114" s="478" t="n">
        <v>0.0</v>
      </c>
      <c r="P114" s="429" t="n">
        <f t="shared" si="20"/>
        <v>0.0</v>
      </c>
      <c r="Q114" s="478" t="n">
        <v>0.0</v>
      </c>
      <c r="R114" s="429" t="n">
        <f t="shared" si="21"/>
        <v>0.0</v>
      </c>
      <c r="S114" s="478" t="n">
        <v>0.0</v>
      </c>
      <c r="T114" s="411" t="n">
        <f t="shared" si="27"/>
        <v>0.0</v>
      </c>
    </row>
    <row r="115" spans="1:20">
      <c r="A115" s="19"/>
      <c r="B115" s="500"/>
      <c r="C115" s="389" t="s">
        <v>17</v>
      </c>
      <c r="D115" s="472" t="n">
        <v>0.9166666666666666</v>
      </c>
      <c r="E115" s="409" t="n">
        <v>0.9166666666666666</v>
      </c>
      <c r="F115" s="498" t="n">
        <v>1.0</v>
      </c>
      <c r="G115" s="473" t="n">
        <v>0.0</v>
      </c>
      <c r="H115" s="409" t="n">
        <v>0.0</v>
      </c>
      <c r="I115" s="474" t="n">
        <v>0.0</v>
      </c>
      <c r="J115" s="402" t="n">
        <f>IFERROR(SUM(G115:I115)/3/F115,"－")</f>
        <v>0.0</v>
      </c>
      <c r="K115" s="408" t="n">
        <v>0.0</v>
      </c>
      <c r="L115" s="429" t="n">
        <f t="shared" si="28"/>
        <v>0.0</v>
      </c>
      <c r="M115" s="408" t="n">
        <v>0.0</v>
      </c>
      <c r="N115" s="429" t="n">
        <f t="shared" si="19"/>
        <v>0.0</v>
      </c>
      <c r="O115" s="408" t="n">
        <v>0.0</v>
      </c>
      <c r="P115" s="429" t="n">
        <f t="shared" si="20"/>
        <v>0.0</v>
      </c>
      <c r="Q115" s="408" t="n">
        <v>0.0</v>
      </c>
      <c r="R115" s="429" t="n">
        <f t="shared" si="21"/>
        <v>0.0</v>
      </c>
      <c r="S115" s="408" t="n">
        <v>0.0</v>
      </c>
      <c r="T115" s="411" t="n">
        <f t="shared" si="27"/>
        <v>0.0</v>
      </c>
    </row>
    <row r="116" spans="1:20">
      <c r="A116" s="24"/>
      <c r="B116" s="1055" t="s">
        <v>56</v>
      </c>
      <c r="C116" s="389" t="s">
        <v>16</v>
      </c>
      <c r="D116" s="472" t="n">
        <v>0.0</v>
      </c>
      <c r="E116" s="409" t="n">
        <v>0.0</v>
      </c>
      <c r="F116" s="498" t="n">
        <v>0.0</v>
      </c>
      <c r="G116" s="473" t="n">
        <v>0.0</v>
      </c>
      <c r="H116" s="409" t="n">
        <v>0.0</v>
      </c>
      <c r="I116" s="474" t="n">
        <v>0.0</v>
      </c>
      <c r="J116" s="410" t="str">
        <f t="shared" si="25"/>
        <v>－</v>
      </c>
      <c r="K116" s="408" t="n">
        <v>0.0</v>
      </c>
      <c r="L116" s="411" t="str">
        <f t="shared" si="26"/>
        <v>－</v>
      </c>
      <c r="M116" s="408" t="n">
        <v>0.0</v>
      </c>
      <c r="N116" s="411" t="str">
        <f t="shared" si="19"/>
        <v>－</v>
      </c>
      <c r="O116" s="408" t="n">
        <v>0.0</v>
      </c>
      <c r="P116" s="411" t="str">
        <f t="shared" si="20"/>
        <v>－</v>
      </c>
      <c r="Q116" s="408" t="n">
        <v>0.0</v>
      </c>
      <c r="R116" s="411" t="str">
        <f t="shared" si="21"/>
        <v>－</v>
      </c>
      <c r="S116" s="408" t="n">
        <v>0.0</v>
      </c>
      <c r="T116" s="411" t="str">
        <f t="shared" si="27"/>
        <v>－</v>
      </c>
    </row>
    <row r="117" spans="1:20">
      <c r="A117" s="19"/>
      <c r="B117" s="1056"/>
      <c r="C117" s="389" t="s">
        <v>19</v>
      </c>
      <c r="D117" s="475" t="n">
        <v>0.0</v>
      </c>
      <c r="E117" s="476" t="n">
        <v>0.0</v>
      </c>
      <c r="F117" s="499" t="n">
        <v>0.0</v>
      </c>
      <c r="G117" s="477" t="n">
        <v>0.0</v>
      </c>
      <c r="H117" s="476" t="n">
        <v>0.0</v>
      </c>
      <c r="I117" s="479" t="n">
        <v>0.0</v>
      </c>
      <c r="J117" s="402" t="str">
        <f t="shared" si="25"/>
        <v>－</v>
      </c>
      <c r="K117" s="478" t="n">
        <v>0.0</v>
      </c>
      <c r="L117" s="403" t="str">
        <f t="shared" si="26"/>
        <v>－</v>
      </c>
      <c r="M117" s="478" t="n">
        <v>0.0</v>
      </c>
      <c r="N117" s="403" t="str">
        <f t="shared" si="19"/>
        <v>－</v>
      </c>
      <c r="O117" s="478" t="n">
        <v>0.0</v>
      </c>
      <c r="P117" s="403" t="str">
        <f t="shared" si="20"/>
        <v>－</v>
      </c>
      <c r="Q117" s="478" t="n">
        <v>0.0</v>
      </c>
      <c r="R117" s="403" t="str">
        <f t="shared" si="21"/>
        <v>－</v>
      </c>
      <c r="S117" s="478" t="n">
        <v>0.0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 t="n">
        <v>0.0</v>
      </c>
      <c r="E118" s="409" t="n">
        <v>0.0</v>
      </c>
      <c r="F118" s="498" t="n">
        <v>0.0</v>
      </c>
      <c r="G118" s="473" t="n">
        <v>0.0</v>
      </c>
      <c r="H118" s="409" t="n">
        <v>0.0</v>
      </c>
      <c r="I118" s="474" t="n">
        <v>0.0</v>
      </c>
      <c r="J118" s="402" t="str">
        <f t="shared" si="25"/>
        <v>－</v>
      </c>
      <c r="K118" s="408" t="n">
        <v>0.0</v>
      </c>
      <c r="L118" s="403" t="str">
        <f t="shared" si="26"/>
        <v>－</v>
      </c>
      <c r="M118" s="408" t="n">
        <v>0.0</v>
      </c>
      <c r="N118" s="403" t="str">
        <f t="shared" si="19"/>
        <v>－</v>
      </c>
      <c r="O118" s="408" t="n">
        <v>0.0</v>
      </c>
      <c r="P118" s="403" t="str">
        <f t="shared" si="20"/>
        <v>－</v>
      </c>
      <c r="Q118" s="408" t="n">
        <v>0.0</v>
      </c>
      <c r="R118" s="403" t="str">
        <f t="shared" si="21"/>
        <v>－</v>
      </c>
      <c r="S118" s="408" t="n">
        <v>0.0</v>
      </c>
      <c r="T118" s="411" t="str">
        <f t="shared" si="27"/>
        <v>－</v>
      </c>
    </row>
    <row r="119" spans="1:20">
      <c r="A119" s="24"/>
      <c r="B119" s="1055" t="s">
        <v>57</v>
      </c>
      <c r="C119" s="389" t="s">
        <v>16</v>
      </c>
      <c r="D119" s="472" t="n">
        <v>0.0</v>
      </c>
      <c r="E119" s="409" t="n">
        <v>0.0</v>
      </c>
      <c r="F119" s="498" t="n">
        <v>0.0</v>
      </c>
      <c r="G119" s="473" t="n">
        <v>0.0</v>
      </c>
      <c r="H119" s="409" t="n">
        <v>0.0</v>
      </c>
      <c r="I119" s="474" t="n">
        <v>0.0</v>
      </c>
      <c r="J119" s="410" t="str">
        <f t="shared" si="25"/>
        <v>－</v>
      </c>
      <c r="K119" s="408" t="n">
        <v>0.0</v>
      </c>
      <c r="L119" s="411" t="str">
        <f t="shared" si="26"/>
        <v>－</v>
      </c>
      <c r="M119" s="408" t="n">
        <v>0.0</v>
      </c>
      <c r="N119" s="411" t="str">
        <f t="shared" si="19"/>
        <v>－</v>
      </c>
      <c r="O119" s="408" t="n">
        <v>0.0</v>
      </c>
      <c r="P119" s="411" t="str">
        <f t="shared" si="20"/>
        <v>－</v>
      </c>
      <c r="Q119" s="408" t="n">
        <v>0.0</v>
      </c>
      <c r="R119" s="411" t="str">
        <f t="shared" si="21"/>
        <v>－</v>
      </c>
      <c r="S119" s="408" t="n">
        <v>0.0</v>
      </c>
      <c r="T119" s="411" t="str">
        <f t="shared" si="27"/>
        <v>－</v>
      </c>
    </row>
    <row r="120" spans="1:20">
      <c r="A120" s="19"/>
      <c r="B120" s="1059"/>
      <c r="C120" s="389" t="s">
        <v>17</v>
      </c>
      <c r="D120" s="472" t="n">
        <v>0.0</v>
      </c>
      <c r="E120" s="409" t="n">
        <v>0.0</v>
      </c>
      <c r="F120" s="498" t="n">
        <v>0.0</v>
      </c>
      <c r="G120" s="473" t="n">
        <v>0.0</v>
      </c>
      <c r="H120" s="409" t="n">
        <v>0.0</v>
      </c>
      <c r="I120" s="474" t="n">
        <v>0.0</v>
      </c>
      <c r="J120" s="402" t="str">
        <f t="shared" si="25"/>
        <v>－</v>
      </c>
      <c r="K120" s="408" t="n">
        <v>0.0</v>
      </c>
      <c r="L120" s="403" t="str">
        <f t="shared" si="26"/>
        <v>－</v>
      </c>
      <c r="M120" s="408" t="n">
        <v>0.0</v>
      </c>
      <c r="N120" s="403" t="str">
        <f t="shared" si="19"/>
        <v>－</v>
      </c>
      <c r="O120" s="408" t="n">
        <v>0.0</v>
      </c>
      <c r="P120" s="403" t="str">
        <f t="shared" si="20"/>
        <v>－</v>
      </c>
      <c r="Q120" s="408" t="n">
        <v>0.0</v>
      </c>
      <c r="R120" s="403" t="str">
        <f t="shared" si="21"/>
        <v>－</v>
      </c>
      <c r="S120" s="408" t="n">
        <v>0.0</v>
      </c>
      <c r="T120" s="411" t="str">
        <f t="shared" si="27"/>
        <v>－</v>
      </c>
    </row>
    <row r="121" spans="1:20">
      <c r="A121" s="19"/>
      <c r="B121" s="1060" t="s">
        <v>58</v>
      </c>
      <c r="C121" s="389" t="s">
        <v>16</v>
      </c>
      <c r="D121" s="472" t="n">
        <v>88245.166</v>
      </c>
      <c r="E121" s="409" t="n">
        <v>80058.606</v>
      </c>
      <c r="F121" s="498" t="n">
        <v>81841.644</v>
      </c>
      <c r="G121" s="473" t="n">
        <v>62151.0</v>
      </c>
      <c r="H121" s="409" t="n">
        <v>62205.0</v>
      </c>
      <c r="I121" s="474" t="n">
        <v>62205.0</v>
      </c>
      <c r="J121" s="410" t="n">
        <f t="shared" si="25"/>
        <v>0.7598454400549431</v>
      </c>
      <c r="K121" s="408" t="n">
        <v>62205.0</v>
      </c>
      <c r="L121" s="411" t="n">
        <f t="shared" si="26"/>
        <v>0.7600653769858289</v>
      </c>
      <c r="M121" s="408" t="n">
        <v>71936.0</v>
      </c>
      <c r="N121" s="411" t="n">
        <f t="shared" si="19"/>
        <v>0.8789657255663144</v>
      </c>
      <c r="O121" s="408" t="n">
        <v>78655.0</v>
      </c>
      <c r="P121" s="411" t="n">
        <f t="shared" si="20"/>
        <v>0.9610632943785928</v>
      </c>
      <c r="Q121" s="408" t="n">
        <v>75589.0</v>
      </c>
      <c r="R121" s="411" t="n">
        <f t="shared" si="21"/>
        <v>0.9236007038177287</v>
      </c>
      <c r="S121" s="408" t="n">
        <v>65564.0</v>
      </c>
      <c r="T121" s="411" t="n">
        <f t="shared" si="27"/>
        <v>0.8011080520327769</v>
      </c>
    </row>
    <row r="122" spans="1:20">
      <c r="A122" s="19"/>
      <c r="B122" s="1061"/>
      <c r="C122" s="389" t="s">
        <v>17</v>
      </c>
      <c r="D122" s="472" t="n">
        <v>26.75</v>
      </c>
      <c r="E122" s="409" t="n">
        <v>24.5</v>
      </c>
      <c r="F122" s="498" t="n">
        <v>26.0</v>
      </c>
      <c r="G122" s="473" t="n">
        <v>19.0</v>
      </c>
      <c r="H122" s="409" t="n">
        <v>19.0</v>
      </c>
      <c r="I122" s="474" t="n">
        <v>19.0</v>
      </c>
      <c r="J122" s="402" t="n">
        <f t="shared" si="25"/>
        <v>0.7307692307692307</v>
      </c>
      <c r="K122" s="408" t="n">
        <v>19.0</v>
      </c>
      <c r="L122" s="403" t="n">
        <f t="shared" si="26"/>
        <v>0.7307692307692307</v>
      </c>
      <c r="M122" s="408" t="n">
        <v>22.0</v>
      </c>
      <c r="N122" s="403" t="n">
        <f t="shared" si="19"/>
        <v>0.8461538461538461</v>
      </c>
      <c r="O122" s="408" t="n">
        <v>24.0</v>
      </c>
      <c r="P122" s="403" t="n">
        <f t="shared" si="20"/>
        <v>0.9230769230769231</v>
      </c>
      <c r="Q122" s="408" t="n">
        <v>23.0</v>
      </c>
      <c r="R122" s="403" t="n">
        <f t="shared" si="21"/>
        <v>0.8846153846153846</v>
      </c>
      <c r="S122" s="408" t="n">
        <v>20.0</v>
      </c>
      <c r="T122" s="411" t="n">
        <f t="shared" si="27"/>
        <v>0.7692307692307693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96379.412</v>
      </c>
      <c r="E125" s="409" t="n">
        <v>96211.827</v>
      </c>
      <c r="F125" s="498" t="n">
        <v>101006.172</v>
      </c>
      <c r="G125" s="473" t="n">
        <v>111596.0</v>
      </c>
      <c r="H125" s="409" t="n">
        <v>111596.0</v>
      </c>
      <c r="I125" s="474" t="n">
        <v>111596.0</v>
      </c>
      <c r="J125" s="410" t="n">
        <f t="shared" si="25"/>
        <v>1.104843375313738</v>
      </c>
      <c r="K125" s="408" t="n">
        <v>126278.0</v>
      </c>
      <c r="L125" s="411" t="n">
        <f t="shared" ref="L125:L130" si="29">IFERROR(K125/F125,"－")</f>
        <v>1.2502008293116977</v>
      </c>
      <c r="M125" s="408" t="n">
        <v>136713.0</v>
      </c>
      <c r="N125" s="411" t="n">
        <f t="shared" si="19"/>
        <v>1.3535113478015977</v>
      </c>
      <c r="O125" s="408" t="n">
        <v>151198.0</v>
      </c>
      <c r="P125" s="411" t="n">
        <f t="shared" si="20"/>
        <v>1.4969184259353971</v>
      </c>
      <c r="Q125" s="408" t="n">
        <v>151198.0</v>
      </c>
      <c r="R125" s="411" t="n">
        <f t="shared" si="21"/>
        <v>1.4969184259353971</v>
      </c>
      <c r="S125" s="408" t="n">
        <v>133741.0</v>
      </c>
      <c r="T125" s="411" t="n">
        <f t="shared" si="27"/>
        <v>1.3240874032925434</v>
      </c>
    </row>
    <row r="126" spans="1:20">
      <c r="A126" s="19"/>
      <c r="B126" s="1061"/>
      <c r="C126" s="389" t="s">
        <v>17</v>
      </c>
      <c r="D126" s="472" t="n">
        <v>26.416666666666668</v>
      </c>
      <c r="E126" s="409" t="n">
        <v>26.583333333333332</v>
      </c>
      <c r="F126" s="498" t="n">
        <v>27.0</v>
      </c>
      <c r="G126" s="473" t="n">
        <v>31.0</v>
      </c>
      <c r="H126" s="409" t="n">
        <v>31.0</v>
      </c>
      <c r="I126" s="474" t="n">
        <v>31.0</v>
      </c>
      <c r="J126" s="402" t="n">
        <f t="shared" si="25"/>
        <v>1.1481481481481481</v>
      </c>
      <c r="K126" s="408" t="n">
        <v>35.0</v>
      </c>
      <c r="L126" s="403" t="n">
        <f t="shared" si="29"/>
        <v>1.2962962962962963</v>
      </c>
      <c r="M126" s="408" t="n">
        <v>38.0</v>
      </c>
      <c r="N126" s="403" t="n">
        <f t="shared" si="19"/>
        <v>1.4074074074074074</v>
      </c>
      <c r="O126" s="408" t="n">
        <v>42.0</v>
      </c>
      <c r="P126" s="403" t="n">
        <f t="shared" si="20"/>
        <v>1.5555555555555556</v>
      </c>
      <c r="Q126" s="408" t="n">
        <v>42.0</v>
      </c>
      <c r="R126" s="403" t="n">
        <f t="shared" si="21"/>
        <v>1.5555555555555556</v>
      </c>
      <c r="S126" s="408" t="n">
        <v>37.0</v>
      </c>
      <c r="T126" s="411" t="n">
        <f t="shared" si="27"/>
        <v>1.3703703703703705</v>
      </c>
    </row>
    <row r="127" spans="1:20">
      <c r="A127" s="19"/>
      <c r="B127" s="1057" t="s">
        <v>91</v>
      </c>
      <c r="C127" s="389" t="s">
        <v>16</v>
      </c>
      <c r="D127" s="472" t="n">
        <v>3466.68</v>
      </c>
      <c r="E127" s="409" t="n">
        <v>808.716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0.6666666666666666</v>
      </c>
      <c r="E128" s="409" t="n">
        <v>0.25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232501.547</v>
      </c>
      <c r="E132" s="409" t="n">
        <v>232975.253</v>
      </c>
      <c r="F132" s="498" t="n">
        <v>236494.632</v>
      </c>
      <c r="G132" s="473" t="n">
        <v>243065.0</v>
      </c>
      <c r="H132" s="409" t="n">
        <v>243065.0</v>
      </c>
      <c r="I132" s="474" t="n">
        <v>243065.0</v>
      </c>
      <c r="J132" s="410" t="n">
        <f t="shared" ref="J132:J141" si="34">IFERROR(SUM(G132:I132)/3/F132,"－")</f>
        <v>1.02778231346917</v>
      </c>
      <c r="K132" s="408" t="n">
        <v>263234.0</v>
      </c>
      <c r="L132" s="411" t="n">
        <f t="shared" ref="L132:L144" si="35">IFERROR(K132/F132,"－")</f>
        <v>1.11306543313</v>
      </c>
      <c r="M132" s="408" t="n">
        <v>280227.0</v>
      </c>
      <c r="N132" s="411" t="n">
        <f t="shared" si="19"/>
        <v>1.1849190724971719</v>
      </c>
      <c r="O132" s="408" t="n">
        <v>318281.0</v>
      </c>
      <c r="P132" s="411" t="n">
        <f t="shared" si="20"/>
        <v>1.3458275873255339</v>
      </c>
      <c r="Q132" s="408" t="n">
        <v>314833.0</v>
      </c>
      <c r="R132" s="411" t="n">
        <f t="shared" si="21"/>
        <v>1.3312479752183126</v>
      </c>
      <c r="S132" s="408" t="n">
        <v>280673.0</v>
      </c>
      <c r="T132" s="411" t="n">
        <f>IFERROR(S132/F132,"－")</f>
        <v>1.186804950397352</v>
      </c>
    </row>
    <row r="133" spans="1:20">
      <c r="A133" s="19"/>
      <c r="B133" s="1061"/>
      <c r="C133" s="389" t="s">
        <v>17</v>
      </c>
      <c r="D133" s="472" t="n">
        <v>68.08333333333333</v>
      </c>
      <c r="E133" s="409" t="n">
        <v>67.83333333333333</v>
      </c>
      <c r="F133" s="498" t="n">
        <v>68.0</v>
      </c>
      <c r="G133" s="473" t="n">
        <v>71.0</v>
      </c>
      <c r="H133" s="409" t="n">
        <v>71.0</v>
      </c>
      <c r="I133" s="474" t="n">
        <v>71.0</v>
      </c>
      <c r="J133" s="402" t="n">
        <f t="shared" si="34"/>
        <v>1.0441176470588236</v>
      </c>
      <c r="K133" s="408" t="n">
        <v>77.0</v>
      </c>
      <c r="L133" s="403" t="n">
        <f t="shared" si="35"/>
        <v>1.1323529411764706</v>
      </c>
      <c r="M133" s="408" t="n">
        <v>82.0</v>
      </c>
      <c r="N133" s="403" t="n">
        <f t="shared" si="19"/>
        <v>1.2058823529411764</v>
      </c>
      <c r="O133" s="408" t="n">
        <v>93.0</v>
      </c>
      <c r="P133" s="403" t="n">
        <f t="shared" si="20"/>
        <v>1.3676470588235294</v>
      </c>
      <c r="Q133" s="408" t="n">
        <v>92.0</v>
      </c>
      <c r="R133" s="403" t="n">
        <f t="shared" si="21"/>
        <v>1.3529411764705883</v>
      </c>
      <c r="S133" s="408" t="n">
        <v>82.0</v>
      </c>
      <c r="T133" s="411" t="n">
        <f t="shared" ref="T133:T137" si="36">IFERROR(S133/F133,"－")</f>
        <v>1.2058823529411764</v>
      </c>
    </row>
    <row r="134" spans="1:20">
      <c r="A134" s="19"/>
      <c r="B134" s="1060" t="s">
        <v>65</v>
      </c>
      <c r="C134" s="389" t="s">
        <v>16</v>
      </c>
      <c r="D134" s="472" t="n">
        <v>249357.273</v>
      </c>
      <c r="E134" s="409" t="n">
        <v>260376.837</v>
      </c>
      <c r="F134" s="498" t="n">
        <v>253855.488</v>
      </c>
      <c r="G134" s="473" t="n">
        <v>295979.0</v>
      </c>
      <c r="H134" s="409" t="n">
        <v>295979.0</v>
      </c>
      <c r="I134" s="474" t="n">
        <v>295979.0</v>
      </c>
      <c r="J134" s="410" t="n">
        <f t="shared" si="34"/>
        <v>1.1659350062977563</v>
      </c>
      <c r="K134" s="408" t="n">
        <v>326855.0</v>
      </c>
      <c r="L134" s="411" t="n">
        <f t="shared" si="35"/>
        <v>1.28756326118898</v>
      </c>
      <c r="M134" s="408" t="n">
        <v>354528.0</v>
      </c>
      <c r="N134" s="411" t="n">
        <f t="shared" si="19"/>
        <v>1.3965741012461388</v>
      </c>
      <c r="O134" s="408" t="n">
        <v>390824.0</v>
      </c>
      <c r="P134" s="411" t="n">
        <f t="shared" si="20"/>
        <v>1.5395530862031235</v>
      </c>
      <c r="Q134" s="408" t="n">
        <v>386720.0</v>
      </c>
      <c r="R134" s="411" t="n">
        <f t="shared" si="21"/>
        <v>1.5233864079393076</v>
      </c>
      <c r="S134" s="408" t="n">
        <v>336544.0</v>
      </c>
      <c r="T134" s="411" t="n">
        <f t="shared" si="36"/>
        <v>1.3257306456183449</v>
      </c>
    </row>
    <row r="135" spans="1:20">
      <c r="A135" s="19"/>
      <c r="B135" s="1061"/>
      <c r="C135" s="389" t="s">
        <v>17</v>
      </c>
      <c r="D135" s="472" t="n">
        <v>63.25</v>
      </c>
      <c r="E135" s="409" t="n">
        <v>66.58333333333333</v>
      </c>
      <c r="F135" s="498" t="n">
        <v>66.0</v>
      </c>
      <c r="G135" s="473" t="n">
        <v>75.0</v>
      </c>
      <c r="H135" s="409" t="n">
        <v>75.0</v>
      </c>
      <c r="I135" s="474" t="n">
        <v>75.0</v>
      </c>
      <c r="J135" s="402" t="n">
        <f t="shared" si="34"/>
        <v>1.1363636363636365</v>
      </c>
      <c r="K135" s="408" t="n">
        <v>83.0</v>
      </c>
      <c r="L135" s="403" t="n">
        <f t="shared" si="35"/>
        <v>1.2575757575757576</v>
      </c>
      <c r="M135" s="408" t="n">
        <v>90.0</v>
      </c>
      <c r="N135" s="403" t="n">
        <f t="shared" ref="N135:N144" si="37">IFERROR(M135/F135,"－")</f>
        <v>1.3636363636363635</v>
      </c>
      <c r="O135" s="408" t="n">
        <v>99.0</v>
      </c>
      <c r="P135" s="403" t="n">
        <f t="shared" ref="P135:P144" si="38">IFERROR(O135/F135,"－")</f>
        <v>1.5</v>
      </c>
      <c r="Q135" s="408" t="n">
        <v>98.0</v>
      </c>
      <c r="R135" s="403" t="n">
        <f t="shared" ref="R135:R144" si="39">IFERROR(Q135/F135,"－")</f>
        <v>1.4848484848484849</v>
      </c>
      <c r="S135" s="408" t="n">
        <v>85.0</v>
      </c>
      <c r="T135" s="411" t="n">
        <f t="shared" si="36"/>
        <v>1.2878787878787878</v>
      </c>
    </row>
    <row r="136" spans="1:20">
      <c r="A136" s="19"/>
      <c r="B136" s="752" t="s">
        <v>215</v>
      </c>
      <c r="C136" s="389" t="s">
        <v>216</v>
      </c>
      <c r="D136" s="472" t="n">
        <v>0.0</v>
      </c>
      <c r="E136" s="409" t="n">
        <v>0.0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</v>
      </c>
      <c r="E137" s="409" t="n">
        <v>0.0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40767.632</v>
      </c>
      <c r="E140" s="446" t="n">
        <v>41883.43</v>
      </c>
      <c r="F140" s="517" t="n">
        <v>42101.568</v>
      </c>
      <c r="G140" s="518" t="n">
        <v>40588.0</v>
      </c>
      <c r="H140" s="446" t="n">
        <v>40818.0</v>
      </c>
      <c r="I140" s="519" t="n">
        <v>41582.0</v>
      </c>
      <c r="J140" s="447" t="n">
        <f t="shared" si="34"/>
        <v>0.9737404554623714</v>
      </c>
      <c r="K140" s="445" t="n">
        <v>38378.0</v>
      </c>
      <c r="L140" s="448" t="n">
        <f t="shared" si="35"/>
        <v>0.9115574982860496</v>
      </c>
      <c r="M140" s="445" t="n">
        <v>41943.0</v>
      </c>
      <c r="N140" s="448" t="n">
        <f t="shared" si="37"/>
        <v>0.9962336794677101</v>
      </c>
      <c r="O140" s="445" t="n">
        <v>45031.0</v>
      </c>
      <c r="P140" s="448" t="n">
        <f t="shared" si="38"/>
        <v>1.069580116351011</v>
      </c>
      <c r="Q140" s="445" t="n">
        <v>43804.0</v>
      </c>
      <c r="R140" s="448" t="n">
        <f t="shared" si="39"/>
        <v>1.0404363086904507</v>
      </c>
      <c r="S140" s="445" t="n">
        <v>38800.0</v>
      </c>
      <c r="T140" s="448" t="n">
        <f>IFERROR(S140/F140,"－")</f>
        <v>0.9215808779378478</v>
      </c>
    </row>
    <row r="141" spans="1:20" ht="14.25" thickBot="1">
      <c r="A141" s="21"/>
      <c r="B141" s="449"/>
      <c r="C141" s="450" t="s">
        <v>17</v>
      </c>
      <c r="D141" s="520" t="n">
        <v>194.5</v>
      </c>
      <c r="E141" s="487" t="n">
        <v>196.66666666666666</v>
      </c>
      <c r="F141" s="521" t="n">
        <v>196.0</v>
      </c>
      <c r="G141" s="511" t="n">
        <v>184.0</v>
      </c>
      <c r="H141" s="487" t="n">
        <v>185.0</v>
      </c>
      <c r="I141" s="488" t="n">
        <v>189.0</v>
      </c>
      <c r="J141" s="455" t="n">
        <f t="shared" si="34"/>
        <v>0.9489795918367347</v>
      </c>
      <c r="K141" s="486" t="n">
        <v>176.0</v>
      </c>
      <c r="L141" s="456" t="n">
        <f t="shared" si="35"/>
        <v>0.8979591836734694</v>
      </c>
      <c r="M141" s="486" t="n">
        <v>193.0</v>
      </c>
      <c r="N141" s="456" t="n">
        <f t="shared" si="37"/>
        <v>0.9846938775510204</v>
      </c>
      <c r="O141" s="486" t="n">
        <v>206.0</v>
      </c>
      <c r="P141" s="456" t="n">
        <f t="shared" si="38"/>
        <v>1.0510204081632653</v>
      </c>
      <c r="Q141" s="486" t="n">
        <v>199.0</v>
      </c>
      <c r="R141" s="456" t="n">
        <f t="shared" si="39"/>
        <v>1.0153061224489797</v>
      </c>
      <c r="S141" s="486" t="n">
        <v>176.0</v>
      </c>
      <c r="T141" s="456" t="n">
        <f>IFERROR(S141/F141,"－")</f>
        <v>0.8979591836734694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963565.626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992157.0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995192.0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997440.0</v>
      </c>
      <c r="J144" s="463" t="n">
        <f t="shared" ref="J144" si="45">IFERROR(SUM(G144:I144)/3/F144,"－")</f>
        <v>1.0325499787667463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1041275.0</v>
      </c>
      <c r="L144" s="464" t="n">
        <f t="shared" si="35"/>
        <v>1.0806477233134508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1132573.0</v>
      </c>
      <c r="N144" s="464" t="n">
        <f t="shared" si="37"/>
        <v>1.1753978861840386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1244911.0</v>
      </c>
      <c r="P144" s="464" t="n">
        <f t="shared" si="38"/>
        <v>1.2919836142016963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1229589.0</v>
      </c>
      <c r="R144" s="464" t="n">
        <f t="shared" si="39"/>
        <v>1.2760822582519147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1081237.0</v>
      </c>
      <c r="T144" s="464" t="n">
        <f>IFERROR(S144/F144,"－")</f>
        <v>1.1221207677244394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1009762.834</v>
      </c>
      <c r="E150" s="529" t="n">
        <f t="shared" si="46"/>
        <v>998223.7670000001</v>
      </c>
      <c r="F150" s="530" t="n">
        <f t="shared" si="46"/>
        <v>992954.8104000001</v>
      </c>
      <c r="G150" s="531" t="n">
        <f t="shared" si="46"/>
        <v>1028468.0</v>
      </c>
      <c r="H150" s="529" t="n">
        <f t="shared" si="46"/>
        <v>1030772.0</v>
      </c>
      <c r="I150" s="530" t="n">
        <f t="shared" si="46"/>
        <v>1033250.0</v>
      </c>
      <c r="J150" s="532" t="n">
        <f>K61+K144</f>
        <v>1077375.0</v>
      </c>
      <c r="K150" s="532" t="n">
        <f>M61+M144</f>
        <v>1172033.0</v>
      </c>
      <c r="L150" s="532" t="n">
        <f>O61+O144</f>
        <v>1286180.0</v>
      </c>
      <c r="M150" s="532" t="n">
        <f>Q61+Q144</f>
        <v>1268359.0</v>
      </c>
      <c r="N150" s="532" t="n">
        <f>S61+S144</f>
        <v>1115824.0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339654.106</v>
      </c>
      <c r="E151" s="536" t="n">
        <f>E12+E14+E17+E20+E23+E25+E27+E29+E32+E35+E38+E41+E43+E45+E50+E53+E57+E68+E71+E74+E77+E80+E82+E85+E88+E91+E94+E97+E100+E102+E104+E109+E111+E116+E119+E127+E113+E140</f>
        <v>317997.351</v>
      </c>
      <c r="F151" s="536" t="n">
        <f>F12+F14+F17+F20+F23+F25+F27+F29+F32+F35+F38+F41+F43+F45+F50+F53+F57+F68+F71+F74+F77+F80+F82+F85+F88+F91+F94+F97+F100+F102+F104+F109+F111+F116+F119+F127+F113+F140</f>
        <v>312197.2944</v>
      </c>
      <c r="G151" s="535" t="n">
        <f>G14+G17+G20+G23+G27+G29+G32+G35+G38+G41+G43+G45+G50+G53+G57+G68+G71+G74+G77+G80+G82+G85+G88+G91+G94+G97+G100+G102+G104+G109+G111+G116+G119+G127+G113+G140</f>
        <v>311245.0</v>
      </c>
      <c r="H151" s="536" t="n">
        <f>H14+H17+H20+H23+H27+H29+H32+H35+H38+H41+H43+H45+H50+H53+H57+H59+H68+H71+H74+H77+H80+H82+H85+H88+H91+H94+H97+H100+H102+H104+H109+H111+H116+H119+H127+H113+H140+H142</f>
        <v>313495.0</v>
      </c>
      <c r="I151" s="537" t="n">
        <f>I14+I17+I20+I23+I27+I29+I32+I35+I38+I41+I43+I45+I50+I53+I57+I59+I68+I71+I74+I77+I80+I82+I85+I88+I91+I94+I97+I100+I102+I104+I109+I111+I116+I119+I127+I113+I140+I142</f>
        <v>315973.0</v>
      </c>
      <c r="J151" s="538" t="n">
        <f>K14+K17+K20+K23+K27+K29+K32+K35+K38+K41+K43+K45+K50+K53+K57+K59+K68+K71+K74+K77+K80+K82+K85+K88+K91+K94+K97+K100+K102+K104+K109+K111+K116+K119+K127+K113+K140+K142</f>
        <v>294371.0</v>
      </c>
      <c r="K151" s="538" t="n">
        <f>M14+M17+M20+M23+M27+M29+M32+M35+M38+M41+M43+M45+M50+M53+M57+M59+M68+M71+M74+M77+M80+M82+M85+M88+M91+M94+M97+M100+M102+M104+M109+M111+M116+M119+M127+M113+M140+M142</f>
        <v>324197.0</v>
      </c>
      <c r="L151" s="538" t="n">
        <f>O14+O17+O20+O23+O27+O29+O32+O35+O38+O41+O43+O45+O50+O53+O57+O59+O68+O71+O74+O77+O80+O82+O85+O88+O91+O94+O97+O100+O102+O104+O109+O111+O116+O119+O127+O113+O140+O142</f>
        <v>342790.0</v>
      </c>
      <c r="M151" s="538" t="n">
        <f>Q14+Q17+Q20+Q23+Q27+Q29+Q32+Q35+Q38+Q41+Q43+Q45+Q50+Q53+Q57+Q59+Q68+Q71+Q74+Q77+Q80+Q82+Q85+Q88+Q91+Q94+Q97+Q100+Q102+Q104+Q109+Q111+Q116+Q119+Q127+Q113+Q140+Q142</f>
        <v>335587.0</v>
      </c>
      <c r="N151" s="538" t="n">
        <f>S14+S17+S20+S23+S27+S29+S32+S35+S38+S41+S43+S45+S50+S53+S57+S59+S68+S71+S74+S77+S80+S82+S85+S88+S91+S94+S97+S100+S102+S104+S109+S111+S116+S119+S127+S113+S140+S142</f>
        <v>294870.0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91870.496</v>
      </c>
      <c r="E152" s="536" t="n">
        <f t="shared" si="47"/>
        <v>90662.499</v>
      </c>
      <c r="F152" s="540" t="n">
        <f t="shared" si="47"/>
        <v>89401.224</v>
      </c>
      <c r="G152" s="539" t="n">
        <f t="shared" si="47"/>
        <v>66583.0</v>
      </c>
      <c r="H152" s="536" t="n">
        <f t="shared" si="47"/>
        <v>66637.0</v>
      </c>
      <c r="I152" s="540" t="n">
        <f t="shared" si="47"/>
        <v>66637.0</v>
      </c>
      <c r="J152" s="538" t="n">
        <f>K47+K55+K106+K121+K123</f>
        <v>66637.0</v>
      </c>
      <c r="K152" s="538" t="n">
        <f>M47+M55+M106+M121+M123</f>
        <v>76368.0</v>
      </c>
      <c r="L152" s="538" t="n">
        <f>O47+O55+O106+O121+O123</f>
        <v>83087.0</v>
      </c>
      <c r="M152" s="538" t="n">
        <f>Q47+Q55+Q106+Q121+Q123</f>
        <v>80021.0</v>
      </c>
      <c r="N152" s="538" t="n">
        <f>S47+S55+S106+S121+S123</f>
        <v>69996.0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578238.232</v>
      </c>
      <c r="E153" s="545" t="n">
        <f t="shared" si="48"/>
        <v>589563.917</v>
      </c>
      <c r="F153" s="546" t="n">
        <f t="shared" si="48"/>
        <v>591356.292</v>
      </c>
      <c r="G153" s="544" t="n">
        <f t="shared" si="48"/>
        <v>650640.0</v>
      </c>
      <c r="H153" s="545" t="n">
        <f t="shared" si="48"/>
        <v>650640.0</v>
      </c>
      <c r="I153" s="546" t="n">
        <f t="shared" si="48"/>
        <v>650640.0</v>
      </c>
      <c r="J153" s="547" t="n">
        <f>K125+K132+K134+K136</f>
        <v>716367.0</v>
      </c>
      <c r="K153" s="547" t="n">
        <f>M125+M132+M134+M136</f>
        <v>771468.0</v>
      </c>
      <c r="L153" s="547" t="n">
        <f>O125+O132+O134+O136</f>
        <v>860303.0</v>
      </c>
      <c r="M153" s="547" t="n">
        <f>Q125+Q132+Q134+Q136</f>
        <v>852751.0</v>
      </c>
      <c r="N153" s="547" t="n">
        <f>S125+S132+S134+S136</f>
        <v>750958.0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131.33333333333331</v>
      </c>
      <c r="E157" s="146" t="n">
        <f>E133+E135+E137+E139</f>
        <v>134.41666666666666</v>
      </c>
      <c r="F157" s="147" t="n">
        <f>F133+F135+F137+F139</f>
        <v>134.0</v>
      </c>
      <c r="G157" s="145" t="n">
        <f>G133+G135+G137+G139</f>
        <v>146.0</v>
      </c>
      <c r="H157" s="147" t="n">
        <f>H133+H135+H137+H139</f>
        <v>146.0</v>
      </c>
      <c r="I157" s="147" t="n">
        <f t="shared" ref="I157" si="49">I133+I135+I137+I139</f>
        <v>146.0</v>
      </c>
      <c r="J157" s="152" t="n">
        <f>K133+K135+K137</f>
        <v>160.0</v>
      </c>
      <c r="K157" s="152" t="n">
        <f>M133+M135+M137</f>
        <v>172.0</v>
      </c>
      <c r="L157" s="152" t="n">
        <f>O133+O135+O137</f>
        <v>192.0</v>
      </c>
      <c r="M157" s="152" t="n">
        <f>Q133+Q135+Q137</f>
        <v>190.0</v>
      </c>
      <c r="N157" s="152" t="n">
        <f>S133+S135+S137</f>
        <v>167.0</v>
      </c>
    </row>
    <row r="158" spans="1:14">
      <c r="A158" s="5"/>
      <c r="B158" s="148" t="s">
        <v>219</v>
      </c>
      <c r="C158" s="548"/>
      <c r="D158" s="46" t="n">
        <v>74.91666666666667</v>
      </c>
      <c r="E158" s="149" t="n">
        <v>72.25</v>
      </c>
      <c r="F158" s="177" t="n">
        <v>72.0</v>
      </c>
      <c r="G158" s="46" t="n">
        <v>78.0</v>
      </c>
      <c r="H158" s="177" t="n">
        <v>78.0</v>
      </c>
      <c r="I158" s="177" t="n">
        <v>78.0</v>
      </c>
      <c r="J158" s="153" t="n">
        <v>85.0</v>
      </c>
      <c r="K158" s="153" t="n">
        <v>90.0</v>
      </c>
      <c r="L158" s="153" t="n">
        <v>102.0</v>
      </c>
      <c r="M158" s="153" t="n">
        <v>100.0</v>
      </c>
      <c r="N158" s="153" t="n">
        <v>90.0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57.0</v>
      </c>
      <c r="E159" s="735" t="n">
        <f t="shared" ref="E159:J159" si="50">IFERROR(ROUND(E158/E157*100,1),"－")</f>
        <v>53.8</v>
      </c>
      <c r="F159" s="736" t="n">
        <f t="shared" si="50"/>
        <v>53.7</v>
      </c>
      <c r="G159" s="734" t="n">
        <f t="shared" si="50"/>
        <v>53.4</v>
      </c>
      <c r="H159" s="736" t="n">
        <f t="shared" si="50"/>
        <v>53.4</v>
      </c>
      <c r="I159" s="736" t="n">
        <f t="shared" si="50"/>
        <v>53.4</v>
      </c>
      <c r="J159" s="737" t="n">
        <f t="shared" si="50"/>
        <v>53.1</v>
      </c>
      <c r="K159" s="737" t="n">
        <f t="shared" ref="K159:M159" si="51">IFERROR(ROUND(K158/K157*100,1),"－")</f>
        <v>52.3</v>
      </c>
      <c r="L159" s="737" t="n">
        <f t="shared" si="51"/>
        <v>53.1</v>
      </c>
      <c r="M159" s="737" t="n">
        <f t="shared" si="51"/>
        <v>52.6</v>
      </c>
      <c r="N159" s="737" t="n">
        <f>IFERROR(ROUND(N158/N157*100,1),"－")</f>
        <v>53.9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1010214.0</v>
      </c>
      <c r="C9" s="739" t="n">
        <v>1206361.0</v>
      </c>
      <c r="D9" s="740" t="n">
        <v>994930.0</v>
      </c>
      <c r="E9" s="738" t="n">
        <v>1045953.0</v>
      </c>
      <c r="F9" s="739" t="n">
        <v>1071464.0</v>
      </c>
      <c r="G9" s="740" t="n">
        <v>1096975.0</v>
      </c>
      <c r="H9" s="738" t="n">
        <v>947394.0</v>
      </c>
      <c r="I9" s="739" t="n">
        <v>878633.0</v>
      </c>
      <c r="J9" s="739" t="n">
        <v>813906.0</v>
      </c>
      <c r="K9" s="739" t="n">
        <v>735322.0</v>
      </c>
      <c r="L9" s="740" t="n">
        <v>657440.0</v>
      </c>
    </row>
    <row r="10" spans="1:12">
      <c r="A10" s="774" t="s">
        <v>313</v>
      </c>
      <c r="B10" s="775" t="n">
        <v>40.0</v>
      </c>
      <c r="C10" s="776" t="n">
        <v>45.0</v>
      </c>
      <c r="D10" s="777" t="n">
        <v>42.0</v>
      </c>
      <c r="E10" s="775" t="n">
        <v>44.0</v>
      </c>
      <c r="F10" s="776" t="n">
        <v>46.0</v>
      </c>
      <c r="G10" s="777" t="n">
        <v>47.0</v>
      </c>
      <c r="H10" s="775" t="n">
        <v>40.0</v>
      </c>
      <c r="I10" s="776" t="n">
        <v>37.0</v>
      </c>
      <c r="J10" s="776" t="n">
        <v>34.0</v>
      </c>
      <c r="K10" s="776" t="n">
        <v>31.0</v>
      </c>
      <c r="L10" s="777" t="n">
        <v>28.0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1650786.0</v>
      </c>
      <c r="C17" s="739" t="n">
        <v>1461639.0</v>
      </c>
      <c r="D17" s="740" t="n">
        <v>1405070.0</v>
      </c>
      <c r="E17" s="738" t="n">
        <v>1267702.0</v>
      </c>
      <c r="F17" s="739" t="n">
        <v>1199019.0</v>
      </c>
      <c r="G17" s="740" t="n">
        <v>1130335.0</v>
      </c>
      <c r="H17" s="738" t="n">
        <v>1337938.0</v>
      </c>
      <c r="I17" s="739" t="n">
        <v>1240831.0</v>
      </c>
      <c r="J17" s="739" t="n">
        <v>1149423.0</v>
      </c>
      <c r="K17" s="739" t="n">
        <v>1038444.0</v>
      </c>
      <c r="L17" s="740" t="n">
        <v>928456.0</v>
      </c>
    </row>
    <row r="18" spans="1:12">
      <c r="A18" s="774" t="s">
        <v>313</v>
      </c>
      <c r="B18" s="775" t="n">
        <v>66.0</v>
      </c>
      <c r="C18" s="776" t="n">
        <v>54.0</v>
      </c>
      <c r="D18" s="777" t="n">
        <v>60.0</v>
      </c>
      <c r="E18" s="775" t="n">
        <v>54.0</v>
      </c>
      <c r="F18" s="776" t="n">
        <v>51.0</v>
      </c>
      <c r="G18" s="777" t="n">
        <v>48.0</v>
      </c>
      <c r="H18" s="775" t="n">
        <v>57.0</v>
      </c>
      <c r="I18" s="776" t="n">
        <v>53.0</v>
      </c>
      <c r="J18" s="776" t="n">
        <v>49.0</v>
      </c>
      <c r="K18" s="776" t="n">
        <v>44.0</v>
      </c>
      <c r="L18" s="777" t="n">
        <v>40.0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730000.0</v>
      </c>
      <c r="C27" s="1008" t="n">
        <v>740000.0</v>
      </c>
      <c r="D27" s="1009" t="n">
        <v>750000.0</v>
      </c>
      <c r="E27" s="1007" t="n">
        <v>760000.0</v>
      </c>
      <c r="F27" s="1008" t="n">
        <v>770000.0</v>
      </c>
      <c r="G27" s="1009" t="n">
        <v>0.0</v>
      </c>
      <c r="H27" s="1007" t="n">
        <v>819013.0</v>
      </c>
      <c r="I27" s="1008" t="n">
        <v>840632.0</v>
      </c>
      <c r="J27" s="1008" t="n">
        <v>786170.0</v>
      </c>
      <c r="K27" s="1008" t="n">
        <v>705931.0</v>
      </c>
      <c r="L27" s="1009" t="n">
        <v>655626.0</v>
      </c>
    </row>
    <row r="28" spans="1:12">
      <c r="A28" s="1002" t="s">
        <v>382</v>
      </c>
      <c r="B28" s="1003" t="n">
        <v>4200.0</v>
      </c>
      <c r="C28" s="1004" t="n">
        <v>16432.0</v>
      </c>
      <c r="D28" s="1005" t="n">
        <v>20000.0</v>
      </c>
      <c r="E28" s="1003" t="n">
        <v>29344.0</v>
      </c>
      <c r="F28" s="1004" t="n">
        <v>37244.0</v>
      </c>
      <c r="G28" s="1005" t="n">
        <v>0.0</v>
      </c>
      <c r="H28" s="1003" t="n">
        <v>21840.0</v>
      </c>
      <c r="I28" s="1004" t="n">
        <v>22417.0</v>
      </c>
      <c r="J28" s="1004" t="n">
        <v>20965.0</v>
      </c>
      <c r="K28" s="1004" t="n">
        <v>18825.0</v>
      </c>
      <c r="L28" s="1005" t="n">
        <v>17483.0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4308049.0</v>
      </c>
      <c r="C33" s="710" t="n">
        <v>4473652.0</v>
      </c>
      <c r="D33" s="705" t="n">
        <v>3798000.0</v>
      </c>
      <c r="E33" s="700" t="n">
        <v>3683185.0</v>
      </c>
      <c r="F33" s="710" t="n">
        <v>3428160.0</v>
      </c>
      <c r="G33" s="705" t="n">
        <v>0.0</v>
      </c>
      <c r="H33" s="700" t="n">
        <v>4147483.0</v>
      </c>
      <c r="I33" s="710" t="n">
        <v>4256960.0</v>
      </c>
      <c r="J33" s="710" t="n">
        <v>3981163.0</v>
      </c>
      <c r="K33" s="710" t="n">
        <v>3574836.0</v>
      </c>
      <c r="L33" s="705" t="n">
        <v>3320092.0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2.4606798E7</v>
      </c>
      <c r="C39" s="715" t="n">
        <v>2.2439736E7</v>
      </c>
      <c r="D39" s="704" t="n">
        <v>2.8981E7</v>
      </c>
      <c r="E39" s="699" t="n">
        <v>2.9716713E7</v>
      </c>
      <c r="F39" s="715" t="n">
        <v>3.1903814E7</v>
      </c>
      <c r="G39" s="704" t="n">
        <v>3.4090915E7</v>
      </c>
      <c r="H39" s="699" t="n">
        <v>2.8020009E7</v>
      </c>
      <c r="I39" s="715" t="n">
        <v>2.6400561E7</v>
      </c>
      <c r="J39" s="715" t="n">
        <v>2.5226016E7</v>
      </c>
      <c r="K39" s="709" t="n">
        <v>2.3481995E7</v>
      </c>
      <c r="L39" s="704" t="n">
        <v>2.2191776E7</v>
      </c>
    </row>
    <row r="40" spans="1:12" ht="14.25" thickBot="1">
      <c r="A40" s="733" t="s">
        <v>295</v>
      </c>
      <c r="B40" s="701" t="n">
        <v>4519729.0</v>
      </c>
      <c r="C40" s="716" t="n">
        <v>5886816.0</v>
      </c>
      <c r="D40" s="706" t="n">
        <v>7486000.0</v>
      </c>
      <c r="E40" s="701" t="n">
        <v>8930453.0</v>
      </c>
      <c r="F40" s="716" t="n">
        <v>1.0413588E7</v>
      </c>
      <c r="G40" s="706" t="n">
        <v>1.1896724E7</v>
      </c>
      <c r="H40" s="701" t="n">
        <v>7237769.0</v>
      </c>
      <c r="I40" s="716" t="n">
        <v>6819454.0</v>
      </c>
      <c r="J40" s="716" t="n">
        <v>6516061.0</v>
      </c>
      <c r="K40" s="711" t="n">
        <v>6065568.0</v>
      </c>
      <c r="L40" s="706" t="n">
        <v>5732295.0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195543.0</v>
      </c>
      <c r="D44" s="704" t="n">
        <v>192000.0</v>
      </c>
      <c r="E44" s="699" t="n">
        <v>321181.0</v>
      </c>
      <c r="F44" s="709" t="n">
        <v>417181.0</v>
      </c>
      <c r="G44" s="704" t="n">
        <v>513181.0</v>
      </c>
      <c r="H44" s="699" t="n">
        <v>192000.0</v>
      </c>
      <c r="I44" s="709" t="n">
        <v>192000.0</v>
      </c>
      <c r="J44" s="709" t="n">
        <v>192000.0</v>
      </c>
      <c r="K44" s="709" t="n">
        <v>192000.0</v>
      </c>
      <c r="L44" s="704" t="n">
        <v>192000.0</v>
      </c>
    </row>
    <row r="45" spans="1:12">
      <c r="A45" s="729" t="s">
        <v>297</v>
      </c>
      <c r="B45" s="700" t="n">
        <v>14640.0</v>
      </c>
      <c r="C45" s="710" t="n">
        <v>188970.0</v>
      </c>
      <c r="D45" s="705" t="n">
        <v>169000.0</v>
      </c>
      <c r="E45" s="700" t="n">
        <v>278563.0</v>
      </c>
      <c r="F45" s="710" t="n">
        <v>355743.0</v>
      </c>
      <c r="G45" s="705" t="n">
        <v>432923.0</v>
      </c>
      <c r="H45" s="700" t="n">
        <v>169000.0</v>
      </c>
      <c r="I45" s="710" t="n">
        <v>169000.0</v>
      </c>
      <c r="J45" s="710" t="n">
        <v>169000.0</v>
      </c>
      <c r="K45" s="710" t="n">
        <v>169000.0</v>
      </c>
      <c r="L45" s="705" t="n">
        <v>169000.0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7703249.0</v>
      </c>
      <c r="C61" s="779" t="n">
        <f t="shared" ref="C61:D61" si="0">SUM(C9,C11,C13:C17,C19,C21:C34)</f>
        <v>7898084.0</v>
      </c>
      <c r="D61" s="780" t="n">
        <f t="shared" si="0"/>
        <v>6968000.0</v>
      </c>
      <c r="E61" s="778" t="n">
        <f t="shared" ref="E61:L61" si="1">SUM(E9,E11,E13:E17,E19,E21:E35)</f>
        <v>6786184.0</v>
      </c>
      <c r="F61" s="779" t="n">
        <f t="shared" si="1"/>
        <v>6505887.0</v>
      </c>
      <c r="G61" s="780" t="n">
        <f t="shared" si="1"/>
        <v>2227310.0</v>
      </c>
      <c r="H61" s="778" t="n">
        <f t="shared" si="1"/>
        <v>7273668.0</v>
      </c>
      <c r="I61" s="779" t="n">
        <f t="shared" si="1"/>
        <v>7239473.0</v>
      </c>
      <c r="J61" s="779" t="n">
        <f t="shared" si="1"/>
        <v>6751627.0</v>
      </c>
      <c r="K61" s="779" t="n">
        <f t="shared" si="1"/>
        <v>6073358.0</v>
      </c>
      <c r="L61" s="780" t="n">
        <f t="shared" si="1"/>
        <v>5579097.0</v>
      </c>
    </row>
    <row r="62" spans="1:12">
      <c r="A62" s="729" t="s">
        <v>318</v>
      </c>
      <c r="B62" s="781" t="n">
        <f t="shared" ref="B62:L62" si="2">SUM(B39:B40)</f>
        <v>2.9126527E7</v>
      </c>
      <c r="C62" s="782" t="n">
        <f t="shared" si="2"/>
        <v>2.8326552E7</v>
      </c>
      <c r="D62" s="783" t="n">
        <f t="shared" si="2"/>
        <v>3.6467E7</v>
      </c>
      <c r="E62" s="781" t="n">
        <f t="shared" si="2"/>
        <v>3.8647166E7</v>
      </c>
      <c r="F62" s="782" t="n">
        <f t="shared" si="2"/>
        <v>4.2317402E7</v>
      </c>
      <c r="G62" s="783" t="n">
        <f t="shared" si="2"/>
        <v>4.5987639E7</v>
      </c>
      <c r="H62" s="781" t="n">
        <f t="shared" si="2"/>
        <v>3.5257778E7</v>
      </c>
      <c r="I62" s="782" t="n">
        <f t="shared" si="2"/>
        <v>3.3220015E7</v>
      </c>
      <c r="J62" s="782" t="n">
        <f t="shared" si="2"/>
        <v>3.1742077E7</v>
      </c>
      <c r="K62" s="782" t="n">
        <f t="shared" si="2"/>
        <v>2.9547563E7</v>
      </c>
      <c r="L62" s="783" t="n">
        <f t="shared" si="2"/>
        <v>2.7924071E7</v>
      </c>
    </row>
    <row r="63" spans="1:12">
      <c r="A63" s="729" t="s">
        <v>302</v>
      </c>
      <c r="B63" s="781" t="n">
        <f t="shared" ref="B63:L63" si="3">SUM(B44:B49)</f>
        <v>14640.0</v>
      </c>
      <c r="C63" s="782" t="n">
        <f t="shared" si="3"/>
        <v>384513.0</v>
      </c>
      <c r="D63" s="783" t="n">
        <f t="shared" si="3"/>
        <v>361000.0</v>
      </c>
      <c r="E63" s="781" t="n">
        <f t="shared" si="3"/>
        <v>599744.0</v>
      </c>
      <c r="F63" s="782" t="n">
        <f t="shared" si="3"/>
        <v>772924.0</v>
      </c>
      <c r="G63" s="783" t="n">
        <f t="shared" si="3"/>
        <v>946104.0</v>
      </c>
      <c r="H63" s="781" t="n">
        <f t="shared" si="3"/>
        <v>361000.0</v>
      </c>
      <c r="I63" s="782" t="n">
        <f t="shared" si="3"/>
        <v>361000.0</v>
      </c>
      <c r="J63" s="782" t="n">
        <f t="shared" si="3"/>
        <v>361000.0</v>
      </c>
      <c r="K63" s="782" t="n">
        <f t="shared" si="3"/>
        <v>361000.0</v>
      </c>
      <c r="L63" s="783" t="n">
        <f t="shared" si="3"/>
        <v>361000.0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3.6844416E7</v>
      </c>
      <c r="C66" s="721" t="n">
        <f t="shared" ref="C66:L66" si="6">SUM(C61:C65)</f>
        <v>3.6609149E7</v>
      </c>
      <c r="D66" s="720" t="n">
        <f t="shared" si="6"/>
        <v>4.3796E7</v>
      </c>
      <c r="E66" s="719" t="n">
        <f t="shared" si="6"/>
        <v>4.6033094E7</v>
      </c>
      <c r="F66" s="721" t="n">
        <f t="shared" si="6"/>
        <v>4.9596213E7</v>
      </c>
      <c r="G66" s="720" t="n">
        <f t="shared" si="6"/>
        <v>4.9161053E7</v>
      </c>
      <c r="H66" s="719" t="n">
        <f t="shared" si="6"/>
        <v>4.2892446E7</v>
      </c>
      <c r="I66" s="721" t="n">
        <f t="shared" si="6"/>
        <v>4.0820488E7</v>
      </c>
      <c r="J66" s="721" t="n">
        <f t="shared" si="6"/>
        <v>3.8854704E7</v>
      </c>
      <c r="K66" s="721" t="n">
        <f t="shared" si="6"/>
        <v>3.5981921E7</v>
      </c>
      <c r="L66" s="720" t="n">
        <f t="shared" si="6"/>
        <v>3.3864168E7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2026/09/11</v>
      </c>
    </row>
    <row r="3" spans="1:12" ht="14.25" thickBot="1">
      <c r="I3" s="1051" t="s">
        <v>67</v>
      </c>
      <c r="J3" s="1052"/>
      <c r="K3" s="1065" t="str">
        <f>保険者名</f>
        <v>川崎町</v>
      </c>
      <c r="L3" s="1066"/>
    </row>
    <row r="4" spans="1:12" ht="14.25" thickBot="1">
      <c r="I4" s="1051" t="s">
        <v>68</v>
      </c>
      <c r="J4" s="1052"/>
      <c r="K4" s="1065" t="str">
        <f>保険者番号</f>
        <v>04324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R8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434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435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436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436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437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 t="s">
        <v>438</v>
      </c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436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436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 t="s">
        <v>438</v>
      </c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 t="s">
        <v>438</v>
      </c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6508.33057624376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7234.917566962512</v>
      </c>
      <c r="G12" s="671" t="n">
        <f>J105/J106/J214/12</f>
        <v>8382.637563300432</v>
      </c>
      <c r="H12" s="671" t="n">
        <f>K105/K106/K214/12</f>
        <v>9083.062402284906</v>
      </c>
      <c r="I12" s="671" t="n">
        <f>L105/L106/L214/12</f>
        <v>9402.782274692941</v>
      </c>
      <c r="J12" s="671" t="n">
        <f>M105/M106/M214/12</f>
        <v>9747.667306319914</v>
      </c>
      <c r="K12" s="921" t="n">
        <f>N105/N106/N214/12</f>
        <v>10153.317890254346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0.11163953370329516</v>
      </c>
      <c r="G22" s="674" t="n">
        <f t="shared" ref="G22:K22" si="0">G12/ROUND($F$8,0)-1</f>
        <v>0.2880512543485605</v>
      </c>
      <c r="H22" s="791" t="n">
        <f t="shared" si="0"/>
        <v>0.3956764600929481</v>
      </c>
      <c r="I22" s="791" t="n">
        <f t="shared" si="0"/>
        <v>0.4448036685145884</v>
      </c>
      <c r="J22" s="791" t="n">
        <f t="shared" si="0"/>
        <v>0.4977976807498332</v>
      </c>
      <c r="K22" s="792" t="n">
        <f t="shared" si="0"/>
        <v>0.5601287477342265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6369.080011267768</v>
      </c>
      <c r="G41" s="682" t="n">
        <f>(J69*'(参考)保険料の推計に要する係数'!E5+(J93-J94))/(J214*J106*12)</f>
        <v>7489.946999041956</v>
      </c>
      <c r="H41" s="682" t="n">
        <f>(K69*'(参考)保険料の推計に要する係数'!F5+(K93-K94))/(K214*K106*12)</f>
        <v>8044.2491134262045</v>
      </c>
      <c r="I41" s="682" t="n">
        <f>(L69*'(参考)保険料の推計に要する係数'!G5+(L93-L94))/(L214*L106*12)</f>
        <v>8219.932965391245</v>
      </c>
      <c r="J41" s="682" t="n">
        <f>(M69*'(参考)保険料の推計に要する係数'!H5+(M93-M94))/(M214*M106*12)</f>
        <v>8478.815106761474</v>
      </c>
      <c r="K41" s="682" t="n">
        <f>(N69*'(参考)保険料の推計に要する係数'!I5+(N93-N94))/(N214*N106*12)</f>
        <v>8904.817257734432</v>
      </c>
      <c r="L41" s="684" t="n">
        <f t="shared" ref="L41:L51" si="8">F41/$F$49</f>
        <v>0.8803251664333401</v>
      </c>
      <c r="M41" s="684" t="n">
        <f>G41/$G$49</f>
        <v>0.8935071977623468</v>
      </c>
      <c r="N41" s="684" t="n">
        <f>H41/$H$49</f>
        <v>0.8856318229634335</v>
      </c>
      <c r="O41" s="684" t="n">
        <f>I41/$I$49</f>
        <v>0.8742022015669482</v>
      </c>
      <c r="P41" s="684" t="n">
        <f>J41/$J$49</f>
        <v>0.8698301696513815</v>
      </c>
      <c r="Q41" s="934" t="n">
        <f>K41/$K$49</f>
        <v>0.877035207011662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1937.4278864732744</v>
      </c>
      <c r="G42" s="682" t="n">
        <f>$G$41*SUM('2_サービス別給付費'!J151)/SUM('2_サービス別給付費'!$J$150)</f>
        <v>2046.4770280125113</v>
      </c>
      <c r="H42" s="682" t="n">
        <f>$H$41*SUM('2_サービス別給付費'!K151)/SUM('2_サービス別給付費'!$K$150)</f>
        <v>2225.126280425069</v>
      </c>
      <c r="I42" s="682" t="n">
        <f>$I$41*SUM('2_サービス別給付費'!L151)/SUM('2_サービス別給付費'!$L$150)</f>
        <v>2190.759319229396</v>
      </c>
      <c r="J42" s="682" t="n">
        <f>$J$41*SUM('2_サービス別給付費'!M151)/SUM('2_サービス別給付費'!$M$150)</f>
        <v>2243.3554894416825</v>
      </c>
      <c r="K42" s="682" t="n">
        <f>$K$41*SUM('2_サービス別給付費'!N151)/SUM('2_サービス別給付費'!$N$150)</f>
        <v>2353.2057607545207</v>
      </c>
      <c r="L42" s="684" t="n">
        <f t="shared" si="8"/>
        <v>0.26778852261155467</v>
      </c>
      <c r="M42" s="684" t="n">
        <f t="shared" ref="M42:M51" si="9">G42/$G$49</f>
        <v>0.24413282962060542</v>
      </c>
      <c r="N42" s="684" t="n">
        <f t="shared" ref="N42:N51" si="10">H42/$H$49</f>
        <v>0.24497533781836878</v>
      </c>
      <c r="O42" s="684" t="n">
        <f t="shared" ref="O42:O51" si="11">I42/$I$49</f>
        <v>0.23299053995174404</v>
      </c>
      <c r="P42" s="684" t="n">
        <f t="shared" ref="P42:P51" si="12">J42/$J$49</f>
        <v>0.23014280431864967</v>
      </c>
      <c r="Q42" s="934" t="n">
        <f t="shared" ref="Q42:Q51" si="13">K42/$K$49</f>
        <v>0.2317671707110878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411.6117509876968</v>
      </c>
      <c r="G43" s="682" t="n">
        <f>$G$41*SUM('2_サービス別給付費'!J152)/SUM('2_サービス別給付費'!$J$150)</f>
        <v>463.26265058606225</v>
      </c>
      <c r="H43" s="682" t="n">
        <f>$H$41*SUM('2_サービス別給付費'!K152)/SUM('2_サービス別給付費'!$K$150)</f>
        <v>524.1518082631908</v>
      </c>
      <c r="I43" s="682" t="n">
        <f>$I$41*SUM('2_サービス別給付費'!L152)/SUM('2_サービス別給付費'!$L$150)</f>
        <v>531.0062124239705</v>
      </c>
      <c r="J43" s="682" t="n">
        <f>$J$41*SUM('2_サービス別給付費'!M152)/SUM('2_サービス別給付費'!$M$150)</f>
        <v>534.929987218256</v>
      </c>
      <c r="K43" s="682" t="n">
        <f>$K$41*SUM('2_サービス別給付費'!N152)/SUM('2_サービス別給付費'!$N$150)</f>
        <v>558.6020633830956</v>
      </c>
      <c r="L43" s="684" t="n">
        <f t="shared" si="8"/>
        <v>0.056892389882543866</v>
      </c>
      <c r="M43" s="684" t="n">
        <f t="shared" si="9"/>
        <v>0.05526454497021882</v>
      </c>
      <c r="N43" s="684" t="n">
        <f t="shared" si="10"/>
        <v>0.057706507458468725</v>
      </c>
      <c r="O43" s="684" t="n">
        <f t="shared" si="11"/>
        <v>0.05647330725216768</v>
      </c>
      <c r="P43" s="684" t="n">
        <f t="shared" si="12"/>
        <v>0.05487774360861018</v>
      </c>
      <c r="Q43" s="934" t="n">
        <f t="shared" si="13"/>
        <v>0.055016701872327795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4020.040373806797</v>
      </c>
      <c r="G44" s="682" t="n">
        <f>$G$41*SUM('2_サービス別給付費'!J153)/SUM('2_サービス別給付費'!$J$150)</f>
        <v>4980.207320443383</v>
      </c>
      <c r="H44" s="682" t="n">
        <f>$H$41*SUM('2_サービス別給付費'!K153)/SUM('2_サービス別給付費'!$K$150)</f>
        <v>5294.971024737944</v>
      </c>
      <c r="I44" s="682" t="n">
        <f>$I$41*SUM('2_サービス別給付費'!L153)/SUM('2_サービス別給付費'!$L$150)</f>
        <v>5498.167433737878</v>
      </c>
      <c r="J44" s="682" t="n">
        <f>$J$41*SUM('2_サービス別給付費'!M153)/SUM('2_サービス別給付費'!$M$150)</f>
        <v>5700.529630101536</v>
      </c>
      <c r="K44" s="682" t="n">
        <f>$K$41*SUM('2_サービス別給付費'!N153)/SUM('2_サービス別給付費'!$N$150)</f>
        <v>5993.009433596816</v>
      </c>
      <c r="L44" s="684" t="n">
        <f t="shared" si="8"/>
        <v>0.5556442539392417</v>
      </c>
      <c r="M44" s="684" t="n">
        <f t="shared" si="9"/>
        <v>0.5941098231715226</v>
      </c>
      <c r="N44" s="684" t="n">
        <f t="shared" si="10"/>
        <v>0.582949977686596</v>
      </c>
      <c r="O44" s="684" t="n">
        <f t="shared" si="11"/>
        <v>0.5847383543630364</v>
      </c>
      <c r="P44" s="684" t="n">
        <f t="shared" si="12"/>
        <v>0.5848096217241217</v>
      </c>
      <c r="Q44" s="934" t="n">
        <f t="shared" si="13"/>
        <v>0.5902513344282465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554.0672202497673</v>
      </c>
      <c r="G45" s="682" t="n">
        <f>((J75+J78+J81+J82)*'(参考)保険料の推計に要する係数'!E5+J85)/(J214*J106*12)</f>
        <v>597.7088192105037</v>
      </c>
      <c r="H45" s="682" t="n">
        <f>((K75+K78+K81+K82)*'(参考)保険料の推計に要する係数'!F5+K85)/(K214*K106*12)</f>
        <v>726.4481506270417</v>
      </c>
      <c r="I45" s="682" t="n">
        <f>((L75+L78+L81+L82)*'(参考)保険料の推計に要する係数'!G5+L85)/(L214*L106*12)</f>
        <v>857.0544156920511</v>
      </c>
      <c r="J45" s="682" t="n">
        <f>((M75+M78+M81+M82)*'(参考)保険料の推計に要する係数'!H5+M85)/(M214*M106*12)</f>
        <v>930.4781445979402</v>
      </c>
      <c r="K45" s="682" t="n">
        <f>((N75+N78+N81+N82)*'(参考)保険料の推計に要する係数'!I5+N85)/(N214*N106*12)</f>
        <v>898.8636485655411</v>
      </c>
      <c r="L45" s="684" t="n">
        <f t="shared" si="8"/>
        <v>0.07658238191681091</v>
      </c>
      <c r="M45" s="684" t="n">
        <f t="shared" si="9"/>
        <v>0.07130319242565133</v>
      </c>
      <c r="N45" s="684" t="n">
        <f t="shared" si="10"/>
        <v>0.07997832872361404</v>
      </c>
      <c r="O45" s="684" t="n">
        <f t="shared" si="11"/>
        <v>0.09114902277369166</v>
      </c>
      <c r="P45" s="684" t="n">
        <f t="shared" si="12"/>
        <v>0.09545649388286606</v>
      </c>
      <c r="Q45" s="934" t="n">
        <f t="shared" si="13"/>
        <v>0.08852905604662636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311.77033544497465</v>
      </c>
      <c r="G46" s="682" t="n">
        <f>J86*'(参考)保険料の推計に要する係数'!E5/(J214*J106*12)</f>
        <v>294.98174504797294</v>
      </c>
      <c r="H46" s="682" t="n">
        <f>K86*'(参考)保険料の推計に要する係数'!F5/(K214*K106*12)</f>
        <v>312.3651382316597</v>
      </c>
      <c r="I46" s="682" t="n">
        <f>L86*'(参考)保険料の推計に要する係数'!G5/(L214*L106*12)</f>
        <v>325.7948936096436</v>
      </c>
      <c r="J46" s="682" t="n">
        <f>M86*'(参考)保険料の推計に要する係数'!H5/(M214*M106*12)</f>
        <v>338.3740549604982</v>
      </c>
      <c r="K46" s="682" t="n">
        <f>N86*'(参考)保険料の推計に要する係数'!I5/(N214*N106*12)</f>
        <v>349.6369839543723</v>
      </c>
      <c r="L46" s="684" t="n">
        <f t="shared" si="8"/>
        <v>0.043092451649848935</v>
      </c>
      <c r="M46" s="684" t="n">
        <f t="shared" si="9"/>
        <v>0.03518960981200194</v>
      </c>
      <c r="N46" s="684" t="n">
        <f t="shared" si="10"/>
        <v>0.034389848312952484</v>
      </c>
      <c r="O46" s="684" t="n">
        <f t="shared" si="11"/>
        <v>0.034648775659360136</v>
      </c>
      <c r="P46" s="684" t="n">
        <f t="shared" si="12"/>
        <v>0.034713336465752476</v>
      </c>
      <c r="Q46" s="934" t="n">
        <f t="shared" si="13"/>
        <v>0.034435736941711544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7234.91756696251</v>
      </c>
      <c r="G49" s="682" t="n">
        <f>G41+SUM(G45:G48)</f>
        <v>8382.637563300432</v>
      </c>
      <c r="H49" s="682" t="n">
        <f t="shared" ref="H49:K49" si="14">H41+SUM(H45:H48)</f>
        <v>9083.062402284906</v>
      </c>
      <c r="I49" s="682" t="n">
        <f t="shared" si="14"/>
        <v>9402.78227469294</v>
      </c>
      <c r="J49" s="682" t="n">
        <f t="shared" si="14"/>
        <v>9747.667306319912</v>
      </c>
      <c r="K49" s="682" t="n">
        <f t="shared" si="14"/>
        <v>10153.317890254346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7234.91756696251</v>
      </c>
      <c r="G51" s="683" t="n">
        <f>G49-G50</f>
        <v>8382.637563300432</v>
      </c>
      <c r="H51" s="683" t="n">
        <f t="shared" ref="H51:K51" si="15">H49-H50</f>
        <v>9083.062402284906</v>
      </c>
      <c r="I51" s="683" t="n">
        <f t="shared" si="15"/>
        <v>9402.78227469294</v>
      </c>
      <c r="J51" s="683" t="n">
        <f t="shared" si="15"/>
        <v>9747.667306319912</v>
      </c>
      <c r="K51" s="683" t="n">
        <f t="shared" si="15"/>
        <v>10153.317890254346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3.34980631E9</v>
      </c>
      <c r="G68" s="237" t="n">
        <f t="shared" ref="G68:N68" si="25">G69+G75+G78+G81+G82</f>
        <v>1.113893436E9</v>
      </c>
      <c r="H68" s="238" t="n">
        <f t="shared" si="25"/>
        <v>1.116346017E9</v>
      </c>
      <c r="I68" s="239" t="n">
        <f t="shared" si="25"/>
        <v>1.119566857E9</v>
      </c>
      <c r="J68" s="658" t="n">
        <f t="shared" si="25"/>
        <v>1.164286118E9</v>
      </c>
      <c r="K68" s="803" t="n">
        <f t="shared" si="25"/>
        <v>1.266966667E9</v>
      </c>
      <c r="L68" s="803" t="n">
        <f t="shared" si="25"/>
        <v>1.388393375E9</v>
      </c>
      <c r="M68" s="896" t="n">
        <f t="shared" si="25"/>
        <v>1.367303912E9</v>
      </c>
      <c r="N68" s="804" t="n">
        <f t="shared" si="25"/>
        <v>1.202883639E9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3.09249E9</v>
      </c>
      <c r="G69" s="242" t="n">
        <f>SUM(G70:G74)</f>
        <v>1.028468E9</v>
      </c>
      <c r="H69" s="242" t="n">
        <f t="shared" ref="H69:I69" si="26">SUM(H70:H74)</f>
        <v>1.030772E9</v>
      </c>
      <c r="I69" s="242" t="n">
        <f t="shared" si="26"/>
        <v>1.03325E9</v>
      </c>
      <c r="J69" s="659" t="n">
        <f>SUM(J70:J73)</f>
        <v>1.077375E9</v>
      </c>
      <c r="K69" s="659" t="n">
        <f t="shared" ref="K69:N69" si="27">SUM(K70:K73)</f>
        <v>1.172033E9</v>
      </c>
      <c r="L69" s="659" t="n">
        <f t="shared" si="27"/>
        <v>1.28618E9</v>
      </c>
      <c r="M69" s="659" t="n">
        <f t="shared" si="27"/>
        <v>1.268359E9</v>
      </c>
      <c r="N69" s="936" t="n">
        <f t="shared" si="27"/>
        <v>1.115824E9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3.09249E9</v>
      </c>
      <c r="G70" s="242" t="n">
        <f>'2_サービス別給付費'!G150*1000</f>
        <v>1.028468E9</v>
      </c>
      <c r="H70" s="242" t="n">
        <f>'2_サービス別給付費'!H150*1000</f>
        <v>1.030772E9</v>
      </c>
      <c r="I70" s="955" t="n">
        <f>'2_サービス別給付費'!I150*1000</f>
        <v>1.03325E9</v>
      </c>
      <c r="J70" s="659" t="n">
        <f>'2_サービス別給付費'!J150*1000</f>
        <v>1.077375E9</v>
      </c>
      <c r="K70" s="659" t="n">
        <f>'2_サービス別給付費'!K150*1000</f>
        <v>1.172033E9</v>
      </c>
      <c r="L70" s="659" t="n">
        <f>'2_サービス別給付費'!L150*1000</f>
        <v>1.28618E9</v>
      </c>
      <c r="M70" s="659" t="n">
        <f>'2_サービス別給付費'!M150*1000</f>
        <v>1.268359E9</v>
      </c>
      <c r="N70" s="936" t="n">
        <f>'2_サービス別給付費'!N150*1000</f>
        <v>1.115824E9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1.56669648E8</v>
      </c>
      <c r="G75" s="296" t="n">
        <f t="shared" ref="G75:N75" si="28">G76+G77</f>
        <v>5.2012152E7</v>
      </c>
      <c r="H75" s="810" t="n">
        <f t="shared" si="28"/>
        <v>5.2102608E7</v>
      </c>
      <c r="I75" s="811" t="n">
        <f t="shared" si="28"/>
        <v>5.2554888E7</v>
      </c>
      <c r="J75" s="722" t="n">
        <f t="shared" si="28"/>
        <v>5.2916712E7</v>
      </c>
      <c r="K75" s="722" t="n">
        <f t="shared" si="28"/>
        <v>5.7801331E7</v>
      </c>
      <c r="L75" s="722" t="n">
        <f t="shared" si="28"/>
        <v>6.223367E7</v>
      </c>
      <c r="M75" s="722" t="n">
        <f t="shared" si="28"/>
        <v>6.0243641E7</v>
      </c>
      <c r="N75" s="937" t="n">
        <f t="shared" si="28"/>
        <v>5.3007168E7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1.56669648E8</v>
      </c>
      <c r="G76" s="249" t="n">
        <v>5.2012152E7</v>
      </c>
      <c r="H76" s="250" t="n">
        <v>5.2102608E7</v>
      </c>
      <c r="I76" s="251" t="n">
        <v>5.2554888E7</v>
      </c>
      <c r="J76" s="660" t="n">
        <v>5.2916712E7</v>
      </c>
      <c r="K76" s="808" t="n">
        <v>5.7801331E7</v>
      </c>
      <c r="L76" s="808" t="n">
        <v>6.223367E7</v>
      </c>
      <c r="M76" s="899" t="n">
        <v>6.0243641E7</v>
      </c>
      <c r="N76" s="809" t="n">
        <v>5.3007168E7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9.3189835E7</v>
      </c>
      <c r="G78" s="296" t="n">
        <f t="shared" ref="G78:N78" si="30">G79+G80</f>
        <v>3.0937734E7</v>
      </c>
      <c r="H78" s="810" t="n">
        <f t="shared" si="30"/>
        <v>3.0991539E7</v>
      </c>
      <c r="I78" s="811" t="n">
        <f t="shared" si="30"/>
        <v>3.1260562E7</v>
      </c>
      <c r="J78" s="722" t="n">
        <f t="shared" si="30"/>
        <v>3.1475781E7</v>
      </c>
      <c r="K78" s="812" t="n">
        <f t="shared" si="30"/>
        <v>3.4381238E7</v>
      </c>
      <c r="L78" s="812" t="n">
        <f t="shared" si="30"/>
        <v>3.7017671E7</v>
      </c>
      <c r="M78" s="900" t="n">
        <f t="shared" si="30"/>
        <v>3.5833966E7</v>
      </c>
      <c r="N78" s="938" t="n">
        <f t="shared" si="30"/>
        <v>3.1529586E7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9.3189835E7</v>
      </c>
      <c r="G79" s="249" t="n">
        <v>3.0937734E7</v>
      </c>
      <c r="H79" s="250" t="n">
        <v>3.0991539E7</v>
      </c>
      <c r="I79" s="251" t="n">
        <v>3.1260562E7</v>
      </c>
      <c r="J79" s="660" t="n">
        <v>3.1475781E7</v>
      </c>
      <c r="K79" s="808" t="n">
        <v>3.4381238E7</v>
      </c>
      <c r="L79" s="808" t="n">
        <v>3.7017671E7</v>
      </c>
      <c r="M79" s="899" t="n">
        <v>3.5833966E7</v>
      </c>
      <c r="N79" s="809" t="n">
        <v>3.1529586E7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5506887.0</v>
      </c>
      <c r="G81" s="249" t="n">
        <v>1828210.0</v>
      </c>
      <c r="H81" s="250" t="n">
        <v>1831390.0</v>
      </c>
      <c r="I81" s="251" t="n">
        <v>1847287.0</v>
      </c>
      <c r="J81" s="660" t="n">
        <v>1860005.0</v>
      </c>
      <c r="K81" s="808" t="n">
        <v>2031698.0</v>
      </c>
      <c r="L81" s="808" t="n">
        <v>2187494.0</v>
      </c>
      <c r="M81" s="899" t="n">
        <v>2117545.0</v>
      </c>
      <c r="N81" s="809" t="n">
        <v>1863185.0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1949940.0</v>
      </c>
      <c r="G82" s="246" t="n">
        <f t="shared" ref="G82:N82" si="31">G83*G84-G85</f>
        <v>647340.0</v>
      </c>
      <c r="H82" s="247" t="n">
        <f t="shared" si="31"/>
        <v>648480.0</v>
      </c>
      <c r="I82" s="248" t="n">
        <f t="shared" si="31"/>
        <v>654120.0</v>
      </c>
      <c r="J82" s="659" t="n">
        <f t="shared" si="31"/>
        <v>658620.0</v>
      </c>
      <c r="K82" s="805" t="n">
        <f t="shared" si="31"/>
        <v>719400.0</v>
      </c>
      <c r="L82" s="805" t="n">
        <f t="shared" si="31"/>
        <v>774540.0</v>
      </c>
      <c r="M82" s="897" t="n">
        <f t="shared" si="31"/>
        <v>749760.0</v>
      </c>
      <c r="N82" s="939" t="n">
        <f t="shared" si="31"/>
        <v>659700.0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60.0</v>
      </c>
      <c r="H83" s="250" t="n">
        <v>60.0</v>
      </c>
      <c r="I83" s="251" t="n">
        <v>60.0</v>
      </c>
      <c r="J83" s="660" t="n">
        <v>60.0</v>
      </c>
      <c r="K83" s="808" t="n">
        <v>60.0</v>
      </c>
      <c r="L83" s="808" t="n">
        <v>60.0</v>
      </c>
      <c r="M83" s="899" t="n">
        <v>60.0</v>
      </c>
      <c r="N83" s="809" t="n">
        <v>60.0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32499.0</v>
      </c>
      <c r="G84" s="249" t="n">
        <v>10789.0</v>
      </c>
      <c r="H84" s="250" t="n">
        <v>10808.0</v>
      </c>
      <c r="I84" s="251" t="n">
        <v>10902.0</v>
      </c>
      <c r="J84" s="660" t="n">
        <v>10977.0</v>
      </c>
      <c r="K84" s="808" t="n">
        <v>11990.0</v>
      </c>
      <c r="L84" s="808" t="n">
        <v>12909.0</v>
      </c>
      <c r="M84" s="899" t="n">
        <v>12496.0</v>
      </c>
      <c r="N84" s="809" t="n">
        <v>10995.0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1.4479036E8</v>
      </c>
      <c r="G86" s="247" t="n">
        <f>SUM(G87:G91)</f>
        <v>4.6033094E7</v>
      </c>
      <c r="H86" s="247" t="n">
        <f t="shared" ref="H86:N86" si="33">SUM(H87:H91)</f>
        <v>4.9596213E7</v>
      </c>
      <c r="I86" s="248" t="n">
        <f t="shared" si="33"/>
        <v>4.9161053E7</v>
      </c>
      <c r="J86" s="659" t="n">
        <f t="shared" si="33"/>
        <v>4.2892446E7</v>
      </c>
      <c r="K86" s="659" t="n">
        <f t="shared" si="33"/>
        <v>4.0820488E7</v>
      </c>
      <c r="L86" s="659" t="n">
        <f t="shared" si="33"/>
        <v>3.8854704E7</v>
      </c>
      <c r="M86" s="659" t="n">
        <f t="shared" si="33"/>
        <v>3.5981921E7</v>
      </c>
      <c r="N86" s="936" t="n">
        <f t="shared" si="33"/>
        <v>3.3864168E7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1.5519381E7</v>
      </c>
      <c r="G87" s="810" t="n">
        <f>'3_地域支援事業費'!E61</f>
        <v>6786184.0</v>
      </c>
      <c r="H87" s="810" t="n">
        <f>'3_地域支援事業費'!F61</f>
        <v>6505887.0</v>
      </c>
      <c r="I87" s="811" t="n">
        <f>'3_地域支援事業費'!G61</f>
        <v>2227310.0</v>
      </c>
      <c r="J87" s="722" t="n">
        <f>'3_地域支援事業費'!H61</f>
        <v>7273668.0</v>
      </c>
      <c r="K87" s="722" t="n">
        <f>'3_地域支援事業費'!I61</f>
        <v>7239473.0</v>
      </c>
      <c r="L87" s="722" t="n">
        <f>'3_地域支援事業費'!J61</f>
        <v>6751627.0</v>
      </c>
      <c r="M87" s="722" t="n">
        <f>'3_地域支援事業費'!K61</f>
        <v>6073358.0</v>
      </c>
      <c r="N87" s="937" t="n">
        <f>'3_地域支援事業費'!L61</f>
        <v>5579097.0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1.26952207E8</v>
      </c>
      <c r="G88" s="810" t="n">
        <f>'3_地域支援事業費'!E62</f>
        <v>3.8647166E7</v>
      </c>
      <c r="H88" s="810" t="n">
        <f>'3_地域支援事業費'!F62</f>
        <v>4.2317402E7</v>
      </c>
      <c r="I88" s="811" t="n">
        <f>'3_地域支援事業費'!G62</f>
        <v>4.5987639E7</v>
      </c>
      <c r="J88" s="722" t="n">
        <f>'3_地域支援事業費'!H62</f>
        <v>3.5257778E7</v>
      </c>
      <c r="K88" s="722" t="n">
        <f>'3_地域支援事業費'!I62</f>
        <v>3.3220015E7</v>
      </c>
      <c r="L88" s="722" t="n">
        <f>'3_地域支援事業費'!J62</f>
        <v>3.1742077E7</v>
      </c>
      <c r="M88" s="722" t="n">
        <f>'3_地域支援事業費'!K62</f>
        <v>2.9547563E7</v>
      </c>
      <c r="N88" s="937" t="n">
        <f>'3_地域支援事業費'!L62</f>
        <v>2.7924071E7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2318772.0</v>
      </c>
      <c r="G89" s="940" t="n">
        <f>'3_地域支援事業費'!E63</f>
        <v>599744.0</v>
      </c>
      <c r="H89" s="940" t="n">
        <f>'3_地域支援事業費'!F63</f>
        <v>772924.0</v>
      </c>
      <c r="I89" s="957" t="n">
        <f>'3_地域支援事業費'!G63</f>
        <v>946104.0</v>
      </c>
      <c r="J89" s="812" t="n">
        <f>'3_地域支援事業費'!H63</f>
        <v>361000.0</v>
      </c>
      <c r="K89" s="812" t="n">
        <f>'3_地域支援事業費'!I63</f>
        <v>361000.0</v>
      </c>
      <c r="L89" s="812" t="n">
        <f>'3_地域支援事業費'!J63</f>
        <v>361000.0</v>
      </c>
      <c r="M89" s="812" t="n">
        <f>'3_地域支援事業費'!K63</f>
        <v>361000.0</v>
      </c>
      <c r="N89" s="938" t="n">
        <f>'3_地域支援事業費'!L63</f>
        <v>361000.0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8.037572341E8</v>
      </c>
      <c r="G92" s="242" t="n">
        <f>(G68+G86)*'(参考)保険料の推計に要する係数'!$D$5</f>
        <v>2.667831019E8</v>
      </c>
      <c r="H92" s="242" t="n">
        <f>(H68+H86)*'(参考)保険料の推計に要する係数'!$D$5</f>
        <v>2.681667129E8</v>
      </c>
      <c r="I92" s="955" t="n">
        <f>(I68+I86)*'(参考)保険料の推計に要する係数'!$D$5</f>
        <v>2.688074193E8</v>
      </c>
      <c r="J92" s="659" t="n">
        <f>(J68+J86)*'(参考)保険料の推計に要する係数'!$E$5</f>
        <v>2.8972285536E8</v>
      </c>
      <c r="K92" s="659" t="n">
        <f>(K68+K86)*'(参考)保険料の推計に要する係数'!$F$5</f>
        <v>3.2694678875E8</v>
      </c>
      <c r="L92" s="659" t="n">
        <f>(L68+L86)*'(参考)保険料の推計に要する係数'!$G$5</f>
        <v>3.7108450054E8</v>
      </c>
      <c r="M92" s="659" t="n">
        <f>(M68+M86)*'(参考)保険料の推計に要する係数'!$H$5</f>
        <v>3.7888717491E8</v>
      </c>
      <c r="N92" s="936" t="n">
        <f>(N68+N86)*'(参考)保険料の推計に要する係数'!$I$5</f>
        <v>3.4628938596000004E8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1.6826628455E8</v>
      </c>
      <c r="G93" s="958" t="n">
        <f t="shared" ref="G93:N93" si="36">(G68+G87)*0.05</f>
        <v>5.6033981E7</v>
      </c>
      <c r="H93" s="263" t="n">
        <f t="shared" si="36"/>
        <v>5.61425952E7</v>
      </c>
      <c r="I93" s="959" t="n">
        <f t="shared" si="36"/>
        <v>5.608970835E7</v>
      </c>
      <c r="J93" s="661" t="n">
        <f t="shared" si="36"/>
        <v>5.8577989300000004E7</v>
      </c>
      <c r="K93" s="661" t="n">
        <f t="shared" si="36"/>
        <v>6.3710307E7</v>
      </c>
      <c r="L93" s="661" t="n">
        <f t="shared" si="36"/>
        <v>6.975725010000001E7</v>
      </c>
      <c r="M93" s="661" t="n">
        <f t="shared" si="36"/>
        <v>6.86688635E7</v>
      </c>
      <c r="N93" s="941" t="n">
        <f t="shared" si="36"/>
        <v>6.0423136800000004E7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1.99225E8</v>
      </c>
      <c r="G94" s="960" t="n">
        <f t="shared" ref="G94:N94" si="37">ROUND((G68+G87)*G97*G95,-3)+G96</f>
        <v>6.881E7</v>
      </c>
      <c r="H94" s="160" t="n">
        <f t="shared" si="37"/>
        <v>6.6585E7</v>
      </c>
      <c r="I94" s="961" t="n">
        <f t="shared" si="37"/>
        <v>6.383E7</v>
      </c>
      <c r="J94" s="662" t="n">
        <f t="shared" si="37"/>
        <v>5.5766E7</v>
      </c>
      <c r="K94" s="662" t="n">
        <f t="shared" si="37"/>
        <v>9.3909E7</v>
      </c>
      <c r="L94" s="662" t="n">
        <f t="shared" si="37"/>
        <v>1.49281E8</v>
      </c>
      <c r="M94" s="662" t="n">
        <f t="shared" si="37"/>
        <v>1.67689E8</v>
      </c>
      <c r="N94" s="942" t="n">
        <f t="shared" si="37"/>
        <v>1.3136E8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0.0614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0.0593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0.0569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0.0476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0.0737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0.9659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0.9629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0.9447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7.727985186500001E8</v>
      </c>
      <c r="G105" s="282"/>
      <c r="H105" s="283"/>
      <c r="I105" s="284"/>
      <c r="J105" s="668" t="n">
        <f>J92+J93-J94+G18+G21-G15+J85+J102+J103-J104</f>
        <v>2.9253484466E8</v>
      </c>
      <c r="K105" s="828" t="n">
        <f>K92+K93-K94+H18+H21-H15+K85+K102+K103-K104</f>
        <v>2.9674809575E8</v>
      </c>
      <c r="L105" s="828" t="n">
        <f>L92+L93-L94+I18+I21-I15+L85+L102+L103-L104</f>
        <v>2.9156075064000005E8</v>
      </c>
      <c r="M105" s="904" t="n">
        <f>M92+M93-M94+J18+J21-J15+M85+M102+M103-M104</f>
        <v>2.7986703841E8</v>
      </c>
      <c r="N105" s="829" t="n">
        <f>N92+N93-N94+K18+K21-K15+N85+N102+N103-N104</f>
        <v>2.7535252276000005E8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0.96</v>
      </c>
      <c r="G106" s="286"/>
      <c r="H106" s="287"/>
      <c r="I106" s="288"/>
      <c r="J106" s="669" t="n">
        <v>0.96</v>
      </c>
      <c r="K106" s="830" t="n">
        <v>0.96</v>
      </c>
      <c r="L106" s="830" t="n">
        <v>0.96</v>
      </c>
      <c r="M106" s="905" t="n">
        <v>0.96</v>
      </c>
      <c r="N106" s="831" t="n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9611.0</v>
      </c>
      <c r="G111" s="290" t="n">
        <f>'1_推計値サマリ'!G12</f>
        <v>3231.0</v>
      </c>
      <c r="H111" s="290" t="n">
        <f>'1_推計値サマリ'!H12</f>
        <v>3203.0</v>
      </c>
      <c r="I111" s="291" t="n">
        <f>'1_推計値サマリ'!I12</f>
        <v>3177.0</v>
      </c>
      <c r="J111" s="649" t="n">
        <f>'1_推計値サマリ'!K12</f>
        <v>3149.0</v>
      </c>
      <c r="K111" s="832" t="n">
        <f>'1_推計値サマリ'!M12</f>
        <v>2967.0</v>
      </c>
      <c r="L111" s="832" t="n">
        <f>'1_推計値サマリ'!O12</f>
        <v>2835.0</v>
      </c>
      <c r="M111" s="906" t="n">
        <f>'1_推計値サマリ'!Q12</f>
        <v>2639.0</v>
      </c>
      <c r="N111" s="833" t="n">
        <f>'1_推計値サマリ'!S12</f>
        <v>2494.0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3949.0</v>
      </c>
      <c r="G112" s="253" t="n">
        <v>1385.0</v>
      </c>
      <c r="H112" s="253" t="n">
        <v>1316.0</v>
      </c>
      <c r="I112" s="292" t="n">
        <v>1248.0</v>
      </c>
      <c r="J112" s="646" t="n">
        <v>1179.0</v>
      </c>
      <c r="K112" s="391" t="n">
        <v>945.0</v>
      </c>
      <c r="L112" s="391" t="n">
        <v>944.0</v>
      </c>
      <c r="M112" s="907" t="n">
        <v>941.0</v>
      </c>
      <c r="N112" s="834" t="n">
        <v>917.0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5662.0</v>
      </c>
      <c r="G113" s="296" t="n">
        <f>SUM(G114:G115)</f>
        <v>1846.0</v>
      </c>
      <c r="H113" s="296" t="n">
        <f t="shared" ref="H113:J113" si="38">SUM(H114:H115)</f>
        <v>1887.0</v>
      </c>
      <c r="I113" s="297" t="n">
        <f t="shared" si="38"/>
        <v>1929.0</v>
      </c>
      <c r="J113" s="650" t="n">
        <f t="shared" si="38"/>
        <v>1970.0</v>
      </c>
      <c r="K113" s="835" t="n">
        <f t="shared" ref="K113:M113" si="39">SUM(K114:K115)</f>
        <v>2022.0</v>
      </c>
      <c r="L113" s="835" t="n">
        <f t="shared" si="39"/>
        <v>1891.0</v>
      </c>
      <c r="M113" s="908" t="n">
        <f t="shared" si="39"/>
        <v>1698.0</v>
      </c>
      <c r="N113" s="836" t="n">
        <f t="shared" ref="N113" si="40">SUM(N114:N115)</f>
        <v>1577.0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3815.0</v>
      </c>
      <c r="G114" s="253" t="n">
        <v>1225.0</v>
      </c>
      <c r="H114" s="253" t="n">
        <v>1271.0</v>
      </c>
      <c r="I114" s="292" t="n">
        <v>1319.0</v>
      </c>
      <c r="J114" s="646" t="n">
        <v>1365.0</v>
      </c>
      <c r="K114" s="391" t="n">
        <v>1263.0</v>
      </c>
      <c r="L114" s="391" t="n">
        <v>998.0</v>
      </c>
      <c r="M114" s="907" t="n">
        <v>818.0</v>
      </c>
      <c r="N114" s="834" t="n">
        <v>826.0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1847.0</v>
      </c>
      <c r="G115" s="253" t="n">
        <v>621.0</v>
      </c>
      <c r="H115" s="253" t="n">
        <v>616.0</v>
      </c>
      <c r="I115" s="292" t="n">
        <v>610.0</v>
      </c>
      <c r="J115" s="646" t="n">
        <v>605.0</v>
      </c>
      <c r="K115" s="391" t="n">
        <v>759.0</v>
      </c>
      <c r="L115" s="391" t="n">
        <v>893.0</v>
      </c>
      <c r="M115" s="907" t="n">
        <v>880.0</v>
      </c>
      <c r="N115" s="834" t="n">
        <v>751.0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0.13983976693372177</v>
      </c>
      <c r="G117" s="990" t="n">
        <f t="shared" ref="G117:N117" si="42">IF(G$111&gt;0,G134/G$111,0)</f>
        <v>0.13896626431445372</v>
      </c>
      <c r="H117" s="990" t="n">
        <f t="shared" si="42"/>
        <v>0.1398688729316266</v>
      </c>
      <c r="I117" s="989" t="n">
        <f t="shared" si="42"/>
        <v>0.14069877242681775</v>
      </c>
      <c r="J117" s="301" t="n">
        <f t="shared" si="42"/>
        <v>0.1416322642108606</v>
      </c>
      <c r="K117" s="301" t="n">
        <f t="shared" si="42"/>
        <v>0.1459386585776879</v>
      </c>
      <c r="L117" s="301" t="n">
        <f t="shared" si="42"/>
        <v>0.15026455026455027</v>
      </c>
      <c r="M117" s="301" t="n">
        <f t="shared" si="42"/>
        <v>0.15422508525956802</v>
      </c>
      <c r="N117" s="991" t="n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0.09333055873478306</v>
      </c>
      <c r="G118" s="990" t="n">
        <f t="shared" ref="G118:N118" si="44">IF(G$111&gt;0,G135/G$111,0)</f>
        <v>0.09223150727329</v>
      </c>
      <c r="H118" s="990" t="n">
        <f t="shared" si="44"/>
        <v>0.09334998438963472</v>
      </c>
      <c r="I118" s="989" t="n">
        <f t="shared" si="44"/>
        <v>0.09442870632672333</v>
      </c>
      <c r="J118" s="301" t="n">
        <f t="shared" si="44"/>
        <v>0.09558590028580502</v>
      </c>
      <c r="K118" s="301" t="n">
        <f t="shared" si="44"/>
        <v>0.10077519379844961</v>
      </c>
      <c r="L118" s="301" t="n">
        <f t="shared" si="44"/>
        <v>0.10652557319223986</v>
      </c>
      <c r="M118" s="301" t="n">
        <f t="shared" si="44"/>
        <v>0.11178476695718075</v>
      </c>
      <c r="N118" s="991" t="n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0.09489127041931121</v>
      </c>
      <c r="G119" s="990" t="n">
        <f t="shared" ref="G119:N119" si="45">IF(G$111&gt;0,G136/G$111,0)</f>
        <v>0.0947075208913649</v>
      </c>
      <c r="H119" s="990" t="n">
        <f t="shared" si="45"/>
        <v>0.09491102091788949</v>
      </c>
      <c r="I119" s="989" t="n">
        <f t="shared" si="45"/>
        <v>0.09505823103556815</v>
      </c>
      <c r="J119" s="301" t="n">
        <f t="shared" si="45"/>
        <v>0.09526833915528739</v>
      </c>
      <c r="K119" s="301" t="n">
        <f t="shared" si="45"/>
        <v>0.09605662285136501</v>
      </c>
      <c r="L119" s="301" t="n">
        <f t="shared" si="45"/>
        <v>0.09664902998236331</v>
      </c>
      <c r="M119" s="301" t="n">
        <f t="shared" si="45"/>
        <v>0.09738537324744222</v>
      </c>
      <c r="N119" s="991" t="n">
        <f t="shared" si="45"/>
        <v>0.09743384121892543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0.1239205077515347</v>
      </c>
      <c r="G120" s="990" t="n">
        <f t="shared" ref="G120:N120" si="46">IF(G$111&gt;0,G137/G$111,0)</f>
        <v>0.12380068090374496</v>
      </c>
      <c r="H120" s="990" t="n">
        <f t="shared" si="46"/>
        <v>0.12394630034342803</v>
      </c>
      <c r="I120" s="989" t="n">
        <f t="shared" si="46"/>
        <v>0.12401636764242996</v>
      </c>
      <c r="J120" s="301" t="n">
        <f t="shared" si="46"/>
        <v>0.12416640203239124</v>
      </c>
      <c r="K120" s="301" t="n">
        <f t="shared" si="46"/>
        <v>0.12537917087967643</v>
      </c>
      <c r="L120" s="301" t="n">
        <f t="shared" si="46"/>
        <v>0.12627865961199294</v>
      </c>
      <c r="M120" s="301" t="n">
        <f t="shared" si="46"/>
        <v>0.1273209549071618</v>
      </c>
      <c r="N120" s="991" t="n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0.20330870877119966</v>
      </c>
      <c r="G121" s="990" t="n">
        <f t="shared" ref="G121:N121" si="47">IF(G$111&gt;0,G138/G$111,0)</f>
        <v>0.20612813370473537</v>
      </c>
      <c r="H121" s="990" t="n">
        <f t="shared" si="47"/>
        <v>0.2032469559787699</v>
      </c>
      <c r="I121" s="989" t="n">
        <f t="shared" si="47"/>
        <v>0.20050361976707587</v>
      </c>
      <c r="J121" s="301" t="n">
        <f t="shared" si="47"/>
        <v>0.19784058431248014</v>
      </c>
      <c r="K121" s="301" t="n">
        <f t="shared" si="47"/>
        <v>0.18402426693629928</v>
      </c>
      <c r="L121" s="301" t="n">
        <f t="shared" si="47"/>
        <v>0.17001763668430336</v>
      </c>
      <c r="M121" s="301" t="n">
        <f t="shared" si="47"/>
        <v>0.1557408109132247</v>
      </c>
      <c r="N121" s="991" t="n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0.13911143481427532</v>
      </c>
      <c r="G122" s="990" t="n">
        <f t="shared" ref="G122:N122" si="48">IF(G$111&gt;0,G139/G$111,0)</f>
        <v>0.13865676261219437</v>
      </c>
      <c r="H122" s="990" t="n">
        <f t="shared" si="48"/>
        <v>0.1392444583203247</v>
      </c>
      <c r="I122" s="989" t="n">
        <f t="shared" si="48"/>
        <v>0.1394397230091281</v>
      </c>
      <c r="J122" s="301" t="n">
        <f t="shared" si="48"/>
        <v>0.14004445855827247</v>
      </c>
      <c r="K122" s="301" t="n">
        <f t="shared" si="48"/>
        <v>0.14189416919447254</v>
      </c>
      <c r="L122" s="301" t="n">
        <f t="shared" si="48"/>
        <v>0.1439153439153439</v>
      </c>
      <c r="M122" s="301" t="n">
        <f t="shared" si="48"/>
        <v>0.14550966275104207</v>
      </c>
      <c r="N122" s="991" t="n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0.11903027780667985</v>
      </c>
      <c r="G123" s="990" t="n">
        <f t="shared" ref="G123:N123" si="49">IF(G$111&gt;0,G140/G$111,0)</f>
        <v>0.11822965026307644</v>
      </c>
      <c r="H123" s="990" t="n">
        <f t="shared" si="49"/>
        <v>0.1189509834530128</v>
      </c>
      <c r="I123" s="989" t="n">
        <f t="shared" si="49"/>
        <v>0.11992445703493862</v>
      </c>
      <c r="J123" s="301" t="n">
        <f t="shared" si="49"/>
        <v>0.12067322959669737</v>
      </c>
      <c r="K123" s="301" t="n">
        <f t="shared" si="49"/>
        <v>0.12470508931580722</v>
      </c>
      <c r="L123" s="301" t="n">
        <f t="shared" si="49"/>
        <v>0.1291005291005291</v>
      </c>
      <c r="M123" s="301" t="n">
        <f t="shared" si="49"/>
        <v>0.1330049261083744</v>
      </c>
      <c r="N123" s="991" t="n">
        <f t="shared" si="49"/>
        <v>0.136327185244587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0.05982728124024555</v>
      </c>
      <c r="G124" s="990" t="n">
        <f t="shared" ref="G124:N124" si="50">IF(G$111&gt;0,G141/G$111,0)</f>
        <v>0.05880532342927886</v>
      </c>
      <c r="H124" s="990" t="n">
        <f t="shared" si="50"/>
        <v>0.05994380268498283</v>
      </c>
      <c r="I124" s="989" t="n">
        <f t="shared" si="50"/>
        <v>0.06074913440352534</v>
      </c>
      <c r="J124" s="301" t="n">
        <f t="shared" si="50"/>
        <v>0.06160685932041918</v>
      </c>
      <c r="K124" s="301" t="n">
        <f t="shared" si="50"/>
        <v>0.06605999325918437</v>
      </c>
      <c r="L124" s="301" t="n">
        <f t="shared" si="50"/>
        <v>0.07054673721340388</v>
      </c>
      <c r="M124" s="301" t="n">
        <f t="shared" si="50"/>
        <v>0.0746494884425919</v>
      </c>
      <c r="N124" s="991" t="n">
        <f t="shared" si="50"/>
        <v>0.07858861267040898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0.02674019352824888</v>
      </c>
      <c r="G125" s="990" t="n">
        <f t="shared" ref="G125:N125" si="51">IF(G$111&gt;0,G142/G$111,0)</f>
        <v>0.02847415660786134</v>
      </c>
      <c r="H125" s="990" t="n">
        <f t="shared" si="51"/>
        <v>0.02653762098033094</v>
      </c>
      <c r="I125" s="989" t="n">
        <f t="shared" si="51"/>
        <v>0.025180988353792885</v>
      </c>
      <c r="J125" s="301" t="n">
        <f t="shared" si="51"/>
        <v>0.0231819625277866</v>
      </c>
      <c r="K125" s="301" t="n">
        <f t="shared" si="51"/>
        <v>0.015166835187057633</v>
      </c>
      <c r="L125" s="301" t="n">
        <f t="shared" si="51"/>
        <v>0.006701940035273368</v>
      </c>
      <c r="M125" s="301" t="n">
        <f t="shared" si="51"/>
        <v>3.7893141341417203E-4</v>
      </c>
      <c r="N125" s="991" t="n">
        <f t="shared" si="51"/>
        <v>0.0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</v>
      </c>
      <c r="G126" s="990" t="n">
        <f t="shared" ref="G126:N126" si="52">IF(G$111&gt;0,G143/G$111,0)</f>
        <v>0.0</v>
      </c>
      <c r="H126" s="990" t="n">
        <f t="shared" si="52"/>
        <v>0.0</v>
      </c>
      <c r="I126" s="989" t="n">
        <f t="shared" si="52"/>
        <v>0.0</v>
      </c>
      <c r="J126" s="301" t="n">
        <f t="shared" si="52"/>
        <v>0.0</v>
      </c>
      <c r="K126" s="301" t="n">
        <f t="shared" si="52"/>
        <v>0.0</v>
      </c>
      <c r="L126" s="301" t="n">
        <f t="shared" si="52"/>
        <v>0.0</v>
      </c>
      <c r="M126" s="301" t="n">
        <f t="shared" si="52"/>
        <v>0.0</v>
      </c>
      <c r="N126" s="991" t="n">
        <f t="shared" si="52"/>
        <v>0.0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</v>
      </c>
      <c r="G127" s="990" t="n">
        <f t="shared" ref="G127:N127" si="53">IF(G$111&gt;0,G144/G$111,0)</f>
        <v>0.0</v>
      </c>
      <c r="H127" s="990" t="n">
        <f t="shared" si="53"/>
        <v>0.0</v>
      </c>
      <c r="I127" s="989" t="n">
        <f t="shared" si="53"/>
        <v>0.0</v>
      </c>
      <c r="J127" s="301" t="n">
        <f t="shared" si="53"/>
        <v>0.0</v>
      </c>
      <c r="K127" s="301" t="n">
        <f>IF(K$111&gt;0,K144/K$111,0)</f>
        <v>0.0</v>
      </c>
      <c r="L127" s="301" t="n">
        <f t="shared" si="53"/>
        <v>0.0</v>
      </c>
      <c r="M127" s="301" t="n">
        <f t="shared" si="53"/>
        <v>0.0</v>
      </c>
      <c r="N127" s="991" t="n">
        <f t="shared" si="53"/>
        <v>0.0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</v>
      </c>
      <c r="G128" s="990" t="n">
        <f t="shared" ref="G128:N128" si="54">IF(G$111&gt;0,G145/G$111,0)</f>
        <v>0.0</v>
      </c>
      <c r="H128" s="990" t="n">
        <f t="shared" si="54"/>
        <v>0.0</v>
      </c>
      <c r="I128" s="989" t="n">
        <f t="shared" si="54"/>
        <v>0.0</v>
      </c>
      <c r="J128" s="301" t="n">
        <f t="shared" si="54"/>
        <v>0.0</v>
      </c>
      <c r="K128" s="301" t="n">
        <f>IF(K$111&gt;0,K145/K$111,0)</f>
        <v>0.0</v>
      </c>
      <c r="L128" s="301" t="n">
        <f t="shared" si="54"/>
        <v>0.0</v>
      </c>
      <c r="M128" s="301" t="n">
        <f t="shared" si="54"/>
        <v>0.0</v>
      </c>
      <c r="N128" s="991" t="n">
        <f t="shared" si="54"/>
        <v>0.0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</v>
      </c>
      <c r="G129" s="990" t="n">
        <f t="shared" ref="G129:N129" si="55">IF(G$111&gt;0,G146/G$111,0)</f>
        <v>0.0</v>
      </c>
      <c r="H129" s="990" t="n">
        <f t="shared" si="55"/>
        <v>0.0</v>
      </c>
      <c r="I129" s="989" t="n">
        <f t="shared" si="55"/>
        <v>0.0</v>
      </c>
      <c r="J129" s="301" t="n">
        <f t="shared" si="55"/>
        <v>0.0</v>
      </c>
      <c r="K129" s="301" t="n">
        <f>IF(K$111&gt;0,K146/K$111,0)</f>
        <v>0.0</v>
      </c>
      <c r="L129" s="301" t="n">
        <f t="shared" si="55"/>
        <v>0.0</v>
      </c>
      <c r="M129" s="301" t="n">
        <f t="shared" si="55"/>
        <v>0.0</v>
      </c>
      <c r="N129" s="991" t="n">
        <f t="shared" si="55"/>
        <v>0.0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1344.0</v>
      </c>
      <c r="G134" s="253" t="n">
        <v>449.0</v>
      </c>
      <c r="H134" s="253" t="n">
        <v>448.0</v>
      </c>
      <c r="I134" s="292" t="n">
        <v>447.0</v>
      </c>
      <c r="J134" s="646" t="n">
        <v>446.0</v>
      </c>
      <c r="K134" s="391" t="n">
        <v>433.0</v>
      </c>
      <c r="L134" s="391" t="n">
        <v>426.0</v>
      </c>
      <c r="M134" s="907" t="n">
        <v>407.0</v>
      </c>
      <c r="N134" s="834" t="n">
        <v>393.0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897.0</v>
      </c>
      <c r="G135" s="253" t="n">
        <v>298.0</v>
      </c>
      <c r="H135" s="253" t="n">
        <v>299.0</v>
      </c>
      <c r="I135" s="292" t="n">
        <v>300.0</v>
      </c>
      <c r="J135" s="646" t="n">
        <v>301.0</v>
      </c>
      <c r="K135" s="391" t="n">
        <v>299.0</v>
      </c>
      <c r="L135" s="391" t="n">
        <v>302.0</v>
      </c>
      <c r="M135" s="907" t="n">
        <v>295.0</v>
      </c>
      <c r="N135" s="834" t="n">
        <v>291.0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912.0</v>
      </c>
      <c r="G136" s="253" t="n">
        <v>306.0</v>
      </c>
      <c r="H136" s="253" t="n">
        <v>304.0</v>
      </c>
      <c r="I136" s="292" t="n">
        <v>302.0</v>
      </c>
      <c r="J136" s="646" t="n">
        <v>300.0</v>
      </c>
      <c r="K136" s="391" t="n">
        <v>285.0</v>
      </c>
      <c r="L136" s="391" t="n">
        <v>274.0</v>
      </c>
      <c r="M136" s="907" t="n">
        <v>257.0</v>
      </c>
      <c r="N136" s="834" t="n">
        <v>243.0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1191.0</v>
      </c>
      <c r="G137" s="253" t="n">
        <v>400.0</v>
      </c>
      <c r="H137" s="253" t="n">
        <v>397.0</v>
      </c>
      <c r="I137" s="292" t="n">
        <v>394.0</v>
      </c>
      <c r="J137" s="646" t="n">
        <v>391.0</v>
      </c>
      <c r="K137" s="391" t="n">
        <v>372.0</v>
      </c>
      <c r="L137" s="391" t="n">
        <v>358.0</v>
      </c>
      <c r="M137" s="907" t="n">
        <v>336.0</v>
      </c>
      <c r="N137" s="834" t="n">
        <v>317.0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1954.0</v>
      </c>
      <c r="G138" s="253" t="n">
        <v>666.0</v>
      </c>
      <c r="H138" s="253" t="n">
        <v>651.0</v>
      </c>
      <c r="I138" s="292" t="n">
        <v>637.0</v>
      </c>
      <c r="J138" s="646" t="n">
        <v>623.0</v>
      </c>
      <c r="K138" s="391" t="n">
        <v>546.0</v>
      </c>
      <c r="L138" s="391" t="n">
        <v>482.0</v>
      </c>
      <c r="M138" s="907" t="n">
        <v>411.0</v>
      </c>
      <c r="N138" s="834" t="n">
        <v>349.0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1337.0</v>
      </c>
      <c r="G139" s="253" t="n">
        <v>448.0</v>
      </c>
      <c r="H139" s="253" t="n">
        <v>446.0</v>
      </c>
      <c r="I139" s="292" t="n">
        <v>443.0</v>
      </c>
      <c r="J139" s="646" t="n">
        <v>441.0</v>
      </c>
      <c r="K139" s="391" t="n">
        <v>421.0</v>
      </c>
      <c r="L139" s="391" t="n">
        <v>408.0</v>
      </c>
      <c r="M139" s="907" t="n">
        <v>384.0</v>
      </c>
      <c r="N139" s="834" t="n">
        <v>365.0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1144.0</v>
      </c>
      <c r="G140" s="253" t="n">
        <v>382.0</v>
      </c>
      <c r="H140" s="253" t="n">
        <v>381.0</v>
      </c>
      <c r="I140" s="292" t="n">
        <v>381.0</v>
      </c>
      <c r="J140" s="646" t="n">
        <v>380.0</v>
      </c>
      <c r="K140" s="391" t="n">
        <v>370.0</v>
      </c>
      <c r="L140" s="391" t="n">
        <v>366.0</v>
      </c>
      <c r="M140" s="907" t="n">
        <v>351.0</v>
      </c>
      <c r="N140" s="834" t="n">
        <v>340.0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575.0</v>
      </c>
      <c r="G141" s="253" t="n">
        <v>190.0</v>
      </c>
      <c r="H141" s="253" t="n">
        <v>192.0</v>
      </c>
      <c r="I141" s="292" t="n">
        <v>193.0</v>
      </c>
      <c r="J141" s="646" t="n">
        <v>194.0</v>
      </c>
      <c r="K141" s="391" t="n">
        <v>196.0</v>
      </c>
      <c r="L141" s="391" t="n">
        <v>200.0</v>
      </c>
      <c r="M141" s="907" t="n">
        <v>197.0</v>
      </c>
      <c r="N141" s="834" t="n">
        <v>196.0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257.0</v>
      </c>
      <c r="G142" s="253" t="n">
        <v>92.0</v>
      </c>
      <c r="H142" s="253" t="n">
        <v>85.0</v>
      </c>
      <c r="I142" s="292" t="n">
        <v>80.0</v>
      </c>
      <c r="J142" s="646" t="n">
        <v>73.0</v>
      </c>
      <c r="K142" s="391" t="n">
        <v>45.0</v>
      </c>
      <c r="L142" s="391" t="n">
        <v>19.0</v>
      </c>
      <c r="M142" s="907" t="n">
        <v>1.0</v>
      </c>
      <c r="N142" s="834" t="n">
        <v>0.0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0.0</v>
      </c>
      <c r="G143" s="253" t="n">
        <v>0.0</v>
      </c>
      <c r="H143" s="253" t="n">
        <v>0.0</v>
      </c>
      <c r="I143" s="292" t="n">
        <v>0.0</v>
      </c>
      <c r="J143" s="646" t="n">
        <v>0.0</v>
      </c>
      <c r="K143" s="391" t="n">
        <v>0.0</v>
      </c>
      <c r="L143" s="391" t="n">
        <v>0.0</v>
      </c>
      <c r="M143" s="907" t="n">
        <v>0.0</v>
      </c>
      <c r="N143" s="834" t="n">
        <v>0.0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0.0</v>
      </c>
      <c r="G144" s="253" t="n">
        <v>0.0</v>
      </c>
      <c r="H144" s="253" t="n">
        <v>0.0</v>
      </c>
      <c r="I144" s="292" t="n">
        <v>0.0</v>
      </c>
      <c r="J144" s="646" t="n">
        <v>0.0</v>
      </c>
      <c r="K144" s="391" t="n">
        <v>0.0</v>
      </c>
      <c r="L144" s="391" t="n">
        <v>0.0</v>
      </c>
      <c r="M144" s="907" t="n">
        <v>0.0</v>
      </c>
      <c r="N144" s="834" t="n">
        <v>0.0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0.0</v>
      </c>
      <c r="G145" s="253" t="n">
        <v>0.0</v>
      </c>
      <c r="H145" s="253" t="n">
        <v>0.0</v>
      </c>
      <c r="I145" s="292" t="n">
        <v>0.0</v>
      </c>
      <c r="J145" s="646" t="n">
        <v>0.0</v>
      </c>
      <c r="K145" s="391" t="n">
        <v>0.0</v>
      </c>
      <c r="L145" s="391" t="n">
        <v>0.0</v>
      </c>
      <c r="M145" s="907" t="n">
        <v>0.0</v>
      </c>
      <c r="N145" s="834" t="n">
        <v>0.0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0.0</v>
      </c>
      <c r="G146" s="253" t="n">
        <v>0.0</v>
      </c>
      <c r="H146" s="253" t="n">
        <v>0.0</v>
      </c>
      <c r="I146" s="292" t="n">
        <v>0.0</v>
      </c>
      <c r="J146" s="646" t="n">
        <v>0.0</v>
      </c>
      <c r="K146" s="391" t="n">
        <v>0.0</v>
      </c>
      <c r="L146" s="391" t="n">
        <v>0.0</v>
      </c>
      <c r="M146" s="907" t="n">
        <v>0.0</v>
      </c>
      <c r="N146" s="834" t="n">
        <v>0.0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9611.0</v>
      </c>
      <c r="G149" s="311" t="n">
        <f>SUM(G134:G148)</f>
        <v>3231.0</v>
      </c>
      <c r="H149" s="311" t="n">
        <f t="shared" ref="H149:M149" si="61">SUM(H134:H148)</f>
        <v>3203.0</v>
      </c>
      <c r="I149" s="312" t="n">
        <f t="shared" si="61"/>
        <v>3177.0</v>
      </c>
      <c r="J149" s="654" t="n">
        <f t="shared" si="61"/>
        <v>3149.0</v>
      </c>
      <c r="K149" s="843" t="n">
        <f t="shared" si="61"/>
        <v>2967.0</v>
      </c>
      <c r="L149" s="843" t="n">
        <f t="shared" si="61"/>
        <v>2835.0</v>
      </c>
      <c r="M149" s="912" t="n">
        <f t="shared" si="61"/>
        <v>2639.0</v>
      </c>
      <c r="N149" s="844" t="n">
        <f>SUM(N134:N148)</f>
        <v>2494.0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9272.145</v>
      </c>
      <c r="G214" s="254" t="n">
        <f t="shared" ref="G214:N214" si="97">SUMPRODUCT(G134:G146,G279:G291)</f>
        <v>3121.165</v>
      </c>
      <c r="H214" s="254" t="n">
        <f t="shared" si="97"/>
        <v>3089.715</v>
      </c>
      <c r="I214" s="315" t="n">
        <f t="shared" si="97"/>
        <v>3061.2650000000003</v>
      </c>
      <c r="J214" s="656" t="n">
        <f t="shared" si="97"/>
        <v>3029.315</v>
      </c>
      <c r="K214" s="806" t="n">
        <f t="shared" si="97"/>
        <v>2835.98</v>
      </c>
      <c r="L214" s="806" t="n">
        <f t="shared" si="97"/>
        <v>2691.6600000000003</v>
      </c>
      <c r="M214" s="898" t="n">
        <f t="shared" si="97"/>
        <v>2492.29</v>
      </c>
      <c r="N214" s="807" t="n">
        <f t="shared" si="97"/>
        <v>2354.12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