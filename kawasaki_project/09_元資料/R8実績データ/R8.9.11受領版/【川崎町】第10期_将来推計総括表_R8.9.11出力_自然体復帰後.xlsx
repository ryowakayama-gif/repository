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codeName="ThisWorkbook" defaultThemeVersion="124226"/>
  <mc:AlternateContent>
    <mc:Choice Requires="x15">
      <x15ac:absPath xmlns:x15ac="http://schemas.microsoft.com/office/spreadsheetml/2010/11/ac" url="C:\Users\118iryo\Desktop\TODO\作業\sagyou\20260728\ソースコード\mieruka\src\template\excel\"/>
    </mc:Choice>
  </mc:AlternateContent>
  <xr:revisionPtr revIDLastSave="0" documentId="13_ncr:1_{0F85324E-8E67-481B-B91B-18BB203BA625}" xr6:coauthVersionLast="47" xr6:coauthVersionMax="47" xr10:uidLastSave="{00000000-0000-0000-0000-000000000000}"/>
  <bookViews>
    <workbookView xWindow="5685" yWindow="3405" windowWidth="19185" windowHeight="11685" tabRatio="705" xr2:uid="{00000000-000D-0000-FFFF-FFFF00000000}"/>
  </bookViews>
  <sheets>
    <sheet name="1_推計値サマリ" sheetId="1" r:id="rId1"/>
    <sheet name="2_サービス別給付費" sheetId="10" r:id="rId2"/>
    <sheet name="3_地域支援事業費" sheetId="11" r:id="rId3"/>
    <sheet name="4_施策反映の解説" sheetId="3" r:id="rId4"/>
    <sheet name="5_保険料推計" sheetId="8" r:id="rId5"/>
    <sheet name="(参考)保険料の推計に要する係数" sheetId="9" r:id="rId6"/>
  </sheets>
  <definedNames>
    <definedName name="_xlnm.Print_Area" localSheetId="5">'(参考)保険料の推計に要する係数'!$A$1:$L$39</definedName>
    <definedName name="_xlnm.Print_Area" localSheetId="0">'1_推計値サマリ'!$A$1:$T$163</definedName>
    <definedName name="_xlnm.Print_Area" localSheetId="1">'2_サービス別給付費'!$A$1:$U$169</definedName>
    <definedName name="_xlnm.Print_Area" localSheetId="2">'3_地域支援事業費'!$A$1:$L$68</definedName>
    <definedName name="_xlnm.Print_Area" localSheetId="3">'4_施策反映の解説'!$A$1:$L$47</definedName>
    <definedName name="_xlnm.Print_Area" localSheetId="4">'5_保険料推計'!$A$1:$Q$302</definedName>
    <definedName name="グラフ選択" localSheetId="1">#REF!</definedName>
    <definedName name="グラフ選択">#REF!</definedName>
    <definedName name="サービス" localSheetId="1">#REF!</definedName>
    <definedName name="サービス">#REF!</definedName>
    <definedName name="サービス選択" localSheetId="1">#REF!</definedName>
    <definedName name="サービス選択">#REF!</definedName>
    <definedName name="サービス名" localSheetId="1">#REF!</definedName>
    <definedName name="サービス名">#REF!</definedName>
    <definedName name="在宅サービス" localSheetId="1">#REF!</definedName>
    <definedName name="在宅サービス">#REF!</definedName>
    <definedName name="施設・居住系サービス" localSheetId="1">#REF!</definedName>
    <definedName name="施設・居住系サービス">#REF!</definedName>
    <definedName name="推計パターン名">'1_推計値サマリ'!$S$5</definedName>
    <definedName name="選択肢" localSheetId="1">#REF!</definedName>
    <definedName name="選択肢">#REF!</definedName>
    <definedName name="年度選択" localSheetId="5">#REF!</definedName>
    <definedName name="年度選択" localSheetId="1">#REF!</definedName>
    <definedName name="年度選択">#REF!</definedName>
    <definedName name="保険者番号">'1_推計値サマリ'!$S$4</definedName>
    <definedName name="保険者名">'1_推計値サマリ'!$S$3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2" i="1" l="1"/>
  <c r="S62" i="1"/>
  <c r="Q62" i="1"/>
  <c r="O62" i="1"/>
  <c r="M62" i="1"/>
  <c r="K62" i="1"/>
  <c r="I62" i="1"/>
  <c r="H62" i="1"/>
  <c r="D144" i="10"/>
  <c r="I151" i="10"/>
  <c r="H151" i="10"/>
  <c r="D61" i="11"/>
  <c r="C61" i="11"/>
  <c r="B61" i="11"/>
  <c r="L61" i="11"/>
  <c r="K61" i="11"/>
  <c r="J61" i="11"/>
  <c r="I61" i="11"/>
  <c r="H61" i="11"/>
  <c r="G61" i="11"/>
  <c r="F61" i="11"/>
  <c r="E61" i="11"/>
  <c r="J90" i="8"/>
  <c r="G90" i="8"/>
  <c r="L64" i="11"/>
  <c r="N90" i="8" s="1"/>
  <c r="K64" i="11"/>
  <c r="M90" i="8" s="1"/>
  <c r="J64" i="11"/>
  <c r="L90" i="8" s="1"/>
  <c r="I64" i="11"/>
  <c r="K90" i="8" s="1"/>
  <c r="H64" i="11"/>
  <c r="G64" i="11"/>
  <c r="I90" i="8" s="1"/>
  <c r="F64" i="11"/>
  <c r="H90" i="8" s="1"/>
  <c r="E64" i="11"/>
  <c r="N151" i="10"/>
  <c r="M151" i="10"/>
  <c r="L151" i="10"/>
  <c r="K151" i="10"/>
  <c r="J151" i="10"/>
  <c r="G151" i="10"/>
  <c r="S144" i="10"/>
  <c r="Q144" i="10"/>
  <c r="O144" i="10"/>
  <c r="M144" i="10"/>
  <c r="K144" i="10"/>
  <c r="I144" i="10"/>
  <c r="H144" i="10"/>
  <c r="G144" i="10"/>
  <c r="S61" i="10"/>
  <c r="Q61" i="10"/>
  <c r="O61" i="10"/>
  <c r="M61" i="10"/>
  <c r="K61" i="10"/>
  <c r="I61" i="10"/>
  <c r="H61" i="10"/>
  <c r="S40" i="1"/>
  <c r="Q40" i="1"/>
  <c r="O40" i="1"/>
  <c r="M40" i="1"/>
  <c r="K40" i="1"/>
  <c r="I40" i="1"/>
  <c r="H40" i="1"/>
  <c r="T143" i="10"/>
  <c r="R143" i="10"/>
  <c r="P143" i="10"/>
  <c r="N143" i="10"/>
  <c r="L143" i="10"/>
  <c r="J143" i="10"/>
  <c r="T142" i="10"/>
  <c r="R142" i="10"/>
  <c r="P142" i="10"/>
  <c r="N142" i="10"/>
  <c r="L142" i="10"/>
  <c r="J142" i="10"/>
  <c r="T60" i="10"/>
  <c r="R60" i="10"/>
  <c r="P60" i="10"/>
  <c r="N60" i="10"/>
  <c r="L60" i="10"/>
  <c r="J60" i="10"/>
  <c r="T59" i="10"/>
  <c r="R59" i="10"/>
  <c r="P59" i="10"/>
  <c r="N59" i="10"/>
  <c r="L59" i="10"/>
  <c r="J59" i="10"/>
  <c r="F90" i="8" l="1"/>
  <c r="E65" i="11"/>
  <c r="G91" i="8" s="1"/>
  <c r="F65" i="11"/>
  <c r="H91" i="8" s="1"/>
  <c r="G65" i="11"/>
  <c r="I91" i="8" s="1"/>
  <c r="H65" i="11"/>
  <c r="J91" i="8" s="1"/>
  <c r="I65" i="11"/>
  <c r="K91" i="8" s="1"/>
  <c r="J65" i="11"/>
  <c r="L91" i="8" s="1"/>
  <c r="K65" i="11"/>
  <c r="M91" i="8" s="1"/>
  <c r="L65" i="11"/>
  <c r="N91" i="8" s="1"/>
  <c r="N215" i="8"/>
  <c r="M215" i="8"/>
  <c r="L215" i="8"/>
  <c r="K215" i="8"/>
  <c r="J215" i="8"/>
  <c r="I215" i="8"/>
  <c r="H215" i="8"/>
  <c r="G215" i="8"/>
  <c r="F73" i="8"/>
  <c r="F72" i="8"/>
  <c r="B63" i="11"/>
  <c r="B62" i="11"/>
  <c r="B66" i="11" l="1"/>
  <c r="F91" i="8"/>
  <c r="F74" i="8"/>
  <c r="F71" i="8"/>
  <c r="G213" i="8"/>
  <c r="F204" i="8"/>
  <c r="F210" i="8"/>
  <c r="F206" i="8"/>
  <c r="J220" i="8"/>
  <c r="H220" i="8"/>
  <c r="I220" i="8"/>
  <c r="K220" i="8"/>
  <c r="L220" i="8"/>
  <c r="M220" i="8"/>
  <c r="N220" i="8"/>
  <c r="G220" i="8"/>
  <c r="H214" i="8"/>
  <c r="G214" i="8"/>
  <c r="N213" i="8"/>
  <c r="M213" i="8"/>
  <c r="L213" i="8"/>
  <c r="K213" i="8"/>
  <c r="J213" i="8"/>
  <c r="I213" i="8"/>
  <c r="H213" i="8"/>
  <c r="K273" i="8"/>
  <c r="L273" i="8" s="1"/>
  <c r="M273" i="8" s="1"/>
  <c r="N273" i="8" s="1"/>
  <c r="K272" i="8"/>
  <c r="L272" i="8" s="1"/>
  <c r="M272" i="8" s="1"/>
  <c r="N272" i="8" s="1"/>
  <c r="K271" i="8"/>
  <c r="L271" i="8" s="1"/>
  <c r="M271" i="8" s="1"/>
  <c r="N271" i="8" s="1"/>
  <c r="K270" i="8"/>
  <c r="L270" i="8" s="1"/>
  <c r="M270" i="8" s="1"/>
  <c r="N270" i="8" s="1"/>
  <c r="K269" i="8"/>
  <c r="L269" i="8" s="1"/>
  <c r="M269" i="8" s="1"/>
  <c r="N269" i="8" s="1"/>
  <c r="F212" i="8"/>
  <c r="F211" i="8"/>
  <c r="F209" i="8"/>
  <c r="F208" i="8"/>
  <c r="L144" i="1" l="1"/>
  <c r="T2" i="10"/>
  <c r="N111" i="8" l="1"/>
  <c r="N214" i="8"/>
  <c r="M214" i="8"/>
  <c r="L214" i="8"/>
  <c r="K214" i="8"/>
  <c r="J214" i="8"/>
  <c r="I214" i="8"/>
  <c r="F214" i="8" s="1"/>
  <c r="D151" i="10"/>
  <c r="Q5" i="8"/>
  <c r="Q4" i="8"/>
  <c r="Q3" i="8"/>
  <c r="K5" i="3"/>
  <c r="K4" i="3"/>
  <c r="K3" i="3"/>
  <c r="L5" i="11"/>
  <c r="L4" i="11"/>
  <c r="L3" i="11"/>
  <c r="S5" i="10"/>
  <c r="S4" i="10"/>
  <c r="S3" i="10"/>
  <c r="K252" i="8"/>
  <c r="L252" i="8" s="1"/>
  <c r="M252" i="8" s="1"/>
  <c r="N252" i="8" s="1"/>
  <c r="K253" i="8"/>
  <c r="L253" i="8" s="1"/>
  <c r="M253" i="8" s="1"/>
  <c r="N253" i="8" s="1"/>
  <c r="K254" i="8"/>
  <c r="L254" i="8" s="1"/>
  <c r="M254" i="8" s="1"/>
  <c r="N254" i="8" s="1"/>
  <c r="K255" i="8"/>
  <c r="L255" i="8" s="1"/>
  <c r="M255" i="8" s="1"/>
  <c r="N255" i="8" s="1"/>
  <c r="K256" i="8"/>
  <c r="L256" i="8" s="1"/>
  <c r="M256" i="8" s="1"/>
  <c r="N256" i="8" s="1"/>
  <c r="K257" i="8"/>
  <c r="L257" i="8" s="1"/>
  <c r="M257" i="8" s="1"/>
  <c r="N257" i="8" s="1"/>
  <c r="K258" i="8"/>
  <c r="L258" i="8" s="1"/>
  <c r="M258" i="8" s="1"/>
  <c r="N258" i="8" s="1"/>
  <c r="K259" i="8"/>
  <c r="L259" i="8" s="1"/>
  <c r="M259" i="8" s="1"/>
  <c r="N259" i="8" s="1"/>
  <c r="K260" i="8"/>
  <c r="L260" i="8" s="1"/>
  <c r="M260" i="8" s="1"/>
  <c r="N260" i="8" s="1"/>
  <c r="K261" i="8"/>
  <c r="L261" i="8" s="1"/>
  <c r="M261" i="8" s="1"/>
  <c r="N261" i="8" s="1"/>
  <c r="K262" i="8"/>
  <c r="L262" i="8" s="1"/>
  <c r="M262" i="8" s="1"/>
  <c r="N262" i="8" s="1"/>
  <c r="K263" i="8"/>
  <c r="L263" i="8" s="1"/>
  <c r="M263" i="8" s="1"/>
  <c r="N263" i="8" s="1"/>
  <c r="K264" i="8"/>
  <c r="L264" i="8" s="1"/>
  <c r="M264" i="8" s="1"/>
  <c r="N264" i="8" s="1"/>
  <c r="K265" i="8"/>
  <c r="L265" i="8" s="1"/>
  <c r="M265" i="8" s="1"/>
  <c r="N265" i="8" s="1"/>
  <c r="K266" i="8"/>
  <c r="L266" i="8" s="1"/>
  <c r="M266" i="8" s="1"/>
  <c r="N266" i="8" s="1"/>
  <c r="K267" i="8"/>
  <c r="L267" i="8" s="1"/>
  <c r="M267" i="8" s="1"/>
  <c r="N267" i="8" s="1"/>
  <c r="K268" i="8"/>
  <c r="L268" i="8" s="1"/>
  <c r="M268" i="8" s="1"/>
  <c r="N268" i="8" s="1"/>
  <c r="K274" i="8"/>
  <c r="L274" i="8" s="1"/>
  <c r="M274" i="8" s="1"/>
  <c r="N274" i="8" s="1"/>
  <c r="K251" i="8"/>
  <c r="L251" i="8" s="1"/>
  <c r="M251" i="8" s="1"/>
  <c r="N251" i="8" s="1"/>
  <c r="N78" i="8"/>
  <c r="M78" i="8"/>
  <c r="L78" i="8"/>
  <c r="K78" i="8"/>
  <c r="J78" i="8"/>
  <c r="I78" i="8"/>
  <c r="H78" i="8"/>
  <c r="G78" i="8"/>
  <c r="N75" i="8"/>
  <c r="M75" i="8"/>
  <c r="L75" i="8"/>
  <c r="K75" i="8"/>
  <c r="J75" i="8"/>
  <c r="I75" i="8"/>
  <c r="H75" i="8"/>
  <c r="G75" i="8"/>
  <c r="F75" i="8" l="1"/>
  <c r="N177" i="8"/>
  <c r="N180" i="8"/>
  <c r="N178" i="8"/>
  <c r="N181" i="8"/>
  <c r="N179" i="8"/>
  <c r="N176" i="8"/>
  <c r="N149" i="8"/>
  <c r="N101" i="8" s="1"/>
  <c r="N97" i="8" s="1"/>
  <c r="G149" i="8"/>
  <c r="G101" i="8" s="1"/>
  <c r="F148" i="8"/>
  <c r="F147" i="8"/>
  <c r="F146" i="8"/>
  <c r="F145" i="8"/>
  <c r="F144" i="8"/>
  <c r="S41" i="1" l="1"/>
  <c r="S64" i="1" l="1"/>
  <c r="S63" i="1"/>
  <c r="H149" i="8" l="1"/>
  <c r="H101" i="8" s="1"/>
  <c r="I149" i="8"/>
  <c r="I101" i="8" s="1"/>
  <c r="J149" i="8"/>
  <c r="J101" i="8" s="1"/>
  <c r="K149" i="8"/>
  <c r="K101" i="8" s="1"/>
  <c r="K97" i="8" s="1"/>
  <c r="L149" i="8"/>
  <c r="L101" i="8" s="1"/>
  <c r="L97" i="8" s="1"/>
  <c r="M149" i="8"/>
  <c r="M101" i="8" s="1"/>
  <c r="M97" i="8" s="1"/>
  <c r="F143" i="8"/>
  <c r="J130" i="10"/>
  <c r="J129" i="10"/>
  <c r="T130" i="10"/>
  <c r="R130" i="10"/>
  <c r="P130" i="10"/>
  <c r="N130" i="10"/>
  <c r="L130" i="10"/>
  <c r="T129" i="10"/>
  <c r="R129" i="10"/>
  <c r="P129" i="10"/>
  <c r="N129" i="10"/>
  <c r="L129" i="10"/>
  <c r="K85" i="8" l="1"/>
  <c r="K82" i="8" s="1"/>
  <c r="L85" i="8"/>
  <c r="L82" i="8" s="1"/>
  <c r="M85" i="8"/>
  <c r="M82" i="8" s="1"/>
  <c r="N85" i="8"/>
  <c r="N82" i="8" s="1"/>
  <c r="J85" i="8"/>
  <c r="J82" i="8" s="1"/>
  <c r="H85" i="8"/>
  <c r="H82" i="8" s="1"/>
  <c r="I85" i="8"/>
  <c r="I82" i="8" s="1"/>
  <c r="G85" i="8"/>
  <c r="G82" i="8" s="1"/>
  <c r="F102" i="8"/>
  <c r="F84" i="8"/>
  <c r="F81" i="8"/>
  <c r="F80" i="8"/>
  <c r="F79" i="8"/>
  <c r="F77" i="8"/>
  <c r="F76" i="8"/>
  <c r="L63" i="11"/>
  <c r="N89" i="8" s="1"/>
  <c r="L62" i="11"/>
  <c r="N88" i="8" s="1"/>
  <c r="N157" i="10"/>
  <c r="N159" i="10" s="1"/>
  <c r="N153" i="10"/>
  <c r="N152" i="10"/>
  <c r="T141" i="10"/>
  <c r="T140" i="10"/>
  <c r="T133" i="10"/>
  <c r="T134" i="10"/>
  <c r="T135" i="10"/>
  <c r="T136" i="10"/>
  <c r="T137" i="10"/>
  <c r="T132" i="10"/>
  <c r="T128" i="10"/>
  <c r="T110" i="10"/>
  <c r="T111" i="10"/>
  <c r="T112" i="10"/>
  <c r="T113" i="10"/>
  <c r="T114" i="10"/>
  <c r="T115" i="10"/>
  <c r="T116" i="10"/>
  <c r="T117" i="10"/>
  <c r="T118" i="10"/>
  <c r="T119" i="10"/>
  <c r="T120" i="10"/>
  <c r="T121" i="10"/>
  <c r="T122" i="10"/>
  <c r="T123" i="10"/>
  <c r="T124" i="10"/>
  <c r="T125" i="10"/>
  <c r="T126" i="10"/>
  <c r="T127" i="10"/>
  <c r="T109" i="10"/>
  <c r="T107" i="10"/>
  <c r="T69" i="10"/>
  <c r="T70" i="10"/>
  <c r="T71" i="10"/>
  <c r="T72" i="10"/>
  <c r="T73" i="10"/>
  <c r="T74" i="10"/>
  <c r="T75" i="10"/>
  <c r="T76" i="10"/>
  <c r="T77" i="10"/>
  <c r="T78" i="10"/>
  <c r="T79" i="10"/>
  <c r="T80" i="10"/>
  <c r="T81" i="10"/>
  <c r="T82" i="10"/>
  <c r="T83" i="10"/>
  <c r="T84" i="10"/>
  <c r="T85" i="10"/>
  <c r="T86" i="10"/>
  <c r="T87" i="10"/>
  <c r="T88" i="10"/>
  <c r="T89" i="10"/>
  <c r="T90" i="10"/>
  <c r="T91" i="10"/>
  <c r="T92" i="10"/>
  <c r="T93" i="10"/>
  <c r="T94" i="10"/>
  <c r="T95" i="10"/>
  <c r="T96" i="10"/>
  <c r="T97" i="10"/>
  <c r="T98" i="10"/>
  <c r="T99" i="10"/>
  <c r="T100" i="10"/>
  <c r="T101" i="10"/>
  <c r="T102" i="10"/>
  <c r="T103" i="10"/>
  <c r="T104" i="10"/>
  <c r="T105" i="10"/>
  <c r="T106" i="10"/>
  <c r="T68" i="10"/>
  <c r="T58" i="10"/>
  <c r="T57" i="10"/>
  <c r="T56" i="10"/>
  <c r="T52" i="10"/>
  <c r="T53" i="10"/>
  <c r="T54" i="10"/>
  <c r="T55" i="10"/>
  <c r="T51" i="10"/>
  <c r="T50" i="10"/>
  <c r="T48" i="10"/>
  <c r="T15" i="10"/>
  <c r="T16" i="10"/>
  <c r="T17" i="10"/>
  <c r="T18" i="10"/>
  <c r="T19" i="10"/>
  <c r="T20" i="10"/>
  <c r="T21" i="10"/>
  <c r="T22" i="10"/>
  <c r="T23" i="10"/>
  <c r="T24" i="10"/>
  <c r="T25" i="10"/>
  <c r="T26" i="10"/>
  <c r="T27" i="10"/>
  <c r="T28" i="10"/>
  <c r="T29" i="10"/>
  <c r="T30" i="10"/>
  <c r="T31" i="10"/>
  <c r="T32" i="10"/>
  <c r="T33" i="10"/>
  <c r="T34" i="10"/>
  <c r="T35" i="10"/>
  <c r="T36" i="10"/>
  <c r="T37" i="10"/>
  <c r="T38" i="10"/>
  <c r="T39" i="10"/>
  <c r="T40" i="10"/>
  <c r="T41" i="10"/>
  <c r="T42" i="10"/>
  <c r="T43" i="10"/>
  <c r="T44" i="10"/>
  <c r="T45" i="10"/>
  <c r="T46" i="10"/>
  <c r="T47" i="10"/>
  <c r="T14" i="10"/>
  <c r="Q161" i="1"/>
  <c r="Q160" i="1"/>
  <c r="Q159" i="1"/>
  <c r="Q158" i="1"/>
  <c r="Q157" i="1"/>
  <c r="Q156" i="1"/>
  <c r="Q155" i="1"/>
  <c r="Q154" i="1"/>
  <c r="Q153" i="1"/>
  <c r="Q152" i="1"/>
  <c r="Q151" i="1"/>
  <c r="T28" i="1"/>
  <c r="T29" i="1"/>
  <c r="T30" i="1"/>
  <c r="T31" i="1"/>
  <c r="T32" i="1"/>
  <c r="T33" i="1"/>
  <c r="T34" i="1"/>
  <c r="T21" i="1"/>
  <c r="T22" i="1"/>
  <c r="T23" i="1"/>
  <c r="T24" i="1"/>
  <c r="T25" i="1"/>
  <c r="T26" i="1"/>
  <c r="T20" i="1"/>
  <c r="S27" i="1"/>
  <c r="S19" i="1"/>
  <c r="T13" i="1"/>
  <c r="T12" i="1"/>
  <c r="S11" i="1"/>
  <c r="L66" i="11" l="1"/>
  <c r="N128" i="8"/>
  <c r="N121" i="8"/>
  <c r="N123" i="8"/>
  <c r="N124" i="8"/>
  <c r="N125" i="8"/>
  <c r="N126" i="8"/>
  <c r="N132" i="8"/>
  <c r="N129" i="8"/>
  <c r="N127" i="8"/>
  <c r="N130" i="8"/>
  <c r="N117" i="8"/>
  <c r="N118" i="8"/>
  <c r="N119" i="8"/>
  <c r="N120" i="8"/>
  <c r="N122" i="8"/>
  <c r="N131" i="8"/>
  <c r="F78" i="8"/>
  <c r="N87" i="8"/>
  <c r="N86" i="8" s="1"/>
  <c r="F85" i="8"/>
  <c r="N150" i="10"/>
  <c r="N70" i="8" s="1"/>
  <c r="N69" i="8" s="1"/>
  <c r="S65" i="1"/>
  <c r="F82" i="8"/>
  <c r="S42" i="1"/>
  <c r="H16" i="8"/>
  <c r="I16" i="8"/>
  <c r="J16" i="8"/>
  <c r="K16" i="8"/>
  <c r="K45" i="8"/>
  <c r="N113" i="8"/>
  <c r="N98" i="8" s="1"/>
  <c r="N175" i="8"/>
  <c r="K46" i="8" l="1"/>
  <c r="K60" i="8"/>
  <c r="K62" i="8"/>
  <c r="K57" i="8"/>
  <c r="K48" i="8"/>
  <c r="K50" i="8"/>
  <c r="K58" i="8"/>
  <c r="S85" i="1"/>
  <c r="N152" i="8"/>
  <c r="N156" i="8"/>
  <c r="N160" i="8"/>
  <c r="N164" i="8"/>
  <c r="N168" i="8"/>
  <c r="N172" i="8"/>
  <c r="N153" i="8"/>
  <c r="N157" i="8"/>
  <c r="N161" i="8"/>
  <c r="N165" i="8"/>
  <c r="N169" i="8"/>
  <c r="N173" i="8"/>
  <c r="N154" i="8"/>
  <c r="N158" i="8"/>
  <c r="N162" i="8"/>
  <c r="N166" i="8"/>
  <c r="N170" i="8"/>
  <c r="N174" i="8"/>
  <c r="N151" i="8"/>
  <c r="N155" i="8"/>
  <c r="N159" i="8"/>
  <c r="N163" i="8"/>
  <c r="N167" i="8"/>
  <c r="N171" i="8"/>
  <c r="I41" i="1"/>
  <c r="D63" i="11" l="1"/>
  <c r="C63" i="11"/>
  <c r="D62" i="11"/>
  <c r="C62" i="11"/>
  <c r="C66" i="11" l="1"/>
  <c r="D66" i="11"/>
  <c r="E63" i="11"/>
  <c r="G89" i="8" s="1"/>
  <c r="E62" i="11"/>
  <c r="G87" i="8"/>
  <c r="J87" i="8" l="1"/>
  <c r="K87" i="8"/>
  <c r="M87" i="8"/>
  <c r="H87" i="8"/>
  <c r="L87" i="8"/>
  <c r="I87" i="8"/>
  <c r="G88" i="8"/>
  <c r="G86" i="8" s="1"/>
  <c r="E66" i="11"/>
  <c r="K63" i="11"/>
  <c r="M89" i="8" s="1"/>
  <c r="K62" i="11"/>
  <c r="M88" i="8" s="1"/>
  <c r="J63" i="11"/>
  <c r="L89" i="8" s="1"/>
  <c r="J62" i="11"/>
  <c r="L88" i="8" s="1"/>
  <c r="I63" i="11"/>
  <c r="K89" i="8" s="1"/>
  <c r="I62" i="11"/>
  <c r="K88" i="8" s="1"/>
  <c r="H63" i="11"/>
  <c r="J89" i="8" s="1"/>
  <c r="H62" i="11"/>
  <c r="J88" i="8" s="1"/>
  <c r="G63" i="11"/>
  <c r="I89" i="8" s="1"/>
  <c r="G62" i="11"/>
  <c r="I88" i="8" s="1"/>
  <c r="F63" i="11"/>
  <c r="H89" i="8" s="1"/>
  <c r="F62" i="11"/>
  <c r="H88" i="8" s="1"/>
  <c r="F87" i="8" l="1"/>
  <c r="I86" i="8"/>
  <c r="K86" i="8"/>
  <c r="K66" i="11"/>
  <c r="H86" i="8"/>
  <c r="J66" i="11"/>
  <c r="L86" i="8"/>
  <c r="M86" i="8"/>
  <c r="H66" i="11"/>
  <c r="G66" i="11"/>
  <c r="F66" i="11"/>
  <c r="I66" i="11"/>
  <c r="J86" i="8"/>
  <c r="F89" i="8"/>
  <c r="F88" i="8"/>
  <c r="F86" i="8" l="1"/>
  <c r="L2" i="3" l="1"/>
  <c r="M111" i="8"/>
  <c r="L111" i="8"/>
  <c r="K111" i="8"/>
  <c r="K176" i="8" l="1"/>
  <c r="K180" i="8"/>
  <c r="K177" i="8"/>
  <c r="K178" i="8"/>
  <c r="K179" i="8"/>
  <c r="L179" i="8"/>
  <c r="L176" i="8"/>
  <c r="L180" i="8"/>
  <c r="L177" i="8"/>
  <c r="L178" i="8"/>
  <c r="M178" i="8"/>
  <c r="M179" i="8"/>
  <c r="M176" i="8"/>
  <c r="M180" i="8"/>
  <c r="M177" i="8"/>
  <c r="M127" i="8"/>
  <c r="M130" i="8"/>
  <c r="M131" i="8"/>
  <c r="M128" i="8"/>
  <c r="M117" i="8"/>
  <c r="M118" i="8"/>
  <c r="M119" i="8"/>
  <c r="M120" i="8"/>
  <c r="M121" i="8"/>
  <c r="M122" i="8"/>
  <c r="M123" i="8"/>
  <c r="M124" i="8"/>
  <c r="M125" i="8"/>
  <c r="M126" i="8"/>
  <c r="M132" i="8"/>
  <c r="M129" i="8"/>
  <c r="K130" i="8"/>
  <c r="K131" i="8"/>
  <c r="K127" i="8"/>
  <c r="K117" i="8"/>
  <c r="K118" i="8"/>
  <c r="K119" i="8"/>
  <c r="K120" i="8"/>
  <c r="K125" i="8"/>
  <c r="K126" i="8"/>
  <c r="K132" i="8"/>
  <c r="K129" i="8"/>
  <c r="K128" i="8"/>
  <c r="K121" i="8"/>
  <c r="K122" i="8"/>
  <c r="K123" i="8"/>
  <c r="K124" i="8"/>
  <c r="L117" i="8"/>
  <c r="L118" i="8"/>
  <c r="L119" i="8"/>
  <c r="L120" i="8"/>
  <c r="L121" i="8"/>
  <c r="L122" i="8"/>
  <c r="L123" i="8"/>
  <c r="L124" i="8"/>
  <c r="L125" i="8"/>
  <c r="L126" i="8"/>
  <c r="L132" i="8"/>
  <c r="L127" i="8"/>
  <c r="L129" i="8"/>
  <c r="L131" i="8"/>
  <c r="L128" i="8"/>
  <c r="L130" i="8"/>
  <c r="M181" i="8"/>
  <c r="M173" i="8"/>
  <c r="M169" i="8"/>
  <c r="M165" i="8"/>
  <c r="M161" i="8"/>
  <c r="M157" i="8"/>
  <c r="M153" i="8"/>
  <c r="M113" i="8"/>
  <c r="M98" i="8" s="1"/>
  <c r="L181" i="8"/>
  <c r="L173" i="8"/>
  <c r="L169" i="8"/>
  <c r="L165" i="8"/>
  <c r="L161" i="8"/>
  <c r="L157" i="8"/>
  <c r="L153" i="8"/>
  <c r="L113" i="8"/>
  <c r="L98" i="8" s="1"/>
  <c r="K181" i="8"/>
  <c r="K173" i="8"/>
  <c r="K169" i="8"/>
  <c r="K165" i="8"/>
  <c r="K161" i="8"/>
  <c r="K157" i="8"/>
  <c r="K153" i="8"/>
  <c r="K113" i="8"/>
  <c r="K98" i="8" s="1"/>
  <c r="M157" i="10"/>
  <c r="M159" i="10" s="1"/>
  <c r="L157" i="10"/>
  <c r="L159" i="10" s="1"/>
  <c r="K157" i="10"/>
  <c r="K159" i="10" s="1"/>
  <c r="M153" i="10"/>
  <c r="M152" i="10"/>
  <c r="L153" i="10"/>
  <c r="L152" i="10"/>
  <c r="K153" i="10"/>
  <c r="K152" i="10"/>
  <c r="R69" i="10"/>
  <c r="R70" i="10"/>
  <c r="R71" i="10"/>
  <c r="R72" i="10"/>
  <c r="R73" i="10"/>
  <c r="R74" i="10"/>
  <c r="R75" i="10"/>
  <c r="R76" i="10"/>
  <c r="R77" i="10"/>
  <c r="R78" i="10"/>
  <c r="R79" i="10"/>
  <c r="R80" i="10"/>
  <c r="R81" i="10"/>
  <c r="R82" i="10"/>
  <c r="R83" i="10"/>
  <c r="R84" i="10"/>
  <c r="R85" i="10"/>
  <c r="R86" i="10"/>
  <c r="R87" i="10"/>
  <c r="R88" i="10"/>
  <c r="R89" i="10"/>
  <c r="R90" i="10"/>
  <c r="R91" i="10"/>
  <c r="R92" i="10"/>
  <c r="R93" i="10"/>
  <c r="R94" i="10"/>
  <c r="R95" i="10"/>
  <c r="R96" i="10"/>
  <c r="R97" i="10"/>
  <c r="R98" i="10"/>
  <c r="R99" i="10"/>
  <c r="R100" i="10"/>
  <c r="R101" i="10"/>
  <c r="R102" i="10"/>
  <c r="R103" i="10"/>
  <c r="R104" i="10"/>
  <c r="R105" i="10"/>
  <c r="R106" i="10"/>
  <c r="R107" i="10"/>
  <c r="R109" i="10"/>
  <c r="R110" i="10"/>
  <c r="R111" i="10"/>
  <c r="R112" i="10"/>
  <c r="R113" i="10"/>
  <c r="R114" i="10"/>
  <c r="R115" i="10"/>
  <c r="R116" i="10"/>
  <c r="R117" i="10"/>
  <c r="R118" i="10"/>
  <c r="R119" i="10"/>
  <c r="R120" i="10"/>
  <c r="R121" i="10"/>
  <c r="R122" i="10"/>
  <c r="R123" i="10"/>
  <c r="R124" i="10"/>
  <c r="R125" i="10"/>
  <c r="R126" i="10"/>
  <c r="R127" i="10"/>
  <c r="R128" i="10"/>
  <c r="R132" i="10"/>
  <c r="R133" i="10"/>
  <c r="R134" i="10"/>
  <c r="R135" i="10"/>
  <c r="R136" i="10"/>
  <c r="R137" i="10"/>
  <c r="R140" i="10"/>
  <c r="R141" i="10"/>
  <c r="R68" i="10"/>
  <c r="P69" i="10"/>
  <c r="P70" i="10"/>
  <c r="P71" i="10"/>
  <c r="P72" i="10"/>
  <c r="P73" i="10"/>
  <c r="P74" i="10"/>
  <c r="P75" i="10"/>
  <c r="P76" i="10"/>
  <c r="P77" i="10"/>
  <c r="P78" i="10"/>
  <c r="P79" i="10"/>
  <c r="P80" i="10"/>
  <c r="P81" i="10"/>
  <c r="P82" i="10"/>
  <c r="P83" i="10"/>
  <c r="P84" i="10"/>
  <c r="P85" i="10"/>
  <c r="P86" i="10"/>
  <c r="P87" i="10"/>
  <c r="P88" i="10"/>
  <c r="P89" i="10"/>
  <c r="P90" i="10"/>
  <c r="P91" i="10"/>
  <c r="P92" i="10"/>
  <c r="P93" i="10"/>
  <c r="P94" i="10"/>
  <c r="P95" i="10"/>
  <c r="P96" i="10"/>
  <c r="P97" i="10"/>
  <c r="P98" i="10"/>
  <c r="P99" i="10"/>
  <c r="P100" i="10"/>
  <c r="P101" i="10"/>
  <c r="P102" i="10"/>
  <c r="P103" i="10"/>
  <c r="P104" i="10"/>
  <c r="P105" i="10"/>
  <c r="P106" i="10"/>
  <c r="P107" i="10"/>
  <c r="P109" i="10"/>
  <c r="P110" i="10"/>
  <c r="P111" i="10"/>
  <c r="P112" i="10"/>
  <c r="P113" i="10"/>
  <c r="P114" i="10"/>
  <c r="P115" i="10"/>
  <c r="P116" i="10"/>
  <c r="P117" i="10"/>
  <c r="P118" i="10"/>
  <c r="P119" i="10"/>
  <c r="P120" i="10"/>
  <c r="P121" i="10"/>
  <c r="P122" i="10"/>
  <c r="P123" i="10"/>
  <c r="P124" i="10"/>
  <c r="P125" i="10"/>
  <c r="P126" i="10"/>
  <c r="P127" i="10"/>
  <c r="P128" i="10"/>
  <c r="P132" i="10"/>
  <c r="P133" i="10"/>
  <c r="P134" i="10"/>
  <c r="P135" i="10"/>
  <c r="P136" i="10"/>
  <c r="P137" i="10"/>
  <c r="P140" i="10"/>
  <c r="P141" i="10"/>
  <c r="P68" i="10"/>
  <c r="N134" i="10"/>
  <c r="N135" i="10"/>
  <c r="N136" i="10"/>
  <c r="N137" i="10"/>
  <c r="N140" i="10"/>
  <c r="N141" i="10"/>
  <c r="N69" i="10"/>
  <c r="N70" i="10"/>
  <c r="N71" i="10"/>
  <c r="N72" i="10"/>
  <c r="N73" i="10"/>
  <c r="N74" i="10"/>
  <c r="N75" i="10"/>
  <c r="N76" i="10"/>
  <c r="N77" i="10"/>
  <c r="N78" i="10"/>
  <c r="N79" i="10"/>
  <c r="N80" i="10"/>
  <c r="N81" i="10"/>
  <c r="N82" i="10"/>
  <c r="N83" i="10"/>
  <c r="N84" i="10"/>
  <c r="N85" i="10"/>
  <c r="N86" i="10"/>
  <c r="N87" i="10"/>
  <c r="N88" i="10"/>
  <c r="N89" i="10"/>
  <c r="N90" i="10"/>
  <c r="N91" i="10"/>
  <c r="N92" i="10"/>
  <c r="N93" i="10"/>
  <c r="N94" i="10"/>
  <c r="N95" i="10"/>
  <c r="N96" i="10"/>
  <c r="N97" i="10"/>
  <c r="N98" i="10"/>
  <c r="N99" i="10"/>
  <c r="N100" i="10"/>
  <c r="N101" i="10"/>
  <c r="N102" i="10"/>
  <c r="N103" i="10"/>
  <c r="N104" i="10"/>
  <c r="N105" i="10"/>
  <c r="N106" i="10"/>
  <c r="N107" i="10"/>
  <c r="N109" i="10"/>
  <c r="N110" i="10"/>
  <c r="N111" i="10"/>
  <c r="N112" i="10"/>
  <c r="N113" i="10"/>
  <c r="N114" i="10"/>
  <c r="N115" i="10"/>
  <c r="N116" i="10"/>
  <c r="N117" i="10"/>
  <c r="N118" i="10"/>
  <c r="N119" i="10"/>
  <c r="N120" i="10"/>
  <c r="N121" i="10"/>
  <c r="N122" i="10"/>
  <c r="N123" i="10"/>
  <c r="N124" i="10"/>
  <c r="N125" i="10"/>
  <c r="N126" i="10"/>
  <c r="N127" i="10"/>
  <c r="N128" i="10"/>
  <c r="N132" i="10"/>
  <c r="N133" i="10"/>
  <c r="N68" i="10"/>
  <c r="R15" i="10"/>
  <c r="R16" i="10"/>
  <c r="R17" i="10"/>
  <c r="R18" i="10"/>
  <c r="R19" i="10"/>
  <c r="R20" i="10"/>
  <c r="R21" i="10"/>
  <c r="R22" i="10"/>
  <c r="R23" i="10"/>
  <c r="R24" i="10"/>
  <c r="R25" i="10"/>
  <c r="R26" i="10"/>
  <c r="R27" i="10"/>
  <c r="R28" i="10"/>
  <c r="R29" i="10"/>
  <c r="R30" i="10"/>
  <c r="R31" i="10"/>
  <c r="R32" i="10"/>
  <c r="R33" i="10"/>
  <c r="R34" i="10"/>
  <c r="R35" i="10"/>
  <c r="R36" i="10"/>
  <c r="R37" i="10"/>
  <c r="R38" i="10"/>
  <c r="R39" i="10"/>
  <c r="R40" i="10"/>
  <c r="R41" i="10"/>
  <c r="R42" i="10"/>
  <c r="R43" i="10"/>
  <c r="R44" i="10"/>
  <c r="R45" i="10"/>
  <c r="R46" i="10"/>
  <c r="R47" i="10"/>
  <c r="R48" i="10"/>
  <c r="R50" i="10"/>
  <c r="R51" i="10"/>
  <c r="R52" i="10"/>
  <c r="R53" i="10"/>
  <c r="R54" i="10"/>
  <c r="R55" i="10"/>
  <c r="R56" i="10"/>
  <c r="R57" i="10"/>
  <c r="R58" i="10"/>
  <c r="R14" i="10"/>
  <c r="P15" i="10"/>
  <c r="P16" i="10"/>
  <c r="P17" i="10"/>
  <c r="P18" i="10"/>
  <c r="P19" i="10"/>
  <c r="P20" i="10"/>
  <c r="P21" i="10"/>
  <c r="P22" i="10"/>
  <c r="P23" i="10"/>
  <c r="P24" i="10"/>
  <c r="P25" i="10"/>
  <c r="P26" i="10"/>
  <c r="P27" i="10"/>
  <c r="P28" i="10"/>
  <c r="P29" i="10"/>
  <c r="P30" i="10"/>
  <c r="P31" i="10"/>
  <c r="P32" i="10"/>
  <c r="P33" i="10"/>
  <c r="P34" i="10"/>
  <c r="P35" i="10"/>
  <c r="P36" i="10"/>
  <c r="P37" i="10"/>
  <c r="P38" i="10"/>
  <c r="P39" i="10"/>
  <c r="P40" i="10"/>
  <c r="P41" i="10"/>
  <c r="P42" i="10"/>
  <c r="P43" i="10"/>
  <c r="P44" i="10"/>
  <c r="P45" i="10"/>
  <c r="P46" i="10"/>
  <c r="P47" i="10"/>
  <c r="P48" i="10"/>
  <c r="P50" i="10"/>
  <c r="P51" i="10"/>
  <c r="P52" i="10"/>
  <c r="P53" i="10"/>
  <c r="P54" i="10"/>
  <c r="P55" i="10"/>
  <c r="P56" i="10"/>
  <c r="P57" i="10"/>
  <c r="P58" i="10"/>
  <c r="P14" i="10"/>
  <c r="N51" i="10"/>
  <c r="N52" i="10"/>
  <c r="N53" i="10"/>
  <c r="N54" i="10"/>
  <c r="N55" i="10"/>
  <c r="N56" i="10"/>
  <c r="N57" i="10"/>
  <c r="N58" i="10"/>
  <c r="N50" i="10"/>
  <c r="N15" i="10"/>
  <c r="N16" i="10"/>
  <c r="N17" i="10"/>
  <c r="N18" i="10"/>
  <c r="N19" i="10"/>
  <c r="N20" i="10"/>
  <c r="N21" i="10"/>
  <c r="N22" i="10"/>
  <c r="N23" i="10"/>
  <c r="N24" i="10"/>
  <c r="N25" i="10"/>
  <c r="N26" i="10"/>
  <c r="N27" i="10"/>
  <c r="N28" i="10"/>
  <c r="N29" i="10"/>
  <c r="N30" i="10"/>
  <c r="N31" i="10"/>
  <c r="N32" i="10"/>
  <c r="N33" i="10"/>
  <c r="N34" i="10"/>
  <c r="N35" i="10"/>
  <c r="N36" i="10"/>
  <c r="N37" i="10"/>
  <c r="N38" i="10"/>
  <c r="N39" i="10"/>
  <c r="N40" i="10"/>
  <c r="N41" i="10"/>
  <c r="N42" i="10"/>
  <c r="N43" i="10"/>
  <c r="N44" i="10"/>
  <c r="N45" i="10"/>
  <c r="N46" i="10"/>
  <c r="N47" i="10"/>
  <c r="N48" i="10"/>
  <c r="N14" i="10"/>
  <c r="O161" i="1"/>
  <c r="O160" i="1"/>
  <c r="O159" i="1"/>
  <c r="O158" i="1"/>
  <c r="O157" i="1"/>
  <c r="O156" i="1"/>
  <c r="O155" i="1"/>
  <c r="O154" i="1"/>
  <c r="O153" i="1"/>
  <c r="O152" i="1"/>
  <c r="O151" i="1"/>
  <c r="M161" i="1"/>
  <c r="M160" i="1"/>
  <c r="M159" i="1"/>
  <c r="M158" i="1"/>
  <c r="M157" i="1"/>
  <c r="M156" i="1"/>
  <c r="M155" i="1"/>
  <c r="M154" i="1"/>
  <c r="M153" i="1"/>
  <c r="M152" i="1"/>
  <c r="M151" i="1"/>
  <c r="K161" i="1"/>
  <c r="K160" i="1"/>
  <c r="K159" i="1"/>
  <c r="K158" i="1"/>
  <c r="K157" i="1"/>
  <c r="K156" i="1"/>
  <c r="K155" i="1"/>
  <c r="K154" i="1"/>
  <c r="K153" i="1"/>
  <c r="K152" i="1"/>
  <c r="K151" i="1"/>
  <c r="K144" i="1"/>
  <c r="J144" i="1"/>
  <c r="I144" i="1"/>
  <c r="Q64" i="1"/>
  <c r="Q63" i="1"/>
  <c r="O64" i="1"/>
  <c r="O63" i="1"/>
  <c r="M64" i="1"/>
  <c r="M63" i="1"/>
  <c r="I48" i="8" l="1"/>
  <c r="I50" i="8"/>
  <c r="I45" i="8"/>
  <c r="I46" i="8"/>
  <c r="I60" i="8"/>
  <c r="I62" i="8"/>
  <c r="I57" i="8"/>
  <c r="I58" i="8"/>
  <c r="H48" i="8"/>
  <c r="H50" i="8"/>
  <c r="H45" i="8"/>
  <c r="H46" i="8"/>
  <c r="J48" i="8"/>
  <c r="J50" i="8"/>
  <c r="J45" i="8"/>
  <c r="J46" i="8"/>
  <c r="H62" i="8"/>
  <c r="H60" i="8"/>
  <c r="H57" i="8"/>
  <c r="H58" i="8"/>
  <c r="J60" i="8"/>
  <c r="J62" i="8"/>
  <c r="J58" i="8"/>
  <c r="J57" i="8"/>
  <c r="K150" i="10"/>
  <c r="K70" i="8" s="1"/>
  <c r="K69" i="8" s="1"/>
  <c r="M150" i="10"/>
  <c r="M70" i="8" s="1"/>
  <c r="M69" i="8" s="1"/>
  <c r="L150" i="10"/>
  <c r="L70" i="8" s="1"/>
  <c r="L69" i="8" s="1"/>
  <c r="O65" i="1"/>
  <c r="M154" i="8"/>
  <c r="M158" i="8"/>
  <c r="M162" i="8"/>
  <c r="M166" i="8"/>
  <c r="M170" i="8"/>
  <c r="M174" i="8"/>
  <c r="M151" i="8"/>
  <c r="M155" i="8"/>
  <c r="M159" i="8"/>
  <c r="M163" i="8"/>
  <c r="M167" i="8"/>
  <c r="M171" i="8"/>
  <c r="M175" i="8"/>
  <c r="M152" i="8"/>
  <c r="M156" i="8"/>
  <c r="M160" i="8"/>
  <c r="M164" i="8"/>
  <c r="M168" i="8"/>
  <c r="M172" i="8"/>
  <c r="L154" i="8"/>
  <c r="L158" i="8"/>
  <c r="L162" i="8"/>
  <c r="L166" i="8"/>
  <c r="L170" i="8"/>
  <c r="L174" i="8"/>
  <c r="L151" i="8"/>
  <c r="L155" i="8"/>
  <c r="L159" i="8"/>
  <c r="L163" i="8"/>
  <c r="L167" i="8"/>
  <c r="L171" i="8"/>
  <c r="L175" i="8"/>
  <c r="L152" i="8"/>
  <c r="L156" i="8"/>
  <c r="L160" i="8"/>
  <c r="L164" i="8"/>
  <c r="L168" i="8"/>
  <c r="L172" i="8"/>
  <c r="K154" i="8"/>
  <c r="K158" i="8"/>
  <c r="K162" i="8"/>
  <c r="K166" i="8"/>
  <c r="K170" i="8"/>
  <c r="K174" i="8"/>
  <c r="K151" i="8"/>
  <c r="K155" i="8"/>
  <c r="K159" i="8"/>
  <c r="K163" i="8"/>
  <c r="K167" i="8"/>
  <c r="K171" i="8"/>
  <c r="K175" i="8"/>
  <c r="K152" i="8"/>
  <c r="K156" i="8"/>
  <c r="K160" i="8"/>
  <c r="K164" i="8"/>
  <c r="K168" i="8"/>
  <c r="K172" i="8"/>
  <c r="Q65" i="1"/>
  <c r="M65" i="1"/>
  <c r="K68" i="8" l="1"/>
  <c r="K92" i="8" s="1"/>
  <c r="L68" i="8"/>
  <c r="L92" i="8" s="1"/>
  <c r="M68" i="8"/>
  <c r="M92" i="8" s="1"/>
  <c r="N68" i="8"/>
  <c r="N92" i="8" s="1"/>
  <c r="L94" i="8" l="1"/>
  <c r="L93" i="8"/>
  <c r="M94" i="8"/>
  <c r="J18" i="8"/>
  <c r="M93" i="8"/>
  <c r="K93" i="8"/>
  <c r="K94" i="8"/>
  <c r="K18" i="8"/>
  <c r="K59" i="8" s="1"/>
  <c r="N93" i="8"/>
  <c r="N94" i="8"/>
  <c r="H18" i="8"/>
  <c r="I18" i="8"/>
  <c r="N105" i="8" l="1"/>
  <c r="K47" i="8"/>
  <c r="M105" i="8"/>
  <c r="J12" i="8" s="1"/>
  <c r="J22" i="8" s="1"/>
  <c r="I53" i="8"/>
  <c r="I41" i="8"/>
  <c r="J53" i="8"/>
  <c r="J41" i="8"/>
  <c r="H41" i="8"/>
  <c r="H53" i="8"/>
  <c r="J47" i="8"/>
  <c r="J59" i="8"/>
  <c r="I47" i="8"/>
  <c r="I59" i="8"/>
  <c r="H59" i="8"/>
  <c r="H47" i="8"/>
  <c r="K53" i="8"/>
  <c r="K41" i="8"/>
  <c r="L105" i="8"/>
  <c r="K105" i="8"/>
  <c r="H43" i="8" l="1"/>
  <c r="H42" i="8"/>
  <c r="H44" i="8"/>
  <c r="K49" i="8"/>
  <c r="K51" i="8" s="1"/>
  <c r="K43" i="8"/>
  <c r="K42" i="8"/>
  <c r="K44" i="8"/>
  <c r="J43" i="8"/>
  <c r="J42" i="8"/>
  <c r="J44" i="8"/>
  <c r="I44" i="8"/>
  <c r="I43" i="8"/>
  <c r="I42" i="8"/>
  <c r="I61" i="8"/>
  <c r="I63" i="8" s="1"/>
  <c r="J56" i="8"/>
  <c r="J61" i="8"/>
  <c r="P59" i="8" s="1"/>
  <c r="J54" i="8"/>
  <c r="J55" i="8"/>
  <c r="H54" i="8"/>
  <c r="H56" i="8"/>
  <c r="H55" i="8"/>
  <c r="I49" i="8"/>
  <c r="O41" i="8" s="1"/>
  <c r="H61" i="8"/>
  <c r="H63" i="8" s="1"/>
  <c r="H49" i="8"/>
  <c r="N47" i="8" s="1"/>
  <c r="I55" i="8"/>
  <c r="I56" i="8"/>
  <c r="I54" i="8"/>
  <c r="J49" i="8"/>
  <c r="P47" i="8" s="1"/>
  <c r="J26" i="8"/>
  <c r="J36" i="8" s="1"/>
  <c r="K55" i="8"/>
  <c r="K56" i="8"/>
  <c r="K54" i="8"/>
  <c r="K61" i="8"/>
  <c r="K63" i="8" s="1"/>
  <c r="K26" i="8"/>
  <c r="K36" i="8" s="1"/>
  <c r="J17" i="8"/>
  <c r="J20" i="8"/>
  <c r="H26" i="8"/>
  <c r="H12" i="8"/>
  <c r="H22" i="8" s="1"/>
  <c r="I12" i="8"/>
  <c r="K12" i="8"/>
  <c r="J13" i="8"/>
  <c r="I26" i="8"/>
  <c r="Q41" i="1"/>
  <c r="O41" i="1"/>
  <c r="M41" i="1"/>
  <c r="R20" i="1"/>
  <c r="R21" i="1"/>
  <c r="R22" i="1"/>
  <c r="R23" i="1"/>
  <c r="R24" i="1"/>
  <c r="R25" i="1"/>
  <c r="R26" i="1"/>
  <c r="R28" i="1"/>
  <c r="R29" i="1"/>
  <c r="R30" i="1"/>
  <c r="R31" i="1"/>
  <c r="R32" i="1"/>
  <c r="R33" i="1"/>
  <c r="R34" i="1"/>
  <c r="P20" i="1"/>
  <c r="P21" i="1"/>
  <c r="P22" i="1"/>
  <c r="P23" i="1"/>
  <c r="P24" i="1"/>
  <c r="P25" i="1"/>
  <c r="P26" i="1"/>
  <c r="P28" i="1"/>
  <c r="P29" i="1"/>
  <c r="P30" i="1"/>
  <c r="P31" i="1"/>
  <c r="P32" i="1"/>
  <c r="P33" i="1"/>
  <c r="P34" i="1"/>
  <c r="N20" i="1"/>
  <c r="N21" i="1"/>
  <c r="N22" i="1"/>
  <c r="N23" i="1"/>
  <c r="N24" i="1"/>
  <c r="N25" i="1"/>
  <c r="N26" i="1"/>
  <c r="N28" i="1"/>
  <c r="N29" i="1"/>
  <c r="N30" i="1"/>
  <c r="N31" i="1"/>
  <c r="N32" i="1"/>
  <c r="N33" i="1"/>
  <c r="N34" i="1"/>
  <c r="Q27" i="1"/>
  <c r="Q19" i="1"/>
  <c r="O27" i="1"/>
  <c r="O19" i="1"/>
  <c r="M27" i="1"/>
  <c r="M19" i="1"/>
  <c r="R13" i="1"/>
  <c r="R12" i="1"/>
  <c r="P13" i="1"/>
  <c r="P12" i="1"/>
  <c r="N13" i="1"/>
  <c r="N12" i="1"/>
  <c r="Q11" i="1"/>
  <c r="O11" i="1"/>
  <c r="M11" i="1"/>
  <c r="K20" i="8" l="1"/>
  <c r="K22" i="8"/>
  <c r="I20" i="8"/>
  <c r="I22" i="8"/>
  <c r="H28" i="8"/>
  <c r="H36" i="8"/>
  <c r="I28" i="8"/>
  <c r="I36" i="8"/>
  <c r="Q41" i="8"/>
  <c r="N53" i="8"/>
  <c r="O53" i="8"/>
  <c r="P54" i="8"/>
  <c r="P55" i="8"/>
  <c r="P56" i="8"/>
  <c r="N41" i="8"/>
  <c r="I51" i="8"/>
  <c r="O51" i="8" s="1"/>
  <c r="O49" i="8"/>
  <c r="O46" i="8"/>
  <c r="O50" i="8"/>
  <c r="O45" i="8"/>
  <c r="O48" i="8"/>
  <c r="J63" i="8"/>
  <c r="P63" i="8" s="1"/>
  <c r="P60" i="8"/>
  <c r="P62" i="8"/>
  <c r="P58" i="8"/>
  <c r="P61" i="8"/>
  <c r="P57" i="8"/>
  <c r="J29" i="8"/>
  <c r="J28" i="8"/>
  <c r="J32" i="8"/>
  <c r="J31" i="8" s="1"/>
  <c r="J33" i="8"/>
  <c r="J35" i="8"/>
  <c r="J34" i="8" s="1"/>
  <c r="H51" i="8"/>
  <c r="N51" i="8" s="1"/>
  <c r="N45" i="8"/>
  <c r="N48" i="8"/>
  <c r="N46" i="8"/>
  <c r="N50" i="8"/>
  <c r="N49" i="8"/>
  <c r="P41" i="8"/>
  <c r="P53" i="8"/>
  <c r="J51" i="8"/>
  <c r="P51" i="8" s="1"/>
  <c r="P50" i="8"/>
  <c r="P49" i="8"/>
  <c r="P45" i="8"/>
  <c r="P48" i="8"/>
  <c r="P46" i="8"/>
  <c r="O47" i="8"/>
  <c r="Q54" i="8"/>
  <c r="Q63" i="8"/>
  <c r="Q60" i="8"/>
  <c r="Q62" i="8"/>
  <c r="Q57" i="8"/>
  <c r="Q61" i="8"/>
  <c r="Q58" i="8"/>
  <c r="Q59" i="8"/>
  <c r="Q55" i="8"/>
  <c r="Q56" i="8"/>
  <c r="Q51" i="8"/>
  <c r="Q45" i="8"/>
  <c r="Q49" i="8"/>
  <c r="Q46" i="8"/>
  <c r="Q50" i="8"/>
  <c r="Q48" i="8"/>
  <c r="Q47" i="8"/>
  <c r="K33" i="8"/>
  <c r="K29" i="8"/>
  <c r="K32" i="8"/>
  <c r="K31" i="8" s="1"/>
  <c r="K28" i="8"/>
  <c r="K35" i="8"/>
  <c r="K34" i="8" s="1"/>
  <c r="K13" i="8"/>
  <c r="K17" i="8"/>
  <c r="H32" i="8"/>
  <c r="H31" i="8" s="1"/>
  <c r="H35" i="8"/>
  <c r="H34" i="8" s="1"/>
  <c r="I17" i="8"/>
  <c r="H33" i="8"/>
  <c r="H29" i="8"/>
  <c r="I13" i="8"/>
  <c r="H20" i="8"/>
  <c r="H17" i="8"/>
  <c r="H13" i="8"/>
  <c r="I35" i="8"/>
  <c r="I34" i="8" s="1"/>
  <c r="I29" i="8"/>
  <c r="I27" i="8" s="1"/>
  <c r="I33" i="8"/>
  <c r="I32" i="8" s="1"/>
  <c r="I31" i="8" s="1"/>
  <c r="O54" i="8"/>
  <c r="N54" i="8"/>
  <c r="O61" i="8"/>
  <c r="O60" i="8"/>
  <c r="O62" i="8"/>
  <c r="O58" i="8"/>
  <c r="O57" i="8"/>
  <c r="O59" i="8"/>
  <c r="Q53" i="8"/>
  <c r="N61" i="8"/>
  <c r="N62" i="8"/>
  <c r="N58" i="8"/>
  <c r="N57" i="8"/>
  <c r="N60" i="8"/>
  <c r="N59" i="8"/>
  <c r="O63" i="8"/>
  <c r="N63" i="8"/>
  <c r="Q42" i="1"/>
  <c r="O42" i="1"/>
  <c r="M42" i="1"/>
  <c r="F62" i="1"/>
  <c r="T62" i="1" s="1"/>
  <c r="E62" i="1"/>
  <c r="D62" i="1"/>
  <c r="H30" i="8" l="1"/>
  <c r="J30" i="8"/>
  <c r="J27" i="8"/>
  <c r="H27" i="8"/>
  <c r="K30" i="8"/>
  <c r="K27" i="8"/>
  <c r="I30" i="8"/>
  <c r="R62" i="1"/>
  <c r="P62" i="1"/>
  <c r="N62" i="1"/>
  <c r="Q85" i="1"/>
  <c r="O85" i="1"/>
  <c r="M85" i="1"/>
  <c r="I117" i="1" l="1"/>
  <c r="H117" i="1"/>
  <c r="G117" i="1"/>
  <c r="F117" i="1"/>
  <c r="E117" i="1"/>
  <c r="D117" i="1"/>
  <c r="I116" i="1"/>
  <c r="H116" i="1"/>
  <c r="G116" i="1"/>
  <c r="F116" i="1"/>
  <c r="E116" i="1"/>
  <c r="D116" i="1"/>
  <c r="D40" i="1" l="1"/>
  <c r="D91" i="1" s="1"/>
  <c r="E40" i="1"/>
  <c r="E91" i="1" s="1"/>
  <c r="F40" i="1"/>
  <c r="T40" i="1" s="1"/>
  <c r="G40" i="1"/>
  <c r="G91" i="1" s="1"/>
  <c r="H91" i="1"/>
  <c r="I91" i="1"/>
  <c r="D41" i="1"/>
  <c r="E41" i="1"/>
  <c r="F41" i="1"/>
  <c r="T41" i="1" s="1"/>
  <c r="G41" i="1"/>
  <c r="H41" i="1"/>
  <c r="K41" i="1"/>
  <c r="P41" i="1" l="1"/>
  <c r="R41" i="1"/>
  <c r="N41" i="1"/>
  <c r="N40" i="1"/>
  <c r="P40" i="1"/>
  <c r="R40" i="1"/>
  <c r="F91" i="1"/>
  <c r="J28" i="1"/>
  <c r="J29" i="1"/>
  <c r="J30" i="1"/>
  <c r="J31" i="1"/>
  <c r="J32" i="1"/>
  <c r="J33" i="1"/>
  <c r="J34" i="1"/>
  <c r="J20" i="1"/>
  <c r="J21" i="1"/>
  <c r="J22" i="1"/>
  <c r="J23" i="1"/>
  <c r="J24" i="1"/>
  <c r="J25" i="1"/>
  <c r="J26" i="1"/>
  <c r="F27" i="1" l="1"/>
  <c r="T27" i="1" s="1"/>
  <c r="G27" i="1"/>
  <c r="H27" i="1"/>
  <c r="I27" i="1"/>
  <c r="R27" i="1" l="1"/>
  <c r="N27" i="1"/>
  <c r="P27" i="1"/>
  <c r="G157" i="10" l="1"/>
  <c r="D157" i="10"/>
  <c r="D159" i="10" s="1"/>
  <c r="D153" i="10"/>
  <c r="D152" i="10"/>
  <c r="D61" i="10"/>
  <c r="K64" i="1"/>
  <c r="I64" i="1"/>
  <c r="I92" i="1" s="1"/>
  <c r="H64" i="1"/>
  <c r="H92" i="1" s="1"/>
  <c r="G64" i="1"/>
  <c r="G92" i="1" s="1"/>
  <c r="F64" i="1"/>
  <c r="T64" i="1" s="1"/>
  <c r="E64" i="1"/>
  <c r="E92" i="1" s="1"/>
  <c r="D64" i="1"/>
  <c r="D92" i="1" s="1"/>
  <c r="K63" i="1"/>
  <c r="I63" i="1"/>
  <c r="H63" i="1"/>
  <c r="G63" i="1"/>
  <c r="F63" i="1"/>
  <c r="T63" i="1" s="1"/>
  <c r="E63" i="1"/>
  <c r="D63" i="1"/>
  <c r="R64" i="1" l="1"/>
  <c r="P64" i="1"/>
  <c r="N64" i="1"/>
  <c r="F92" i="1"/>
  <c r="P63" i="1"/>
  <c r="N63" i="1"/>
  <c r="R63" i="1"/>
  <c r="J157" i="10" l="1"/>
  <c r="J159" i="10" s="1"/>
  <c r="I157" i="10"/>
  <c r="I159" i="10" s="1"/>
  <c r="H157" i="10"/>
  <c r="H159" i="10" s="1"/>
  <c r="G159" i="10"/>
  <c r="F157" i="10"/>
  <c r="F159" i="10" s="1"/>
  <c r="E157" i="10"/>
  <c r="E159" i="10" s="1"/>
  <c r="J153" i="10"/>
  <c r="I153" i="10"/>
  <c r="H153" i="10"/>
  <c r="G153" i="10"/>
  <c r="F153" i="10"/>
  <c r="E153" i="10"/>
  <c r="J152" i="10"/>
  <c r="I152" i="10"/>
  <c r="H152" i="10"/>
  <c r="G152" i="10"/>
  <c r="F152" i="10"/>
  <c r="E152" i="10"/>
  <c r="F151" i="10"/>
  <c r="E151" i="10"/>
  <c r="F144" i="10"/>
  <c r="T144" i="10" s="1"/>
  <c r="E144" i="10"/>
  <c r="G61" i="10"/>
  <c r="F61" i="10"/>
  <c r="T61" i="10" s="1"/>
  <c r="E61" i="10"/>
  <c r="D150" i="10"/>
  <c r="L99" i="10"/>
  <c r="J99" i="10"/>
  <c r="L98" i="10"/>
  <c r="J98" i="10"/>
  <c r="L97" i="10"/>
  <c r="J97" i="10"/>
  <c r="L40" i="10"/>
  <c r="J40" i="10"/>
  <c r="L39" i="10"/>
  <c r="J39" i="10"/>
  <c r="L38" i="10"/>
  <c r="J38" i="10"/>
  <c r="L141" i="10"/>
  <c r="J141" i="10"/>
  <c r="L140" i="10"/>
  <c r="J140" i="10"/>
  <c r="L137" i="10"/>
  <c r="J137" i="10"/>
  <c r="L136" i="10"/>
  <c r="J136" i="10"/>
  <c r="L135" i="10"/>
  <c r="J135" i="10"/>
  <c r="L134" i="10"/>
  <c r="J134" i="10"/>
  <c r="L133" i="10"/>
  <c r="J133" i="10"/>
  <c r="L132" i="10"/>
  <c r="J132" i="10"/>
  <c r="L115" i="10"/>
  <c r="J115" i="10"/>
  <c r="L114" i="10"/>
  <c r="J114" i="10"/>
  <c r="L113" i="10"/>
  <c r="J113" i="10"/>
  <c r="L128" i="10"/>
  <c r="J128" i="10"/>
  <c r="L127" i="10"/>
  <c r="J127" i="10"/>
  <c r="L126" i="10"/>
  <c r="J126" i="10"/>
  <c r="L125" i="10"/>
  <c r="J125" i="10"/>
  <c r="L124" i="10"/>
  <c r="J124" i="10"/>
  <c r="L123" i="10"/>
  <c r="J123" i="10"/>
  <c r="L122" i="10"/>
  <c r="J122" i="10"/>
  <c r="L121" i="10"/>
  <c r="J121" i="10"/>
  <c r="L120" i="10"/>
  <c r="J120" i="10"/>
  <c r="L119" i="10"/>
  <c r="J119" i="10"/>
  <c r="L118" i="10"/>
  <c r="J118" i="10"/>
  <c r="L117" i="10"/>
  <c r="J117" i="10"/>
  <c r="L116" i="10"/>
  <c r="J116" i="10"/>
  <c r="L112" i="10"/>
  <c r="J112" i="10"/>
  <c r="L111" i="10"/>
  <c r="J111" i="10"/>
  <c r="L110" i="10"/>
  <c r="J110" i="10"/>
  <c r="L109" i="10"/>
  <c r="J109" i="10"/>
  <c r="L107" i="10"/>
  <c r="J107" i="10"/>
  <c r="L106" i="10"/>
  <c r="J106" i="10"/>
  <c r="L105" i="10"/>
  <c r="J105" i="10"/>
  <c r="L104" i="10"/>
  <c r="J104" i="10"/>
  <c r="L103" i="10"/>
  <c r="J103" i="10"/>
  <c r="L102" i="10"/>
  <c r="J102" i="10"/>
  <c r="L101" i="10"/>
  <c r="J101" i="10"/>
  <c r="L100" i="10"/>
  <c r="J100" i="10"/>
  <c r="L96" i="10"/>
  <c r="J96" i="10"/>
  <c r="L95" i="10"/>
  <c r="J95" i="10"/>
  <c r="L94" i="10"/>
  <c r="J94" i="10"/>
  <c r="L93" i="10"/>
  <c r="J93" i="10"/>
  <c r="L92" i="10"/>
  <c r="J92" i="10"/>
  <c r="L91" i="10"/>
  <c r="J91" i="10"/>
  <c r="L90" i="10"/>
  <c r="J90" i="10"/>
  <c r="L89" i="10"/>
  <c r="J89" i="10"/>
  <c r="L88" i="10"/>
  <c r="J88" i="10"/>
  <c r="L87" i="10"/>
  <c r="J87" i="10"/>
  <c r="L86" i="10"/>
  <c r="J86" i="10"/>
  <c r="L85" i="10"/>
  <c r="J85" i="10"/>
  <c r="L84" i="10"/>
  <c r="J84" i="10"/>
  <c r="L83" i="10"/>
  <c r="J83" i="10"/>
  <c r="L82" i="10"/>
  <c r="J82" i="10"/>
  <c r="L81" i="10"/>
  <c r="J81" i="10"/>
  <c r="L80" i="10"/>
  <c r="J80" i="10"/>
  <c r="L79" i="10"/>
  <c r="J79" i="10"/>
  <c r="L78" i="10"/>
  <c r="J78" i="10"/>
  <c r="L77" i="10"/>
  <c r="J77" i="10"/>
  <c r="L76" i="10"/>
  <c r="J76" i="10"/>
  <c r="L75" i="10"/>
  <c r="J75" i="10"/>
  <c r="L74" i="10"/>
  <c r="J74" i="10"/>
  <c r="L73" i="10"/>
  <c r="J73" i="10"/>
  <c r="L72" i="10"/>
  <c r="J72" i="10"/>
  <c r="L71" i="10"/>
  <c r="J71" i="10"/>
  <c r="L70" i="10"/>
  <c r="J70" i="10"/>
  <c r="L69" i="10"/>
  <c r="J69" i="10"/>
  <c r="L68" i="10"/>
  <c r="J68" i="10"/>
  <c r="L58" i="10"/>
  <c r="J58" i="10"/>
  <c r="L57" i="10"/>
  <c r="J57" i="10"/>
  <c r="L56" i="10"/>
  <c r="J56" i="10"/>
  <c r="L55" i="10"/>
  <c r="J55" i="10"/>
  <c r="L54" i="10"/>
  <c r="J54" i="10"/>
  <c r="L53" i="10"/>
  <c r="J53" i="10"/>
  <c r="L52" i="10"/>
  <c r="J52" i="10"/>
  <c r="L51" i="10"/>
  <c r="J51" i="10"/>
  <c r="L50" i="10"/>
  <c r="J50" i="10"/>
  <c r="L48" i="10"/>
  <c r="J48" i="10"/>
  <c r="L47" i="10"/>
  <c r="J47" i="10"/>
  <c r="L46" i="10"/>
  <c r="J46" i="10"/>
  <c r="L45" i="10"/>
  <c r="J45" i="10"/>
  <c r="L44" i="10"/>
  <c r="J44" i="10"/>
  <c r="L43" i="10"/>
  <c r="J43" i="10"/>
  <c r="L42" i="10"/>
  <c r="J42" i="10"/>
  <c r="L41" i="10"/>
  <c r="J41" i="10"/>
  <c r="L37" i="10"/>
  <c r="J37" i="10"/>
  <c r="L36" i="10"/>
  <c r="J36" i="10"/>
  <c r="L35" i="10"/>
  <c r="J35" i="10"/>
  <c r="L34" i="10"/>
  <c r="J34" i="10"/>
  <c r="L33" i="10"/>
  <c r="J33" i="10"/>
  <c r="L32" i="10"/>
  <c r="J32" i="10"/>
  <c r="L31" i="10"/>
  <c r="J31" i="10"/>
  <c r="L30" i="10"/>
  <c r="J30" i="10"/>
  <c r="L29" i="10"/>
  <c r="J29" i="10"/>
  <c r="L28" i="10"/>
  <c r="J28" i="10"/>
  <c r="L27" i="10"/>
  <c r="J27" i="10"/>
  <c r="L24" i="10"/>
  <c r="J24" i="10"/>
  <c r="L23" i="10"/>
  <c r="J23" i="10"/>
  <c r="L22" i="10"/>
  <c r="J22" i="10"/>
  <c r="L21" i="10"/>
  <c r="J21" i="10"/>
  <c r="L20" i="10"/>
  <c r="J20" i="10"/>
  <c r="L19" i="10"/>
  <c r="J19" i="10"/>
  <c r="L18" i="10"/>
  <c r="J18" i="10"/>
  <c r="L17" i="10"/>
  <c r="J17" i="10"/>
  <c r="L16" i="10"/>
  <c r="J16" i="10"/>
  <c r="L15" i="10"/>
  <c r="J15" i="10"/>
  <c r="L14" i="10"/>
  <c r="J14" i="10"/>
  <c r="N144" i="10" l="1"/>
  <c r="P144" i="10"/>
  <c r="R144" i="10"/>
  <c r="P61" i="10"/>
  <c r="R61" i="10"/>
  <c r="N61" i="10"/>
  <c r="F150" i="10"/>
  <c r="I150" i="10"/>
  <c r="H150" i="10"/>
  <c r="E150" i="10"/>
  <c r="L61" i="10"/>
  <c r="L144" i="10"/>
  <c r="J61" i="10"/>
  <c r="J150" i="10"/>
  <c r="J70" i="8" s="1"/>
  <c r="J69" i="8" s="1"/>
  <c r="J144" i="10"/>
  <c r="G150" i="10"/>
  <c r="G70" i="8" s="1"/>
  <c r="G69" i="8" s="1"/>
  <c r="G97" i="8"/>
  <c r="I70" i="8" l="1"/>
  <c r="I69" i="8" s="1"/>
  <c r="H70" i="8"/>
  <c r="H69" i="8" s="1"/>
  <c r="J68" i="8"/>
  <c r="O56" i="8"/>
  <c r="N55" i="8"/>
  <c r="N56" i="8"/>
  <c r="O55" i="8"/>
  <c r="F207" i="8"/>
  <c r="F69" i="8" l="1"/>
  <c r="H68" i="8"/>
  <c r="I68" i="8"/>
  <c r="F70" i="8"/>
  <c r="G68" i="8"/>
  <c r="G92" i="8" s="1"/>
  <c r="J92" i="8"/>
  <c r="J93" i="8"/>
  <c r="G113" i="8"/>
  <c r="G98" i="8" s="1"/>
  <c r="G111" i="8"/>
  <c r="J113" i="8"/>
  <c r="J98" i="8" s="1"/>
  <c r="I113" i="8"/>
  <c r="I98" i="8" s="1"/>
  <c r="H113" i="8"/>
  <c r="H98" i="8" s="1"/>
  <c r="G176" i="8" l="1"/>
  <c r="G180" i="8"/>
  <c r="G177" i="8"/>
  <c r="G178" i="8"/>
  <c r="G181" i="8"/>
  <c r="G179" i="8"/>
  <c r="I93" i="8"/>
  <c r="I92" i="8"/>
  <c r="H92" i="8"/>
  <c r="H93" i="8"/>
  <c r="G132" i="8"/>
  <c r="G130" i="8"/>
  <c r="G128" i="8"/>
  <c r="G117" i="8"/>
  <c r="G118" i="8"/>
  <c r="G120" i="8"/>
  <c r="G121" i="8"/>
  <c r="G122" i="8"/>
  <c r="G123" i="8"/>
  <c r="G124" i="8"/>
  <c r="G131" i="8"/>
  <c r="G129" i="8"/>
  <c r="G119" i="8"/>
  <c r="G125" i="8"/>
  <c r="G126" i="8"/>
  <c r="G127" i="8"/>
  <c r="G94" i="8"/>
  <c r="F68" i="8"/>
  <c r="G93" i="8"/>
  <c r="G16" i="8"/>
  <c r="F16" i="8"/>
  <c r="F92" i="8" l="1"/>
  <c r="F93" i="8"/>
  <c r="J111" i="8"/>
  <c r="I111" i="8"/>
  <c r="H111" i="8"/>
  <c r="F205" i="8"/>
  <c r="F203" i="8"/>
  <c r="F202" i="8"/>
  <c r="F201" i="8"/>
  <c r="F200" i="8"/>
  <c r="F199" i="8"/>
  <c r="F198" i="8"/>
  <c r="F197" i="8"/>
  <c r="F196" i="8"/>
  <c r="F195" i="8"/>
  <c r="F194" i="8"/>
  <c r="F193" i="8"/>
  <c r="F192" i="8"/>
  <c r="F191" i="8"/>
  <c r="F190" i="8"/>
  <c r="F189" i="8"/>
  <c r="F188" i="8"/>
  <c r="F187" i="8"/>
  <c r="F186" i="8"/>
  <c r="F185" i="8"/>
  <c r="F184" i="8"/>
  <c r="F183" i="8"/>
  <c r="J97" i="8"/>
  <c r="J94" i="8" s="1"/>
  <c r="I97" i="8"/>
  <c r="I94" i="8" s="1"/>
  <c r="H97" i="8"/>
  <c r="H94" i="8" s="1"/>
  <c r="F142" i="8"/>
  <c r="F141" i="8"/>
  <c r="F140" i="8"/>
  <c r="F139" i="8"/>
  <c r="F138" i="8"/>
  <c r="F137" i="8"/>
  <c r="F136" i="8"/>
  <c r="F135" i="8"/>
  <c r="F134" i="8"/>
  <c r="F115" i="8"/>
  <c r="F114" i="8"/>
  <c r="F112" i="8"/>
  <c r="F213" i="8" l="1"/>
  <c r="I178" i="8"/>
  <c r="I179" i="8"/>
  <c r="I176" i="8"/>
  <c r="I180" i="8"/>
  <c r="I177" i="8"/>
  <c r="J177" i="8"/>
  <c r="J178" i="8"/>
  <c r="J179" i="8"/>
  <c r="J176" i="8"/>
  <c r="J180" i="8"/>
  <c r="H179" i="8"/>
  <c r="H176" i="8"/>
  <c r="H180" i="8"/>
  <c r="H177" i="8"/>
  <c r="H178" i="8"/>
  <c r="F149" i="8"/>
  <c r="H117" i="8"/>
  <c r="H118" i="8"/>
  <c r="H119" i="8"/>
  <c r="H120" i="8"/>
  <c r="H121" i="8"/>
  <c r="H122" i="8"/>
  <c r="H123" i="8"/>
  <c r="H124" i="8"/>
  <c r="H125" i="8"/>
  <c r="H126" i="8"/>
  <c r="H127" i="8"/>
  <c r="H130" i="8"/>
  <c r="H132" i="8"/>
  <c r="H129" i="8"/>
  <c r="H131" i="8"/>
  <c r="H128" i="8"/>
  <c r="I128" i="8"/>
  <c r="I131" i="8"/>
  <c r="I117" i="8"/>
  <c r="I118" i="8"/>
  <c r="I119" i="8"/>
  <c r="I120" i="8"/>
  <c r="I121" i="8"/>
  <c r="I122" i="8"/>
  <c r="I123" i="8"/>
  <c r="I124" i="8"/>
  <c r="I125" i="8"/>
  <c r="I126" i="8"/>
  <c r="I127" i="8"/>
  <c r="I130" i="8"/>
  <c r="I132" i="8"/>
  <c r="I129" i="8"/>
  <c r="J129" i="8"/>
  <c r="J131" i="8"/>
  <c r="J118" i="8"/>
  <c r="J119" i="8"/>
  <c r="J120" i="8"/>
  <c r="J130" i="8"/>
  <c r="J128" i="8"/>
  <c r="J117" i="8"/>
  <c r="J121" i="8"/>
  <c r="J122" i="8"/>
  <c r="J123" i="8"/>
  <c r="J124" i="8"/>
  <c r="J125" i="8"/>
  <c r="J126" i="8"/>
  <c r="J127" i="8"/>
  <c r="J132" i="8"/>
  <c r="F94" i="8"/>
  <c r="F41" i="8" s="1"/>
  <c r="F111" i="8"/>
  <c r="F180" i="8" s="1"/>
  <c r="F50" i="8"/>
  <c r="F48" i="8"/>
  <c r="F45" i="8"/>
  <c r="F46" i="8"/>
  <c r="G60" i="8"/>
  <c r="G62" i="8"/>
  <c r="G57" i="8"/>
  <c r="G58" i="8"/>
  <c r="G48" i="8"/>
  <c r="G50" i="8"/>
  <c r="G45" i="8"/>
  <c r="G46" i="8"/>
  <c r="G41" i="8"/>
  <c r="G53" i="8"/>
  <c r="F113" i="8"/>
  <c r="H151" i="8"/>
  <c r="I151" i="8"/>
  <c r="J152" i="8"/>
  <c r="J153" i="8"/>
  <c r="J154" i="8"/>
  <c r="J155" i="8"/>
  <c r="J156" i="8"/>
  <c r="J157" i="8"/>
  <c r="J158" i="8"/>
  <c r="J159" i="8"/>
  <c r="J160" i="8"/>
  <c r="J161" i="8"/>
  <c r="J162" i="8"/>
  <c r="J163" i="8"/>
  <c r="J164" i="8"/>
  <c r="J165" i="8"/>
  <c r="J166" i="8"/>
  <c r="J167" i="8"/>
  <c r="J168" i="8"/>
  <c r="J169" i="8"/>
  <c r="J170" i="8"/>
  <c r="J171" i="8"/>
  <c r="J172" i="8"/>
  <c r="J173" i="8"/>
  <c r="J174" i="8"/>
  <c r="J175" i="8"/>
  <c r="J181" i="8"/>
  <c r="I152" i="8"/>
  <c r="I153" i="8"/>
  <c r="I154" i="8"/>
  <c r="I155" i="8"/>
  <c r="I156" i="8"/>
  <c r="I157" i="8"/>
  <c r="I158" i="8"/>
  <c r="I159" i="8"/>
  <c r="I160" i="8"/>
  <c r="I161" i="8"/>
  <c r="I162" i="8"/>
  <c r="I163" i="8"/>
  <c r="I164" i="8"/>
  <c r="I165" i="8"/>
  <c r="I166" i="8"/>
  <c r="I167" i="8"/>
  <c r="I168" i="8"/>
  <c r="I169" i="8"/>
  <c r="I170" i="8"/>
  <c r="I171" i="8"/>
  <c r="I172" i="8"/>
  <c r="I173" i="8"/>
  <c r="I174" i="8"/>
  <c r="I175" i="8"/>
  <c r="I181" i="8"/>
  <c r="H153" i="8"/>
  <c r="H155" i="8"/>
  <c r="H157" i="8"/>
  <c r="H159" i="8"/>
  <c r="H161" i="8"/>
  <c r="H163" i="8"/>
  <c r="H165" i="8"/>
  <c r="H167" i="8"/>
  <c r="H169" i="8"/>
  <c r="H171" i="8"/>
  <c r="H173" i="8"/>
  <c r="H175" i="8"/>
  <c r="H152" i="8"/>
  <c r="H154" i="8"/>
  <c r="H156" i="8"/>
  <c r="H158" i="8"/>
  <c r="H160" i="8"/>
  <c r="H162" i="8"/>
  <c r="H164" i="8"/>
  <c r="H166" i="8"/>
  <c r="H168" i="8"/>
  <c r="H170" i="8"/>
  <c r="H172" i="8"/>
  <c r="H174" i="8"/>
  <c r="H181" i="8"/>
  <c r="G153" i="8"/>
  <c r="G159" i="8"/>
  <c r="G162" i="8"/>
  <c r="G164" i="8"/>
  <c r="G166" i="8"/>
  <c r="G168" i="8"/>
  <c r="G170" i="8"/>
  <c r="G172" i="8"/>
  <c r="G174" i="8"/>
  <c r="G152" i="8"/>
  <c r="G154" i="8"/>
  <c r="G155" i="8"/>
  <c r="G156" i="8"/>
  <c r="G157" i="8"/>
  <c r="G158" i="8"/>
  <c r="G160" i="8"/>
  <c r="G161" i="8"/>
  <c r="G163" i="8"/>
  <c r="G165" i="8"/>
  <c r="G167" i="8"/>
  <c r="G169" i="8"/>
  <c r="G171" i="8"/>
  <c r="G173" i="8"/>
  <c r="G175" i="8"/>
  <c r="J151" i="8"/>
  <c r="F215" i="8"/>
  <c r="G151" i="8"/>
  <c r="F53" i="8" l="1"/>
  <c r="F54" i="8" s="1"/>
  <c r="F177" i="8"/>
  <c r="F178" i="8"/>
  <c r="F179" i="8"/>
  <c r="F176" i="8"/>
  <c r="F131" i="8"/>
  <c r="F127" i="8"/>
  <c r="F123" i="8"/>
  <c r="F119" i="8"/>
  <c r="F125" i="8"/>
  <c r="F128" i="8"/>
  <c r="F120" i="8"/>
  <c r="F130" i="8"/>
  <c r="F126" i="8"/>
  <c r="F122" i="8"/>
  <c r="F118" i="8"/>
  <c r="F129" i="8"/>
  <c r="F121" i="8"/>
  <c r="F132" i="8"/>
  <c r="F124" i="8"/>
  <c r="G56" i="8"/>
  <c r="G55" i="8"/>
  <c r="G54" i="8"/>
  <c r="F62" i="8"/>
  <c r="F60" i="8"/>
  <c r="F57" i="8"/>
  <c r="F58" i="8"/>
  <c r="F151" i="8"/>
  <c r="Q43" i="8"/>
  <c r="Q44" i="8"/>
  <c r="G42" i="8"/>
  <c r="P42" i="8"/>
  <c r="P44" i="8"/>
  <c r="G43" i="8"/>
  <c r="G44" i="8"/>
  <c r="N43" i="8"/>
  <c r="N44" i="8"/>
  <c r="G49" i="8"/>
  <c r="M48" i="8" s="1"/>
  <c r="O42" i="8"/>
  <c r="P43" i="8"/>
  <c r="O43" i="8"/>
  <c r="O44" i="8"/>
  <c r="N42" i="8"/>
  <c r="Q42" i="8"/>
  <c r="F43" i="8"/>
  <c r="F42" i="8"/>
  <c r="F44" i="8"/>
  <c r="F49" i="8"/>
  <c r="L50" i="8" s="1"/>
  <c r="F117" i="8"/>
  <c r="F155" i="8"/>
  <c r="F159" i="8"/>
  <c r="F163" i="8"/>
  <c r="F167" i="8"/>
  <c r="F171" i="8"/>
  <c r="F175" i="8"/>
  <c r="F174" i="8"/>
  <c r="F153" i="8"/>
  <c r="F161" i="8"/>
  <c r="F165" i="8"/>
  <c r="F173" i="8"/>
  <c r="F156" i="8"/>
  <c r="F168" i="8"/>
  <c r="F181" i="8"/>
  <c r="F154" i="8"/>
  <c r="F158" i="8"/>
  <c r="F162" i="8"/>
  <c r="F166" i="8"/>
  <c r="F170" i="8"/>
  <c r="F157" i="8"/>
  <c r="F169" i="8"/>
  <c r="F152" i="8"/>
  <c r="F160" i="8"/>
  <c r="F164" i="8"/>
  <c r="F172" i="8"/>
  <c r="F55" i="8" l="1"/>
  <c r="F56" i="8"/>
  <c r="M44" i="8"/>
  <c r="M42" i="8"/>
  <c r="M41" i="8"/>
  <c r="L49" i="8"/>
  <c r="F51" i="8"/>
  <c r="L51" i="8" s="1"/>
  <c r="L44" i="8"/>
  <c r="L42" i="8"/>
  <c r="L41" i="8"/>
  <c r="L43" i="8"/>
  <c r="M49" i="8"/>
  <c r="M45" i="8"/>
  <c r="M50" i="8"/>
  <c r="M46" i="8"/>
  <c r="G51" i="8"/>
  <c r="M51" i="8" s="1"/>
  <c r="M43" i="8"/>
  <c r="L48" i="8"/>
  <c r="L45" i="8"/>
  <c r="L46" i="8"/>
  <c r="I161" i="1"/>
  <c r="I160" i="1"/>
  <c r="I159" i="1"/>
  <c r="I158" i="1"/>
  <c r="I157" i="1"/>
  <c r="I156" i="1"/>
  <c r="I155" i="1"/>
  <c r="I154" i="1"/>
  <c r="I153" i="1"/>
  <c r="I152" i="1"/>
  <c r="I151" i="1"/>
  <c r="G161" i="1"/>
  <c r="G160" i="1"/>
  <c r="G159" i="1"/>
  <c r="G158" i="1"/>
  <c r="G157" i="1"/>
  <c r="G156" i="1"/>
  <c r="G155" i="1"/>
  <c r="G154" i="1"/>
  <c r="G153" i="1"/>
  <c r="G152" i="1"/>
  <c r="G151" i="1"/>
  <c r="E161" i="1"/>
  <c r="E160" i="1"/>
  <c r="E159" i="1"/>
  <c r="E158" i="1"/>
  <c r="E157" i="1"/>
  <c r="E156" i="1"/>
  <c r="E155" i="1"/>
  <c r="E154" i="1"/>
  <c r="E153" i="1"/>
  <c r="E152" i="1"/>
  <c r="E151" i="1"/>
  <c r="H144" i="1"/>
  <c r="G144" i="1"/>
  <c r="L13" i="1"/>
  <c r="L12" i="1"/>
  <c r="L34" i="1"/>
  <c r="L33" i="1"/>
  <c r="L32" i="1"/>
  <c r="L31" i="1"/>
  <c r="L30" i="1"/>
  <c r="L29" i="1"/>
  <c r="L28" i="1"/>
  <c r="L26" i="1"/>
  <c r="L25" i="1"/>
  <c r="L24" i="1"/>
  <c r="L23" i="1"/>
  <c r="L22" i="1"/>
  <c r="L21" i="1"/>
  <c r="L20" i="1"/>
  <c r="J13" i="1"/>
  <c r="J12" i="1"/>
  <c r="J63" i="1" l="1"/>
  <c r="J62" i="1"/>
  <c r="L62" i="1"/>
  <c r="L63" i="1"/>
  <c r="J64" i="1"/>
  <c r="L64" i="1"/>
  <c r="J41" i="1" l="1"/>
  <c r="J40" i="1"/>
  <c r="L41" i="1"/>
  <c r="L40" i="1"/>
  <c r="K42" i="1" l="1"/>
  <c r="I42" i="1"/>
  <c r="H42" i="1"/>
  <c r="G42" i="1"/>
  <c r="F42" i="1"/>
  <c r="T42" i="1" s="1"/>
  <c r="E42" i="1"/>
  <c r="D42" i="1"/>
  <c r="R42" i="1" l="1"/>
  <c r="N42" i="1"/>
  <c r="P42" i="1"/>
  <c r="J42" i="1"/>
  <c r="L42" i="1"/>
  <c r="I11" i="1"/>
  <c r="H11" i="1"/>
  <c r="G11" i="1"/>
  <c r="F11" i="1"/>
  <c r="E11" i="1"/>
  <c r="D11" i="1"/>
  <c r="N11" i="1" l="1"/>
  <c r="T11" i="1"/>
  <c r="R11" i="1"/>
  <c r="P11" i="1"/>
  <c r="J11" i="1"/>
  <c r="F65" i="1"/>
  <c r="T65" i="1" s="1"/>
  <c r="K65" i="1"/>
  <c r="K85" i="1" s="1"/>
  <c r="I65" i="1"/>
  <c r="I85" i="1" s="1"/>
  <c r="H65" i="1"/>
  <c r="H85" i="1" s="1"/>
  <c r="G65" i="1"/>
  <c r="G85" i="1" s="1"/>
  <c r="E65" i="1"/>
  <c r="E85" i="1" s="1"/>
  <c r="D65" i="1"/>
  <c r="D85" i="1" s="1"/>
  <c r="R65" i="1" l="1"/>
  <c r="P65" i="1"/>
  <c r="N65" i="1"/>
  <c r="L65" i="1"/>
  <c r="F85" i="1"/>
  <c r="T85" i="1" s="1"/>
  <c r="J65" i="1"/>
  <c r="J85" i="1" l="1"/>
  <c r="R85" i="1"/>
  <c r="N85" i="1"/>
  <c r="P85" i="1"/>
  <c r="L85" i="1"/>
  <c r="K27" i="1"/>
  <c r="K19" i="1"/>
  <c r="E27" i="1"/>
  <c r="D27" i="1"/>
  <c r="I19" i="1"/>
  <c r="H19" i="1"/>
  <c r="G19" i="1"/>
  <c r="F19" i="1"/>
  <c r="T19" i="1" s="1"/>
  <c r="E19" i="1"/>
  <c r="D19" i="1"/>
  <c r="K11" i="1"/>
  <c r="L11" i="1" s="1"/>
  <c r="P19" i="1" l="1"/>
  <c r="N19" i="1"/>
  <c r="R19" i="1"/>
  <c r="F18" i="8"/>
  <c r="J27" i="1"/>
  <c r="L19" i="1"/>
  <c r="G18" i="8"/>
  <c r="J19" i="1"/>
  <c r="L27" i="1"/>
  <c r="G47" i="8" l="1"/>
  <c r="M47" i="8" s="1"/>
  <c r="G59" i="8"/>
  <c r="G61" i="8" s="1"/>
  <c r="G63" i="8" s="1"/>
  <c r="F47" i="8"/>
  <c r="L47" i="8" s="1"/>
  <c r="F59" i="8"/>
  <c r="F61" i="8" s="1"/>
  <c r="F63" i="8" s="1"/>
  <c r="F105" i="8"/>
  <c r="F12" i="8" s="1"/>
  <c r="F22" i="8" s="1"/>
  <c r="J105" i="8"/>
  <c r="G12" i="8" s="1"/>
  <c r="G22" i="8" s="1"/>
  <c r="G26" i="8" l="1"/>
  <c r="G36" i="8" s="1"/>
  <c r="M54" i="8" l="1"/>
  <c r="M55" i="8"/>
  <c r="M56" i="8"/>
  <c r="M61" i="8"/>
  <c r="M58" i="8"/>
  <c r="M62" i="8"/>
  <c r="M57" i="8"/>
  <c r="M60" i="8"/>
  <c r="M59" i="8"/>
  <c r="F26" i="8"/>
  <c r="F36" i="8" s="1"/>
  <c r="G17" i="8"/>
  <c r="G20" i="8"/>
  <c r="G13" i="8"/>
  <c r="M53" i="8"/>
  <c r="M63" i="8"/>
  <c r="G33" i="8"/>
  <c r="G32" i="8" s="1"/>
  <c r="G31" i="8" s="1"/>
  <c r="G28" i="8"/>
  <c r="G35" i="8"/>
  <c r="G34" i="8" s="1"/>
  <c r="G29" i="8"/>
  <c r="F35" i="8" l="1"/>
  <c r="F34" i="8" s="1"/>
  <c r="F13" i="8"/>
  <c r="F17" i="8"/>
  <c r="F20" i="8"/>
  <c r="L54" i="8"/>
  <c r="F29" i="8"/>
  <c r="F27" i="8" s="1"/>
  <c r="F28" i="8"/>
  <c r="F33" i="8"/>
  <c r="F32" i="8" s="1"/>
  <c r="F31" i="8" s="1"/>
  <c r="G30" i="8"/>
  <c r="G27" i="8"/>
  <c r="L56" i="8" l="1"/>
  <c r="L63" i="8"/>
  <c r="L61" i="8"/>
  <c r="L62" i="8"/>
  <c r="L57" i="8"/>
  <c r="L60" i="8"/>
  <c r="L59" i="8"/>
  <c r="L55" i="8"/>
  <c r="L58" i="8"/>
  <c r="L53" i="8"/>
  <c r="F30" i="8"/>
</calcChain>
</file>

<file path=xl/sharedStrings.xml><?xml version="1.0" encoding="utf-8"?>
<sst xmlns="http://schemas.openxmlformats.org/spreadsheetml/2006/main" count="1039" uniqueCount="440">
  <si>
    <t>１．被保険者数（年度別）</t>
    <rPh sb="2" eb="6">
      <t>ヒホケンシャ</t>
    </rPh>
    <rPh sb="6" eb="7">
      <t>スウ</t>
    </rPh>
    <rPh sb="8" eb="10">
      <t>ネンド</t>
    </rPh>
    <rPh sb="10" eb="11">
      <t>ベツ</t>
    </rPh>
    <phoneticPr fontId="3"/>
  </si>
  <si>
    <t>総数</t>
    <rPh sb="0" eb="2">
      <t>ソウスウ</t>
    </rPh>
    <phoneticPr fontId="8"/>
  </si>
  <si>
    <t>第1号被保険者数</t>
    <rPh sb="0" eb="1">
      <t>ダイ</t>
    </rPh>
    <rPh sb="2" eb="3">
      <t>ゴウ</t>
    </rPh>
    <rPh sb="3" eb="7">
      <t>ヒホケンシャ</t>
    </rPh>
    <rPh sb="7" eb="8">
      <t>スウ</t>
    </rPh>
    <phoneticPr fontId="8"/>
  </si>
  <si>
    <t>第2号被保険者数</t>
    <rPh sb="0" eb="1">
      <t>ダイ</t>
    </rPh>
    <rPh sb="2" eb="3">
      <t>ゴウ</t>
    </rPh>
    <rPh sb="3" eb="7">
      <t>ヒホケンシャ</t>
    </rPh>
    <rPh sb="7" eb="8">
      <t>スウ</t>
    </rPh>
    <phoneticPr fontId="8"/>
  </si>
  <si>
    <t>２．要介護（支援）認定者数</t>
    <rPh sb="2" eb="5">
      <t>ヨウカイゴ</t>
    </rPh>
    <rPh sb="6" eb="8">
      <t>シエン</t>
    </rPh>
    <rPh sb="9" eb="11">
      <t>ニンテイ</t>
    </rPh>
    <rPh sb="11" eb="12">
      <t>シャ</t>
    </rPh>
    <rPh sb="12" eb="13">
      <t>スウ</t>
    </rPh>
    <phoneticPr fontId="3"/>
  </si>
  <si>
    <t>総数</t>
    <rPh sb="0" eb="2">
      <t>ソウスウ</t>
    </rPh>
    <phoneticPr fontId="3"/>
  </si>
  <si>
    <t>要支援1</t>
    <rPh sb="0" eb="3">
      <t>ヨウシエン</t>
    </rPh>
    <phoneticPr fontId="8"/>
  </si>
  <si>
    <t>要支援2</t>
    <rPh sb="0" eb="3">
      <t>ヨウシエン</t>
    </rPh>
    <phoneticPr fontId="8"/>
  </si>
  <si>
    <t>要介護1</t>
    <rPh sb="0" eb="3">
      <t>ヨウカイゴ</t>
    </rPh>
    <phoneticPr fontId="8"/>
  </si>
  <si>
    <t>要介護2</t>
    <rPh sb="0" eb="3">
      <t>ヨウカイゴ</t>
    </rPh>
    <phoneticPr fontId="8"/>
  </si>
  <si>
    <t>要介護3</t>
    <rPh sb="0" eb="3">
      <t>ヨウカイゴ</t>
    </rPh>
    <phoneticPr fontId="8"/>
  </si>
  <si>
    <t>要介護4</t>
    <rPh sb="0" eb="3">
      <t>ヨウカイゴ</t>
    </rPh>
    <phoneticPr fontId="8"/>
  </si>
  <si>
    <t>要介護5</t>
    <rPh sb="0" eb="3">
      <t>ヨウカイゴ</t>
    </rPh>
    <phoneticPr fontId="8"/>
  </si>
  <si>
    <t>うち第1号被保険者数</t>
    <rPh sb="2" eb="3">
      <t>ダイ</t>
    </rPh>
    <rPh sb="4" eb="5">
      <t>ゴウ</t>
    </rPh>
    <rPh sb="5" eb="9">
      <t>ヒホケンシャ</t>
    </rPh>
    <rPh sb="9" eb="10">
      <t>スウ</t>
    </rPh>
    <phoneticPr fontId="8"/>
  </si>
  <si>
    <t>３．介護予防サービス見込量</t>
    <rPh sb="2" eb="4">
      <t>カイゴ</t>
    </rPh>
    <rPh sb="4" eb="6">
      <t>ヨボウ</t>
    </rPh>
    <rPh sb="10" eb="12">
      <t>ミコミ</t>
    </rPh>
    <rPh sb="12" eb="13">
      <t>リョウ</t>
    </rPh>
    <phoneticPr fontId="3"/>
  </si>
  <si>
    <t>（１）介護予防サービス</t>
    <rPh sb="3" eb="5">
      <t>カイゴ</t>
    </rPh>
    <rPh sb="5" eb="7">
      <t>ヨボウ</t>
    </rPh>
    <phoneticPr fontId="8"/>
  </si>
  <si>
    <t>給付費（千円）</t>
    <rPh sb="0" eb="2">
      <t>キュウフ</t>
    </rPh>
    <rPh sb="2" eb="3">
      <t>ヒ</t>
    </rPh>
    <phoneticPr fontId="8"/>
  </si>
  <si>
    <t>人数（人）</t>
    <rPh sb="0" eb="2">
      <t>ニンズ</t>
    </rPh>
    <rPh sb="3" eb="4">
      <t>ニン</t>
    </rPh>
    <phoneticPr fontId="8"/>
  </si>
  <si>
    <t>介護予防訪問入浴介護</t>
    <rPh sb="4" eb="6">
      <t>ホウモン</t>
    </rPh>
    <rPh sb="6" eb="8">
      <t>ニュウヨク</t>
    </rPh>
    <rPh sb="8" eb="10">
      <t>カイゴ</t>
    </rPh>
    <phoneticPr fontId="8"/>
  </si>
  <si>
    <t>回数（回）</t>
    <rPh sb="0" eb="2">
      <t>カイスウ</t>
    </rPh>
    <rPh sb="3" eb="4">
      <t>カイ</t>
    </rPh>
    <phoneticPr fontId="8"/>
  </si>
  <si>
    <t>介護予防訪問看護</t>
    <rPh sb="4" eb="6">
      <t>ホウモン</t>
    </rPh>
    <rPh sb="6" eb="8">
      <t>カンゴ</t>
    </rPh>
    <phoneticPr fontId="8"/>
  </si>
  <si>
    <t>介護予防訪問リハビリテーション</t>
    <rPh sb="4" eb="6">
      <t>ホウモン</t>
    </rPh>
    <phoneticPr fontId="8"/>
  </si>
  <si>
    <t>介護予防居宅療養管理指導</t>
    <rPh sb="4" eb="6">
      <t>キョタク</t>
    </rPh>
    <rPh sb="6" eb="8">
      <t>リョウヨウ</t>
    </rPh>
    <rPh sb="8" eb="10">
      <t>カンリ</t>
    </rPh>
    <rPh sb="10" eb="12">
      <t>シドウ</t>
    </rPh>
    <phoneticPr fontId="8"/>
  </si>
  <si>
    <t>介護予防通所リハビリテーション</t>
    <rPh sb="4" eb="6">
      <t>ツウショ</t>
    </rPh>
    <phoneticPr fontId="8"/>
  </si>
  <si>
    <t>介護予防短期入所生活介護</t>
    <rPh sb="4" eb="6">
      <t>タンキ</t>
    </rPh>
    <rPh sb="6" eb="8">
      <t>ニュウショ</t>
    </rPh>
    <rPh sb="8" eb="10">
      <t>セイカツ</t>
    </rPh>
    <rPh sb="10" eb="12">
      <t>カイゴ</t>
    </rPh>
    <phoneticPr fontId="8"/>
  </si>
  <si>
    <t>日数（日）</t>
    <rPh sb="0" eb="2">
      <t>ニッスウ</t>
    </rPh>
    <rPh sb="3" eb="4">
      <t>ニチ</t>
    </rPh>
    <phoneticPr fontId="8"/>
  </si>
  <si>
    <t>介護予防短期入所療養介護（老健）</t>
    <rPh sb="4" eb="6">
      <t>タンキ</t>
    </rPh>
    <rPh sb="6" eb="8">
      <t>ニュウショ</t>
    </rPh>
    <rPh sb="8" eb="10">
      <t>リョウヨウ</t>
    </rPh>
    <rPh sb="10" eb="12">
      <t>カイゴ</t>
    </rPh>
    <rPh sb="13" eb="15">
      <t>ロウケン</t>
    </rPh>
    <phoneticPr fontId="8"/>
  </si>
  <si>
    <t>介護予防短期入所療養介護（病院等）</t>
    <rPh sb="4" eb="6">
      <t>タンキ</t>
    </rPh>
    <rPh sb="6" eb="8">
      <t>ニュウショ</t>
    </rPh>
    <rPh sb="8" eb="10">
      <t>リョウヨウ</t>
    </rPh>
    <rPh sb="10" eb="12">
      <t>カイゴ</t>
    </rPh>
    <rPh sb="13" eb="15">
      <t>ビョウイン</t>
    </rPh>
    <rPh sb="15" eb="16">
      <t>トウ</t>
    </rPh>
    <phoneticPr fontId="8"/>
  </si>
  <si>
    <t>介護予防福祉用具貸与</t>
    <rPh sb="4" eb="6">
      <t>フクシ</t>
    </rPh>
    <rPh sb="6" eb="8">
      <t>ヨウグ</t>
    </rPh>
    <rPh sb="8" eb="10">
      <t>タイヨ</t>
    </rPh>
    <phoneticPr fontId="8"/>
  </si>
  <si>
    <t>特定介護予防福祉用具購入費</t>
    <rPh sb="0" eb="2">
      <t>トクテイ</t>
    </rPh>
    <rPh sb="2" eb="4">
      <t>カイゴ</t>
    </rPh>
    <rPh sb="4" eb="6">
      <t>ヨボウ</t>
    </rPh>
    <rPh sb="6" eb="8">
      <t>フクシ</t>
    </rPh>
    <rPh sb="8" eb="10">
      <t>ヨウグ</t>
    </rPh>
    <rPh sb="10" eb="13">
      <t>コウニュウヒ</t>
    </rPh>
    <phoneticPr fontId="8"/>
  </si>
  <si>
    <t>介護予防住宅改修</t>
    <rPh sb="4" eb="6">
      <t>ジュウタク</t>
    </rPh>
    <rPh sb="6" eb="8">
      <t>カイシュウ</t>
    </rPh>
    <phoneticPr fontId="8"/>
  </si>
  <si>
    <t>介護予防特定施設入居者生活介護</t>
    <rPh sb="4" eb="6">
      <t>トクテイ</t>
    </rPh>
    <rPh sb="6" eb="8">
      <t>シセツ</t>
    </rPh>
    <rPh sb="8" eb="11">
      <t>ニュウキョシャ</t>
    </rPh>
    <rPh sb="11" eb="13">
      <t>セイカツ</t>
    </rPh>
    <rPh sb="13" eb="15">
      <t>カイゴ</t>
    </rPh>
    <phoneticPr fontId="8"/>
  </si>
  <si>
    <t>（２）地域密着型介護予防サービス</t>
    <rPh sb="3" eb="5">
      <t>チイキ</t>
    </rPh>
    <rPh sb="5" eb="8">
      <t>ミッチャクガタ</t>
    </rPh>
    <rPh sb="8" eb="10">
      <t>カイゴ</t>
    </rPh>
    <rPh sb="10" eb="12">
      <t>ヨボウ</t>
    </rPh>
    <phoneticPr fontId="8"/>
  </si>
  <si>
    <t>介護予防認知症対応型通所介護</t>
    <rPh sb="4" eb="6">
      <t>ニンチ</t>
    </rPh>
    <rPh sb="6" eb="7">
      <t>ショウ</t>
    </rPh>
    <rPh sb="7" eb="10">
      <t>タイオウガタ</t>
    </rPh>
    <rPh sb="10" eb="11">
      <t>ツウ</t>
    </rPh>
    <rPh sb="11" eb="12">
      <t>ショ</t>
    </rPh>
    <rPh sb="12" eb="14">
      <t>カイゴ</t>
    </rPh>
    <phoneticPr fontId="8"/>
  </si>
  <si>
    <t>介護予防小規模多機能型居宅介護</t>
    <rPh sb="4" eb="7">
      <t>ショウキボ</t>
    </rPh>
    <rPh sb="7" eb="11">
      <t>タキノウガタ</t>
    </rPh>
    <rPh sb="11" eb="13">
      <t>キョタク</t>
    </rPh>
    <rPh sb="13" eb="15">
      <t>カイゴ</t>
    </rPh>
    <phoneticPr fontId="8"/>
  </si>
  <si>
    <t>介護予防認知症対応型共同生活介護</t>
    <rPh sb="4" eb="6">
      <t>ニンチ</t>
    </rPh>
    <rPh sb="6" eb="7">
      <t>ショウ</t>
    </rPh>
    <rPh sb="7" eb="10">
      <t>タイオウガタ</t>
    </rPh>
    <rPh sb="10" eb="12">
      <t>キョウドウ</t>
    </rPh>
    <rPh sb="12" eb="14">
      <t>セイカツ</t>
    </rPh>
    <rPh sb="14" eb="16">
      <t>カイゴ</t>
    </rPh>
    <phoneticPr fontId="8"/>
  </si>
  <si>
    <t>合計</t>
    <rPh sb="0" eb="2">
      <t>ゴウケイ</t>
    </rPh>
    <phoneticPr fontId="8"/>
  </si>
  <si>
    <t>４．介護サービス見込量</t>
    <rPh sb="2" eb="4">
      <t>カイゴ</t>
    </rPh>
    <rPh sb="8" eb="10">
      <t>ミコミ</t>
    </rPh>
    <rPh sb="10" eb="11">
      <t>リョウ</t>
    </rPh>
    <phoneticPr fontId="3"/>
  </si>
  <si>
    <t>（１）居宅サービス</t>
    <rPh sb="3" eb="5">
      <t>キョタク</t>
    </rPh>
    <phoneticPr fontId="8"/>
  </si>
  <si>
    <t>訪問介護</t>
    <rPh sb="0" eb="2">
      <t>ホウモン</t>
    </rPh>
    <rPh sb="2" eb="4">
      <t>カイゴ</t>
    </rPh>
    <phoneticPr fontId="8"/>
  </si>
  <si>
    <t>訪問入浴介護</t>
    <rPh sb="0" eb="2">
      <t>ホウモン</t>
    </rPh>
    <rPh sb="2" eb="4">
      <t>ニュウヨク</t>
    </rPh>
    <rPh sb="4" eb="6">
      <t>カイゴ</t>
    </rPh>
    <phoneticPr fontId="8"/>
  </si>
  <si>
    <t>訪問看護</t>
    <rPh sb="0" eb="2">
      <t>ホウモン</t>
    </rPh>
    <rPh sb="2" eb="4">
      <t>カンゴ</t>
    </rPh>
    <phoneticPr fontId="8"/>
  </si>
  <si>
    <t>訪問リハビリテーション</t>
    <rPh sb="0" eb="2">
      <t>ホウモン</t>
    </rPh>
    <phoneticPr fontId="8"/>
  </si>
  <si>
    <t>居宅療養管理指導</t>
    <rPh sb="0" eb="2">
      <t>キョタク</t>
    </rPh>
    <rPh sb="2" eb="4">
      <t>リョウヨウ</t>
    </rPh>
    <rPh sb="4" eb="6">
      <t>カンリ</t>
    </rPh>
    <rPh sb="6" eb="8">
      <t>シドウ</t>
    </rPh>
    <phoneticPr fontId="8"/>
  </si>
  <si>
    <t>通所介護</t>
    <rPh sb="0" eb="2">
      <t>ツウショ</t>
    </rPh>
    <rPh sb="2" eb="4">
      <t>カイゴ</t>
    </rPh>
    <phoneticPr fontId="8"/>
  </si>
  <si>
    <t>通所リハビリテーション</t>
    <rPh sb="0" eb="2">
      <t>ツウショ</t>
    </rPh>
    <phoneticPr fontId="8"/>
  </si>
  <si>
    <t>短期入所生活介護</t>
    <rPh sb="0" eb="2">
      <t>タンキ</t>
    </rPh>
    <rPh sb="2" eb="4">
      <t>ニュウショ</t>
    </rPh>
    <rPh sb="4" eb="6">
      <t>セイカツ</t>
    </rPh>
    <rPh sb="6" eb="8">
      <t>カイゴ</t>
    </rPh>
    <phoneticPr fontId="8"/>
  </si>
  <si>
    <t>短期入所療養介護（老健）</t>
    <rPh sb="0" eb="2">
      <t>タンキ</t>
    </rPh>
    <rPh sb="2" eb="4">
      <t>ニュウショ</t>
    </rPh>
    <rPh sb="4" eb="6">
      <t>リョウヨウ</t>
    </rPh>
    <rPh sb="6" eb="8">
      <t>カイゴ</t>
    </rPh>
    <rPh sb="9" eb="11">
      <t>ロウケン</t>
    </rPh>
    <phoneticPr fontId="8"/>
  </si>
  <si>
    <t>短期入所療養介護（病院等）</t>
    <rPh sb="0" eb="2">
      <t>タンキ</t>
    </rPh>
    <rPh sb="2" eb="4">
      <t>ニュウショ</t>
    </rPh>
    <rPh sb="4" eb="6">
      <t>リョウヨウ</t>
    </rPh>
    <rPh sb="6" eb="8">
      <t>カイゴ</t>
    </rPh>
    <rPh sb="9" eb="11">
      <t>ビョウイン</t>
    </rPh>
    <rPh sb="11" eb="12">
      <t>トウ</t>
    </rPh>
    <phoneticPr fontId="8"/>
  </si>
  <si>
    <t>福祉用具貸与</t>
    <rPh sb="0" eb="2">
      <t>フクシ</t>
    </rPh>
    <rPh sb="2" eb="4">
      <t>ヨウグ</t>
    </rPh>
    <rPh sb="4" eb="6">
      <t>タイヨ</t>
    </rPh>
    <phoneticPr fontId="8"/>
  </si>
  <si>
    <t>特定福祉用具購入費</t>
    <rPh sb="0" eb="2">
      <t>トクテイ</t>
    </rPh>
    <rPh sb="2" eb="4">
      <t>フクシ</t>
    </rPh>
    <rPh sb="4" eb="6">
      <t>ヨウグ</t>
    </rPh>
    <rPh sb="6" eb="9">
      <t>コウニュウヒ</t>
    </rPh>
    <phoneticPr fontId="8"/>
  </si>
  <si>
    <t>住宅改修費</t>
    <rPh sb="0" eb="2">
      <t>ジュウタク</t>
    </rPh>
    <rPh sb="2" eb="5">
      <t>カイシュウヒ</t>
    </rPh>
    <phoneticPr fontId="8"/>
  </si>
  <si>
    <t>特定施設入居者生活介護</t>
    <rPh sb="0" eb="2">
      <t>トクテイ</t>
    </rPh>
    <rPh sb="2" eb="4">
      <t>シセツ</t>
    </rPh>
    <rPh sb="4" eb="7">
      <t>ニュウキョシャ</t>
    </rPh>
    <rPh sb="7" eb="9">
      <t>セイカツ</t>
    </rPh>
    <rPh sb="9" eb="11">
      <t>カイゴ</t>
    </rPh>
    <phoneticPr fontId="8"/>
  </si>
  <si>
    <t>（２）地域密着型サービス</t>
    <rPh sb="3" eb="5">
      <t>チイキ</t>
    </rPh>
    <rPh sb="5" eb="8">
      <t>ミッチャクガタ</t>
    </rPh>
    <phoneticPr fontId="8"/>
  </si>
  <si>
    <t>定期巡回・随時対応型訪問介護看護</t>
    <rPh sb="0" eb="2">
      <t>テイキ</t>
    </rPh>
    <rPh sb="2" eb="4">
      <t>ジュンカイ</t>
    </rPh>
    <rPh sb="5" eb="7">
      <t>ズイジ</t>
    </rPh>
    <rPh sb="7" eb="10">
      <t>タイオウガタ</t>
    </rPh>
    <rPh sb="10" eb="12">
      <t>ホウモン</t>
    </rPh>
    <rPh sb="12" eb="14">
      <t>カイゴ</t>
    </rPh>
    <rPh sb="14" eb="16">
      <t>カンゴ</t>
    </rPh>
    <phoneticPr fontId="8"/>
  </si>
  <si>
    <t>夜間対応型訪問介護</t>
    <rPh sb="0" eb="2">
      <t>ヤカン</t>
    </rPh>
    <rPh sb="2" eb="5">
      <t>タイオウガタ</t>
    </rPh>
    <rPh sb="5" eb="7">
      <t>ホウモン</t>
    </rPh>
    <rPh sb="7" eb="9">
      <t>カイゴ</t>
    </rPh>
    <phoneticPr fontId="8"/>
  </si>
  <si>
    <t>認知症対応型通所介護</t>
    <rPh sb="0" eb="2">
      <t>ニンチ</t>
    </rPh>
    <rPh sb="2" eb="3">
      <t>ショウ</t>
    </rPh>
    <rPh sb="3" eb="6">
      <t>タイオウガタ</t>
    </rPh>
    <rPh sb="6" eb="7">
      <t>ツウ</t>
    </rPh>
    <rPh sb="7" eb="8">
      <t>ショ</t>
    </rPh>
    <rPh sb="8" eb="10">
      <t>カイゴ</t>
    </rPh>
    <phoneticPr fontId="8"/>
  </si>
  <si>
    <t>小規模多機能型居宅介護</t>
    <rPh sb="0" eb="3">
      <t>ショウキボ</t>
    </rPh>
    <rPh sb="3" eb="7">
      <t>タキノウガタ</t>
    </rPh>
    <rPh sb="7" eb="9">
      <t>キョタク</t>
    </rPh>
    <rPh sb="9" eb="11">
      <t>カイゴ</t>
    </rPh>
    <phoneticPr fontId="8"/>
  </si>
  <si>
    <t>認知症対応型共同生活介護</t>
    <rPh sb="0" eb="2">
      <t>ニンチ</t>
    </rPh>
    <rPh sb="2" eb="3">
      <t>ショウ</t>
    </rPh>
    <rPh sb="3" eb="6">
      <t>タイオウガタ</t>
    </rPh>
    <rPh sb="6" eb="8">
      <t>キョウドウ</t>
    </rPh>
    <rPh sb="8" eb="10">
      <t>セイカツ</t>
    </rPh>
    <rPh sb="10" eb="12">
      <t>カイゴ</t>
    </rPh>
    <phoneticPr fontId="8"/>
  </si>
  <si>
    <t>地域密着型特定施設入居者生活介護</t>
    <rPh sb="0" eb="2">
      <t>チイキ</t>
    </rPh>
    <rPh sb="2" eb="5">
      <t>ミッチャクガタ</t>
    </rPh>
    <rPh sb="5" eb="7">
      <t>トクテイ</t>
    </rPh>
    <rPh sb="7" eb="9">
      <t>シセツ</t>
    </rPh>
    <rPh sb="9" eb="12">
      <t>ニュウキョシャ</t>
    </rPh>
    <rPh sb="12" eb="14">
      <t>セイカツ</t>
    </rPh>
    <rPh sb="14" eb="16">
      <t>カイゴ</t>
    </rPh>
    <phoneticPr fontId="8"/>
  </si>
  <si>
    <t>地域密着型介護老人福祉施設入所者生活介護</t>
  </si>
  <si>
    <t>（３）施設サービス</t>
    <rPh sb="3" eb="5">
      <t>シセツ</t>
    </rPh>
    <phoneticPr fontId="8"/>
  </si>
  <si>
    <t>介護老人福祉施設</t>
    <rPh sb="0" eb="2">
      <t>カイゴ</t>
    </rPh>
    <rPh sb="2" eb="4">
      <t>ロウジン</t>
    </rPh>
    <rPh sb="4" eb="6">
      <t>フクシ</t>
    </rPh>
    <rPh sb="6" eb="8">
      <t>シセツ</t>
    </rPh>
    <phoneticPr fontId="8"/>
  </si>
  <si>
    <t>単位：千円</t>
    <rPh sb="3" eb="4">
      <t>セン</t>
    </rPh>
    <phoneticPr fontId="3"/>
  </si>
  <si>
    <t>総給付費</t>
    <rPh sb="0" eb="1">
      <t>ソウ</t>
    </rPh>
    <rPh sb="1" eb="3">
      <t>キュウフ</t>
    </rPh>
    <rPh sb="3" eb="4">
      <t>ヒ</t>
    </rPh>
    <phoneticPr fontId="8"/>
  </si>
  <si>
    <t>介護老人保健施設</t>
  </si>
  <si>
    <t>（４）居宅介護支援</t>
  </si>
  <si>
    <t>保険者名</t>
    <rPh sb="0" eb="3">
      <t>ホケンシャ</t>
    </rPh>
    <rPh sb="3" eb="4">
      <t>メイ</t>
    </rPh>
    <phoneticPr fontId="3"/>
  </si>
  <si>
    <t>保険者番号</t>
    <rPh sb="0" eb="3">
      <t>ホケンシャ</t>
    </rPh>
    <rPh sb="3" eb="5">
      <t>バンゴウ</t>
    </rPh>
    <phoneticPr fontId="3"/>
  </si>
  <si>
    <t>単位：千円</t>
    <rPh sb="0" eb="2">
      <t>タンイ</t>
    </rPh>
    <phoneticPr fontId="3"/>
  </si>
  <si>
    <t>在宅サービス</t>
    <rPh sb="0" eb="2">
      <t>ザイタク</t>
    </rPh>
    <phoneticPr fontId="8"/>
  </si>
  <si>
    <t>施設サービス</t>
    <rPh sb="0" eb="2">
      <t>シセツ</t>
    </rPh>
    <phoneticPr fontId="8"/>
  </si>
  <si>
    <t>（１）推計値サマリ</t>
    <rPh sb="3" eb="6">
      <t>スイケイチ</t>
    </rPh>
    <phoneticPr fontId="3"/>
  </si>
  <si>
    <t>（２）サービス別給付費</t>
    <rPh sb="7" eb="8">
      <t>ベツ</t>
    </rPh>
    <rPh sb="8" eb="10">
      <t>キュウフ</t>
    </rPh>
    <rPh sb="10" eb="11">
      <t>ヒ</t>
    </rPh>
    <phoneticPr fontId="3"/>
  </si>
  <si>
    <t>認定者数</t>
    <rPh sb="0" eb="3">
      <t>ニンテイシャ</t>
    </rPh>
    <rPh sb="3" eb="4">
      <t>スウ</t>
    </rPh>
    <phoneticPr fontId="1"/>
  </si>
  <si>
    <t>施策反映の全体方針</t>
    <rPh sb="0" eb="2">
      <t>シサク</t>
    </rPh>
    <rPh sb="2" eb="4">
      <t>ハンエイ</t>
    </rPh>
    <rPh sb="5" eb="7">
      <t>ゼンタイ</t>
    </rPh>
    <rPh sb="7" eb="9">
      <t>ホウシン</t>
    </rPh>
    <phoneticPr fontId="3"/>
  </si>
  <si>
    <t>（１）在宅サービス</t>
    <rPh sb="3" eb="5">
      <t>ザイタク</t>
    </rPh>
    <phoneticPr fontId="3"/>
  </si>
  <si>
    <t>（２）居住系サービス</t>
    <rPh sb="3" eb="5">
      <t>キョジュウ</t>
    </rPh>
    <rPh sb="5" eb="6">
      <t>ケイ</t>
    </rPh>
    <phoneticPr fontId="8"/>
  </si>
  <si>
    <t>（２）居住系サービス</t>
    <rPh sb="5" eb="6">
      <t>ケイ</t>
    </rPh>
    <phoneticPr fontId="3"/>
  </si>
  <si>
    <t>保険料基準額（月額）</t>
    <rPh sb="0" eb="3">
      <t>ホケンリョウ</t>
    </rPh>
    <rPh sb="3" eb="5">
      <t>キジュン</t>
    </rPh>
    <rPh sb="5" eb="6">
      <t>ガク</t>
    </rPh>
    <rPh sb="7" eb="9">
      <t>ゲツガク</t>
    </rPh>
    <phoneticPr fontId="8"/>
  </si>
  <si>
    <t>金額</t>
    <rPh sb="0" eb="2">
      <t>キンガク</t>
    </rPh>
    <phoneticPr fontId="8"/>
  </si>
  <si>
    <t>居住系サービス</t>
    <rPh sb="0" eb="2">
      <t>キョジュウ</t>
    </rPh>
    <rPh sb="2" eb="3">
      <t>ケイ</t>
    </rPh>
    <phoneticPr fontId="8"/>
  </si>
  <si>
    <t>その他給付費</t>
    <rPh sb="2" eb="3">
      <t>タ</t>
    </rPh>
    <rPh sb="3" eb="5">
      <t>キュウフ</t>
    </rPh>
    <rPh sb="5" eb="6">
      <t>ヒ</t>
    </rPh>
    <phoneticPr fontId="8"/>
  </si>
  <si>
    <t>地域支援事業費</t>
    <rPh sb="0" eb="2">
      <t>チイキ</t>
    </rPh>
    <rPh sb="2" eb="4">
      <t>シエン</t>
    </rPh>
    <rPh sb="4" eb="7">
      <t>ジギョウヒ</t>
    </rPh>
    <phoneticPr fontId="8"/>
  </si>
  <si>
    <t>財政安定化基金（拠出金見込額＋償還金）</t>
    <rPh sb="0" eb="2">
      <t>ザイセイ</t>
    </rPh>
    <rPh sb="2" eb="5">
      <t>アンテイカ</t>
    </rPh>
    <rPh sb="5" eb="7">
      <t>キキン</t>
    </rPh>
    <rPh sb="8" eb="11">
      <t>キョシュツキン</t>
    </rPh>
    <rPh sb="11" eb="13">
      <t>ミコミ</t>
    </rPh>
    <rPh sb="13" eb="14">
      <t>ガク</t>
    </rPh>
    <rPh sb="15" eb="18">
      <t>ショウカンキン</t>
    </rPh>
    <phoneticPr fontId="8"/>
  </si>
  <si>
    <t>市町村特別給付費等</t>
    <rPh sb="0" eb="3">
      <t>シチョウソン</t>
    </rPh>
    <rPh sb="3" eb="5">
      <t>トクベツ</t>
    </rPh>
    <rPh sb="5" eb="7">
      <t>キュウフ</t>
    </rPh>
    <rPh sb="7" eb="8">
      <t>ヒ</t>
    </rPh>
    <rPh sb="8" eb="9">
      <t>トウ</t>
    </rPh>
    <phoneticPr fontId="8"/>
  </si>
  <si>
    <t>保険料収納必要額（月額）</t>
    <rPh sb="0" eb="3">
      <t>ホケンリョウ</t>
    </rPh>
    <rPh sb="3" eb="5">
      <t>シュウノウ</t>
    </rPh>
    <rPh sb="5" eb="7">
      <t>ヒツヨウ</t>
    </rPh>
    <rPh sb="7" eb="8">
      <t>ガク</t>
    </rPh>
    <rPh sb="9" eb="11">
      <t>ゲツガク</t>
    </rPh>
    <phoneticPr fontId="8"/>
  </si>
  <si>
    <t>準備基金取崩額</t>
    <rPh sb="0" eb="2">
      <t>ジュンビ</t>
    </rPh>
    <rPh sb="2" eb="4">
      <t>キキン</t>
    </rPh>
    <rPh sb="4" eb="6">
      <t>トリクズシ</t>
    </rPh>
    <rPh sb="6" eb="7">
      <t>ガク</t>
    </rPh>
    <phoneticPr fontId="8"/>
  </si>
  <si>
    <t>単位：円</t>
    <phoneticPr fontId="3"/>
  </si>
  <si>
    <t>１．介護予防サービス見込量</t>
    <rPh sb="2" eb="4">
      <t>カイゴ</t>
    </rPh>
    <rPh sb="4" eb="6">
      <t>ヨボウ</t>
    </rPh>
    <rPh sb="10" eb="12">
      <t>ミコミ</t>
    </rPh>
    <rPh sb="12" eb="13">
      <t>リョウ</t>
    </rPh>
    <phoneticPr fontId="3"/>
  </si>
  <si>
    <t>２．介護サービス見込量</t>
    <rPh sb="2" eb="4">
      <t>カイゴ</t>
    </rPh>
    <rPh sb="8" eb="10">
      <t>ミコミ</t>
    </rPh>
    <rPh sb="10" eb="11">
      <t>リョウ</t>
    </rPh>
    <phoneticPr fontId="3"/>
  </si>
  <si>
    <t>看護小規模多機能型居宅介護</t>
    <rPh sb="0" eb="2">
      <t>カンゴ</t>
    </rPh>
    <rPh sb="2" eb="5">
      <t>ショウキボ</t>
    </rPh>
    <rPh sb="5" eb="9">
      <t>タキノウガタ</t>
    </rPh>
    <rPh sb="9" eb="11">
      <t>キョタク</t>
    </rPh>
    <rPh sb="11" eb="13">
      <t>カイゴ</t>
    </rPh>
    <phoneticPr fontId="8"/>
  </si>
  <si>
    <t>施策反映内容</t>
    <rPh sb="0" eb="2">
      <t>シサク</t>
    </rPh>
    <rPh sb="2" eb="4">
      <t>ハンエイ</t>
    </rPh>
    <rPh sb="4" eb="6">
      <t>ナイヨウ</t>
    </rPh>
    <phoneticPr fontId="3"/>
  </si>
  <si>
    <t>補足．在宅サービス・施設サービスのバランス（第1号被保険者1人あたりの給付月額）</t>
    <rPh sb="0" eb="2">
      <t>ホソク</t>
    </rPh>
    <rPh sb="3" eb="5">
      <t>ザイタク</t>
    </rPh>
    <rPh sb="10" eb="12">
      <t>シセツ</t>
    </rPh>
    <rPh sb="22" eb="23">
      <t>ダイ</t>
    </rPh>
    <rPh sb="24" eb="25">
      <t>ゴウ</t>
    </rPh>
    <rPh sb="25" eb="29">
      <t>ヒホケンジャ</t>
    </rPh>
    <rPh sb="30" eb="31">
      <t>ニン</t>
    </rPh>
    <rPh sb="35" eb="37">
      <t>キュウフ</t>
    </rPh>
    <rPh sb="37" eb="39">
      <t>ゲツガク</t>
    </rPh>
    <phoneticPr fontId="3"/>
  </si>
  <si>
    <t>地域密着型通所介護</t>
    <rPh sb="0" eb="2">
      <t>チイキ</t>
    </rPh>
    <rPh sb="2" eb="5">
      <t>ミッチャクガタ</t>
    </rPh>
    <rPh sb="5" eb="9">
      <t>ツウショカイゴ</t>
    </rPh>
    <phoneticPr fontId="8"/>
  </si>
  <si>
    <t>（３）施設サービス</t>
    <phoneticPr fontId="3"/>
  </si>
  <si>
    <t>（２）地域密着型サービス</t>
    <phoneticPr fontId="3"/>
  </si>
  <si>
    <t>（１）居宅サービス</t>
    <phoneticPr fontId="3"/>
  </si>
  <si>
    <t>出力日：</t>
    <rPh sb="0" eb="2">
      <t>シュツリョク</t>
    </rPh>
    <rPh sb="2" eb="3">
      <t>ビ</t>
    </rPh>
    <phoneticPr fontId="8"/>
  </si>
  <si>
    <t>推計に用いた1人1月あたり利用回（日）数の伸び</t>
    <rPh sb="0" eb="2">
      <t>スイケイ</t>
    </rPh>
    <rPh sb="3" eb="4">
      <t>モチ</t>
    </rPh>
    <phoneticPr fontId="3"/>
  </si>
  <si>
    <t>推計に用いた利用率の伸び</t>
    <rPh sb="0" eb="2">
      <t>スイケイ</t>
    </rPh>
    <rPh sb="3" eb="4">
      <t>モチ</t>
    </rPh>
    <rPh sb="6" eb="9">
      <t>リヨウリツ</t>
    </rPh>
    <rPh sb="10" eb="11">
      <t>ノ</t>
    </rPh>
    <phoneticPr fontId="3"/>
  </si>
  <si>
    <t>推計に用いた認定率の伸び</t>
    <rPh sb="0" eb="2">
      <t>スイケイ</t>
    </rPh>
    <rPh sb="3" eb="4">
      <t>モチ</t>
    </rPh>
    <rPh sb="6" eb="8">
      <t>ニンテイ</t>
    </rPh>
    <rPh sb="8" eb="9">
      <t>リツ</t>
    </rPh>
    <rPh sb="10" eb="11">
      <t>ノ</t>
    </rPh>
    <phoneticPr fontId="3"/>
  </si>
  <si>
    <t>推計に用いた1人1月あたりの給付費の実績値</t>
    <rPh sb="0" eb="2">
      <t>スイケイ</t>
    </rPh>
    <rPh sb="3" eb="4">
      <t>モチ</t>
    </rPh>
    <rPh sb="7" eb="8">
      <t>ニン</t>
    </rPh>
    <rPh sb="9" eb="10">
      <t>ゲツ</t>
    </rPh>
    <rPh sb="14" eb="16">
      <t>キュウフ</t>
    </rPh>
    <rPh sb="16" eb="17">
      <t>ヒ</t>
    </rPh>
    <rPh sb="18" eb="21">
      <t>ジッセキチ</t>
    </rPh>
    <phoneticPr fontId="3"/>
  </si>
  <si>
    <t>推計パターン名</t>
    <rPh sb="0" eb="2">
      <t>スイケイ</t>
    </rPh>
    <rPh sb="6" eb="7">
      <t>メイ</t>
    </rPh>
    <phoneticPr fontId="3"/>
  </si>
  <si>
    <r>
      <t xml:space="preserve">伸び率①
</t>
    </r>
    <r>
      <rPr>
        <sz val="8"/>
        <rFont val="ＭＳ Ｐゴシック"/>
        <family val="3"/>
        <charset val="128"/>
      </rPr>
      <t>※１</t>
    </r>
    <rPh sb="0" eb="1">
      <t>ノ</t>
    </rPh>
    <rPh sb="2" eb="3">
      <t>リツ</t>
    </rPh>
    <phoneticPr fontId="8"/>
  </si>
  <si>
    <r>
      <t xml:space="preserve">伸び率①
</t>
    </r>
    <r>
      <rPr>
        <sz val="8"/>
        <rFont val="ＭＳ Ｐゴシック"/>
        <family val="3"/>
        <charset val="128"/>
      </rPr>
      <t>※２</t>
    </r>
    <rPh sb="0" eb="1">
      <t>ノ</t>
    </rPh>
    <rPh sb="2" eb="3">
      <t>リツ</t>
    </rPh>
    <phoneticPr fontId="8"/>
  </si>
  <si>
    <t>５．総給付費　（３．＋４．）</t>
    <rPh sb="2" eb="3">
      <t>ソウ</t>
    </rPh>
    <rPh sb="3" eb="5">
      <t>キュウフ</t>
    </rPh>
    <rPh sb="5" eb="6">
      <t>ヒ</t>
    </rPh>
    <phoneticPr fontId="3"/>
  </si>
  <si>
    <t>構成比(%)</t>
    <rPh sb="0" eb="3">
      <t>コウセイヒ</t>
    </rPh>
    <phoneticPr fontId="8"/>
  </si>
  <si>
    <t>単位：各項目の（）内</t>
    <rPh sb="3" eb="6">
      <t>カクコウモク</t>
    </rPh>
    <rPh sb="9" eb="10">
      <t>ナイ</t>
    </rPh>
    <phoneticPr fontId="3"/>
  </si>
  <si>
    <t>※給付費は年間累計の金額、回（日）数は１月当たりの数、人数は１月当たりの利用者数。</t>
    <rPh sb="1" eb="4">
      <t>キュウフヒ</t>
    </rPh>
    <rPh sb="5" eb="7">
      <t>ネンカン</t>
    </rPh>
    <rPh sb="7" eb="9">
      <t>ルイケイ</t>
    </rPh>
    <rPh sb="10" eb="12">
      <t>キンガク</t>
    </rPh>
    <rPh sb="13" eb="14">
      <t>カイ</t>
    </rPh>
    <rPh sb="15" eb="16">
      <t>ヒ</t>
    </rPh>
    <rPh sb="17" eb="18">
      <t>スウ</t>
    </rPh>
    <rPh sb="20" eb="21">
      <t>ツキ</t>
    </rPh>
    <rPh sb="21" eb="22">
      <t>ア</t>
    </rPh>
    <rPh sb="25" eb="26">
      <t>カズ</t>
    </rPh>
    <rPh sb="27" eb="29">
      <t>ニンズウ</t>
    </rPh>
    <rPh sb="31" eb="33">
      <t>ツキア</t>
    </rPh>
    <rPh sb="36" eb="39">
      <t>リヨウシャ</t>
    </rPh>
    <rPh sb="39" eb="40">
      <t>スウ</t>
    </rPh>
    <phoneticPr fontId="1"/>
  </si>
  <si>
    <t>※給付費は年間累計の金額</t>
    <phoneticPr fontId="8"/>
  </si>
  <si>
    <t>（３）介護予防支援</t>
    <phoneticPr fontId="3"/>
  </si>
  <si>
    <t>保険料基準額（月額）</t>
    <rPh sb="0" eb="3">
      <t>ホケンリョウ</t>
    </rPh>
    <rPh sb="5" eb="6">
      <t>ガク</t>
    </rPh>
    <rPh sb="7" eb="9">
      <t>ゲツガク</t>
    </rPh>
    <phoneticPr fontId="8"/>
  </si>
  <si>
    <t>１．自然体推計手法</t>
    <phoneticPr fontId="3"/>
  </si>
  <si>
    <t>認定者数の自然体推計手法</t>
    <phoneticPr fontId="3"/>
  </si>
  <si>
    <t>介護サービス利用者数の自然体推計手法</t>
    <rPh sb="0" eb="2">
      <t>カイゴ</t>
    </rPh>
    <rPh sb="6" eb="8">
      <t>リヨウ</t>
    </rPh>
    <rPh sb="8" eb="9">
      <t>シャ</t>
    </rPh>
    <rPh sb="9" eb="10">
      <t>スウ</t>
    </rPh>
    <rPh sb="11" eb="14">
      <t>シゼンタイ</t>
    </rPh>
    <rPh sb="14" eb="16">
      <t>スイケイ</t>
    </rPh>
    <rPh sb="16" eb="18">
      <t>シュホウ</t>
    </rPh>
    <phoneticPr fontId="3"/>
  </si>
  <si>
    <t>２．要介護(支援)認定者数</t>
    <phoneticPr fontId="3"/>
  </si>
  <si>
    <t>給付費の設定内容</t>
    <rPh sb="0" eb="2">
      <t>キュウフ</t>
    </rPh>
    <rPh sb="2" eb="3">
      <t>ヒ</t>
    </rPh>
    <rPh sb="4" eb="6">
      <t>セッテイ</t>
    </rPh>
    <rPh sb="6" eb="8">
      <t>ナイヨウ</t>
    </rPh>
    <phoneticPr fontId="3"/>
  </si>
  <si>
    <t>1人1月あたり給付費</t>
    <phoneticPr fontId="3"/>
  </si>
  <si>
    <t>(参考)保険料の推計に要する係数</t>
    <rPh sb="1" eb="3">
      <t>サンコウ</t>
    </rPh>
    <phoneticPr fontId="3"/>
  </si>
  <si>
    <t>前期高齢者加入割合</t>
  </si>
  <si>
    <t>第1段階</t>
  </si>
  <si>
    <t>第2段階</t>
  </si>
  <si>
    <t>第3段階</t>
  </si>
  <si>
    <t>第4段階</t>
  </si>
  <si>
    <t>第5段階</t>
  </si>
  <si>
    <t>第6段階</t>
  </si>
  <si>
    <t>第7段階</t>
  </si>
  <si>
    <t>第8段階</t>
  </si>
  <si>
    <t>第9段階</t>
  </si>
  <si>
    <t>国庫負担金等の算定の基準となる算定対象審査支払手数料単価（上限）（円）</t>
    <rPh sb="0" eb="2">
      <t>コッコ</t>
    </rPh>
    <rPh sb="2" eb="6">
      <t>フタンキントウ</t>
    </rPh>
    <rPh sb="7" eb="9">
      <t>サンテイ</t>
    </rPh>
    <rPh sb="10" eb="12">
      <t>キジュン</t>
    </rPh>
    <rPh sb="15" eb="17">
      <t>サンテイ</t>
    </rPh>
    <rPh sb="17" eb="19">
      <t>タイショウ</t>
    </rPh>
    <rPh sb="19" eb="21">
      <t>シンサ</t>
    </rPh>
    <rPh sb="21" eb="23">
      <t>シハライ</t>
    </rPh>
    <rPh sb="23" eb="26">
      <t>テスウリョウ</t>
    </rPh>
    <rPh sb="26" eb="28">
      <t>タンカ</t>
    </rPh>
    <rPh sb="29" eb="31">
      <t>ジョウゲン</t>
    </rPh>
    <rPh sb="33" eb="34">
      <t>エン</t>
    </rPh>
    <phoneticPr fontId="8"/>
  </si>
  <si>
    <t>２．保険料基準額の指標</t>
    <rPh sb="2" eb="5">
      <t>ホケンリョウ</t>
    </rPh>
    <rPh sb="5" eb="7">
      <t>キジュン</t>
    </rPh>
    <rPh sb="7" eb="8">
      <t>ガク</t>
    </rPh>
    <rPh sb="9" eb="11">
      <t>シヒョウ</t>
    </rPh>
    <phoneticPr fontId="3"/>
  </si>
  <si>
    <t>準備基金取崩額の影響額</t>
    <rPh sb="0" eb="2">
      <t>ジュンビ</t>
    </rPh>
    <rPh sb="2" eb="4">
      <t>キキン</t>
    </rPh>
    <rPh sb="4" eb="6">
      <t>トリクズシ</t>
    </rPh>
    <rPh sb="6" eb="7">
      <t>ガク</t>
    </rPh>
    <rPh sb="8" eb="11">
      <t>エイキョウガク</t>
    </rPh>
    <phoneticPr fontId="8"/>
  </si>
  <si>
    <t>準備基金の残高（前年度末の見込額）</t>
    <rPh sb="0" eb="2">
      <t>ジュンビ</t>
    </rPh>
    <rPh sb="2" eb="4">
      <t>キキン</t>
    </rPh>
    <rPh sb="5" eb="7">
      <t>ザンダカ</t>
    </rPh>
    <rPh sb="8" eb="9">
      <t>ゼン</t>
    </rPh>
    <rPh sb="9" eb="12">
      <t>ネンドマツ</t>
    </rPh>
    <rPh sb="13" eb="15">
      <t>ミコミ</t>
    </rPh>
    <rPh sb="15" eb="16">
      <t>ガク</t>
    </rPh>
    <phoneticPr fontId="8"/>
  </si>
  <si>
    <t>準備基金取崩額</t>
    <rPh sb="0" eb="2">
      <t>ジュンビ</t>
    </rPh>
    <rPh sb="2" eb="4">
      <t>キキン</t>
    </rPh>
    <rPh sb="4" eb="5">
      <t>ト</t>
    </rPh>
    <rPh sb="5" eb="6">
      <t>クズ</t>
    </rPh>
    <rPh sb="6" eb="7">
      <t>ガク</t>
    </rPh>
    <phoneticPr fontId="8"/>
  </si>
  <si>
    <t>準備基金取崩割合</t>
    <rPh sb="0" eb="2">
      <t>ジュンビ</t>
    </rPh>
    <rPh sb="2" eb="4">
      <t>キキン</t>
    </rPh>
    <rPh sb="4" eb="5">
      <t>ト</t>
    </rPh>
    <rPh sb="5" eb="6">
      <t>クズ</t>
    </rPh>
    <rPh sb="6" eb="8">
      <t>ワリアイ</t>
    </rPh>
    <phoneticPr fontId="8"/>
  </si>
  <si>
    <t>財政安定化基金拠出金見込額の影響額</t>
    <rPh sb="0" eb="2">
      <t>ザイセイ</t>
    </rPh>
    <rPh sb="2" eb="5">
      <t>アンテイカ</t>
    </rPh>
    <rPh sb="5" eb="7">
      <t>キキン</t>
    </rPh>
    <rPh sb="7" eb="10">
      <t>キョシュツキン</t>
    </rPh>
    <rPh sb="10" eb="12">
      <t>ミコ</t>
    </rPh>
    <rPh sb="12" eb="13">
      <t>ガク</t>
    </rPh>
    <rPh sb="14" eb="17">
      <t>エイキョウガク</t>
    </rPh>
    <phoneticPr fontId="8"/>
  </si>
  <si>
    <t>財政安定化基金拠出金見込額</t>
    <rPh sb="0" eb="2">
      <t>ザイセイ</t>
    </rPh>
    <rPh sb="2" eb="5">
      <t>アンテイカ</t>
    </rPh>
    <rPh sb="5" eb="7">
      <t>キキン</t>
    </rPh>
    <rPh sb="7" eb="10">
      <t>キョシュツキン</t>
    </rPh>
    <rPh sb="10" eb="12">
      <t>ミコミ</t>
    </rPh>
    <rPh sb="12" eb="13">
      <t>ガク</t>
    </rPh>
    <phoneticPr fontId="8"/>
  </si>
  <si>
    <t>財政安定化基金拠出率</t>
    <rPh sb="0" eb="2">
      <t>ザイセイ</t>
    </rPh>
    <rPh sb="2" eb="5">
      <t>アンテイカ</t>
    </rPh>
    <rPh sb="5" eb="7">
      <t>キキン</t>
    </rPh>
    <rPh sb="7" eb="9">
      <t>キョシュツ</t>
    </rPh>
    <rPh sb="9" eb="10">
      <t>リツ</t>
    </rPh>
    <phoneticPr fontId="3"/>
  </si>
  <si>
    <t>財政安定化基金償還金の影響額</t>
    <rPh sb="0" eb="2">
      <t>ザイセイ</t>
    </rPh>
    <rPh sb="2" eb="5">
      <t>アンテイカ</t>
    </rPh>
    <rPh sb="5" eb="7">
      <t>キキン</t>
    </rPh>
    <rPh sb="7" eb="10">
      <t>ショウカンキン</t>
    </rPh>
    <rPh sb="11" eb="14">
      <t>エイキョウガク</t>
    </rPh>
    <phoneticPr fontId="8"/>
  </si>
  <si>
    <t>財政安定化基金償還金</t>
    <rPh sb="0" eb="2">
      <t>ザイセイ</t>
    </rPh>
    <rPh sb="2" eb="5">
      <t>アンテイカ</t>
    </rPh>
    <rPh sb="5" eb="7">
      <t>キキン</t>
    </rPh>
    <rPh sb="7" eb="10">
      <t>ショウカンキン</t>
    </rPh>
    <phoneticPr fontId="8"/>
  </si>
  <si>
    <t>３．保険料設定を弾力化した場合の保険料額の指標</t>
    <rPh sb="2" eb="5">
      <t>ホケンリョウ</t>
    </rPh>
    <rPh sb="5" eb="7">
      <t>セッテイ</t>
    </rPh>
    <rPh sb="8" eb="11">
      <t>ダンリョクカ</t>
    </rPh>
    <rPh sb="13" eb="15">
      <t>バアイ</t>
    </rPh>
    <rPh sb="16" eb="19">
      <t>ホケンリョウ</t>
    </rPh>
    <rPh sb="19" eb="20">
      <t>ガク</t>
    </rPh>
    <rPh sb="21" eb="23">
      <t>シヒョウ</t>
    </rPh>
    <phoneticPr fontId="3"/>
  </si>
  <si>
    <t>４　介護保険料基準額（月額）の内訳</t>
    <rPh sb="2" eb="4">
      <t>カイゴ</t>
    </rPh>
    <rPh sb="4" eb="6">
      <t>ホケン</t>
    </rPh>
    <rPh sb="6" eb="7">
      <t>リョウ</t>
    </rPh>
    <rPh sb="7" eb="10">
      <t>キジュンガク</t>
    </rPh>
    <rPh sb="11" eb="12">
      <t>ガツ</t>
    </rPh>
    <rPh sb="12" eb="13">
      <t>ガク</t>
    </rPh>
    <rPh sb="15" eb="17">
      <t>ウチワケ</t>
    </rPh>
    <phoneticPr fontId="3"/>
  </si>
  <si>
    <t>構成比</t>
    <rPh sb="0" eb="3">
      <t>コウセイヒ</t>
    </rPh>
    <phoneticPr fontId="8"/>
  </si>
  <si>
    <t>在宅サービス</t>
    <rPh sb="0" eb="2">
      <t>ザイタク</t>
    </rPh>
    <phoneticPr fontId="3"/>
  </si>
  <si>
    <t>居住系サービス</t>
    <rPh sb="0" eb="2">
      <t>キョジュウ</t>
    </rPh>
    <rPh sb="2" eb="3">
      <t>ケイ</t>
    </rPh>
    <phoneticPr fontId="3"/>
  </si>
  <si>
    <t>施設サービス</t>
    <rPh sb="0" eb="2">
      <t>シセツ</t>
    </rPh>
    <phoneticPr fontId="3"/>
  </si>
  <si>
    <t>基準保険料額（月額）</t>
    <rPh sb="0" eb="2">
      <t>キジュン</t>
    </rPh>
    <rPh sb="2" eb="5">
      <t>ホケンリョウ</t>
    </rPh>
    <rPh sb="5" eb="6">
      <t>ガク</t>
    </rPh>
    <rPh sb="7" eb="9">
      <t>ゲツガク</t>
    </rPh>
    <phoneticPr fontId="8"/>
  </si>
  <si>
    <t>（弾力化した場合）</t>
    <rPh sb="1" eb="4">
      <t>ダンリョクカ</t>
    </rPh>
    <rPh sb="6" eb="8">
      <t>バアイ</t>
    </rPh>
    <phoneticPr fontId="3"/>
  </si>
  <si>
    <t>５．保険料収納必要額関係</t>
    <rPh sb="2" eb="5">
      <t>ホケンリョウ</t>
    </rPh>
    <rPh sb="5" eb="7">
      <t>シュウノウ</t>
    </rPh>
    <rPh sb="7" eb="9">
      <t>ヒツヨウ</t>
    </rPh>
    <rPh sb="9" eb="10">
      <t>ガク</t>
    </rPh>
    <rPh sb="10" eb="12">
      <t>カンケイ</t>
    </rPh>
    <phoneticPr fontId="3"/>
  </si>
  <si>
    <t>合計</t>
    <rPh sb="0" eb="2">
      <t>ゴウケイ</t>
    </rPh>
    <phoneticPr fontId="3"/>
  </si>
  <si>
    <t>高額医療合算介護サービス費等給付額</t>
    <rPh sb="0" eb="2">
      <t>コウガク</t>
    </rPh>
    <rPh sb="2" eb="4">
      <t>イリョウ</t>
    </rPh>
    <rPh sb="4" eb="6">
      <t>ガッサン</t>
    </rPh>
    <rPh sb="6" eb="8">
      <t>カイゴ</t>
    </rPh>
    <rPh sb="12" eb="14">
      <t>ヒトウ</t>
    </rPh>
    <rPh sb="14" eb="16">
      <t>キュウフ</t>
    </rPh>
    <rPh sb="16" eb="17">
      <t>ガク</t>
    </rPh>
    <phoneticPr fontId="8"/>
  </si>
  <si>
    <t>算定対象審査支払手数料</t>
    <rPh sb="0" eb="2">
      <t>サンテイ</t>
    </rPh>
    <rPh sb="2" eb="4">
      <t>タイショウ</t>
    </rPh>
    <rPh sb="4" eb="6">
      <t>シンサ</t>
    </rPh>
    <rPh sb="6" eb="8">
      <t>シハライ</t>
    </rPh>
    <rPh sb="8" eb="11">
      <t>テスウリョウ</t>
    </rPh>
    <phoneticPr fontId="8"/>
  </si>
  <si>
    <t>介護予防・日常生活支援総合事業費</t>
    <rPh sb="0" eb="2">
      <t>カイゴ</t>
    </rPh>
    <rPh sb="2" eb="4">
      <t>ヨボウ</t>
    </rPh>
    <rPh sb="5" eb="7">
      <t>ニチジョウ</t>
    </rPh>
    <rPh sb="7" eb="9">
      <t>セイカツ</t>
    </rPh>
    <rPh sb="9" eb="11">
      <t>シエン</t>
    </rPh>
    <rPh sb="11" eb="13">
      <t>ソウゴウ</t>
    </rPh>
    <rPh sb="13" eb="15">
      <t>ジギョウ</t>
    </rPh>
    <rPh sb="15" eb="16">
      <t>ヒ</t>
    </rPh>
    <phoneticPr fontId="3"/>
  </si>
  <si>
    <t>市町村特別給付費等</t>
    <rPh sb="0" eb="3">
      <t>シチョウソン</t>
    </rPh>
    <rPh sb="3" eb="5">
      <t>トクベツ</t>
    </rPh>
    <rPh sb="5" eb="7">
      <t>キュウフ</t>
    </rPh>
    <rPh sb="7" eb="8">
      <t>ヒ</t>
    </rPh>
    <rPh sb="8" eb="9">
      <t>ナド</t>
    </rPh>
    <phoneticPr fontId="8"/>
  </si>
  <si>
    <t>市町村相互財政安定化事業負担額</t>
    <rPh sb="0" eb="3">
      <t>シチョウソン</t>
    </rPh>
    <rPh sb="3" eb="5">
      <t>ソウゴ</t>
    </rPh>
    <rPh sb="5" eb="7">
      <t>ザイセイ</t>
    </rPh>
    <rPh sb="7" eb="10">
      <t>アンテイカ</t>
    </rPh>
    <rPh sb="10" eb="12">
      <t>ジギョウ</t>
    </rPh>
    <rPh sb="12" eb="14">
      <t>フタン</t>
    </rPh>
    <rPh sb="14" eb="15">
      <t>ガク</t>
    </rPh>
    <phoneticPr fontId="8"/>
  </si>
  <si>
    <t>予定保険料収納率</t>
    <rPh sb="0" eb="2">
      <t>ヨテイ</t>
    </rPh>
    <rPh sb="2" eb="5">
      <t>ホケンリョウ</t>
    </rPh>
    <rPh sb="5" eb="8">
      <t>シュウノウリツ</t>
    </rPh>
    <phoneticPr fontId="8"/>
  </si>
  <si>
    <t>６．第１号被保険者数関係</t>
    <rPh sb="2" eb="3">
      <t>ダイ</t>
    </rPh>
    <rPh sb="4" eb="5">
      <t>ゴウ</t>
    </rPh>
    <rPh sb="5" eb="9">
      <t>ヒホケンシャ</t>
    </rPh>
    <rPh sb="9" eb="10">
      <t>スウ</t>
    </rPh>
    <rPh sb="10" eb="12">
      <t>カンケイ</t>
    </rPh>
    <phoneticPr fontId="3"/>
  </si>
  <si>
    <t>第1号被保険者数</t>
    <rPh sb="0" eb="3">
      <t>ダイ１ゴウ</t>
    </rPh>
    <rPh sb="3" eb="7">
      <t>ヒホケンシャ</t>
    </rPh>
    <rPh sb="7" eb="8">
      <t>スウ</t>
    </rPh>
    <phoneticPr fontId="8"/>
  </si>
  <si>
    <t>前期(65～74歳)</t>
    <rPh sb="0" eb="2">
      <t>ゼンキ</t>
    </rPh>
    <rPh sb="8" eb="9">
      <t>サイ</t>
    </rPh>
    <phoneticPr fontId="8"/>
  </si>
  <si>
    <t>所得段階別加入割合</t>
    <rPh sb="0" eb="2">
      <t>ショトク</t>
    </rPh>
    <rPh sb="2" eb="4">
      <t>ダンカイ</t>
    </rPh>
    <rPh sb="4" eb="5">
      <t>ベツ</t>
    </rPh>
    <rPh sb="5" eb="7">
      <t>カニュウ</t>
    </rPh>
    <rPh sb="7" eb="9">
      <t>ワリアイ</t>
    </rPh>
    <phoneticPr fontId="8"/>
  </si>
  <si>
    <t>第1段階</t>
    <rPh sb="0" eb="4">
      <t>ダイ１ダンカイ</t>
    </rPh>
    <phoneticPr fontId="8"/>
  </si>
  <si>
    <t>第2段階</t>
    <rPh sb="0" eb="4">
      <t>ダイ２ダンカイ</t>
    </rPh>
    <phoneticPr fontId="8"/>
  </si>
  <si>
    <t>所得段階別被保険者数</t>
    <rPh sb="0" eb="2">
      <t>ショトク</t>
    </rPh>
    <rPh sb="2" eb="4">
      <t>ダンカイ</t>
    </rPh>
    <rPh sb="4" eb="5">
      <t>ベツ</t>
    </rPh>
    <rPh sb="5" eb="9">
      <t>ヒホケンシャ</t>
    </rPh>
    <rPh sb="9" eb="10">
      <t>スウ</t>
    </rPh>
    <phoneticPr fontId="8"/>
  </si>
  <si>
    <t>保険料設定を弾力化した場合の所得段階別加入割合</t>
    <rPh sb="0" eb="3">
      <t>ホケンリョウ</t>
    </rPh>
    <rPh sb="3" eb="5">
      <t>セッテイ</t>
    </rPh>
    <rPh sb="6" eb="9">
      <t>ダンリョクカ</t>
    </rPh>
    <rPh sb="11" eb="13">
      <t>バアイ</t>
    </rPh>
    <rPh sb="14" eb="16">
      <t>ショトク</t>
    </rPh>
    <rPh sb="16" eb="18">
      <t>ダンカイ</t>
    </rPh>
    <rPh sb="18" eb="19">
      <t>ベツ</t>
    </rPh>
    <rPh sb="19" eb="21">
      <t>カニュウ</t>
    </rPh>
    <rPh sb="21" eb="23">
      <t>ワリアイ</t>
    </rPh>
    <phoneticPr fontId="8"/>
  </si>
  <si>
    <t>第10段階</t>
    <rPh sb="0" eb="1">
      <t>ダイ</t>
    </rPh>
    <rPh sb="3" eb="5">
      <t>ダンカイ</t>
    </rPh>
    <phoneticPr fontId="8"/>
  </si>
  <si>
    <t>第11段階</t>
    <rPh sb="0" eb="1">
      <t>ダイ</t>
    </rPh>
    <rPh sb="3" eb="5">
      <t>ダンカイ</t>
    </rPh>
    <phoneticPr fontId="8"/>
  </si>
  <si>
    <t>第12段階</t>
    <rPh sb="0" eb="1">
      <t>ダイ</t>
    </rPh>
    <rPh sb="3" eb="5">
      <t>ダンカイ</t>
    </rPh>
    <phoneticPr fontId="8"/>
  </si>
  <si>
    <t>第13段階</t>
    <rPh sb="0" eb="1">
      <t>ダイ</t>
    </rPh>
    <rPh sb="3" eb="5">
      <t>ダンカイ</t>
    </rPh>
    <phoneticPr fontId="8"/>
  </si>
  <si>
    <t>第14段階</t>
    <rPh sb="0" eb="1">
      <t>ダイ</t>
    </rPh>
    <rPh sb="3" eb="5">
      <t>ダンカイ</t>
    </rPh>
    <phoneticPr fontId="8"/>
  </si>
  <si>
    <t>第15段階</t>
    <rPh sb="0" eb="1">
      <t>ダイ</t>
    </rPh>
    <rPh sb="3" eb="5">
      <t>ダンカイ</t>
    </rPh>
    <phoneticPr fontId="8"/>
  </si>
  <si>
    <t>第16段階</t>
    <rPh sb="0" eb="1">
      <t>ダイ</t>
    </rPh>
    <rPh sb="3" eb="5">
      <t>ダンカイ</t>
    </rPh>
    <phoneticPr fontId="8"/>
  </si>
  <si>
    <t>第17段階</t>
    <rPh sb="0" eb="1">
      <t>ダイ</t>
    </rPh>
    <rPh sb="3" eb="5">
      <t>ダンカイ</t>
    </rPh>
    <phoneticPr fontId="8"/>
  </si>
  <si>
    <t>第18段階</t>
    <rPh sb="0" eb="1">
      <t>ダイ</t>
    </rPh>
    <rPh sb="3" eb="5">
      <t>ダンカイ</t>
    </rPh>
    <phoneticPr fontId="8"/>
  </si>
  <si>
    <t>第19段階</t>
    <rPh sb="0" eb="1">
      <t>ダイ</t>
    </rPh>
    <rPh sb="3" eb="5">
      <t>ダンカイ</t>
    </rPh>
    <phoneticPr fontId="3"/>
  </si>
  <si>
    <t>第20段階</t>
    <rPh sb="0" eb="1">
      <t>ダイ</t>
    </rPh>
    <rPh sb="3" eb="5">
      <t>ダンカイ</t>
    </rPh>
    <phoneticPr fontId="3"/>
  </si>
  <si>
    <t>第21段階</t>
    <rPh sb="0" eb="1">
      <t>ダイ</t>
    </rPh>
    <rPh sb="3" eb="5">
      <t>ダンカイ</t>
    </rPh>
    <phoneticPr fontId="3"/>
  </si>
  <si>
    <t>第22段階</t>
    <rPh sb="0" eb="1">
      <t>ダイ</t>
    </rPh>
    <rPh sb="3" eb="5">
      <t>ダンカイ</t>
    </rPh>
    <phoneticPr fontId="3"/>
  </si>
  <si>
    <t>第23段階</t>
    <rPh sb="0" eb="1">
      <t>ダイ</t>
    </rPh>
    <rPh sb="3" eb="5">
      <t>ダンカイ</t>
    </rPh>
    <phoneticPr fontId="3"/>
  </si>
  <si>
    <t>第24段階</t>
    <rPh sb="0" eb="1">
      <t>ダイ</t>
    </rPh>
    <rPh sb="3" eb="5">
      <t>ダンカイ</t>
    </rPh>
    <phoneticPr fontId="3"/>
  </si>
  <si>
    <t>第25段階</t>
    <rPh sb="0" eb="1">
      <t>ダイ</t>
    </rPh>
    <rPh sb="3" eb="5">
      <t>ダンカイ</t>
    </rPh>
    <phoneticPr fontId="3"/>
  </si>
  <si>
    <t>保険料設定を弾力化した場合の所得段階別被保険者数</t>
    <rPh sb="0" eb="3">
      <t>ホケンリョウ</t>
    </rPh>
    <rPh sb="3" eb="5">
      <t>セッテイ</t>
    </rPh>
    <rPh sb="6" eb="9">
      <t>ダンリョクカ</t>
    </rPh>
    <rPh sb="11" eb="13">
      <t>バアイ</t>
    </rPh>
    <rPh sb="14" eb="16">
      <t>ショトク</t>
    </rPh>
    <rPh sb="16" eb="18">
      <t>ダンカイ</t>
    </rPh>
    <rPh sb="18" eb="19">
      <t>ベツ</t>
    </rPh>
    <rPh sb="19" eb="23">
      <t>ヒホケンシャ</t>
    </rPh>
    <rPh sb="23" eb="24">
      <t>スウ</t>
    </rPh>
    <phoneticPr fontId="8"/>
  </si>
  <si>
    <t>７．保険料弾力化関係係数</t>
    <rPh sb="2" eb="5">
      <t>ホケンリョウ</t>
    </rPh>
    <rPh sb="5" eb="8">
      <t>ダンリョクカ</t>
    </rPh>
    <rPh sb="8" eb="10">
      <t>カンケイ</t>
    </rPh>
    <rPh sb="10" eb="12">
      <t>ケイスウ</t>
    </rPh>
    <phoneticPr fontId="8"/>
  </si>
  <si>
    <t>保険料段階設定数</t>
    <rPh sb="0" eb="3">
      <t>ホケンリョウ</t>
    </rPh>
    <rPh sb="3" eb="5">
      <t>ダンカイ</t>
    </rPh>
    <rPh sb="5" eb="7">
      <t>セッテイ</t>
    </rPh>
    <rPh sb="7" eb="8">
      <t>スウ</t>
    </rPh>
    <phoneticPr fontId="8"/>
  </si>
  <si>
    <t>基準額に対する割合</t>
    <rPh sb="0" eb="3">
      <t>キジュンガク</t>
    </rPh>
    <rPh sb="4" eb="5">
      <t>タイ</t>
    </rPh>
    <rPh sb="7" eb="9">
      <t>ワリアイ</t>
    </rPh>
    <phoneticPr fontId="8"/>
  </si>
  <si>
    <t>第1段階</t>
    <rPh sb="0" eb="1">
      <t>ダイ</t>
    </rPh>
    <rPh sb="2" eb="4">
      <t>ダンカイ</t>
    </rPh>
    <phoneticPr fontId="8"/>
  </si>
  <si>
    <t>第2段階</t>
    <rPh sb="0" eb="1">
      <t>ダイ</t>
    </rPh>
    <rPh sb="2" eb="4">
      <t>ダンカイ</t>
    </rPh>
    <phoneticPr fontId="8"/>
  </si>
  <si>
    <t>第3段階</t>
    <rPh sb="0" eb="1">
      <t>ダイ</t>
    </rPh>
    <rPh sb="2" eb="4">
      <t>ダンカイ</t>
    </rPh>
    <phoneticPr fontId="8"/>
  </si>
  <si>
    <t>第4段階</t>
    <rPh sb="0" eb="1">
      <t>ダイ</t>
    </rPh>
    <rPh sb="2" eb="4">
      <t>ダンカイ</t>
    </rPh>
    <phoneticPr fontId="8"/>
  </si>
  <si>
    <t>第5段階</t>
    <rPh sb="0" eb="1">
      <t>ダイ</t>
    </rPh>
    <rPh sb="2" eb="4">
      <t>ダンカイ</t>
    </rPh>
    <phoneticPr fontId="8"/>
  </si>
  <si>
    <t>第6段階</t>
    <rPh sb="0" eb="1">
      <t>ダイ</t>
    </rPh>
    <rPh sb="2" eb="4">
      <t>ダンカイ</t>
    </rPh>
    <phoneticPr fontId="8"/>
  </si>
  <si>
    <t>第7段階</t>
    <rPh sb="0" eb="1">
      <t>ダイ</t>
    </rPh>
    <rPh sb="2" eb="4">
      <t>ダンカイ</t>
    </rPh>
    <phoneticPr fontId="8"/>
  </si>
  <si>
    <t>第8段階</t>
    <rPh sb="0" eb="1">
      <t>ダイ</t>
    </rPh>
    <rPh sb="2" eb="4">
      <t>ダンカイ</t>
    </rPh>
    <phoneticPr fontId="8"/>
  </si>
  <si>
    <t>第9段階</t>
    <rPh sb="0" eb="1">
      <t>ダイ</t>
    </rPh>
    <rPh sb="2" eb="4">
      <t>ダンカイ</t>
    </rPh>
    <phoneticPr fontId="8"/>
  </si>
  <si>
    <t>基準所得金額</t>
    <rPh sb="0" eb="2">
      <t>キジュン</t>
    </rPh>
    <rPh sb="2" eb="4">
      <t>ショトク</t>
    </rPh>
    <rPh sb="4" eb="6">
      <t>キンガク</t>
    </rPh>
    <phoneticPr fontId="8"/>
  </si>
  <si>
    <t>第6段階と第7段階を区分</t>
    <rPh sb="0" eb="1">
      <t>ダイ</t>
    </rPh>
    <rPh sb="2" eb="4">
      <t>ダンカイ</t>
    </rPh>
    <rPh sb="5" eb="6">
      <t>ダイ</t>
    </rPh>
    <rPh sb="7" eb="9">
      <t>ダンカイ</t>
    </rPh>
    <rPh sb="10" eb="12">
      <t>クブン</t>
    </rPh>
    <phoneticPr fontId="8"/>
  </si>
  <si>
    <t>第7段階と第8段階を区分</t>
    <rPh sb="0" eb="1">
      <t>ダイ</t>
    </rPh>
    <rPh sb="2" eb="4">
      <t>ダンカイ</t>
    </rPh>
    <rPh sb="5" eb="6">
      <t>ダイ</t>
    </rPh>
    <rPh sb="7" eb="9">
      <t>ダンカイ</t>
    </rPh>
    <rPh sb="10" eb="12">
      <t>クブン</t>
    </rPh>
    <phoneticPr fontId="8"/>
  </si>
  <si>
    <t>第8段階と第9段階を区分</t>
    <rPh sb="0" eb="1">
      <t>ダイ</t>
    </rPh>
    <rPh sb="2" eb="4">
      <t>ダンカイ</t>
    </rPh>
    <rPh sb="5" eb="6">
      <t>ダイ</t>
    </rPh>
    <rPh sb="7" eb="9">
      <t>ダンカイ</t>
    </rPh>
    <rPh sb="10" eb="12">
      <t>クブン</t>
    </rPh>
    <phoneticPr fontId="8"/>
  </si>
  <si>
    <t>第9段階と第10段階を区分</t>
    <rPh sb="0" eb="1">
      <t>ダイ</t>
    </rPh>
    <rPh sb="2" eb="4">
      <t>ダンカイ</t>
    </rPh>
    <rPh sb="5" eb="6">
      <t>ダイ</t>
    </rPh>
    <rPh sb="8" eb="10">
      <t>ダンカイ</t>
    </rPh>
    <rPh sb="11" eb="13">
      <t>クブン</t>
    </rPh>
    <phoneticPr fontId="8"/>
  </si>
  <si>
    <t>第10段階と第11段階を区分</t>
    <rPh sb="0" eb="1">
      <t>ダイ</t>
    </rPh>
    <rPh sb="3" eb="5">
      <t>ダンカイ</t>
    </rPh>
    <rPh sb="6" eb="7">
      <t>ダイ</t>
    </rPh>
    <rPh sb="9" eb="11">
      <t>ダンカイ</t>
    </rPh>
    <rPh sb="12" eb="14">
      <t>クブン</t>
    </rPh>
    <phoneticPr fontId="8"/>
  </si>
  <si>
    <t>第11段階と第12段階を区分</t>
    <rPh sb="0" eb="1">
      <t>ダイ</t>
    </rPh>
    <rPh sb="3" eb="5">
      <t>ダンカイ</t>
    </rPh>
    <rPh sb="6" eb="7">
      <t>ダイ</t>
    </rPh>
    <rPh sb="9" eb="11">
      <t>ダンカイ</t>
    </rPh>
    <rPh sb="12" eb="14">
      <t>クブン</t>
    </rPh>
    <phoneticPr fontId="8"/>
  </si>
  <si>
    <t>第12段階と第13段階を区分</t>
    <rPh sb="0" eb="1">
      <t>ダイ</t>
    </rPh>
    <rPh sb="3" eb="5">
      <t>ダンカイ</t>
    </rPh>
    <rPh sb="6" eb="7">
      <t>ダイ</t>
    </rPh>
    <rPh sb="9" eb="11">
      <t>ダンカイ</t>
    </rPh>
    <rPh sb="12" eb="14">
      <t>クブン</t>
    </rPh>
    <phoneticPr fontId="8"/>
  </si>
  <si>
    <t>第13段階と第14段階を区分</t>
    <rPh sb="0" eb="1">
      <t>ダイ</t>
    </rPh>
    <rPh sb="3" eb="5">
      <t>ダンカイ</t>
    </rPh>
    <rPh sb="6" eb="7">
      <t>ダイ</t>
    </rPh>
    <rPh sb="9" eb="11">
      <t>ダンカイ</t>
    </rPh>
    <rPh sb="12" eb="14">
      <t>クブン</t>
    </rPh>
    <phoneticPr fontId="8"/>
  </si>
  <si>
    <t>第14段階と第15段階を区分</t>
    <rPh sb="0" eb="1">
      <t>ダイ</t>
    </rPh>
    <rPh sb="3" eb="5">
      <t>ダンカイ</t>
    </rPh>
    <rPh sb="6" eb="7">
      <t>ダイ</t>
    </rPh>
    <rPh sb="9" eb="11">
      <t>ダンカイ</t>
    </rPh>
    <rPh sb="12" eb="14">
      <t>クブン</t>
    </rPh>
    <phoneticPr fontId="8"/>
  </si>
  <si>
    <t>第15段階と第16段階を区分</t>
    <rPh sb="0" eb="1">
      <t>ダイ</t>
    </rPh>
    <rPh sb="3" eb="5">
      <t>ダンカイ</t>
    </rPh>
    <rPh sb="6" eb="7">
      <t>ダイ</t>
    </rPh>
    <rPh sb="9" eb="11">
      <t>ダンカイ</t>
    </rPh>
    <rPh sb="12" eb="14">
      <t>クブン</t>
    </rPh>
    <phoneticPr fontId="8"/>
  </si>
  <si>
    <t>第16段階と第17段階を区分</t>
    <rPh sb="0" eb="1">
      <t>ダイ</t>
    </rPh>
    <rPh sb="3" eb="5">
      <t>ダンカイ</t>
    </rPh>
    <rPh sb="6" eb="7">
      <t>ダイ</t>
    </rPh>
    <rPh sb="9" eb="11">
      <t>ダンカイ</t>
    </rPh>
    <rPh sb="12" eb="14">
      <t>クブン</t>
    </rPh>
    <phoneticPr fontId="8"/>
  </si>
  <si>
    <t>第17段階と第18段階を区分</t>
    <rPh sb="0" eb="1">
      <t>ダイ</t>
    </rPh>
    <rPh sb="3" eb="5">
      <t>ダンカイ</t>
    </rPh>
    <rPh sb="6" eb="7">
      <t>ダイ</t>
    </rPh>
    <rPh sb="9" eb="11">
      <t>ダンカイ</t>
    </rPh>
    <rPh sb="12" eb="14">
      <t>クブン</t>
    </rPh>
    <phoneticPr fontId="8"/>
  </si>
  <si>
    <t>第18段階と第19段階を区分</t>
    <rPh sb="0" eb="1">
      <t>ダイ</t>
    </rPh>
    <rPh sb="3" eb="5">
      <t>ダンカイ</t>
    </rPh>
    <rPh sb="6" eb="7">
      <t>ダイ</t>
    </rPh>
    <rPh sb="9" eb="11">
      <t>ダンカイ</t>
    </rPh>
    <rPh sb="12" eb="14">
      <t>クブン</t>
    </rPh>
    <phoneticPr fontId="3"/>
  </si>
  <si>
    <t>第19段階と第20段階を区分</t>
    <rPh sb="0" eb="1">
      <t>ダイ</t>
    </rPh>
    <rPh sb="3" eb="5">
      <t>ダンカイ</t>
    </rPh>
    <rPh sb="6" eb="7">
      <t>ダイ</t>
    </rPh>
    <rPh sb="9" eb="11">
      <t>ダンカイ</t>
    </rPh>
    <rPh sb="12" eb="14">
      <t>クブン</t>
    </rPh>
    <phoneticPr fontId="3"/>
  </si>
  <si>
    <t>第20段階と第21段階を区分</t>
    <rPh sb="0" eb="1">
      <t>ダイ</t>
    </rPh>
    <rPh sb="3" eb="5">
      <t>ダンカイ</t>
    </rPh>
    <rPh sb="6" eb="7">
      <t>ダイ</t>
    </rPh>
    <rPh sb="9" eb="11">
      <t>ダンカイ</t>
    </rPh>
    <rPh sb="12" eb="14">
      <t>クブン</t>
    </rPh>
    <phoneticPr fontId="8"/>
  </si>
  <si>
    <t>第21段階と第22段階を区分</t>
    <rPh sb="0" eb="1">
      <t>ダイ</t>
    </rPh>
    <rPh sb="3" eb="5">
      <t>ダンカイ</t>
    </rPh>
    <rPh sb="6" eb="7">
      <t>ダイ</t>
    </rPh>
    <rPh sb="9" eb="11">
      <t>ダンカイ</t>
    </rPh>
    <rPh sb="12" eb="14">
      <t>クブン</t>
    </rPh>
    <phoneticPr fontId="8"/>
  </si>
  <si>
    <t>第22段階と第23段階を区分</t>
    <rPh sb="0" eb="1">
      <t>ダイ</t>
    </rPh>
    <rPh sb="3" eb="5">
      <t>ダンカイ</t>
    </rPh>
    <rPh sb="6" eb="7">
      <t>ダイ</t>
    </rPh>
    <rPh sb="9" eb="11">
      <t>ダンカイ</t>
    </rPh>
    <rPh sb="12" eb="14">
      <t>クブン</t>
    </rPh>
    <phoneticPr fontId="8"/>
  </si>
  <si>
    <t>第23段階と第24段階を区分</t>
    <rPh sb="0" eb="1">
      <t>ダイ</t>
    </rPh>
    <rPh sb="3" eb="5">
      <t>ダンカイ</t>
    </rPh>
    <rPh sb="6" eb="7">
      <t>ダイ</t>
    </rPh>
    <rPh sb="9" eb="11">
      <t>ダンカイ</t>
    </rPh>
    <rPh sb="12" eb="14">
      <t>クブン</t>
    </rPh>
    <phoneticPr fontId="8"/>
  </si>
  <si>
    <t>（参考）標準段階区分</t>
    <rPh sb="1" eb="3">
      <t>サンコウ</t>
    </rPh>
    <rPh sb="4" eb="6">
      <t>ヒョウジュン</t>
    </rPh>
    <rPh sb="6" eb="8">
      <t>ダンカイ</t>
    </rPh>
    <rPh sb="8" eb="10">
      <t>クブン</t>
    </rPh>
    <phoneticPr fontId="8"/>
  </si>
  <si>
    <t>３．総給付費</t>
    <rPh sb="2" eb="3">
      <t>ソウ</t>
    </rPh>
    <rPh sb="3" eb="5">
      <t>キュウフ</t>
    </rPh>
    <rPh sb="5" eb="6">
      <t>ヒ</t>
    </rPh>
    <phoneticPr fontId="3"/>
  </si>
  <si>
    <t>介護医療院</t>
    <phoneticPr fontId="8"/>
  </si>
  <si>
    <t>給付費（千円）</t>
    <phoneticPr fontId="8"/>
  </si>
  <si>
    <t>人数（人）</t>
    <phoneticPr fontId="8"/>
  </si>
  <si>
    <t>４．施設サービス利用者数</t>
    <rPh sb="2" eb="4">
      <t>シセツ</t>
    </rPh>
    <rPh sb="8" eb="10">
      <t>リヨウ</t>
    </rPh>
    <rPh sb="10" eb="11">
      <t>シャ</t>
    </rPh>
    <rPh sb="11" eb="12">
      <t>スウ</t>
    </rPh>
    <phoneticPr fontId="3"/>
  </si>
  <si>
    <t>うち要介護4・5（人）</t>
    <rPh sb="2" eb="5">
      <t>ヨウカイゴ</t>
    </rPh>
    <rPh sb="9" eb="10">
      <t>ニン</t>
    </rPh>
    <phoneticPr fontId="8"/>
  </si>
  <si>
    <t>うち要介護4・5の割合（％）</t>
    <rPh sb="2" eb="5">
      <t>ヨウカイゴ</t>
    </rPh>
    <rPh sb="9" eb="11">
      <t>ワリアイ</t>
    </rPh>
    <phoneticPr fontId="8"/>
  </si>
  <si>
    <t>後期(85歳～)</t>
  </si>
  <si>
    <t>第１号被保険者負担割合（%）</t>
    <phoneticPr fontId="3"/>
  </si>
  <si>
    <t>費用負担の見直しに伴う調整に係る係数（参考値）（未定）</t>
    <phoneticPr fontId="3"/>
  </si>
  <si>
    <t>後期(75歳～84歳)</t>
  </si>
  <si>
    <t>第6段階</t>
    <phoneticPr fontId="8"/>
  </si>
  <si>
    <t>第7段階</t>
    <phoneticPr fontId="3"/>
  </si>
  <si>
    <t>第8段階</t>
    <phoneticPr fontId="3"/>
  </si>
  <si>
    <t>第9段階</t>
    <phoneticPr fontId="8"/>
  </si>
  <si>
    <t>保険料基準額（月額）</t>
    <phoneticPr fontId="3"/>
  </si>
  <si>
    <t>審査支払手数料一件あたり単価</t>
    <phoneticPr fontId="4"/>
  </si>
  <si>
    <t>審査支払手数料支払件数</t>
    <phoneticPr fontId="3"/>
  </si>
  <si>
    <t>第6段階</t>
    <phoneticPr fontId="8"/>
  </si>
  <si>
    <t>第7段階</t>
    <phoneticPr fontId="3"/>
  </si>
  <si>
    <t>第8段階</t>
    <phoneticPr fontId="3"/>
  </si>
  <si>
    <t>第9段階</t>
    <phoneticPr fontId="8"/>
  </si>
  <si>
    <t>４．在宅サービス利用者数</t>
    <rPh sb="8" eb="10">
      <t>リヨウ</t>
    </rPh>
    <rPh sb="10" eb="11">
      <t>シャ</t>
    </rPh>
    <rPh sb="11" eb="12">
      <t>スウ</t>
    </rPh>
    <phoneticPr fontId="3"/>
  </si>
  <si>
    <t>後期(75歳～)</t>
    <phoneticPr fontId="3"/>
  </si>
  <si>
    <t>短期入所療養介護(介護医療院)</t>
    <rPh sb="0" eb="2">
      <t>タンキ</t>
    </rPh>
    <rPh sb="2" eb="4">
      <t>ニュウショ</t>
    </rPh>
    <rPh sb="4" eb="6">
      <t>リョウヨウ</t>
    </rPh>
    <rPh sb="6" eb="8">
      <t>カイゴ</t>
    </rPh>
    <rPh sb="9" eb="11">
      <t>カイゴ</t>
    </rPh>
    <rPh sb="11" eb="13">
      <t>イリョウ</t>
    </rPh>
    <rPh sb="13" eb="14">
      <t>イン</t>
    </rPh>
    <phoneticPr fontId="8"/>
  </si>
  <si>
    <t>調整交付金見込額の調整理由</t>
    <rPh sb="0" eb="2">
      <t>チョウセイ</t>
    </rPh>
    <rPh sb="2" eb="5">
      <t>コウフキン</t>
    </rPh>
    <rPh sb="5" eb="7">
      <t>ミコ</t>
    </rPh>
    <rPh sb="7" eb="8">
      <t>ガク</t>
    </rPh>
    <rPh sb="9" eb="11">
      <t>チョウセイ</t>
    </rPh>
    <rPh sb="11" eb="13">
      <t>リユウ</t>
    </rPh>
    <phoneticPr fontId="3"/>
  </si>
  <si>
    <t>認定者数</t>
    <phoneticPr fontId="3"/>
  </si>
  <si>
    <t>３．施設・居住系サービス利用者数</t>
    <phoneticPr fontId="3"/>
  </si>
  <si>
    <t>利用者数の設定内容</t>
    <rPh sb="0" eb="2">
      <t>リヨウ</t>
    </rPh>
    <rPh sb="2" eb="3">
      <t>シャ</t>
    </rPh>
    <rPh sb="3" eb="4">
      <t>スウ</t>
    </rPh>
    <rPh sb="5" eb="7">
      <t>セッテイ</t>
    </rPh>
    <rPh sb="7" eb="9">
      <t>ナイヨウ</t>
    </rPh>
    <phoneticPr fontId="3"/>
  </si>
  <si>
    <t>利用回(日)数の設定内容</t>
    <rPh sb="0" eb="2">
      <t>リヨウ</t>
    </rPh>
    <rPh sb="2" eb="3">
      <t>カイ</t>
    </rPh>
    <rPh sb="3" eb="6">
      <t>ニチ</t>
    </rPh>
    <rPh sb="6" eb="7">
      <t>カズ</t>
    </rPh>
    <rPh sb="8" eb="10">
      <t>セッテイ</t>
    </rPh>
    <rPh sb="10" eb="12">
      <t>ナイヨウ</t>
    </rPh>
    <phoneticPr fontId="3"/>
  </si>
  <si>
    <t>認定者数の設定内容</t>
    <phoneticPr fontId="3"/>
  </si>
  <si>
    <t>施設・居住系サービス利用者数</t>
    <phoneticPr fontId="3"/>
  </si>
  <si>
    <t>1人1月あたり給付費</t>
    <phoneticPr fontId="3"/>
  </si>
  <si>
    <t>在宅サービス利用者数</t>
    <phoneticPr fontId="3"/>
  </si>
  <si>
    <t>在宅サービス利用回(日)数</t>
    <phoneticPr fontId="3"/>
  </si>
  <si>
    <t>在宅サービス利用者数(利用率)</t>
    <phoneticPr fontId="3"/>
  </si>
  <si>
    <t>在宅サービス利用回(日)数</t>
    <phoneticPr fontId="3"/>
  </si>
  <si>
    <t>６．受給率</t>
    <rPh sb="2" eb="3">
      <t>ウ</t>
    </rPh>
    <rPh sb="3" eb="4">
      <t>キュウ</t>
    </rPh>
    <rPh sb="4" eb="5">
      <t>リツ</t>
    </rPh>
    <phoneticPr fontId="3"/>
  </si>
  <si>
    <t>在宅サービス受給率</t>
    <rPh sb="0" eb="2">
      <t>ザイタク</t>
    </rPh>
    <phoneticPr fontId="8"/>
  </si>
  <si>
    <t>施設・居住系サービス受給率</t>
    <rPh sb="0" eb="2">
      <t>シセツ</t>
    </rPh>
    <rPh sb="3" eb="5">
      <t>キョジュウ</t>
    </rPh>
    <rPh sb="5" eb="6">
      <t>ケイ</t>
    </rPh>
    <rPh sb="10" eb="12">
      <t>ジュキュウ</t>
    </rPh>
    <rPh sb="12" eb="13">
      <t>リツ</t>
    </rPh>
    <phoneticPr fontId="8"/>
  </si>
  <si>
    <t>　　　　　　　　　　　　　　　　　（補足）　在宅サービス受給率＝在宅サービス利用者数÷第1号被保険者数</t>
    <rPh sb="18" eb="20">
      <t>ホソク</t>
    </rPh>
    <rPh sb="38" eb="40">
      <t>リヨウ</t>
    </rPh>
    <rPh sb="40" eb="41">
      <t>シャ</t>
    </rPh>
    <rPh sb="41" eb="42">
      <t>スウ</t>
    </rPh>
    <rPh sb="43" eb="44">
      <t>ダイ</t>
    </rPh>
    <rPh sb="45" eb="46">
      <t>ゴウ</t>
    </rPh>
    <rPh sb="46" eb="50">
      <t>ヒホケンシャ</t>
    </rPh>
    <rPh sb="50" eb="51">
      <t>スウ</t>
    </rPh>
    <phoneticPr fontId="8"/>
  </si>
  <si>
    <t>　　　　　　　　　　　　                   　施設・居住系サービス受給率＝施設・居住系サービス利用者数÷第1号被保険者数</t>
    <rPh sb="56" eb="58">
      <t>リヨウ</t>
    </rPh>
    <rPh sb="58" eb="59">
      <t>シャ</t>
    </rPh>
    <rPh sb="59" eb="60">
      <t>スウ</t>
    </rPh>
    <rPh sb="61" eb="62">
      <t>ダイ</t>
    </rPh>
    <rPh sb="63" eb="64">
      <t>ゴウ</t>
    </rPh>
    <rPh sb="64" eb="68">
      <t>ヒホケンシャ</t>
    </rPh>
    <rPh sb="68" eb="69">
      <t>スウ</t>
    </rPh>
    <phoneticPr fontId="8"/>
  </si>
  <si>
    <t>７．介護保険料基準額（月額）</t>
    <rPh sb="2" eb="4">
      <t>カイゴ</t>
    </rPh>
    <rPh sb="4" eb="7">
      <t>ホケンリョウ</t>
    </rPh>
    <rPh sb="7" eb="9">
      <t>キジュン</t>
    </rPh>
    <rPh sb="9" eb="10">
      <t>ガク</t>
    </rPh>
    <rPh sb="11" eb="13">
      <t>ゲツガク</t>
    </rPh>
    <phoneticPr fontId="3"/>
  </si>
  <si>
    <t>８．介護保険料基準額（月額）の内訳</t>
    <rPh sb="2" eb="4">
      <t>カイゴ</t>
    </rPh>
    <rPh sb="4" eb="7">
      <t>ホケンリョウ</t>
    </rPh>
    <rPh sb="7" eb="9">
      <t>キジュン</t>
    </rPh>
    <rPh sb="9" eb="10">
      <t>ガク</t>
    </rPh>
    <rPh sb="11" eb="13">
      <t>ゲツガク</t>
    </rPh>
    <rPh sb="15" eb="17">
      <t>ウチワケ</t>
    </rPh>
    <phoneticPr fontId="3"/>
  </si>
  <si>
    <t>85歳未満後期高齢者加入割合</t>
    <phoneticPr fontId="3"/>
  </si>
  <si>
    <t>85歳以上後期高齢者加入割合</t>
    <phoneticPr fontId="3"/>
  </si>
  <si>
    <t>調整率</t>
    <rPh sb="0" eb="2">
      <t>チョウセイ</t>
    </rPh>
    <rPh sb="2" eb="3">
      <t>リツ</t>
    </rPh>
    <phoneticPr fontId="2"/>
  </si>
  <si>
    <t>特別調整交付金の交付見込額</t>
  </si>
  <si>
    <t>未使用</t>
    <rPh sb="0" eb="3">
      <t>ミシヨウ</t>
    </rPh>
    <phoneticPr fontId="8"/>
  </si>
  <si>
    <t>出力後に入力</t>
    <phoneticPr fontId="3"/>
  </si>
  <si>
    <t>介護予防短期入所療養介護(介護医療院)</t>
    <phoneticPr fontId="8"/>
  </si>
  <si>
    <t>2020/03/26</t>
  </si>
  <si>
    <t>前期高齢者の1人あたり給付費</t>
    <phoneticPr fontId="3"/>
  </si>
  <si>
    <t>85歳未満後期高齢者の1人あたり給付費</t>
    <phoneticPr fontId="3"/>
  </si>
  <si>
    <t>85歳以上後期高齢者の1人あたり給付費</t>
    <phoneticPr fontId="3"/>
  </si>
  <si>
    <t>特定入所者介護サービス費等給付額</t>
    <phoneticPr fontId="3"/>
  </si>
  <si>
    <t>特定入所者介護サービス費等給付額（財政影響額調整後）</t>
    <phoneticPr fontId="8"/>
  </si>
  <si>
    <t>高額介護サービス費等給付額</t>
    <phoneticPr fontId="3"/>
  </si>
  <si>
    <t>高額介護サービス費等給付額（財政影響額調整後）</t>
    <rPh sb="0" eb="2">
      <t>コウガク</t>
    </rPh>
    <rPh sb="2" eb="4">
      <t>カイゴ</t>
    </rPh>
    <rPh sb="8" eb="9">
      <t>ヒ</t>
    </rPh>
    <rPh sb="9" eb="10">
      <t>トウ</t>
    </rPh>
    <rPh sb="10" eb="13">
      <t>キュウフガク</t>
    </rPh>
    <rPh sb="14" eb="16">
      <t>ザイセイ</t>
    </rPh>
    <rPh sb="16" eb="19">
      <t>エイキョウガク</t>
    </rPh>
    <rPh sb="19" eb="22">
      <t>チョウセイゴ</t>
    </rPh>
    <phoneticPr fontId="8"/>
  </si>
  <si>
    <t>サービス種別・項目</t>
    <rPh sb="4" eb="6">
      <t>シュベツ</t>
    </rPh>
    <rPh sb="7" eb="9">
      <t>コウモク</t>
    </rPh>
    <phoneticPr fontId="3"/>
  </si>
  <si>
    <t>訪問介護相当サービス</t>
    <rPh sb="0" eb="2">
      <t>ホウモン</t>
    </rPh>
    <rPh sb="2" eb="4">
      <t>カイゴ</t>
    </rPh>
    <rPh sb="4" eb="6">
      <t>ソウトウ</t>
    </rPh>
    <phoneticPr fontId="3"/>
  </si>
  <si>
    <t>訪問型サービスA</t>
    <rPh sb="0" eb="2">
      <t>ホウモン</t>
    </rPh>
    <rPh sb="2" eb="3">
      <t>ガタ</t>
    </rPh>
    <phoneticPr fontId="3"/>
  </si>
  <si>
    <t>訪問型サービスB</t>
    <rPh sb="0" eb="2">
      <t>ホウモン</t>
    </rPh>
    <rPh sb="2" eb="3">
      <t>ガタ</t>
    </rPh>
    <phoneticPr fontId="3"/>
  </si>
  <si>
    <t>訪問型サービスC</t>
    <rPh sb="0" eb="2">
      <t>ホウモン</t>
    </rPh>
    <rPh sb="2" eb="3">
      <t>ガタ</t>
    </rPh>
    <phoneticPr fontId="3"/>
  </si>
  <si>
    <t>訪問型サービスD</t>
    <rPh sb="0" eb="2">
      <t>ホウモン</t>
    </rPh>
    <rPh sb="2" eb="3">
      <t>ガタ</t>
    </rPh>
    <phoneticPr fontId="3"/>
  </si>
  <si>
    <t>訪問型サービス(その他)</t>
    <rPh sb="0" eb="2">
      <t>ホウモン</t>
    </rPh>
    <rPh sb="2" eb="3">
      <t>ガタ</t>
    </rPh>
    <rPh sb="10" eb="11">
      <t>タ</t>
    </rPh>
    <phoneticPr fontId="3"/>
  </si>
  <si>
    <t>通所介護相当サービス</t>
    <rPh sb="2" eb="4">
      <t>カイゴ</t>
    </rPh>
    <rPh sb="4" eb="6">
      <t>ソウトウ</t>
    </rPh>
    <phoneticPr fontId="3"/>
  </si>
  <si>
    <t>通所型サービスA</t>
    <rPh sb="2" eb="3">
      <t>ガタ</t>
    </rPh>
    <phoneticPr fontId="3"/>
  </si>
  <si>
    <t>通所型サービスB</t>
    <rPh sb="2" eb="3">
      <t>ガタ</t>
    </rPh>
    <phoneticPr fontId="3"/>
  </si>
  <si>
    <t>通所型サービスC</t>
    <rPh sb="2" eb="3">
      <t>ガタ</t>
    </rPh>
    <phoneticPr fontId="3"/>
  </si>
  <si>
    <t>通所型サービス(その他)</t>
    <rPh sb="0" eb="2">
      <t>ツウショ</t>
    </rPh>
    <rPh sb="2" eb="3">
      <t>ガタ</t>
    </rPh>
    <rPh sb="10" eb="11">
      <t>タ</t>
    </rPh>
    <phoneticPr fontId="3"/>
  </si>
  <si>
    <t>栄養改善や見守りを目的とした配食</t>
    <rPh sb="0" eb="2">
      <t>エイヨウ</t>
    </rPh>
    <rPh sb="2" eb="4">
      <t>カイゼン</t>
    </rPh>
    <rPh sb="5" eb="7">
      <t>ミマモ</t>
    </rPh>
    <rPh sb="9" eb="11">
      <t>モクテキ</t>
    </rPh>
    <rPh sb="14" eb="16">
      <t>ハイショク</t>
    </rPh>
    <phoneticPr fontId="3"/>
  </si>
  <si>
    <t>定期的な安否確認、緊急時の対応、住民ボランティア等の見守り</t>
    <rPh sb="0" eb="3">
      <t>テイキテキ</t>
    </rPh>
    <rPh sb="4" eb="6">
      <t>アンピ</t>
    </rPh>
    <rPh sb="6" eb="8">
      <t>カクニン</t>
    </rPh>
    <rPh sb="9" eb="12">
      <t>キンキュウジ</t>
    </rPh>
    <rPh sb="13" eb="15">
      <t>タイオウ</t>
    </rPh>
    <rPh sb="16" eb="18">
      <t>ジュウミン</t>
    </rPh>
    <rPh sb="24" eb="25">
      <t>トウ</t>
    </rPh>
    <rPh sb="26" eb="28">
      <t>ミマモ</t>
    </rPh>
    <phoneticPr fontId="3"/>
  </si>
  <si>
    <t>その他、訪問型サービス・通所型サービスの一体的提供等</t>
    <rPh sb="2" eb="3">
      <t>タ</t>
    </rPh>
    <rPh sb="4" eb="6">
      <t>ホウモン</t>
    </rPh>
    <rPh sb="6" eb="7">
      <t>ガタ</t>
    </rPh>
    <rPh sb="12" eb="14">
      <t>ツウショ</t>
    </rPh>
    <rPh sb="14" eb="15">
      <t>ガタ</t>
    </rPh>
    <rPh sb="20" eb="23">
      <t>イッタイテキ</t>
    </rPh>
    <rPh sb="23" eb="25">
      <t>テイキョウ</t>
    </rPh>
    <rPh sb="25" eb="26">
      <t>ナド</t>
    </rPh>
    <phoneticPr fontId="3"/>
  </si>
  <si>
    <t>介護予防ケアマネジメント</t>
    <rPh sb="0" eb="2">
      <t>カイゴ</t>
    </rPh>
    <rPh sb="2" eb="4">
      <t>ヨボウ</t>
    </rPh>
    <phoneticPr fontId="3"/>
  </si>
  <si>
    <t>介護予防把握事業</t>
    <rPh sb="0" eb="2">
      <t>カイゴ</t>
    </rPh>
    <rPh sb="2" eb="4">
      <t>ヨボウ</t>
    </rPh>
    <rPh sb="4" eb="6">
      <t>ハアク</t>
    </rPh>
    <rPh sb="6" eb="8">
      <t>ジギョウ</t>
    </rPh>
    <phoneticPr fontId="3"/>
  </si>
  <si>
    <t>介護予防普及啓発事業</t>
    <rPh sb="0" eb="2">
      <t>カイゴ</t>
    </rPh>
    <rPh sb="2" eb="4">
      <t>ヨボウ</t>
    </rPh>
    <rPh sb="4" eb="6">
      <t>フキュウ</t>
    </rPh>
    <rPh sb="6" eb="8">
      <t>ケイハツ</t>
    </rPh>
    <rPh sb="8" eb="10">
      <t>ジギョウ</t>
    </rPh>
    <phoneticPr fontId="3"/>
  </si>
  <si>
    <t>地域介護予防活動支援事業</t>
    <rPh sb="0" eb="2">
      <t>チイキ</t>
    </rPh>
    <rPh sb="2" eb="4">
      <t>カイゴ</t>
    </rPh>
    <rPh sb="4" eb="6">
      <t>ヨボウ</t>
    </rPh>
    <rPh sb="6" eb="8">
      <t>カツドウ</t>
    </rPh>
    <rPh sb="8" eb="10">
      <t>シエン</t>
    </rPh>
    <rPh sb="10" eb="12">
      <t>ジギョウ</t>
    </rPh>
    <phoneticPr fontId="3"/>
  </si>
  <si>
    <t>一般介護予防事業評価事業</t>
    <rPh sb="0" eb="2">
      <t>イッパン</t>
    </rPh>
    <rPh sb="2" eb="4">
      <t>カイゴ</t>
    </rPh>
    <rPh sb="4" eb="6">
      <t>ヨボウ</t>
    </rPh>
    <rPh sb="6" eb="8">
      <t>ジギョウ</t>
    </rPh>
    <rPh sb="8" eb="10">
      <t>ヒョウカ</t>
    </rPh>
    <rPh sb="10" eb="12">
      <t>ジギョウ</t>
    </rPh>
    <phoneticPr fontId="3"/>
  </si>
  <si>
    <t>地域リハビリテーション活動支援事業</t>
    <rPh sb="0" eb="2">
      <t>チイキ</t>
    </rPh>
    <rPh sb="11" eb="13">
      <t>カツドウ</t>
    </rPh>
    <rPh sb="13" eb="15">
      <t>シエン</t>
    </rPh>
    <rPh sb="15" eb="17">
      <t>ジギョウ</t>
    </rPh>
    <phoneticPr fontId="3"/>
  </si>
  <si>
    <t>包括的支援事業(地域包括支援センターの運営)</t>
    <rPh sb="0" eb="2">
      <t>ホウカツ</t>
    </rPh>
    <rPh sb="2" eb="3">
      <t>テキ</t>
    </rPh>
    <rPh sb="3" eb="5">
      <t>シエン</t>
    </rPh>
    <rPh sb="5" eb="7">
      <t>ジギョウ</t>
    </rPh>
    <rPh sb="8" eb="10">
      <t>チイキ</t>
    </rPh>
    <rPh sb="10" eb="12">
      <t>ホウカツ</t>
    </rPh>
    <rPh sb="12" eb="14">
      <t>シエン</t>
    </rPh>
    <rPh sb="19" eb="21">
      <t>ウンエイ</t>
    </rPh>
    <phoneticPr fontId="3"/>
  </si>
  <si>
    <t>任意事業</t>
    <rPh sb="0" eb="2">
      <t>ニンイ</t>
    </rPh>
    <rPh sb="2" eb="4">
      <t>ジギョウ</t>
    </rPh>
    <phoneticPr fontId="3"/>
  </si>
  <si>
    <t>在宅医療・介護連携推進事業</t>
    <rPh sb="0" eb="2">
      <t>ザイタク</t>
    </rPh>
    <rPh sb="2" eb="4">
      <t>イリョウ</t>
    </rPh>
    <rPh sb="5" eb="7">
      <t>カイゴ</t>
    </rPh>
    <rPh sb="7" eb="9">
      <t>レンケイ</t>
    </rPh>
    <rPh sb="9" eb="11">
      <t>スイシン</t>
    </rPh>
    <rPh sb="11" eb="13">
      <t>ジギョウ</t>
    </rPh>
    <phoneticPr fontId="3"/>
  </si>
  <si>
    <t>生活支援体制整備事業</t>
    <rPh sb="0" eb="2">
      <t>セイカツ</t>
    </rPh>
    <rPh sb="2" eb="4">
      <t>シエン</t>
    </rPh>
    <rPh sb="4" eb="6">
      <t>タイセイ</t>
    </rPh>
    <rPh sb="6" eb="8">
      <t>セイビ</t>
    </rPh>
    <rPh sb="8" eb="10">
      <t>ジギョウ</t>
    </rPh>
    <phoneticPr fontId="3"/>
  </si>
  <si>
    <t>認知症初期集中支援推進事業</t>
    <rPh sb="0" eb="3">
      <t>ニンチショウ</t>
    </rPh>
    <rPh sb="3" eb="5">
      <t>ショキ</t>
    </rPh>
    <rPh sb="5" eb="7">
      <t>シュウチュウ</t>
    </rPh>
    <rPh sb="7" eb="9">
      <t>シエン</t>
    </rPh>
    <rPh sb="9" eb="11">
      <t>スイシン</t>
    </rPh>
    <rPh sb="11" eb="13">
      <t>ジギョウ</t>
    </rPh>
    <phoneticPr fontId="3"/>
  </si>
  <si>
    <t>認知症地域支援・ケア向上事業</t>
    <rPh sb="0" eb="3">
      <t>ニンチショウ</t>
    </rPh>
    <rPh sb="3" eb="5">
      <t>チイキ</t>
    </rPh>
    <rPh sb="5" eb="7">
      <t>シエン</t>
    </rPh>
    <rPh sb="10" eb="12">
      <t>コウジョウ</t>
    </rPh>
    <rPh sb="12" eb="14">
      <t>ジギョウ</t>
    </rPh>
    <phoneticPr fontId="3"/>
  </si>
  <si>
    <t>地域ケア会議推進事業</t>
    <rPh sb="0" eb="2">
      <t>チイキ</t>
    </rPh>
    <rPh sb="4" eb="6">
      <t>カイギ</t>
    </rPh>
    <rPh sb="6" eb="8">
      <t>スイシン</t>
    </rPh>
    <rPh sb="8" eb="10">
      <t>ジギョウ</t>
    </rPh>
    <phoneticPr fontId="3"/>
  </si>
  <si>
    <t>介護予防・日常生活支援総合事業費</t>
    <phoneticPr fontId="3"/>
  </si>
  <si>
    <t>包括的支援事業（社会保障充実分）</t>
    <phoneticPr fontId="3"/>
  </si>
  <si>
    <t>地域支援事業費</t>
    <rPh sb="0" eb="2">
      <t>チイキ</t>
    </rPh>
    <rPh sb="2" eb="4">
      <t>シエン</t>
    </rPh>
    <rPh sb="4" eb="7">
      <t>ジギョウヒ</t>
    </rPh>
    <phoneticPr fontId="3"/>
  </si>
  <si>
    <t>１．介護予防・日常生活支援総合事業</t>
    <rPh sb="2" eb="4">
      <t>カイゴ</t>
    </rPh>
    <rPh sb="4" eb="6">
      <t>ヨボウ</t>
    </rPh>
    <rPh sb="7" eb="9">
      <t>ニチジョウ</t>
    </rPh>
    <rPh sb="9" eb="11">
      <t>セイカツ</t>
    </rPh>
    <rPh sb="11" eb="13">
      <t>シエン</t>
    </rPh>
    <rPh sb="13" eb="15">
      <t>ソウゴウ</t>
    </rPh>
    <rPh sb="15" eb="17">
      <t>ジギョウ</t>
    </rPh>
    <phoneticPr fontId="3"/>
  </si>
  <si>
    <t>３．包括的支援事業（社会保障充実分）</t>
    <rPh sb="2" eb="5">
      <t>ホウカツテキ</t>
    </rPh>
    <rPh sb="5" eb="7">
      <t>シエン</t>
    </rPh>
    <rPh sb="7" eb="9">
      <t>ジギョウ</t>
    </rPh>
    <rPh sb="10" eb="12">
      <t>シャカイ</t>
    </rPh>
    <rPh sb="12" eb="14">
      <t>ホショウ</t>
    </rPh>
    <rPh sb="14" eb="16">
      <t>ジュウジツ</t>
    </rPh>
    <rPh sb="16" eb="17">
      <t>ブン</t>
    </rPh>
    <phoneticPr fontId="3"/>
  </si>
  <si>
    <t>包括的支援事業（社会保障充実分）</t>
    <rPh sb="0" eb="3">
      <t>ホウカツテキ</t>
    </rPh>
    <rPh sb="3" eb="5">
      <t>シエン</t>
    </rPh>
    <rPh sb="5" eb="7">
      <t>ジギョウ</t>
    </rPh>
    <rPh sb="8" eb="10">
      <t>シャカイ</t>
    </rPh>
    <rPh sb="10" eb="12">
      <t>ホショウ</t>
    </rPh>
    <rPh sb="12" eb="14">
      <t>ジュウジツ</t>
    </rPh>
    <rPh sb="14" eb="15">
      <t>ブン</t>
    </rPh>
    <phoneticPr fontId="3"/>
  </si>
  <si>
    <t>地域支援事業の施策反映の経緯</t>
    <rPh sb="7" eb="9">
      <t>シサク</t>
    </rPh>
    <rPh sb="9" eb="11">
      <t>ハンエイ</t>
    </rPh>
    <rPh sb="12" eb="14">
      <t>ケイイ</t>
    </rPh>
    <phoneticPr fontId="3"/>
  </si>
  <si>
    <t>５．地域支援事業の見込み量推計</t>
    <rPh sb="2" eb="4">
      <t>チイキ</t>
    </rPh>
    <rPh sb="4" eb="6">
      <t>シエン</t>
    </rPh>
    <rPh sb="6" eb="8">
      <t>ジギョウ</t>
    </rPh>
    <rPh sb="9" eb="11">
      <t>ミコ</t>
    </rPh>
    <rPh sb="12" eb="13">
      <t>リョウ</t>
    </rPh>
    <rPh sb="13" eb="15">
      <t>スイケイ</t>
    </rPh>
    <phoneticPr fontId="3"/>
  </si>
  <si>
    <t>（３）地域支援事業費</t>
    <rPh sb="3" eb="5">
      <t>チイキ</t>
    </rPh>
    <rPh sb="5" eb="7">
      <t>シエン</t>
    </rPh>
    <rPh sb="7" eb="10">
      <t>ジギョウヒ</t>
    </rPh>
    <phoneticPr fontId="8"/>
  </si>
  <si>
    <t>（４）施策反映の内容</t>
    <rPh sb="3" eb="5">
      <t>シサク</t>
    </rPh>
    <rPh sb="5" eb="7">
      <t>ハンエイ</t>
    </rPh>
    <rPh sb="8" eb="10">
      <t>ナイヨウ</t>
    </rPh>
    <phoneticPr fontId="3"/>
  </si>
  <si>
    <t>（５）第１号被保険者の保険料推計</t>
    <rPh sb="3" eb="4">
      <t>ダイ</t>
    </rPh>
    <rPh sb="5" eb="6">
      <t>ゴウ</t>
    </rPh>
    <rPh sb="6" eb="10">
      <t>ヒホケンシャ</t>
    </rPh>
    <rPh sb="11" eb="14">
      <t>ホケンリョウ</t>
    </rPh>
    <rPh sb="14" eb="16">
      <t>スイケイ</t>
    </rPh>
    <phoneticPr fontId="8"/>
  </si>
  <si>
    <t>(利用者数：人)</t>
  </si>
  <si>
    <t>(利用者数：人)</t>
    <rPh sb="1" eb="3">
      <t>リヨウ</t>
    </rPh>
    <rPh sb="3" eb="4">
      <t>シャ</t>
    </rPh>
    <rPh sb="4" eb="5">
      <t>スウ</t>
    </rPh>
    <rPh sb="6" eb="7">
      <t>ニン</t>
    </rPh>
    <phoneticPr fontId="3"/>
  </si>
  <si>
    <t>単位：円</t>
    <rPh sb="3" eb="4">
      <t>エン</t>
    </rPh>
    <phoneticPr fontId="3"/>
  </si>
  <si>
    <t>単位：円(括弧書きの数値を除く)</t>
    <rPh sb="3" eb="4">
      <t>エン</t>
    </rPh>
    <rPh sb="5" eb="7">
      <t>カッコ</t>
    </rPh>
    <rPh sb="7" eb="8">
      <t>ガ</t>
    </rPh>
    <rPh sb="10" eb="12">
      <t>スウチ</t>
    </rPh>
    <rPh sb="13" eb="14">
      <t>ノゾ</t>
    </rPh>
    <phoneticPr fontId="3"/>
  </si>
  <si>
    <t>※事業費は年間累計の金額。人数は１月当たりの利用者数。</t>
    <rPh sb="1" eb="3">
      <t>ジギョウ</t>
    </rPh>
    <phoneticPr fontId="3"/>
  </si>
  <si>
    <t>２．包括的支援事業（地域包括支援センターの運営）及び任意事業</t>
    <rPh sb="2" eb="5">
      <t>ホウカツテキ</t>
    </rPh>
    <rPh sb="5" eb="7">
      <t>シエン</t>
    </rPh>
    <rPh sb="7" eb="9">
      <t>ジギョウ</t>
    </rPh>
    <rPh sb="24" eb="25">
      <t>オヨ</t>
    </rPh>
    <rPh sb="26" eb="28">
      <t>ニンイ</t>
    </rPh>
    <rPh sb="28" eb="30">
      <t>ジギョウ</t>
    </rPh>
    <phoneticPr fontId="3"/>
  </si>
  <si>
    <t>包括的支援事業（地域包括支援センターの運営）及び任意事業費</t>
    <phoneticPr fontId="3"/>
  </si>
  <si>
    <r>
      <t>包括的支援事業</t>
    </r>
    <r>
      <rPr>
        <sz val="11"/>
        <rFont val="ＭＳ Ｐゴシック"/>
        <family val="3"/>
        <charset val="128"/>
        <scheme val="minor"/>
      </rPr>
      <t>（地域包括支援センターの運営）及び</t>
    </r>
    <r>
      <rPr>
        <sz val="11"/>
        <rFont val="ＭＳ Ｐゴシック"/>
        <family val="2"/>
        <charset val="128"/>
        <scheme val="minor"/>
      </rPr>
      <t>任意事業費</t>
    </r>
    <rPh sb="0" eb="3">
      <t>ホウカツテキ</t>
    </rPh>
    <rPh sb="3" eb="5">
      <t>シエン</t>
    </rPh>
    <rPh sb="5" eb="7">
      <t>ジギョウ</t>
    </rPh>
    <rPh sb="24" eb="26">
      <t>ニンイ</t>
    </rPh>
    <rPh sb="26" eb="29">
      <t>ジギョウヒ</t>
    </rPh>
    <phoneticPr fontId="3"/>
  </si>
  <si>
    <t>６．調整交付金見込額</t>
    <rPh sb="2" eb="4">
      <t>チョウセイ</t>
    </rPh>
    <rPh sb="4" eb="7">
      <t>コウフキン</t>
    </rPh>
    <rPh sb="7" eb="9">
      <t>ミコミ</t>
    </rPh>
    <rPh sb="9" eb="10">
      <t>ガク</t>
    </rPh>
    <phoneticPr fontId="3"/>
  </si>
  <si>
    <t>認知症サポーター活動促進・地域づくり推進事業</t>
    <phoneticPr fontId="3"/>
  </si>
  <si>
    <t>令和27年度</t>
  </si>
  <si>
    <t>令和22年度</t>
  </si>
  <si>
    <t>令和17年度</t>
  </si>
  <si>
    <t>R6</t>
  </si>
  <si>
    <t>R7</t>
  </si>
  <si>
    <t>R8</t>
  </si>
  <si>
    <t>R17</t>
  </si>
  <si>
    <t>R22</t>
  </si>
  <si>
    <t>R27</t>
  </si>
  <si>
    <t>単位：人</t>
    <phoneticPr fontId="8"/>
  </si>
  <si>
    <t>第10段階</t>
  </si>
  <si>
    <t>第11段階</t>
  </si>
  <si>
    <t>第12段階</t>
  </si>
  <si>
    <t>第8段階と第9段階を区分</t>
    <phoneticPr fontId="8"/>
  </si>
  <si>
    <t>第10段階と第11段階を区分</t>
    <phoneticPr fontId="3"/>
  </si>
  <si>
    <t>総給付費</t>
    <phoneticPr fontId="3"/>
  </si>
  <si>
    <t>総給付費（財政影響額調整後）</t>
    <rPh sb="5" eb="10">
      <t>ザイセイエイキョウガク</t>
    </rPh>
    <rPh sb="10" eb="13">
      <t>チョウセイゴ</t>
    </rPh>
    <phoneticPr fontId="8"/>
  </si>
  <si>
    <t>制度改正に伴う財政影響額</t>
    <rPh sb="0" eb="4">
      <t>セイドカイセイ</t>
    </rPh>
    <rPh sb="5" eb="6">
      <t>トモナ</t>
    </rPh>
    <phoneticPr fontId="3"/>
  </si>
  <si>
    <t>利用者負担の見直し等に伴う財政影響補正係数</t>
    <rPh sb="0" eb="3">
      <t>リヨウシャ</t>
    </rPh>
    <rPh sb="3" eb="5">
      <t>フタン</t>
    </rPh>
    <rPh sb="6" eb="8">
      <t>ミナオ</t>
    </rPh>
    <rPh sb="9" eb="10">
      <t>トウ</t>
    </rPh>
    <rPh sb="11" eb="12">
      <t>トモナ</t>
    </rPh>
    <rPh sb="13" eb="15">
      <t>ザイセイ</t>
    </rPh>
    <rPh sb="15" eb="17">
      <t>エイキョウ</t>
    </rPh>
    <rPh sb="17" eb="19">
      <t>ホセイ</t>
    </rPh>
    <rPh sb="19" eb="21">
      <t>ケイスウ</t>
    </rPh>
    <phoneticPr fontId="1"/>
  </si>
  <si>
    <t>特定入所者介護サービス費等に係る制度改正に伴う財政影響補正係数</t>
  </si>
  <si>
    <t>第13段階</t>
    <phoneticPr fontId="3"/>
  </si>
  <si>
    <t>第12段階</t>
    <phoneticPr fontId="3"/>
  </si>
  <si>
    <t>R32</t>
  </si>
  <si>
    <t>R11</t>
  </si>
  <si>
    <t>R10</t>
  </si>
  <si>
    <t>R9</t>
  </si>
  <si>
    <t>R9～R11</t>
  </si>
  <si>
    <t>令和32年度</t>
  </si>
  <si>
    <t>第10期介護保険事業（支援）計画策定に向けたワークシート
【総括表】</t>
    <rPh sb="30" eb="33">
      <t>ソウカツヒョウ</t>
    </rPh>
    <phoneticPr fontId="3"/>
  </si>
  <si>
    <t>第10期</t>
  </si>
  <si>
    <t>第10期</t>
    <rPh sb="0" eb="1">
      <t>ダイ</t>
    </rPh>
    <phoneticPr fontId="8"/>
  </si>
  <si>
    <t>第10期</t>
    <rPh sb="0" eb="1">
      <t>ダイ</t>
    </rPh>
    <phoneticPr fontId="3"/>
  </si>
  <si>
    <t>第9期</t>
    <rPh sb="0" eb="1">
      <t>ダイ</t>
    </rPh>
    <phoneticPr fontId="3"/>
  </si>
  <si>
    <t>保険料基準額の伸び率（％） （※当該保険料基準額/第9期保険料*100）</t>
    <rPh sb="16" eb="18">
      <t>トウガイ</t>
    </rPh>
    <rPh sb="18" eb="21">
      <t>ホケンリョウ</t>
    </rPh>
    <rPh sb="21" eb="24">
      <t>キジュンガク</t>
    </rPh>
    <rPh sb="25" eb="26">
      <t>ダイ</t>
    </rPh>
    <phoneticPr fontId="3"/>
  </si>
  <si>
    <t>１．９期保険料基準額</t>
    <rPh sb="4" eb="7">
      <t>ホケンリョウ</t>
    </rPh>
    <rPh sb="7" eb="10">
      <t>キジュンガク</t>
    </rPh>
    <phoneticPr fontId="3"/>
  </si>
  <si>
    <t>第９期保険料の基準額（月額）</t>
    <rPh sb="0" eb="1">
      <t>ダイ</t>
    </rPh>
    <rPh sb="3" eb="6">
      <t>ホケンリョウ</t>
    </rPh>
    <rPh sb="7" eb="9">
      <t>キジュン</t>
    </rPh>
    <rPh sb="9" eb="10">
      <t>ガク</t>
    </rPh>
    <rPh sb="11" eb="13">
      <t>ゲツガク</t>
    </rPh>
    <phoneticPr fontId="8"/>
  </si>
  <si>
    <t>保険料基準額の伸び率（％） （対９期保険料）</t>
    <rPh sb="0" eb="3">
      <t>ホケンリョウ</t>
    </rPh>
    <rPh sb="3" eb="6">
      <t>キジュンガク</t>
    </rPh>
    <rPh sb="7" eb="8">
      <t>ノ</t>
    </rPh>
    <rPh sb="9" eb="10">
      <t>リツ</t>
    </rPh>
    <rPh sb="15" eb="16">
      <t>タイ</t>
    </rPh>
    <rPh sb="18" eb="21">
      <t>ホケンリョウ</t>
    </rPh>
    <phoneticPr fontId="8"/>
  </si>
  <si>
    <t>保険料基準額の伸び率（％） （対９期保険料）</t>
    <rPh sb="0" eb="3">
      <t>ホケンリョウ</t>
    </rPh>
    <rPh sb="3" eb="6">
      <t>キジュンガク</t>
    </rPh>
    <rPh sb="7" eb="8">
      <t>ノ</t>
    </rPh>
    <rPh sb="9" eb="10">
      <t>リツ</t>
    </rPh>
    <phoneticPr fontId="8"/>
  </si>
  <si>
    <t>令和11年度</t>
    <rPh sb="0" eb="2">
      <t>レイワ</t>
    </rPh>
    <phoneticPr fontId="8"/>
  </si>
  <si>
    <t>令和10年度</t>
    <rPh sb="0" eb="2">
      <t>レイワ</t>
    </rPh>
    <phoneticPr fontId="8"/>
  </si>
  <si>
    <t>令和9年度</t>
    <rPh sb="0" eb="2">
      <t>レイワ</t>
    </rPh>
    <phoneticPr fontId="8"/>
  </si>
  <si>
    <t>令和8年度</t>
    <rPh sb="0" eb="2">
      <t>レイワ</t>
    </rPh>
    <phoneticPr fontId="8"/>
  </si>
  <si>
    <t>※１：第10期平均値/令和8年度の値*100</t>
  </si>
  <si>
    <t>※１：第10期平均値/令和8年度の値*100</t>
    <rPh sb="3" eb="4">
      <t>ダイ</t>
    </rPh>
    <rPh sb="7" eb="10">
      <t>ヘイキンチ</t>
    </rPh>
    <rPh sb="11" eb="13">
      <t>レイワ</t>
    </rPh>
    <rPh sb="17" eb="18">
      <t>アタイ</t>
    </rPh>
    <phoneticPr fontId="8"/>
  </si>
  <si>
    <t>令和7年度</t>
    <rPh sb="0" eb="1">
      <t>レイ</t>
    </rPh>
    <rPh sb="1" eb="2">
      <t>カズ</t>
    </rPh>
    <phoneticPr fontId="8"/>
  </si>
  <si>
    <t>令和6年度</t>
    <rPh sb="0" eb="2">
      <t>レイワ</t>
    </rPh>
    <phoneticPr fontId="8"/>
  </si>
  <si>
    <t>※左記グラフでは、在宅サービスおよび施設サービスの第1号被保険者1人あたりの給付月額のバランスについて、令和6年度～令和11年度の時系列推移を確認できます。</t>
    <rPh sb="1" eb="3">
      <t>サキ</t>
    </rPh>
    <rPh sb="9" eb="11">
      <t>ザイタク</t>
    </rPh>
    <rPh sb="18" eb="20">
      <t>シセツ</t>
    </rPh>
    <rPh sb="25" eb="26">
      <t>ダイ</t>
    </rPh>
    <rPh sb="27" eb="28">
      <t>ゴウ</t>
    </rPh>
    <rPh sb="28" eb="32">
      <t>ヒホケンジャ</t>
    </rPh>
    <rPh sb="33" eb="34">
      <t>ヒト</t>
    </rPh>
    <rPh sb="38" eb="42">
      <t>キュウフゲツガク</t>
    </rPh>
    <rPh sb="52" eb="54">
      <t>レイワ</t>
    </rPh>
    <rPh sb="58" eb="60">
      <t>レイワ</t>
    </rPh>
    <rPh sb="65" eb="70">
      <t>ジケイレツスイイ</t>
    </rPh>
    <rPh sb="71" eb="73">
      <t>カクニン</t>
    </rPh>
    <phoneticPr fontId="8"/>
  </si>
  <si>
    <t>※左記グラフでは、在宅サービスおよび施設・居住系サービス受給率のバランスについて、令和6年度～令和11年度の時系列推移を確認できます。</t>
    <rPh sb="1" eb="3">
      <t>サキ</t>
    </rPh>
    <rPh sb="9" eb="11">
      <t>ザイタク</t>
    </rPh>
    <rPh sb="18" eb="20">
      <t>シセツ</t>
    </rPh>
    <rPh sb="21" eb="23">
      <t>キョジュウ</t>
    </rPh>
    <rPh sb="23" eb="24">
      <t>ケイ</t>
    </rPh>
    <rPh sb="28" eb="30">
      <t>ジュキュウ</t>
    </rPh>
    <rPh sb="30" eb="31">
      <t>リツ</t>
    </rPh>
    <rPh sb="41" eb="43">
      <t>レイワ</t>
    </rPh>
    <rPh sb="47" eb="49">
      <t>レイワ</t>
    </rPh>
    <rPh sb="54" eb="59">
      <t>ジケイレツスイイ</t>
    </rPh>
    <rPh sb="60" eb="62">
      <t>カクニン</t>
    </rPh>
    <phoneticPr fontId="8"/>
  </si>
  <si>
    <t>第26段階</t>
    <rPh sb="0" eb="1">
      <t>ダイ</t>
    </rPh>
    <rPh sb="3" eb="5">
      <t>ダンカイ</t>
    </rPh>
    <phoneticPr fontId="3"/>
  </si>
  <si>
    <t>第27段階</t>
    <rPh sb="0" eb="1">
      <t>ダイ</t>
    </rPh>
    <rPh sb="3" eb="5">
      <t>ダンカイ</t>
    </rPh>
    <phoneticPr fontId="3"/>
  </si>
  <si>
    <t>第28段階</t>
    <rPh sb="0" eb="1">
      <t>ダイ</t>
    </rPh>
    <rPh sb="3" eb="5">
      <t>ダンカイ</t>
    </rPh>
    <phoneticPr fontId="3"/>
  </si>
  <si>
    <t>第29段階</t>
    <rPh sb="0" eb="1">
      <t>ダイ</t>
    </rPh>
    <rPh sb="3" eb="5">
      <t>ダンカイ</t>
    </rPh>
    <phoneticPr fontId="3"/>
  </si>
  <si>
    <t>第30段階</t>
    <rPh sb="0" eb="1">
      <t>ダイ</t>
    </rPh>
    <rPh sb="3" eb="5">
      <t>ダンカイ</t>
    </rPh>
    <phoneticPr fontId="3"/>
  </si>
  <si>
    <t>第24段階と第25段階を区分</t>
    <phoneticPr fontId="3"/>
  </si>
  <si>
    <t>第25段階と第26段階を区分</t>
    <phoneticPr fontId="3"/>
  </si>
  <si>
    <t>第26段階と第27段階を区分</t>
    <phoneticPr fontId="3"/>
  </si>
  <si>
    <t>第27段階と第28段階を区分</t>
    <phoneticPr fontId="3"/>
  </si>
  <si>
    <t>第28段階と第29段階を区分</t>
    <phoneticPr fontId="3"/>
  </si>
  <si>
    <t>第29段階と第30段階を区分</t>
    <phoneticPr fontId="3"/>
  </si>
  <si>
    <t>高額介護予防サービス相当事業等</t>
    <rPh sb="0" eb="2">
      <t>コウガク</t>
    </rPh>
    <rPh sb="2" eb="4">
      <t>カイゴ</t>
    </rPh>
    <rPh sb="4" eb="6">
      <t>ヨボウ</t>
    </rPh>
    <rPh sb="10" eb="12">
      <t>ソウトウ</t>
    </rPh>
    <rPh sb="12" eb="14">
      <t>ジギョウ</t>
    </rPh>
    <rPh sb="14" eb="15">
      <t>トウ</t>
    </rPh>
    <phoneticPr fontId="3"/>
  </si>
  <si>
    <t>審査支払手数料</t>
    <phoneticPr fontId="3"/>
  </si>
  <si>
    <t>令和12年度</t>
  </si>
  <si>
    <t>令和12年度</t>
    <phoneticPr fontId="8"/>
  </si>
  <si>
    <t>令和12年度</t>
    <rPh sb="5" eb="6">
      <t>ド</t>
    </rPh>
    <phoneticPr fontId="3"/>
  </si>
  <si>
    <t>令和12年度</t>
    <phoneticPr fontId="3"/>
  </si>
  <si>
    <t>令和17年度</t>
    <phoneticPr fontId="8"/>
  </si>
  <si>
    <t>令和17年度</t>
    <rPh sb="5" eb="6">
      <t>ド</t>
    </rPh>
    <phoneticPr fontId="3"/>
  </si>
  <si>
    <t>令和17年度</t>
    <phoneticPr fontId="3"/>
  </si>
  <si>
    <t>令和22年度</t>
    <phoneticPr fontId="8"/>
  </si>
  <si>
    <t>令和22年度</t>
    <rPh sb="5" eb="6">
      <t>ド</t>
    </rPh>
    <phoneticPr fontId="3"/>
  </si>
  <si>
    <t>令和22年度</t>
    <phoneticPr fontId="3"/>
  </si>
  <si>
    <t>令和27年度</t>
    <phoneticPr fontId="8"/>
  </si>
  <si>
    <t>令和27年度</t>
    <rPh sb="5" eb="6">
      <t>ド</t>
    </rPh>
    <phoneticPr fontId="3"/>
  </si>
  <si>
    <t>令和27年度</t>
    <phoneticPr fontId="3"/>
  </si>
  <si>
    <t>令和32年度</t>
    <phoneticPr fontId="8"/>
  </si>
  <si>
    <t>令和32年度</t>
    <rPh sb="5" eb="6">
      <t>ド</t>
    </rPh>
    <phoneticPr fontId="3"/>
  </si>
  <si>
    <t>令和32年度</t>
    <phoneticPr fontId="3"/>
  </si>
  <si>
    <t>R12</t>
  </si>
  <si>
    <t>※２：令和12（17,22,27,32）年度の値/令和8年度の値*100</t>
  </si>
  <si>
    <t>※２：令和12（17,22,27,32）年度の値/令和8年度の値*100</t>
    <rPh sb="20" eb="22">
      <t>ネンド</t>
    </rPh>
    <rPh sb="23" eb="24">
      <t>アタイ</t>
    </rPh>
    <rPh sb="25" eb="27">
      <t>レイワ</t>
    </rPh>
    <rPh sb="31" eb="32">
      <t>アタイ</t>
    </rPh>
    <phoneticPr fontId="8"/>
  </si>
  <si>
    <t>標準給付費見込額</t>
    <rPh sb="0" eb="2">
      <t>ヒョウジュン</t>
    </rPh>
    <rPh sb="2" eb="5">
      <t>キュウフヒ</t>
    </rPh>
    <rPh sb="5" eb="8">
      <t>ミコミガク</t>
    </rPh>
    <phoneticPr fontId="8"/>
  </si>
  <si>
    <t>審査支払手数料差引額</t>
    <rPh sb="7" eb="9">
      <t>サシヒキ</t>
    </rPh>
    <rPh sb="9" eb="10">
      <t>ガク</t>
    </rPh>
    <phoneticPr fontId="3"/>
  </si>
  <si>
    <t>第1号被保険者負担分相当額</t>
    <rPh sb="0" eb="1">
      <t>ダイ</t>
    </rPh>
    <rPh sb="2" eb="3">
      <t>ゴウ</t>
    </rPh>
    <rPh sb="3" eb="7">
      <t>ヒホケンシャ</t>
    </rPh>
    <rPh sb="7" eb="10">
      <t>フタンブン</t>
    </rPh>
    <rPh sb="10" eb="12">
      <t>ソウトウ</t>
    </rPh>
    <rPh sb="12" eb="13">
      <t>ガク</t>
    </rPh>
    <phoneticPr fontId="8"/>
  </si>
  <si>
    <t>調整交付金相当額</t>
    <rPh sb="0" eb="2">
      <t>チョウセイ</t>
    </rPh>
    <rPh sb="2" eb="5">
      <t>コウフキン</t>
    </rPh>
    <rPh sb="5" eb="7">
      <t>ソウトウ</t>
    </rPh>
    <rPh sb="7" eb="8">
      <t>ガク</t>
    </rPh>
    <phoneticPr fontId="8"/>
  </si>
  <si>
    <t>調整交付金見込額</t>
    <phoneticPr fontId="3"/>
  </si>
  <si>
    <t>調整交付金見込交付割合</t>
    <phoneticPr fontId="3"/>
  </si>
  <si>
    <t>後期高齢者加入割合補正係数</t>
    <phoneticPr fontId="3"/>
  </si>
  <si>
    <t>所得段階別加入割合補正係数</t>
    <phoneticPr fontId="3"/>
  </si>
  <si>
    <t>保険料収納必要額</t>
    <rPh sb="0" eb="3">
      <t>ホケンリョウ</t>
    </rPh>
    <rPh sb="3" eb="5">
      <t>シュウノウ</t>
    </rPh>
    <rPh sb="5" eb="8">
      <t>ヒツヨウガク</t>
    </rPh>
    <phoneticPr fontId="8"/>
  </si>
  <si>
    <t>所得段階別加入割合補正後被保険者数</t>
    <rPh sb="2" eb="5">
      <t>ダンカイベツ</t>
    </rPh>
    <rPh sb="5" eb="7">
      <t>カニュウ</t>
    </rPh>
    <rPh sb="7" eb="9">
      <t>ワリアイ</t>
    </rPh>
    <phoneticPr fontId="8"/>
  </si>
  <si>
    <t>弾力化をした場合の所得段階別加入割合補正後被保険者数</t>
    <rPh sb="0" eb="3">
      <t>ダンリョクカ</t>
    </rPh>
    <rPh sb="6" eb="8">
      <t>バアイ</t>
    </rPh>
    <rPh sb="11" eb="14">
      <t>ダンカイベツ</t>
    </rPh>
    <rPh sb="14" eb="16">
      <t>カニュウ</t>
    </rPh>
    <rPh sb="16" eb="18">
      <t>ワリアイ</t>
    </rPh>
    <phoneticPr fontId="8"/>
  </si>
  <si>
    <t>介護情報利活用事業</t>
    <rPh sb="0" eb="2">
      <t>カイゴ</t>
    </rPh>
    <rPh sb="2" eb="4">
      <t>ジョウホウ</t>
    </rPh>
    <rPh sb="4" eb="7">
      <t>リカツヨウ</t>
    </rPh>
    <rPh sb="7" eb="9">
      <t>ジギョウ</t>
    </rPh>
    <phoneticPr fontId="3"/>
  </si>
  <si>
    <t>介護情報利活用事業</t>
    <phoneticPr fontId="3"/>
  </si>
  <si>
    <t>介護情報利活用事業</t>
    <rPh sb="0" eb="4">
      <t>カイゴジョウホウ</t>
    </rPh>
    <rPh sb="4" eb="9">
      <t>リカツヨウジギョウ</t>
    </rPh>
    <phoneticPr fontId="3"/>
  </si>
  <si>
    <t>保険者機能強化推進交付金の交付見込額</t>
    <phoneticPr fontId="3"/>
  </si>
  <si>
    <t>（４）登録施設介護予防支援</t>
    <phoneticPr fontId="3"/>
  </si>
  <si>
    <t>（５）登録施設介護支援</t>
    <phoneticPr fontId="3"/>
  </si>
  <si>
    <t>制度改正による影響額</t>
    <phoneticPr fontId="3"/>
  </si>
  <si>
    <t>介護予防等の取組による影響額</t>
    <phoneticPr fontId="3"/>
  </si>
  <si>
    <t>介護給付適正化事業による影響額</t>
    <phoneticPr fontId="3"/>
  </si>
  <si>
    <t>不正・不当利得返還による影響額</t>
    <phoneticPr fontId="3"/>
  </si>
  <si>
    <t>４．特定地域居宅サービス等事業</t>
    <rPh sb="2" eb="4">
      <t>トクテイ</t>
    </rPh>
    <rPh sb="4" eb="6">
      <t>チイキ</t>
    </rPh>
    <rPh sb="6" eb="8">
      <t>キョタク</t>
    </rPh>
    <rPh sb="12" eb="13">
      <t>トウ</t>
    </rPh>
    <rPh sb="13" eb="15">
      <t>ジギョウ</t>
    </rPh>
    <phoneticPr fontId="3"/>
  </si>
  <si>
    <t>特定地域居宅サービス等事業</t>
    <rPh sb="0" eb="2">
      <t>トクテイ</t>
    </rPh>
    <rPh sb="2" eb="4">
      <t>チイキ</t>
    </rPh>
    <rPh sb="4" eb="6">
      <t>キョタク</t>
    </rPh>
    <rPh sb="10" eb="11">
      <t>トウ</t>
    </rPh>
    <rPh sb="11" eb="13">
      <t>ジギョウ</t>
    </rPh>
    <phoneticPr fontId="3"/>
  </si>
  <si>
    <t>５．介護情報利活用事業</t>
    <rPh sb="2" eb="6">
      <t>カイゴジョウホウ</t>
    </rPh>
    <rPh sb="6" eb="9">
      <t>リカツヨウ</t>
    </rPh>
    <rPh sb="9" eb="11">
      <t>ジギョウ</t>
    </rPh>
    <phoneticPr fontId="3"/>
  </si>
  <si>
    <t>６．地域支援事業費計</t>
    <rPh sb="2" eb="4">
      <t>チイキ</t>
    </rPh>
    <rPh sb="4" eb="6">
      <t>シエン</t>
    </rPh>
    <rPh sb="6" eb="9">
      <t>ジギョウヒ</t>
    </rPh>
    <rPh sb="9" eb="10">
      <t>ケイ</t>
    </rPh>
    <phoneticPr fontId="3"/>
  </si>
  <si>
    <t>介護予防・地域ささえあいサポート拠点事業</t>
    <rPh sb="0" eb="2">
      <t>カイゴ</t>
    </rPh>
    <rPh sb="2" eb="4">
      <t>ヨボウ</t>
    </rPh>
    <rPh sb="5" eb="7">
      <t>チイキ</t>
    </rPh>
    <rPh sb="16" eb="18">
      <t>キョテン</t>
    </rPh>
    <rPh sb="18" eb="20">
      <t>ジギョウ</t>
    </rPh>
    <phoneticPr fontId="3"/>
  </si>
  <si>
    <t>特定地域居宅サービス等事業</t>
    <phoneticPr fontId="3"/>
  </si>
  <si>
    <t>後期高齢者加入割合補正係数の算出に係る係数（全国値）　（仮置値）</t>
    <rPh sb="28" eb="30">
      <t>カリオ</t>
    </rPh>
    <rPh sb="30" eb="31">
      <t>チ</t>
    </rPh>
    <phoneticPr fontId="3"/>
  </si>
  <si>
    <t>所得段階別加入割合補正係数の算出に係る係数（全国値）（％）　（仮置値）</t>
    <rPh sb="0" eb="2">
      <t>ショトク</t>
    </rPh>
    <rPh sb="2" eb="4">
      <t>ダンカイ</t>
    </rPh>
    <rPh sb="4" eb="5">
      <t>ベツ</t>
    </rPh>
    <rPh sb="5" eb="7">
      <t>カニュウ</t>
    </rPh>
    <rPh sb="7" eb="9">
      <t>ワリアイ</t>
    </rPh>
    <rPh sb="9" eb="11">
      <t>ホセイ</t>
    </rPh>
    <rPh sb="11" eb="13">
      <t>ケイスウ</t>
    </rPh>
    <rPh sb="14" eb="16">
      <t>サンシュツ</t>
    </rPh>
    <rPh sb="17" eb="18">
      <t>カカ</t>
    </rPh>
    <rPh sb="19" eb="21">
      <t>ケイスウ</t>
    </rPh>
    <rPh sb="22" eb="24">
      <t>ゼンコク</t>
    </rPh>
    <rPh sb="24" eb="25">
      <t>チ</t>
    </rPh>
    <rPh sb="31" eb="33">
      <t>カリオ</t>
    </rPh>
    <rPh sb="33" eb="34">
      <t>アタイ</t>
    </rPh>
    <phoneticPr fontId="3"/>
  </si>
  <si>
    <t>2026/09/11</t>
  </si>
  <si>
    <t>川崎町</t>
  </si>
  <si>
    <t>04324</t>
  </si>
  <si>
    <t>性別／年齢５歳階級別／要介護度別に推計する　※初期値</t>
  </si>
  <si>
    <t>サービス別／要介護度別に推計する　※初期値</t>
  </si>
  <si>
    <t>当該市町村における令和６年度→令和７年度の伸び</t>
  </si>
  <si>
    <t>令和7年度</t>
  </si>
  <si>
    <t>令和8年度実績が少ない為</t>
  </si>
  <si>
    <t>令和8年度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</si>
</sst>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176" formatCode="#,##0_ "/>
    <numFmt numFmtId="177" formatCode="#,##0.0_ "/>
    <numFmt numFmtId="178" formatCode="0.000_);[Red]\(0.000\)"/>
    <numFmt numFmtId="179" formatCode="&quot;¥&quot;#,##0_);[Red]\(&quot;¥&quot;#,##0\)"/>
    <numFmt numFmtId="180" formatCode="0.0%"/>
    <numFmt numFmtId="181" formatCode="#,###&quot;円&quot;"/>
    <numFmt numFmtId="182" formatCode="#,##0_);[Red]\(#,##0\)"/>
    <numFmt numFmtId="183" formatCode="0.0000_);[Red]\(0.0000\)"/>
    <numFmt numFmtId="184" formatCode="#,##0.0000_ "/>
    <numFmt numFmtId="185" formatCode="0.00_ "/>
    <numFmt numFmtId="186" formatCode="0.000_ "/>
    <numFmt numFmtId="187" formatCode="#,##0.000000000_ "/>
    <numFmt numFmtId="188" formatCode="0.0000%"/>
    <numFmt numFmtId="189" formatCode="0.0_ "/>
    <numFmt numFmtId="190" formatCode="&quot;(&quot;#,##0_ &quot;)&quot;"/>
    <numFmt numFmtId="191" formatCode="#,##0.00_ "/>
    <numFmt numFmtId="192" formatCode="#,##0_ ;[Red]\-#,##0\ "/>
    <numFmt numFmtId="193" formatCode="0.0000_ "/>
  </numFmts>
  <fonts count="49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0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u/>
      <sz val="11"/>
      <color indexed="1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11"/>
      <color indexed="17"/>
      <name val="ＭＳ Ｐゴシック"/>
      <family val="3"/>
      <charset val="128"/>
    </font>
    <font>
      <sz val="11"/>
      <name val="ＭＳ ゴシック"/>
      <family val="3"/>
      <charset val="128"/>
    </font>
    <font>
      <sz val="10"/>
      <name val="ＭＳ Ｐゴシック"/>
      <family val="3"/>
      <charset val="128"/>
    </font>
    <font>
      <sz val="11"/>
      <name val="ＭＳ Ｐゴシック"/>
      <family val="2"/>
      <charset val="128"/>
      <scheme val="minor"/>
    </font>
    <font>
      <sz val="11"/>
      <name val="ＭＳ Ｐゴシック"/>
      <family val="2"/>
      <charset val="128"/>
    </font>
    <font>
      <sz val="8"/>
      <name val="ＭＳ Ｐゴシック"/>
      <family val="3"/>
      <charset val="128"/>
    </font>
    <font>
      <sz val="9"/>
      <name val="ＭＳ Ｐゴシック"/>
      <family val="3"/>
      <charset val="128"/>
    </font>
    <font>
      <sz val="16"/>
      <name val="ＤＦ特太ゴシック体"/>
      <family val="3"/>
      <charset val="128"/>
    </font>
    <font>
      <b/>
      <sz val="11"/>
      <name val="ＭＳ Ｐゴシック"/>
      <family val="3"/>
      <charset val="128"/>
      <scheme val="minor"/>
    </font>
    <font>
      <b/>
      <sz val="12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inor"/>
    </font>
    <font>
      <sz val="10"/>
      <name val="ＭＳ Ｐゴシック"/>
      <family val="2"/>
      <charset val="128"/>
      <scheme val="minor"/>
    </font>
    <font>
      <sz val="10"/>
      <name val="ＭＳ Ｐゴシック"/>
      <family val="3"/>
      <charset val="128"/>
      <scheme val="minor"/>
    </font>
    <font>
      <sz val="9"/>
      <name val="Meiryo UI"/>
      <family val="3"/>
      <charset val="128"/>
    </font>
    <font>
      <sz val="12"/>
      <name val="ＭＳ Ｐゴシック"/>
      <family val="3"/>
      <charset val="128"/>
      <scheme val="minor"/>
    </font>
    <font>
      <sz val="14"/>
      <name val="ＭＳ Ｐゴシック"/>
      <family val="2"/>
      <charset val="128"/>
      <scheme val="minor"/>
    </font>
    <font>
      <sz val="11"/>
      <name val="ＭＳ Ｐゴシック"/>
      <family val="3"/>
      <charset val="128"/>
      <scheme val="major"/>
    </font>
    <font>
      <b/>
      <sz val="12"/>
      <name val="ＭＳ Ｐゴシック"/>
      <family val="3"/>
      <charset val="128"/>
      <scheme val="major"/>
    </font>
    <font>
      <b/>
      <sz val="11"/>
      <name val="ＭＳ Ｐゴシック"/>
      <family val="3"/>
      <charset val="128"/>
      <scheme val="major"/>
    </font>
    <font>
      <b/>
      <sz val="9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sz val="11"/>
      <color rgb="FF000000"/>
      <name val="ＭＳ Ｐゴシック"/>
      <family val="3"/>
      <charset val="128"/>
      <scheme val="minor"/>
    </font>
    <font>
      <sz val="11"/>
      <color theme="0"/>
      <name val="ＭＳ Ｐゴシック"/>
      <family val="3"/>
      <charset val="128"/>
      <scheme val="minor"/>
    </font>
    <font>
      <sz val="11"/>
      <color theme="0"/>
      <name val="ＭＳ Ｐゴシック"/>
      <family val="3"/>
      <charset val="128"/>
    </font>
  </fonts>
  <fills count="3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DAEEF3"/>
        <bgColor indexed="64"/>
      </patternFill>
    </fill>
  </fills>
  <borders count="23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4"/>
      </top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 diagonalUp="1"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 style="thin">
        <color indexed="64"/>
      </diagonal>
    </border>
    <border diagonalUp="1"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 diagonalUp="1"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 diagonalUp="1">
      <left style="thin">
        <color indexed="64"/>
      </left>
      <right/>
      <top style="thin">
        <color indexed="64"/>
      </top>
      <bottom style="thin">
        <color indexed="64"/>
      </bottom>
      <diagonal style="thin">
        <color indexed="64"/>
      </diagonal>
    </border>
    <border diagonalUp="1">
      <left style="medium">
        <color indexed="64"/>
      </left>
      <right style="thin">
        <color indexed="64"/>
      </right>
      <top/>
      <bottom style="thin">
        <color indexed="64"/>
      </bottom>
      <diagonal style="thin">
        <color indexed="64"/>
      </diagonal>
    </border>
    <border diagonalUp="1">
      <left style="thin">
        <color indexed="64"/>
      </left>
      <right style="thin">
        <color indexed="64"/>
      </right>
      <top/>
      <bottom style="thin">
        <color indexed="64"/>
      </bottom>
      <diagonal style="thin">
        <color indexed="64"/>
      </diagonal>
    </border>
    <border diagonalUp="1">
      <left style="thin">
        <color indexed="64"/>
      </left>
      <right/>
      <top/>
      <bottom style="thin">
        <color indexed="64"/>
      </bottom>
      <diagonal style="thin">
        <color indexed="64"/>
      </diagonal>
    </border>
    <border diagonalUp="1">
      <left style="thin">
        <color indexed="64"/>
      </left>
      <right style="medium">
        <color indexed="64"/>
      </right>
      <top/>
      <bottom style="thin">
        <color indexed="64"/>
      </bottom>
      <diagonal style="thin">
        <color indexed="64"/>
      </diagonal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theme="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thin">
        <color theme="1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medium">
        <color auto="1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 diagonalUp="1">
      <left style="medium">
        <color indexed="64"/>
      </left>
      <right/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 diagonalUp="1"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 diagonalUp="1"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 diagonalUp="1">
      <left style="hair">
        <color indexed="64"/>
      </left>
      <right style="hair">
        <color indexed="64"/>
      </right>
      <top style="thin">
        <color indexed="64"/>
      </top>
      <bottom/>
      <diagonal style="thin">
        <color indexed="64"/>
      </diagonal>
    </border>
    <border diagonalUp="1">
      <left style="hair">
        <color indexed="64"/>
      </left>
      <right style="thin">
        <color indexed="64"/>
      </right>
      <top style="thin">
        <color indexed="64"/>
      </top>
      <bottom/>
      <diagonal style="thin">
        <color indexed="64"/>
      </diagonal>
    </border>
    <border diagonalUp="1"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 style="thin">
        <color indexed="64"/>
      </diagonal>
    </border>
    <border diagonalUp="1">
      <left style="hair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 style="thin">
        <color indexed="64"/>
      </diagonal>
    </border>
    <border diagonalUp="1">
      <left style="hair">
        <color indexed="64"/>
      </left>
      <right style="hair">
        <color indexed="64"/>
      </right>
      <top/>
      <bottom style="medium">
        <color indexed="64"/>
      </bottom>
      <diagonal style="thin">
        <color indexed="64"/>
      </diagonal>
    </border>
    <border diagonalUp="1">
      <left style="hair">
        <color indexed="64"/>
      </left>
      <right style="thin">
        <color indexed="64"/>
      </right>
      <top/>
      <bottom style="medium">
        <color indexed="64"/>
      </bottom>
      <diagonal style="thin">
        <color indexed="64"/>
      </diagonal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 diagonalUp="1"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 diagonalUp="1">
      <left style="hair">
        <color indexed="64"/>
      </left>
      <right style="hair">
        <color indexed="64"/>
      </right>
      <top style="thin">
        <color indexed="64"/>
      </top>
      <bottom style="medium">
        <color indexed="64"/>
      </bottom>
      <diagonal style="thin">
        <color indexed="64"/>
      </diagonal>
    </border>
    <border diagonalUp="1"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 style="thin">
        <color indexed="64"/>
      </diagonal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 diagonalUp="1"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 style="thin">
        <color indexed="64"/>
      </diagonal>
    </border>
    <border diagonalUp="1"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 style="thin">
        <color indexed="64"/>
      </diagonal>
    </border>
    <border>
      <left style="thin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hair">
        <color theme="1"/>
      </left>
      <right style="hair">
        <color theme="1"/>
      </right>
      <top style="thin">
        <color indexed="64"/>
      </top>
      <bottom style="thin">
        <color theme="1"/>
      </bottom>
      <diagonal/>
    </border>
    <border>
      <left style="hair">
        <color theme="1"/>
      </left>
      <right style="hair">
        <color theme="1"/>
      </right>
      <top style="thin">
        <color theme="1"/>
      </top>
      <bottom style="thin">
        <color theme="1"/>
      </bottom>
      <diagonal/>
    </border>
    <border>
      <left style="hair">
        <color theme="1"/>
      </left>
      <right style="thin">
        <color auto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auto="1"/>
      </bottom>
      <diagonal/>
    </border>
    <border>
      <left/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 style="thin">
        <color auto="1"/>
      </top>
      <bottom/>
      <diagonal/>
    </border>
    <border>
      <left/>
      <right style="medium">
        <color theme="1"/>
      </right>
      <top style="thin">
        <color theme="1"/>
      </top>
      <bottom style="thin">
        <color auto="1"/>
      </bottom>
      <diagonal/>
    </border>
    <border>
      <left/>
      <right style="medium">
        <color theme="1"/>
      </right>
      <top style="thin">
        <color auto="1"/>
      </top>
      <bottom style="thin">
        <color auto="1"/>
      </bottom>
      <diagonal/>
    </border>
    <border>
      <left style="medium">
        <color theme="1"/>
      </left>
      <right style="thin">
        <color indexed="64"/>
      </right>
      <top/>
      <bottom/>
      <diagonal/>
    </border>
    <border>
      <left style="medium">
        <color theme="1"/>
      </left>
      <right style="thin">
        <color indexed="64"/>
      </right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theme="1"/>
      </top>
      <bottom style="thin">
        <color theme="1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theme="1"/>
      </top>
      <bottom/>
      <diagonal/>
    </border>
    <border>
      <left/>
      <right style="medium">
        <color theme="1"/>
      </right>
      <top style="thin">
        <color theme="1"/>
      </top>
      <bottom/>
      <diagonal/>
    </border>
    <border>
      <left style="medium">
        <color indexed="64"/>
      </left>
      <right style="thin">
        <color theme="1"/>
      </right>
      <top style="medium">
        <color indexed="64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medium">
        <color theme="1"/>
      </bottom>
      <diagonal/>
    </border>
    <border>
      <left style="medium">
        <color indexed="64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indexed="64"/>
      </left>
      <right style="medium">
        <color indexed="64"/>
      </right>
      <top style="medium">
        <color theme="1"/>
      </top>
      <bottom style="thin">
        <color theme="1"/>
      </bottom>
      <diagonal/>
    </border>
    <border>
      <left style="medium">
        <color indexed="64"/>
      </left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auto="1"/>
      </bottom>
      <diagonal/>
    </border>
    <border>
      <left/>
      <right style="medium">
        <color indexed="64"/>
      </right>
      <top style="dotted">
        <color indexed="64"/>
      </top>
      <bottom style="thin">
        <color auto="1"/>
      </bottom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 style="thin">
        <color indexed="64"/>
      </diagonal>
    </border>
    <border>
      <left style="hair">
        <color indexed="64"/>
      </left>
      <right style="hair">
        <color indexed="64"/>
      </right>
      <top style="thin">
        <color theme="1"/>
      </top>
      <bottom style="thin">
        <color theme="1"/>
      </bottom>
      <diagonal/>
    </border>
    <border>
      <left style="hair">
        <color indexed="64"/>
      </left>
      <right style="thin">
        <color indexed="64"/>
      </right>
      <top style="thin">
        <color theme="1"/>
      </top>
      <bottom style="thin">
        <color theme="1"/>
      </bottom>
      <diagonal/>
    </border>
    <border diagonalUp="1">
      <left style="hair">
        <color theme="1"/>
      </left>
      <right style="hair">
        <color theme="1"/>
      </right>
      <top style="thin">
        <color theme="1"/>
      </top>
      <bottom style="thin">
        <color theme="1"/>
      </bottom>
      <diagonal style="thin">
        <color theme="1"/>
      </diagonal>
    </border>
    <border diagonalUp="1">
      <left style="thin">
        <color indexed="64"/>
      </left>
      <right style="thin">
        <color indexed="64"/>
      </right>
      <top style="thin">
        <color theme="1"/>
      </top>
      <bottom style="thin">
        <color theme="1"/>
      </bottom>
      <diagonal style="thin">
        <color theme="1"/>
      </diagonal>
    </border>
    <border>
      <left style="hair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theme="1"/>
      </top>
      <bottom style="thin">
        <color theme="1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indexed="64"/>
      </right>
      <top style="medium">
        <color indexed="64"/>
      </top>
      <bottom style="medium">
        <color theme="1"/>
      </bottom>
      <diagonal/>
    </border>
    <border>
      <left style="thin">
        <color theme="1"/>
      </left>
      <right style="thin">
        <color indexed="64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1"/>
      </bottom>
      <diagonal/>
    </border>
    <border>
      <left style="thin">
        <color indexed="64"/>
      </left>
      <right style="medium">
        <color indexed="64"/>
      </right>
      <top style="thin">
        <color theme="1"/>
      </top>
      <bottom style="thin">
        <color theme="1"/>
      </bottom>
      <diagonal/>
    </border>
    <border diagonalUp="1">
      <left style="thin">
        <color indexed="64"/>
      </left>
      <right style="medium">
        <color indexed="64"/>
      </right>
      <top style="thin">
        <color theme="1"/>
      </top>
      <bottom style="thin">
        <color theme="1"/>
      </bottom>
      <diagonal style="thin">
        <color theme="1"/>
      </diagonal>
    </border>
    <border>
      <left style="medium">
        <color theme="1"/>
      </left>
      <right/>
      <top style="thin">
        <color indexed="64"/>
      </top>
      <bottom style="thin">
        <color theme="1"/>
      </bottom>
      <diagonal/>
    </border>
    <border diagonalUp="1">
      <left style="medium">
        <color theme="1"/>
      </left>
      <right/>
      <top style="thin">
        <color theme="1"/>
      </top>
      <bottom style="thin">
        <color theme="1"/>
      </bottom>
      <diagonal style="thin">
        <color theme="1"/>
      </diagonal>
    </border>
    <border>
      <left style="hair">
        <color indexed="64"/>
      </left>
      <right style="hair">
        <color theme="1"/>
      </right>
      <top style="thin">
        <color indexed="64"/>
      </top>
      <bottom style="thin">
        <color theme="1"/>
      </bottom>
      <diagonal/>
    </border>
    <border>
      <left style="hair">
        <color theme="1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 style="hair">
        <color indexed="64"/>
      </left>
      <right style="hair">
        <color theme="1"/>
      </right>
      <top style="thin">
        <color theme="1"/>
      </top>
      <bottom style="thin">
        <color theme="1"/>
      </bottom>
      <diagonal/>
    </border>
    <border diagonalUp="1">
      <left style="hair">
        <color indexed="64"/>
      </left>
      <right style="hair">
        <color theme="1"/>
      </right>
      <top style="thin">
        <color theme="1"/>
      </top>
      <bottom style="thin">
        <color theme="1"/>
      </bottom>
      <diagonal style="thin">
        <color theme="1"/>
      </diagonal>
    </border>
    <border diagonalUp="1">
      <left style="hair">
        <color theme="1"/>
      </left>
      <right style="thin">
        <color indexed="64"/>
      </right>
      <top style="thin">
        <color theme="1"/>
      </top>
      <bottom style="thin">
        <color theme="1"/>
      </bottom>
      <diagonal style="thin">
        <color theme="1"/>
      </diagonal>
    </border>
    <border>
      <left style="medium">
        <color theme="1"/>
      </left>
      <right style="medium">
        <color theme="1"/>
      </right>
      <top style="thin">
        <color theme="1"/>
      </top>
      <bottom/>
      <diagonal/>
    </border>
    <border>
      <left/>
      <right/>
      <top style="medium">
        <color theme="1"/>
      </top>
      <bottom/>
      <diagonal/>
    </border>
    <border>
      <left style="thin">
        <color theme="1"/>
      </left>
      <right style="medium">
        <color theme="1"/>
      </right>
      <top style="thin">
        <color theme="1"/>
      </top>
      <bottom style="thin">
        <color indexed="64"/>
      </bottom>
      <diagonal/>
    </border>
    <border>
      <left style="hair">
        <color indexed="64"/>
      </left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indexed="64"/>
      </bottom>
      <diagonal/>
    </border>
    <border diagonalUp="1"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/>
      <right style="medium">
        <color indexed="64"/>
      </right>
      <top/>
      <bottom style="thin">
        <color theme="1"/>
      </bottom>
      <diagonal/>
    </border>
    <border diagonalUp="1"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 style="thin">
        <color indexed="64"/>
      </diagonal>
    </border>
    <border diagonalUp="1"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 style="thin">
        <color indexed="64"/>
      </diagonal>
    </border>
    <border diagonalUp="1"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 style="thin">
        <color indexed="64"/>
      </diagonal>
    </border>
    <border diagonalUp="1">
      <left style="medium">
        <color indexed="64"/>
      </left>
      <right style="thin">
        <color indexed="64"/>
      </right>
      <top/>
      <bottom style="medium">
        <color indexed="64"/>
      </bottom>
      <diagonal style="thin">
        <color indexed="64"/>
      </diagonal>
    </border>
    <border diagonalUp="1">
      <left style="thin">
        <color indexed="64"/>
      </left>
      <right style="thin">
        <color indexed="64"/>
      </right>
      <top/>
      <bottom style="medium">
        <color indexed="64"/>
      </bottom>
      <diagonal style="thin">
        <color indexed="64"/>
      </diagonal>
    </border>
    <border diagonalUp="1">
      <left style="thin">
        <color indexed="64"/>
      </left>
      <right style="medium">
        <color indexed="64"/>
      </right>
      <top/>
      <bottom style="medium">
        <color indexed="64"/>
      </bottom>
      <diagonal style="thin">
        <color indexed="64"/>
      </diagonal>
    </border>
  </borders>
  <cellStyleXfs count="89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top"/>
      <protection locked="0"/>
    </xf>
    <xf numFmtId="0" fontId="6" fillId="0" borderId="0"/>
    <xf numFmtId="0" fontId="6" fillId="0" borderId="0">
      <alignment vertical="center"/>
    </xf>
    <xf numFmtId="0" fontId="6" fillId="0" borderId="0"/>
    <xf numFmtId="9" fontId="6" fillId="0" borderId="0" applyFont="0" applyFill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21" borderId="56" applyNumberFormat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9" fontId="6" fillId="0" borderId="0" applyFont="0" applyFill="0" applyBorder="0" applyAlignment="0" applyProtection="0"/>
    <xf numFmtId="0" fontId="6" fillId="23" borderId="57" applyNumberFormat="0" applyFont="0" applyAlignment="0" applyProtection="0">
      <alignment vertical="center"/>
    </xf>
    <xf numFmtId="0" fontId="15" fillId="0" borderId="58" applyNumberFormat="0" applyFill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7" fillId="24" borderId="59" applyNumberForma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38" fontId="10" fillId="0" borderId="0" applyFont="0" applyFill="0" applyBorder="0" applyAlignment="0" applyProtection="0">
      <alignment vertical="center"/>
    </xf>
    <xf numFmtId="38" fontId="10" fillId="0" borderId="0" applyFont="0" applyFill="0" applyBorder="0" applyAlignment="0" applyProtection="0">
      <alignment vertical="center"/>
    </xf>
    <xf numFmtId="38" fontId="10" fillId="0" borderId="0" applyFont="0" applyFill="0" applyBorder="0" applyAlignment="0" applyProtection="0">
      <alignment vertical="center"/>
    </xf>
    <xf numFmtId="0" fontId="18" fillId="0" borderId="60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63" applyNumberFormat="0" applyFill="0" applyAlignment="0" applyProtection="0">
      <alignment vertical="center"/>
    </xf>
    <xf numFmtId="0" fontId="22" fillId="24" borderId="64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179" fontId="10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0" fontId="23" fillId="8" borderId="59" applyNumberFormat="0" applyAlignment="0" applyProtection="0">
      <alignment vertical="center"/>
    </xf>
    <xf numFmtId="0" fontId="6" fillId="0" borderId="0"/>
    <xf numFmtId="0" fontId="24" fillId="0" borderId="0">
      <alignment vertical="center"/>
    </xf>
    <xf numFmtId="0" fontId="24" fillId="0" borderId="0">
      <alignment vertical="center"/>
    </xf>
    <xf numFmtId="0" fontId="6" fillId="0" borderId="0"/>
    <xf numFmtId="0" fontId="10" fillId="0" borderId="0">
      <alignment vertical="center"/>
    </xf>
    <xf numFmtId="0" fontId="24" fillId="0" borderId="0">
      <alignment vertical="center"/>
    </xf>
    <xf numFmtId="0" fontId="6" fillId="0" borderId="0"/>
    <xf numFmtId="0" fontId="25" fillId="5" borderId="0" applyNumberFormat="0" applyBorder="0" applyAlignment="0" applyProtection="0">
      <alignment vertical="center"/>
    </xf>
    <xf numFmtId="38" fontId="24" fillId="0" borderId="0" applyFont="0" applyFill="0" applyBorder="0" applyAlignment="0" applyProtection="0">
      <alignment vertical="center"/>
    </xf>
    <xf numFmtId="0" fontId="6" fillId="0" borderId="0"/>
    <xf numFmtId="0" fontId="6" fillId="0" borderId="0"/>
    <xf numFmtId="0" fontId="6" fillId="0" borderId="0"/>
    <xf numFmtId="0" fontId="13" fillId="21" borderId="56" applyNumberFormat="0" applyAlignment="0" applyProtection="0">
      <alignment vertical="center"/>
    </xf>
    <xf numFmtId="0" fontId="6" fillId="23" borderId="80" applyNumberFormat="0" applyFont="0" applyAlignment="0" applyProtection="0">
      <alignment vertical="center"/>
    </xf>
    <xf numFmtId="0" fontId="17" fillId="24" borderId="81" applyNumberFormat="0" applyAlignment="0" applyProtection="0">
      <alignment vertical="center"/>
    </xf>
    <xf numFmtId="0" fontId="21" fillId="0" borderId="82" applyNumberFormat="0" applyFill="0" applyAlignment="0" applyProtection="0">
      <alignment vertical="center"/>
    </xf>
    <xf numFmtId="0" fontId="22" fillId="24" borderId="83" applyNumberFormat="0" applyAlignment="0" applyProtection="0">
      <alignment vertical="center"/>
    </xf>
    <xf numFmtId="0" fontId="23" fillId="8" borderId="81" applyNumberFormat="0" applyAlignment="0" applyProtection="0">
      <alignment vertical="center"/>
    </xf>
    <xf numFmtId="0" fontId="21" fillId="0" borderId="82" applyNumberFormat="0" applyFill="0" applyAlignment="0" applyProtection="0">
      <alignment vertical="center"/>
    </xf>
    <xf numFmtId="0" fontId="22" fillId="24" borderId="83" applyNumberFormat="0" applyAlignment="0" applyProtection="0">
      <alignment vertical="center"/>
    </xf>
    <xf numFmtId="0" fontId="13" fillId="21" borderId="56" applyNumberFormat="0" applyAlignment="0" applyProtection="0">
      <alignment vertical="center"/>
    </xf>
    <xf numFmtId="0" fontId="21" fillId="0" borderId="82" applyNumberFormat="0" applyFill="0" applyAlignment="0" applyProtection="0">
      <alignment vertical="center"/>
    </xf>
    <xf numFmtId="0" fontId="22" fillId="24" borderId="83" applyNumberFormat="0" applyAlignment="0" applyProtection="0">
      <alignment vertical="center"/>
    </xf>
    <xf numFmtId="0" fontId="13" fillId="21" borderId="84" applyNumberFormat="0" applyAlignment="0" applyProtection="0">
      <alignment vertical="center"/>
    </xf>
    <xf numFmtId="0" fontId="13" fillId="21" borderId="84" applyNumberFormat="0" applyAlignment="0" applyProtection="0">
      <alignment vertical="center"/>
    </xf>
    <xf numFmtId="0" fontId="13" fillId="21" borderId="84" applyNumberFormat="0" applyAlignment="0" applyProtection="0">
      <alignment vertical="center"/>
    </xf>
    <xf numFmtId="0" fontId="13" fillId="21" borderId="87" applyNumberFormat="0" applyAlignment="0" applyProtection="0">
      <alignment vertical="center"/>
    </xf>
    <xf numFmtId="0" fontId="26" fillId="0" borderId="0"/>
    <xf numFmtId="0" fontId="13" fillId="21" borderId="86" applyNumberFormat="0" applyAlignment="0" applyProtection="0">
      <alignment vertical="center"/>
    </xf>
    <xf numFmtId="0" fontId="13" fillId="21" borderId="86" applyNumberFormat="0" applyAlignment="0" applyProtection="0">
      <alignment vertical="center"/>
    </xf>
    <xf numFmtId="0" fontId="13" fillId="21" borderId="88" applyNumberFormat="0" applyAlignment="0" applyProtection="0">
      <alignment vertical="center"/>
    </xf>
    <xf numFmtId="0" fontId="13" fillId="21" borderId="88" applyNumberFormat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6" fillId="0" borderId="0">
      <alignment vertical="center"/>
    </xf>
    <xf numFmtId="38" fontId="1" fillId="0" borderId="0" applyFont="0" applyFill="0" applyBorder="0" applyAlignment="0" applyProtection="0">
      <alignment vertical="center"/>
    </xf>
  </cellStyleXfs>
  <cellXfs count="1132">
    <xf numFmtId="0" fontId="0" fillId="0" borderId="0" xfId="0">
      <alignment vertical="center"/>
    </xf>
    <xf numFmtId="0" fontId="6" fillId="2" borderId="0" xfId="2" applyFill="1" applyAlignment="1">
      <alignment vertical="center"/>
    </xf>
    <xf numFmtId="0" fontId="7" fillId="2" borderId="0" xfId="2" applyFont="1" applyFill="1" applyAlignment="1">
      <alignment horizontal="right" vertical="center"/>
    </xf>
    <xf numFmtId="0" fontId="6" fillId="2" borderId="6" xfId="2" applyFill="1" applyBorder="1" applyAlignment="1">
      <alignment horizontal="left" vertical="top"/>
    </xf>
    <xf numFmtId="0" fontId="6" fillId="2" borderId="7" xfId="2" applyFill="1" applyBorder="1" applyAlignment="1">
      <alignment vertical="center"/>
    </xf>
    <xf numFmtId="0" fontId="6" fillId="2" borderId="12" xfId="2" applyFill="1" applyBorder="1" applyAlignment="1">
      <alignment vertical="center"/>
    </xf>
    <xf numFmtId="0" fontId="6" fillId="2" borderId="13" xfId="2" applyFill="1" applyBorder="1" applyAlignment="1">
      <alignment horizontal="left" vertical="center"/>
    </xf>
    <xf numFmtId="0" fontId="6" fillId="2" borderId="23" xfId="2" applyFill="1" applyBorder="1" applyAlignment="1">
      <alignment horizontal="left" vertical="top"/>
    </xf>
    <xf numFmtId="0" fontId="6" fillId="2" borderId="24" xfId="2" applyFill="1" applyBorder="1" applyAlignment="1">
      <alignment vertical="center"/>
    </xf>
    <xf numFmtId="0" fontId="6" fillId="2" borderId="13" xfId="2" applyFill="1" applyBorder="1" applyAlignment="1">
      <alignment horizontal="left" vertical="top"/>
    </xf>
    <xf numFmtId="0" fontId="6" fillId="2" borderId="28" xfId="2" applyFill="1" applyBorder="1" applyAlignment="1">
      <alignment vertical="center"/>
    </xf>
    <xf numFmtId="0" fontId="6" fillId="2" borderId="29" xfId="2" applyFill="1" applyBorder="1" applyAlignment="1">
      <alignment horizontal="left" vertical="top"/>
    </xf>
    <xf numFmtId="0" fontId="6" fillId="2" borderId="18" xfId="2" applyFill="1" applyBorder="1" applyAlignment="1">
      <alignment vertical="center"/>
    </xf>
    <xf numFmtId="0" fontId="6" fillId="2" borderId="5" xfId="2" applyFill="1" applyBorder="1" applyAlignment="1">
      <alignment vertical="center"/>
    </xf>
    <xf numFmtId="0" fontId="6" fillId="2" borderId="51" xfId="2" applyFill="1" applyBorder="1" applyAlignment="1">
      <alignment horizontal="left" vertical="top"/>
    </xf>
    <xf numFmtId="0" fontId="6" fillId="2" borderId="0" xfId="3" applyFill="1" applyAlignment="1">
      <alignment horizontal="left" vertical="top" wrapText="1"/>
    </xf>
    <xf numFmtId="0" fontId="6" fillId="2" borderId="74" xfId="3" applyFill="1" applyBorder="1">
      <alignment vertical="center"/>
    </xf>
    <xf numFmtId="0" fontId="6" fillId="2" borderId="10" xfId="3" applyFill="1" applyBorder="1">
      <alignment vertical="center"/>
    </xf>
    <xf numFmtId="0" fontId="6" fillId="2" borderId="36" xfId="3" applyFill="1" applyBorder="1">
      <alignment vertical="center"/>
    </xf>
    <xf numFmtId="0" fontId="6" fillId="2" borderId="12" xfId="3" applyFill="1" applyBorder="1">
      <alignment vertical="center"/>
    </xf>
    <xf numFmtId="0" fontId="6" fillId="2" borderId="43" xfId="3" applyFill="1" applyBorder="1">
      <alignment vertical="center"/>
    </xf>
    <xf numFmtId="0" fontId="6" fillId="2" borderId="46" xfId="3" applyFill="1" applyBorder="1">
      <alignment vertical="center"/>
    </xf>
    <xf numFmtId="0" fontId="7" fillId="2" borderId="0" xfId="3" applyFont="1" applyFill="1">
      <alignment vertical="center"/>
    </xf>
    <xf numFmtId="178" fontId="7" fillId="2" borderId="0" xfId="4" applyNumberFormat="1" applyFont="1" applyFill="1" applyAlignment="1">
      <alignment vertical="center"/>
    </xf>
    <xf numFmtId="0" fontId="6" fillId="2" borderId="5" xfId="3" applyFill="1" applyBorder="1">
      <alignment vertical="center"/>
    </xf>
    <xf numFmtId="0" fontId="6" fillId="2" borderId="17" xfId="3" applyFill="1" applyBorder="1">
      <alignment vertical="center"/>
    </xf>
    <xf numFmtId="176" fontId="6" fillId="2" borderId="0" xfId="2" applyNumberFormat="1" applyFill="1" applyAlignment="1">
      <alignment vertical="center"/>
    </xf>
    <xf numFmtId="176" fontId="6" fillId="2" borderId="0" xfId="2" applyNumberFormat="1" applyFill="1" applyAlignment="1" applyProtection="1">
      <alignment vertical="center"/>
      <protection locked="0"/>
    </xf>
    <xf numFmtId="0" fontId="6" fillId="2" borderId="10" xfId="3" applyFill="1" applyBorder="1" applyAlignment="1">
      <alignment horizontal="left" vertical="top"/>
    </xf>
    <xf numFmtId="0" fontId="6" fillId="2" borderId="31" xfId="3" applyFill="1" applyBorder="1">
      <alignment vertical="center"/>
    </xf>
    <xf numFmtId="0" fontId="26" fillId="2" borderId="73" xfId="81" applyFill="1" applyBorder="1" applyAlignment="1">
      <alignment vertical="center"/>
    </xf>
    <xf numFmtId="0" fontId="26" fillId="2" borderId="8" xfId="81" applyFill="1" applyBorder="1" applyAlignment="1">
      <alignment vertical="center"/>
    </xf>
    <xf numFmtId="0" fontId="26" fillId="2" borderId="67" xfId="81" applyFill="1" applyBorder="1" applyAlignment="1">
      <alignment vertical="center"/>
    </xf>
    <xf numFmtId="0" fontId="26" fillId="2" borderId="12" xfId="81" applyFill="1" applyBorder="1" applyAlignment="1">
      <alignment vertical="center"/>
    </xf>
    <xf numFmtId="0" fontId="26" fillId="2" borderId="0" xfId="81" applyFill="1" applyAlignment="1">
      <alignment vertical="center"/>
    </xf>
    <xf numFmtId="0" fontId="26" fillId="2" borderId="71" xfId="81" applyFill="1" applyBorder="1" applyAlignment="1">
      <alignment vertical="center"/>
    </xf>
    <xf numFmtId="0" fontId="26" fillId="2" borderId="65" xfId="81" applyFill="1" applyBorder="1" applyAlignment="1">
      <alignment vertical="center"/>
    </xf>
    <xf numFmtId="0" fontId="6" fillId="2" borderId="73" xfId="3" applyFill="1" applyBorder="1">
      <alignment vertical="center"/>
    </xf>
    <xf numFmtId="0" fontId="27" fillId="2" borderId="3" xfId="2" applyFont="1" applyFill="1" applyBorder="1" applyAlignment="1">
      <alignment horizontal="center" vertical="center" wrapText="1"/>
    </xf>
    <xf numFmtId="0" fontId="27" fillId="2" borderId="4" xfId="2" applyFont="1" applyFill="1" applyBorder="1" applyAlignment="1">
      <alignment horizontal="center" vertical="center" wrapText="1"/>
    </xf>
    <xf numFmtId="176" fontId="6" fillId="27" borderId="25" xfId="2" applyNumberFormat="1" applyFill="1" applyBorder="1" applyAlignment="1">
      <alignment vertical="center"/>
    </xf>
    <xf numFmtId="176" fontId="6" fillId="27" borderId="24" xfId="2" applyNumberFormat="1" applyFill="1" applyBorder="1" applyAlignment="1" applyProtection="1">
      <alignment vertical="center"/>
      <protection locked="0"/>
    </xf>
    <xf numFmtId="176" fontId="6" fillId="27" borderId="26" xfId="2" applyNumberFormat="1" applyFill="1" applyBorder="1" applyAlignment="1" applyProtection="1">
      <alignment vertical="center"/>
      <protection locked="0"/>
    </xf>
    <xf numFmtId="176" fontId="6" fillId="27" borderId="20" xfId="2" applyNumberFormat="1" applyFill="1" applyBorder="1" applyAlignment="1">
      <alignment vertical="center"/>
    </xf>
    <xf numFmtId="176" fontId="6" fillId="27" borderId="21" xfId="2" applyNumberFormat="1" applyFill="1" applyBorder="1" applyAlignment="1" applyProtection="1">
      <alignment vertical="center"/>
      <protection locked="0"/>
    </xf>
    <xf numFmtId="176" fontId="6" fillId="27" borderId="18" xfId="2" applyNumberFormat="1" applyFill="1" applyBorder="1" applyAlignment="1" applyProtection="1">
      <alignment vertical="center"/>
      <protection locked="0"/>
    </xf>
    <xf numFmtId="176" fontId="6" fillId="27" borderId="73" xfId="2" applyNumberFormat="1" applyFill="1" applyBorder="1" applyAlignment="1" applyProtection="1">
      <alignment vertical="center"/>
      <protection locked="0"/>
    </xf>
    <xf numFmtId="176" fontId="6" fillId="27" borderId="67" xfId="2" applyNumberFormat="1" applyFill="1" applyBorder="1" applyAlignment="1" applyProtection="1">
      <alignment vertical="center"/>
      <protection locked="0"/>
    </xf>
    <xf numFmtId="176" fontId="6" fillId="28" borderId="10" xfId="2" applyNumberFormat="1" applyFill="1" applyBorder="1" applyAlignment="1">
      <alignment vertical="center"/>
    </xf>
    <xf numFmtId="176" fontId="6" fillId="28" borderId="24" xfId="2" applyNumberFormat="1" applyFill="1" applyBorder="1" applyAlignment="1">
      <alignment vertical="center"/>
    </xf>
    <xf numFmtId="176" fontId="29" fillId="27" borderId="75" xfId="2" applyNumberFormat="1" applyFont="1" applyFill="1" applyBorder="1" applyAlignment="1" applyProtection="1">
      <alignment vertical="center"/>
      <protection locked="0"/>
    </xf>
    <xf numFmtId="176" fontId="29" fillId="27" borderId="79" xfId="2" applyNumberFormat="1" applyFont="1" applyFill="1" applyBorder="1" applyAlignment="1" applyProtection="1">
      <alignment vertical="center"/>
      <protection locked="0"/>
    </xf>
    <xf numFmtId="176" fontId="29" fillId="27" borderId="15" xfId="2" applyNumberFormat="1" applyFont="1" applyFill="1" applyBorder="1" applyAlignment="1" applyProtection="1">
      <alignment vertical="center"/>
      <protection locked="0"/>
    </xf>
    <xf numFmtId="176" fontId="29" fillId="27" borderId="16" xfId="2" applyNumberFormat="1" applyFont="1" applyFill="1" applyBorder="1" applyAlignment="1" applyProtection="1">
      <alignment vertical="center"/>
      <protection locked="0"/>
    </xf>
    <xf numFmtId="176" fontId="29" fillId="27" borderId="13" xfId="2" applyNumberFormat="1" applyFont="1" applyFill="1" applyBorder="1" applyAlignment="1" applyProtection="1">
      <alignment vertical="center"/>
      <protection locked="0"/>
    </xf>
    <xf numFmtId="176" fontId="28" fillId="27" borderId="85" xfId="0" applyNumberFormat="1" applyFont="1" applyFill="1" applyBorder="1">
      <alignment vertical="center"/>
    </xf>
    <xf numFmtId="176" fontId="6" fillId="28" borderId="52" xfId="2" applyNumberFormat="1" applyFill="1" applyBorder="1" applyAlignment="1">
      <alignment vertical="center"/>
    </xf>
    <xf numFmtId="176" fontId="6" fillId="28" borderId="39" xfId="2" applyNumberFormat="1" applyFill="1" applyBorder="1" applyAlignment="1">
      <alignment vertical="center"/>
    </xf>
    <xf numFmtId="176" fontId="6" fillId="28" borderId="27" xfId="2" applyNumberFormat="1" applyFill="1" applyBorder="1" applyAlignment="1">
      <alignment vertical="center"/>
    </xf>
    <xf numFmtId="176" fontId="6" fillId="28" borderId="8" xfId="2" applyNumberFormat="1" applyFill="1" applyBorder="1" applyAlignment="1">
      <alignment vertical="center"/>
    </xf>
    <xf numFmtId="176" fontId="6" fillId="28" borderId="9" xfId="2" applyNumberFormat="1" applyFill="1" applyBorder="1" applyAlignment="1">
      <alignment vertical="center"/>
    </xf>
    <xf numFmtId="176" fontId="6" fillId="27" borderId="77" xfId="2" applyNumberFormat="1" applyFill="1" applyBorder="1" applyAlignment="1" applyProtection="1">
      <alignment vertical="center"/>
      <protection locked="0"/>
    </xf>
    <xf numFmtId="0" fontId="6" fillId="2" borderId="74" xfId="2" applyFill="1" applyBorder="1" applyAlignment="1">
      <alignment horizontal="left" vertical="center"/>
    </xf>
    <xf numFmtId="176" fontId="29" fillId="27" borderId="77" xfId="2" applyNumberFormat="1" applyFont="1" applyFill="1" applyBorder="1" applyAlignment="1" applyProtection="1">
      <alignment vertical="center"/>
      <protection locked="0"/>
    </xf>
    <xf numFmtId="176" fontId="29" fillId="27" borderId="74" xfId="2" applyNumberFormat="1" applyFont="1" applyFill="1" applyBorder="1" applyAlignment="1" applyProtection="1">
      <alignment vertical="center"/>
      <protection locked="0"/>
    </xf>
    <xf numFmtId="176" fontId="6" fillId="28" borderId="25" xfId="2" applyNumberFormat="1" applyFill="1" applyBorder="1" applyAlignment="1">
      <alignment vertical="center"/>
    </xf>
    <xf numFmtId="176" fontId="6" fillId="28" borderId="26" xfId="2" applyNumberFormat="1" applyFill="1" applyBorder="1" applyAlignment="1">
      <alignment vertical="center"/>
    </xf>
    <xf numFmtId="176" fontId="6" fillId="28" borderId="73" xfId="2" applyNumberFormat="1" applyFill="1" applyBorder="1" applyAlignment="1">
      <alignment vertical="center"/>
    </xf>
    <xf numFmtId="176" fontId="28" fillId="27" borderId="39" xfId="0" applyNumberFormat="1" applyFont="1" applyFill="1" applyBorder="1">
      <alignment vertical="center"/>
    </xf>
    <xf numFmtId="176" fontId="28" fillId="27" borderId="41" xfId="0" applyNumberFormat="1" applyFont="1" applyFill="1" applyBorder="1">
      <alignment vertical="center"/>
    </xf>
    <xf numFmtId="176" fontId="28" fillId="27" borderId="38" xfId="0" applyNumberFormat="1" applyFont="1" applyFill="1" applyBorder="1">
      <alignment vertical="center"/>
    </xf>
    <xf numFmtId="176" fontId="28" fillId="27" borderId="67" xfId="0" applyNumberFormat="1" applyFont="1" applyFill="1" applyBorder="1">
      <alignment vertical="center"/>
    </xf>
    <xf numFmtId="176" fontId="28" fillId="27" borderId="66" xfId="0" applyNumberFormat="1" applyFont="1" applyFill="1" applyBorder="1">
      <alignment vertical="center"/>
    </xf>
    <xf numFmtId="176" fontId="28" fillId="27" borderId="76" xfId="0" applyNumberFormat="1" applyFont="1" applyFill="1" applyBorder="1">
      <alignment vertical="center"/>
    </xf>
    <xf numFmtId="176" fontId="28" fillId="27" borderId="73" xfId="0" applyNumberFormat="1" applyFont="1" applyFill="1" applyBorder="1" applyAlignment="1">
      <alignment vertical="center" shrinkToFit="1"/>
    </xf>
    <xf numFmtId="176" fontId="28" fillId="27" borderId="72" xfId="0" applyNumberFormat="1" applyFont="1" applyFill="1" applyBorder="1" applyAlignment="1">
      <alignment vertical="center" shrinkToFit="1"/>
    </xf>
    <xf numFmtId="176" fontId="28" fillId="27" borderId="69" xfId="0" applyNumberFormat="1" applyFont="1" applyFill="1" applyBorder="1" applyAlignment="1">
      <alignment vertical="center" shrinkToFit="1"/>
    </xf>
    <xf numFmtId="176" fontId="28" fillId="27" borderId="71" xfId="0" applyNumberFormat="1" applyFont="1" applyFill="1" applyBorder="1" applyAlignment="1">
      <alignment vertical="center" shrinkToFit="1"/>
    </xf>
    <xf numFmtId="176" fontId="28" fillId="28" borderId="1" xfId="0" applyNumberFormat="1" applyFont="1" applyFill="1" applyBorder="1" applyAlignment="1">
      <alignment vertical="center" shrinkToFit="1"/>
    </xf>
    <xf numFmtId="176" fontId="28" fillId="28" borderId="2" xfId="0" applyNumberFormat="1" applyFont="1" applyFill="1" applyBorder="1" applyAlignment="1">
      <alignment vertical="center" shrinkToFit="1"/>
    </xf>
    <xf numFmtId="176" fontId="28" fillId="28" borderId="3" xfId="0" applyNumberFormat="1" applyFont="1" applyFill="1" applyBorder="1" applyAlignment="1">
      <alignment vertical="center" shrinkToFit="1"/>
    </xf>
    <xf numFmtId="176" fontId="28" fillId="28" borderId="34" xfId="0" applyNumberFormat="1" applyFont="1" applyFill="1" applyBorder="1" applyAlignment="1">
      <alignment vertical="center" shrinkToFit="1"/>
    </xf>
    <xf numFmtId="176" fontId="28" fillId="27" borderId="48" xfId="0" applyNumberFormat="1" applyFont="1" applyFill="1" applyBorder="1">
      <alignment vertical="center"/>
    </xf>
    <xf numFmtId="176" fontId="28" fillId="27" borderId="50" xfId="0" applyNumberFormat="1" applyFont="1" applyFill="1" applyBorder="1">
      <alignment vertical="center"/>
    </xf>
    <xf numFmtId="0" fontId="26" fillId="2" borderId="5" xfId="81" applyFill="1" applyBorder="1" applyAlignment="1">
      <alignment vertical="center"/>
    </xf>
    <xf numFmtId="0" fontId="26" fillId="2" borderId="6" xfId="81" applyFill="1" applyBorder="1" applyAlignment="1">
      <alignment vertical="center"/>
    </xf>
    <xf numFmtId="180" fontId="6" fillId="28" borderId="10" xfId="86" applyNumberFormat="1" applyFont="1" applyFill="1" applyBorder="1" applyAlignment="1" applyProtection="1">
      <alignment horizontal="right" vertical="center"/>
    </xf>
    <xf numFmtId="180" fontId="6" fillId="28" borderId="22" xfId="86" applyNumberFormat="1" applyFont="1" applyFill="1" applyBorder="1" applyAlignment="1" applyProtection="1">
      <alignment horizontal="right" vertical="center"/>
    </xf>
    <xf numFmtId="180" fontId="6" fillId="28" borderId="11" xfId="86" applyNumberFormat="1" applyFont="1" applyFill="1" applyBorder="1" applyAlignment="1" applyProtection="1">
      <alignment horizontal="right" vertical="center"/>
    </xf>
    <xf numFmtId="180" fontId="6" fillId="28" borderId="50" xfId="86" applyNumberFormat="1" applyFont="1" applyFill="1" applyBorder="1" applyAlignment="1" applyProtection="1">
      <alignment horizontal="right" vertical="center"/>
    </xf>
    <xf numFmtId="180" fontId="6" fillId="28" borderId="70" xfId="86" applyNumberFormat="1" applyFont="1" applyFill="1" applyBorder="1" applyAlignment="1" applyProtection="1">
      <alignment horizontal="right" vertical="center"/>
      <protection locked="0"/>
    </xf>
    <xf numFmtId="180" fontId="6" fillId="28" borderId="70" xfId="86" applyNumberFormat="1" applyFont="1" applyFill="1" applyBorder="1" applyAlignment="1" applyProtection="1">
      <alignment horizontal="right" vertical="center"/>
    </xf>
    <xf numFmtId="180" fontId="6" fillId="28" borderId="68" xfId="86" applyNumberFormat="1" applyFont="1" applyFill="1" applyBorder="1" applyAlignment="1" applyProtection="1">
      <alignment horizontal="right" vertical="center"/>
      <protection locked="0"/>
    </xf>
    <xf numFmtId="180" fontId="6" fillId="28" borderId="24" xfId="86" applyNumberFormat="1" applyFont="1" applyFill="1" applyBorder="1" applyAlignment="1" applyProtection="1">
      <alignment horizontal="right" vertical="center"/>
      <protection locked="0"/>
    </xf>
    <xf numFmtId="180" fontId="6" fillId="28" borderId="24" xfId="86" applyNumberFormat="1" applyFont="1" applyFill="1" applyBorder="1" applyAlignment="1" applyProtection="1">
      <alignment horizontal="right" vertical="center"/>
    </xf>
    <xf numFmtId="180" fontId="6" fillId="28" borderId="18" xfId="86" applyNumberFormat="1" applyFont="1" applyFill="1" applyBorder="1" applyAlignment="1" applyProtection="1">
      <alignment horizontal="right" vertical="center"/>
      <protection locked="0"/>
    </xf>
    <xf numFmtId="180" fontId="28" fillId="28" borderId="42" xfId="86" applyNumberFormat="1" applyFont="1" applyFill="1" applyBorder="1" applyAlignment="1">
      <alignment horizontal="right" vertical="center"/>
    </xf>
    <xf numFmtId="180" fontId="28" fillId="28" borderId="68" xfId="86" applyNumberFormat="1" applyFont="1" applyFill="1" applyBorder="1" applyAlignment="1">
      <alignment horizontal="right" vertical="center"/>
    </xf>
    <xf numFmtId="180" fontId="28" fillId="28" borderId="4" xfId="86" applyNumberFormat="1" applyFont="1" applyFill="1" applyBorder="1" applyAlignment="1">
      <alignment horizontal="right" vertical="center" shrinkToFit="1"/>
    </xf>
    <xf numFmtId="180" fontId="28" fillId="28" borderId="11" xfId="86" applyNumberFormat="1" applyFont="1" applyFill="1" applyBorder="1" applyAlignment="1">
      <alignment horizontal="right" vertical="center"/>
    </xf>
    <xf numFmtId="180" fontId="28" fillId="28" borderId="70" xfId="86" applyNumberFormat="1" applyFont="1" applyFill="1" applyBorder="1" applyAlignment="1">
      <alignment horizontal="right" vertical="center" shrinkToFit="1"/>
    </xf>
    <xf numFmtId="180" fontId="28" fillId="28" borderId="78" xfId="86" applyNumberFormat="1" applyFont="1" applyFill="1" applyBorder="1" applyAlignment="1">
      <alignment horizontal="right" vertical="center"/>
    </xf>
    <xf numFmtId="180" fontId="28" fillId="28" borderId="78" xfId="86" applyNumberFormat="1" applyFont="1" applyFill="1" applyBorder="1" applyAlignment="1">
      <alignment horizontal="right" vertical="center" shrinkToFit="1"/>
    </xf>
    <xf numFmtId="176" fontId="28" fillId="28" borderId="41" xfId="0" applyNumberFormat="1" applyFont="1" applyFill="1" applyBorder="1" applyAlignment="1">
      <alignment horizontal="right" vertical="center"/>
    </xf>
    <xf numFmtId="176" fontId="28" fillId="28" borderId="39" xfId="0" applyNumberFormat="1" applyFont="1" applyFill="1" applyBorder="1" applyAlignment="1">
      <alignment horizontal="right" vertical="center"/>
    </xf>
    <xf numFmtId="176" fontId="28" fillId="28" borderId="42" xfId="0" applyNumberFormat="1" applyFont="1" applyFill="1" applyBorder="1" applyAlignment="1">
      <alignment horizontal="right" vertical="center"/>
    </xf>
    <xf numFmtId="176" fontId="28" fillId="28" borderId="67" xfId="0" applyNumberFormat="1" applyFont="1" applyFill="1" applyBorder="1" applyAlignment="1">
      <alignment horizontal="right" vertical="center"/>
    </xf>
    <xf numFmtId="176" fontId="28" fillId="28" borderId="66" xfId="0" applyNumberFormat="1" applyFont="1" applyFill="1" applyBorder="1" applyAlignment="1">
      <alignment horizontal="right" vertical="center"/>
    </xf>
    <xf numFmtId="176" fontId="28" fillId="28" borderId="68" xfId="0" applyNumberFormat="1" applyFont="1" applyFill="1" applyBorder="1" applyAlignment="1">
      <alignment horizontal="right" vertical="center"/>
    </xf>
    <xf numFmtId="180" fontId="28" fillId="28" borderId="33" xfId="0" applyNumberFormat="1" applyFont="1" applyFill="1" applyBorder="1" applyAlignment="1">
      <alignment horizontal="right" vertical="center"/>
    </xf>
    <xf numFmtId="180" fontId="28" fillId="28" borderId="4" xfId="0" applyNumberFormat="1" applyFont="1" applyFill="1" applyBorder="1" applyAlignment="1">
      <alignment horizontal="right" vertical="center"/>
    </xf>
    <xf numFmtId="0" fontId="31" fillId="2" borderId="33" xfId="2" applyFont="1" applyFill="1" applyBorder="1" applyAlignment="1">
      <alignment horizontal="left" vertical="center"/>
    </xf>
    <xf numFmtId="10" fontId="31" fillId="28" borderId="17" xfId="2" applyNumberFormat="1" applyFont="1" applyFill="1" applyBorder="1" applyAlignment="1">
      <alignment vertical="center"/>
    </xf>
    <xf numFmtId="10" fontId="31" fillId="28" borderId="50" xfId="2" applyNumberFormat="1" applyFont="1" applyFill="1" applyBorder="1" applyAlignment="1">
      <alignment vertical="center"/>
    </xf>
    <xf numFmtId="176" fontId="31" fillId="2" borderId="0" xfId="2" applyNumberFormat="1" applyFont="1" applyFill="1" applyAlignment="1">
      <alignment vertical="center"/>
    </xf>
    <xf numFmtId="0" fontId="31" fillId="2" borderId="108" xfId="2" applyFont="1" applyFill="1" applyBorder="1" applyAlignment="1">
      <alignment horizontal="left" vertical="center"/>
    </xf>
    <xf numFmtId="183" fontId="31" fillId="28" borderId="109" xfId="2" applyNumberFormat="1" applyFont="1" applyFill="1" applyBorder="1" applyAlignment="1">
      <alignment vertical="center"/>
    </xf>
    <xf numFmtId="0" fontId="31" fillId="2" borderId="110" xfId="2" applyFont="1" applyFill="1" applyBorder="1" applyAlignment="1">
      <alignment horizontal="left" vertical="center"/>
    </xf>
    <xf numFmtId="0" fontId="31" fillId="2" borderId="111" xfId="2" applyFont="1" applyFill="1" applyBorder="1" applyAlignment="1">
      <alignment horizontal="left" vertical="center"/>
    </xf>
    <xf numFmtId="0" fontId="31" fillId="2" borderId="43" xfId="2" applyFont="1" applyFill="1" applyBorder="1" applyAlignment="1">
      <alignment horizontal="left" vertical="center" wrapText="1"/>
    </xf>
    <xf numFmtId="184" fontId="31" fillId="28" borderId="104" xfId="2" applyNumberFormat="1" applyFont="1" applyFill="1" applyBorder="1" applyAlignment="1">
      <alignment vertical="center"/>
    </xf>
    <xf numFmtId="0" fontId="31" fillId="2" borderId="96" xfId="2" applyFont="1" applyFill="1" applyBorder="1" applyAlignment="1">
      <alignment horizontal="left" vertical="center"/>
    </xf>
    <xf numFmtId="184" fontId="31" fillId="28" borderId="107" xfId="2" applyNumberFormat="1" applyFont="1" applyFill="1" applyBorder="1" applyAlignment="1">
      <alignment vertical="center"/>
    </xf>
    <xf numFmtId="0" fontId="31" fillId="2" borderId="33" xfId="2" applyFont="1" applyFill="1" applyBorder="1" applyAlignment="1">
      <alignment horizontal="left" vertical="center" wrapText="1"/>
    </xf>
    <xf numFmtId="176" fontId="31" fillId="28" borderId="33" xfId="2" applyNumberFormat="1" applyFont="1" applyFill="1" applyBorder="1" applyAlignment="1">
      <alignment vertical="center"/>
    </xf>
    <xf numFmtId="0" fontId="6" fillId="2" borderId="43" xfId="87" applyFill="1" applyBorder="1">
      <alignment vertical="center"/>
    </xf>
    <xf numFmtId="0" fontId="6" fillId="2" borderId="119" xfId="81" applyFont="1" applyFill="1" applyBorder="1" applyAlignment="1">
      <alignment horizontal="center" vertical="center"/>
    </xf>
    <xf numFmtId="0" fontId="26" fillId="2" borderId="85" xfId="81" applyFill="1" applyBorder="1" applyAlignment="1">
      <alignment vertical="center"/>
    </xf>
    <xf numFmtId="0" fontId="26" fillId="2" borderId="98" xfId="81" applyFill="1" applyBorder="1" applyAlignment="1">
      <alignment vertical="center"/>
    </xf>
    <xf numFmtId="0" fontId="26" fillId="2" borderId="95" xfId="81" applyFill="1" applyBorder="1" applyAlignment="1">
      <alignment vertical="center"/>
    </xf>
    <xf numFmtId="0" fontId="26" fillId="2" borderId="96" xfId="81" applyFill="1" applyBorder="1" applyAlignment="1">
      <alignment vertical="center"/>
    </xf>
    <xf numFmtId="0" fontId="26" fillId="2" borderId="94" xfId="81" applyFill="1" applyBorder="1" applyAlignment="1">
      <alignment vertical="center"/>
    </xf>
    <xf numFmtId="0" fontId="26" fillId="2" borderId="37" xfId="81" applyFill="1" applyBorder="1" applyAlignment="1">
      <alignment vertical="center"/>
    </xf>
    <xf numFmtId="0" fontId="26" fillId="2" borderId="22" xfId="81" applyFill="1" applyBorder="1" applyAlignment="1">
      <alignment vertical="center"/>
    </xf>
    <xf numFmtId="0" fontId="26" fillId="2" borderId="10" xfId="81" applyFill="1" applyBorder="1" applyAlignment="1">
      <alignment vertical="center"/>
    </xf>
    <xf numFmtId="0" fontId="26" fillId="27" borderId="71" xfId="81" applyFill="1" applyBorder="1" applyAlignment="1">
      <alignment vertical="center"/>
    </xf>
    <xf numFmtId="0" fontId="26" fillId="27" borderId="98" xfId="81" applyFill="1" applyBorder="1" applyAlignment="1">
      <alignment vertical="center"/>
    </xf>
    <xf numFmtId="0" fontId="32" fillId="2" borderId="8" xfId="87" applyFont="1" applyFill="1" applyBorder="1">
      <alignment vertical="center"/>
    </xf>
    <xf numFmtId="0" fontId="32" fillId="2" borderId="10" xfId="87" applyFont="1" applyFill="1" applyBorder="1">
      <alignment vertical="center"/>
    </xf>
    <xf numFmtId="0" fontId="26" fillId="2" borderId="28" xfId="81" applyFill="1" applyBorder="1" applyAlignment="1">
      <alignment vertical="center"/>
    </xf>
    <xf numFmtId="0" fontId="26" fillId="2" borderId="75" xfId="81" applyFill="1" applyBorder="1" applyAlignment="1">
      <alignment vertical="center"/>
    </xf>
    <xf numFmtId="0" fontId="26" fillId="27" borderId="28" xfId="81" applyFill="1" applyBorder="1" applyAlignment="1">
      <alignment vertical="center"/>
    </xf>
    <xf numFmtId="0" fontId="26" fillId="27" borderId="85" xfId="81" applyFill="1" applyBorder="1" applyAlignment="1">
      <alignment vertical="center"/>
    </xf>
    <xf numFmtId="0" fontId="26" fillId="27" borderId="14" xfId="81" applyFill="1" applyBorder="1" applyAlignment="1">
      <alignment vertical="center"/>
    </xf>
    <xf numFmtId="0" fontId="6" fillId="2" borderId="125" xfId="2" applyFill="1" applyBorder="1" applyAlignment="1">
      <alignment vertical="center"/>
    </xf>
    <xf numFmtId="176" fontId="6" fillId="2" borderId="8" xfId="2" applyNumberFormat="1" applyFill="1" applyBorder="1" applyAlignment="1">
      <alignment vertical="center"/>
    </xf>
    <xf numFmtId="176" fontId="6" fillId="2" borderId="9" xfId="2" applyNumberFormat="1" applyFill="1" applyBorder="1" applyAlignment="1">
      <alignment vertical="center"/>
    </xf>
    <xf numFmtId="176" fontId="6" fillId="2" borderId="10" xfId="2" applyNumberFormat="1" applyFill="1" applyBorder="1" applyAlignment="1">
      <alignment vertical="center"/>
    </xf>
    <xf numFmtId="0" fontId="6" fillId="2" borderId="71" xfId="2" applyFill="1" applyBorder="1" applyAlignment="1">
      <alignment vertical="center"/>
    </xf>
    <xf numFmtId="176" fontId="6" fillId="27" borderId="69" xfId="2" applyNumberFormat="1" applyFill="1" applyBorder="1" applyAlignment="1" applyProtection="1">
      <alignment vertical="center"/>
      <protection locked="0"/>
    </xf>
    <xf numFmtId="0" fontId="6" fillId="2" borderId="17" xfId="2" applyFill="1" applyBorder="1" applyAlignment="1">
      <alignment vertical="center"/>
    </xf>
    <xf numFmtId="0" fontId="6" fillId="2" borderId="65" xfId="2" applyFill="1" applyBorder="1" applyAlignment="1">
      <alignment vertical="center"/>
    </xf>
    <xf numFmtId="176" fontId="6" fillId="2" borderId="153" xfId="2" applyNumberFormat="1" applyFill="1" applyBorder="1" applyAlignment="1">
      <alignment vertical="center"/>
    </xf>
    <xf numFmtId="176" fontId="6" fillId="27" borderId="106" xfId="2" applyNumberFormat="1" applyFill="1" applyBorder="1" applyAlignment="1" applyProtection="1">
      <alignment vertical="center"/>
      <protection locked="0"/>
    </xf>
    <xf numFmtId="183" fontId="31" fillId="28" borderId="156" xfId="2" applyNumberFormat="1" applyFont="1" applyFill="1" applyBorder="1" applyAlignment="1">
      <alignment horizontal="right" vertical="center"/>
    </xf>
    <xf numFmtId="176" fontId="6" fillId="29" borderId="35" xfId="81" applyNumberFormat="1" applyFont="1" applyFill="1" applyBorder="1" applyAlignment="1">
      <alignment vertical="center" shrinkToFit="1"/>
    </xf>
    <xf numFmtId="176" fontId="6" fillId="29" borderId="132" xfId="81" applyNumberFormat="1" applyFont="1" applyFill="1" applyBorder="1" applyAlignment="1">
      <alignment vertical="center" shrinkToFit="1"/>
    </xf>
    <xf numFmtId="0" fontId="26" fillId="27" borderId="165" xfId="81" applyFill="1" applyBorder="1" applyAlignment="1">
      <alignment vertical="center"/>
    </xf>
    <xf numFmtId="0" fontId="26" fillId="27" borderId="29" xfId="81" applyFill="1" applyBorder="1" applyAlignment="1">
      <alignment vertical="center"/>
    </xf>
    <xf numFmtId="0" fontId="26" fillId="27" borderId="9" xfId="81" applyFill="1" applyBorder="1" applyAlignment="1">
      <alignment vertical="center"/>
    </xf>
    <xf numFmtId="176" fontId="6" fillId="28" borderId="168" xfId="0" applyNumberFormat="1" applyFont="1" applyFill="1" applyBorder="1">
      <alignment vertical="center"/>
    </xf>
    <xf numFmtId="0" fontId="6" fillId="2" borderId="174" xfId="0" applyFont="1" applyFill="1" applyBorder="1">
      <alignment vertical="center"/>
    </xf>
    <xf numFmtId="0" fontId="6" fillId="2" borderId="163" xfId="0" applyFont="1" applyFill="1" applyBorder="1">
      <alignment vertical="center"/>
    </xf>
    <xf numFmtId="0" fontId="6" fillId="2" borderId="158" xfId="0" applyFont="1" applyFill="1" applyBorder="1">
      <alignment vertical="center"/>
    </xf>
    <xf numFmtId="0" fontId="6" fillId="2" borderId="165" xfId="0" applyFont="1" applyFill="1" applyBorder="1">
      <alignment vertical="center"/>
    </xf>
    <xf numFmtId="0" fontId="6" fillId="2" borderId="159" xfId="0" applyFont="1" applyFill="1" applyBorder="1">
      <alignment vertical="center"/>
    </xf>
    <xf numFmtId="0" fontId="6" fillId="2" borderId="171" xfId="0" applyFont="1" applyFill="1" applyBorder="1">
      <alignment vertical="center"/>
    </xf>
    <xf numFmtId="0" fontId="6" fillId="2" borderId="173" xfId="0" applyFont="1" applyFill="1" applyBorder="1">
      <alignment vertical="center"/>
    </xf>
    <xf numFmtId="0" fontId="6" fillId="2" borderId="172" xfId="0" applyFont="1" applyFill="1" applyBorder="1">
      <alignment vertical="center"/>
    </xf>
    <xf numFmtId="0" fontId="6" fillId="2" borderId="176" xfId="0" applyFont="1" applyFill="1" applyBorder="1">
      <alignment vertical="center"/>
    </xf>
    <xf numFmtId="0" fontId="6" fillId="2" borderId="179" xfId="0" applyFont="1" applyFill="1" applyBorder="1">
      <alignment vertical="center"/>
    </xf>
    <xf numFmtId="10" fontId="6" fillId="28" borderId="168" xfId="0" applyNumberFormat="1" applyFont="1" applyFill="1" applyBorder="1" applyAlignment="1">
      <alignment vertical="center" shrinkToFit="1"/>
    </xf>
    <xf numFmtId="176" fontId="6" fillId="29" borderId="157" xfId="81" applyNumberFormat="1" applyFont="1" applyFill="1" applyBorder="1" applyAlignment="1">
      <alignment vertical="center" shrinkToFit="1"/>
    </xf>
    <xf numFmtId="187" fontId="6" fillId="27" borderId="168" xfId="0" applyNumberFormat="1" applyFont="1" applyFill="1" applyBorder="1" applyAlignment="1">
      <alignment vertical="center" shrinkToFit="1"/>
    </xf>
    <xf numFmtId="187" fontId="6" fillId="27" borderId="169" xfId="0" applyNumberFormat="1" applyFont="1" applyFill="1" applyBorder="1" applyAlignment="1">
      <alignment vertical="center" shrinkToFit="1"/>
    </xf>
    <xf numFmtId="176" fontId="6" fillId="27" borderId="168" xfId="0" applyNumberFormat="1" applyFont="1" applyFill="1" applyBorder="1" applyAlignment="1">
      <alignment vertical="center" shrinkToFit="1"/>
    </xf>
    <xf numFmtId="176" fontId="6" fillId="27" borderId="169" xfId="0" applyNumberFormat="1" applyFont="1" applyFill="1" applyBorder="1" applyAlignment="1">
      <alignment vertical="center" shrinkToFit="1"/>
    </xf>
    <xf numFmtId="176" fontId="6" fillId="27" borderId="163" xfId="2" applyNumberFormat="1" applyFill="1" applyBorder="1" applyAlignment="1" applyProtection="1">
      <alignment vertical="center"/>
      <protection locked="0"/>
    </xf>
    <xf numFmtId="176" fontId="28" fillId="27" borderId="42" xfId="0" applyNumberFormat="1" applyFont="1" applyFill="1" applyBorder="1">
      <alignment vertical="center"/>
    </xf>
    <xf numFmtId="176" fontId="28" fillId="27" borderId="68" xfId="0" applyNumberFormat="1" applyFont="1" applyFill="1" applyBorder="1">
      <alignment vertical="center"/>
    </xf>
    <xf numFmtId="176" fontId="28" fillId="28" borderId="4" xfId="0" applyNumberFormat="1" applyFont="1" applyFill="1" applyBorder="1" applyAlignment="1">
      <alignment vertical="center" shrinkToFit="1"/>
    </xf>
    <xf numFmtId="176" fontId="28" fillId="27" borderId="8" xfId="0" applyNumberFormat="1" applyFont="1" applyFill="1" applyBorder="1" applyAlignment="1">
      <alignment vertical="center" shrinkToFit="1"/>
    </xf>
    <xf numFmtId="176" fontId="28" fillId="27" borderId="9" xfId="0" applyNumberFormat="1" applyFont="1" applyFill="1" applyBorder="1" applyAlignment="1">
      <alignment vertical="center" shrinkToFit="1"/>
    </xf>
    <xf numFmtId="176" fontId="28" fillId="27" borderId="10" xfId="0" applyNumberFormat="1" applyFont="1" applyFill="1" applyBorder="1" applyAlignment="1">
      <alignment vertical="center" shrinkToFit="1"/>
    </xf>
    <xf numFmtId="176" fontId="28" fillId="27" borderId="27" xfId="0" applyNumberFormat="1" applyFont="1" applyFill="1" applyBorder="1" applyAlignment="1">
      <alignment vertical="center" shrinkToFit="1"/>
    </xf>
    <xf numFmtId="176" fontId="28" fillId="27" borderId="77" xfId="0" applyNumberFormat="1" applyFont="1" applyFill="1" applyBorder="1" applyAlignment="1">
      <alignment vertical="center" shrinkToFit="1"/>
    </xf>
    <xf numFmtId="176" fontId="28" fillId="27" borderId="75" xfId="0" applyNumberFormat="1" applyFont="1" applyFill="1" applyBorder="1" applyAlignment="1">
      <alignment vertical="center" shrinkToFit="1"/>
    </xf>
    <xf numFmtId="176" fontId="28" fillId="27" borderId="74" xfId="0" applyNumberFormat="1" applyFont="1" applyFill="1" applyBorder="1" applyAlignment="1">
      <alignment vertical="center" shrinkToFit="1"/>
    </xf>
    <xf numFmtId="176" fontId="28" fillId="27" borderId="79" xfId="0" applyNumberFormat="1" applyFont="1" applyFill="1" applyBorder="1" applyAlignment="1">
      <alignment vertical="center" shrinkToFit="1"/>
    </xf>
    <xf numFmtId="0" fontId="6" fillId="2" borderId="0" xfId="3" applyFill="1" applyAlignment="1">
      <alignment horizontal="left" vertical="top"/>
    </xf>
    <xf numFmtId="0" fontId="28" fillId="2" borderId="0" xfId="0" applyFont="1" applyFill="1">
      <alignment vertical="center"/>
    </xf>
    <xf numFmtId="0" fontId="34" fillId="2" borderId="0" xfId="0" applyFont="1" applyFill="1">
      <alignment vertical="center"/>
    </xf>
    <xf numFmtId="0" fontId="28" fillId="2" borderId="0" xfId="0" applyFont="1" applyFill="1" applyAlignment="1">
      <alignment horizontal="right" vertical="center"/>
    </xf>
    <xf numFmtId="0" fontId="28" fillId="2" borderId="0" xfId="0" applyFont="1" applyFill="1" applyAlignment="1">
      <alignment horizontal="left" vertical="top"/>
    </xf>
    <xf numFmtId="0" fontId="28" fillId="2" borderId="104" xfId="0" applyFont="1" applyFill="1" applyBorder="1">
      <alignment vertical="center"/>
    </xf>
    <xf numFmtId="49" fontId="28" fillId="2" borderId="104" xfId="0" applyNumberFormat="1" applyFont="1" applyFill="1" applyBorder="1">
      <alignment vertical="center"/>
    </xf>
    <xf numFmtId="0" fontId="28" fillId="2" borderId="46" xfId="0" applyFont="1" applyFill="1" applyBorder="1" applyAlignment="1">
      <alignment horizontal="center" vertical="center"/>
    </xf>
    <xf numFmtId="49" fontId="28" fillId="2" borderId="33" xfId="0" applyNumberFormat="1" applyFont="1" applyFill="1" applyBorder="1" applyAlignment="1">
      <alignment vertical="center" shrinkToFit="1"/>
    </xf>
    <xf numFmtId="0" fontId="33" fillId="2" borderId="0" xfId="0" applyFont="1" applyFill="1" applyAlignment="1">
      <alignment vertical="top"/>
    </xf>
    <xf numFmtId="0" fontId="28" fillId="27" borderId="31" xfId="0" applyFont="1" applyFill="1" applyBorder="1">
      <alignment vertical="center"/>
    </xf>
    <xf numFmtId="0" fontId="28" fillId="27" borderId="32" xfId="0" applyFont="1" applyFill="1" applyBorder="1">
      <alignment vertical="center"/>
    </xf>
    <xf numFmtId="0" fontId="28" fillId="2" borderId="0" xfId="0" applyFont="1" applyFill="1" applyAlignment="1">
      <alignment vertical="top"/>
    </xf>
    <xf numFmtId="0" fontId="28" fillId="2" borderId="31" xfId="0" applyFont="1" applyFill="1" applyBorder="1">
      <alignment vertical="center"/>
    </xf>
    <xf numFmtId="0" fontId="28" fillId="2" borderId="32" xfId="0" applyFont="1" applyFill="1" applyBorder="1">
      <alignment vertical="center"/>
    </xf>
    <xf numFmtId="0" fontId="28" fillId="2" borderId="4" xfId="0" applyFont="1" applyFill="1" applyBorder="1" applyAlignment="1">
      <alignment horizontal="center" vertical="center"/>
    </xf>
    <xf numFmtId="0" fontId="28" fillId="2" borderId="95" xfId="0" applyFont="1" applyFill="1" applyBorder="1">
      <alignment vertical="center"/>
    </xf>
    <xf numFmtId="0" fontId="28" fillId="2" borderId="98" xfId="0" applyFont="1" applyFill="1" applyBorder="1">
      <alignment vertical="center"/>
    </xf>
    <xf numFmtId="0" fontId="28" fillId="2" borderId="93" xfId="0" applyFont="1" applyFill="1" applyBorder="1">
      <alignment vertical="center"/>
    </xf>
    <xf numFmtId="0" fontId="28" fillId="2" borderId="12" xfId="0" applyFont="1" applyFill="1" applyBorder="1">
      <alignment vertical="center"/>
    </xf>
    <xf numFmtId="0" fontId="28" fillId="27" borderId="98" xfId="0" applyFont="1" applyFill="1" applyBorder="1">
      <alignment vertical="center"/>
    </xf>
    <xf numFmtId="0" fontId="28" fillId="2" borderId="8" xfId="0" applyFont="1" applyFill="1" applyBorder="1">
      <alignment vertical="center"/>
    </xf>
    <xf numFmtId="0" fontId="28" fillId="2" borderId="35" xfId="0" applyFont="1" applyFill="1" applyBorder="1">
      <alignment vertical="center"/>
    </xf>
    <xf numFmtId="0" fontId="28" fillId="27" borderId="71" xfId="0" applyFont="1" applyFill="1" applyBorder="1">
      <alignment vertical="center"/>
    </xf>
    <xf numFmtId="0" fontId="28" fillId="2" borderId="96" xfId="0" applyFont="1" applyFill="1" applyBorder="1">
      <alignment vertical="center"/>
    </xf>
    <xf numFmtId="0" fontId="28" fillId="2" borderId="94" xfId="0" applyFont="1" applyFill="1" applyBorder="1">
      <alignment vertical="center"/>
    </xf>
    <xf numFmtId="176" fontId="28" fillId="2" borderId="0" xfId="0" applyNumberFormat="1" applyFont="1" applyFill="1">
      <alignment vertical="center"/>
    </xf>
    <xf numFmtId="0" fontId="28" fillId="2" borderId="71" xfId="0" applyFont="1" applyFill="1" applyBorder="1">
      <alignment vertical="center"/>
    </xf>
    <xf numFmtId="0" fontId="26" fillId="2" borderId="51" xfId="81" applyFill="1" applyBorder="1" applyAlignment="1">
      <alignment vertical="center"/>
    </xf>
    <xf numFmtId="0" fontId="28" fillId="2" borderId="51" xfId="0" applyFont="1" applyFill="1" applyBorder="1" applyAlignment="1">
      <alignment vertical="top"/>
    </xf>
    <xf numFmtId="0" fontId="35" fillId="2" borderId="35" xfId="55" applyFont="1" applyFill="1" applyBorder="1">
      <alignment vertical="center"/>
    </xf>
    <xf numFmtId="0" fontId="35" fillId="2" borderId="52" xfId="55" applyFont="1" applyFill="1" applyBorder="1">
      <alignment vertical="center"/>
    </xf>
    <xf numFmtId="0" fontId="28" fillId="2" borderId="52" xfId="0" applyFont="1" applyFill="1" applyBorder="1" applyAlignment="1">
      <alignment vertical="top"/>
    </xf>
    <xf numFmtId="0" fontId="28" fillId="2" borderId="85" xfId="0" applyFont="1" applyFill="1" applyBorder="1" applyAlignment="1">
      <alignment vertical="top"/>
    </xf>
    <xf numFmtId="0" fontId="35" fillId="2" borderId="98" xfId="55" applyFont="1" applyFill="1" applyBorder="1">
      <alignment vertical="center"/>
    </xf>
    <xf numFmtId="0" fontId="28" fillId="2" borderId="98" xfId="0" applyFont="1" applyFill="1" applyBorder="1" applyAlignment="1">
      <alignment vertical="top"/>
    </xf>
    <xf numFmtId="0" fontId="35" fillId="2" borderId="85" xfId="55" applyFont="1" applyFill="1" applyBorder="1">
      <alignment vertical="center"/>
    </xf>
    <xf numFmtId="0" fontId="35" fillId="2" borderId="95" xfId="55" applyFont="1" applyFill="1" applyBorder="1">
      <alignment vertical="center"/>
    </xf>
    <xf numFmtId="0" fontId="28" fillId="2" borderId="94" xfId="0" applyFont="1" applyFill="1" applyBorder="1" applyAlignment="1">
      <alignment vertical="top"/>
    </xf>
    <xf numFmtId="0" fontId="33" fillId="2" borderId="37" xfId="0" applyFont="1" applyFill="1" applyBorder="1" applyAlignment="1">
      <alignment vertical="top"/>
    </xf>
    <xf numFmtId="0" fontId="28" fillId="2" borderId="6" xfId="0" applyFont="1" applyFill="1" applyBorder="1" applyAlignment="1">
      <alignment vertical="top"/>
    </xf>
    <xf numFmtId="0" fontId="28" fillId="2" borderId="43" xfId="0" applyFont="1" applyFill="1" applyBorder="1">
      <alignment vertical="center"/>
    </xf>
    <xf numFmtId="0" fontId="28" fillId="2" borderId="51" xfId="0" applyFont="1" applyFill="1" applyBorder="1">
      <alignment vertical="center"/>
    </xf>
    <xf numFmtId="0" fontId="28" fillId="2" borderId="5" xfId="0" applyFont="1" applyFill="1" applyBorder="1">
      <alignment vertical="center"/>
    </xf>
    <xf numFmtId="0" fontId="28" fillId="2" borderId="46" xfId="0" applyFont="1" applyFill="1" applyBorder="1" applyAlignment="1">
      <alignment horizontal="center" vertical="top"/>
    </xf>
    <xf numFmtId="0" fontId="36" fillId="2" borderId="127" xfId="0" applyFont="1" applyFill="1" applyBorder="1" applyAlignment="1">
      <alignment horizontal="center" vertical="center" wrapText="1"/>
    </xf>
    <xf numFmtId="0" fontId="37" fillId="2" borderId="127" xfId="0" applyFont="1" applyFill="1" applyBorder="1" applyAlignment="1">
      <alignment horizontal="center" vertical="center" wrapText="1"/>
    </xf>
    <xf numFmtId="0" fontId="37" fillId="2" borderId="128" xfId="0" applyFont="1" applyFill="1" applyBorder="1" applyAlignment="1">
      <alignment horizontal="center" vertical="center" wrapText="1"/>
    </xf>
    <xf numFmtId="176" fontId="28" fillId="29" borderId="129" xfId="0" applyNumberFormat="1" applyFont="1" applyFill="1" applyBorder="1" applyAlignment="1">
      <alignment vertical="center" shrinkToFit="1"/>
    </xf>
    <xf numFmtId="176" fontId="28" fillId="29" borderId="129" xfId="0" applyNumberFormat="1" applyFont="1" applyFill="1" applyBorder="1" applyAlignment="1">
      <alignment horizontal="right" vertical="center" shrinkToFit="1"/>
    </xf>
    <xf numFmtId="176" fontId="28" fillId="29" borderId="130" xfId="0" applyNumberFormat="1" applyFont="1" applyFill="1" applyBorder="1" applyAlignment="1">
      <alignment horizontal="right" vertical="center" shrinkToFit="1"/>
    </xf>
    <xf numFmtId="0" fontId="35" fillId="2" borderId="5" xfId="55" applyFont="1" applyFill="1" applyBorder="1">
      <alignment vertical="center"/>
    </xf>
    <xf numFmtId="0" fontId="26" fillId="2" borderId="158" xfId="81" applyFill="1" applyBorder="1" applyAlignment="1">
      <alignment vertical="center"/>
    </xf>
    <xf numFmtId="176" fontId="28" fillId="29" borderId="160" xfId="0" applyNumberFormat="1" applyFont="1" applyFill="1" applyBorder="1" applyAlignment="1">
      <alignment vertical="center" shrinkToFit="1"/>
    </xf>
    <xf numFmtId="0" fontId="26" fillId="2" borderId="163" xfId="81" applyFill="1" applyBorder="1" applyAlignment="1">
      <alignment vertical="center"/>
    </xf>
    <xf numFmtId="0" fontId="28" fillId="2" borderId="158" xfId="0" applyFont="1" applyFill="1" applyBorder="1">
      <alignment vertical="center"/>
    </xf>
    <xf numFmtId="176" fontId="6" fillId="29" borderId="157" xfId="0" applyNumberFormat="1" applyFont="1" applyFill="1" applyBorder="1">
      <alignment vertical="center"/>
    </xf>
    <xf numFmtId="176" fontId="28" fillId="29" borderId="160" xfId="0" applyNumberFormat="1" applyFont="1" applyFill="1" applyBorder="1">
      <alignment vertical="center"/>
    </xf>
    <xf numFmtId="176" fontId="28" fillId="29" borderId="160" xfId="0" applyNumberFormat="1" applyFont="1" applyFill="1" applyBorder="1" applyAlignment="1">
      <alignment horizontal="right" vertical="center" shrinkToFit="1"/>
    </xf>
    <xf numFmtId="176" fontId="28" fillId="29" borderId="161" xfId="0" applyNumberFormat="1" applyFont="1" applyFill="1" applyBorder="1" applyAlignment="1">
      <alignment horizontal="right" vertical="center" shrinkToFit="1"/>
    </xf>
    <xf numFmtId="176" fontId="28" fillId="27" borderId="160" xfId="0" applyNumberFormat="1" applyFont="1" applyFill="1" applyBorder="1">
      <alignment vertical="center"/>
    </xf>
    <xf numFmtId="176" fontId="28" fillId="27" borderId="160" xfId="0" applyNumberFormat="1" applyFont="1" applyFill="1" applyBorder="1" applyAlignment="1">
      <alignment horizontal="right" vertical="center" shrinkToFit="1"/>
    </xf>
    <xf numFmtId="176" fontId="28" fillId="27" borderId="161" xfId="0" applyNumberFormat="1" applyFont="1" applyFill="1" applyBorder="1" applyAlignment="1">
      <alignment horizontal="right" vertical="center" shrinkToFit="1"/>
    </xf>
    <xf numFmtId="0" fontId="28" fillId="27" borderId="158" xfId="0" applyFont="1" applyFill="1" applyBorder="1">
      <alignment vertical="center"/>
    </xf>
    <xf numFmtId="176" fontId="28" fillId="27" borderId="131" xfId="0" applyNumberFormat="1" applyFont="1" applyFill="1" applyBorder="1">
      <alignment vertical="center"/>
    </xf>
    <xf numFmtId="176" fontId="28" fillId="29" borderId="131" xfId="0" applyNumberFormat="1" applyFont="1" applyFill="1" applyBorder="1">
      <alignment vertical="center"/>
    </xf>
    <xf numFmtId="0" fontId="35" fillId="27" borderId="98" xfId="55" applyFont="1" applyFill="1" applyBorder="1">
      <alignment vertical="center"/>
    </xf>
    <xf numFmtId="0" fontId="26" fillId="27" borderId="133" xfId="81" applyFill="1" applyBorder="1" applyAlignment="1">
      <alignment vertical="center"/>
    </xf>
    <xf numFmtId="0" fontId="35" fillId="27" borderId="134" xfId="55" applyFont="1" applyFill="1" applyBorder="1">
      <alignment vertical="center"/>
    </xf>
    <xf numFmtId="0" fontId="26" fillId="2" borderId="133" xfId="81" applyFill="1" applyBorder="1" applyAlignment="1">
      <alignment vertical="center"/>
    </xf>
    <xf numFmtId="0" fontId="28" fillId="2" borderId="85" xfId="0" applyFont="1" applyFill="1" applyBorder="1">
      <alignment vertical="center"/>
    </xf>
    <xf numFmtId="0" fontId="28" fillId="2" borderId="170" xfId="0" applyFont="1" applyFill="1" applyBorder="1">
      <alignment vertical="center"/>
    </xf>
    <xf numFmtId="0" fontId="28" fillId="2" borderId="159" xfId="0" applyFont="1" applyFill="1" applyBorder="1">
      <alignment vertical="center"/>
    </xf>
    <xf numFmtId="0" fontId="6" fillId="2" borderId="166" xfId="0" applyFont="1" applyFill="1" applyBorder="1">
      <alignment vertical="center"/>
    </xf>
    <xf numFmtId="176" fontId="6" fillId="28" borderId="167" xfId="0" applyNumberFormat="1" applyFont="1" applyFill="1" applyBorder="1" applyAlignment="1">
      <alignment vertical="center" shrinkToFit="1"/>
    </xf>
    <xf numFmtId="0" fontId="38" fillId="2" borderId="0" xfId="0" applyFont="1" applyFill="1">
      <alignment vertical="center"/>
    </xf>
    <xf numFmtId="0" fontId="6" fillId="2" borderId="177" xfId="0" applyFont="1" applyFill="1" applyBorder="1">
      <alignment vertical="center"/>
    </xf>
    <xf numFmtId="0" fontId="6" fillId="27" borderId="165" xfId="0" applyFont="1" applyFill="1" applyBorder="1">
      <alignment vertical="center"/>
    </xf>
    <xf numFmtId="0" fontId="6" fillId="27" borderId="159" xfId="0" applyFont="1" applyFill="1" applyBorder="1">
      <alignment vertical="center"/>
    </xf>
    <xf numFmtId="0" fontId="6" fillId="27" borderId="175" xfId="0" applyFont="1" applyFill="1" applyBorder="1">
      <alignment vertical="center"/>
    </xf>
    <xf numFmtId="0" fontId="6" fillId="2" borderId="175" xfId="0" applyFont="1" applyFill="1" applyBorder="1">
      <alignment vertical="center"/>
    </xf>
    <xf numFmtId="0" fontId="28" fillId="27" borderId="157" xfId="0" applyFont="1" applyFill="1" applyBorder="1">
      <alignment vertical="center"/>
    </xf>
    <xf numFmtId="0" fontId="28" fillId="27" borderId="52" xfId="0" applyFont="1" applyFill="1" applyBorder="1">
      <alignment vertical="center"/>
    </xf>
    <xf numFmtId="0" fontId="28" fillId="27" borderId="95" xfId="0" applyFont="1" applyFill="1" applyBorder="1">
      <alignment vertical="center"/>
    </xf>
    <xf numFmtId="176" fontId="28" fillId="2" borderId="135" xfId="0" applyNumberFormat="1" applyFont="1" applyFill="1" applyBorder="1">
      <alignment vertical="center"/>
    </xf>
    <xf numFmtId="176" fontId="28" fillId="2" borderId="135" xfId="0" applyNumberFormat="1" applyFont="1" applyFill="1" applyBorder="1" applyAlignment="1">
      <alignment vertical="center" shrinkToFit="1"/>
    </xf>
    <xf numFmtId="176" fontId="28" fillId="2" borderId="136" xfId="0" applyNumberFormat="1" applyFont="1" applyFill="1" applyBorder="1" applyAlignment="1">
      <alignment vertical="center" shrinkToFit="1"/>
    </xf>
    <xf numFmtId="0" fontId="28" fillId="27" borderId="93" xfId="0" applyFont="1" applyFill="1" applyBorder="1">
      <alignment vertical="center"/>
    </xf>
    <xf numFmtId="0" fontId="28" fillId="27" borderId="85" xfId="0" applyFont="1" applyFill="1" applyBorder="1">
      <alignment vertical="center"/>
    </xf>
    <xf numFmtId="176" fontId="28" fillId="2" borderId="137" xfId="0" applyNumberFormat="1" applyFont="1" applyFill="1" applyBorder="1">
      <alignment vertical="center"/>
    </xf>
    <xf numFmtId="176" fontId="28" fillId="2" borderId="137" xfId="0" applyNumberFormat="1" applyFont="1" applyFill="1" applyBorder="1" applyAlignment="1">
      <alignment vertical="center" shrinkToFit="1"/>
    </xf>
    <xf numFmtId="176" fontId="28" fillId="2" borderId="138" xfId="0" applyNumberFormat="1" applyFont="1" applyFill="1" applyBorder="1" applyAlignment="1">
      <alignment vertical="center" shrinkToFit="1"/>
    </xf>
    <xf numFmtId="176" fontId="6" fillId="29" borderId="31" xfId="0" applyNumberFormat="1" applyFont="1" applyFill="1" applyBorder="1" applyAlignment="1">
      <alignment vertical="center" shrinkToFit="1"/>
    </xf>
    <xf numFmtId="176" fontId="28" fillId="2" borderId="139" xfId="0" applyNumberFormat="1" applyFont="1" applyFill="1" applyBorder="1">
      <alignment vertical="center"/>
    </xf>
    <xf numFmtId="176" fontId="28" fillId="2" borderId="139" xfId="0" applyNumberFormat="1" applyFont="1" applyFill="1" applyBorder="1" applyAlignment="1">
      <alignment vertical="center" shrinkToFit="1"/>
    </xf>
    <xf numFmtId="176" fontId="28" fillId="2" borderId="140" xfId="0" applyNumberFormat="1" applyFont="1" applyFill="1" applyBorder="1" applyAlignment="1">
      <alignment vertical="center" shrinkToFit="1"/>
    </xf>
    <xf numFmtId="10" fontId="6" fillId="27" borderId="46" xfId="0" applyNumberFormat="1" applyFont="1" applyFill="1" applyBorder="1" applyAlignment="1">
      <alignment vertical="center" shrinkToFit="1"/>
    </xf>
    <xf numFmtId="176" fontId="28" fillId="2" borderId="141" xfId="0" applyNumberFormat="1" applyFont="1" applyFill="1" applyBorder="1">
      <alignment vertical="center"/>
    </xf>
    <xf numFmtId="176" fontId="28" fillId="2" borderId="141" xfId="0" applyNumberFormat="1" applyFont="1" applyFill="1" applyBorder="1" applyAlignment="1">
      <alignment vertical="center" shrinkToFit="1"/>
    </xf>
    <xf numFmtId="176" fontId="28" fillId="2" borderId="142" xfId="0" applyNumberFormat="1" applyFont="1" applyFill="1" applyBorder="1" applyAlignment="1">
      <alignment vertical="center" shrinkToFit="1"/>
    </xf>
    <xf numFmtId="0" fontId="26" fillId="2" borderId="7" xfId="81" applyFill="1" applyBorder="1" applyAlignment="1">
      <alignment vertical="center"/>
    </xf>
    <xf numFmtId="176" fontId="28" fillId="29" borderId="143" xfId="0" applyNumberFormat="1" applyFont="1" applyFill="1" applyBorder="1">
      <alignment vertical="center"/>
    </xf>
    <xf numFmtId="176" fontId="28" fillId="29" borderId="144" xfId="0" applyNumberFormat="1" applyFont="1" applyFill="1" applyBorder="1">
      <alignment vertical="center"/>
    </xf>
    <xf numFmtId="176" fontId="28" fillId="27" borderId="121" xfId="0" applyNumberFormat="1" applyFont="1" applyFill="1" applyBorder="1">
      <alignment vertical="center"/>
    </xf>
    <xf numFmtId="0" fontId="26" fillId="27" borderId="158" xfId="81" applyFill="1" applyBorder="1" applyAlignment="1">
      <alignment vertical="center"/>
    </xf>
    <xf numFmtId="0" fontId="26" fillId="27" borderId="164" xfId="81" applyFill="1" applyBorder="1" applyAlignment="1">
      <alignment vertical="center"/>
    </xf>
    <xf numFmtId="176" fontId="28" fillId="29" borderId="157" xfId="0" applyNumberFormat="1" applyFont="1" applyFill="1" applyBorder="1">
      <alignment vertical="center"/>
    </xf>
    <xf numFmtId="176" fontId="28" fillId="28" borderId="160" xfId="0" applyNumberFormat="1" applyFont="1" applyFill="1" applyBorder="1">
      <alignment vertical="center"/>
    </xf>
    <xf numFmtId="176" fontId="28" fillId="28" borderId="161" xfId="0" applyNumberFormat="1" applyFont="1" applyFill="1" applyBorder="1">
      <alignment vertical="center"/>
    </xf>
    <xf numFmtId="0" fontId="26" fillId="2" borderId="145" xfId="81" applyFill="1" applyBorder="1" applyAlignment="1">
      <alignment vertical="center"/>
    </xf>
    <xf numFmtId="0" fontId="28" fillId="2" borderId="131" xfId="0" applyFont="1" applyFill="1" applyBorder="1">
      <alignment vertical="center"/>
    </xf>
    <xf numFmtId="0" fontId="28" fillId="2" borderId="121" xfId="0" applyFont="1" applyFill="1" applyBorder="1">
      <alignment vertical="center"/>
    </xf>
    <xf numFmtId="180" fontId="28" fillId="29" borderId="71" xfId="0" applyNumberFormat="1" applyFont="1" applyFill="1" applyBorder="1">
      <alignment vertical="center"/>
    </xf>
    <xf numFmtId="180" fontId="28" fillId="29" borderId="131" xfId="0" applyNumberFormat="1" applyFont="1" applyFill="1" applyBorder="1">
      <alignment vertical="center"/>
    </xf>
    <xf numFmtId="180" fontId="28" fillId="29" borderId="121" xfId="0" applyNumberFormat="1" applyFont="1" applyFill="1" applyBorder="1">
      <alignment vertical="center"/>
    </xf>
    <xf numFmtId="176" fontId="28" fillId="2" borderId="95" xfId="0" applyNumberFormat="1" applyFont="1" applyFill="1" applyBorder="1">
      <alignment vertical="center"/>
    </xf>
    <xf numFmtId="176" fontId="28" fillId="2" borderId="131" xfId="0" applyNumberFormat="1" applyFont="1" applyFill="1" applyBorder="1">
      <alignment vertical="center"/>
    </xf>
    <xf numFmtId="176" fontId="28" fillId="2" borderId="121" xfId="0" applyNumberFormat="1" applyFont="1" applyFill="1" applyBorder="1">
      <alignment vertical="center"/>
    </xf>
    <xf numFmtId="0" fontId="26" fillId="2" borderId="29" xfId="81" applyFill="1" applyBorder="1" applyAlignment="1">
      <alignment vertical="center"/>
    </xf>
    <xf numFmtId="0" fontId="26" fillId="2" borderId="74" xfId="81" applyFill="1" applyBorder="1" applyAlignment="1">
      <alignment vertical="center"/>
    </xf>
    <xf numFmtId="0" fontId="26" fillId="2" borderId="14" xfId="81" applyFill="1" applyBorder="1" applyAlignment="1">
      <alignment vertical="center"/>
    </xf>
    <xf numFmtId="176" fontId="28" fillId="29" borderId="93" xfId="0" applyNumberFormat="1" applyFont="1" applyFill="1" applyBorder="1">
      <alignment vertical="center"/>
    </xf>
    <xf numFmtId="176" fontId="28" fillId="29" borderId="146" xfId="0" applyNumberFormat="1" applyFont="1" applyFill="1" applyBorder="1">
      <alignment vertical="center"/>
    </xf>
    <xf numFmtId="176" fontId="28" fillId="29" borderId="147" xfId="0" applyNumberFormat="1" applyFont="1" applyFill="1" applyBorder="1">
      <alignment vertical="center"/>
    </xf>
    <xf numFmtId="0" fontId="26" fillId="2" borderId="9" xfId="81" applyFill="1" applyBorder="1" applyAlignment="1">
      <alignment vertical="center"/>
    </xf>
    <xf numFmtId="0" fontId="26" fillId="27" borderId="74" xfId="81" applyFill="1" applyBorder="1" applyAlignment="1">
      <alignment vertical="center"/>
    </xf>
    <xf numFmtId="176" fontId="28" fillId="29" borderId="121" xfId="0" applyNumberFormat="1" applyFont="1" applyFill="1" applyBorder="1">
      <alignment vertical="center"/>
    </xf>
    <xf numFmtId="0" fontId="26" fillId="2" borderId="46" xfId="81" applyFill="1" applyBorder="1" applyAlignment="1">
      <alignment vertical="center"/>
    </xf>
    <xf numFmtId="176" fontId="28" fillId="29" borderId="96" xfId="0" applyNumberFormat="1" applyFont="1" applyFill="1" applyBorder="1">
      <alignment vertical="center"/>
    </xf>
    <xf numFmtId="176" fontId="28" fillId="29" borderId="148" xfId="0" applyNumberFormat="1" applyFont="1" applyFill="1" applyBorder="1">
      <alignment vertical="center"/>
    </xf>
    <xf numFmtId="176" fontId="28" fillId="29" borderId="123" xfId="0" applyNumberFormat="1" applyFont="1" applyFill="1" applyBorder="1">
      <alignment vertical="center"/>
    </xf>
    <xf numFmtId="0" fontId="28" fillId="2" borderId="37" xfId="0" applyFont="1" applyFill="1" applyBorder="1">
      <alignment vertical="center"/>
    </xf>
    <xf numFmtId="0" fontId="28" fillId="2" borderId="6" xfId="0" applyFont="1" applyFill="1" applyBorder="1">
      <alignment vertical="center"/>
    </xf>
    <xf numFmtId="0" fontId="28" fillId="29" borderId="143" xfId="0" applyFont="1" applyFill="1" applyBorder="1">
      <alignment vertical="center"/>
    </xf>
    <xf numFmtId="0" fontId="28" fillId="29" borderId="144" xfId="0" applyFont="1" applyFill="1" applyBorder="1">
      <alignment vertical="center"/>
    </xf>
    <xf numFmtId="185" fontId="28" fillId="2" borderId="149" xfId="0" applyNumberFormat="1" applyFont="1" applyFill="1" applyBorder="1">
      <alignment vertical="center"/>
    </xf>
    <xf numFmtId="186" fontId="28" fillId="27" borderId="131" xfId="0" applyNumberFormat="1" applyFont="1" applyFill="1" applyBorder="1">
      <alignment vertical="center"/>
    </xf>
    <xf numFmtId="186" fontId="28" fillId="27" borderId="121" xfId="0" applyNumberFormat="1" applyFont="1" applyFill="1" applyBorder="1">
      <alignment vertical="center"/>
    </xf>
    <xf numFmtId="0" fontId="28" fillId="2" borderId="23" xfId="0" applyFont="1" applyFill="1" applyBorder="1">
      <alignment vertical="center"/>
    </xf>
    <xf numFmtId="0" fontId="28" fillId="30" borderId="71" xfId="0" applyFont="1" applyFill="1" applyBorder="1">
      <alignment vertical="center"/>
    </xf>
    <xf numFmtId="0" fontId="28" fillId="30" borderId="98" xfId="0" applyFont="1" applyFill="1" applyBorder="1">
      <alignment vertical="center"/>
    </xf>
    <xf numFmtId="186" fontId="28" fillId="30" borderId="131" xfId="0" applyNumberFormat="1" applyFont="1" applyFill="1" applyBorder="1">
      <alignment vertical="center"/>
    </xf>
    <xf numFmtId="186" fontId="28" fillId="30" borderId="121" xfId="0" applyNumberFormat="1" applyFont="1" applyFill="1" applyBorder="1">
      <alignment vertical="center"/>
    </xf>
    <xf numFmtId="176" fontId="28" fillId="2" borderId="136" xfId="0" applyNumberFormat="1" applyFont="1" applyFill="1" applyBorder="1">
      <alignment vertical="center"/>
    </xf>
    <xf numFmtId="0" fontId="28" fillId="27" borderId="74" xfId="0" applyFont="1" applyFill="1" applyBorder="1">
      <alignment vertical="center"/>
    </xf>
    <xf numFmtId="0" fontId="28" fillId="27" borderId="22" xfId="0" applyFont="1" applyFill="1" applyBorder="1">
      <alignment vertical="center"/>
    </xf>
    <xf numFmtId="0" fontId="28" fillId="27" borderId="0" xfId="0" applyFont="1" applyFill="1">
      <alignment vertical="center"/>
    </xf>
    <xf numFmtId="176" fontId="28" fillId="27" borderId="93" xfId="0" applyNumberFormat="1" applyFont="1" applyFill="1" applyBorder="1">
      <alignment vertical="center"/>
    </xf>
    <xf numFmtId="176" fontId="28" fillId="2" borderId="138" xfId="0" applyNumberFormat="1" applyFont="1" applyFill="1" applyBorder="1">
      <alignment vertical="center"/>
    </xf>
    <xf numFmtId="0" fontId="28" fillId="2" borderId="46" xfId="0" applyFont="1" applyFill="1" applyBorder="1">
      <alignment vertical="center"/>
    </xf>
    <xf numFmtId="0" fontId="28" fillId="2" borderId="53" xfId="0" applyFont="1" applyFill="1" applyBorder="1">
      <alignment vertical="center"/>
    </xf>
    <xf numFmtId="0" fontId="28" fillId="2" borderId="47" xfId="0" applyFont="1" applyFill="1" applyBorder="1">
      <alignment vertical="center"/>
    </xf>
    <xf numFmtId="0" fontId="28" fillId="27" borderId="65" xfId="0" applyFont="1" applyFill="1" applyBorder="1">
      <alignment vertical="center"/>
    </xf>
    <xf numFmtId="0" fontId="28" fillId="27" borderId="94" xfId="0" applyFont="1" applyFill="1" applyBorder="1">
      <alignment vertical="center"/>
    </xf>
    <xf numFmtId="176" fontId="28" fillId="27" borderId="96" xfId="0" applyNumberFormat="1" applyFont="1" applyFill="1" applyBorder="1">
      <alignment vertical="center"/>
    </xf>
    <xf numFmtId="176" fontId="28" fillId="2" borderId="150" xfId="0" applyNumberFormat="1" applyFont="1" applyFill="1" applyBorder="1">
      <alignment vertical="center"/>
    </xf>
    <xf numFmtId="176" fontId="28" fillId="2" borderId="151" xfId="0" applyNumberFormat="1" applyFont="1" applyFill="1" applyBorder="1">
      <alignment vertical="center"/>
    </xf>
    <xf numFmtId="0" fontId="28" fillId="2" borderId="44" xfId="0" applyFont="1" applyFill="1" applyBorder="1">
      <alignment vertical="center"/>
    </xf>
    <xf numFmtId="0" fontId="28" fillId="2" borderId="40" xfId="0" applyFont="1" applyFill="1" applyBorder="1">
      <alignment vertical="center"/>
    </xf>
    <xf numFmtId="0" fontId="28" fillId="2" borderId="7" xfId="0" applyFont="1" applyFill="1" applyBorder="1">
      <alignment vertical="center"/>
    </xf>
    <xf numFmtId="0" fontId="28" fillId="2" borderId="65" xfId="0" applyFont="1" applyFill="1" applyBorder="1">
      <alignment vertical="center"/>
    </xf>
    <xf numFmtId="0" fontId="28" fillId="2" borderId="19" xfId="0" applyFont="1" applyFill="1" applyBorder="1">
      <alignment vertical="center"/>
    </xf>
    <xf numFmtId="176" fontId="28" fillId="2" borderId="96" xfId="0" applyNumberFormat="1" applyFont="1" applyFill="1" applyBorder="1">
      <alignment vertical="center"/>
    </xf>
    <xf numFmtId="0" fontId="34" fillId="0" borderId="0" xfId="0" applyFont="1">
      <alignment vertical="center"/>
    </xf>
    <xf numFmtId="0" fontId="35" fillId="0" borderId="0" xfId="0" applyFont="1">
      <alignment vertical="center"/>
    </xf>
    <xf numFmtId="0" fontId="35" fillId="0" borderId="0" xfId="0" applyFont="1" applyAlignment="1">
      <alignment horizontal="right" vertical="center"/>
    </xf>
    <xf numFmtId="14" fontId="35" fillId="0" borderId="0" xfId="0" applyNumberFormat="1" applyFont="1" applyAlignment="1">
      <alignment horizontal="left" vertical="center"/>
    </xf>
    <xf numFmtId="0" fontId="34" fillId="0" borderId="0" xfId="0" applyFont="1" applyAlignment="1"/>
    <xf numFmtId="0" fontId="35" fillId="0" borderId="0" xfId="0" applyFont="1" applyAlignment="1"/>
    <xf numFmtId="0" fontId="35" fillId="2" borderId="33" xfId="0" applyFont="1" applyFill="1" applyBorder="1">
      <alignment vertical="center"/>
    </xf>
    <xf numFmtId="0" fontId="35" fillId="26" borderId="46" xfId="0" applyFont="1" applyFill="1" applyBorder="1">
      <alignment vertical="center"/>
    </xf>
    <xf numFmtId="0" fontId="35" fillId="26" borderId="31" xfId="0" applyFont="1" applyFill="1" applyBorder="1">
      <alignment vertical="center"/>
    </xf>
    <xf numFmtId="0" fontId="35" fillId="0" borderId="31" xfId="0" applyFont="1" applyBorder="1" applyAlignment="1">
      <alignment vertical="top"/>
    </xf>
    <xf numFmtId="0" fontId="35" fillId="2" borderId="105" xfId="0" applyFont="1" applyFill="1" applyBorder="1">
      <alignment vertical="center"/>
    </xf>
    <xf numFmtId="0" fontId="35" fillId="2" borderId="107" xfId="0" applyFont="1" applyFill="1" applyBorder="1">
      <alignment vertical="center"/>
    </xf>
    <xf numFmtId="0" fontId="35" fillId="0" borderId="37" xfId="0" applyFont="1" applyBorder="1" applyAlignment="1">
      <alignment vertical="top"/>
    </xf>
    <xf numFmtId="0" fontId="35" fillId="0" borderId="95" xfId="0" applyFont="1" applyBorder="1" applyAlignment="1">
      <alignment horizontal="left" vertical="top"/>
    </xf>
    <xf numFmtId="0" fontId="35" fillId="0" borderId="96" xfId="0" applyFont="1" applyBorder="1" applyAlignment="1">
      <alignment vertical="top"/>
    </xf>
    <xf numFmtId="0" fontId="35" fillId="2" borderId="106" xfId="0" applyFont="1" applyFill="1" applyBorder="1">
      <alignment vertical="center"/>
    </xf>
    <xf numFmtId="0" fontId="6" fillId="2" borderId="37" xfId="3" applyFill="1" applyBorder="1" applyAlignment="1">
      <alignment horizontal="left" vertical="top"/>
    </xf>
    <xf numFmtId="0" fontId="6" fillId="2" borderId="96" xfId="3" applyFill="1" applyBorder="1" applyAlignment="1">
      <alignment horizontal="left" vertical="top"/>
    </xf>
    <xf numFmtId="0" fontId="35" fillId="2" borderId="0" xfId="0" applyFont="1" applyFill="1">
      <alignment vertical="center"/>
    </xf>
    <xf numFmtId="0" fontId="35" fillId="2" borderId="0" xfId="0" applyFont="1" applyFill="1" applyAlignment="1">
      <alignment horizontal="right" vertical="center"/>
    </xf>
    <xf numFmtId="14" fontId="35" fillId="2" borderId="0" xfId="0" applyNumberFormat="1" applyFont="1" applyFill="1" applyAlignment="1">
      <alignment horizontal="left" vertical="center"/>
    </xf>
    <xf numFmtId="0" fontId="33" fillId="2" borderId="0" xfId="0" applyFont="1" applyFill="1">
      <alignment vertical="center"/>
    </xf>
    <xf numFmtId="0" fontId="35" fillId="2" borderId="0" xfId="0" applyFont="1" applyFill="1" applyAlignment="1">
      <alignment horizontal="left" vertical="top"/>
    </xf>
    <xf numFmtId="0" fontId="6" fillId="2" borderId="32" xfId="3" applyFill="1" applyBorder="1" applyAlignment="1">
      <alignment horizontal="left" vertical="top"/>
    </xf>
    <xf numFmtId="0" fontId="6" fillId="2" borderId="32" xfId="3" applyFill="1" applyBorder="1" applyAlignment="1">
      <alignment horizontal="center" vertical="center"/>
    </xf>
    <xf numFmtId="0" fontId="6" fillId="2" borderId="31" xfId="2" applyFill="1" applyBorder="1" applyAlignment="1">
      <alignment horizontal="center" vertical="center"/>
    </xf>
    <xf numFmtId="0" fontId="6" fillId="2" borderId="34" xfId="2" applyFill="1" applyBorder="1" applyAlignment="1">
      <alignment horizontal="center" vertical="center"/>
    </xf>
    <xf numFmtId="0" fontId="35" fillId="2" borderId="12" xfId="3" applyFont="1" applyFill="1" applyBorder="1">
      <alignment vertical="center"/>
    </xf>
    <xf numFmtId="0" fontId="6" fillId="2" borderId="35" xfId="3" applyFill="1" applyBorder="1" applyAlignment="1">
      <alignment horizontal="left" vertical="top"/>
    </xf>
    <xf numFmtId="0" fontId="6" fillId="2" borderId="0" xfId="3" applyFill="1">
      <alignment vertical="center"/>
    </xf>
    <xf numFmtId="0" fontId="35" fillId="2" borderId="35" xfId="0" applyFont="1" applyFill="1" applyBorder="1">
      <alignment vertical="center"/>
    </xf>
    <xf numFmtId="0" fontId="35" fillId="2" borderId="9" xfId="0" applyFont="1" applyFill="1" applyBorder="1">
      <alignment vertical="center"/>
    </xf>
    <xf numFmtId="0" fontId="35" fillId="2" borderId="97" xfId="0" applyFont="1" applyFill="1" applyBorder="1">
      <alignment vertical="center"/>
    </xf>
    <xf numFmtId="0" fontId="35" fillId="2" borderId="41" xfId="0" applyFont="1" applyFill="1" applyBorder="1">
      <alignment vertical="center"/>
    </xf>
    <xf numFmtId="0" fontId="35" fillId="2" borderId="39" xfId="0" applyFont="1" applyFill="1" applyBorder="1">
      <alignment vertical="center"/>
    </xf>
    <xf numFmtId="0" fontId="35" fillId="2" borderId="40" xfId="0" applyFont="1" applyFill="1" applyBorder="1">
      <alignment vertical="center"/>
    </xf>
    <xf numFmtId="0" fontId="35" fillId="2" borderId="42" xfId="0" applyFont="1" applyFill="1" applyBorder="1">
      <alignment vertical="center"/>
    </xf>
    <xf numFmtId="0" fontId="35" fillId="2" borderId="74" xfId="3" applyFont="1" applyFill="1" applyBorder="1">
      <alignment vertical="center"/>
    </xf>
    <xf numFmtId="176" fontId="35" fillId="27" borderId="95" xfId="0" applyNumberFormat="1" applyFont="1" applyFill="1" applyBorder="1">
      <alignment vertical="center"/>
    </xf>
    <xf numFmtId="176" fontId="35" fillId="27" borderId="69" xfId="0" applyNumberFormat="1" applyFont="1" applyFill="1" applyBorder="1">
      <alignment vertical="center"/>
    </xf>
    <xf numFmtId="176" fontId="35" fillId="27" borderId="28" xfId="0" applyNumberFormat="1" applyFont="1" applyFill="1" applyBorder="1">
      <alignment vertical="center"/>
    </xf>
    <xf numFmtId="176" fontId="35" fillId="2" borderId="90" xfId="0" applyNumberFormat="1" applyFont="1" applyFill="1" applyBorder="1" applyAlignment="1">
      <alignment vertical="center" shrinkToFit="1"/>
    </xf>
    <xf numFmtId="176" fontId="35" fillId="2" borderId="91" xfId="0" applyNumberFormat="1" applyFont="1" applyFill="1" applyBorder="1" applyAlignment="1">
      <alignment vertical="center" shrinkToFit="1"/>
    </xf>
    <xf numFmtId="176" fontId="35" fillId="2" borderId="99" xfId="0" applyNumberFormat="1" applyFont="1" applyFill="1" applyBorder="1" applyAlignment="1">
      <alignment vertical="center" shrinkToFit="1"/>
    </xf>
    <xf numFmtId="176" fontId="35" fillId="2" borderId="92" xfId="0" applyNumberFormat="1" applyFont="1" applyFill="1" applyBorder="1" applyAlignment="1">
      <alignment vertical="center" shrinkToFit="1"/>
    </xf>
    <xf numFmtId="176" fontId="35" fillId="2" borderId="90" xfId="0" applyNumberFormat="1" applyFont="1" applyFill="1" applyBorder="1">
      <alignment vertical="center"/>
    </xf>
    <xf numFmtId="176" fontId="35" fillId="2" borderId="91" xfId="0" applyNumberFormat="1" applyFont="1" applyFill="1" applyBorder="1">
      <alignment vertical="center"/>
    </xf>
    <xf numFmtId="176" fontId="35" fillId="2" borderId="99" xfId="0" applyNumberFormat="1" applyFont="1" applyFill="1" applyBorder="1">
      <alignment vertical="center"/>
    </xf>
    <xf numFmtId="176" fontId="35" fillId="2" borderId="92" xfId="0" applyNumberFormat="1" applyFont="1" applyFill="1" applyBorder="1">
      <alignment vertical="center"/>
    </xf>
    <xf numFmtId="176" fontId="35" fillId="27" borderId="73" xfId="0" applyNumberFormat="1" applyFont="1" applyFill="1" applyBorder="1">
      <alignment vertical="center"/>
    </xf>
    <xf numFmtId="180" fontId="35" fillId="28" borderId="71" xfId="86" applyNumberFormat="1" applyFont="1" applyFill="1" applyBorder="1" applyAlignment="1">
      <alignment horizontal="right" vertical="center"/>
    </xf>
    <xf numFmtId="180" fontId="35" fillId="28" borderId="70" xfId="86" applyNumberFormat="1" applyFont="1" applyFill="1" applyBorder="1" applyAlignment="1">
      <alignment horizontal="right" vertical="center"/>
    </xf>
    <xf numFmtId="177" fontId="35" fillId="27" borderId="95" xfId="0" applyNumberFormat="1" applyFont="1" applyFill="1" applyBorder="1">
      <alignment vertical="center"/>
    </xf>
    <xf numFmtId="177" fontId="35" fillId="27" borderId="69" xfId="0" applyNumberFormat="1" applyFont="1" applyFill="1" applyBorder="1">
      <alignment vertical="center"/>
    </xf>
    <xf numFmtId="177" fontId="35" fillId="27" borderId="28" xfId="0" applyNumberFormat="1" applyFont="1" applyFill="1" applyBorder="1">
      <alignment vertical="center"/>
    </xf>
    <xf numFmtId="177" fontId="35" fillId="27" borderId="73" xfId="0" applyNumberFormat="1" applyFont="1" applyFill="1" applyBorder="1">
      <alignment vertical="center"/>
    </xf>
    <xf numFmtId="176" fontId="35" fillId="27" borderId="73" xfId="0" applyNumberFormat="1" applyFont="1" applyFill="1" applyBorder="1" applyAlignment="1">
      <alignment vertical="center" shrinkToFit="1"/>
    </xf>
    <xf numFmtId="176" fontId="35" fillId="27" borderId="69" xfId="0" applyNumberFormat="1" applyFont="1" applyFill="1" applyBorder="1" applyAlignment="1">
      <alignment vertical="center" shrinkToFit="1"/>
    </xf>
    <xf numFmtId="180" fontId="35" fillId="28" borderId="71" xfId="86" applyNumberFormat="1" applyFont="1" applyFill="1" applyBorder="1" applyAlignment="1">
      <alignment horizontal="right" vertical="center" shrinkToFit="1"/>
    </xf>
    <xf numFmtId="180" fontId="35" fillId="28" borderId="70" xfId="86" applyNumberFormat="1" applyFont="1" applyFill="1" applyBorder="1" applyAlignment="1">
      <alignment horizontal="right" vertical="center" shrinkToFit="1"/>
    </xf>
    <xf numFmtId="180" fontId="35" fillId="29" borderId="71" xfId="86" applyNumberFormat="1" applyFont="1" applyFill="1" applyBorder="1" applyAlignment="1">
      <alignment horizontal="right" vertical="center"/>
    </xf>
    <xf numFmtId="176" fontId="35" fillId="2" borderId="100" xfId="0" applyNumberFormat="1" applyFont="1" applyFill="1" applyBorder="1" applyAlignment="1">
      <alignment vertical="center" shrinkToFit="1"/>
    </xf>
    <xf numFmtId="176" fontId="35" fillId="2" borderId="101" xfId="0" applyNumberFormat="1" applyFont="1" applyFill="1" applyBorder="1" applyAlignment="1">
      <alignment vertical="center" shrinkToFit="1"/>
    </xf>
    <xf numFmtId="180" fontId="35" fillId="2" borderId="102" xfId="86" applyNumberFormat="1" applyFont="1" applyFill="1" applyBorder="1" applyAlignment="1">
      <alignment vertical="center" shrinkToFit="1"/>
    </xf>
    <xf numFmtId="180" fontId="35" fillId="2" borderId="103" xfId="86" applyNumberFormat="1" applyFont="1" applyFill="1" applyBorder="1" applyAlignment="1">
      <alignment vertical="center" shrinkToFit="1"/>
    </xf>
    <xf numFmtId="180" fontId="35" fillId="2" borderId="99" xfId="86" applyNumberFormat="1" applyFont="1" applyFill="1" applyBorder="1">
      <alignment vertical="center"/>
    </xf>
    <xf numFmtId="180" fontId="35" fillId="2" borderId="92" xfId="86" applyNumberFormat="1" applyFont="1" applyFill="1" applyBorder="1">
      <alignment vertical="center"/>
    </xf>
    <xf numFmtId="0" fontId="35" fillId="2" borderId="165" xfId="3" applyFont="1" applyFill="1" applyBorder="1">
      <alignment vertical="center"/>
    </xf>
    <xf numFmtId="176" fontId="35" fillId="27" borderId="157" xfId="0" applyNumberFormat="1" applyFont="1" applyFill="1" applyBorder="1">
      <alignment vertical="center"/>
    </xf>
    <xf numFmtId="176" fontId="35" fillId="27" borderId="164" xfId="0" applyNumberFormat="1" applyFont="1" applyFill="1" applyBorder="1">
      <alignment vertical="center"/>
    </xf>
    <xf numFmtId="180" fontId="35" fillId="28" borderId="163" xfId="86" applyNumberFormat="1" applyFont="1" applyFill="1" applyBorder="1" applyAlignment="1">
      <alignment horizontal="right" vertical="center"/>
    </xf>
    <xf numFmtId="180" fontId="35" fillId="28" borderId="162" xfId="86" applyNumberFormat="1" applyFont="1" applyFill="1" applyBorder="1" applyAlignment="1">
      <alignment horizontal="right" vertical="center"/>
    </xf>
    <xf numFmtId="177" fontId="35" fillId="27" borderId="157" xfId="0" applyNumberFormat="1" applyFont="1" applyFill="1" applyBorder="1">
      <alignment vertical="center"/>
    </xf>
    <xf numFmtId="177" fontId="35" fillId="27" borderId="164" xfId="0" applyNumberFormat="1" applyFont="1" applyFill="1" applyBorder="1">
      <alignment vertical="center"/>
    </xf>
    <xf numFmtId="176" fontId="35" fillId="27" borderId="77" xfId="0" applyNumberFormat="1" applyFont="1" applyFill="1" applyBorder="1">
      <alignment vertical="center"/>
    </xf>
    <xf numFmtId="176" fontId="35" fillId="27" borderId="75" xfId="0" applyNumberFormat="1" applyFont="1" applyFill="1" applyBorder="1">
      <alignment vertical="center"/>
    </xf>
    <xf numFmtId="180" fontId="35" fillId="28" borderId="74" xfId="86" applyNumberFormat="1" applyFont="1" applyFill="1" applyBorder="1" applyAlignment="1">
      <alignment horizontal="right" vertical="center"/>
    </xf>
    <xf numFmtId="180" fontId="35" fillId="28" borderId="78" xfId="86" applyNumberFormat="1" applyFont="1" applyFill="1" applyBorder="1" applyAlignment="1">
      <alignment horizontal="right" vertical="center"/>
    </xf>
    <xf numFmtId="0" fontId="6" fillId="2" borderId="6" xfId="3" applyFill="1" applyBorder="1">
      <alignment vertical="center"/>
    </xf>
    <xf numFmtId="176" fontId="35" fillId="0" borderId="37" xfId="0" applyNumberFormat="1" applyFont="1" applyBorder="1">
      <alignment vertical="center"/>
    </xf>
    <xf numFmtId="176" fontId="35" fillId="0" borderId="39" xfId="0" applyNumberFormat="1" applyFont="1" applyBorder="1">
      <alignment vertical="center"/>
    </xf>
    <xf numFmtId="176" fontId="35" fillId="0" borderId="7" xfId="0" applyNumberFormat="1" applyFont="1" applyBorder="1">
      <alignment vertical="center"/>
    </xf>
    <xf numFmtId="176" fontId="35" fillId="0" borderId="41" xfId="0" applyNumberFormat="1" applyFont="1" applyBorder="1">
      <alignment vertical="center"/>
    </xf>
    <xf numFmtId="180" fontId="35" fillId="0" borderId="40" xfId="86" applyNumberFormat="1" applyFont="1" applyFill="1" applyBorder="1">
      <alignment vertical="center"/>
    </xf>
    <xf numFmtId="180" fontId="35" fillId="0" borderId="42" xfId="86" applyNumberFormat="1" applyFont="1" applyFill="1" applyBorder="1">
      <alignment vertical="center"/>
    </xf>
    <xf numFmtId="0" fontId="35" fillId="2" borderId="0" xfId="3" applyFont="1" applyFill="1" applyAlignment="1">
      <alignment horizontal="left" vertical="top"/>
    </xf>
    <xf numFmtId="176" fontId="35" fillId="27" borderId="93" xfId="0" applyNumberFormat="1" applyFont="1" applyFill="1" applyBorder="1">
      <alignment vertical="center"/>
    </xf>
    <xf numFmtId="176" fontId="35" fillId="27" borderId="14" xfId="0" applyNumberFormat="1" applyFont="1" applyFill="1" applyBorder="1">
      <alignment vertical="center"/>
    </xf>
    <xf numFmtId="0" fontId="35" fillId="2" borderId="44" xfId="3" applyFont="1" applyFill="1" applyBorder="1" applyAlignment="1">
      <alignment horizontal="left" vertical="top"/>
    </xf>
    <xf numFmtId="0" fontId="35" fillId="2" borderId="45" xfId="3" applyFont="1" applyFill="1" applyBorder="1">
      <alignment vertical="center"/>
    </xf>
    <xf numFmtId="176" fontId="35" fillId="27" borderId="37" xfId="0" applyNumberFormat="1" applyFont="1" applyFill="1" applyBorder="1">
      <alignment vertical="center"/>
    </xf>
    <xf numFmtId="176" fontId="35" fillId="27" borderId="39" xfId="0" applyNumberFormat="1" applyFont="1" applyFill="1" applyBorder="1">
      <alignment vertical="center"/>
    </xf>
    <xf numFmtId="176" fontId="35" fillId="27" borderId="7" xfId="0" applyNumberFormat="1" applyFont="1" applyFill="1" applyBorder="1">
      <alignment vertical="center"/>
    </xf>
    <xf numFmtId="176" fontId="35" fillId="27" borderId="41" xfId="0" applyNumberFormat="1" applyFont="1" applyFill="1" applyBorder="1" applyAlignment="1">
      <alignment vertical="center" shrinkToFit="1"/>
    </xf>
    <xf numFmtId="176" fontId="35" fillId="27" borderId="39" xfId="0" applyNumberFormat="1" applyFont="1" applyFill="1" applyBorder="1" applyAlignment="1">
      <alignment vertical="center" shrinkToFit="1"/>
    </xf>
    <xf numFmtId="180" fontId="35" fillId="28" borderId="40" xfId="86" applyNumberFormat="1" applyFont="1" applyFill="1" applyBorder="1" applyAlignment="1">
      <alignment horizontal="right" vertical="center" shrinkToFit="1"/>
    </xf>
    <xf numFmtId="180" fontId="35" fillId="28" borderId="42" xfId="86" applyNumberFormat="1" applyFont="1" applyFill="1" applyBorder="1" applyAlignment="1">
      <alignment horizontal="right" vertical="center" shrinkToFit="1"/>
    </xf>
    <xf numFmtId="3" fontId="6" fillId="2" borderId="47" xfId="3" applyNumberFormat="1" applyFill="1" applyBorder="1" applyAlignment="1">
      <alignment horizontal="left" vertical="top"/>
    </xf>
    <xf numFmtId="0" fontId="35" fillId="2" borderId="65" xfId="3" applyFont="1" applyFill="1" applyBorder="1">
      <alignment vertical="center"/>
    </xf>
    <xf numFmtId="176" fontId="35" fillId="27" borderId="96" xfId="0" applyNumberFormat="1" applyFont="1" applyFill="1" applyBorder="1">
      <alignment vertical="center"/>
    </xf>
    <xf numFmtId="176" fontId="35" fillId="27" borderId="66" xfId="0" applyNumberFormat="1" applyFont="1" applyFill="1" applyBorder="1">
      <alignment vertical="center"/>
    </xf>
    <xf numFmtId="176" fontId="35" fillId="27" borderId="19" xfId="0" applyNumberFormat="1" applyFont="1" applyFill="1" applyBorder="1">
      <alignment vertical="center"/>
    </xf>
    <xf numFmtId="176" fontId="35" fillId="27" borderId="67" xfId="0" applyNumberFormat="1" applyFont="1" applyFill="1" applyBorder="1">
      <alignment vertical="center"/>
    </xf>
    <xf numFmtId="180" fontId="35" fillId="28" borderId="65" xfId="86" applyNumberFormat="1" applyFont="1" applyFill="1" applyBorder="1" applyAlignment="1">
      <alignment horizontal="right" vertical="center"/>
    </xf>
    <xf numFmtId="180" fontId="35" fillId="28" borderId="68" xfId="86" applyNumberFormat="1" applyFont="1" applyFill="1" applyBorder="1" applyAlignment="1">
      <alignment horizontal="right" vertical="center"/>
    </xf>
    <xf numFmtId="0" fontId="35" fillId="2" borderId="31" xfId="3" applyFont="1" applyFill="1" applyBorder="1">
      <alignment vertical="center"/>
    </xf>
    <xf numFmtId="0" fontId="35" fillId="2" borderId="3" xfId="3" applyFont="1" applyFill="1" applyBorder="1">
      <alignment vertical="center"/>
    </xf>
    <xf numFmtId="176" fontId="35" fillId="28" borderId="46" xfId="0" applyNumberFormat="1" applyFont="1" applyFill="1" applyBorder="1" applyAlignment="1">
      <alignment vertical="center" shrinkToFit="1"/>
    </xf>
    <xf numFmtId="176" fontId="35" fillId="28" borderId="30" xfId="0" applyNumberFormat="1" applyFont="1" applyFill="1" applyBorder="1" applyAlignment="1">
      <alignment vertical="center" shrinkToFit="1"/>
    </xf>
    <xf numFmtId="176" fontId="35" fillId="28" borderId="55" xfId="0" applyNumberFormat="1" applyFont="1" applyFill="1" applyBorder="1" applyAlignment="1">
      <alignment vertical="center" shrinkToFit="1"/>
    </xf>
    <xf numFmtId="176" fontId="35" fillId="28" borderId="17" xfId="0" applyNumberFormat="1" applyFont="1" applyFill="1" applyBorder="1" applyAlignment="1">
      <alignment vertical="center" shrinkToFit="1"/>
    </xf>
    <xf numFmtId="180" fontId="35" fillId="28" borderId="49" xfId="86" applyNumberFormat="1" applyFont="1" applyFill="1" applyBorder="1" applyAlignment="1">
      <alignment horizontal="right" vertical="center" shrinkToFit="1"/>
    </xf>
    <xf numFmtId="180" fontId="35" fillId="28" borderId="50" xfId="86" applyNumberFormat="1" applyFont="1" applyFill="1" applyBorder="1" applyAlignment="1">
      <alignment horizontal="right" vertical="center" shrinkToFit="1"/>
    </xf>
    <xf numFmtId="0" fontId="35" fillId="2" borderId="0" xfId="3" applyFont="1" applyFill="1">
      <alignment vertical="center"/>
    </xf>
    <xf numFmtId="176" fontId="35" fillId="2" borderId="0" xfId="0" applyNumberFormat="1" applyFont="1" applyFill="1" applyAlignment="1">
      <alignment vertical="center" shrinkToFit="1"/>
    </xf>
    <xf numFmtId="0" fontId="35" fillId="2" borderId="51" xfId="0" applyFont="1" applyFill="1" applyBorder="1">
      <alignment vertical="center"/>
    </xf>
    <xf numFmtId="0" fontId="35" fillId="2" borderId="36" xfId="3" applyFont="1" applyFill="1" applyBorder="1">
      <alignment vertical="center"/>
    </xf>
    <xf numFmtId="0" fontId="6" fillId="2" borderId="51" xfId="3" applyFill="1" applyBorder="1">
      <alignment vertical="center"/>
    </xf>
    <xf numFmtId="0" fontId="35" fillId="2" borderId="37" xfId="0" applyFont="1" applyFill="1" applyBorder="1">
      <alignment vertical="center"/>
    </xf>
    <xf numFmtId="0" fontId="35" fillId="2" borderId="38" xfId="0" applyFont="1" applyFill="1" applyBorder="1">
      <alignment vertical="center"/>
    </xf>
    <xf numFmtId="176" fontId="35" fillId="27" borderId="95" xfId="0" applyNumberFormat="1" applyFont="1" applyFill="1" applyBorder="1" applyAlignment="1">
      <alignment vertical="center" shrinkToFit="1"/>
    </xf>
    <xf numFmtId="176" fontId="35" fillId="27" borderId="72" xfId="0" applyNumberFormat="1" applyFont="1" applyFill="1" applyBorder="1" applyAlignment="1">
      <alignment vertical="center" shrinkToFit="1"/>
    </xf>
    <xf numFmtId="176" fontId="35" fillId="27" borderId="71" xfId="0" applyNumberFormat="1" applyFont="1" applyFill="1" applyBorder="1" applyAlignment="1">
      <alignment vertical="center" shrinkToFit="1"/>
    </xf>
    <xf numFmtId="177" fontId="35" fillId="27" borderId="95" xfId="0" applyNumberFormat="1" applyFont="1" applyFill="1" applyBorder="1" applyAlignment="1">
      <alignment vertical="center" shrinkToFit="1"/>
    </xf>
    <xf numFmtId="177" fontId="35" fillId="27" borderId="69" xfId="0" applyNumberFormat="1" applyFont="1" applyFill="1" applyBorder="1" applyAlignment="1">
      <alignment vertical="center" shrinkToFit="1"/>
    </xf>
    <xf numFmtId="177" fontId="35" fillId="27" borderId="72" xfId="0" applyNumberFormat="1" applyFont="1" applyFill="1" applyBorder="1" applyAlignment="1">
      <alignment vertical="center" shrinkToFit="1"/>
    </xf>
    <xf numFmtId="177" fontId="35" fillId="27" borderId="73" xfId="0" applyNumberFormat="1" applyFont="1" applyFill="1" applyBorder="1" applyAlignment="1">
      <alignment vertical="center" shrinkToFit="1"/>
    </xf>
    <xf numFmtId="177" fontId="35" fillId="27" borderId="71" xfId="0" applyNumberFormat="1" applyFont="1" applyFill="1" applyBorder="1" applyAlignment="1">
      <alignment vertical="center" shrinkToFit="1"/>
    </xf>
    <xf numFmtId="176" fontId="35" fillId="27" borderId="157" xfId="0" applyNumberFormat="1" applyFont="1" applyFill="1" applyBorder="1" applyAlignment="1">
      <alignment vertical="center" shrinkToFit="1"/>
    </xf>
    <xf numFmtId="176" fontId="35" fillId="27" borderId="163" xfId="0" applyNumberFormat="1" applyFont="1" applyFill="1" applyBorder="1" applyAlignment="1">
      <alignment vertical="center" shrinkToFit="1"/>
    </xf>
    <xf numFmtId="180" fontId="35" fillId="28" borderId="163" xfId="86" applyNumberFormat="1" applyFont="1" applyFill="1" applyBorder="1" applyAlignment="1">
      <alignment horizontal="right" vertical="center" shrinkToFit="1"/>
    </xf>
    <xf numFmtId="180" fontId="35" fillId="28" borderId="162" xfId="86" applyNumberFormat="1" applyFont="1" applyFill="1" applyBorder="1" applyAlignment="1">
      <alignment horizontal="right" vertical="center" shrinkToFit="1"/>
    </xf>
    <xf numFmtId="177" fontId="35" fillId="27" borderId="157" xfId="0" applyNumberFormat="1" applyFont="1" applyFill="1" applyBorder="1" applyAlignment="1">
      <alignment vertical="center" shrinkToFit="1"/>
    </xf>
    <xf numFmtId="177" fontId="35" fillId="27" borderId="163" xfId="0" applyNumberFormat="1" applyFont="1" applyFill="1" applyBorder="1" applyAlignment="1">
      <alignment vertical="center" shrinkToFit="1"/>
    </xf>
    <xf numFmtId="176" fontId="35" fillId="27" borderId="67" xfId="0" applyNumberFormat="1" applyFont="1" applyFill="1" applyBorder="1" applyAlignment="1">
      <alignment vertical="center" shrinkToFit="1"/>
    </xf>
    <xf numFmtId="176" fontId="35" fillId="27" borderId="66" xfId="0" applyNumberFormat="1" applyFont="1" applyFill="1" applyBorder="1" applyAlignment="1">
      <alignment vertical="center" shrinkToFit="1"/>
    </xf>
    <xf numFmtId="176" fontId="35" fillId="27" borderId="65" xfId="0" applyNumberFormat="1" applyFont="1" applyFill="1" applyBorder="1" applyAlignment="1">
      <alignment vertical="center" shrinkToFit="1"/>
    </xf>
    <xf numFmtId="0" fontId="6" fillId="2" borderId="52" xfId="3" applyFill="1" applyBorder="1">
      <alignment vertical="center"/>
    </xf>
    <xf numFmtId="176" fontId="35" fillId="2" borderId="37" xfId="0" applyNumberFormat="1" applyFont="1" applyFill="1" applyBorder="1" applyAlignment="1">
      <alignment vertical="center" shrinkToFit="1"/>
    </xf>
    <xf numFmtId="176" fontId="35" fillId="2" borderId="39" xfId="0" applyNumberFormat="1" applyFont="1" applyFill="1" applyBorder="1" applyAlignment="1">
      <alignment vertical="center" shrinkToFit="1"/>
    </xf>
    <xf numFmtId="176" fontId="35" fillId="2" borderId="7" xfId="0" applyNumberFormat="1" applyFont="1" applyFill="1" applyBorder="1" applyAlignment="1">
      <alignment vertical="center" shrinkToFit="1"/>
    </xf>
    <xf numFmtId="176" fontId="35" fillId="2" borderId="38" xfId="0" applyNumberFormat="1" applyFont="1" applyFill="1" applyBorder="1" applyAlignment="1">
      <alignment vertical="center" shrinkToFit="1"/>
    </xf>
    <xf numFmtId="176" fontId="35" fillId="2" borderId="40" xfId="0" applyNumberFormat="1" applyFont="1" applyFill="1" applyBorder="1" applyAlignment="1">
      <alignment vertical="center" shrinkToFit="1"/>
    </xf>
    <xf numFmtId="180" fontId="35" fillId="2" borderId="40" xfId="86" applyNumberFormat="1" applyFont="1" applyFill="1" applyBorder="1">
      <alignment vertical="center"/>
    </xf>
    <xf numFmtId="176" fontId="35" fillId="2" borderId="41" xfId="0" applyNumberFormat="1" applyFont="1" applyFill="1" applyBorder="1" applyAlignment="1">
      <alignment vertical="center" shrinkToFit="1"/>
    </xf>
    <xf numFmtId="180" fontId="35" fillId="2" borderId="42" xfId="86" applyNumberFormat="1" applyFont="1" applyFill="1" applyBorder="1">
      <alignment vertical="center"/>
    </xf>
    <xf numFmtId="176" fontId="35" fillId="27" borderId="28" xfId="0" applyNumberFormat="1" applyFont="1" applyFill="1" applyBorder="1" applyAlignment="1">
      <alignment vertical="center" shrinkToFit="1"/>
    </xf>
    <xf numFmtId="177" fontId="35" fillId="27" borderId="28" xfId="0" applyNumberFormat="1" applyFont="1" applyFill="1" applyBorder="1" applyAlignment="1">
      <alignment vertical="center" shrinkToFit="1"/>
    </xf>
    <xf numFmtId="0" fontId="6" fillId="2" borderId="29" xfId="3" applyFill="1" applyBorder="1" applyAlignment="1">
      <alignment horizontal="left" vertical="top"/>
    </xf>
    <xf numFmtId="176" fontId="35" fillId="27" borderId="79" xfId="0" applyNumberFormat="1" applyFont="1" applyFill="1" applyBorder="1" applyAlignment="1">
      <alignment vertical="center" shrinkToFit="1"/>
    </xf>
    <xf numFmtId="176" fontId="35" fillId="27" borderId="75" xfId="0" applyNumberFormat="1" applyFont="1" applyFill="1" applyBorder="1" applyAlignment="1">
      <alignment vertical="center" shrinkToFit="1"/>
    </xf>
    <xf numFmtId="176" fontId="35" fillId="27" borderId="74" xfId="0" applyNumberFormat="1" applyFont="1" applyFill="1" applyBorder="1" applyAlignment="1">
      <alignment vertical="center" shrinkToFit="1"/>
    </xf>
    <xf numFmtId="176" fontId="35" fillId="27" borderId="77" xfId="0" applyNumberFormat="1" applyFont="1" applyFill="1" applyBorder="1" applyAlignment="1">
      <alignment vertical="center" shrinkToFit="1"/>
    </xf>
    <xf numFmtId="0" fontId="6" fillId="2" borderId="36" xfId="2" applyFill="1" applyBorder="1" applyAlignment="1">
      <alignment vertical="center"/>
    </xf>
    <xf numFmtId="0" fontId="6" fillId="2" borderId="40" xfId="3" applyFill="1" applyBorder="1" applyAlignment="1">
      <alignment horizontal="left" vertical="top"/>
    </xf>
    <xf numFmtId="176" fontId="35" fillId="0" borderId="90" xfId="0" applyNumberFormat="1" applyFont="1" applyBorder="1" applyAlignment="1">
      <alignment vertical="center" shrinkToFit="1"/>
    </xf>
    <xf numFmtId="180" fontId="35" fillId="0" borderId="92" xfId="86" applyNumberFormat="1" applyFont="1" applyFill="1" applyBorder="1" applyAlignment="1">
      <alignment horizontal="right" vertical="center" shrinkToFit="1"/>
    </xf>
    <xf numFmtId="176" fontId="35" fillId="27" borderId="93" xfId="0" applyNumberFormat="1" applyFont="1" applyFill="1" applyBorder="1" applyAlignment="1">
      <alignment vertical="center" shrinkToFit="1"/>
    </xf>
    <xf numFmtId="176" fontId="35" fillId="27" borderId="14" xfId="0" applyNumberFormat="1" applyFont="1" applyFill="1" applyBorder="1" applyAlignment="1">
      <alignment vertical="center" shrinkToFit="1"/>
    </xf>
    <xf numFmtId="176" fontId="35" fillId="27" borderId="76" xfId="0" applyNumberFormat="1" applyFont="1" applyFill="1" applyBorder="1" applyAlignment="1">
      <alignment vertical="center" shrinkToFit="1"/>
    </xf>
    <xf numFmtId="176" fontId="35" fillId="0" borderId="154" xfId="0" applyNumberFormat="1" applyFont="1" applyBorder="1" applyAlignment="1">
      <alignment vertical="center" shrinkToFit="1"/>
    </xf>
    <xf numFmtId="180" fontId="35" fillId="0" borderId="155" xfId="86" applyNumberFormat="1" applyFont="1" applyFill="1" applyBorder="1" applyAlignment="1">
      <alignment horizontal="right" vertical="center"/>
    </xf>
    <xf numFmtId="0" fontId="35" fillId="2" borderId="23" xfId="3" applyFont="1" applyFill="1" applyBorder="1" applyAlignment="1">
      <alignment horizontal="left" vertical="top" wrapText="1"/>
    </xf>
    <xf numFmtId="0" fontId="35" fillId="2" borderId="22" xfId="3" applyFont="1" applyFill="1" applyBorder="1">
      <alignment vertical="center"/>
    </xf>
    <xf numFmtId="176" fontId="35" fillId="27" borderId="37" xfId="0" applyNumberFormat="1" applyFont="1" applyFill="1" applyBorder="1" applyAlignment="1">
      <alignment vertical="center" shrinkToFit="1"/>
    </xf>
    <xf numFmtId="176" fontId="35" fillId="27" borderId="7" xfId="0" applyNumberFormat="1" applyFont="1" applyFill="1" applyBorder="1" applyAlignment="1">
      <alignment vertical="center" shrinkToFit="1"/>
    </xf>
    <xf numFmtId="176" fontId="35" fillId="27" borderId="38" xfId="0" applyNumberFormat="1" applyFont="1" applyFill="1" applyBorder="1" applyAlignment="1">
      <alignment vertical="center" shrinkToFit="1"/>
    </xf>
    <xf numFmtId="176" fontId="35" fillId="27" borderId="40" xfId="0" applyNumberFormat="1" applyFont="1" applyFill="1" applyBorder="1" applyAlignment="1">
      <alignment vertical="center" shrinkToFit="1"/>
    </xf>
    <xf numFmtId="176" fontId="35" fillId="27" borderId="96" xfId="0" applyNumberFormat="1" applyFont="1" applyFill="1" applyBorder="1" applyAlignment="1">
      <alignment vertical="center" shrinkToFit="1"/>
    </xf>
    <xf numFmtId="176" fontId="35" fillId="27" borderId="19" xfId="0" applyNumberFormat="1" applyFont="1" applyFill="1" applyBorder="1" applyAlignment="1">
      <alignment vertical="center" shrinkToFit="1"/>
    </xf>
    <xf numFmtId="0" fontId="37" fillId="2" borderId="0" xfId="0" applyFont="1" applyFill="1">
      <alignment vertical="center"/>
    </xf>
    <xf numFmtId="177" fontId="35" fillId="2" borderId="0" xfId="0" applyNumberFormat="1" applyFont="1" applyFill="1">
      <alignment vertical="center"/>
    </xf>
    <xf numFmtId="0" fontId="6" fillId="2" borderId="33" xfId="2" applyFill="1" applyBorder="1" applyAlignment="1">
      <alignment horizontal="center" vertical="center"/>
    </xf>
    <xf numFmtId="0" fontId="35" fillId="2" borderId="43" xfId="3" applyFont="1" applyFill="1" applyBorder="1">
      <alignment vertical="center"/>
    </xf>
    <xf numFmtId="0" fontId="6" fillId="2" borderId="51" xfId="3" applyFill="1" applyBorder="1" applyAlignment="1">
      <alignment horizontal="left" vertical="top"/>
    </xf>
    <xf numFmtId="0" fontId="35" fillId="2" borderId="125" xfId="3" applyFont="1" applyFill="1" applyBorder="1">
      <alignment vertical="center"/>
    </xf>
    <xf numFmtId="176" fontId="35" fillId="2" borderId="12" xfId="0" applyNumberFormat="1" applyFont="1" applyFill="1" applyBorder="1" applyAlignment="1">
      <alignment vertical="center" shrinkToFit="1"/>
    </xf>
    <xf numFmtId="176" fontId="35" fillId="2" borderId="29" xfId="0" applyNumberFormat="1" applyFont="1" applyFill="1" applyBorder="1" applyAlignment="1">
      <alignment vertical="center" shrinkToFit="1"/>
    </xf>
    <xf numFmtId="176" fontId="35" fillId="2" borderId="22" xfId="0" applyNumberFormat="1" applyFont="1" applyFill="1" applyBorder="1" applyAlignment="1">
      <alignment vertical="center" shrinkToFit="1"/>
    </xf>
    <xf numFmtId="176" fontId="35" fillId="2" borderId="36" xfId="0" applyNumberFormat="1" applyFont="1" applyFill="1" applyBorder="1" applyAlignment="1">
      <alignment vertical="center" shrinkToFit="1"/>
    </xf>
    <xf numFmtId="176" fontId="35" fillId="2" borderId="152" xfId="0" applyNumberFormat="1" applyFont="1" applyFill="1" applyBorder="1" applyAlignment="1">
      <alignment vertical="center" shrinkToFit="1"/>
    </xf>
    <xf numFmtId="0" fontId="6" fillId="2" borderId="71" xfId="3" applyFill="1" applyBorder="1" applyAlignment="1">
      <alignment horizontal="left" vertical="top"/>
    </xf>
    <xf numFmtId="0" fontId="35" fillId="2" borderId="28" xfId="3" applyFont="1" applyFill="1" applyBorder="1">
      <alignment vertical="center"/>
    </xf>
    <xf numFmtId="176" fontId="35" fillId="2" borderId="157" xfId="0" applyNumberFormat="1" applyFont="1" applyFill="1" applyBorder="1" applyAlignment="1">
      <alignment vertical="center" shrinkToFit="1"/>
    </xf>
    <xf numFmtId="176" fontId="35" fillId="2" borderId="69" xfId="0" applyNumberFormat="1" applyFont="1" applyFill="1" applyBorder="1" applyAlignment="1">
      <alignment vertical="center" shrinkToFit="1"/>
    </xf>
    <xf numFmtId="176" fontId="35" fillId="2" borderId="72" xfId="0" applyNumberFormat="1" applyFont="1" applyFill="1" applyBorder="1" applyAlignment="1">
      <alignment vertical="center" shrinkToFit="1"/>
    </xf>
    <xf numFmtId="176" fontId="35" fillId="2" borderId="106" xfId="0" applyNumberFormat="1" applyFont="1" applyFill="1" applyBorder="1" applyAlignment="1">
      <alignment vertical="center" shrinkToFit="1"/>
    </xf>
    <xf numFmtId="176" fontId="35" fillId="2" borderId="73" xfId="0" applyNumberFormat="1" applyFont="1" applyFill="1" applyBorder="1" applyAlignment="1">
      <alignment vertical="center" shrinkToFit="1"/>
    </xf>
    <xf numFmtId="176" fontId="35" fillId="2" borderId="163" xfId="0" applyNumberFormat="1" applyFont="1" applyFill="1" applyBorder="1" applyAlignment="1">
      <alignment vertical="center" shrinkToFit="1"/>
    </xf>
    <xf numFmtId="0" fontId="35" fillId="2" borderId="17" xfId="3" applyFont="1" applyFill="1" applyBorder="1">
      <alignment vertical="center"/>
    </xf>
    <xf numFmtId="0" fontId="6" fillId="2" borderId="65" xfId="3" applyFill="1" applyBorder="1" applyAlignment="1">
      <alignment horizontal="left" vertical="top"/>
    </xf>
    <xf numFmtId="0" fontId="35" fillId="2" borderId="19" xfId="3" applyFont="1" applyFill="1" applyBorder="1">
      <alignment vertical="center"/>
    </xf>
    <xf numFmtId="176" fontId="35" fillId="2" borderId="67" xfId="0" applyNumberFormat="1" applyFont="1" applyFill="1" applyBorder="1" applyAlignment="1">
      <alignment vertical="center" shrinkToFit="1"/>
    </xf>
    <xf numFmtId="176" fontId="35" fillId="2" borderId="66" xfId="0" applyNumberFormat="1" applyFont="1" applyFill="1" applyBorder="1" applyAlignment="1">
      <alignment vertical="center" shrinkToFit="1"/>
    </xf>
    <xf numFmtId="176" fontId="35" fillId="2" borderId="65" xfId="0" applyNumberFormat="1" applyFont="1" applyFill="1" applyBorder="1" applyAlignment="1">
      <alignment vertical="center" shrinkToFit="1"/>
    </xf>
    <xf numFmtId="176" fontId="35" fillId="2" borderId="107" xfId="0" applyNumberFormat="1" applyFont="1" applyFill="1" applyBorder="1" applyAlignment="1">
      <alignment vertical="center" shrinkToFit="1"/>
    </xf>
    <xf numFmtId="0" fontId="35" fillId="2" borderId="28" xfId="0" applyFont="1" applyFill="1" applyBorder="1">
      <alignment vertical="center"/>
    </xf>
    <xf numFmtId="0" fontId="35" fillId="2" borderId="19" xfId="0" applyFont="1" applyFill="1" applyBorder="1">
      <alignment vertical="center"/>
    </xf>
    <xf numFmtId="0" fontId="28" fillId="0" borderId="0" xfId="0" applyFont="1">
      <alignment vertical="center"/>
    </xf>
    <xf numFmtId="0" fontId="28" fillId="0" borderId="0" xfId="0" applyFont="1" applyAlignment="1">
      <alignment horizontal="right" vertical="center"/>
    </xf>
    <xf numFmtId="14" fontId="28" fillId="0" borderId="0" xfId="0" applyNumberFormat="1" applyFont="1" applyAlignment="1">
      <alignment horizontal="left" vertical="center"/>
    </xf>
    <xf numFmtId="0" fontId="6" fillId="2" borderId="0" xfId="1" applyFont="1" applyFill="1" applyBorder="1" applyAlignment="1" applyProtection="1">
      <alignment vertical="center"/>
    </xf>
    <xf numFmtId="0" fontId="6" fillId="2" borderId="0" xfId="1" applyFont="1" applyFill="1" applyBorder="1" applyAlignment="1" applyProtection="1">
      <alignment horizontal="left" vertical="top"/>
    </xf>
    <xf numFmtId="0" fontId="28" fillId="2" borderId="14" xfId="0" applyFont="1" applyFill="1" applyBorder="1">
      <alignment vertical="center"/>
    </xf>
    <xf numFmtId="0" fontId="28" fillId="2" borderId="51" xfId="0" applyFont="1" applyFill="1" applyBorder="1" applyAlignment="1">
      <alignment horizontal="left" vertical="top"/>
    </xf>
    <xf numFmtId="0" fontId="36" fillId="2" borderId="51" xfId="0" applyFont="1" applyFill="1" applyBorder="1">
      <alignment vertical="center"/>
    </xf>
    <xf numFmtId="176" fontId="28" fillId="2" borderId="0" xfId="0" applyNumberFormat="1" applyFont="1" applyFill="1" applyAlignment="1">
      <alignment vertical="center" shrinkToFit="1"/>
    </xf>
    <xf numFmtId="0" fontId="28" fillId="2" borderId="27" xfId="0" applyFont="1" applyFill="1" applyBorder="1" applyAlignment="1">
      <alignment horizontal="left" vertical="top"/>
    </xf>
    <xf numFmtId="0" fontId="28" fillId="2" borderId="29" xfId="0" applyFont="1" applyFill="1" applyBorder="1" applyAlignment="1">
      <alignment horizontal="left" vertical="top"/>
    </xf>
    <xf numFmtId="0" fontId="28" fillId="2" borderId="17" xfId="0" applyFont="1" applyFill="1" applyBorder="1">
      <alignment vertical="center"/>
    </xf>
    <xf numFmtId="0" fontId="28" fillId="2" borderId="30" xfId="0" applyFont="1" applyFill="1" applyBorder="1" applyAlignment="1">
      <alignment horizontal="left" vertical="top"/>
    </xf>
    <xf numFmtId="0" fontId="6" fillId="2" borderId="4" xfId="2" applyFill="1" applyBorder="1" applyAlignment="1">
      <alignment horizontal="center" vertical="center"/>
    </xf>
    <xf numFmtId="0" fontId="28" fillId="2" borderId="43" xfId="3" applyFont="1" applyFill="1" applyBorder="1">
      <alignment vertical="center"/>
    </xf>
    <xf numFmtId="0" fontId="28" fillId="2" borderId="51" xfId="3" applyFont="1" applyFill="1" applyBorder="1">
      <alignment vertical="center"/>
    </xf>
    <xf numFmtId="0" fontId="28" fillId="2" borderId="96" xfId="3" applyFont="1" applyFill="1" applyBorder="1">
      <alignment vertical="center"/>
    </xf>
    <xf numFmtId="0" fontId="6" fillId="2" borderId="94" xfId="3" applyFill="1" applyBorder="1" applyAlignment="1">
      <alignment horizontal="left" vertical="top"/>
    </xf>
    <xf numFmtId="0" fontId="28" fillId="2" borderId="94" xfId="3" applyFont="1" applyFill="1" applyBorder="1">
      <alignment vertical="center"/>
    </xf>
    <xf numFmtId="0" fontId="28" fillId="2" borderId="31" xfId="3" applyFont="1" applyFill="1" applyBorder="1">
      <alignment vertical="center"/>
    </xf>
    <xf numFmtId="0" fontId="28" fillId="2" borderId="32" xfId="3" applyFont="1" applyFill="1" applyBorder="1">
      <alignment vertical="center"/>
    </xf>
    <xf numFmtId="0" fontId="28" fillId="2" borderId="0" xfId="3" applyFont="1" applyFill="1">
      <alignment vertical="center"/>
    </xf>
    <xf numFmtId="0" fontId="28" fillId="2" borderId="8" xfId="3" applyFont="1" applyFill="1" applyBorder="1">
      <alignment vertical="center"/>
    </xf>
    <xf numFmtId="0" fontId="28" fillId="2" borderId="52" xfId="3" applyFont="1" applyFill="1" applyBorder="1">
      <alignment vertical="center"/>
    </xf>
    <xf numFmtId="0" fontId="28" fillId="2" borderId="98" xfId="3" applyFont="1" applyFill="1" applyBorder="1">
      <alignment vertical="center"/>
    </xf>
    <xf numFmtId="0" fontId="6" fillId="2" borderId="77" xfId="2" applyFill="1" applyBorder="1" applyAlignment="1">
      <alignment vertical="center"/>
    </xf>
    <xf numFmtId="0" fontId="6" fillId="2" borderId="74" xfId="3" applyFill="1" applyBorder="1" applyAlignment="1">
      <alignment horizontal="left" vertical="top"/>
    </xf>
    <xf numFmtId="0" fontId="28" fillId="2" borderId="85" xfId="3" applyFont="1" applyFill="1" applyBorder="1">
      <alignment vertical="center"/>
    </xf>
    <xf numFmtId="0" fontId="28" fillId="2" borderId="32" xfId="0" applyFont="1" applyFill="1" applyBorder="1" applyAlignment="1">
      <alignment horizontal="left" vertical="top"/>
    </xf>
    <xf numFmtId="0" fontId="28" fillId="2" borderId="53" xfId="0" applyFont="1" applyFill="1" applyBorder="1" applyAlignment="1">
      <alignment horizontal="left" vertical="top"/>
    </xf>
    <xf numFmtId="176" fontId="28" fillId="27" borderId="17" xfId="0" applyNumberFormat="1" applyFont="1" applyFill="1" applyBorder="1" applyAlignment="1">
      <alignment vertical="center" shrinkToFit="1"/>
    </xf>
    <xf numFmtId="176" fontId="28" fillId="27" borderId="30" xfId="0" applyNumberFormat="1" applyFont="1" applyFill="1" applyBorder="1" applyAlignment="1">
      <alignment vertical="center" shrinkToFit="1"/>
    </xf>
    <xf numFmtId="176" fontId="28" fillId="27" borderId="49" xfId="0" applyNumberFormat="1" applyFont="1" applyFill="1" applyBorder="1" applyAlignment="1">
      <alignment vertical="center" shrinkToFit="1"/>
    </xf>
    <xf numFmtId="0" fontId="33" fillId="0" borderId="0" xfId="0" applyFont="1">
      <alignment vertical="center"/>
    </xf>
    <xf numFmtId="0" fontId="28" fillId="2" borderId="6" xfId="0" applyFont="1" applyFill="1" applyBorder="1" applyAlignment="1">
      <alignment horizontal="left" vertical="top"/>
    </xf>
    <xf numFmtId="0" fontId="28" fillId="2" borderId="94" xfId="0" applyFont="1" applyFill="1" applyBorder="1" applyAlignment="1">
      <alignment horizontal="left" vertical="top"/>
    </xf>
    <xf numFmtId="176" fontId="35" fillId="2" borderId="0" xfId="0" applyNumberFormat="1" applyFont="1" applyFill="1">
      <alignment vertical="center"/>
    </xf>
    <xf numFmtId="0" fontId="35" fillId="2" borderId="31" xfId="0" applyFont="1" applyFill="1" applyBorder="1">
      <alignment vertical="center"/>
    </xf>
    <xf numFmtId="0" fontId="35" fillId="2" borderId="32" xfId="0" applyFont="1" applyFill="1" applyBorder="1" applyAlignment="1">
      <alignment horizontal="left" vertical="top"/>
    </xf>
    <xf numFmtId="0" fontId="35" fillId="2" borderId="32" xfId="0" applyFont="1" applyFill="1" applyBorder="1">
      <alignment vertical="center"/>
    </xf>
    <xf numFmtId="0" fontId="35" fillId="2" borderId="6" xfId="0" applyFont="1" applyFill="1" applyBorder="1" applyAlignment="1">
      <alignment horizontal="left" vertical="top"/>
    </xf>
    <xf numFmtId="0" fontId="35" fillId="2" borderId="6" xfId="0" applyFont="1" applyFill="1" applyBorder="1">
      <alignment vertical="center"/>
    </xf>
    <xf numFmtId="0" fontId="35" fillId="2" borderId="96" xfId="0" applyFont="1" applyFill="1" applyBorder="1">
      <alignment vertical="center"/>
    </xf>
    <xf numFmtId="0" fontId="35" fillId="2" borderId="94" xfId="0" applyFont="1" applyFill="1" applyBorder="1" applyAlignment="1">
      <alignment horizontal="left" vertical="top"/>
    </xf>
    <xf numFmtId="0" fontId="35" fillId="2" borderId="94" xfId="0" applyFont="1" applyFill="1" applyBorder="1">
      <alignment vertical="center"/>
    </xf>
    <xf numFmtId="0" fontId="35" fillId="0" borderId="0" xfId="0" applyFont="1" applyAlignment="1">
      <alignment horizontal="left" vertical="center"/>
    </xf>
    <xf numFmtId="0" fontId="28" fillId="0" borderId="32" xfId="0" applyFont="1" applyBorder="1">
      <alignment vertical="center"/>
    </xf>
    <xf numFmtId="0" fontId="28" fillId="0" borderId="54" xfId="0" applyFont="1" applyBorder="1">
      <alignment vertical="center"/>
    </xf>
    <xf numFmtId="0" fontId="28" fillId="0" borderId="33" xfId="0" applyFont="1" applyBorder="1" applyAlignment="1">
      <alignment horizontal="center" vertical="center"/>
    </xf>
    <xf numFmtId="0" fontId="28" fillId="0" borderId="89" xfId="0" applyFont="1" applyBorder="1">
      <alignment vertical="center"/>
    </xf>
    <xf numFmtId="181" fontId="35" fillId="2" borderId="0" xfId="55" applyNumberFormat="1" applyFont="1" applyFill="1" applyAlignment="1">
      <alignment horizontal="right" vertical="center"/>
    </xf>
    <xf numFmtId="180" fontId="35" fillId="2" borderId="0" xfId="55" applyNumberFormat="1" applyFont="1" applyFill="1" applyAlignment="1">
      <alignment horizontal="right" vertical="center"/>
    </xf>
    <xf numFmtId="0" fontId="35" fillId="2" borderId="31" xfId="55" applyFont="1" applyFill="1" applyBorder="1">
      <alignment vertical="center"/>
    </xf>
    <xf numFmtId="0" fontId="35" fillId="2" borderId="32" xfId="55" applyFont="1" applyFill="1" applyBorder="1">
      <alignment vertical="center"/>
    </xf>
    <xf numFmtId="180" fontId="35" fillId="2" borderId="54" xfId="55" applyNumberFormat="1" applyFont="1" applyFill="1" applyBorder="1" applyAlignment="1">
      <alignment horizontal="right" vertical="center"/>
    </xf>
    <xf numFmtId="0" fontId="35" fillId="2" borderId="1" xfId="55" applyFont="1" applyFill="1" applyBorder="1" applyAlignment="1">
      <alignment horizontal="center" vertical="center"/>
    </xf>
    <xf numFmtId="0" fontId="35" fillId="2" borderId="4" xfId="55" applyFont="1" applyFill="1" applyBorder="1" applyAlignment="1">
      <alignment horizontal="center" vertical="center"/>
    </xf>
    <xf numFmtId="0" fontId="35" fillId="2" borderId="2" xfId="55" applyFont="1" applyFill="1" applyBorder="1" applyAlignment="1">
      <alignment horizontal="center" vertical="center"/>
    </xf>
    <xf numFmtId="180" fontId="35" fillId="2" borderId="7" xfId="55" applyNumberFormat="1" applyFont="1" applyFill="1" applyBorder="1" applyAlignment="1">
      <alignment horizontal="right" vertical="center"/>
    </xf>
    <xf numFmtId="182" fontId="35" fillId="27" borderId="41" xfId="55" applyNumberFormat="1" applyFont="1" applyFill="1" applyBorder="1" applyAlignment="1">
      <alignment horizontal="right" vertical="center"/>
    </xf>
    <xf numFmtId="180" fontId="35" fillId="28" borderId="42" xfId="86" applyNumberFormat="1" applyFont="1" applyFill="1" applyBorder="1" applyAlignment="1">
      <alignment horizontal="right" vertical="center"/>
    </xf>
    <xf numFmtId="182" fontId="35" fillId="27" borderId="39" xfId="55" applyNumberFormat="1" applyFont="1" applyFill="1" applyBorder="1" applyAlignment="1">
      <alignment horizontal="right" vertical="center"/>
    </xf>
    <xf numFmtId="180" fontId="35" fillId="2" borderId="28" xfId="55" applyNumberFormat="1" applyFont="1" applyFill="1" applyBorder="1" applyAlignment="1">
      <alignment horizontal="right" vertical="center"/>
    </xf>
    <xf numFmtId="182" fontId="35" fillId="27" borderId="73" xfId="55" applyNumberFormat="1" applyFont="1" applyFill="1" applyBorder="1" applyAlignment="1">
      <alignment horizontal="right" vertical="center"/>
    </xf>
    <xf numFmtId="182" fontId="35" fillId="27" borderId="69" xfId="55" applyNumberFormat="1" applyFont="1" applyFill="1" applyBorder="1" applyAlignment="1">
      <alignment horizontal="right" vertical="center"/>
    </xf>
    <xf numFmtId="0" fontId="35" fillId="2" borderId="71" xfId="55" applyFont="1" applyFill="1" applyBorder="1">
      <alignment vertical="center"/>
    </xf>
    <xf numFmtId="0" fontId="28" fillId="0" borderId="28" xfId="0" applyFont="1" applyBorder="1">
      <alignment vertical="center"/>
    </xf>
    <xf numFmtId="0" fontId="28" fillId="0" borderId="19" xfId="0" applyFont="1" applyBorder="1">
      <alignment vertical="center"/>
    </xf>
    <xf numFmtId="182" fontId="35" fillId="27" borderId="67" xfId="55" applyNumberFormat="1" applyFont="1" applyFill="1" applyBorder="1" applyAlignment="1">
      <alignment horizontal="right" vertical="center"/>
    </xf>
    <xf numFmtId="182" fontId="35" fillId="27" borderId="66" xfId="55" applyNumberFormat="1" applyFont="1" applyFill="1" applyBorder="1" applyAlignment="1">
      <alignment horizontal="right" vertical="center"/>
    </xf>
    <xf numFmtId="10" fontId="35" fillId="28" borderId="41" xfId="0" applyNumberFormat="1" applyFont="1" applyFill="1" applyBorder="1" applyAlignment="1">
      <alignment horizontal="right" vertical="center"/>
    </xf>
    <xf numFmtId="10" fontId="35" fillId="28" borderId="39" xfId="0" applyNumberFormat="1" applyFont="1" applyFill="1" applyBorder="1" applyAlignment="1">
      <alignment horizontal="right" vertical="center"/>
    </xf>
    <xf numFmtId="10" fontId="35" fillId="28" borderId="42" xfId="0" applyNumberFormat="1" applyFont="1" applyFill="1" applyBorder="1" applyAlignment="1">
      <alignment horizontal="right" vertical="center"/>
    </xf>
    <xf numFmtId="10" fontId="35" fillId="28" borderId="67" xfId="0" applyNumberFormat="1" applyFont="1" applyFill="1" applyBorder="1" applyAlignment="1">
      <alignment horizontal="right" vertical="center"/>
    </xf>
    <xf numFmtId="10" fontId="35" fillId="28" borderId="66" xfId="0" applyNumberFormat="1" applyFont="1" applyFill="1" applyBorder="1" applyAlignment="1">
      <alignment horizontal="right" vertical="center"/>
    </xf>
    <xf numFmtId="10" fontId="35" fillId="28" borderId="68" xfId="0" applyNumberFormat="1" applyFont="1" applyFill="1" applyBorder="1" applyAlignment="1">
      <alignment horizontal="right" vertical="center"/>
    </xf>
    <xf numFmtId="10" fontId="31" fillId="28" borderId="30" xfId="2" applyNumberFormat="1" applyFont="1" applyFill="1" applyBorder="1" applyAlignment="1">
      <alignment vertical="center"/>
    </xf>
    <xf numFmtId="176" fontId="28" fillId="27" borderId="95" xfId="0" applyNumberFormat="1" applyFont="1" applyFill="1" applyBorder="1">
      <alignment vertical="center"/>
    </xf>
    <xf numFmtId="0" fontId="28" fillId="2" borderId="31" xfId="0" applyFont="1" applyFill="1" applyBorder="1" applyAlignment="1">
      <alignment horizontal="center" vertical="center"/>
    </xf>
    <xf numFmtId="176" fontId="28" fillId="29" borderId="37" xfId="0" applyNumberFormat="1" applyFont="1" applyFill="1" applyBorder="1">
      <alignment vertical="center"/>
    </xf>
    <xf numFmtId="176" fontId="28" fillId="29" borderId="95" xfId="0" applyNumberFormat="1" applyFont="1" applyFill="1" applyBorder="1">
      <alignment vertical="center"/>
    </xf>
    <xf numFmtId="176" fontId="35" fillId="29" borderId="95" xfId="55" applyNumberFormat="1" applyFont="1" applyFill="1" applyBorder="1" applyAlignment="1">
      <alignment horizontal="right" vertical="center"/>
    </xf>
    <xf numFmtId="0" fontId="6" fillId="2" borderId="117" xfId="81" applyFont="1" applyFill="1" applyBorder="1" applyAlignment="1">
      <alignment horizontal="center" vertical="center"/>
    </xf>
    <xf numFmtId="176" fontId="35" fillId="29" borderId="96" xfId="55" applyNumberFormat="1" applyFont="1" applyFill="1" applyBorder="1" applyAlignment="1">
      <alignment horizontal="right" vertical="center"/>
    </xf>
    <xf numFmtId="0" fontId="36" fillId="2" borderId="0" xfId="0" applyFont="1" applyFill="1" applyAlignment="1">
      <alignment vertical="top" wrapText="1"/>
    </xf>
    <xf numFmtId="0" fontId="36" fillId="2" borderId="0" xfId="0" applyFont="1" applyFill="1" applyAlignment="1">
      <alignment vertical="top"/>
    </xf>
    <xf numFmtId="0" fontId="36" fillId="2" borderId="0" xfId="0" applyFont="1" applyFill="1">
      <alignment vertical="center"/>
    </xf>
    <xf numFmtId="0" fontId="37" fillId="2" borderId="0" xfId="0" applyFont="1" applyFill="1" applyAlignment="1">
      <alignment vertical="top"/>
    </xf>
    <xf numFmtId="185" fontId="28" fillId="2" borderId="69" xfId="0" applyNumberFormat="1" applyFont="1" applyFill="1" applyBorder="1" applyAlignment="1">
      <alignment horizontal="right" vertical="center"/>
    </xf>
    <xf numFmtId="176" fontId="28" fillId="2" borderId="69" xfId="0" applyNumberFormat="1" applyFont="1" applyFill="1" applyBorder="1" applyAlignment="1">
      <alignment horizontal="right" vertical="center"/>
    </xf>
    <xf numFmtId="176" fontId="28" fillId="2" borderId="66" xfId="0" applyNumberFormat="1" applyFont="1" applyFill="1" applyBorder="1" applyAlignment="1">
      <alignment horizontal="right" vertical="center"/>
    </xf>
    <xf numFmtId="0" fontId="28" fillId="29" borderId="39" xfId="0" applyFont="1" applyFill="1" applyBorder="1" applyAlignment="1">
      <alignment horizontal="right" vertical="center"/>
    </xf>
    <xf numFmtId="186" fontId="28" fillId="27" borderId="69" xfId="0" applyNumberFormat="1" applyFont="1" applyFill="1" applyBorder="1" applyAlignment="1">
      <alignment horizontal="right" vertical="center"/>
    </xf>
    <xf numFmtId="186" fontId="28" fillId="30" borderId="69" xfId="0" applyNumberFormat="1" applyFont="1" applyFill="1" applyBorder="1" applyAlignment="1">
      <alignment horizontal="right" vertical="center"/>
    </xf>
    <xf numFmtId="176" fontId="28" fillId="27" borderId="69" xfId="0" applyNumberFormat="1" applyFont="1" applyFill="1" applyBorder="1" applyAlignment="1">
      <alignment horizontal="right" vertical="center"/>
    </xf>
    <xf numFmtId="176" fontId="28" fillId="27" borderId="75" xfId="0" applyNumberFormat="1" applyFont="1" applyFill="1" applyBorder="1" applyAlignment="1">
      <alignment horizontal="right" vertical="center"/>
    </xf>
    <xf numFmtId="176" fontId="28" fillId="27" borderId="69" xfId="0" applyNumberFormat="1" applyFont="1" applyFill="1" applyBorder="1">
      <alignment vertical="center"/>
    </xf>
    <xf numFmtId="176" fontId="28" fillId="27" borderId="29" xfId="0" applyNumberFormat="1" applyFont="1" applyFill="1" applyBorder="1">
      <alignment vertical="center"/>
    </xf>
    <xf numFmtId="176" fontId="28" fillId="27" borderId="66" xfId="0" applyNumberFormat="1" applyFont="1" applyFill="1" applyBorder="1" applyAlignment="1">
      <alignment horizontal="right" vertical="center"/>
    </xf>
    <xf numFmtId="176" fontId="28" fillId="29" borderId="39" xfId="0" applyNumberFormat="1" applyFont="1" applyFill="1" applyBorder="1">
      <alignment vertical="center"/>
    </xf>
    <xf numFmtId="176" fontId="28" fillId="28" borderId="69" xfId="0" applyNumberFormat="1" applyFont="1" applyFill="1" applyBorder="1">
      <alignment vertical="center"/>
    </xf>
    <xf numFmtId="0" fontId="28" fillId="2" borderId="69" xfId="0" applyFont="1" applyFill="1" applyBorder="1">
      <alignment vertical="center"/>
    </xf>
    <xf numFmtId="180" fontId="28" fillId="29" borderId="69" xfId="0" applyNumberFormat="1" applyFont="1" applyFill="1" applyBorder="1">
      <alignment vertical="center"/>
    </xf>
    <xf numFmtId="176" fontId="28" fillId="2" borderId="69" xfId="0" applyNumberFormat="1" applyFont="1" applyFill="1" applyBorder="1">
      <alignment vertical="center"/>
    </xf>
    <xf numFmtId="176" fontId="28" fillId="29" borderId="75" xfId="0" applyNumberFormat="1" applyFont="1" applyFill="1" applyBorder="1">
      <alignment vertical="center"/>
    </xf>
    <xf numFmtId="176" fontId="28" fillId="27" borderId="75" xfId="0" applyNumberFormat="1" applyFont="1" applyFill="1" applyBorder="1">
      <alignment vertical="center"/>
    </xf>
    <xf numFmtId="176" fontId="28" fillId="29" borderId="69" xfId="0" applyNumberFormat="1" applyFont="1" applyFill="1" applyBorder="1">
      <alignment vertical="center"/>
    </xf>
    <xf numFmtId="176" fontId="28" fillId="29" borderId="66" xfId="0" applyNumberFormat="1" applyFont="1" applyFill="1" applyBorder="1">
      <alignment vertical="center"/>
    </xf>
    <xf numFmtId="176" fontId="28" fillId="29" borderId="9" xfId="0" applyNumberFormat="1" applyFont="1" applyFill="1" applyBorder="1" applyAlignment="1">
      <alignment horizontal="right" vertical="center" shrinkToFit="1"/>
    </xf>
    <xf numFmtId="176" fontId="28" fillId="29" borderId="69" xfId="0" applyNumberFormat="1" applyFont="1" applyFill="1" applyBorder="1" applyAlignment="1">
      <alignment horizontal="right" vertical="center" shrinkToFit="1"/>
    </xf>
    <xf numFmtId="176" fontId="28" fillId="27" borderId="69" xfId="0" applyNumberFormat="1" applyFont="1" applyFill="1" applyBorder="1" applyAlignment="1">
      <alignment horizontal="right" vertical="center" shrinkToFit="1"/>
    </xf>
    <xf numFmtId="176" fontId="6" fillId="28" borderId="181" xfId="0" applyNumberFormat="1" applyFont="1" applyFill="1" applyBorder="1" applyAlignment="1">
      <alignment horizontal="right" vertical="center" shrinkToFit="1"/>
    </xf>
    <xf numFmtId="176" fontId="6" fillId="28" borderId="182" xfId="0" applyNumberFormat="1" applyFont="1" applyFill="1" applyBorder="1" applyAlignment="1">
      <alignment horizontal="right" vertical="center" shrinkToFit="1"/>
    </xf>
    <xf numFmtId="187" fontId="6" fillId="27" borderId="182" xfId="0" applyNumberFormat="1" applyFont="1" applyFill="1" applyBorder="1" applyAlignment="1">
      <alignment horizontal="right" vertical="center" shrinkToFit="1"/>
    </xf>
    <xf numFmtId="176" fontId="6" fillId="27" borderId="182" xfId="0" applyNumberFormat="1" applyFont="1" applyFill="1" applyBorder="1" applyAlignment="1">
      <alignment horizontal="right" vertical="center" shrinkToFit="1"/>
    </xf>
    <xf numFmtId="10" fontId="6" fillId="28" borderId="182" xfId="0" applyNumberFormat="1" applyFont="1" applyFill="1" applyBorder="1" applyAlignment="1">
      <alignment vertical="center" shrinkToFit="1"/>
    </xf>
    <xf numFmtId="184" fontId="6" fillId="28" borderId="182" xfId="0" applyNumberFormat="1" applyFont="1" applyFill="1" applyBorder="1" applyAlignment="1">
      <alignment vertical="center" shrinkToFit="1"/>
    </xf>
    <xf numFmtId="176" fontId="28" fillId="27" borderId="75" xfId="0" applyNumberFormat="1" applyFont="1" applyFill="1" applyBorder="1" applyAlignment="1">
      <alignment horizontal="right" vertical="center" shrinkToFit="1"/>
    </xf>
    <xf numFmtId="176" fontId="28" fillId="29" borderId="2" xfId="0" applyNumberFormat="1" applyFont="1" applyFill="1" applyBorder="1" applyAlignment="1">
      <alignment horizontal="right" vertical="center" shrinkToFit="1"/>
    </xf>
    <xf numFmtId="10" fontId="28" fillId="27" borderId="30" xfId="0" applyNumberFormat="1" applyFont="1" applyFill="1" applyBorder="1" applyAlignment="1">
      <alignment horizontal="right" vertical="center" shrinkToFit="1"/>
    </xf>
    <xf numFmtId="0" fontId="28" fillId="2" borderId="2" xfId="0" applyFont="1" applyFill="1" applyBorder="1" applyAlignment="1">
      <alignment horizontal="center" vertical="center"/>
    </xf>
    <xf numFmtId="176" fontId="28" fillId="29" borderId="69" xfId="0" applyNumberFormat="1" applyFont="1" applyFill="1" applyBorder="1" applyAlignment="1">
      <alignment horizontal="right" vertical="center"/>
    </xf>
    <xf numFmtId="180" fontId="28" fillId="29" borderId="69" xfId="0" applyNumberFormat="1" applyFont="1" applyFill="1" applyBorder="1" applyAlignment="1">
      <alignment horizontal="right" vertical="center"/>
    </xf>
    <xf numFmtId="188" fontId="28" fillId="29" borderId="69" xfId="0" applyNumberFormat="1" applyFont="1" applyFill="1" applyBorder="1" applyAlignment="1">
      <alignment horizontal="right" vertical="center"/>
    </xf>
    <xf numFmtId="180" fontId="28" fillId="29" borderId="66" xfId="0" applyNumberFormat="1" applyFont="1" applyFill="1" applyBorder="1" applyAlignment="1">
      <alignment horizontal="right" vertical="center"/>
    </xf>
    <xf numFmtId="188" fontId="28" fillId="27" borderId="69" xfId="0" applyNumberFormat="1" applyFont="1" applyFill="1" applyBorder="1" applyAlignment="1">
      <alignment horizontal="right" vertical="center"/>
    </xf>
    <xf numFmtId="0" fontId="35" fillId="2" borderId="112" xfId="55" applyFont="1" applyFill="1" applyBorder="1" applyAlignment="1">
      <alignment horizontal="centerContinuous" vertical="center"/>
    </xf>
    <xf numFmtId="0" fontId="35" fillId="2" borderId="113" xfId="55" applyFont="1" applyFill="1" applyBorder="1" applyAlignment="1">
      <alignment horizontal="centerContinuous" vertical="center"/>
    </xf>
    <xf numFmtId="0" fontId="35" fillId="2" borderId="114" xfId="55" applyFont="1" applyFill="1" applyBorder="1" applyAlignment="1">
      <alignment horizontal="centerContinuous" vertical="center"/>
    </xf>
    <xf numFmtId="0" fontId="35" fillId="2" borderId="115" xfId="55" applyFont="1" applyFill="1" applyBorder="1" applyAlignment="1">
      <alignment horizontal="centerContinuous" vertical="center"/>
    </xf>
    <xf numFmtId="0" fontId="35" fillId="2" borderId="116" xfId="55" applyFont="1" applyFill="1" applyBorder="1" applyAlignment="1">
      <alignment horizontal="centerContinuous" vertical="center"/>
    </xf>
    <xf numFmtId="0" fontId="6" fillId="2" borderId="183" xfId="81" applyFont="1" applyFill="1" applyBorder="1" applyAlignment="1">
      <alignment horizontal="center" vertical="center"/>
    </xf>
    <xf numFmtId="176" fontId="35" fillId="29" borderId="160" xfId="55" applyNumberFormat="1" applyFont="1" applyFill="1" applyBorder="1" applyAlignment="1">
      <alignment horizontal="right" vertical="center"/>
    </xf>
    <xf numFmtId="176" fontId="35" fillId="29" borderId="148" xfId="55" applyNumberFormat="1" applyFont="1" applyFill="1" applyBorder="1" applyAlignment="1">
      <alignment horizontal="right" vertical="center"/>
    </xf>
    <xf numFmtId="180" fontId="35" fillId="29" borderId="133" xfId="55" applyNumberFormat="1" applyFont="1" applyFill="1" applyBorder="1" applyAlignment="1">
      <alignment horizontal="right" vertical="center"/>
    </xf>
    <xf numFmtId="180" fontId="35" fillId="29" borderId="160" xfId="55" applyNumberFormat="1" applyFont="1" applyFill="1" applyBorder="1" applyAlignment="1">
      <alignment horizontal="right" vertical="center"/>
    </xf>
    <xf numFmtId="180" fontId="35" fillId="29" borderId="148" xfId="55" applyNumberFormat="1" applyFont="1" applyFill="1" applyBorder="1" applyAlignment="1">
      <alignment horizontal="right" vertical="center"/>
    </xf>
    <xf numFmtId="180" fontId="35" fillId="29" borderId="184" xfId="55" applyNumberFormat="1" applyFont="1" applyFill="1" applyBorder="1" applyAlignment="1">
      <alignment horizontal="right" vertical="center"/>
    </xf>
    <xf numFmtId="0" fontId="28" fillId="2" borderId="37" xfId="0" applyFont="1" applyFill="1" applyBorder="1" applyAlignment="1">
      <alignment vertical="top"/>
    </xf>
    <xf numFmtId="176" fontId="28" fillId="27" borderId="33" xfId="0" applyNumberFormat="1" applyFont="1" applyFill="1" applyBorder="1">
      <alignment vertical="center"/>
    </xf>
    <xf numFmtId="0" fontId="31" fillId="2" borderId="187" xfId="2" applyFont="1" applyFill="1" applyBorder="1" applyAlignment="1">
      <alignment horizontal="center" vertical="center" shrinkToFit="1"/>
    </xf>
    <xf numFmtId="0" fontId="31" fillId="2" borderId="188" xfId="2" applyFont="1" applyFill="1" applyBorder="1" applyAlignment="1">
      <alignment horizontal="center" vertical="center" shrinkToFit="1"/>
    </xf>
    <xf numFmtId="183" fontId="31" fillId="28" borderId="189" xfId="2" applyNumberFormat="1" applyFont="1" applyFill="1" applyBorder="1" applyAlignment="1">
      <alignment horizontal="right" vertical="center"/>
    </xf>
    <xf numFmtId="183" fontId="31" fillId="28" borderId="190" xfId="2" applyNumberFormat="1" applyFont="1" applyFill="1" applyBorder="1" applyAlignment="1">
      <alignment vertical="center"/>
    </xf>
    <xf numFmtId="0" fontId="31" fillId="2" borderId="191" xfId="2" applyFont="1" applyFill="1" applyBorder="1" applyAlignment="1">
      <alignment horizontal="center" vertical="center" shrinkToFit="1"/>
    </xf>
    <xf numFmtId="0" fontId="31" fillId="2" borderId="192" xfId="2" applyFont="1" applyFill="1" applyBorder="1" applyAlignment="1">
      <alignment horizontal="left" vertical="center"/>
    </xf>
    <xf numFmtId="0" fontId="31" fillId="2" borderId="193" xfId="2" applyFont="1" applyFill="1" applyBorder="1" applyAlignment="1">
      <alignment horizontal="left" vertical="center"/>
    </xf>
    <xf numFmtId="176" fontId="41" fillId="2" borderId="0" xfId="2" applyNumberFormat="1" applyFont="1" applyFill="1" applyAlignment="1">
      <alignment vertical="center"/>
    </xf>
    <xf numFmtId="0" fontId="41" fillId="2" borderId="36" xfId="2" applyFont="1" applyFill="1" applyBorder="1" applyAlignment="1">
      <alignment horizontal="center" vertical="center" shrinkToFit="1"/>
    </xf>
    <xf numFmtId="176" fontId="41" fillId="27" borderId="41" xfId="2" applyNumberFormat="1" applyFont="1" applyFill="1" applyBorder="1" applyAlignment="1">
      <alignment vertical="center"/>
    </xf>
    <xf numFmtId="176" fontId="41" fillId="27" borderId="73" xfId="2" applyNumberFormat="1" applyFont="1" applyFill="1" applyBorder="1" applyAlignment="1">
      <alignment vertical="center"/>
    </xf>
    <xf numFmtId="176" fontId="41" fillId="27" borderId="17" xfId="2" applyNumberFormat="1" applyFont="1" applyFill="1" applyBorder="1" applyAlignment="1">
      <alignment vertical="center"/>
    </xf>
    <xf numFmtId="176" fontId="41" fillId="27" borderId="12" xfId="2" applyNumberFormat="1" applyFont="1" applyFill="1" applyBorder="1" applyAlignment="1">
      <alignment vertical="center"/>
    </xf>
    <xf numFmtId="0" fontId="41" fillId="2" borderId="125" xfId="2" applyFont="1" applyFill="1" applyBorder="1" applyAlignment="1">
      <alignment horizontal="center" vertical="center" shrinkToFit="1"/>
    </xf>
    <xf numFmtId="176" fontId="41" fillId="27" borderId="7" xfId="2" applyNumberFormat="1" applyFont="1" applyFill="1" applyBorder="1" applyAlignment="1">
      <alignment vertical="center"/>
    </xf>
    <xf numFmtId="176" fontId="41" fillId="27" borderId="164" xfId="2" applyNumberFormat="1" applyFont="1" applyFill="1" applyBorder="1" applyAlignment="1">
      <alignment vertical="center"/>
    </xf>
    <xf numFmtId="176" fontId="41" fillId="27" borderId="55" xfId="2" applyNumberFormat="1" applyFont="1" applyFill="1" applyBorder="1" applyAlignment="1">
      <alignment vertical="center"/>
    </xf>
    <xf numFmtId="176" fontId="41" fillId="27" borderId="145" xfId="2" applyNumberFormat="1" applyFont="1" applyFill="1" applyBorder="1" applyAlignment="1">
      <alignment vertical="center"/>
    </xf>
    <xf numFmtId="0" fontId="41" fillId="2" borderId="180" xfId="2" applyFont="1" applyFill="1" applyBorder="1" applyAlignment="1">
      <alignment horizontal="center" vertical="center" shrinkToFit="1"/>
    </xf>
    <xf numFmtId="176" fontId="41" fillId="27" borderId="39" xfId="2" applyNumberFormat="1" applyFont="1" applyFill="1" applyBorder="1" applyAlignment="1">
      <alignment vertical="center"/>
    </xf>
    <xf numFmtId="176" fontId="41" fillId="27" borderId="69" xfId="2" applyNumberFormat="1" applyFont="1" applyFill="1" applyBorder="1" applyAlignment="1">
      <alignment vertical="center"/>
    </xf>
    <xf numFmtId="176" fontId="41" fillId="27" borderId="30" xfId="2" applyNumberFormat="1" applyFont="1" applyFill="1" applyBorder="1" applyAlignment="1">
      <alignment vertical="center"/>
    </xf>
    <xf numFmtId="176" fontId="41" fillId="27" borderId="29" xfId="2" applyNumberFormat="1" applyFont="1" applyFill="1" applyBorder="1" applyAlignment="1">
      <alignment vertical="center"/>
    </xf>
    <xf numFmtId="0" fontId="41" fillId="2" borderId="54" xfId="2" applyFont="1" applyFill="1" applyBorder="1" applyAlignment="1">
      <alignment horizontal="center" vertical="center" shrinkToFit="1"/>
    </xf>
    <xf numFmtId="0" fontId="41" fillId="2" borderId="34" xfId="2" applyFont="1" applyFill="1" applyBorder="1" applyAlignment="1">
      <alignment horizontal="center" vertical="center" shrinkToFit="1"/>
    </xf>
    <xf numFmtId="176" fontId="41" fillId="27" borderId="38" xfId="2" applyNumberFormat="1" applyFont="1" applyFill="1" applyBorder="1" applyAlignment="1">
      <alignment vertical="center"/>
    </xf>
    <xf numFmtId="176" fontId="41" fillId="27" borderId="47" xfId="2" applyNumberFormat="1" applyFont="1" applyFill="1" applyBorder="1" applyAlignment="1">
      <alignment vertical="center"/>
    </xf>
    <xf numFmtId="0" fontId="41" fillId="2" borderId="1" xfId="2" applyFont="1" applyFill="1" applyBorder="1" applyAlignment="1">
      <alignment horizontal="center" vertical="center" shrinkToFit="1"/>
    </xf>
    <xf numFmtId="0" fontId="41" fillId="2" borderId="2" xfId="2" applyFont="1" applyFill="1" applyBorder="1" applyAlignment="1">
      <alignment horizontal="center" vertical="center" shrinkToFit="1"/>
    </xf>
    <xf numFmtId="176" fontId="41" fillId="28" borderId="17" xfId="2" applyNumberFormat="1" applyFont="1" applyFill="1" applyBorder="1" applyAlignment="1">
      <alignment vertical="center"/>
    </xf>
    <xf numFmtId="176" fontId="41" fillId="28" borderId="55" xfId="2" applyNumberFormat="1" applyFont="1" applyFill="1" applyBorder="1" applyAlignment="1">
      <alignment vertical="center"/>
    </xf>
    <xf numFmtId="176" fontId="41" fillId="28" borderId="30" xfId="2" applyNumberFormat="1" applyFont="1" applyFill="1" applyBorder="1" applyAlignment="1">
      <alignment vertical="center"/>
    </xf>
    <xf numFmtId="176" fontId="28" fillId="28" borderId="69" xfId="0" applyNumberFormat="1" applyFont="1" applyFill="1" applyBorder="1" applyAlignment="1">
      <alignment horizontal="right" vertical="center" shrinkToFit="1"/>
    </xf>
    <xf numFmtId="0" fontId="42" fillId="2" borderId="0" xfId="87" applyFont="1" applyFill="1">
      <alignment vertical="center"/>
    </xf>
    <xf numFmtId="0" fontId="34" fillId="2" borderId="0" xfId="87" applyFont="1" applyFill="1">
      <alignment vertical="center"/>
    </xf>
    <xf numFmtId="0" fontId="37" fillId="2" borderId="51" xfId="0" applyFont="1" applyFill="1" applyBorder="1" applyAlignment="1">
      <alignment vertical="top"/>
    </xf>
    <xf numFmtId="0" fontId="35" fillId="2" borderId="0" xfId="0" applyFont="1" applyFill="1" applyAlignment="1">
      <alignment vertical="top"/>
    </xf>
    <xf numFmtId="0" fontId="41" fillId="2" borderId="36" xfId="2" applyFont="1" applyFill="1" applyBorder="1" applyAlignment="1">
      <alignment horizontal="left" vertical="center" wrapText="1"/>
    </xf>
    <xf numFmtId="0" fontId="41" fillId="2" borderId="77" xfId="2" applyFont="1" applyFill="1" applyBorder="1" applyAlignment="1">
      <alignment horizontal="left" vertical="center" wrapText="1"/>
    </xf>
    <xf numFmtId="0" fontId="41" fillId="2" borderId="73" xfId="2" applyFont="1" applyFill="1" applyBorder="1" applyAlignment="1">
      <alignment horizontal="left" vertical="center" wrapText="1"/>
    </xf>
    <xf numFmtId="0" fontId="41" fillId="2" borderId="17" xfId="2" applyFont="1" applyFill="1" applyBorder="1" applyAlignment="1">
      <alignment horizontal="left" vertical="center" wrapText="1"/>
    </xf>
    <xf numFmtId="0" fontId="41" fillId="2" borderId="12" xfId="2" applyFont="1" applyFill="1" applyBorder="1" applyAlignment="1">
      <alignment horizontal="left" vertical="center" wrapText="1"/>
    </xf>
    <xf numFmtId="0" fontId="41" fillId="2" borderId="41" xfId="2" applyFont="1" applyFill="1" applyBorder="1" applyAlignment="1">
      <alignment horizontal="left" vertical="center" wrapText="1"/>
    </xf>
    <xf numFmtId="0" fontId="41" fillId="2" borderId="17" xfId="2" applyFont="1" applyFill="1" applyBorder="1" applyAlignment="1">
      <alignment horizontal="left" vertical="center"/>
    </xf>
    <xf numFmtId="189" fontId="6" fillId="2" borderId="67" xfId="2" applyNumberFormat="1" applyFill="1" applyBorder="1" applyAlignment="1" applyProtection="1">
      <alignment horizontal="right" vertical="center"/>
      <protection locked="0"/>
    </xf>
    <xf numFmtId="189" fontId="6" fillId="2" borderId="66" xfId="2" applyNumberFormat="1" applyFill="1" applyBorder="1" applyAlignment="1" applyProtection="1">
      <alignment horizontal="right" vertical="center"/>
      <protection locked="0"/>
    </xf>
    <xf numFmtId="189" fontId="6" fillId="2" borderId="65" xfId="2" applyNumberFormat="1" applyFill="1" applyBorder="1" applyAlignment="1" applyProtection="1">
      <alignment horizontal="right" vertical="center"/>
      <protection locked="0"/>
    </xf>
    <xf numFmtId="189" fontId="6" fillId="2" borderId="107" xfId="2" applyNumberFormat="1" applyFill="1" applyBorder="1" applyAlignment="1" applyProtection="1">
      <alignment horizontal="right" vertical="center"/>
      <protection locked="0"/>
    </xf>
    <xf numFmtId="176" fontId="41" fillId="27" borderId="36" xfId="2" applyNumberFormat="1" applyFont="1" applyFill="1" applyBorder="1" applyAlignment="1">
      <alignment vertical="center"/>
    </xf>
    <xf numFmtId="176" fontId="41" fillId="27" borderId="180" xfId="2" applyNumberFormat="1" applyFont="1" applyFill="1" applyBorder="1" applyAlignment="1">
      <alignment vertical="center"/>
    </xf>
    <xf numFmtId="176" fontId="41" fillId="27" borderId="125" xfId="2" applyNumberFormat="1" applyFont="1" applyFill="1" applyBorder="1" applyAlignment="1">
      <alignment vertical="center"/>
    </xf>
    <xf numFmtId="176" fontId="41" fillId="27" borderId="77" xfId="2" applyNumberFormat="1" applyFont="1" applyFill="1" applyBorder="1" applyAlignment="1">
      <alignment vertical="center"/>
    </xf>
    <xf numFmtId="176" fontId="41" fillId="27" borderId="75" xfId="2" applyNumberFormat="1" applyFont="1" applyFill="1" applyBorder="1" applyAlignment="1">
      <alignment vertical="center"/>
    </xf>
    <xf numFmtId="176" fontId="41" fillId="27" borderId="14" xfId="2" applyNumberFormat="1" applyFont="1" applyFill="1" applyBorder="1" applyAlignment="1">
      <alignment vertical="center"/>
    </xf>
    <xf numFmtId="0" fontId="41" fillId="2" borderId="44" xfId="2" applyFont="1" applyFill="1" applyBorder="1" applyAlignment="1">
      <alignment horizontal="center" vertical="center" shrinkToFit="1"/>
    </xf>
    <xf numFmtId="10" fontId="28" fillId="2" borderId="0" xfId="0" applyNumberFormat="1" applyFont="1" applyFill="1">
      <alignment vertical="center"/>
    </xf>
    <xf numFmtId="0" fontId="28" fillId="0" borderId="0" xfId="0" applyFont="1" applyAlignment="1">
      <alignment horizontal="left" vertical="center" wrapText="1"/>
    </xf>
    <xf numFmtId="0" fontId="35" fillId="0" borderId="0" xfId="0" applyFont="1" applyAlignment="1">
      <alignment horizontal="left" vertical="center" wrapText="1"/>
    </xf>
    <xf numFmtId="0" fontId="6" fillId="2" borderId="1" xfId="2" applyFill="1" applyBorder="1" applyAlignment="1">
      <alignment horizontal="center" vertical="center"/>
    </xf>
    <xf numFmtId="0" fontId="6" fillId="2" borderId="2" xfId="2" applyFill="1" applyBorder="1" applyAlignment="1">
      <alignment horizontal="center" vertical="center"/>
    </xf>
    <xf numFmtId="0" fontId="6" fillId="2" borderId="3" xfId="2" applyFill="1" applyBorder="1" applyAlignment="1">
      <alignment horizontal="center" vertical="center"/>
    </xf>
    <xf numFmtId="0" fontId="6" fillId="2" borderId="9" xfId="3" applyFill="1" applyBorder="1" applyAlignment="1">
      <alignment horizontal="left" vertical="top" wrapText="1"/>
    </xf>
    <xf numFmtId="0" fontId="35" fillId="2" borderId="29" xfId="3" applyFont="1" applyFill="1" applyBorder="1" applyAlignment="1">
      <alignment horizontal="left" vertical="top" wrapText="1"/>
    </xf>
    <xf numFmtId="0" fontId="6" fillId="2" borderId="9" xfId="3" applyFill="1" applyBorder="1" applyAlignment="1">
      <alignment horizontal="left" vertical="top"/>
    </xf>
    <xf numFmtId="0" fontId="28" fillId="2" borderId="43" xfId="0" applyFont="1" applyFill="1" applyBorder="1" applyAlignment="1">
      <alignment horizontal="center" vertical="center"/>
    </xf>
    <xf numFmtId="0" fontId="28" fillId="2" borderId="0" xfId="0" applyFont="1" applyFill="1" applyAlignment="1">
      <alignment vertical="center" shrinkToFit="1"/>
    </xf>
    <xf numFmtId="176" fontId="35" fillId="27" borderId="38" xfId="0" applyNumberFormat="1" applyFont="1" applyFill="1" applyBorder="1">
      <alignment vertical="center"/>
    </xf>
    <xf numFmtId="176" fontId="35" fillId="27" borderId="76" xfId="0" applyNumberFormat="1" applyFont="1" applyFill="1" applyBorder="1">
      <alignment vertical="center"/>
    </xf>
    <xf numFmtId="176" fontId="35" fillId="28" borderId="34" xfId="0" applyNumberFormat="1" applyFont="1" applyFill="1" applyBorder="1" applyAlignment="1">
      <alignment vertical="center" shrinkToFit="1"/>
    </xf>
    <xf numFmtId="180" fontId="35" fillId="28" borderId="4" xfId="86" applyNumberFormat="1" applyFont="1" applyFill="1" applyBorder="1" applyAlignment="1">
      <alignment horizontal="right" vertical="center" shrinkToFit="1"/>
    </xf>
    <xf numFmtId="176" fontId="35" fillId="27" borderId="8" xfId="0" applyNumberFormat="1" applyFont="1" applyFill="1" applyBorder="1" applyAlignment="1">
      <alignment vertical="center" shrinkToFit="1"/>
    </xf>
    <xf numFmtId="180" fontId="35" fillId="28" borderId="11" xfId="86" applyNumberFormat="1" applyFont="1" applyFill="1" applyBorder="1" applyAlignment="1">
      <alignment horizontal="right" vertical="center"/>
    </xf>
    <xf numFmtId="180" fontId="35" fillId="28" borderId="78" xfId="86" applyNumberFormat="1" applyFont="1" applyFill="1" applyBorder="1" applyAlignment="1">
      <alignment horizontal="right" vertical="center" shrinkToFit="1"/>
    </xf>
    <xf numFmtId="176" fontId="35" fillId="27" borderId="17" xfId="0" applyNumberFormat="1" applyFont="1" applyFill="1" applyBorder="1" applyAlignment="1">
      <alignment vertical="center" shrinkToFit="1"/>
    </xf>
    <xf numFmtId="0" fontId="35" fillId="2" borderId="4" xfId="0" applyFont="1" applyFill="1" applyBorder="1" applyAlignment="1">
      <alignment horizontal="center" vertical="center"/>
    </xf>
    <xf numFmtId="176" fontId="35" fillId="27" borderId="50" xfId="0" applyNumberFormat="1" applyFont="1" applyFill="1" applyBorder="1">
      <alignment vertical="center"/>
    </xf>
    <xf numFmtId="180" fontId="35" fillId="28" borderId="4" xfId="0" applyNumberFormat="1" applyFont="1" applyFill="1" applyBorder="1" applyAlignment="1">
      <alignment horizontal="right" vertical="center"/>
    </xf>
    <xf numFmtId="0" fontId="41" fillId="2" borderId="0" xfId="0" applyFont="1" applyFill="1">
      <alignment vertical="center"/>
    </xf>
    <xf numFmtId="0" fontId="35" fillId="2" borderId="43" xfId="0" applyFont="1" applyFill="1" applyBorder="1" applyAlignment="1">
      <alignment horizontal="center" vertical="center"/>
    </xf>
    <xf numFmtId="0" fontId="35" fillId="2" borderId="104" xfId="0" applyFont="1" applyFill="1" applyBorder="1">
      <alignment vertical="center"/>
    </xf>
    <xf numFmtId="0" fontId="35" fillId="2" borderId="31" xfId="0" applyFont="1" applyFill="1" applyBorder="1" applyAlignment="1">
      <alignment horizontal="center" vertical="center"/>
    </xf>
    <xf numFmtId="0" fontId="35" fillId="2" borderId="46" xfId="0" applyFont="1" applyFill="1" applyBorder="1" applyAlignment="1">
      <alignment horizontal="center" vertical="center"/>
    </xf>
    <xf numFmtId="0" fontId="43" fillId="2" borderId="0" xfId="0" applyFont="1" applyFill="1">
      <alignment vertical="center"/>
    </xf>
    <xf numFmtId="0" fontId="6" fillId="2" borderId="0" xfId="2" applyFill="1" applyAlignment="1">
      <alignment horizontal="right" vertical="center"/>
    </xf>
    <xf numFmtId="0" fontId="41" fillId="2" borderId="194" xfId="2" applyFont="1" applyFill="1" applyBorder="1" applyAlignment="1">
      <alignment horizontal="right" vertical="center" wrapText="1"/>
    </xf>
    <xf numFmtId="190" fontId="41" fillId="27" borderId="195" xfId="2" applyNumberFormat="1" applyFont="1" applyFill="1" applyBorder="1" applyAlignment="1">
      <alignment vertical="center"/>
    </xf>
    <xf numFmtId="190" fontId="41" fillId="27" borderId="196" xfId="2" applyNumberFormat="1" applyFont="1" applyFill="1" applyBorder="1" applyAlignment="1">
      <alignment vertical="center"/>
    </xf>
    <xf numFmtId="190" fontId="41" fillId="27" borderId="197" xfId="2" applyNumberFormat="1" applyFont="1" applyFill="1" applyBorder="1" applyAlignment="1">
      <alignment vertical="center"/>
    </xf>
    <xf numFmtId="176" fontId="41" fillId="28" borderId="41" xfId="2" applyNumberFormat="1" applyFont="1" applyFill="1" applyBorder="1" applyAlignment="1">
      <alignment vertical="center"/>
    </xf>
    <xf numFmtId="176" fontId="41" fillId="28" borderId="39" xfId="2" applyNumberFormat="1" applyFont="1" applyFill="1" applyBorder="1" applyAlignment="1">
      <alignment vertical="center"/>
    </xf>
    <xf numFmtId="176" fontId="41" fillId="28" borderId="7" xfId="2" applyNumberFormat="1" applyFont="1" applyFill="1" applyBorder="1" applyAlignment="1">
      <alignment vertical="center"/>
    </xf>
    <xf numFmtId="176" fontId="41" fillId="28" borderId="73" xfId="2" applyNumberFormat="1" applyFont="1" applyFill="1" applyBorder="1" applyAlignment="1">
      <alignment vertical="center"/>
    </xf>
    <xf numFmtId="176" fontId="41" fillId="28" borderId="69" xfId="2" applyNumberFormat="1" applyFont="1" applyFill="1" applyBorder="1" applyAlignment="1">
      <alignment vertical="center"/>
    </xf>
    <xf numFmtId="176" fontId="41" fillId="28" borderId="164" xfId="2" applyNumberFormat="1" applyFont="1" applyFill="1" applyBorder="1" applyAlignment="1">
      <alignment vertical="center"/>
    </xf>
    <xf numFmtId="176" fontId="35" fillId="29" borderId="69" xfId="0" applyNumberFormat="1" applyFont="1" applyFill="1" applyBorder="1" applyAlignment="1">
      <alignment horizontal="right" vertical="center"/>
    </xf>
    <xf numFmtId="176" fontId="35" fillId="29" borderId="162" xfId="0" applyNumberFormat="1" applyFont="1" applyFill="1" applyBorder="1" applyAlignment="1">
      <alignment horizontal="right" vertical="center"/>
    </xf>
    <xf numFmtId="176" fontId="35" fillId="27" borderId="69" xfId="0" applyNumberFormat="1" applyFont="1" applyFill="1" applyBorder="1" applyAlignment="1">
      <alignment horizontal="right" vertical="center"/>
    </xf>
    <xf numFmtId="176" fontId="35" fillId="27" borderId="162" xfId="0" applyNumberFormat="1" applyFont="1" applyFill="1" applyBorder="1" applyAlignment="1">
      <alignment horizontal="right" vertical="center"/>
    </xf>
    <xf numFmtId="180" fontId="35" fillId="29" borderId="69" xfId="0" applyNumberFormat="1" applyFont="1" applyFill="1" applyBorder="1" applyAlignment="1">
      <alignment horizontal="right" vertical="center"/>
    </xf>
    <xf numFmtId="180" fontId="35" fillId="29" borderId="162" xfId="0" applyNumberFormat="1" applyFont="1" applyFill="1" applyBorder="1" applyAlignment="1">
      <alignment horizontal="right" vertical="center"/>
    </xf>
    <xf numFmtId="188" fontId="35" fillId="27" borderId="69" xfId="0" applyNumberFormat="1" applyFont="1" applyFill="1" applyBorder="1" applyAlignment="1">
      <alignment horizontal="right" vertical="center"/>
    </xf>
    <xf numFmtId="180" fontId="35" fillId="29" borderId="66" xfId="0" applyNumberFormat="1" applyFont="1" applyFill="1" applyBorder="1" applyAlignment="1">
      <alignment horizontal="right" vertical="center"/>
    </xf>
    <xf numFmtId="180" fontId="35" fillId="29" borderId="68" xfId="0" applyNumberFormat="1" applyFont="1" applyFill="1" applyBorder="1" applyAlignment="1">
      <alignment horizontal="right" vertical="center"/>
    </xf>
    <xf numFmtId="188" fontId="35" fillId="29" borderId="69" xfId="0" applyNumberFormat="1" applyFont="1" applyFill="1" applyBorder="1" applyAlignment="1">
      <alignment horizontal="right" vertical="center"/>
    </xf>
    <xf numFmtId="188" fontId="35" fillId="29" borderId="162" xfId="0" applyNumberFormat="1" applyFont="1" applyFill="1" applyBorder="1" applyAlignment="1">
      <alignment horizontal="right" vertical="center"/>
    </xf>
    <xf numFmtId="0" fontId="6" fillId="2" borderId="118" xfId="81" applyFont="1" applyFill="1" applyBorder="1" applyAlignment="1">
      <alignment horizontal="center" vertical="center"/>
    </xf>
    <xf numFmtId="0" fontId="6" fillId="2" borderId="120" xfId="81" applyFont="1" applyFill="1" applyBorder="1" applyAlignment="1">
      <alignment horizontal="center" vertical="center"/>
    </xf>
    <xf numFmtId="176" fontId="35" fillId="29" borderId="161" xfId="55" applyNumberFormat="1" applyFont="1" applyFill="1" applyBorder="1" applyAlignment="1">
      <alignment horizontal="right" vertical="center"/>
    </xf>
    <xf numFmtId="180" fontId="35" fillId="29" borderId="122" xfId="55" applyNumberFormat="1" applyFont="1" applyFill="1" applyBorder="1" applyAlignment="1">
      <alignment horizontal="right" vertical="center"/>
    </xf>
    <xf numFmtId="176" fontId="35" fillId="29" borderId="123" xfId="55" applyNumberFormat="1" applyFont="1" applyFill="1" applyBorder="1" applyAlignment="1">
      <alignment horizontal="right" vertical="center"/>
    </xf>
    <xf numFmtId="180" fontId="35" fillId="29" borderId="124" xfId="55" applyNumberFormat="1" applyFont="1" applyFill="1" applyBorder="1" applyAlignment="1">
      <alignment horizontal="right" vertical="center"/>
    </xf>
    <xf numFmtId="0" fontId="35" fillId="2" borderId="6" xfId="0" applyFont="1" applyFill="1" applyBorder="1" applyAlignment="1">
      <alignment vertical="top"/>
    </xf>
    <xf numFmtId="0" fontId="35" fillId="2" borderId="7" xfId="0" applyFont="1" applyFill="1" applyBorder="1" applyAlignment="1">
      <alignment vertical="top"/>
    </xf>
    <xf numFmtId="176" fontId="35" fillId="29" borderId="9" xfId="0" applyNumberFormat="1" applyFont="1" applyFill="1" applyBorder="1" applyAlignment="1">
      <alignment horizontal="right" vertical="center" shrinkToFit="1"/>
    </xf>
    <xf numFmtId="176" fontId="35" fillId="29" borderId="11" xfId="0" applyNumberFormat="1" applyFont="1" applyFill="1" applyBorder="1" applyAlignment="1">
      <alignment horizontal="right" vertical="center" shrinkToFit="1"/>
    </xf>
    <xf numFmtId="176" fontId="35" fillId="29" borderId="69" xfId="0" applyNumberFormat="1" applyFont="1" applyFill="1" applyBorder="1" applyAlignment="1">
      <alignment horizontal="right" vertical="center" shrinkToFit="1"/>
    </xf>
    <xf numFmtId="176" fontId="35" fillId="29" borderId="69" xfId="0" applyNumberFormat="1" applyFont="1" applyFill="1" applyBorder="1">
      <alignment vertical="center"/>
    </xf>
    <xf numFmtId="176" fontId="35" fillId="29" borderId="162" xfId="0" applyNumberFormat="1" applyFont="1" applyFill="1" applyBorder="1">
      <alignment vertical="center"/>
    </xf>
    <xf numFmtId="176" fontId="35" fillId="27" borderId="69" xfId="0" applyNumberFormat="1" applyFont="1" applyFill="1" applyBorder="1" applyAlignment="1">
      <alignment horizontal="right" vertical="center" shrinkToFit="1"/>
    </xf>
    <xf numFmtId="176" fontId="35" fillId="27" borderId="162" xfId="0" applyNumberFormat="1" applyFont="1" applyFill="1" applyBorder="1" applyAlignment="1">
      <alignment horizontal="right" vertical="center" shrinkToFit="1"/>
    </xf>
    <xf numFmtId="176" fontId="28" fillId="28" borderId="160" xfId="0" applyNumberFormat="1" applyFont="1" applyFill="1" applyBorder="1" applyAlignment="1">
      <alignment horizontal="right" vertical="center" shrinkToFit="1"/>
    </xf>
    <xf numFmtId="176" fontId="28" fillId="28" borderId="161" xfId="0" applyNumberFormat="1" applyFont="1" applyFill="1" applyBorder="1" applyAlignment="1">
      <alignment horizontal="right" vertical="center" shrinkToFit="1"/>
    </xf>
    <xf numFmtId="176" fontId="35" fillId="28" borderId="69" xfId="0" applyNumberFormat="1" applyFont="1" applyFill="1" applyBorder="1" applyAlignment="1">
      <alignment horizontal="right" vertical="center" shrinkToFit="1"/>
    </xf>
    <xf numFmtId="0" fontId="26" fillId="0" borderId="22" xfId="81" applyBorder="1" applyAlignment="1">
      <alignment vertical="center"/>
    </xf>
    <xf numFmtId="0" fontId="26" fillId="27" borderId="163" xfId="81" applyFill="1" applyBorder="1" applyAlignment="1">
      <alignment vertical="center"/>
    </xf>
    <xf numFmtId="176" fontId="28" fillId="27" borderId="160" xfId="0" applyNumberFormat="1" applyFont="1" applyFill="1" applyBorder="1" applyAlignment="1">
      <alignment vertical="center" shrinkToFit="1"/>
    </xf>
    <xf numFmtId="0" fontId="26" fillId="0" borderId="165" xfId="81" applyBorder="1" applyAlignment="1">
      <alignment vertical="center"/>
    </xf>
    <xf numFmtId="0" fontId="26" fillId="0" borderId="98" xfId="81" applyBorder="1" applyAlignment="1">
      <alignment vertical="center"/>
    </xf>
    <xf numFmtId="0" fontId="26" fillId="0" borderId="29" xfId="81" applyBorder="1" applyAlignment="1">
      <alignment vertical="center"/>
    </xf>
    <xf numFmtId="0" fontId="26" fillId="0" borderId="9" xfId="81" applyBorder="1" applyAlignment="1">
      <alignment vertical="center"/>
    </xf>
    <xf numFmtId="0" fontId="35" fillId="27" borderId="98" xfId="0" applyFont="1" applyFill="1" applyBorder="1">
      <alignment vertical="center"/>
    </xf>
    <xf numFmtId="0" fontId="6" fillId="2" borderId="178" xfId="0" applyFont="1" applyFill="1" applyBorder="1">
      <alignment vertical="center"/>
    </xf>
    <xf numFmtId="0" fontId="6" fillId="2" borderId="29" xfId="0" applyFont="1" applyFill="1" applyBorder="1">
      <alignment vertical="center"/>
    </xf>
    <xf numFmtId="0" fontId="6" fillId="2" borderId="185" xfId="0" applyFont="1" applyFill="1" applyBorder="1">
      <alignment vertical="center"/>
    </xf>
    <xf numFmtId="0" fontId="6" fillId="2" borderId="186" xfId="0" applyFont="1" applyFill="1" applyBorder="1">
      <alignment vertical="center"/>
    </xf>
    <xf numFmtId="0" fontId="6" fillId="2" borderId="9" xfId="0" applyFont="1" applyFill="1" applyBorder="1">
      <alignment vertical="center"/>
    </xf>
    <xf numFmtId="176" fontId="35" fillId="27" borderId="75" xfId="0" applyNumberFormat="1" applyFont="1" applyFill="1" applyBorder="1" applyAlignment="1">
      <alignment horizontal="right" vertical="center" shrinkToFit="1"/>
    </xf>
    <xf numFmtId="176" fontId="35" fillId="27" borderId="78" xfId="0" applyNumberFormat="1" applyFont="1" applyFill="1" applyBorder="1" applyAlignment="1">
      <alignment horizontal="right" vertical="center" shrinkToFit="1"/>
    </xf>
    <xf numFmtId="176" fontId="35" fillId="29" borderId="2" xfId="0" applyNumberFormat="1" applyFont="1" applyFill="1" applyBorder="1" applyAlignment="1">
      <alignment horizontal="right" vertical="center" shrinkToFit="1"/>
    </xf>
    <xf numFmtId="176" fontId="35" fillId="29" borderId="4" xfId="0" applyNumberFormat="1" applyFont="1" applyFill="1" applyBorder="1" applyAlignment="1">
      <alignment horizontal="right" vertical="center" shrinkToFit="1"/>
    </xf>
    <xf numFmtId="10" fontId="35" fillId="27" borderId="30" xfId="0" applyNumberFormat="1" applyFont="1" applyFill="1" applyBorder="1" applyAlignment="1">
      <alignment horizontal="right" vertical="center" shrinkToFit="1"/>
    </xf>
    <xf numFmtId="10" fontId="35" fillId="27" borderId="50" xfId="0" applyNumberFormat="1" applyFont="1" applyFill="1" applyBorder="1" applyAlignment="1">
      <alignment horizontal="right" vertical="center" shrinkToFit="1"/>
    </xf>
    <xf numFmtId="176" fontId="35" fillId="29" borderId="39" xfId="0" applyNumberFormat="1" applyFont="1" applyFill="1" applyBorder="1">
      <alignment vertical="center"/>
    </xf>
    <xf numFmtId="176" fontId="35" fillId="29" borderId="42" xfId="0" applyNumberFormat="1" applyFont="1" applyFill="1" applyBorder="1">
      <alignment vertical="center"/>
    </xf>
    <xf numFmtId="176" fontId="35" fillId="27" borderId="162" xfId="0" applyNumberFormat="1" applyFont="1" applyFill="1" applyBorder="1">
      <alignment vertical="center"/>
    </xf>
    <xf numFmtId="176" fontId="35" fillId="28" borderId="69" xfId="0" applyNumberFormat="1" applyFont="1" applyFill="1" applyBorder="1">
      <alignment vertical="center"/>
    </xf>
    <xf numFmtId="176" fontId="35" fillId="28" borderId="162" xfId="0" applyNumberFormat="1" applyFont="1" applyFill="1" applyBorder="1">
      <alignment vertical="center"/>
    </xf>
    <xf numFmtId="0" fontId="35" fillId="2" borderId="69" xfId="0" applyFont="1" applyFill="1" applyBorder="1">
      <alignment vertical="center"/>
    </xf>
    <xf numFmtId="0" fontId="35" fillId="2" borderId="162" xfId="0" applyFont="1" applyFill="1" applyBorder="1">
      <alignment vertical="center"/>
    </xf>
    <xf numFmtId="180" fontId="35" fillId="29" borderId="69" xfId="0" applyNumberFormat="1" applyFont="1" applyFill="1" applyBorder="1">
      <alignment vertical="center"/>
    </xf>
    <xf numFmtId="180" fontId="35" fillId="29" borderId="162" xfId="0" applyNumberFormat="1" applyFont="1" applyFill="1" applyBorder="1">
      <alignment vertical="center"/>
    </xf>
    <xf numFmtId="176" fontId="35" fillId="2" borderId="69" xfId="0" applyNumberFormat="1" applyFont="1" applyFill="1" applyBorder="1">
      <alignment vertical="center"/>
    </xf>
    <xf numFmtId="176" fontId="35" fillId="2" borderId="162" xfId="0" applyNumberFormat="1" applyFont="1" applyFill="1" applyBorder="1">
      <alignment vertical="center"/>
    </xf>
    <xf numFmtId="176" fontId="35" fillId="29" borderId="75" xfId="0" applyNumberFormat="1" applyFont="1" applyFill="1" applyBorder="1">
      <alignment vertical="center"/>
    </xf>
    <xf numFmtId="176" fontId="35" fillId="29" borderId="78" xfId="0" applyNumberFormat="1" applyFont="1" applyFill="1" applyBorder="1">
      <alignment vertical="center"/>
    </xf>
    <xf numFmtId="176" fontId="35" fillId="27" borderId="78" xfId="0" applyNumberFormat="1" applyFont="1" applyFill="1" applyBorder="1">
      <alignment vertical="center"/>
    </xf>
    <xf numFmtId="176" fontId="35" fillId="29" borderId="66" xfId="0" applyNumberFormat="1" applyFont="1" applyFill="1" applyBorder="1">
      <alignment vertical="center"/>
    </xf>
    <xf numFmtId="176" fontId="35" fillId="29" borderId="68" xfId="0" applyNumberFormat="1" applyFont="1" applyFill="1" applyBorder="1">
      <alignment vertical="center"/>
    </xf>
    <xf numFmtId="0" fontId="35" fillId="29" borderId="39" xfId="0" applyFont="1" applyFill="1" applyBorder="1" applyAlignment="1">
      <alignment horizontal="right" vertical="center"/>
    </xf>
    <xf numFmtId="0" fontId="35" fillId="29" borderId="42" xfId="0" applyFont="1" applyFill="1" applyBorder="1" applyAlignment="1">
      <alignment horizontal="right" vertical="center"/>
    </xf>
    <xf numFmtId="186" fontId="35" fillId="27" borderId="69" xfId="0" applyNumberFormat="1" applyFont="1" applyFill="1" applyBorder="1" applyAlignment="1">
      <alignment horizontal="right" vertical="center"/>
    </xf>
    <xf numFmtId="186" fontId="35" fillId="27" borderId="162" xfId="0" applyNumberFormat="1" applyFont="1" applyFill="1" applyBorder="1" applyAlignment="1">
      <alignment horizontal="right" vertical="center"/>
    </xf>
    <xf numFmtId="186" fontId="35" fillId="30" borderId="69" xfId="0" applyNumberFormat="1" applyFont="1" applyFill="1" applyBorder="1" applyAlignment="1">
      <alignment horizontal="right" vertical="center"/>
    </xf>
    <xf numFmtId="186" fontId="35" fillId="30" borderId="162" xfId="0" applyNumberFormat="1" applyFont="1" applyFill="1" applyBorder="1" applyAlignment="1">
      <alignment horizontal="right" vertical="center"/>
    </xf>
    <xf numFmtId="176" fontId="35" fillId="27" borderId="66" xfId="0" applyNumberFormat="1" applyFont="1" applyFill="1" applyBorder="1" applyAlignment="1">
      <alignment horizontal="right" vertical="center"/>
    </xf>
    <xf numFmtId="176" fontId="35" fillId="27" borderId="68" xfId="0" applyNumberFormat="1" applyFont="1" applyFill="1" applyBorder="1" applyAlignment="1">
      <alignment horizontal="right" vertical="center"/>
    </xf>
    <xf numFmtId="185" fontId="35" fillId="2" borderId="69" xfId="0" applyNumberFormat="1" applyFont="1" applyFill="1" applyBorder="1" applyAlignment="1">
      <alignment horizontal="right" vertical="center"/>
    </xf>
    <xf numFmtId="185" fontId="35" fillId="2" borderId="162" xfId="0" applyNumberFormat="1" applyFont="1" applyFill="1" applyBorder="1" applyAlignment="1">
      <alignment horizontal="right" vertical="center"/>
    </xf>
    <xf numFmtId="176" fontId="35" fillId="2" borderId="69" xfId="0" applyNumberFormat="1" applyFont="1" applyFill="1" applyBorder="1" applyAlignment="1">
      <alignment horizontal="right" vertical="center"/>
    </xf>
    <xf numFmtId="176" fontId="35" fillId="2" borderId="162" xfId="0" applyNumberFormat="1" applyFont="1" applyFill="1" applyBorder="1" applyAlignment="1">
      <alignment horizontal="right" vertical="center"/>
    </xf>
    <xf numFmtId="176" fontId="35" fillId="2" borderId="66" xfId="0" applyNumberFormat="1" applyFont="1" applyFill="1" applyBorder="1" applyAlignment="1">
      <alignment horizontal="right" vertical="center"/>
    </xf>
    <xf numFmtId="176" fontId="35" fillId="2" borderId="68" xfId="0" applyNumberFormat="1" applyFont="1" applyFill="1" applyBorder="1" applyAlignment="1">
      <alignment horizontal="right" vertical="center"/>
    </xf>
    <xf numFmtId="0" fontId="31" fillId="2" borderId="0" xfId="0" applyFont="1" applyFill="1">
      <alignment vertical="center"/>
    </xf>
    <xf numFmtId="0" fontId="31" fillId="2" borderId="1" xfId="0" applyFont="1" applyFill="1" applyBorder="1" applyAlignment="1">
      <alignment horizontal="center" vertical="center"/>
    </xf>
    <xf numFmtId="0" fontId="31" fillId="2" borderId="2" xfId="0" applyFont="1" applyFill="1" applyBorder="1" applyAlignment="1">
      <alignment horizontal="center" vertical="center"/>
    </xf>
    <xf numFmtId="0" fontId="31" fillId="2" borderId="4" xfId="0" applyFont="1" applyFill="1" applyBorder="1" applyAlignment="1">
      <alignment horizontal="center" vertical="center"/>
    </xf>
    <xf numFmtId="0" fontId="31" fillId="2" borderId="106" xfId="2" applyFont="1" applyFill="1" applyBorder="1" applyAlignment="1">
      <alignment horizontal="left" vertical="center"/>
    </xf>
    <xf numFmtId="182" fontId="31" fillId="28" borderId="73" xfId="2" applyNumberFormat="1" applyFont="1" applyFill="1" applyBorder="1" applyAlignment="1">
      <alignment vertical="center"/>
    </xf>
    <xf numFmtId="182" fontId="31" fillId="28" borderId="69" xfId="2" applyNumberFormat="1" applyFont="1" applyFill="1" applyBorder="1" applyAlignment="1">
      <alignment vertical="center"/>
    </xf>
    <xf numFmtId="0" fontId="31" fillId="2" borderId="107" xfId="2" applyFont="1" applyFill="1" applyBorder="1" applyAlignment="1">
      <alignment horizontal="left" vertical="center"/>
    </xf>
    <xf numFmtId="182" fontId="31" fillId="28" borderId="67" xfId="2" applyNumberFormat="1" applyFont="1" applyFill="1" applyBorder="1" applyAlignment="1">
      <alignment vertical="center"/>
    </xf>
    <xf numFmtId="182" fontId="31" fillId="28" borderId="66" xfId="2" applyNumberFormat="1" applyFont="1" applyFill="1" applyBorder="1" applyAlignment="1">
      <alignment vertical="center"/>
    </xf>
    <xf numFmtId="0" fontId="44" fillId="2" borderId="0" xfId="0" applyFont="1" applyFill="1">
      <alignment vertical="center"/>
    </xf>
    <xf numFmtId="0" fontId="6" fillId="2" borderId="37" xfId="3" applyFill="1" applyBorder="1" applyAlignment="1">
      <alignment horizontal="left" vertical="top" wrapText="1"/>
    </xf>
    <xf numFmtId="10" fontId="31" fillId="28" borderId="111" xfId="2" applyNumberFormat="1" applyFont="1" applyFill="1" applyBorder="1" applyAlignment="1">
      <alignment vertical="center"/>
    </xf>
    <xf numFmtId="10" fontId="31" fillId="28" borderId="108" xfId="2" applyNumberFormat="1" applyFont="1" applyFill="1" applyBorder="1" applyAlignment="1">
      <alignment vertical="center"/>
    </xf>
    <xf numFmtId="10" fontId="31" fillId="28" borderId="110" xfId="2" applyNumberFormat="1" applyFont="1" applyFill="1" applyBorder="1" applyAlignment="1">
      <alignment vertical="center"/>
    </xf>
    <xf numFmtId="0" fontId="35" fillId="2" borderId="2" xfId="0" applyFont="1" applyFill="1" applyBorder="1" applyAlignment="1">
      <alignment horizontal="center" vertical="center"/>
    </xf>
    <xf numFmtId="0" fontId="35" fillId="2" borderId="54" xfId="0" applyFont="1" applyFill="1" applyBorder="1" applyAlignment="1">
      <alignment horizontal="center" vertical="center"/>
    </xf>
    <xf numFmtId="176" fontId="35" fillId="0" borderId="91" xfId="0" applyNumberFormat="1" applyFont="1" applyBorder="1" applyAlignment="1">
      <alignment vertical="center" shrinkToFit="1"/>
    </xf>
    <xf numFmtId="176" fontId="35" fillId="0" borderId="198" xfId="0" applyNumberFormat="1" applyFont="1" applyBorder="1" applyAlignment="1">
      <alignment vertical="center" shrinkToFit="1"/>
    </xf>
    <xf numFmtId="0" fontId="45" fillId="2" borderId="185" xfId="0" applyFont="1" applyFill="1" applyBorder="1">
      <alignment vertical="center"/>
    </xf>
    <xf numFmtId="184" fontId="6" fillId="28" borderId="199" xfId="0" applyNumberFormat="1" applyFont="1" applyFill="1" applyBorder="1" applyAlignment="1">
      <alignment vertical="center" shrinkToFit="1"/>
    </xf>
    <xf numFmtId="184" fontId="6" fillId="28" borderId="200" xfId="0" applyNumberFormat="1" applyFont="1" applyFill="1" applyBorder="1" applyAlignment="1">
      <alignment vertical="center" shrinkToFit="1"/>
    </xf>
    <xf numFmtId="184" fontId="6" fillId="28" borderId="201" xfId="0" applyNumberFormat="1" applyFont="1" applyFill="1" applyBorder="1" applyAlignment="1">
      <alignment vertical="center" shrinkToFit="1"/>
    </xf>
    <xf numFmtId="184" fontId="6" fillId="0" borderId="202" xfId="0" applyNumberFormat="1" applyFont="1" applyBorder="1" applyAlignment="1">
      <alignment vertical="center" shrinkToFit="1"/>
    </xf>
    <xf numFmtId="184" fontId="6" fillId="28" borderId="202" xfId="0" applyNumberFormat="1" applyFont="1" applyFill="1" applyBorder="1" applyAlignment="1">
      <alignment vertical="center" shrinkToFit="1"/>
    </xf>
    <xf numFmtId="0" fontId="28" fillId="27" borderId="31" xfId="0" applyFont="1" applyFill="1" applyBorder="1" applyAlignment="1">
      <alignment horizontal="left" vertical="center" shrinkToFit="1"/>
    </xf>
    <xf numFmtId="0" fontId="28" fillId="27" borderId="54" xfId="0" applyFont="1" applyFill="1" applyBorder="1" applyAlignment="1">
      <alignment horizontal="left" vertical="center" shrinkToFit="1"/>
    </xf>
    <xf numFmtId="49" fontId="28" fillId="27" borderId="31" xfId="0" applyNumberFormat="1" applyFont="1" applyFill="1" applyBorder="1" applyAlignment="1">
      <alignment horizontal="left" vertical="center"/>
    </xf>
    <xf numFmtId="49" fontId="28" fillId="27" borderId="54" xfId="0" applyNumberFormat="1" applyFont="1" applyFill="1" applyBorder="1" applyAlignment="1">
      <alignment horizontal="left" vertical="center"/>
    </xf>
    <xf numFmtId="49" fontId="28" fillId="27" borderId="31" xfId="0" applyNumberFormat="1" applyFont="1" applyFill="1" applyBorder="1" applyAlignment="1">
      <alignment horizontal="left" vertical="center" shrinkToFit="1"/>
    </xf>
    <xf numFmtId="49" fontId="28" fillId="27" borderId="54" xfId="0" applyNumberFormat="1" applyFont="1" applyFill="1" applyBorder="1" applyAlignment="1">
      <alignment horizontal="left" vertical="center" shrinkToFit="1"/>
    </xf>
    <xf numFmtId="0" fontId="35" fillId="2" borderId="3" xfId="0" applyFont="1" applyFill="1" applyBorder="1" applyAlignment="1">
      <alignment horizontal="center" vertical="center"/>
    </xf>
    <xf numFmtId="180" fontId="35" fillId="29" borderId="134" xfId="55" applyNumberFormat="1" applyFont="1" applyFill="1" applyBorder="1" applyAlignment="1">
      <alignment horizontal="right" vertical="center"/>
    </xf>
    <xf numFmtId="180" fontId="35" fillId="29" borderId="203" xfId="55" applyNumberFormat="1" applyFont="1" applyFill="1" applyBorder="1" applyAlignment="1">
      <alignment horizontal="right" vertical="center"/>
    </xf>
    <xf numFmtId="176" fontId="35" fillId="29" borderId="10" xfId="0" applyNumberFormat="1" applyFont="1" applyFill="1" applyBorder="1" applyAlignment="1">
      <alignment horizontal="right" vertical="center" shrinkToFit="1"/>
    </xf>
    <xf numFmtId="176" fontId="35" fillId="29" borderId="163" xfId="0" applyNumberFormat="1" applyFont="1" applyFill="1" applyBorder="1" applyAlignment="1">
      <alignment horizontal="right" vertical="center" shrinkToFit="1"/>
    </xf>
    <xf numFmtId="176" fontId="35" fillId="29" borderId="163" xfId="0" applyNumberFormat="1" applyFont="1" applyFill="1" applyBorder="1">
      <alignment vertical="center"/>
    </xf>
    <xf numFmtId="176" fontId="35" fillId="27" borderId="163" xfId="0" applyNumberFormat="1" applyFont="1" applyFill="1" applyBorder="1" applyAlignment="1">
      <alignment horizontal="right" vertical="center" shrinkToFit="1"/>
    </xf>
    <xf numFmtId="176" fontId="35" fillId="28" borderId="163" xfId="0" applyNumberFormat="1" applyFont="1" applyFill="1" applyBorder="1" applyAlignment="1">
      <alignment horizontal="right" vertical="center" shrinkToFit="1"/>
    </xf>
    <xf numFmtId="187" fontId="6" fillId="27" borderId="204" xfId="0" applyNumberFormat="1" applyFont="1" applyFill="1" applyBorder="1" applyAlignment="1">
      <alignment horizontal="right" vertical="center" shrinkToFit="1"/>
    </xf>
    <xf numFmtId="176" fontId="6" fillId="27" borderId="204" xfId="0" applyNumberFormat="1" applyFont="1" applyFill="1" applyBorder="1" applyAlignment="1">
      <alignment horizontal="right" vertical="center" shrinkToFit="1"/>
    </xf>
    <xf numFmtId="176" fontId="35" fillId="27" borderId="165" xfId="0" applyNumberFormat="1" applyFont="1" applyFill="1" applyBorder="1" applyAlignment="1">
      <alignment horizontal="right" vertical="center" shrinkToFit="1"/>
    </xf>
    <xf numFmtId="176" fontId="35" fillId="29" borderId="3" xfId="0" applyNumberFormat="1" applyFont="1" applyFill="1" applyBorder="1" applyAlignment="1">
      <alignment horizontal="right" vertical="center" shrinkToFit="1"/>
    </xf>
    <xf numFmtId="10" fontId="35" fillId="27" borderId="49" xfId="0" applyNumberFormat="1" applyFont="1" applyFill="1" applyBorder="1" applyAlignment="1">
      <alignment horizontal="right" vertical="center" shrinkToFit="1"/>
    </xf>
    <xf numFmtId="176" fontId="35" fillId="29" borderId="40" xfId="0" applyNumberFormat="1" applyFont="1" applyFill="1" applyBorder="1">
      <alignment vertical="center"/>
    </xf>
    <xf numFmtId="176" fontId="35" fillId="27" borderId="163" xfId="0" applyNumberFormat="1" applyFont="1" applyFill="1" applyBorder="1">
      <alignment vertical="center"/>
    </xf>
    <xf numFmtId="176" fontId="35" fillId="28" borderId="163" xfId="0" applyNumberFormat="1" applyFont="1" applyFill="1" applyBorder="1">
      <alignment vertical="center"/>
    </xf>
    <xf numFmtId="0" fontId="35" fillId="2" borderId="163" xfId="0" applyFont="1" applyFill="1" applyBorder="1">
      <alignment vertical="center"/>
    </xf>
    <xf numFmtId="180" fontId="35" fillId="29" borderId="163" xfId="0" applyNumberFormat="1" applyFont="1" applyFill="1" applyBorder="1">
      <alignment vertical="center"/>
    </xf>
    <xf numFmtId="176" fontId="35" fillId="2" borderId="163" xfId="0" applyNumberFormat="1" applyFont="1" applyFill="1" applyBorder="1">
      <alignment vertical="center"/>
    </xf>
    <xf numFmtId="176" fontId="35" fillId="29" borderId="165" xfId="0" applyNumberFormat="1" applyFont="1" applyFill="1" applyBorder="1">
      <alignment vertical="center"/>
    </xf>
    <xf numFmtId="176" fontId="35" fillId="27" borderId="165" xfId="0" applyNumberFormat="1" applyFont="1" applyFill="1" applyBorder="1">
      <alignment vertical="center"/>
    </xf>
    <xf numFmtId="176" fontId="35" fillId="29" borderId="65" xfId="0" applyNumberFormat="1" applyFont="1" applyFill="1" applyBorder="1">
      <alignment vertical="center"/>
    </xf>
    <xf numFmtId="0" fontId="35" fillId="29" borderId="40" xfId="0" applyFont="1" applyFill="1" applyBorder="1" applyAlignment="1">
      <alignment horizontal="right" vertical="center"/>
    </xf>
    <xf numFmtId="186" fontId="35" fillId="27" borderId="163" xfId="0" applyNumberFormat="1" applyFont="1" applyFill="1" applyBorder="1" applyAlignment="1">
      <alignment horizontal="right" vertical="center"/>
    </xf>
    <xf numFmtId="186" fontId="35" fillId="30" borderId="163" xfId="0" applyNumberFormat="1" applyFont="1" applyFill="1" applyBorder="1" applyAlignment="1">
      <alignment horizontal="right" vertical="center"/>
    </xf>
    <xf numFmtId="185" fontId="35" fillId="2" borderId="163" xfId="0" applyNumberFormat="1" applyFont="1" applyFill="1" applyBorder="1" applyAlignment="1">
      <alignment horizontal="right" vertical="center"/>
    </xf>
    <xf numFmtId="176" fontId="35" fillId="2" borderId="163" xfId="0" applyNumberFormat="1" applyFont="1" applyFill="1" applyBorder="1" applyAlignment="1">
      <alignment horizontal="right" vertical="center"/>
    </xf>
    <xf numFmtId="176" fontId="35" fillId="2" borderId="65" xfId="0" applyNumberFormat="1" applyFont="1" applyFill="1" applyBorder="1" applyAlignment="1">
      <alignment horizontal="right" vertical="center"/>
    </xf>
    <xf numFmtId="176" fontId="28" fillId="29" borderId="42" xfId="0" applyNumberFormat="1" applyFont="1" applyFill="1" applyBorder="1" applyAlignment="1">
      <alignment horizontal="right" vertical="center"/>
    </xf>
    <xf numFmtId="176" fontId="28" fillId="29" borderId="162" xfId="0" applyNumberFormat="1" applyFont="1" applyFill="1" applyBorder="1" applyAlignment="1">
      <alignment horizontal="right" vertical="center"/>
    </xf>
    <xf numFmtId="0" fontId="31" fillId="2" borderId="205" xfId="2" applyFont="1" applyFill="1" applyBorder="1" applyAlignment="1">
      <alignment horizontal="center" vertical="center" shrinkToFit="1"/>
    </xf>
    <xf numFmtId="183" fontId="31" fillId="28" borderId="206" xfId="2" applyNumberFormat="1" applyFont="1" applyFill="1" applyBorder="1" applyAlignment="1">
      <alignment horizontal="right" vertical="center"/>
    </xf>
    <xf numFmtId="183" fontId="31" fillId="28" borderId="207" xfId="2" applyNumberFormat="1" applyFont="1" applyFill="1" applyBorder="1" applyAlignment="1">
      <alignment vertical="center"/>
    </xf>
    <xf numFmtId="182" fontId="31" fillId="28" borderId="164" xfId="2" applyNumberFormat="1" applyFont="1" applyFill="1" applyBorder="1" applyAlignment="1">
      <alignment vertical="center"/>
    </xf>
    <xf numFmtId="182" fontId="31" fillId="28" borderId="19" xfId="2" applyNumberFormat="1" applyFont="1" applyFill="1" applyBorder="1" applyAlignment="1">
      <alignment vertical="center"/>
    </xf>
    <xf numFmtId="0" fontId="31" fillId="2" borderId="208" xfId="2" applyFont="1" applyFill="1" applyBorder="1" applyAlignment="1">
      <alignment horizontal="center" vertical="center" shrinkToFit="1"/>
    </xf>
    <xf numFmtId="183" fontId="31" fillId="28" borderId="209" xfId="2" applyNumberFormat="1" applyFont="1" applyFill="1" applyBorder="1" applyAlignment="1">
      <alignment horizontal="right" vertical="center"/>
    </xf>
    <xf numFmtId="183" fontId="31" fillId="28" borderId="210" xfId="2" applyNumberFormat="1" applyFont="1" applyFill="1" applyBorder="1" applyAlignment="1">
      <alignment vertical="center"/>
    </xf>
    <xf numFmtId="188" fontId="35" fillId="27" borderId="162" xfId="0" applyNumberFormat="1" applyFont="1" applyFill="1" applyBorder="1" applyAlignment="1">
      <alignment horizontal="right" vertical="center"/>
    </xf>
    <xf numFmtId="176" fontId="35" fillId="29" borderId="42" xfId="0" applyNumberFormat="1" applyFont="1" applyFill="1" applyBorder="1" applyAlignment="1">
      <alignment horizontal="right" vertical="center"/>
    </xf>
    <xf numFmtId="176" fontId="35" fillId="0" borderId="92" xfId="0" applyNumberFormat="1" applyFont="1" applyBorder="1" applyAlignment="1">
      <alignment vertical="center" shrinkToFit="1"/>
    </xf>
    <xf numFmtId="180" fontId="35" fillId="29" borderId="162" xfId="55" applyNumberFormat="1" applyFont="1" applyFill="1" applyBorder="1" applyAlignment="1">
      <alignment horizontal="right" vertical="center"/>
    </xf>
    <xf numFmtId="180" fontId="35" fillId="29" borderId="68" xfId="55" applyNumberFormat="1" applyFont="1" applyFill="1" applyBorder="1" applyAlignment="1">
      <alignment horizontal="right" vertical="center"/>
    </xf>
    <xf numFmtId="176" fontId="28" fillId="29" borderId="162" xfId="0" applyNumberFormat="1" applyFont="1" applyFill="1" applyBorder="1" applyAlignment="1">
      <alignment horizontal="right" vertical="center" shrinkToFit="1"/>
    </xf>
    <xf numFmtId="176" fontId="28" fillId="28" borderId="162" xfId="0" applyNumberFormat="1" applyFont="1" applyFill="1" applyBorder="1" applyAlignment="1">
      <alignment horizontal="right" vertical="center" shrinkToFit="1"/>
    </xf>
    <xf numFmtId="176" fontId="35" fillId="28" borderId="162" xfId="0" applyNumberFormat="1" applyFont="1" applyFill="1" applyBorder="1" applyAlignment="1">
      <alignment horizontal="right" vertical="center" shrinkToFit="1"/>
    </xf>
    <xf numFmtId="176" fontId="35" fillId="29" borderId="162" xfId="0" applyNumberFormat="1" applyFont="1" applyFill="1" applyBorder="1" applyAlignment="1">
      <alignment horizontal="right" vertical="center" shrinkToFit="1"/>
    </xf>
    <xf numFmtId="176" fontId="35" fillId="28" borderId="160" xfId="0" applyNumberFormat="1" applyFont="1" applyFill="1" applyBorder="1" applyAlignment="1">
      <alignment horizontal="right" vertical="center" shrinkToFit="1"/>
    </xf>
    <xf numFmtId="176" fontId="6" fillId="28" borderId="211" xfId="0" applyNumberFormat="1" applyFont="1" applyFill="1" applyBorder="1" applyAlignment="1">
      <alignment horizontal="right" vertical="center" shrinkToFit="1"/>
    </xf>
    <xf numFmtId="176" fontId="6" fillId="28" borderId="212" xfId="0" applyNumberFormat="1" applyFont="1" applyFill="1" applyBorder="1" applyAlignment="1">
      <alignment horizontal="right" vertical="center" shrinkToFit="1"/>
    </xf>
    <xf numFmtId="187" fontId="6" fillId="27" borderId="212" xfId="0" applyNumberFormat="1" applyFont="1" applyFill="1" applyBorder="1" applyAlignment="1">
      <alignment horizontal="right" vertical="center" shrinkToFit="1"/>
    </xf>
    <xf numFmtId="176" fontId="6" fillId="27" borderId="212" xfId="0" applyNumberFormat="1" applyFont="1" applyFill="1" applyBorder="1" applyAlignment="1">
      <alignment horizontal="right" vertical="center" shrinkToFit="1"/>
    </xf>
    <xf numFmtId="10" fontId="6" fillId="28" borderId="212" xfId="0" applyNumberFormat="1" applyFont="1" applyFill="1" applyBorder="1" applyAlignment="1">
      <alignment vertical="center" shrinkToFit="1"/>
    </xf>
    <xf numFmtId="184" fontId="6" fillId="28" borderId="212" xfId="0" applyNumberFormat="1" applyFont="1" applyFill="1" applyBorder="1" applyAlignment="1">
      <alignment vertical="center" shrinkToFit="1"/>
    </xf>
    <xf numFmtId="184" fontId="6" fillId="0" borderId="213" xfId="0" applyNumberFormat="1" applyFont="1" applyBorder="1" applyAlignment="1">
      <alignment vertical="center" shrinkToFit="1"/>
    </xf>
    <xf numFmtId="184" fontId="6" fillId="28" borderId="213" xfId="0" applyNumberFormat="1" applyFont="1" applyFill="1" applyBorder="1" applyAlignment="1">
      <alignment vertical="center" shrinkToFit="1"/>
    </xf>
    <xf numFmtId="176" fontId="28" fillId="27" borderId="161" xfId="0" applyNumberFormat="1" applyFont="1" applyFill="1" applyBorder="1" applyAlignment="1">
      <alignment vertical="center" shrinkToFit="1"/>
    </xf>
    <xf numFmtId="176" fontId="6" fillId="27" borderId="157" xfId="0" applyNumberFormat="1" applyFont="1" applyFill="1" applyBorder="1" applyAlignment="1">
      <alignment vertical="center" shrinkToFit="1"/>
    </xf>
    <xf numFmtId="176" fontId="6" fillId="27" borderId="170" xfId="0" applyNumberFormat="1" applyFont="1" applyFill="1" applyBorder="1" applyAlignment="1">
      <alignment vertical="center" shrinkToFit="1"/>
    </xf>
    <xf numFmtId="176" fontId="6" fillId="28" borderId="214" xfId="81" applyNumberFormat="1" applyFont="1" applyFill="1" applyBorder="1" applyAlignment="1">
      <alignment vertical="center" shrinkToFit="1"/>
    </xf>
    <xf numFmtId="176" fontId="6" fillId="28" borderId="166" xfId="0" applyNumberFormat="1" applyFont="1" applyFill="1" applyBorder="1" applyAlignment="1">
      <alignment vertical="center" shrinkToFit="1"/>
    </xf>
    <xf numFmtId="176" fontId="6" fillId="28" borderId="215" xfId="0" applyNumberFormat="1" applyFont="1" applyFill="1" applyBorder="1" applyAlignment="1">
      <alignment vertical="center" shrinkToFit="1"/>
    </xf>
    <xf numFmtId="176" fontId="28" fillId="29" borderId="161" xfId="0" applyNumberFormat="1" applyFont="1" applyFill="1" applyBorder="1" applyAlignment="1">
      <alignment vertical="center" shrinkToFit="1"/>
    </xf>
    <xf numFmtId="176" fontId="28" fillId="29" borderId="161" xfId="0" applyNumberFormat="1" applyFont="1" applyFill="1" applyBorder="1">
      <alignment vertical="center"/>
    </xf>
    <xf numFmtId="176" fontId="35" fillId="28" borderId="161" xfId="0" applyNumberFormat="1" applyFont="1" applyFill="1" applyBorder="1" applyAlignment="1">
      <alignment horizontal="right" vertical="center" shrinkToFit="1"/>
    </xf>
    <xf numFmtId="176" fontId="6" fillId="28" borderId="216" xfId="0" applyNumberFormat="1" applyFont="1" applyFill="1" applyBorder="1" applyAlignment="1">
      <alignment vertical="center" shrinkToFit="1"/>
    </xf>
    <xf numFmtId="176" fontId="6" fillId="28" borderId="217" xfId="0" applyNumberFormat="1" applyFont="1" applyFill="1" applyBorder="1" applyAlignment="1">
      <alignment vertical="center" shrinkToFit="1"/>
    </xf>
    <xf numFmtId="176" fontId="6" fillId="28" borderId="218" xfId="0" applyNumberFormat="1" applyFont="1" applyFill="1" applyBorder="1">
      <alignment vertical="center"/>
    </xf>
    <xf numFmtId="176" fontId="6" fillId="28" borderId="169" xfId="0" applyNumberFormat="1" applyFont="1" applyFill="1" applyBorder="1">
      <alignment vertical="center"/>
    </xf>
    <xf numFmtId="187" fontId="6" fillId="27" borderId="218" xfId="0" applyNumberFormat="1" applyFont="1" applyFill="1" applyBorder="1">
      <alignment vertical="center"/>
    </xf>
    <xf numFmtId="176" fontId="6" fillId="27" borderId="218" xfId="0" applyNumberFormat="1" applyFont="1" applyFill="1" applyBorder="1">
      <alignment vertical="center"/>
    </xf>
    <xf numFmtId="10" fontId="6" fillId="28" borderId="218" xfId="0" applyNumberFormat="1" applyFont="1" applyFill="1" applyBorder="1" applyAlignment="1">
      <alignment vertical="center" shrinkToFit="1"/>
    </xf>
    <xf numFmtId="10" fontId="6" fillId="28" borderId="169" xfId="0" applyNumberFormat="1" applyFont="1" applyFill="1" applyBorder="1" applyAlignment="1">
      <alignment vertical="center" shrinkToFit="1"/>
    </xf>
    <xf numFmtId="184" fontId="6" fillId="28" borderId="219" xfId="0" applyNumberFormat="1" applyFont="1" applyFill="1" applyBorder="1" applyAlignment="1">
      <alignment vertical="center" shrinkToFit="1"/>
    </xf>
    <xf numFmtId="184" fontId="6" fillId="28" borderId="220" xfId="0" applyNumberFormat="1" applyFont="1" applyFill="1" applyBorder="1" applyAlignment="1">
      <alignment vertical="center" shrinkToFit="1"/>
    </xf>
    <xf numFmtId="184" fontId="6" fillId="28" borderId="218" xfId="0" applyNumberFormat="1" applyFont="1" applyFill="1" applyBorder="1" applyAlignment="1">
      <alignment vertical="center" shrinkToFit="1"/>
    </xf>
    <xf numFmtId="176" fontId="35" fillId="2" borderId="42" xfId="0" applyNumberFormat="1" applyFont="1" applyFill="1" applyBorder="1" applyAlignment="1">
      <alignment vertical="center" shrinkToFit="1"/>
    </xf>
    <xf numFmtId="176" fontId="35" fillId="0" borderId="155" xfId="0" applyNumberFormat="1" applyFont="1" applyBorder="1" applyAlignment="1">
      <alignment vertical="center" shrinkToFit="1"/>
    </xf>
    <xf numFmtId="0" fontId="33" fillId="0" borderId="0" xfId="0" applyFont="1" applyAlignment="1">
      <alignment horizontal="right" vertical="center"/>
    </xf>
    <xf numFmtId="176" fontId="28" fillId="29" borderId="37" xfId="0" applyNumberFormat="1" applyFont="1" applyFill="1" applyBorder="1" applyAlignment="1">
      <alignment horizontal="right" vertical="center"/>
    </xf>
    <xf numFmtId="176" fontId="28" fillId="29" borderId="95" xfId="0" applyNumberFormat="1" applyFont="1" applyFill="1" applyBorder="1" applyAlignment="1">
      <alignment horizontal="right" vertical="center"/>
    </xf>
    <xf numFmtId="180" fontId="28" fillId="29" borderId="95" xfId="0" applyNumberFormat="1" applyFont="1" applyFill="1" applyBorder="1" applyAlignment="1">
      <alignment horizontal="right" vertical="center"/>
    </xf>
    <xf numFmtId="188" fontId="28" fillId="29" borderId="95" xfId="0" applyNumberFormat="1" applyFont="1" applyFill="1" applyBorder="1" applyAlignment="1">
      <alignment horizontal="right" vertical="center"/>
    </xf>
    <xf numFmtId="180" fontId="28" fillId="29" borderId="96" xfId="0" applyNumberFormat="1" applyFont="1" applyFill="1" applyBorder="1" applyAlignment="1">
      <alignment horizontal="right" vertical="center"/>
    </xf>
    <xf numFmtId="176" fontId="35" fillId="29" borderId="157" xfId="55" applyNumberFormat="1" applyFont="1" applyFill="1" applyBorder="1" applyAlignment="1">
      <alignment horizontal="right" vertical="center"/>
    </xf>
    <xf numFmtId="176" fontId="28" fillId="27" borderId="157" xfId="0" applyNumberFormat="1" applyFont="1" applyFill="1" applyBorder="1" applyAlignment="1">
      <alignment horizontal="right" vertical="center"/>
    </xf>
    <xf numFmtId="188" fontId="28" fillId="27" borderId="95" xfId="0" applyNumberFormat="1" applyFont="1" applyFill="1" applyBorder="1" applyAlignment="1">
      <alignment horizontal="right" vertical="center"/>
    </xf>
    <xf numFmtId="176" fontId="28" fillId="27" borderId="95" xfId="0" applyNumberFormat="1" applyFont="1" applyFill="1" applyBorder="1" applyAlignment="1">
      <alignment horizontal="right" vertical="center"/>
    </xf>
    <xf numFmtId="0" fontId="28" fillId="2" borderId="163" xfId="0" applyFont="1" applyFill="1" applyBorder="1">
      <alignment vertical="center"/>
    </xf>
    <xf numFmtId="0" fontId="28" fillId="2" borderId="164" xfId="0" applyFont="1" applyFill="1" applyBorder="1">
      <alignment vertical="center"/>
    </xf>
    <xf numFmtId="185" fontId="28" fillId="2" borderId="160" xfId="0" applyNumberFormat="1" applyFont="1" applyFill="1" applyBorder="1">
      <alignment vertical="center"/>
    </xf>
    <xf numFmtId="185" fontId="28" fillId="2" borderId="161" xfId="0" applyNumberFormat="1" applyFont="1" applyFill="1" applyBorder="1">
      <alignment vertical="center"/>
    </xf>
    <xf numFmtId="176" fontId="28" fillId="2" borderId="157" xfId="0" applyNumberFormat="1" applyFont="1" applyFill="1" applyBorder="1">
      <alignment vertical="center"/>
    </xf>
    <xf numFmtId="0" fontId="31" fillId="2" borderId="221" xfId="2" applyFont="1" applyFill="1" applyBorder="1" applyAlignment="1">
      <alignment horizontal="left" vertical="center"/>
    </xf>
    <xf numFmtId="10" fontId="31" fillId="28" borderId="221" xfId="2" applyNumberFormat="1" applyFont="1" applyFill="1" applyBorder="1" applyAlignment="1">
      <alignment vertical="center"/>
    </xf>
    <xf numFmtId="0" fontId="31" fillId="2" borderId="222" xfId="0" applyFont="1" applyFill="1" applyBorder="1">
      <alignment vertical="center"/>
    </xf>
    <xf numFmtId="180" fontId="28" fillId="29" borderId="158" xfId="0" applyNumberFormat="1" applyFont="1" applyFill="1" applyBorder="1">
      <alignment vertical="center"/>
    </xf>
    <xf numFmtId="180" fontId="28" fillId="29" borderId="160" xfId="0" applyNumberFormat="1" applyFont="1" applyFill="1" applyBorder="1">
      <alignment vertical="center"/>
    </xf>
    <xf numFmtId="180" fontId="28" fillId="29" borderId="162" xfId="0" applyNumberFormat="1" applyFont="1" applyFill="1" applyBorder="1">
      <alignment vertical="center"/>
    </xf>
    <xf numFmtId="184" fontId="6" fillId="28" borderId="224" xfId="0" applyNumberFormat="1" applyFont="1" applyFill="1" applyBorder="1" applyAlignment="1">
      <alignment vertical="center" shrinkToFit="1"/>
    </xf>
    <xf numFmtId="184" fontId="6" fillId="28" borderId="225" xfId="0" applyNumberFormat="1" applyFont="1" applyFill="1" applyBorder="1" applyAlignment="1">
      <alignment vertical="center" shrinkToFit="1"/>
    </xf>
    <xf numFmtId="184" fontId="6" fillId="28" borderId="223" xfId="0" applyNumberFormat="1" applyFont="1" applyFill="1" applyBorder="1" applyAlignment="1">
      <alignment vertical="center" shrinkToFit="1"/>
    </xf>
    <xf numFmtId="193" fontId="28" fillId="2" borderId="160" xfId="0" applyNumberFormat="1" applyFont="1" applyFill="1" applyBorder="1">
      <alignment vertical="center"/>
    </xf>
    <xf numFmtId="193" fontId="28" fillId="2" borderId="161" xfId="0" applyNumberFormat="1" applyFont="1" applyFill="1" applyBorder="1">
      <alignment vertical="center"/>
    </xf>
    <xf numFmtId="193" fontId="28" fillId="2" borderId="69" xfId="0" applyNumberFormat="1" applyFont="1" applyFill="1" applyBorder="1" applyAlignment="1">
      <alignment horizontal="right" vertical="center"/>
    </xf>
    <xf numFmtId="193" fontId="35" fillId="2" borderId="69" xfId="0" applyNumberFormat="1" applyFont="1" applyFill="1" applyBorder="1" applyAlignment="1">
      <alignment horizontal="right" vertical="center"/>
    </xf>
    <xf numFmtId="193" fontId="35" fillId="2" borderId="163" xfId="0" applyNumberFormat="1" applyFont="1" applyFill="1" applyBorder="1" applyAlignment="1">
      <alignment horizontal="right" vertical="center"/>
    </xf>
    <xf numFmtId="193" fontId="35" fillId="2" borderId="162" xfId="0" applyNumberFormat="1" applyFont="1" applyFill="1" applyBorder="1" applyAlignment="1">
      <alignment horizontal="right" vertical="center"/>
    </xf>
    <xf numFmtId="176" fontId="28" fillId="2" borderId="226" xfId="0" applyNumberFormat="1" applyFont="1" applyFill="1" applyBorder="1">
      <alignment vertical="center"/>
    </xf>
    <xf numFmtId="0" fontId="46" fillId="0" borderId="227" xfId="0" applyFont="1" applyBorder="1">
      <alignment vertical="center"/>
    </xf>
    <xf numFmtId="176" fontId="41" fillId="27" borderId="8" xfId="2" applyNumberFormat="1" applyFont="1" applyFill="1" applyBorder="1" applyAlignment="1">
      <alignment vertical="center"/>
    </xf>
    <xf numFmtId="176" fontId="41" fillId="27" borderId="9" xfId="2" applyNumberFormat="1" applyFont="1" applyFill="1" applyBorder="1" applyAlignment="1">
      <alignment vertical="center"/>
    </xf>
    <xf numFmtId="176" fontId="41" fillId="27" borderId="97" xfId="2" applyNumberFormat="1" applyFont="1" applyFill="1" applyBorder="1" applyAlignment="1">
      <alignment vertical="center"/>
    </xf>
    <xf numFmtId="0" fontId="41" fillId="2" borderId="1" xfId="2" applyFont="1" applyFill="1" applyBorder="1" applyAlignment="1">
      <alignment horizontal="left" vertical="center" wrapText="1"/>
    </xf>
    <xf numFmtId="176" fontId="41" fillId="27" borderId="1" xfId="2" applyNumberFormat="1" applyFont="1" applyFill="1" applyBorder="1" applyAlignment="1">
      <alignment vertical="center"/>
    </xf>
    <xf numFmtId="176" fontId="41" fillId="27" borderId="2" xfId="2" applyNumberFormat="1" applyFont="1" applyFill="1" applyBorder="1" applyAlignment="1">
      <alignment vertical="center"/>
    </xf>
    <xf numFmtId="176" fontId="41" fillId="27" borderId="54" xfId="2" applyNumberFormat="1" applyFont="1" applyFill="1" applyBorder="1" applyAlignment="1">
      <alignment vertical="center"/>
    </xf>
    <xf numFmtId="0" fontId="35" fillId="2" borderId="30" xfId="3" applyFont="1" applyFill="1" applyBorder="1" applyAlignment="1">
      <alignment horizontal="left" vertical="top" wrapText="1"/>
    </xf>
    <xf numFmtId="0" fontId="35" fillId="2" borderId="68" xfId="3" applyFont="1" applyFill="1" applyBorder="1">
      <alignment vertical="center"/>
    </xf>
    <xf numFmtId="0" fontId="41" fillId="27" borderId="1" xfId="2" applyFont="1" applyFill="1" applyBorder="1" applyAlignment="1">
      <alignment vertical="center"/>
    </xf>
    <xf numFmtId="0" fontId="41" fillId="27" borderId="2" xfId="2" applyFont="1" applyFill="1" applyBorder="1" applyAlignment="1">
      <alignment vertical="center"/>
    </xf>
    <xf numFmtId="0" fontId="41" fillId="27" borderId="54" xfId="2" applyFont="1" applyFill="1" applyBorder="1" applyAlignment="1">
      <alignment vertical="center"/>
    </xf>
    <xf numFmtId="0" fontId="41" fillId="2" borderId="67" xfId="2" applyFont="1" applyFill="1" applyBorder="1" applyAlignment="1">
      <alignment horizontal="left" vertical="center" wrapText="1"/>
    </xf>
    <xf numFmtId="176" fontId="41" fillId="28" borderId="67" xfId="2" applyNumberFormat="1" applyFont="1" applyFill="1" applyBorder="1" applyAlignment="1">
      <alignment vertical="center"/>
    </xf>
    <xf numFmtId="176" fontId="41" fillId="28" borderId="66" xfId="2" applyNumberFormat="1" applyFont="1" applyFill="1" applyBorder="1" applyAlignment="1">
      <alignment vertical="center"/>
    </xf>
    <xf numFmtId="176" fontId="41" fillId="28" borderId="19" xfId="2" applyNumberFormat="1" applyFont="1" applyFill="1" applyBorder="1" applyAlignment="1">
      <alignment vertical="center"/>
    </xf>
    <xf numFmtId="0" fontId="35" fillId="27" borderId="159" xfId="0" applyFont="1" applyFill="1" applyBorder="1">
      <alignment vertical="center"/>
    </xf>
    <xf numFmtId="0" fontId="28" fillId="27" borderId="163" xfId="0" applyFont="1" applyFill="1" applyBorder="1">
      <alignment vertical="center"/>
    </xf>
    <xf numFmtId="0" fontId="35" fillId="2" borderId="163" xfId="3" applyFont="1" applyFill="1" applyBorder="1">
      <alignment vertical="center"/>
    </xf>
    <xf numFmtId="0" fontId="35" fillId="2" borderId="78" xfId="3" applyFont="1" applyFill="1" applyBorder="1">
      <alignment vertical="center"/>
    </xf>
    <xf numFmtId="176" fontId="35" fillId="0" borderId="228" xfId="0" applyNumberFormat="1" applyFont="1" applyBorder="1" applyAlignment="1">
      <alignment vertical="center" shrinkToFit="1"/>
    </xf>
    <xf numFmtId="176" fontId="35" fillId="0" borderId="229" xfId="0" applyNumberFormat="1" applyFont="1" applyBorder="1" applyAlignment="1">
      <alignment vertical="center" shrinkToFit="1"/>
    </xf>
    <xf numFmtId="176" fontId="35" fillId="0" borderId="230" xfId="0" applyNumberFormat="1" applyFont="1" applyBorder="1" applyAlignment="1">
      <alignment vertical="center" shrinkToFit="1"/>
    </xf>
    <xf numFmtId="176" fontId="35" fillId="0" borderId="231" xfId="0" applyNumberFormat="1" applyFont="1" applyBorder="1" applyAlignment="1">
      <alignment vertical="center" shrinkToFit="1"/>
    </xf>
    <xf numFmtId="176" fontId="35" fillId="0" borderId="232" xfId="0" applyNumberFormat="1" applyFont="1" applyBorder="1" applyAlignment="1">
      <alignment vertical="center" shrinkToFit="1"/>
    </xf>
    <xf numFmtId="176" fontId="35" fillId="0" borderId="233" xfId="0" applyNumberFormat="1" applyFont="1" applyBorder="1" applyAlignment="1">
      <alignment vertical="center" shrinkToFit="1"/>
    </xf>
    <xf numFmtId="0" fontId="47" fillId="2" borderId="0" xfId="0" applyFont="1" applyFill="1">
      <alignment vertical="center"/>
    </xf>
    <xf numFmtId="0" fontId="48" fillId="2" borderId="0" xfId="2" applyFont="1" applyFill="1" applyAlignment="1">
      <alignment horizontal="center" vertical="center"/>
    </xf>
    <xf numFmtId="0" fontId="47" fillId="2" borderId="0" xfId="0" applyFont="1" applyFill="1" applyAlignment="1">
      <alignment horizontal="left" vertical="center" wrapText="1" shrinkToFit="1"/>
    </xf>
    <xf numFmtId="0" fontId="48" fillId="2" borderId="0" xfId="2" applyFont="1" applyFill="1" applyAlignment="1">
      <alignment horizontal="center" vertical="center" wrapText="1"/>
    </xf>
    <xf numFmtId="176" fontId="47" fillId="2" borderId="0" xfId="0" applyNumberFormat="1" applyFont="1" applyFill="1">
      <alignment vertical="center"/>
    </xf>
    <xf numFmtId="191" fontId="47" fillId="2" borderId="0" xfId="0" applyNumberFormat="1" applyFont="1" applyFill="1">
      <alignment vertical="center"/>
    </xf>
    <xf numFmtId="192" fontId="47" fillId="2" borderId="0" xfId="88" applyNumberFormat="1" applyFont="1" applyFill="1" applyBorder="1">
      <alignment vertical="center"/>
    </xf>
    <xf numFmtId="0" fontId="47" fillId="2" borderId="0" xfId="0" applyFont="1" applyFill="1" applyAlignment="1">
      <alignment vertical="top" wrapText="1"/>
    </xf>
    <xf numFmtId="0" fontId="47" fillId="2" borderId="0" xfId="0" applyFont="1" applyFill="1" applyAlignment="1">
      <alignment vertical="top"/>
    </xf>
    <xf numFmtId="0" fontId="40" fillId="0" borderId="0" xfId="0" applyFont="1" applyAlignment="1">
      <alignment horizontal="left" vertical="top" wrapText="1"/>
    </xf>
    <xf numFmtId="0" fontId="28" fillId="0" borderId="0" xfId="0" applyFont="1" applyAlignment="1">
      <alignment horizontal="left" vertical="center" wrapText="1"/>
    </xf>
    <xf numFmtId="0" fontId="6" fillId="2" borderId="1" xfId="2" applyFill="1" applyBorder="1" applyAlignment="1">
      <alignment horizontal="center" vertical="center"/>
    </xf>
    <xf numFmtId="0" fontId="6" fillId="2" borderId="2" xfId="2" applyFill="1" applyBorder="1" applyAlignment="1">
      <alignment horizontal="center" vertical="center"/>
    </xf>
    <xf numFmtId="0" fontId="6" fillId="2" borderId="3" xfId="2" applyFill="1" applyBorder="1" applyAlignment="1">
      <alignment horizontal="center" vertical="center"/>
    </xf>
    <xf numFmtId="0" fontId="28" fillId="2" borderId="31" xfId="0" applyFont="1" applyFill="1" applyBorder="1" applyAlignment="1">
      <alignment horizontal="center" vertical="center"/>
    </xf>
    <xf numFmtId="0" fontId="28" fillId="2" borderId="54" xfId="0" applyFont="1" applyFill="1" applyBorder="1" applyAlignment="1">
      <alignment horizontal="center" vertical="center"/>
    </xf>
    <xf numFmtId="0" fontId="28" fillId="2" borderId="31" xfId="0" applyFont="1" applyFill="1" applyBorder="1" applyAlignment="1">
      <alignment horizontal="center" vertical="center" wrapText="1"/>
    </xf>
    <xf numFmtId="0" fontId="28" fillId="2" borderId="54" xfId="0" applyFont="1" applyFill="1" applyBorder="1" applyAlignment="1">
      <alignment horizontal="center" vertical="center" wrapText="1"/>
    </xf>
    <xf numFmtId="0" fontId="35" fillId="0" borderId="0" xfId="0" applyFont="1" applyAlignment="1">
      <alignment horizontal="left" vertical="center" wrapText="1"/>
    </xf>
    <xf numFmtId="0" fontId="28" fillId="0" borderId="31" xfId="0" applyFont="1" applyBorder="1" applyAlignment="1">
      <alignment horizontal="center" vertical="center"/>
    </xf>
    <xf numFmtId="0" fontId="35" fillId="0" borderId="54" xfId="0" applyFont="1" applyBorder="1" applyAlignment="1">
      <alignment horizontal="center" vertical="center"/>
    </xf>
    <xf numFmtId="0" fontId="28" fillId="0" borderId="54" xfId="0" applyFont="1" applyBorder="1" applyAlignment="1">
      <alignment horizontal="center" vertical="center"/>
    </xf>
    <xf numFmtId="0" fontId="35" fillId="2" borderId="31" xfId="0" applyFont="1" applyFill="1" applyBorder="1" applyAlignment="1">
      <alignment horizontal="center" vertical="center"/>
    </xf>
    <xf numFmtId="0" fontId="35" fillId="2" borderId="54" xfId="0" applyFont="1" applyFill="1" applyBorder="1" applyAlignment="1">
      <alignment horizontal="center" vertical="center"/>
    </xf>
    <xf numFmtId="0" fontId="35" fillId="2" borderId="31" xfId="0" applyFont="1" applyFill="1" applyBorder="1" applyAlignment="1">
      <alignment horizontal="center" vertical="center" wrapText="1"/>
    </xf>
    <xf numFmtId="0" fontId="35" fillId="2" borderId="54" xfId="0" applyFont="1" applyFill="1" applyBorder="1" applyAlignment="1">
      <alignment horizontal="center" vertical="center" wrapText="1"/>
    </xf>
    <xf numFmtId="0" fontId="6" fillId="2" borderId="75" xfId="3" applyFill="1" applyBorder="1" applyAlignment="1">
      <alignment horizontal="left" vertical="top" wrapText="1"/>
    </xf>
    <xf numFmtId="0" fontId="6" fillId="2" borderId="29" xfId="3" applyFill="1" applyBorder="1" applyAlignment="1">
      <alignment horizontal="left" vertical="top" wrapText="1"/>
    </xf>
    <xf numFmtId="0" fontId="35" fillId="2" borderId="75" xfId="3" applyFont="1" applyFill="1" applyBorder="1" applyAlignment="1">
      <alignment horizontal="left" vertical="top" wrapText="1"/>
    </xf>
    <xf numFmtId="0" fontId="35" fillId="2" borderId="29" xfId="3" applyFont="1" applyFill="1" applyBorder="1" applyAlignment="1">
      <alignment horizontal="left" vertical="top" wrapText="1"/>
    </xf>
    <xf numFmtId="0" fontId="6" fillId="2" borderId="9" xfId="3" applyFill="1" applyBorder="1" applyAlignment="1">
      <alignment horizontal="left" vertical="top" wrapText="1"/>
    </xf>
    <xf numFmtId="0" fontId="35" fillId="0" borderId="75" xfId="3" applyFont="1" applyBorder="1" applyAlignment="1">
      <alignment horizontal="left" vertical="top" wrapText="1"/>
    </xf>
    <xf numFmtId="0" fontId="35" fillId="0" borderId="9" xfId="3" applyFont="1" applyBorder="1" applyAlignment="1">
      <alignment horizontal="left" vertical="top" wrapText="1"/>
    </xf>
    <xf numFmtId="0" fontId="35" fillId="0" borderId="29" xfId="3" applyFont="1" applyBorder="1" applyAlignment="1">
      <alignment horizontal="left" vertical="top" wrapText="1"/>
    </xf>
    <xf numFmtId="0" fontId="35" fillId="2" borderId="9" xfId="3" applyFont="1" applyFill="1" applyBorder="1" applyAlignment="1">
      <alignment horizontal="left" vertical="top" wrapText="1"/>
    </xf>
    <xf numFmtId="0" fontId="35" fillId="0" borderId="30" xfId="3" applyFont="1" applyBorder="1" applyAlignment="1">
      <alignment horizontal="left" vertical="top" wrapText="1"/>
    </xf>
    <xf numFmtId="0" fontId="35" fillId="27" borderId="31" xfId="0" applyFont="1" applyFill="1" applyBorder="1" applyAlignment="1">
      <alignment horizontal="left" vertical="center" shrinkToFit="1"/>
    </xf>
    <xf numFmtId="0" fontId="35" fillId="27" borderId="54" xfId="0" applyFont="1" applyFill="1" applyBorder="1" applyAlignment="1">
      <alignment horizontal="left" vertical="center" shrinkToFit="1"/>
    </xf>
    <xf numFmtId="0" fontId="6" fillId="2" borderId="9" xfId="3" applyFill="1" applyBorder="1" applyAlignment="1">
      <alignment horizontal="left" vertical="top"/>
    </xf>
    <xf numFmtId="0" fontId="35" fillId="26" borderId="31" xfId="0" applyFont="1" applyFill="1" applyBorder="1" applyAlignment="1">
      <alignment horizontal="center" vertical="center"/>
    </xf>
    <xf numFmtId="0" fontId="35" fillId="26" borderId="32" xfId="0" applyFont="1" applyFill="1" applyBorder="1" applyAlignment="1">
      <alignment horizontal="center" vertical="center"/>
    </xf>
    <xf numFmtId="0" fontId="35" fillId="26" borderId="54" xfId="0" applyFont="1" applyFill="1" applyBorder="1" applyAlignment="1">
      <alignment horizontal="center" vertical="center"/>
    </xf>
    <xf numFmtId="0" fontId="6" fillId="27" borderId="37" xfId="3" applyFill="1" applyBorder="1" applyAlignment="1">
      <alignment horizontal="left" vertical="top" wrapText="1"/>
    </xf>
    <xf numFmtId="0" fontId="6" fillId="27" borderId="6" xfId="3" applyFill="1" applyBorder="1" applyAlignment="1">
      <alignment horizontal="left" vertical="top" wrapText="1"/>
    </xf>
    <xf numFmtId="0" fontId="6" fillId="27" borderId="7" xfId="3" applyFill="1" applyBorder="1" applyAlignment="1">
      <alignment horizontal="left" vertical="top" wrapText="1"/>
    </xf>
    <xf numFmtId="0" fontId="35" fillId="27" borderId="37" xfId="3" applyFont="1" applyFill="1" applyBorder="1" applyAlignment="1">
      <alignment horizontal="left" vertical="top" wrapText="1"/>
    </xf>
    <xf numFmtId="0" fontId="35" fillId="27" borderId="6" xfId="3" applyFont="1" applyFill="1" applyBorder="1" applyAlignment="1">
      <alignment horizontal="left" vertical="top" wrapText="1"/>
    </xf>
    <xf numFmtId="0" fontId="35" fillId="27" borderId="7" xfId="3" applyFont="1" applyFill="1" applyBorder="1" applyAlignment="1">
      <alignment horizontal="left" vertical="top" wrapText="1"/>
    </xf>
    <xf numFmtId="0" fontId="35" fillId="27" borderId="96" xfId="3" applyFont="1" applyFill="1" applyBorder="1" applyAlignment="1">
      <alignment horizontal="left" vertical="top" wrapText="1"/>
    </xf>
    <xf numFmtId="0" fontId="35" fillId="27" borderId="94" xfId="3" applyFont="1" applyFill="1" applyBorder="1" applyAlignment="1">
      <alignment horizontal="left" vertical="top" wrapText="1"/>
    </xf>
    <xf numFmtId="0" fontId="35" fillId="27" borderId="19" xfId="3" applyFont="1" applyFill="1" applyBorder="1" applyAlignment="1">
      <alignment horizontal="left" vertical="top" wrapText="1"/>
    </xf>
    <xf numFmtId="0" fontId="35" fillId="27" borderId="37" xfId="0" applyFont="1" applyFill="1" applyBorder="1" applyAlignment="1">
      <alignment horizontal="left" vertical="center"/>
    </xf>
    <xf numFmtId="0" fontId="35" fillId="27" borderId="6" xfId="0" applyFont="1" applyFill="1" applyBorder="1" applyAlignment="1">
      <alignment horizontal="left" vertical="center"/>
    </xf>
    <xf numFmtId="0" fontId="35" fillId="27" borderId="7" xfId="0" applyFont="1" applyFill="1" applyBorder="1" applyAlignment="1">
      <alignment horizontal="left" vertical="center"/>
    </xf>
    <xf numFmtId="0" fontId="35" fillId="27" borderId="95" xfId="0" applyFont="1" applyFill="1" applyBorder="1" applyAlignment="1">
      <alignment horizontal="left" vertical="center"/>
    </xf>
    <xf numFmtId="0" fontId="35" fillId="27" borderId="98" xfId="0" applyFont="1" applyFill="1" applyBorder="1" applyAlignment="1">
      <alignment horizontal="left" vertical="center"/>
    </xf>
    <xf numFmtId="0" fontId="35" fillId="27" borderId="28" xfId="0" applyFont="1" applyFill="1" applyBorder="1" applyAlignment="1">
      <alignment horizontal="left" vertical="center"/>
    </xf>
    <xf numFmtId="0" fontId="35" fillId="27" borderId="96" xfId="0" applyFont="1" applyFill="1" applyBorder="1" applyAlignment="1">
      <alignment horizontal="left" vertical="center"/>
    </xf>
    <xf numFmtId="0" fontId="35" fillId="27" borderId="94" xfId="0" applyFont="1" applyFill="1" applyBorder="1" applyAlignment="1">
      <alignment horizontal="left" vertical="center"/>
    </xf>
    <xf numFmtId="0" fontId="35" fillId="27" borderId="19" xfId="0" applyFont="1" applyFill="1" applyBorder="1" applyAlignment="1">
      <alignment horizontal="left" vertical="center"/>
    </xf>
    <xf numFmtId="0" fontId="35" fillId="27" borderId="95" xfId="3" applyFont="1" applyFill="1" applyBorder="1" applyAlignment="1">
      <alignment horizontal="left" vertical="top" wrapText="1"/>
    </xf>
    <xf numFmtId="0" fontId="35" fillId="27" borderId="98" xfId="3" applyFont="1" applyFill="1" applyBorder="1" applyAlignment="1">
      <alignment horizontal="left" vertical="top" wrapText="1"/>
    </xf>
    <xf numFmtId="0" fontId="35" fillId="27" borderId="28" xfId="3" applyFont="1" applyFill="1" applyBorder="1" applyAlignment="1">
      <alignment horizontal="left" vertical="top" wrapText="1"/>
    </xf>
    <xf numFmtId="0" fontId="39" fillId="25" borderId="31" xfId="0" applyFont="1" applyFill="1" applyBorder="1" applyAlignment="1">
      <alignment horizontal="left" vertical="top" wrapText="1"/>
    </xf>
    <xf numFmtId="0" fontId="39" fillId="25" borderId="32" xfId="0" applyFont="1" applyFill="1" applyBorder="1" applyAlignment="1">
      <alignment horizontal="left" vertical="top" wrapText="1"/>
    </xf>
    <xf numFmtId="0" fontId="35" fillId="0" borderId="32" xfId="0" applyFont="1" applyBorder="1" applyAlignment="1">
      <alignment vertical="center" wrapText="1"/>
    </xf>
    <xf numFmtId="0" fontId="35" fillId="0" borderId="54" xfId="0" applyFont="1" applyBorder="1" applyAlignment="1">
      <alignment vertical="center" wrapText="1"/>
    </xf>
    <xf numFmtId="0" fontId="35" fillId="26" borderId="33" xfId="0" applyFont="1" applyFill="1" applyBorder="1" applyAlignment="1">
      <alignment horizontal="center" vertical="center"/>
    </xf>
    <xf numFmtId="0" fontId="35" fillId="0" borderId="33" xfId="0" applyFont="1" applyBorder="1">
      <alignment vertical="center"/>
    </xf>
    <xf numFmtId="0" fontId="35" fillId="27" borderId="33" xfId="0" applyFont="1" applyFill="1" applyBorder="1" applyAlignment="1">
      <alignment horizontal="left" vertical="top" wrapText="1"/>
    </xf>
    <xf numFmtId="0" fontId="35" fillId="0" borderId="33" xfId="0" applyFont="1" applyBorder="1" applyAlignment="1">
      <alignment horizontal="left" vertical="center"/>
    </xf>
    <xf numFmtId="0" fontId="35" fillId="0" borderId="104" xfId="0" applyFont="1" applyBorder="1" applyAlignment="1">
      <alignment horizontal="left" vertical="top"/>
    </xf>
    <xf numFmtId="0" fontId="35" fillId="0" borderId="48" xfId="0" applyFont="1" applyBorder="1" applyAlignment="1">
      <alignment horizontal="left" vertical="top"/>
    </xf>
    <xf numFmtId="0" fontId="35" fillId="27" borderId="31" xfId="0" applyFont="1" applyFill="1" applyBorder="1" applyAlignment="1">
      <alignment horizontal="left" vertical="center"/>
    </xf>
    <xf numFmtId="0" fontId="35" fillId="27" borderId="32" xfId="0" applyFont="1" applyFill="1" applyBorder="1" applyAlignment="1">
      <alignment horizontal="left" vertical="center"/>
    </xf>
    <xf numFmtId="0" fontId="35" fillId="27" borderId="54" xfId="0" applyFont="1" applyFill="1" applyBorder="1" applyAlignment="1">
      <alignment horizontal="left" vertical="center"/>
    </xf>
    <xf numFmtId="0" fontId="35" fillId="27" borderId="31" xfId="3" applyFont="1" applyFill="1" applyBorder="1" applyAlignment="1">
      <alignment horizontal="left" vertical="top" wrapText="1"/>
    </xf>
    <xf numFmtId="0" fontId="35" fillId="27" borderId="32" xfId="3" applyFont="1" applyFill="1" applyBorder="1" applyAlignment="1">
      <alignment horizontal="left" vertical="top" wrapText="1"/>
    </xf>
    <xf numFmtId="0" fontId="35" fillId="27" borderId="54" xfId="3" applyFont="1" applyFill="1" applyBorder="1" applyAlignment="1">
      <alignment horizontal="left" vertical="top" wrapText="1"/>
    </xf>
    <xf numFmtId="0" fontId="26" fillId="2" borderId="71" xfId="81" applyFill="1" applyBorder="1" applyAlignment="1">
      <alignment vertical="center" shrinkToFit="1"/>
    </xf>
    <xf numFmtId="0" fontId="28" fillId="2" borderId="98" xfId="0" applyFont="1" applyFill="1" applyBorder="1" applyAlignment="1">
      <alignment vertical="center" shrinkToFit="1"/>
    </xf>
    <xf numFmtId="0" fontId="26" fillId="2" borderId="65" xfId="81" applyFill="1" applyBorder="1" applyAlignment="1">
      <alignment vertical="center" shrinkToFit="1"/>
    </xf>
    <xf numFmtId="0" fontId="28" fillId="2" borderId="94" xfId="0" applyFont="1" applyFill="1" applyBorder="1" applyAlignment="1">
      <alignment vertical="center" shrinkToFit="1"/>
    </xf>
    <xf numFmtId="0" fontId="28" fillId="2" borderId="43" xfId="0" applyFont="1" applyFill="1" applyBorder="1" applyAlignment="1">
      <alignment horizontal="center" vertical="center"/>
    </xf>
    <xf numFmtId="0" fontId="28" fillId="2" borderId="51" xfId="0" applyFont="1" applyFill="1" applyBorder="1" applyAlignment="1">
      <alignment horizontal="center" vertical="center"/>
    </xf>
    <xf numFmtId="0" fontId="28" fillId="2" borderId="44" xfId="0" applyFont="1" applyFill="1" applyBorder="1" applyAlignment="1">
      <alignment horizontal="center" vertical="center"/>
    </xf>
    <xf numFmtId="0" fontId="28" fillId="2" borderId="180" xfId="0" applyFont="1" applyFill="1" applyBorder="1" applyAlignment="1">
      <alignment horizontal="center" vertical="center"/>
    </xf>
    <xf numFmtId="0" fontId="28" fillId="2" borderId="30" xfId="0" applyFont="1" applyFill="1" applyBorder="1" applyAlignment="1">
      <alignment horizontal="center" vertical="center"/>
    </xf>
    <xf numFmtId="0" fontId="26" fillId="0" borderId="165" xfId="81" applyBorder="1" applyAlignment="1">
      <alignment vertical="center" shrinkToFit="1"/>
    </xf>
    <xf numFmtId="0" fontId="28" fillId="0" borderId="159" xfId="0" applyFont="1" applyBorder="1" applyAlignment="1">
      <alignment vertical="center" shrinkToFit="1"/>
    </xf>
    <xf numFmtId="0" fontId="26" fillId="27" borderId="163" xfId="81" applyFill="1" applyBorder="1" applyAlignment="1">
      <alignment vertical="center"/>
    </xf>
    <xf numFmtId="0" fontId="26" fillId="27" borderId="158" xfId="81" applyFill="1" applyBorder="1" applyAlignment="1">
      <alignment vertical="center"/>
    </xf>
    <xf numFmtId="0" fontId="26" fillId="27" borderId="164" xfId="81" applyFill="1" applyBorder="1" applyAlignment="1">
      <alignment vertical="center"/>
    </xf>
    <xf numFmtId="0" fontId="28" fillId="2" borderId="28" xfId="0" applyFont="1" applyFill="1" applyBorder="1" applyAlignment="1">
      <alignment vertical="center" shrinkToFit="1"/>
    </xf>
    <xf numFmtId="0" fontId="26" fillId="2" borderId="22" xfId="81" applyFill="1" applyBorder="1" applyAlignment="1">
      <alignment vertical="center" shrinkToFit="1"/>
    </xf>
    <xf numFmtId="0" fontId="28" fillId="2" borderId="0" xfId="0" applyFont="1" applyFill="1" applyAlignment="1">
      <alignment vertical="center" shrinkToFit="1"/>
    </xf>
    <xf numFmtId="0" fontId="28" fillId="2" borderId="145" xfId="0" applyFont="1" applyFill="1" applyBorder="1" applyAlignment="1">
      <alignment vertical="center" shrinkToFit="1"/>
    </xf>
    <xf numFmtId="0" fontId="35" fillId="2" borderId="30" xfId="0" applyFont="1" applyFill="1" applyBorder="1" applyAlignment="1">
      <alignment horizontal="center" vertical="center"/>
    </xf>
    <xf numFmtId="0" fontId="35" fillId="2" borderId="126" xfId="0" applyFont="1" applyFill="1" applyBorder="1" applyAlignment="1">
      <alignment horizontal="center" vertical="center"/>
    </xf>
    <xf numFmtId="0" fontId="35" fillId="2" borderId="50" xfId="0" applyFont="1" applyFill="1" applyBorder="1" applyAlignment="1">
      <alignment horizontal="center" vertical="center"/>
    </xf>
    <xf numFmtId="0" fontId="35" fillId="2" borderId="45" xfId="0" applyFont="1" applyFill="1" applyBorder="1" applyAlignment="1">
      <alignment horizontal="center" vertical="center"/>
    </xf>
    <xf numFmtId="0" fontId="35" fillId="2" borderId="49" xfId="0" applyFont="1" applyFill="1" applyBorder="1" applyAlignment="1">
      <alignment horizontal="center" vertical="center"/>
    </xf>
    <xf numFmtId="176" fontId="28" fillId="2" borderId="162" xfId="0" applyNumberFormat="1" applyFont="1" applyFill="1" applyBorder="1">
      <alignment vertical="center"/>
    </xf>
  </cellXfs>
  <cellStyles count="89">
    <cellStyle name="20% - アクセント 1 2" xfId="6" xr:uid="{00000000-0005-0000-0000-000000000000}"/>
    <cellStyle name="20% - アクセント 2 2" xfId="7" xr:uid="{00000000-0005-0000-0000-000001000000}"/>
    <cellStyle name="20% - アクセント 3 2" xfId="8" xr:uid="{00000000-0005-0000-0000-000002000000}"/>
    <cellStyle name="20% - アクセント 4 2" xfId="9" xr:uid="{00000000-0005-0000-0000-000003000000}"/>
    <cellStyle name="20% - アクセント 5 2" xfId="10" xr:uid="{00000000-0005-0000-0000-000004000000}"/>
    <cellStyle name="20% - アクセント 6 2" xfId="11" xr:uid="{00000000-0005-0000-0000-000005000000}"/>
    <cellStyle name="40% - アクセント 1 2" xfId="12" xr:uid="{00000000-0005-0000-0000-000006000000}"/>
    <cellStyle name="40% - アクセント 2 2" xfId="13" xr:uid="{00000000-0005-0000-0000-000007000000}"/>
    <cellStyle name="40% - アクセント 3 2" xfId="14" xr:uid="{00000000-0005-0000-0000-000008000000}"/>
    <cellStyle name="40% - アクセント 4 2" xfId="15" xr:uid="{00000000-0005-0000-0000-000009000000}"/>
    <cellStyle name="40% - アクセント 5 2" xfId="16" xr:uid="{00000000-0005-0000-0000-00000A000000}"/>
    <cellStyle name="40% - アクセント 6 2" xfId="17" xr:uid="{00000000-0005-0000-0000-00000B000000}"/>
    <cellStyle name="60% - アクセント 1 2" xfId="18" xr:uid="{00000000-0005-0000-0000-00000C000000}"/>
    <cellStyle name="60% - アクセント 2 2" xfId="19" xr:uid="{00000000-0005-0000-0000-00000D000000}"/>
    <cellStyle name="60% - アクセント 3 2" xfId="20" xr:uid="{00000000-0005-0000-0000-00000E000000}"/>
    <cellStyle name="60% - アクセント 4 2" xfId="21" xr:uid="{00000000-0005-0000-0000-00000F000000}"/>
    <cellStyle name="60% - アクセント 5 2" xfId="22" xr:uid="{00000000-0005-0000-0000-000010000000}"/>
    <cellStyle name="60% - アクセント 6 2" xfId="23" xr:uid="{00000000-0005-0000-0000-000011000000}"/>
    <cellStyle name="アクセント 1 2" xfId="24" xr:uid="{00000000-0005-0000-0000-000012000000}"/>
    <cellStyle name="アクセント 2 2" xfId="25" xr:uid="{00000000-0005-0000-0000-000013000000}"/>
    <cellStyle name="アクセント 3 2" xfId="26" xr:uid="{00000000-0005-0000-0000-000014000000}"/>
    <cellStyle name="アクセント 4 2" xfId="27" xr:uid="{00000000-0005-0000-0000-000015000000}"/>
    <cellStyle name="アクセント 5 2" xfId="28" xr:uid="{00000000-0005-0000-0000-000016000000}"/>
    <cellStyle name="アクセント 6 2" xfId="29" xr:uid="{00000000-0005-0000-0000-000017000000}"/>
    <cellStyle name="タイトル 2" xfId="30" xr:uid="{00000000-0005-0000-0000-000018000000}"/>
    <cellStyle name="チェック セル 2" xfId="31" xr:uid="{00000000-0005-0000-0000-000019000000}"/>
    <cellStyle name="チェック セル 2 2" xfId="66" xr:uid="{00000000-0005-0000-0000-00001A000000}"/>
    <cellStyle name="チェック セル 2 2 2" xfId="78" xr:uid="{00000000-0005-0000-0000-00001B000000}"/>
    <cellStyle name="チェック セル 2 2 3" xfId="82" xr:uid="{00000000-0005-0000-0000-00001C000000}"/>
    <cellStyle name="チェック セル 2 2 4" xfId="84" xr:uid="{00000000-0005-0000-0000-00001D000000}"/>
    <cellStyle name="チェック セル 2 3" xfId="74" xr:uid="{00000000-0005-0000-0000-00001E000000}"/>
    <cellStyle name="チェック セル 2 3 2" xfId="79" xr:uid="{00000000-0005-0000-0000-00001F000000}"/>
    <cellStyle name="チェック セル 2 3 3" xfId="83" xr:uid="{00000000-0005-0000-0000-000020000000}"/>
    <cellStyle name="チェック セル 2 3 4" xfId="85" xr:uid="{00000000-0005-0000-0000-000021000000}"/>
    <cellStyle name="チェック セル 2 4" xfId="77" xr:uid="{00000000-0005-0000-0000-000022000000}"/>
    <cellStyle name="チェック セル 2 5" xfId="80" xr:uid="{00000000-0005-0000-0000-000023000000}"/>
    <cellStyle name="どちらでもない 2" xfId="32" xr:uid="{00000000-0005-0000-0000-000024000000}"/>
    <cellStyle name="パーセント" xfId="86" builtinId="5"/>
    <cellStyle name="パーセント 2" xfId="33" xr:uid="{00000000-0005-0000-0000-000026000000}"/>
    <cellStyle name="パーセント 3" xfId="5" xr:uid="{00000000-0005-0000-0000-000027000000}"/>
    <cellStyle name="ハイパーリンク" xfId="1" builtinId="8"/>
    <cellStyle name="メモ 2" xfId="34" xr:uid="{00000000-0005-0000-0000-000029000000}"/>
    <cellStyle name="メモ 2 2" xfId="67" xr:uid="{00000000-0005-0000-0000-00002A000000}"/>
    <cellStyle name="リンク セル 2" xfId="35" xr:uid="{00000000-0005-0000-0000-00002B000000}"/>
    <cellStyle name="悪い 2" xfId="36" xr:uid="{00000000-0005-0000-0000-00002C000000}"/>
    <cellStyle name="計算 2" xfId="37" xr:uid="{00000000-0005-0000-0000-00002D000000}"/>
    <cellStyle name="計算 2 2" xfId="68" xr:uid="{00000000-0005-0000-0000-00002E000000}"/>
    <cellStyle name="警告文 2" xfId="38" xr:uid="{00000000-0005-0000-0000-00002F000000}"/>
    <cellStyle name="桁区切り" xfId="88" builtinId="6"/>
    <cellStyle name="桁区切り 2" xfId="39" xr:uid="{00000000-0005-0000-0000-000031000000}"/>
    <cellStyle name="桁区切り 3" xfId="40" xr:uid="{00000000-0005-0000-0000-000032000000}"/>
    <cellStyle name="桁区切り 3 2" xfId="41" xr:uid="{00000000-0005-0000-0000-000033000000}"/>
    <cellStyle name="桁区切り 4" xfId="42" xr:uid="{00000000-0005-0000-0000-000034000000}"/>
    <cellStyle name="桁区切り 5" xfId="62" xr:uid="{00000000-0005-0000-0000-000035000000}"/>
    <cellStyle name="見出し 1 2" xfId="43" xr:uid="{00000000-0005-0000-0000-000036000000}"/>
    <cellStyle name="見出し 2 2" xfId="44" xr:uid="{00000000-0005-0000-0000-000037000000}"/>
    <cellStyle name="見出し 3 2" xfId="45" xr:uid="{00000000-0005-0000-0000-000038000000}"/>
    <cellStyle name="見出し 4 2" xfId="46" xr:uid="{00000000-0005-0000-0000-000039000000}"/>
    <cellStyle name="集計 2" xfId="47" xr:uid="{00000000-0005-0000-0000-00003A000000}"/>
    <cellStyle name="集計 2 2" xfId="72" xr:uid="{00000000-0005-0000-0000-00003B000000}"/>
    <cellStyle name="集計 2 2 2" xfId="75" xr:uid="{00000000-0005-0000-0000-00003C000000}"/>
    <cellStyle name="集計 2 3" xfId="69" xr:uid="{00000000-0005-0000-0000-00003D000000}"/>
    <cellStyle name="出力 2" xfId="48" xr:uid="{00000000-0005-0000-0000-00003E000000}"/>
    <cellStyle name="出力 2 2" xfId="73" xr:uid="{00000000-0005-0000-0000-00003F000000}"/>
    <cellStyle name="出力 2 2 2" xfId="76" xr:uid="{00000000-0005-0000-0000-000040000000}"/>
    <cellStyle name="出力 2 3" xfId="70" xr:uid="{00000000-0005-0000-0000-000041000000}"/>
    <cellStyle name="説明文 2" xfId="49" xr:uid="{00000000-0005-0000-0000-000042000000}"/>
    <cellStyle name="通貨 2" xfId="50" xr:uid="{00000000-0005-0000-0000-000043000000}"/>
    <cellStyle name="通貨 2 2" xfId="51" xr:uid="{00000000-0005-0000-0000-000044000000}"/>
    <cellStyle name="通貨 3" xfId="52" xr:uid="{00000000-0005-0000-0000-000045000000}"/>
    <cellStyle name="入力 2" xfId="53" xr:uid="{00000000-0005-0000-0000-000046000000}"/>
    <cellStyle name="入力 2 2" xfId="71" xr:uid="{00000000-0005-0000-0000-000047000000}"/>
    <cellStyle name="標準" xfId="0" builtinId="0"/>
    <cellStyle name="標準 2" xfId="2" xr:uid="{00000000-0005-0000-0000-000049000000}"/>
    <cellStyle name="標準 2 2" xfId="54" xr:uid="{00000000-0005-0000-0000-00004A000000}"/>
    <cellStyle name="標準 3" xfId="55" xr:uid="{00000000-0005-0000-0000-00004B000000}"/>
    <cellStyle name="標準 3 2" xfId="56" xr:uid="{00000000-0005-0000-0000-00004C000000}"/>
    <cellStyle name="標準 3 3" xfId="57" xr:uid="{00000000-0005-0000-0000-00004D000000}"/>
    <cellStyle name="標準 3_WS130401y" xfId="58" xr:uid="{00000000-0005-0000-0000-00004E000000}"/>
    <cellStyle name="標準 4" xfId="59" xr:uid="{00000000-0005-0000-0000-00004F000000}"/>
    <cellStyle name="標準 4 2" xfId="60" xr:uid="{00000000-0005-0000-0000-000050000000}"/>
    <cellStyle name="標準 5" xfId="63" xr:uid="{00000000-0005-0000-0000-000051000000}"/>
    <cellStyle name="標準 6" xfId="64" xr:uid="{00000000-0005-0000-0000-000052000000}"/>
    <cellStyle name="標準 7" xfId="65" xr:uid="{00000000-0005-0000-0000-000053000000}"/>
    <cellStyle name="標準_Book1" xfId="3" xr:uid="{00000000-0005-0000-0000-000054000000}"/>
    <cellStyle name="標準_サービス見込量WS(Ver.1.0)" xfId="4" xr:uid="{00000000-0005-0000-0000-000055000000}"/>
    <cellStyle name="標準_介護円滑導入臨時特例交付金の所要額調作業シート_v2a" xfId="81" xr:uid="{00000000-0005-0000-0000-000056000000}"/>
    <cellStyle name="標準_第4期第１号被保険者の保険料推計WS（6段階）ver1.0" xfId="87" xr:uid="{00000000-0005-0000-0000-000057000000}"/>
    <cellStyle name="良い 2" xfId="61" xr:uid="{00000000-0005-0000-0000-000058000000}"/>
  </cellStyles>
  <dxfs count="10"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</dxfs>
  <tableStyles count="0" defaultTableStyle="TableStyleMedium2" defaultPivotStyle="PivotStyleLight16"/>
  <colors>
    <mruColors>
      <color rgb="FF0000CC"/>
      <color rgb="FF00B0F0"/>
      <color rgb="FFFDE9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10" Target="calcChain.xml" Type="http://schemas.openxmlformats.org/officeDocument/2006/relationships/calcChain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worksheets/sheet4.xml" Type="http://schemas.openxmlformats.org/officeDocument/2006/relationships/worksheet"/>
<Relationship Id="rId5" Target="worksheets/sheet5.xml" Type="http://schemas.openxmlformats.org/officeDocument/2006/relationships/worksheet"/>
<Relationship Id="rId6" Target="worksheets/sheet6.xml" Type="http://schemas.openxmlformats.org/officeDocument/2006/relationships/worksheet"/>
<Relationship Id="rId7" Target="theme/theme1.xml" Type="http://schemas.openxmlformats.org/officeDocument/2006/relationships/theme"/>
<Relationship Id="rId8" Target="styles.xml" Type="http://schemas.openxmlformats.org/officeDocument/2006/relationships/styles"/>
<Relationship Id="rId9" Target="sharedStrings.xml" Type="http://schemas.openxmlformats.org/officeDocument/2006/relationships/sharedStrings"/>
</Relationships>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8609343725055291"/>
          <c:y val="8.0861397938808727E-2"/>
          <c:w val="0.5189775632884599"/>
          <c:h val="0.70527753300554663"/>
        </c:manualLayout>
      </c:layout>
      <c:barChart>
        <c:barDir val="col"/>
        <c:grouping val="stacked"/>
        <c:varyColors val="0"/>
        <c:ser>
          <c:idx val="2"/>
          <c:order val="0"/>
          <c:tx>
            <c:strRef>
              <c:f>'1_推計値サマリ'!$A$64</c:f>
              <c:strCache>
                <c:ptCount val="1"/>
                <c:pt idx="0">
                  <c:v>（３）施設サービス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solidFill>
                <a:schemeClr val="bg1">
                  <a:lumMod val="50000"/>
                </a:schemeClr>
              </a:solidFill>
            </a:ln>
          </c:spPr>
          <c:invertIfNegative val="0"/>
          <c:cat>
            <c:strRef>
              <c:f>'1_推計値サマリ'!$D$61:$I$61</c:f>
              <c:strCache>
                <c:ptCount val="6"/>
                <c:pt idx="0">
                  <c:v>令和6年度</c:v>
                </c:pt>
                <c:pt idx="1">
                  <c:v>令和7年度</c:v>
                </c:pt>
                <c:pt idx="2">
                  <c:v>令和8年度</c:v>
                </c:pt>
                <c:pt idx="3">
                  <c:v>令和9年度</c:v>
                </c:pt>
                <c:pt idx="4">
                  <c:v>令和10年度</c:v>
                </c:pt>
                <c:pt idx="5">
                  <c:v>令和11年度</c:v>
                </c:pt>
              </c:strCache>
            </c:strRef>
          </c:cat>
          <c:val>
            <c:numRef>
              <c:f>'1_推計値サマリ'!$D$64:$I$64</c:f>
              <c:numCache>
                <c:formatCode>#,##0_ 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6C-4FFF-B887-B7E1595EB847}"/>
            </c:ext>
          </c:extLst>
        </c:ser>
        <c:ser>
          <c:idx val="1"/>
          <c:order val="1"/>
          <c:tx>
            <c:strRef>
              <c:f>'1_推計値サマリ'!$A$63</c:f>
              <c:strCache>
                <c:ptCount val="1"/>
                <c:pt idx="0">
                  <c:v>（２）居住系サービス</c:v>
                </c:pt>
              </c:strCache>
            </c:strRef>
          </c:tx>
          <c:spPr>
            <a:pattFill prst="pct25">
              <a:fgClr>
                <a:schemeClr val="bg1">
                  <a:lumMod val="50000"/>
                </a:schemeClr>
              </a:fgClr>
              <a:bgClr>
                <a:schemeClr val="bg1"/>
              </a:bgClr>
            </a:pattFill>
            <a:ln>
              <a:solidFill>
                <a:schemeClr val="bg1">
                  <a:lumMod val="50000"/>
                </a:schemeClr>
              </a:solidFill>
            </a:ln>
          </c:spPr>
          <c:invertIfNegative val="0"/>
          <c:cat>
            <c:strRef>
              <c:f>'1_推計値サマリ'!$D$61:$I$61</c:f>
              <c:strCache>
                <c:ptCount val="6"/>
                <c:pt idx="0">
                  <c:v>令和6年度</c:v>
                </c:pt>
                <c:pt idx="1">
                  <c:v>令和7年度</c:v>
                </c:pt>
                <c:pt idx="2">
                  <c:v>令和8年度</c:v>
                </c:pt>
                <c:pt idx="3">
                  <c:v>令和9年度</c:v>
                </c:pt>
                <c:pt idx="4">
                  <c:v>令和10年度</c:v>
                </c:pt>
                <c:pt idx="5">
                  <c:v>令和11年度</c:v>
                </c:pt>
              </c:strCache>
            </c:strRef>
          </c:cat>
          <c:val>
            <c:numRef>
              <c:f>'1_推計値サマリ'!$D$63:$I$63</c:f>
              <c:numCache>
                <c:formatCode>#,##0_ 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86C-4FFF-B887-B7E1595EB847}"/>
            </c:ext>
          </c:extLst>
        </c:ser>
        <c:ser>
          <c:idx val="0"/>
          <c:order val="2"/>
          <c:tx>
            <c:strRef>
              <c:f>'1_推計値サマリ'!$A$62</c:f>
              <c:strCache>
                <c:ptCount val="1"/>
                <c:pt idx="0">
                  <c:v>（１）在宅サービス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solidFill>
                <a:schemeClr val="bg1">
                  <a:lumMod val="50000"/>
                </a:schemeClr>
              </a:solidFill>
            </a:ln>
          </c:spPr>
          <c:invertIfNegative val="0"/>
          <c:cat>
            <c:strRef>
              <c:f>'1_推計値サマリ'!$D$61:$I$61</c:f>
              <c:strCache>
                <c:ptCount val="6"/>
                <c:pt idx="0">
                  <c:v>令和6年度</c:v>
                </c:pt>
                <c:pt idx="1">
                  <c:v>令和7年度</c:v>
                </c:pt>
                <c:pt idx="2">
                  <c:v>令和8年度</c:v>
                </c:pt>
                <c:pt idx="3">
                  <c:v>令和9年度</c:v>
                </c:pt>
                <c:pt idx="4">
                  <c:v>令和10年度</c:v>
                </c:pt>
                <c:pt idx="5">
                  <c:v>令和11年度</c:v>
                </c:pt>
              </c:strCache>
            </c:strRef>
          </c:cat>
          <c:val>
            <c:numRef>
              <c:f>'1_推計値サマリ'!$D$62:$I$62</c:f>
              <c:numCache>
                <c:formatCode>#,##0_ 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86C-4FFF-B887-B7E1595EB8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61626760"/>
        <c:axId val="761627544"/>
      </c:barChart>
      <c:catAx>
        <c:axId val="76162676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1200000"/>
          <a:lstStyle/>
          <a:p>
            <a:pPr>
              <a:defRPr sz="900" baseline="0"/>
            </a:pPr>
            <a:endParaRPr lang="ja-JP"/>
          </a:p>
        </c:txPr>
        <c:crossAx val="761627544"/>
        <c:crosses val="autoZero"/>
        <c:auto val="1"/>
        <c:lblAlgn val="ctr"/>
        <c:lblOffset val="100"/>
        <c:noMultiLvlLbl val="0"/>
      </c:catAx>
      <c:valAx>
        <c:axId val="76162754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ja-JP" altLang="en-US"/>
                  <a:t>給付費（千円）</a:t>
                </a:r>
              </a:p>
            </c:rich>
          </c:tx>
          <c:layout>
            <c:manualLayout>
              <c:xMode val="edge"/>
              <c:yMode val="edge"/>
              <c:x val="9.0411323939015176E-3"/>
              <c:y val="0.20877081992658567"/>
            </c:manualLayout>
          </c:layout>
          <c:overlay val="0"/>
        </c:title>
        <c:numFmt formatCode="#,##0_ " sourceLinked="1"/>
        <c:majorTickMark val="out"/>
        <c:minorTickMark val="none"/>
        <c:tickLblPos val="nextTo"/>
        <c:crossAx val="7616267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77763532410812952"/>
          <c:y val="0.34403368478848995"/>
          <c:w val="0.19035337422694337"/>
          <c:h val="0.32387292331746625"/>
        </c:manualLayout>
      </c:layout>
      <c:overlay val="0"/>
    </c:legend>
    <c:plotVisOnly val="1"/>
    <c:dispBlanksAs val="gap"/>
    <c:showDLblsOverMax val="0"/>
  </c:chart>
  <c:printSettings>
    <c:headerFooter/>
    <c:pageMargins b="0.75000000000000155" l="0.70000000000000062" r="0.70000000000000062" t="0.7500000000000015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8603227919307674"/>
          <c:y val="8.1720687428814817E-2"/>
          <c:w val="0.55059820116383562"/>
          <c:h val="0.7087296541937320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'1_推計値サマリ'!$A$41:$C$41</c:f>
              <c:strCache>
                <c:ptCount val="3"/>
                <c:pt idx="0">
                  <c:v>（２）居住系サービス</c:v>
                </c:pt>
              </c:strCache>
            </c:strRef>
          </c:tx>
          <c:spPr>
            <a:pattFill prst="pct25">
              <a:fgClr>
                <a:schemeClr val="bg1">
                  <a:lumMod val="50000"/>
                </a:schemeClr>
              </a:fgClr>
              <a:bgClr>
                <a:schemeClr val="bg1"/>
              </a:bgClr>
            </a:pattFill>
            <a:ln>
              <a:solidFill>
                <a:schemeClr val="bg1">
                  <a:lumMod val="50000"/>
                </a:schemeClr>
              </a:solidFill>
            </a:ln>
          </c:spPr>
          <c:invertIfNegative val="0"/>
          <c:cat>
            <c:strRef>
              <c:f>'1_推計値サマリ'!$D$39:$I$39</c:f>
              <c:strCache>
                <c:ptCount val="6"/>
                <c:pt idx="0">
                  <c:v>令和6年度</c:v>
                </c:pt>
                <c:pt idx="1">
                  <c:v>令和7年度</c:v>
                </c:pt>
                <c:pt idx="2">
                  <c:v>令和8年度</c:v>
                </c:pt>
                <c:pt idx="3">
                  <c:v>令和9年度</c:v>
                </c:pt>
                <c:pt idx="4">
                  <c:v>令和10年度</c:v>
                </c:pt>
                <c:pt idx="5">
                  <c:v>令和11年度</c:v>
                </c:pt>
              </c:strCache>
            </c:strRef>
          </c:cat>
          <c:val>
            <c:numRef>
              <c:f>'1_推計値サマリ'!$D$41:$I$41</c:f>
              <c:numCache>
                <c:formatCode>#,##0_ 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2B-4A7D-9BF0-CF6AF3F34854}"/>
            </c:ext>
          </c:extLst>
        </c:ser>
        <c:ser>
          <c:idx val="2"/>
          <c:order val="1"/>
          <c:tx>
            <c:strRef>
              <c:f>'1_推計値サマリ'!$A$40:$C$40</c:f>
              <c:strCache>
                <c:ptCount val="3"/>
                <c:pt idx="0">
                  <c:v>（１）在宅サービス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solidFill>
                <a:schemeClr val="bg1">
                  <a:lumMod val="50000"/>
                </a:schemeClr>
              </a:solidFill>
            </a:ln>
          </c:spPr>
          <c:invertIfNegative val="0"/>
          <c:cat>
            <c:strRef>
              <c:f>'1_推計値サマリ'!$D$39:$I$39</c:f>
              <c:strCache>
                <c:ptCount val="6"/>
                <c:pt idx="0">
                  <c:v>令和6年度</c:v>
                </c:pt>
                <c:pt idx="1">
                  <c:v>令和7年度</c:v>
                </c:pt>
                <c:pt idx="2">
                  <c:v>令和8年度</c:v>
                </c:pt>
                <c:pt idx="3">
                  <c:v>令和9年度</c:v>
                </c:pt>
                <c:pt idx="4">
                  <c:v>令和10年度</c:v>
                </c:pt>
                <c:pt idx="5">
                  <c:v>令和11年度</c:v>
                </c:pt>
              </c:strCache>
            </c:strRef>
          </c:cat>
          <c:val>
            <c:numRef>
              <c:f>'1_推計値サマリ'!$D$40:$I$40</c:f>
              <c:numCache>
                <c:formatCode>#,##0_ 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22B-4A7D-9BF0-CF6AF3F348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29553168"/>
        <c:axId val="829552384"/>
      </c:barChart>
      <c:catAx>
        <c:axId val="82955316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1440000"/>
          <a:lstStyle/>
          <a:p>
            <a:pPr>
              <a:defRPr sz="900" baseline="0"/>
            </a:pPr>
            <a:endParaRPr lang="ja-JP"/>
          </a:p>
        </c:txPr>
        <c:crossAx val="829552384"/>
        <c:crosses val="autoZero"/>
        <c:auto val="1"/>
        <c:lblAlgn val="ctr"/>
        <c:lblOffset val="100"/>
        <c:noMultiLvlLbl val="0"/>
      </c:catAx>
      <c:valAx>
        <c:axId val="82955238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ja-JP" altLang="en-US"/>
                  <a:t>給付費（千円）</a:t>
                </a:r>
              </a:p>
            </c:rich>
          </c:tx>
          <c:layout>
            <c:manualLayout>
              <c:xMode val="edge"/>
              <c:yMode val="edge"/>
              <c:x val="2.1458821404776011E-2"/>
              <c:y val="0.2185784388960344"/>
            </c:manualLayout>
          </c:layout>
          <c:overlay val="0"/>
        </c:title>
        <c:numFmt formatCode="#,##0_ " sourceLinked="1"/>
        <c:majorTickMark val="out"/>
        <c:minorTickMark val="none"/>
        <c:tickLblPos val="nextTo"/>
        <c:crossAx val="829553168"/>
        <c:crosses val="autoZero"/>
        <c:crossBetween val="between"/>
      </c:valAx>
      <c:spPr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77700539704532456"/>
          <c:y val="0.31804657126988928"/>
          <c:w val="0.1846384330548213"/>
          <c:h val="0.27573834493122923"/>
        </c:manualLayout>
      </c:layout>
      <c:overlay val="0"/>
    </c:legend>
    <c:plotVisOnly val="1"/>
    <c:dispBlanksAs val="gap"/>
    <c:showDLblsOverMax val="0"/>
  </c:chart>
  <c:printSettings>
    <c:headerFooter/>
    <c:pageMargins b="0.75000000000000155" l="0.70000000000000062" r="0.70000000000000062" t="0.7500000000000015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ja-JP" altLang="en-US" sz="1200"/>
              <a:t>第</a:t>
            </a:r>
            <a:r>
              <a:rPr lang="en-US" altLang="ja-JP" sz="1200"/>
              <a:t>1</a:t>
            </a:r>
            <a:r>
              <a:rPr lang="ja-JP" altLang="en-US" sz="1200"/>
              <a:t>号被保険者</a:t>
            </a:r>
            <a:r>
              <a:rPr lang="en-US" altLang="ja-JP" sz="1200"/>
              <a:t>1</a:t>
            </a:r>
            <a:r>
              <a:rPr lang="ja-JP" altLang="en-US" sz="1200"/>
              <a:t>人あたりの給付月額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4"/>
          <c:order val="0"/>
          <c:tx>
            <c:strRef>
              <c:f>'1_推計値サマリ'!$D$90</c:f>
              <c:strCache>
                <c:ptCount val="1"/>
                <c:pt idx="0">
                  <c:v>令和6年度</c:v>
                </c:pt>
              </c:strCache>
            </c:strRef>
          </c:tx>
          <c:spPr>
            <a:ln w="19050">
              <a:solidFill>
                <a:schemeClr val="accent2"/>
              </a:solidFill>
              <a:prstDash val="sysDash"/>
            </a:ln>
          </c:spPr>
          <c:marker>
            <c:symbol val="square"/>
            <c:size val="7"/>
            <c:spPr>
              <a:solidFill>
                <a:schemeClr val="accent2"/>
              </a:solidFill>
              <a:ln>
                <a:solidFill>
                  <a:schemeClr val="accent2"/>
                </a:solidFill>
              </a:ln>
            </c:spPr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6EC-492D-A944-C520EE943C0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/>
                </a:pPr>
                <a:endParaRPr lang="ja-JP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strRef>
              <c:f>'1_推計値サマリ'!$D$92:$E$92</c:f>
              <c:strCache>
                <c:ptCount val="2"/>
                <c:pt idx="0">
                  <c:v>－</c:v>
                </c:pt>
                <c:pt idx="1">
                  <c:v>－</c:v>
                </c:pt>
              </c:strCache>
            </c:strRef>
          </c:xVal>
          <c:yVal>
            <c:numRef>
              <c:f>'1_推計値サマリ'!$D$91:$E$91</c:f>
              <c:numCache>
                <c:formatCode>#,##0_ 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133-4CC0-A04F-571C7B510517}"/>
            </c:ext>
          </c:extLst>
        </c:ser>
        <c:ser>
          <c:idx val="5"/>
          <c:order val="1"/>
          <c:tx>
            <c:strRef>
              <c:f>'1_推計値サマリ'!$E$90</c:f>
              <c:strCache>
                <c:ptCount val="1"/>
                <c:pt idx="0">
                  <c:v>令和7年度</c:v>
                </c:pt>
              </c:strCache>
            </c:strRef>
          </c:tx>
          <c:spPr>
            <a:ln w="19050">
              <a:solidFill>
                <a:schemeClr val="accent2"/>
              </a:solidFill>
              <a:prstDash val="sysDash"/>
            </a:ln>
          </c:spPr>
          <c:marker>
            <c:symbol val="square"/>
            <c:size val="7"/>
            <c:spPr>
              <a:solidFill>
                <a:schemeClr val="accent2"/>
              </a:solidFill>
              <a:ln>
                <a:solidFill>
                  <a:schemeClr val="accent2"/>
                </a:solidFill>
              </a:ln>
            </c:spPr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6EC-492D-A944-C520EE943C0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/>
                </a:pPr>
                <a:endParaRPr lang="ja-JP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strRef>
              <c:f>'1_推計値サマリ'!$E$92:$F$92</c:f>
              <c:strCache>
                <c:ptCount val="2"/>
                <c:pt idx="0">
                  <c:v>－</c:v>
                </c:pt>
                <c:pt idx="1">
                  <c:v>－</c:v>
                </c:pt>
              </c:strCache>
            </c:strRef>
          </c:xVal>
          <c:yVal>
            <c:numRef>
              <c:f>'1_推計値サマリ'!$E$91:$F$91</c:f>
              <c:numCache>
                <c:formatCode>#,##0_ 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7133-4CC0-A04F-571C7B510517}"/>
            </c:ext>
          </c:extLst>
        </c:ser>
        <c:ser>
          <c:idx val="0"/>
          <c:order val="2"/>
          <c:tx>
            <c:strRef>
              <c:f>'1_推計値サマリ'!$F$90</c:f>
              <c:strCache>
                <c:ptCount val="1"/>
                <c:pt idx="0">
                  <c:v>令和8年度</c:v>
                </c:pt>
              </c:strCache>
            </c:strRef>
          </c:tx>
          <c:spPr>
            <a:ln w="19050">
              <a:solidFill>
                <a:schemeClr val="accent2"/>
              </a:solidFill>
              <a:prstDash val="sysDash"/>
            </a:ln>
          </c:spPr>
          <c:marker>
            <c:symbol val="square"/>
            <c:size val="7"/>
            <c:spPr>
              <a:solidFill>
                <a:schemeClr val="accent2"/>
              </a:solidFill>
              <a:ln>
                <a:solidFill>
                  <a:schemeClr val="accent2"/>
                </a:solidFill>
              </a:ln>
            </c:spPr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6EC-492D-A944-C520EE943C0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/>
                </a:pPr>
                <a:endParaRPr lang="ja-JP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strRef>
              <c:f>'1_推計値サマリ'!$F$92:$G$92</c:f>
              <c:strCache>
                <c:ptCount val="2"/>
                <c:pt idx="0">
                  <c:v>－</c:v>
                </c:pt>
                <c:pt idx="1">
                  <c:v>－</c:v>
                </c:pt>
              </c:strCache>
            </c:strRef>
          </c:xVal>
          <c:yVal>
            <c:numRef>
              <c:f>'1_推計値サマリ'!$F$91:$G$91</c:f>
              <c:numCache>
                <c:formatCode>#,##0_ 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133-4CC0-A04F-571C7B510517}"/>
            </c:ext>
          </c:extLst>
        </c:ser>
        <c:ser>
          <c:idx val="1"/>
          <c:order val="3"/>
          <c:tx>
            <c:strRef>
              <c:f>'1_推計値サマリ'!$G$90</c:f>
              <c:strCache>
                <c:ptCount val="1"/>
                <c:pt idx="0">
                  <c:v>令和9年度</c:v>
                </c:pt>
              </c:strCache>
            </c:strRef>
          </c:tx>
          <c:spPr>
            <a:ln w="19050">
              <a:solidFill>
                <a:schemeClr val="accent2"/>
              </a:solidFill>
              <a:prstDash val="sysDash"/>
            </a:ln>
          </c:spP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6EC-492D-A944-C520EE943C0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/>
                </a:pPr>
                <a:endParaRPr lang="ja-JP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strRef>
              <c:f>'1_推計値サマリ'!$G$92:$H$92</c:f>
              <c:strCache>
                <c:ptCount val="2"/>
                <c:pt idx="0">
                  <c:v>－</c:v>
                </c:pt>
                <c:pt idx="1">
                  <c:v>－</c:v>
                </c:pt>
              </c:strCache>
            </c:strRef>
          </c:xVal>
          <c:yVal>
            <c:numRef>
              <c:f>'1_推計値サマリ'!$G$91:$H$91</c:f>
              <c:numCache>
                <c:formatCode>#,##0_ 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133-4CC0-A04F-571C7B510517}"/>
            </c:ext>
          </c:extLst>
        </c:ser>
        <c:ser>
          <c:idx val="2"/>
          <c:order val="4"/>
          <c:tx>
            <c:strRef>
              <c:f>'1_推計値サマリ'!$H$90</c:f>
              <c:strCache>
                <c:ptCount val="1"/>
                <c:pt idx="0">
                  <c:v>令和10年度</c:v>
                </c:pt>
              </c:strCache>
            </c:strRef>
          </c:tx>
          <c:spPr>
            <a:ln w="19050">
              <a:solidFill>
                <a:schemeClr val="accent2"/>
              </a:solidFill>
              <a:prstDash val="sysDash"/>
            </a:ln>
          </c:spPr>
          <c:marker>
            <c:symbol val="square"/>
            <c:size val="7"/>
            <c:spPr>
              <a:solidFill>
                <a:schemeClr val="accent2"/>
              </a:solidFill>
              <a:ln>
                <a:solidFill>
                  <a:schemeClr val="accent2"/>
                </a:solidFill>
              </a:ln>
            </c:spPr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6EC-492D-A944-C520EE943C0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/>
                </a:pPr>
                <a:endParaRPr lang="ja-JP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strRef>
              <c:f>'1_推計値サマリ'!$H$92:$I$92</c:f>
              <c:strCache>
                <c:ptCount val="2"/>
                <c:pt idx="0">
                  <c:v>－</c:v>
                </c:pt>
                <c:pt idx="1">
                  <c:v>－</c:v>
                </c:pt>
              </c:strCache>
            </c:strRef>
          </c:xVal>
          <c:yVal>
            <c:numRef>
              <c:f>'1_推計値サマリ'!$H$91:$I$91</c:f>
              <c:numCache>
                <c:formatCode>#,##0_ 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133-4CC0-A04F-571C7B510517}"/>
            </c:ext>
          </c:extLst>
        </c:ser>
        <c:ser>
          <c:idx val="3"/>
          <c:order val="5"/>
          <c:tx>
            <c:strRef>
              <c:f>'1_推計値サマリ'!$I$90</c:f>
              <c:strCache>
                <c:ptCount val="1"/>
                <c:pt idx="0">
                  <c:v>令和11年度</c:v>
                </c:pt>
              </c:strCache>
            </c:strRef>
          </c:tx>
          <c:marker>
            <c:symbol val="square"/>
            <c:size val="7"/>
            <c:spPr>
              <a:solidFill>
                <a:schemeClr val="accent2"/>
              </a:solidFill>
              <a:ln>
                <a:solidFill>
                  <a:schemeClr val="accent2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/>
                </a:pPr>
                <a:endParaRPr lang="ja-JP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strRef>
              <c:f>'1_推計値サマリ'!$I$92</c:f>
              <c:strCache>
                <c:ptCount val="1"/>
                <c:pt idx="0">
                  <c:v>－</c:v>
                </c:pt>
              </c:strCache>
            </c:strRef>
          </c:xVal>
          <c:yVal>
            <c:numRef>
              <c:f>'1_推計値サマリ'!$I$91</c:f>
              <c:numCache>
                <c:formatCode>#,##0_ 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133-4CC0-A04F-571C7B5105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7690664"/>
        <c:axId val="594932552"/>
      </c:scatterChart>
      <c:valAx>
        <c:axId val="667690664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施設サービス給付月額（千円）</a:t>
                </a:r>
              </a:p>
            </c:rich>
          </c:tx>
          <c:overlay val="0"/>
        </c:title>
        <c:numFmt formatCode="#,##0_ " sourceLinked="1"/>
        <c:majorTickMark val="none"/>
        <c:minorTickMark val="none"/>
        <c:tickLblPos val="nextTo"/>
        <c:crossAx val="594932552"/>
        <c:crosses val="autoZero"/>
        <c:crossBetween val="midCat"/>
      </c:valAx>
      <c:valAx>
        <c:axId val="594932552"/>
        <c:scaling>
          <c:orientation val="minMax"/>
        </c:scaling>
        <c:delete val="0"/>
        <c:axPos val="l"/>
        <c:majorGridlines/>
        <c:title>
          <c:tx>
            <c:rich>
              <a:bodyPr rot="0" vert="wordArtVertRtl"/>
              <a:lstStyle/>
              <a:p>
                <a:pPr>
                  <a:defRPr/>
                </a:pPr>
                <a:r>
                  <a:rPr lang="ja-JP" altLang="en-US"/>
                  <a:t>在宅サービス給付月額（千円）</a:t>
                </a:r>
              </a:p>
            </c:rich>
          </c:tx>
          <c:layout>
            <c:manualLayout>
              <c:xMode val="edge"/>
              <c:yMode val="edge"/>
              <c:x val="1.6666666666666701E-2"/>
              <c:y val="0.14679425488480669"/>
            </c:manualLayout>
          </c:layout>
          <c:overlay val="0"/>
        </c:title>
        <c:numFmt formatCode="#,##0_ " sourceLinked="1"/>
        <c:majorTickMark val="none"/>
        <c:minorTickMark val="none"/>
        <c:tickLblPos val="nextTo"/>
        <c:crossAx val="66769066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000000000000155" l="0.70000000000000062" r="0.70000000000000062" t="0.7500000000000015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ja-JP" altLang="en-US" sz="1200"/>
              <a:t>在宅サービス／施設・居住系サービス受給率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4"/>
          <c:order val="0"/>
          <c:tx>
            <c:strRef>
              <c:f>'1_推計値サマリ'!$D$115</c:f>
              <c:strCache>
                <c:ptCount val="1"/>
                <c:pt idx="0">
                  <c:v>令和6年度</c:v>
                </c:pt>
              </c:strCache>
            </c:strRef>
          </c:tx>
          <c:spPr>
            <a:ln w="19050">
              <a:solidFill>
                <a:schemeClr val="accent2"/>
              </a:solidFill>
              <a:prstDash val="sysDash"/>
            </a:ln>
          </c:spPr>
          <c:marker>
            <c:symbol val="square"/>
            <c:size val="7"/>
            <c:spPr>
              <a:solidFill>
                <a:schemeClr val="accent2"/>
              </a:solidFill>
              <a:ln>
                <a:solidFill>
                  <a:schemeClr val="accent2"/>
                </a:solidFill>
              </a:ln>
            </c:spPr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DC0-47FE-B2DE-9A5A04060F8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/>
                </a:pPr>
                <a:endParaRPr lang="ja-JP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strRef>
              <c:f>'1_推計値サマリ'!$D$117:$E$117</c:f>
              <c:strCache>
                <c:ptCount val="2"/>
                <c:pt idx="0">
                  <c:v>－</c:v>
                </c:pt>
                <c:pt idx="1">
                  <c:v>－</c:v>
                </c:pt>
              </c:strCache>
            </c:strRef>
          </c:xVal>
          <c:yVal>
            <c:numRef>
              <c:f>'1_推計値サマリ'!$D$116:$E$116</c:f>
              <c:numCache>
                <c:formatCode>0.00%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133-4CC0-A04F-571C7B510517}"/>
            </c:ext>
          </c:extLst>
        </c:ser>
        <c:ser>
          <c:idx val="5"/>
          <c:order val="1"/>
          <c:tx>
            <c:strRef>
              <c:f>'1_推計値サマリ'!$E$115</c:f>
              <c:strCache>
                <c:ptCount val="1"/>
                <c:pt idx="0">
                  <c:v>令和7年度</c:v>
                </c:pt>
              </c:strCache>
            </c:strRef>
          </c:tx>
          <c:spPr>
            <a:ln w="19050">
              <a:solidFill>
                <a:schemeClr val="accent2"/>
              </a:solidFill>
              <a:prstDash val="sysDash"/>
            </a:ln>
          </c:spPr>
          <c:marker>
            <c:symbol val="square"/>
            <c:size val="7"/>
            <c:spPr>
              <a:solidFill>
                <a:schemeClr val="accent2"/>
              </a:solidFill>
              <a:ln>
                <a:solidFill>
                  <a:schemeClr val="accent2"/>
                </a:solidFill>
              </a:ln>
            </c:spPr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DC0-47FE-B2DE-9A5A04060F8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/>
                </a:pPr>
                <a:endParaRPr lang="ja-JP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strRef>
              <c:f>'1_推計値サマリ'!$E$117:$F$117</c:f>
              <c:strCache>
                <c:ptCount val="2"/>
                <c:pt idx="0">
                  <c:v>－</c:v>
                </c:pt>
                <c:pt idx="1">
                  <c:v>－</c:v>
                </c:pt>
              </c:strCache>
            </c:strRef>
          </c:xVal>
          <c:yVal>
            <c:numRef>
              <c:f>'1_推計値サマリ'!$E$116:$F$116</c:f>
              <c:numCache>
                <c:formatCode>0.00%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7133-4CC0-A04F-571C7B510517}"/>
            </c:ext>
          </c:extLst>
        </c:ser>
        <c:ser>
          <c:idx val="0"/>
          <c:order val="2"/>
          <c:tx>
            <c:strRef>
              <c:f>'1_推計値サマリ'!$F$115</c:f>
              <c:strCache>
                <c:ptCount val="1"/>
                <c:pt idx="0">
                  <c:v>令和8年度</c:v>
                </c:pt>
              </c:strCache>
            </c:strRef>
          </c:tx>
          <c:spPr>
            <a:ln w="19050">
              <a:solidFill>
                <a:schemeClr val="accent2"/>
              </a:solidFill>
              <a:prstDash val="sysDash"/>
            </a:ln>
          </c:spPr>
          <c:marker>
            <c:symbol val="square"/>
            <c:size val="7"/>
            <c:spPr>
              <a:solidFill>
                <a:schemeClr val="accent2"/>
              </a:solidFill>
              <a:ln>
                <a:solidFill>
                  <a:schemeClr val="accent2"/>
                </a:solidFill>
              </a:ln>
            </c:spPr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DC0-47FE-B2DE-9A5A04060F8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/>
                </a:pPr>
                <a:endParaRPr lang="ja-JP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strRef>
              <c:f>'1_推計値サマリ'!$F$117:$G$117</c:f>
              <c:strCache>
                <c:ptCount val="2"/>
                <c:pt idx="0">
                  <c:v>－</c:v>
                </c:pt>
                <c:pt idx="1">
                  <c:v>－</c:v>
                </c:pt>
              </c:strCache>
            </c:strRef>
          </c:xVal>
          <c:yVal>
            <c:numRef>
              <c:f>'1_推計値サマリ'!$F$116:$G$116</c:f>
              <c:numCache>
                <c:formatCode>0.00%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133-4CC0-A04F-571C7B510517}"/>
            </c:ext>
          </c:extLst>
        </c:ser>
        <c:ser>
          <c:idx val="1"/>
          <c:order val="3"/>
          <c:tx>
            <c:strRef>
              <c:f>'1_推計値サマリ'!$G$115</c:f>
              <c:strCache>
                <c:ptCount val="1"/>
                <c:pt idx="0">
                  <c:v>令和9年度</c:v>
                </c:pt>
              </c:strCache>
            </c:strRef>
          </c:tx>
          <c:spPr>
            <a:ln w="19050">
              <a:solidFill>
                <a:schemeClr val="accent2"/>
              </a:solidFill>
              <a:prstDash val="sysDash"/>
            </a:ln>
          </c:spP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DC0-47FE-B2DE-9A5A04060F8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/>
                </a:pPr>
                <a:endParaRPr lang="ja-JP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strRef>
              <c:f>'1_推計値サマリ'!$G$117:$H$117</c:f>
              <c:strCache>
                <c:ptCount val="2"/>
                <c:pt idx="0">
                  <c:v>－</c:v>
                </c:pt>
                <c:pt idx="1">
                  <c:v>－</c:v>
                </c:pt>
              </c:strCache>
            </c:strRef>
          </c:xVal>
          <c:yVal>
            <c:numRef>
              <c:f>'1_推計値サマリ'!$G$116:$H$116</c:f>
              <c:numCache>
                <c:formatCode>0.00%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133-4CC0-A04F-571C7B510517}"/>
            </c:ext>
          </c:extLst>
        </c:ser>
        <c:ser>
          <c:idx val="2"/>
          <c:order val="4"/>
          <c:tx>
            <c:strRef>
              <c:f>'1_推計値サマリ'!$H$115</c:f>
              <c:strCache>
                <c:ptCount val="1"/>
                <c:pt idx="0">
                  <c:v>令和10年度</c:v>
                </c:pt>
              </c:strCache>
            </c:strRef>
          </c:tx>
          <c:spPr>
            <a:ln w="19050">
              <a:solidFill>
                <a:schemeClr val="accent2"/>
              </a:solidFill>
              <a:prstDash val="sysDash"/>
            </a:ln>
          </c:spPr>
          <c:marker>
            <c:symbol val="square"/>
            <c:size val="7"/>
            <c:spPr>
              <a:solidFill>
                <a:schemeClr val="accent2"/>
              </a:solidFill>
              <a:ln>
                <a:solidFill>
                  <a:schemeClr val="accent2"/>
                </a:solidFill>
              </a:ln>
            </c:spPr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DC0-47FE-B2DE-9A5A04060F8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/>
                </a:pPr>
                <a:endParaRPr lang="ja-JP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strRef>
              <c:f>'1_推計値サマリ'!$H$117:$I$117</c:f>
              <c:strCache>
                <c:ptCount val="2"/>
                <c:pt idx="0">
                  <c:v>－</c:v>
                </c:pt>
                <c:pt idx="1">
                  <c:v>－</c:v>
                </c:pt>
              </c:strCache>
            </c:strRef>
          </c:xVal>
          <c:yVal>
            <c:numRef>
              <c:f>'1_推計値サマリ'!$H$116:$I$116</c:f>
              <c:numCache>
                <c:formatCode>0.00%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133-4CC0-A04F-571C7B510517}"/>
            </c:ext>
          </c:extLst>
        </c:ser>
        <c:ser>
          <c:idx val="3"/>
          <c:order val="5"/>
          <c:tx>
            <c:strRef>
              <c:f>'1_推計値サマリ'!$I$115</c:f>
              <c:strCache>
                <c:ptCount val="1"/>
                <c:pt idx="0">
                  <c:v>令和11年度</c:v>
                </c:pt>
              </c:strCache>
            </c:strRef>
          </c:tx>
          <c:marker>
            <c:symbol val="square"/>
            <c:size val="7"/>
            <c:spPr>
              <a:solidFill>
                <a:schemeClr val="accent2"/>
              </a:solidFill>
              <a:ln>
                <a:solidFill>
                  <a:schemeClr val="accent2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/>
                </a:pPr>
                <a:endParaRPr lang="ja-JP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strRef>
              <c:f>'1_推計値サマリ'!$I$117</c:f>
              <c:strCache>
                <c:ptCount val="1"/>
                <c:pt idx="0">
                  <c:v>－</c:v>
                </c:pt>
              </c:strCache>
            </c:strRef>
          </c:xVal>
          <c:yVal>
            <c:numRef>
              <c:f>'1_推計値サマリ'!$I$116</c:f>
              <c:numCache>
                <c:formatCode>0.00%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133-4CC0-A04F-571C7B5105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9189736"/>
        <c:axId val="749190128"/>
      </c:scatterChart>
      <c:valAx>
        <c:axId val="749189736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施設・居住系サービス受給率（％）</a:t>
                </a:r>
              </a:p>
            </c:rich>
          </c:tx>
          <c:overlay val="0"/>
        </c:title>
        <c:numFmt formatCode="0.00%" sourceLinked="1"/>
        <c:majorTickMark val="none"/>
        <c:minorTickMark val="none"/>
        <c:tickLblPos val="nextTo"/>
        <c:crossAx val="749190128"/>
        <c:crosses val="autoZero"/>
        <c:crossBetween val="midCat"/>
      </c:valAx>
      <c:valAx>
        <c:axId val="749190128"/>
        <c:scaling>
          <c:orientation val="minMax"/>
        </c:scaling>
        <c:delete val="0"/>
        <c:axPos val="l"/>
        <c:majorGridlines/>
        <c:title>
          <c:tx>
            <c:rich>
              <a:bodyPr rot="0" vert="wordArtVertRtl"/>
              <a:lstStyle/>
              <a:p>
                <a:pPr>
                  <a:defRPr/>
                </a:pPr>
                <a:r>
                  <a:rPr lang="ja-JP" altLang="en-US"/>
                  <a:t>在宅サービス受給率｛％）</a:t>
                </a:r>
              </a:p>
            </c:rich>
          </c:tx>
          <c:layout>
            <c:manualLayout>
              <c:xMode val="edge"/>
              <c:yMode val="edge"/>
              <c:x val="1.6666666666666701E-2"/>
              <c:y val="0.14679425488480669"/>
            </c:manualLayout>
          </c:layout>
          <c:overlay val="0"/>
        </c:title>
        <c:numFmt formatCode="0.00%" sourceLinked="1"/>
        <c:majorTickMark val="none"/>
        <c:minorTickMark val="none"/>
        <c:tickLblPos val="nextTo"/>
        <c:crossAx val="749189736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000000000000155" l="0.70000000000000062" r="0.70000000000000062" t="0.75000000000000155" header="0.30000000000000032" footer="0.30000000000000032"/>
    <c:pageSetup/>
  </c:printSettings>
</c:chartSpace>
</file>

<file path=xl/drawings/_rels/drawing1.xml.rels><?xml version="1.0" encoding="UTF-8" standalone="no"?>
<Relationships xmlns="http://schemas.openxmlformats.org/package/2006/relationships">
<Relationship Id="rId1" Target="../charts/chart1.xml" Type="http://schemas.openxmlformats.org/officeDocument/2006/relationships/chart"/>
<Relationship Id="rId2" Target="../charts/chart2.xml" Type="http://schemas.openxmlformats.org/officeDocument/2006/relationships/chart"/>
<Relationship Id="rId3" Target="../charts/chart3.xml" Type="http://schemas.openxmlformats.org/officeDocument/2006/relationships/chart"/>
<Relationship Id="rId4" Target="../charts/chart4.xml" Type="http://schemas.openxmlformats.org/officeDocument/2006/relationships/chart"/>
</Relationships>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979487</xdr:colOff>
      <xdr:row>66</xdr:row>
      <xdr:rowOff>63499</xdr:rowOff>
    </xdr:from>
    <xdr:to>
      <xdr:col>9</xdr:col>
      <xdr:colOff>227300</xdr:colOff>
      <xdr:row>79</xdr:row>
      <xdr:rowOff>23812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980462</xdr:colOff>
      <xdr:row>43</xdr:row>
      <xdr:rowOff>63499</xdr:rowOff>
    </xdr:from>
    <xdr:to>
      <xdr:col>9</xdr:col>
      <xdr:colOff>226218</xdr:colOff>
      <xdr:row>57</xdr:row>
      <xdr:rowOff>130969</xdr:rowOff>
    </xdr:to>
    <xdr:graphicFrame macro="">
      <xdr:nvGraphicFramePr>
        <xdr:cNvPr id="11" name="グラフ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1416844</xdr:colOff>
      <xdr:row>93</xdr:row>
      <xdr:rowOff>19852</xdr:rowOff>
    </xdr:from>
    <xdr:to>
      <xdr:col>6</xdr:col>
      <xdr:colOff>488156</xdr:colOff>
      <xdr:row>109</xdr:row>
      <xdr:rowOff>96052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1416844</xdr:colOff>
      <xdr:row>118</xdr:row>
      <xdr:rowOff>19852</xdr:rowOff>
    </xdr:from>
    <xdr:to>
      <xdr:col>6</xdr:col>
      <xdr:colOff>488156</xdr:colOff>
      <xdr:row>134</xdr:row>
      <xdr:rowOff>96052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Relationship Id="rId2" Target="../drawings/drawing1.xml" Type="http://schemas.openxmlformats.org/officeDocument/2006/relationships/drawing"/>
</Relationships>

</file>

<file path=xl/worksheets/_rels/sheet2.xml.rels><?xml version="1.0" encoding="UTF-8" standalone="no"?>
<Relationships xmlns="http://schemas.openxmlformats.org/package/2006/relationships">
<Relationship Id="rId1" Target="../printerSettings/printerSettings2.bin" Type="http://schemas.openxmlformats.org/officeDocument/2006/relationships/printerSettings"/>
</Relationships>

</file>

<file path=xl/worksheets/_rels/sheet3.xml.rels><?xml version="1.0" encoding="UTF-8" standalone="no"?>
<Relationships xmlns="http://schemas.openxmlformats.org/package/2006/relationships">
<Relationship Id="rId1" Target="../printerSettings/printerSettings3.bin" Type="http://schemas.openxmlformats.org/officeDocument/2006/relationships/printerSettings"/>
</Relationships>

</file>

<file path=xl/worksheets/_rels/sheet4.xml.rels><?xml version="1.0" encoding="UTF-8" standalone="no"?>
<Relationships xmlns="http://schemas.openxmlformats.org/package/2006/relationships">
<Relationship Id="rId1" Target="../printerSettings/printerSettings4.bin" Type="http://schemas.openxmlformats.org/officeDocument/2006/relationships/printerSettings"/>
</Relationships>

</file>

<file path=xl/worksheets/_rels/sheet5.xml.rels><?xml version="1.0" encoding="UTF-8" standalone="no"?>
<Relationships xmlns="http://schemas.openxmlformats.org/package/2006/relationships">
<Relationship Id="rId1" Target="../printerSettings/printerSettings5.bin" Type="http://schemas.openxmlformats.org/officeDocument/2006/relationships/printerSettings"/>
</Relationships>

</file>

<file path=xl/worksheets/_rels/sheet6.xml.rels><?xml version="1.0" encoding="UTF-8" standalone="no"?>
<Relationships xmlns="http://schemas.openxmlformats.org/package/2006/relationships">
<Relationship Id="rId1" Target="../printerSettings/printerSettings6.bin" Type="http://schemas.openxmlformats.org/officeDocument/2006/relationships/printerSetting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U161"/>
  <sheetViews>
    <sheetView showGridLines="0" tabSelected="1" zoomScale="85" zoomScaleNormal="85" zoomScaleSheetLayoutView="70" workbookViewId="0">
      <selection sqref="A1:M1"/>
    </sheetView>
  </sheetViews>
  <sheetFormatPr defaultColWidth="9" defaultRowHeight="13.5"/>
  <cols>
    <col min="1" max="1" style="550" width="9.0" collapsed="false"/>
    <col min="2" max="2" customWidth="true" style="550" width="28.5" collapsed="false"/>
    <col min="3" max="18" customWidth="true" style="550" width="11.125" collapsed="false"/>
    <col min="19" max="20" customWidth="true" style="550" width="11.25" collapsed="false"/>
    <col min="21" max="16384" style="550" width="9.0" collapsed="false"/>
  </cols>
  <sheetData>
    <row r="1" spans="1:20" ht="54.75" customHeight="1">
      <c r="A1" s="1038" t="s">
        <v>350</v>
      </c>
      <c r="B1" s="1038"/>
      <c r="C1" s="1038"/>
      <c r="D1" s="1038"/>
      <c r="E1" s="1038"/>
      <c r="F1" s="1038"/>
      <c r="G1" s="1038"/>
      <c r="H1" s="1038"/>
      <c r="I1" s="1038"/>
      <c r="J1" s="1038"/>
      <c r="K1" s="1038"/>
      <c r="L1" s="1038"/>
      <c r="M1" s="1038"/>
    </row>
    <row r="2" spans="1:20" ht="15" thickBot="1">
      <c r="A2" s="352"/>
      <c r="S2" s="551" t="s">
        <v>98</v>
      </c>
      <c r="T2" s="552" t="s">
        <v>431</v>
      </c>
    </row>
    <row r="3" spans="1:20" ht="14.25" thickBot="1">
      <c r="Q3" s="1043" t="s">
        <v>67</v>
      </c>
      <c r="R3" s="1044"/>
      <c r="S3" s="887" t="s">
        <v>432</v>
      </c>
      <c r="T3" s="888"/>
    </row>
    <row r="4" spans="1:20" ht="14.25" thickBot="1">
      <c r="Q4" s="1043" t="s">
        <v>68</v>
      </c>
      <c r="R4" s="1044"/>
      <c r="S4" s="889" t="s">
        <v>433</v>
      </c>
      <c r="T4" s="890"/>
    </row>
    <row r="5" spans="1:20" ht="31.5" customHeight="1" thickBot="1">
      <c r="Q5" s="1045" t="s">
        <v>103</v>
      </c>
      <c r="R5" s="1046"/>
      <c r="S5" s="891" t="s">
        <v>327</v>
      </c>
      <c r="T5" s="892"/>
    </row>
    <row r="6" spans="1:20" ht="14.25">
      <c r="A6" s="352" t="s">
        <v>72</v>
      </c>
    </row>
    <row r="7" spans="1:20" ht="14.25">
      <c r="A7" s="352"/>
    </row>
    <row r="8" spans="1:20">
      <c r="A8" s="373" t="s">
        <v>0</v>
      </c>
      <c r="B8" s="193"/>
      <c r="C8" s="190"/>
      <c r="D8" s="190"/>
      <c r="E8" s="190"/>
      <c r="F8" s="190"/>
      <c r="G8" s="190"/>
      <c r="H8" s="190"/>
      <c r="I8" s="190"/>
      <c r="J8" s="190"/>
      <c r="K8" s="190"/>
      <c r="L8" s="190"/>
    </row>
    <row r="9" spans="1:20" ht="14.25" thickBot="1">
      <c r="A9" s="553"/>
      <c r="B9" s="554"/>
      <c r="C9" s="1"/>
      <c r="D9" s="1"/>
      <c r="E9" s="1"/>
      <c r="F9" s="1"/>
      <c r="G9" s="1"/>
      <c r="H9" s="1"/>
      <c r="L9" s="2"/>
      <c r="N9" s="2"/>
      <c r="R9" s="2"/>
      <c r="T9" s="971" t="s">
        <v>331</v>
      </c>
    </row>
    <row r="10" spans="1:20" ht="30" customHeight="1" thickBot="1">
      <c r="A10" s="1040"/>
      <c r="B10" s="1041"/>
      <c r="C10" s="1042"/>
      <c r="D10" s="377" t="s">
        <v>367</v>
      </c>
      <c r="E10" s="749" t="s">
        <v>366</v>
      </c>
      <c r="F10" s="378" t="s">
        <v>363</v>
      </c>
      <c r="G10" s="748" t="s">
        <v>362</v>
      </c>
      <c r="H10" s="749" t="s">
        <v>361</v>
      </c>
      <c r="I10" s="750" t="s">
        <v>360</v>
      </c>
      <c r="J10" s="38" t="s">
        <v>104</v>
      </c>
      <c r="K10" s="748" t="s">
        <v>384</v>
      </c>
      <c r="L10" s="39" t="s">
        <v>105</v>
      </c>
      <c r="M10" s="748" t="s">
        <v>387</v>
      </c>
      <c r="N10" s="39" t="s">
        <v>105</v>
      </c>
      <c r="O10" s="748" t="s">
        <v>390</v>
      </c>
      <c r="P10" s="39" t="s">
        <v>105</v>
      </c>
      <c r="Q10" s="748" t="s">
        <v>393</v>
      </c>
      <c r="R10" s="39" t="s">
        <v>105</v>
      </c>
      <c r="S10" s="748" t="s">
        <v>396</v>
      </c>
      <c r="T10" s="39" t="s">
        <v>105</v>
      </c>
    </row>
    <row r="11" spans="1:20">
      <c r="A11" s="13" t="s">
        <v>1</v>
      </c>
      <c r="B11" s="3"/>
      <c r="C11" s="4"/>
      <c r="D11" s="56" t="n">
        <f t="shared" ref="D11:I11" si="0">SUM(D12:D13)</f>
        <v>5774.0</v>
      </c>
      <c r="E11" s="57" t="n">
        <f t="shared" si="0"/>
        <v>5740.0</v>
      </c>
      <c r="F11" s="58" t="n">
        <f t="shared" si="0"/>
        <v>5672.0</v>
      </c>
      <c r="G11" s="59" t="n">
        <f t="shared" si="0"/>
        <v>5605.0</v>
      </c>
      <c r="H11" s="60" t="n">
        <f t="shared" si="0"/>
        <v>5536.0</v>
      </c>
      <c r="I11" s="48" t="n">
        <f t="shared" si="0"/>
        <v>5469.0</v>
      </c>
      <c r="J11" s="86" t="n">
        <f>IFERROR((SUM(G11:I11)/3)/F11,"－")</f>
        <v>0.976140103432064</v>
      </c>
      <c r="K11" s="59" t="n">
        <f>SUM(K12:K13)</f>
        <v>5401.0</v>
      </c>
      <c r="L11" s="88" t="n">
        <f>IFERROR(K11/F11,"－")</f>
        <v>0.9522214386459803</v>
      </c>
      <c r="M11" s="59" t="n">
        <f>SUM(M12:M13)</f>
        <v>5009.0</v>
      </c>
      <c r="N11" s="88" t="n">
        <f>IFERROR(M11/F11,"－")</f>
        <v>0.8831100141043724</v>
      </c>
      <c r="O11" s="59" t="n">
        <f>SUM(O12:O13)</f>
        <v>4640.0</v>
      </c>
      <c r="P11" s="88" t="n">
        <f>IFERROR(O11/F11,"－")</f>
        <v>0.8180535966149506</v>
      </c>
      <c r="Q11" s="59" t="n">
        <f>SUM(Q12:Q13)</f>
        <v>4192.0</v>
      </c>
      <c r="R11" s="88" t="n">
        <f>IFERROR(Q11/F11,"－")</f>
        <v>0.7390691114245416</v>
      </c>
      <c r="S11" s="59" t="n">
        <f>SUM(S12:S13)</f>
        <v>3748.0</v>
      </c>
      <c r="T11" s="88" t="n">
        <f>IFERROR(S11/F11,"－")</f>
        <v>0.6607898448519041</v>
      </c>
    </row>
    <row r="12" spans="1:20">
      <c r="A12" s="5"/>
      <c r="B12" s="6" t="s">
        <v>2</v>
      </c>
      <c r="C12" s="555"/>
      <c r="D12" s="55" t="n">
        <v>3270.0</v>
      </c>
      <c r="E12" s="50" t="n">
        <v>3285.0</v>
      </c>
      <c r="F12" s="51" t="n">
        <v>3257.0</v>
      </c>
      <c r="G12" s="52" t="n">
        <v>3231.0</v>
      </c>
      <c r="H12" s="53" t="n">
        <v>3203.0</v>
      </c>
      <c r="I12" s="54" t="n">
        <v>3177.0</v>
      </c>
      <c r="J12" s="86" t="n">
        <f>IFERROR((SUM(G12:I12)/3)/F12,"－")</f>
        <v>0.9836250127929587</v>
      </c>
      <c r="K12" s="61" t="n">
        <v>3149.0</v>
      </c>
      <c r="L12" s="88" t="n">
        <f>IFERROR(K12/F12,"－")</f>
        <v>0.9668406509057414</v>
      </c>
      <c r="M12" s="61" t="n">
        <v>2967.0</v>
      </c>
      <c r="N12" s="88" t="n">
        <f>IFERROR(M12/F12,"－")</f>
        <v>0.9109610070617132</v>
      </c>
      <c r="O12" s="61" t="n">
        <v>2835.0</v>
      </c>
      <c r="P12" s="88" t="n">
        <f>IFERROR(O12/F12,"－")</f>
        <v>0.8704329137242861</v>
      </c>
      <c r="Q12" s="61" t="n">
        <v>2639.0</v>
      </c>
      <c r="R12" s="88" t="n">
        <f>IFERROR(Q12/F12,"－")</f>
        <v>0.8102548357384096</v>
      </c>
      <c r="S12" s="61" t="n">
        <v>2494.0</v>
      </c>
      <c r="T12" s="88" t="n">
        <f>IFERROR(S12/F12,"－")</f>
        <v>0.7657353392692662</v>
      </c>
    </row>
    <row r="13" spans="1:20" ht="14.25" thickBot="1">
      <c r="A13" s="5"/>
      <c r="B13" s="62" t="s">
        <v>3</v>
      </c>
      <c r="C13" s="555"/>
      <c r="D13" s="55" t="n">
        <v>2504.0</v>
      </c>
      <c r="E13" s="50" t="n">
        <v>2455.0</v>
      </c>
      <c r="F13" s="51" t="n">
        <v>2415.0</v>
      </c>
      <c r="G13" s="63" t="n">
        <v>2374.0</v>
      </c>
      <c r="H13" s="50" t="n">
        <v>2333.0</v>
      </c>
      <c r="I13" s="64" t="n">
        <v>2292.0</v>
      </c>
      <c r="J13" s="87" t="n">
        <f>IFERROR((SUM(G13:I13)/3)/F13,"－")</f>
        <v>0.9660455486542443</v>
      </c>
      <c r="K13" s="47" t="n">
        <v>2252.0</v>
      </c>
      <c r="L13" s="89" t="n">
        <f>IFERROR(K13/F13,"－")</f>
        <v>0.9325051759834369</v>
      </c>
      <c r="M13" s="47" t="n">
        <v>2042.0</v>
      </c>
      <c r="N13" s="89" t="n">
        <f>IFERROR(M13/F13,"－")</f>
        <v>0.8455486542443064</v>
      </c>
      <c r="O13" s="47" t="n">
        <v>1805.0</v>
      </c>
      <c r="P13" s="89" t="n">
        <f>IFERROR(O13/F13,"－")</f>
        <v>0.7474120082815735</v>
      </c>
      <c r="Q13" s="47" t="n">
        <v>1553.0</v>
      </c>
      <c r="R13" s="89" t="n">
        <f>IFERROR(Q13/F13,"－")</f>
        <v>0.643064182194617</v>
      </c>
      <c r="S13" s="47" t="n">
        <v>1254.0</v>
      </c>
      <c r="T13" s="89" t="n">
        <f>IFERROR(S13/F13,"－")</f>
        <v>0.5192546583850932</v>
      </c>
    </row>
    <row r="14" spans="1:20" ht="13.5" customHeight="1">
      <c r="A14" s="231"/>
      <c r="B14" s="556"/>
      <c r="C14" s="231"/>
      <c r="D14" s="231"/>
      <c r="E14" s="231"/>
      <c r="F14" s="231"/>
      <c r="G14" s="557" t="s">
        <v>365</v>
      </c>
      <c r="H14" s="231"/>
      <c r="I14" s="231"/>
      <c r="J14" s="231"/>
      <c r="K14" s="635" t="s">
        <v>401</v>
      </c>
      <c r="L14" s="634"/>
      <c r="M14" s="634"/>
    </row>
    <row r="15" spans="1:20">
      <c r="A15" s="190"/>
      <c r="B15" s="193"/>
      <c r="C15" s="190"/>
      <c r="D15" s="190"/>
      <c r="E15" s="190"/>
      <c r="F15" s="190"/>
      <c r="G15" s="558"/>
      <c r="H15" s="558"/>
      <c r="I15" s="558"/>
      <c r="J15" s="558"/>
      <c r="K15" s="634"/>
      <c r="L15" s="634"/>
      <c r="M15" s="634"/>
    </row>
    <row r="16" spans="1:20">
      <c r="A16" s="373" t="s">
        <v>4</v>
      </c>
      <c r="B16" s="193"/>
      <c r="C16" s="190"/>
      <c r="D16" s="190"/>
      <c r="E16" s="190"/>
      <c r="F16" s="190"/>
      <c r="G16" s="190"/>
      <c r="H16" s="190"/>
      <c r="I16" s="190"/>
      <c r="J16" s="190"/>
    </row>
    <row r="17" spans="1:20" ht="14.25" thickBot="1">
      <c r="A17" s="190"/>
      <c r="B17" s="193"/>
      <c r="C17" s="190"/>
      <c r="D17" s="190"/>
      <c r="E17" s="190"/>
      <c r="F17" s="190"/>
      <c r="G17" s="190"/>
      <c r="H17" s="190"/>
      <c r="L17" s="2"/>
      <c r="R17" s="2"/>
      <c r="T17" s="971" t="s">
        <v>331</v>
      </c>
    </row>
    <row r="18" spans="1:20" ht="23.25" thickBot="1">
      <c r="A18" s="1040"/>
      <c r="B18" s="1041"/>
      <c r="C18" s="1042"/>
      <c r="D18" s="377" t="s">
        <v>367</v>
      </c>
      <c r="E18" s="750" t="s">
        <v>366</v>
      </c>
      <c r="F18" s="750" t="s">
        <v>363</v>
      </c>
      <c r="G18" s="748" t="s">
        <v>362</v>
      </c>
      <c r="H18" s="749" t="s">
        <v>361</v>
      </c>
      <c r="I18" s="750" t="s">
        <v>360</v>
      </c>
      <c r="J18" s="38" t="s">
        <v>104</v>
      </c>
      <c r="K18" s="748" t="s">
        <v>384</v>
      </c>
      <c r="L18" s="39" t="s">
        <v>105</v>
      </c>
      <c r="M18" s="748" t="s">
        <v>387</v>
      </c>
      <c r="N18" s="39" t="s">
        <v>105</v>
      </c>
      <c r="O18" s="748" t="s">
        <v>390</v>
      </c>
      <c r="P18" s="39" t="s">
        <v>105</v>
      </c>
      <c r="Q18" s="748" t="s">
        <v>393</v>
      </c>
      <c r="R18" s="39" t="s">
        <v>105</v>
      </c>
      <c r="S18" s="748" t="s">
        <v>396</v>
      </c>
      <c r="T18" s="39" t="s">
        <v>105</v>
      </c>
    </row>
    <row r="19" spans="1:20">
      <c r="A19" s="13" t="s">
        <v>5</v>
      </c>
      <c r="B19" s="14"/>
      <c r="C19" s="4"/>
      <c r="D19" s="59" t="n">
        <f>SUM(D20:D26)</f>
        <v>562.0</v>
      </c>
      <c r="E19" s="60" t="n">
        <f t="shared" ref="E19:I19" si="1">SUM(E20:E26)</f>
        <v>568.0</v>
      </c>
      <c r="F19" s="48" t="n">
        <f t="shared" si="1"/>
        <v>567.0</v>
      </c>
      <c r="G19" s="59" t="n">
        <f t="shared" si="1"/>
        <v>580.0</v>
      </c>
      <c r="H19" s="60" t="n">
        <f t="shared" si="1"/>
        <v>576.0</v>
      </c>
      <c r="I19" s="48" t="n">
        <f t="shared" si="1"/>
        <v>581.0</v>
      </c>
      <c r="J19" s="86" t="n">
        <f t="shared" ref="J19:J34" si="2">IFERROR((SUM(G19:I19)/3)/F19,"－")</f>
        <v>1.0211640211640212</v>
      </c>
      <c r="K19" s="59" t="n">
        <f t="shared" ref="K19:M19" si="3">SUM(K20:K26)</f>
        <v>585.0</v>
      </c>
      <c r="L19" s="88" t="n">
        <f t="shared" ref="L19:L34" si="4">IFERROR(K19/F19,"－")</f>
        <v>1.0317460317460319</v>
      </c>
      <c r="M19" s="59" t="n">
        <f t="shared" si="3"/>
        <v>639.0</v>
      </c>
      <c r="N19" s="88" t="n">
        <f>IFERROR(M19/F19,"－")</f>
        <v>1.126984126984127</v>
      </c>
      <c r="O19" s="59" t="n">
        <f t="shared" ref="O19" si="5">SUM(O20:O26)</f>
        <v>688.0</v>
      </c>
      <c r="P19" s="88" t="n">
        <f>IFERROR(O19/F19,"－")</f>
        <v>1.2134038800705467</v>
      </c>
      <c r="Q19" s="59" t="n">
        <f t="shared" ref="Q19:S19" si="6">SUM(Q20:Q26)</f>
        <v>666.0</v>
      </c>
      <c r="R19" s="88" t="n">
        <f>IFERROR(Q19/F19,"－")</f>
        <v>1.1746031746031746</v>
      </c>
      <c r="S19" s="59" t="n">
        <f t="shared" si="6"/>
        <v>586.0</v>
      </c>
      <c r="T19" s="90" t="n">
        <f t="shared" ref="T19:T34" si="7">IFERROR(S19/F19,"－")</f>
        <v>1.033509700176367</v>
      </c>
    </row>
    <row r="20" spans="1:20">
      <c r="A20" s="13"/>
      <c r="B20" s="7"/>
      <c r="C20" s="8" t="s">
        <v>6</v>
      </c>
      <c r="D20" s="40" t="n">
        <v>27.0</v>
      </c>
      <c r="E20" s="42" t="n">
        <v>33.0</v>
      </c>
      <c r="F20" s="41" t="n">
        <v>33.0</v>
      </c>
      <c r="G20" s="40" t="n">
        <v>34.0</v>
      </c>
      <c r="H20" s="42" t="n">
        <v>33.0</v>
      </c>
      <c r="I20" s="41" t="n">
        <v>33.0</v>
      </c>
      <c r="J20" s="93" t="n">
        <f t="shared" si="2"/>
        <v>1.0101010101010102</v>
      </c>
      <c r="K20" s="46" t="n">
        <v>34.0</v>
      </c>
      <c r="L20" s="90" t="n">
        <f t="shared" si="4"/>
        <v>1.0303030303030303</v>
      </c>
      <c r="M20" s="46" t="n">
        <v>40.0</v>
      </c>
      <c r="N20" s="90" t="n">
        <f t="shared" ref="N20:N34" si="8">IFERROR(M20/F20,"－")</f>
        <v>1.2121212121212122</v>
      </c>
      <c r="O20" s="46" t="n">
        <v>41.0</v>
      </c>
      <c r="P20" s="90" t="n">
        <f t="shared" ref="P20:P34" si="9">IFERROR(O20/F20,"－")</f>
        <v>1.2424242424242424</v>
      </c>
      <c r="Q20" s="46" t="n">
        <v>37.0</v>
      </c>
      <c r="R20" s="90" t="n">
        <f t="shared" ref="R20:R34" si="10">IFERROR(Q20/F20,"－")</f>
        <v>1.121212121212121</v>
      </c>
      <c r="S20" s="46" t="n">
        <v>31.0</v>
      </c>
      <c r="T20" s="90" t="n">
        <f t="shared" si="7"/>
        <v>0.9393939393939394</v>
      </c>
    </row>
    <row r="21" spans="1:20">
      <c r="A21" s="13"/>
      <c r="B21" s="7"/>
      <c r="C21" s="8" t="s">
        <v>7</v>
      </c>
      <c r="D21" s="40" t="n">
        <v>73.0</v>
      </c>
      <c r="E21" s="42" t="n">
        <v>85.0</v>
      </c>
      <c r="F21" s="41" t="n">
        <v>92.0</v>
      </c>
      <c r="G21" s="40" t="n">
        <v>97.0</v>
      </c>
      <c r="H21" s="42" t="n">
        <v>93.0</v>
      </c>
      <c r="I21" s="41" t="n">
        <v>96.0</v>
      </c>
      <c r="J21" s="93" t="n">
        <f t="shared" si="2"/>
        <v>1.036231884057971</v>
      </c>
      <c r="K21" s="46" t="n">
        <v>95.0</v>
      </c>
      <c r="L21" s="90" t="n">
        <f t="shared" si="4"/>
        <v>1.0326086956521738</v>
      </c>
      <c r="M21" s="46" t="n">
        <v>102.0</v>
      </c>
      <c r="N21" s="90" t="n">
        <f t="shared" si="8"/>
        <v>1.108695652173913</v>
      </c>
      <c r="O21" s="46" t="n">
        <v>107.0</v>
      </c>
      <c r="P21" s="90" t="n">
        <f t="shared" si="9"/>
        <v>1.1630434782608696</v>
      </c>
      <c r="Q21" s="46" t="n">
        <v>103.0</v>
      </c>
      <c r="R21" s="90" t="n">
        <f t="shared" si="10"/>
        <v>1.1195652173913044</v>
      </c>
      <c r="S21" s="46" t="n">
        <v>92.0</v>
      </c>
      <c r="T21" s="90" t="n">
        <f t="shared" si="7"/>
        <v>1.0</v>
      </c>
    </row>
    <row r="22" spans="1:20">
      <c r="A22" s="13"/>
      <c r="B22" s="7"/>
      <c r="C22" s="8" t="s">
        <v>8</v>
      </c>
      <c r="D22" s="40" t="n">
        <v>69.0</v>
      </c>
      <c r="E22" s="42" t="n">
        <v>70.0</v>
      </c>
      <c r="F22" s="41" t="n">
        <v>65.0</v>
      </c>
      <c r="G22" s="40" t="n">
        <v>64.0</v>
      </c>
      <c r="H22" s="42" t="n">
        <v>72.0</v>
      </c>
      <c r="I22" s="41" t="n">
        <v>73.0</v>
      </c>
      <c r="J22" s="93" t="n">
        <f t="shared" si="2"/>
        <v>1.0717948717948718</v>
      </c>
      <c r="K22" s="46" t="n">
        <v>75.0</v>
      </c>
      <c r="L22" s="90" t="n">
        <f t="shared" si="4"/>
        <v>1.1538461538461537</v>
      </c>
      <c r="M22" s="46" t="n">
        <v>82.0</v>
      </c>
      <c r="N22" s="90" t="n">
        <f t="shared" si="8"/>
        <v>1.2615384615384615</v>
      </c>
      <c r="O22" s="46" t="n">
        <v>85.0</v>
      </c>
      <c r="P22" s="90" t="n">
        <f t="shared" si="9"/>
        <v>1.3076923076923077</v>
      </c>
      <c r="Q22" s="46" t="n">
        <v>78.0</v>
      </c>
      <c r="R22" s="90" t="n">
        <f t="shared" si="10"/>
        <v>1.2</v>
      </c>
      <c r="S22" s="46" t="n">
        <v>67.0</v>
      </c>
      <c r="T22" s="90" t="n">
        <f t="shared" si="7"/>
        <v>1.0307692307692307</v>
      </c>
    </row>
    <row r="23" spans="1:20">
      <c r="A23" s="13"/>
      <c r="B23" s="7"/>
      <c r="C23" s="8" t="s">
        <v>9</v>
      </c>
      <c r="D23" s="40" t="n">
        <v>126.0</v>
      </c>
      <c r="E23" s="42" t="n">
        <v>116.0</v>
      </c>
      <c r="F23" s="41" t="n">
        <v>97.0</v>
      </c>
      <c r="G23" s="40" t="n">
        <v>98.0</v>
      </c>
      <c r="H23" s="42" t="n">
        <v>91.0</v>
      </c>
      <c r="I23" s="41" t="n">
        <v>93.0</v>
      </c>
      <c r="J23" s="93" t="n">
        <f t="shared" si="2"/>
        <v>0.9690721649484536</v>
      </c>
      <c r="K23" s="46" t="n">
        <v>94.0</v>
      </c>
      <c r="L23" s="90" t="n">
        <f t="shared" si="4"/>
        <v>0.9690721649484536</v>
      </c>
      <c r="M23" s="46" t="n">
        <v>104.0</v>
      </c>
      <c r="N23" s="90" t="n">
        <f t="shared" si="8"/>
        <v>1.0721649484536082</v>
      </c>
      <c r="O23" s="46" t="n">
        <v>108.0</v>
      </c>
      <c r="P23" s="90" t="n">
        <f t="shared" si="9"/>
        <v>1.1134020618556701</v>
      </c>
      <c r="Q23" s="46" t="n">
        <v>102.0</v>
      </c>
      <c r="R23" s="90" t="n">
        <f t="shared" si="10"/>
        <v>1.0515463917525774</v>
      </c>
      <c r="S23" s="46" t="n">
        <v>89.0</v>
      </c>
      <c r="T23" s="90" t="n">
        <f t="shared" si="7"/>
        <v>0.9175257731958762</v>
      </c>
    </row>
    <row r="24" spans="1:20">
      <c r="A24" s="13"/>
      <c r="B24" s="7"/>
      <c r="C24" s="8" t="s">
        <v>10</v>
      </c>
      <c r="D24" s="40" t="n">
        <v>126.0</v>
      </c>
      <c r="E24" s="42" t="n">
        <v>131.0</v>
      </c>
      <c r="F24" s="41" t="n">
        <v>133.0</v>
      </c>
      <c r="G24" s="40" t="n">
        <v>138.0</v>
      </c>
      <c r="H24" s="42" t="n">
        <v>134.0</v>
      </c>
      <c r="I24" s="41" t="n">
        <v>134.0</v>
      </c>
      <c r="J24" s="93" t="n">
        <f t="shared" si="2"/>
        <v>1.0175438596491229</v>
      </c>
      <c r="K24" s="46" t="n">
        <v>133.0</v>
      </c>
      <c r="L24" s="90" t="n">
        <f t="shared" si="4"/>
        <v>1.0</v>
      </c>
      <c r="M24" s="46" t="n">
        <v>149.0</v>
      </c>
      <c r="N24" s="90" t="n">
        <f t="shared" si="8"/>
        <v>1.1203007518796992</v>
      </c>
      <c r="O24" s="46" t="n">
        <v>164.0</v>
      </c>
      <c r="P24" s="90" t="n">
        <f t="shared" si="9"/>
        <v>1.2330827067669172</v>
      </c>
      <c r="Q24" s="46" t="n">
        <v>164.0</v>
      </c>
      <c r="R24" s="90" t="n">
        <f t="shared" si="10"/>
        <v>1.2330827067669172</v>
      </c>
      <c r="S24" s="46" t="n">
        <v>143.0</v>
      </c>
      <c r="T24" s="90" t="n">
        <f t="shared" si="7"/>
        <v>1.0751879699248121</v>
      </c>
    </row>
    <row r="25" spans="1:20">
      <c r="A25" s="13"/>
      <c r="B25" s="7"/>
      <c r="C25" s="8" t="s">
        <v>11</v>
      </c>
      <c r="D25" s="40" t="n">
        <v>89.0</v>
      </c>
      <c r="E25" s="42" t="n">
        <v>84.0</v>
      </c>
      <c r="F25" s="41" t="n">
        <v>98.0</v>
      </c>
      <c r="G25" s="40" t="n">
        <v>99.0</v>
      </c>
      <c r="H25" s="42" t="n">
        <v>103.0</v>
      </c>
      <c r="I25" s="41" t="n">
        <v>102.0</v>
      </c>
      <c r="J25" s="93" t="n">
        <f t="shared" si="2"/>
        <v>1.034013605442177</v>
      </c>
      <c r="K25" s="46" t="n">
        <v>103.0</v>
      </c>
      <c r="L25" s="90" t="n">
        <f t="shared" si="4"/>
        <v>1.0510204081632653</v>
      </c>
      <c r="M25" s="46" t="n">
        <v>110.0</v>
      </c>
      <c r="N25" s="90" t="n">
        <f t="shared" si="8"/>
        <v>1.1224489795918366</v>
      </c>
      <c r="O25" s="46" t="n">
        <v>122.0</v>
      </c>
      <c r="P25" s="90" t="n">
        <f t="shared" si="9"/>
        <v>1.2448979591836735</v>
      </c>
      <c r="Q25" s="46" t="n">
        <v>119.0</v>
      </c>
      <c r="R25" s="90" t="n">
        <f t="shared" si="10"/>
        <v>1.2142857142857142</v>
      </c>
      <c r="S25" s="46" t="n">
        <v>107.0</v>
      </c>
      <c r="T25" s="90" t="n">
        <f t="shared" si="7"/>
        <v>1.0918367346938775</v>
      </c>
    </row>
    <row r="26" spans="1:20">
      <c r="A26" s="232"/>
      <c r="B26" s="559"/>
      <c r="C26" s="8" t="s">
        <v>12</v>
      </c>
      <c r="D26" s="40" t="n">
        <v>52.0</v>
      </c>
      <c r="E26" s="42" t="n">
        <v>49.0</v>
      </c>
      <c r="F26" s="41" t="n">
        <v>49.0</v>
      </c>
      <c r="G26" s="40" t="n">
        <v>50.0</v>
      </c>
      <c r="H26" s="42" t="n">
        <v>50.0</v>
      </c>
      <c r="I26" s="41" t="n">
        <v>50.0</v>
      </c>
      <c r="J26" s="93" t="n">
        <f t="shared" si="2"/>
        <v>1.0204081632653061</v>
      </c>
      <c r="K26" s="46" t="n">
        <v>51.0</v>
      </c>
      <c r="L26" s="90" t="n">
        <f t="shared" si="4"/>
        <v>1.0408163265306123</v>
      </c>
      <c r="M26" s="46" t="n">
        <v>52.0</v>
      </c>
      <c r="N26" s="90" t="n">
        <f t="shared" si="8"/>
        <v>1.0612244897959184</v>
      </c>
      <c r="O26" s="46" t="n">
        <v>61.0</v>
      </c>
      <c r="P26" s="90" t="n">
        <f t="shared" si="9"/>
        <v>1.2448979591836735</v>
      </c>
      <c r="Q26" s="46" t="n">
        <v>63.0</v>
      </c>
      <c r="R26" s="90" t="n">
        <f t="shared" si="10"/>
        <v>1.2857142857142858</v>
      </c>
      <c r="S26" s="46" t="n">
        <v>57.0</v>
      </c>
      <c r="T26" s="90" t="n">
        <f t="shared" si="7"/>
        <v>1.163265306122449</v>
      </c>
    </row>
    <row r="27" spans="1:20">
      <c r="A27" s="208"/>
      <c r="B27" s="9" t="s">
        <v>13</v>
      </c>
      <c r="C27" s="10"/>
      <c r="D27" s="65" t="n">
        <f t="shared" ref="D27:K27" si="11">SUM(D28:D34)</f>
        <v>554.0</v>
      </c>
      <c r="E27" s="66" t="n">
        <f t="shared" si="11"/>
        <v>560.0</v>
      </c>
      <c r="F27" s="49" t="n">
        <f t="shared" si="11"/>
        <v>562.0</v>
      </c>
      <c r="G27" s="65" t="n">
        <f t="shared" si="11"/>
        <v>575.0</v>
      </c>
      <c r="H27" s="66" t="n">
        <f t="shared" si="11"/>
        <v>571.0</v>
      </c>
      <c r="I27" s="49" t="n">
        <f t="shared" si="11"/>
        <v>576.0</v>
      </c>
      <c r="J27" s="94" t="n">
        <f t="shared" si="2"/>
        <v>1.0213523131672597</v>
      </c>
      <c r="K27" s="67" t="n">
        <f t="shared" si="11"/>
        <v>580.0</v>
      </c>
      <c r="L27" s="91" t="n">
        <f t="shared" si="4"/>
        <v>1.0320284697508897</v>
      </c>
      <c r="M27" s="67" t="n">
        <f t="shared" ref="M27" si="12">SUM(M28:M34)</f>
        <v>634.0</v>
      </c>
      <c r="N27" s="91" t="n">
        <f t="shared" si="8"/>
        <v>1.1281138790035588</v>
      </c>
      <c r="O27" s="67" t="n">
        <f t="shared" ref="O27" si="13">SUM(O28:O34)</f>
        <v>683.0</v>
      </c>
      <c r="P27" s="91" t="n">
        <f t="shared" si="9"/>
        <v>1.2153024911032029</v>
      </c>
      <c r="Q27" s="67" t="n">
        <f t="shared" ref="Q27:S27" si="14">SUM(Q28:Q34)</f>
        <v>662.0</v>
      </c>
      <c r="R27" s="91" t="n">
        <f t="shared" si="10"/>
        <v>1.1779359430604983</v>
      </c>
      <c r="S27" s="67" t="n">
        <f t="shared" si="14"/>
        <v>584.0</v>
      </c>
      <c r="T27" s="90" t="n">
        <f t="shared" si="7"/>
        <v>1.0391459074733096</v>
      </c>
    </row>
    <row r="28" spans="1:20">
      <c r="A28" s="5"/>
      <c r="B28" s="11"/>
      <c r="C28" s="8" t="s">
        <v>6</v>
      </c>
      <c r="D28" s="40" t="n">
        <v>27.0</v>
      </c>
      <c r="E28" s="42" t="n">
        <v>33.0</v>
      </c>
      <c r="F28" s="41" t="n">
        <v>33.0</v>
      </c>
      <c r="G28" s="40" t="n">
        <v>34.0</v>
      </c>
      <c r="H28" s="42" t="n">
        <v>33.0</v>
      </c>
      <c r="I28" s="41" t="n">
        <v>33.0</v>
      </c>
      <c r="J28" s="93" t="n">
        <f t="shared" si="2"/>
        <v>1.0101010101010102</v>
      </c>
      <c r="K28" s="46" t="n">
        <v>34.0</v>
      </c>
      <c r="L28" s="90" t="n">
        <f t="shared" si="4"/>
        <v>1.0303030303030303</v>
      </c>
      <c r="M28" s="46" t="n">
        <v>40.0</v>
      </c>
      <c r="N28" s="90" t="n">
        <f t="shared" si="8"/>
        <v>1.2121212121212122</v>
      </c>
      <c r="O28" s="46" t="n">
        <v>41.0</v>
      </c>
      <c r="P28" s="90" t="n">
        <f t="shared" si="9"/>
        <v>1.2424242424242424</v>
      </c>
      <c r="Q28" s="46" t="n">
        <v>37.0</v>
      </c>
      <c r="R28" s="90" t="n">
        <f t="shared" si="10"/>
        <v>1.121212121212121</v>
      </c>
      <c r="S28" s="46" t="n">
        <v>31.0</v>
      </c>
      <c r="T28" s="90" t="n">
        <f t="shared" si="7"/>
        <v>0.9393939393939394</v>
      </c>
    </row>
    <row r="29" spans="1:20">
      <c r="A29" s="5"/>
      <c r="B29" s="11"/>
      <c r="C29" s="8" t="s">
        <v>7</v>
      </c>
      <c r="D29" s="40" t="n">
        <v>72.0</v>
      </c>
      <c r="E29" s="42" t="n">
        <v>84.0</v>
      </c>
      <c r="F29" s="41" t="n">
        <v>91.0</v>
      </c>
      <c r="G29" s="40" t="n">
        <v>96.0</v>
      </c>
      <c r="H29" s="42" t="n">
        <v>92.0</v>
      </c>
      <c r="I29" s="41" t="n">
        <v>95.0</v>
      </c>
      <c r="J29" s="93" t="n">
        <f t="shared" si="2"/>
        <v>1.0366300366300365</v>
      </c>
      <c r="K29" s="46" t="n">
        <v>94.0</v>
      </c>
      <c r="L29" s="90" t="n">
        <f t="shared" si="4"/>
        <v>1.032967032967033</v>
      </c>
      <c r="M29" s="46" t="n">
        <v>101.0</v>
      </c>
      <c r="N29" s="90" t="n">
        <f t="shared" si="8"/>
        <v>1.10989010989011</v>
      </c>
      <c r="O29" s="46" t="n">
        <v>106.0</v>
      </c>
      <c r="P29" s="90" t="n">
        <f t="shared" si="9"/>
        <v>1.164835164835165</v>
      </c>
      <c r="Q29" s="46" t="n">
        <v>102.0</v>
      </c>
      <c r="R29" s="90" t="n">
        <f t="shared" si="10"/>
        <v>1.120879120879121</v>
      </c>
      <c r="S29" s="46" t="n">
        <v>92.0</v>
      </c>
      <c r="T29" s="90" t="n">
        <f t="shared" si="7"/>
        <v>1.010989010989011</v>
      </c>
    </row>
    <row r="30" spans="1:20">
      <c r="A30" s="208"/>
      <c r="B30" s="560"/>
      <c r="C30" s="8" t="s">
        <v>8</v>
      </c>
      <c r="D30" s="40" t="n">
        <v>68.0</v>
      </c>
      <c r="E30" s="42" t="n">
        <v>69.0</v>
      </c>
      <c r="F30" s="41" t="n">
        <v>65.0</v>
      </c>
      <c r="G30" s="40" t="n">
        <v>64.0</v>
      </c>
      <c r="H30" s="42" t="n">
        <v>72.0</v>
      </c>
      <c r="I30" s="41" t="n">
        <v>73.0</v>
      </c>
      <c r="J30" s="93" t="n">
        <f t="shared" si="2"/>
        <v>1.0717948717948718</v>
      </c>
      <c r="K30" s="46" t="n">
        <v>75.0</v>
      </c>
      <c r="L30" s="90" t="n">
        <f t="shared" si="4"/>
        <v>1.1538461538461537</v>
      </c>
      <c r="M30" s="46" t="n">
        <v>82.0</v>
      </c>
      <c r="N30" s="90" t="n">
        <f t="shared" si="8"/>
        <v>1.2615384615384615</v>
      </c>
      <c r="O30" s="46" t="n">
        <v>85.0</v>
      </c>
      <c r="P30" s="90" t="n">
        <f t="shared" si="9"/>
        <v>1.3076923076923077</v>
      </c>
      <c r="Q30" s="46" t="n">
        <v>78.0</v>
      </c>
      <c r="R30" s="90" t="n">
        <f t="shared" si="10"/>
        <v>1.2</v>
      </c>
      <c r="S30" s="46" t="n">
        <v>67.0</v>
      </c>
      <c r="T30" s="90" t="n">
        <f t="shared" si="7"/>
        <v>1.0307692307692307</v>
      </c>
    </row>
    <row r="31" spans="1:20">
      <c r="A31" s="208"/>
      <c r="B31" s="560"/>
      <c r="C31" s="8" t="s">
        <v>9</v>
      </c>
      <c r="D31" s="40" t="n">
        <v>124.0</v>
      </c>
      <c r="E31" s="42" t="n">
        <v>115.0</v>
      </c>
      <c r="F31" s="41" t="n">
        <v>97.0</v>
      </c>
      <c r="G31" s="40" t="n">
        <v>98.0</v>
      </c>
      <c r="H31" s="42" t="n">
        <v>91.0</v>
      </c>
      <c r="I31" s="41" t="n">
        <v>93.0</v>
      </c>
      <c r="J31" s="93" t="n">
        <f t="shared" si="2"/>
        <v>0.9690721649484536</v>
      </c>
      <c r="K31" s="46" t="n">
        <v>94.0</v>
      </c>
      <c r="L31" s="90" t="n">
        <f t="shared" si="4"/>
        <v>0.9690721649484536</v>
      </c>
      <c r="M31" s="46" t="n">
        <v>104.0</v>
      </c>
      <c r="N31" s="90" t="n">
        <f t="shared" si="8"/>
        <v>1.0721649484536082</v>
      </c>
      <c r="O31" s="46" t="n">
        <v>108.0</v>
      </c>
      <c r="P31" s="90" t="n">
        <f t="shared" si="9"/>
        <v>1.1134020618556701</v>
      </c>
      <c r="Q31" s="46" t="n">
        <v>102.0</v>
      </c>
      <c r="R31" s="90" t="n">
        <f t="shared" si="10"/>
        <v>1.0515463917525774</v>
      </c>
      <c r="S31" s="46" t="n">
        <v>89.0</v>
      </c>
      <c r="T31" s="90" t="n">
        <f t="shared" si="7"/>
        <v>0.9175257731958762</v>
      </c>
    </row>
    <row r="32" spans="1:20">
      <c r="A32" s="208"/>
      <c r="B32" s="560"/>
      <c r="C32" s="8" t="s">
        <v>10</v>
      </c>
      <c r="D32" s="40" t="n">
        <v>125.0</v>
      </c>
      <c r="E32" s="42" t="n">
        <v>128.0</v>
      </c>
      <c r="F32" s="41" t="n">
        <v>131.0</v>
      </c>
      <c r="G32" s="40" t="n">
        <v>136.0</v>
      </c>
      <c r="H32" s="42" t="n">
        <v>132.0</v>
      </c>
      <c r="I32" s="41" t="n">
        <v>132.0</v>
      </c>
      <c r="J32" s="93" t="n">
        <f t="shared" si="2"/>
        <v>1.0178117048346056</v>
      </c>
      <c r="K32" s="46" t="n">
        <v>131.0</v>
      </c>
      <c r="L32" s="90" t="n">
        <f t="shared" si="4"/>
        <v>1.0</v>
      </c>
      <c r="M32" s="46" t="n">
        <v>147.0</v>
      </c>
      <c r="N32" s="90" t="n">
        <f t="shared" si="8"/>
        <v>1.1221374045801527</v>
      </c>
      <c r="O32" s="46" t="n">
        <v>162.0</v>
      </c>
      <c r="P32" s="90" t="n">
        <f t="shared" si="9"/>
        <v>1.2366412213740459</v>
      </c>
      <c r="Q32" s="46" t="n">
        <v>162.0</v>
      </c>
      <c r="R32" s="90" t="n">
        <f t="shared" si="10"/>
        <v>1.2366412213740459</v>
      </c>
      <c r="S32" s="46" t="n">
        <v>142.0</v>
      </c>
      <c r="T32" s="90" t="n">
        <f t="shared" si="7"/>
        <v>1.083969465648855</v>
      </c>
    </row>
    <row r="33" spans="1:20">
      <c r="A33" s="208"/>
      <c r="B33" s="560"/>
      <c r="C33" s="8" t="s">
        <v>11</v>
      </c>
      <c r="D33" s="40" t="n">
        <v>87.0</v>
      </c>
      <c r="E33" s="42" t="n">
        <v>83.0</v>
      </c>
      <c r="F33" s="41" t="n">
        <v>98.0</v>
      </c>
      <c r="G33" s="40" t="n">
        <v>99.0</v>
      </c>
      <c r="H33" s="42" t="n">
        <v>103.0</v>
      </c>
      <c r="I33" s="41" t="n">
        <v>102.0</v>
      </c>
      <c r="J33" s="93" t="n">
        <f t="shared" si="2"/>
        <v>1.034013605442177</v>
      </c>
      <c r="K33" s="46" t="n">
        <v>103.0</v>
      </c>
      <c r="L33" s="90" t="n">
        <f t="shared" si="4"/>
        <v>1.0510204081632653</v>
      </c>
      <c r="M33" s="46" t="n">
        <v>110.0</v>
      </c>
      <c r="N33" s="90" t="n">
        <f t="shared" si="8"/>
        <v>1.1224489795918366</v>
      </c>
      <c r="O33" s="46" t="n">
        <v>122.0</v>
      </c>
      <c r="P33" s="90" t="n">
        <f t="shared" si="9"/>
        <v>1.2448979591836735</v>
      </c>
      <c r="Q33" s="46" t="n">
        <v>119.0</v>
      </c>
      <c r="R33" s="90" t="n">
        <f t="shared" si="10"/>
        <v>1.2142857142857142</v>
      </c>
      <c r="S33" s="46" t="n">
        <v>107.0</v>
      </c>
      <c r="T33" s="90" t="n">
        <f t="shared" si="7"/>
        <v>1.0918367346938775</v>
      </c>
    </row>
    <row r="34" spans="1:20" ht="14.25" thickBot="1">
      <c r="A34" s="561"/>
      <c r="B34" s="562"/>
      <c r="C34" s="12" t="s">
        <v>12</v>
      </c>
      <c r="D34" s="43" t="n">
        <v>51.0</v>
      </c>
      <c r="E34" s="44" t="n">
        <v>48.0</v>
      </c>
      <c r="F34" s="45" t="n">
        <v>47.0</v>
      </c>
      <c r="G34" s="43" t="n">
        <v>48.0</v>
      </c>
      <c r="H34" s="44" t="n">
        <v>48.0</v>
      </c>
      <c r="I34" s="45" t="n">
        <v>48.0</v>
      </c>
      <c r="J34" s="95" t="n">
        <f t="shared" si="2"/>
        <v>1.0212765957446808</v>
      </c>
      <c r="K34" s="47" t="n">
        <v>49.0</v>
      </c>
      <c r="L34" s="92" t="n">
        <f t="shared" si="4"/>
        <v>1.0425531914893618</v>
      </c>
      <c r="M34" s="47" t="n">
        <v>50.0</v>
      </c>
      <c r="N34" s="92" t="n">
        <f t="shared" si="8"/>
        <v>1.0638297872340425</v>
      </c>
      <c r="O34" s="47" t="n">
        <v>59.0</v>
      </c>
      <c r="P34" s="92" t="n">
        <f t="shared" si="9"/>
        <v>1.2553191489361701</v>
      </c>
      <c r="Q34" s="47" t="n">
        <v>62.0</v>
      </c>
      <c r="R34" s="92" t="n">
        <f t="shared" si="10"/>
        <v>1.3191489361702127</v>
      </c>
      <c r="S34" s="47" t="n">
        <v>56.0</v>
      </c>
      <c r="T34" s="92" t="n">
        <f t="shared" si="7"/>
        <v>1.1914893617021276</v>
      </c>
    </row>
    <row r="35" spans="1:20" ht="13.5" customHeight="1">
      <c r="A35" s="190"/>
      <c r="B35" s="193"/>
      <c r="C35" s="1"/>
      <c r="D35" s="26"/>
      <c r="E35" s="26"/>
      <c r="F35" s="27"/>
      <c r="G35" s="557" t="s">
        <v>365</v>
      </c>
      <c r="H35" s="231"/>
      <c r="I35" s="231"/>
      <c r="J35" s="231"/>
      <c r="K35" s="635" t="s">
        <v>400</v>
      </c>
      <c r="L35" s="635"/>
      <c r="M35" s="635"/>
    </row>
    <row r="36" spans="1:20">
      <c r="A36" s="190"/>
      <c r="B36" s="193"/>
      <c r="C36" s="190"/>
      <c r="D36" s="190"/>
      <c r="E36" s="190"/>
      <c r="F36" s="190"/>
      <c r="G36" s="558"/>
      <c r="H36" s="558"/>
      <c r="I36" s="558"/>
      <c r="J36" s="558"/>
      <c r="K36" s="635"/>
      <c r="L36" s="635"/>
      <c r="M36" s="635"/>
    </row>
    <row r="37" spans="1:20">
      <c r="A37" s="373" t="s">
        <v>14</v>
      </c>
      <c r="B37" s="193"/>
      <c r="C37" s="190"/>
      <c r="D37" s="190"/>
      <c r="E37" s="190"/>
      <c r="F37" s="190"/>
      <c r="G37" s="190"/>
      <c r="H37" s="190"/>
      <c r="I37" s="190"/>
      <c r="J37" s="190"/>
    </row>
    <row r="38" spans="1:20" ht="14.25" thickBot="1">
      <c r="A38" s="190"/>
      <c r="B38" s="193"/>
      <c r="C38" s="190"/>
      <c r="D38" s="190"/>
      <c r="E38" s="190"/>
      <c r="F38" s="190"/>
      <c r="G38" s="190"/>
      <c r="H38" s="190"/>
      <c r="L38" s="2"/>
      <c r="R38" s="2"/>
      <c r="T38" s="2" t="s">
        <v>63</v>
      </c>
    </row>
    <row r="39" spans="1:20" ht="23.25" thickBot="1">
      <c r="A39" s="29"/>
      <c r="B39" s="375"/>
      <c r="C39" s="376"/>
      <c r="D39" s="377" t="s">
        <v>367</v>
      </c>
      <c r="E39" s="750" t="s">
        <v>366</v>
      </c>
      <c r="F39" s="563" t="s">
        <v>363</v>
      </c>
      <c r="G39" s="378" t="s">
        <v>362</v>
      </c>
      <c r="H39" s="749" t="s">
        <v>361</v>
      </c>
      <c r="I39" s="750" t="s">
        <v>360</v>
      </c>
      <c r="J39" s="39" t="s">
        <v>104</v>
      </c>
      <c r="K39" s="748" t="s">
        <v>384</v>
      </c>
      <c r="L39" s="39" t="s">
        <v>105</v>
      </c>
      <c r="M39" s="748" t="s">
        <v>387</v>
      </c>
      <c r="N39" s="39" t="s">
        <v>105</v>
      </c>
      <c r="O39" s="748" t="s">
        <v>390</v>
      </c>
      <c r="P39" s="39" t="s">
        <v>105</v>
      </c>
      <c r="Q39" s="748" t="s">
        <v>393</v>
      </c>
      <c r="R39" s="39" t="s">
        <v>105</v>
      </c>
      <c r="S39" s="748" t="s">
        <v>396</v>
      </c>
      <c r="T39" s="39" t="s">
        <v>105</v>
      </c>
    </row>
    <row r="40" spans="1:20">
      <c r="A40" s="564" t="s">
        <v>76</v>
      </c>
      <c r="B40" s="526"/>
      <c r="C40" s="565"/>
      <c r="D40" s="69" t="n">
        <f>('2_サービス別給付費'!D12+'2_サービス別給付費'!D14+'2_サービス別給付費'!D17+'2_サービス別給付費'!D20+'2_サービス別給付費'!D23+'2_サービス別給付費'!D25+'2_サービス別給付費'!D27+'2_サービス別給付費'!D29+'2_サービス別給付費'!D32+'2_サービス別給付費'!D35+'2_サービス別給付費'!D38+'2_サービス別給付費'!D41+'2_サービス別給付費'!D43+'2_サービス別給付費'!D45+'2_サービス別給付費'!D50+'2_サービス別給付費'!D53+'2_サービス別給付費'!D57)</f>
        <v>27005.507</v>
      </c>
      <c r="E40" s="68" t="n">
        <f>('2_サービス別給付費'!E12+'2_サービス別給付費'!E14+'2_サービス別給付費'!E17+'2_サービス別給付費'!E20+'2_サービス別給付費'!E23+'2_サービス別給付費'!E25+'2_サービス別給付費'!E27+'2_サービス別給付費'!E29+'2_サービス別給付費'!E32+'2_サービス別給付費'!E35+'2_サービス別給付費'!E38+'2_サービス別給付費'!E41+'2_サービス別給付費'!E43+'2_サービス別給付費'!E45+'2_サービス別給付費'!E50+'2_サービス別給付費'!E53+'2_サービス別給付費'!E57)</f>
        <v>27938.341000000004</v>
      </c>
      <c r="F40" s="178" t="n">
        <f>('2_サービス別給付費'!F12+'2_サービス別給付費'!F14+'2_サービス別給付費'!F17+'2_サービス別給付費'!F20+'2_サービス別給付費'!F23+'2_サービス別給付費'!F25+'2_サービス別給付費'!F27+'2_サービス別給付費'!F29+'2_サービス別給付費'!F32+'2_サービス別給付費'!F35+'2_サービス別給付費'!F38+'2_サービス別給付費'!F41+'2_サービス別給付費'!F43+'2_サービス別給付費'!F45+'2_サービス別給付費'!F50+'2_サービス別給付費'!F53+'2_サービス別給付費'!F57)</f>
        <v>26302.5204</v>
      </c>
      <c r="G40" s="70" t="n">
        <f>('2_サービス別給付費'!G12+'2_サービス別給付費'!G14+'2_サービス別給付費'!G17+'2_サービス別給付費'!G20+'2_サービス別給付費'!G23+'2_サービス別給付費'!G25+'2_サービス別給付費'!G27+'2_サービス別給付費'!G29+'2_サービス別給付費'!G32+'2_サービス別給付費'!G35+'2_サービス別給付費'!G38+'2_サービス別給付費'!G41+'2_サービス別給付費'!G43+'2_サービス別給付費'!G45+'2_サービス別給付費'!G50+'2_サービス別給付費'!G53+'2_サービス別給付費'!G57)</f>
        <v>28331.0</v>
      </c>
      <c r="H40" s="68" t="n">
        <f>('2_サービス別給付費'!H12+'2_サービス別給付費'!H14+'2_サービス別給付費'!H17+'2_サービス別給付費'!H20+'2_サービス別給付費'!H23+'2_サービス別給付費'!H25+'2_サービス別給付費'!H27+'2_サービス別給付費'!H29+'2_サービス別給付費'!H32+'2_サービス別給付費'!H35+'2_サービス別給付費'!H38+'2_サービス別給付費'!H41+'2_サービス別給付費'!H43+'2_サービス別給付費'!H45+'2_サービス別給付費'!H50+'2_サービス別給付費'!H53+'2_サービス別給付費'!H57+'2_サービス別給付費'!H59)</f>
        <v>27269.0</v>
      </c>
      <c r="I40" s="68" t="n">
        <f>('2_サービス別給付費'!I12+'2_サービス別給付費'!I14+'2_サービス別給付費'!I17+'2_サービス別給付費'!I20+'2_サービス別給付費'!I23+'2_サービス別給付費'!I25+'2_サービス別給付費'!I27+'2_サービス別給付費'!I29+'2_サービス別給付費'!I32+'2_サービス別給付費'!I35+'2_サービス別給付費'!I38+'2_サービス別給付費'!I41+'2_サービス別給付費'!I43+'2_サービス別給付費'!I45+'2_サービス別給付費'!I50+'2_サービス別給付費'!I53+'2_サービス別給付費'!I57+'2_サービス別給付費'!I59)</f>
        <v>27965.0</v>
      </c>
      <c r="J40" s="96" t="n">
        <f>IFERROR((SUM(G40:I40)/3)/F40,"－")</f>
        <v>1.0590239861576154</v>
      </c>
      <c r="K40" s="70" t="n">
        <f>('2_サービス別給付費'!K12+'2_サービス別給付費'!K14+'2_サービス別給付費'!K17+'2_サービス別給付費'!K20+'2_サービス別給付費'!K23+'2_サービス別給付費'!K25+'2_サービス別給付費'!K27+'2_サービス別給付費'!K29+'2_サービス別給付費'!K32+'2_サービス別給付費'!K35+'2_サービス別給付費'!K38+'2_サービス別給付費'!K41+'2_サービス別給付費'!K43+'2_サービス別給付費'!K45+'2_サービス別給付費'!K50+'2_サービス別給付費'!K53+'2_サービス別給付費'!K57+'2_サービス別給付費'!K59)</f>
        <v>28024.0</v>
      </c>
      <c r="L40" s="96" t="n">
        <f>IFERROR(K40/F40,"－")</f>
        <v>1.065449225922851</v>
      </c>
      <c r="M40" s="756" t="n">
        <f>('2_サービス別給付費'!M12+'2_サービス別給付費'!M14+'2_サービス別給付費'!M17+'2_サービス別給付費'!M20+'2_サービス別給付費'!M23+'2_サービス別給付費'!M25+'2_サービス別給付費'!M27+'2_サービス別給付費'!M29+'2_サービス別給付費'!M32+'2_サービス別給付費'!M35+'2_サービス別給付費'!M38+'2_サービス別給付費'!M41+'2_サービス別給付費'!M43+'2_サービス別給付費'!M45+'2_サービス別給付費'!M50+'2_サービス別給付費'!M53+'2_サービス別給付費'!M57+'2_サービス別給付費'!M59)</f>
        <v>30145.0</v>
      </c>
      <c r="N40" s="610" t="n">
        <f>IFERROR(M40/F40,"－")</f>
        <v>1.146087885935068</v>
      </c>
      <c r="O40" s="756" t="n">
        <f>('2_サービス別給付費'!O12+'2_サービス別給付費'!O14+'2_サービス別給付費'!O17+'2_サービス別給付費'!O20+'2_サービス別給付費'!O23+'2_サービス別給付費'!O25+'2_サービス別給付費'!O27+'2_サービス別給付費'!O29+'2_サービス別給付費'!O32+'2_サービス別給付費'!O35+'2_サービス別給付費'!O38+'2_サービス別給付費'!O41+'2_サービス別給付費'!O43+'2_サービス別給付費'!O45+'2_サービス別給付費'!O50+'2_サービス別給付費'!O53+'2_サービス別給付費'!O57+'2_サービス別給付費'!O59)</f>
        <v>31301.0</v>
      </c>
      <c r="P40" s="610" t="n">
        <f>IFERROR(O40/F40,"－")</f>
        <v>1.1900380466960876</v>
      </c>
      <c r="Q40" s="756" t="n">
        <f>('2_サービス別給付費'!Q12+'2_サービス別給付費'!Q14+'2_サービス別給付費'!Q17+'2_サービス別給付費'!Q20+'2_サービス別給付費'!Q23+'2_サービス別給付費'!Q25+'2_サービス別給付費'!Q27+'2_サービス別給付費'!Q29+'2_サービス別給付費'!Q32+'2_サービス別給付費'!Q35+'2_サービス別給付費'!Q38+'2_サービス別給付費'!Q41+'2_サービス別給付費'!Q43+'2_サービス別給付費'!Q45+'2_サービス別給付費'!Q50+'2_サービス別給付費'!Q53+'2_サービス別給付費'!Q57+'2_サービス別給付費'!Q59)</f>
        <v>29982.0</v>
      </c>
      <c r="R40" s="610" t="n">
        <f>IFERROR(Q40/F40,"－")</f>
        <v>1.1398907611910833</v>
      </c>
      <c r="S40" s="756" t="n">
        <f>('2_サービス別給付費'!S12+'2_サービス別給付費'!S14+'2_サービス別給付費'!S17+'2_サービス別給付費'!S20+'2_サービス別給付費'!S23+'2_サービス別給付費'!S25+'2_サービス別給付費'!S27+'2_サービス別給付費'!S29+'2_サービス別給付費'!S32+'2_サービス別給付費'!S35+'2_サービス別給付費'!S38+'2_サービス別給付費'!S41+'2_サービス別給付費'!S43+'2_サービス別給付費'!S45+'2_サービス別給付費'!S50+'2_サービス別給付費'!S53+'2_サービス別給付費'!S57+'2_サービス別給付費'!S59)</f>
        <v>26805.0</v>
      </c>
      <c r="T40" s="610" t="n">
        <f>IFERROR(S40/F40,"－")</f>
        <v>1.0191038574386961</v>
      </c>
    </row>
    <row r="41" spans="1:20" ht="14.25" thickBot="1">
      <c r="A41" s="566" t="s">
        <v>78</v>
      </c>
      <c r="B41" s="567"/>
      <c r="C41" s="568"/>
      <c r="D41" s="71" t="n">
        <f>('2_サービス別給付費'!D47+'2_サービス別給付費'!D55)</f>
        <v>0.0</v>
      </c>
      <c r="E41" s="72" t="n">
        <f>('2_サービス別給付費'!E47+'2_サービス別給付費'!E55)</f>
        <v>4349.2970000000005</v>
      </c>
      <c r="F41" s="179" t="n">
        <f>('2_サービス別給付費'!F47+'2_サービス別給付費'!F55)</f>
        <v>3086.664</v>
      </c>
      <c r="G41" s="73" t="n">
        <f>('2_サービス別給付費'!G47+'2_サービス別給付費'!G55)</f>
        <v>3070.0</v>
      </c>
      <c r="H41" s="72" t="n">
        <f>('2_サービス別給付費'!H47+'2_サービス別給付費'!H55)</f>
        <v>3070.0</v>
      </c>
      <c r="I41" s="72" t="n">
        <f>('2_サービス別給付費'!I47+'2_サービス別給付費'!I55)</f>
        <v>3070.0</v>
      </c>
      <c r="J41" s="97" t="n">
        <f>IFERROR((SUM(G41:I41)/3)/F41,"－")</f>
        <v>0.994601291232217</v>
      </c>
      <c r="K41" s="73" t="n">
        <f>('2_サービス別給付費'!K47+'2_サービス別給付費'!K55)</f>
        <v>3070.0</v>
      </c>
      <c r="L41" s="97" t="n">
        <f>IFERROR(K41/F41,"－")</f>
        <v>0.994601291232217</v>
      </c>
      <c r="M41" s="757" t="n">
        <f>('2_サービス別給付費'!M47+'2_サービス別給付費'!M55)</f>
        <v>3070.0</v>
      </c>
      <c r="N41" s="456" t="n">
        <f t="shared" ref="N41:N42" si="15">IFERROR(M41/F41,"－")</f>
        <v>0.994601291232217</v>
      </c>
      <c r="O41" s="757" t="n">
        <f>('2_サービス別給付費'!O47+'2_サービス別給付費'!O55)</f>
        <v>3070.0</v>
      </c>
      <c r="P41" s="456" t="n">
        <f t="shared" ref="P41:P42" si="16">IFERROR(O41/F41,"－")</f>
        <v>0.994601291232217</v>
      </c>
      <c r="Q41" s="757" t="n">
        <f>('2_サービス別給付費'!Q47+'2_サービス別給付費'!Q55)</f>
        <v>3070.0</v>
      </c>
      <c r="R41" s="456" t="n">
        <f t="shared" ref="R41:R42" si="17">IFERROR(Q41/F41,"－")</f>
        <v>0.994601291232217</v>
      </c>
      <c r="S41" s="757" t="n">
        <f>('2_サービス別給付費'!S47+'2_サービス別給付費'!S55)</f>
        <v>3070.0</v>
      </c>
      <c r="T41" s="456" t="n">
        <f>IFERROR(S41/F41,"－")</f>
        <v>0.994601291232217</v>
      </c>
    </row>
    <row r="42" spans="1:20" ht="14.25" thickBot="1">
      <c r="A42" s="569" t="s">
        <v>36</v>
      </c>
      <c r="B42" s="375"/>
      <c r="C42" s="570"/>
      <c r="D42" s="78" t="n">
        <f>SUM(D40:D41)</f>
        <v>27005.507</v>
      </c>
      <c r="E42" s="79" t="n">
        <f t="shared" ref="E42:K42" si="18">SUM(E40:E41)</f>
        <v>32287.638000000006</v>
      </c>
      <c r="F42" s="180" t="n">
        <f t="shared" si="18"/>
        <v>29389.184400000002</v>
      </c>
      <c r="G42" s="81" t="n">
        <f t="shared" si="18"/>
        <v>31401.0</v>
      </c>
      <c r="H42" s="81" t="n">
        <f t="shared" si="18"/>
        <v>30339.0</v>
      </c>
      <c r="I42" s="79" t="n">
        <f t="shared" si="18"/>
        <v>31035.0</v>
      </c>
      <c r="J42" s="98" t="n">
        <f>IFERROR((SUM(G42:I42)/3)/F42,"－")</f>
        <v>1.0522578503403448</v>
      </c>
      <c r="K42" s="81" t="n">
        <f t="shared" si="18"/>
        <v>31094.0</v>
      </c>
      <c r="L42" s="98" t="n">
        <f>IFERROR(K42/F42,"－")</f>
        <v>1.0580082651085752</v>
      </c>
      <c r="M42" s="758" t="n">
        <f t="shared" ref="M42" si="19">SUM(M40:M41)</f>
        <v>33215.0</v>
      </c>
      <c r="N42" s="759" t="n">
        <f t="shared" si="15"/>
        <v>1.1301776717560081</v>
      </c>
      <c r="O42" s="758" t="n">
        <f t="shared" ref="O42" si="20">SUM(O40:O41)</f>
        <v>34371.0</v>
      </c>
      <c r="P42" s="759" t="n">
        <f t="shared" si="16"/>
        <v>1.1695118698156182</v>
      </c>
      <c r="Q42" s="758" t="n">
        <f t="shared" ref="Q42:S42" si="21">SUM(Q40:Q41)</f>
        <v>33052.0</v>
      </c>
      <c r="R42" s="759" t="n">
        <f t="shared" si="17"/>
        <v>1.1246314137251117</v>
      </c>
      <c r="S42" s="758" t="n">
        <f t="shared" si="21"/>
        <v>29875.0</v>
      </c>
      <c r="T42" s="759" t="n">
        <f>IFERROR(S42/F42,"－")</f>
        <v>1.0165304213069621</v>
      </c>
    </row>
    <row r="43" spans="1:20" ht="13.5" customHeight="1">
      <c r="A43" s="381"/>
      <c r="B43" s="15"/>
      <c r="C43" s="571"/>
      <c r="D43" s="215"/>
      <c r="E43" s="558"/>
      <c r="F43" s="558"/>
      <c r="G43" s="557" t="s">
        <v>364</v>
      </c>
      <c r="H43" s="231"/>
      <c r="I43" s="231"/>
      <c r="J43" s="231"/>
      <c r="K43" s="635" t="s">
        <v>400</v>
      </c>
      <c r="L43" s="635"/>
      <c r="M43" s="635"/>
    </row>
    <row r="44" spans="1:20" ht="13.5" customHeight="1">
      <c r="A44" s="381"/>
      <c r="B44" s="15"/>
      <c r="C44" s="571"/>
      <c r="D44" s="215"/>
      <c r="E44" s="558"/>
      <c r="F44" s="558"/>
      <c r="G44" s="558"/>
      <c r="H44" s="558"/>
      <c r="I44" s="558"/>
      <c r="J44" s="558"/>
      <c r="K44" s="635"/>
      <c r="L44" s="635"/>
      <c r="M44" s="635"/>
    </row>
    <row r="45" spans="1:20" ht="13.5" customHeight="1">
      <c r="A45" s="381"/>
      <c r="B45" s="15"/>
      <c r="C45" s="571"/>
      <c r="D45" s="215"/>
      <c r="E45" s="558"/>
      <c r="F45" s="558"/>
      <c r="G45" s="558"/>
      <c r="H45" s="558"/>
      <c r="I45" s="558"/>
      <c r="J45" s="558"/>
    </row>
    <row r="46" spans="1:20" ht="13.5" customHeight="1">
      <c r="A46" s="381"/>
      <c r="B46" s="15"/>
      <c r="C46" s="571"/>
      <c r="D46" s="215"/>
      <c r="E46" s="558"/>
      <c r="F46" s="558"/>
      <c r="G46" s="558"/>
      <c r="H46" s="558"/>
      <c r="I46" s="558"/>
      <c r="J46" s="558"/>
    </row>
    <row r="47" spans="1:20" ht="13.5" customHeight="1">
      <c r="A47" s="381"/>
      <c r="B47" s="15"/>
      <c r="C47" s="571"/>
      <c r="D47" s="215"/>
      <c r="E47" s="558"/>
      <c r="F47" s="558"/>
      <c r="G47" s="558"/>
      <c r="H47" s="558"/>
      <c r="I47" s="558"/>
      <c r="J47" s="558"/>
    </row>
    <row r="48" spans="1:20" ht="13.5" customHeight="1">
      <c r="A48" s="381"/>
      <c r="B48" s="15"/>
      <c r="C48" s="571"/>
      <c r="D48" s="215"/>
      <c r="E48" s="558"/>
      <c r="F48" s="558"/>
      <c r="G48" s="558"/>
      <c r="H48" s="558"/>
      <c r="I48" s="558"/>
      <c r="J48" s="558"/>
    </row>
    <row r="49" spans="1:20" ht="13.5" customHeight="1">
      <c r="A49" s="381"/>
      <c r="B49" s="15"/>
      <c r="C49" s="571"/>
      <c r="D49" s="215"/>
      <c r="E49" s="558"/>
      <c r="F49" s="558"/>
      <c r="G49" s="558"/>
      <c r="H49" s="558"/>
      <c r="I49" s="558"/>
      <c r="J49" s="558"/>
    </row>
    <row r="50" spans="1:20" ht="13.5" customHeight="1">
      <c r="A50" s="381"/>
      <c r="B50" s="15"/>
      <c r="C50" s="571"/>
      <c r="D50" s="215"/>
      <c r="E50" s="558"/>
      <c r="F50" s="558"/>
      <c r="G50" s="558"/>
      <c r="H50" s="558"/>
      <c r="I50" s="558"/>
      <c r="J50" s="558"/>
    </row>
    <row r="51" spans="1:20" ht="13.5" customHeight="1">
      <c r="A51" s="381"/>
      <c r="B51" s="15"/>
      <c r="C51" s="571"/>
      <c r="D51" s="215"/>
      <c r="E51" s="558"/>
      <c r="F51" s="558"/>
      <c r="G51" s="558"/>
      <c r="H51" s="558"/>
      <c r="I51" s="558"/>
      <c r="J51" s="558"/>
    </row>
    <row r="52" spans="1:20" ht="13.5" customHeight="1">
      <c r="A52" s="381"/>
      <c r="B52" s="15"/>
      <c r="C52" s="571"/>
      <c r="D52" s="215"/>
      <c r="E52" s="558"/>
      <c r="F52" s="558"/>
      <c r="G52" s="558"/>
      <c r="H52" s="558"/>
      <c r="I52" s="558"/>
      <c r="J52" s="558"/>
    </row>
    <row r="53" spans="1:20" ht="13.5" customHeight="1">
      <c r="A53" s="381"/>
      <c r="B53" s="15"/>
      <c r="C53" s="571"/>
      <c r="D53" s="215"/>
      <c r="E53" s="558"/>
      <c r="F53" s="558"/>
      <c r="G53" s="558"/>
      <c r="H53" s="558"/>
      <c r="I53" s="558"/>
      <c r="J53" s="558"/>
    </row>
    <row r="54" spans="1:20" ht="13.5" customHeight="1">
      <c r="A54" s="381"/>
      <c r="B54" s="15"/>
      <c r="C54" s="571"/>
      <c r="D54" s="215"/>
      <c r="E54" s="558"/>
      <c r="F54" s="558"/>
      <c r="G54" s="558"/>
      <c r="H54" s="558"/>
      <c r="I54" s="558"/>
      <c r="J54" s="558"/>
    </row>
    <row r="55" spans="1:20" ht="16.5" customHeight="1">
      <c r="A55" s="381"/>
      <c r="B55" s="15"/>
      <c r="C55" s="571"/>
      <c r="D55" s="215"/>
      <c r="E55" s="558"/>
      <c r="F55" s="558"/>
      <c r="G55" s="558"/>
      <c r="H55" s="558"/>
      <c r="I55" s="558"/>
      <c r="J55" s="558"/>
    </row>
    <row r="56" spans="1:20" ht="13.5" customHeight="1">
      <c r="A56" s="381"/>
      <c r="B56" s="15"/>
      <c r="C56" s="571"/>
      <c r="D56" s="215"/>
      <c r="E56" s="558"/>
      <c r="F56" s="558"/>
      <c r="G56" s="558"/>
      <c r="H56" s="558"/>
      <c r="I56" s="558"/>
      <c r="J56" s="558"/>
    </row>
    <row r="57" spans="1:20" ht="13.5" customHeight="1">
      <c r="A57" s="381"/>
      <c r="B57" s="15"/>
      <c r="C57" s="571"/>
      <c r="D57" s="215"/>
      <c r="E57" s="558"/>
      <c r="F57" s="558"/>
      <c r="G57" s="558"/>
      <c r="H57" s="558"/>
      <c r="I57" s="558"/>
      <c r="J57" s="558"/>
    </row>
    <row r="58" spans="1:20">
      <c r="A58" s="571"/>
      <c r="B58" s="189"/>
      <c r="C58" s="571"/>
      <c r="D58" s="558"/>
      <c r="E58" s="558"/>
      <c r="F58" s="558"/>
      <c r="G58" s="558"/>
      <c r="H58" s="558"/>
      <c r="I58" s="558"/>
      <c r="J58" s="558"/>
    </row>
    <row r="59" spans="1:20">
      <c r="A59" s="22" t="s">
        <v>37</v>
      </c>
      <c r="B59" s="193"/>
      <c r="C59" s="190"/>
      <c r="D59" s="190"/>
      <c r="E59" s="190"/>
      <c r="F59" s="190"/>
      <c r="G59" s="190"/>
      <c r="H59" s="190"/>
      <c r="I59" s="190"/>
      <c r="J59" s="190"/>
    </row>
    <row r="60" spans="1:20" ht="14.25" thickBot="1">
      <c r="A60" s="190"/>
      <c r="B60" s="193"/>
      <c r="C60" s="190"/>
      <c r="D60" s="190"/>
      <c r="E60" s="190"/>
      <c r="F60" s="190"/>
      <c r="G60" s="190"/>
      <c r="H60" s="190"/>
      <c r="L60" s="2"/>
      <c r="R60" s="2"/>
      <c r="T60" s="2" t="s">
        <v>63</v>
      </c>
    </row>
    <row r="61" spans="1:20" ht="23.25" thickBot="1">
      <c r="A61" s="29"/>
      <c r="B61" s="375"/>
      <c r="C61" s="376"/>
      <c r="D61" s="377" t="s">
        <v>367</v>
      </c>
      <c r="E61" s="750" t="s">
        <v>366</v>
      </c>
      <c r="F61" s="750" t="s">
        <v>363</v>
      </c>
      <c r="G61" s="748" t="s">
        <v>362</v>
      </c>
      <c r="H61" s="749" t="s">
        <v>361</v>
      </c>
      <c r="I61" s="750" t="s">
        <v>360</v>
      </c>
      <c r="J61" s="39" t="s">
        <v>104</v>
      </c>
      <c r="K61" s="748" t="s">
        <v>384</v>
      </c>
      <c r="L61" s="39" t="s">
        <v>105</v>
      </c>
      <c r="M61" s="748" t="s">
        <v>387</v>
      </c>
      <c r="N61" s="39" t="s">
        <v>105</v>
      </c>
      <c r="O61" s="748" t="s">
        <v>390</v>
      </c>
      <c r="P61" s="39" t="s">
        <v>105</v>
      </c>
      <c r="Q61" s="748" t="s">
        <v>393</v>
      </c>
      <c r="R61" s="39" t="s">
        <v>105</v>
      </c>
      <c r="S61" s="748" t="s">
        <v>396</v>
      </c>
      <c r="T61" s="39" t="s">
        <v>105</v>
      </c>
    </row>
    <row r="62" spans="1:20">
      <c r="A62" s="572" t="s">
        <v>76</v>
      </c>
      <c r="B62" s="28"/>
      <c r="C62" s="573"/>
      <c r="D62" s="181" t="n">
        <f>('2_サービス別給付費'!D68+'2_サービス別給付費'!D71+'2_サービス別給付費'!D74+'2_サービス別給付費'!D77+'2_サービス別給付費'!D80+
 '2_サービス別給付費'!D82+'2_サービス別給付費'!D85+'2_サービス別給付費'!D88+'2_サービス別給付費'!D91+'2_サービス別給付費'!D94+
 '2_サービス別給付費'!D97+'2_サービス別給付費'!D100+'2_サービス別給付費'!D102+'2_サービス別給付費'!D104+'2_サービス別給付費'!D109+
 '2_サービス別給付費'!D111+'2_サービス別給付費'!D116+'2_サービス別給付費'!D119+'2_サービス別給付費'!D127+'2_サービス別給付費'!D113+'2_サービス別給付費'!D140)</f>
        <v>312648.599</v>
      </c>
      <c r="E62" s="182" t="n">
        <f>('2_サービス別給付費'!E68+'2_サービス別給付費'!E71+'2_サービス別給付費'!E74+'2_サービス別給付費'!E77+'2_サービス別給付費'!E80+
 '2_サービス別給付費'!E82+'2_サービス別給付費'!E85+'2_サービス別給付費'!E88+'2_サービス別給付費'!E91+'2_サービス別給付費'!E94+
 '2_サービス別給付費'!E97+'2_サービス別給付費'!E100+'2_サービス別給付費'!E102+'2_サービス別給付費'!E104+'2_サービス別給付費'!E109+
 '2_サービス別給付費'!E111+'2_サービス別給付費'!E116+'2_サービス別給付費'!E119+'2_サービス別給付費'!E127+'2_サービス別給付費'!E113+'2_サービス別給付費'!E140)</f>
        <v>290059.00999999995</v>
      </c>
      <c r="F62" s="183" t="n">
        <f>('2_サービス別給付費'!F68+'2_サービス別給付費'!F71+'2_サービス別給付費'!F74+'2_サービス別給付費'!F77+'2_サービス別給付費'!F80+
 '2_サービス別給付費'!F82+'2_サービス別給付費'!F85+'2_サービス別給付費'!F88+'2_サービス別給付費'!F91+'2_サービス別給付費'!F94+
 '2_サービス別給付費'!F97+'2_サービス別給付費'!F100+'2_サービス別給付費'!F102+'2_サービス別給付費'!F104+'2_サービス別給付費'!F109+
 '2_サービス別給付費'!F111+'2_サービス別給付費'!F116+'2_サービス別給付費'!F119+'2_サービス別給付費'!F127+'2_サービス別給付費'!F113+'2_サービス別給付費'!F140)</f>
        <v>285894.774</v>
      </c>
      <c r="G62" s="181" t="n">
        <f>('2_サービス別給付費'!G68+'2_サービス別給付費'!G71+'2_サービス別給付費'!G74+'2_サービス別給付費'!G77+'2_サービス別給付費'!G80+
 '2_サービス別給付費'!G82+'2_サービス別給付費'!G85+'2_サービス別給付費'!G88+'2_サービス別給付費'!G91+'2_サービス別給付費'!G94+
 '2_サービス別給付費'!G97+'2_サービス別給付費'!G100+'2_サービス別給付費'!G102+'2_サービス別給付費'!G104+'2_サービス別給付費'!G109+
 '2_サービス別給付費'!G111+'2_サービス別給付費'!G116+'2_サービス別給付費'!G119+'2_サービス別給付費'!G127+'2_サービス別給付費'!G113+'2_サービス別給付費'!G140)</f>
        <v>314484.0</v>
      </c>
      <c r="H62" s="184" t="n">
        <f>('2_サービス別給付費'!H68+'2_サービス別給付費'!H71+'2_サービス別給付費'!H74+'2_サービス別給付費'!H77+'2_サービス別給付費'!H80+
 '2_サービス別給付費'!H82+'2_サービス別給付費'!H85+'2_サービス別給付費'!H88+'2_サービス別給付費'!H91+'2_サービス別給付費'!H94+
 '2_サービス別給付費'!H97+'2_サービス別給付費'!H100+'2_サービス別給付費'!H102+'2_サービス別給付費'!H104+'2_サービス別給付費'!H109+
 '2_サービス別給付費'!H111+'2_サービス別給付費'!H116+'2_サービス別給付費'!H119+'2_サービス別給付費'!H127+'2_サービス別給付費'!H113+'2_サービス別給付費'!H140+'2_サービス別給付費'!H142)</f>
        <v>311410.0</v>
      </c>
      <c r="I62" s="182" t="n">
        <f>('2_サービス別給付費'!I68+'2_サービス別給付費'!I71+'2_サービス別給付費'!I74+'2_サービス別給付費'!I77+'2_サービス別給付費'!I80+
 '2_サービス別給付費'!I82+'2_サービス別給付費'!I85+'2_サービス別給付費'!I88+'2_サービス別給付費'!I91+'2_サービス別給付費'!I94+
 '2_サービス別給付費'!I97+'2_サービス別給付費'!I100+'2_サービス別給付費'!I102+'2_サービス別給付費'!I104+'2_サービス別給付費'!I109+
 '2_サービス別給付費'!I111+'2_サービス別給付費'!I116+'2_サービス別給付費'!I119+'2_サービス別給付費'!I127+'2_サービス別給付費'!I113+'2_サービス別給付費'!I140+'2_サービス別給付費'!I142)</f>
        <v>313715.0</v>
      </c>
      <c r="J62" s="99" t="n">
        <f>IFERROR((SUM(G62:I62)/3)/F62,"－")</f>
        <v>1.0955184511347522</v>
      </c>
      <c r="K62" s="181" t="n">
        <f>('2_サービス別給付費'!K68+'2_サービス別給付費'!K71+'2_サービス別給付費'!K74+'2_サービス別給付費'!K77+'2_サービス別給付費'!K80+
 '2_サービス別給付費'!K82+'2_サービス別給付費'!K85+'2_サービス別給付費'!K88+'2_サービス別給付費'!K91+'2_サービス別給付費'!K94+
 '2_サービス別給付費'!K97+'2_サービス別給付費'!K100+'2_サービス別給付費'!K102+'2_サービス別給付費'!K104+'2_サービス別給付費'!K109+
 '2_サービス別給付費'!K111+'2_サービス別給付費'!K116+'2_サービス別給付費'!K119+'2_サービス別給付費'!K127+'2_サービス別給付費'!K113+'2_サービス別給付費'!K140+'2_サービス別給付費'!K142)</f>
        <v>298411.0</v>
      </c>
      <c r="L62" s="99" t="n">
        <f>IFERROR(K62/F62,"－")</f>
        <v>1.0437791353262023</v>
      </c>
      <c r="M62" s="760" t="n">
        <f>('2_サービス別給付費'!M68+'2_サービス別給付費'!M71+'2_サービス別給付費'!M74+'2_サービス別給付費'!M77+'2_サービス別給付費'!M80+
 '2_サービス別給付費'!M82+'2_サービス別給付費'!M85+'2_サービス別給付費'!M88+'2_サービス別給付費'!M91+'2_サービス別給付費'!M94+
 '2_サービス別給付費'!M97+'2_サービス別給付費'!M100+'2_サービス別給付費'!M102+'2_サービス別給付費'!M104+'2_サービス別給付費'!M109+
 '2_サービス別給付費'!M111+'2_サービス別給付費'!M116+'2_サービス別給付費'!M119+'2_サービス別給付費'!M127+'2_サービス別給付費'!M113+'2_サービス別給付費'!M140+'2_サービス別給付費'!M142)</f>
        <v>331863.0</v>
      </c>
      <c r="N62" s="761" t="n">
        <f>IFERROR(M62/F62,"－")</f>
        <v>1.160787220265873</v>
      </c>
      <c r="O62" s="760" t="n">
        <f>('2_サービス別給付費'!O68+'2_サービス別給付費'!O71+'2_サービス別給付費'!O74+'2_サービス別給付費'!O77+'2_サービス別給付費'!O80+
 '2_サービス別給付費'!O82+'2_サービス別給付費'!O85+'2_サービス別給付費'!O88+'2_サービス別給付費'!O91+'2_サービス別給付費'!O94+
 '2_サービス別給付費'!O97+'2_サービス別給付費'!O100+'2_サービス別給付費'!O102+'2_サービス別給付費'!O104+'2_サービス別給付費'!O109+
 '2_サービス別給付費'!O111+'2_サービス別給付費'!O116+'2_サービス別給付費'!O119+'2_サービス別給付費'!O127+'2_サービス別給付費'!O113+'2_サービス別給付費'!O140+'2_サービス別給付費'!O142)</f>
        <v>352506.0</v>
      </c>
      <c r="P62" s="761" t="n">
        <f>IFERROR(O62/F62,"－")</f>
        <v>1.232992107788581</v>
      </c>
      <c r="Q62" s="760" t="n">
        <f>('2_サービス別給付費'!Q68+'2_サービス別給付費'!Q71+'2_サービス別給付費'!Q74+'2_サービス別給付費'!Q77+'2_サービス別給付費'!Q80+
 '2_サービス別給付費'!Q82+'2_サービス別給付費'!Q85+'2_サービス別給付費'!Q88+'2_サービス別給付費'!Q91+'2_サービス別給付費'!Q94+
 '2_サービス別給付費'!Q97+'2_サービス別給付費'!Q100+'2_サービス別給付費'!Q102+'2_サービス別給付費'!Q104+'2_サービス別給付費'!Q109+
 '2_サービス別給付費'!Q111+'2_サービス別給付費'!Q116+'2_サービス別給付費'!Q119+'2_サービス別給付費'!Q127+'2_サービス別給付費'!Q113+'2_サービス別給付費'!Q140+'2_サービス別給付費'!Q142)</f>
        <v>344134.0</v>
      </c>
      <c r="R62" s="761" t="n">
        <f>IFERROR(Q62/F62,"－")</f>
        <v>1.2037086064399345</v>
      </c>
      <c r="S62" s="760" t="n">
        <f>('2_サービス別給付費'!S68+'2_サービス別給付費'!S71+'2_サービス別給付費'!S74+'2_サービス別給付費'!S77+'2_サービス別給付費'!S80+
 '2_サービス別給付費'!S82+'2_サービス別給付費'!S85+'2_サービス別給付費'!S88+'2_サービス別給付費'!S91+'2_サービス別給付費'!S94+
 '2_サービス別給付費'!S97+'2_サービス別給付費'!S100+'2_サービス別給付費'!S102+'2_サービス別給付費'!S104+'2_サービス別給付費'!S109+
 '2_サービス別給付費'!S111+'2_サービス別給付費'!S116+'2_サービス別給付費'!S119+'2_サービス別給付費'!S127+'2_サービス別給付費'!S113+'2_サービス別給付費'!S140+'2_サービス別給付費'!S142)</f>
        <v>305344.0</v>
      </c>
      <c r="T62" s="761" t="n">
        <f>IFERROR(S62/F62,"－")</f>
        <v>1.0680293162686494</v>
      </c>
    </row>
    <row r="63" spans="1:20">
      <c r="A63" s="37" t="s">
        <v>77</v>
      </c>
      <c r="B63" s="533"/>
      <c r="C63" s="574"/>
      <c r="D63" s="74" t="n">
        <f>('2_サービス別給付費'!D106+'2_サービス別給付費'!D121+'2_サービス別給付費'!D123)</f>
        <v>91870.496</v>
      </c>
      <c r="E63" s="76" t="n">
        <f>('2_サービス別給付費'!E106+'2_サービス別給付費'!E121+'2_サービス別給付費'!E123)</f>
        <v>86313.202</v>
      </c>
      <c r="F63" s="77" t="n">
        <f>('2_サービス別給付費'!F106+'2_サービス別給付費'!F121+'2_サービス別給付費'!F123)</f>
        <v>86314.56</v>
      </c>
      <c r="G63" s="74" t="n">
        <f>('2_サービス別給付費'!G106+'2_サービス別給付費'!G121+'2_サービス別給付費'!G123)</f>
        <v>89840.0</v>
      </c>
      <c r="H63" s="75" t="n">
        <f>('2_サービス別給付費'!H106+'2_サービス別給付費'!H121+'2_サービス別給付費'!H123)</f>
        <v>89601.0</v>
      </c>
      <c r="I63" s="76" t="n">
        <f>('2_サービス別給付費'!I106+'2_サービス別給付費'!I121+'2_サービス別給付費'!I123)</f>
        <v>92907.0</v>
      </c>
      <c r="J63" s="100" t="n">
        <f>IFERROR((SUM(G63:I63)/3)/F63,"－")</f>
        <v>1.051765387747637</v>
      </c>
      <c r="K63" s="74" t="n">
        <f>('2_サービス別給付費'!K106+'2_サービス別給付費'!K121+'2_サービス別給付費'!K123)</f>
        <v>92907.0</v>
      </c>
      <c r="L63" s="100" t="n">
        <f>IFERROR(K63/F63,"－")</f>
        <v>1.0763769171736495</v>
      </c>
      <c r="M63" s="408" t="n">
        <f>('2_サービス別給付費'!M106+'2_サービス別給付費'!M121+'2_サービス別給付費'!M123)</f>
        <v>102639.0</v>
      </c>
      <c r="N63" s="411" t="n">
        <f t="shared" ref="N63:N65" si="22">IFERROR(M63/F63,"－")</f>
        <v>1.1891273036669596</v>
      </c>
      <c r="O63" s="408" t="n">
        <f>('2_サービス別給付費'!O106+'2_サービス別給付費'!O121+'2_サービス別給付費'!O123)</f>
        <v>105998.0</v>
      </c>
      <c r="P63" s="411" t="n">
        <f t="shared" ref="P63:P65" si="23">IFERROR(O63/F63,"－")</f>
        <v>1.2280431018822318</v>
      </c>
      <c r="Q63" s="408" t="n">
        <f>('2_サービス別給付費'!Q106+'2_サービス別給付費'!Q121+'2_サービス別給付費'!Q123)</f>
        <v>102692.0</v>
      </c>
      <c r="R63" s="411" t="n">
        <f t="shared" ref="R63:R65" si="24">IFERROR(Q63/F63,"－")</f>
        <v>1.1897413368034315</v>
      </c>
      <c r="S63" s="408" t="n">
        <f>('2_サービス別給付費'!S106+'2_サービス別給付費'!S121+'2_サービス別給付費'!S123)</f>
        <v>86534.0</v>
      </c>
      <c r="T63" s="411" t="n">
        <f>IFERROR(S63/F63,"－")</f>
        <v>1.0025423288956117</v>
      </c>
    </row>
    <row r="64" spans="1:20" ht="14.25" thickBot="1">
      <c r="A64" s="575" t="s">
        <v>61</v>
      </c>
      <c r="B64" s="576"/>
      <c r="C64" s="577"/>
      <c r="D64" s="185" t="n">
        <f>('2_サービス別給付費'!D125+'2_サービス別給付費'!D132+'2_サービス別給付費'!D134+'2_サービス別給付費'!D136+'2_サービス別給付費'!D138)</f>
        <v>578238.232</v>
      </c>
      <c r="E64" s="186" t="n">
        <f>('2_サービス別給付費'!E125+'2_サービス別給付費'!E132+'2_サービス別給付費'!E134+'2_サービス別給付費'!E136+'2_サービス別給付費'!E138)</f>
        <v>589563.917</v>
      </c>
      <c r="F64" s="187" t="n">
        <f>('2_サービス別給付費'!F125+'2_サービス別給付費'!F132+'2_サービス別給付費'!F134+'2_サービス別給付費'!F136+'2_サービス別給付費'!F138)</f>
        <v>591356.292</v>
      </c>
      <c r="G64" s="185" t="n">
        <f>('2_サービス別給付費'!G125+'2_サービス別給付費'!G132+'2_サービス別給付費'!G134+'2_サービス別給付費'!G136+'2_サービス別給付費'!G138)</f>
        <v>589422.0</v>
      </c>
      <c r="H64" s="188" t="n">
        <f>('2_サービス別給付費'!H125+'2_サービス別給付費'!H132+'2_サービス別給付費'!H134+'2_サービス別給付費'!H136+'2_サービス別給付費'!H138)</f>
        <v>589422.0</v>
      </c>
      <c r="I64" s="186" t="n">
        <f>('2_サービス別給付費'!I125+'2_サービス別給付費'!I132+'2_サービス別給付費'!I134+'2_サービス別給付費'!I136+'2_サービス別給付費'!I138)</f>
        <v>589422.0</v>
      </c>
      <c r="J64" s="101" t="n">
        <f>IFERROR((SUM(G64:I64)/3)/F64,"－")</f>
        <v>0.9967290582240055</v>
      </c>
      <c r="K64" s="186" t="n">
        <f>('2_サービス別給付費'!K125+'2_サービス別給付費'!K132+'2_サービス別給付費'!K134+'2_サービス別給付費'!K136+'2_サービス別給付費'!K138)</f>
        <v>639188.0</v>
      </c>
      <c r="L64" s="102" t="n">
        <f>IFERROR(K64/F64,"－")</f>
        <v>1.0808847536537245</v>
      </c>
      <c r="M64" s="502" t="n">
        <f>('2_サービス別給付費'!M125+'2_サービス別給付費'!M132+'2_サービス別給付費'!M134+'2_サービス別給付費'!M136+'2_サービス別給付費'!M138)</f>
        <v>678091.0</v>
      </c>
      <c r="N64" s="762" t="n">
        <f t="shared" si="22"/>
        <v>1.1466708127965601</v>
      </c>
      <c r="O64" s="502" t="n">
        <f>('2_サービス別給付費'!O125+'2_サービス別給付費'!O132+'2_サービス別給付費'!O134+'2_サービス別給付費'!O136+'2_サービス別給付費'!O138)</f>
        <v>759965.0</v>
      </c>
      <c r="P64" s="762" t="n">
        <f t="shared" si="23"/>
        <v>1.285122032657767</v>
      </c>
      <c r="Q64" s="502" t="n">
        <f>('2_サービス別給付費'!Q125+'2_サービス別給付費'!Q132+'2_サービス別給付費'!Q134+'2_サービス別給付費'!Q136+'2_サービス別給付費'!Q138)</f>
        <v>757153.0</v>
      </c>
      <c r="R64" s="762" t="n">
        <f t="shared" si="24"/>
        <v>1.2803668621488178</v>
      </c>
      <c r="S64" s="502" t="n">
        <f>('2_サービス別給付費'!S125+'2_サービス別給付費'!S132+'2_サービス別給付費'!S134+'2_サービス別給付費'!S136+'2_サービス別給付費'!S138)</f>
        <v>676683.0</v>
      </c>
      <c r="T64" s="762" t="n">
        <f>IFERROR(S64/F64,"－")</f>
        <v>1.1442898454862471</v>
      </c>
    </row>
    <row r="65" spans="1:20" ht="14.25" thickBot="1">
      <c r="A65" s="569" t="s">
        <v>36</v>
      </c>
      <c r="B65" s="375"/>
      <c r="C65" s="570"/>
      <c r="D65" s="78" t="n">
        <f>SUM(D62:D64)</f>
        <v>982757.3269999999</v>
      </c>
      <c r="E65" s="79" t="n">
        <f t="shared" ref="E65:I65" si="25">SUM(E62:E64)</f>
        <v>965936.129</v>
      </c>
      <c r="F65" s="80" t="n">
        <f>SUM(F62:F64)</f>
        <v>963565.6259999999</v>
      </c>
      <c r="G65" s="78" t="n">
        <f t="shared" si="25"/>
        <v>993746.0</v>
      </c>
      <c r="H65" s="81" t="n">
        <f t="shared" si="25"/>
        <v>990433.0</v>
      </c>
      <c r="I65" s="79" t="n">
        <f t="shared" si="25"/>
        <v>996044.0</v>
      </c>
      <c r="J65" s="98" t="n">
        <f>IFERROR((SUM(G65:I65)/3)/F65,"－")</f>
        <v>1.0309704288544916</v>
      </c>
      <c r="K65" s="81" t="n">
        <f>SUM(K62:K64)</f>
        <v>1030506.0</v>
      </c>
      <c r="L65" s="98" t="n">
        <f>IFERROR(K65/F65,"－")</f>
        <v>1.0694715255440215</v>
      </c>
      <c r="M65" s="758" t="n">
        <f>SUM(M62:M64)</f>
        <v>1112593.0</v>
      </c>
      <c r="N65" s="759" t="n">
        <f t="shared" si="22"/>
        <v>1.1546624017905762</v>
      </c>
      <c r="O65" s="758" t="n">
        <f>SUM(O62:O64)</f>
        <v>1218469.0</v>
      </c>
      <c r="P65" s="759" t="n">
        <f t="shared" si="23"/>
        <v>1.2645417884593573</v>
      </c>
      <c r="Q65" s="758" t="n">
        <f>SUM(Q62:Q64)</f>
        <v>1203979.0</v>
      </c>
      <c r="R65" s="759" t="n">
        <f t="shared" si="24"/>
        <v>1.2495038921199542</v>
      </c>
      <c r="S65" s="758" t="n">
        <f>SUM(S62:S64)</f>
        <v>1068561.0</v>
      </c>
      <c r="T65" s="759" t="n">
        <f>IFERROR(S65/F65,"－")</f>
        <v>1.108965462410549</v>
      </c>
    </row>
    <row r="66" spans="1:20" ht="13.5" customHeight="1">
      <c r="A66" s="571"/>
      <c r="B66" s="189"/>
      <c r="C66" s="571"/>
      <c r="D66" s="558"/>
      <c r="E66" s="558"/>
      <c r="F66" s="558"/>
      <c r="G66" s="557" t="s">
        <v>364</v>
      </c>
      <c r="H66" s="231"/>
      <c r="I66" s="231"/>
      <c r="J66" s="231"/>
      <c r="K66" s="636" t="s">
        <v>400</v>
      </c>
      <c r="L66" s="636"/>
      <c r="M66" s="636"/>
    </row>
    <row r="67" spans="1:20">
      <c r="A67" s="571"/>
      <c r="B67" s="189"/>
      <c r="C67" s="571"/>
      <c r="D67" s="558"/>
      <c r="E67" s="558"/>
      <c r="F67" s="558"/>
      <c r="G67" s="558"/>
      <c r="H67" s="558"/>
      <c r="I67" s="558"/>
      <c r="J67" s="558"/>
      <c r="K67" s="636"/>
      <c r="L67" s="636"/>
      <c r="M67" s="636"/>
    </row>
    <row r="68" spans="1:20">
      <c r="A68" s="571"/>
      <c r="B68" s="189"/>
      <c r="C68" s="571"/>
      <c r="D68" s="558"/>
      <c r="E68" s="558"/>
      <c r="F68" s="558"/>
      <c r="G68" s="558"/>
      <c r="H68" s="558"/>
      <c r="I68" s="558"/>
      <c r="J68" s="558"/>
    </row>
    <row r="69" spans="1:20">
      <c r="A69" s="571"/>
      <c r="B69" s="189"/>
      <c r="C69" s="571"/>
      <c r="D69" s="558"/>
      <c r="E69" s="558"/>
      <c r="F69" s="558"/>
      <c r="G69" s="558"/>
      <c r="H69" s="558"/>
      <c r="I69" s="558"/>
      <c r="J69" s="558"/>
    </row>
    <row r="70" spans="1:20">
      <c r="A70" s="571"/>
      <c r="B70" s="189"/>
      <c r="C70" s="571"/>
      <c r="D70" s="558"/>
      <c r="E70" s="558"/>
      <c r="F70" s="558"/>
      <c r="G70" s="558"/>
      <c r="H70" s="558"/>
      <c r="I70" s="558"/>
      <c r="J70" s="558"/>
    </row>
    <row r="71" spans="1:20">
      <c r="A71" s="571"/>
      <c r="B71" s="189"/>
      <c r="C71" s="571"/>
      <c r="D71" s="558"/>
      <c r="E71" s="558"/>
      <c r="F71" s="558"/>
      <c r="G71" s="558"/>
      <c r="H71" s="558"/>
      <c r="I71" s="558"/>
      <c r="J71" s="558"/>
    </row>
    <row r="72" spans="1:20">
      <c r="A72" s="571"/>
      <c r="B72" s="189"/>
      <c r="C72" s="571"/>
      <c r="D72" s="558"/>
      <c r="E72" s="558"/>
      <c r="F72" s="558"/>
      <c r="G72" s="558"/>
      <c r="H72" s="558"/>
      <c r="I72" s="558"/>
      <c r="J72" s="558"/>
    </row>
    <row r="73" spans="1:20">
      <c r="A73" s="571"/>
      <c r="B73" s="189"/>
      <c r="C73" s="571"/>
      <c r="D73" s="558"/>
      <c r="E73" s="558"/>
      <c r="F73" s="558"/>
      <c r="G73" s="558"/>
      <c r="H73" s="558"/>
      <c r="I73" s="558"/>
      <c r="J73" s="558"/>
    </row>
    <row r="74" spans="1:20">
      <c r="A74" s="571"/>
      <c r="B74" s="189"/>
      <c r="C74" s="571"/>
      <c r="D74" s="558"/>
      <c r="E74" s="558"/>
      <c r="F74" s="558"/>
      <c r="G74" s="558"/>
      <c r="H74" s="558"/>
      <c r="I74" s="558"/>
      <c r="J74" s="558"/>
    </row>
    <row r="75" spans="1:20">
      <c r="A75" s="571"/>
      <c r="B75" s="189"/>
      <c r="C75" s="571"/>
      <c r="D75" s="558"/>
      <c r="E75" s="558"/>
      <c r="F75" s="558"/>
      <c r="G75" s="558"/>
      <c r="H75" s="558"/>
      <c r="I75" s="558"/>
      <c r="J75" s="558"/>
    </row>
    <row r="76" spans="1:20">
      <c r="A76" s="571"/>
      <c r="B76" s="189"/>
      <c r="C76" s="571"/>
      <c r="D76" s="558"/>
      <c r="E76" s="558"/>
      <c r="F76" s="558"/>
      <c r="G76" s="558"/>
      <c r="H76" s="558"/>
      <c r="I76" s="558"/>
      <c r="J76" s="558"/>
    </row>
    <row r="77" spans="1:20">
      <c r="A77" s="571"/>
      <c r="B77" s="189"/>
      <c r="C77" s="571"/>
      <c r="D77" s="558"/>
      <c r="E77" s="558"/>
      <c r="F77" s="558"/>
      <c r="G77" s="558"/>
      <c r="H77" s="558"/>
      <c r="I77" s="558"/>
      <c r="J77" s="558"/>
    </row>
    <row r="78" spans="1:20">
      <c r="A78" s="571"/>
      <c r="B78" s="189"/>
      <c r="C78" s="571"/>
      <c r="D78" s="558"/>
      <c r="E78" s="558"/>
      <c r="F78" s="558"/>
      <c r="G78" s="558"/>
      <c r="H78" s="558"/>
      <c r="I78" s="558"/>
      <c r="J78" s="558"/>
    </row>
    <row r="79" spans="1:20">
      <c r="A79" s="571"/>
      <c r="B79" s="189"/>
      <c r="C79" s="571"/>
      <c r="D79" s="558"/>
      <c r="E79" s="558"/>
      <c r="F79" s="558"/>
      <c r="G79" s="558"/>
      <c r="H79" s="558"/>
      <c r="I79" s="558"/>
      <c r="J79" s="558"/>
    </row>
    <row r="80" spans="1:20">
      <c r="A80" s="571"/>
      <c r="B80" s="189"/>
      <c r="C80" s="571"/>
      <c r="D80" s="558"/>
      <c r="E80" s="558"/>
      <c r="F80" s="558"/>
      <c r="G80" s="558"/>
      <c r="H80" s="558"/>
      <c r="I80" s="558"/>
      <c r="J80" s="558"/>
    </row>
    <row r="81" spans="1:20">
      <c r="A81" s="190"/>
      <c r="B81" s="193"/>
      <c r="C81" s="190"/>
      <c r="D81" s="190"/>
      <c r="E81" s="190"/>
      <c r="F81" s="190"/>
      <c r="G81" s="190"/>
      <c r="H81" s="190"/>
      <c r="I81" s="190"/>
      <c r="J81" s="190"/>
    </row>
    <row r="82" spans="1:20">
      <c r="A82" s="373" t="s">
        <v>106</v>
      </c>
      <c r="B82" s="193"/>
      <c r="C82" s="190"/>
      <c r="D82" s="215"/>
      <c r="E82" s="215"/>
      <c r="F82" s="215"/>
      <c r="G82" s="215"/>
      <c r="H82" s="215"/>
      <c r="I82" s="215"/>
      <c r="J82" s="215"/>
    </row>
    <row r="83" spans="1:20" ht="14.25" thickBot="1">
      <c r="A83" s="190"/>
      <c r="B83" s="193"/>
      <c r="C83" s="190"/>
      <c r="D83" s="215"/>
      <c r="E83" s="190"/>
      <c r="F83" s="190"/>
      <c r="G83" s="190"/>
      <c r="H83" s="190"/>
      <c r="L83" s="2"/>
      <c r="R83" s="2"/>
      <c r="T83" s="2" t="s">
        <v>63</v>
      </c>
    </row>
    <row r="84" spans="1:20" ht="23.25" thickBot="1">
      <c r="A84" s="202"/>
      <c r="B84" s="578"/>
      <c r="C84" s="203"/>
      <c r="D84" s="377" t="s">
        <v>367</v>
      </c>
      <c r="E84" s="750" t="s">
        <v>366</v>
      </c>
      <c r="F84" s="750" t="s">
        <v>363</v>
      </c>
      <c r="G84" s="748" t="s">
        <v>362</v>
      </c>
      <c r="H84" s="749" t="s">
        <v>361</v>
      </c>
      <c r="I84" s="750" t="s">
        <v>360</v>
      </c>
      <c r="J84" s="39" t="s">
        <v>104</v>
      </c>
      <c r="K84" s="748" t="s">
        <v>384</v>
      </c>
      <c r="L84" s="39" t="s">
        <v>105</v>
      </c>
      <c r="M84" s="748" t="s">
        <v>387</v>
      </c>
      <c r="N84" s="39" t="s">
        <v>105</v>
      </c>
      <c r="O84" s="748" t="s">
        <v>390</v>
      </c>
      <c r="P84" s="39" t="s">
        <v>105</v>
      </c>
      <c r="Q84" s="748" t="s">
        <v>393</v>
      </c>
      <c r="R84" s="39" t="s">
        <v>105</v>
      </c>
      <c r="S84" s="748" t="s">
        <v>396</v>
      </c>
      <c r="T84" s="39" t="s">
        <v>105</v>
      </c>
    </row>
    <row r="85" spans="1:20" ht="14.25" thickBot="1">
      <c r="A85" s="338" t="s">
        <v>64</v>
      </c>
      <c r="B85" s="579"/>
      <c r="C85" s="339"/>
      <c r="D85" s="580" t="n">
        <f>D42+D65</f>
        <v>1009762.8339999999</v>
      </c>
      <c r="E85" s="581" t="n">
        <f>E65+E42</f>
        <v>998223.767</v>
      </c>
      <c r="F85" s="582" t="n">
        <f>F65+F42</f>
        <v>992954.8104</v>
      </c>
      <c r="G85" s="580" t="n">
        <f>G65+G42</f>
        <v>1025147.0</v>
      </c>
      <c r="H85" s="581" t="n">
        <f>H65+H42</f>
        <v>1020772.0</v>
      </c>
      <c r="I85" s="582" t="n">
        <f>I65+I42</f>
        <v>1027079.0</v>
      </c>
      <c r="J85" s="98" t="n">
        <f>IFERROR((SUM(G85:I85)/3)/F85,"－")</f>
        <v>1.0316004876939229</v>
      </c>
      <c r="K85" s="580" t="n">
        <f>K65+K42</f>
        <v>1061600.0</v>
      </c>
      <c r="L85" s="98" t="n">
        <f>IFERROR(K85/F85,"－")</f>
        <v>1.0691322393335776</v>
      </c>
      <c r="M85" s="763" t="n">
        <f>M65+M42</f>
        <v>1145808.0</v>
      </c>
      <c r="N85" s="759" t="n">
        <f>IFERROR(M85/F85,"－")</f>
        <v>1.1539377099532102</v>
      </c>
      <c r="O85" s="763" t="n">
        <f>O65+O42</f>
        <v>1252840.0</v>
      </c>
      <c r="P85" s="759" t="n">
        <f>IFERROR(O85/F85,"－")</f>
        <v>1.2617291208804442</v>
      </c>
      <c r="Q85" s="763" t="n">
        <f>Q65+Q42</f>
        <v>1237031.0</v>
      </c>
      <c r="R85" s="759" t="n">
        <f>IFERROR(Q85/F85,"－")</f>
        <v>1.2458079532357338</v>
      </c>
      <c r="S85" s="763" t="n">
        <f>S65+S42</f>
        <v>1098436.0</v>
      </c>
      <c r="T85" s="759" t="n">
        <f>IFERROR(S85/F85,"－")</f>
        <v>1.1062295972537846</v>
      </c>
    </row>
    <row r="86" spans="1:20" ht="13.5" customHeight="1">
      <c r="A86" s="190" t="s">
        <v>110</v>
      </c>
      <c r="B86" s="193"/>
      <c r="C86" s="190"/>
      <c r="D86" s="190"/>
      <c r="E86" s="190"/>
      <c r="F86" s="190"/>
      <c r="G86" s="557" t="s">
        <v>364</v>
      </c>
      <c r="H86" s="231"/>
      <c r="I86" s="231"/>
      <c r="J86" s="231"/>
      <c r="K86" s="636" t="s">
        <v>400</v>
      </c>
      <c r="L86" s="636"/>
      <c r="M86" s="636"/>
    </row>
    <row r="87" spans="1:20">
      <c r="K87" s="636"/>
      <c r="L87" s="636"/>
      <c r="M87" s="636"/>
    </row>
    <row r="88" spans="1:20">
      <c r="A88" s="373" t="s">
        <v>93</v>
      </c>
    </row>
    <row r="89" spans="1:20" ht="14.25" thickBot="1">
      <c r="H89" s="583"/>
      <c r="I89" s="583" t="s">
        <v>69</v>
      </c>
    </row>
    <row r="90" spans="1:20" ht="14.25" thickBot="1">
      <c r="A90" s="202"/>
      <c r="B90" s="578"/>
      <c r="C90" s="203"/>
      <c r="D90" s="377" t="s">
        <v>367</v>
      </c>
      <c r="E90" s="750" t="s">
        <v>366</v>
      </c>
      <c r="F90" s="750" t="s">
        <v>363</v>
      </c>
      <c r="G90" s="748" t="s">
        <v>362</v>
      </c>
      <c r="H90" s="749" t="s">
        <v>361</v>
      </c>
      <c r="I90" s="563" t="s">
        <v>360</v>
      </c>
    </row>
    <row r="91" spans="1:20">
      <c r="A91" s="320" t="s">
        <v>70</v>
      </c>
      <c r="B91" s="584"/>
      <c r="C91" s="321"/>
      <c r="D91" s="103" t="n">
        <f t="shared" ref="D91:I91" si="26">IFERROR((D62+D40)/D12,"－")</f>
        <v>103.86975718654433</v>
      </c>
      <c r="E91" s="104" t="n">
        <f t="shared" si="26"/>
        <v>96.80284657534246</v>
      </c>
      <c r="F91" s="105" t="n">
        <f t="shared" si="26"/>
        <v>95.85425066011666</v>
      </c>
      <c r="G91" s="103" t="n">
        <f t="shared" si="26"/>
        <v>106.10182606004334</v>
      </c>
      <c r="H91" s="104" t="n">
        <f t="shared" si="26"/>
        <v>105.73805807055885</v>
      </c>
      <c r="I91" s="105" t="n">
        <f t="shared" si="26"/>
        <v>107.54800125904941</v>
      </c>
    </row>
    <row r="92" spans="1:20" ht="14.25" thickBot="1">
      <c r="A92" s="213" t="s">
        <v>71</v>
      </c>
      <c r="B92" s="585"/>
      <c r="C92" s="214"/>
      <c r="D92" s="106" t="n">
        <f t="shared" ref="D92:I92" si="27">IFERROR(D64/D12,"－")</f>
        <v>176.83126360856267</v>
      </c>
      <c r="E92" s="107" t="n">
        <f t="shared" si="27"/>
        <v>179.47151202435313</v>
      </c>
      <c r="F92" s="108" t="n">
        <f t="shared" si="27"/>
        <v>181.56471968068774</v>
      </c>
      <c r="G92" s="106" t="n">
        <f t="shared" si="27"/>
        <v>182.42711234911792</v>
      </c>
      <c r="H92" s="107" t="n">
        <f t="shared" si="27"/>
        <v>184.02185451139556</v>
      </c>
      <c r="I92" s="108" t="n">
        <f t="shared" si="27"/>
        <v>185.5278564683664</v>
      </c>
    </row>
    <row r="101" spans="1:12">
      <c r="H101" s="1039"/>
      <c r="I101" s="1039"/>
      <c r="J101" s="1039"/>
      <c r="K101" s="1039"/>
      <c r="L101" s="1039"/>
    </row>
    <row r="102" spans="1:12">
      <c r="H102" s="1039"/>
      <c r="I102" s="1039"/>
      <c r="J102" s="1039"/>
      <c r="K102" s="1039"/>
      <c r="L102" s="1039"/>
    </row>
    <row r="103" spans="1:12">
      <c r="H103" s="1039"/>
      <c r="I103" s="1039"/>
      <c r="J103" s="1039"/>
      <c r="K103" s="1039"/>
      <c r="L103" s="1039"/>
    </row>
    <row r="104" spans="1:12">
      <c r="H104" s="1039"/>
      <c r="I104" s="1039"/>
      <c r="J104" s="1039"/>
      <c r="K104" s="1039"/>
      <c r="L104" s="1039"/>
    </row>
    <row r="105" spans="1:12">
      <c r="H105" s="1039"/>
      <c r="I105" s="1039"/>
      <c r="J105" s="1039"/>
      <c r="K105" s="1039"/>
      <c r="L105" s="1039"/>
    </row>
    <row r="106" spans="1:12">
      <c r="H106" s="1039" t="s">
        <v>368</v>
      </c>
      <c r="I106" s="1039"/>
      <c r="J106" s="1039"/>
      <c r="K106" s="1039"/>
      <c r="L106" s="1039"/>
    </row>
    <row r="107" spans="1:12">
      <c r="H107" s="1039"/>
      <c r="I107" s="1039"/>
      <c r="J107" s="1039"/>
      <c r="K107" s="1039"/>
      <c r="L107" s="1039"/>
    </row>
    <row r="108" spans="1:12">
      <c r="H108" s="1039"/>
      <c r="I108" s="1039"/>
      <c r="J108" s="1039"/>
      <c r="K108" s="1039"/>
      <c r="L108" s="1039"/>
    </row>
    <row r="109" spans="1:12">
      <c r="H109" s="1039"/>
      <c r="I109" s="1039"/>
      <c r="J109" s="1039"/>
      <c r="K109" s="1039"/>
      <c r="L109" s="1039"/>
    </row>
    <row r="110" spans="1:12">
      <c r="H110" s="1039"/>
      <c r="I110" s="1039"/>
      <c r="J110" s="1039"/>
      <c r="K110" s="1039"/>
      <c r="L110" s="1039"/>
    </row>
    <row r="112" spans="1:12">
      <c r="A112" s="190"/>
      <c r="B112" s="193"/>
      <c r="C112" s="190"/>
      <c r="D112" s="190"/>
      <c r="E112" s="190"/>
      <c r="F112" s="190"/>
      <c r="G112" s="190"/>
      <c r="H112" s="190"/>
      <c r="I112" s="190"/>
      <c r="J112" s="190"/>
    </row>
    <row r="113" spans="1:12">
      <c r="A113" s="373" t="s">
        <v>251</v>
      </c>
      <c r="B113" s="374"/>
      <c r="C113" s="370"/>
      <c r="D113" s="586"/>
      <c r="E113" s="586"/>
      <c r="F113" s="586"/>
      <c r="G113" s="586"/>
      <c r="H113" s="586"/>
      <c r="I113" s="586"/>
      <c r="J113" s="586"/>
      <c r="K113" s="353"/>
      <c r="L113" s="353"/>
    </row>
    <row r="114" spans="1:12" ht="14.25" thickBot="1">
      <c r="A114" s="370"/>
      <c r="B114" s="374"/>
      <c r="C114" s="370"/>
      <c r="D114" s="586"/>
      <c r="E114" s="370"/>
      <c r="F114" s="370"/>
      <c r="G114" s="370"/>
      <c r="H114" s="370"/>
      <c r="I114" s="353"/>
      <c r="J114" s="353"/>
      <c r="K114" s="353"/>
      <c r="L114" s="2"/>
    </row>
    <row r="115" spans="1:12" ht="14.25" thickBot="1">
      <c r="A115" s="587"/>
      <c r="B115" s="588"/>
      <c r="C115" s="589"/>
      <c r="D115" s="377" t="s">
        <v>367</v>
      </c>
      <c r="E115" s="750" t="s">
        <v>366</v>
      </c>
      <c r="F115" s="750" t="s">
        <v>363</v>
      </c>
      <c r="G115" s="748" t="s">
        <v>362</v>
      </c>
      <c r="H115" s="749" t="s">
        <v>361</v>
      </c>
      <c r="I115" s="563" t="s">
        <v>360</v>
      </c>
      <c r="J115" s="353"/>
      <c r="K115" s="353"/>
      <c r="L115" s="353"/>
    </row>
    <row r="116" spans="1:12">
      <c r="A116" s="470" t="s">
        <v>252</v>
      </c>
      <c r="B116" s="590"/>
      <c r="C116" s="591"/>
      <c r="D116" s="620" t="n">
        <f>IFERROR(('2_サービス別給付費'!D54+'2_サービス別給付費'!D58+'2_サービス別給付費'!D120+'2_サービス別給付費'!D128+'2_サービス別給付費'!D141)/D12,"－")</f>
        <v>0.07742099898063201</v>
      </c>
      <c r="E116" s="621" t="n">
        <f>IFERROR(('2_サービス別給付費'!E54+'2_サービス別給付費'!E58+'2_サービス別給付費'!E120+'2_サービス別給付費'!E128+'2_サービス別給付費'!E141)/E12,"－")</f>
        <v>0.07813292744799592</v>
      </c>
      <c r="F116" s="622" t="n">
        <f>IFERROR(('2_サービス別給付費'!F54+'2_サービス別給付費'!F58+'2_サービス別給付費'!F120+'2_サービス別給付費'!F128+'2_サービス別給付費'!F141)/F12,"－")</f>
        <v>0.07859993859379798</v>
      </c>
      <c r="G116" s="620" t="n">
        <f>IFERROR(('2_サービス別給付費'!G54+'2_サービス別給付費'!G58+'2_サービス別給付費'!G120+'2_サービス別給付費'!G128+'2_サービス別給付費'!G141)/G12,"－")</f>
        <v>0.08201795109873104</v>
      </c>
      <c r="H116" s="621" t="n">
        <f>IFERROR(('2_サービス別給付費'!H54+'2_サービス別給付費'!H58+'2_サービス別給付費'!H120+'2_サービス別給付費'!H128+'2_サービス別給付費'!H141)/H12,"－")</f>
        <v>0.08148610677489854</v>
      </c>
      <c r="I116" s="622" t="n">
        <f>IFERROR(('2_サービス別給付費'!I54+'2_サービス別給付費'!I58+'2_サービス別給付費'!I120+'2_サービス別給付費'!I128+'2_サービス別給付費'!I141)/I12,"－")</f>
        <v>0.0824677368586717</v>
      </c>
      <c r="J116" s="353"/>
      <c r="K116" s="353"/>
      <c r="L116" s="353"/>
    </row>
    <row r="117" spans="1:12" ht="14.25" thickBot="1">
      <c r="A117" s="592" t="s">
        <v>253</v>
      </c>
      <c r="B117" s="593"/>
      <c r="C117" s="594"/>
      <c r="D117" s="623" t="n">
        <f>IFERROR(('2_サービス別給付費'!D48+'2_サービス別給付費'!D56+'2_サービス別給付費'!D107+'2_サービス別給付費'!D122+'2_サービス別給付費'!D124+'2_サービス別給付費'!D126+'2_サービス別給付費'!D133+'2_サービス別給付費'!D135+'2_サービス別給付費'!D137+'2_サービス別給付費'!D139)/D12,"－")</f>
        <v>0.05693170234454638</v>
      </c>
      <c r="E117" s="624" t="n">
        <f>IFERROR(('2_サービス別給付費'!E48+'2_サービス別給付費'!E56+'2_サービス別給付費'!E107+'2_サービス別給付費'!E122+'2_サービス別給付費'!E124+'2_サービス別給付費'!E126+'2_サービス別給付費'!E133+'2_サービス別給付費'!E135+'2_サービス別給付費'!E137+'2_サービス別給付費'!E139)/E12,"－")</f>
        <v>0.057711821410451544</v>
      </c>
      <c r="F117" s="625" t="n">
        <f>IFERROR(('2_サービス別給付費'!F48+'2_サービス別給付費'!F56+'2_サービス別給付費'!F107+'2_サービス別給付費'!F122+'2_サービス別給付費'!F124+'2_サービス別給付費'!F126+'2_サービス別給付費'!F133+'2_サービス別給付費'!F135+'2_サービス別給付費'!F137+'2_サービス別給付費'!F139)/F12,"－")</f>
        <v>0.058335891925084433</v>
      </c>
      <c r="G117" s="623" t="n">
        <f>IFERROR(('2_サービス別給付費'!G48+'2_サービス別給付費'!G56+'2_サービス別給付費'!G107+'2_サービス別給付費'!G122+'2_サービス別給付費'!G124+'2_サービス別給付費'!G126+'2_サービス別給付費'!G133+'2_サービス別給付費'!G135+'2_サービス別給付費'!G137+'2_サービス別給付費'!G139)/G12,"－")</f>
        <v>0.05880532342927886</v>
      </c>
      <c r="H117" s="624" t="n">
        <f>IFERROR(('2_サービス別給付費'!H48+'2_サービス別給付費'!H56+'2_サービス別給付費'!H107+'2_サービス別給付費'!H122+'2_サービス別給付費'!H124+'2_サービス別給付費'!H126+'2_サービス別給付費'!H133+'2_サービス別給付費'!H135+'2_サービス別給付費'!H137+'2_サービス別給付費'!H139)/H12,"－")</f>
        <v>0.05931938807368092</v>
      </c>
      <c r="I117" s="625" t="n">
        <f>IFERROR(('2_サービス別給付費'!I48+'2_サービス別給付費'!I56+'2_サービス別給付費'!I107+'2_サービス別給付費'!I122+'2_サービス別給付費'!I124+'2_サービス別給付費'!I126+'2_サービス別給付費'!I133+'2_サービス別給付費'!I135+'2_サービス別給付費'!I137+'2_サービス別給付費'!I139)/I12,"－")</f>
        <v>0.06011960969468052</v>
      </c>
      <c r="J117" s="353"/>
      <c r="K117" s="353"/>
      <c r="L117" s="353"/>
    </row>
    <row r="118" spans="1:12">
      <c r="A118" s="353"/>
      <c r="B118" s="353"/>
      <c r="C118" s="353"/>
      <c r="D118" s="353"/>
      <c r="E118" s="353"/>
      <c r="F118" s="353"/>
      <c r="G118" s="353"/>
      <c r="H118" s="353"/>
      <c r="I118" s="353"/>
      <c r="J118" s="353"/>
      <c r="K118" s="353"/>
      <c r="L118" s="353"/>
    </row>
    <row r="119" spans="1:12">
      <c r="A119" s="353"/>
      <c r="B119" s="353"/>
      <c r="C119" s="353"/>
      <c r="D119" s="353"/>
      <c r="E119" s="353"/>
      <c r="F119" s="353"/>
      <c r="G119" s="353"/>
      <c r="H119" s="353"/>
      <c r="I119" s="353"/>
      <c r="J119" s="353"/>
      <c r="K119" s="353"/>
      <c r="L119" s="353"/>
    </row>
    <row r="120" spans="1:12">
      <c r="A120" s="353"/>
      <c r="B120" s="353"/>
      <c r="C120" s="353"/>
      <c r="D120" s="353"/>
      <c r="E120" s="353"/>
      <c r="F120" s="353"/>
      <c r="G120" s="353"/>
      <c r="H120" s="353"/>
      <c r="I120" s="353"/>
      <c r="J120" s="353"/>
      <c r="K120" s="353"/>
      <c r="L120" s="353"/>
    </row>
    <row r="121" spans="1:12">
      <c r="A121" s="353"/>
      <c r="B121" s="353"/>
      <c r="C121" s="353"/>
      <c r="D121" s="353"/>
      <c r="E121" s="353"/>
      <c r="F121" s="353"/>
      <c r="G121" s="353"/>
      <c r="H121" s="353"/>
      <c r="I121" s="353"/>
      <c r="J121" s="353"/>
      <c r="K121" s="353"/>
      <c r="L121" s="353"/>
    </row>
    <row r="122" spans="1:12">
      <c r="A122" s="353"/>
      <c r="B122" s="353"/>
      <c r="C122" s="353"/>
      <c r="D122" s="353"/>
      <c r="E122" s="353"/>
      <c r="F122" s="353"/>
      <c r="G122" s="353"/>
      <c r="H122" s="353"/>
      <c r="I122" s="353"/>
      <c r="J122" s="353"/>
      <c r="K122" s="353"/>
      <c r="L122" s="353"/>
    </row>
    <row r="123" spans="1:12">
      <c r="A123" s="353"/>
      <c r="B123" s="353"/>
      <c r="C123" s="353"/>
      <c r="D123" s="353"/>
      <c r="E123" s="353"/>
      <c r="F123" s="353"/>
      <c r="G123" s="353"/>
      <c r="H123" s="353"/>
      <c r="I123" s="353"/>
      <c r="J123" s="353"/>
      <c r="K123" s="353"/>
      <c r="L123" s="353"/>
    </row>
    <row r="124" spans="1:12">
      <c r="A124" s="353"/>
      <c r="B124" s="353"/>
      <c r="C124" s="353"/>
      <c r="D124" s="353"/>
      <c r="E124" s="353"/>
      <c r="F124" s="353"/>
      <c r="G124" s="353"/>
      <c r="H124" s="353"/>
      <c r="I124" s="353"/>
      <c r="J124" s="353"/>
      <c r="K124" s="353"/>
      <c r="L124" s="353"/>
    </row>
    <row r="125" spans="1:12">
      <c r="A125" s="353"/>
      <c r="B125" s="353"/>
      <c r="C125" s="353"/>
      <c r="D125" s="353"/>
      <c r="E125" s="353"/>
      <c r="F125" s="353"/>
      <c r="G125" s="353"/>
      <c r="H125" s="353"/>
      <c r="I125" s="353"/>
      <c r="J125" s="353"/>
      <c r="K125" s="353"/>
      <c r="L125" s="353"/>
    </row>
    <row r="126" spans="1:12">
      <c r="A126" s="353"/>
      <c r="B126" s="353"/>
      <c r="C126" s="353"/>
      <c r="D126" s="353"/>
      <c r="E126" s="353"/>
      <c r="F126" s="353"/>
      <c r="G126" s="353"/>
      <c r="H126" s="1047"/>
      <c r="I126" s="1047"/>
      <c r="J126" s="1047"/>
      <c r="K126" s="1047"/>
      <c r="L126" s="1047"/>
    </row>
    <row r="127" spans="1:12">
      <c r="A127" s="353"/>
      <c r="B127" s="353"/>
      <c r="C127" s="353"/>
      <c r="D127" s="353"/>
      <c r="E127" s="353"/>
      <c r="F127" s="353"/>
      <c r="G127" s="353"/>
      <c r="H127" s="1047"/>
      <c r="I127" s="1047"/>
      <c r="J127" s="1047"/>
      <c r="K127" s="1047"/>
      <c r="L127" s="1047"/>
    </row>
    <row r="128" spans="1:12">
      <c r="A128" s="353"/>
      <c r="B128" s="353"/>
      <c r="C128" s="353"/>
      <c r="D128" s="353"/>
      <c r="E128" s="353"/>
      <c r="F128" s="353"/>
      <c r="G128" s="353"/>
      <c r="H128" s="1047"/>
      <c r="I128" s="1047"/>
      <c r="J128" s="1047"/>
      <c r="K128" s="1047"/>
      <c r="L128" s="1047"/>
    </row>
    <row r="129" spans="1:12">
      <c r="A129" s="353"/>
      <c r="B129" s="353"/>
      <c r="C129" s="353"/>
      <c r="D129" s="353"/>
      <c r="E129" s="353"/>
      <c r="F129" s="353"/>
      <c r="G129" s="353"/>
      <c r="H129" s="1047"/>
      <c r="I129" s="1047"/>
      <c r="J129" s="1047"/>
      <c r="K129" s="1047"/>
      <c r="L129" s="1047"/>
    </row>
    <row r="130" spans="1:12">
      <c r="A130" s="353"/>
      <c r="B130" s="353"/>
      <c r="C130" s="353"/>
      <c r="D130" s="353"/>
      <c r="E130" s="353"/>
      <c r="F130" s="353"/>
      <c r="G130" s="353"/>
      <c r="H130" s="1047"/>
      <c r="I130" s="1047"/>
      <c r="J130" s="1047"/>
      <c r="K130" s="1047"/>
      <c r="L130" s="1047"/>
    </row>
    <row r="131" spans="1:12">
      <c r="A131" s="353"/>
      <c r="B131" s="353"/>
      <c r="C131" s="353"/>
      <c r="D131" s="353"/>
      <c r="E131" s="353"/>
      <c r="F131" s="353"/>
      <c r="G131" s="353"/>
      <c r="H131" s="1047" t="s">
        <v>369</v>
      </c>
      <c r="I131" s="1047"/>
      <c r="J131" s="1047"/>
      <c r="K131" s="1047"/>
      <c r="L131" s="1047"/>
    </row>
    <row r="132" spans="1:12">
      <c r="A132" s="353"/>
      <c r="B132" s="353"/>
      <c r="C132" s="353"/>
      <c r="D132" s="353"/>
      <c r="E132" s="353"/>
      <c r="F132" s="353"/>
      <c r="G132" s="353"/>
      <c r="H132" s="1047"/>
      <c r="I132" s="1047"/>
      <c r="J132" s="1047"/>
      <c r="K132" s="1047"/>
      <c r="L132" s="1047"/>
    </row>
    <row r="133" spans="1:12">
      <c r="A133" s="353"/>
      <c r="B133" s="353"/>
      <c r="C133" s="353"/>
      <c r="D133" s="353"/>
      <c r="E133" s="353"/>
      <c r="F133" s="353"/>
      <c r="G133" s="353"/>
      <c r="H133" s="1047"/>
      <c r="I133" s="1047"/>
      <c r="J133" s="1047"/>
      <c r="K133" s="1047"/>
      <c r="L133" s="1047"/>
    </row>
    <row r="134" spans="1:12">
      <c r="A134" s="353"/>
      <c r="B134" s="353"/>
      <c r="C134" s="353"/>
      <c r="D134" s="353"/>
      <c r="E134" s="353"/>
      <c r="F134" s="353"/>
      <c r="G134" s="353"/>
      <c r="H134" s="1047"/>
      <c r="I134" s="1047"/>
      <c r="J134" s="1047"/>
      <c r="K134" s="1047"/>
      <c r="L134" s="1047"/>
    </row>
    <row r="135" spans="1:12">
      <c r="A135" s="353"/>
      <c r="B135" s="353"/>
      <c r="C135" s="353"/>
      <c r="D135" s="353"/>
      <c r="E135" s="353"/>
      <c r="F135" s="353"/>
      <c r="G135" s="353"/>
      <c r="H135" s="1047"/>
      <c r="I135" s="1047"/>
      <c r="J135" s="1047"/>
      <c r="K135" s="1047"/>
      <c r="L135" s="1047"/>
    </row>
    <row r="136" spans="1:12">
      <c r="A136" s="353"/>
      <c r="B136" s="353"/>
      <c r="C136" s="353"/>
      <c r="D136" s="353"/>
      <c r="E136" s="353"/>
      <c r="F136" s="353"/>
      <c r="G136" s="353"/>
      <c r="H136" s="747"/>
      <c r="I136" s="747"/>
      <c r="J136" s="747"/>
      <c r="K136" s="747"/>
      <c r="L136" s="747"/>
    </row>
    <row r="137" spans="1:12">
      <c r="A137" s="353"/>
      <c r="B137" s="595" t="s">
        <v>254</v>
      </c>
      <c r="C137" s="353"/>
      <c r="D137" s="353"/>
      <c r="E137" s="353"/>
      <c r="F137" s="353"/>
      <c r="G137" s="353"/>
      <c r="H137" s="747"/>
      <c r="I137" s="747"/>
      <c r="J137" s="747"/>
      <c r="K137" s="747"/>
      <c r="L137" s="747"/>
    </row>
    <row r="138" spans="1:12">
      <c r="A138" s="353"/>
      <c r="B138" s="595" t="s">
        <v>255</v>
      </c>
      <c r="C138" s="353"/>
      <c r="D138" s="353"/>
      <c r="E138" s="353"/>
      <c r="F138" s="353"/>
      <c r="G138" s="353"/>
      <c r="H138" s="747"/>
      <c r="I138" s="747"/>
      <c r="J138" s="747"/>
      <c r="K138" s="747"/>
      <c r="L138" s="747"/>
    </row>
    <row r="139" spans="1:12" ht="12.75" customHeight="1">
      <c r="H139" s="746"/>
      <c r="I139" s="746"/>
      <c r="J139" s="746"/>
      <c r="K139" s="746"/>
      <c r="L139" s="746"/>
    </row>
    <row r="140" spans="1:12">
      <c r="A140" s="373" t="s">
        <v>256</v>
      </c>
    </row>
    <row r="141" spans="1:12" ht="14.25" thickBot="1">
      <c r="A141" s="373"/>
      <c r="F141" s="2"/>
      <c r="H141" s="2"/>
      <c r="K141" s="2"/>
      <c r="L141" s="2" t="s">
        <v>88</v>
      </c>
    </row>
    <row r="142" spans="1:12" ht="14.25" thickBot="1">
      <c r="A142" s="202"/>
      <c r="B142" s="578"/>
      <c r="C142" s="203"/>
      <c r="D142" s="596"/>
      <c r="E142" s="597"/>
      <c r="F142" s="598" t="s">
        <v>354</v>
      </c>
      <c r="G142" s="524" t="s">
        <v>352</v>
      </c>
      <c r="H142" s="204" t="s">
        <v>385</v>
      </c>
      <c r="I142" s="204" t="s">
        <v>388</v>
      </c>
      <c r="J142" s="764" t="s">
        <v>391</v>
      </c>
      <c r="K142" s="764" t="s">
        <v>394</v>
      </c>
      <c r="L142" s="764" t="s">
        <v>397</v>
      </c>
    </row>
    <row r="143" spans="1:12" ht="14.25" thickBot="1">
      <c r="A143" s="202" t="s">
        <v>79</v>
      </c>
      <c r="B143" s="578"/>
      <c r="C143" s="203"/>
      <c r="D143" s="596"/>
      <c r="E143" s="597"/>
      <c r="F143" s="82" t="n">
        <v>6508.33057624376</v>
      </c>
      <c r="G143" s="82" t="n">
        <v>7194.56971745076</v>
      </c>
      <c r="H143" s="83" t="n">
        <v>8273.06733271842</v>
      </c>
      <c r="I143" s="765" t="n">
        <v>8901.41529283969</v>
      </c>
      <c r="J143" s="765" t="n">
        <v>9184.53483011723</v>
      </c>
      <c r="K143" s="765" t="n">
        <v>9531.72495120786</v>
      </c>
      <c r="L143" s="765" t="n">
        <v>10011.4256969932</v>
      </c>
    </row>
    <row r="144" spans="1:12" ht="14.25" thickBot="1">
      <c r="A144" s="202" t="s">
        <v>355</v>
      </c>
      <c r="B144" s="578"/>
      <c r="C144" s="203"/>
      <c r="D144" s="596"/>
      <c r="E144" s="597"/>
      <c r="F144" s="599"/>
      <c r="G144" s="109" t="n">
        <f>IFERROR(G143/F143,"－")</f>
        <v>1.1054401175797464</v>
      </c>
      <c r="H144" s="110" t="n">
        <f>IFERROR(H143/F143,"－")</f>
        <v>1.2711504487673344</v>
      </c>
      <c r="I144" s="766" t="n">
        <f>IFERROR(I143/F143,"－")</f>
        <v>1.3676956307860262</v>
      </c>
      <c r="J144" s="766" t="n">
        <f>IFERROR(J143/F143,"－")</f>
        <v>1.4111967304859956</v>
      </c>
      <c r="K144" s="766" t="n">
        <f>IFERROR(K143/F143,"－")</f>
        <v>1.4645422262353844</v>
      </c>
      <c r="L144" s="766" t="n">
        <f>IFERROR(L143/F143,"－")</f>
        <v>1.5382478778100461</v>
      </c>
    </row>
    <row r="145" spans="1:17">
      <c r="A145" s="190"/>
      <c r="B145" s="193"/>
      <c r="C145" s="190"/>
    </row>
    <row r="147" spans="1:17">
      <c r="A147" s="373" t="s">
        <v>257</v>
      </c>
      <c r="E147" s="34"/>
      <c r="H147" s="600"/>
      <c r="I147" s="601"/>
      <c r="J147" s="601"/>
      <c r="K147" s="601"/>
      <c r="L147" s="601"/>
    </row>
    <row r="148" spans="1:17" ht="14.25" thickBot="1">
      <c r="D148" s="2"/>
      <c r="F148" s="2"/>
      <c r="G148" s="2"/>
      <c r="H148" s="601"/>
      <c r="I148" s="2"/>
      <c r="J148" s="601"/>
      <c r="O148" s="2"/>
      <c r="Q148" s="2" t="s">
        <v>88</v>
      </c>
    </row>
    <row r="149" spans="1:17" ht="14.25" thickBot="1">
      <c r="D149" s="1048" t="s">
        <v>354</v>
      </c>
      <c r="E149" s="1050"/>
      <c r="F149" s="1048" t="s">
        <v>353</v>
      </c>
      <c r="G149" s="1050"/>
      <c r="H149" s="1048" t="s">
        <v>386</v>
      </c>
      <c r="I149" s="1050"/>
      <c r="J149" s="1048" t="s">
        <v>389</v>
      </c>
      <c r="K149" s="1049"/>
      <c r="L149" s="1048" t="s">
        <v>392</v>
      </c>
      <c r="M149" s="1049"/>
      <c r="N149" s="1048" t="s">
        <v>395</v>
      </c>
      <c r="O149" s="1049"/>
      <c r="P149" s="1048" t="s">
        <v>398</v>
      </c>
      <c r="Q149" s="1049"/>
    </row>
    <row r="150" spans="1:17" ht="14.25" thickBot="1">
      <c r="A150" s="602"/>
      <c r="B150" s="603"/>
      <c r="C150" s="604"/>
      <c r="D150" s="605" t="s">
        <v>80</v>
      </c>
      <c r="E150" s="606" t="s">
        <v>107</v>
      </c>
      <c r="F150" s="605" t="s">
        <v>80</v>
      </c>
      <c r="G150" s="606" t="s">
        <v>107</v>
      </c>
      <c r="H150" s="607" t="s">
        <v>80</v>
      </c>
      <c r="I150" s="606" t="s">
        <v>107</v>
      </c>
      <c r="J150" s="607" t="s">
        <v>80</v>
      </c>
      <c r="K150" s="606" t="s">
        <v>107</v>
      </c>
      <c r="L150" s="607" t="s">
        <v>80</v>
      </c>
      <c r="M150" s="606" t="s">
        <v>107</v>
      </c>
      <c r="N150" s="607" t="s">
        <v>80</v>
      </c>
      <c r="O150" s="606" t="s">
        <v>107</v>
      </c>
      <c r="P150" s="607" t="s">
        <v>80</v>
      </c>
      <c r="Q150" s="606" t="s">
        <v>107</v>
      </c>
    </row>
    <row r="151" spans="1:17">
      <c r="A151" s="84" t="s">
        <v>64</v>
      </c>
      <c r="B151" s="85"/>
      <c r="C151" s="608"/>
      <c r="D151" s="609" t="n">
        <v>6582.325181103817</v>
      </c>
      <c r="E151" s="610" t="n">
        <f t="shared" ref="E151:E161" si="28">IFERROR(D151/D$159,"－")</f>
        <v>0.913334336905903</v>
      </c>
      <c r="F151" s="609" t="n">
        <v>6328.73216175602</v>
      </c>
      <c r="G151" s="610" t="n">
        <f t="shared" ref="G151:G161" si="29">IFERROR(F151/F$159,"－")</f>
        <v>0.8796540182806747</v>
      </c>
      <c r="H151" s="611" t="n">
        <v>7380.37676845994</v>
      </c>
      <c r="I151" s="610" t="n">
        <f t="shared" ref="I151:I161" si="30">IFERROR(H151/H$159,"－")</f>
        <v>0.8920967848613951</v>
      </c>
      <c r="J151" s="611" t="n">
        <v>7862.60200398099</v>
      </c>
      <c r="K151" s="610" t="n">
        <f t="shared" ref="K151:K161" si="31">IFERROR(J151/J$159,"－")</f>
        <v>0.8832979638985811</v>
      </c>
      <c r="L151" s="611" t="n">
        <v>8001.68552081553</v>
      </c>
      <c r="M151" s="610" t="n">
        <f t="shared" ref="M151:M161" si="32">IFERROR(L151/L$159,"－")</f>
        <v>0.8712129322627216</v>
      </c>
      <c r="N151" s="611" t="n">
        <v>8262.87275164942</v>
      </c>
      <c r="O151" s="610" t="n">
        <f t="shared" ref="O151:O161" si="33">IFERROR(N151/N$159,"－")</f>
        <v>0.8668811567629581</v>
      </c>
      <c r="P151" s="611" t="n">
        <v>8762.92506447325</v>
      </c>
      <c r="Q151" s="610" t="n">
        <f t="shared" ref="Q151:Q161" si="34">IFERROR(P151/P$159,"－")</f>
        <v>0.8752924238457944</v>
      </c>
    </row>
    <row r="152" spans="1:17">
      <c r="A152" s="33"/>
      <c r="B152" s="35" t="s">
        <v>70</v>
      </c>
      <c r="C152" s="612"/>
      <c r="D152" s="613" t="n">
        <v>2286.03982717116</v>
      </c>
      <c r="E152" s="403" t="n">
        <f t="shared" si="28"/>
        <v>0.31720077818150655</v>
      </c>
      <c r="F152" s="613" t="n">
        <v>2107.19115367877</v>
      </c>
      <c r="G152" s="403" t="n">
        <f t="shared" si="29"/>
        <v>0.2928863346153531</v>
      </c>
      <c r="H152" s="614" t="n">
        <v>2269.41719142071</v>
      </c>
      <c r="I152" s="403" t="n">
        <f t="shared" si="30"/>
        <v>0.2743138790186795</v>
      </c>
      <c r="J152" s="614" t="n">
        <v>2484.1202245552</v>
      </c>
      <c r="K152" s="403" t="n">
        <f t="shared" si="31"/>
        <v>0.27907025375542577</v>
      </c>
      <c r="L152" s="614" t="n">
        <v>2451.3129487306</v>
      </c>
      <c r="M152" s="403" t="n">
        <f t="shared" si="32"/>
        <v>0.26689571046020105</v>
      </c>
      <c r="N152" s="614" t="n">
        <v>2498.94537999135</v>
      </c>
      <c r="O152" s="403" t="n">
        <f t="shared" si="33"/>
        <v>0.2621713690631289</v>
      </c>
      <c r="P152" s="614" t="n">
        <v>2649.76457184554</v>
      </c>
      <c r="Q152" s="403" t="n">
        <f t="shared" si="34"/>
        <v>0.2646740486363857</v>
      </c>
    </row>
    <row r="153" spans="1:17">
      <c r="A153" s="33"/>
      <c r="B153" s="35" t="s">
        <v>81</v>
      </c>
      <c r="C153" s="612"/>
      <c r="D153" s="613" t="n">
        <v>582.481499689197</v>
      </c>
      <c r="E153" s="403" t="n">
        <f t="shared" si="28"/>
        <v>0.08082255732454946</v>
      </c>
      <c r="F153" s="613" t="n">
        <v>579.858877226637</v>
      </c>
      <c r="G153" s="403" t="n">
        <f t="shared" si="29"/>
        <v>0.08059674170925922</v>
      </c>
      <c r="H153" s="614" t="n">
        <v>667.244179640618</v>
      </c>
      <c r="I153" s="403" t="n">
        <f t="shared" si="30"/>
        <v>0.08065257452961772</v>
      </c>
      <c r="J153" s="614" t="n">
        <v>725.381386095075</v>
      </c>
      <c r="K153" s="403" t="n">
        <f t="shared" si="31"/>
        <v>0.08149056776157525</v>
      </c>
      <c r="L153" s="614" t="n">
        <v>696.599594827998</v>
      </c>
      <c r="M153" s="403" t="n">
        <f t="shared" si="32"/>
        <v>0.07584484219535663</v>
      </c>
      <c r="N153" s="614" t="n">
        <v>706.447896584601</v>
      </c>
      <c r="O153" s="403" t="n">
        <f t="shared" si="33"/>
        <v>0.07411543033405302</v>
      </c>
      <c r="P153" s="614" t="n">
        <v>714.828299033409</v>
      </c>
      <c r="Q153" s="403" t="n">
        <f t="shared" si="34"/>
        <v>0.07140124899974021</v>
      </c>
    </row>
    <row r="154" spans="1:17">
      <c r="A154" s="31"/>
      <c r="B154" s="35" t="s">
        <v>71</v>
      </c>
      <c r="C154" s="612"/>
      <c r="D154" s="613" t="n">
        <v>3713.80385424346</v>
      </c>
      <c r="E154" s="403" t="n">
        <f t="shared" si="28"/>
        <v>0.5153110013998471</v>
      </c>
      <c r="F154" s="613" t="n">
        <v>3641.68213085061</v>
      </c>
      <c r="G154" s="403" t="n">
        <f t="shared" si="29"/>
        <v>0.5061709419560619</v>
      </c>
      <c r="H154" s="614" t="n">
        <v>4443.71539739862</v>
      </c>
      <c r="I154" s="403" t="n">
        <f t="shared" si="30"/>
        <v>0.5371303313130988</v>
      </c>
      <c r="J154" s="614" t="n">
        <v>4653.10039333071</v>
      </c>
      <c r="K154" s="403" t="n">
        <f t="shared" si="31"/>
        <v>0.5227371423815794</v>
      </c>
      <c r="L154" s="614" t="n">
        <v>4853.77297725693</v>
      </c>
      <c r="M154" s="403" t="n">
        <f t="shared" si="32"/>
        <v>0.5284723796071638</v>
      </c>
      <c r="N154" s="614" t="n">
        <v>5057.47947507347</v>
      </c>
      <c r="O154" s="403" t="n">
        <f t="shared" si="33"/>
        <v>0.5305943573657763</v>
      </c>
      <c r="P154" s="614" t="n">
        <v>5398.33219359431</v>
      </c>
      <c r="Q154" s="403" t="n">
        <f t="shared" si="34"/>
        <v>0.5392171262096696</v>
      </c>
    </row>
    <row r="155" spans="1:17">
      <c r="A155" s="30" t="s">
        <v>82</v>
      </c>
      <c r="B155" s="35"/>
      <c r="C155" s="612"/>
      <c r="D155" s="613" t="n">
        <v>532.7119840050973</v>
      </c>
      <c r="E155" s="403" t="n">
        <f t="shared" si="28"/>
        <v>0.07391675939527693</v>
      </c>
      <c r="F155" s="613" t="n">
        <v>554.067220249767</v>
      </c>
      <c r="G155" s="403" t="n">
        <f t="shared" si="29"/>
        <v>0.07701186339272681</v>
      </c>
      <c r="H155" s="614" t="n">
        <v>597.708819210504</v>
      </c>
      <c r="I155" s="403" t="n">
        <f t="shared" si="30"/>
        <v>0.07224754678916712</v>
      </c>
      <c r="J155" s="614" t="n">
        <v>726.448150627042</v>
      </c>
      <c r="K155" s="403" t="n">
        <f t="shared" si="31"/>
        <v>0.08161040988744765</v>
      </c>
      <c r="L155" s="614" t="n">
        <v>857.054415692051</v>
      </c>
      <c r="M155" s="403" t="n">
        <f t="shared" si="32"/>
        <v>0.09331495078897878</v>
      </c>
      <c r="N155" s="614" t="n">
        <v>930.47814459794</v>
      </c>
      <c r="O155" s="403" t="n">
        <f t="shared" si="33"/>
        <v>0.09761907203166094</v>
      </c>
      <c r="P155" s="614" t="n">
        <v>898.863648565541</v>
      </c>
      <c r="Q155" s="403" t="n">
        <f t="shared" si="34"/>
        <v>0.08978378062931665</v>
      </c>
    </row>
    <row r="156" spans="1:17">
      <c r="A156" s="30" t="s">
        <v>83</v>
      </c>
      <c r="B156" s="615"/>
      <c r="C156" s="612"/>
      <c r="D156" s="613" t="n">
        <v>188.607711608201</v>
      </c>
      <c r="E156" s="403" t="n">
        <f t="shared" si="28"/>
        <v>0.02617037209154239</v>
      </c>
      <c r="F156" s="613" t="n">
        <v>311.770335444975</v>
      </c>
      <c r="G156" s="403" t="n">
        <f t="shared" si="29"/>
        <v>0.0433341183265987</v>
      </c>
      <c r="H156" s="614" t="n">
        <v>294.981745047973</v>
      </c>
      <c r="I156" s="403" t="n">
        <f t="shared" si="30"/>
        <v>0.035655668349437446</v>
      </c>
      <c r="J156" s="614" t="n">
        <v>312.36513823166</v>
      </c>
      <c r="K156" s="403" t="n">
        <f t="shared" si="31"/>
        <v>0.035091626213971494</v>
      </c>
      <c r="L156" s="614" t="n">
        <v>325.794893609644</v>
      </c>
      <c r="M156" s="403" t="n">
        <f t="shared" si="32"/>
        <v>0.035472116948299014</v>
      </c>
      <c r="N156" s="614" t="n">
        <v>338.374054960498</v>
      </c>
      <c r="O156" s="403" t="n">
        <f t="shared" si="33"/>
        <v>0.03549977120538075</v>
      </c>
      <c r="P156" s="614" t="n">
        <v>349.636983954372</v>
      </c>
      <c r="Q156" s="403" t="n">
        <f t="shared" si="34"/>
        <v>0.03492379552488522</v>
      </c>
    </row>
    <row r="157" spans="1:17">
      <c r="A157" s="30" t="s">
        <v>84</v>
      </c>
      <c r="B157" s="615"/>
      <c r="C157" s="612"/>
      <c r="D157" s="613" t="n">
        <v>0.0</v>
      </c>
      <c r="E157" s="403" t="n">
        <f t="shared" si="28"/>
        <v>0.0</v>
      </c>
      <c r="F157" s="613" t="n">
        <v>0.0</v>
      </c>
      <c r="G157" s="403" t="n">
        <f t="shared" si="29"/>
        <v>0.0</v>
      </c>
      <c r="H157" s="614" t="n">
        <v>0.0</v>
      </c>
      <c r="I157" s="403" t="n">
        <f t="shared" si="30"/>
        <v>0.0</v>
      </c>
      <c r="J157" s="614" t="n">
        <v>0.0</v>
      </c>
      <c r="K157" s="403" t="n">
        <f t="shared" si="31"/>
        <v>0.0</v>
      </c>
      <c r="L157" s="614" t="n">
        <v>0.0</v>
      </c>
      <c r="M157" s="403" t="n">
        <f t="shared" si="32"/>
        <v>0.0</v>
      </c>
      <c r="N157" s="614" t="n">
        <v>0.0</v>
      </c>
      <c r="O157" s="403" t="n">
        <f t="shared" si="33"/>
        <v>0.0</v>
      </c>
      <c r="P157" s="614" t="n">
        <v>0.0</v>
      </c>
      <c r="Q157" s="403" t="n">
        <f t="shared" si="34"/>
        <v>0.0</v>
      </c>
    </row>
    <row r="158" spans="1:17">
      <c r="A158" s="30" t="s">
        <v>85</v>
      </c>
      <c r="B158" s="35"/>
      <c r="C158" s="612"/>
      <c r="D158" s="613" t="n">
        <v>-96.7274149224349</v>
      </c>
      <c r="E158" s="403" t="n">
        <f t="shared" si="28"/>
        <v>-0.013421468392722189</v>
      </c>
      <c r="F158" s="613" t="n">
        <v>0.0</v>
      </c>
      <c r="G158" s="403" t="n">
        <f t="shared" si="29"/>
        <v>0.0</v>
      </c>
      <c r="H158" s="614" t="n">
        <v>0.0</v>
      </c>
      <c r="I158" s="403" t="n">
        <f t="shared" si="30"/>
        <v>0.0</v>
      </c>
      <c r="J158" s="614" t="n">
        <v>0.0</v>
      </c>
      <c r="K158" s="403" t="n">
        <f t="shared" si="31"/>
        <v>0.0</v>
      </c>
      <c r="L158" s="614" t="n">
        <v>0.0</v>
      </c>
      <c r="M158" s="403" t="n">
        <f t="shared" si="32"/>
        <v>0.0</v>
      </c>
      <c r="N158" s="614" t="n">
        <v>0.0</v>
      </c>
      <c r="O158" s="403" t="n">
        <f t="shared" si="33"/>
        <v>0.0</v>
      </c>
      <c r="P158" s="614" t="n">
        <v>0.0</v>
      </c>
      <c r="Q158" s="403" t="n">
        <f t="shared" si="34"/>
        <v>0.0</v>
      </c>
    </row>
    <row r="159" spans="1:17">
      <c r="A159" s="30" t="s">
        <v>86</v>
      </c>
      <c r="B159" s="35"/>
      <c r="C159" s="616"/>
      <c r="D159" s="613" t="n">
        <v>7206.917461794679</v>
      </c>
      <c r="E159" s="403" t="n">
        <f t="shared" si="28"/>
        <v>1.0</v>
      </c>
      <c r="F159" s="613" t="n">
        <v>7194.56971745076</v>
      </c>
      <c r="G159" s="403" t="n">
        <f t="shared" si="29"/>
        <v>1.0</v>
      </c>
      <c r="H159" s="614" t="n">
        <v>8273.06733271842</v>
      </c>
      <c r="I159" s="403" t="n">
        <f t="shared" si="30"/>
        <v>1.0</v>
      </c>
      <c r="J159" s="614" t="n">
        <v>8901.41529283969</v>
      </c>
      <c r="K159" s="403" t="n">
        <f t="shared" si="31"/>
        <v>1.0</v>
      </c>
      <c r="L159" s="614" t="n">
        <v>9184.53483011723</v>
      </c>
      <c r="M159" s="403" t="n">
        <f t="shared" si="32"/>
        <v>1.0</v>
      </c>
      <c r="N159" s="614" t="n">
        <v>9531.72495120786</v>
      </c>
      <c r="O159" s="403" t="n">
        <f t="shared" si="33"/>
        <v>1.0</v>
      </c>
      <c r="P159" s="614" t="n">
        <v>10011.4256969932</v>
      </c>
      <c r="Q159" s="403" t="n">
        <f t="shared" si="34"/>
        <v>1.0</v>
      </c>
    </row>
    <row r="160" spans="1:17">
      <c r="A160" s="30" t="s">
        <v>87</v>
      </c>
      <c r="B160" s="615"/>
      <c r="C160" s="616"/>
      <c r="D160" s="613" t="n">
        <v>698.586885550919</v>
      </c>
      <c r="E160" s="403" t="n">
        <f t="shared" si="28"/>
        <v>0.09693282728077139</v>
      </c>
      <c r="F160" s="613" t="n">
        <v>0.0</v>
      </c>
      <c r="G160" s="403" t="n">
        <f t="shared" si="29"/>
        <v>0.0</v>
      </c>
      <c r="H160" s="614" t="n">
        <v>0.0</v>
      </c>
      <c r="I160" s="403" t="n">
        <f t="shared" si="30"/>
        <v>0.0</v>
      </c>
      <c r="J160" s="614" t="n">
        <v>0.0</v>
      </c>
      <c r="K160" s="403" t="n">
        <f t="shared" si="31"/>
        <v>0.0</v>
      </c>
      <c r="L160" s="614" t="n">
        <v>0.0</v>
      </c>
      <c r="M160" s="403" t="n">
        <f t="shared" si="32"/>
        <v>0.0</v>
      </c>
      <c r="N160" s="614" t="n">
        <v>0.0</v>
      </c>
      <c r="O160" s="403" t="n">
        <f t="shared" si="33"/>
        <v>0.0</v>
      </c>
      <c r="P160" s="614" t="n">
        <v>0.0</v>
      </c>
      <c r="Q160" s="403" t="n">
        <f t="shared" si="34"/>
        <v>0.0</v>
      </c>
    </row>
    <row r="161" spans="1:17" ht="14.25" thickBot="1">
      <c r="A161" s="32" t="s">
        <v>112</v>
      </c>
      <c r="B161" s="36"/>
      <c r="C161" s="617"/>
      <c r="D161" s="618" t="n">
        <v>6508.33057624376</v>
      </c>
      <c r="E161" s="456" t="n">
        <f t="shared" si="28"/>
        <v>0.9030671727192287</v>
      </c>
      <c r="F161" s="618" t="n">
        <v>7194.56971745076</v>
      </c>
      <c r="G161" s="456" t="n">
        <f t="shared" si="29"/>
        <v>1.0</v>
      </c>
      <c r="H161" s="619" t="n">
        <v>8273.06733271842</v>
      </c>
      <c r="I161" s="456" t="n">
        <f t="shared" si="30"/>
        <v>1.0</v>
      </c>
      <c r="J161" s="619" t="n">
        <v>8901.41529283969</v>
      </c>
      <c r="K161" s="456" t="n">
        <f t="shared" si="31"/>
        <v>1.0</v>
      </c>
      <c r="L161" s="619" t="n">
        <v>9184.53483011723</v>
      </c>
      <c r="M161" s="456" t="n">
        <f t="shared" si="32"/>
        <v>1.0</v>
      </c>
      <c r="N161" s="619" t="n">
        <v>9531.72495120786</v>
      </c>
      <c r="O161" s="456" t="n">
        <f t="shared" si="33"/>
        <v>1.0</v>
      </c>
      <c r="P161" s="619" t="n">
        <v>10011.4256969932</v>
      </c>
      <c r="Q161" s="456" t="n">
        <f t="shared" si="34"/>
        <v>1.0</v>
      </c>
    </row>
  </sheetData>
  <mergeCells count="17">
    <mergeCell ref="P149:Q149"/>
    <mergeCell ref="N149:O149"/>
    <mergeCell ref="D149:E149"/>
    <mergeCell ref="H149:I149"/>
    <mergeCell ref="F149:G149"/>
    <mergeCell ref="H106:L110"/>
    <mergeCell ref="H126:L130"/>
    <mergeCell ref="H131:L135"/>
    <mergeCell ref="J149:K149"/>
    <mergeCell ref="L149:M149"/>
    <mergeCell ref="A1:M1"/>
    <mergeCell ref="H101:L105"/>
    <mergeCell ref="A10:C10"/>
    <mergeCell ref="A18:C18"/>
    <mergeCell ref="Q3:R3"/>
    <mergeCell ref="Q4:R4"/>
    <mergeCell ref="Q5:R5"/>
  </mergeCells>
  <phoneticPr fontId="8"/>
  <conditionalFormatting sqref="F151:F161 H151:H161">
    <cfRule type="containsBlanks" dxfId="9" priority="12">
      <formula>LEN(TRIM(F151))=0</formula>
    </cfRule>
  </conditionalFormatting>
  <conditionalFormatting sqref="G151:G161 I151:I161">
    <cfRule type="cellIs" dxfId="8" priority="11" operator="equal">
      <formula>"－"</formula>
    </cfRule>
  </conditionalFormatting>
  <conditionalFormatting sqref="J151:J161">
    <cfRule type="containsBlanks" dxfId="7" priority="10">
      <formula>LEN(TRIM(J151))=0</formula>
    </cfRule>
  </conditionalFormatting>
  <conditionalFormatting sqref="K151:K161">
    <cfRule type="cellIs" dxfId="6" priority="9" operator="equal">
      <formula>"－"</formula>
    </cfRule>
  </conditionalFormatting>
  <conditionalFormatting sqref="L151:L161">
    <cfRule type="containsBlanks" dxfId="5" priority="8">
      <formula>LEN(TRIM(L151))=0</formula>
    </cfRule>
  </conditionalFormatting>
  <conditionalFormatting sqref="M151:M161">
    <cfRule type="cellIs" dxfId="4" priority="7" operator="equal">
      <formula>"－"</formula>
    </cfRule>
  </conditionalFormatting>
  <conditionalFormatting sqref="N151:N161">
    <cfRule type="containsBlanks" dxfId="3" priority="6">
      <formula>LEN(TRIM(N151))=0</formula>
    </cfRule>
  </conditionalFormatting>
  <conditionalFormatting sqref="O151:O161">
    <cfRule type="cellIs" dxfId="2" priority="5" operator="equal">
      <formula>"－"</formula>
    </cfRule>
  </conditionalFormatting>
  <conditionalFormatting sqref="P151:P161">
    <cfRule type="containsBlanks" dxfId="1" priority="2">
      <formula>LEN(TRIM(P151))=0</formula>
    </cfRule>
  </conditionalFormatting>
  <conditionalFormatting sqref="Q151:Q161">
    <cfRule type="cellIs" dxfId="0" priority="1" operator="equal">
      <formula>"－"</formula>
    </cfRule>
  </conditionalFormatting>
  <pageMargins left="0.70866141732283472" right="0.70866141732283472" top="0.74803149606299213" bottom="0.74803149606299213" header="0.31496062992125984" footer="0.31496062992125984"/>
  <pageSetup paperSize="9" scale="37" fitToHeight="0" orientation="portrait" r:id="rId1"/>
  <headerFooter>
    <oddFooter>&amp;C&amp;P</oddFooter>
  </headerFooter>
  <rowBreaks count="1" manualBreakCount="1">
    <brk id="80" max="19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V168"/>
  <sheetViews>
    <sheetView zoomScale="85" zoomScaleNormal="85" zoomScaleSheetLayoutView="65" workbookViewId="0"/>
  </sheetViews>
  <sheetFormatPr defaultColWidth="9" defaultRowHeight="13.5"/>
  <cols>
    <col min="1" max="1" style="370" width="9.0" collapsed="false"/>
    <col min="2" max="2" bestFit="true" customWidth="true" style="370" width="42.125" collapsed="false"/>
    <col min="3" max="3" customWidth="true" style="370" width="15.375" collapsed="false"/>
    <col min="4" max="20" customWidth="true" style="370" width="11.125" collapsed="false"/>
    <col min="21" max="21" customWidth="true" style="370" width="3.375" collapsed="false"/>
    <col min="22" max="16384" style="370" width="9.0" collapsed="false"/>
  </cols>
  <sheetData>
    <row r="1" spans="1:21" ht="14.25">
      <c r="A1" s="191" t="s">
        <v>73</v>
      </c>
      <c r="K1" s="371"/>
      <c r="L1" s="372"/>
    </row>
    <row r="2" spans="1:21" ht="15" thickBot="1">
      <c r="A2" s="191"/>
      <c r="S2" s="371" t="s">
        <v>98</v>
      </c>
      <c r="T2" s="372" t="str">
        <f>'1_推計値サマリ'!T2</f>
        <v>2026/09/11</v>
      </c>
    </row>
    <row r="3" spans="1:21" s="353" customFormat="1" ht="14.25" thickBot="1">
      <c r="A3" s="370"/>
      <c r="B3" s="370"/>
      <c r="C3" s="370"/>
      <c r="D3" s="370"/>
      <c r="E3" s="370"/>
      <c r="F3" s="370"/>
      <c r="G3" s="370"/>
      <c r="H3" s="370"/>
      <c r="I3" s="370"/>
      <c r="J3" s="370"/>
      <c r="K3" s="370"/>
      <c r="L3" s="370"/>
      <c r="M3" s="370"/>
      <c r="N3" s="370"/>
      <c r="O3" s="370"/>
      <c r="P3" s="370"/>
      <c r="Q3" s="1051" t="s">
        <v>67</v>
      </c>
      <c r="R3" s="1052"/>
      <c r="S3" s="1065" t="str">
        <f>保険者名</f>
        <v>川崎町</v>
      </c>
      <c r="T3" s="1066"/>
      <c r="U3" s="370"/>
    </row>
    <row r="4" spans="1:21" s="353" customFormat="1" ht="14.25" thickBot="1">
      <c r="A4" s="370"/>
      <c r="B4" s="370"/>
      <c r="C4" s="370"/>
      <c r="D4" s="370"/>
      <c r="E4" s="370"/>
      <c r="F4" s="370"/>
      <c r="G4" s="370"/>
      <c r="H4" s="370"/>
      <c r="I4" s="370"/>
      <c r="J4" s="370"/>
      <c r="K4" s="370"/>
      <c r="L4" s="370"/>
      <c r="M4" s="370"/>
      <c r="N4" s="370"/>
      <c r="O4" s="370"/>
      <c r="P4" s="370"/>
      <c r="Q4" s="1051" t="s">
        <v>68</v>
      </c>
      <c r="R4" s="1052"/>
      <c r="S4" s="1065" t="str">
        <f>保険者番号</f>
        <v>04324</v>
      </c>
      <c r="T4" s="1066"/>
      <c r="U4" s="370"/>
    </row>
    <row r="5" spans="1:21" s="353" customFormat="1" ht="31.5" customHeight="1" thickBot="1">
      <c r="A5" s="370"/>
      <c r="B5" s="370"/>
      <c r="C5" s="370"/>
      <c r="D5" s="370"/>
      <c r="E5" s="370"/>
      <c r="F5" s="370"/>
      <c r="G5" s="370"/>
      <c r="H5" s="370"/>
      <c r="I5" s="370"/>
      <c r="J5" s="370"/>
      <c r="K5" s="370"/>
      <c r="L5" s="370"/>
      <c r="M5" s="370"/>
      <c r="N5" s="370"/>
      <c r="O5" s="370"/>
      <c r="P5" s="370"/>
      <c r="Q5" s="1053" t="s">
        <v>103</v>
      </c>
      <c r="R5" s="1054"/>
      <c r="S5" s="1065" t="str">
        <f>推計パターン名</f>
        <v>R8</v>
      </c>
      <c r="T5" s="1066"/>
      <c r="U5" s="370"/>
    </row>
    <row r="8" spans="1:21">
      <c r="A8" s="373" t="s">
        <v>89</v>
      </c>
      <c r="B8" s="374"/>
    </row>
    <row r="9" spans="1:21" ht="14.25" thickBot="1">
      <c r="B9" s="374"/>
      <c r="L9" s="2"/>
      <c r="R9" s="2"/>
      <c r="T9" s="2" t="s">
        <v>108</v>
      </c>
    </row>
    <row r="10" spans="1:21" ht="23.25" thickBot="1">
      <c r="A10" s="29"/>
      <c r="B10" s="375"/>
      <c r="C10" s="376"/>
      <c r="D10" s="377" t="s">
        <v>367</v>
      </c>
      <c r="E10" s="749" t="s">
        <v>366</v>
      </c>
      <c r="F10" s="378" t="s">
        <v>363</v>
      </c>
      <c r="G10" s="748" t="s">
        <v>362</v>
      </c>
      <c r="H10" s="749" t="s">
        <v>361</v>
      </c>
      <c r="I10" s="750" t="s">
        <v>360</v>
      </c>
      <c r="J10" s="38" t="s">
        <v>104</v>
      </c>
      <c r="K10" s="748" t="s">
        <v>384</v>
      </c>
      <c r="L10" s="39" t="s">
        <v>105</v>
      </c>
      <c r="M10" s="748" t="s">
        <v>387</v>
      </c>
      <c r="N10" s="39" t="s">
        <v>105</v>
      </c>
      <c r="O10" s="748" t="s">
        <v>390</v>
      </c>
      <c r="P10" s="39" t="s">
        <v>105</v>
      </c>
      <c r="Q10" s="748" t="s">
        <v>393</v>
      </c>
      <c r="R10" s="39" t="s">
        <v>105</v>
      </c>
      <c r="S10" s="748" t="s">
        <v>396</v>
      </c>
      <c r="T10" s="39" t="s">
        <v>105</v>
      </c>
    </row>
    <row r="11" spans="1:21">
      <c r="A11" s="379" t="s">
        <v>15</v>
      </c>
      <c r="B11" s="380"/>
      <c r="C11" s="381"/>
      <c r="D11" s="382"/>
      <c r="E11" s="383"/>
      <c r="F11" s="384"/>
      <c r="G11" s="385"/>
      <c r="H11" s="386"/>
      <c r="I11" s="386"/>
      <c r="J11" s="387"/>
      <c r="K11" s="385"/>
      <c r="L11" s="388"/>
      <c r="M11" s="385"/>
      <c r="N11" s="388"/>
      <c r="O11" s="385"/>
      <c r="P11" s="388"/>
      <c r="Q11" s="385"/>
      <c r="R11" s="388"/>
      <c r="S11" s="385"/>
      <c r="T11" s="388"/>
    </row>
    <row r="12" spans="1:21" ht="13.5" hidden="1" customHeight="1">
      <c r="A12" s="19"/>
      <c r="B12" s="1055" t="s">
        <v>262</v>
      </c>
      <c r="C12" s="389" t="s">
        <v>16</v>
      </c>
      <c r="D12" s="390"/>
      <c r="E12" s="391"/>
      <c r="F12" s="392"/>
      <c r="G12" s="393"/>
      <c r="H12" s="394"/>
      <c r="I12" s="394"/>
      <c r="J12" s="395"/>
      <c r="K12" s="393"/>
      <c r="L12" s="396"/>
      <c r="M12" s="393"/>
      <c r="N12" s="396"/>
      <c r="O12" s="393"/>
      <c r="P12" s="396"/>
      <c r="Q12" s="393"/>
      <c r="R12" s="396"/>
      <c r="S12" s="393"/>
      <c r="T12" s="396"/>
    </row>
    <row r="13" spans="1:21" ht="13.5" hidden="1" customHeight="1">
      <c r="A13" s="19"/>
      <c r="B13" s="1059"/>
      <c r="C13" s="389" t="s">
        <v>17</v>
      </c>
      <c r="D13" s="390"/>
      <c r="E13" s="391"/>
      <c r="F13" s="392"/>
      <c r="G13" s="397"/>
      <c r="H13" s="398"/>
      <c r="I13" s="398"/>
      <c r="J13" s="399"/>
      <c r="K13" s="397"/>
      <c r="L13" s="400"/>
      <c r="M13" s="397"/>
      <c r="N13" s="400"/>
      <c r="O13" s="397"/>
      <c r="P13" s="400"/>
      <c r="Q13" s="397"/>
      <c r="R13" s="400"/>
      <c r="S13" s="397"/>
      <c r="T13" s="400"/>
    </row>
    <row r="14" spans="1:21">
      <c r="A14" s="19"/>
      <c r="B14" s="1055" t="s">
        <v>18</v>
      </c>
      <c r="C14" s="389" t="s">
        <v>16</v>
      </c>
      <c r="D14" s="390" t="n">
        <v>52.542</v>
      </c>
      <c r="E14" s="391" t="n">
        <v>168.56</v>
      </c>
      <c r="F14" s="392" t="n">
        <v>0.0</v>
      </c>
      <c r="G14" s="401" t="n">
        <v>0.0</v>
      </c>
      <c r="H14" s="391" t="n">
        <v>0.0</v>
      </c>
      <c r="I14" s="391" t="n">
        <v>0.0</v>
      </c>
      <c r="J14" s="402" t="str">
        <f t="shared" ref="J14:J24" si="0">IFERROR(SUM(G14:I14)/3/F14,"－")</f>
        <v>－</v>
      </c>
      <c r="K14" s="401" t="n">
        <v>0.0</v>
      </c>
      <c r="L14" s="403" t="str">
        <f t="shared" ref="L14:L24" si="1">IFERROR(K14/F14,"－")</f>
        <v>－</v>
      </c>
      <c r="M14" s="401" t="n">
        <v>0.0</v>
      </c>
      <c r="N14" s="403" t="str">
        <f>IFERROR(M14/F14,"－")</f>
        <v>－</v>
      </c>
      <c r="O14" s="401" t="n">
        <v>0.0</v>
      </c>
      <c r="P14" s="403" t="str">
        <f>IFERROR(O14/F14,"－")</f>
        <v>－</v>
      </c>
      <c r="Q14" s="401" t="n">
        <v>0.0</v>
      </c>
      <c r="R14" s="403" t="str">
        <f>IFERROR(Q14/F14,"－")</f>
        <v>－</v>
      </c>
      <c r="S14" s="401" t="n">
        <v>0.0</v>
      </c>
      <c r="T14" s="403" t="str">
        <f>IFERROR(S14/F14,"－")</f>
        <v>－</v>
      </c>
    </row>
    <row r="15" spans="1:21">
      <c r="A15" s="19"/>
      <c r="B15" s="1056"/>
      <c r="C15" s="389" t="s">
        <v>19</v>
      </c>
      <c r="D15" s="404" t="n">
        <v>0.5</v>
      </c>
      <c r="E15" s="405" t="n">
        <v>1.6666666666666667</v>
      </c>
      <c r="F15" s="406" t="n">
        <v>0.0</v>
      </c>
      <c r="G15" s="407" t="n">
        <v>0.0</v>
      </c>
      <c r="H15" s="405" t="n">
        <v>0.0</v>
      </c>
      <c r="I15" s="405" t="n">
        <v>0.0</v>
      </c>
      <c r="J15" s="402" t="str">
        <f t="shared" si="0"/>
        <v>－</v>
      </c>
      <c r="K15" s="407" t="n">
        <v>0.0</v>
      </c>
      <c r="L15" s="403" t="str">
        <f t="shared" si="1"/>
        <v>－</v>
      </c>
      <c r="M15" s="407" t="n">
        <v>0.0</v>
      </c>
      <c r="N15" s="403" t="str">
        <f t="shared" ref="N15:N61" si="2">IFERROR(M15/F15,"－")</f>
        <v>－</v>
      </c>
      <c r="O15" s="407" t="n">
        <v>0.0</v>
      </c>
      <c r="P15" s="403" t="str">
        <f t="shared" ref="P15:P61" si="3">IFERROR(O15/F15,"－")</f>
        <v>－</v>
      </c>
      <c r="Q15" s="407" t="n">
        <v>0.0</v>
      </c>
      <c r="R15" s="403" t="str">
        <f t="shared" ref="R15:R61" si="4">IFERROR(Q15/F15,"－")</f>
        <v>－</v>
      </c>
      <c r="S15" s="407" t="n">
        <v>0.0</v>
      </c>
      <c r="T15" s="403" t="str">
        <f t="shared" ref="T15:T47" si="5">IFERROR(S15/F15,"－")</f>
        <v>－</v>
      </c>
    </row>
    <row r="16" spans="1:21">
      <c r="A16" s="19"/>
      <c r="B16" s="753"/>
      <c r="C16" s="389" t="s">
        <v>17</v>
      </c>
      <c r="D16" s="390" t="n">
        <v>0.16666666666666666</v>
      </c>
      <c r="E16" s="391" t="n">
        <v>0.4166666666666667</v>
      </c>
      <c r="F16" s="392" t="n">
        <v>0.0</v>
      </c>
      <c r="G16" s="401" t="n">
        <v>0.0</v>
      </c>
      <c r="H16" s="391" t="n">
        <v>0.0</v>
      </c>
      <c r="I16" s="391" t="n">
        <v>0.0</v>
      </c>
      <c r="J16" s="402" t="str">
        <f t="shared" si="0"/>
        <v>－</v>
      </c>
      <c r="K16" s="401" t="n">
        <v>0.0</v>
      </c>
      <c r="L16" s="403" t="str">
        <f t="shared" si="1"/>
        <v>－</v>
      </c>
      <c r="M16" s="401" t="n">
        <v>0.0</v>
      </c>
      <c r="N16" s="403" t="str">
        <f t="shared" si="2"/>
        <v>－</v>
      </c>
      <c r="O16" s="401" t="n">
        <v>0.0</v>
      </c>
      <c r="P16" s="403" t="str">
        <f t="shared" si="3"/>
        <v>－</v>
      </c>
      <c r="Q16" s="401" t="n">
        <v>0.0</v>
      </c>
      <c r="R16" s="403" t="str">
        <f t="shared" si="4"/>
        <v>－</v>
      </c>
      <c r="S16" s="401" t="n">
        <v>0.0</v>
      </c>
      <c r="T16" s="403" t="str">
        <f t="shared" si="5"/>
        <v>－</v>
      </c>
    </row>
    <row r="17" spans="1:20">
      <c r="A17" s="19"/>
      <c r="B17" s="1055" t="s">
        <v>20</v>
      </c>
      <c r="C17" s="389" t="s">
        <v>16</v>
      </c>
      <c r="D17" s="390" t="n">
        <v>153.405</v>
      </c>
      <c r="E17" s="391" t="n">
        <v>118.694</v>
      </c>
      <c r="F17" s="392" t="n">
        <v>114.3072</v>
      </c>
      <c r="G17" s="408" t="n">
        <v>318.0</v>
      </c>
      <c r="H17" s="409" t="n">
        <v>318.0</v>
      </c>
      <c r="I17" s="409" t="n">
        <v>318.0</v>
      </c>
      <c r="J17" s="410" t="n">
        <f t="shared" si="0"/>
        <v>2.781976988326195</v>
      </c>
      <c r="K17" s="408" t="n">
        <v>318.0</v>
      </c>
      <c r="L17" s="411" t="n">
        <f t="shared" si="1"/>
        <v>2.781976988326195</v>
      </c>
      <c r="M17" s="408" t="n">
        <v>318.0</v>
      </c>
      <c r="N17" s="411" t="n">
        <f t="shared" si="2"/>
        <v>2.781976988326195</v>
      </c>
      <c r="O17" s="408" t="n">
        <v>318.0</v>
      </c>
      <c r="P17" s="411" t="n">
        <f t="shared" si="3"/>
        <v>2.781976988326195</v>
      </c>
      <c r="Q17" s="408" t="n">
        <v>318.0</v>
      </c>
      <c r="R17" s="411" t="n">
        <f t="shared" si="4"/>
        <v>2.781976988326195</v>
      </c>
      <c r="S17" s="408" t="n">
        <v>318.0</v>
      </c>
      <c r="T17" s="403" t="n">
        <f t="shared" si="5"/>
        <v>2.781976988326195</v>
      </c>
    </row>
    <row r="18" spans="1:20">
      <c r="A18" s="19"/>
      <c r="B18" s="1056"/>
      <c r="C18" s="389" t="s">
        <v>19</v>
      </c>
      <c r="D18" s="404" t="n">
        <v>3.75</v>
      </c>
      <c r="E18" s="405" t="n">
        <v>2.8333333333333335</v>
      </c>
      <c r="F18" s="406" t="n">
        <v>2.8</v>
      </c>
      <c r="G18" s="407" t="n">
        <v>7.8</v>
      </c>
      <c r="H18" s="405" t="n">
        <v>7.8</v>
      </c>
      <c r="I18" s="405" t="n">
        <v>7.8</v>
      </c>
      <c r="J18" s="412" t="n">
        <f t="shared" si="0"/>
        <v>2.785714285714286</v>
      </c>
      <c r="K18" s="407" t="n">
        <v>7.8</v>
      </c>
      <c r="L18" s="403" t="n">
        <f t="shared" si="1"/>
        <v>2.785714285714286</v>
      </c>
      <c r="M18" s="407" t="n">
        <v>7.8</v>
      </c>
      <c r="N18" s="403" t="n">
        <f t="shared" si="2"/>
        <v>2.785714285714286</v>
      </c>
      <c r="O18" s="407" t="n">
        <v>7.8</v>
      </c>
      <c r="P18" s="403" t="n">
        <f t="shared" si="3"/>
        <v>2.785714285714286</v>
      </c>
      <c r="Q18" s="407" t="n">
        <v>7.8</v>
      </c>
      <c r="R18" s="403" t="n">
        <f t="shared" si="4"/>
        <v>2.785714285714286</v>
      </c>
      <c r="S18" s="407" t="n">
        <v>7.8</v>
      </c>
      <c r="T18" s="403" t="n">
        <f t="shared" si="5"/>
        <v>2.785714285714286</v>
      </c>
    </row>
    <row r="19" spans="1:20">
      <c r="A19" s="19"/>
      <c r="B19" s="753"/>
      <c r="C19" s="389" t="s">
        <v>17</v>
      </c>
      <c r="D19" s="390" t="n">
        <v>0.9166666666666666</v>
      </c>
      <c r="E19" s="391" t="n">
        <v>1.0</v>
      </c>
      <c r="F19" s="392" t="n">
        <v>1.0</v>
      </c>
      <c r="G19" s="401" t="n">
        <v>1.0</v>
      </c>
      <c r="H19" s="391" t="n">
        <v>1.0</v>
      </c>
      <c r="I19" s="391" t="n">
        <v>1.0</v>
      </c>
      <c r="J19" s="402" t="n">
        <f t="shared" si="0"/>
        <v>1.0</v>
      </c>
      <c r="K19" s="401" t="n">
        <v>1.0</v>
      </c>
      <c r="L19" s="403" t="n">
        <f t="shared" si="1"/>
        <v>1.0</v>
      </c>
      <c r="M19" s="401" t="n">
        <v>1.0</v>
      </c>
      <c r="N19" s="403" t="n">
        <f t="shared" si="2"/>
        <v>1.0</v>
      </c>
      <c r="O19" s="401" t="n">
        <v>1.0</v>
      </c>
      <c r="P19" s="403" t="n">
        <f t="shared" si="3"/>
        <v>1.0</v>
      </c>
      <c r="Q19" s="401" t="n">
        <v>1.0</v>
      </c>
      <c r="R19" s="403" t="n">
        <f t="shared" si="4"/>
        <v>1.0</v>
      </c>
      <c r="S19" s="401" t="n">
        <v>1.0</v>
      </c>
      <c r="T19" s="403" t="n">
        <f t="shared" si="5"/>
        <v>1.0</v>
      </c>
    </row>
    <row r="20" spans="1:20">
      <c r="A20" s="19"/>
      <c r="B20" s="1055" t="s">
        <v>21</v>
      </c>
      <c r="C20" s="389" t="s">
        <v>16</v>
      </c>
      <c r="D20" s="390" t="n">
        <v>2263.051</v>
      </c>
      <c r="E20" s="391" t="n">
        <v>2212.932</v>
      </c>
      <c r="F20" s="392" t="n">
        <v>2246.6412</v>
      </c>
      <c r="G20" s="408" t="n">
        <v>3526.0</v>
      </c>
      <c r="H20" s="409" t="n">
        <v>3652.0</v>
      </c>
      <c r="I20" s="409" t="n">
        <v>3652.0</v>
      </c>
      <c r="J20" s="410" t="n">
        <f t="shared" si="0"/>
        <v>1.6068431398836627</v>
      </c>
      <c r="K20" s="408" t="n">
        <v>3652.0</v>
      </c>
      <c r="L20" s="411" t="n">
        <f t="shared" si="1"/>
        <v>1.625537713810287</v>
      </c>
      <c r="M20" s="408" t="n">
        <v>3652.0</v>
      </c>
      <c r="N20" s="411" t="n">
        <f t="shared" si="2"/>
        <v>1.625537713810287</v>
      </c>
      <c r="O20" s="408" t="n">
        <v>3652.0</v>
      </c>
      <c r="P20" s="411" t="n">
        <f t="shared" si="3"/>
        <v>1.625537713810287</v>
      </c>
      <c r="Q20" s="408" t="n">
        <v>3652.0</v>
      </c>
      <c r="R20" s="411" t="n">
        <f t="shared" si="4"/>
        <v>1.625537713810287</v>
      </c>
      <c r="S20" s="408" t="n">
        <v>3652.0</v>
      </c>
      <c r="T20" s="403" t="n">
        <f t="shared" si="5"/>
        <v>1.625537713810287</v>
      </c>
    </row>
    <row r="21" spans="1:20">
      <c r="A21" s="19"/>
      <c r="B21" s="1056"/>
      <c r="C21" s="389" t="s">
        <v>19</v>
      </c>
      <c r="D21" s="404" t="n">
        <v>60.083333333333336</v>
      </c>
      <c r="E21" s="405" t="n">
        <v>57.666666666666664</v>
      </c>
      <c r="F21" s="406" t="n">
        <v>54.9</v>
      </c>
      <c r="G21" s="407" t="n">
        <v>84.8</v>
      </c>
      <c r="H21" s="405" t="n">
        <v>87.8</v>
      </c>
      <c r="I21" s="405" t="n">
        <v>87.8</v>
      </c>
      <c r="J21" s="402" t="n">
        <f t="shared" si="0"/>
        <v>1.5810564663023678</v>
      </c>
      <c r="K21" s="407" t="n">
        <v>87.8</v>
      </c>
      <c r="L21" s="403" t="n">
        <f t="shared" si="1"/>
        <v>1.5992714025500911</v>
      </c>
      <c r="M21" s="407" t="n">
        <v>87.8</v>
      </c>
      <c r="N21" s="403" t="n">
        <f t="shared" si="2"/>
        <v>1.5992714025500911</v>
      </c>
      <c r="O21" s="407" t="n">
        <v>87.8</v>
      </c>
      <c r="P21" s="403" t="n">
        <f t="shared" si="3"/>
        <v>1.5992714025500911</v>
      </c>
      <c r="Q21" s="407" t="n">
        <v>87.8</v>
      </c>
      <c r="R21" s="403" t="n">
        <f t="shared" si="4"/>
        <v>1.5992714025500911</v>
      </c>
      <c r="S21" s="407" t="n">
        <v>87.8</v>
      </c>
      <c r="T21" s="403" t="n">
        <f t="shared" si="5"/>
        <v>1.5992714025500911</v>
      </c>
    </row>
    <row r="22" spans="1:20">
      <c r="A22" s="19"/>
      <c r="B22" s="753"/>
      <c r="C22" s="389" t="s">
        <v>17</v>
      </c>
      <c r="D22" s="390" t="n">
        <v>5.0</v>
      </c>
      <c r="E22" s="391" t="n">
        <v>5.25</v>
      </c>
      <c r="F22" s="392" t="n">
        <v>5.0</v>
      </c>
      <c r="G22" s="401" t="n">
        <v>5.0</v>
      </c>
      <c r="H22" s="391" t="n">
        <v>5.0</v>
      </c>
      <c r="I22" s="391" t="n">
        <v>5.0</v>
      </c>
      <c r="J22" s="402" t="n">
        <f t="shared" si="0"/>
        <v>1.0</v>
      </c>
      <c r="K22" s="401" t="n">
        <v>5.0</v>
      </c>
      <c r="L22" s="403" t="n">
        <f t="shared" si="1"/>
        <v>1.0</v>
      </c>
      <c r="M22" s="401" t="n">
        <v>5.0</v>
      </c>
      <c r="N22" s="403" t="n">
        <f t="shared" si="2"/>
        <v>1.0</v>
      </c>
      <c r="O22" s="401" t="n">
        <v>5.0</v>
      </c>
      <c r="P22" s="403" t="n">
        <f t="shared" si="3"/>
        <v>1.0</v>
      </c>
      <c r="Q22" s="401" t="n">
        <v>5.0</v>
      </c>
      <c r="R22" s="403" t="n">
        <f t="shared" si="4"/>
        <v>1.0</v>
      </c>
      <c r="S22" s="401" t="n">
        <v>5.0</v>
      </c>
      <c r="T22" s="403" t="n">
        <f t="shared" si="5"/>
        <v>1.0</v>
      </c>
    </row>
    <row r="23" spans="1:20">
      <c r="A23" s="19"/>
      <c r="B23" s="1055" t="s">
        <v>22</v>
      </c>
      <c r="C23" s="389" t="s">
        <v>16</v>
      </c>
      <c r="D23" s="390" t="n">
        <v>0.0</v>
      </c>
      <c r="E23" s="391" t="n">
        <v>0.0</v>
      </c>
      <c r="F23" s="392" t="n">
        <v>0.0</v>
      </c>
      <c r="G23" s="408" t="n">
        <v>0.0</v>
      </c>
      <c r="H23" s="409" t="n">
        <v>0.0</v>
      </c>
      <c r="I23" s="409" t="n">
        <v>0.0</v>
      </c>
      <c r="J23" s="410" t="str">
        <f t="shared" si="0"/>
        <v>－</v>
      </c>
      <c r="K23" s="408" t="n">
        <v>0.0</v>
      </c>
      <c r="L23" s="411" t="str">
        <f t="shared" si="1"/>
        <v>－</v>
      </c>
      <c r="M23" s="408" t="n">
        <v>0.0</v>
      </c>
      <c r="N23" s="411" t="str">
        <f t="shared" si="2"/>
        <v>－</v>
      </c>
      <c r="O23" s="408" t="n">
        <v>0.0</v>
      </c>
      <c r="P23" s="411" t="str">
        <f t="shared" si="3"/>
        <v>－</v>
      </c>
      <c r="Q23" s="408" t="n">
        <v>0.0</v>
      </c>
      <c r="R23" s="411" t="str">
        <f t="shared" si="4"/>
        <v>－</v>
      </c>
      <c r="S23" s="408" t="n">
        <v>0.0</v>
      </c>
      <c r="T23" s="403" t="str">
        <f t="shared" si="5"/>
        <v>－</v>
      </c>
    </row>
    <row r="24" spans="1:20">
      <c r="A24" s="19"/>
      <c r="B24" s="1059"/>
      <c r="C24" s="389" t="s">
        <v>17</v>
      </c>
      <c r="D24" s="390" t="n">
        <v>0.0</v>
      </c>
      <c r="E24" s="391" t="n">
        <v>0.0</v>
      </c>
      <c r="F24" s="392" t="n">
        <v>0.0</v>
      </c>
      <c r="G24" s="401" t="n">
        <v>0.0</v>
      </c>
      <c r="H24" s="391" t="n">
        <v>0.0</v>
      </c>
      <c r="I24" s="391" t="n">
        <v>0.0</v>
      </c>
      <c r="J24" s="402" t="str">
        <f t="shared" si="0"/>
        <v>－</v>
      </c>
      <c r="K24" s="401" t="n">
        <v>0.0</v>
      </c>
      <c r="L24" s="403" t="str">
        <f t="shared" si="1"/>
        <v>－</v>
      </c>
      <c r="M24" s="401" t="n">
        <v>0.0</v>
      </c>
      <c r="N24" s="403" t="str">
        <f t="shared" si="2"/>
        <v>－</v>
      </c>
      <c r="O24" s="401" t="n">
        <v>0.0</v>
      </c>
      <c r="P24" s="403" t="str">
        <f t="shared" si="3"/>
        <v>－</v>
      </c>
      <c r="Q24" s="401" t="n">
        <v>0.0</v>
      </c>
      <c r="R24" s="403" t="str">
        <f t="shared" si="4"/>
        <v>－</v>
      </c>
      <c r="S24" s="401" t="n">
        <v>0.0</v>
      </c>
      <c r="T24" s="403" t="str">
        <f t="shared" si="5"/>
        <v>－</v>
      </c>
    </row>
    <row r="25" spans="1:20" hidden="1">
      <c r="A25" s="19"/>
      <c r="B25" s="1055" t="s">
        <v>262</v>
      </c>
      <c r="C25" s="389" t="s">
        <v>16</v>
      </c>
      <c r="D25" s="390"/>
      <c r="E25" s="391"/>
      <c r="F25" s="392"/>
      <c r="G25" s="413"/>
      <c r="H25" s="414"/>
      <c r="I25" s="414"/>
      <c r="J25" s="415"/>
      <c r="K25" s="413"/>
      <c r="L25" s="416"/>
      <c r="M25" s="413"/>
      <c r="N25" s="416" t="str">
        <f t="shared" si="2"/>
        <v>－</v>
      </c>
      <c r="O25" s="413"/>
      <c r="P25" s="416" t="str">
        <f t="shared" si="3"/>
        <v>－</v>
      </c>
      <c r="Q25" s="413"/>
      <c r="R25" s="416" t="str">
        <f t="shared" si="4"/>
        <v>－</v>
      </c>
      <c r="S25" s="413"/>
      <c r="T25" s="403" t="str">
        <f t="shared" si="5"/>
        <v>－</v>
      </c>
    </row>
    <row r="26" spans="1:20" hidden="1">
      <c r="A26" s="19"/>
      <c r="B26" s="1067"/>
      <c r="C26" s="389" t="s">
        <v>17</v>
      </c>
      <c r="D26" s="390"/>
      <c r="E26" s="391"/>
      <c r="F26" s="392"/>
      <c r="G26" s="397"/>
      <c r="H26" s="398"/>
      <c r="I26" s="398"/>
      <c r="J26" s="417"/>
      <c r="K26" s="397"/>
      <c r="L26" s="418"/>
      <c r="M26" s="397"/>
      <c r="N26" s="418" t="str">
        <f t="shared" si="2"/>
        <v>－</v>
      </c>
      <c r="O26" s="397"/>
      <c r="P26" s="418" t="str">
        <f t="shared" si="3"/>
        <v>－</v>
      </c>
      <c r="Q26" s="397"/>
      <c r="R26" s="418" t="str">
        <f t="shared" si="4"/>
        <v>－</v>
      </c>
      <c r="S26" s="397"/>
      <c r="T26" s="403" t="str">
        <f t="shared" si="5"/>
        <v>－</v>
      </c>
    </row>
    <row r="27" spans="1:20">
      <c r="A27" s="19"/>
      <c r="B27" s="1055" t="s">
        <v>23</v>
      </c>
      <c r="C27" s="389" t="s">
        <v>16</v>
      </c>
      <c r="D27" s="390" t="n">
        <v>18826.216</v>
      </c>
      <c r="E27" s="391" t="n">
        <v>17070.292</v>
      </c>
      <c r="F27" s="392" t="n">
        <v>16909.284</v>
      </c>
      <c r="G27" s="408" t="n">
        <v>16674.0</v>
      </c>
      <c r="H27" s="409" t="n">
        <v>15614.0</v>
      </c>
      <c r="I27" s="409" t="n">
        <v>16144.0</v>
      </c>
      <c r="J27" s="410" t="n">
        <f t="shared" ref="J27:J46" si="6">IFERROR(SUM(G27:I27)/3/F27,"－")</f>
        <v>0.9547417856368136</v>
      </c>
      <c r="K27" s="408" t="n">
        <v>16144.0</v>
      </c>
      <c r="L27" s="411" t="n">
        <f t="shared" ref="L27:L47" si="7">IFERROR(K27/F27,"－")</f>
        <v>0.9547417856368136</v>
      </c>
      <c r="M27" s="408" t="n">
        <v>17500.0</v>
      </c>
      <c r="N27" s="411" t="n">
        <f t="shared" si="2"/>
        <v>1.0349344182757827</v>
      </c>
      <c r="O27" s="408" t="n">
        <v>18325.0</v>
      </c>
      <c r="P27" s="411" t="n">
        <f t="shared" si="3"/>
        <v>1.0837241837087839</v>
      </c>
      <c r="Q27" s="408" t="n">
        <v>17500.0</v>
      </c>
      <c r="R27" s="411" t="n">
        <f t="shared" si="4"/>
        <v>1.0349344182757827</v>
      </c>
      <c r="S27" s="408" t="n">
        <v>15319.0</v>
      </c>
      <c r="T27" s="403" t="n">
        <f t="shared" si="5"/>
        <v>0.9059520202038123</v>
      </c>
    </row>
    <row r="28" spans="1:20">
      <c r="A28" s="19"/>
      <c r="B28" s="1059"/>
      <c r="C28" s="389" t="s">
        <v>17</v>
      </c>
      <c r="D28" s="390" t="n">
        <v>37.5</v>
      </c>
      <c r="E28" s="391" t="n">
        <v>34.666666666666664</v>
      </c>
      <c r="F28" s="392" t="n">
        <v>35.0</v>
      </c>
      <c r="G28" s="401" t="n">
        <v>35.0</v>
      </c>
      <c r="H28" s="391" t="n">
        <v>33.0</v>
      </c>
      <c r="I28" s="391" t="n">
        <v>34.0</v>
      </c>
      <c r="J28" s="402" t="n">
        <f t="shared" si="6"/>
        <v>0.9714285714285714</v>
      </c>
      <c r="K28" s="401" t="n">
        <v>34.0</v>
      </c>
      <c r="L28" s="403" t="n">
        <f t="shared" si="7"/>
        <v>0.9714285714285714</v>
      </c>
      <c r="M28" s="401" t="n">
        <v>37.0</v>
      </c>
      <c r="N28" s="403" t="n">
        <f t="shared" si="2"/>
        <v>1.0571428571428572</v>
      </c>
      <c r="O28" s="401" t="n">
        <v>39.0</v>
      </c>
      <c r="P28" s="403" t="n">
        <f t="shared" si="3"/>
        <v>1.1142857142857143</v>
      </c>
      <c r="Q28" s="401" t="n">
        <v>37.0</v>
      </c>
      <c r="R28" s="403" t="n">
        <f t="shared" si="4"/>
        <v>1.0571428571428572</v>
      </c>
      <c r="S28" s="401" t="n">
        <v>32.0</v>
      </c>
      <c r="T28" s="403" t="n">
        <f t="shared" si="5"/>
        <v>0.9142857142857143</v>
      </c>
    </row>
    <row r="29" spans="1:20">
      <c r="A29" s="19"/>
      <c r="B29" s="1055" t="s">
        <v>24</v>
      </c>
      <c r="C29" s="389" t="s">
        <v>16</v>
      </c>
      <c r="D29" s="390" t="n">
        <v>57.912</v>
      </c>
      <c r="E29" s="391" t="n">
        <v>37.6</v>
      </c>
      <c r="F29" s="392" t="n">
        <v>0.0</v>
      </c>
      <c r="G29" s="408" t="n">
        <v>0.0</v>
      </c>
      <c r="H29" s="409" t="n">
        <v>0.0</v>
      </c>
      <c r="I29" s="409" t="n">
        <v>0.0</v>
      </c>
      <c r="J29" s="410" t="str">
        <f t="shared" si="6"/>
        <v>－</v>
      </c>
      <c r="K29" s="408" t="n">
        <v>0.0</v>
      </c>
      <c r="L29" s="411" t="str">
        <f t="shared" si="7"/>
        <v>－</v>
      </c>
      <c r="M29" s="408" t="n">
        <v>0.0</v>
      </c>
      <c r="N29" s="411" t="str">
        <f t="shared" si="2"/>
        <v>－</v>
      </c>
      <c r="O29" s="408" t="n">
        <v>0.0</v>
      </c>
      <c r="P29" s="411" t="str">
        <f t="shared" si="3"/>
        <v>－</v>
      </c>
      <c r="Q29" s="408" t="n">
        <v>0.0</v>
      </c>
      <c r="R29" s="411" t="str">
        <f t="shared" si="4"/>
        <v>－</v>
      </c>
      <c r="S29" s="408" t="n">
        <v>0.0</v>
      </c>
      <c r="T29" s="403" t="str">
        <f t="shared" si="5"/>
        <v>－</v>
      </c>
    </row>
    <row r="30" spans="1:20">
      <c r="A30" s="19"/>
      <c r="B30" s="1056"/>
      <c r="C30" s="389" t="s">
        <v>25</v>
      </c>
      <c r="D30" s="404" t="n">
        <v>0.75</v>
      </c>
      <c r="E30" s="405" t="n">
        <v>0.4166666666666667</v>
      </c>
      <c r="F30" s="406" t="n">
        <v>0.0</v>
      </c>
      <c r="G30" s="407" t="n">
        <v>0.0</v>
      </c>
      <c r="H30" s="405" t="n">
        <v>0.0</v>
      </c>
      <c r="I30" s="405" t="n">
        <v>0.0</v>
      </c>
      <c r="J30" s="402" t="str">
        <f t="shared" si="6"/>
        <v>－</v>
      </c>
      <c r="K30" s="407" t="n">
        <v>0.0</v>
      </c>
      <c r="L30" s="403" t="str">
        <f t="shared" si="7"/>
        <v>－</v>
      </c>
      <c r="M30" s="407" t="n">
        <v>0.0</v>
      </c>
      <c r="N30" s="403" t="str">
        <f t="shared" si="2"/>
        <v>－</v>
      </c>
      <c r="O30" s="407" t="n">
        <v>0.0</v>
      </c>
      <c r="P30" s="403" t="str">
        <f t="shared" si="3"/>
        <v>－</v>
      </c>
      <c r="Q30" s="407" t="n">
        <v>0.0</v>
      </c>
      <c r="R30" s="403" t="str">
        <f t="shared" si="4"/>
        <v>－</v>
      </c>
      <c r="S30" s="407" t="n">
        <v>0.0</v>
      </c>
      <c r="T30" s="403" t="str">
        <f t="shared" si="5"/>
        <v>－</v>
      </c>
    </row>
    <row r="31" spans="1:20">
      <c r="A31" s="19"/>
      <c r="B31" s="751"/>
      <c r="C31" s="389" t="s">
        <v>17</v>
      </c>
      <c r="D31" s="390" t="n">
        <v>0.16666666666666666</v>
      </c>
      <c r="E31" s="391" t="n">
        <v>0.08333333333333333</v>
      </c>
      <c r="F31" s="392" t="n">
        <v>0.0</v>
      </c>
      <c r="G31" s="401" t="n">
        <v>0.0</v>
      </c>
      <c r="H31" s="391" t="n">
        <v>0.0</v>
      </c>
      <c r="I31" s="391" t="n">
        <v>0.0</v>
      </c>
      <c r="J31" s="402" t="str">
        <f t="shared" si="6"/>
        <v>－</v>
      </c>
      <c r="K31" s="401" t="n">
        <v>0.0</v>
      </c>
      <c r="L31" s="403" t="str">
        <f t="shared" si="7"/>
        <v>－</v>
      </c>
      <c r="M31" s="401" t="n">
        <v>0.0</v>
      </c>
      <c r="N31" s="403" t="str">
        <f t="shared" si="2"/>
        <v>－</v>
      </c>
      <c r="O31" s="401" t="n">
        <v>0.0</v>
      </c>
      <c r="P31" s="403" t="str">
        <f t="shared" si="3"/>
        <v>－</v>
      </c>
      <c r="Q31" s="401" t="n">
        <v>0.0</v>
      </c>
      <c r="R31" s="403" t="str">
        <f t="shared" si="4"/>
        <v>－</v>
      </c>
      <c r="S31" s="401" t="n">
        <v>0.0</v>
      </c>
      <c r="T31" s="403" t="str">
        <f t="shared" si="5"/>
        <v>－</v>
      </c>
    </row>
    <row r="32" spans="1:20">
      <c r="A32" s="19"/>
      <c r="B32" s="1057" t="s">
        <v>26</v>
      </c>
      <c r="C32" s="389" t="s">
        <v>16</v>
      </c>
      <c r="D32" s="390" t="n">
        <v>260.084</v>
      </c>
      <c r="E32" s="391" t="n">
        <v>44.84</v>
      </c>
      <c r="F32" s="392" t="n">
        <v>0.0</v>
      </c>
      <c r="G32" s="408" t="n">
        <v>0.0</v>
      </c>
      <c r="H32" s="409" t="n">
        <v>0.0</v>
      </c>
      <c r="I32" s="409" t="n">
        <v>0.0</v>
      </c>
      <c r="J32" s="410" t="str">
        <f t="shared" si="6"/>
        <v>－</v>
      </c>
      <c r="K32" s="408" t="n">
        <v>0.0</v>
      </c>
      <c r="L32" s="411" t="str">
        <f t="shared" si="7"/>
        <v>－</v>
      </c>
      <c r="M32" s="408" t="n">
        <v>0.0</v>
      </c>
      <c r="N32" s="411" t="str">
        <f t="shared" si="2"/>
        <v>－</v>
      </c>
      <c r="O32" s="408" t="n">
        <v>0.0</v>
      </c>
      <c r="P32" s="411" t="str">
        <f t="shared" si="3"/>
        <v>－</v>
      </c>
      <c r="Q32" s="408" t="n">
        <v>0.0</v>
      </c>
      <c r="R32" s="411" t="str">
        <f t="shared" si="4"/>
        <v>－</v>
      </c>
      <c r="S32" s="408" t="n">
        <v>0.0</v>
      </c>
      <c r="T32" s="403" t="str">
        <f t="shared" si="5"/>
        <v>－</v>
      </c>
    </row>
    <row r="33" spans="1:20">
      <c r="A33" s="19"/>
      <c r="B33" s="1058"/>
      <c r="C33" s="389" t="s">
        <v>25</v>
      </c>
      <c r="D33" s="404" t="n">
        <v>1.9166666666666667</v>
      </c>
      <c r="E33" s="405" t="n">
        <v>0.3333333333333333</v>
      </c>
      <c r="F33" s="406" t="n">
        <v>0.0</v>
      </c>
      <c r="G33" s="407" t="n">
        <v>0.0</v>
      </c>
      <c r="H33" s="405" t="n">
        <v>0.0</v>
      </c>
      <c r="I33" s="405" t="n">
        <v>0.0</v>
      </c>
      <c r="J33" s="402" t="str">
        <f t="shared" si="6"/>
        <v>－</v>
      </c>
      <c r="K33" s="407" t="n">
        <v>0.0</v>
      </c>
      <c r="L33" s="403" t="str">
        <f t="shared" si="7"/>
        <v>－</v>
      </c>
      <c r="M33" s="407" t="n">
        <v>0.0</v>
      </c>
      <c r="N33" s="403" t="str">
        <f t="shared" si="2"/>
        <v>－</v>
      </c>
      <c r="O33" s="407" t="n">
        <v>0.0</v>
      </c>
      <c r="P33" s="403" t="str">
        <f t="shared" si="3"/>
        <v>－</v>
      </c>
      <c r="Q33" s="407" t="n">
        <v>0.0</v>
      </c>
      <c r="R33" s="403" t="str">
        <f t="shared" si="4"/>
        <v>－</v>
      </c>
      <c r="S33" s="407" t="n">
        <v>0.0</v>
      </c>
      <c r="T33" s="403" t="str">
        <f t="shared" si="5"/>
        <v>－</v>
      </c>
    </row>
    <row r="34" spans="1:20">
      <c r="A34" s="19"/>
      <c r="B34" s="753"/>
      <c r="C34" s="389" t="s">
        <v>17</v>
      </c>
      <c r="D34" s="390" t="n">
        <v>0.5</v>
      </c>
      <c r="E34" s="391" t="n">
        <v>0.08333333333333333</v>
      </c>
      <c r="F34" s="392" t="n">
        <v>0.0</v>
      </c>
      <c r="G34" s="401" t="n">
        <v>0.0</v>
      </c>
      <c r="H34" s="391" t="n">
        <v>0.0</v>
      </c>
      <c r="I34" s="391" t="n">
        <v>0.0</v>
      </c>
      <c r="J34" s="402" t="str">
        <f t="shared" si="6"/>
        <v>－</v>
      </c>
      <c r="K34" s="401" t="n">
        <v>0.0</v>
      </c>
      <c r="L34" s="403" t="str">
        <f t="shared" si="7"/>
        <v>－</v>
      </c>
      <c r="M34" s="401" t="n">
        <v>0.0</v>
      </c>
      <c r="N34" s="403" t="str">
        <f t="shared" si="2"/>
        <v>－</v>
      </c>
      <c r="O34" s="401" t="n">
        <v>0.0</v>
      </c>
      <c r="P34" s="403" t="str">
        <f t="shared" si="3"/>
        <v>－</v>
      </c>
      <c r="Q34" s="401" t="n">
        <v>0.0</v>
      </c>
      <c r="R34" s="403" t="str">
        <f t="shared" si="4"/>
        <v>－</v>
      </c>
      <c r="S34" s="401" t="n">
        <v>0.0</v>
      </c>
      <c r="T34" s="403" t="str">
        <f t="shared" si="5"/>
        <v>－</v>
      </c>
    </row>
    <row r="35" spans="1:20">
      <c r="A35" s="19"/>
      <c r="B35" s="1057" t="s">
        <v>27</v>
      </c>
      <c r="C35" s="389" t="s">
        <v>16</v>
      </c>
      <c r="D35" s="390" t="n">
        <v>0.0</v>
      </c>
      <c r="E35" s="391" t="n">
        <v>0.0</v>
      </c>
      <c r="F35" s="392" t="n">
        <v>0.0</v>
      </c>
      <c r="G35" s="408" t="n">
        <v>0.0</v>
      </c>
      <c r="H35" s="409" t="n">
        <v>0.0</v>
      </c>
      <c r="I35" s="409" t="n">
        <v>0.0</v>
      </c>
      <c r="J35" s="402" t="str">
        <f t="shared" si="6"/>
        <v>－</v>
      </c>
      <c r="K35" s="408" t="n">
        <v>0.0</v>
      </c>
      <c r="L35" s="403" t="str">
        <f t="shared" si="7"/>
        <v>－</v>
      </c>
      <c r="M35" s="408" t="n">
        <v>0.0</v>
      </c>
      <c r="N35" s="403" t="str">
        <f t="shared" si="2"/>
        <v>－</v>
      </c>
      <c r="O35" s="408" t="n">
        <v>0.0</v>
      </c>
      <c r="P35" s="403" t="str">
        <f t="shared" si="3"/>
        <v>－</v>
      </c>
      <c r="Q35" s="408" t="n">
        <v>0.0</v>
      </c>
      <c r="R35" s="403" t="str">
        <f t="shared" si="4"/>
        <v>－</v>
      </c>
      <c r="S35" s="408" t="n">
        <v>0.0</v>
      </c>
      <c r="T35" s="403" t="str">
        <f t="shared" si="5"/>
        <v>－</v>
      </c>
    </row>
    <row r="36" spans="1:20">
      <c r="A36" s="19"/>
      <c r="B36" s="1058"/>
      <c r="C36" s="389" t="s">
        <v>25</v>
      </c>
      <c r="D36" s="404" t="n">
        <v>0.0</v>
      </c>
      <c r="E36" s="405" t="n">
        <v>0.0</v>
      </c>
      <c r="F36" s="406" t="n">
        <v>0.0</v>
      </c>
      <c r="G36" s="407" t="n">
        <v>0.0</v>
      </c>
      <c r="H36" s="405" t="n">
        <v>0.0</v>
      </c>
      <c r="I36" s="405" t="n">
        <v>0.0</v>
      </c>
      <c r="J36" s="402" t="str">
        <f t="shared" si="6"/>
        <v>－</v>
      </c>
      <c r="K36" s="407" t="n">
        <v>0.0</v>
      </c>
      <c r="L36" s="403" t="str">
        <f t="shared" si="7"/>
        <v>－</v>
      </c>
      <c r="M36" s="407" t="n">
        <v>0.0</v>
      </c>
      <c r="N36" s="403" t="str">
        <f t="shared" si="2"/>
        <v>－</v>
      </c>
      <c r="O36" s="407" t="n">
        <v>0.0</v>
      </c>
      <c r="P36" s="403" t="str">
        <f t="shared" si="3"/>
        <v>－</v>
      </c>
      <c r="Q36" s="407" t="n">
        <v>0.0</v>
      </c>
      <c r="R36" s="403" t="str">
        <f t="shared" si="4"/>
        <v>－</v>
      </c>
      <c r="S36" s="407" t="n">
        <v>0.0</v>
      </c>
      <c r="T36" s="403" t="str">
        <f t="shared" si="5"/>
        <v>－</v>
      </c>
    </row>
    <row r="37" spans="1:20">
      <c r="A37" s="19"/>
      <c r="B37" s="28"/>
      <c r="C37" s="389" t="s">
        <v>17</v>
      </c>
      <c r="D37" s="390" t="n">
        <v>0.0</v>
      </c>
      <c r="E37" s="391" t="n">
        <v>0.0</v>
      </c>
      <c r="F37" s="392" t="n">
        <v>0.0</v>
      </c>
      <c r="G37" s="401" t="n">
        <v>0.0</v>
      </c>
      <c r="H37" s="391" t="n">
        <v>0.0</v>
      </c>
      <c r="I37" s="391" t="n">
        <v>0.0</v>
      </c>
      <c r="J37" s="402" t="str">
        <f t="shared" si="6"/>
        <v>－</v>
      </c>
      <c r="K37" s="401" t="n">
        <v>0.0</v>
      </c>
      <c r="L37" s="403" t="str">
        <f t="shared" si="7"/>
        <v>－</v>
      </c>
      <c r="M37" s="401" t="n">
        <v>0.0</v>
      </c>
      <c r="N37" s="403" t="str">
        <f t="shared" si="2"/>
        <v>－</v>
      </c>
      <c r="O37" s="401" t="n">
        <v>0.0</v>
      </c>
      <c r="P37" s="403" t="str">
        <f t="shared" si="3"/>
        <v>－</v>
      </c>
      <c r="Q37" s="401" t="n">
        <v>0.0</v>
      </c>
      <c r="R37" s="403" t="str">
        <f t="shared" si="4"/>
        <v>－</v>
      </c>
      <c r="S37" s="401" t="n">
        <v>0.0</v>
      </c>
      <c r="T37" s="403" t="str">
        <f t="shared" si="5"/>
        <v>－</v>
      </c>
    </row>
    <row r="38" spans="1:20">
      <c r="A38" s="19"/>
      <c r="B38" s="1057" t="s">
        <v>264</v>
      </c>
      <c r="C38" s="419" t="s">
        <v>16</v>
      </c>
      <c r="D38" s="420" t="n">
        <v>0.0</v>
      </c>
      <c r="E38" s="391" t="n">
        <v>0.0</v>
      </c>
      <c r="F38" s="421" t="n">
        <v>0.0</v>
      </c>
      <c r="G38" s="408" t="n">
        <v>0.0</v>
      </c>
      <c r="H38" s="409" t="n">
        <v>0.0</v>
      </c>
      <c r="I38" s="409" t="n">
        <v>0.0</v>
      </c>
      <c r="J38" s="422" t="str">
        <f t="shared" si="6"/>
        <v>－</v>
      </c>
      <c r="K38" s="408" t="n">
        <v>0.0</v>
      </c>
      <c r="L38" s="423" t="str">
        <f t="shared" si="7"/>
        <v>－</v>
      </c>
      <c r="M38" s="408" t="n">
        <v>0.0</v>
      </c>
      <c r="N38" s="423" t="str">
        <f t="shared" si="2"/>
        <v>－</v>
      </c>
      <c r="O38" s="408" t="n">
        <v>0.0</v>
      </c>
      <c r="P38" s="423" t="str">
        <f t="shared" si="3"/>
        <v>－</v>
      </c>
      <c r="Q38" s="408" t="n">
        <v>0.0</v>
      </c>
      <c r="R38" s="423" t="str">
        <f t="shared" si="4"/>
        <v>－</v>
      </c>
      <c r="S38" s="408" t="n">
        <v>0.0</v>
      </c>
      <c r="T38" s="403" t="str">
        <f t="shared" si="5"/>
        <v>－</v>
      </c>
    </row>
    <row r="39" spans="1:20">
      <c r="A39" s="19"/>
      <c r="B39" s="1058"/>
      <c r="C39" s="419" t="s">
        <v>25</v>
      </c>
      <c r="D39" s="424" t="n">
        <v>0.0</v>
      </c>
      <c r="E39" s="405" t="n">
        <v>0.0</v>
      </c>
      <c r="F39" s="425" t="n">
        <v>0.0</v>
      </c>
      <c r="G39" s="407" t="n">
        <v>0.0</v>
      </c>
      <c r="H39" s="405" t="n">
        <v>0.0</v>
      </c>
      <c r="I39" s="405" t="n">
        <v>0.0</v>
      </c>
      <c r="J39" s="422" t="str">
        <f t="shared" si="6"/>
        <v>－</v>
      </c>
      <c r="K39" s="407" t="n">
        <v>0.0</v>
      </c>
      <c r="L39" s="423" t="str">
        <f t="shared" si="7"/>
        <v>－</v>
      </c>
      <c r="M39" s="407" t="n">
        <v>0.0</v>
      </c>
      <c r="N39" s="423" t="str">
        <f t="shared" si="2"/>
        <v>－</v>
      </c>
      <c r="O39" s="407" t="n">
        <v>0.0</v>
      </c>
      <c r="P39" s="423" t="str">
        <f t="shared" si="3"/>
        <v>－</v>
      </c>
      <c r="Q39" s="407" t="n">
        <v>0.0</v>
      </c>
      <c r="R39" s="423" t="str">
        <f t="shared" si="4"/>
        <v>－</v>
      </c>
      <c r="S39" s="407" t="n">
        <v>0.0</v>
      </c>
      <c r="T39" s="403" t="str">
        <f t="shared" si="5"/>
        <v>－</v>
      </c>
    </row>
    <row r="40" spans="1:20">
      <c r="A40" s="19"/>
      <c r="B40" s="28"/>
      <c r="C40" s="419" t="s">
        <v>17</v>
      </c>
      <c r="D40" s="420" t="n">
        <v>0.0</v>
      </c>
      <c r="E40" s="391" t="n">
        <v>0.0</v>
      </c>
      <c r="F40" s="421" t="n">
        <v>0.0</v>
      </c>
      <c r="G40" s="401" t="n">
        <v>0.0</v>
      </c>
      <c r="H40" s="391" t="n">
        <v>0.0</v>
      </c>
      <c r="I40" s="391" t="n">
        <v>0.0</v>
      </c>
      <c r="J40" s="422" t="str">
        <f t="shared" si="6"/>
        <v>－</v>
      </c>
      <c r="K40" s="401" t="n">
        <v>0.0</v>
      </c>
      <c r="L40" s="423" t="str">
        <f t="shared" si="7"/>
        <v>－</v>
      </c>
      <c r="M40" s="401" t="n">
        <v>0.0</v>
      </c>
      <c r="N40" s="423" t="str">
        <f t="shared" si="2"/>
        <v>－</v>
      </c>
      <c r="O40" s="401" t="n">
        <v>0.0</v>
      </c>
      <c r="P40" s="423" t="str">
        <f t="shared" si="3"/>
        <v>－</v>
      </c>
      <c r="Q40" s="401" t="n">
        <v>0.0</v>
      </c>
      <c r="R40" s="423" t="str">
        <f t="shared" si="4"/>
        <v>－</v>
      </c>
      <c r="S40" s="401" t="n">
        <v>0.0</v>
      </c>
      <c r="T40" s="403" t="str">
        <f t="shared" si="5"/>
        <v>－</v>
      </c>
    </row>
    <row r="41" spans="1:20">
      <c r="A41" s="19"/>
      <c r="B41" s="1055" t="s">
        <v>28</v>
      </c>
      <c r="C41" s="389" t="s">
        <v>16</v>
      </c>
      <c r="D41" s="390" t="n">
        <v>2636.495</v>
      </c>
      <c r="E41" s="391" t="n">
        <v>3245.792</v>
      </c>
      <c r="F41" s="392" t="n">
        <v>3271.908</v>
      </c>
      <c r="G41" s="408" t="n">
        <v>4122.0</v>
      </c>
      <c r="H41" s="409" t="n">
        <v>4122.0</v>
      </c>
      <c r="I41" s="409" t="n">
        <v>4224.0</v>
      </c>
      <c r="J41" s="402" t="n">
        <f t="shared" si="6"/>
        <v>1.2702068640071786</v>
      </c>
      <c r="K41" s="408" t="n">
        <v>4224.0</v>
      </c>
      <c r="L41" s="403" t="n">
        <f t="shared" si="7"/>
        <v>1.2909898444577292</v>
      </c>
      <c r="M41" s="408" t="n">
        <v>4621.0</v>
      </c>
      <c r="N41" s="403" t="n">
        <f t="shared" si="2"/>
        <v>1.4123257744410906</v>
      </c>
      <c r="O41" s="408" t="n">
        <v>4824.0</v>
      </c>
      <c r="P41" s="403" t="n">
        <f t="shared" si="3"/>
        <v>1.4743690837272931</v>
      </c>
      <c r="Q41" s="408" t="n">
        <v>4575.0</v>
      </c>
      <c r="R41" s="403" t="n">
        <f t="shared" si="4"/>
        <v>1.398266699430424</v>
      </c>
      <c r="S41" s="408" t="n">
        <v>4076.0</v>
      </c>
      <c r="T41" s="403" t="n">
        <f t="shared" si="5"/>
        <v>1.245756298771237</v>
      </c>
    </row>
    <row r="42" spans="1:20">
      <c r="A42" s="19"/>
      <c r="B42" s="1059"/>
      <c r="C42" s="389" t="s">
        <v>17</v>
      </c>
      <c r="D42" s="390" t="n">
        <v>33.166666666666664</v>
      </c>
      <c r="E42" s="391" t="n">
        <v>36.666666666666664</v>
      </c>
      <c r="F42" s="392" t="n">
        <v>36.0</v>
      </c>
      <c r="G42" s="401" t="n">
        <v>46.0</v>
      </c>
      <c r="H42" s="391" t="n">
        <v>46.0</v>
      </c>
      <c r="I42" s="391" t="n">
        <v>47.0</v>
      </c>
      <c r="J42" s="402" t="n">
        <f t="shared" si="6"/>
        <v>1.2870370370370372</v>
      </c>
      <c r="K42" s="401" t="n">
        <v>47.0</v>
      </c>
      <c r="L42" s="403" t="n">
        <f t="shared" si="7"/>
        <v>1.3055555555555556</v>
      </c>
      <c r="M42" s="401" t="n">
        <v>52.0</v>
      </c>
      <c r="N42" s="403" t="n">
        <f t="shared" si="2"/>
        <v>1.4444444444444444</v>
      </c>
      <c r="O42" s="401" t="n">
        <v>54.0</v>
      </c>
      <c r="P42" s="403" t="n">
        <f t="shared" si="3"/>
        <v>1.5</v>
      </c>
      <c r="Q42" s="401" t="n">
        <v>51.0</v>
      </c>
      <c r="R42" s="403" t="n">
        <f t="shared" si="4"/>
        <v>1.4166666666666667</v>
      </c>
      <c r="S42" s="401" t="n">
        <v>45.0</v>
      </c>
      <c r="T42" s="403" t="n">
        <f t="shared" si="5"/>
        <v>1.25</v>
      </c>
    </row>
    <row r="43" spans="1:20">
      <c r="A43" s="19"/>
      <c r="B43" s="1055" t="s">
        <v>29</v>
      </c>
      <c r="C43" s="389" t="s">
        <v>16</v>
      </c>
      <c r="D43" s="390" t="n">
        <v>70.686</v>
      </c>
      <c r="E43" s="391" t="n">
        <v>79.812</v>
      </c>
      <c r="F43" s="392" t="n">
        <v>0.0</v>
      </c>
      <c r="G43" s="408" t="n">
        <v>0.0</v>
      </c>
      <c r="H43" s="409" t="n">
        <v>0.0</v>
      </c>
      <c r="I43" s="409" t="n">
        <v>0.0</v>
      </c>
      <c r="J43" s="402" t="str">
        <f t="shared" si="6"/>
        <v>－</v>
      </c>
      <c r="K43" s="408" t="n">
        <v>0.0</v>
      </c>
      <c r="L43" s="403" t="str">
        <f t="shared" si="7"/>
        <v>－</v>
      </c>
      <c r="M43" s="408" t="n">
        <v>0.0</v>
      </c>
      <c r="N43" s="403" t="str">
        <f t="shared" si="2"/>
        <v>－</v>
      </c>
      <c r="O43" s="408" t="n">
        <v>0.0</v>
      </c>
      <c r="P43" s="403" t="str">
        <f t="shared" si="3"/>
        <v>－</v>
      </c>
      <c r="Q43" s="408" t="n">
        <v>0.0</v>
      </c>
      <c r="R43" s="403" t="str">
        <f t="shared" si="4"/>
        <v>－</v>
      </c>
      <c r="S43" s="408" t="n">
        <v>0.0</v>
      </c>
      <c r="T43" s="403" t="str">
        <f t="shared" si="5"/>
        <v>－</v>
      </c>
    </row>
    <row r="44" spans="1:20">
      <c r="A44" s="19"/>
      <c r="B44" s="1059"/>
      <c r="C44" s="389" t="s">
        <v>17</v>
      </c>
      <c r="D44" s="390" t="n">
        <v>0.25</v>
      </c>
      <c r="E44" s="391" t="n">
        <v>0.25</v>
      </c>
      <c r="F44" s="392" t="n">
        <v>0.0</v>
      </c>
      <c r="G44" s="401" t="n">
        <v>0.0</v>
      </c>
      <c r="H44" s="391" t="n">
        <v>0.0</v>
      </c>
      <c r="I44" s="391" t="n">
        <v>0.0</v>
      </c>
      <c r="J44" s="402" t="str">
        <f t="shared" si="6"/>
        <v>－</v>
      </c>
      <c r="K44" s="401" t="n">
        <v>0.0</v>
      </c>
      <c r="L44" s="403" t="str">
        <f t="shared" si="7"/>
        <v>－</v>
      </c>
      <c r="M44" s="401" t="n">
        <v>0.0</v>
      </c>
      <c r="N44" s="403" t="str">
        <f t="shared" si="2"/>
        <v>－</v>
      </c>
      <c r="O44" s="401" t="n">
        <v>0.0</v>
      </c>
      <c r="P44" s="403" t="str">
        <f t="shared" si="3"/>
        <v>－</v>
      </c>
      <c r="Q44" s="401" t="n">
        <v>0.0</v>
      </c>
      <c r="R44" s="403" t="str">
        <f t="shared" si="4"/>
        <v>－</v>
      </c>
      <c r="S44" s="401" t="n">
        <v>0.0</v>
      </c>
      <c r="T44" s="403" t="str">
        <f t="shared" si="5"/>
        <v>－</v>
      </c>
    </row>
    <row r="45" spans="1:20">
      <c r="A45" s="19"/>
      <c r="B45" s="16" t="s">
        <v>30</v>
      </c>
      <c r="C45" s="389" t="s">
        <v>16</v>
      </c>
      <c r="D45" s="390" t="n">
        <v>311.4</v>
      </c>
      <c r="E45" s="391" t="n">
        <v>350.1</v>
      </c>
      <c r="F45" s="392" t="n">
        <v>0.0</v>
      </c>
      <c r="G45" s="408" t="n">
        <v>0.0</v>
      </c>
      <c r="H45" s="409" t="n">
        <v>0.0</v>
      </c>
      <c r="I45" s="409" t="n">
        <v>0.0</v>
      </c>
      <c r="J45" s="402" t="str">
        <f t="shared" si="6"/>
        <v>－</v>
      </c>
      <c r="K45" s="408" t="n">
        <v>0.0</v>
      </c>
      <c r="L45" s="403" t="str">
        <f t="shared" si="7"/>
        <v>－</v>
      </c>
      <c r="M45" s="408" t="n">
        <v>0.0</v>
      </c>
      <c r="N45" s="403" t="str">
        <f t="shared" si="2"/>
        <v>－</v>
      </c>
      <c r="O45" s="408" t="n">
        <v>0.0</v>
      </c>
      <c r="P45" s="403" t="str">
        <f t="shared" si="3"/>
        <v>－</v>
      </c>
      <c r="Q45" s="408" t="n">
        <v>0.0</v>
      </c>
      <c r="R45" s="403" t="str">
        <f t="shared" si="4"/>
        <v>－</v>
      </c>
      <c r="S45" s="408" t="n">
        <v>0.0</v>
      </c>
      <c r="T45" s="403" t="str">
        <f t="shared" si="5"/>
        <v>－</v>
      </c>
    </row>
    <row r="46" spans="1:20">
      <c r="A46" s="19"/>
      <c r="B46" s="17"/>
      <c r="C46" s="389" t="s">
        <v>17</v>
      </c>
      <c r="D46" s="390" t="n">
        <v>0.3333333333333333</v>
      </c>
      <c r="E46" s="391" t="n">
        <v>0.3333333333333333</v>
      </c>
      <c r="F46" s="392" t="n">
        <v>0.0</v>
      </c>
      <c r="G46" s="401" t="n">
        <v>0.0</v>
      </c>
      <c r="H46" s="391" t="n">
        <v>0.0</v>
      </c>
      <c r="I46" s="391" t="n">
        <v>0.0</v>
      </c>
      <c r="J46" s="402" t="str">
        <f t="shared" si="6"/>
        <v>－</v>
      </c>
      <c r="K46" s="401" t="n">
        <v>0.0</v>
      </c>
      <c r="L46" s="403" t="str">
        <f t="shared" si="7"/>
        <v>－</v>
      </c>
      <c r="M46" s="401" t="n">
        <v>0.0</v>
      </c>
      <c r="N46" s="403" t="str">
        <f t="shared" si="2"/>
        <v>－</v>
      </c>
      <c r="O46" s="401" t="n">
        <v>0.0</v>
      </c>
      <c r="P46" s="403" t="str">
        <f t="shared" si="3"/>
        <v>－</v>
      </c>
      <c r="Q46" s="401" t="n">
        <v>0.0</v>
      </c>
      <c r="R46" s="403" t="str">
        <f t="shared" si="4"/>
        <v>－</v>
      </c>
      <c r="S46" s="401" t="n">
        <v>0.0</v>
      </c>
      <c r="T46" s="403" t="str">
        <f t="shared" si="5"/>
        <v>－</v>
      </c>
    </row>
    <row r="47" spans="1:20">
      <c r="A47" s="19"/>
      <c r="B47" s="1060" t="s">
        <v>31</v>
      </c>
      <c r="C47" s="419" t="s">
        <v>16</v>
      </c>
      <c r="D47" s="420" t="n">
        <v>0.0</v>
      </c>
      <c r="E47" s="391" t="n">
        <v>0.0</v>
      </c>
      <c r="F47" s="421" t="n">
        <v>0.0</v>
      </c>
      <c r="G47" s="408" t="n">
        <v>0.0</v>
      </c>
      <c r="H47" s="409" t="n">
        <v>0.0</v>
      </c>
      <c r="I47" s="409" t="n">
        <v>0.0</v>
      </c>
      <c r="J47" s="482" t="str">
        <f>IFERROR(SUM(G47:I47)/3/F47,"－")</f>
        <v>－</v>
      </c>
      <c r="K47" s="408" t="n">
        <v>0.0</v>
      </c>
      <c r="L47" s="423" t="str">
        <f t="shared" si="7"/>
        <v>－</v>
      </c>
      <c r="M47" s="408" t="n">
        <v>0.0</v>
      </c>
      <c r="N47" s="423" t="str">
        <f t="shared" si="2"/>
        <v>－</v>
      </c>
      <c r="O47" s="408" t="n">
        <v>0.0</v>
      </c>
      <c r="P47" s="423" t="str">
        <f t="shared" si="3"/>
        <v>－</v>
      </c>
      <c r="Q47" s="408" t="n">
        <v>0.0</v>
      </c>
      <c r="R47" s="423" t="str">
        <f t="shared" si="4"/>
        <v>－</v>
      </c>
      <c r="S47" s="408" t="n">
        <v>0.0</v>
      </c>
      <c r="T47" s="423" t="str">
        <f t="shared" si="5"/>
        <v>－</v>
      </c>
    </row>
    <row r="48" spans="1:20" ht="14.25" thickBot="1">
      <c r="A48" s="19"/>
      <c r="B48" s="1061"/>
      <c r="C48" s="1021" t="s">
        <v>17</v>
      </c>
      <c r="D48" s="420" t="n">
        <v>0.0</v>
      </c>
      <c r="E48" s="391" t="n">
        <v>0.0</v>
      </c>
      <c r="F48" s="421" t="n">
        <v>0.0</v>
      </c>
      <c r="G48" s="401" t="n">
        <v>0.0</v>
      </c>
      <c r="H48" s="391" t="n">
        <v>0.0</v>
      </c>
      <c r="I48" s="391" t="n">
        <v>0.0</v>
      </c>
      <c r="J48" s="422" t="str">
        <f>IFERROR(SUM(G48:I48)/3/F48,"－")</f>
        <v>－</v>
      </c>
      <c r="K48" s="401" t="n">
        <v>0.0</v>
      </c>
      <c r="L48" s="423" t="str">
        <f>IFERROR(K48/F48,"－")</f>
        <v>－</v>
      </c>
      <c r="M48" s="401" t="n">
        <v>0.0</v>
      </c>
      <c r="N48" s="423" t="str">
        <f t="shared" si="2"/>
        <v>－</v>
      </c>
      <c r="O48" s="401" t="n">
        <v>0.0</v>
      </c>
      <c r="P48" s="423" t="str">
        <f t="shared" si="3"/>
        <v>－</v>
      </c>
      <c r="Q48" s="401" t="n">
        <v>0.0</v>
      </c>
      <c r="R48" s="423" t="str">
        <f t="shared" si="4"/>
        <v>－</v>
      </c>
      <c r="S48" s="401" t="n">
        <v>0.0</v>
      </c>
      <c r="T48" s="423" t="str">
        <f>IFERROR(S48/F48,"－")</f>
        <v>－</v>
      </c>
    </row>
    <row r="49" spans="1:20">
      <c r="A49" s="18" t="s">
        <v>32</v>
      </c>
      <c r="B49" s="368"/>
      <c r="C49" s="430"/>
      <c r="D49" s="431"/>
      <c r="E49" s="432"/>
      <c r="F49" s="433"/>
      <c r="G49" s="434"/>
      <c r="H49" s="432"/>
      <c r="I49" s="432"/>
      <c r="J49" s="435"/>
      <c r="K49" s="434"/>
      <c r="L49" s="436"/>
      <c r="M49" s="434"/>
      <c r="N49" s="436"/>
      <c r="O49" s="434"/>
      <c r="P49" s="436"/>
      <c r="Q49" s="434"/>
      <c r="R49" s="436"/>
      <c r="S49" s="434"/>
      <c r="T49" s="436"/>
    </row>
    <row r="50" spans="1:20">
      <c r="A50" s="24"/>
      <c r="B50" s="1055" t="s">
        <v>33</v>
      </c>
      <c r="C50" s="389" t="s">
        <v>16</v>
      </c>
      <c r="D50" s="390" t="n">
        <v>0.0</v>
      </c>
      <c r="E50" s="391" t="n">
        <v>0.0</v>
      </c>
      <c r="F50" s="392" t="n">
        <v>0.0</v>
      </c>
      <c r="G50" s="408" t="n">
        <v>0.0</v>
      </c>
      <c r="H50" s="409" t="n">
        <v>0.0</v>
      </c>
      <c r="I50" s="409" t="n">
        <v>0.0</v>
      </c>
      <c r="J50" s="410" t="str">
        <f t="shared" ref="J50:J61" si="8">IFERROR(SUM(G50:I50)/3/F50,"－")</f>
        <v>－</v>
      </c>
      <c r="K50" s="408" t="n">
        <v>0.0</v>
      </c>
      <c r="L50" s="411" t="str">
        <f t="shared" ref="L50:L61" si="9">IFERROR(K50/F50,"－")</f>
        <v>－</v>
      </c>
      <c r="M50" s="408" t="n">
        <v>0.0</v>
      </c>
      <c r="N50" s="403" t="str">
        <f t="shared" si="2"/>
        <v>－</v>
      </c>
      <c r="O50" s="408" t="n">
        <v>0.0</v>
      </c>
      <c r="P50" s="411" t="str">
        <f t="shared" si="3"/>
        <v>－</v>
      </c>
      <c r="Q50" s="408" t="n">
        <v>0.0</v>
      </c>
      <c r="R50" s="411" t="str">
        <f t="shared" si="4"/>
        <v>－</v>
      </c>
      <c r="S50" s="408" t="n">
        <v>0.0</v>
      </c>
      <c r="T50" s="411" t="str">
        <f>IFERROR(S50/F50,"－")</f>
        <v>－</v>
      </c>
    </row>
    <row r="51" spans="1:20">
      <c r="A51" s="19"/>
      <c r="B51" s="1056"/>
      <c r="C51" s="389" t="s">
        <v>19</v>
      </c>
      <c r="D51" s="404" t="n">
        <v>0.0</v>
      </c>
      <c r="E51" s="405" t="n">
        <v>0.0</v>
      </c>
      <c r="F51" s="406" t="n">
        <v>0.0</v>
      </c>
      <c r="G51" s="407" t="n">
        <v>0.0</v>
      </c>
      <c r="H51" s="405" t="n">
        <v>0.0</v>
      </c>
      <c r="I51" s="405" t="n">
        <v>0.0</v>
      </c>
      <c r="J51" s="402" t="str">
        <f t="shared" si="8"/>
        <v>－</v>
      </c>
      <c r="K51" s="407" t="n">
        <v>0.0</v>
      </c>
      <c r="L51" s="403" t="str">
        <f t="shared" si="9"/>
        <v>－</v>
      </c>
      <c r="M51" s="407" t="n">
        <v>0.0</v>
      </c>
      <c r="N51" s="403" t="str">
        <f t="shared" si="2"/>
        <v>－</v>
      </c>
      <c r="O51" s="407" t="n">
        <v>0.0</v>
      </c>
      <c r="P51" s="403" t="str">
        <f t="shared" si="3"/>
        <v>－</v>
      </c>
      <c r="Q51" s="407" t="n">
        <v>0.0</v>
      </c>
      <c r="R51" s="403" t="str">
        <f t="shared" si="4"/>
        <v>－</v>
      </c>
      <c r="S51" s="407" t="n">
        <v>0.0</v>
      </c>
      <c r="T51" s="403" t="str">
        <f>IFERROR(S51/F51,"－")</f>
        <v>－</v>
      </c>
    </row>
    <row r="52" spans="1:20">
      <c r="A52" s="19"/>
      <c r="B52" s="437"/>
      <c r="C52" s="389" t="s">
        <v>17</v>
      </c>
      <c r="D52" s="390" t="n">
        <v>0.0</v>
      </c>
      <c r="E52" s="391" t="n">
        <v>0.0</v>
      </c>
      <c r="F52" s="392" t="n">
        <v>0.0</v>
      </c>
      <c r="G52" s="401" t="n">
        <v>0.0</v>
      </c>
      <c r="H52" s="391" t="n">
        <v>0.0</v>
      </c>
      <c r="I52" s="391" t="n">
        <v>0.0</v>
      </c>
      <c r="J52" s="402" t="str">
        <f t="shared" si="8"/>
        <v>－</v>
      </c>
      <c r="K52" s="401" t="n">
        <v>0.0</v>
      </c>
      <c r="L52" s="403" t="str">
        <f t="shared" si="9"/>
        <v>－</v>
      </c>
      <c r="M52" s="401" t="n">
        <v>0.0</v>
      </c>
      <c r="N52" s="403" t="str">
        <f t="shared" si="2"/>
        <v>－</v>
      </c>
      <c r="O52" s="401" t="n">
        <v>0.0</v>
      </c>
      <c r="P52" s="403" t="str">
        <f t="shared" si="3"/>
        <v>－</v>
      </c>
      <c r="Q52" s="401" t="n">
        <v>0.0</v>
      </c>
      <c r="R52" s="403" t="str">
        <f t="shared" si="4"/>
        <v>－</v>
      </c>
      <c r="S52" s="401" t="n">
        <v>0.0</v>
      </c>
      <c r="T52" s="403" t="str">
        <f t="shared" ref="T52:T55" si="10">IFERROR(S52/F52,"－")</f>
        <v>－</v>
      </c>
    </row>
    <row r="53" spans="1:20">
      <c r="A53" s="24"/>
      <c r="B53" s="1055" t="s">
        <v>34</v>
      </c>
      <c r="C53" s="389" t="s">
        <v>16</v>
      </c>
      <c r="D53" s="390" t="n">
        <v>0.0</v>
      </c>
      <c r="E53" s="391" t="n">
        <v>0.0</v>
      </c>
      <c r="F53" s="392" t="n">
        <v>0.0</v>
      </c>
      <c r="G53" s="408" t="n">
        <v>0.0</v>
      </c>
      <c r="H53" s="409" t="n">
        <v>0.0</v>
      </c>
      <c r="I53" s="409" t="n">
        <v>0.0</v>
      </c>
      <c r="J53" s="410" t="str">
        <f t="shared" si="8"/>
        <v>－</v>
      </c>
      <c r="K53" s="408" t="n">
        <v>0.0</v>
      </c>
      <c r="L53" s="411" t="str">
        <f t="shared" si="9"/>
        <v>－</v>
      </c>
      <c r="M53" s="408" t="n">
        <v>0.0</v>
      </c>
      <c r="N53" s="411" t="str">
        <f t="shared" si="2"/>
        <v>－</v>
      </c>
      <c r="O53" s="408" t="n">
        <v>0.0</v>
      </c>
      <c r="P53" s="411" t="str">
        <f t="shared" si="3"/>
        <v>－</v>
      </c>
      <c r="Q53" s="408" t="n">
        <v>0.0</v>
      </c>
      <c r="R53" s="411" t="str">
        <f t="shared" si="4"/>
        <v>－</v>
      </c>
      <c r="S53" s="408" t="n">
        <v>0.0</v>
      </c>
      <c r="T53" s="403" t="str">
        <f t="shared" si="10"/>
        <v>－</v>
      </c>
    </row>
    <row r="54" spans="1:20">
      <c r="A54" s="19"/>
      <c r="B54" s="1059"/>
      <c r="C54" s="389" t="s">
        <v>17</v>
      </c>
      <c r="D54" s="390" t="n">
        <v>0.0</v>
      </c>
      <c r="E54" s="391" t="n">
        <v>0.0</v>
      </c>
      <c r="F54" s="392" t="n">
        <v>0.0</v>
      </c>
      <c r="G54" s="401" t="n">
        <v>0.0</v>
      </c>
      <c r="H54" s="391" t="n">
        <v>0.0</v>
      </c>
      <c r="I54" s="391" t="n">
        <v>0.0</v>
      </c>
      <c r="J54" s="402" t="str">
        <f t="shared" si="8"/>
        <v>－</v>
      </c>
      <c r="K54" s="401" t="n">
        <v>0.0</v>
      </c>
      <c r="L54" s="403" t="str">
        <f t="shared" si="9"/>
        <v>－</v>
      </c>
      <c r="M54" s="401" t="n">
        <v>0.0</v>
      </c>
      <c r="N54" s="403" t="str">
        <f t="shared" si="2"/>
        <v>－</v>
      </c>
      <c r="O54" s="401" t="n">
        <v>0.0</v>
      </c>
      <c r="P54" s="403" t="str">
        <f t="shared" si="3"/>
        <v>－</v>
      </c>
      <c r="Q54" s="401" t="n">
        <v>0.0</v>
      </c>
      <c r="R54" s="403" t="str">
        <f t="shared" si="4"/>
        <v>－</v>
      </c>
      <c r="S54" s="401" t="n">
        <v>0.0</v>
      </c>
      <c r="T54" s="403" t="str">
        <f t="shared" si="10"/>
        <v>－</v>
      </c>
    </row>
    <row r="55" spans="1:20">
      <c r="A55" s="19"/>
      <c r="B55" s="1060" t="s">
        <v>35</v>
      </c>
      <c r="C55" s="389" t="s">
        <v>16</v>
      </c>
      <c r="D55" s="390" t="n">
        <v>0.0</v>
      </c>
      <c r="E55" s="391" t="n">
        <v>4349.2970000000005</v>
      </c>
      <c r="F55" s="392" t="n">
        <v>3086.664</v>
      </c>
      <c r="G55" s="408" t="n">
        <v>3070.0</v>
      </c>
      <c r="H55" s="409" t="n">
        <v>3070.0</v>
      </c>
      <c r="I55" s="409" t="n">
        <v>3070.0</v>
      </c>
      <c r="J55" s="410" t="n">
        <f t="shared" si="8"/>
        <v>0.994601291232217</v>
      </c>
      <c r="K55" s="408" t="n">
        <v>3070.0</v>
      </c>
      <c r="L55" s="411" t="n">
        <f t="shared" si="9"/>
        <v>0.994601291232217</v>
      </c>
      <c r="M55" s="408" t="n">
        <v>3070.0</v>
      </c>
      <c r="N55" s="411" t="n">
        <f t="shared" si="2"/>
        <v>0.994601291232217</v>
      </c>
      <c r="O55" s="408" t="n">
        <v>3070.0</v>
      </c>
      <c r="P55" s="411" t="n">
        <f t="shared" si="3"/>
        <v>0.994601291232217</v>
      </c>
      <c r="Q55" s="408" t="n">
        <v>3070.0</v>
      </c>
      <c r="R55" s="411" t="n">
        <f t="shared" si="4"/>
        <v>0.994601291232217</v>
      </c>
      <c r="S55" s="408" t="n">
        <v>3070.0</v>
      </c>
      <c r="T55" s="403" t="n">
        <f t="shared" si="10"/>
        <v>0.994601291232217</v>
      </c>
    </row>
    <row r="56" spans="1:20" ht="14.25" thickBot="1">
      <c r="A56" s="19"/>
      <c r="B56" s="1062"/>
      <c r="C56" s="389" t="s">
        <v>17</v>
      </c>
      <c r="D56" s="438" t="n">
        <v>0.0</v>
      </c>
      <c r="E56" s="427" t="n">
        <v>1.4166666666666667</v>
      </c>
      <c r="F56" s="439" t="n">
        <v>1.0</v>
      </c>
      <c r="G56" s="426" t="n">
        <v>1.0</v>
      </c>
      <c r="H56" s="427" t="n">
        <v>1.0</v>
      </c>
      <c r="I56" s="427" t="n">
        <v>1.0</v>
      </c>
      <c r="J56" s="428" t="n">
        <f t="shared" si="8"/>
        <v>1.0</v>
      </c>
      <c r="K56" s="426" t="n">
        <v>1.0</v>
      </c>
      <c r="L56" s="429" t="n">
        <f t="shared" si="9"/>
        <v>1.0</v>
      </c>
      <c r="M56" s="426" t="n">
        <v>1.0</v>
      </c>
      <c r="N56" s="429" t="n">
        <f t="shared" si="2"/>
        <v>1.0</v>
      </c>
      <c r="O56" s="426" t="n">
        <v>1.0</v>
      </c>
      <c r="P56" s="429" t="n">
        <f t="shared" si="3"/>
        <v>1.0</v>
      </c>
      <c r="Q56" s="426" t="n">
        <v>1.0</v>
      </c>
      <c r="R56" s="429" t="n">
        <f t="shared" si="4"/>
        <v>1.0</v>
      </c>
      <c r="S56" s="426" t="n">
        <v>1.0</v>
      </c>
      <c r="T56" s="429" t="n">
        <f t="shared" ref="T56:T61" si="11">IFERROR(S56/F56,"－")</f>
        <v>1.0</v>
      </c>
    </row>
    <row r="57" spans="1:20">
      <c r="A57" s="20" t="s">
        <v>111</v>
      </c>
      <c r="B57" s="440"/>
      <c r="C57" s="441" t="s">
        <v>16</v>
      </c>
      <c r="D57" s="442" t="n">
        <v>2373.716</v>
      </c>
      <c r="E57" s="443" t="n">
        <v>4609.719</v>
      </c>
      <c r="F57" s="444" t="n">
        <v>3760.38</v>
      </c>
      <c r="G57" s="445" t="n">
        <v>3691.0</v>
      </c>
      <c r="H57" s="446" t="n">
        <v>3563.0</v>
      </c>
      <c r="I57" s="446" t="n">
        <v>3627.0</v>
      </c>
      <c r="J57" s="447" t="n">
        <f t="shared" si="8"/>
        <v>0.9645301804604853</v>
      </c>
      <c r="K57" s="445" t="n">
        <v>3686.0</v>
      </c>
      <c r="L57" s="448" t="n">
        <f t="shared" si="9"/>
        <v>0.9802200841404326</v>
      </c>
      <c r="M57" s="445" t="n">
        <v>4054.0</v>
      </c>
      <c r="N57" s="448" t="n">
        <f t="shared" si="2"/>
        <v>1.078082534211968</v>
      </c>
      <c r="O57" s="445" t="n">
        <v>4182.0</v>
      </c>
      <c r="P57" s="448" t="n">
        <f t="shared" si="3"/>
        <v>1.112121647280328</v>
      </c>
      <c r="Q57" s="445" t="n">
        <v>3937.0</v>
      </c>
      <c r="R57" s="448" t="n">
        <f t="shared" si="4"/>
        <v>1.04696865742292</v>
      </c>
      <c r="S57" s="445" t="n">
        <v>3440.0</v>
      </c>
      <c r="T57" s="448" t="n">
        <f t="shared" si="11"/>
        <v>0.914801163712178</v>
      </c>
    </row>
    <row r="58" spans="1:20" ht="14.25" thickBot="1">
      <c r="A58" s="21"/>
      <c r="B58" s="449"/>
      <c r="C58" s="450" t="s">
        <v>17</v>
      </c>
      <c r="D58" s="451" t="n">
        <v>58.0</v>
      </c>
      <c r="E58" s="452" t="n">
        <v>59.75</v>
      </c>
      <c r="F58" s="453" t="n">
        <v>60.0</v>
      </c>
      <c r="G58" s="454" t="n">
        <v>59.0</v>
      </c>
      <c r="H58" s="452" t="n">
        <v>57.0</v>
      </c>
      <c r="I58" s="452" t="n">
        <v>58.0</v>
      </c>
      <c r="J58" s="455" t="n">
        <f t="shared" si="8"/>
        <v>0.9666666666666667</v>
      </c>
      <c r="K58" s="454" t="n">
        <v>59.0</v>
      </c>
      <c r="L58" s="456" t="n">
        <f t="shared" si="9"/>
        <v>0.9833333333333333</v>
      </c>
      <c r="M58" s="454" t="n">
        <v>65.0</v>
      </c>
      <c r="N58" s="456" t="n">
        <f t="shared" si="2"/>
        <v>1.0833333333333333</v>
      </c>
      <c r="O58" s="454" t="n">
        <v>67.0</v>
      </c>
      <c r="P58" s="456" t="n">
        <f t="shared" si="3"/>
        <v>1.1166666666666667</v>
      </c>
      <c r="Q58" s="454" t="n">
        <v>63.0</v>
      </c>
      <c r="R58" s="456" t="n">
        <f t="shared" si="4"/>
        <v>1.05</v>
      </c>
      <c r="S58" s="454" t="n">
        <v>55.0</v>
      </c>
      <c r="T58" s="456" t="n">
        <f t="shared" si="11"/>
        <v>0.9166666666666666</v>
      </c>
    </row>
    <row r="59" spans="1:20">
      <c r="A59" s="20" t="s">
        <v>417</v>
      </c>
      <c r="B59" s="440"/>
      <c r="C59" s="441" t="s">
        <v>16</v>
      </c>
      <c r="D59" s="507"/>
      <c r="E59" s="879"/>
      <c r="F59" s="933"/>
      <c r="G59" s="507"/>
      <c r="H59" s="446"/>
      <c r="I59" s="446"/>
      <c r="J59" s="447" t="str">
        <f t="shared" ref="J59:J60" si="12">IFERROR(SUM(G59:I59)/3/F59,"－")</f>
        <v>－</v>
      </c>
      <c r="K59" s="445"/>
      <c r="L59" s="448" t="str">
        <f t="shared" ref="L59:L60" si="13">IFERROR(K59/F59,"－")</f>
        <v>－</v>
      </c>
      <c r="M59" s="445"/>
      <c r="N59" s="448" t="str">
        <f t="shared" ref="N59:N60" si="14">IFERROR(M59/F59,"－")</f>
        <v>－</v>
      </c>
      <c r="O59" s="445"/>
      <c r="P59" s="448" t="str">
        <f t="shared" ref="P59:P60" si="15">IFERROR(O59/F59,"－")</f>
        <v>－</v>
      </c>
      <c r="Q59" s="445"/>
      <c r="R59" s="448" t="str">
        <f t="shared" ref="R59:R60" si="16">IFERROR(Q59/F59,"－")</f>
        <v>－</v>
      </c>
      <c r="S59" s="445"/>
      <c r="T59" s="448" t="str">
        <f t="shared" si="11"/>
        <v>－</v>
      </c>
    </row>
    <row r="60" spans="1:20" ht="14.25" thickBot="1">
      <c r="A60" s="21"/>
      <c r="B60" s="449"/>
      <c r="C60" s="450" t="s">
        <v>17</v>
      </c>
      <c r="D60" s="512"/>
      <c r="E60" s="880"/>
      <c r="F60" s="970"/>
      <c r="G60" s="512"/>
      <c r="H60" s="452" t="n">
        <v>0.0</v>
      </c>
      <c r="I60" s="452" t="n">
        <v>0.0</v>
      </c>
      <c r="J60" s="455" t="str">
        <f t="shared" si="12"/>
        <v>－</v>
      </c>
      <c r="K60" s="454" t="n">
        <v>0.0</v>
      </c>
      <c r="L60" s="456" t="str">
        <f t="shared" si="13"/>
        <v>－</v>
      </c>
      <c r="M60" s="454" t="n">
        <v>0.0</v>
      </c>
      <c r="N60" s="456" t="str">
        <f t="shared" si="14"/>
        <v>－</v>
      </c>
      <c r="O60" s="454" t="n">
        <v>0.0</v>
      </c>
      <c r="P60" s="456" t="str">
        <f t="shared" si="15"/>
        <v>－</v>
      </c>
      <c r="Q60" s="454" t="n">
        <v>0.0</v>
      </c>
      <c r="R60" s="456" t="str">
        <f t="shared" si="16"/>
        <v>－</v>
      </c>
      <c r="S60" s="454" t="n">
        <v>0.0</v>
      </c>
      <c r="T60" s="456" t="str">
        <f t="shared" si="11"/>
        <v>－</v>
      </c>
    </row>
    <row r="61" spans="1:20" ht="14.25" thickBot="1">
      <c r="A61" s="457" t="s">
        <v>36</v>
      </c>
      <c r="B61" s="375"/>
      <c r="C61" s="458" t="s">
        <v>16</v>
      </c>
      <c r="D61" s="459" t="n">
        <f>IF(ISERROR(SUM(D12,D14,D17,D20,D23,D25,D27,D29,D32,D35,D38,D41,D43,D45,D47,D50,D53,D55,D57)),0,(SUM(D12,D14,D17,D20,D23,D25,D27,D29,D32,D35,D38,D41,D43,D45,D47,D50,D53,D55,D57)))</f>
        <v>27005.507</v>
      </c>
      <c r="E61" s="460" t="n">
        <f>IF(ISERROR(SUM(E12,E14,E17,E20,E23,E25,E27,E29,E32,E35,E38,E41,E43,E45,E47,E50,E53,E55,E57)),0,(SUM(E12,E14,E17,E20,E23,E25,E27,E29,E32,E35,E38,E41,E43,E45,E47,E50,E53,E55,E57)))</f>
        <v>32287.638000000003</v>
      </c>
      <c r="F61" s="461" t="n">
        <f>IF(ISERROR(SUM(F12,F14,F17,F20,F23,F25,F27,F29,F32,F35,F38,F41,F43,F45,F47,F50,F53,F55,F57)),0,(SUM(F12,F14,F17,F20,F23,F25,F27,F29,F32,F35,F38,F41,F43,F45,F47,F50,F53,F55,F57)))</f>
        <v>29389.184400000002</v>
      </c>
      <c r="G61" s="462" t="n">
        <f>IF(ISERROR(SUM(G12,G14,G17,G20,G23,G25,G27,G29,G32,G35,G38,G41,G43,G45,G47,G50,G53,G55,G57)),0,(SUM(G12,G14,G17,G20,G23,G25,G27,G29,G32,G35,G38,G41,G43,G45,G47,G50,G53,G55,G57)))</f>
        <v>31401.0</v>
      </c>
      <c r="H61" s="460" t="n">
        <f>IF(ISERROR(SUM(H12,H14,H17,H20,H23,H25,H27,H29,H32,H35,H38,H41,H43,H45,H47,H50,H53,H55,H57,H59)),0,(SUM(H12,H14,H17,H20,H23,H25,H27,H29,H32,H35,H38,H41,H43,H45,H47,H50,H53,H55,H57,H59)))</f>
        <v>30339.0</v>
      </c>
      <c r="I61" s="460" t="n">
        <f>IF(ISERROR(SUM(I12,I14,I17,I20,I23,I25,I27,I29,I32,I35,I38,I41,I43,I45,I47,I50,I53,I55,I57,I59)),0,(SUM(I12,I14,I17,I20,I23,I25,I27,I29,I32,I35,I38,I41,I43,I45,I47,I50,I53,I55,I57,I59)))</f>
        <v>31035.0</v>
      </c>
      <c r="J61" s="463" t="n">
        <f t="shared" si="8"/>
        <v>1.0522578503403448</v>
      </c>
      <c r="K61" s="462" t="n">
        <f>IF(ISERROR(SUM(K12,K14,K17,K20,K23,K25,K27,K29,K32,K35,K38,K41,K43,K45,K47,K50,K53,K55,K57,K59)),0,(SUM(K12,K14,K17,K20,K23,K25,K27,K29,K32,K35,K38,K41,K43,K45,K47,K50,K53,K55,K57,K59)))</f>
        <v>31094.0</v>
      </c>
      <c r="L61" s="464" t="n">
        <f t="shared" si="9"/>
        <v>1.0580082651085752</v>
      </c>
      <c r="M61" s="462" t="n">
        <f>IF(ISERROR(SUM(M12,M14,M17,M20,M23,M25,M27,M29,M32,M35,M38,M41,M43,M45,M47,M50,M53,M55,M57,M59)),0,(SUM(M12,M14,M17,M20,M23,M25,M27,M29,M32,M35,M38,M41,M43,M45,M47,M50,M53,M55,M57,M59)))</f>
        <v>33215.0</v>
      </c>
      <c r="N61" s="464" t="n">
        <f t="shared" si="2"/>
        <v>1.1301776717560081</v>
      </c>
      <c r="O61" s="462" t="n">
        <f>IF(ISERROR(SUM(O12,O14,O17,O20,O23,O25,O27,O29,O32,O35,O38,O41,O43,O45,O47,O50,O53,O55,O57,O59)),0,(SUM(O12,O14,O17,O20,O23,O25,O27,O29,O32,O35,O38,O41,O43,O45,O47,O50,O53,O55,O57,O59)))</f>
        <v>34371.0</v>
      </c>
      <c r="P61" s="464" t="n">
        <f t="shared" si="3"/>
        <v>1.1695118698156182</v>
      </c>
      <c r="Q61" s="462" t="n">
        <f>IF(ISERROR(SUM(Q12,Q14,Q17,Q20,Q23,Q25,Q27,Q29,Q32,Q35,Q38,Q41,Q43,Q45,Q47,Q50,Q53,Q55,Q57,Q59)),0,(SUM(Q12,Q14,Q17,Q20,Q23,Q25,Q27,Q29,Q32,Q35,Q38,Q41,Q43,Q45,Q47,Q50,Q53,Q55,Q57,Q59)))</f>
        <v>33052.0</v>
      </c>
      <c r="R61" s="464" t="n">
        <f t="shared" si="4"/>
        <v>1.1246314137251117</v>
      </c>
      <c r="S61" s="462" t="n">
        <f>IF(ISERROR(SUM(S12,S14,S17,S20,S23,S25,S27,S29,S32,S35,S38,S41,S43,S45,S47,S50,S53,S55,S57,S59)),0,(SUM(S12,S14,S17,S20,S23,S25,S27,S29,S32,S35,S38,S41,S43,S45,S47,S50,S53,S55,S57,S59)))</f>
        <v>29875.0</v>
      </c>
      <c r="T61" s="464" t="n">
        <f t="shared" si="11"/>
        <v>1.0165304213069621</v>
      </c>
    </row>
    <row r="62" spans="1:20" ht="50.1" customHeight="1">
      <c r="A62" s="726" t="s">
        <v>109</v>
      </c>
      <c r="B62" s="189"/>
      <c r="C62" s="465"/>
      <c r="D62" s="466"/>
      <c r="E62" s="466"/>
      <c r="F62" s="466"/>
      <c r="G62" s="725" t="s">
        <v>365</v>
      </c>
      <c r="H62" s="467"/>
      <c r="I62" s="467"/>
      <c r="J62" s="467"/>
      <c r="K62" s="637" t="s">
        <v>401</v>
      </c>
      <c r="L62" s="522"/>
      <c r="M62" s="522"/>
    </row>
    <row r="63" spans="1:20" ht="13.5" customHeight="1">
      <c r="A63" s="465"/>
      <c r="B63" s="189"/>
      <c r="C63" s="465"/>
      <c r="D63" s="466"/>
      <c r="E63" s="466"/>
      <c r="F63" s="466"/>
      <c r="G63" s="466"/>
      <c r="H63" s="466"/>
      <c r="I63" s="466"/>
      <c r="J63" s="466"/>
      <c r="K63" s="522"/>
      <c r="L63" s="522"/>
      <c r="M63" s="522"/>
    </row>
    <row r="64" spans="1:20">
      <c r="A64" s="22" t="s">
        <v>90</v>
      </c>
      <c r="B64" s="189"/>
      <c r="C64" s="381"/>
    </row>
    <row r="65" spans="1:20" ht="14.25" thickBot="1">
      <c r="A65" s="23"/>
      <c r="B65" s="189"/>
      <c r="C65" s="381"/>
      <c r="L65" s="2"/>
      <c r="R65" s="2"/>
      <c r="T65" s="2" t="s">
        <v>108</v>
      </c>
    </row>
    <row r="66" spans="1:20" ht="23.25" thickBot="1">
      <c r="A66" s="29"/>
      <c r="B66" s="375"/>
      <c r="C66" s="376"/>
      <c r="D66" s="377" t="s">
        <v>367</v>
      </c>
      <c r="E66" s="749" t="s">
        <v>366</v>
      </c>
      <c r="F66" s="378" t="s">
        <v>363</v>
      </c>
      <c r="G66" s="748" t="s">
        <v>362</v>
      </c>
      <c r="H66" s="749" t="s">
        <v>361</v>
      </c>
      <c r="I66" s="750" t="s">
        <v>360</v>
      </c>
      <c r="J66" s="38" t="s">
        <v>104</v>
      </c>
      <c r="K66" s="748" t="s">
        <v>384</v>
      </c>
      <c r="L66" s="39" t="s">
        <v>105</v>
      </c>
      <c r="M66" s="748" t="s">
        <v>387</v>
      </c>
      <c r="N66" s="39" t="s">
        <v>105</v>
      </c>
      <c r="O66" s="748" t="s">
        <v>390</v>
      </c>
      <c r="P66" s="39" t="s">
        <v>105</v>
      </c>
      <c r="Q66" s="748" t="s">
        <v>393</v>
      </c>
      <c r="R66" s="39" t="s">
        <v>105</v>
      </c>
      <c r="S66" s="748" t="s">
        <v>396</v>
      </c>
      <c r="T66" s="39" t="s">
        <v>105</v>
      </c>
    </row>
    <row r="67" spans="1:20">
      <c r="A67" s="468" t="s">
        <v>38</v>
      </c>
      <c r="B67" s="368"/>
      <c r="C67" s="469"/>
      <c r="D67" s="470"/>
      <c r="E67" s="386"/>
      <c r="F67" s="471"/>
      <c r="G67" s="385"/>
      <c r="H67" s="386"/>
      <c r="I67" s="387"/>
      <c r="J67" s="387"/>
      <c r="K67" s="385"/>
      <c r="L67" s="388"/>
      <c r="M67" s="385"/>
      <c r="N67" s="388"/>
      <c r="O67" s="385"/>
      <c r="P67" s="388"/>
      <c r="Q67" s="385"/>
      <c r="R67" s="388"/>
      <c r="S67" s="385"/>
      <c r="T67" s="388"/>
    </row>
    <row r="68" spans="1:20">
      <c r="A68" s="19"/>
      <c r="B68" s="1055" t="s">
        <v>39</v>
      </c>
      <c r="C68" s="389" t="s">
        <v>16</v>
      </c>
      <c r="D68" s="472" t="n">
        <v>40913.158</v>
      </c>
      <c r="E68" s="409" t="n">
        <v>27780.871</v>
      </c>
      <c r="F68" s="473" t="n">
        <v>29917.6176</v>
      </c>
      <c r="G68" s="408" t="n">
        <v>33922.0</v>
      </c>
      <c r="H68" s="409" t="n">
        <v>34132.0</v>
      </c>
      <c r="I68" s="474" t="n">
        <v>35858.0</v>
      </c>
      <c r="J68" s="410" t="n">
        <f t="shared" ref="J68:J101" si="17">IFERROR(SUM(G68:I68)/3/F68,"－")</f>
        <v>1.1577570713161778</v>
      </c>
      <c r="K68" s="408" t="n">
        <v>32499.0</v>
      </c>
      <c r="L68" s="411" t="n">
        <f t="shared" ref="L68:L105" si="18">IFERROR(K68/F68,"－")</f>
        <v>1.0862830200757696</v>
      </c>
      <c r="M68" s="408" t="n">
        <v>34988.0</v>
      </c>
      <c r="N68" s="411" t="n">
        <f>IFERROR(M68/F68,"－")</f>
        <v>1.1694781472171767</v>
      </c>
      <c r="O68" s="408" t="n">
        <v>38348.0</v>
      </c>
      <c r="P68" s="411" t="n">
        <f>IFERROR(O68/F68,"－")</f>
        <v>1.2817865550898677</v>
      </c>
      <c r="Q68" s="408" t="n">
        <v>36850.0</v>
      </c>
      <c r="R68" s="411" t="n">
        <f>IFERROR(Q68/F68,"－")</f>
        <v>1.2317157232466265</v>
      </c>
      <c r="S68" s="408" t="n">
        <v>31666.0</v>
      </c>
      <c r="T68" s="411" t="n">
        <f>IFERROR(S68/F68,"－")</f>
        <v>1.0584398939573316</v>
      </c>
    </row>
    <row r="69" spans="1:20">
      <c r="A69" s="19"/>
      <c r="B69" s="1056"/>
      <c r="C69" s="389" t="s">
        <v>19</v>
      </c>
      <c r="D69" s="475" t="n">
        <v>1180.25</v>
      </c>
      <c r="E69" s="476" t="n">
        <v>705.3333333333334</v>
      </c>
      <c r="F69" s="477" t="n">
        <v>706.6</v>
      </c>
      <c r="G69" s="478" t="n">
        <v>810.2</v>
      </c>
      <c r="H69" s="476" t="n">
        <v>815.7</v>
      </c>
      <c r="I69" s="479" t="n">
        <v>854.3</v>
      </c>
      <c r="J69" s="402" t="n">
        <f t="shared" si="17"/>
        <v>1.1700160392489856</v>
      </c>
      <c r="K69" s="478" t="n">
        <v>767.8</v>
      </c>
      <c r="L69" s="403" t="n">
        <f t="shared" si="18"/>
        <v>1.0866119445230682</v>
      </c>
      <c r="M69" s="478" t="n">
        <v>823.3</v>
      </c>
      <c r="N69" s="403" t="n">
        <f t="shared" ref="N69:N134" si="19">IFERROR(M69/F69,"－")</f>
        <v>1.165157090291537</v>
      </c>
      <c r="O69" s="478" t="n">
        <v>909.8</v>
      </c>
      <c r="P69" s="403" t="n">
        <f t="shared" ref="P69:P134" si="20">IFERROR(O69/F69,"－")</f>
        <v>1.2875742994622132</v>
      </c>
      <c r="Q69" s="478" t="n">
        <v>877.2</v>
      </c>
      <c r="R69" s="403" t="n">
        <f t="shared" ref="R69:R134" si="21">IFERROR(Q69/F69,"－")</f>
        <v>1.241437871497311</v>
      </c>
      <c r="S69" s="478" t="n">
        <v>751.0</v>
      </c>
      <c r="T69" s="411" t="n">
        <f t="shared" ref="T69:T106" si="22">IFERROR(S69/F69,"－")</f>
        <v>1.0628361166147748</v>
      </c>
    </row>
    <row r="70" spans="1:20">
      <c r="A70" s="19"/>
      <c r="B70" s="753"/>
      <c r="C70" s="389" t="s">
        <v>17</v>
      </c>
      <c r="D70" s="472" t="n">
        <v>34.75</v>
      </c>
      <c r="E70" s="409" t="n">
        <v>33.166666666666664</v>
      </c>
      <c r="F70" s="473" t="n">
        <v>33.0</v>
      </c>
      <c r="G70" s="408" t="n">
        <v>34.0</v>
      </c>
      <c r="H70" s="409" t="n">
        <v>34.0</v>
      </c>
      <c r="I70" s="474" t="n">
        <v>35.0</v>
      </c>
      <c r="J70" s="402" t="n">
        <f t="shared" si="17"/>
        <v>1.0404040404040404</v>
      </c>
      <c r="K70" s="408" t="n">
        <v>33.0</v>
      </c>
      <c r="L70" s="403" t="n">
        <f t="shared" si="18"/>
        <v>1.0</v>
      </c>
      <c r="M70" s="408" t="n">
        <v>36.0</v>
      </c>
      <c r="N70" s="403" t="n">
        <f t="shared" si="19"/>
        <v>1.0909090909090908</v>
      </c>
      <c r="O70" s="408" t="n">
        <v>38.0</v>
      </c>
      <c r="P70" s="403" t="n">
        <f t="shared" si="20"/>
        <v>1.1515151515151516</v>
      </c>
      <c r="Q70" s="408" t="n">
        <v>37.0</v>
      </c>
      <c r="R70" s="403" t="n">
        <f t="shared" si="21"/>
        <v>1.121212121212121</v>
      </c>
      <c r="S70" s="408" t="n">
        <v>33.0</v>
      </c>
      <c r="T70" s="411" t="n">
        <f t="shared" si="22"/>
        <v>1.0</v>
      </c>
    </row>
    <row r="71" spans="1:20">
      <c r="A71" s="19"/>
      <c r="B71" s="1055" t="s">
        <v>40</v>
      </c>
      <c r="C71" s="389" t="s">
        <v>16</v>
      </c>
      <c r="D71" s="472" t="n">
        <v>4766.748</v>
      </c>
      <c r="E71" s="409" t="n">
        <v>2668.09</v>
      </c>
      <c r="F71" s="473" t="n">
        <v>2061.3072</v>
      </c>
      <c r="G71" s="408" t="n">
        <v>0.0</v>
      </c>
      <c r="H71" s="409" t="n">
        <v>0.0</v>
      </c>
      <c r="I71" s="474" t="n">
        <v>0.0</v>
      </c>
      <c r="J71" s="410" t="n">
        <f t="shared" si="17"/>
        <v>0.0</v>
      </c>
      <c r="K71" s="408" t="n">
        <v>0.0</v>
      </c>
      <c r="L71" s="411" t="n">
        <f t="shared" si="18"/>
        <v>0.0</v>
      </c>
      <c r="M71" s="408" t="n">
        <v>0.0</v>
      </c>
      <c r="N71" s="411" t="n">
        <f t="shared" si="19"/>
        <v>0.0</v>
      </c>
      <c r="O71" s="408" t="n">
        <v>0.0</v>
      </c>
      <c r="P71" s="411" t="n">
        <f t="shared" si="20"/>
        <v>0.0</v>
      </c>
      <c r="Q71" s="408" t="n">
        <v>0.0</v>
      </c>
      <c r="R71" s="411" t="n">
        <f t="shared" si="21"/>
        <v>0.0</v>
      </c>
      <c r="S71" s="408" t="n">
        <v>0.0</v>
      </c>
      <c r="T71" s="411" t="n">
        <f t="shared" si="22"/>
        <v>0.0</v>
      </c>
    </row>
    <row r="72" spans="1:20">
      <c r="A72" s="19"/>
      <c r="B72" s="1056"/>
      <c r="C72" s="389" t="s">
        <v>19</v>
      </c>
      <c r="D72" s="472" t="n">
        <v>29.25</v>
      </c>
      <c r="E72" s="409" t="n">
        <v>17.166666666666668</v>
      </c>
      <c r="F72" s="473" t="n">
        <v>18.0</v>
      </c>
      <c r="G72" s="478" t="n">
        <v>0.0</v>
      </c>
      <c r="H72" s="476" t="n">
        <v>0.0</v>
      </c>
      <c r="I72" s="479" t="n">
        <v>0.0</v>
      </c>
      <c r="J72" s="402" t="n">
        <f t="shared" si="17"/>
        <v>0.0</v>
      </c>
      <c r="K72" s="478" t="n">
        <v>0.0</v>
      </c>
      <c r="L72" s="403" t="n">
        <f t="shared" si="18"/>
        <v>0.0</v>
      </c>
      <c r="M72" s="478" t="n">
        <v>0.0</v>
      </c>
      <c r="N72" s="403" t="n">
        <f t="shared" si="19"/>
        <v>0.0</v>
      </c>
      <c r="O72" s="478" t="n">
        <v>0.0</v>
      </c>
      <c r="P72" s="403" t="n">
        <f t="shared" si="20"/>
        <v>0.0</v>
      </c>
      <c r="Q72" s="478" t="n">
        <v>0.0</v>
      </c>
      <c r="R72" s="403" t="n">
        <f t="shared" si="21"/>
        <v>0.0</v>
      </c>
      <c r="S72" s="478" t="n">
        <v>0.0</v>
      </c>
      <c r="T72" s="411" t="n">
        <f t="shared" si="22"/>
        <v>0.0</v>
      </c>
    </row>
    <row r="73" spans="1:20">
      <c r="A73" s="19"/>
      <c r="B73" s="753"/>
      <c r="C73" s="389" t="s">
        <v>17</v>
      </c>
      <c r="D73" s="472" t="n">
        <v>6.25</v>
      </c>
      <c r="E73" s="409" t="n">
        <v>3.8333333333333335</v>
      </c>
      <c r="F73" s="473" t="n">
        <v>4.0</v>
      </c>
      <c r="G73" s="408" t="n">
        <v>4.0</v>
      </c>
      <c r="H73" s="409" t="n">
        <v>4.0</v>
      </c>
      <c r="I73" s="474" t="n">
        <v>4.0</v>
      </c>
      <c r="J73" s="402" t="n">
        <f t="shared" si="17"/>
        <v>1.0</v>
      </c>
      <c r="K73" s="408" t="n">
        <v>4.0</v>
      </c>
      <c r="L73" s="403" t="n">
        <f t="shared" si="18"/>
        <v>1.0</v>
      </c>
      <c r="M73" s="408" t="n">
        <v>4.0</v>
      </c>
      <c r="N73" s="403" t="n">
        <f t="shared" si="19"/>
        <v>1.0</v>
      </c>
      <c r="O73" s="408" t="n">
        <v>4.0</v>
      </c>
      <c r="P73" s="403" t="n">
        <f t="shared" si="20"/>
        <v>1.0</v>
      </c>
      <c r="Q73" s="408" t="n">
        <v>4.0</v>
      </c>
      <c r="R73" s="403" t="n">
        <f t="shared" si="21"/>
        <v>1.0</v>
      </c>
      <c r="S73" s="408" t="n">
        <v>4.0</v>
      </c>
      <c r="T73" s="411" t="n">
        <f t="shared" si="22"/>
        <v>1.0</v>
      </c>
    </row>
    <row r="74" spans="1:20">
      <c r="A74" s="19"/>
      <c r="B74" s="1055" t="s">
        <v>41</v>
      </c>
      <c r="C74" s="389" t="s">
        <v>16</v>
      </c>
      <c r="D74" s="472" t="n">
        <v>1431.81</v>
      </c>
      <c r="E74" s="409" t="n">
        <v>3032.9519999999998</v>
      </c>
      <c r="F74" s="473" t="n">
        <v>2628.678</v>
      </c>
      <c r="G74" s="408" t="n">
        <v>5356.0</v>
      </c>
      <c r="H74" s="409" t="n">
        <v>4594.0</v>
      </c>
      <c r="I74" s="474" t="n">
        <v>4602.0</v>
      </c>
      <c r="J74" s="410" t="n">
        <f t="shared" si="17"/>
        <v>1.8452875044667576</v>
      </c>
      <c r="K74" s="408" t="n">
        <v>4602.0</v>
      </c>
      <c r="L74" s="411" t="n">
        <f t="shared" si="18"/>
        <v>1.7506898905077002</v>
      </c>
      <c r="M74" s="408" t="n">
        <v>5394.0</v>
      </c>
      <c r="N74" s="411" t="n">
        <f t="shared" si="19"/>
        <v>2.051982022902767</v>
      </c>
      <c r="O74" s="408" t="n">
        <v>5394.0</v>
      </c>
      <c r="P74" s="411" t="n">
        <f t="shared" si="20"/>
        <v>2.051982022902767</v>
      </c>
      <c r="Q74" s="408" t="n">
        <v>5394.0</v>
      </c>
      <c r="R74" s="411" t="n">
        <f t="shared" si="21"/>
        <v>2.051982022902767</v>
      </c>
      <c r="S74" s="408" t="n">
        <v>4602.0</v>
      </c>
      <c r="T74" s="411" t="n">
        <f t="shared" si="22"/>
        <v>1.7506898905077002</v>
      </c>
    </row>
    <row r="75" spans="1:20">
      <c r="A75" s="19"/>
      <c r="B75" s="1056"/>
      <c r="C75" s="389" t="s">
        <v>19</v>
      </c>
      <c r="D75" s="475" t="n">
        <v>23.25</v>
      </c>
      <c r="E75" s="476" t="n">
        <v>57.166666666666664</v>
      </c>
      <c r="F75" s="477" t="n">
        <v>60.0</v>
      </c>
      <c r="G75" s="478" t="n">
        <v>115.3</v>
      </c>
      <c r="H75" s="476" t="n">
        <v>97.8</v>
      </c>
      <c r="I75" s="479" t="n">
        <v>97.9</v>
      </c>
      <c r="J75" s="402" t="n">
        <f t="shared" si="17"/>
        <v>1.7277777777777779</v>
      </c>
      <c r="K75" s="478" t="n">
        <v>97.9</v>
      </c>
      <c r="L75" s="403" t="n">
        <f t="shared" si="18"/>
        <v>1.6316666666666668</v>
      </c>
      <c r="M75" s="478" t="n">
        <v>115.8</v>
      </c>
      <c r="N75" s="403" t="n">
        <f t="shared" si="19"/>
        <v>1.93</v>
      </c>
      <c r="O75" s="478" t="n">
        <v>115.8</v>
      </c>
      <c r="P75" s="403" t="n">
        <f t="shared" si="20"/>
        <v>1.93</v>
      </c>
      <c r="Q75" s="478" t="n">
        <v>115.8</v>
      </c>
      <c r="R75" s="403" t="n">
        <f t="shared" si="21"/>
        <v>1.93</v>
      </c>
      <c r="S75" s="478" t="n">
        <v>97.9</v>
      </c>
      <c r="T75" s="411" t="n">
        <f t="shared" si="22"/>
        <v>1.6316666666666668</v>
      </c>
    </row>
    <row r="76" spans="1:20">
      <c r="A76" s="19"/>
      <c r="B76" s="753"/>
      <c r="C76" s="389" t="s">
        <v>17</v>
      </c>
      <c r="D76" s="472" t="n">
        <v>4.333333333333333</v>
      </c>
      <c r="E76" s="409" t="n">
        <v>7.0</v>
      </c>
      <c r="F76" s="473" t="n">
        <v>7.0</v>
      </c>
      <c r="G76" s="408" t="n">
        <v>8.0</v>
      </c>
      <c r="H76" s="409" t="n">
        <v>7.0</v>
      </c>
      <c r="I76" s="474" t="n">
        <v>7.0</v>
      </c>
      <c r="J76" s="402" t="n">
        <f t="shared" si="17"/>
        <v>1.0476190476190477</v>
      </c>
      <c r="K76" s="408" t="n">
        <v>7.0</v>
      </c>
      <c r="L76" s="403" t="n">
        <f t="shared" si="18"/>
        <v>1.0</v>
      </c>
      <c r="M76" s="408" t="n">
        <v>8.0</v>
      </c>
      <c r="N76" s="403" t="n">
        <f t="shared" si="19"/>
        <v>1.1428571428571428</v>
      </c>
      <c r="O76" s="408" t="n">
        <v>8.0</v>
      </c>
      <c r="P76" s="403" t="n">
        <f t="shared" si="20"/>
        <v>1.1428571428571428</v>
      </c>
      <c r="Q76" s="408" t="n">
        <v>8.0</v>
      </c>
      <c r="R76" s="403" t="n">
        <f t="shared" si="21"/>
        <v>1.1428571428571428</v>
      </c>
      <c r="S76" s="408" t="n">
        <v>7.0</v>
      </c>
      <c r="T76" s="411" t="n">
        <f t="shared" si="22"/>
        <v>1.0</v>
      </c>
    </row>
    <row r="77" spans="1:20">
      <c r="A77" s="19"/>
      <c r="B77" s="1055" t="s">
        <v>42</v>
      </c>
      <c r="C77" s="389" t="s">
        <v>16</v>
      </c>
      <c r="D77" s="472" t="n">
        <v>7120.221</v>
      </c>
      <c r="E77" s="409" t="n">
        <v>4721.447</v>
      </c>
      <c r="F77" s="473" t="n">
        <v>4499.3316</v>
      </c>
      <c r="G77" s="408" t="n">
        <v>6226.0</v>
      </c>
      <c r="H77" s="409" t="n">
        <v>5756.0</v>
      </c>
      <c r="I77" s="474" t="n">
        <v>5828.0</v>
      </c>
      <c r="J77" s="410" t="n">
        <f t="shared" si="17"/>
        <v>1.3194552423445889</v>
      </c>
      <c r="K77" s="408" t="n">
        <v>5828.0</v>
      </c>
      <c r="L77" s="411" t="n">
        <f t="shared" si="18"/>
        <v>1.2953035068586631</v>
      </c>
      <c r="M77" s="408" t="n">
        <v>6488.0</v>
      </c>
      <c r="N77" s="411" t="n">
        <f t="shared" si="19"/>
        <v>1.4419919616504815</v>
      </c>
      <c r="O77" s="408" t="n">
        <v>6488.0</v>
      </c>
      <c r="P77" s="411" t="n">
        <f t="shared" si="20"/>
        <v>1.4419919616504815</v>
      </c>
      <c r="Q77" s="408" t="n">
        <v>6488.0</v>
      </c>
      <c r="R77" s="411" t="n">
        <f t="shared" si="21"/>
        <v>1.4419919616504815</v>
      </c>
      <c r="S77" s="408" t="n">
        <v>5828.0</v>
      </c>
      <c r="T77" s="411" t="n">
        <f t="shared" si="22"/>
        <v>1.2953035068586631</v>
      </c>
    </row>
    <row r="78" spans="1:20">
      <c r="A78" s="19"/>
      <c r="B78" s="1056"/>
      <c r="C78" s="389" t="s">
        <v>19</v>
      </c>
      <c r="D78" s="475" t="n">
        <v>165.41666666666666</v>
      </c>
      <c r="E78" s="476" t="n">
        <v>114.08333333333333</v>
      </c>
      <c r="F78" s="477" t="n">
        <v>109.9</v>
      </c>
      <c r="G78" s="478" t="n">
        <v>152.2</v>
      </c>
      <c r="H78" s="476" t="n">
        <v>140.5</v>
      </c>
      <c r="I78" s="479" t="n">
        <v>142.3</v>
      </c>
      <c r="J78" s="402" t="n">
        <f t="shared" si="17"/>
        <v>1.3193812556869882</v>
      </c>
      <c r="K78" s="478" t="n">
        <v>142.3</v>
      </c>
      <c r="L78" s="403" t="n">
        <f t="shared" si="18"/>
        <v>1.2948134667879891</v>
      </c>
      <c r="M78" s="478" t="n">
        <v>158.7</v>
      </c>
      <c r="N78" s="403" t="n">
        <f t="shared" si="19"/>
        <v>1.444040036396724</v>
      </c>
      <c r="O78" s="478" t="n">
        <v>158.7</v>
      </c>
      <c r="P78" s="403" t="n">
        <f t="shared" si="20"/>
        <v>1.444040036396724</v>
      </c>
      <c r="Q78" s="478" t="n">
        <v>158.7</v>
      </c>
      <c r="R78" s="403" t="n">
        <f t="shared" si="21"/>
        <v>1.444040036396724</v>
      </c>
      <c r="S78" s="478" t="n">
        <v>142.3</v>
      </c>
      <c r="T78" s="411" t="n">
        <f t="shared" si="22"/>
        <v>1.2948134667879891</v>
      </c>
    </row>
    <row r="79" spans="1:20">
      <c r="A79" s="19"/>
      <c r="B79" s="753"/>
      <c r="C79" s="389" t="s">
        <v>17</v>
      </c>
      <c r="D79" s="472" t="n">
        <v>12.833333333333334</v>
      </c>
      <c r="E79" s="409" t="n">
        <v>9.083333333333334</v>
      </c>
      <c r="F79" s="473" t="n">
        <v>9.0</v>
      </c>
      <c r="G79" s="408" t="n">
        <v>10.0</v>
      </c>
      <c r="H79" s="409" t="n">
        <v>9.0</v>
      </c>
      <c r="I79" s="474" t="n">
        <v>9.0</v>
      </c>
      <c r="J79" s="402" t="n">
        <f t="shared" si="17"/>
        <v>1.0370370370370372</v>
      </c>
      <c r="K79" s="408" t="n">
        <v>9.0</v>
      </c>
      <c r="L79" s="403" t="n">
        <f t="shared" si="18"/>
        <v>1.0</v>
      </c>
      <c r="M79" s="408" t="n">
        <v>10.0</v>
      </c>
      <c r="N79" s="403" t="n">
        <f t="shared" si="19"/>
        <v>1.1111111111111112</v>
      </c>
      <c r="O79" s="408" t="n">
        <v>10.0</v>
      </c>
      <c r="P79" s="403" t="n">
        <f t="shared" si="20"/>
        <v>1.1111111111111112</v>
      </c>
      <c r="Q79" s="408" t="n">
        <v>10.0</v>
      </c>
      <c r="R79" s="403" t="n">
        <f t="shared" si="21"/>
        <v>1.1111111111111112</v>
      </c>
      <c r="S79" s="408" t="n">
        <v>9.0</v>
      </c>
      <c r="T79" s="411" t="n">
        <f t="shared" si="22"/>
        <v>1.0</v>
      </c>
    </row>
    <row r="80" spans="1:20">
      <c r="A80" s="19"/>
      <c r="B80" s="1055" t="s">
        <v>43</v>
      </c>
      <c r="C80" s="389" t="s">
        <v>16</v>
      </c>
      <c r="D80" s="472" t="n">
        <v>1323.69</v>
      </c>
      <c r="E80" s="409" t="n">
        <v>1217.366</v>
      </c>
      <c r="F80" s="473" t="n">
        <v>1170.408</v>
      </c>
      <c r="G80" s="408" t="n">
        <v>1170.0</v>
      </c>
      <c r="H80" s="409" t="n">
        <v>1170.0</v>
      </c>
      <c r="I80" s="474" t="n">
        <v>1170.0</v>
      </c>
      <c r="J80" s="410" t="n">
        <f t="shared" si="17"/>
        <v>0.9996514036130991</v>
      </c>
      <c r="K80" s="408" t="n">
        <v>1170.0</v>
      </c>
      <c r="L80" s="411" t="n">
        <f t="shared" si="18"/>
        <v>0.9996514036130991</v>
      </c>
      <c r="M80" s="408" t="n">
        <v>1170.0</v>
      </c>
      <c r="N80" s="411" t="n">
        <f t="shared" si="19"/>
        <v>0.9996514036130991</v>
      </c>
      <c r="O80" s="408" t="n">
        <v>1383.0</v>
      </c>
      <c r="P80" s="411" t="n">
        <f t="shared" si="20"/>
        <v>1.1816392232452273</v>
      </c>
      <c r="Q80" s="408" t="n">
        <v>1289.0</v>
      </c>
      <c r="R80" s="411" t="n">
        <f t="shared" si="21"/>
        <v>1.101325349792551</v>
      </c>
      <c r="S80" s="408" t="n">
        <v>1170.0</v>
      </c>
      <c r="T80" s="411" t="n">
        <f t="shared" si="22"/>
        <v>0.9996514036130991</v>
      </c>
    </row>
    <row r="81" spans="1:20">
      <c r="A81" s="19"/>
      <c r="B81" s="1059"/>
      <c r="C81" s="389" t="s">
        <v>17</v>
      </c>
      <c r="D81" s="472" t="n">
        <v>7.833333333333333</v>
      </c>
      <c r="E81" s="409" t="n">
        <v>8.166666666666666</v>
      </c>
      <c r="F81" s="473" t="n">
        <v>9.0</v>
      </c>
      <c r="G81" s="408" t="n">
        <v>9.0</v>
      </c>
      <c r="H81" s="409" t="n">
        <v>9.0</v>
      </c>
      <c r="I81" s="474" t="n">
        <v>9.0</v>
      </c>
      <c r="J81" s="402" t="n">
        <f t="shared" si="17"/>
        <v>1.0</v>
      </c>
      <c r="K81" s="408" t="n">
        <v>9.0</v>
      </c>
      <c r="L81" s="403" t="n">
        <f t="shared" si="18"/>
        <v>1.0</v>
      </c>
      <c r="M81" s="408" t="n">
        <v>9.0</v>
      </c>
      <c r="N81" s="403" t="n">
        <f t="shared" si="19"/>
        <v>1.0</v>
      </c>
      <c r="O81" s="408" t="n">
        <v>11.0</v>
      </c>
      <c r="P81" s="403" t="n">
        <f t="shared" si="20"/>
        <v>1.2222222222222223</v>
      </c>
      <c r="Q81" s="408" t="n">
        <v>10.0</v>
      </c>
      <c r="R81" s="403" t="n">
        <f t="shared" si="21"/>
        <v>1.1111111111111112</v>
      </c>
      <c r="S81" s="408" t="n">
        <v>9.0</v>
      </c>
      <c r="T81" s="411" t="n">
        <f t="shared" si="22"/>
        <v>1.0</v>
      </c>
    </row>
    <row r="82" spans="1:20">
      <c r="A82" s="19"/>
      <c r="B82" s="1055" t="s">
        <v>44</v>
      </c>
      <c r="C82" s="389" t="s">
        <v>16</v>
      </c>
      <c r="D82" s="472" t="n">
        <v>64272.218</v>
      </c>
      <c r="E82" s="409" t="n">
        <v>62331.952</v>
      </c>
      <c r="F82" s="473" t="n">
        <v>62600.4624</v>
      </c>
      <c r="G82" s="408" t="n">
        <v>59942.0</v>
      </c>
      <c r="H82" s="409" t="n">
        <v>61153.0</v>
      </c>
      <c r="I82" s="474" t="n">
        <v>59449.0</v>
      </c>
      <c r="J82" s="410" t="n">
        <f t="shared" si="17"/>
        <v>0.9613560511548768</v>
      </c>
      <c r="K82" s="408" t="n">
        <v>57965.0</v>
      </c>
      <c r="L82" s="411" t="n">
        <f t="shared" si="18"/>
        <v>0.9259516268365456</v>
      </c>
      <c r="M82" s="408" t="n">
        <v>61601.0</v>
      </c>
      <c r="N82" s="411" t="n">
        <f t="shared" si="19"/>
        <v>0.9840342648970594</v>
      </c>
      <c r="O82" s="408" t="n">
        <v>66702.0</v>
      </c>
      <c r="P82" s="411" t="n">
        <f t="shared" si="20"/>
        <v>1.0655192860045073</v>
      </c>
      <c r="Q82" s="408" t="n">
        <v>65273.0</v>
      </c>
      <c r="R82" s="411" t="n">
        <f t="shared" si="21"/>
        <v>1.0426919785819346</v>
      </c>
      <c r="S82" s="408" t="n">
        <v>57033.0</v>
      </c>
      <c r="T82" s="411" t="n">
        <f t="shared" si="22"/>
        <v>0.9110635578947417</v>
      </c>
    </row>
    <row r="83" spans="1:20">
      <c r="A83" s="19"/>
      <c r="B83" s="1056"/>
      <c r="C83" s="389" t="s">
        <v>19</v>
      </c>
      <c r="D83" s="472" t="n">
        <v>601.5</v>
      </c>
      <c r="E83" s="409" t="n">
        <v>534.8333333333334</v>
      </c>
      <c r="F83" s="473" t="n">
        <v>533.5</v>
      </c>
      <c r="G83" s="478" t="n">
        <v>508.1</v>
      </c>
      <c r="H83" s="476" t="n">
        <v>516.9</v>
      </c>
      <c r="I83" s="479" t="n">
        <v>503.4</v>
      </c>
      <c r="J83" s="402" t="n">
        <f t="shared" si="17"/>
        <v>0.95495157763199</v>
      </c>
      <c r="K83" s="478" t="n">
        <v>493.9</v>
      </c>
      <c r="L83" s="403" t="n">
        <f t="shared" si="18"/>
        <v>0.9257731958762886</v>
      </c>
      <c r="M83" s="478" t="n">
        <v>525.9</v>
      </c>
      <c r="N83" s="403" t="n">
        <f t="shared" si="19"/>
        <v>0.9857544517338331</v>
      </c>
      <c r="O83" s="478" t="n">
        <v>566.7</v>
      </c>
      <c r="P83" s="403" t="n">
        <f t="shared" si="20"/>
        <v>1.0622305529522025</v>
      </c>
      <c r="Q83" s="478" t="n">
        <v>552.9</v>
      </c>
      <c r="R83" s="403" t="n">
        <f t="shared" si="21"/>
        <v>1.0363636363636364</v>
      </c>
      <c r="S83" s="478" t="n">
        <v>482.8</v>
      </c>
      <c r="T83" s="411" t="n">
        <f t="shared" si="22"/>
        <v>0.9049671977507029</v>
      </c>
    </row>
    <row r="84" spans="1:20">
      <c r="A84" s="19"/>
      <c r="B84" s="753"/>
      <c r="C84" s="389" t="s">
        <v>17</v>
      </c>
      <c r="D84" s="472" t="n">
        <v>58.833333333333336</v>
      </c>
      <c r="E84" s="409" t="n">
        <v>53.166666666666664</v>
      </c>
      <c r="F84" s="473" t="n">
        <v>53.0</v>
      </c>
      <c r="G84" s="408" t="n">
        <v>54.0</v>
      </c>
      <c r="H84" s="409" t="n">
        <v>55.0</v>
      </c>
      <c r="I84" s="474" t="n">
        <v>55.0</v>
      </c>
      <c r="J84" s="402" t="n">
        <f t="shared" si="17"/>
        <v>1.0314465408805031</v>
      </c>
      <c r="K84" s="408" t="n">
        <v>54.0</v>
      </c>
      <c r="L84" s="403" t="n">
        <f t="shared" si="18"/>
        <v>1.0188679245283019</v>
      </c>
      <c r="M84" s="408" t="n">
        <v>58.0</v>
      </c>
      <c r="N84" s="403" t="n">
        <f t="shared" si="19"/>
        <v>1.0943396226415094</v>
      </c>
      <c r="O84" s="408" t="n">
        <v>62.0</v>
      </c>
      <c r="P84" s="403" t="n">
        <f t="shared" si="20"/>
        <v>1.169811320754717</v>
      </c>
      <c r="Q84" s="408" t="n">
        <v>60.0</v>
      </c>
      <c r="R84" s="403" t="n">
        <f t="shared" si="21"/>
        <v>1.1320754716981132</v>
      </c>
      <c r="S84" s="408" t="n">
        <v>52.0</v>
      </c>
      <c r="T84" s="411" t="n">
        <f t="shared" si="22"/>
        <v>0.9811320754716981</v>
      </c>
    </row>
    <row r="85" spans="1:20">
      <c r="A85" s="19"/>
      <c r="B85" s="1055" t="s">
        <v>45</v>
      </c>
      <c r="C85" s="389" t="s">
        <v>16</v>
      </c>
      <c r="D85" s="472" t="n">
        <v>103573.781</v>
      </c>
      <c r="E85" s="409" t="n">
        <v>98355.296</v>
      </c>
      <c r="F85" s="473" t="n">
        <v>99231.9876</v>
      </c>
      <c r="G85" s="408" t="n">
        <v>108178.0</v>
      </c>
      <c r="H85" s="409" t="n">
        <v>104704.0</v>
      </c>
      <c r="I85" s="474" t="n">
        <v>106482.0</v>
      </c>
      <c r="J85" s="410" t="n">
        <f t="shared" si="17"/>
        <v>1.0727857945945918</v>
      </c>
      <c r="K85" s="408" t="n">
        <v>102603.0</v>
      </c>
      <c r="L85" s="411" t="n">
        <f t="shared" si="18"/>
        <v>1.0339710256897041</v>
      </c>
      <c r="M85" s="408" t="n">
        <v>116478.0</v>
      </c>
      <c r="N85" s="411" t="n">
        <f t="shared" si="19"/>
        <v>1.173794890308133</v>
      </c>
      <c r="O85" s="408" t="n">
        <v>122880.0</v>
      </c>
      <c r="P85" s="411" t="n">
        <f t="shared" si="20"/>
        <v>1.2383103772477495</v>
      </c>
      <c r="Q85" s="408" t="n">
        <v>118929.0</v>
      </c>
      <c r="R85" s="411" t="n">
        <f t="shared" si="21"/>
        <v>1.19849458704181</v>
      </c>
      <c r="S85" s="408" t="n">
        <v>105108.0</v>
      </c>
      <c r="T85" s="411" t="n">
        <f t="shared" si="22"/>
        <v>1.0592149017883827</v>
      </c>
    </row>
    <row r="86" spans="1:20">
      <c r="A86" s="19"/>
      <c r="B86" s="1056"/>
      <c r="C86" s="389" t="s">
        <v>19</v>
      </c>
      <c r="D86" s="475" t="n">
        <v>823.5833333333334</v>
      </c>
      <c r="E86" s="476" t="n">
        <v>760.0</v>
      </c>
      <c r="F86" s="477" t="n">
        <v>758.5</v>
      </c>
      <c r="G86" s="478" t="n">
        <v>833.8</v>
      </c>
      <c r="H86" s="476" t="n">
        <v>808.8</v>
      </c>
      <c r="I86" s="479" t="n">
        <v>823.6</v>
      </c>
      <c r="J86" s="402" t="n">
        <f t="shared" si="17"/>
        <v>1.0838057569764885</v>
      </c>
      <c r="K86" s="478" t="n">
        <v>796.3</v>
      </c>
      <c r="L86" s="403" t="n">
        <f t="shared" si="18"/>
        <v>1.0498352010547132</v>
      </c>
      <c r="M86" s="478" t="n">
        <v>903.5</v>
      </c>
      <c r="N86" s="403" t="n">
        <f t="shared" si="19"/>
        <v>1.1911667765326301</v>
      </c>
      <c r="O86" s="478" t="n">
        <v>950.0</v>
      </c>
      <c r="P86" s="403" t="n">
        <f t="shared" si="20"/>
        <v>1.2524719841793013</v>
      </c>
      <c r="Q86" s="478" t="n">
        <v>919.1</v>
      </c>
      <c r="R86" s="403" t="n">
        <f t="shared" si="21"/>
        <v>1.2117336849044167</v>
      </c>
      <c r="S86" s="478" t="n">
        <v>809.8</v>
      </c>
      <c r="T86" s="411" t="n">
        <f t="shared" si="22"/>
        <v>1.0676334871456823</v>
      </c>
    </row>
    <row r="87" spans="1:20">
      <c r="A87" s="19"/>
      <c r="B87" s="753"/>
      <c r="C87" s="389" t="s">
        <v>17</v>
      </c>
      <c r="D87" s="472" t="n">
        <v>87.41666666666667</v>
      </c>
      <c r="E87" s="409" t="n">
        <v>86.91666666666667</v>
      </c>
      <c r="F87" s="473" t="n">
        <v>87.0</v>
      </c>
      <c r="G87" s="408" t="n">
        <v>94.0</v>
      </c>
      <c r="H87" s="409" t="n">
        <v>91.0</v>
      </c>
      <c r="I87" s="474" t="n">
        <v>92.0</v>
      </c>
      <c r="J87" s="402" t="n">
        <f t="shared" si="17"/>
        <v>1.061302681992337</v>
      </c>
      <c r="K87" s="408" t="n">
        <v>89.0</v>
      </c>
      <c r="L87" s="403" t="n">
        <f t="shared" si="18"/>
        <v>1.0229885057471264</v>
      </c>
      <c r="M87" s="408" t="n">
        <v>101.0</v>
      </c>
      <c r="N87" s="403" t="n">
        <f t="shared" si="19"/>
        <v>1.160919540229885</v>
      </c>
      <c r="O87" s="408" t="n">
        <v>106.0</v>
      </c>
      <c r="P87" s="403" t="n">
        <f t="shared" si="20"/>
        <v>1.2183908045977012</v>
      </c>
      <c r="Q87" s="408" t="n">
        <v>102.0</v>
      </c>
      <c r="R87" s="403" t="n">
        <f t="shared" si="21"/>
        <v>1.1724137931034482</v>
      </c>
      <c r="S87" s="408" t="n">
        <v>90.0</v>
      </c>
      <c r="T87" s="411" t="n">
        <f t="shared" si="22"/>
        <v>1.0344827586206897</v>
      </c>
    </row>
    <row r="88" spans="1:20">
      <c r="A88" s="19"/>
      <c r="B88" s="1055" t="s">
        <v>46</v>
      </c>
      <c r="C88" s="389" t="s">
        <v>16</v>
      </c>
      <c r="D88" s="472" t="n">
        <v>12160.06</v>
      </c>
      <c r="E88" s="409" t="n">
        <v>15794.416</v>
      </c>
      <c r="F88" s="473" t="n">
        <v>14475.5664</v>
      </c>
      <c r="G88" s="408" t="n">
        <v>20024.0</v>
      </c>
      <c r="H88" s="409" t="n">
        <v>22285.0</v>
      </c>
      <c r="I88" s="474" t="n">
        <v>22532.0</v>
      </c>
      <c r="J88" s="410" t="n">
        <f t="shared" si="17"/>
        <v>1.493113711023195</v>
      </c>
      <c r="K88" s="408" t="n">
        <v>19897.0</v>
      </c>
      <c r="L88" s="411" t="n">
        <f t="shared" si="18"/>
        <v>1.3745230722025497</v>
      </c>
      <c r="M88" s="408" t="n">
        <v>23006.0</v>
      </c>
      <c r="N88" s="411" t="n">
        <f t="shared" si="19"/>
        <v>1.5892987786647161</v>
      </c>
      <c r="O88" s="408" t="n">
        <v>23006.0</v>
      </c>
      <c r="P88" s="411" t="n">
        <f t="shared" si="20"/>
        <v>1.5892987786647161</v>
      </c>
      <c r="Q88" s="408" t="n">
        <v>23892.0</v>
      </c>
      <c r="R88" s="411" t="n">
        <f t="shared" si="21"/>
        <v>1.6505053646812742</v>
      </c>
      <c r="S88" s="408" t="n">
        <v>23006.0</v>
      </c>
      <c r="T88" s="411" t="n">
        <f t="shared" si="22"/>
        <v>1.5892987786647161</v>
      </c>
    </row>
    <row r="89" spans="1:20">
      <c r="A89" s="19"/>
      <c r="B89" s="1056"/>
      <c r="C89" s="389" t="s">
        <v>25</v>
      </c>
      <c r="D89" s="475" t="n">
        <v>109.91666666666667</v>
      </c>
      <c r="E89" s="476" t="n">
        <v>138.5</v>
      </c>
      <c r="F89" s="477" t="n">
        <v>129.9</v>
      </c>
      <c r="G89" s="478" t="n">
        <v>185.2</v>
      </c>
      <c r="H89" s="476" t="n">
        <v>202.8</v>
      </c>
      <c r="I89" s="479" t="n">
        <v>204.8</v>
      </c>
      <c r="J89" s="402" t="n">
        <f t="shared" si="17"/>
        <v>1.5211701308698997</v>
      </c>
      <c r="K89" s="478" t="n">
        <v>183.5</v>
      </c>
      <c r="L89" s="403" t="n">
        <f t="shared" si="18"/>
        <v>1.4126250962278675</v>
      </c>
      <c r="M89" s="478" t="n">
        <v>209.3</v>
      </c>
      <c r="N89" s="403" t="n">
        <f t="shared" si="19"/>
        <v>1.611239414934565</v>
      </c>
      <c r="O89" s="478" t="n">
        <v>209.3</v>
      </c>
      <c r="P89" s="403" t="n">
        <f t="shared" si="20"/>
        <v>1.611239414934565</v>
      </c>
      <c r="Q89" s="478" t="n">
        <v>216.2</v>
      </c>
      <c r="R89" s="403" t="n">
        <f t="shared" si="21"/>
        <v>1.6643571978444955</v>
      </c>
      <c r="S89" s="478" t="n">
        <v>209.3</v>
      </c>
      <c r="T89" s="411" t="n">
        <f t="shared" si="22"/>
        <v>1.611239414934565</v>
      </c>
    </row>
    <row r="90" spans="1:20">
      <c r="A90" s="19"/>
      <c r="B90" s="753"/>
      <c r="C90" s="389" t="s">
        <v>17</v>
      </c>
      <c r="D90" s="472" t="n">
        <v>9.916666666666666</v>
      </c>
      <c r="E90" s="409" t="n">
        <v>15.166666666666666</v>
      </c>
      <c r="F90" s="473" t="n">
        <v>14.0</v>
      </c>
      <c r="G90" s="408" t="n">
        <v>15.0</v>
      </c>
      <c r="H90" s="409" t="n">
        <v>15.0</v>
      </c>
      <c r="I90" s="474" t="n">
        <v>15.0</v>
      </c>
      <c r="J90" s="402" t="n">
        <f t="shared" si="17"/>
        <v>1.0714285714285714</v>
      </c>
      <c r="K90" s="408" t="n">
        <v>14.0</v>
      </c>
      <c r="L90" s="403" t="n">
        <f t="shared" si="18"/>
        <v>1.0</v>
      </c>
      <c r="M90" s="408" t="n">
        <v>16.0</v>
      </c>
      <c r="N90" s="403" t="n">
        <f t="shared" si="19"/>
        <v>1.1428571428571428</v>
      </c>
      <c r="O90" s="408" t="n">
        <v>16.0</v>
      </c>
      <c r="P90" s="403" t="n">
        <f t="shared" si="20"/>
        <v>1.1428571428571428</v>
      </c>
      <c r="Q90" s="408" t="n">
        <v>17.0</v>
      </c>
      <c r="R90" s="403" t="n">
        <f t="shared" si="21"/>
        <v>1.2142857142857142</v>
      </c>
      <c r="S90" s="408" t="n">
        <v>16.0</v>
      </c>
      <c r="T90" s="411" t="n">
        <f t="shared" si="22"/>
        <v>1.1428571428571428</v>
      </c>
    </row>
    <row r="91" spans="1:20">
      <c r="A91" s="19"/>
      <c r="B91" s="1057" t="s">
        <v>47</v>
      </c>
      <c r="C91" s="389" t="s">
        <v>16</v>
      </c>
      <c r="D91" s="472" t="n">
        <v>9878.141</v>
      </c>
      <c r="E91" s="409" t="n">
        <v>8613.493</v>
      </c>
      <c r="F91" s="473" t="n">
        <v>7712.2752</v>
      </c>
      <c r="G91" s="408" t="n">
        <v>12049.0</v>
      </c>
      <c r="H91" s="409" t="n">
        <v>10115.0</v>
      </c>
      <c r="I91" s="474" t="n">
        <v>10115.0</v>
      </c>
      <c r="J91" s="410" t="n">
        <f t="shared" si="17"/>
        <v>1.395135208176527</v>
      </c>
      <c r="K91" s="408" t="n">
        <v>10115.0</v>
      </c>
      <c r="L91" s="411" t="n">
        <f t="shared" si="18"/>
        <v>1.311545521612092</v>
      </c>
      <c r="M91" s="408" t="n">
        <v>12427.0</v>
      </c>
      <c r="N91" s="411" t="n">
        <f t="shared" si="19"/>
        <v>1.611327355123427</v>
      </c>
      <c r="O91" s="408" t="n">
        <v>12427.0</v>
      </c>
      <c r="P91" s="411" t="n">
        <f t="shared" si="20"/>
        <v>1.611327355123427</v>
      </c>
      <c r="Q91" s="408" t="n">
        <v>12427.0</v>
      </c>
      <c r="R91" s="411" t="n">
        <f t="shared" si="21"/>
        <v>1.611327355123427</v>
      </c>
      <c r="S91" s="408" t="n">
        <v>12427.0</v>
      </c>
      <c r="T91" s="411" t="n">
        <f t="shared" si="22"/>
        <v>1.611327355123427</v>
      </c>
    </row>
    <row r="92" spans="1:20">
      <c r="A92" s="19"/>
      <c r="B92" s="1058"/>
      <c r="C92" s="389" t="s">
        <v>25</v>
      </c>
      <c r="D92" s="475" t="n">
        <v>71.25</v>
      </c>
      <c r="E92" s="476" t="n">
        <v>58.916666666666664</v>
      </c>
      <c r="F92" s="477" t="n">
        <v>55.5</v>
      </c>
      <c r="G92" s="478" t="n">
        <v>79.5</v>
      </c>
      <c r="H92" s="476" t="n">
        <v>66.7</v>
      </c>
      <c r="I92" s="479" t="n">
        <v>66.7</v>
      </c>
      <c r="J92" s="402" t="n">
        <f t="shared" si="17"/>
        <v>1.2786786786786783</v>
      </c>
      <c r="K92" s="478" t="n">
        <v>66.7</v>
      </c>
      <c r="L92" s="403" t="n">
        <f t="shared" si="18"/>
        <v>1.201801801801802</v>
      </c>
      <c r="M92" s="478" t="n">
        <v>82.0</v>
      </c>
      <c r="N92" s="403" t="n">
        <f t="shared" si="19"/>
        <v>1.4774774774774775</v>
      </c>
      <c r="O92" s="478" t="n">
        <v>82.0</v>
      </c>
      <c r="P92" s="403" t="n">
        <f t="shared" si="20"/>
        <v>1.4774774774774775</v>
      </c>
      <c r="Q92" s="478" t="n">
        <v>82.0</v>
      </c>
      <c r="R92" s="403" t="n">
        <f t="shared" si="21"/>
        <v>1.4774774774774775</v>
      </c>
      <c r="S92" s="478" t="n">
        <v>82.0</v>
      </c>
      <c r="T92" s="411" t="n">
        <f t="shared" si="22"/>
        <v>1.4774774774774775</v>
      </c>
    </row>
    <row r="93" spans="1:20">
      <c r="A93" s="19"/>
      <c r="B93" s="753"/>
      <c r="C93" s="389" t="s">
        <v>17</v>
      </c>
      <c r="D93" s="472" t="n">
        <v>10.583333333333334</v>
      </c>
      <c r="E93" s="409" t="n">
        <v>8.416666666666666</v>
      </c>
      <c r="F93" s="473" t="n">
        <v>8.0</v>
      </c>
      <c r="G93" s="408" t="n">
        <v>9.0</v>
      </c>
      <c r="H93" s="409" t="n">
        <v>8.0</v>
      </c>
      <c r="I93" s="474" t="n">
        <v>8.0</v>
      </c>
      <c r="J93" s="402" t="n">
        <f t="shared" si="17"/>
        <v>1.0416666666666667</v>
      </c>
      <c r="K93" s="408" t="n">
        <v>8.0</v>
      </c>
      <c r="L93" s="403" t="n">
        <f t="shared" si="18"/>
        <v>1.0</v>
      </c>
      <c r="M93" s="408" t="n">
        <v>9.0</v>
      </c>
      <c r="N93" s="403" t="n">
        <f t="shared" si="19"/>
        <v>1.125</v>
      </c>
      <c r="O93" s="408" t="n">
        <v>9.0</v>
      </c>
      <c r="P93" s="403" t="n">
        <f t="shared" si="20"/>
        <v>1.125</v>
      </c>
      <c r="Q93" s="408" t="n">
        <v>9.0</v>
      </c>
      <c r="R93" s="403" t="n">
        <f t="shared" si="21"/>
        <v>1.125</v>
      </c>
      <c r="S93" s="408" t="n">
        <v>9.0</v>
      </c>
      <c r="T93" s="411" t="n">
        <f t="shared" si="22"/>
        <v>1.125</v>
      </c>
    </row>
    <row r="94" spans="1:20">
      <c r="A94" s="19"/>
      <c r="B94" s="1057" t="s">
        <v>48</v>
      </c>
      <c r="C94" s="389" t="s">
        <v>16</v>
      </c>
      <c r="D94" s="472" t="n">
        <v>0.0</v>
      </c>
      <c r="E94" s="409" t="n">
        <v>0.0</v>
      </c>
      <c r="F94" s="473" t="n">
        <v>0.0</v>
      </c>
      <c r="G94" s="408" t="n">
        <v>0.0</v>
      </c>
      <c r="H94" s="409" t="n">
        <v>0.0</v>
      </c>
      <c r="I94" s="474" t="n">
        <v>0.0</v>
      </c>
      <c r="J94" s="410" t="str">
        <f t="shared" si="17"/>
        <v>－</v>
      </c>
      <c r="K94" s="408" t="n">
        <v>0.0</v>
      </c>
      <c r="L94" s="411" t="str">
        <f t="shared" si="18"/>
        <v>－</v>
      </c>
      <c r="M94" s="408" t="n">
        <v>0.0</v>
      </c>
      <c r="N94" s="411" t="str">
        <f t="shared" si="19"/>
        <v>－</v>
      </c>
      <c r="O94" s="408" t="n">
        <v>0.0</v>
      </c>
      <c r="P94" s="411" t="str">
        <f t="shared" si="20"/>
        <v>－</v>
      </c>
      <c r="Q94" s="408" t="n">
        <v>0.0</v>
      </c>
      <c r="R94" s="411" t="str">
        <f t="shared" si="21"/>
        <v>－</v>
      </c>
      <c r="S94" s="408" t="n">
        <v>0.0</v>
      </c>
      <c r="T94" s="411" t="str">
        <f t="shared" si="22"/>
        <v>－</v>
      </c>
    </row>
    <row r="95" spans="1:20">
      <c r="A95" s="19"/>
      <c r="B95" s="1058"/>
      <c r="C95" s="389" t="s">
        <v>25</v>
      </c>
      <c r="D95" s="475" t="n">
        <v>0.0</v>
      </c>
      <c r="E95" s="476" t="n">
        <v>0.0</v>
      </c>
      <c r="F95" s="477" t="n">
        <v>0.0</v>
      </c>
      <c r="G95" s="478" t="n">
        <v>0.0</v>
      </c>
      <c r="H95" s="476" t="n">
        <v>0.0</v>
      </c>
      <c r="I95" s="479" t="n">
        <v>0.0</v>
      </c>
      <c r="J95" s="402" t="str">
        <f t="shared" si="17"/>
        <v>－</v>
      </c>
      <c r="K95" s="478" t="n">
        <v>0.0</v>
      </c>
      <c r="L95" s="403" t="str">
        <f t="shared" si="18"/>
        <v>－</v>
      </c>
      <c r="M95" s="478" t="n">
        <v>0.0</v>
      </c>
      <c r="N95" s="403" t="str">
        <f t="shared" si="19"/>
        <v>－</v>
      </c>
      <c r="O95" s="478" t="n">
        <v>0.0</v>
      </c>
      <c r="P95" s="403" t="str">
        <f t="shared" si="20"/>
        <v>－</v>
      </c>
      <c r="Q95" s="478" t="n">
        <v>0.0</v>
      </c>
      <c r="R95" s="403" t="str">
        <f t="shared" si="21"/>
        <v>－</v>
      </c>
      <c r="S95" s="478" t="n">
        <v>0.0</v>
      </c>
      <c r="T95" s="411" t="str">
        <f t="shared" si="22"/>
        <v>－</v>
      </c>
    </row>
    <row r="96" spans="1:20">
      <c r="A96" s="19"/>
      <c r="B96" s="28"/>
      <c r="C96" s="389" t="s">
        <v>17</v>
      </c>
      <c r="D96" s="472" t="n">
        <v>0.0</v>
      </c>
      <c r="E96" s="409" t="n">
        <v>0.0</v>
      </c>
      <c r="F96" s="473" t="n">
        <v>0.0</v>
      </c>
      <c r="G96" s="408" t="n">
        <v>0.0</v>
      </c>
      <c r="H96" s="409" t="n">
        <v>0.0</v>
      </c>
      <c r="I96" s="474" t="n">
        <v>0.0</v>
      </c>
      <c r="J96" s="402" t="str">
        <f t="shared" si="17"/>
        <v>－</v>
      </c>
      <c r="K96" s="408" t="n">
        <v>0.0</v>
      </c>
      <c r="L96" s="403" t="str">
        <f t="shared" si="18"/>
        <v>－</v>
      </c>
      <c r="M96" s="408" t="n">
        <v>0.0</v>
      </c>
      <c r="N96" s="403" t="str">
        <f t="shared" si="19"/>
        <v>－</v>
      </c>
      <c r="O96" s="408" t="n">
        <v>0.0</v>
      </c>
      <c r="P96" s="403" t="str">
        <f t="shared" si="20"/>
        <v>－</v>
      </c>
      <c r="Q96" s="408" t="n">
        <v>0.0</v>
      </c>
      <c r="R96" s="403" t="str">
        <f t="shared" si="21"/>
        <v>－</v>
      </c>
      <c r="S96" s="408" t="n">
        <v>0.0</v>
      </c>
      <c r="T96" s="411" t="str">
        <f t="shared" si="22"/>
        <v>－</v>
      </c>
    </row>
    <row r="97" spans="1:20">
      <c r="A97" s="19"/>
      <c r="B97" s="1057" t="s">
        <v>238</v>
      </c>
      <c r="C97" s="419" t="s">
        <v>16</v>
      </c>
      <c r="D97" s="480" t="n">
        <v>0.0</v>
      </c>
      <c r="E97" s="409" t="n">
        <v>0.0</v>
      </c>
      <c r="F97" s="473" t="n">
        <v>0.0</v>
      </c>
      <c r="G97" s="408" t="n">
        <v>0.0</v>
      </c>
      <c r="H97" s="409" t="n">
        <v>0.0</v>
      </c>
      <c r="I97" s="481" t="n">
        <v>0.0</v>
      </c>
      <c r="J97" s="482" t="str">
        <f t="shared" ref="J97:J99" si="23">IFERROR(SUM(G97:I97)/3/F97,"－")</f>
        <v>－</v>
      </c>
      <c r="K97" s="408" t="n">
        <v>0.0</v>
      </c>
      <c r="L97" s="483" t="str">
        <f t="shared" si="18"/>
        <v>－</v>
      </c>
      <c r="M97" s="408" t="n">
        <v>0.0</v>
      </c>
      <c r="N97" s="483" t="str">
        <f t="shared" si="19"/>
        <v>－</v>
      </c>
      <c r="O97" s="408" t="n">
        <v>0.0</v>
      </c>
      <c r="P97" s="483" t="str">
        <f t="shared" si="20"/>
        <v>－</v>
      </c>
      <c r="Q97" s="408" t="n">
        <v>0.0</v>
      </c>
      <c r="R97" s="483" t="str">
        <f t="shared" si="21"/>
        <v>－</v>
      </c>
      <c r="S97" s="408" t="n">
        <v>0.0</v>
      </c>
      <c r="T97" s="411" t="str">
        <f t="shared" si="22"/>
        <v>－</v>
      </c>
    </row>
    <row r="98" spans="1:20">
      <c r="A98" s="19"/>
      <c r="B98" s="1058"/>
      <c r="C98" s="419" t="s">
        <v>25</v>
      </c>
      <c r="D98" s="484" t="n">
        <v>0.0</v>
      </c>
      <c r="E98" s="476" t="n">
        <v>0.0</v>
      </c>
      <c r="F98" s="477" t="n">
        <v>0.0</v>
      </c>
      <c r="G98" s="478" t="n">
        <v>0.0</v>
      </c>
      <c r="H98" s="476" t="n">
        <v>0.0</v>
      </c>
      <c r="I98" s="485" t="n">
        <v>0.0</v>
      </c>
      <c r="J98" s="422" t="str">
        <f t="shared" si="23"/>
        <v>－</v>
      </c>
      <c r="K98" s="478" t="n">
        <v>0.0</v>
      </c>
      <c r="L98" s="423" t="str">
        <f t="shared" si="18"/>
        <v>－</v>
      </c>
      <c r="M98" s="478" t="n">
        <v>0.0</v>
      </c>
      <c r="N98" s="423" t="str">
        <f t="shared" si="19"/>
        <v>－</v>
      </c>
      <c r="O98" s="478" t="n">
        <v>0.0</v>
      </c>
      <c r="P98" s="423" t="str">
        <f t="shared" si="20"/>
        <v>－</v>
      </c>
      <c r="Q98" s="478" t="n">
        <v>0.0</v>
      </c>
      <c r="R98" s="423" t="str">
        <f t="shared" si="21"/>
        <v>－</v>
      </c>
      <c r="S98" s="478" t="n">
        <v>0.0</v>
      </c>
      <c r="T98" s="411" t="str">
        <f t="shared" si="22"/>
        <v>－</v>
      </c>
    </row>
    <row r="99" spans="1:20">
      <c r="A99" s="19"/>
      <c r="B99" s="28"/>
      <c r="C99" s="419" t="s">
        <v>17</v>
      </c>
      <c r="D99" s="480" t="n">
        <v>0.0</v>
      </c>
      <c r="E99" s="409" t="n">
        <v>0.0</v>
      </c>
      <c r="F99" s="473" t="n">
        <v>0.0</v>
      </c>
      <c r="G99" s="408" t="n">
        <v>0.0</v>
      </c>
      <c r="H99" s="409" t="n">
        <v>0.0</v>
      </c>
      <c r="I99" s="481" t="n">
        <v>0.0</v>
      </c>
      <c r="J99" s="422" t="str">
        <f t="shared" si="23"/>
        <v>－</v>
      </c>
      <c r="K99" s="408" t="n">
        <v>0.0</v>
      </c>
      <c r="L99" s="423" t="str">
        <f t="shared" si="18"/>
        <v>－</v>
      </c>
      <c r="M99" s="408" t="n">
        <v>0.0</v>
      </c>
      <c r="N99" s="423" t="str">
        <f t="shared" si="19"/>
        <v>－</v>
      </c>
      <c r="O99" s="408" t="n">
        <v>0.0</v>
      </c>
      <c r="P99" s="423" t="str">
        <f t="shared" si="20"/>
        <v>－</v>
      </c>
      <c r="Q99" s="408" t="n">
        <v>0.0</v>
      </c>
      <c r="R99" s="423" t="str">
        <f t="shared" si="21"/>
        <v>－</v>
      </c>
      <c r="S99" s="408" t="n">
        <v>0.0</v>
      </c>
      <c r="T99" s="411" t="str">
        <f t="shared" si="22"/>
        <v>－</v>
      </c>
    </row>
    <row r="100" spans="1:20">
      <c r="A100" s="19"/>
      <c r="B100" s="1055" t="s">
        <v>49</v>
      </c>
      <c r="C100" s="389" t="s">
        <v>16</v>
      </c>
      <c r="D100" s="472" t="n">
        <v>21282.201</v>
      </c>
      <c r="E100" s="409" t="n">
        <v>20500.129</v>
      </c>
      <c r="F100" s="473" t="n">
        <v>19495.572</v>
      </c>
      <c r="G100" s="408" t="n">
        <v>22854.0</v>
      </c>
      <c r="H100" s="409" t="n">
        <v>23135.0</v>
      </c>
      <c r="I100" s="474" t="n">
        <v>23372.0</v>
      </c>
      <c r="J100" s="410" t="n">
        <f t="shared" si="17"/>
        <v>1.1859274164068299</v>
      </c>
      <c r="K100" s="408" t="n">
        <v>21505.0</v>
      </c>
      <c r="L100" s="411" t="n">
        <f t="shared" si="18"/>
        <v>1.1030709947879447</v>
      </c>
      <c r="M100" s="408" t="n">
        <v>23364.0</v>
      </c>
      <c r="N100" s="411" t="n">
        <f t="shared" si="19"/>
        <v>1.1984259810381557</v>
      </c>
      <c r="O100" s="408" t="n">
        <v>25199.0</v>
      </c>
      <c r="P100" s="411" t="n">
        <f t="shared" si="20"/>
        <v>1.29254991851483</v>
      </c>
      <c r="Q100" s="408" t="n">
        <v>24476.0</v>
      </c>
      <c r="R100" s="411" t="n">
        <f t="shared" si="21"/>
        <v>1.2554645742120314</v>
      </c>
      <c r="S100" s="408" t="n">
        <v>21908.0</v>
      </c>
      <c r="T100" s="411" t="n">
        <f t="shared" si="22"/>
        <v>1.1237423554435848</v>
      </c>
    </row>
    <row r="101" spans="1:20">
      <c r="A101" s="19"/>
      <c r="B101" s="1059"/>
      <c r="C101" s="389" t="s">
        <v>17</v>
      </c>
      <c r="D101" s="472" t="n">
        <v>125.83333333333333</v>
      </c>
      <c r="E101" s="409" t="n">
        <v>128.25</v>
      </c>
      <c r="F101" s="473" t="n">
        <v>128.0</v>
      </c>
      <c r="G101" s="408" t="n">
        <v>147.0</v>
      </c>
      <c r="H101" s="409" t="n">
        <v>150.0</v>
      </c>
      <c r="I101" s="474" t="n">
        <v>152.0</v>
      </c>
      <c r="J101" s="402" t="n">
        <f t="shared" si="17"/>
        <v>1.1692708333333333</v>
      </c>
      <c r="K101" s="408" t="n">
        <v>141.0</v>
      </c>
      <c r="L101" s="403" t="n">
        <f t="shared" si="18"/>
        <v>1.1015625</v>
      </c>
      <c r="M101" s="408" t="n">
        <v>154.0</v>
      </c>
      <c r="N101" s="403" t="n">
        <f t="shared" si="19"/>
        <v>1.203125</v>
      </c>
      <c r="O101" s="408" t="n">
        <v>165.0</v>
      </c>
      <c r="P101" s="403" t="n">
        <f t="shared" si="20"/>
        <v>1.2890625</v>
      </c>
      <c r="Q101" s="408" t="n">
        <v>159.0</v>
      </c>
      <c r="R101" s="403" t="n">
        <f t="shared" si="21"/>
        <v>1.2421875</v>
      </c>
      <c r="S101" s="408" t="n">
        <v>142.0</v>
      </c>
      <c r="T101" s="411" t="n">
        <f t="shared" si="22"/>
        <v>1.109375</v>
      </c>
    </row>
    <row r="102" spans="1:20">
      <c r="A102" s="19"/>
      <c r="B102" s="1057" t="s">
        <v>50</v>
      </c>
      <c r="C102" s="389" t="s">
        <v>16</v>
      </c>
      <c r="D102" s="472" t="n">
        <v>473.139</v>
      </c>
      <c r="E102" s="409" t="n">
        <v>575.31</v>
      </c>
      <c r="F102" s="473" t="n">
        <v>0.0</v>
      </c>
      <c r="G102" s="408" t="n">
        <v>0.0</v>
      </c>
      <c r="H102" s="409" t="n">
        <v>0.0</v>
      </c>
      <c r="I102" s="474" t="n">
        <v>0.0</v>
      </c>
      <c r="J102" s="402" t="str">
        <f t="shared" ref="J102:J105" si="24">IFERROR(SUM(G102:I102)/3/F102,"－")</f>
        <v>－</v>
      </c>
      <c r="K102" s="408" t="n">
        <v>0.0</v>
      </c>
      <c r="L102" s="403" t="str">
        <f t="shared" si="18"/>
        <v>－</v>
      </c>
      <c r="M102" s="408" t="n">
        <v>0.0</v>
      </c>
      <c r="N102" s="403" t="str">
        <f t="shared" si="19"/>
        <v>－</v>
      </c>
      <c r="O102" s="408" t="n">
        <v>0.0</v>
      </c>
      <c r="P102" s="403" t="str">
        <f t="shared" si="20"/>
        <v>－</v>
      </c>
      <c r="Q102" s="408" t="n">
        <v>0.0</v>
      </c>
      <c r="R102" s="403" t="str">
        <f t="shared" si="21"/>
        <v>－</v>
      </c>
      <c r="S102" s="408" t="n">
        <v>0.0</v>
      </c>
      <c r="T102" s="411" t="str">
        <f t="shared" si="22"/>
        <v>－</v>
      </c>
    </row>
    <row r="103" spans="1:20">
      <c r="A103" s="19"/>
      <c r="B103" s="1063"/>
      <c r="C103" s="389" t="s">
        <v>17</v>
      </c>
      <c r="D103" s="472" t="n">
        <v>1.25</v>
      </c>
      <c r="E103" s="409" t="n">
        <v>1.5833333333333333</v>
      </c>
      <c r="F103" s="473" t="n">
        <v>1.0</v>
      </c>
      <c r="G103" s="408" t="n">
        <v>1.0</v>
      </c>
      <c r="H103" s="409" t="n">
        <v>1.0</v>
      </c>
      <c r="I103" s="474" t="n">
        <v>1.0</v>
      </c>
      <c r="J103" s="402" t="n">
        <f t="shared" si="24"/>
        <v>1.0</v>
      </c>
      <c r="K103" s="408" t="n">
        <v>1.0</v>
      </c>
      <c r="L103" s="403" t="n">
        <f t="shared" si="18"/>
        <v>1.0</v>
      </c>
      <c r="M103" s="408" t="n">
        <v>1.0</v>
      </c>
      <c r="N103" s="403" t="n">
        <f t="shared" si="19"/>
        <v>1.0</v>
      </c>
      <c r="O103" s="408" t="n">
        <v>1.0</v>
      </c>
      <c r="P103" s="403" t="n">
        <f t="shared" si="20"/>
        <v>1.0</v>
      </c>
      <c r="Q103" s="408" t="n">
        <v>1.0</v>
      </c>
      <c r="R103" s="403" t="n">
        <f t="shared" si="21"/>
        <v>1.0</v>
      </c>
      <c r="S103" s="408" t="n">
        <v>1.0</v>
      </c>
      <c r="T103" s="411" t="n">
        <f t="shared" si="22"/>
        <v>1.0</v>
      </c>
    </row>
    <row r="104" spans="1:20">
      <c r="A104" s="19"/>
      <c r="B104" s="1057" t="s">
        <v>51</v>
      </c>
      <c r="C104" s="389" t="s">
        <v>16</v>
      </c>
      <c r="D104" s="472" t="n">
        <v>894.224</v>
      </c>
      <c r="E104" s="409" t="n">
        <v>1009.424</v>
      </c>
      <c r="F104" s="473" t="n">
        <v>0.0</v>
      </c>
      <c r="G104" s="408" t="n">
        <v>0.0</v>
      </c>
      <c r="H104" s="409" t="n">
        <v>0.0</v>
      </c>
      <c r="I104" s="474" t="n">
        <v>0.0</v>
      </c>
      <c r="J104" s="402" t="str">
        <f t="shared" si="24"/>
        <v>－</v>
      </c>
      <c r="K104" s="408" t="n">
        <v>0.0</v>
      </c>
      <c r="L104" s="403" t="str">
        <f t="shared" si="18"/>
        <v>－</v>
      </c>
      <c r="M104" s="408" t="n">
        <v>0.0</v>
      </c>
      <c r="N104" s="403" t="str">
        <f t="shared" si="19"/>
        <v>－</v>
      </c>
      <c r="O104" s="408" t="n">
        <v>0.0</v>
      </c>
      <c r="P104" s="403" t="str">
        <f t="shared" si="20"/>
        <v>－</v>
      </c>
      <c r="Q104" s="408" t="n">
        <v>0.0</v>
      </c>
      <c r="R104" s="403" t="str">
        <f t="shared" si="21"/>
        <v>－</v>
      </c>
      <c r="S104" s="408" t="n">
        <v>0.0</v>
      </c>
      <c r="T104" s="411" t="str">
        <f t="shared" si="22"/>
        <v>－</v>
      </c>
    </row>
    <row r="105" spans="1:20">
      <c r="A105" s="19"/>
      <c r="B105" s="1063"/>
      <c r="C105" s="389" t="s">
        <v>17</v>
      </c>
      <c r="D105" s="472" t="n">
        <v>0.5833333333333334</v>
      </c>
      <c r="E105" s="409" t="n">
        <v>0.8333333333333334</v>
      </c>
      <c r="F105" s="473" t="n">
        <v>0.0</v>
      </c>
      <c r="G105" s="408" t="n">
        <v>0.0</v>
      </c>
      <c r="H105" s="409" t="n">
        <v>0.0</v>
      </c>
      <c r="I105" s="474" t="n">
        <v>0.0</v>
      </c>
      <c r="J105" s="402" t="str">
        <f t="shared" si="24"/>
        <v>－</v>
      </c>
      <c r="K105" s="408" t="n">
        <v>0.0</v>
      </c>
      <c r="L105" s="403" t="str">
        <f t="shared" si="18"/>
        <v>－</v>
      </c>
      <c r="M105" s="408" t="n">
        <v>0.0</v>
      </c>
      <c r="N105" s="403" t="str">
        <f t="shared" si="19"/>
        <v>－</v>
      </c>
      <c r="O105" s="408" t="n">
        <v>0.0</v>
      </c>
      <c r="P105" s="403" t="str">
        <f t="shared" si="20"/>
        <v>－</v>
      </c>
      <c r="Q105" s="408" t="n">
        <v>0.0</v>
      </c>
      <c r="R105" s="403" t="str">
        <f t="shared" si="21"/>
        <v>－</v>
      </c>
      <c r="S105" s="408" t="n">
        <v>0.0</v>
      </c>
      <c r="T105" s="411" t="str">
        <f t="shared" si="22"/>
        <v>－</v>
      </c>
    </row>
    <row r="106" spans="1:20">
      <c r="A106" s="19"/>
      <c r="B106" s="1060" t="s">
        <v>52</v>
      </c>
      <c r="C106" s="1022" t="s">
        <v>16</v>
      </c>
      <c r="D106" s="480" t="n">
        <v>3625.33</v>
      </c>
      <c r="E106" s="409" t="n">
        <v>6254.5960000000005</v>
      </c>
      <c r="F106" s="473" t="n">
        <v>4472.916</v>
      </c>
      <c r="G106" s="408" t="n">
        <v>4648.0</v>
      </c>
      <c r="H106" s="409" t="n">
        <v>4648.0</v>
      </c>
      <c r="I106" s="481" t="n">
        <v>4648.0</v>
      </c>
      <c r="J106" s="482" t="n">
        <f>IFERROR(SUM(G106:I106)/3/F106,"－")</f>
        <v>1.0391431450981865</v>
      </c>
      <c r="K106" s="408" t="n">
        <v>4648.0</v>
      </c>
      <c r="L106" s="483" t="n">
        <f>IFERROR(K106/F106,"－")</f>
        <v>1.0391431450981865</v>
      </c>
      <c r="M106" s="408" t="n">
        <v>4648.0</v>
      </c>
      <c r="N106" s="483" t="n">
        <f t="shared" si="19"/>
        <v>1.0391431450981865</v>
      </c>
      <c r="O106" s="408" t="n">
        <v>4648.0</v>
      </c>
      <c r="P106" s="483" t="n">
        <f t="shared" si="20"/>
        <v>1.0391431450981865</v>
      </c>
      <c r="Q106" s="408" t="n">
        <v>4648.0</v>
      </c>
      <c r="R106" s="483" t="n">
        <f t="shared" si="21"/>
        <v>1.0391431450981865</v>
      </c>
      <c r="S106" s="408" t="n">
        <v>4648.0</v>
      </c>
      <c r="T106" s="483" t="n">
        <f t="shared" si="22"/>
        <v>1.0391431450981865</v>
      </c>
    </row>
    <row r="107" spans="1:20" ht="14.25" thickBot="1">
      <c r="A107" s="25"/>
      <c r="B107" s="1064"/>
      <c r="C107" s="1011" t="s">
        <v>17</v>
      </c>
      <c r="D107" s="480" t="n">
        <v>1.6666666666666667</v>
      </c>
      <c r="E107" s="409" t="n">
        <v>2.6666666666666665</v>
      </c>
      <c r="F107" s="473" t="n">
        <v>2.0</v>
      </c>
      <c r="G107" s="408" t="n">
        <v>2.0</v>
      </c>
      <c r="H107" s="409" t="n">
        <v>2.0</v>
      </c>
      <c r="I107" s="481" t="n">
        <v>2.0</v>
      </c>
      <c r="J107" s="422" t="n">
        <f>IFERROR(SUM(G107:I107)/3/F107,"－")</f>
        <v>1.0</v>
      </c>
      <c r="K107" s="408" t="n">
        <v>2.0</v>
      </c>
      <c r="L107" s="423" t="n">
        <f>IFERROR(K107/F107,"－")</f>
        <v>1.0</v>
      </c>
      <c r="M107" s="408" t="n">
        <v>2.0</v>
      </c>
      <c r="N107" s="423" t="n">
        <f t="shared" si="19"/>
        <v>1.0</v>
      </c>
      <c r="O107" s="408" t="n">
        <v>2.0</v>
      </c>
      <c r="P107" s="423" t="n">
        <f t="shared" si="20"/>
        <v>1.0</v>
      </c>
      <c r="Q107" s="408" t="n">
        <v>2.0</v>
      </c>
      <c r="R107" s="423" t="n">
        <f t="shared" si="21"/>
        <v>1.0</v>
      </c>
      <c r="S107" s="408" t="n">
        <v>2.0</v>
      </c>
      <c r="T107" s="423" t="n">
        <f>IFERROR(S107/F107,"－")</f>
        <v>1.0</v>
      </c>
    </row>
    <row r="108" spans="1:20">
      <c r="A108" s="19" t="s">
        <v>53</v>
      </c>
      <c r="B108" s="380"/>
      <c r="C108" s="489"/>
      <c r="D108" s="490"/>
      <c r="E108" s="491"/>
      <c r="F108" s="492"/>
      <c r="G108" s="493"/>
      <c r="H108" s="491"/>
      <c r="I108" s="494"/>
      <c r="J108" s="495"/>
      <c r="K108" s="496"/>
      <c r="L108" s="497"/>
      <c r="M108" s="496"/>
      <c r="N108" s="497"/>
      <c r="O108" s="496"/>
      <c r="P108" s="497"/>
      <c r="Q108" s="496"/>
      <c r="R108" s="497"/>
      <c r="S108" s="496"/>
      <c r="T108" s="497"/>
    </row>
    <row r="109" spans="1:20">
      <c r="A109" s="24"/>
      <c r="B109" s="1057" t="s">
        <v>54</v>
      </c>
      <c r="C109" s="389" t="s">
        <v>16</v>
      </c>
      <c r="D109" s="472" t="n">
        <v>0.0</v>
      </c>
      <c r="E109" s="409" t="n">
        <v>388.75</v>
      </c>
      <c r="F109" s="498" t="n">
        <v>0.0</v>
      </c>
      <c r="G109" s="473" t="n">
        <v>0.0</v>
      </c>
      <c r="H109" s="409" t="n">
        <v>0.0</v>
      </c>
      <c r="I109" s="474" t="n">
        <v>0.0</v>
      </c>
      <c r="J109" s="410" t="str">
        <f t="shared" ref="J109:J128" si="25">IFERROR(SUM(G109:I109)/3/F109,"－")</f>
        <v>－</v>
      </c>
      <c r="K109" s="408" t="n">
        <v>0.0</v>
      </c>
      <c r="L109" s="411" t="str">
        <f t="shared" ref="L109:L124" si="26">IFERROR(K109/F109,"－")</f>
        <v>－</v>
      </c>
      <c r="M109" s="408" t="n">
        <v>0.0</v>
      </c>
      <c r="N109" s="411" t="str">
        <f t="shared" si="19"/>
        <v>－</v>
      </c>
      <c r="O109" s="408" t="n">
        <v>0.0</v>
      </c>
      <c r="P109" s="411" t="str">
        <f t="shared" si="20"/>
        <v>－</v>
      </c>
      <c r="Q109" s="408" t="n">
        <v>0.0</v>
      </c>
      <c r="R109" s="411" t="str">
        <f t="shared" si="21"/>
        <v>－</v>
      </c>
      <c r="S109" s="408" t="n">
        <v>0.0</v>
      </c>
      <c r="T109" s="411" t="str">
        <f>IFERROR(S109/F109,"－")</f>
        <v>－</v>
      </c>
    </row>
    <row r="110" spans="1:20">
      <c r="A110" s="24"/>
      <c r="B110" s="1063"/>
      <c r="C110" s="389" t="s">
        <v>17</v>
      </c>
      <c r="D110" s="472" t="n">
        <v>0.0</v>
      </c>
      <c r="E110" s="409" t="n">
        <v>0.4166666666666667</v>
      </c>
      <c r="F110" s="498" t="n">
        <v>0.0</v>
      </c>
      <c r="G110" s="473" t="n">
        <v>0.0</v>
      </c>
      <c r="H110" s="409" t="n">
        <v>0.0</v>
      </c>
      <c r="I110" s="474" t="n">
        <v>0.0</v>
      </c>
      <c r="J110" s="412" t="str">
        <f t="shared" si="25"/>
        <v>－</v>
      </c>
      <c r="K110" s="408" t="n">
        <v>0.0</v>
      </c>
      <c r="L110" s="403" t="str">
        <f t="shared" si="26"/>
        <v>－</v>
      </c>
      <c r="M110" s="408" t="n">
        <v>0.0</v>
      </c>
      <c r="N110" s="403" t="str">
        <f t="shared" si="19"/>
        <v>－</v>
      </c>
      <c r="O110" s="408" t="n">
        <v>0.0</v>
      </c>
      <c r="P110" s="403" t="str">
        <f t="shared" si="20"/>
        <v>－</v>
      </c>
      <c r="Q110" s="408" t="n">
        <v>0.0</v>
      </c>
      <c r="R110" s="403" t="str">
        <f t="shared" si="21"/>
        <v>－</v>
      </c>
      <c r="S110" s="408" t="n">
        <v>0.0</v>
      </c>
      <c r="T110" s="411" t="str">
        <f t="shared" ref="T110:T127" si="27">IFERROR(S110/F110,"－")</f>
        <v>－</v>
      </c>
    </row>
    <row r="111" spans="1:20">
      <c r="A111" s="24"/>
      <c r="B111" s="1055" t="s">
        <v>55</v>
      </c>
      <c r="C111" s="389" t="s">
        <v>16</v>
      </c>
      <c r="D111" s="472" t="n">
        <v>0.0</v>
      </c>
      <c r="E111" s="409" t="n">
        <v>0.0</v>
      </c>
      <c r="F111" s="498" t="n">
        <v>0.0</v>
      </c>
      <c r="G111" s="473" t="n">
        <v>0.0</v>
      </c>
      <c r="H111" s="409" t="n">
        <v>0.0</v>
      </c>
      <c r="I111" s="474" t="n">
        <v>0.0</v>
      </c>
      <c r="J111" s="410" t="str">
        <f t="shared" si="25"/>
        <v>－</v>
      </c>
      <c r="K111" s="408" t="n">
        <v>0.0</v>
      </c>
      <c r="L111" s="411" t="str">
        <f t="shared" si="26"/>
        <v>－</v>
      </c>
      <c r="M111" s="408" t="n">
        <v>0.0</v>
      </c>
      <c r="N111" s="411" t="str">
        <f t="shared" si="19"/>
        <v>－</v>
      </c>
      <c r="O111" s="408" t="n">
        <v>0.0</v>
      </c>
      <c r="P111" s="411" t="str">
        <f t="shared" si="20"/>
        <v>－</v>
      </c>
      <c r="Q111" s="408" t="n">
        <v>0.0</v>
      </c>
      <c r="R111" s="411" t="str">
        <f t="shared" si="21"/>
        <v>－</v>
      </c>
      <c r="S111" s="408" t="n">
        <v>0.0</v>
      </c>
      <c r="T111" s="411" t="str">
        <f t="shared" si="27"/>
        <v>－</v>
      </c>
    </row>
    <row r="112" spans="1:20">
      <c r="A112" s="19"/>
      <c r="B112" s="1059"/>
      <c r="C112" s="389" t="s">
        <v>17</v>
      </c>
      <c r="D112" s="472" t="n">
        <v>0.0</v>
      </c>
      <c r="E112" s="409" t="n">
        <v>0.0</v>
      </c>
      <c r="F112" s="498" t="n">
        <v>0.0</v>
      </c>
      <c r="G112" s="473" t="n">
        <v>0.0</v>
      </c>
      <c r="H112" s="409" t="n">
        <v>0.0</v>
      </c>
      <c r="I112" s="474" t="n">
        <v>0.0</v>
      </c>
      <c r="J112" s="402" t="str">
        <f t="shared" si="25"/>
        <v>－</v>
      </c>
      <c r="K112" s="408" t="n">
        <v>0.0</v>
      </c>
      <c r="L112" s="403" t="str">
        <f t="shared" si="26"/>
        <v>－</v>
      </c>
      <c r="M112" s="408" t="n">
        <v>0.0</v>
      </c>
      <c r="N112" s="403" t="str">
        <f t="shared" si="19"/>
        <v>－</v>
      </c>
      <c r="O112" s="408" t="n">
        <v>0.0</v>
      </c>
      <c r="P112" s="403" t="str">
        <f t="shared" si="20"/>
        <v>－</v>
      </c>
      <c r="Q112" s="408" t="n">
        <v>0.0</v>
      </c>
      <c r="R112" s="403" t="str">
        <f t="shared" si="21"/>
        <v>－</v>
      </c>
      <c r="S112" s="408" t="n">
        <v>0.0</v>
      </c>
      <c r="T112" s="411" t="str">
        <f t="shared" si="27"/>
        <v>－</v>
      </c>
    </row>
    <row r="113" spans="1:20">
      <c r="A113" s="19"/>
      <c r="B113" s="1055" t="s">
        <v>94</v>
      </c>
      <c r="C113" s="389" t="s">
        <v>16</v>
      </c>
      <c r="D113" s="472" t="n">
        <v>324.896</v>
      </c>
      <c r="E113" s="409" t="n">
        <v>377.368</v>
      </c>
      <c r="F113" s="498" t="n">
        <v>0.0</v>
      </c>
      <c r="G113" s="473" t="n">
        <v>0.0</v>
      </c>
      <c r="H113" s="409" t="n">
        <v>0.0</v>
      </c>
      <c r="I113" s="474" t="n">
        <v>0.0</v>
      </c>
      <c r="J113" s="410" t="str">
        <f>IFERROR(SUM(G113:I113)/3/F113,"－")</f>
        <v>－</v>
      </c>
      <c r="K113" s="408" t="n">
        <v>0.0</v>
      </c>
      <c r="L113" s="429" t="str">
        <f t="shared" ref="L113:L115" si="28">IFERROR(K113/F113,"－")</f>
        <v>－</v>
      </c>
      <c r="M113" s="408" t="n">
        <v>0.0</v>
      </c>
      <c r="N113" s="429" t="str">
        <f t="shared" si="19"/>
        <v>－</v>
      </c>
      <c r="O113" s="408" t="n">
        <v>0.0</v>
      </c>
      <c r="P113" s="429" t="str">
        <f t="shared" si="20"/>
        <v>－</v>
      </c>
      <c r="Q113" s="408" t="n">
        <v>0.0</v>
      </c>
      <c r="R113" s="429" t="str">
        <f t="shared" si="21"/>
        <v>－</v>
      </c>
      <c r="S113" s="408" t="n">
        <v>0.0</v>
      </c>
      <c r="T113" s="411" t="str">
        <f t="shared" si="27"/>
        <v>－</v>
      </c>
    </row>
    <row r="114" spans="1:20">
      <c r="A114" s="19"/>
      <c r="B114" s="1056"/>
      <c r="C114" s="389" t="s">
        <v>19</v>
      </c>
      <c r="D114" s="475" t="n">
        <v>7.333333333333333</v>
      </c>
      <c r="E114" s="476" t="n">
        <v>8.166666666666666</v>
      </c>
      <c r="F114" s="499" t="n">
        <v>8.3</v>
      </c>
      <c r="G114" s="477" t="n">
        <v>0.0</v>
      </c>
      <c r="H114" s="476" t="n">
        <v>0.0</v>
      </c>
      <c r="I114" s="479" t="n">
        <v>0.0</v>
      </c>
      <c r="J114" s="402" t="n">
        <f>IFERROR(SUM(G114:I114)/3/F114,"－")</f>
        <v>0.0</v>
      </c>
      <c r="K114" s="478" t="n">
        <v>0.0</v>
      </c>
      <c r="L114" s="429" t="n">
        <f t="shared" si="28"/>
        <v>0.0</v>
      </c>
      <c r="M114" s="478" t="n">
        <v>0.0</v>
      </c>
      <c r="N114" s="429" t="n">
        <f t="shared" si="19"/>
        <v>0.0</v>
      </c>
      <c r="O114" s="478" t="n">
        <v>0.0</v>
      </c>
      <c r="P114" s="429" t="n">
        <f t="shared" si="20"/>
        <v>0.0</v>
      </c>
      <c r="Q114" s="478" t="n">
        <v>0.0</v>
      </c>
      <c r="R114" s="429" t="n">
        <f t="shared" si="21"/>
        <v>0.0</v>
      </c>
      <c r="S114" s="478" t="n">
        <v>0.0</v>
      </c>
      <c r="T114" s="411" t="n">
        <f t="shared" si="27"/>
        <v>0.0</v>
      </c>
    </row>
    <row r="115" spans="1:20">
      <c r="A115" s="19"/>
      <c r="B115" s="500"/>
      <c r="C115" s="389" t="s">
        <v>17</v>
      </c>
      <c r="D115" s="472" t="n">
        <v>0.9166666666666666</v>
      </c>
      <c r="E115" s="409" t="n">
        <v>0.9166666666666666</v>
      </c>
      <c r="F115" s="498" t="n">
        <v>1.0</v>
      </c>
      <c r="G115" s="473" t="n">
        <v>1.0</v>
      </c>
      <c r="H115" s="409" t="n">
        <v>1.0</v>
      </c>
      <c r="I115" s="474" t="n">
        <v>1.0</v>
      </c>
      <c r="J115" s="402" t="n">
        <f>IFERROR(SUM(G115:I115)/3/F115,"－")</f>
        <v>1.0</v>
      </c>
      <c r="K115" s="408" t="n">
        <v>1.0</v>
      </c>
      <c r="L115" s="429" t="n">
        <f t="shared" si="28"/>
        <v>1.0</v>
      </c>
      <c r="M115" s="408" t="n">
        <v>1.0</v>
      </c>
      <c r="N115" s="429" t="n">
        <f t="shared" si="19"/>
        <v>1.0</v>
      </c>
      <c r="O115" s="408" t="n">
        <v>1.0</v>
      </c>
      <c r="P115" s="429" t="n">
        <f t="shared" si="20"/>
        <v>1.0</v>
      </c>
      <c r="Q115" s="408" t="n">
        <v>1.0</v>
      </c>
      <c r="R115" s="429" t="n">
        <f t="shared" si="21"/>
        <v>1.0</v>
      </c>
      <c r="S115" s="408" t="n">
        <v>1.0</v>
      </c>
      <c r="T115" s="411" t="n">
        <f t="shared" si="27"/>
        <v>1.0</v>
      </c>
    </row>
    <row r="116" spans="1:20">
      <c r="A116" s="24"/>
      <c r="B116" s="1055" t="s">
        <v>56</v>
      </c>
      <c r="C116" s="389" t="s">
        <v>16</v>
      </c>
      <c r="D116" s="472" t="n">
        <v>0.0</v>
      </c>
      <c r="E116" s="409" t="n">
        <v>0.0</v>
      </c>
      <c r="F116" s="498" t="n">
        <v>0.0</v>
      </c>
      <c r="G116" s="473" t="n">
        <v>0.0</v>
      </c>
      <c r="H116" s="409" t="n">
        <v>0.0</v>
      </c>
      <c r="I116" s="474" t="n">
        <v>0.0</v>
      </c>
      <c r="J116" s="410" t="str">
        <f t="shared" si="25"/>
        <v>－</v>
      </c>
      <c r="K116" s="408" t="n">
        <v>0.0</v>
      </c>
      <c r="L116" s="411" t="str">
        <f t="shared" si="26"/>
        <v>－</v>
      </c>
      <c r="M116" s="408" t="n">
        <v>0.0</v>
      </c>
      <c r="N116" s="411" t="str">
        <f t="shared" si="19"/>
        <v>－</v>
      </c>
      <c r="O116" s="408" t="n">
        <v>0.0</v>
      </c>
      <c r="P116" s="411" t="str">
        <f t="shared" si="20"/>
        <v>－</v>
      </c>
      <c r="Q116" s="408" t="n">
        <v>0.0</v>
      </c>
      <c r="R116" s="411" t="str">
        <f t="shared" si="21"/>
        <v>－</v>
      </c>
      <c r="S116" s="408" t="n">
        <v>0.0</v>
      </c>
      <c r="T116" s="411" t="str">
        <f t="shared" si="27"/>
        <v>－</v>
      </c>
    </row>
    <row r="117" spans="1:20">
      <c r="A117" s="19"/>
      <c r="B117" s="1056"/>
      <c r="C117" s="389" t="s">
        <v>19</v>
      </c>
      <c r="D117" s="475" t="n">
        <v>0.0</v>
      </c>
      <c r="E117" s="476" t="n">
        <v>0.0</v>
      </c>
      <c r="F117" s="499" t="n">
        <v>0.0</v>
      </c>
      <c r="G117" s="477" t="n">
        <v>0.0</v>
      </c>
      <c r="H117" s="476" t="n">
        <v>0.0</v>
      </c>
      <c r="I117" s="479" t="n">
        <v>0.0</v>
      </c>
      <c r="J117" s="402" t="str">
        <f t="shared" si="25"/>
        <v>－</v>
      </c>
      <c r="K117" s="478" t="n">
        <v>0.0</v>
      </c>
      <c r="L117" s="403" t="str">
        <f t="shared" si="26"/>
        <v>－</v>
      </c>
      <c r="M117" s="478" t="n">
        <v>0.0</v>
      </c>
      <c r="N117" s="403" t="str">
        <f t="shared" si="19"/>
        <v>－</v>
      </c>
      <c r="O117" s="478" t="n">
        <v>0.0</v>
      </c>
      <c r="P117" s="403" t="str">
        <f t="shared" si="20"/>
        <v>－</v>
      </c>
      <c r="Q117" s="478" t="n">
        <v>0.0</v>
      </c>
      <c r="R117" s="403" t="str">
        <f t="shared" si="21"/>
        <v>－</v>
      </c>
      <c r="S117" s="478" t="n">
        <v>0.0</v>
      </c>
      <c r="T117" s="411" t="str">
        <f t="shared" si="27"/>
        <v>－</v>
      </c>
    </row>
    <row r="118" spans="1:20">
      <c r="A118" s="19"/>
      <c r="B118" s="437"/>
      <c r="C118" s="389" t="s">
        <v>17</v>
      </c>
      <c r="D118" s="472" t="n">
        <v>0.0</v>
      </c>
      <c r="E118" s="409" t="n">
        <v>0.0</v>
      </c>
      <c r="F118" s="498" t="n">
        <v>0.0</v>
      </c>
      <c r="G118" s="473" t="n">
        <v>0.0</v>
      </c>
      <c r="H118" s="409" t="n">
        <v>0.0</v>
      </c>
      <c r="I118" s="474" t="n">
        <v>0.0</v>
      </c>
      <c r="J118" s="402" t="str">
        <f t="shared" si="25"/>
        <v>－</v>
      </c>
      <c r="K118" s="408" t="n">
        <v>0.0</v>
      </c>
      <c r="L118" s="403" t="str">
        <f t="shared" si="26"/>
        <v>－</v>
      </c>
      <c r="M118" s="408" t="n">
        <v>0.0</v>
      </c>
      <c r="N118" s="403" t="str">
        <f t="shared" si="19"/>
        <v>－</v>
      </c>
      <c r="O118" s="408" t="n">
        <v>0.0</v>
      </c>
      <c r="P118" s="403" t="str">
        <f t="shared" si="20"/>
        <v>－</v>
      </c>
      <c r="Q118" s="408" t="n">
        <v>0.0</v>
      </c>
      <c r="R118" s="403" t="str">
        <f t="shared" si="21"/>
        <v>－</v>
      </c>
      <c r="S118" s="408" t="n">
        <v>0.0</v>
      </c>
      <c r="T118" s="411" t="str">
        <f t="shared" si="27"/>
        <v>－</v>
      </c>
    </row>
    <row r="119" spans="1:20">
      <c r="A119" s="24"/>
      <c r="B119" s="1055" t="s">
        <v>57</v>
      </c>
      <c r="C119" s="389" t="s">
        <v>16</v>
      </c>
      <c r="D119" s="472" t="n">
        <v>0.0</v>
      </c>
      <c r="E119" s="409" t="n">
        <v>0.0</v>
      </c>
      <c r="F119" s="498" t="n">
        <v>0.0</v>
      </c>
      <c r="G119" s="473" t="n">
        <v>0.0</v>
      </c>
      <c r="H119" s="409" t="n">
        <v>0.0</v>
      </c>
      <c r="I119" s="474" t="n">
        <v>0.0</v>
      </c>
      <c r="J119" s="410" t="str">
        <f t="shared" si="25"/>
        <v>－</v>
      </c>
      <c r="K119" s="408" t="n">
        <v>0.0</v>
      </c>
      <c r="L119" s="411" t="str">
        <f t="shared" si="26"/>
        <v>－</v>
      </c>
      <c r="M119" s="408" t="n">
        <v>0.0</v>
      </c>
      <c r="N119" s="411" t="str">
        <f t="shared" si="19"/>
        <v>－</v>
      </c>
      <c r="O119" s="408" t="n">
        <v>0.0</v>
      </c>
      <c r="P119" s="411" t="str">
        <f t="shared" si="20"/>
        <v>－</v>
      </c>
      <c r="Q119" s="408" t="n">
        <v>0.0</v>
      </c>
      <c r="R119" s="411" t="str">
        <f t="shared" si="21"/>
        <v>－</v>
      </c>
      <c r="S119" s="408" t="n">
        <v>0.0</v>
      </c>
      <c r="T119" s="411" t="str">
        <f t="shared" si="27"/>
        <v>－</v>
      </c>
    </row>
    <row r="120" spans="1:20">
      <c r="A120" s="19"/>
      <c r="B120" s="1059"/>
      <c r="C120" s="389" t="s">
        <v>17</v>
      </c>
      <c r="D120" s="472" t="n">
        <v>0.0</v>
      </c>
      <c r="E120" s="409" t="n">
        <v>0.0</v>
      </c>
      <c r="F120" s="498" t="n">
        <v>0.0</v>
      </c>
      <c r="G120" s="473" t="n">
        <v>0.0</v>
      </c>
      <c r="H120" s="409" t="n">
        <v>0.0</v>
      </c>
      <c r="I120" s="474" t="n">
        <v>0.0</v>
      </c>
      <c r="J120" s="402" t="str">
        <f t="shared" si="25"/>
        <v>－</v>
      </c>
      <c r="K120" s="408" t="n">
        <v>0.0</v>
      </c>
      <c r="L120" s="403" t="str">
        <f t="shared" si="26"/>
        <v>－</v>
      </c>
      <c r="M120" s="408" t="n">
        <v>0.0</v>
      </c>
      <c r="N120" s="403" t="str">
        <f t="shared" si="19"/>
        <v>－</v>
      </c>
      <c r="O120" s="408" t="n">
        <v>0.0</v>
      </c>
      <c r="P120" s="403" t="str">
        <f t="shared" si="20"/>
        <v>－</v>
      </c>
      <c r="Q120" s="408" t="n">
        <v>0.0</v>
      </c>
      <c r="R120" s="403" t="str">
        <f t="shared" si="21"/>
        <v>－</v>
      </c>
      <c r="S120" s="408" t="n">
        <v>0.0</v>
      </c>
      <c r="T120" s="411" t="str">
        <f t="shared" si="27"/>
        <v>－</v>
      </c>
    </row>
    <row r="121" spans="1:20">
      <c r="A121" s="19"/>
      <c r="B121" s="1060" t="s">
        <v>58</v>
      </c>
      <c r="C121" s="389" t="s">
        <v>16</v>
      </c>
      <c r="D121" s="472" t="n">
        <v>88245.166</v>
      </c>
      <c r="E121" s="409" t="n">
        <v>80058.606</v>
      </c>
      <c r="F121" s="498" t="n">
        <v>81841.644</v>
      </c>
      <c r="G121" s="473" t="n">
        <v>85192.0</v>
      </c>
      <c r="H121" s="409" t="n">
        <v>84953.0</v>
      </c>
      <c r="I121" s="474" t="n">
        <v>88259.0</v>
      </c>
      <c r="J121" s="410" t="n">
        <f t="shared" si="25"/>
        <v>1.052455234973856</v>
      </c>
      <c r="K121" s="408" t="n">
        <v>88259.0</v>
      </c>
      <c r="L121" s="411" t="n">
        <f t="shared" si="26"/>
        <v>1.0784118657244959</v>
      </c>
      <c r="M121" s="408" t="n">
        <v>97991.0</v>
      </c>
      <c r="N121" s="411" t="n">
        <f t="shared" si="19"/>
        <v>1.1973244330233639</v>
      </c>
      <c r="O121" s="408" t="n">
        <v>101350.0</v>
      </c>
      <c r="P121" s="411" t="n">
        <f t="shared" si="20"/>
        <v>1.238367108070312</v>
      </c>
      <c r="Q121" s="408" t="n">
        <v>98044.0</v>
      </c>
      <c r="R121" s="411" t="n">
        <f t="shared" si="21"/>
        <v>1.1979720250976384</v>
      </c>
      <c r="S121" s="408" t="n">
        <v>81886.0</v>
      </c>
      <c r="T121" s="411" t="n">
        <f t="shared" si="27"/>
        <v>1.0005419734725758</v>
      </c>
    </row>
    <row r="122" spans="1:20">
      <c r="A122" s="19"/>
      <c r="B122" s="1061"/>
      <c r="C122" s="389" t="s">
        <v>17</v>
      </c>
      <c r="D122" s="472" t="n">
        <v>26.75</v>
      </c>
      <c r="E122" s="409" t="n">
        <v>24.5</v>
      </c>
      <c r="F122" s="498" t="n">
        <v>26.0</v>
      </c>
      <c r="G122" s="473" t="n">
        <v>26.0</v>
      </c>
      <c r="H122" s="409" t="n">
        <v>26.0</v>
      </c>
      <c r="I122" s="474" t="n">
        <v>27.0</v>
      </c>
      <c r="J122" s="402" t="n">
        <f t="shared" si="25"/>
        <v>1.0128205128205128</v>
      </c>
      <c r="K122" s="408" t="n">
        <v>27.0</v>
      </c>
      <c r="L122" s="403" t="n">
        <f t="shared" si="26"/>
        <v>1.0384615384615385</v>
      </c>
      <c r="M122" s="408" t="n">
        <v>30.0</v>
      </c>
      <c r="N122" s="403" t="n">
        <f t="shared" si="19"/>
        <v>1.1538461538461537</v>
      </c>
      <c r="O122" s="408" t="n">
        <v>31.0</v>
      </c>
      <c r="P122" s="403" t="n">
        <f t="shared" si="20"/>
        <v>1.1923076923076923</v>
      </c>
      <c r="Q122" s="408" t="n">
        <v>30.0</v>
      </c>
      <c r="R122" s="403" t="n">
        <f t="shared" si="21"/>
        <v>1.1538461538461537</v>
      </c>
      <c r="S122" s="408" t="n">
        <v>25.0</v>
      </c>
      <c r="T122" s="411" t="n">
        <f t="shared" si="27"/>
        <v>0.9615384615384616</v>
      </c>
    </row>
    <row r="123" spans="1:20">
      <c r="A123" s="19"/>
      <c r="B123" s="1060" t="s">
        <v>59</v>
      </c>
      <c r="C123" s="389" t="s">
        <v>16</v>
      </c>
      <c r="D123" s="472" t="n">
        <v>0.0</v>
      </c>
      <c r="E123" s="409" t="n">
        <v>0.0</v>
      </c>
      <c r="F123" s="498" t="n">
        <v>0.0</v>
      </c>
      <c r="G123" s="473" t="n">
        <v>0.0</v>
      </c>
      <c r="H123" s="409" t="n">
        <v>0.0</v>
      </c>
      <c r="I123" s="474" t="n">
        <v>0.0</v>
      </c>
      <c r="J123" s="410" t="str">
        <f t="shared" si="25"/>
        <v>－</v>
      </c>
      <c r="K123" s="408" t="n">
        <v>0.0</v>
      </c>
      <c r="L123" s="403" t="str">
        <f t="shared" si="26"/>
        <v>－</v>
      </c>
      <c r="M123" s="408" t="n">
        <v>0.0</v>
      </c>
      <c r="N123" s="403" t="str">
        <f t="shared" si="19"/>
        <v>－</v>
      </c>
      <c r="O123" s="408" t="n">
        <v>0.0</v>
      </c>
      <c r="P123" s="403" t="str">
        <f t="shared" si="20"/>
        <v>－</v>
      </c>
      <c r="Q123" s="408" t="n">
        <v>0.0</v>
      </c>
      <c r="R123" s="403" t="str">
        <f t="shared" si="21"/>
        <v>－</v>
      </c>
      <c r="S123" s="408" t="n">
        <v>0.0</v>
      </c>
      <c r="T123" s="411" t="str">
        <f t="shared" si="27"/>
        <v>－</v>
      </c>
    </row>
    <row r="124" spans="1:20">
      <c r="A124" s="19"/>
      <c r="B124" s="1061"/>
      <c r="C124" s="389" t="s">
        <v>17</v>
      </c>
      <c r="D124" s="472" t="n">
        <v>0.0</v>
      </c>
      <c r="E124" s="409" t="n">
        <v>0.0</v>
      </c>
      <c r="F124" s="498" t="n">
        <v>0.0</v>
      </c>
      <c r="G124" s="473" t="n">
        <v>0.0</v>
      </c>
      <c r="H124" s="409" t="n">
        <v>0.0</v>
      </c>
      <c r="I124" s="474" t="n">
        <v>0.0</v>
      </c>
      <c r="J124" s="402" t="str">
        <f t="shared" si="25"/>
        <v>－</v>
      </c>
      <c r="K124" s="408" t="n">
        <v>0.0</v>
      </c>
      <c r="L124" s="403" t="str">
        <f t="shared" si="26"/>
        <v>－</v>
      </c>
      <c r="M124" s="408" t="n">
        <v>0.0</v>
      </c>
      <c r="N124" s="403" t="str">
        <f t="shared" si="19"/>
        <v>－</v>
      </c>
      <c r="O124" s="408" t="n">
        <v>0.0</v>
      </c>
      <c r="P124" s="403" t="str">
        <f t="shared" si="20"/>
        <v>－</v>
      </c>
      <c r="Q124" s="408" t="n">
        <v>0.0</v>
      </c>
      <c r="R124" s="403" t="str">
        <f t="shared" si="21"/>
        <v>－</v>
      </c>
      <c r="S124" s="408" t="n">
        <v>0.0</v>
      </c>
      <c r="T124" s="411" t="str">
        <f t="shared" si="27"/>
        <v>－</v>
      </c>
    </row>
    <row r="125" spans="1:20">
      <c r="A125" s="19"/>
      <c r="B125" s="1060" t="s">
        <v>60</v>
      </c>
      <c r="C125" s="389" t="s">
        <v>16</v>
      </c>
      <c r="D125" s="472" t="n">
        <v>96379.412</v>
      </c>
      <c r="E125" s="409" t="n">
        <v>96211.827</v>
      </c>
      <c r="F125" s="498" t="n">
        <v>101006.172</v>
      </c>
      <c r="G125" s="473" t="n">
        <v>97945.0</v>
      </c>
      <c r="H125" s="409" t="n">
        <v>97945.0</v>
      </c>
      <c r="I125" s="474" t="n">
        <v>97945.0</v>
      </c>
      <c r="J125" s="410" t="n">
        <f t="shared" si="25"/>
        <v>0.9696932183510528</v>
      </c>
      <c r="K125" s="408" t="n">
        <v>105802.0</v>
      </c>
      <c r="L125" s="411" t="n">
        <f t="shared" ref="L125:L130" si="29">IFERROR(K125/F125,"－")</f>
        <v>1.0474805440602184</v>
      </c>
      <c r="M125" s="408" t="n">
        <v>112824.0</v>
      </c>
      <c r="N125" s="411" t="n">
        <f t="shared" si="19"/>
        <v>1.1170010482131725</v>
      </c>
      <c r="O125" s="408" t="n">
        <v>123897.0</v>
      </c>
      <c r="P125" s="411" t="n">
        <f t="shared" si="20"/>
        <v>1.2266280123951236</v>
      </c>
      <c r="Q125" s="408" t="n">
        <v>123897.0</v>
      </c>
      <c r="R125" s="411" t="n">
        <f t="shared" si="21"/>
        <v>1.2266280123951236</v>
      </c>
      <c r="S125" s="408" t="n">
        <v>113264.0</v>
      </c>
      <c r="T125" s="411" t="n">
        <f t="shared" si="27"/>
        <v>1.1213572176559665</v>
      </c>
    </row>
    <row r="126" spans="1:20">
      <c r="A126" s="19"/>
      <c r="B126" s="1061"/>
      <c r="C126" s="389" t="s">
        <v>17</v>
      </c>
      <c r="D126" s="472" t="n">
        <v>26.416666666666668</v>
      </c>
      <c r="E126" s="409" t="n">
        <v>26.583333333333332</v>
      </c>
      <c r="F126" s="498" t="n">
        <v>27.0</v>
      </c>
      <c r="G126" s="473" t="n">
        <v>27.0</v>
      </c>
      <c r="H126" s="409" t="n">
        <v>27.0</v>
      </c>
      <c r="I126" s="474" t="n">
        <v>27.0</v>
      </c>
      <c r="J126" s="402" t="n">
        <f t="shared" si="25"/>
        <v>1.0</v>
      </c>
      <c r="K126" s="408" t="n">
        <v>29.0</v>
      </c>
      <c r="L126" s="403" t="n">
        <f t="shared" si="29"/>
        <v>1.0740740740740742</v>
      </c>
      <c r="M126" s="408" t="n">
        <v>31.0</v>
      </c>
      <c r="N126" s="403" t="n">
        <f t="shared" si="19"/>
        <v>1.1481481481481481</v>
      </c>
      <c r="O126" s="408" t="n">
        <v>34.0</v>
      </c>
      <c r="P126" s="403" t="n">
        <f t="shared" si="20"/>
        <v>1.2592592592592593</v>
      </c>
      <c r="Q126" s="408" t="n">
        <v>34.0</v>
      </c>
      <c r="R126" s="403" t="n">
        <f t="shared" si="21"/>
        <v>1.2592592592592593</v>
      </c>
      <c r="S126" s="408" t="n">
        <v>31.0</v>
      </c>
      <c r="T126" s="411" t="n">
        <f t="shared" si="27"/>
        <v>1.1481481481481481</v>
      </c>
    </row>
    <row r="127" spans="1:20">
      <c r="A127" s="19"/>
      <c r="B127" s="1057" t="s">
        <v>91</v>
      </c>
      <c r="C127" s="389" t="s">
        <v>16</v>
      </c>
      <c r="D127" s="472" t="n">
        <v>3466.68</v>
      </c>
      <c r="E127" s="409" t="n">
        <v>808.716</v>
      </c>
      <c r="F127" s="498" t="n">
        <v>0.0</v>
      </c>
      <c r="G127" s="473" t="n">
        <v>0.0</v>
      </c>
      <c r="H127" s="409" t="n">
        <v>0.0</v>
      </c>
      <c r="I127" s="474" t="n">
        <v>0.0</v>
      </c>
      <c r="J127" s="410" t="str">
        <f t="shared" si="25"/>
        <v>－</v>
      </c>
      <c r="K127" s="408" t="n">
        <v>0.0</v>
      </c>
      <c r="L127" s="411" t="str">
        <f t="shared" si="29"/>
        <v>－</v>
      </c>
      <c r="M127" s="408" t="n">
        <v>0.0</v>
      </c>
      <c r="N127" s="411" t="str">
        <f t="shared" si="19"/>
        <v>－</v>
      </c>
      <c r="O127" s="408" t="n">
        <v>0.0</v>
      </c>
      <c r="P127" s="411" t="str">
        <f t="shared" si="20"/>
        <v>－</v>
      </c>
      <c r="Q127" s="408" t="n">
        <v>0.0</v>
      </c>
      <c r="R127" s="411" t="str">
        <f t="shared" si="21"/>
        <v>－</v>
      </c>
      <c r="S127" s="408" t="n">
        <v>0.0</v>
      </c>
      <c r="T127" s="411" t="str">
        <f t="shared" si="27"/>
        <v>－</v>
      </c>
    </row>
    <row r="128" spans="1:20" ht="14.25" thickBot="1">
      <c r="A128" s="19"/>
      <c r="B128" s="1063"/>
      <c r="C128" s="389" t="s">
        <v>17</v>
      </c>
      <c r="D128" s="472" t="n">
        <v>0.6666666666666666</v>
      </c>
      <c r="E128" s="409" t="n">
        <v>0.25</v>
      </c>
      <c r="F128" s="498" t="n">
        <v>0.0</v>
      </c>
      <c r="G128" s="501" t="n">
        <v>0.0</v>
      </c>
      <c r="H128" s="502" t="n">
        <v>0.0</v>
      </c>
      <c r="I128" s="503" t="n">
        <v>0.0</v>
      </c>
      <c r="J128" s="428" t="str">
        <f t="shared" si="25"/>
        <v>－</v>
      </c>
      <c r="K128" s="504" t="n">
        <v>0.0</v>
      </c>
      <c r="L128" s="429" t="str">
        <f t="shared" si="29"/>
        <v>－</v>
      </c>
      <c r="M128" s="504" t="n">
        <v>0.0</v>
      </c>
      <c r="N128" s="429" t="str">
        <f t="shared" si="19"/>
        <v>－</v>
      </c>
      <c r="O128" s="504" t="n">
        <v>0.0</v>
      </c>
      <c r="P128" s="429" t="str">
        <f t="shared" si="20"/>
        <v>－</v>
      </c>
      <c r="Q128" s="504" t="n">
        <v>0.0</v>
      </c>
      <c r="R128" s="429" t="str">
        <f t="shared" si="21"/>
        <v>－</v>
      </c>
      <c r="S128" s="504" t="n">
        <v>0.0</v>
      </c>
      <c r="T128" s="429" t="str">
        <f>IFERROR(S128/F128,"－")</f>
        <v>－</v>
      </c>
    </row>
    <row r="129" spans="1:20" hidden="1">
      <c r="A129" s="19"/>
      <c r="B129" s="1057"/>
      <c r="C129" s="389" t="s">
        <v>16</v>
      </c>
      <c r="D129" s="507"/>
      <c r="E129" s="879"/>
      <c r="F129" s="933"/>
      <c r="G129" s="473"/>
      <c r="H129" s="409"/>
      <c r="I129" s="474"/>
      <c r="J129" s="410" t="str">
        <f>IFERROR(SUM(G129:I129)/3/F129,"－")</f>
        <v>－</v>
      </c>
      <c r="K129" s="408"/>
      <c r="L129" s="411" t="str">
        <f t="shared" si="29"/>
        <v>－</v>
      </c>
      <c r="M129" s="408"/>
      <c r="N129" s="411" t="str">
        <f t="shared" ref="N129:N130" si="30">IFERROR(M129/F129,"－")</f>
        <v>－</v>
      </c>
      <c r="O129" s="408"/>
      <c r="P129" s="411" t="str">
        <f t="shared" ref="P129:P130" si="31">IFERROR(O129/F129,"－")</f>
        <v>－</v>
      </c>
      <c r="Q129" s="408"/>
      <c r="R129" s="411" t="str">
        <f t="shared" ref="R129:R130" si="32">IFERROR(Q129/F129,"－")</f>
        <v>－</v>
      </c>
      <c r="S129" s="408"/>
      <c r="T129" s="411" t="str">
        <f t="shared" ref="T129" si="33">IFERROR(S129/F129,"－")</f>
        <v>－</v>
      </c>
    </row>
    <row r="130" spans="1:20" ht="14.25" hidden="1" thickBot="1">
      <c r="A130" s="19"/>
      <c r="B130" s="1063"/>
      <c r="C130" s="389" t="s">
        <v>17</v>
      </c>
      <c r="D130" s="512"/>
      <c r="E130" s="880"/>
      <c r="F130" s="970"/>
      <c r="G130" s="473"/>
      <c r="H130" s="502"/>
      <c r="I130" s="503"/>
      <c r="J130" s="428" t="str">
        <f>IFERROR(SUM(G130:I130)/3/F130,"－")</f>
        <v>－</v>
      </c>
      <c r="K130" s="504"/>
      <c r="L130" s="429" t="str">
        <f t="shared" si="29"/>
        <v>－</v>
      </c>
      <c r="M130" s="504"/>
      <c r="N130" s="429" t="str">
        <f t="shared" si="30"/>
        <v>－</v>
      </c>
      <c r="O130" s="504"/>
      <c r="P130" s="429" t="str">
        <f t="shared" si="31"/>
        <v>－</v>
      </c>
      <c r="Q130" s="504"/>
      <c r="R130" s="429" t="str">
        <f t="shared" si="32"/>
        <v>－</v>
      </c>
      <c r="S130" s="504"/>
      <c r="T130" s="429" t="str">
        <f>IFERROR(S130/F130,"－")</f>
        <v>－</v>
      </c>
    </row>
    <row r="131" spans="1:20">
      <c r="A131" s="505" t="s">
        <v>61</v>
      </c>
      <c r="B131" s="506"/>
      <c r="C131" s="430"/>
      <c r="D131" s="496"/>
      <c r="E131" s="491"/>
      <c r="F131" s="969"/>
      <c r="G131" s="493"/>
      <c r="H131" s="491"/>
      <c r="I131" s="494"/>
      <c r="J131" s="495"/>
      <c r="K131" s="496"/>
      <c r="L131" s="497"/>
      <c r="M131" s="496"/>
      <c r="N131" s="497"/>
      <c r="O131" s="496"/>
      <c r="P131" s="497"/>
      <c r="Q131" s="496"/>
      <c r="R131" s="497"/>
      <c r="S131" s="496"/>
      <c r="T131" s="497"/>
    </row>
    <row r="132" spans="1:20">
      <c r="A132" s="19"/>
      <c r="B132" s="1060" t="s">
        <v>62</v>
      </c>
      <c r="C132" s="389" t="s">
        <v>16</v>
      </c>
      <c r="D132" s="472" t="n">
        <v>232501.547</v>
      </c>
      <c r="E132" s="409" t="n">
        <v>232975.253</v>
      </c>
      <c r="F132" s="498" t="n">
        <v>236494.632</v>
      </c>
      <c r="G132" s="473" t="n">
        <v>233353.0</v>
      </c>
      <c r="H132" s="409" t="n">
        <v>233353.0</v>
      </c>
      <c r="I132" s="474" t="n">
        <v>233353.0</v>
      </c>
      <c r="J132" s="410" t="n">
        <f t="shared" ref="J132:J141" si="34">IFERROR(SUM(G132:I132)/3/F132,"－")</f>
        <v>0.9867158422437258</v>
      </c>
      <c r="K132" s="408" t="n">
        <v>247616.0</v>
      </c>
      <c r="L132" s="411" t="n">
        <f t="shared" ref="L132:L144" si="35">IFERROR(K132/F132,"－")</f>
        <v>1.0470258792174192</v>
      </c>
      <c r="M132" s="408" t="n">
        <v>264165.0</v>
      </c>
      <c r="N132" s="411" t="n">
        <f t="shared" si="19"/>
        <v>1.1170020975359811</v>
      </c>
      <c r="O132" s="408" t="n">
        <v>295768.0</v>
      </c>
      <c r="P132" s="411" t="n">
        <f t="shared" si="20"/>
        <v>1.2506330376242958</v>
      </c>
      <c r="Q132" s="408" t="n">
        <v>299488.0</v>
      </c>
      <c r="R132" s="411" t="n">
        <f t="shared" si="21"/>
        <v>1.2663627815450795</v>
      </c>
      <c r="S132" s="408" t="n">
        <v>268776.0</v>
      </c>
      <c r="T132" s="411" t="n">
        <f>IFERROR(S132/F132,"－")</f>
        <v>1.1364993688313398</v>
      </c>
    </row>
    <row r="133" spans="1:20">
      <c r="A133" s="19"/>
      <c r="B133" s="1061"/>
      <c r="C133" s="389" t="s">
        <v>17</v>
      </c>
      <c r="D133" s="472" t="n">
        <v>68.08333333333333</v>
      </c>
      <c r="E133" s="409" t="n">
        <v>67.83333333333333</v>
      </c>
      <c r="F133" s="498" t="n">
        <v>68.0</v>
      </c>
      <c r="G133" s="473" t="n">
        <v>68.0</v>
      </c>
      <c r="H133" s="409" t="n">
        <v>68.0</v>
      </c>
      <c r="I133" s="474" t="n">
        <v>68.0</v>
      </c>
      <c r="J133" s="402" t="n">
        <f t="shared" si="34"/>
        <v>1.0</v>
      </c>
      <c r="K133" s="408" t="n">
        <v>72.0</v>
      </c>
      <c r="L133" s="403" t="n">
        <f t="shared" si="35"/>
        <v>1.0588235294117647</v>
      </c>
      <c r="M133" s="408" t="n">
        <v>77.0</v>
      </c>
      <c r="N133" s="403" t="n">
        <f t="shared" si="19"/>
        <v>1.1323529411764706</v>
      </c>
      <c r="O133" s="408" t="n">
        <v>86.0</v>
      </c>
      <c r="P133" s="403" t="n">
        <f t="shared" si="20"/>
        <v>1.2647058823529411</v>
      </c>
      <c r="Q133" s="408" t="n">
        <v>87.0</v>
      </c>
      <c r="R133" s="403" t="n">
        <f t="shared" si="21"/>
        <v>1.2794117647058822</v>
      </c>
      <c r="S133" s="408" t="n">
        <v>78.0</v>
      </c>
      <c r="T133" s="411" t="n">
        <f t="shared" ref="T133:T137" si="36">IFERROR(S133/F133,"－")</f>
        <v>1.1470588235294117</v>
      </c>
    </row>
    <row r="134" spans="1:20">
      <c r="A134" s="19"/>
      <c r="B134" s="1060" t="s">
        <v>65</v>
      </c>
      <c r="C134" s="389" t="s">
        <v>16</v>
      </c>
      <c r="D134" s="472" t="n">
        <v>249357.273</v>
      </c>
      <c r="E134" s="409" t="n">
        <v>260376.837</v>
      </c>
      <c r="F134" s="498" t="n">
        <v>253855.488</v>
      </c>
      <c r="G134" s="473" t="n">
        <v>258124.0</v>
      </c>
      <c r="H134" s="409" t="n">
        <v>258124.0</v>
      </c>
      <c r="I134" s="474" t="n">
        <v>258124.0</v>
      </c>
      <c r="J134" s="410" t="n">
        <f t="shared" si="34"/>
        <v>1.016814732010048</v>
      </c>
      <c r="K134" s="408" t="n">
        <v>285770.0</v>
      </c>
      <c r="L134" s="411" t="n">
        <f t="shared" si="35"/>
        <v>1.1257192123417872</v>
      </c>
      <c r="M134" s="408" t="n">
        <v>301102.0</v>
      </c>
      <c r="N134" s="411" t="n">
        <f t="shared" si="19"/>
        <v>1.1861157793838988</v>
      </c>
      <c r="O134" s="408" t="n">
        <v>340300.0</v>
      </c>
      <c r="P134" s="411" t="n">
        <f t="shared" si="20"/>
        <v>1.3405264651989717</v>
      </c>
      <c r="Q134" s="408" t="n">
        <v>333768.0</v>
      </c>
      <c r="R134" s="411" t="n">
        <f t="shared" si="21"/>
        <v>1.3147952901455493</v>
      </c>
      <c r="S134" s="408" t="n">
        <v>294643.0</v>
      </c>
      <c r="T134" s="411" t="n">
        <f t="shared" si="36"/>
        <v>1.160672169514019</v>
      </c>
    </row>
    <row r="135" spans="1:20">
      <c r="A135" s="19"/>
      <c r="B135" s="1061"/>
      <c r="C135" s="389" t="s">
        <v>17</v>
      </c>
      <c r="D135" s="472" t="n">
        <v>63.25</v>
      </c>
      <c r="E135" s="409" t="n">
        <v>66.58333333333333</v>
      </c>
      <c r="F135" s="498" t="n">
        <v>66.0</v>
      </c>
      <c r="G135" s="473" t="n">
        <v>66.0</v>
      </c>
      <c r="H135" s="409" t="n">
        <v>66.0</v>
      </c>
      <c r="I135" s="474" t="n">
        <v>66.0</v>
      </c>
      <c r="J135" s="402" t="n">
        <f t="shared" si="34"/>
        <v>1.0</v>
      </c>
      <c r="K135" s="408" t="n">
        <v>73.0</v>
      </c>
      <c r="L135" s="403" t="n">
        <f t="shared" si="35"/>
        <v>1.106060606060606</v>
      </c>
      <c r="M135" s="408" t="n">
        <v>77.0</v>
      </c>
      <c r="N135" s="403" t="n">
        <f t="shared" ref="N135:N144" si="37">IFERROR(M135/F135,"－")</f>
        <v>1.1666666666666667</v>
      </c>
      <c r="O135" s="408" t="n">
        <v>87.0</v>
      </c>
      <c r="P135" s="403" t="n">
        <f t="shared" ref="P135:P144" si="38">IFERROR(O135/F135,"－")</f>
        <v>1.3181818181818181</v>
      </c>
      <c r="Q135" s="408" t="n">
        <v>85.0</v>
      </c>
      <c r="R135" s="403" t="n">
        <f t="shared" ref="R135:R144" si="39">IFERROR(Q135/F135,"－")</f>
        <v>1.2878787878787878</v>
      </c>
      <c r="S135" s="408" t="n">
        <v>75.0</v>
      </c>
      <c r="T135" s="411" t="n">
        <f t="shared" si="36"/>
        <v>1.1363636363636365</v>
      </c>
    </row>
    <row r="136" spans="1:20">
      <c r="A136" s="19"/>
      <c r="B136" s="752" t="s">
        <v>215</v>
      </c>
      <c r="C136" s="389" t="s">
        <v>216</v>
      </c>
      <c r="D136" s="472" t="n">
        <v>0.0</v>
      </c>
      <c r="E136" s="409" t="n">
        <v>0.0</v>
      </c>
      <c r="F136" s="498" t="n">
        <v>0.0</v>
      </c>
      <c r="G136" s="473" t="n">
        <v>0.0</v>
      </c>
      <c r="H136" s="409" t="n">
        <v>0.0</v>
      </c>
      <c r="I136" s="474" t="n">
        <v>0.0</v>
      </c>
      <c r="J136" s="402" t="str">
        <f t="shared" si="34"/>
        <v>－</v>
      </c>
      <c r="K136" s="408" t="n">
        <v>0.0</v>
      </c>
      <c r="L136" s="403" t="str">
        <f t="shared" si="35"/>
        <v>－</v>
      </c>
      <c r="M136" s="408" t="n">
        <v>0.0</v>
      </c>
      <c r="N136" s="403" t="str">
        <f t="shared" si="37"/>
        <v>－</v>
      </c>
      <c r="O136" s="408" t="n">
        <v>0.0</v>
      </c>
      <c r="P136" s="403" t="str">
        <f t="shared" si="38"/>
        <v>－</v>
      </c>
      <c r="Q136" s="408" t="n">
        <v>0.0</v>
      </c>
      <c r="R136" s="403" t="str">
        <f t="shared" si="39"/>
        <v>－</v>
      </c>
      <c r="S136" s="408" t="n">
        <v>0.0</v>
      </c>
      <c r="T136" s="411" t="str">
        <f t="shared" si="36"/>
        <v>－</v>
      </c>
    </row>
    <row r="137" spans="1:20" ht="14.25" thickBot="1">
      <c r="A137" s="25"/>
      <c r="B137" s="1010"/>
      <c r="C137" s="1011" t="s">
        <v>217</v>
      </c>
      <c r="D137" s="472" t="n">
        <v>0.0</v>
      </c>
      <c r="E137" s="409" t="n">
        <v>0.0</v>
      </c>
      <c r="F137" s="498" t="n">
        <v>0.0</v>
      </c>
      <c r="G137" s="473" t="n">
        <v>0.0</v>
      </c>
      <c r="H137" s="409" t="n">
        <v>0.0</v>
      </c>
      <c r="I137" s="474" t="n">
        <v>0.0</v>
      </c>
      <c r="J137" s="402" t="str">
        <f t="shared" si="34"/>
        <v>－</v>
      </c>
      <c r="K137" s="408" t="n">
        <v>0.0</v>
      </c>
      <c r="L137" s="403" t="str">
        <f t="shared" si="35"/>
        <v>－</v>
      </c>
      <c r="M137" s="408" t="n">
        <v>0.0</v>
      </c>
      <c r="N137" s="403" t="str">
        <f t="shared" si="37"/>
        <v>－</v>
      </c>
      <c r="O137" s="408" t="n">
        <v>0.0</v>
      </c>
      <c r="P137" s="403" t="str">
        <f t="shared" si="38"/>
        <v>－</v>
      </c>
      <c r="Q137" s="408" t="n">
        <v>0.0</v>
      </c>
      <c r="R137" s="403" t="str">
        <f t="shared" si="39"/>
        <v>－</v>
      </c>
      <c r="S137" s="408" t="n">
        <v>0.0</v>
      </c>
      <c r="T137" s="411" t="str">
        <f t="shared" si="36"/>
        <v>－</v>
      </c>
    </row>
    <row r="138" spans="1:20" hidden="1">
      <c r="A138" s="19"/>
      <c r="B138" s="1062"/>
      <c r="C138" s="515" t="s">
        <v>16</v>
      </c>
      <c r="D138" s="472"/>
      <c r="E138" s="409"/>
      <c r="F138" s="498"/>
      <c r="G138" s="507"/>
      <c r="H138" s="879"/>
      <c r="I138" s="879"/>
      <c r="J138" s="508"/>
      <c r="K138" s="507"/>
      <c r="L138" s="508"/>
      <c r="M138" s="507"/>
      <c r="N138" s="508"/>
      <c r="O138" s="507"/>
      <c r="P138" s="508"/>
      <c r="Q138" s="507"/>
      <c r="R138" s="508"/>
      <c r="S138" s="507"/>
      <c r="T138" s="508"/>
    </row>
    <row r="139" spans="1:20" ht="14.25" hidden="1" thickBot="1">
      <c r="A139" s="25"/>
      <c r="B139" s="1064"/>
      <c r="C139" s="450" t="s">
        <v>17</v>
      </c>
      <c r="D139" s="509"/>
      <c r="E139" s="502"/>
      <c r="F139" s="510"/>
      <c r="G139" s="512"/>
      <c r="H139" s="880"/>
      <c r="I139" s="880"/>
      <c r="J139" s="513"/>
      <c r="K139" s="512"/>
      <c r="L139" s="513"/>
      <c r="M139" s="512"/>
      <c r="N139" s="513"/>
      <c r="O139" s="512"/>
      <c r="P139" s="513"/>
      <c r="Q139" s="512"/>
      <c r="R139" s="513"/>
      <c r="S139" s="512"/>
      <c r="T139" s="513"/>
    </row>
    <row r="140" spans="1:20">
      <c r="A140" s="24" t="s">
        <v>66</v>
      </c>
      <c r="B140" s="514"/>
      <c r="C140" s="515" t="s">
        <v>16</v>
      </c>
      <c r="D140" s="516" t="n">
        <v>40767.632</v>
      </c>
      <c r="E140" s="446" t="n">
        <v>41883.43</v>
      </c>
      <c r="F140" s="517" t="n">
        <v>42101.568</v>
      </c>
      <c r="G140" s="518" t="n">
        <v>44763.0</v>
      </c>
      <c r="H140" s="446" t="n">
        <v>44366.0</v>
      </c>
      <c r="I140" s="519" t="n">
        <v>44307.0</v>
      </c>
      <c r="J140" s="447" t="n">
        <f t="shared" si="34"/>
        <v>1.0564610483549368</v>
      </c>
      <c r="K140" s="445" t="n">
        <v>42227.0</v>
      </c>
      <c r="L140" s="448" t="n">
        <f t="shared" si="35"/>
        <v>1.0029792714608634</v>
      </c>
      <c r="M140" s="445" t="n">
        <v>46947.0</v>
      </c>
      <c r="N140" s="448" t="n">
        <f t="shared" si="37"/>
        <v>1.1150891102203129</v>
      </c>
      <c r="O140" s="445" t="n">
        <v>50679.0</v>
      </c>
      <c r="P140" s="448" t="n">
        <f t="shared" si="38"/>
        <v>1.2037318895106235</v>
      </c>
      <c r="Q140" s="445" t="n">
        <v>49116.0</v>
      </c>
      <c r="R140" s="448" t="n">
        <f t="shared" si="39"/>
        <v>1.1666073814637974</v>
      </c>
      <c r="S140" s="445" t="n">
        <v>42596.0</v>
      </c>
      <c r="T140" s="448" t="n">
        <f>IFERROR(S140/F140,"－")</f>
        <v>1.0117437906350661</v>
      </c>
    </row>
    <row r="141" spans="1:20" ht="14.25" thickBot="1">
      <c r="A141" s="21"/>
      <c r="B141" s="449"/>
      <c r="C141" s="450" t="s">
        <v>17</v>
      </c>
      <c r="D141" s="520" t="n">
        <v>194.5</v>
      </c>
      <c r="E141" s="487" t="n">
        <v>196.66666666666666</v>
      </c>
      <c r="F141" s="521" t="n">
        <v>196.0</v>
      </c>
      <c r="G141" s="511" t="n">
        <v>206.0</v>
      </c>
      <c r="H141" s="487" t="n">
        <v>204.0</v>
      </c>
      <c r="I141" s="488" t="n">
        <v>204.0</v>
      </c>
      <c r="J141" s="455" t="n">
        <f t="shared" si="34"/>
        <v>1.0442176870748299</v>
      </c>
      <c r="K141" s="486" t="n">
        <v>196.0</v>
      </c>
      <c r="L141" s="456" t="n">
        <f t="shared" si="35"/>
        <v>1.0</v>
      </c>
      <c r="M141" s="486" t="n">
        <v>218.0</v>
      </c>
      <c r="N141" s="456" t="n">
        <f t="shared" si="37"/>
        <v>1.1122448979591837</v>
      </c>
      <c r="O141" s="486" t="n">
        <v>234.0</v>
      </c>
      <c r="P141" s="456" t="n">
        <f t="shared" si="38"/>
        <v>1.1938775510204083</v>
      </c>
      <c r="Q141" s="486" t="n">
        <v>226.0</v>
      </c>
      <c r="R141" s="456" t="n">
        <f t="shared" si="39"/>
        <v>1.153061224489796</v>
      </c>
      <c r="S141" s="486" t="n">
        <v>196.0</v>
      </c>
      <c r="T141" s="456" t="n">
        <f>IFERROR(S141/F141,"－")</f>
        <v>1.0</v>
      </c>
    </row>
    <row r="142" spans="1:20">
      <c r="A142" s="24" t="s">
        <v>418</v>
      </c>
      <c r="B142" s="514"/>
      <c r="C142" s="515" t="s">
        <v>16</v>
      </c>
      <c r="D142" s="507"/>
      <c r="E142" s="879"/>
      <c r="F142" s="933"/>
      <c r="G142" s="507"/>
      <c r="H142" s="446"/>
      <c r="I142" s="519"/>
      <c r="J142" s="447" t="str">
        <f t="shared" ref="J142:J143" si="40">IFERROR(SUM(G142:I142)/3/F142,"－")</f>
        <v>－</v>
      </c>
      <c r="K142" s="445"/>
      <c r="L142" s="448" t="str">
        <f t="shared" ref="L142:L143" si="41">IFERROR(K142/F142,"－")</f>
        <v>－</v>
      </c>
      <c r="M142" s="445"/>
      <c r="N142" s="448" t="str">
        <f t="shared" ref="N142:N143" si="42">IFERROR(M142/F142,"－")</f>
        <v>－</v>
      </c>
      <c r="O142" s="445"/>
      <c r="P142" s="448" t="str">
        <f t="shared" ref="P142:P143" si="43">IFERROR(O142/F142,"－")</f>
        <v>－</v>
      </c>
      <c r="Q142" s="445"/>
      <c r="R142" s="448" t="str">
        <f t="shared" ref="R142:R143" si="44">IFERROR(Q142/F142,"－")</f>
        <v>－</v>
      </c>
      <c r="S142" s="445"/>
      <c r="T142" s="448" t="str">
        <f>IFERROR(S142/F142,"－")</f>
        <v>－</v>
      </c>
    </row>
    <row r="143" spans="1:20" ht="14.25" thickBot="1">
      <c r="A143" s="21"/>
      <c r="B143" s="449"/>
      <c r="C143" s="450" t="s">
        <v>17</v>
      </c>
      <c r="D143" s="512"/>
      <c r="E143" s="880"/>
      <c r="F143" s="970"/>
      <c r="G143" s="512"/>
      <c r="H143" s="487" t="n">
        <v>0.0</v>
      </c>
      <c r="I143" s="488" t="n">
        <v>0.0</v>
      </c>
      <c r="J143" s="455" t="str">
        <f t="shared" si="40"/>
        <v>－</v>
      </c>
      <c r="K143" s="486" t="n">
        <v>0.0</v>
      </c>
      <c r="L143" s="456" t="str">
        <f t="shared" si="41"/>
        <v>－</v>
      </c>
      <c r="M143" s="486" t="n">
        <v>0.0</v>
      </c>
      <c r="N143" s="456" t="str">
        <f t="shared" si="42"/>
        <v>－</v>
      </c>
      <c r="O143" s="486" t="n">
        <v>0.0</v>
      </c>
      <c r="P143" s="456" t="str">
        <f t="shared" si="43"/>
        <v>－</v>
      </c>
      <c r="Q143" s="486" t="n">
        <v>0.0</v>
      </c>
      <c r="R143" s="456" t="str">
        <f t="shared" si="44"/>
        <v>－</v>
      </c>
      <c r="S143" s="486" t="n">
        <v>0.0</v>
      </c>
      <c r="T143" s="456" t="str">
        <f>IFERROR(S143/F143,"－")</f>
        <v>－</v>
      </c>
    </row>
    <row r="144" spans="1:20" ht="14.25" thickBot="1">
      <c r="A144" s="457" t="s">
        <v>36</v>
      </c>
      <c r="B144" s="375"/>
      <c r="C144" s="458" t="s">
        <v>16</v>
      </c>
      <c r="D144" s="459" t="n">
        <f>IF(ISERROR(SUM(D68,D71,D74,D77,D80,D82,D85,D88,D91,D94,D97,D100,D102,D104,D106,D109,D111,D116,D119,D121,D123,D125,D127,D113,D132,D134,D136,D138,D140)),0,(SUM(D68,D71,D74,D77,D80,D82,D85,D88,D91,D94,D97,D100,D102,D104,D106,D109,D111,D116,D119,D121,D123,D125,D127,D113,D132,D134,D136,D138,D140)))</f>
        <v>982757.327</v>
      </c>
      <c r="E144" s="460" t="n">
        <f>IF(ISERROR(SUM(E68,E71,E74,E77,E80,E82,E85,E88,E91,E94,E97,E100,E102,E104,E106,E109,E111,E116,E119,E121,E123,E125,E127,E113,E132,E134,E136,E138,E140)),0,(SUM(E68,E71,E74,E77,E80,E82,E85,E88,E91,E94,E97,E100,E102,E104,E106,E109,E111,E116,E119,E121,E123,E125,E127,E113,E132,E134,E136,E138,E140)))</f>
        <v>965936.1290000001</v>
      </c>
      <c r="F144" s="461" t="n">
        <f>IF(ISERROR(SUM(F68,F71,F74,F77,F80,F82,F85,F88,F91,F94,F97,F100,F102,F104,F106,F109,F111,F116,F119,F121,F123,F125,F127,F113,F132,F134,F136,F138,F140)),0,(SUM(F68,F71,F74,F77,F80,F82,F85,F88,F91,F94,F97,F100,F102,F104,F106,F109,F111,F116,F119,F121,F123,F125,F127,F113,F132,F134,F136,F138,F140)))</f>
        <v>963565.626</v>
      </c>
      <c r="G144" s="462" t="n">
        <f>IF(ISERROR(SUM(G68,G71,G74,G77,G80,G82,G85,G88,G91,G94,G97,G100,G102,G104,G106,G109,G111,G116,G119,G121,G123,G125,G127,G113,G132,G134,G136,G140)),0,(SUM(G68,G71,G74,G77,G80,G82,G85,G88,G91,G94,G97,G100,G102,G104,G106,G109,G111,G116,G119,G121,G123,G125,G127,G113,G132,G134,G136,G140)))</f>
        <v>993746.0</v>
      </c>
      <c r="H144" s="460" t="n">
        <f>IF(ISERROR(SUM(H68,H71,H74,H77,H80,H82,H85,H88,H91,H94,H97,H100,H102,H104,H106,H109,H111,H116,H119,H121,H123,H125,H127,H113,H132,H134,H136,H140,H142)),0,(SUM(H68,H71,H74,H77,H80,H82,H85,H88,H91,H94,H97,H100,H102,H104,H106,H109,H111,H116,H119,H121,H123,H125,H127,H113,H132,H134,H136,H140,H142)))</f>
        <v>990433.0</v>
      </c>
      <c r="I144" s="460" t="n">
        <f>IF(ISERROR(SUM(I68,I71,I74,I77,I80,I82,I85,I88,I91,I94,I97,I100,I102,I104,I106,I109,I111,I116,I119,I121,I123,I125,I127,I113,I132,I134,I136,I140,I142)),0,(SUM(I68,I71,I74,I77,I80,I82,I85,I88,I91,I94,I97,I100,I102,I104,I106,I109,I111,I116,I119,I121,I123,I125,I127,I113,I132,I134,I136,I140,I142)))</f>
        <v>996044.0</v>
      </c>
      <c r="J144" s="463" t="n">
        <f t="shared" ref="J144" si="45">IFERROR(SUM(G144:I144)/3/F144,"－")</f>
        <v>1.0309704288544914</v>
      </c>
      <c r="K144" s="462" t="n">
        <f>IF(ISERROR(SUM(K68,K71,K74,K77,K80,K82,K85,K88,K91,K94,K97,K100,K102,K104,K106,K109,K111,K116,K119,K121,K123,K125,K127,K113,K132,K134,K136,K140,K142)),0,(SUM(K68,K71,K74,K77,K80,K82,K85,K88,K91,K94,K97,K100,K102,K104,K106,K109,K111,K116,K119,K121,K123,K125,K127,K113,K132,K134,K136,K140,K142)))</f>
        <v>1030506.0</v>
      </c>
      <c r="L144" s="464" t="n">
        <f t="shared" si="35"/>
        <v>1.0694715255440215</v>
      </c>
      <c r="M144" s="462" t="n">
        <f>IF(ISERROR(SUM(M68,M71,M74,M77,M80,M82,M85,M88,M91,M94,M97,M100,M102,M104,M106,M109,M111,M116,M119,M121,M123,M125,M127,M113,M132,M134,M136,M140,M142)),0,(SUM(M68,M71,M74,M77,M80,M82,M85,M88,M91,M94,M97,M100,M102,M104,M106,M109,M111,M116,M119,M121,M123,M125,M127,M113,M132,M134,M136,M140,M142)))</f>
        <v>1112593.0</v>
      </c>
      <c r="N144" s="464" t="n">
        <f t="shared" si="37"/>
        <v>1.154662401790576</v>
      </c>
      <c r="O144" s="462" t="n">
        <f>IF(ISERROR(SUM(O68,O71,O74,O77,O80,O82,O85,O88,O91,O94,O97,O100,O102,O104,O106,O109,O111,O116,O119,O121,O123,O125,O127,O113,O132,O134,O136,O140,O142)),0,(SUM(O68,O71,O74,O77,O80,O82,O85,O88,O91,O94,O97,O100,O102,O104,O106,O109,O111,O116,O119,O121,O123,O125,O127,O113,O132,O134,O136,O140,O142)))</f>
        <v>1218469.0</v>
      </c>
      <c r="P144" s="464" t="n">
        <f t="shared" si="38"/>
        <v>1.264541788459357</v>
      </c>
      <c r="Q144" s="462" t="n">
        <f>IF(ISERROR(SUM(Q68,Q71,Q74,Q77,Q80,Q82,Q85,Q88,Q91,Q94,Q97,Q100,Q102,Q104,Q106,Q109,Q111,Q116,Q119,Q121,Q123,Q125,Q127,Q113,Q132,Q134,Q136,Q140,Q142)),0,(SUM(Q68,Q71,Q74,Q77,Q80,Q82,Q85,Q88,Q91,Q94,Q97,Q100,Q102,Q104,Q106,Q109,Q111,Q116,Q119,Q121,Q123,Q125,Q127,Q113,Q132,Q134,Q136,Q140,Q142)))</f>
        <v>1203979.0</v>
      </c>
      <c r="R144" s="464" t="n">
        <f t="shared" si="39"/>
        <v>1.249503892119954</v>
      </c>
      <c r="S144" s="462" t="n">
        <f>IF(ISERROR(SUM(S68,S71,S74,S77,S80,S82,S85,S88,S91,S94,S97,S100,S102,S104,S106,S109,S111,S116,S119,S121,S123,S125,S127,S113,S132,S134,S136,S140,S142)),0,(SUM(S68,S71,S74,S77,S80,S82,S85,S88,S91,S94,S97,S100,S102,S104,S106,S109,S111,S116,S119,S121,S123,S125,S127,S113,S132,S134,S136,S140,S142)))</f>
        <v>1068561.0</v>
      </c>
      <c r="T144" s="464" t="n">
        <f>IFERROR(S144/F144,"－")</f>
        <v>1.1089654624105487</v>
      </c>
    </row>
    <row r="145" spans="1:14" ht="50.1" customHeight="1">
      <c r="A145" s="726" t="s">
        <v>109</v>
      </c>
      <c r="G145" s="725" t="s">
        <v>365</v>
      </c>
      <c r="H145" s="467"/>
      <c r="I145" s="467"/>
      <c r="J145" s="467"/>
      <c r="K145" s="637" t="s">
        <v>401</v>
      </c>
      <c r="L145" s="637"/>
      <c r="M145" s="637"/>
    </row>
    <row r="146" spans="1:14" ht="13.5" customHeight="1">
      <c r="G146" s="522"/>
      <c r="K146" s="637"/>
      <c r="L146" s="637"/>
      <c r="M146" s="637"/>
    </row>
    <row r="147" spans="1:14">
      <c r="A147" s="22" t="s">
        <v>214</v>
      </c>
      <c r="D147" s="523"/>
      <c r="G147" s="466"/>
      <c r="H147" s="466"/>
      <c r="I147" s="466"/>
      <c r="J147" s="466"/>
      <c r="K147" s="637"/>
      <c r="L147" s="637"/>
      <c r="M147" s="637"/>
    </row>
    <row r="148" spans="1:14" ht="14.25" thickBot="1">
      <c r="A148" s="22"/>
    </row>
    <row r="149" spans="1:14" ht="14.25" thickBot="1">
      <c r="A149" s="29"/>
      <c r="B149" s="375"/>
      <c r="C149" s="376"/>
      <c r="D149" s="377" t="s">
        <v>367</v>
      </c>
      <c r="E149" s="749" t="s">
        <v>366</v>
      </c>
      <c r="F149" s="378" t="s">
        <v>363</v>
      </c>
      <c r="G149" s="748" t="s">
        <v>362</v>
      </c>
      <c r="H149" s="749" t="s">
        <v>361</v>
      </c>
      <c r="I149" s="750" t="s">
        <v>360</v>
      </c>
      <c r="J149" s="524" t="s">
        <v>384</v>
      </c>
      <c r="K149" s="524" t="s">
        <v>387</v>
      </c>
      <c r="L149" s="524" t="s">
        <v>390</v>
      </c>
      <c r="M149" s="524" t="s">
        <v>393</v>
      </c>
      <c r="N149" s="524" t="s">
        <v>396</v>
      </c>
    </row>
    <row r="150" spans="1:14">
      <c r="A150" s="525" t="s">
        <v>36</v>
      </c>
      <c r="B150" s="526"/>
      <c r="C150" s="527"/>
      <c r="D150" s="528" t="n">
        <f t="shared" ref="D150:I150" si="46">D61+D144</f>
        <v>1009762.834</v>
      </c>
      <c r="E150" s="529" t="n">
        <f t="shared" si="46"/>
        <v>998223.7670000001</v>
      </c>
      <c r="F150" s="530" t="n">
        <f t="shared" si="46"/>
        <v>992954.8104000001</v>
      </c>
      <c r="G150" s="531" t="n">
        <f t="shared" si="46"/>
        <v>1025147.0</v>
      </c>
      <c r="H150" s="529" t="n">
        <f t="shared" si="46"/>
        <v>1020772.0</v>
      </c>
      <c r="I150" s="530" t="n">
        <f t="shared" si="46"/>
        <v>1027079.0</v>
      </c>
      <c r="J150" s="532" t="n">
        <f>K61+K144</f>
        <v>1061600.0</v>
      </c>
      <c r="K150" s="532" t="n">
        <f>M61+M144</f>
        <v>1145808.0</v>
      </c>
      <c r="L150" s="532" t="n">
        <f>O61+O144</f>
        <v>1252840.0</v>
      </c>
      <c r="M150" s="532" t="n">
        <f>Q61+Q144</f>
        <v>1237031.0</v>
      </c>
      <c r="N150" s="532" t="n">
        <f>S61+S144</f>
        <v>1098436.0</v>
      </c>
    </row>
    <row r="151" spans="1:14">
      <c r="A151" s="379"/>
      <c r="B151" s="533" t="s">
        <v>144</v>
      </c>
      <c r="C151" s="534"/>
      <c r="D151" s="535" t="n">
        <f>D12+D14+D17+D20+D23+D25+D27+D29+D32+D35+D38+D41+D43+D45+D50+D53+D57+D68+D71+D74+D77+D80+D82+D85+D88+D91+D94+D97+D100+D102+D104+D109+D111+D116+D119+D127+D113+D140</f>
        <v>339654.106</v>
      </c>
      <c r="E151" s="536" t="n">
        <f>E12+E14+E17+E20+E23+E25+E27+E29+E32+E35+E38+E41+E43+E45+E50+E53+E57+E68+E71+E74+E77+E80+E82+E85+E88+E91+E94+E97+E100+E102+E104+E109+E111+E116+E119+E127+E113+E140</f>
        <v>317997.351</v>
      </c>
      <c r="F151" s="536" t="n">
        <f>F12+F14+F17+F20+F23+F25+F27+F29+F32+F35+F38+F41+F43+F45+F50+F53+F57+F68+F71+F74+F77+F80+F82+F85+F88+F91+F94+F97+F100+F102+F104+F109+F111+F116+F119+F127+F113+F140</f>
        <v>312197.2944</v>
      </c>
      <c r="G151" s="535" t="n">
        <f>G14+G17+G20+G23+G27+G29+G32+G35+G38+G41+G43+G45+G50+G53+G57+G68+G71+G74+G77+G80+G82+G85+G88+G91+G94+G97+G100+G102+G104+G109+G111+G116+G119+G127+G113+G140</f>
        <v>342815.0</v>
      </c>
      <c r="H151" s="536" t="n">
        <f>H14+H17+H20+H23+H27+H29+H32+H35+H38+H41+H43+H45+H50+H53+H57+H59+H68+H71+H74+H77+H80+H82+H85+H88+H91+H94+H97+H100+H102+H104+H109+H111+H116+H119+H127+H113+H140+H142</f>
        <v>338679.0</v>
      </c>
      <c r="I151" s="537" t="n">
        <f>I14+I17+I20+I23+I27+I29+I32+I35+I38+I41+I43+I45+I50+I53+I57+I59+I68+I71+I74+I77+I80+I82+I85+I88+I91+I94+I97+I100+I102+I104+I109+I111+I116+I119+I127+I113+I140+I142</f>
        <v>341680.0</v>
      </c>
      <c r="J151" s="538" t="n">
        <f>K14+K17+K20+K23+K27+K29+K32+K35+K38+K41+K43+K45+K50+K53+K57+K59+K68+K71+K74+K77+K80+K82+K85+K88+K91+K94+K97+K100+K102+K104+K109+K111+K116+K119+K127+K113+K140+K142</f>
        <v>326435.0</v>
      </c>
      <c r="K151" s="538" t="n">
        <f>M14+M17+M20+M23+M27+M29+M32+M35+M38+M41+M43+M45+M50+M53+M57+M59+M68+M71+M74+M77+M80+M82+M85+M88+M91+M94+M97+M100+M102+M104+M109+M111+M116+M119+M127+M113+M140+M142</f>
        <v>362008.0</v>
      </c>
      <c r="L151" s="538" t="n">
        <f>O14+O17+O20+O23+O27+O29+O32+O35+O38+O41+O43+O45+O50+O53+O57+O59+O68+O71+O74+O77+O80+O82+O85+O88+O91+O94+O97+O100+O102+O104+O109+O111+O116+O119+O127+O113+O140+O142</f>
        <v>383807.0</v>
      </c>
      <c r="M151" s="538" t="n">
        <f>Q14+Q17+Q20+Q23+Q27+Q29+Q32+Q35+Q38+Q41+Q43+Q45+Q50+Q53+Q57+Q59+Q68+Q71+Q74+Q77+Q80+Q82+Q85+Q88+Q91+Q94+Q97+Q100+Q102+Q104+Q109+Q111+Q116+Q119+Q127+Q113+Q140+Q142</f>
        <v>374116.0</v>
      </c>
      <c r="N151" s="538" t="n">
        <f>S14+S17+S20+S23+S27+S29+S32+S35+S38+S41+S43+S45+S50+S53+S57+S59+S68+S71+S74+S77+S80+S82+S85+S88+S91+S94+S97+S100+S102+S104+S109+S111+S116+S119+S127+S113+S140+S142</f>
        <v>332149.0</v>
      </c>
    </row>
    <row r="152" spans="1:14">
      <c r="A152" s="379"/>
      <c r="B152" s="533" t="s">
        <v>145</v>
      </c>
      <c r="C152" s="534"/>
      <c r="D152" s="539" t="n">
        <f t="shared" ref="D152:I152" si="47">D47+D55+D106+D121+D123</f>
        <v>91870.496</v>
      </c>
      <c r="E152" s="536" t="n">
        <f t="shared" si="47"/>
        <v>90662.499</v>
      </c>
      <c r="F152" s="540" t="n">
        <f t="shared" si="47"/>
        <v>89401.224</v>
      </c>
      <c r="G152" s="539" t="n">
        <f t="shared" si="47"/>
        <v>92910.0</v>
      </c>
      <c r="H152" s="536" t="n">
        <f t="shared" si="47"/>
        <v>92671.0</v>
      </c>
      <c r="I152" s="540" t="n">
        <f t="shared" si="47"/>
        <v>95977.0</v>
      </c>
      <c r="J152" s="538" t="n">
        <f>K47+K55+K106+K121+K123</f>
        <v>95977.0</v>
      </c>
      <c r="K152" s="538" t="n">
        <f>M47+M55+M106+M121+M123</f>
        <v>105709.0</v>
      </c>
      <c r="L152" s="538" t="n">
        <f>O47+O55+O106+O121+O123</f>
        <v>109068.0</v>
      </c>
      <c r="M152" s="538" t="n">
        <f>Q47+Q55+Q106+Q121+Q123</f>
        <v>105762.0</v>
      </c>
      <c r="N152" s="538" t="n">
        <f>S47+S55+S106+S121+S123</f>
        <v>89604.0</v>
      </c>
    </row>
    <row r="153" spans="1:14" ht="14.25" thickBot="1">
      <c r="A153" s="541"/>
      <c r="B153" s="542" t="s">
        <v>146</v>
      </c>
      <c r="C153" s="543"/>
      <c r="D153" s="544" t="n">
        <f t="shared" ref="D153:I153" si="48">D125+D132+D134+D136+D138</f>
        <v>578238.232</v>
      </c>
      <c r="E153" s="545" t="n">
        <f t="shared" si="48"/>
        <v>589563.917</v>
      </c>
      <c r="F153" s="546" t="n">
        <f t="shared" si="48"/>
        <v>591356.292</v>
      </c>
      <c r="G153" s="544" t="n">
        <f t="shared" si="48"/>
        <v>589422.0</v>
      </c>
      <c r="H153" s="545" t="n">
        <f t="shared" si="48"/>
        <v>589422.0</v>
      </c>
      <c r="I153" s="546" t="n">
        <f t="shared" si="48"/>
        <v>589422.0</v>
      </c>
      <c r="J153" s="547" t="n">
        <f>K125+K132+K134+K136</f>
        <v>639188.0</v>
      </c>
      <c r="K153" s="547" t="n">
        <f>M125+M132+M134+M136</f>
        <v>678091.0</v>
      </c>
      <c r="L153" s="547" t="n">
        <f>O125+O132+O134+O136</f>
        <v>759965.0</v>
      </c>
      <c r="M153" s="547" t="n">
        <f>Q125+Q132+Q134+Q136</f>
        <v>757153.0</v>
      </c>
      <c r="N153" s="547" t="n">
        <f>S125+S132+S134+S136</f>
        <v>676683.0</v>
      </c>
    </row>
    <row r="155" spans="1:14" ht="14.25" thickBot="1">
      <c r="A155" s="22" t="s">
        <v>218</v>
      </c>
    </row>
    <row r="156" spans="1:14" ht="14.25" thickBot="1">
      <c r="A156" s="1040"/>
      <c r="B156" s="1041"/>
      <c r="C156" s="1042"/>
      <c r="D156" s="377" t="s">
        <v>367</v>
      </c>
      <c r="E156" s="749" t="s">
        <v>366</v>
      </c>
      <c r="F156" s="378" t="s">
        <v>363</v>
      </c>
      <c r="G156" s="748" t="s">
        <v>362</v>
      </c>
      <c r="H156" s="749" t="s">
        <v>361</v>
      </c>
      <c r="I156" s="750" t="s">
        <v>360</v>
      </c>
      <c r="J156" s="524" t="s">
        <v>384</v>
      </c>
      <c r="K156" s="524" t="s">
        <v>387</v>
      </c>
      <c r="L156" s="524" t="s">
        <v>390</v>
      </c>
      <c r="M156" s="524" t="s">
        <v>393</v>
      </c>
      <c r="N156" s="524" t="s">
        <v>396</v>
      </c>
    </row>
    <row r="157" spans="1:14">
      <c r="A157" s="13" t="s">
        <v>1</v>
      </c>
      <c r="B157" s="3"/>
      <c r="C157" s="144"/>
      <c r="D157" s="145" t="n">
        <f>D133+D135+D137+D139</f>
        <v>131.33333333333331</v>
      </c>
      <c r="E157" s="146" t="n">
        <f>E133+E135+E137+E139</f>
        <v>134.41666666666666</v>
      </c>
      <c r="F157" s="147" t="n">
        <f>F133+F135+F137+F139</f>
        <v>134.0</v>
      </c>
      <c r="G157" s="145" t="n">
        <f>G133+G135+G137+G139</f>
        <v>134.0</v>
      </c>
      <c r="H157" s="147" t="n">
        <f>H133+H135+H137+H139</f>
        <v>134.0</v>
      </c>
      <c r="I157" s="147" t="n">
        <f t="shared" ref="I157" si="49">I133+I135+I137+I139</f>
        <v>134.0</v>
      </c>
      <c r="J157" s="152" t="n">
        <f>K133+K135+K137</f>
        <v>145.0</v>
      </c>
      <c r="K157" s="152" t="n">
        <f>M133+M135+M137</f>
        <v>154.0</v>
      </c>
      <c r="L157" s="152" t="n">
        <f>O133+O135+O137</f>
        <v>173.0</v>
      </c>
      <c r="M157" s="152" t="n">
        <f>Q133+Q135+Q137</f>
        <v>172.0</v>
      </c>
      <c r="N157" s="152" t="n">
        <f>S133+S135+S137</f>
        <v>153.0</v>
      </c>
    </row>
    <row r="158" spans="1:14">
      <c r="A158" s="5"/>
      <c r="B158" s="148" t="s">
        <v>219</v>
      </c>
      <c r="C158" s="548"/>
      <c r="D158" s="46" t="n">
        <v>74.91666666666667</v>
      </c>
      <c r="E158" s="149" t="n">
        <v>72.25</v>
      </c>
      <c r="F158" s="177" t="n">
        <v>72.0</v>
      </c>
      <c r="G158" s="46" t="n">
        <v>72.0</v>
      </c>
      <c r="H158" s="177" t="n">
        <v>72.0</v>
      </c>
      <c r="I158" s="177" t="n">
        <v>72.0</v>
      </c>
      <c r="J158" s="153" t="n">
        <v>78.0</v>
      </c>
      <c r="K158" s="153" t="n">
        <v>80.0</v>
      </c>
      <c r="L158" s="153" t="n">
        <v>91.0</v>
      </c>
      <c r="M158" s="153" t="n">
        <v>92.0</v>
      </c>
      <c r="N158" s="153" t="n">
        <v>84.0</v>
      </c>
    </row>
    <row r="159" spans="1:14" ht="14.25" thickBot="1">
      <c r="A159" s="150"/>
      <c r="B159" s="151" t="s">
        <v>220</v>
      </c>
      <c r="C159" s="549"/>
      <c r="D159" s="734" t="n">
        <f>IFERROR(ROUND(D158/D157*100,1),"－")</f>
        <v>57.0</v>
      </c>
      <c r="E159" s="735" t="n">
        <f t="shared" ref="E159:J159" si="50">IFERROR(ROUND(E158/E157*100,1),"－")</f>
        <v>53.8</v>
      </c>
      <c r="F159" s="736" t="n">
        <f t="shared" si="50"/>
        <v>53.7</v>
      </c>
      <c r="G159" s="734" t="n">
        <f t="shared" si="50"/>
        <v>53.7</v>
      </c>
      <c r="H159" s="736" t="n">
        <f t="shared" si="50"/>
        <v>53.7</v>
      </c>
      <c r="I159" s="736" t="n">
        <f t="shared" si="50"/>
        <v>53.7</v>
      </c>
      <c r="J159" s="737" t="n">
        <f t="shared" si="50"/>
        <v>53.8</v>
      </c>
      <c r="K159" s="737" t="n">
        <f t="shared" ref="K159:M159" si="51">IFERROR(ROUND(K158/K157*100,1),"－")</f>
        <v>51.9</v>
      </c>
      <c r="L159" s="737" t="n">
        <f t="shared" si="51"/>
        <v>52.6</v>
      </c>
      <c r="M159" s="737" t="n">
        <f t="shared" si="51"/>
        <v>53.5</v>
      </c>
      <c r="N159" s="737" t="n">
        <f>IFERROR(ROUND(N158/N157*100,1),"－")</f>
        <v>54.9</v>
      </c>
    </row>
    <row r="162" spans="1:13" s="1029" customFormat="1" ht="13.5" customHeight="1"/>
    <row r="163" spans="1:13" s="1029" customFormat="1" ht="13.5" customHeight="1"/>
    <row r="164" spans="1:13" s="1029" customFormat="1" ht="13.5" customHeight="1">
      <c r="D164" s="1030"/>
      <c r="E164" s="1030"/>
      <c r="F164" s="1030"/>
      <c r="G164" s="1030"/>
      <c r="H164" s="1030"/>
      <c r="I164" s="1030"/>
      <c r="J164" s="1031"/>
      <c r="K164" s="1032"/>
      <c r="L164" s="1032"/>
      <c r="M164" s="1032"/>
    </row>
    <row r="165" spans="1:13" s="1029" customFormat="1" ht="13.5" customHeight="1">
      <c r="D165" s="1033"/>
      <c r="E165" s="1033"/>
      <c r="F165" s="1033"/>
      <c r="G165" s="1033"/>
      <c r="H165" s="1033"/>
      <c r="I165" s="1033"/>
      <c r="J165" s="1034" t="n">
        <v>1.066666667</v>
      </c>
      <c r="K165" s="1035"/>
      <c r="L165" s="1035"/>
      <c r="M165" s="1035"/>
    </row>
    <row r="166" spans="1:13" s="1029" customFormat="1" ht="13.5" customHeight="1">
      <c r="A166" s="1036"/>
      <c r="B166" s="1036"/>
      <c r="C166" s="1036"/>
      <c r="D166" s="1036"/>
      <c r="E166" s="1036"/>
      <c r="F166" s="1036"/>
      <c r="G166" s="1036"/>
      <c r="H166" s="1036"/>
      <c r="I166" s="1036"/>
      <c r="J166" s="1036"/>
      <c r="K166" s="1036"/>
      <c r="L166" s="1036"/>
      <c r="M166" s="1036"/>
    </row>
    <row r="167" spans="1:13" s="1029" customFormat="1" ht="13.5" customHeight="1">
      <c r="A167" s="1037"/>
      <c r="B167" s="1037"/>
      <c r="C167" s="1037"/>
      <c r="D167" s="1037"/>
      <c r="E167" s="1037"/>
      <c r="F167" s="1037"/>
      <c r="G167" s="1037"/>
      <c r="H167" s="1037"/>
      <c r="I167" s="1037"/>
      <c r="J167" s="1037"/>
      <c r="K167" s="1037"/>
      <c r="L167" s="1037"/>
      <c r="M167" s="1037"/>
    </row>
    <row r="168" spans="1:13" s="1029" customFormat="1" ht="13.5" customHeight="1">
      <c r="A168" s="1037"/>
      <c r="B168" s="1037"/>
      <c r="C168" s="1037"/>
      <c r="D168" s="1037"/>
      <c r="E168" s="1037"/>
      <c r="F168" s="1037"/>
      <c r="G168" s="1037"/>
      <c r="H168" s="1037"/>
      <c r="I168" s="1037"/>
      <c r="J168" s="1037"/>
      <c r="K168" s="1037"/>
      <c r="L168" s="1037"/>
      <c r="M168" s="1037"/>
    </row>
  </sheetData>
  <mergeCells count="52">
    <mergeCell ref="B25:B26"/>
    <mergeCell ref="B27:B28"/>
    <mergeCell ref="B29:B30"/>
    <mergeCell ref="B32:B33"/>
    <mergeCell ref="B121:B122"/>
    <mergeCell ref="B134:B135"/>
    <mergeCell ref="B129:B130"/>
    <mergeCell ref="B50:B51"/>
    <mergeCell ref="S3:T3"/>
    <mergeCell ref="S4:T4"/>
    <mergeCell ref="S5:T5"/>
    <mergeCell ref="B123:B124"/>
    <mergeCell ref="B20:B21"/>
    <mergeCell ref="B23:B24"/>
    <mergeCell ref="B94:B95"/>
    <mergeCell ref="B100:B101"/>
    <mergeCell ref="B102:B103"/>
    <mergeCell ref="B12:B13"/>
    <mergeCell ref="B14:B15"/>
    <mergeCell ref="B17:B18"/>
    <mergeCell ref="B74:B75"/>
    <mergeCell ref="A156:C156"/>
    <mergeCell ref="B132:B133"/>
    <mergeCell ref="B104:B105"/>
    <mergeCell ref="B38:B39"/>
    <mergeCell ref="B97:B98"/>
    <mergeCell ref="B68:B69"/>
    <mergeCell ref="B138:B139"/>
    <mergeCell ref="B125:B126"/>
    <mergeCell ref="B127:B128"/>
    <mergeCell ref="B113:B114"/>
    <mergeCell ref="B106:B107"/>
    <mergeCell ref="B109:B110"/>
    <mergeCell ref="B111:B112"/>
    <mergeCell ref="B116:B117"/>
    <mergeCell ref="B119:B120"/>
    <mergeCell ref="Q3:R3"/>
    <mergeCell ref="Q4:R4"/>
    <mergeCell ref="Q5:R5"/>
    <mergeCell ref="B88:B89"/>
    <mergeCell ref="B91:B92"/>
    <mergeCell ref="B43:B44"/>
    <mergeCell ref="B77:B78"/>
    <mergeCell ref="B80:B81"/>
    <mergeCell ref="B82:B83"/>
    <mergeCell ref="B35:B36"/>
    <mergeCell ref="B41:B42"/>
    <mergeCell ref="B85:B86"/>
    <mergeCell ref="B47:B48"/>
    <mergeCell ref="B53:B54"/>
    <mergeCell ref="B55:B56"/>
    <mergeCell ref="B71:B72"/>
  </mergeCells>
  <phoneticPr fontId="3"/>
  <dataValidations disablePrompts="1" count="1">
    <dataValidation type="whole" allowBlank="1" showErrorMessage="1" error="施設サービス利用者数の総数以下の数値を入力してください。" sqref="D158:N158" xr:uid="{00000000-0002-0000-0100-000000000000}">
      <formula1>0</formula1>
      <formula2>D157</formula2>
    </dataValidation>
  </dataValidations>
  <pageMargins left="0.70866141732283472" right="0.70866141732283472" top="0.74803149606299213" bottom="0.74803149606299213" header="0.31496062992125984" footer="0.31496062992125984"/>
  <pageSetup paperSize="9" scale="51" fitToHeight="0" orientation="landscape" r:id="rId1"/>
  <headerFooter>
    <oddFooter>&amp;C&amp;P</oddFooter>
  </headerFooter>
  <rowBreaks count="2" manualBreakCount="2">
    <brk id="63" max="16383" man="1"/>
    <brk id="130" max="20" man="1"/>
  </rowBreaks>
  <colBreaks count="1" manualBreakCount="1">
    <brk id="14" max="16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>
    <pageSetUpPr fitToPage="1"/>
  </sheetPr>
  <dimension ref="A1:M68"/>
  <sheetViews>
    <sheetView zoomScale="85" zoomScaleNormal="85" zoomScaleSheetLayoutView="80" workbookViewId="0"/>
  </sheetViews>
  <sheetFormatPr defaultColWidth="9" defaultRowHeight="13.5"/>
  <cols>
    <col min="1" max="1" bestFit="true" customWidth="true" style="767" width="56.625" collapsed="false"/>
    <col min="2" max="12" customWidth="true" style="767" width="17.375" collapsed="false"/>
    <col min="13" max="16384" style="767" width="9.0" collapsed="false"/>
  </cols>
  <sheetData>
    <row r="1" spans="1:12" ht="14.25" customHeight="1">
      <c r="A1" s="723" t="s">
        <v>309</v>
      </c>
      <c r="B1" s="723"/>
      <c r="C1" s="723"/>
      <c r="D1" s="723"/>
    </row>
    <row r="2" spans="1:12" ht="14.25" thickBot="1"/>
    <row r="3" spans="1:12" ht="14.25" thickBot="1">
      <c r="K3" s="768" t="s">
        <v>67</v>
      </c>
      <c r="L3" s="769" t="str">
        <f>保険者名</f>
        <v>川崎町</v>
      </c>
    </row>
    <row r="4" spans="1:12" ht="14.25" thickBot="1">
      <c r="K4" s="770" t="s">
        <v>68</v>
      </c>
      <c r="L4" s="769" t="str">
        <f>保険者番号</f>
        <v>04324</v>
      </c>
    </row>
    <row r="5" spans="1:12" ht="14.25" thickBot="1">
      <c r="K5" s="771" t="s">
        <v>103</v>
      </c>
      <c r="L5" s="358" t="str">
        <f>推計パターン名</f>
        <v>R8</v>
      </c>
    </row>
    <row r="7" spans="1:12" ht="14.25" thickBot="1">
      <c r="A7" s="772" t="s">
        <v>304</v>
      </c>
      <c r="B7" s="772"/>
      <c r="C7" s="772"/>
      <c r="D7" s="772"/>
      <c r="F7" s="697"/>
      <c r="G7" s="697"/>
      <c r="K7" s="773"/>
      <c r="L7" s="773" t="s">
        <v>315</v>
      </c>
    </row>
    <row r="8" spans="1:12" ht="14.25" thickBot="1">
      <c r="A8" s="698" t="s">
        <v>273</v>
      </c>
      <c r="B8" s="698" t="s">
        <v>325</v>
      </c>
      <c r="C8" s="708" t="s">
        <v>326</v>
      </c>
      <c r="D8" s="744" t="s">
        <v>327</v>
      </c>
      <c r="E8" s="698" t="s">
        <v>347</v>
      </c>
      <c r="F8" s="708" t="s">
        <v>346</v>
      </c>
      <c r="G8" s="703" t="s">
        <v>345</v>
      </c>
      <c r="H8" s="698" t="s">
        <v>399</v>
      </c>
      <c r="I8" s="708" t="s">
        <v>328</v>
      </c>
      <c r="J8" s="708" t="s">
        <v>329</v>
      </c>
      <c r="K8" s="708" t="s">
        <v>330</v>
      </c>
      <c r="L8" s="713" t="s">
        <v>344</v>
      </c>
    </row>
    <row r="9" spans="1:12">
      <c r="A9" s="727" t="s">
        <v>274</v>
      </c>
      <c r="B9" s="738" t="n">
        <v>1010214.0</v>
      </c>
      <c r="C9" s="739" t="n">
        <v>1206361.0</v>
      </c>
      <c r="D9" s="740" t="n">
        <v>994930.0</v>
      </c>
      <c r="E9" s="738" t="n">
        <v>1045953.0</v>
      </c>
      <c r="F9" s="739" t="n">
        <v>1071464.0</v>
      </c>
      <c r="G9" s="740" t="n">
        <v>1096975.0</v>
      </c>
      <c r="H9" s="738" t="n">
        <v>947394.0</v>
      </c>
      <c r="I9" s="739" t="n">
        <v>878633.0</v>
      </c>
      <c r="J9" s="739" t="n">
        <v>813906.0</v>
      </c>
      <c r="K9" s="739" t="n">
        <v>735322.0</v>
      </c>
      <c r="L9" s="740" t="n">
        <v>657440.0</v>
      </c>
    </row>
    <row r="10" spans="1:12">
      <c r="A10" s="774" t="s">
        <v>313</v>
      </c>
      <c r="B10" s="775" t="n">
        <v>40.0</v>
      </c>
      <c r="C10" s="776" t="n">
        <v>45.0</v>
      </c>
      <c r="D10" s="777" t="n">
        <v>42.0</v>
      </c>
      <c r="E10" s="775" t="n">
        <v>44.0</v>
      </c>
      <c r="F10" s="776" t="n">
        <v>46.0</v>
      </c>
      <c r="G10" s="777" t="n">
        <v>47.0</v>
      </c>
      <c r="H10" s="775" t="n">
        <v>40.0</v>
      </c>
      <c r="I10" s="776" t="n">
        <v>37.0</v>
      </c>
      <c r="J10" s="776" t="n">
        <v>34.0</v>
      </c>
      <c r="K10" s="776" t="n">
        <v>31.0</v>
      </c>
      <c r="L10" s="777" t="n">
        <v>28.0</v>
      </c>
    </row>
    <row r="11" spans="1:12">
      <c r="A11" s="728" t="s">
        <v>275</v>
      </c>
      <c r="B11" s="741" t="n">
        <v>0.0</v>
      </c>
      <c r="C11" s="742" t="n">
        <v>0.0</v>
      </c>
      <c r="D11" s="743" t="n">
        <v>0.0</v>
      </c>
      <c r="E11" s="741" t="n">
        <v>0.0</v>
      </c>
      <c r="F11" s="742" t="n">
        <v>0.0</v>
      </c>
      <c r="G11" s="743" t="n">
        <v>0.0</v>
      </c>
      <c r="H11" s="741" t="n">
        <v>0.0</v>
      </c>
      <c r="I11" s="742" t="n">
        <v>0.0</v>
      </c>
      <c r="J11" s="742" t="n">
        <v>0.0</v>
      </c>
      <c r="K11" s="742" t="n">
        <v>0.0</v>
      </c>
      <c r="L11" s="743" t="n">
        <v>0.0</v>
      </c>
    </row>
    <row r="12" spans="1:12">
      <c r="A12" s="774" t="s">
        <v>312</v>
      </c>
      <c r="B12" s="775" t="n">
        <v>0.0</v>
      </c>
      <c r="C12" s="776" t="n">
        <v>0.0</v>
      </c>
      <c r="D12" s="777" t="n">
        <v>0.0</v>
      </c>
      <c r="E12" s="775" t="n">
        <v>0.0</v>
      </c>
      <c r="F12" s="776" t="n">
        <v>0.0</v>
      </c>
      <c r="G12" s="777" t="n">
        <v>0.0</v>
      </c>
      <c r="H12" s="775" t="n">
        <v>0.0</v>
      </c>
      <c r="I12" s="776" t="n">
        <v>0.0</v>
      </c>
      <c r="J12" s="776" t="n">
        <v>0.0</v>
      </c>
      <c r="K12" s="776" t="n">
        <v>0.0</v>
      </c>
      <c r="L12" s="777" t="n">
        <v>0.0</v>
      </c>
    </row>
    <row r="13" spans="1:12">
      <c r="A13" s="729" t="s">
        <v>276</v>
      </c>
      <c r="B13" s="700" t="n">
        <v>0.0</v>
      </c>
      <c r="C13" s="710" t="n">
        <v>0.0</v>
      </c>
      <c r="D13" s="705" t="n">
        <v>0.0</v>
      </c>
      <c r="E13" s="700" t="n">
        <v>0.0</v>
      </c>
      <c r="F13" s="710" t="n">
        <v>0.0</v>
      </c>
      <c r="G13" s="705" t="n">
        <v>0.0</v>
      </c>
      <c r="H13" s="700" t="n">
        <v>0.0</v>
      </c>
      <c r="I13" s="710" t="n">
        <v>0.0</v>
      </c>
      <c r="J13" s="710" t="n">
        <v>0.0</v>
      </c>
      <c r="K13" s="710" t="n">
        <v>0.0</v>
      </c>
      <c r="L13" s="705" t="n">
        <v>0.0</v>
      </c>
    </row>
    <row r="14" spans="1:12">
      <c r="A14" s="729" t="s">
        <v>277</v>
      </c>
      <c r="B14" s="700" t="n">
        <v>0.0</v>
      </c>
      <c r="C14" s="710" t="n">
        <v>0.0</v>
      </c>
      <c r="D14" s="705" t="n">
        <v>0.0</v>
      </c>
      <c r="E14" s="700" t="n">
        <v>0.0</v>
      </c>
      <c r="F14" s="710" t="n">
        <v>0.0</v>
      </c>
      <c r="G14" s="705" t="n">
        <v>0.0</v>
      </c>
      <c r="H14" s="700" t="n">
        <v>0.0</v>
      </c>
      <c r="I14" s="710" t="n">
        <v>0.0</v>
      </c>
      <c r="J14" s="710" t="n">
        <v>0.0</v>
      </c>
      <c r="K14" s="710" t="n">
        <v>0.0</v>
      </c>
      <c r="L14" s="705" t="n">
        <v>0.0</v>
      </c>
    </row>
    <row r="15" spans="1:12">
      <c r="A15" s="729" t="s">
        <v>278</v>
      </c>
      <c r="B15" s="700" t="n">
        <v>0.0</v>
      </c>
      <c r="C15" s="710" t="n">
        <v>0.0</v>
      </c>
      <c r="D15" s="705" t="n">
        <v>0.0</v>
      </c>
      <c r="E15" s="700" t="n">
        <v>0.0</v>
      </c>
      <c r="F15" s="710" t="n">
        <v>0.0</v>
      </c>
      <c r="G15" s="705" t="n">
        <v>0.0</v>
      </c>
      <c r="H15" s="700" t="n">
        <v>0.0</v>
      </c>
      <c r="I15" s="710" t="n">
        <v>0.0</v>
      </c>
      <c r="J15" s="710" t="n">
        <v>0.0</v>
      </c>
      <c r="K15" s="710" t="n">
        <v>0.0</v>
      </c>
      <c r="L15" s="705" t="n">
        <v>0.0</v>
      </c>
    </row>
    <row r="16" spans="1:12" ht="14.25" thickBot="1">
      <c r="A16" s="730" t="s">
        <v>279</v>
      </c>
      <c r="B16" s="701" t="n">
        <v>0.0</v>
      </c>
      <c r="C16" s="711" t="n">
        <v>0.0</v>
      </c>
      <c r="D16" s="706" t="n">
        <v>0.0</v>
      </c>
      <c r="E16" s="701" t="n">
        <v>0.0</v>
      </c>
      <c r="F16" s="711" t="n">
        <v>0.0</v>
      </c>
      <c r="G16" s="706" t="n">
        <v>0.0</v>
      </c>
      <c r="H16" s="701" t="n">
        <v>0.0</v>
      </c>
      <c r="I16" s="711" t="n">
        <v>0.0</v>
      </c>
      <c r="J16" s="711" t="n">
        <v>0.0</v>
      </c>
      <c r="K16" s="711" t="n">
        <v>0.0</v>
      </c>
      <c r="L16" s="706" t="n">
        <v>0.0</v>
      </c>
    </row>
    <row r="17" spans="1:12">
      <c r="A17" s="727" t="s">
        <v>280</v>
      </c>
      <c r="B17" s="738" t="n">
        <v>1650786.0</v>
      </c>
      <c r="C17" s="739" t="n">
        <v>1461639.0</v>
      </c>
      <c r="D17" s="740" t="n">
        <v>1405070.0</v>
      </c>
      <c r="E17" s="738" t="n">
        <v>1267702.0</v>
      </c>
      <c r="F17" s="739" t="n">
        <v>1199019.0</v>
      </c>
      <c r="G17" s="740" t="n">
        <v>1130335.0</v>
      </c>
      <c r="H17" s="738" t="n">
        <v>1337938.0</v>
      </c>
      <c r="I17" s="739" t="n">
        <v>1240831.0</v>
      </c>
      <c r="J17" s="739" t="n">
        <v>1149423.0</v>
      </c>
      <c r="K17" s="739" t="n">
        <v>1038444.0</v>
      </c>
      <c r="L17" s="740" t="n">
        <v>928456.0</v>
      </c>
    </row>
    <row r="18" spans="1:12">
      <c r="A18" s="774" t="s">
        <v>313</v>
      </c>
      <c r="B18" s="775" t="n">
        <v>66.0</v>
      </c>
      <c r="C18" s="776" t="n">
        <v>54.0</v>
      </c>
      <c r="D18" s="777" t="n">
        <v>60.0</v>
      </c>
      <c r="E18" s="775" t="n">
        <v>54.0</v>
      </c>
      <c r="F18" s="776" t="n">
        <v>51.0</v>
      </c>
      <c r="G18" s="777" t="n">
        <v>48.0</v>
      </c>
      <c r="H18" s="775" t="n">
        <v>57.0</v>
      </c>
      <c r="I18" s="776" t="n">
        <v>53.0</v>
      </c>
      <c r="J18" s="776" t="n">
        <v>49.0</v>
      </c>
      <c r="K18" s="776" t="n">
        <v>44.0</v>
      </c>
      <c r="L18" s="777" t="n">
        <v>40.0</v>
      </c>
    </row>
    <row r="19" spans="1:12">
      <c r="A19" s="731" t="s">
        <v>281</v>
      </c>
      <c r="B19" s="741" t="n">
        <v>0.0</v>
      </c>
      <c r="C19" s="742" t="n">
        <v>0.0</v>
      </c>
      <c r="D19" s="743" t="n">
        <v>0.0</v>
      </c>
      <c r="E19" s="741" t="n">
        <v>0.0</v>
      </c>
      <c r="F19" s="742" t="n">
        <v>0.0</v>
      </c>
      <c r="G19" s="743" t="n">
        <v>0.0</v>
      </c>
      <c r="H19" s="741" t="n">
        <v>0.0</v>
      </c>
      <c r="I19" s="742" t="n">
        <v>0.0</v>
      </c>
      <c r="J19" s="742" t="n">
        <v>0.0</v>
      </c>
      <c r="K19" s="742" t="n">
        <v>0.0</v>
      </c>
      <c r="L19" s="743" t="n">
        <v>0.0</v>
      </c>
    </row>
    <row r="20" spans="1:12">
      <c r="A20" s="774" t="s">
        <v>312</v>
      </c>
      <c r="B20" s="775" t="n">
        <v>0.0</v>
      </c>
      <c r="C20" s="776" t="n">
        <v>0.0</v>
      </c>
      <c r="D20" s="777" t="n">
        <v>0.0</v>
      </c>
      <c r="E20" s="775" t="n">
        <v>0.0</v>
      </c>
      <c r="F20" s="776" t="n">
        <v>0.0</v>
      </c>
      <c r="G20" s="777" t="n">
        <v>0.0</v>
      </c>
      <c r="H20" s="775" t="n">
        <v>0.0</v>
      </c>
      <c r="I20" s="776" t="n">
        <v>0.0</v>
      </c>
      <c r="J20" s="776" t="n">
        <v>0.0</v>
      </c>
      <c r="K20" s="776" t="n">
        <v>0.0</v>
      </c>
      <c r="L20" s="777" t="n">
        <v>0.0</v>
      </c>
    </row>
    <row r="21" spans="1:12">
      <c r="A21" s="729" t="s">
        <v>282</v>
      </c>
      <c r="B21" s="700" t="n">
        <v>0.0</v>
      </c>
      <c r="C21" s="710" t="n">
        <v>0.0</v>
      </c>
      <c r="D21" s="705" t="n">
        <v>0.0</v>
      </c>
      <c r="E21" s="700" t="n">
        <v>0.0</v>
      </c>
      <c r="F21" s="710" t="n">
        <v>0.0</v>
      </c>
      <c r="G21" s="705" t="n">
        <v>0.0</v>
      </c>
      <c r="H21" s="700" t="n">
        <v>0.0</v>
      </c>
      <c r="I21" s="710" t="n">
        <v>0.0</v>
      </c>
      <c r="J21" s="710" t="n">
        <v>0.0</v>
      </c>
      <c r="K21" s="710" t="n">
        <v>0.0</v>
      </c>
      <c r="L21" s="705" t="n">
        <v>0.0</v>
      </c>
    </row>
    <row r="22" spans="1:12">
      <c r="A22" s="729" t="s">
        <v>283</v>
      </c>
      <c r="B22" s="700" t="n">
        <v>0.0</v>
      </c>
      <c r="C22" s="710" t="n">
        <v>0.0</v>
      </c>
      <c r="D22" s="705" t="n">
        <v>0.0</v>
      </c>
      <c r="E22" s="700" t="n">
        <v>0.0</v>
      </c>
      <c r="F22" s="710" t="n">
        <v>0.0</v>
      </c>
      <c r="G22" s="705" t="n">
        <v>0.0</v>
      </c>
      <c r="H22" s="700" t="n">
        <v>0.0</v>
      </c>
      <c r="I22" s="710" t="n">
        <v>0.0</v>
      </c>
      <c r="J22" s="710" t="n">
        <v>0.0</v>
      </c>
      <c r="K22" s="710" t="n">
        <v>0.0</v>
      </c>
      <c r="L22" s="705" t="n">
        <v>0.0</v>
      </c>
    </row>
    <row r="23" spans="1:12" ht="14.25" thickBot="1">
      <c r="A23" s="731" t="s">
        <v>284</v>
      </c>
      <c r="B23" s="702" t="n">
        <v>0.0</v>
      </c>
      <c r="C23" s="712" t="n">
        <v>0.0</v>
      </c>
      <c r="D23" s="707" t="n">
        <v>0.0</v>
      </c>
      <c r="E23" s="702" t="n">
        <v>0.0</v>
      </c>
      <c r="F23" s="712" t="n">
        <v>0.0</v>
      </c>
      <c r="G23" s="707" t="n">
        <v>0.0</v>
      </c>
      <c r="H23" s="702" t="n">
        <v>0.0</v>
      </c>
      <c r="I23" s="712" t="n">
        <v>0.0</v>
      </c>
      <c r="J23" s="712" t="n">
        <v>0.0</v>
      </c>
      <c r="K23" s="712" t="n">
        <v>0.0</v>
      </c>
      <c r="L23" s="707" t="n">
        <v>0.0</v>
      </c>
    </row>
    <row r="24" spans="1:12">
      <c r="A24" s="732" t="s">
        <v>285</v>
      </c>
      <c r="B24" s="699" t="n">
        <v>0.0</v>
      </c>
      <c r="C24" s="709" t="n">
        <v>0.0</v>
      </c>
      <c r="D24" s="704" t="n">
        <v>0.0</v>
      </c>
      <c r="E24" s="699" t="n">
        <v>0.0</v>
      </c>
      <c r="F24" s="709" t="n">
        <v>0.0</v>
      </c>
      <c r="G24" s="704" t="n">
        <v>0.0</v>
      </c>
      <c r="H24" s="699" t="n">
        <v>0.0</v>
      </c>
      <c r="I24" s="709" t="n">
        <v>0.0</v>
      </c>
      <c r="J24" s="709" t="n">
        <v>0.0</v>
      </c>
      <c r="K24" s="709" t="n">
        <v>0.0</v>
      </c>
      <c r="L24" s="704" t="n">
        <v>0.0</v>
      </c>
    </row>
    <row r="25" spans="1:12">
      <c r="A25" s="729" t="s">
        <v>286</v>
      </c>
      <c r="B25" s="700" t="n">
        <v>0.0</v>
      </c>
      <c r="C25" s="710" t="n">
        <v>0.0</v>
      </c>
      <c r="D25" s="705" t="n">
        <v>0.0</v>
      </c>
      <c r="E25" s="700" t="n">
        <v>0.0</v>
      </c>
      <c r="F25" s="710" t="n">
        <v>0.0</v>
      </c>
      <c r="G25" s="705" t="n">
        <v>0.0</v>
      </c>
      <c r="H25" s="700" t="n">
        <v>0.0</v>
      </c>
      <c r="I25" s="710" t="n">
        <v>0.0</v>
      </c>
      <c r="J25" s="710" t="n">
        <v>0.0</v>
      </c>
      <c r="K25" s="710" t="n">
        <v>0.0</v>
      </c>
      <c r="L25" s="705" t="n">
        <v>0.0</v>
      </c>
    </row>
    <row r="26" spans="1:12" ht="14.25" thickBot="1">
      <c r="A26" s="730" t="s">
        <v>287</v>
      </c>
      <c r="B26" s="701" t="n">
        <v>0.0</v>
      </c>
      <c r="C26" s="711" t="n">
        <v>0.0</v>
      </c>
      <c r="D26" s="706" t="n">
        <v>0.0</v>
      </c>
      <c r="E26" s="701" t="n">
        <v>0.0</v>
      </c>
      <c r="F26" s="711" t="n">
        <v>0.0</v>
      </c>
      <c r="G26" s="706" t="n">
        <v>0.0</v>
      </c>
      <c r="H26" s="701" t="n">
        <v>0.0</v>
      </c>
      <c r="I26" s="711" t="n">
        <v>0.0</v>
      </c>
      <c r="J26" s="711" t="n">
        <v>0.0</v>
      </c>
      <c r="K26" s="711" t="n">
        <v>0.0</v>
      </c>
      <c r="L26" s="706" t="n">
        <v>0.0</v>
      </c>
    </row>
    <row r="27" spans="1:12" ht="14.25" thickBot="1">
      <c r="A27" s="1006" t="s">
        <v>288</v>
      </c>
      <c r="B27" s="1007" t="n">
        <v>730000.0</v>
      </c>
      <c r="C27" s="1008" t="n">
        <v>740000.0</v>
      </c>
      <c r="D27" s="1009" t="n">
        <v>750000.0</v>
      </c>
      <c r="E27" s="1007" t="n">
        <v>760000.0</v>
      </c>
      <c r="F27" s="1008" t="n">
        <v>770000.0</v>
      </c>
      <c r="G27" s="1009" t="n">
        <v>0.0</v>
      </c>
      <c r="H27" s="1007" t="n">
        <v>819013.0</v>
      </c>
      <c r="I27" s="1008" t="n">
        <v>840632.0</v>
      </c>
      <c r="J27" s="1008" t="n">
        <v>786170.0</v>
      </c>
      <c r="K27" s="1008" t="n">
        <v>705931.0</v>
      </c>
      <c r="L27" s="1009" t="n">
        <v>655626.0</v>
      </c>
    </row>
    <row r="28" spans="1:12">
      <c r="A28" s="1002" t="s">
        <v>382</v>
      </c>
      <c r="B28" s="1003" t="n">
        <v>4200.0</v>
      </c>
      <c r="C28" s="1004" t="n">
        <v>16432.0</v>
      </c>
      <c r="D28" s="1005" t="n">
        <v>20000.0</v>
      </c>
      <c r="E28" s="1003" t="n">
        <v>29344.0</v>
      </c>
      <c r="F28" s="1004" t="n">
        <v>37244.0</v>
      </c>
      <c r="G28" s="1005" t="n">
        <v>0.0</v>
      </c>
      <c r="H28" s="1003" t="n">
        <v>21840.0</v>
      </c>
      <c r="I28" s="1004" t="n">
        <v>22417.0</v>
      </c>
      <c r="J28" s="1004" t="n">
        <v>20965.0</v>
      </c>
      <c r="K28" s="1004" t="n">
        <v>18825.0</v>
      </c>
      <c r="L28" s="1005" t="n">
        <v>17483.0</v>
      </c>
    </row>
    <row r="29" spans="1:12" ht="14.25" thickBot="1">
      <c r="A29" s="730" t="s">
        <v>381</v>
      </c>
      <c r="B29" s="701" t="n">
        <v>0.0</v>
      </c>
      <c r="C29" s="711" t="n">
        <v>0.0</v>
      </c>
      <c r="D29" s="706" t="n">
        <v>0.0</v>
      </c>
      <c r="E29" s="701" t="n">
        <v>0.0</v>
      </c>
      <c r="F29" s="711" t="n">
        <v>0.0</v>
      </c>
      <c r="G29" s="706" t="n">
        <v>0.0</v>
      </c>
      <c r="H29" s="701" t="n">
        <v>0.0</v>
      </c>
      <c r="I29" s="711" t="n">
        <v>0.0</v>
      </c>
      <c r="J29" s="711" t="n">
        <v>0.0</v>
      </c>
      <c r="K29" s="711" t="n">
        <v>0.0</v>
      </c>
      <c r="L29" s="706" t="n">
        <v>0.0</v>
      </c>
    </row>
    <row r="30" spans="1:12">
      <c r="A30" s="732" t="s">
        <v>289</v>
      </c>
      <c r="B30" s="699" t="n">
        <v>0.0</v>
      </c>
      <c r="C30" s="709" t="n">
        <v>0.0</v>
      </c>
      <c r="D30" s="704" t="n">
        <v>0.0</v>
      </c>
      <c r="E30" s="699" t="n">
        <v>0.0</v>
      </c>
      <c r="F30" s="709" t="n">
        <v>0.0</v>
      </c>
      <c r="G30" s="704" t="n">
        <v>0.0</v>
      </c>
      <c r="H30" s="699" t="n">
        <v>0.0</v>
      </c>
      <c r="I30" s="709" t="n">
        <v>0.0</v>
      </c>
      <c r="J30" s="709" t="n">
        <v>0.0</v>
      </c>
      <c r="K30" s="709" t="n">
        <v>0.0</v>
      </c>
      <c r="L30" s="704" t="n">
        <v>0.0</v>
      </c>
    </row>
    <row r="31" spans="1:12">
      <c r="A31" s="729" t="s">
        <v>290</v>
      </c>
      <c r="B31" s="700" t="n">
        <v>0.0</v>
      </c>
      <c r="C31" s="710" t="n">
        <v>0.0</v>
      </c>
      <c r="D31" s="705" t="n">
        <v>0.0</v>
      </c>
      <c r="E31" s="700" t="n">
        <v>0.0</v>
      </c>
      <c r="F31" s="710" t="n">
        <v>0.0</v>
      </c>
      <c r="G31" s="705" t="n">
        <v>0.0</v>
      </c>
      <c r="H31" s="700" t="n">
        <v>0.0</v>
      </c>
      <c r="I31" s="710" t="n">
        <v>0.0</v>
      </c>
      <c r="J31" s="710" t="n">
        <v>0.0</v>
      </c>
      <c r="K31" s="710" t="n">
        <v>0.0</v>
      </c>
      <c r="L31" s="705" t="n">
        <v>0.0</v>
      </c>
    </row>
    <row r="32" spans="1:12">
      <c r="A32" s="729" t="s">
        <v>291</v>
      </c>
      <c r="B32" s="700" t="n">
        <v>0.0</v>
      </c>
      <c r="C32" s="710" t="n">
        <v>0.0</v>
      </c>
      <c r="D32" s="705" t="n">
        <v>0.0</v>
      </c>
      <c r="E32" s="700" t="n">
        <v>0.0</v>
      </c>
      <c r="F32" s="710" t="n">
        <v>0.0</v>
      </c>
      <c r="G32" s="705" t="n">
        <v>0.0</v>
      </c>
      <c r="H32" s="700" t="n">
        <v>0.0</v>
      </c>
      <c r="I32" s="710" t="n">
        <v>0.0</v>
      </c>
      <c r="J32" s="710" t="n">
        <v>0.0</v>
      </c>
      <c r="K32" s="710" t="n">
        <v>0.0</v>
      </c>
      <c r="L32" s="705" t="n">
        <v>0.0</v>
      </c>
    </row>
    <row r="33" spans="1:12">
      <c r="A33" s="729" t="s">
        <v>292</v>
      </c>
      <c r="B33" s="700" t="n">
        <v>4308049.0</v>
      </c>
      <c r="C33" s="710" t="n">
        <v>4473652.0</v>
      </c>
      <c r="D33" s="705" t="n">
        <v>3798000.0</v>
      </c>
      <c r="E33" s="700" t="n">
        <v>3683185.0</v>
      </c>
      <c r="F33" s="710" t="n">
        <v>3428160.0</v>
      </c>
      <c r="G33" s="705" t="n">
        <v>0.0</v>
      </c>
      <c r="H33" s="700" t="n">
        <v>4147483.0</v>
      </c>
      <c r="I33" s="710" t="n">
        <v>4256960.0</v>
      </c>
      <c r="J33" s="710" t="n">
        <v>3981163.0</v>
      </c>
      <c r="K33" s="710" t="n">
        <v>3574836.0</v>
      </c>
      <c r="L33" s="705" t="n">
        <v>3320092.0</v>
      </c>
    </row>
    <row r="34" spans="1:12">
      <c r="A34" s="729" t="s">
        <v>293</v>
      </c>
      <c r="B34" s="700" t="n">
        <v>0.0</v>
      </c>
      <c r="C34" s="710" t="n">
        <v>0.0</v>
      </c>
      <c r="D34" s="705" t="n">
        <v>0.0</v>
      </c>
      <c r="E34" s="700" t="n">
        <v>0.0</v>
      </c>
      <c r="F34" s="710" t="n">
        <v>0.0</v>
      </c>
      <c r="G34" s="705" t="n">
        <v>0.0</v>
      </c>
      <c r="H34" s="700" t="n">
        <v>0.0</v>
      </c>
      <c r="I34" s="710" t="n">
        <v>0.0</v>
      </c>
      <c r="J34" s="710" t="n">
        <v>0.0</v>
      </c>
      <c r="K34" s="710" t="n">
        <v>0.0</v>
      </c>
      <c r="L34" s="705" t="n">
        <v>0.0</v>
      </c>
    </row>
    <row r="35" spans="1:12" ht="14.25" thickBot="1">
      <c r="A35" s="730" t="s">
        <v>427</v>
      </c>
      <c r="B35" s="512"/>
      <c r="C35" s="880"/>
      <c r="D35" s="970"/>
      <c r="E35" s="701" t="n">
        <v>0.0</v>
      </c>
      <c r="F35" s="711" t="n">
        <v>0.0</v>
      </c>
      <c r="G35" s="706" t="n">
        <v>0.0</v>
      </c>
      <c r="H35" s="701" t="n">
        <v>0.0</v>
      </c>
      <c r="I35" s="711" t="n">
        <v>0.0</v>
      </c>
      <c r="J35" s="711" t="n">
        <v>0.0</v>
      </c>
      <c r="K35" s="711" t="n">
        <v>0.0</v>
      </c>
      <c r="L35" s="706" t="n">
        <v>0.0</v>
      </c>
    </row>
    <row r="37" spans="1:12" ht="14.25" thickBot="1">
      <c r="A37" s="772" t="s">
        <v>317</v>
      </c>
      <c r="B37" s="772"/>
      <c r="C37" s="772"/>
      <c r="D37" s="772"/>
      <c r="E37" s="697"/>
      <c r="F37" s="697"/>
      <c r="G37" s="697"/>
      <c r="H37" s="697"/>
      <c r="I37" s="697"/>
      <c r="J37" s="697"/>
      <c r="K37" s="773"/>
      <c r="L37" s="773" t="s">
        <v>314</v>
      </c>
    </row>
    <row r="38" spans="1:12" ht="14.25" thickBot="1">
      <c r="A38" s="717" t="s">
        <v>273</v>
      </c>
      <c r="B38" s="698" t="s">
        <v>325</v>
      </c>
      <c r="C38" s="708" t="s">
        <v>326</v>
      </c>
      <c r="D38" s="744" t="s">
        <v>327</v>
      </c>
      <c r="E38" s="717" t="s">
        <v>347</v>
      </c>
      <c r="F38" s="714" t="s">
        <v>346</v>
      </c>
      <c r="G38" s="713" t="s">
        <v>345</v>
      </c>
      <c r="H38" s="717" t="s">
        <v>399</v>
      </c>
      <c r="I38" s="714" t="s">
        <v>328</v>
      </c>
      <c r="J38" s="714" t="s">
        <v>329</v>
      </c>
      <c r="K38" s="718" t="s">
        <v>330</v>
      </c>
      <c r="L38" s="713" t="s">
        <v>344</v>
      </c>
    </row>
    <row r="39" spans="1:12">
      <c r="A39" s="732" t="s">
        <v>294</v>
      </c>
      <c r="B39" s="699" t="n">
        <v>2.4606798E7</v>
      </c>
      <c r="C39" s="715" t="n">
        <v>2.2439736E7</v>
      </c>
      <c r="D39" s="704" t="n">
        <v>2.8981E7</v>
      </c>
      <c r="E39" s="699" t="n">
        <v>2.9716713E7</v>
      </c>
      <c r="F39" s="715" t="n">
        <v>3.1903814E7</v>
      </c>
      <c r="G39" s="704" t="n">
        <v>3.4090915E7</v>
      </c>
      <c r="H39" s="699" t="n">
        <v>2.8020009E7</v>
      </c>
      <c r="I39" s="715" t="n">
        <v>2.6400561E7</v>
      </c>
      <c r="J39" s="715" t="n">
        <v>2.5226016E7</v>
      </c>
      <c r="K39" s="709" t="n">
        <v>2.3481995E7</v>
      </c>
      <c r="L39" s="704" t="n">
        <v>2.2191776E7</v>
      </c>
    </row>
    <row r="40" spans="1:12" ht="14.25" thickBot="1">
      <c r="A40" s="733" t="s">
        <v>295</v>
      </c>
      <c r="B40" s="701" t="n">
        <v>4519729.0</v>
      </c>
      <c r="C40" s="716" t="n">
        <v>5886816.0</v>
      </c>
      <c r="D40" s="706" t="n">
        <v>7486000.0</v>
      </c>
      <c r="E40" s="701" t="n">
        <v>8930453.0</v>
      </c>
      <c r="F40" s="716" t="n">
        <v>1.0413588E7</v>
      </c>
      <c r="G40" s="706" t="n">
        <v>1.1896724E7</v>
      </c>
      <c r="H40" s="701" t="n">
        <v>7237769.0</v>
      </c>
      <c r="I40" s="716" t="n">
        <v>6819454.0</v>
      </c>
      <c r="J40" s="716" t="n">
        <v>6516061.0</v>
      </c>
      <c r="K40" s="711" t="n">
        <v>6065568.0</v>
      </c>
      <c r="L40" s="706" t="n">
        <v>5732295.0</v>
      </c>
    </row>
    <row r="41" spans="1:12">
      <c r="E41" s="697"/>
      <c r="F41" s="697"/>
      <c r="G41" s="697"/>
      <c r="H41" s="697"/>
      <c r="I41" s="697"/>
      <c r="J41" s="697"/>
      <c r="K41" s="697"/>
      <c r="L41" s="697"/>
    </row>
    <row r="42" spans="1:12" ht="14.25" thickBot="1">
      <c r="A42" s="772" t="s">
        <v>305</v>
      </c>
      <c r="B42" s="772"/>
      <c r="C42" s="772"/>
      <c r="D42" s="772"/>
      <c r="E42" s="697"/>
      <c r="F42" s="697"/>
      <c r="G42" s="697"/>
      <c r="H42" s="697"/>
      <c r="I42" s="697"/>
      <c r="J42" s="697"/>
      <c r="K42" s="773"/>
      <c r="L42" s="773" t="s">
        <v>314</v>
      </c>
    </row>
    <row r="43" spans="1:12" ht="14.25" thickBot="1">
      <c r="A43" s="717" t="s">
        <v>273</v>
      </c>
      <c r="B43" s="698" t="s">
        <v>325</v>
      </c>
      <c r="C43" s="708" t="s">
        <v>326</v>
      </c>
      <c r="D43" s="744" t="s">
        <v>327</v>
      </c>
      <c r="E43" s="717" t="s">
        <v>347</v>
      </c>
      <c r="F43" s="718" t="s">
        <v>346</v>
      </c>
      <c r="G43" s="713" t="s">
        <v>345</v>
      </c>
      <c r="H43" s="717" t="s">
        <v>399</v>
      </c>
      <c r="I43" s="718" t="s">
        <v>328</v>
      </c>
      <c r="J43" s="718" t="s">
        <v>329</v>
      </c>
      <c r="K43" s="718" t="s">
        <v>330</v>
      </c>
      <c r="L43" s="713" t="s">
        <v>344</v>
      </c>
    </row>
    <row r="44" spans="1:12">
      <c r="A44" s="732" t="s">
        <v>296</v>
      </c>
      <c r="B44" s="699" t="n">
        <v>0.0</v>
      </c>
      <c r="C44" s="709" t="n">
        <v>195543.0</v>
      </c>
      <c r="D44" s="704" t="n">
        <v>192000.0</v>
      </c>
      <c r="E44" s="699" t="n">
        <v>321181.0</v>
      </c>
      <c r="F44" s="709" t="n">
        <v>417181.0</v>
      </c>
      <c r="G44" s="704" t="n">
        <v>513181.0</v>
      </c>
      <c r="H44" s="699" t="n">
        <v>192000.0</v>
      </c>
      <c r="I44" s="709" t="n">
        <v>192000.0</v>
      </c>
      <c r="J44" s="709" t="n">
        <v>192000.0</v>
      </c>
      <c r="K44" s="709" t="n">
        <v>192000.0</v>
      </c>
      <c r="L44" s="704" t="n">
        <v>192000.0</v>
      </c>
    </row>
    <row r="45" spans="1:12">
      <c r="A45" s="729" t="s">
        <v>297</v>
      </c>
      <c r="B45" s="700" t="n">
        <v>14640.0</v>
      </c>
      <c r="C45" s="710" t="n">
        <v>188970.0</v>
      </c>
      <c r="D45" s="705" t="n">
        <v>169000.0</v>
      </c>
      <c r="E45" s="700" t="n">
        <v>278563.0</v>
      </c>
      <c r="F45" s="710" t="n">
        <v>355743.0</v>
      </c>
      <c r="G45" s="705" t="n">
        <v>432923.0</v>
      </c>
      <c r="H45" s="700" t="n">
        <v>169000.0</v>
      </c>
      <c r="I45" s="710" t="n">
        <v>169000.0</v>
      </c>
      <c r="J45" s="710" t="n">
        <v>169000.0</v>
      </c>
      <c r="K45" s="710" t="n">
        <v>169000.0</v>
      </c>
      <c r="L45" s="705" t="n">
        <v>169000.0</v>
      </c>
    </row>
    <row r="46" spans="1:12">
      <c r="A46" s="729" t="s">
        <v>298</v>
      </c>
      <c r="B46" s="700" t="n">
        <v>0.0</v>
      </c>
      <c r="C46" s="710" t="n">
        <v>0.0</v>
      </c>
      <c r="D46" s="705" t="n">
        <v>0.0</v>
      </c>
      <c r="E46" s="700" t="n">
        <v>0.0</v>
      </c>
      <c r="F46" s="710" t="n">
        <v>0.0</v>
      </c>
      <c r="G46" s="705" t="n">
        <v>0.0</v>
      </c>
      <c r="H46" s="700" t="n">
        <v>0.0</v>
      </c>
      <c r="I46" s="710" t="n">
        <v>0.0</v>
      </c>
      <c r="J46" s="710" t="n">
        <v>0.0</v>
      </c>
      <c r="K46" s="710" t="n">
        <v>0.0</v>
      </c>
      <c r="L46" s="705" t="n">
        <v>0.0</v>
      </c>
    </row>
    <row r="47" spans="1:12">
      <c r="A47" s="729" t="s">
        <v>299</v>
      </c>
      <c r="B47" s="700" t="n">
        <v>0.0</v>
      </c>
      <c r="C47" s="710" t="n">
        <v>0.0</v>
      </c>
      <c r="D47" s="705" t="n">
        <v>0.0</v>
      </c>
      <c r="E47" s="700" t="n">
        <v>0.0</v>
      </c>
      <c r="F47" s="710" t="n">
        <v>0.0</v>
      </c>
      <c r="G47" s="705" t="n">
        <v>0.0</v>
      </c>
      <c r="H47" s="700" t="n">
        <v>0.0</v>
      </c>
      <c r="I47" s="710" t="n">
        <v>0.0</v>
      </c>
      <c r="J47" s="710" t="n">
        <v>0.0</v>
      </c>
      <c r="K47" s="710" t="n">
        <v>0.0</v>
      </c>
      <c r="L47" s="705" t="n">
        <v>0.0</v>
      </c>
    </row>
    <row r="48" spans="1:12">
      <c r="A48" s="729" t="s">
        <v>321</v>
      </c>
      <c r="B48" s="700" t="n">
        <v>0.0</v>
      </c>
      <c r="C48" s="710" t="n">
        <v>0.0</v>
      </c>
      <c r="D48" s="705" t="n">
        <v>0.0</v>
      </c>
      <c r="E48" s="700" t="n">
        <v>0.0</v>
      </c>
      <c r="F48" s="710" t="n">
        <v>0.0</v>
      </c>
      <c r="G48" s="705" t="n">
        <v>0.0</v>
      </c>
      <c r="H48" s="700" t="n">
        <v>0.0</v>
      </c>
      <c r="I48" s="710" t="n">
        <v>0.0</v>
      </c>
      <c r="J48" s="710" t="n">
        <v>0.0</v>
      </c>
      <c r="K48" s="710" t="n">
        <v>0.0</v>
      </c>
      <c r="L48" s="705" t="n">
        <v>0.0</v>
      </c>
    </row>
    <row r="49" spans="1:12" ht="14.25" thickBot="1">
      <c r="A49" s="730" t="s">
        <v>300</v>
      </c>
      <c r="B49" s="701" t="n">
        <v>0.0</v>
      </c>
      <c r="C49" s="711" t="n">
        <v>0.0</v>
      </c>
      <c r="D49" s="706" t="n">
        <v>0.0</v>
      </c>
      <c r="E49" s="701" t="n">
        <v>0.0</v>
      </c>
      <c r="F49" s="711" t="n">
        <v>0.0</v>
      </c>
      <c r="G49" s="706" t="n">
        <v>0.0</v>
      </c>
      <c r="H49" s="701" t="n">
        <v>0.0</v>
      </c>
      <c r="I49" s="711" t="n">
        <v>0.0</v>
      </c>
      <c r="J49" s="711" t="n">
        <v>0.0</v>
      </c>
      <c r="K49" s="711" t="n">
        <v>0.0</v>
      </c>
      <c r="L49" s="706" t="n">
        <v>0.0</v>
      </c>
    </row>
    <row r="50" spans="1:12">
      <c r="E50" s="697"/>
      <c r="F50" s="697"/>
      <c r="G50" s="697"/>
      <c r="H50" s="697"/>
      <c r="I50" s="697"/>
      <c r="J50" s="697"/>
      <c r="K50" s="697"/>
      <c r="L50" s="697"/>
    </row>
    <row r="51" spans="1:12" ht="14.25" thickBot="1">
      <c r="A51" s="772" t="s">
        <v>423</v>
      </c>
      <c r="B51" s="772"/>
      <c r="C51" s="772"/>
      <c r="D51" s="772"/>
      <c r="E51" s="697"/>
      <c r="F51" s="697"/>
      <c r="G51" s="697"/>
      <c r="H51" s="697"/>
      <c r="I51" s="697"/>
      <c r="J51" s="697"/>
      <c r="K51" s="773"/>
      <c r="L51" s="773" t="s">
        <v>314</v>
      </c>
    </row>
    <row r="52" spans="1:12" ht="14.25" thickBot="1">
      <c r="A52" s="717" t="s">
        <v>273</v>
      </c>
      <c r="B52" s="698" t="s">
        <v>325</v>
      </c>
      <c r="C52" s="708" t="s">
        <v>326</v>
      </c>
      <c r="D52" s="744" t="s">
        <v>327</v>
      </c>
      <c r="E52" s="717" t="s">
        <v>347</v>
      </c>
      <c r="F52" s="718" t="s">
        <v>346</v>
      </c>
      <c r="G52" s="713" t="s">
        <v>345</v>
      </c>
      <c r="H52" s="717" t="s">
        <v>399</v>
      </c>
      <c r="I52" s="718" t="s">
        <v>328</v>
      </c>
      <c r="J52" s="718" t="s">
        <v>329</v>
      </c>
      <c r="K52" s="718" t="s">
        <v>330</v>
      </c>
      <c r="L52" s="713" t="s">
        <v>344</v>
      </c>
    </row>
    <row r="53" spans="1:12" ht="14.25" thickBot="1">
      <c r="A53" s="1006" t="s">
        <v>424</v>
      </c>
      <c r="B53" s="1023"/>
      <c r="C53" s="1024"/>
      <c r="D53" s="1025"/>
      <c r="E53" s="1012" t="n">
        <v>0.0</v>
      </c>
      <c r="F53" s="1013" t="n">
        <v>0.0</v>
      </c>
      <c r="G53" s="1014" t="n">
        <v>0.0</v>
      </c>
      <c r="H53" s="1012" t="n">
        <v>0.0</v>
      </c>
      <c r="I53" s="1013" t="n">
        <v>0.0</v>
      </c>
      <c r="J53" s="1013" t="n">
        <v>0.0</v>
      </c>
      <c r="K53" s="1013" t="n">
        <v>0.0</v>
      </c>
      <c r="L53" s="1014" t="n">
        <v>0.0</v>
      </c>
    </row>
    <row r="54" spans="1:12">
      <c r="E54" s="697"/>
      <c r="F54" s="697"/>
      <c r="G54" s="697"/>
      <c r="H54" s="697"/>
      <c r="I54" s="697"/>
      <c r="J54" s="697"/>
      <c r="K54" s="697"/>
      <c r="L54" s="697"/>
    </row>
    <row r="55" spans="1:12" ht="14.25" thickBot="1">
      <c r="A55" s="772" t="s">
        <v>425</v>
      </c>
      <c r="B55" s="772"/>
      <c r="C55" s="772"/>
      <c r="D55" s="772"/>
      <c r="E55" s="697"/>
      <c r="F55" s="697"/>
      <c r="G55" s="697"/>
      <c r="H55" s="697"/>
      <c r="I55" s="697"/>
      <c r="J55" s="697"/>
      <c r="K55" s="773"/>
      <c r="L55" s="773" t="s">
        <v>314</v>
      </c>
    </row>
    <row r="56" spans="1:12" ht="14.25" thickBot="1">
      <c r="A56" s="717" t="s">
        <v>273</v>
      </c>
      <c r="B56" s="698" t="s">
        <v>325</v>
      </c>
      <c r="C56" s="708" t="s">
        <v>326</v>
      </c>
      <c r="D56" s="744" t="s">
        <v>327</v>
      </c>
      <c r="E56" s="717" t="s">
        <v>347</v>
      </c>
      <c r="F56" s="718" t="s">
        <v>346</v>
      </c>
      <c r="G56" s="713" t="s">
        <v>345</v>
      </c>
      <c r="H56" s="717" t="s">
        <v>399</v>
      </c>
      <c r="I56" s="718" t="s">
        <v>328</v>
      </c>
      <c r="J56" s="718" t="s">
        <v>329</v>
      </c>
      <c r="K56" s="718" t="s">
        <v>330</v>
      </c>
      <c r="L56" s="713" t="s">
        <v>344</v>
      </c>
    </row>
    <row r="57" spans="1:12" ht="14.25" thickBot="1">
      <c r="A57" s="1006" t="s">
        <v>413</v>
      </c>
      <c r="B57" s="1023"/>
      <c r="C57" s="1024"/>
      <c r="D57" s="1025"/>
      <c r="E57" s="1012" t="n">
        <v>0.0</v>
      </c>
      <c r="F57" s="1013" t="n">
        <v>0.0</v>
      </c>
      <c r="G57" s="1014" t="n">
        <v>0.0</v>
      </c>
      <c r="H57" s="1012" t="n">
        <v>0.0</v>
      </c>
      <c r="I57" s="1013" t="n">
        <v>0.0</v>
      </c>
      <c r="J57" s="1013" t="n">
        <v>0.0</v>
      </c>
      <c r="K57" s="1013" t="n">
        <v>0.0</v>
      </c>
      <c r="L57" s="1014" t="n">
        <v>0.0</v>
      </c>
    </row>
    <row r="58" spans="1:12">
      <c r="E58" s="697"/>
      <c r="F58" s="697"/>
      <c r="G58" s="697"/>
      <c r="H58" s="697"/>
      <c r="I58" s="697"/>
      <c r="J58" s="697"/>
      <c r="K58" s="697"/>
      <c r="L58" s="697"/>
    </row>
    <row r="59" spans="1:12" ht="14.25" thickBot="1">
      <c r="A59" s="772" t="s">
        <v>426</v>
      </c>
      <c r="B59" s="772"/>
      <c r="C59" s="772"/>
      <c r="D59" s="772"/>
      <c r="E59" s="697"/>
      <c r="F59" s="697"/>
      <c r="G59" s="697"/>
      <c r="H59" s="697"/>
      <c r="I59" s="697"/>
      <c r="J59" s="697"/>
      <c r="K59" s="773"/>
      <c r="L59" s="773" t="s">
        <v>314</v>
      </c>
    </row>
    <row r="60" spans="1:12" ht="14.25" thickBot="1">
      <c r="A60" s="717"/>
      <c r="B60" s="698" t="s">
        <v>325</v>
      </c>
      <c r="C60" s="708" t="s">
        <v>326</v>
      </c>
      <c r="D60" s="744" t="s">
        <v>327</v>
      </c>
      <c r="E60" s="717" t="s">
        <v>347</v>
      </c>
      <c r="F60" s="718" t="s">
        <v>346</v>
      </c>
      <c r="G60" s="713" t="s">
        <v>345</v>
      </c>
      <c r="H60" s="717" t="s">
        <v>399</v>
      </c>
      <c r="I60" s="718" t="s">
        <v>328</v>
      </c>
      <c r="J60" s="718" t="s">
        <v>329</v>
      </c>
      <c r="K60" s="718" t="s">
        <v>330</v>
      </c>
      <c r="L60" s="713" t="s">
        <v>344</v>
      </c>
    </row>
    <row r="61" spans="1:12">
      <c r="A61" s="732" t="s">
        <v>301</v>
      </c>
      <c r="B61" s="778" t="n">
        <f>SUM(B9,B11,B13:B17,B19,B21:B34)</f>
        <v>7703249.0</v>
      </c>
      <c r="C61" s="779" t="n">
        <f t="shared" ref="C61:D61" si="0">SUM(C9,C11,C13:C17,C19,C21:C34)</f>
        <v>7898084.0</v>
      </c>
      <c r="D61" s="780" t="n">
        <f t="shared" si="0"/>
        <v>6968000.0</v>
      </c>
      <c r="E61" s="778" t="n">
        <f t="shared" ref="E61:L61" si="1">SUM(E9,E11,E13:E17,E19,E21:E35)</f>
        <v>6786184.0</v>
      </c>
      <c r="F61" s="779" t="n">
        <f t="shared" si="1"/>
        <v>6505887.0</v>
      </c>
      <c r="G61" s="780" t="n">
        <f t="shared" si="1"/>
        <v>2227310.0</v>
      </c>
      <c r="H61" s="778" t="n">
        <f t="shared" si="1"/>
        <v>7273668.0</v>
      </c>
      <c r="I61" s="779" t="n">
        <f t="shared" si="1"/>
        <v>7239473.0</v>
      </c>
      <c r="J61" s="779" t="n">
        <f t="shared" si="1"/>
        <v>6751627.0</v>
      </c>
      <c r="K61" s="779" t="n">
        <f t="shared" si="1"/>
        <v>6073358.0</v>
      </c>
      <c r="L61" s="780" t="n">
        <f t="shared" si="1"/>
        <v>5579097.0</v>
      </c>
    </row>
    <row r="62" spans="1:12">
      <c r="A62" s="729" t="s">
        <v>318</v>
      </c>
      <c r="B62" s="781" t="n">
        <f t="shared" ref="B62:L62" si="2">SUM(B39:B40)</f>
        <v>2.9126527E7</v>
      </c>
      <c r="C62" s="782" t="n">
        <f t="shared" si="2"/>
        <v>2.8326552E7</v>
      </c>
      <c r="D62" s="783" t="n">
        <f t="shared" si="2"/>
        <v>3.6467E7</v>
      </c>
      <c r="E62" s="781" t="n">
        <f t="shared" si="2"/>
        <v>3.8647166E7</v>
      </c>
      <c r="F62" s="782" t="n">
        <f t="shared" si="2"/>
        <v>4.2317402E7</v>
      </c>
      <c r="G62" s="783" t="n">
        <f t="shared" si="2"/>
        <v>4.5987639E7</v>
      </c>
      <c r="H62" s="781" t="n">
        <f t="shared" si="2"/>
        <v>3.5257778E7</v>
      </c>
      <c r="I62" s="782" t="n">
        <f t="shared" si="2"/>
        <v>3.3220015E7</v>
      </c>
      <c r="J62" s="782" t="n">
        <f t="shared" si="2"/>
        <v>3.1742077E7</v>
      </c>
      <c r="K62" s="782" t="n">
        <f t="shared" si="2"/>
        <v>2.9547563E7</v>
      </c>
      <c r="L62" s="783" t="n">
        <f t="shared" si="2"/>
        <v>2.7924071E7</v>
      </c>
    </row>
    <row r="63" spans="1:12">
      <c r="A63" s="729" t="s">
        <v>302</v>
      </c>
      <c r="B63" s="781" t="n">
        <f t="shared" ref="B63:L63" si="3">SUM(B44:B49)</f>
        <v>14640.0</v>
      </c>
      <c r="C63" s="782" t="n">
        <f t="shared" si="3"/>
        <v>384513.0</v>
      </c>
      <c r="D63" s="783" t="n">
        <f t="shared" si="3"/>
        <v>361000.0</v>
      </c>
      <c r="E63" s="781" t="n">
        <f t="shared" si="3"/>
        <v>599744.0</v>
      </c>
      <c r="F63" s="782" t="n">
        <f t="shared" si="3"/>
        <v>772924.0</v>
      </c>
      <c r="G63" s="783" t="n">
        <f t="shared" si="3"/>
        <v>946104.0</v>
      </c>
      <c r="H63" s="781" t="n">
        <f t="shared" si="3"/>
        <v>361000.0</v>
      </c>
      <c r="I63" s="782" t="n">
        <f t="shared" si="3"/>
        <v>361000.0</v>
      </c>
      <c r="J63" s="782" t="n">
        <f t="shared" si="3"/>
        <v>361000.0</v>
      </c>
      <c r="K63" s="782" t="n">
        <f t="shared" si="3"/>
        <v>361000.0</v>
      </c>
      <c r="L63" s="783" t="n">
        <f t="shared" si="3"/>
        <v>361000.0</v>
      </c>
    </row>
    <row r="64" spans="1:12">
      <c r="A64" s="729" t="s">
        <v>428</v>
      </c>
      <c r="B64" s="507"/>
      <c r="C64" s="879"/>
      <c r="D64" s="933"/>
      <c r="E64" s="781" t="n">
        <f t="shared" ref="E64:L64" si="4">SUM(E53)</f>
        <v>0.0</v>
      </c>
      <c r="F64" s="782" t="n">
        <f t="shared" si="4"/>
        <v>0.0</v>
      </c>
      <c r="G64" s="783" t="n">
        <f t="shared" si="4"/>
        <v>0.0</v>
      </c>
      <c r="H64" s="781" t="n">
        <f t="shared" si="4"/>
        <v>0.0</v>
      </c>
      <c r="I64" s="782" t="n">
        <f t="shared" si="4"/>
        <v>0.0</v>
      </c>
      <c r="J64" s="782" t="n">
        <f t="shared" si="4"/>
        <v>0.0</v>
      </c>
      <c r="K64" s="782" t="n">
        <f t="shared" si="4"/>
        <v>0.0</v>
      </c>
      <c r="L64" s="783" t="n">
        <f t="shared" si="4"/>
        <v>0.0</v>
      </c>
    </row>
    <row r="65" spans="1:12" ht="14.25" thickBot="1">
      <c r="A65" s="1015" t="s">
        <v>414</v>
      </c>
      <c r="B65" s="1026"/>
      <c r="C65" s="1027"/>
      <c r="D65" s="1028"/>
      <c r="E65" s="1016" t="n">
        <f t="shared" ref="E65:L65" si="5">SUM(E57)</f>
        <v>0.0</v>
      </c>
      <c r="F65" s="1017" t="n">
        <f t="shared" si="5"/>
        <v>0.0</v>
      </c>
      <c r="G65" s="1018" t="n">
        <f t="shared" si="5"/>
        <v>0.0</v>
      </c>
      <c r="H65" s="1016" t="n">
        <f t="shared" si="5"/>
        <v>0.0</v>
      </c>
      <c r="I65" s="1017" t="n">
        <f t="shared" si="5"/>
        <v>0.0</v>
      </c>
      <c r="J65" s="1017" t="n">
        <f t="shared" si="5"/>
        <v>0.0</v>
      </c>
      <c r="K65" s="1017" t="n">
        <f t="shared" si="5"/>
        <v>0.0</v>
      </c>
      <c r="L65" s="1018" t="n">
        <f t="shared" si="5"/>
        <v>0.0</v>
      </c>
    </row>
    <row r="66" spans="1:12" ht="14.25" thickBot="1">
      <c r="A66" s="733" t="s">
        <v>303</v>
      </c>
      <c r="B66" s="719" t="n">
        <f>SUM(B61:B65)</f>
        <v>3.6844416E7</v>
      </c>
      <c r="C66" s="721" t="n">
        <f t="shared" ref="C66:L66" si="6">SUM(C61:C65)</f>
        <v>3.6609149E7</v>
      </c>
      <c r="D66" s="720" t="n">
        <f t="shared" si="6"/>
        <v>4.3796E7</v>
      </c>
      <c r="E66" s="719" t="n">
        <f t="shared" si="6"/>
        <v>4.6033094E7</v>
      </c>
      <c r="F66" s="721" t="n">
        <f t="shared" si="6"/>
        <v>4.9596213E7</v>
      </c>
      <c r="G66" s="720" t="n">
        <f t="shared" si="6"/>
        <v>4.9161053E7</v>
      </c>
      <c r="H66" s="719" t="n">
        <f t="shared" si="6"/>
        <v>4.2892446E7</v>
      </c>
      <c r="I66" s="721" t="n">
        <f t="shared" si="6"/>
        <v>4.0820488E7</v>
      </c>
      <c r="J66" s="721" t="n">
        <f t="shared" si="6"/>
        <v>3.8854704E7</v>
      </c>
      <c r="K66" s="721" t="n">
        <f t="shared" si="6"/>
        <v>3.5981921E7</v>
      </c>
      <c r="L66" s="720" t="n">
        <f t="shared" si="6"/>
        <v>3.3864168E7</v>
      </c>
    </row>
    <row r="68" spans="1:12">
      <c r="A68" s="767" t="s">
        <v>316</v>
      </c>
    </row>
  </sheetData>
  <phoneticPr fontId="3"/>
  <pageMargins left="0.7" right="0.7" top="0.75" bottom="0.75" header="0.3" footer="0.3"/>
  <pageSetup paperSize="9" scale="54" fitToHeight="0" orientation="landscape" r:id="rId1"/>
  <colBreaks count="1" manualBreakCount="1">
    <brk id="13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M147"/>
  <sheetViews>
    <sheetView showGridLines="0" view="pageBreakPreview" zoomScale="85" zoomScaleNormal="40" zoomScaleSheetLayoutView="85" workbookViewId="0"/>
  </sheetViews>
  <sheetFormatPr defaultColWidth="9" defaultRowHeight="13.5"/>
  <cols>
    <col min="1" max="1" bestFit="true" customWidth="true" style="353" width="43.125" collapsed="false"/>
    <col min="2" max="4" customWidth="true" style="353" width="11.375" collapsed="false"/>
    <col min="5" max="11" style="353" width="9.0" collapsed="false"/>
    <col min="12" max="12" customWidth="true" style="353" width="10.125" collapsed="false"/>
    <col min="13" max="16384" style="353" width="9.0" collapsed="false"/>
  </cols>
  <sheetData>
    <row r="1" spans="1:12" ht="14.25">
      <c r="A1" s="352" t="s">
        <v>310</v>
      </c>
      <c r="C1" s="354"/>
      <c r="D1" s="355"/>
    </row>
    <row r="2" spans="1:12" ht="15" thickBot="1">
      <c r="A2" s="352"/>
      <c r="K2" s="354" t="s">
        <v>98</v>
      </c>
      <c r="L2" s="355" t="str">
        <f>'1_推計値サマリ'!T2</f>
        <v>2026/09/11</v>
      </c>
    </row>
    <row r="3" spans="1:12" ht="14.25" thickBot="1">
      <c r="I3" s="1051" t="s">
        <v>67</v>
      </c>
      <c r="J3" s="1052"/>
      <c r="K3" s="1065" t="str">
        <f>保険者名</f>
        <v>川崎町</v>
      </c>
      <c r="L3" s="1066"/>
    </row>
    <row r="4" spans="1:12" ht="14.25" thickBot="1">
      <c r="I4" s="1051" t="s">
        <v>68</v>
      </c>
      <c r="J4" s="1052"/>
      <c r="K4" s="1065" t="str">
        <f>保険者番号</f>
        <v>04324</v>
      </c>
      <c r="L4" s="1066"/>
    </row>
    <row r="5" spans="1:12" ht="31.5" customHeight="1" thickBot="1">
      <c r="I5" s="1053" t="s">
        <v>103</v>
      </c>
      <c r="J5" s="1054"/>
      <c r="K5" s="1065" t="str">
        <f>推計パターン名</f>
        <v>R8</v>
      </c>
      <c r="L5" s="1066"/>
    </row>
    <row r="6" spans="1:12">
      <c r="C6" s="354"/>
      <c r="D6" s="354"/>
    </row>
    <row r="7" spans="1:12" ht="14.25" thickBot="1">
      <c r="A7" s="353" t="s">
        <v>75</v>
      </c>
      <c r="C7" s="354"/>
      <c r="D7" s="354"/>
    </row>
    <row r="8" spans="1:12" ht="125.1" customHeight="1" thickBot="1">
      <c r="A8" s="1092" t="s">
        <v>263</v>
      </c>
      <c r="B8" s="1093"/>
      <c r="C8" s="1093"/>
      <c r="D8" s="1093"/>
      <c r="E8" s="1094"/>
      <c r="F8" s="1094"/>
      <c r="G8" s="1094"/>
      <c r="H8" s="1094"/>
      <c r="I8" s="1094"/>
      <c r="J8" s="1094"/>
      <c r="K8" s="1094"/>
      <c r="L8" s="1095"/>
    </row>
    <row r="9" spans="1:12" ht="27" customHeight="1" thickBot="1">
      <c r="A9" s="356" t="s">
        <v>113</v>
      </c>
      <c r="B9" s="357"/>
      <c r="C9" s="354"/>
      <c r="D9" s="354"/>
    </row>
    <row r="10" spans="1:12" ht="27" customHeight="1" thickBot="1">
      <c r="A10" s="358" t="s">
        <v>114</v>
      </c>
      <c r="B10" s="1102" t="s">
        <v>434</v>
      </c>
      <c r="C10" s="1103"/>
      <c r="D10" s="1103"/>
      <c r="E10" s="1103"/>
      <c r="F10" s="1103"/>
      <c r="G10" s="1103"/>
      <c r="H10" s="1103"/>
      <c r="I10" s="1103"/>
      <c r="J10" s="1103"/>
      <c r="K10" s="1103"/>
      <c r="L10" s="1104"/>
    </row>
    <row r="11" spans="1:12" ht="27" customHeight="1" thickBot="1">
      <c r="A11" s="358" t="s">
        <v>115</v>
      </c>
      <c r="B11" s="1102" t="s">
        <v>435</v>
      </c>
      <c r="C11" s="1103"/>
      <c r="D11" s="1103"/>
      <c r="E11" s="1103"/>
      <c r="F11" s="1103"/>
      <c r="G11" s="1103"/>
      <c r="H11" s="1103"/>
      <c r="I11" s="1103"/>
      <c r="J11" s="1103"/>
      <c r="K11" s="1103"/>
      <c r="L11" s="1104"/>
    </row>
    <row r="12" spans="1:12" ht="27" customHeight="1" thickBot="1">
      <c r="A12" s="356" t="s">
        <v>116</v>
      </c>
      <c r="B12" s="357"/>
      <c r="C12" s="354"/>
      <c r="D12" s="354"/>
    </row>
    <row r="13" spans="1:12" ht="23.25" customHeight="1" thickBot="1">
      <c r="A13" s="358" t="s">
        <v>101</v>
      </c>
      <c r="B13" s="1102" t="s">
        <v>436</v>
      </c>
      <c r="C13" s="1103"/>
      <c r="D13" s="1103"/>
      <c r="E13" s="1103"/>
      <c r="F13" s="1103"/>
      <c r="G13" s="1103"/>
      <c r="H13" s="1103"/>
      <c r="I13" s="1103"/>
      <c r="J13" s="1103"/>
      <c r="K13" s="1103"/>
      <c r="L13" s="1104"/>
    </row>
    <row r="14" spans="1:12" ht="23.25" customHeight="1" thickBot="1">
      <c r="A14" s="359"/>
      <c r="B14" s="1096" t="s">
        <v>244</v>
      </c>
      <c r="C14" s="1096"/>
      <c r="D14" s="1096"/>
      <c r="E14" s="1097"/>
      <c r="F14" s="1097"/>
      <c r="G14" s="1097"/>
      <c r="H14" s="1097"/>
      <c r="I14" s="1097"/>
      <c r="J14" s="1097"/>
      <c r="K14" s="1097"/>
      <c r="L14" s="1097"/>
    </row>
    <row r="15" spans="1:12" ht="23.25" customHeight="1" thickBot="1">
      <c r="A15" s="1100" t="s">
        <v>74</v>
      </c>
      <c r="B15" s="1098"/>
      <c r="C15" s="1098"/>
      <c r="D15" s="1098"/>
      <c r="E15" s="1099"/>
      <c r="F15" s="1099"/>
      <c r="G15" s="1099"/>
      <c r="H15" s="1099"/>
      <c r="I15" s="1099"/>
      <c r="J15" s="1099"/>
      <c r="K15" s="1099"/>
      <c r="L15" s="1099"/>
    </row>
    <row r="16" spans="1:12" ht="125.1" customHeight="1" thickBot="1">
      <c r="A16" s="1101"/>
      <c r="B16" s="1098"/>
      <c r="C16" s="1098"/>
      <c r="D16" s="1098"/>
      <c r="E16" s="1099"/>
      <c r="F16" s="1099"/>
      <c r="G16" s="1099"/>
      <c r="H16" s="1099"/>
      <c r="I16" s="1099"/>
      <c r="J16" s="1099"/>
      <c r="K16" s="1099"/>
      <c r="L16" s="1099"/>
    </row>
    <row r="17" spans="1:12" ht="23.25" customHeight="1" thickBot="1">
      <c r="A17" s="360"/>
      <c r="B17" s="1068" t="s">
        <v>92</v>
      </c>
      <c r="C17" s="1069"/>
      <c r="D17" s="1069"/>
      <c r="E17" s="1069"/>
      <c r="F17" s="1069"/>
      <c r="G17" s="1069"/>
      <c r="H17" s="1069"/>
      <c r="I17" s="1069"/>
      <c r="J17" s="1069"/>
      <c r="K17" s="1069"/>
      <c r="L17" s="1070"/>
    </row>
    <row r="18" spans="1:12" ht="125.1" customHeight="1" thickBot="1">
      <c r="A18" s="361" t="s">
        <v>240</v>
      </c>
      <c r="B18" s="1105"/>
      <c r="C18" s="1106"/>
      <c r="D18" s="1106"/>
      <c r="E18" s="1106"/>
      <c r="F18" s="1106"/>
      <c r="G18" s="1106"/>
      <c r="H18" s="1106"/>
      <c r="I18" s="1106"/>
      <c r="J18" s="1106"/>
      <c r="K18" s="1106"/>
      <c r="L18" s="1107"/>
    </row>
    <row r="19" spans="1:12" ht="27" customHeight="1" thickBot="1">
      <c r="A19" s="356" t="s">
        <v>241</v>
      </c>
      <c r="B19" s="357"/>
      <c r="C19" s="354"/>
      <c r="D19" s="354"/>
    </row>
    <row r="20" spans="1:12" ht="23.25" customHeight="1">
      <c r="A20" s="362" t="s">
        <v>100</v>
      </c>
      <c r="B20" s="1080" t="s">
        <v>436</v>
      </c>
      <c r="C20" s="1081"/>
      <c r="D20" s="1081"/>
      <c r="E20" s="1081"/>
      <c r="F20" s="1081"/>
      <c r="G20" s="1081"/>
      <c r="H20" s="1081"/>
      <c r="I20" s="1081"/>
      <c r="J20" s="1081"/>
      <c r="K20" s="1081"/>
      <c r="L20" s="1082"/>
    </row>
    <row r="21" spans="1:12" ht="23.25" customHeight="1" thickBot="1">
      <c r="A21" s="363" t="s">
        <v>102</v>
      </c>
      <c r="B21" s="1086" t="s">
        <v>437</v>
      </c>
      <c r="C21" s="1087"/>
      <c r="D21" s="1087"/>
      <c r="E21" s="1087"/>
      <c r="F21" s="1087"/>
      <c r="G21" s="1087"/>
      <c r="H21" s="1087"/>
      <c r="I21" s="1087"/>
      <c r="J21" s="1087"/>
      <c r="K21" s="1087"/>
      <c r="L21" s="1088"/>
    </row>
    <row r="22" spans="1:12" ht="23.25" customHeight="1" thickBot="1">
      <c r="A22" s="360"/>
      <c r="B22" s="1068" t="s">
        <v>117</v>
      </c>
      <c r="C22" s="1069"/>
      <c r="D22" s="1069"/>
      <c r="E22" s="1069"/>
      <c r="F22" s="1069"/>
      <c r="G22" s="1069"/>
      <c r="H22" s="1069"/>
      <c r="I22" s="1069"/>
      <c r="J22" s="1069"/>
      <c r="K22" s="1069"/>
      <c r="L22" s="1070"/>
    </row>
    <row r="23" spans="1:12" ht="125.1" customHeight="1" thickBot="1">
      <c r="A23" s="364" t="s">
        <v>118</v>
      </c>
      <c r="B23" s="1074"/>
      <c r="C23" s="1075"/>
      <c r="D23" s="1075"/>
      <c r="E23" s="1075"/>
      <c r="F23" s="1075"/>
      <c r="G23" s="1075"/>
      <c r="H23" s="1075"/>
      <c r="I23" s="1075"/>
      <c r="J23" s="1075"/>
      <c r="K23" s="1075"/>
      <c r="L23" s="1076"/>
    </row>
    <row r="24" spans="1:12" ht="23.25" customHeight="1" thickBot="1">
      <c r="A24" s="360"/>
      <c r="B24" s="1068" t="s">
        <v>242</v>
      </c>
      <c r="C24" s="1069"/>
      <c r="D24" s="1069"/>
      <c r="E24" s="1069"/>
      <c r="F24" s="1069"/>
      <c r="G24" s="1069"/>
      <c r="H24" s="1069"/>
      <c r="I24" s="1069"/>
      <c r="J24" s="1069"/>
      <c r="K24" s="1069"/>
      <c r="L24" s="1070"/>
    </row>
    <row r="25" spans="1:12" ht="125.1" customHeight="1" thickBot="1">
      <c r="A25" s="364" t="s">
        <v>245</v>
      </c>
      <c r="B25" s="1074" t="s">
        <v>438</v>
      </c>
      <c r="C25" s="1075"/>
      <c r="D25" s="1075"/>
      <c r="E25" s="1075"/>
      <c r="F25" s="1075"/>
      <c r="G25" s="1075"/>
      <c r="H25" s="1075"/>
      <c r="I25" s="1075"/>
      <c r="J25" s="1075"/>
      <c r="K25" s="1075"/>
      <c r="L25" s="1076"/>
    </row>
    <row r="26" spans="1:12" ht="23.25" customHeight="1" thickBot="1">
      <c r="A26" s="360"/>
      <c r="B26" s="1068" t="s">
        <v>92</v>
      </c>
      <c r="C26" s="1069"/>
      <c r="D26" s="1069"/>
      <c r="E26" s="1069"/>
      <c r="F26" s="1069"/>
      <c r="G26" s="1069"/>
      <c r="H26" s="1069"/>
      <c r="I26" s="1069"/>
      <c r="J26" s="1069"/>
      <c r="K26" s="1069"/>
      <c r="L26" s="1070"/>
    </row>
    <row r="27" spans="1:12" ht="125.1" customHeight="1">
      <c r="A27" s="364" t="s">
        <v>97</v>
      </c>
      <c r="B27" s="1074"/>
      <c r="C27" s="1075"/>
      <c r="D27" s="1075"/>
      <c r="E27" s="1075"/>
      <c r="F27" s="1075"/>
      <c r="G27" s="1075"/>
      <c r="H27" s="1075"/>
      <c r="I27" s="1075"/>
      <c r="J27" s="1075"/>
      <c r="K27" s="1075"/>
      <c r="L27" s="1076"/>
    </row>
    <row r="28" spans="1:12" ht="125.1" customHeight="1">
      <c r="A28" s="365" t="s">
        <v>96</v>
      </c>
      <c r="B28" s="1089"/>
      <c r="C28" s="1090"/>
      <c r="D28" s="1090"/>
      <c r="E28" s="1090"/>
      <c r="F28" s="1090"/>
      <c r="G28" s="1090"/>
      <c r="H28" s="1090"/>
      <c r="I28" s="1090"/>
      <c r="J28" s="1090"/>
      <c r="K28" s="1090"/>
      <c r="L28" s="1091"/>
    </row>
    <row r="29" spans="1:12" ht="125.1" customHeight="1" thickBot="1">
      <c r="A29" s="366" t="s">
        <v>95</v>
      </c>
      <c r="B29" s="1077"/>
      <c r="C29" s="1078"/>
      <c r="D29" s="1078"/>
      <c r="E29" s="1078"/>
      <c r="F29" s="1078"/>
      <c r="G29" s="1078"/>
      <c r="H29" s="1078"/>
      <c r="I29" s="1078"/>
      <c r="J29" s="1078"/>
      <c r="K29" s="1078"/>
      <c r="L29" s="1079"/>
    </row>
    <row r="30" spans="1:12" ht="27" customHeight="1" thickBot="1">
      <c r="A30" s="356" t="s">
        <v>236</v>
      </c>
      <c r="B30" s="357"/>
      <c r="C30" s="354"/>
      <c r="D30" s="354"/>
    </row>
    <row r="31" spans="1:12" ht="23.25" customHeight="1">
      <c r="A31" s="362" t="s">
        <v>100</v>
      </c>
      <c r="B31" s="1080" t="s">
        <v>436</v>
      </c>
      <c r="C31" s="1081"/>
      <c r="D31" s="1081"/>
      <c r="E31" s="1081"/>
      <c r="F31" s="1081"/>
      <c r="G31" s="1081"/>
      <c r="H31" s="1081"/>
      <c r="I31" s="1081"/>
      <c r="J31" s="1081"/>
      <c r="K31" s="1081"/>
      <c r="L31" s="1082"/>
    </row>
    <row r="32" spans="1:12" ht="23.25" customHeight="1">
      <c r="A32" s="367" t="s">
        <v>99</v>
      </c>
      <c r="B32" s="1083" t="s">
        <v>436</v>
      </c>
      <c r="C32" s="1084"/>
      <c r="D32" s="1084"/>
      <c r="E32" s="1084"/>
      <c r="F32" s="1084"/>
      <c r="G32" s="1084"/>
      <c r="H32" s="1084"/>
      <c r="I32" s="1084"/>
      <c r="J32" s="1084"/>
      <c r="K32" s="1084"/>
      <c r="L32" s="1085"/>
    </row>
    <row r="33" spans="1:12" ht="23.25" customHeight="1" thickBot="1">
      <c r="A33" s="363" t="s">
        <v>102</v>
      </c>
      <c r="B33" s="1086" t="s">
        <v>439</v>
      </c>
      <c r="C33" s="1087"/>
      <c r="D33" s="1087"/>
      <c r="E33" s="1087"/>
      <c r="F33" s="1087"/>
      <c r="G33" s="1087"/>
      <c r="H33" s="1087"/>
      <c r="I33" s="1087"/>
      <c r="J33" s="1087"/>
      <c r="K33" s="1087"/>
      <c r="L33" s="1088"/>
    </row>
    <row r="34" spans="1:12" ht="23.25" customHeight="1" thickBot="1">
      <c r="A34" s="360"/>
      <c r="B34" s="1068" t="s">
        <v>242</v>
      </c>
      <c r="C34" s="1069"/>
      <c r="D34" s="1069"/>
      <c r="E34" s="1069"/>
      <c r="F34" s="1069"/>
      <c r="G34" s="1069"/>
      <c r="H34" s="1069"/>
      <c r="I34" s="1069"/>
      <c r="J34" s="1069"/>
      <c r="K34" s="1069"/>
      <c r="L34" s="1070"/>
    </row>
    <row r="35" spans="1:12" ht="125.1" customHeight="1" thickBot="1">
      <c r="A35" s="368" t="s">
        <v>247</v>
      </c>
      <c r="B35" s="1071" t="s">
        <v>438</v>
      </c>
      <c r="C35" s="1072"/>
      <c r="D35" s="1072"/>
      <c r="E35" s="1072"/>
      <c r="F35" s="1072"/>
      <c r="G35" s="1072"/>
      <c r="H35" s="1072"/>
      <c r="I35" s="1072"/>
      <c r="J35" s="1072"/>
      <c r="K35" s="1072"/>
      <c r="L35" s="1073"/>
    </row>
    <row r="36" spans="1:12" ht="23.25" customHeight="1" thickBot="1">
      <c r="A36" s="360"/>
      <c r="B36" s="1068" t="s">
        <v>243</v>
      </c>
      <c r="C36" s="1069"/>
      <c r="D36" s="1069"/>
      <c r="E36" s="1069"/>
      <c r="F36" s="1069"/>
      <c r="G36" s="1069"/>
      <c r="H36" s="1069"/>
      <c r="I36" s="1069"/>
      <c r="J36" s="1069"/>
      <c r="K36" s="1069"/>
      <c r="L36" s="1070"/>
    </row>
    <row r="37" spans="1:12" ht="125.1" customHeight="1" thickBot="1">
      <c r="A37" s="368" t="s">
        <v>248</v>
      </c>
      <c r="B37" s="1071" t="s">
        <v>438</v>
      </c>
      <c r="C37" s="1072"/>
      <c r="D37" s="1072"/>
      <c r="E37" s="1072"/>
      <c r="F37" s="1072"/>
      <c r="G37" s="1072"/>
      <c r="H37" s="1072"/>
      <c r="I37" s="1072"/>
      <c r="J37" s="1072"/>
      <c r="K37" s="1072"/>
      <c r="L37" s="1073"/>
    </row>
    <row r="38" spans="1:12" ht="23.25" customHeight="1" thickBot="1">
      <c r="A38" s="360"/>
      <c r="B38" s="1068" t="s">
        <v>117</v>
      </c>
      <c r="C38" s="1069"/>
      <c r="D38" s="1069"/>
      <c r="E38" s="1069"/>
      <c r="F38" s="1069"/>
      <c r="G38" s="1069"/>
      <c r="H38" s="1069"/>
      <c r="I38" s="1069"/>
      <c r="J38" s="1069"/>
      <c r="K38" s="1069"/>
      <c r="L38" s="1070"/>
    </row>
    <row r="39" spans="1:12" ht="125.1" customHeight="1" thickBot="1">
      <c r="A39" s="368" t="s">
        <v>246</v>
      </c>
      <c r="B39" s="1071"/>
      <c r="C39" s="1072"/>
      <c r="D39" s="1072"/>
      <c r="E39" s="1072"/>
      <c r="F39" s="1072"/>
      <c r="G39" s="1072"/>
      <c r="H39" s="1072"/>
      <c r="I39" s="1072"/>
      <c r="J39" s="1072"/>
      <c r="K39" s="1072"/>
      <c r="L39" s="1073"/>
    </row>
    <row r="40" spans="1:12" ht="23.25" customHeight="1" thickBot="1">
      <c r="A40" s="360"/>
      <c r="B40" s="1068" t="s">
        <v>92</v>
      </c>
      <c r="C40" s="1069"/>
      <c r="D40" s="1069"/>
      <c r="E40" s="1069"/>
      <c r="F40" s="1069"/>
      <c r="G40" s="1069"/>
      <c r="H40" s="1069"/>
      <c r="I40" s="1069"/>
      <c r="J40" s="1069"/>
      <c r="K40" s="1069"/>
      <c r="L40" s="1070"/>
    </row>
    <row r="41" spans="1:12" ht="125.1" customHeight="1">
      <c r="A41" s="368" t="s">
        <v>249</v>
      </c>
      <c r="B41" s="1071"/>
      <c r="C41" s="1072"/>
      <c r="D41" s="1072"/>
      <c r="E41" s="1072"/>
      <c r="F41" s="1072"/>
      <c r="G41" s="1072"/>
      <c r="H41" s="1072"/>
      <c r="I41" s="1072"/>
      <c r="J41" s="1072"/>
      <c r="K41" s="1072"/>
      <c r="L41" s="1073"/>
    </row>
    <row r="42" spans="1:12" ht="125.1" customHeight="1" thickBot="1">
      <c r="A42" s="369" t="s">
        <v>250</v>
      </c>
      <c r="B42" s="1077"/>
      <c r="C42" s="1078"/>
      <c r="D42" s="1078"/>
      <c r="E42" s="1078"/>
      <c r="F42" s="1078"/>
      <c r="G42" s="1078"/>
      <c r="H42" s="1078"/>
      <c r="I42" s="1078"/>
      <c r="J42" s="1078"/>
      <c r="K42" s="1078"/>
      <c r="L42" s="1079"/>
    </row>
    <row r="43" spans="1:12" ht="27" customHeight="1" thickBot="1">
      <c r="A43" s="356" t="s">
        <v>308</v>
      </c>
    </row>
    <row r="44" spans="1:12" ht="23.25" customHeight="1" thickBot="1">
      <c r="A44" s="360"/>
      <c r="B44" s="1068" t="s">
        <v>92</v>
      </c>
      <c r="C44" s="1069"/>
      <c r="D44" s="1069"/>
      <c r="E44" s="1069"/>
      <c r="F44" s="1069"/>
      <c r="G44" s="1069"/>
      <c r="H44" s="1069"/>
      <c r="I44" s="1069"/>
      <c r="J44" s="1069"/>
      <c r="K44" s="1069"/>
      <c r="L44" s="1070"/>
    </row>
    <row r="45" spans="1:12" ht="125.1" customHeight="1">
      <c r="A45" s="873" t="s">
        <v>307</v>
      </c>
      <c r="B45" s="1071"/>
      <c r="C45" s="1072"/>
      <c r="D45" s="1072"/>
      <c r="E45" s="1072"/>
      <c r="F45" s="1072"/>
      <c r="G45" s="1072"/>
      <c r="H45" s="1072"/>
      <c r="I45" s="1072"/>
      <c r="J45" s="1072"/>
      <c r="K45" s="1072"/>
      <c r="L45" s="1073"/>
    </row>
    <row r="46" spans="1:12" ht="27" customHeight="1" thickBot="1">
      <c r="A46" s="356" t="s">
        <v>320</v>
      </c>
      <c r="B46" s="357"/>
      <c r="C46" s="354"/>
      <c r="D46" s="354"/>
    </row>
    <row r="47" spans="1:12" ht="125.1" customHeight="1">
      <c r="A47" s="368" t="s">
        <v>239</v>
      </c>
      <c r="B47" s="1071"/>
      <c r="C47" s="1072"/>
      <c r="D47" s="1072"/>
      <c r="E47" s="1072"/>
      <c r="F47" s="1072"/>
      <c r="G47" s="1072"/>
      <c r="H47" s="1072"/>
      <c r="I47" s="1072"/>
      <c r="J47" s="1072"/>
      <c r="K47" s="1072"/>
      <c r="L47" s="1073"/>
    </row>
    <row r="52" spans="2:2">
      <c r="B52" s="357"/>
    </row>
    <row r="68" ht="13.5" customHeight="1"/>
    <row r="108" ht="13.5" customHeight="1"/>
    <row r="147" ht="13.5" customHeight="1"/>
  </sheetData>
  <mergeCells count="40">
    <mergeCell ref="B45:L45"/>
    <mergeCell ref="B44:L44"/>
    <mergeCell ref="B18:L18"/>
    <mergeCell ref="B20:L20"/>
    <mergeCell ref="B21:L21"/>
    <mergeCell ref="B24:L24"/>
    <mergeCell ref="B25:L25"/>
    <mergeCell ref="B38:L38"/>
    <mergeCell ref="B39:L39"/>
    <mergeCell ref="B36:L36"/>
    <mergeCell ref="B37:L37"/>
    <mergeCell ref="I3:J3"/>
    <mergeCell ref="K3:L3"/>
    <mergeCell ref="I4:J4"/>
    <mergeCell ref="K4:L4"/>
    <mergeCell ref="I5:J5"/>
    <mergeCell ref="K5:L5"/>
    <mergeCell ref="A8:L8"/>
    <mergeCell ref="B14:L14"/>
    <mergeCell ref="B15:L16"/>
    <mergeCell ref="A15:A16"/>
    <mergeCell ref="B13:L13"/>
    <mergeCell ref="B10:L10"/>
    <mergeCell ref="B11:L11"/>
    <mergeCell ref="B17:L17"/>
    <mergeCell ref="B47:L47"/>
    <mergeCell ref="B22:L22"/>
    <mergeCell ref="B23:L23"/>
    <mergeCell ref="B34:L34"/>
    <mergeCell ref="B35:L35"/>
    <mergeCell ref="B41:L41"/>
    <mergeCell ref="B42:L42"/>
    <mergeCell ref="B26:L26"/>
    <mergeCell ref="B40:L40"/>
    <mergeCell ref="B31:L31"/>
    <mergeCell ref="B32:L32"/>
    <mergeCell ref="B33:L33"/>
    <mergeCell ref="B27:L27"/>
    <mergeCell ref="B28:L28"/>
    <mergeCell ref="B29:L29"/>
  </mergeCells>
  <phoneticPr fontId="3"/>
  <pageMargins left="0.70866141732283472" right="0.70866141732283472" top="0.74803149606299213" bottom="0.74803149606299213" header="0.31496062992125984" footer="0.31496062992125984"/>
  <pageSetup paperSize="9" scale="59" fitToHeight="0" orientation="portrait" r:id="rId1"/>
  <headerFooter>
    <oddFooter>&amp;C&amp;P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/>
  <dimension ref="A1:R303"/>
  <sheetViews>
    <sheetView zoomScale="85" zoomScaleNormal="85" zoomScaleSheetLayoutView="80" workbookViewId="0"/>
  </sheetViews>
  <sheetFormatPr defaultColWidth="9" defaultRowHeight="13.5"/>
  <cols>
    <col min="1" max="2" customWidth="true" style="190" width="2.625" collapsed="false"/>
    <col min="3" max="3" customWidth="true" style="190" width="15.625" collapsed="false"/>
    <col min="4" max="4" customWidth="true" style="190" width="21.125" collapsed="false"/>
    <col min="5" max="5" customWidth="true" style="190" width="20.25" collapsed="false"/>
    <col min="6" max="6" customWidth="true" style="190" width="17.0" collapsed="false"/>
    <col min="7" max="16" customWidth="true" style="190" width="14.625" collapsed="false"/>
    <col min="17" max="17" customWidth="true" style="190" width="14.5" collapsed="false"/>
    <col min="18" max="18" customWidth="true" style="190" width="2.875" collapsed="false"/>
    <col min="19" max="16384" style="190" width="9.0" collapsed="false"/>
  </cols>
  <sheetData>
    <row r="1" spans="1:17" ht="14.25">
      <c r="A1" s="724" t="s">
        <v>311</v>
      </c>
      <c r="B1" s="189"/>
      <c r="C1" s="755"/>
      <c r="D1" s="755"/>
      <c r="E1" s="755"/>
      <c r="F1" s="755"/>
      <c r="G1" s="755"/>
      <c r="H1" s="755"/>
    </row>
    <row r="2" spans="1:17" ht="15" thickBot="1">
      <c r="A2" s="191"/>
      <c r="J2" s="192"/>
    </row>
    <row r="3" spans="1:17" ht="14.25" thickBot="1">
      <c r="B3" s="193"/>
      <c r="P3" s="754" t="s">
        <v>67</v>
      </c>
      <c r="Q3" s="194" t="str">
        <f>保険者名</f>
        <v>川崎町</v>
      </c>
    </row>
    <row r="4" spans="1:17" ht="14.25" thickBot="1">
      <c r="B4" s="193"/>
      <c r="P4" s="628" t="s">
        <v>68</v>
      </c>
      <c r="Q4" s="195" t="str">
        <f>保険者番号</f>
        <v>04324</v>
      </c>
    </row>
    <row r="5" spans="1:17" ht="14.25" thickBot="1">
      <c r="B5" s="193"/>
      <c r="P5" s="196" t="s">
        <v>103</v>
      </c>
      <c r="Q5" s="197" t="str">
        <f>推計パターン名</f>
        <v>R8</v>
      </c>
    </row>
    <row r="6" spans="1:17">
      <c r="B6" s="193"/>
    </row>
    <row r="7" spans="1:17" ht="14.25" thickBot="1">
      <c r="A7" s="198" t="s">
        <v>356</v>
      </c>
      <c r="B7" s="193"/>
    </row>
    <row r="8" spans="1:17" ht="14.25" thickBot="1">
      <c r="A8" s="199" t="s">
        <v>357</v>
      </c>
      <c r="B8" s="200"/>
      <c r="C8" s="200"/>
      <c r="D8" s="200"/>
      <c r="E8" s="200"/>
      <c r="F8" s="689" t="n">
        <v>6508.33057624376</v>
      </c>
      <c r="G8" s="192"/>
    </row>
    <row r="9" spans="1:17">
      <c r="G9" s="192"/>
      <c r="H9" s="192"/>
      <c r="I9" s="192"/>
      <c r="J9" s="192"/>
    </row>
    <row r="10" spans="1:17" ht="14.25" thickBot="1">
      <c r="A10" s="198" t="s">
        <v>131</v>
      </c>
      <c r="B10" s="201"/>
      <c r="C10" s="201"/>
      <c r="D10" s="201"/>
      <c r="E10" s="201"/>
      <c r="F10" s="201"/>
      <c r="G10" s="201"/>
      <c r="H10" s="201"/>
      <c r="I10" s="201"/>
      <c r="J10" s="201"/>
    </row>
    <row r="11" spans="1:17" ht="14.25" thickBot="1">
      <c r="A11" s="202"/>
      <c r="B11" s="203"/>
      <c r="C11" s="203"/>
      <c r="D11" s="203"/>
      <c r="E11" s="203"/>
      <c r="F11" s="628" t="s">
        <v>351</v>
      </c>
      <c r="G11" s="670" t="s">
        <v>385</v>
      </c>
      <c r="H11" s="670" t="s">
        <v>388</v>
      </c>
      <c r="I11" s="670" t="s">
        <v>391</v>
      </c>
      <c r="J11" s="877" t="s">
        <v>394</v>
      </c>
      <c r="K11" s="878" t="s">
        <v>397</v>
      </c>
    </row>
    <row r="12" spans="1:17">
      <c r="A12" s="205" t="s">
        <v>229</v>
      </c>
      <c r="B12" s="206"/>
      <c r="C12" s="206"/>
      <c r="D12" s="206"/>
      <c r="E12" s="206"/>
      <c r="F12" s="972" t="n">
        <f>F105/F106/F214/12</f>
        <v>7194.569717450763</v>
      </c>
      <c r="G12" s="671" t="n">
        <f>J105/J106/J214/12</f>
        <v>8273.067332718418</v>
      </c>
      <c r="H12" s="671" t="n">
        <f>K105/K106/K214/12</f>
        <v>8901.415292839689</v>
      </c>
      <c r="I12" s="671" t="n">
        <f>L105/L106/L214/12</f>
        <v>9184.534830117227</v>
      </c>
      <c r="J12" s="671" t="n">
        <f>M105/M106/M214/12</f>
        <v>9531.724951207862</v>
      </c>
      <c r="K12" s="921" t="n">
        <f>N105/N106/N214/12</f>
        <v>10011.42569699317</v>
      </c>
    </row>
    <row r="13" spans="1:17">
      <c r="A13" s="207" t="s">
        <v>132</v>
      </c>
      <c r="B13" s="206"/>
      <c r="C13" s="206"/>
      <c r="D13" s="206"/>
      <c r="E13" s="206"/>
      <c r="F13" s="973" t="n">
        <f>(F105+F15)/F106/F214/12-F12</f>
        <v>0.0</v>
      </c>
      <c r="G13" s="671" t="n">
        <f>(J105+G15)/J106/J214/12-G12</f>
        <v>0.0</v>
      </c>
      <c r="H13" s="671" t="n">
        <f>(K105+H15)/K106/K214/12-H12</f>
        <v>0.0</v>
      </c>
      <c r="I13" s="671" t="n">
        <f>(L105+I15)/L106/L214/12-I12</f>
        <v>0.0</v>
      </c>
      <c r="J13" s="671" t="n">
        <f>(M105+J15)/M106/M214/12-J12</f>
        <v>0.0</v>
      </c>
      <c r="K13" s="922" t="n">
        <f>(N105+K15)/N106/N214/12-K12</f>
        <v>0.0</v>
      </c>
    </row>
    <row r="14" spans="1:17">
      <c r="A14" s="208"/>
      <c r="B14" s="209" t="s">
        <v>133</v>
      </c>
      <c r="C14" s="209"/>
      <c r="D14" s="209"/>
      <c r="E14" s="209"/>
      <c r="F14" s="978" t="n">
        <v>0.0</v>
      </c>
      <c r="G14" s="644" t="n">
        <v>0.0</v>
      </c>
      <c r="H14" s="786" t="n">
        <v>0.0</v>
      </c>
      <c r="I14" s="786" t="n">
        <v>0.0</v>
      </c>
      <c r="J14" s="786" t="n">
        <v>0.0</v>
      </c>
      <c r="K14" s="787" t="n">
        <v>0.0</v>
      </c>
    </row>
    <row r="15" spans="1:17">
      <c r="A15" s="208"/>
      <c r="B15" s="209" t="s">
        <v>134</v>
      </c>
      <c r="C15" s="209"/>
      <c r="D15" s="209"/>
      <c r="E15" s="209"/>
      <c r="F15" s="978" t="n">
        <v>0.0</v>
      </c>
      <c r="G15" s="644" t="n">
        <v>0.0</v>
      </c>
      <c r="H15" s="786" t="n">
        <v>0.0</v>
      </c>
      <c r="I15" s="786" t="n">
        <v>0.0</v>
      </c>
      <c r="J15" s="786" t="n">
        <v>0.0</v>
      </c>
      <c r="K15" s="787" t="n">
        <v>0.0</v>
      </c>
    </row>
    <row r="16" spans="1:17">
      <c r="A16" s="210"/>
      <c r="B16" s="206" t="s">
        <v>135</v>
      </c>
      <c r="C16" s="206"/>
      <c r="D16" s="206"/>
      <c r="E16" s="206"/>
      <c r="F16" s="974" t="n">
        <f>IF(F14=0,0, F15/F14)</f>
        <v>0.0</v>
      </c>
      <c r="G16" s="672" t="n">
        <f>IF(G14=0,0,G15/G14)</f>
        <v>0.0</v>
      </c>
      <c r="H16" s="788" t="n">
        <f>IF(H14=0,0,H15/H14)</f>
        <v>0.0</v>
      </c>
      <c r="I16" s="788" t="n">
        <f>IF(I14=0,0,I15/I14)</f>
        <v>0.0</v>
      </c>
      <c r="J16" s="788" t="n">
        <f>IF(J14=0,0,J15/J14)</f>
        <v>0.0</v>
      </c>
      <c r="K16" s="789" t="n">
        <f>IF(K14=0,0,K15/K14)</f>
        <v>0.0</v>
      </c>
    </row>
    <row r="17" spans="1:14">
      <c r="A17" s="207" t="s">
        <v>136</v>
      </c>
      <c r="B17" s="206"/>
      <c r="C17" s="206"/>
      <c r="D17" s="206"/>
      <c r="E17" s="206"/>
      <c r="F17" s="973" t="n">
        <f>F12-(F105-F18)/F106/F214/12</f>
        <v>0.0</v>
      </c>
      <c r="G17" s="671" t="n">
        <f>G12-(J105-G18)/J106/J214/12</f>
        <v>0.0</v>
      </c>
      <c r="H17" s="784" t="n">
        <f>H12-(K105-H18)/K106/K214/12</f>
        <v>0.0</v>
      </c>
      <c r="I17" s="784" t="n">
        <f>I12-(L105-I18)/L106/L214/12</f>
        <v>0.0</v>
      </c>
      <c r="J17" s="784" t="n">
        <f>J12-(M105-J18)/M106/M214/12</f>
        <v>0.0</v>
      </c>
      <c r="K17" s="785" t="n">
        <f>K12-(N105-K18)/N106/N214/12</f>
        <v>0.0</v>
      </c>
    </row>
    <row r="18" spans="1:14">
      <c r="A18" s="208"/>
      <c r="B18" s="206" t="s">
        <v>137</v>
      </c>
      <c r="C18" s="206"/>
      <c r="D18" s="206"/>
      <c r="E18" s="206"/>
      <c r="F18" s="973" t="n">
        <f>(F68+F86)*F19</f>
        <v>0.0</v>
      </c>
      <c r="G18" s="671" t="n">
        <f>(J68+J86)*G19</f>
        <v>0.0</v>
      </c>
      <c r="H18" s="784" t="n">
        <f>(K68+K86)*H19</f>
        <v>0.0</v>
      </c>
      <c r="I18" s="784" t="n">
        <f>(L68+L86)*I19</f>
        <v>0.0</v>
      </c>
      <c r="J18" s="784" t="n">
        <f>(M68+M86)*J19</f>
        <v>0.0</v>
      </c>
      <c r="K18" s="785" t="n">
        <f>(N68+N86)*K19</f>
        <v>0.0</v>
      </c>
    </row>
    <row r="19" spans="1:14">
      <c r="A19" s="210"/>
      <c r="B19" s="209" t="s">
        <v>138</v>
      </c>
      <c r="C19" s="209"/>
      <c r="D19" s="209"/>
      <c r="E19" s="209"/>
      <c r="F19" s="979" t="n">
        <v>0.0</v>
      </c>
      <c r="G19" s="675" t="n">
        <v>0.0</v>
      </c>
      <c r="H19" s="790" t="n">
        <v>0.0</v>
      </c>
      <c r="I19" s="790" t="n">
        <v>0.0</v>
      </c>
      <c r="J19" s="790" t="n">
        <v>0.0</v>
      </c>
      <c r="K19" s="931" t="n">
        <v>0.0</v>
      </c>
    </row>
    <row r="20" spans="1:14">
      <c r="A20" s="207" t="s">
        <v>139</v>
      </c>
      <c r="B20" s="206"/>
      <c r="C20" s="206"/>
      <c r="D20" s="206"/>
      <c r="E20" s="206"/>
      <c r="F20" s="973" t="n">
        <f>F12-(F105-F21)/F106/F214/12</f>
        <v>0.0</v>
      </c>
      <c r="G20" s="671" t="n">
        <f>G12-(J105-G21)/J106/J214/12</f>
        <v>0.0</v>
      </c>
      <c r="H20" s="784" t="n">
        <f>H12-(K105-H21)/K106/K214/12</f>
        <v>0.0</v>
      </c>
      <c r="I20" s="784" t="n">
        <f>I12-(L105-I21)/L106/L214/12</f>
        <v>0.0</v>
      </c>
      <c r="J20" s="784" t="n">
        <f>J12-(M105-J21)/M106/M214/12</f>
        <v>0.0</v>
      </c>
      <c r="K20" s="785" t="n">
        <f>K12-(N105-K21)/N106/N214/12</f>
        <v>0.0</v>
      </c>
    </row>
    <row r="21" spans="1:14">
      <c r="A21" s="211"/>
      <c r="B21" s="212" t="s">
        <v>140</v>
      </c>
      <c r="C21" s="209"/>
      <c r="D21" s="209"/>
      <c r="E21" s="209"/>
      <c r="F21" s="980" t="n">
        <v>0.0</v>
      </c>
      <c r="G21" s="644" t="n">
        <v>0.0</v>
      </c>
      <c r="H21" s="786" t="n">
        <v>0.0</v>
      </c>
      <c r="I21" s="786" t="n">
        <v>0.0</v>
      </c>
      <c r="J21" s="786" t="n">
        <v>0.0</v>
      </c>
      <c r="K21" s="787" t="n">
        <v>0.0</v>
      </c>
    </row>
    <row r="22" spans="1:14" ht="14.25" thickBot="1">
      <c r="A22" s="213" t="s">
        <v>358</v>
      </c>
      <c r="B22" s="214"/>
      <c r="C22" s="214"/>
      <c r="D22" s="214"/>
      <c r="E22" s="214"/>
      <c r="F22" s="976" t="n">
        <f>F12/$F$8-1</f>
        <v>0.1054401175797468</v>
      </c>
      <c r="G22" s="674" t="n">
        <f t="shared" ref="G22:K22" si="0">G12/ROUND($F$8,0)-1</f>
        <v>0.2712150173199781</v>
      </c>
      <c r="H22" s="791" t="n">
        <f t="shared" si="0"/>
        <v>0.3677651033865532</v>
      </c>
      <c r="I22" s="791" t="n">
        <f t="shared" si="0"/>
        <v>0.4112684127408155</v>
      </c>
      <c r="J22" s="791" t="n">
        <f t="shared" si="0"/>
        <v>0.4646166181942013</v>
      </c>
      <c r="K22" s="792" t="n">
        <f t="shared" si="0"/>
        <v>0.538326013674427</v>
      </c>
    </row>
    <row r="24" spans="1:14" ht="14.25" thickBot="1">
      <c r="A24" s="198" t="s">
        <v>141</v>
      </c>
      <c r="B24" s="201"/>
      <c r="C24" s="201"/>
      <c r="D24" s="201"/>
      <c r="E24" s="201"/>
      <c r="F24" s="201"/>
      <c r="G24" s="201"/>
      <c r="H24" s="201"/>
      <c r="I24" s="201"/>
      <c r="J24" s="201"/>
    </row>
    <row r="25" spans="1:14" ht="14.25" thickBot="1">
      <c r="A25" s="202"/>
      <c r="B25" s="203"/>
      <c r="C25" s="203"/>
      <c r="D25" s="203"/>
      <c r="E25" s="203"/>
      <c r="F25" s="628" t="s">
        <v>351</v>
      </c>
      <c r="G25" s="670" t="s">
        <v>385</v>
      </c>
      <c r="H25" s="670" t="s">
        <v>388</v>
      </c>
      <c r="I25" s="670" t="s">
        <v>391</v>
      </c>
      <c r="J25" s="893" t="s">
        <v>394</v>
      </c>
      <c r="K25" s="764" t="s">
        <v>397</v>
      </c>
    </row>
    <row r="26" spans="1:14">
      <c r="A26" s="205" t="s">
        <v>229</v>
      </c>
      <c r="B26" s="206"/>
      <c r="C26" s="206"/>
      <c r="D26" s="206"/>
      <c r="E26" s="206"/>
      <c r="F26" s="972" t="str">
        <f>IFERROR(F105/F106/F215/12,"－")</f>
        <v>－</v>
      </c>
      <c r="G26" s="671" t="str">
        <f>IFERROR(J105/J106/J215/12,"－")</f>
        <v>－</v>
      </c>
      <c r="H26" s="784" t="str">
        <f>IFERROR(K105/K106/K215/12,"－")</f>
        <v>－</v>
      </c>
      <c r="I26" s="784" t="str">
        <f>IFERROR(L105/L106/L215/12,"－")</f>
        <v>－</v>
      </c>
      <c r="J26" s="784" t="str">
        <f>IFERROR(M105/M106/M215/12,"－")</f>
        <v>－</v>
      </c>
      <c r="K26" s="932" t="str">
        <f>IFERROR(N105/N106/N215/12,"－")</f>
        <v>－</v>
      </c>
      <c r="M26" s="215"/>
      <c r="N26" s="215"/>
    </row>
    <row r="27" spans="1:14">
      <c r="A27" s="207" t="s">
        <v>132</v>
      </c>
      <c r="B27" s="206"/>
      <c r="C27" s="206"/>
      <c r="D27" s="206"/>
      <c r="E27" s="206"/>
      <c r="F27" s="973" t="str">
        <f>IFERROR((F105+F29)/F106/F215/12-F26,"－")</f>
        <v>－</v>
      </c>
      <c r="G27" s="671" t="str">
        <f>IFERROR((J105+G29)/J106/J215/12-G26,"－")</f>
        <v>－</v>
      </c>
      <c r="H27" s="784" t="str">
        <f>IFERROR((K105+H29)/K106/K215/12-H26,"－")</f>
        <v>－</v>
      </c>
      <c r="I27" s="784" t="str">
        <f>IFERROR((L105+I29)/L106/L215/12-I26,"－")</f>
        <v>－</v>
      </c>
      <c r="J27" s="784" t="str">
        <f>IFERROR((M105+J29)/M106/M215/12-J26,"－")</f>
        <v>－</v>
      </c>
      <c r="K27" s="785" t="str">
        <f>IFERROR((N105+K29)/N106/N215/12-K26,"－")</f>
        <v>－</v>
      </c>
      <c r="M27" s="215"/>
      <c r="N27" s="745"/>
    </row>
    <row r="28" spans="1:14">
      <c r="A28" s="208"/>
      <c r="B28" s="206" t="s">
        <v>133</v>
      </c>
      <c r="C28" s="206"/>
      <c r="D28" s="206"/>
      <c r="E28" s="206"/>
      <c r="F28" s="973" t="str">
        <f t="shared" ref="F28:K28" si="1">IF(F26="－","－",F14)</f>
        <v>－</v>
      </c>
      <c r="G28" s="671" t="str">
        <f t="shared" si="1"/>
        <v>－</v>
      </c>
      <c r="H28" s="784" t="str">
        <f t="shared" si="1"/>
        <v>－</v>
      </c>
      <c r="I28" s="784" t="str">
        <f t="shared" si="1"/>
        <v>－</v>
      </c>
      <c r="J28" s="784" t="str">
        <f t="shared" si="1"/>
        <v>－</v>
      </c>
      <c r="K28" s="785" t="str">
        <f t="shared" si="1"/>
        <v>－</v>
      </c>
      <c r="M28" s="215"/>
    </row>
    <row r="29" spans="1:14">
      <c r="A29" s="208"/>
      <c r="B29" s="206" t="s">
        <v>134</v>
      </c>
      <c r="C29" s="206"/>
      <c r="D29" s="206"/>
      <c r="E29" s="206"/>
      <c r="F29" s="973" t="str">
        <f t="shared" ref="F29:K29" si="2">IF(F26="－","－",F15)</f>
        <v>－</v>
      </c>
      <c r="G29" s="671" t="str">
        <f t="shared" si="2"/>
        <v>－</v>
      </c>
      <c r="H29" s="784" t="str">
        <f t="shared" si="2"/>
        <v>－</v>
      </c>
      <c r="I29" s="784" t="str">
        <f t="shared" si="2"/>
        <v>－</v>
      </c>
      <c r="J29" s="784" t="str">
        <f t="shared" si="2"/>
        <v>－</v>
      </c>
      <c r="K29" s="785" t="str">
        <f t="shared" si="2"/>
        <v>－</v>
      </c>
      <c r="M29" s="215"/>
      <c r="N29" s="215"/>
    </row>
    <row r="30" spans="1:14">
      <c r="A30" s="210"/>
      <c r="B30" s="206" t="s">
        <v>135</v>
      </c>
      <c r="C30" s="206"/>
      <c r="D30" s="206"/>
      <c r="E30" s="206"/>
      <c r="F30" s="974" t="str">
        <f>IFERROR(F29/F28,"－")</f>
        <v>－</v>
      </c>
      <c r="G30" s="672" t="str">
        <f>IFERROR(G29/G28,"－")</f>
        <v>－</v>
      </c>
      <c r="H30" s="788" t="str">
        <f t="shared" ref="H30:I30" si="3">IFERROR(H29/H28,"－")</f>
        <v>－</v>
      </c>
      <c r="I30" s="788" t="str">
        <f t="shared" si="3"/>
        <v>－</v>
      </c>
      <c r="J30" s="788" t="str">
        <f t="shared" ref="J30:K30" si="4">IFERROR(J29/J28,"－")</f>
        <v>－</v>
      </c>
      <c r="K30" s="789" t="str">
        <f t="shared" si="4"/>
        <v>－</v>
      </c>
    </row>
    <row r="31" spans="1:14">
      <c r="A31" s="207" t="s">
        <v>136</v>
      </c>
      <c r="B31" s="206"/>
      <c r="C31" s="206"/>
      <c r="D31" s="206"/>
      <c r="E31" s="206"/>
      <c r="F31" s="973" t="str">
        <f>IFERROR(F26-(F105-F32)/F106/F215/12,"－")</f>
        <v>－</v>
      </c>
      <c r="G31" s="671" t="str">
        <f>IFERROR(G26-(J105-G32)/J106/J215/12,"－")</f>
        <v>－</v>
      </c>
      <c r="H31" s="784" t="str">
        <f>IFERROR(H26-(K105-H32)/K106/K215/12,"－")</f>
        <v>－</v>
      </c>
      <c r="I31" s="784" t="str">
        <f>IFERROR(I26-(L105-I32)/L106/L215/12,"－")</f>
        <v>－</v>
      </c>
      <c r="J31" s="784" t="str">
        <f>IFERROR(J26-(M105-J32)/M106/M215/12,"－")</f>
        <v>－</v>
      </c>
      <c r="K31" s="785" t="str">
        <f>IFERROR(K26-(N105-K32)/N106/N215/12,"－")</f>
        <v>－</v>
      </c>
    </row>
    <row r="32" spans="1:14">
      <c r="A32" s="208"/>
      <c r="B32" s="206" t="s">
        <v>137</v>
      </c>
      <c r="C32" s="206"/>
      <c r="D32" s="206"/>
      <c r="E32" s="206"/>
      <c r="F32" s="973" t="str">
        <f>IF(F26="－","－",(F68+F86)*F33)</f>
        <v>－</v>
      </c>
      <c r="G32" s="671" t="str">
        <f>IF(G26="－","－",(J68+J86)*G33)</f>
        <v>－</v>
      </c>
      <c r="H32" s="784" t="str">
        <f>IF(H26="－","－",(K68+K86)*H33)</f>
        <v>－</v>
      </c>
      <c r="I32" s="784" t="str">
        <f>IF(I26="－","－",(L68+L86)*I33)</f>
        <v>－</v>
      </c>
      <c r="J32" s="784" t="str">
        <f>IF(J26="－","－",(M68+M86)*J33)</f>
        <v>－</v>
      </c>
      <c r="K32" s="785" t="str">
        <f>IF(K26="－","－",(N68+N86)*K33)</f>
        <v>－</v>
      </c>
    </row>
    <row r="33" spans="1:17">
      <c r="A33" s="210"/>
      <c r="B33" s="206" t="s">
        <v>138</v>
      </c>
      <c r="C33" s="206"/>
      <c r="D33" s="206"/>
      <c r="E33" s="206"/>
      <c r="F33" s="975" t="str">
        <f t="shared" ref="F33:K33" si="5">IF(F26="－","－",F19)</f>
        <v>－</v>
      </c>
      <c r="G33" s="673" t="str">
        <f t="shared" si="5"/>
        <v>－</v>
      </c>
      <c r="H33" s="793" t="str">
        <f t="shared" si="5"/>
        <v>－</v>
      </c>
      <c r="I33" s="793" t="str">
        <f t="shared" si="5"/>
        <v>－</v>
      </c>
      <c r="J33" s="793" t="str">
        <f t="shared" si="5"/>
        <v>－</v>
      </c>
      <c r="K33" s="794" t="str">
        <f t="shared" si="5"/>
        <v>－</v>
      </c>
    </row>
    <row r="34" spans="1:17">
      <c r="A34" s="207" t="s">
        <v>139</v>
      </c>
      <c r="B34" s="206"/>
      <c r="C34" s="206"/>
      <c r="D34" s="206"/>
      <c r="E34" s="206"/>
      <c r="F34" s="973" t="str">
        <f>IFERROR(F26-(F105-F35)/F106/F215/12,"－")</f>
        <v>－</v>
      </c>
      <c r="G34" s="671" t="str">
        <f>IFERROR(G26-(J105-G35)/J106/J215/12,"－")</f>
        <v>－</v>
      </c>
      <c r="H34" s="784" t="str">
        <f>IFERROR(H26-(K105-H35)/K106/K215/12,"－")</f>
        <v>－</v>
      </c>
      <c r="I34" s="784" t="str">
        <f>IFERROR(I26-(L105-I35)/L106/L215/12,"－")</f>
        <v>－</v>
      </c>
      <c r="J34" s="784" t="str">
        <f>IFERROR(J26-(M105-J35)/M106/M215/12,"－")</f>
        <v>－</v>
      </c>
      <c r="K34" s="785" t="str">
        <f>IFERROR(K26-(N105-K35)/N106/N215/12,"－")</f>
        <v>－</v>
      </c>
    </row>
    <row r="35" spans="1:17">
      <c r="A35" s="211"/>
      <c r="B35" s="216" t="s">
        <v>140</v>
      </c>
      <c r="C35" s="206"/>
      <c r="D35" s="206"/>
      <c r="E35" s="206"/>
      <c r="F35" s="973" t="str">
        <f t="shared" ref="F35:K35" si="6">IF(F26="－","－",F21)</f>
        <v>－</v>
      </c>
      <c r="G35" s="671" t="str">
        <f t="shared" si="6"/>
        <v>－</v>
      </c>
      <c r="H35" s="784" t="str">
        <f t="shared" si="6"/>
        <v>－</v>
      </c>
      <c r="I35" s="784" t="str">
        <f t="shared" si="6"/>
        <v>－</v>
      </c>
      <c r="J35" s="784" t="str">
        <f t="shared" si="6"/>
        <v>－</v>
      </c>
      <c r="K35" s="785" t="str">
        <f t="shared" si="6"/>
        <v>－</v>
      </c>
    </row>
    <row r="36" spans="1:17" ht="14.25" thickBot="1">
      <c r="A36" s="213" t="s">
        <v>359</v>
      </c>
      <c r="B36" s="214"/>
      <c r="C36" s="214"/>
      <c r="D36" s="214"/>
      <c r="E36" s="214"/>
      <c r="F36" s="976" t="str">
        <f>IFERROR(F26/$F$8-1,"－")</f>
        <v>－</v>
      </c>
      <c r="G36" s="674" t="str">
        <f t="shared" ref="G36:K36" si="7">IFERROR(G26/ROUND($F$8,0)-1,"－")</f>
        <v>－</v>
      </c>
      <c r="H36" s="791" t="str">
        <f t="shared" si="7"/>
        <v>－</v>
      </c>
      <c r="I36" s="791" t="str">
        <f t="shared" si="7"/>
        <v>－</v>
      </c>
      <c r="J36" s="791" t="str">
        <f t="shared" si="7"/>
        <v>－</v>
      </c>
      <c r="K36" s="792" t="str">
        <f t="shared" si="7"/>
        <v>－</v>
      </c>
    </row>
    <row r="37" spans="1:17">
      <c r="A37" s="198"/>
      <c r="B37" s="201"/>
      <c r="C37" s="201"/>
      <c r="D37" s="201"/>
      <c r="E37" s="201"/>
      <c r="F37" s="201"/>
      <c r="G37" s="201"/>
      <c r="H37" s="201"/>
      <c r="I37" s="201"/>
      <c r="J37" s="201"/>
    </row>
    <row r="38" spans="1:17" ht="14.25" thickBot="1">
      <c r="A38" s="198" t="s">
        <v>142</v>
      </c>
      <c r="B38" s="201"/>
      <c r="C38" s="201"/>
      <c r="D38" s="201"/>
      <c r="E38" s="201"/>
      <c r="F38" s="201"/>
      <c r="G38" s="201"/>
      <c r="H38" s="201"/>
      <c r="I38" s="201"/>
      <c r="J38" s="201"/>
    </row>
    <row r="39" spans="1:17">
      <c r="A39" s="125"/>
      <c r="B39" s="217"/>
      <c r="C39" s="217"/>
      <c r="D39" s="217"/>
      <c r="E39" s="218"/>
      <c r="F39" s="676" t="s">
        <v>80</v>
      </c>
      <c r="G39" s="677"/>
      <c r="H39" s="677"/>
      <c r="I39" s="677"/>
      <c r="J39" s="678"/>
      <c r="K39" s="678"/>
      <c r="L39" s="679" t="s">
        <v>143</v>
      </c>
      <c r="M39" s="677"/>
      <c r="N39" s="677"/>
      <c r="O39" s="677"/>
      <c r="P39" s="680"/>
      <c r="Q39" s="680"/>
    </row>
    <row r="40" spans="1:17">
      <c r="A40" s="219"/>
      <c r="B40" s="220"/>
      <c r="C40" s="220"/>
      <c r="D40" s="220"/>
      <c r="E40" s="221"/>
      <c r="F40" s="632" t="s">
        <v>351</v>
      </c>
      <c r="G40" s="681" t="s">
        <v>384</v>
      </c>
      <c r="H40" s="681" t="s">
        <v>387</v>
      </c>
      <c r="I40" s="681" t="s">
        <v>390</v>
      </c>
      <c r="J40" s="795" t="s">
        <v>393</v>
      </c>
      <c r="K40" s="795" t="s">
        <v>396</v>
      </c>
      <c r="L40" s="126" t="s">
        <v>352</v>
      </c>
      <c r="M40" s="681" t="s">
        <v>384</v>
      </c>
      <c r="N40" s="681" t="s">
        <v>387</v>
      </c>
      <c r="O40" s="681" t="s">
        <v>390</v>
      </c>
      <c r="P40" s="795" t="s">
        <v>393</v>
      </c>
      <c r="Q40" s="796" t="s">
        <v>396</v>
      </c>
    </row>
    <row r="41" spans="1:17">
      <c r="A41" s="84" t="s">
        <v>64</v>
      </c>
      <c r="B41" s="84"/>
      <c r="C41" s="34"/>
      <c r="D41" s="127"/>
      <c r="E41" s="222"/>
      <c r="F41" s="977" t="n">
        <f>(F69*'(参考)保険料の推計に要する係数'!D5+(F93-F94))/(F214*F106*12)</f>
        <v>6328.73216175602</v>
      </c>
      <c r="G41" s="682" t="n">
        <f>(J69*'(参考)保険料の推計に要する係数'!E5+(J93-J94))/(J214*J106*12)</f>
        <v>7380.376768459942</v>
      </c>
      <c r="H41" s="682" t="n">
        <f>(K69*'(参考)保険料の推計に要する係数'!F5+(K93-K94))/(K214*K106*12)</f>
        <v>7862.602003980988</v>
      </c>
      <c r="I41" s="682" t="n">
        <f>(L69*'(参考)保険料の推計に要する係数'!G5+(L93-L94))/(L214*L106*12)</f>
        <v>8001.685520815531</v>
      </c>
      <c r="J41" s="682" t="n">
        <f>(M69*'(参考)保険料の推計に要する係数'!H5+(M93-M94))/(M214*M106*12)</f>
        <v>8262.87275164942</v>
      </c>
      <c r="K41" s="682" t="n">
        <f>(N69*'(参考)保険料の推計に要する係数'!I5+(N93-N94))/(N214*N106*12)</f>
        <v>8762.925064473256</v>
      </c>
      <c r="L41" s="684" t="n">
        <f t="shared" ref="L41:L51" si="8">F41/$F$49</f>
        <v>0.8796540182806745</v>
      </c>
      <c r="M41" s="684" t="n">
        <f>G41/$G$49</f>
        <v>0.8920967848613955</v>
      </c>
      <c r="N41" s="684" t="n">
        <f>H41/$H$49</f>
        <v>0.8832979638985808</v>
      </c>
      <c r="O41" s="684" t="n">
        <f>I41/$I$49</f>
        <v>0.8712129322627222</v>
      </c>
      <c r="P41" s="684" t="n">
        <f>J41/$J$49</f>
        <v>0.8668811567629583</v>
      </c>
      <c r="Q41" s="934" t="n">
        <f>K41/$K$49</f>
        <v>0.8752924238457976</v>
      </c>
    </row>
    <row r="42" spans="1:17">
      <c r="A42" s="84"/>
      <c r="B42" s="35" t="s">
        <v>70</v>
      </c>
      <c r="C42" s="128"/>
      <c r="D42" s="223"/>
      <c r="E42" s="224"/>
      <c r="F42" s="977" t="n">
        <f>$F$41*SUM('2_サービス別給付費'!G151:I151)/SUM('2_サービス別給付費'!$G$150:$I$150)</f>
        <v>2107.19115367877</v>
      </c>
      <c r="G42" s="682" t="n">
        <f>$G$41*SUM('2_サービス別給付費'!J151)/SUM('2_サービス別給付費'!$J$150)</f>
        <v>2269.4171914207054</v>
      </c>
      <c r="H42" s="682" t="n">
        <f>$H$41*SUM('2_サービス別給付費'!K151)/SUM('2_サービス別給付費'!$K$150)</f>
        <v>2484.1202245552045</v>
      </c>
      <c r="I42" s="682" t="n">
        <f>$I$41*SUM('2_サービス別給付費'!L151)/SUM('2_サービス別給付費'!$L$150)</f>
        <v>2451.312948730601</v>
      </c>
      <c r="J42" s="682" t="n">
        <f>$J$41*SUM('2_サービス別給付費'!M151)/SUM('2_サービス別給付費'!$M$150)</f>
        <v>2498.945379991346</v>
      </c>
      <c r="K42" s="682" t="n">
        <f>$K$41*SUM('2_サービス別給付費'!N151)/SUM('2_サービス別給付費'!$N$150)</f>
        <v>2649.76457184554</v>
      </c>
      <c r="L42" s="684" t="n">
        <f t="shared" si="8"/>
        <v>0.29288633461535307</v>
      </c>
      <c r="M42" s="684" t="n">
        <f t="shared" ref="M42:M51" si="9">G42/$G$49</f>
        <v>0.274313879018679</v>
      </c>
      <c r="N42" s="684" t="n">
        <f t="shared" ref="N42:N51" si="10">H42/$H$49</f>
        <v>0.27907025375542627</v>
      </c>
      <c r="O42" s="684" t="n">
        <f t="shared" ref="O42:O51" si="11">I42/$I$49</f>
        <v>0.2668957104602013</v>
      </c>
      <c r="P42" s="684" t="n">
        <f t="shared" ref="P42:P51" si="12">J42/$J$49</f>
        <v>0.2621713690631285</v>
      </c>
      <c r="Q42" s="934" t="n">
        <f t="shared" ref="Q42:Q51" si="13">K42/$K$49</f>
        <v>0.2646740486363865</v>
      </c>
    </row>
    <row r="43" spans="1:17">
      <c r="A43" s="84"/>
      <c r="B43" s="35" t="s">
        <v>81</v>
      </c>
      <c r="C43" s="128"/>
      <c r="D43" s="223"/>
      <c r="E43" s="224"/>
      <c r="F43" s="977" t="n">
        <f>$F$41*SUM('2_サービス別給付費'!G152:I152)/SUM('2_サービス別給付費'!$G$150:$I$150)</f>
        <v>579.8588772266371</v>
      </c>
      <c r="G43" s="682" t="n">
        <f>$G$41*SUM('2_サービス別給付費'!J152)/SUM('2_サービス別給付費'!$J$150)</f>
        <v>667.2441796406177</v>
      </c>
      <c r="H43" s="682" t="n">
        <f>$H$41*SUM('2_サービス別給付費'!K152)/SUM('2_サービス別給付費'!$K$150)</f>
        <v>725.3813860950755</v>
      </c>
      <c r="I43" s="682" t="n">
        <f>$I$41*SUM('2_サービス別給付費'!L152)/SUM('2_サービス別給付費'!$L$150)</f>
        <v>696.5995948279974</v>
      </c>
      <c r="J43" s="682" t="n">
        <f>$J$41*SUM('2_サービス別給付費'!M152)/SUM('2_サービス別給付費'!$M$150)</f>
        <v>706.4478965846013</v>
      </c>
      <c r="K43" s="682" t="n">
        <f>$K$41*SUM('2_サービス別給付費'!N152)/SUM('2_サービス別給付費'!$N$150)</f>
        <v>714.8282990334089</v>
      </c>
      <c r="L43" s="684" t="n">
        <f t="shared" si="8"/>
        <v>0.0805967417092592</v>
      </c>
      <c r="M43" s="684" t="n">
        <f t="shared" si="9"/>
        <v>0.0806525745296177</v>
      </c>
      <c r="N43" s="684" t="n">
        <f t="shared" si="10"/>
        <v>0.0814905677615753</v>
      </c>
      <c r="O43" s="684" t="n">
        <f t="shared" si="11"/>
        <v>0.07584484219535662</v>
      </c>
      <c r="P43" s="684" t="n">
        <f t="shared" si="12"/>
        <v>0.07411543033405306</v>
      </c>
      <c r="Q43" s="934" t="n">
        <f t="shared" si="13"/>
        <v>0.0714012489997404</v>
      </c>
    </row>
    <row r="44" spans="1:17">
      <c r="A44" s="84"/>
      <c r="B44" s="35" t="s">
        <v>71</v>
      </c>
      <c r="C44" s="127"/>
      <c r="D44" s="225"/>
      <c r="E44" s="222"/>
      <c r="F44" s="977" t="n">
        <f>$F$41*SUM('2_サービス別給付費'!G153:I153)/SUM('2_サービス別給付費'!$G$150:$I$150)</f>
        <v>3641.6821308506123</v>
      </c>
      <c r="G44" s="682" t="n">
        <f>$G$41*SUM('2_サービス別給付費'!J153)/SUM('2_サービス別給付費'!$J$150)</f>
        <v>4443.715397398618</v>
      </c>
      <c r="H44" s="682" t="n">
        <f>$H$41*SUM('2_サービス別給付費'!K153)/SUM('2_サービス別給付費'!$K$150)</f>
        <v>4653.100393330708</v>
      </c>
      <c r="I44" s="682" t="n">
        <f>$I$41*SUM('2_サービス別給付費'!L153)/SUM('2_サービス別給付費'!$L$150)</f>
        <v>4853.772977256933</v>
      </c>
      <c r="J44" s="682" t="n">
        <f>$J$41*SUM('2_サービス別給付費'!M153)/SUM('2_サービス別給付費'!$M$150)</f>
        <v>5057.479475073473</v>
      </c>
      <c r="K44" s="682" t="n">
        <f>$K$41*SUM('2_サービス別給付費'!N153)/SUM('2_サービス別給付費'!$N$150)</f>
        <v>5398.332193594308</v>
      </c>
      <c r="L44" s="684" t="n">
        <f t="shared" si="8"/>
        <v>0.5061709419560622</v>
      </c>
      <c r="M44" s="684" t="n">
        <f t="shared" si="9"/>
        <v>0.5371303313130987</v>
      </c>
      <c r="N44" s="684" t="n">
        <f t="shared" si="10"/>
        <v>0.5227371423815792</v>
      </c>
      <c r="O44" s="684" t="n">
        <f t="shared" si="11"/>
        <v>0.5284723796071643</v>
      </c>
      <c r="P44" s="684" t="n">
        <f t="shared" si="12"/>
        <v>0.5305943573657768</v>
      </c>
      <c r="Q44" s="934" t="n">
        <f t="shared" si="13"/>
        <v>0.5392171262096708</v>
      </c>
    </row>
    <row r="45" spans="1:17">
      <c r="A45" s="129" t="s">
        <v>82</v>
      </c>
      <c r="B45" s="129"/>
      <c r="C45" s="128"/>
      <c r="D45" s="223"/>
      <c r="E45" s="224"/>
      <c r="F45" s="977" t="n">
        <f>((F75+F78+F81+F82)*'(参考)保険料の推計に要する係数'!D5+F85)/(F214*F106*12)</f>
        <v>554.0672202497673</v>
      </c>
      <c r="G45" s="682" t="n">
        <f>((J75+J78+J81+J82)*'(参考)保険料の推計に要する係数'!E5+J85)/(J214*J106*12)</f>
        <v>597.7088192105037</v>
      </c>
      <c r="H45" s="682" t="n">
        <f>((K75+K78+K81+K82)*'(参考)保険料の推計に要する係数'!F5+K85)/(K214*K106*12)</f>
        <v>726.4481506270417</v>
      </c>
      <c r="I45" s="682" t="n">
        <f>((L75+L78+L81+L82)*'(参考)保険料の推計に要する係数'!G5+L85)/(L214*L106*12)</f>
        <v>857.0544156920511</v>
      </c>
      <c r="J45" s="682" t="n">
        <f>((M75+M78+M81+M82)*'(参考)保険料の推計に要する係数'!H5+M85)/(M214*M106*12)</f>
        <v>930.4781445979402</v>
      </c>
      <c r="K45" s="682" t="n">
        <f>((N75+N78+N81+N82)*'(参考)保険料の推計に要する係数'!I5+N85)/(N214*N106*12)</f>
        <v>898.8636485655411</v>
      </c>
      <c r="L45" s="684" t="n">
        <f t="shared" si="8"/>
        <v>0.07701186339272682</v>
      </c>
      <c r="M45" s="684" t="n">
        <f t="shared" si="9"/>
        <v>0.0722475467891671</v>
      </c>
      <c r="N45" s="684" t="n">
        <f t="shared" si="10"/>
        <v>0.08161040988744762</v>
      </c>
      <c r="O45" s="684" t="n">
        <f t="shared" si="11"/>
        <v>0.09331495078897885</v>
      </c>
      <c r="P45" s="684" t="n">
        <f t="shared" si="12"/>
        <v>0.09761907203166098</v>
      </c>
      <c r="Q45" s="934" t="n">
        <f t="shared" si="13"/>
        <v>0.08978378062931693</v>
      </c>
    </row>
    <row r="46" spans="1:17">
      <c r="A46" s="129" t="s">
        <v>83</v>
      </c>
      <c r="B46" s="226"/>
      <c r="C46" s="223"/>
      <c r="D46" s="223"/>
      <c r="E46" s="224"/>
      <c r="F46" s="977" t="n">
        <f>F86*'(参考)保険料の推計に要する係数'!D5/(F214*F106*12)</f>
        <v>311.77033544497465</v>
      </c>
      <c r="G46" s="682" t="n">
        <f>J86*'(参考)保険料の推計に要する係数'!E5/(J214*J106*12)</f>
        <v>294.98174504797294</v>
      </c>
      <c r="H46" s="682" t="n">
        <f>K86*'(参考)保険料の推計に要する係数'!F5/(K214*K106*12)</f>
        <v>312.3651382316597</v>
      </c>
      <c r="I46" s="682" t="n">
        <f>L86*'(参考)保険料の推計に要する係数'!G5/(L214*L106*12)</f>
        <v>325.7948936096436</v>
      </c>
      <c r="J46" s="682" t="n">
        <f>M86*'(参考)保険料の推計に要する係数'!H5/(M214*M106*12)</f>
        <v>338.3740549604982</v>
      </c>
      <c r="K46" s="682" t="n">
        <f>N86*'(参考)保険料の推計に要する係数'!I5/(N214*N106*12)</f>
        <v>349.6369839543723</v>
      </c>
      <c r="L46" s="684" t="n">
        <f t="shared" si="8"/>
        <v>0.043334118326598635</v>
      </c>
      <c r="M46" s="684" t="n">
        <f t="shared" si="9"/>
        <v>0.035655668349437446</v>
      </c>
      <c r="N46" s="684" t="n">
        <f t="shared" si="10"/>
        <v>0.03509162621397146</v>
      </c>
      <c r="O46" s="684" t="n">
        <f t="shared" si="11"/>
        <v>0.03547211694829899</v>
      </c>
      <c r="P46" s="684" t="n">
        <f t="shared" si="12"/>
        <v>0.035499771205380774</v>
      </c>
      <c r="Q46" s="934" t="n">
        <f t="shared" si="13"/>
        <v>0.03492379552488535</v>
      </c>
    </row>
    <row r="47" spans="1:17">
      <c r="A47" s="129" t="s">
        <v>84</v>
      </c>
      <c r="B47" s="226"/>
      <c r="C47" s="223"/>
      <c r="D47" s="223"/>
      <c r="E47" s="224"/>
      <c r="F47" s="977" t="n">
        <f>(F18+F21)/(F214*F106*12)</f>
        <v>0.0</v>
      </c>
      <c r="G47" s="682" t="n">
        <f>(G18+G21)/(J214*J106*12)</f>
        <v>0.0</v>
      </c>
      <c r="H47" s="682" t="n">
        <f>(H18+H21)/(K214*K106*12)</f>
        <v>0.0</v>
      </c>
      <c r="I47" s="682" t="n">
        <f>(I18+I21)/(L214*L106*12)</f>
        <v>0.0</v>
      </c>
      <c r="J47" s="682" t="n">
        <f>(J18+J21)/(M214*M106*12)</f>
        <v>0.0</v>
      </c>
      <c r="K47" s="682" t="n">
        <f>(K18+K21)/(N214*N106*12)</f>
        <v>0.0</v>
      </c>
      <c r="L47" s="684" t="n">
        <f t="shared" si="8"/>
        <v>0.0</v>
      </c>
      <c r="M47" s="684" t="n">
        <f t="shared" si="9"/>
        <v>0.0</v>
      </c>
      <c r="N47" s="684" t="n">
        <f t="shared" si="10"/>
        <v>0.0</v>
      </c>
      <c r="O47" s="684" t="n">
        <f t="shared" si="11"/>
        <v>0.0</v>
      </c>
      <c r="P47" s="684" t="n">
        <f t="shared" si="12"/>
        <v>0.0</v>
      </c>
      <c r="Q47" s="934" t="n">
        <f t="shared" si="13"/>
        <v>0.0</v>
      </c>
    </row>
    <row r="48" spans="1:17">
      <c r="A48" s="129" t="s">
        <v>85</v>
      </c>
      <c r="B48" s="129"/>
      <c r="C48" s="128"/>
      <c r="D48" s="128"/>
      <c r="E48" s="224"/>
      <c r="F48" s="977" t="n">
        <f>(F102+F103-F104)/(F214*F106*12)</f>
        <v>0.0</v>
      </c>
      <c r="G48" s="682" t="n">
        <f>(J102+J103-J104)/(J214*J106*12)</f>
        <v>0.0</v>
      </c>
      <c r="H48" s="682" t="n">
        <f>(K102+K103-K104)/(K214*K106*12)</f>
        <v>0.0</v>
      </c>
      <c r="I48" s="682" t="n">
        <f>(L102+L103-L104)/(L214*L106*12)</f>
        <v>0.0</v>
      </c>
      <c r="J48" s="682" t="n">
        <f>(M102+M103-M104)/(M214*M106*12)</f>
        <v>0.0</v>
      </c>
      <c r="K48" s="682" t="n">
        <f>(N102+N103-N104)/(N214*N106*12)</f>
        <v>0.0</v>
      </c>
      <c r="L48" s="684" t="n">
        <f t="shared" si="8"/>
        <v>0.0</v>
      </c>
      <c r="M48" s="684" t="n">
        <f t="shared" si="9"/>
        <v>0.0</v>
      </c>
      <c r="N48" s="684" t="n">
        <f t="shared" si="10"/>
        <v>0.0</v>
      </c>
      <c r="O48" s="684" t="n">
        <f t="shared" si="11"/>
        <v>0.0</v>
      </c>
      <c r="P48" s="684" t="n">
        <f t="shared" si="12"/>
        <v>0.0</v>
      </c>
      <c r="Q48" s="934" t="n">
        <f t="shared" si="13"/>
        <v>0.0</v>
      </c>
    </row>
    <row r="49" spans="1:17">
      <c r="A49" s="129" t="s">
        <v>86</v>
      </c>
      <c r="B49" s="129"/>
      <c r="C49" s="128"/>
      <c r="D49" s="128"/>
      <c r="E49" s="224"/>
      <c r="F49" s="977" t="n">
        <f>F41+SUM(F45:F48)</f>
        <v>7194.569717450762</v>
      </c>
      <c r="G49" s="682" t="n">
        <f>G41+SUM(G45:G48)</f>
        <v>8273.067332718418</v>
      </c>
      <c r="H49" s="682" t="n">
        <f t="shared" ref="H49:K49" si="14">H41+SUM(H45:H48)</f>
        <v>8901.41529283969</v>
      </c>
      <c r="I49" s="682" t="n">
        <f t="shared" si="14"/>
        <v>9184.534830117225</v>
      </c>
      <c r="J49" s="682" t="n">
        <f t="shared" si="14"/>
        <v>9531.724951207858</v>
      </c>
      <c r="K49" s="682" t="n">
        <f t="shared" si="14"/>
        <v>10011.42569699317</v>
      </c>
      <c r="L49" s="684" t="n">
        <f t="shared" si="8"/>
        <v>1.0</v>
      </c>
      <c r="M49" s="684" t="n">
        <f t="shared" si="9"/>
        <v>1.0</v>
      </c>
      <c r="N49" s="684" t="n">
        <f t="shared" si="10"/>
        <v>1.0</v>
      </c>
      <c r="O49" s="684" t="n">
        <f t="shared" si="11"/>
        <v>1.0</v>
      </c>
      <c r="P49" s="684" t="n">
        <f t="shared" si="12"/>
        <v>1.0</v>
      </c>
      <c r="Q49" s="934" t="n">
        <f t="shared" si="13"/>
        <v>1.0</v>
      </c>
    </row>
    <row r="50" spans="1:17">
      <c r="A50" s="129" t="s">
        <v>87</v>
      </c>
      <c r="B50" s="226"/>
      <c r="C50" s="223"/>
      <c r="D50" s="223"/>
      <c r="E50" s="224"/>
      <c r="F50" s="977" t="n">
        <f>F15/(F214*F106*12)</f>
        <v>0.0</v>
      </c>
      <c r="G50" s="682" t="n">
        <f>G15/(J214*J106*12)</f>
        <v>0.0</v>
      </c>
      <c r="H50" s="682" t="n">
        <f>H15/(K214*K106*12)</f>
        <v>0.0</v>
      </c>
      <c r="I50" s="682" t="n">
        <f>I15/(L214*L106*12)</f>
        <v>0.0</v>
      </c>
      <c r="J50" s="682" t="n">
        <f>J15/(M214*M106*12)</f>
        <v>0.0</v>
      </c>
      <c r="K50" s="682" t="n">
        <f>K15/(N214*N106*12)</f>
        <v>0.0</v>
      </c>
      <c r="L50" s="684" t="n">
        <f t="shared" si="8"/>
        <v>0.0</v>
      </c>
      <c r="M50" s="684" t="n">
        <f t="shared" si="9"/>
        <v>0.0</v>
      </c>
      <c r="N50" s="684" t="n">
        <f t="shared" si="10"/>
        <v>0.0</v>
      </c>
      <c r="O50" s="684" t="n">
        <f t="shared" si="11"/>
        <v>0.0</v>
      </c>
      <c r="P50" s="684" t="n">
        <f t="shared" si="12"/>
        <v>0.0</v>
      </c>
      <c r="Q50" s="934" t="n">
        <f t="shared" si="13"/>
        <v>0.0</v>
      </c>
    </row>
    <row r="51" spans="1:17" ht="14.25" thickBot="1">
      <c r="A51" s="130" t="s">
        <v>147</v>
      </c>
      <c r="B51" s="130"/>
      <c r="C51" s="131"/>
      <c r="D51" s="131"/>
      <c r="E51" s="227"/>
      <c r="F51" s="633" t="n">
        <f>F49-F50</f>
        <v>7194.569717450762</v>
      </c>
      <c r="G51" s="683" t="n">
        <f>G49-G50</f>
        <v>8273.067332718418</v>
      </c>
      <c r="H51" s="683" t="n">
        <f t="shared" ref="H51:K51" si="15">H49-H50</f>
        <v>8901.41529283969</v>
      </c>
      <c r="I51" s="683" t="n">
        <f t="shared" si="15"/>
        <v>9184.534830117225</v>
      </c>
      <c r="J51" s="683" t="n">
        <f t="shared" si="15"/>
        <v>9531.724951207858</v>
      </c>
      <c r="K51" s="683" t="n">
        <f t="shared" si="15"/>
        <v>10011.42569699317</v>
      </c>
      <c r="L51" s="687" t="n">
        <f t="shared" si="8"/>
        <v>1.0</v>
      </c>
      <c r="M51" s="687" t="n">
        <f t="shared" si="9"/>
        <v>1.0</v>
      </c>
      <c r="N51" s="687" t="n">
        <f t="shared" si="10"/>
        <v>1.0</v>
      </c>
      <c r="O51" s="687" t="n">
        <f t="shared" si="11"/>
        <v>1.0</v>
      </c>
      <c r="P51" s="687" t="n">
        <f t="shared" si="12"/>
        <v>1.0</v>
      </c>
      <c r="Q51" s="935" t="n">
        <f t="shared" si="13"/>
        <v>1.0</v>
      </c>
    </row>
    <row r="52" spans="1:17">
      <c r="A52" s="228" t="s">
        <v>148</v>
      </c>
      <c r="B52" s="229"/>
      <c r="C52" s="229"/>
      <c r="D52" s="229"/>
      <c r="E52" s="218"/>
      <c r="F52" s="688"/>
      <c r="G52" s="229"/>
      <c r="H52" s="801"/>
      <c r="I52" s="801"/>
      <c r="J52" s="801"/>
      <c r="K52" s="801"/>
      <c r="L52" s="229"/>
      <c r="M52" s="229"/>
      <c r="N52" s="801"/>
      <c r="O52" s="801"/>
      <c r="P52" s="801"/>
      <c r="Q52" s="802"/>
    </row>
    <row r="53" spans="1:17">
      <c r="A53" s="84" t="s">
        <v>64</v>
      </c>
      <c r="B53" s="84"/>
      <c r="C53" s="34"/>
      <c r="D53" s="127"/>
      <c r="E53" s="222"/>
      <c r="F53" s="631" t="str">
        <f>IFERROR((F69*'(参考)保険料の推計に要する係数'!D5+(F93-F94))/(F215*F106*12),"－")</f>
        <v>－</v>
      </c>
      <c r="G53" s="682" t="str">
        <f>IFERROR((J69*'(参考)保険料の推計に要する係数'!E5+(J93-J94))/(J215*J106*12),"－")</f>
        <v>－</v>
      </c>
      <c r="H53" s="682" t="str">
        <f>IFERROR((K69*'(参考)保険料の推計に要する係数'!F5+(K93-K94))/(K215*K106*12),"－")</f>
        <v>－</v>
      </c>
      <c r="I53" s="682" t="str">
        <f>IFERROR((L69*'(参考)保険料の推計に要する係数'!G5+(L93-L94))/(L215*L106*12),"－")</f>
        <v>－</v>
      </c>
      <c r="J53" s="682" t="str">
        <f>IFERROR((M69*'(参考)保険料の推計に要する係数'!H5+(M93-M94))/(M215*M106*12),"－")</f>
        <v>－</v>
      </c>
      <c r="K53" s="797" t="str">
        <f>IFERROR((N69*'(参考)保険料の推計に要する係数'!I5+(N93-N94))/(N215*N106*12),"－")</f>
        <v>－</v>
      </c>
      <c r="L53" s="684" t="str">
        <f t="shared" ref="L53:L63" si="16">IFERROR(F53/$F$61,"－")</f>
        <v>－</v>
      </c>
      <c r="M53" s="685" t="str">
        <f t="shared" ref="M53:M63" si="17">IFERROR(G53/$G$61,"－")</f>
        <v>－</v>
      </c>
      <c r="N53" s="685" t="str">
        <f t="shared" ref="N53:N63" si="18">IFERROR(H53/$H$61,"－")</f>
        <v>－</v>
      </c>
      <c r="O53" s="685" t="str">
        <f t="shared" ref="O53:O63" si="19">IFERROR(I53/$I$61,"－")</f>
        <v>－</v>
      </c>
      <c r="P53" s="894" t="str">
        <f>IFERROR(J53/$J$61,"－")</f>
        <v>－</v>
      </c>
      <c r="Q53" s="798" t="str">
        <f t="shared" ref="Q53:Q63" si="20">IFERROR(K53/$K$61,"－")</f>
        <v>－</v>
      </c>
    </row>
    <row r="54" spans="1:17">
      <c r="A54" s="84"/>
      <c r="B54" s="35" t="s">
        <v>70</v>
      </c>
      <c r="C54" s="128"/>
      <c r="D54" s="223"/>
      <c r="E54" s="224"/>
      <c r="F54" s="631" t="str">
        <f>IFERROR($F$53*SUM('2_サービス別給付費'!G151:I151)/SUM('2_サービス別給付費'!$G$150:$I$150),"－")</f>
        <v>－</v>
      </c>
      <c r="G54" s="682" t="str">
        <f>IFERROR(G53*SUM('2_サービス別給付費'!J151)/SUM('2_サービス別給付費'!J150),"－")</f>
        <v>－</v>
      </c>
      <c r="H54" s="682" t="str">
        <f>IFERROR(H53*SUM('2_サービス別給付費'!K151)/SUM('2_サービス別給付費'!K150),"－")</f>
        <v>－</v>
      </c>
      <c r="I54" s="682" t="str">
        <f>IFERROR(I53*SUM('2_サービス別給付費'!L151)/SUM('2_サービス別給付費'!L150),"－")</f>
        <v>－</v>
      </c>
      <c r="J54" s="682" t="str">
        <f>IFERROR(J53*SUM('2_サービス別給付費'!M151)/SUM('2_サービス別給付費'!M150),"－")</f>
        <v>－</v>
      </c>
      <c r="K54" s="797" t="str">
        <f>IFERROR(K53*SUM('2_サービス別給付費'!N151)/SUM('2_サービス別給付費'!N150),"－")</f>
        <v>－</v>
      </c>
      <c r="L54" s="684" t="str">
        <f t="shared" si="16"/>
        <v>－</v>
      </c>
      <c r="M54" s="685" t="str">
        <f t="shared" si="17"/>
        <v>－</v>
      </c>
      <c r="N54" s="685" t="str">
        <f t="shared" si="18"/>
        <v>－</v>
      </c>
      <c r="O54" s="685" t="str">
        <f t="shared" si="19"/>
        <v>－</v>
      </c>
      <c r="P54" s="894" t="str">
        <f t="shared" ref="P54:P63" si="21">IFERROR(J54/$J$61,"－")</f>
        <v>－</v>
      </c>
      <c r="Q54" s="798" t="str">
        <f t="shared" si="20"/>
        <v>－</v>
      </c>
    </row>
    <row r="55" spans="1:17">
      <c r="A55" s="84"/>
      <c r="B55" s="35" t="s">
        <v>81</v>
      </c>
      <c r="C55" s="128"/>
      <c r="D55" s="223"/>
      <c r="E55" s="224"/>
      <c r="F55" s="631" t="str">
        <f>IFERROR($F$53*SUM('2_サービス別給付費'!G152:I152)/SUM('2_サービス別給付費'!$G$150:$I$150),"－")</f>
        <v>－</v>
      </c>
      <c r="G55" s="682" t="str">
        <f>IFERROR(G53*SUM('2_サービス別給付費'!J152)/SUM('2_サービス別給付費'!J150),"－")</f>
        <v>－</v>
      </c>
      <c r="H55" s="682" t="str">
        <f>IFERROR(H53*SUM('2_サービス別給付費'!K152)/SUM('2_サービス別給付費'!K150),"－")</f>
        <v>－</v>
      </c>
      <c r="I55" s="682" t="str">
        <f>IFERROR(I53*SUM('2_サービス別給付費'!L152)/SUM('2_サービス別給付費'!L150),"－")</f>
        <v>－</v>
      </c>
      <c r="J55" s="682" t="str">
        <f>IFERROR(J53*SUM('2_サービス別給付費'!M152)/SUM('2_サービス別給付費'!M150),"－")</f>
        <v>－</v>
      </c>
      <c r="K55" s="797" t="str">
        <f>IFERROR(K53*SUM('2_サービス別給付費'!N152)/SUM('2_サービス別給付費'!N150),"－")</f>
        <v>－</v>
      </c>
      <c r="L55" s="684" t="str">
        <f t="shared" si="16"/>
        <v>－</v>
      </c>
      <c r="M55" s="685" t="str">
        <f t="shared" si="17"/>
        <v>－</v>
      </c>
      <c r="N55" s="685" t="str">
        <f t="shared" si="18"/>
        <v>－</v>
      </c>
      <c r="O55" s="685" t="str">
        <f t="shared" si="19"/>
        <v>－</v>
      </c>
      <c r="P55" s="894" t="str">
        <f t="shared" si="21"/>
        <v>－</v>
      </c>
      <c r="Q55" s="798" t="str">
        <f t="shared" si="20"/>
        <v>－</v>
      </c>
    </row>
    <row r="56" spans="1:17">
      <c r="A56" s="84"/>
      <c r="B56" s="35" t="s">
        <v>71</v>
      </c>
      <c r="C56" s="127"/>
      <c r="D56" s="225"/>
      <c r="E56" s="222"/>
      <c r="F56" s="631" t="str">
        <f>IFERROR($F$53*SUM('2_サービス別給付費'!G153:I153)/SUM('2_サービス別給付費'!$G$150:$I$150),"－")</f>
        <v>－</v>
      </c>
      <c r="G56" s="682" t="str">
        <f>IFERROR(G53*SUM('2_サービス別給付費'!J153)/SUM('2_サービス別給付費'!J150),"－")</f>
        <v>－</v>
      </c>
      <c r="H56" s="682" t="str">
        <f>IFERROR(H53*SUM('2_サービス別給付費'!K153)/SUM('2_サービス別給付費'!K150),"－")</f>
        <v>－</v>
      </c>
      <c r="I56" s="682" t="str">
        <f>IFERROR(I53*SUM('2_サービス別給付費'!L153)/SUM('2_サービス別給付費'!L150),"－")</f>
        <v>－</v>
      </c>
      <c r="J56" s="682" t="str">
        <f>IFERROR(J53*SUM('2_サービス別給付費'!M153)/SUM('2_サービス別給付費'!M150),"－")</f>
        <v>－</v>
      </c>
      <c r="K56" s="797" t="str">
        <f>IFERROR(K53*SUM('2_サービス別給付費'!N153)/SUM('2_サービス別給付費'!N150),"－")</f>
        <v>－</v>
      </c>
      <c r="L56" s="684" t="str">
        <f t="shared" si="16"/>
        <v>－</v>
      </c>
      <c r="M56" s="685" t="str">
        <f t="shared" si="17"/>
        <v>－</v>
      </c>
      <c r="N56" s="685" t="str">
        <f t="shared" si="18"/>
        <v>－</v>
      </c>
      <c r="O56" s="685" t="str">
        <f t="shared" si="19"/>
        <v>－</v>
      </c>
      <c r="P56" s="894" t="str">
        <f t="shared" si="21"/>
        <v>－</v>
      </c>
      <c r="Q56" s="798" t="str">
        <f t="shared" si="20"/>
        <v>－</v>
      </c>
    </row>
    <row r="57" spans="1:17">
      <c r="A57" s="129" t="s">
        <v>82</v>
      </c>
      <c r="B57" s="129"/>
      <c r="C57" s="128"/>
      <c r="D57" s="223"/>
      <c r="E57" s="224"/>
      <c r="F57" s="631" t="str">
        <f>IFERROR(((F75+F78+F81+F82)*'(参考)保険料の推計に要する係数'!D5+F85)/(F215*F106*12),"－")</f>
        <v>－</v>
      </c>
      <c r="G57" s="682" t="str">
        <f>IFERROR(((J75+J78+J81+J82)*'(参考)保険料の推計に要する係数'!E5+J85)/(J215*J106*12),"－")</f>
        <v>－</v>
      </c>
      <c r="H57" s="682" t="str">
        <f>IFERROR(((K75+K78+K81+K82)*'(参考)保険料の推計に要する係数'!F5+K85)/(K215*K106*12),"－")</f>
        <v>－</v>
      </c>
      <c r="I57" s="682" t="str">
        <f>IFERROR(((L75+L78+L81+L82)*'(参考)保険料の推計に要する係数'!G5+L85)/(L215*L106*12),"－")</f>
        <v>－</v>
      </c>
      <c r="J57" s="682" t="str">
        <f>IFERROR(((M75+M78+M81+M82)*'(参考)保険料の推計に要する係数'!H5+M85)/(M215*M106*12),"－")</f>
        <v>－</v>
      </c>
      <c r="K57" s="797" t="str">
        <f>IFERROR(((N75+N78+N81+N82)*'(参考)保険料の推計に要する係数'!I5+N85)/(N215*N106*12),"－")</f>
        <v>－</v>
      </c>
      <c r="L57" s="684" t="str">
        <f t="shared" si="16"/>
        <v>－</v>
      </c>
      <c r="M57" s="685" t="str">
        <f t="shared" si="17"/>
        <v>－</v>
      </c>
      <c r="N57" s="685" t="str">
        <f t="shared" si="18"/>
        <v>－</v>
      </c>
      <c r="O57" s="685" t="str">
        <f t="shared" si="19"/>
        <v>－</v>
      </c>
      <c r="P57" s="894" t="str">
        <f t="shared" si="21"/>
        <v>－</v>
      </c>
      <c r="Q57" s="798" t="str">
        <f t="shared" si="20"/>
        <v>－</v>
      </c>
    </row>
    <row r="58" spans="1:17">
      <c r="A58" s="129" t="s">
        <v>83</v>
      </c>
      <c r="B58" s="226"/>
      <c r="C58" s="223"/>
      <c r="D58" s="223"/>
      <c r="E58" s="224"/>
      <c r="F58" s="631" t="str">
        <f>IFERROR(F86*'(参考)保険料の推計に要する係数'!D5/(F215*F106*12),"－")</f>
        <v>－</v>
      </c>
      <c r="G58" s="682" t="str">
        <f>IFERROR(J86*'(参考)保険料の推計に要する係数'!E5/(J215*J106*12),"－")</f>
        <v>－</v>
      </c>
      <c r="H58" s="682" t="str">
        <f>IFERROR(K86*'(参考)保険料の推計に要する係数'!F5/(K215*K106*12),"－")</f>
        <v>－</v>
      </c>
      <c r="I58" s="682" t="str">
        <f>IFERROR(L86*'(参考)保険料の推計に要する係数'!G5/(L215*L106*12),"－")</f>
        <v>－</v>
      </c>
      <c r="J58" s="682" t="str">
        <f>IFERROR(M86*'(参考)保険料の推計に要する係数'!H5/(M215*M106*12),"－")</f>
        <v>－</v>
      </c>
      <c r="K58" s="797" t="str">
        <f>IFERROR(N86*'(参考)保険料の推計に要する係数'!I5/(N215*N106*12),"－")</f>
        <v>－</v>
      </c>
      <c r="L58" s="684" t="str">
        <f t="shared" si="16"/>
        <v>－</v>
      </c>
      <c r="M58" s="685" t="str">
        <f t="shared" si="17"/>
        <v>－</v>
      </c>
      <c r="N58" s="685" t="str">
        <f t="shared" si="18"/>
        <v>－</v>
      </c>
      <c r="O58" s="685" t="str">
        <f t="shared" si="19"/>
        <v>－</v>
      </c>
      <c r="P58" s="894" t="str">
        <f t="shared" si="21"/>
        <v>－</v>
      </c>
      <c r="Q58" s="798" t="str">
        <f t="shared" si="20"/>
        <v>－</v>
      </c>
    </row>
    <row r="59" spans="1:17">
      <c r="A59" s="129" t="s">
        <v>84</v>
      </c>
      <c r="B59" s="226"/>
      <c r="C59" s="223"/>
      <c r="D59" s="223"/>
      <c r="E59" s="224"/>
      <c r="F59" s="631" t="str">
        <f>IFERROR((F18+F21)/(F215*F106*12),"－")</f>
        <v>－</v>
      </c>
      <c r="G59" s="682" t="str">
        <f>IFERROR((G18+G21)/(J215*J106*12),"－")</f>
        <v>－</v>
      </c>
      <c r="H59" s="682" t="str">
        <f>IFERROR((H18+H21)/(K215*K106*12),"－")</f>
        <v>－</v>
      </c>
      <c r="I59" s="682" t="str">
        <f>IFERROR((I18+I21)/(L215*L106*12),"－")</f>
        <v>－</v>
      </c>
      <c r="J59" s="682" t="str">
        <f>IFERROR((J18+J21)/(M215*M106*12),"－")</f>
        <v>－</v>
      </c>
      <c r="K59" s="797" t="str">
        <f>IFERROR((K18+K21)/(N215*N106*12),"－")</f>
        <v>－</v>
      </c>
      <c r="L59" s="684" t="str">
        <f t="shared" si="16"/>
        <v>－</v>
      </c>
      <c r="M59" s="685" t="str">
        <f t="shared" si="17"/>
        <v>－</v>
      </c>
      <c r="N59" s="685" t="str">
        <f t="shared" si="18"/>
        <v>－</v>
      </c>
      <c r="O59" s="685" t="str">
        <f t="shared" si="19"/>
        <v>－</v>
      </c>
      <c r="P59" s="894" t="str">
        <f t="shared" si="21"/>
        <v>－</v>
      </c>
      <c r="Q59" s="798" t="str">
        <f t="shared" si="20"/>
        <v>－</v>
      </c>
    </row>
    <row r="60" spans="1:17">
      <c r="A60" s="129" t="s">
        <v>85</v>
      </c>
      <c r="B60" s="129"/>
      <c r="C60" s="128"/>
      <c r="D60" s="128"/>
      <c r="E60" s="224"/>
      <c r="F60" s="631" t="str">
        <f>IFERROR((F102+F103-F104)/(F215*F106*12),"－")</f>
        <v>－</v>
      </c>
      <c r="G60" s="682" t="str">
        <f>IFERROR((J102+J103-J104)/(J215*J106*12),"－")</f>
        <v>－</v>
      </c>
      <c r="H60" s="682" t="str">
        <f>IFERROR((K102+K103-K104)/(K215*K106*12),"－")</f>
        <v>－</v>
      </c>
      <c r="I60" s="682" t="str">
        <f>IFERROR((L102+L103-L104)/(L215*L106*12),"－")</f>
        <v>－</v>
      </c>
      <c r="J60" s="682" t="str">
        <f>IFERROR((M102+M103-M104)/(M215*M106*12),"－")</f>
        <v>－</v>
      </c>
      <c r="K60" s="797" t="str">
        <f>IFERROR((N102+N103-N104)/(N215*N106*12),"－")</f>
        <v>－</v>
      </c>
      <c r="L60" s="684" t="str">
        <f t="shared" si="16"/>
        <v>－</v>
      </c>
      <c r="M60" s="685" t="str">
        <f t="shared" si="17"/>
        <v>－</v>
      </c>
      <c r="N60" s="685" t="str">
        <f t="shared" si="18"/>
        <v>－</v>
      </c>
      <c r="O60" s="685" t="str">
        <f t="shared" si="19"/>
        <v>－</v>
      </c>
      <c r="P60" s="894" t="str">
        <f t="shared" si="21"/>
        <v>－</v>
      </c>
      <c r="Q60" s="798" t="str">
        <f t="shared" si="20"/>
        <v>－</v>
      </c>
    </row>
    <row r="61" spans="1:17">
      <c r="A61" s="129" t="s">
        <v>86</v>
      </c>
      <c r="B61" s="129"/>
      <c r="C61" s="128"/>
      <c r="D61" s="128"/>
      <c r="E61" s="224"/>
      <c r="F61" s="631" t="str">
        <f>IFERROR(F53+SUM(F57:F60),"－")</f>
        <v>－</v>
      </c>
      <c r="G61" s="682" t="str">
        <f>IFERROR(G53+SUM(G57:G60),"－")</f>
        <v>－</v>
      </c>
      <c r="H61" s="682" t="str">
        <f t="shared" ref="H61:K61" si="22">IFERROR(H53+SUM(H57:H60),"－")</f>
        <v>－</v>
      </c>
      <c r="I61" s="682" t="str">
        <f t="shared" si="22"/>
        <v>－</v>
      </c>
      <c r="J61" s="682" t="str">
        <f t="shared" si="22"/>
        <v>－</v>
      </c>
      <c r="K61" s="797" t="str">
        <f t="shared" si="22"/>
        <v>－</v>
      </c>
      <c r="L61" s="684" t="str">
        <f t="shared" si="16"/>
        <v>－</v>
      </c>
      <c r="M61" s="685" t="str">
        <f t="shared" si="17"/>
        <v>－</v>
      </c>
      <c r="N61" s="685" t="str">
        <f t="shared" si="18"/>
        <v>－</v>
      </c>
      <c r="O61" s="685" t="str">
        <f t="shared" si="19"/>
        <v>－</v>
      </c>
      <c r="P61" s="894" t="str">
        <f t="shared" si="21"/>
        <v>－</v>
      </c>
      <c r="Q61" s="798" t="str">
        <f t="shared" si="20"/>
        <v>－</v>
      </c>
    </row>
    <row r="62" spans="1:17">
      <c r="A62" s="129" t="s">
        <v>87</v>
      </c>
      <c r="B62" s="226"/>
      <c r="C62" s="223"/>
      <c r="D62" s="223"/>
      <c r="E62" s="224"/>
      <c r="F62" s="631" t="str">
        <f>IFERROR(F15/(F215*F106*12),"－")</f>
        <v>－</v>
      </c>
      <c r="G62" s="682" t="str">
        <f>IFERROR(G15/(J215*J106*12),"－")</f>
        <v>－</v>
      </c>
      <c r="H62" s="682" t="str">
        <f>IFERROR(H15/(K215*K106*12),"－")</f>
        <v>－</v>
      </c>
      <c r="I62" s="682" t="str">
        <f>IFERROR(I15/(L215*L106*12),"－")</f>
        <v>－</v>
      </c>
      <c r="J62" s="682" t="str">
        <f>IFERROR(J15/(M215*M106*12),"－")</f>
        <v>－</v>
      </c>
      <c r="K62" s="797" t="str">
        <f>IFERROR(K15/(N215*N106*12),"－")</f>
        <v>－</v>
      </c>
      <c r="L62" s="684" t="str">
        <f t="shared" si="16"/>
        <v>－</v>
      </c>
      <c r="M62" s="685" t="str">
        <f t="shared" si="17"/>
        <v>－</v>
      </c>
      <c r="N62" s="685" t="str">
        <f t="shared" si="18"/>
        <v>－</v>
      </c>
      <c r="O62" s="685" t="str">
        <f t="shared" si="19"/>
        <v>－</v>
      </c>
      <c r="P62" s="894" t="str">
        <f t="shared" si="21"/>
        <v>－</v>
      </c>
      <c r="Q62" s="798" t="str">
        <f t="shared" si="20"/>
        <v>－</v>
      </c>
    </row>
    <row r="63" spans="1:17" ht="14.25" thickBot="1">
      <c r="A63" s="130" t="s">
        <v>147</v>
      </c>
      <c r="B63" s="130"/>
      <c r="C63" s="131"/>
      <c r="D63" s="131"/>
      <c r="E63" s="227"/>
      <c r="F63" s="633" t="str">
        <f>IFERROR(F61-F62,"－")</f>
        <v>－</v>
      </c>
      <c r="G63" s="683" t="str">
        <f>IFERROR(G61-G62,"－")</f>
        <v>－</v>
      </c>
      <c r="H63" s="683" t="str">
        <f t="shared" ref="H63:K63" si="23">IFERROR(H61-H62,"－")</f>
        <v>－</v>
      </c>
      <c r="I63" s="683" t="str">
        <f t="shared" si="23"/>
        <v>－</v>
      </c>
      <c r="J63" s="683" t="str">
        <f t="shared" si="23"/>
        <v>－</v>
      </c>
      <c r="K63" s="799" t="str">
        <f t="shared" si="23"/>
        <v>－</v>
      </c>
      <c r="L63" s="687" t="str">
        <f t="shared" si="16"/>
        <v>－</v>
      </c>
      <c r="M63" s="686" t="str">
        <f t="shared" si="17"/>
        <v>－</v>
      </c>
      <c r="N63" s="686" t="str">
        <f t="shared" si="18"/>
        <v>－</v>
      </c>
      <c r="O63" s="686" t="str">
        <f t="shared" si="19"/>
        <v>－</v>
      </c>
      <c r="P63" s="895" t="str">
        <f t="shared" si="21"/>
        <v>－</v>
      </c>
      <c r="Q63" s="800" t="str">
        <f t="shared" si="20"/>
        <v>－</v>
      </c>
    </row>
    <row r="64" spans="1:17">
      <c r="A64" s="198"/>
      <c r="B64" s="201"/>
      <c r="C64" s="201"/>
      <c r="D64" s="201"/>
      <c r="E64" s="201"/>
      <c r="F64" s="201"/>
      <c r="G64" s="201"/>
      <c r="H64" s="201"/>
      <c r="I64" s="201"/>
      <c r="J64" s="201"/>
    </row>
    <row r="65" spans="1:14" ht="14.25" thickBot="1">
      <c r="A65" s="198" t="s">
        <v>149</v>
      </c>
    </row>
    <row r="66" spans="1:14">
      <c r="A66" s="230"/>
      <c r="B66" s="231"/>
      <c r="C66" s="231"/>
      <c r="D66" s="231"/>
      <c r="E66" s="231"/>
      <c r="F66" s="1112" t="s">
        <v>351</v>
      </c>
      <c r="G66" s="1113"/>
      <c r="H66" s="1113"/>
      <c r="I66" s="1114"/>
      <c r="J66" s="1115" t="s">
        <v>383</v>
      </c>
      <c r="K66" s="1115" t="s">
        <v>324</v>
      </c>
      <c r="L66" s="1115" t="s">
        <v>323</v>
      </c>
      <c r="M66" s="1129" t="s">
        <v>322</v>
      </c>
      <c r="N66" s="1127" t="s">
        <v>349</v>
      </c>
    </row>
    <row r="67" spans="1:14" ht="14.25" thickBot="1">
      <c r="A67" s="232"/>
      <c r="F67" s="233" t="s">
        <v>150</v>
      </c>
      <c r="G67" s="234" t="s">
        <v>362</v>
      </c>
      <c r="H67" s="235" t="s">
        <v>361</v>
      </c>
      <c r="I67" s="236" t="s">
        <v>360</v>
      </c>
      <c r="J67" s="1116"/>
      <c r="K67" s="1126"/>
      <c r="L67" s="1126"/>
      <c r="M67" s="1130"/>
      <c r="N67" s="1128"/>
    </row>
    <row r="68" spans="1:14">
      <c r="A68" s="132" t="s">
        <v>402</v>
      </c>
      <c r="B68" s="85"/>
      <c r="C68" s="85"/>
      <c r="D68" s="85"/>
      <c r="E68" s="85"/>
      <c r="F68" s="155" t="n">
        <f t="shared" ref="F68:F75" si="24">SUM(G68:I68)</f>
        <v>3.33031431E9</v>
      </c>
      <c r="G68" s="237" t="n">
        <f t="shared" ref="G68:N68" si="25">G69+G75+G78+G81+G82</f>
        <v>1.110572436E9</v>
      </c>
      <c r="H68" s="238" t="n">
        <f t="shared" si="25"/>
        <v>1.106346017E9</v>
      </c>
      <c r="I68" s="239" t="n">
        <f t="shared" si="25"/>
        <v>1.113395857E9</v>
      </c>
      <c r="J68" s="658" t="n">
        <f t="shared" si="25"/>
        <v>1.148511118E9</v>
      </c>
      <c r="K68" s="803" t="n">
        <f t="shared" si="25"/>
        <v>1.240741667E9</v>
      </c>
      <c r="L68" s="803" t="n">
        <f t="shared" si="25"/>
        <v>1.355053375E9</v>
      </c>
      <c r="M68" s="896" t="n">
        <f t="shared" si="25"/>
        <v>1.335975912E9</v>
      </c>
      <c r="N68" s="804" t="n">
        <f t="shared" si="25"/>
        <v>1.185495639E9</v>
      </c>
    </row>
    <row r="69" spans="1:14">
      <c r="A69" s="240"/>
      <c r="B69" s="133" t="s">
        <v>338</v>
      </c>
      <c r="C69" s="133"/>
      <c r="D69" s="241"/>
      <c r="E69" s="34"/>
      <c r="F69" s="172" t="n">
        <f t="shared" si="24"/>
        <v>3.072998E9</v>
      </c>
      <c r="G69" s="242" t="n">
        <f>SUM(G70:G74)</f>
        <v>1.025147E9</v>
      </c>
      <c r="H69" s="242" t="n">
        <f t="shared" ref="H69:I69" si="26">SUM(H70:H74)</f>
        <v>1.020772E9</v>
      </c>
      <c r="I69" s="242" t="n">
        <f t="shared" si="26"/>
        <v>1.027079E9</v>
      </c>
      <c r="J69" s="659" t="n">
        <f>SUM(J70:J73)</f>
        <v>1.0616E9</v>
      </c>
      <c r="K69" s="659" t="n">
        <f t="shared" ref="K69:N69" si="27">SUM(K70:K73)</f>
        <v>1.145808E9</v>
      </c>
      <c r="L69" s="659" t="n">
        <f t="shared" si="27"/>
        <v>1.25284E9</v>
      </c>
      <c r="M69" s="659" t="n">
        <f t="shared" si="27"/>
        <v>1.237031E9</v>
      </c>
      <c r="N69" s="936" t="n">
        <f t="shared" si="27"/>
        <v>1.098436E9</v>
      </c>
    </row>
    <row r="70" spans="1:14" ht="13.15" customHeight="1">
      <c r="A70" s="84"/>
      <c r="B70" s="133"/>
      <c r="C70" s="243" t="s">
        <v>337</v>
      </c>
      <c r="D70" s="244"/>
      <c r="E70" s="244"/>
      <c r="F70" s="245" t="n">
        <f t="shared" si="24"/>
        <v>3.072998E9</v>
      </c>
      <c r="G70" s="242" t="n">
        <f>'2_サービス別給付費'!G150*1000</f>
        <v>1.025147E9</v>
      </c>
      <c r="H70" s="242" t="n">
        <f>'2_サービス別給付費'!H150*1000</f>
        <v>1.020772E9</v>
      </c>
      <c r="I70" s="955" t="n">
        <f>'2_サービス別給付費'!I150*1000</f>
        <v>1.027079E9</v>
      </c>
      <c r="J70" s="659" t="n">
        <f>'2_サービス別給付費'!J150*1000</f>
        <v>1.0616E9</v>
      </c>
      <c r="K70" s="659" t="n">
        <f>'2_サービス別給付費'!K150*1000</f>
        <v>1.145808E9</v>
      </c>
      <c r="L70" s="659" t="n">
        <f>'2_サービス別給付費'!L150*1000</f>
        <v>1.25284E9</v>
      </c>
      <c r="M70" s="659" t="n">
        <f>'2_サービス別給付費'!M150*1000</f>
        <v>1.237031E9</v>
      </c>
      <c r="N70" s="936" t="n">
        <f>'2_サービス別給付費'!N150*1000</f>
        <v>1.098436E9</v>
      </c>
    </row>
    <row r="71" spans="1:14" ht="13.15" customHeight="1">
      <c r="A71" s="84"/>
      <c r="B71" s="133"/>
      <c r="C71" s="1119" t="s">
        <v>419</v>
      </c>
      <c r="D71" s="1120"/>
      <c r="E71" s="1121"/>
      <c r="F71" s="245" t="n">
        <f t="shared" si="24"/>
        <v>0.0</v>
      </c>
      <c r="G71" s="249" t="n">
        <v>0.0</v>
      </c>
      <c r="H71" s="250" t="n">
        <v>0.0</v>
      </c>
      <c r="I71" s="251" t="n">
        <v>0.0</v>
      </c>
      <c r="J71" s="660" t="n">
        <v>0.0</v>
      </c>
      <c r="K71" s="808" t="n">
        <v>0.0</v>
      </c>
      <c r="L71" s="808" t="n">
        <v>0.0</v>
      </c>
      <c r="M71" s="899" t="n">
        <v>0.0</v>
      </c>
      <c r="N71" s="809" t="n">
        <v>0.0</v>
      </c>
    </row>
    <row r="72" spans="1:14" ht="13.15" customHeight="1">
      <c r="A72" s="84"/>
      <c r="B72" s="133"/>
      <c r="C72" s="1119" t="s">
        <v>420</v>
      </c>
      <c r="D72" s="1120"/>
      <c r="E72" s="1121"/>
      <c r="F72" s="245" t="n">
        <f>SUM(G72:I72)</f>
        <v>0.0</v>
      </c>
      <c r="G72" s="249" t="n">
        <v>0.0</v>
      </c>
      <c r="H72" s="250" t="n">
        <v>0.0</v>
      </c>
      <c r="I72" s="251" t="n">
        <v>0.0</v>
      </c>
      <c r="J72" s="660" t="n">
        <v>0.0</v>
      </c>
      <c r="K72" s="808" t="n">
        <v>0.0</v>
      </c>
      <c r="L72" s="808" t="n">
        <v>0.0</v>
      </c>
      <c r="M72" s="899" t="n">
        <v>0.0</v>
      </c>
      <c r="N72" s="809" t="n">
        <v>0.0</v>
      </c>
    </row>
    <row r="73" spans="1:14" ht="13.15" customHeight="1">
      <c r="A73" s="84"/>
      <c r="B73" s="133"/>
      <c r="C73" s="1119" t="s">
        <v>421</v>
      </c>
      <c r="D73" s="1120"/>
      <c r="E73" s="1121"/>
      <c r="F73" s="245" t="n">
        <f>SUM(G73:I73)</f>
        <v>0.0</v>
      </c>
      <c r="G73" s="249" t="n">
        <v>0.0</v>
      </c>
      <c r="H73" s="250" t="n">
        <v>0.0</v>
      </c>
      <c r="I73" s="251" t="n">
        <v>0.0</v>
      </c>
      <c r="J73" s="660" t="n">
        <v>0.0</v>
      </c>
      <c r="K73" s="808" t="n">
        <v>0.0</v>
      </c>
      <c r="L73" s="808" t="n">
        <v>0.0</v>
      </c>
      <c r="M73" s="899" t="n">
        <v>0.0</v>
      </c>
      <c r="N73" s="809" t="n">
        <v>0.0</v>
      </c>
    </row>
    <row r="74" spans="1:14" ht="13.15" customHeight="1">
      <c r="A74" s="84"/>
      <c r="B74" s="133"/>
      <c r="C74" s="1119" t="s">
        <v>422</v>
      </c>
      <c r="D74" s="1120"/>
      <c r="E74" s="1121"/>
      <c r="F74" s="245" t="n">
        <f t="shared" si="24"/>
        <v>0.0</v>
      </c>
      <c r="G74" s="249" t="n">
        <v>0.0</v>
      </c>
      <c r="H74" s="250" t="n">
        <v>0.0</v>
      </c>
      <c r="I74" s="251" t="n">
        <v>0.0</v>
      </c>
      <c r="J74" s="273"/>
      <c r="K74" s="273"/>
      <c r="L74" s="273"/>
      <c r="M74" s="273"/>
      <c r="N74" s="1001"/>
    </row>
    <row r="75" spans="1:14">
      <c r="A75" s="240"/>
      <c r="B75" s="1117" t="s">
        <v>270</v>
      </c>
      <c r="C75" s="1118"/>
      <c r="D75" s="1118"/>
      <c r="E75" s="1118"/>
      <c r="F75" s="245" t="n">
        <f t="shared" si="24"/>
        <v>1.56669648E8</v>
      </c>
      <c r="G75" s="296" t="n">
        <f t="shared" ref="G75:N75" si="28">G76+G77</f>
        <v>5.2012152E7</v>
      </c>
      <c r="H75" s="810" t="n">
        <f t="shared" si="28"/>
        <v>5.2102608E7</v>
      </c>
      <c r="I75" s="811" t="n">
        <f t="shared" si="28"/>
        <v>5.2554888E7</v>
      </c>
      <c r="J75" s="722" t="n">
        <f t="shared" si="28"/>
        <v>5.2916712E7</v>
      </c>
      <c r="K75" s="722" t="n">
        <f t="shared" si="28"/>
        <v>5.7801331E7</v>
      </c>
      <c r="L75" s="722" t="n">
        <f t="shared" si="28"/>
        <v>6.223367E7</v>
      </c>
      <c r="M75" s="722" t="n">
        <f t="shared" si="28"/>
        <v>6.0243641E7</v>
      </c>
      <c r="N75" s="937" t="n">
        <f t="shared" si="28"/>
        <v>5.3007168E7</v>
      </c>
    </row>
    <row r="76" spans="1:14">
      <c r="A76" s="84"/>
      <c r="B76" s="813"/>
      <c r="C76" s="814" t="s">
        <v>269</v>
      </c>
      <c r="D76" s="252"/>
      <c r="E76" s="252"/>
      <c r="F76" s="245" t="n">
        <f t="shared" ref="F76:F80" si="29">SUM(G76:I76)</f>
        <v>1.56669648E8</v>
      </c>
      <c r="G76" s="249" t="n">
        <v>5.2012152E7</v>
      </c>
      <c r="H76" s="250" t="n">
        <v>5.2102608E7</v>
      </c>
      <c r="I76" s="251" t="n">
        <v>5.2554888E7</v>
      </c>
      <c r="J76" s="660" t="n">
        <v>5.2916712E7</v>
      </c>
      <c r="K76" s="808" t="n">
        <v>5.7801331E7</v>
      </c>
      <c r="L76" s="808" t="n">
        <v>6.223367E7</v>
      </c>
      <c r="M76" s="899" t="n">
        <v>6.0243641E7</v>
      </c>
      <c r="N76" s="809" t="n">
        <v>5.3007168E7</v>
      </c>
    </row>
    <row r="77" spans="1:14">
      <c r="A77" s="240"/>
      <c r="B77" s="134"/>
      <c r="C77" s="814" t="s">
        <v>339</v>
      </c>
      <c r="D77" s="252"/>
      <c r="E77" s="252"/>
      <c r="F77" s="245" t="n">
        <f t="shared" si="29"/>
        <v>0.0</v>
      </c>
      <c r="G77" s="815" t="n">
        <v>0.0</v>
      </c>
      <c r="H77" s="250" t="n">
        <v>0.0</v>
      </c>
      <c r="I77" s="251" t="n">
        <v>0.0</v>
      </c>
      <c r="J77" s="660" t="n">
        <v>0.0</v>
      </c>
      <c r="K77" s="808" t="n">
        <v>0.0</v>
      </c>
      <c r="L77" s="808" t="n">
        <v>0.0</v>
      </c>
      <c r="M77" s="899" t="n">
        <v>0.0</v>
      </c>
      <c r="N77" s="809" t="n">
        <v>0.0</v>
      </c>
    </row>
    <row r="78" spans="1:14">
      <c r="A78" s="240"/>
      <c r="B78" s="816" t="s">
        <v>272</v>
      </c>
      <c r="C78" s="817"/>
      <c r="D78" s="817"/>
      <c r="E78" s="817"/>
      <c r="F78" s="245" t="n">
        <f>SUM(G78:I78)</f>
        <v>9.3189835E7</v>
      </c>
      <c r="G78" s="296" t="n">
        <f t="shared" ref="G78:N78" si="30">G79+G80</f>
        <v>3.0937734E7</v>
      </c>
      <c r="H78" s="810" t="n">
        <f t="shared" si="30"/>
        <v>3.0991539E7</v>
      </c>
      <c r="I78" s="811" t="n">
        <f t="shared" si="30"/>
        <v>3.1260562E7</v>
      </c>
      <c r="J78" s="722" t="n">
        <f t="shared" si="30"/>
        <v>3.1475781E7</v>
      </c>
      <c r="K78" s="812" t="n">
        <f t="shared" si="30"/>
        <v>3.4381238E7</v>
      </c>
      <c r="L78" s="812" t="n">
        <f t="shared" si="30"/>
        <v>3.7017671E7</v>
      </c>
      <c r="M78" s="900" t="n">
        <f t="shared" si="30"/>
        <v>3.5833966E7</v>
      </c>
      <c r="N78" s="938" t="n">
        <f t="shared" si="30"/>
        <v>3.1529586E7</v>
      </c>
    </row>
    <row r="79" spans="1:14">
      <c r="A79" s="240"/>
      <c r="B79" s="818"/>
      <c r="C79" s="293" t="s">
        <v>271</v>
      </c>
      <c r="D79" s="293"/>
      <c r="E79" s="293"/>
      <c r="F79" s="245" t="n">
        <f t="shared" si="29"/>
        <v>9.3189835E7</v>
      </c>
      <c r="G79" s="249" t="n">
        <v>3.0937734E7</v>
      </c>
      <c r="H79" s="250" t="n">
        <v>3.0991539E7</v>
      </c>
      <c r="I79" s="251" t="n">
        <v>3.1260562E7</v>
      </c>
      <c r="J79" s="660" t="n">
        <v>3.1475781E7</v>
      </c>
      <c r="K79" s="808" t="n">
        <v>3.4381238E7</v>
      </c>
      <c r="L79" s="808" t="n">
        <v>3.7017671E7</v>
      </c>
      <c r="M79" s="899" t="n">
        <v>3.5833966E7</v>
      </c>
      <c r="N79" s="809" t="n">
        <v>3.1529586E7</v>
      </c>
    </row>
    <row r="80" spans="1:14">
      <c r="A80" s="240"/>
      <c r="B80" s="819"/>
      <c r="C80" s="814" t="s">
        <v>339</v>
      </c>
      <c r="D80" s="293"/>
      <c r="E80" s="293"/>
      <c r="F80" s="245" t="n">
        <f t="shared" si="29"/>
        <v>0.0</v>
      </c>
      <c r="G80" s="249" t="n">
        <v>0.0</v>
      </c>
      <c r="H80" s="250" t="n">
        <v>0.0</v>
      </c>
      <c r="I80" s="251" t="n">
        <v>0.0</v>
      </c>
      <c r="J80" s="660" t="n">
        <v>0.0</v>
      </c>
      <c r="K80" s="808" t="n">
        <v>0.0</v>
      </c>
      <c r="L80" s="808" t="n">
        <v>0.0</v>
      </c>
      <c r="M80" s="899" t="n">
        <v>0.0</v>
      </c>
      <c r="N80" s="809" t="n">
        <v>0.0</v>
      </c>
    </row>
    <row r="81" spans="1:14">
      <c r="A81" s="240"/>
      <c r="B81" s="135" t="s">
        <v>151</v>
      </c>
      <c r="C81" s="136"/>
      <c r="D81" s="136"/>
      <c r="E81" s="136"/>
      <c r="F81" s="245" t="n">
        <f>SUM(G81:I81)</f>
        <v>5506887.0</v>
      </c>
      <c r="G81" s="249" t="n">
        <v>1828210.0</v>
      </c>
      <c r="H81" s="250" t="n">
        <v>1831390.0</v>
      </c>
      <c r="I81" s="251" t="n">
        <v>1847287.0</v>
      </c>
      <c r="J81" s="660" t="n">
        <v>1860005.0</v>
      </c>
      <c r="K81" s="808" t="n">
        <v>2031698.0</v>
      </c>
      <c r="L81" s="808" t="n">
        <v>2187494.0</v>
      </c>
      <c r="M81" s="899" t="n">
        <v>2117545.0</v>
      </c>
      <c r="N81" s="809" t="n">
        <v>1863185.0</v>
      </c>
    </row>
    <row r="82" spans="1:14">
      <c r="A82" s="240"/>
      <c r="B82" s="133" t="s">
        <v>152</v>
      </c>
      <c r="C82" s="34"/>
      <c r="D82" s="34"/>
      <c r="E82" s="34"/>
      <c r="F82" s="245" t="n">
        <f>SUM(G82:I82)</f>
        <v>1949940.0</v>
      </c>
      <c r="G82" s="246" t="n">
        <f t="shared" ref="G82:N82" si="31">G83*G84-G85</f>
        <v>647340.0</v>
      </c>
      <c r="H82" s="247" t="n">
        <f t="shared" si="31"/>
        <v>648480.0</v>
      </c>
      <c r="I82" s="248" t="n">
        <f t="shared" si="31"/>
        <v>654120.0</v>
      </c>
      <c r="J82" s="659" t="n">
        <f t="shared" si="31"/>
        <v>658620.0</v>
      </c>
      <c r="K82" s="805" t="n">
        <f t="shared" si="31"/>
        <v>719400.0</v>
      </c>
      <c r="L82" s="805" t="n">
        <f t="shared" si="31"/>
        <v>774540.0</v>
      </c>
      <c r="M82" s="897" t="n">
        <f t="shared" si="31"/>
        <v>749760.0</v>
      </c>
      <c r="N82" s="939" t="n">
        <f t="shared" si="31"/>
        <v>659700.0</v>
      </c>
    </row>
    <row r="83" spans="1:14">
      <c r="A83" s="84"/>
      <c r="B83" s="133"/>
      <c r="C83" s="135" t="s">
        <v>230</v>
      </c>
      <c r="D83" s="255"/>
      <c r="E83" s="136"/>
      <c r="F83" s="156"/>
      <c r="G83" s="249" t="n">
        <v>60.0</v>
      </c>
      <c r="H83" s="250" t="n">
        <v>60.0</v>
      </c>
      <c r="I83" s="251" t="n">
        <v>60.0</v>
      </c>
      <c r="J83" s="660" t="n">
        <v>60.0</v>
      </c>
      <c r="K83" s="808" t="n">
        <v>60.0</v>
      </c>
      <c r="L83" s="808" t="n">
        <v>60.0</v>
      </c>
      <c r="M83" s="899" t="n">
        <v>60.0</v>
      </c>
      <c r="N83" s="809" t="n">
        <v>60.0</v>
      </c>
    </row>
    <row r="84" spans="1:14">
      <c r="A84" s="84"/>
      <c r="B84" s="133"/>
      <c r="C84" s="256" t="s">
        <v>231</v>
      </c>
      <c r="D84" s="257"/>
      <c r="E84" s="136"/>
      <c r="F84" s="172" t="n">
        <f t="shared" ref="F84:F86" si="32">SUM(G84:I84)</f>
        <v>32499.0</v>
      </c>
      <c r="G84" s="249" t="n">
        <v>10789.0</v>
      </c>
      <c r="H84" s="250" t="n">
        <v>10808.0</v>
      </c>
      <c r="I84" s="251" t="n">
        <v>10902.0</v>
      </c>
      <c r="J84" s="660" t="n">
        <v>10977.0</v>
      </c>
      <c r="K84" s="808" t="n">
        <v>11990.0</v>
      </c>
      <c r="L84" s="808" t="n">
        <v>12909.0</v>
      </c>
      <c r="M84" s="899" t="n">
        <v>12496.0</v>
      </c>
      <c r="N84" s="809" t="n">
        <v>10995.0</v>
      </c>
    </row>
    <row r="85" spans="1:14" ht="13.5" customHeight="1">
      <c r="A85" s="137"/>
      <c r="B85" s="138"/>
      <c r="C85" s="258" t="s">
        <v>403</v>
      </c>
      <c r="D85" s="128"/>
      <c r="E85" s="128"/>
      <c r="F85" s="172" t="n">
        <f t="shared" si="32"/>
        <v>0.0</v>
      </c>
      <c r="G85" s="246" t="n">
        <f>IF(G83-'(参考)保険料の推計に要する係数'!$D$38&gt;0,(G83-'(参考)保険料の推計に要する係数'!$D$38)*G84,0)</f>
        <v>0.0</v>
      </c>
      <c r="H85" s="246" t="n">
        <f>IF(H83-'(参考)保険料の推計に要する係数'!$D$38&gt;0,(H83-'(参考)保険料の推計に要する係数'!$D$38)*H84,0)</f>
        <v>0.0</v>
      </c>
      <c r="I85" s="956" t="n">
        <f>IF(I83-'(参考)保険料の推計に要する係数'!$D$38&gt;0,(I83-'(参考)保険料の推計に要する係数'!$D$38)*I84,0)</f>
        <v>0.0</v>
      </c>
      <c r="J85" s="659" t="n">
        <f>IF(J83-'(参考)保険料の推計に要する係数'!$D$38&gt;0,(J83-'(参考)保険料の推計に要する係数'!$D$38)*J84,0)</f>
        <v>0.0</v>
      </c>
      <c r="K85" s="659" t="n">
        <f>IF(K83-'(参考)保険料の推計に要する係数'!$D$38&gt;0,(K83-'(参考)保険料の推計に要する係数'!$D$38)*K84,0)</f>
        <v>0.0</v>
      </c>
      <c r="L85" s="659" t="n">
        <f>IF(L83-'(参考)保険料の推計に要する係数'!$D$38&gt;0,(L83-'(参考)保険料の推計に要する係数'!$D$38)*L84,0)</f>
        <v>0.0</v>
      </c>
      <c r="M85" s="659" t="n">
        <f>IF(M83-'(参考)保険料の推計に要する係数'!$D$38&gt;0,(M83-'(参考)保険料の推計に要する係数'!$D$38)*M84,0)</f>
        <v>0.0</v>
      </c>
      <c r="N85" s="936" t="n">
        <f>IF(N83-'(参考)保険料の推計に要する係数'!$D$38&gt;0,(N83-'(参考)保険料の推計に要する係数'!$D$38)*N84,0)</f>
        <v>0.0</v>
      </c>
    </row>
    <row r="86" spans="1:14">
      <c r="A86" s="207" t="s">
        <v>83</v>
      </c>
      <c r="B86" s="259"/>
      <c r="C86" s="259"/>
      <c r="D86" s="259"/>
      <c r="E86" s="259"/>
      <c r="F86" s="172" t="n">
        <f t="shared" si="32"/>
        <v>1.4479036E8</v>
      </c>
      <c r="G86" s="247" t="n">
        <f>SUM(G87:G91)</f>
        <v>4.6033094E7</v>
      </c>
      <c r="H86" s="247" t="n">
        <f t="shared" ref="H86:N86" si="33">SUM(H87:H91)</f>
        <v>4.9596213E7</v>
      </c>
      <c r="I86" s="248" t="n">
        <f t="shared" si="33"/>
        <v>4.9161053E7</v>
      </c>
      <c r="J86" s="659" t="n">
        <f t="shared" si="33"/>
        <v>4.2892446E7</v>
      </c>
      <c r="K86" s="659" t="n">
        <f t="shared" si="33"/>
        <v>4.0820488E7</v>
      </c>
      <c r="L86" s="659" t="n">
        <f t="shared" si="33"/>
        <v>3.8854704E7</v>
      </c>
      <c r="M86" s="659" t="n">
        <f t="shared" si="33"/>
        <v>3.5981921E7</v>
      </c>
      <c r="N86" s="936" t="n">
        <f t="shared" si="33"/>
        <v>3.3864168E7</v>
      </c>
    </row>
    <row r="87" spans="1:14">
      <c r="A87" s="232"/>
      <c r="B87" s="212" t="s">
        <v>153</v>
      </c>
      <c r="C87" s="209"/>
      <c r="D87" s="209"/>
      <c r="E87" s="209"/>
      <c r="F87" s="172" t="n">
        <f t="shared" ref="F87:F92" si="34">SUM(G87:I87)</f>
        <v>1.5519381E7</v>
      </c>
      <c r="G87" s="810" t="n">
        <f>'3_地域支援事業費'!E61</f>
        <v>6786184.0</v>
      </c>
      <c r="H87" s="810" t="n">
        <f>'3_地域支援事業費'!F61</f>
        <v>6505887.0</v>
      </c>
      <c r="I87" s="811" t="n">
        <f>'3_地域支援事業費'!G61</f>
        <v>2227310.0</v>
      </c>
      <c r="J87" s="722" t="n">
        <f>'3_地域支援事業費'!H61</f>
        <v>7273668.0</v>
      </c>
      <c r="K87" s="722" t="n">
        <f>'3_地域支援事業費'!I61</f>
        <v>7239473.0</v>
      </c>
      <c r="L87" s="722" t="n">
        <f>'3_地域支援事業費'!J61</f>
        <v>6751627.0</v>
      </c>
      <c r="M87" s="722" t="n">
        <f>'3_地域支援事業費'!K61</f>
        <v>6073358.0</v>
      </c>
      <c r="N87" s="937" t="n">
        <f>'3_地域支援事業費'!L61</f>
        <v>5579097.0</v>
      </c>
    </row>
    <row r="88" spans="1:14">
      <c r="A88" s="232"/>
      <c r="B88" s="212" t="s">
        <v>319</v>
      </c>
      <c r="C88" s="209"/>
      <c r="D88" s="209"/>
      <c r="E88" s="209"/>
      <c r="F88" s="172" t="n">
        <f t="shared" si="34"/>
        <v>1.26952207E8</v>
      </c>
      <c r="G88" s="810" t="n">
        <f>'3_地域支援事業費'!E62</f>
        <v>3.8647166E7</v>
      </c>
      <c r="H88" s="810" t="n">
        <f>'3_地域支援事業費'!F62</f>
        <v>4.2317402E7</v>
      </c>
      <c r="I88" s="811" t="n">
        <f>'3_地域支援事業費'!G62</f>
        <v>4.5987639E7</v>
      </c>
      <c r="J88" s="722" t="n">
        <f>'3_地域支援事業費'!H62</f>
        <v>3.5257778E7</v>
      </c>
      <c r="K88" s="722" t="n">
        <f>'3_地域支援事業費'!I62</f>
        <v>3.3220015E7</v>
      </c>
      <c r="L88" s="722" t="n">
        <f>'3_地域支援事業費'!J62</f>
        <v>3.1742077E7</v>
      </c>
      <c r="M88" s="722" t="n">
        <f>'3_地域支援事業費'!K62</f>
        <v>2.9547563E7</v>
      </c>
      <c r="N88" s="937" t="n">
        <f>'3_地域支援事業費'!L62</f>
        <v>2.7924071E7</v>
      </c>
    </row>
    <row r="89" spans="1:14" s="370" customFormat="1">
      <c r="A89" s="232"/>
      <c r="B89" s="212" t="s">
        <v>306</v>
      </c>
      <c r="C89" s="820"/>
      <c r="D89" s="820"/>
      <c r="E89" s="820"/>
      <c r="F89" s="172" t="n">
        <f t="shared" si="34"/>
        <v>2318772.0</v>
      </c>
      <c r="G89" s="940" t="n">
        <f>'3_地域支援事業費'!E63</f>
        <v>599744.0</v>
      </c>
      <c r="H89" s="940" t="n">
        <f>'3_地域支援事業費'!F63</f>
        <v>772924.0</v>
      </c>
      <c r="I89" s="957" t="n">
        <f>'3_地域支援事業費'!G63</f>
        <v>946104.0</v>
      </c>
      <c r="J89" s="812" t="n">
        <f>'3_地域支援事業費'!H63</f>
        <v>361000.0</v>
      </c>
      <c r="K89" s="812" t="n">
        <f>'3_地域支援事業費'!I63</f>
        <v>361000.0</v>
      </c>
      <c r="L89" s="812" t="n">
        <f>'3_地域支援事業費'!J63</f>
        <v>361000.0</v>
      </c>
      <c r="M89" s="812" t="n">
        <f>'3_地域支援事業費'!K63</f>
        <v>361000.0</v>
      </c>
      <c r="N89" s="938" t="n">
        <f>'3_地域支援事業費'!L63</f>
        <v>361000.0</v>
      </c>
    </row>
    <row r="90" spans="1:14" s="370" customFormat="1">
      <c r="A90" s="232"/>
      <c r="B90" s="212" t="s">
        <v>424</v>
      </c>
      <c r="C90" s="820"/>
      <c r="D90" s="820"/>
      <c r="E90" s="820"/>
      <c r="F90" s="172" t="n">
        <f t="shared" si="34"/>
        <v>0.0</v>
      </c>
      <c r="G90" s="940" t="n">
        <f>'3_地域支援事業費'!E64</f>
        <v>0.0</v>
      </c>
      <c r="H90" s="940" t="n">
        <f>'3_地域支援事業費'!F64</f>
        <v>0.0</v>
      </c>
      <c r="I90" s="957" t="n">
        <f>'3_地域支援事業費'!G64</f>
        <v>0.0</v>
      </c>
      <c r="J90" s="812" t="n">
        <f>'3_地域支援事業費'!H64</f>
        <v>0.0</v>
      </c>
      <c r="K90" s="812" t="n">
        <f>'3_地域支援事業費'!I64</f>
        <v>0.0</v>
      </c>
      <c r="L90" s="812" t="n">
        <f>'3_地域支援事業費'!J64</f>
        <v>0.0</v>
      </c>
      <c r="M90" s="812" t="n">
        <f>'3_地域支援事業費'!K64</f>
        <v>0.0</v>
      </c>
      <c r="N90" s="938" t="n">
        <f>'3_地域支援事業費'!L64</f>
        <v>0.0</v>
      </c>
    </row>
    <row r="91" spans="1:14" s="370" customFormat="1">
      <c r="A91" s="232"/>
      <c r="B91" s="1020" t="s">
        <v>415</v>
      </c>
      <c r="C91" s="1019"/>
      <c r="D91" s="1019"/>
      <c r="E91" s="1019"/>
      <c r="F91" s="172" t="n">
        <f t="shared" si="34"/>
        <v>0.0</v>
      </c>
      <c r="G91" s="940" t="n">
        <f>'3_地域支援事業費'!E65</f>
        <v>0.0</v>
      </c>
      <c r="H91" s="940" t="n">
        <f>'3_地域支援事業費'!F65</f>
        <v>0.0</v>
      </c>
      <c r="I91" s="957" t="n">
        <f>'3_地域支援事業費'!G65</f>
        <v>0.0</v>
      </c>
      <c r="J91" s="812" t="n">
        <f>'3_地域支援事業費'!H65</f>
        <v>0.0</v>
      </c>
      <c r="K91" s="812" t="n">
        <f>'3_地域支援事業費'!I65</f>
        <v>0.0</v>
      </c>
      <c r="L91" s="812" t="n">
        <f>'3_地域支援事業費'!J65</f>
        <v>0.0</v>
      </c>
      <c r="M91" s="812" t="n">
        <f>'3_地域支援事業費'!K65</f>
        <v>0.0</v>
      </c>
      <c r="N91" s="938" t="n">
        <f>'3_地域支援事業費'!L65</f>
        <v>0.0</v>
      </c>
    </row>
    <row r="92" spans="1:14">
      <c r="A92" s="260" t="s">
        <v>404</v>
      </c>
      <c r="B92" s="261"/>
      <c r="C92" s="261"/>
      <c r="D92" s="261"/>
      <c r="E92" s="261"/>
      <c r="F92" s="172" t="n">
        <f t="shared" si="34"/>
        <v>7.992740741E8</v>
      </c>
      <c r="G92" s="242" t="n">
        <f>(G68+G86)*'(参考)保険料の推計に要する係数'!$D$5</f>
        <v>2.660192719E8</v>
      </c>
      <c r="H92" s="242" t="n">
        <f>(H68+H86)*'(参考)保険料の推計に要する係数'!$D$5</f>
        <v>2.658667129E8</v>
      </c>
      <c r="I92" s="955" t="n">
        <f>(I68+I86)*'(参考)保険料の推計に要する係数'!$D$5</f>
        <v>2.673880893E8</v>
      </c>
      <c r="J92" s="659" t="n">
        <f>(J68+J86)*'(参考)保険料の推計に要する係数'!$E$5</f>
        <v>2.8593685536E8</v>
      </c>
      <c r="K92" s="659" t="n">
        <f>(K68+K86)*'(参考)保険料の推計に要する係数'!$F$5</f>
        <v>3.2039053875E8</v>
      </c>
      <c r="L92" s="659" t="n">
        <f>(L68+L86)*'(参考)保険料の推計に要する係数'!$G$5</f>
        <v>3.6241610054E8</v>
      </c>
      <c r="M92" s="659" t="n">
        <f>(M68+M86)*'(参考)保険料の推計に要する係数'!$H$5</f>
        <v>3.7042861491E8</v>
      </c>
      <c r="N92" s="936" t="n">
        <f>(N68+N86)*'(参考)保険料の推計に要する係数'!$I$5</f>
        <v>3.4142074596000004E8</v>
      </c>
    </row>
    <row r="93" spans="1:14" s="264" customFormat="1" ht="13.5" customHeight="1">
      <c r="A93" s="262" t="s">
        <v>405</v>
      </c>
      <c r="B93" s="166"/>
      <c r="C93" s="166"/>
      <c r="D93" s="166"/>
      <c r="E93" s="167"/>
      <c r="F93" s="952" t="n">
        <f t="shared" ref="F93" si="35">SUM(G93:I93)</f>
        <v>1.6729168455E8</v>
      </c>
      <c r="G93" s="958" t="n">
        <f t="shared" ref="G93:N93" si="36">(G68+G87)*0.05</f>
        <v>5.5867931E7</v>
      </c>
      <c r="H93" s="263" t="n">
        <f t="shared" si="36"/>
        <v>5.56425952E7</v>
      </c>
      <c r="I93" s="959" t="n">
        <f t="shared" si="36"/>
        <v>5.578115835E7</v>
      </c>
      <c r="J93" s="661" t="n">
        <f t="shared" si="36"/>
        <v>5.7789239300000004E7</v>
      </c>
      <c r="K93" s="661" t="n">
        <f t="shared" si="36"/>
        <v>6.2399057E7</v>
      </c>
      <c r="L93" s="661" t="n">
        <f t="shared" si="36"/>
        <v>6.809025010000001E7</v>
      </c>
      <c r="M93" s="661" t="n">
        <f t="shared" si="36"/>
        <v>6.71024635E7</v>
      </c>
      <c r="N93" s="941" t="n">
        <f t="shared" si="36"/>
        <v>5.9553736800000004E7</v>
      </c>
    </row>
    <row r="94" spans="1:14" s="264" customFormat="1" ht="13.5" customHeight="1">
      <c r="A94" s="161" t="s">
        <v>406</v>
      </c>
      <c r="B94" s="162"/>
      <c r="C94" s="163"/>
      <c r="D94" s="163"/>
      <c r="E94" s="265"/>
      <c r="F94" s="953" t="n">
        <f>SUM(G94:I94)</f>
        <v>1.98077E8</v>
      </c>
      <c r="G94" s="960" t="n">
        <f t="shared" ref="G94:N94" si="37">ROUND((G68+G87)*G97*G95,-3)+G96</f>
        <v>6.8606E7</v>
      </c>
      <c r="H94" s="160" t="n">
        <f t="shared" si="37"/>
        <v>6.5992E7</v>
      </c>
      <c r="I94" s="961" t="n">
        <f t="shared" si="37"/>
        <v>6.3479E7</v>
      </c>
      <c r="J94" s="662" t="n">
        <f t="shared" si="37"/>
        <v>5.5015E7</v>
      </c>
      <c r="K94" s="662" t="n">
        <f t="shared" si="37"/>
        <v>9.1976E7</v>
      </c>
      <c r="L94" s="662" t="n">
        <f t="shared" si="37"/>
        <v>1.45713E8</v>
      </c>
      <c r="M94" s="662" t="n">
        <f t="shared" si="37"/>
        <v>1.63864E8</v>
      </c>
      <c r="N94" s="942" t="n">
        <f t="shared" si="37"/>
        <v>1.2947E8</v>
      </c>
    </row>
    <row r="95" spans="1:14" s="264" customFormat="1" ht="13.5" customHeight="1">
      <c r="A95" s="161"/>
      <c r="B95" s="266" t="s">
        <v>260</v>
      </c>
      <c r="C95" s="267"/>
      <c r="D95" s="267"/>
      <c r="E95" s="268"/>
      <c r="F95" s="954"/>
      <c r="G95" s="962" t="n">
        <v>1.0</v>
      </c>
      <c r="H95" s="173" t="n">
        <v>1.0</v>
      </c>
      <c r="I95" s="174" t="n">
        <v>1.0</v>
      </c>
      <c r="J95" s="663" t="n">
        <v>1.0</v>
      </c>
      <c r="K95" s="663" t="n">
        <v>1.0</v>
      </c>
      <c r="L95" s="663" t="n">
        <v>1.0</v>
      </c>
      <c r="M95" s="901" t="n">
        <v>1.0</v>
      </c>
      <c r="N95" s="943" t="n">
        <v>1.0</v>
      </c>
    </row>
    <row r="96" spans="1:14" s="264" customFormat="1" ht="13.5" customHeight="1">
      <c r="A96" s="161"/>
      <c r="B96" s="266" t="s">
        <v>261</v>
      </c>
      <c r="C96" s="267"/>
      <c r="D96" s="267"/>
      <c r="E96" s="268"/>
      <c r="F96" s="954"/>
      <c r="G96" s="963" t="n">
        <v>0.0</v>
      </c>
      <c r="H96" s="175" t="n">
        <v>0.0</v>
      </c>
      <c r="I96" s="176" t="n">
        <v>0.0</v>
      </c>
      <c r="J96" s="664" t="n">
        <v>0.0</v>
      </c>
      <c r="K96" s="664" t="n">
        <v>0.0</v>
      </c>
      <c r="L96" s="664" t="n">
        <v>0.0</v>
      </c>
      <c r="M96" s="902" t="n">
        <v>0.0</v>
      </c>
      <c r="N96" s="944" t="n">
        <v>0.0</v>
      </c>
    </row>
    <row r="97" spans="1:14" s="264" customFormat="1" ht="13.5" customHeight="1">
      <c r="A97" s="170" t="s">
        <v>407</v>
      </c>
      <c r="B97" s="164"/>
      <c r="C97" s="165"/>
      <c r="D97" s="165"/>
      <c r="E97" s="269"/>
      <c r="F97" s="954"/>
      <c r="G97" s="964" t="n">
        <f>IF(G101&lt;&gt;0,IF(('(参考)保険料の推計に要する係数'!$D$5+0.05)-'(参考)保険料の推計に要する係数'!$D$5*G98*G101&gt;0,ROUND(('(参考)保険料の推計に要する係数'!$D$5+0.05)-('(参考)保険料の推計に要する係数'!$D$5*G98*G101),4),0),0)</f>
        <v>0.0614</v>
      </c>
      <c r="H97" s="171" t="n">
        <f>IF(H101&lt;&gt;0,IF(('(参考)保険料の推計に要する係数'!$D$5+0.05)-'(参考)保険料の推計に要する係数'!$D$5*H98*H101&gt;0,ROUND(('(参考)保険料の推計に要する係数'!$D$5+0.05)-('(参考)保険料の推計に要する係数'!$D$5*H98*H101),4),0),0)</f>
        <v>0.0593</v>
      </c>
      <c r="I97" s="965" t="n">
        <f>IF(I101&lt;&gt;0,IF(('(参考)保険料の推計に要する係数'!$D$5+0.05)-'(参考)保険料の推計に要する係数'!$D$5*I98*I101&gt;0,ROUND(('(参考)保険料の推計に要する係数'!$D$5+0.05)-('(参考)保険料の推計に要する係数'!$D$5*I98*I101),4),0),0)</f>
        <v>0.0569</v>
      </c>
      <c r="J97" s="665" t="n">
        <f>IF(J101&lt;&gt;0,IF(('(参考)保険料の推計に要する係数'!$E$5+0.05)-'(参考)保険料の推計に要する係数'!$E$5*J98*J101&gt;0,ROUND(('(参考)保険料の推計に要する係数'!$E$5+0.05)-('(参考)保険料の推計に要する係数'!$E$5*J98*J101),4),0),0)</f>
        <v>0.0476</v>
      </c>
      <c r="K97" s="665" t="n">
        <f>IF(K101&lt;&gt;0,IF(('(参考)保険料の推計に要する係数'!$F$5+0.05)-'(参考)保険料の推計に要する係数'!$F$5*K98*K101&gt;0,ROUND(('(参考)保険料の推計に要する係数'!$F$5+0.05)-('(参考)保険料の推計に要する係数'!$F$5*K98*K101),4),0),0)</f>
        <v>0.0737</v>
      </c>
      <c r="L97" s="665" t="n">
        <f>IF(L101&lt;&gt;0,IF(('(参考)保険料の推計に要する係数'!$G$5+0.05)-'(参考)保険料の推計に要する係数'!$G$5*L98*L101&gt;0,ROUND(('(参考)保険料の推計に要する係数'!$G$5+0.05)-('(参考)保険料の推計に要する係数'!$G$5*L98*L101),4),0),0)</f>
        <v>0.107</v>
      </c>
      <c r="M97" s="665" t="n">
        <f>IF(M101&lt;&gt;0,IF(('(参考)保険料の推計に要する係数'!$H$5+0.05)-'(参考)保険料の推計に要する係数'!$H$5*M98*M101&gt;0,ROUND(('(参考)保険料の推計に要する係数'!$H$5+0.05)-('(参考)保険料の推計に要する係数'!$H$5*M98*M101),4),0),0)</f>
        <v>0.1221</v>
      </c>
      <c r="N97" s="945" t="n">
        <f>IF(N101&lt;&gt;0,IF(('(参考)保険料の推計に要する係数'!$I$5+0.05)-'(参考)保険料の推計に要する係数'!$I$5*N98*N101&gt;0,ROUND(('(参考)保険料の推計に要する係数'!$I$5+0.05)-('(参考)保険料の推計に要する係数'!$I$5*N98*N101),4),0),0)</f>
        <v>0.1087</v>
      </c>
    </row>
    <row r="98" spans="1:14" s="264" customFormat="1" ht="13.5" customHeight="1">
      <c r="A98" s="821"/>
      <c r="B98" s="164" t="s">
        <v>408</v>
      </c>
      <c r="C98" s="166"/>
      <c r="D98" s="166"/>
      <c r="E98" s="167"/>
      <c r="F98" s="954"/>
      <c r="G98" s="882" t="n">
        <f>IF(SUM(G112:G113)&gt;0,
                 ROUND(
                              (
                                    '(参考)保険料の推計に要する係数'!D9*'(参考)保険料の推計に要する係数'!D12
                                  +'(参考)保険料の推計に要する係数'!D10*'(参考)保険料の推計に要する係数'!D13
                                  +'(参考)保険料の推計に要する係数'!D11*'(参考)保険料の推計に要する係数'!D14
                              )
                              /
                              (
                                   ROUND(G112/G111,4)*'(参考)保険料の推計に要する係数'!D12
                                  +ROUND(G114/G111,4)*'(参考)保険料の推計に要する係数'!D13
                                  +ROUND(G115/G111,4)*'(参考)保険料の推計に要する係数'!D14
                              ),4),0)</f>
        <v>0.9832</v>
      </c>
      <c r="H98" s="882" t="n">
        <f>IF(SUM(H112:H113)&gt;0,
                 ROUND(
                              (
                                    '(参考)保険料の推計に要する係数'!E9*'(参考)保険料の推計に要する係数'!E12
                                  +'(参考)保険料の推計に要する係数'!E10*'(参考)保険料の推計に要する係数'!E13
                                  +'(参考)保険料の推計に要する係数'!E11*'(参考)保険料の推計に要する係数'!E14
                              )
                              /
                              (
                                   ROUND(H112/H111,4)*'(参考)保険料の推計に要する係数'!E12
                                  +ROUND(H114/H111,4)*'(参考)保険料の推計に要する係数'!E13
                                  +ROUND(H115/H111,4)*'(参考)保険料の推計に要する係数'!E14
                              ),4),0)</f>
        <v>0.9935</v>
      </c>
      <c r="I98" s="883" t="n">
        <f>IF(SUM(I112:I113)&gt;0,
                 ROUND(
                              (
                                    '(参考)保険料の推計に要する係数'!F9*'(参考)保険料の推計に要する係数'!F12
                                  +'(参考)保険料の推計に要する係数'!F10*'(参考)保険料の推計に要する係数'!F13
                                  +'(参考)保険料の推計に要する係数'!F11*'(参考)保険料の推計に要する係数'!F14
                              )
                              /
                              (
                                   ROUND(I112/I111,4)*'(参考)保険料の推計に要する係数'!F12
                                  +ROUND(I114/I111,4)*'(参考)保険料の推計に要する係数'!F13
                                  +ROUND(I115/I111,4)*'(参考)保険料の推計に要する係数'!F14
                              ),4),0)</f>
        <v>1.0055</v>
      </c>
      <c r="J98" s="666" t="n">
        <f>IF(SUM(J112:J113)&gt;0,
                 ROUND(
                              (
                                    '(参考)保険料の推計に要する係数'!G9*'(参考)保険料の推計に要する係数'!G12
                                  +'(参考)保険料の推計に要する係数'!G10*'(参考)保険料の推計に要する係数'!G13
                                  +'(参考)保険料の推計に要する係数'!G11*'(参考)保険料の推計に要する係数'!G14
                              )
                              /
                              (
                                   ROUND(J112/J111,4)*'(参考)保険料の推計に要する係数'!G12
                                  +ROUND(J114/J111,4)*'(参考)保険料の推計に要する係数'!G13
                                  +ROUND(J115/J111,4)*'(参考)保険料の推計に要する係数'!G14
                              ),4),0)</f>
        <v>1.0491</v>
      </c>
      <c r="K98" s="666" t="n">
        <f>IF(SUM(K112:K113)&gt;0,
                 ROUND(
                              (
                                    '(参考)保険料の推計に要する係数'!H9*'(参考)保険料の推計に要する係数'!H12
                                  +'(参考)保険料の推計に要する係数'!H10*'(参考)保険料の推計に要する係数'!H13
                                  +'(参考)保険料の推計に要する係数'!H11*'(参考)保険料の推計に要する係数'!H14
                              )
                              /
                              (
                                   ROUND(K112/K111,4)*'(参考)保険料の推計に要する係数'!H12
                                  +ROUND(K114/K111,4)*'(参考)保険料の推計に要する係数'!H13
                                  +ROUND(K115/K111,4)*'(参考)保険料の推計に要する係数'!H14
                              ),4),0)</f>
        <v>0.9463</v>
      </c>
      <c r="L98" s="666" t="n">
        <f>IF(SUM(L112:L113)&gt;0,
                 ROUND(
                              (
                                    '(参考)保険料の推計に要する係数'!I9*'(参考)保険料の推計に要する係数'!I12
                                  +'(参考)保険料の推計に要する係数'!I10*'(参考)保険料の推計に要する係数'!I13
                                  +'(参考)保険料の推計に要する係数'!I11*'(参考)保険料の推計に要する係数'!I14
                              )
                              /
                              (
                                   ROUND(L112/L111,4)*'(参考)保険料の推計に要する係数'!I12
                                  +ROUND(L114/L111,4)*'(参考)保険料の推計に要する係数'!I13
                                  +ROUND(L115/L111,4)*'(参考)保険料の推計に要する係数'!I14
                              ),4),0)</f>
        <v>0.8211</v>
      </c>
      <c r="M98" s="666" t="n">
        <f>IF(SUM(M112:M113)&gt;0,
                 ROUND(
                              (
                                    '(参考)保険料の推計に要する係数'!J9*'(参考)保険料の推計に要する係数'!J12
                                  +'(参考)保険料の推計に要する係数'!J10*'(参考)保険料の推計に要する係数'!J13
                                  +'(参考)保険料の推計に要する係数'!J11*'(参考)保険料の推計に要する係数'!J14
                              )
                              /
                              (
                                   ROUND(M112/M111,4)*'(参考)保険料の推計に要する係数'!J12
                                  +ROUND(M114/M111,4)*'(参考)保険料の推計に要する係数'!J13
                                  +ROUND(M115/M111,4)*'(参考)保険料の推計に要する係数'!J14
                              ),4),0)</f>
        <v>0.775</v>
      </c>
      <c r="N98" s="946" t="n">
        <f>IF(SUM(N112:N113)&gt;0,
                 ROUND(
                              (
                                    '(参考)保険料の推計に要する係数'!K9*'(参考)保険料の推計に要する係数'!K12
                                  +'(参考)保険料の推計に要する係数'!K10*'(参考)保険料の推計に要する係数'!K13
                                  +'(参考)保険料の推計に要する係数'!K11*'(参考)保険料の推計に要する係数'!K14
                              )
                              /
                              (
                                   ROUND(N112/N111,4)*'(参考)保険料の推計に要する係数'!K12
                                  +ROUND(N114/N111,4)*'(参考)保険料の推計に要する係数'!K13
                                  +ROUND(N115/N111,4)*'(参考)保険料の推計に要する係数'!K14
                              ),4),0)</f>
        <v>0.8368</v>
      </c>
    </row>
    <row r="99" spans="1:14" s="264" customFormat="1" ht="13.5" hidden="1" customHeight="1">
      <c r="A99" s="161"/>
      <c r="B99" s="822"/>
      <c r="C99" s="881"/>
      <c r="D99" s="823"/>
      <c r="E99" s="824"/>
      <c r="F99" s="954"/>
      <c r="G99" s="966"/>
      <c r="H99" s="884"/>
      <c r="I99" s="967"/>
      <c r="J99" s="885"/>
      <c r="K99" s="885"/>
      <c r="L99" s="885"/>
      <c r="M99" s="885"/>
      <c r="N99" s="947"/>
    </row>
    <row r="100" spans="1:14" s="264" customFormat="1" ht="13.5" hidden="1" customHeight="1">
      <c r="A100" s="161"/>
      <c r="B100" s="825"/>
      <c r="C100" s="881"/>
      <c r="D100" s="823"/>
      <c r="E100" s="824"/>
      <c r="F100" s="954"/>
      <c r="G100" s="966"/>
      <c r="H100" s="884"/>
      <c r="I100" s="967"/>
      <c r="J100" s="886"/>
      <c r="K100" s="886"/>
      <c r="L100" s="886"/>
      <c r="M100" s="886"/>
      <c r="N100" s="948"/>
    </row>
    <row r="101" spans="1:14" s="264" customFormat="1" ht="13.5" customHeight="1">
      <c r="A101" s="161"/>
      <c r="B101" s="162" t="s">
        <v>409</v>
      </c>
      <c r="C101" s="168"/>
      <c r="D101" s="168"/>
      <c r="E101" s="169"/>
      <c r="F101" s="954"/>
      <c r="G101" s="968" t="n">
        <f>IF(G149&gt;0,ROUND(
                            1-(
                                    (1-G279)*(ROUND(G117,3)-'(参考)保険料の推計に要する係数'!$D17)
                                 +(1-G280)*(ROUND(G118,3)-'(参考)保険料の推計に要する係数'!$D18)
                                 +(1-G281)*(ROUND(G119,3)-'(参考)保険料の推計に要する係数'!$D19)
                                   +(1-G282)*(ROUND(G120,3)-'(参考)保険料の推計に要する係数'!$D20)
                                     +(1-G283)*(ROUND(G121,3)-'(参考)保険料の推計に要する係数'!$D21)
                                   +(1-G284)*(ROUND(G122,3)-'(参考)保険料の推計に要する係数'!$D22)
                                   +(1-G285)*(ROUND(G123,3)-'(参考)保険料の推計に要する係数'!$D23)
                                   +(1-G286)*(ROUND(G124,3)-'(参考)保険料の推計に要する係数'!$D24)
                                   +(1-G287)*(ROUND(G125,3)-'(参考)保険料の推計に要する係数'!$D25)
                                   +(1-G288)*(ROUND(G126,3)-'(参考)保険料の推計に要する係数'!$D26)
                                   +(1-G289)*(ROUND(G127,3)-'(参考)保険料の推計に要する係数'!$D27)
                                   +(1-G290)*(ROUND(G128,3)-'(参考)保険料の推計に要する係数'!$D28)
                                   +(1-G291)*(ROUND(G129,3)-'(参考)保険料の推計に要する係数'!$D29)
                                   +(1-G292)*(ROUND(G130,3)-'(参考)保険料の推計に要する係数'!$D30)
                                   +(1-G293)*(ROUND(G131,3)-'(参考)保険料の推計に要する係数'!$D31)
                                 ),4),0)</f>
        <v>0.9667</v>
      </c>
      <c r="H101" s="968" t="n">
        <f>IF(H149&gt;0,ROUND(
                            1-(
                                    (1-H279)*(ROUND(H117,3)-'(参考)保険料の推計に要する係数'!$D17)
                                 +(1-H280)*(ROUND(H118,3)-'(参考)保険料の推計に要する係数'!$D18)
                                 +(1-H281)*(ROUND(H119,3)-'(参考)保険料の推計に要する係数'!$D19)
                                   +(1-H282)*(ROUND(H120,3)-'(参考)保険料の推計に要する係数'!$D20)
                                     +(1-H283)*(ROUND(H121,3)-'(参考)保険料の推計に要する係数'!$D21)
                                   +(1-H284)*(ROUND(H122,3)-'(参考)保険料の推計に要する係数'!$D22)
                                   +(1-H285)*(ROUND(H123,3)-'(参考)保険料の推計に要する係数'!$D23)
                                   +(1-H286)*(ROUND(H124,3)-'(参考)保険料の推計に要する係数'!$D24)
                                   +(1-H287)*(ROUND(H125,3)-'(参考)保険料の推計に要する係数'!$D25)
                                   +(1-H288)*(ROUND(H126,3)-'(参考)保険料の推計に要する係数'!$D26)
                                   +(1-H289)*(ROUND(H127,3)-'(参考)保険料の推計に要する係数'!$D27)
                                   +(1-H290)*(ROUND(H128,3)-'(参考)保険料の推計に要する係数'!$D28)
                                   +(1-H291)*(ROUND(H129,3)-'(参考)保険料の推計に要する係数'!$D29)
                                   +(1-H292)*(ROUND(H130,3)-'(参考)保険料の推計に要する係数'!$D30)
                                   +(1-H293)*(ROUND(H131,3)-'(参考)保険料の推計に要する係数'!$D31)
                                 ),4),0)</f>
        <v>0.9659</v>
      </c>
      <c r="I101" s="992" t="n">
        <f>IF(I149&gt;0,ROUND(
                            1-(
                                    (1-I279)*(ROUND(I117,3)-'(参考)保険料の推計に要する係数'!$D17)
                                 +(1-I280)*(ROUND(I118,3)-'(参考)保険料の推計に要する係数'!$D18)
                                 +(1-I281)*(ROUND(I119,3)-'(参考)保険料の推計に要する係数'!$D19)
                                   +(1-I282)*(ROUND(I120,3)-'(参考)保険料の推計に要する係数'!$D20)
                                     +(1-I283)*(ROUND(I121,3)-'(参考)保険料の推計に要する係数'!$D21)
                                   +(1-I284)*(ROUND(I122,3)-'(参考)保険料の推計に要する係数'!$D22)
                                   +(1-I285)*(ROUND(I123,3)-'(参考)保険料の推計に要する係数'!$D23)
                                   +(1-I286)*(ROUND(I124,3)-'(参考)保険料の推計に要する係数'!$D24)
                                   +(1-I287)*(ROUND(I125,3)-'(参考)保険料の推計に要する係数'!$D25)
                                   +(1-I288)*(ROUND(I126,3)-'(参考)保険料の推計に要する係数'!$D26)
                                   +(1-I289)*(ROUND(I127,3)-'(参考)保険料の推計に要する係数'!$D27)
                                   +(1-I290)*(ROUND(I128,3)-'(参考)保険料の推計に要する係数'!$D28)
                                   +(1-I291)*(ROUND(I129,3)-'(参考)保険料の推計に要する係数'!$D29)
                                   +(1-I292)*(ROUND(I130,3)-'(参考)保険料の推計に要する係数'!$D30)
                                   +(1-I293)*(ROUND(I131,3)-'(参考)保険料の推計に要する係数'!$D31)
                                 ),4),0)</f>
        <v>0.9645</v>
      </c>
      <c r="J101" s="993" t="n">
        <f>IF(J149&gt;0,ROUND(
                            1-(
                                    (1-J279)*(ROUND(J117,3)-'(参考)保険料の推計に要する係数'!$D17)
                                 +(1-J280)*(ROUND(J118,3)-'(参考)保険料の推計に要する係数'!$D18)
                                 +(1-J281)*(ROUND(J119,3)-'(参考)保険料の推計に要する係数'!$D19)
                                   +(1-J282)*(ROUND(J120,3)-'(参考)保険料の推計に要する係数'!$D20)
                                     +(1-J283)*(ROUND(J121,3)-'(参考)保険料の推計に要する係数'!$D21)
                                   +(1-J284)*(ROUND(J122,3)-'(参考)保険料の推計に要する係数'!$D22)
                                   +(1-J285)*(ROUND(J123,3)-'(参考)保険料の推計に要する係数'!$D23)
                                   +(1-J286)*(ROUND(J124,3)-'(参考)保険料の推計に要する係数'!$D24)
                                   +(1-J287)*(ROUND(J125,3)-'(参考)保険料の推計に要する係数'!$D25)
                                   +(1-J288)*(ROUND(J126,3)-'(参考)保険料の推計に要する係数'!$D26)
                                   +(1-J289)*(ROUND(J127,3)-'(参考)保険料の推計に要する係数'!$D27)
                                   +(1-J290)*(ROUND(J128,3)-'(参考)保険料の推計に要する係数'!$D28)
                                   +(1-J291)*(ROUND(J129,3)-'(参考)保険料の推計に要する係数'!$D29)
                                   +(1-J292)*(ROUND(J130,3)-'(参考)保険料の推計に要する係数'!$D30)
                                   +(1-J293)*(ROUND(J131,3)-'(参考)保険料の推計に要する係数'!$D31)
                                 ),4),0)</f>
        <v>0.9629</v>
      </c>
      <c r="K101" s="993" t="n">
        <f>IF(K149&gt;0,ROUND(
                            1-(
                                    (1-K279)*(ROUND(K117,3)-'(参考)保険料の推計に要する係数'!$D17)
                                 +(1-K280)*(ROUND(K118,3)-'(参考)保険料の推計に要する係数'!$D18)
                                 +(1-K281)*(ROUND(K119,3)-'(参考)保険料の推計に要する係数'!$D19)
                                   +(1-K282)*(ROUND(K120,3)-'(参考)保険料の推計に要する係数'!$D20)
                                     +(1-K283)*(ROUND(K121,3)-'(参考)保険料の推計に要する係数'!$D21)
                                   +(1-K284)*(ROUND(K122,3)-'(参考)保険料の推計に要する係数'!$D22)
                                   +(1-K285)*(ROUND(K123,3)-'(参考)保険料の推計に要する係数'!$D23)
                                   +(1-K286)*(ROUND(K124,3)-'(参考)保険料の推計に要する係数'!$D24)
                                   +(1-K287)*(ROUND(K125,3)-'(参考)保険料の推計に要する係数'!$D25)
                                   +(1-K288)*(ROUND(K126,3)-'(参考)保険料の推計に要する係数'!$D26)
                                   +(1-K289)*(ROUND(K127,3)-'(参考)保険料の推計に要する係数'!$D27)
                                   +(1-K290)*(ROUND(K128,3)-'(参考)保険料の推計に要する係数'!$D28)
                                   +(1-K291)*(ROUND(K129,3)-'(参考)保険料の推計に要する係数'!$D29)
                                   +(1-K292)*(ROUND(K130,3)-'(参考)保険料の推計に要する係数'!$D30)
                                   +(1-K293)*(ROUND(K131,3)-'(参考)保険料の推計に要する係数'!$D31)
                                 ),4),0)</f>
        <v>0.9567</v>
      </c>
      <c r="L101" s="993" t="n">
        <f>IF(L149&gt;0,ROUND(
                            1-(
                                    (1-L279)*(ROUND(L117,3)-'(参考)保険料の推計に要する係数'!$D17)
                                 +(1-L280)*(ROUND(L118,3)-'(参考)保険料の推計に要する係数'!$D18)
                                 +(1-L281)*(ROUND(L119,3)-'(参考)保険料の推計に要する係数'!$D19)
                                   +(1-L282)*(ROUND(L120,3)-'(参考)保険料の推計に要する係数'!$D20)
                                     +(1-L283)*(ROUND(L121,3)-'(参考)保険料の推計に要する係数'!$D21)
                                   +(1-L284)*(ROUND(L122,3)-'(参考)保険料の推計に要する係数'!$D22)
                                   +(1-L285)*(ROUND(L123,3)-'(参考)保険料の推計に要する係数'!$D23)
                                   +(1-L286)*(ROUND(L124,3)-'(参考)保険料の推計に要する係数'!$D24)
                                   +(1-L287)*(ROUND(L125,3)-'(参考)保険料の推計に要する係数'!$D25)
                                   +(1-L288)*(ROUND(L126,3)-'(参考)保険料の推計に要する係数'!$D26)
                                   +(1-L289)*(ROUND(L127,3)-'(参考)保険料の推計に要する係数'!$D27)
                                   +(1-L290)*(ROUND(L128,3)-'(参考)保険料の推計に要する係数'!$D28)
                                   +(1-L291)*(ROUND(L129,3)-'(参考)保険料の推計に要する係数'!$D29)
                                   +(1-L292)*(ROUND(L130,3)-'(参考)保険料の推計に要する係数'!$D30)
                                   +(1-L293)*(ROUND(L131,3)-'(参考)保険料の推計に要する係数'!$D31)
                                 ),4),0)</f>
        <v>0.9508</v>
      </c>
      <c r="M101" s="993" t="n">
        <f>IF(M149&gt;0,ROUND(
                            1-(
                                    (1-M279)*(ROUND(M117,3)-'(参考)保険料の推計に要する係数'!$D17)
                                 +(1-M280)*(ROUND(M118,3)-'(参考)保険料の推計に要する係数'!$D18)
                                 +(1-M281)*(ROUND(M119,3)-'(参考)保険料の推計に要する係数'!$D19)
                                   +(1-M282)*(ROUND(M120,3)-'(参考)保険料の推計に要する係数'!$D20)
                                     +(1-M283)*(ROUND(M121,3)-'(参考)保険料の推計に要する係数'!$D21)
                                   +(1-M284)*(ROUND(M122,3)-'(参考)保険料の推計に要する係数'!$D22)
                                   +(1-M285)*(ROUND(M123,3)-'(参考)保険料の推計に要する係数'!$D23)
                                   +(1-M286)*(ROUND(M124,3)-'(参考)保険料の推計に要する係数'!$D24)
                                   +(1-M287)*(ROUND(M125,3)-'(参考)保険料の推計に要する係数'!$D25)
                                   +(1-M288)*(ROUND(M126,3)-'(参考)保険料の推計に要する係数'!$D26)
                                   +(1-M289)*(ROUND(M127,3)-'(参考)保険料の推計に要する係数'!$D27)
                                   +(1-M290)*(ROUND(M128,3)-'(参考)保険料の推計に要する係数'!$D28)
                                   +(1-M291)*(ROUND(M129,3)-'(参考)保険料の推計に要する係数'!$D29)
                                   +(1-M292)*(ROUND(M130,3)-'(参考)保険料の推計に要する係数'!$D30)
                                   +(1-M293)*(ROUND(M131,3)-'(参考)保険料の推計に要する係数'!$D31)
                                 ),4),0)</f>
        <v>0.9456</v>
      </c>
      <c r="N101" s="994" t="n">
        <f>IF(N149&gt;0,ROUND(
                            1-(
                                    (1-N279)*(ROUND(N117,3)-'(参考)保険料の推計に要する係数'!$D17)
                                 +(1-N280)*(ROUND(N118,3)-'(参考)保険料の推計に要する係数'!$D18)
                                 +(1-N281)*(ROUND(N119,3)-'(参考)保険料の推計に要する係数'!$D19)
                                   +(1-N282)*(ROUND(N120,3)-'(参考)保険料の推計に要する係数'!$D20)
                                     +(1-N283)*(ROUND(N121,3)-'(参考)保険料の推計に要する係数'!$D21)
                                   +(1-N284)*(ROUND(N122,3)-'(参考)保険料の推計に要する係数'!$D22)
                                   +(1-N285)*(ROUND(N123,3)-'(参考)保険料の推計に要する係数'!$D23)
                                   +(1-N286)*(ROUND(N124,3)-'(参考)保険料の推計に要する係数'!$D24)
                                   +(1-N287)*(ROUND(N125,3)-'(参考)保険料の推計に要する係数'!$D25)
                                   +(1-N288)*(ROUND(N126,3)-'(参考)保険料の推計に要する係数'!$D26)
                                   +(1-N289)*(ROUND(N127,3)-'(参考)保険料の推計に要する係数'!$D27)
                                   +(1-N290)*(ROUND(N128,3)-'(参考)保険料の推計に要する係数'!$D28)
                                   +(1-N291)*(ROUND(N129,3)-'(参考)保険料の推計に要する係数'!$D29)
                                   +(1-N292)*(ROUND(N130,3)-'(参考)保険料の推計に要する係数'!$D30)
                                   +(1-N293)*(ROUND(N131,3)-'(参考)保険料の推計に要する係数'!$D31)
                                 ),4),0)</f>
        <v>0.9447</v>
      </c>
    </row>
    <row r="102" spans="1:14">
      <c r="A102" s="270" t="s">
        <v>154</v>
      </c>
      <c r="B102" s="271"/>
      <c r="C102" s="271"/>
      <c r="D102" s="271"/>
      <c r="E102" s="271"/>
      <c r="F102" s="172" t="n">
        <f>SUM(G102:I102)</f>
        <v>0.0</v>
      </c>
      <c r="G102" s="249" t="n">
        <v>0.0</v>
      </c>
      <c r="H102" s="815" t="n">
        <v>0.0</v>
      </c>
      <c r="I102" s="949" t="n">
        <v>0.0</v>
      </c>
      <c r="J102" s="660" t="n">
        <v>0.0</v>
      </c>
      <c r="K102" s="808" t="n">
        <v>0.0</v>
      </c>
      <c r="L102" s="808" t="n">
        <v>0.0</v>
      </c>
      <c r="M102" s="899" t="n">
        <v>0.0</v>
      </c>
      <c r="N102" s="809" t="n">
        <v>0.0</v>
      </c>
    </row>
    <row r="103" spans="1:14">
      <c r="A103" s="272" t="s">
        <v>155</v>
      </c>
      <c r="B103" s="209"/>
      <c r="C103" s="209"/>
      <c r="D103" s="209"/>
      <c r="E103" s="209"/>
      <c r="F103" s="950" t="n">
        <v>0.0</v>
      </c>
      <c r="G103" s="273"/>
      <c r="H103" s="274"/>
      <c r="I103" s="275"/>
      <c r="J103" s="660" t="n">
        <v>0.0</v>
      </c>
      <c r="K103" s="808" t="n">
        <v>0.0</v>
      </c>
      <c r="L103" s="808" t="n">
        <v>0.0</v>
      </c>
      <c r="M103" s="899" t="n">
        <v>0.0</v>
      </c>
      <c r="N103" s="809" t="n">
        <v>0.0</v>
      </c>
    </row>
    <row r="104" spans="1:14" ht="14.25" thickBot="1">
      <c r="A104" s="276" t="s">
        <v>416</v>
      </c>
      <c r="B104" s="277"/>
      <c r="C104" s="277"/>
      <c r="D104" s="277"/>
      <c r="E104" s="277"/>
      <c r="F104" s="951" t="n">
        <v>0.0</v>
      </c>
      <c r="G104" s="278"/>
      <c r="H104" s="279"/>
      <c r="I104" s="280"/>
      <c r="J104" s="667" t="n">
        <v>0.0</v>
      </c>
      <c r="K104" s="826" t="n">
        <v>0.0</v>
      </c>
      <c r="L104" s="826" t="n">
        <v>0.0</v>
      </c>
      <c r="M104" s="903" t="n">
        <v>0.0</v>
      </c>
      <c r="N104" s="827" t="n">
        <v>0.0</v>
      </c>
    </row>
    <row r="105" spans="1:14" ht="14.25" thickBot="1">
      <c r="A105" s="202" t="s">
        <v>410</v>
      </c>
      <c r="B105" s="203"/>
      <c r="C105" s="203"/>
      <c r="D105" s="203"/>
      <c r="E105" s="203"/>
      <c r="F105" s="281" t="n">
        <f>F92+F93-F94+F18+F21-F15+F85+F102+F103-F104</f>
        <v>7.684887586500001E8</v>
      </c>
      <c r="G105" s="282"/>
      <c r="H105" s="283"/>
      <c r="I105" s="284"/>
      <c r="J105" s="668" t="n">
        <f>J92+J93-J94+G18+G21-G15+J85+J102+J103-J104</f>
        <v>2.8871109466E8</v>
      </c>
      <c r="K105" s="828" t="n">
        <f>K92+K93-K94+H18+H21-H15+K85+K102+K103-K104</f>
        <v>2.9081359575E8</v>
      </c>
      <c r="L105" s="828" t="n">
        <f>L92+L93-L94+I18+I21-I15+L85+L102+L103-L104</f>
        <v>2.8479335064000005E8</v>
      </c>
      <c r="M105" s="904" t="n">
        <f>M92+M93-M94+J18+J21-J15+M85+M102+M103-M104</f>
        <v>2.7366707841E8</v>
      </c>
      <c r="N105" s="829" t="n">
        <f>N92+N93-N94+K18+K21-K15+N85+N102+N103-N104</f>
        <v>2.7150448276000005E8</v>
      </c>
    </row>
    <row r="106" spans="1:14" ht="14.25" thickBot="1">
      <c r="A106" s="199" t="s">
        <v>156</v>
      </c>
      <c r="B106" s="200"/>
      <c r="C106" s="200"/>
      <c r="D106" s="200"/>
      <c r="E106" s="200"/>
      <c r="F106" s="285" t="n">
        <v>0.96</v>
      </c>
      <c r="G106" s="286"/>
      <c r="H106" s="287"/>
      <c r="I106" s="288"/>
      <c r="J106" s="669" t="n">
        <v>0.96</v>
      </c>
      <c r="K106" s="830" t="n">
        <v>0.96</v>
      </c>
      <c r="L106" s="830" t="n">
        <v>0.96</v>
      </c>
      <c r="M106" s="905" t="n">
        <v>0.96</v>
      </c>
      <c r="N106" s="831" t="n">
        <v>0.96</v>
      </c>
    </row>
    <row r="107" spans="1:14">
      <c r="F107" s="215"/>
    </row>
    <row r="108" spans="1:14" ht="14.25" thickBot="1">
      <c r="A108" s="198" t="s">
        <v>157</v>
      </c>
    </row>
    <row r="109" spans="1:14">
      <c r="A109" s="230"/>
      <c r="B109" s="231"/>
      <c r="C109" s="231"/>
      <c r="D109" s="231"/>
      <c r="E109" s="231"/>
      <c r="F109" s="1112" t="s">
        <v>351</v>
      </c>
      <c r="G109" s="1113"/>
      <c r="H109" s="1113"/>
      <c r="I109" s="1114"/>
      <c r="J109" s="1115" t="s">
        <v>383</v>
      </c>
      <c r="K109" s="1115" t="s">
        <v>324</v>
      </c>
      <c r="L109" s="1115" t="s">
        <v>323</v>
      </c>
      <c r="M109" s="1129" t="s">
        <v>322</v>
      </c>
      <c r="N109" s="1127" t="s">
        <v>349</v>
      </c>
    </row>
    <row r="110" spans="1:14" ht="14.25" thickBot="1">
      <c r="A110" s="232"/>
      <c r="F110" s="233" t="s">
        <v>150</v>
      </c>
      <c r="G110" s="234" t="s">
        <v>362</v>
      </c>
      <c r="H110" s="235" t="s">
        <v>361</v>
      </c>
      <c r="I110" s="236" t="s">
        <v>360</v>
      </c>
      <c r="J110" s="1116"/>
      <c r="K110" s="1126"/>
      <c r="L110" s="1126"/>
      <c r="M110" s="1130"/>
      <c r="N110" s="1128"/>
    </row>
    <row r="111" spans="1:14">
      <c r="A111" s="132" t="s">
        <v>158</v>
      </c>
      <c r="B111" s="85"/>
      <c r="C111" s="85"/>
      <c r="D111" s="85"/>
      <c r="E111" s="289"/>
      <c r="F111" s="629" t="n">
        <f>SUM(G111:I111)</f>
        <v>9611.0</v>
      </c>
      <c r="G111" s="290" t="n">
        <f>'1_推計値サマリ'!G12</f>
        <v>3231.0</v>
      </c>
      <c r="H111" s="290" t="n">
        <f>'1_推計値サマリ'!H12</f>
        <v>3203.0</v>
      </c>
      <c r="I111" s="291" t="n">
        <f>'1_推計値サマリ'!I12</f>
        <v>3177.0</v>
      </c>
      <c r="J111" s="649" t="n">
        <f>'1_推計値サマリ'!K12</f>
        <v>3149.0</v>
      </c>
      <c r="K111" s="832" t="n">
        <f>'1_推計値サマリ'!M12</f>
        <v>2967.0</v>
      </c>
      <c r="L111" s="832" t="n">
        <f>'1_推計値サマリ'!O12</f>
        <v>2835.0</v>
      </c>
      <c r="M111" s="906" t="n">
        <f>'1_推計値サマリ'!Q12</f>
        <v>2639.0</v>
      </c>
      <c r="N111" s="833" t="n">
        <f>'1_推計値サマリ'!S12</f>
        <v>2494.0</v>
      </c>
    </row>
    <row r="112" spans="1:14">
      <c r="A112" s="84"/>
      <c r="B112" s="135" t="s">
        <v>159</v>
      </c>
      <c r="C112" s="136"/>
      <c r="D112" s="136"/>
      <c r="E112" s="141"/>
      <c r="F112" s="630" t="n">
        <f>SUM(G112:I112)</f>
        <v>3949.0</v>
      </c>
      <c r="G112" s="253" t="n">
        <v>1385.0</v>
      </c>
      <c r="H112" s="253" t="n">
        <v>1316.0</v>
      </c>
      <c r="I112" s="292" t="n">
        <v>1248.0</v>
      </c>
      <c r="J112" s="646" t="n">
        <v>1179.0</v>
      </c>
      <c r="K112" s="391" t="n">
        <v>945.0</v>
      </c>
      <c r="L112" s="391" t="n">
        <v>944.0</v>
      </c>
      <c r="M112" s="907" t="n">
        <v>941.0</v>
      </c>
      <c r="N112" s="834" t="n">
        <v>917.0</v>
      </c>
    </row>
    <row r="113" spans="1:14">
      <c r="A113" s="84"/>
      <c r="B113" s="157" t="s">
        <v>237</v>
      </c>
      <c r="C113" s="293"/>
      <c r="D113" s="293"/>
      <c r="E113" s="294"/>
      <c r="F113" s="295" t="n">
        <f>SUM(F114:F115)</f>
        <v>5662.0</v>
      </c>
      <c r="G113" s="296" t="n">
        <f>SUM(G114:G115)</f>
        <v>1846.0</v>
      </c>
      <c r="H113" s="296" t="n">
        <f t="shared" ref="H113:J113" si="38">SUM(H114:H115)</f>
        <v>1887.0</v>
      </c>
      <c r="I113" s="297" t="n">
        <f t="shared" si="38"/>
        <v>1929.0</v>
      </c>
      <c r="J113" s="650" t="n">
        <f t="shared" si="38"/>
        <v>1970.0</v>
      </c>
      <c r="K113" s="835" t="n">
        <f t="shared" ref="K113:M113" si="39">SUM(K114:K115)</f>
        <v>2022.0</v>
      </c>
      <c r="L113" s="835" t="n">
        <f t="shared" si="39"/>
        <v>1891.0</v>
      </c>
      <c r="M113" s="908" t="n">
        <f t="shared" si="39"/>
        <v>1698.0</v>
      </c>
      <c r="N113" s="836" t="n">
        <f t="shared" ref="N113" si="40">SUM(N114:N115)</f>
        <v>1577.0</v>
      </c>
    </row>
    <row r="114" spans="1:14">
      <c r="A114" s="84"/>
      <c r="B114" s="158"/>
      <c r="C114" s="136" t="s">
        <v>224</v>
      </c>
      <c r="D114" s="136"/>
      <c r="E114" s="141"/>
      <c r="F114" s="630" t="n">
        <f>SUM(G114:I114)</f>
        <v>3815.0</v>
      </c>
      <c r="G114" s="253" t="n">
        <v>1225.0</v>
      </c>
      <c r="H114" s="253" t="n">
        <v>1271.0</v>
      </c>
      <c r="I114" s="292" t="n">
        <v>1319.0</v>
      </c>
      <c r="J114" s="646" t="n">
        <v>1365.0</v>
      </c>
      <c r="K114" s="391" t="n">
        <v>1263.0</v>
      </c>
      <c r="L114" s="391" t="n">
        <v>998.0</v>
      </c>
      <c r="M114" s="907" t="n">
        <v>818.0</v>
      </c>
      <c r="N114" s="834" t="n">
        <v>826.0</v>
      </c>
    </row>
    <row r="115" spans="1:14">
      <c r="A115" s="84"/>
      <c r="B115" s="159"/>
      <c r="C115" s="136" t="s">
        <v>221</v>
      </c>
      <c r="D115" s="136"/>
      <c r="E115" s="141"/>
      <c r="F115" s="630" t="n">
        <f>SUM(G115:I115)</f>
        <v>1847.0</v>
      </c>
      <c r="G115" s="253" t="n">
        <v>621.0</v>
      </c>
      <c r="H115" s="253" t="n">
        <v>616.0</v>
      </c>
      <c r="I115" s="292" t="n">
        <v>610.0</v>
      </c>
      <c r="J115" s="646" t="n">
        <v>605.0</v>
      </c>
      <c r="K115" s="391" t="n">
        <v>759.0</v>
      </c>
      <c r="L115" s="391" t="n">
        <v>893.0</v>
      </c>
      <c r="M115" s="907" t="n">
        <v>880.0</v>
      </c>
      <c r="N115" s="834" t="n">
        <v>751.0</v>
      </c>
    </row>
    <row r="116" spans="1:14">
      <c r="A116" s="84"/>
      <c r="B116" s="133" t="s">
        <v>160</v>
      </c>
      <c r="C116" s="34"/>
      <c r="D116" s="34"/>
      <c r="E116" s="298"/>
      <c r="F116" s="205"/>
      <c r="G116" s="299"/>
      <c r="H116" s="299"/>
      <c r="I116" s="300"/>
      <c r="J116" s="651"/>
      <c r="K116" s="837"/>
      <c r="L116" s="837"/>
      <c r="M116" s="909"/>
      <c r="N116" s="838"/>
    </row>
    <row r="117" spans="1:14">
      <c r="A117" s="84"/>
      <c r="B117" s="133"/>
      <c r="C117" s="35" t="s">
        <v>161</v>
      </c>
      <c r="D117" s="128"/>
      <c r="E117" s="139"/>
      <c r="F117" s="301" t="n">
        <f t="shared" ref="F117" si="41">IF(F$111&gt;0,F134/F$111,0)</f>
        <v>0.13983976693372177</v>
      </c>
      <c r="G117" s="990" t="n">
        <f t="shared" ref="G117:N117" si="42">IF(G$111&gt;0,G134/G$111,0)</f>
        <v>0.13896626431445372</v>
      </c>
      <c r="H117" s="990" t="n">
        <f t="shared" si="42"/>
        <v>0.1398688729316266</v>
      </c>
      <c r="I117" s="989" t="n">
        <f t="shared" si="42"/>
        <v>0.14069877242681775</v>
      </c>
      <c r="J117" s="301" t="n">
        <f t="shared" si="42"/>
        <v>0.1416322642108606</v>
      </c>
      <c r="K117" s="301" t="n">
        <f t="shared" si="42"/>
        <v>0.1459386585776879</v>
      </c>
      <c r="L117" s="301" t="n">
        <f t="shared" si="42"/>
        <v>0.15026455026455027</v>
      </c>
      <c r="M117" s="301" t="n">
        <f t="shared" si="42"/>
        <v>0.15422508525956802</v>
      </c>
      <c r="N117" s="991" t="n">
        <f t="shared" si="42"/>
        <v>0.15757818765036086</v>
      </c>
    </row>
    <row r="118" spans="1:14">
      <c r="A118" s="84"/>
      <c r="B118" s="133"/>
      <c r="C118" s="35" t="s">
        <v>162</v>
      </c>
      <c r="D118" s="128"/>
      <c r="E118" s="139"/>
      <c r="F118" s="301" t="n">
        <f t="shared" ref="F118:F132" si="43">IF(F$111&gt;0,F135/F$111,0)</f>
        <v>0.09333055873478306</v>
      </c>
      <c r="G118" s="990" t="n">
        <f t="shared" ref="G118:N118" si="44">IF(G$111&gt;0,G135/G$111,0)</f>
        <v>0.09223150727329</v>
      </c>
      <c r="H118" s="990" t="n">
        <f t="shared" si="44"/>
        <v>0.09334998438963472</v>
      </c>
      <c r="I118" s="989" t="n">
        <f t="shared" si="44"/>
        <v>0.09442870632672333</v>
      </c>
      <c r="J118" s="301" t="n">
        <f t="shared" si="44"/>
        <v>0.09558590028580502</v>
      </c>
      <c r="K118" s="301" t="n">
        <f t="shared" si="44"/>
        <v>0.10077519379844961</v>
      </c>
      <c r="L118" s="301" t="n">
        <f t="shared" si="44"/>
        <v>0.10652557319223986</v>
      </c>
      <c r="M118" s="301" t="n">
        <f t="shared" si="44"/>
        <v>0.11178476695718075</v>
      </c>
      <c r="N118" s="991" t="n">
        <f t="shared" si="44"/>
        <v>0.11668003207698477</v>
      </c>
    </row>
    <row r="119" spans="1:14">
      <c r="A119" s="84"/>
      <c r="B119" s="133"/>
      <c r="C119" s="35" t="s">
        <v>123</v>
      </c>
      <c r="D119" s="128"/>
      <c r="E119" s="139"/>
      <c r="F119" s="301" t="n">
        <f t="shared" si="43"/>
        <v>0.09489127041931121</v>
      </c>
      <c r="G119" s="990" t="n">
        <f t="shared" ref="G119:N119" si="45">IF(G$111&gt;0,G136/G$111,0)</f>
        <v>0.0947075208913649</v>
      </c>
      <c r="H119" s="990" t="n">
        <f t="shared" si="45"/>
        <v>0.09491102091788949</v>
      </c>
      <c r="I119" s="989" t="n">
        <f t="shared" si="45"/>
        <v>0.09505823103556815</v>
      </c>
      <c r="J119" s="301" t="n">
        <f t="shared" si="45"/>
        <v>0.09526833915528739</v>
      </c>
      <c r="K119" s="301" t="n">
        <f t="shared" si="45"/>
        <v>0.09605662285136501</v>
      </c>
      <c r="L119" s="301" t="n">
        <f t="shared" si="45"/>
        <v>0.09664902998236331</v>
      </c>
      <c r="M119" s="301" t="n">
        <f t="shared" si="45"/>
        <v>0.09738537324744222</v>
      </c>
      <c r="N119" s="991" t="n">
        <f t="shared" si="45"/>
        <v>0.09743384121892543</v>
      </c>
    </row>
    <row r="120" spans="1:14">
      <c r="A120" s="84"/>
      <c r="B120" s="133"/>
      <c r="C120" s="35" t="s">
        <v>124</v>
      </c>
      <c r="D120" s="128"/>
      <c r="E120" s="139"/>
      <c r="F120" s="301" t="n">
        <f t="shared" si="43"/>
        <v>0.1239205077515347</v>
      </c>
      <c r="G120" s="990" t="n">
        <f t="shared" ref="G120:N120" si="46">IF(G$111&gt;0,G137/G$111,0)</f>
        <v>0.12380068090374496</v>
      </c>
      <c r="H120" s="990" t="n">
        <f t="shared" si="46"/>
        <v>0.12394630034342803</v>
      </c>
      <c r="I120" s="989" t="n">
        <f t="shared" si="46"/>
        <v>0.12401636764242996</v>
      </c>
      <c r="J120" s="301" t="n">
        <f t="shared" si="46"/>
        <v>0.12416640203239124</v>
      </c>
      <c r="K120" s="301" t="n">
        <f t="shared" si="46"/>
        <v>0.12537917087967643</v>
      </c>
      <c r="L120" s="301" t="n">
        <f t="shared" si="46"/>
        <v>0.12627865961199294</v>
      </c>
      <c r="M120" s="301" t="n">
        <f t="shared" si="46"/>
        <v>0.1273209549071618</v>
      </c>
      <c r="N120" s="991" t="n">
        <f t="shared" si="46"/>
        <v>0.12710505212510023</v>
      </c>
    </row>
    <row r="121" spans="1:14">
      <c r="A121" s="84"/>
      <c r="B121" s="133"/>
      <c r="C121" s="35" t="s">
        <v>125</v>
      </c>
      <c r="D121" s="128"/>
      <c r="E121" s="139"/>
      <c r="F121" s="301" t="n">
        <f t="shared" si="43"/>
        <v>0.20330870877119966</v>
      </c>
      <c r="G121" s="990" t="n">
        <f t="shared" ref="G121:N121" si="47">IF(G$111&gt;0,G138/G$111,0)</f>
        <v>0.20612813370473537</v>
      </c>
      <c r="H121" s="990" t="n">
        <f t="shared" si="47"/>
        <v>0.2032469559787699</v>
      </c>
      <c r="I121" s="989" t="n">
        <f t="shared" si="47"/>
        <v>0.20050361976707587</v>
      </c>
      <c r="J121" s="301" t="n">
        <f t="shared" si="47"/>
        <v>0.19784058431248014</v>
      </c>
      <c r="K121" s="301" t="n">
        <f t="shared" si="47"/>
        <v>0.18402426693629928</v>
      </c>
      <c r="L121" s="301" t="n">
        <f t="shared" si="47"/>
        <v>0.17001763668430336</v>
      </c>
      <c r="M121" s="301" t="n">
        <f t="shared" si="47"/>
        <v>0.1557408109132247</v>
      </c>
      <c r="N121" s="991" t="n">
        <f t="shared" si="47"/>
        <v>0.13993584603047313</v>
      </c>
    </row>
    <row r="122" spans="1:14">
      <c r="A122" s="84"/>
      <c r="B122" s="133"/>
      <c r="C122" s="35" t="s">
        <v>225</v>
      </c>
      <c r="D122" s="128"/>
      <c r="E122" s="139"/>
      <c r="F122" s="301" t="n">
        <f t="shared" si="43"/>
        <v>0.13911143481427532</v>
      </c>
      <c r="G122" s="990" t="n">
        <f t="shared" ref="G122:N122" si="48">IF(G$111&gt;0,G139/G$111,0)</f>
        <v>0.13865676261219437</v>
      </c>
      <c r="H122" s="990" t="n">
        <f t="shared" si="48"/>
        <v>0.1392444583203247</v>
      </c>
      <c r="I122" s="989" t="n">
        <f t="shared" si="48"/>
        <v>0.1394397230091281</v>
      </c>
      <c r="J122" s="301" t="n">
        <f t="shared" si="48"/>
        <v>0.14004445855827247</v>
      </c>
      <c r="K122" s="301" t="n">
        <f t="shared" si="48"/>
        <v>0.14189416919447254</v>
      </c>
      <c r="L122" s="301" t="n">
        <f t="shared" si="48"/>
        <v>0.1439153439153439</v>
      </c>
      <c r="M122" s="301" t="n">
        <f t="shared" si="48"/>
        <v>0.14550966275104207</v>
      </c>
      <c r="N122" s="991" t="n">
        <f t="shared" si="48"/>
        <v>0.14635124298315957</v>
      </c>
    </row>
    <row r="123" spans="1:14">
      <c r="A123" s="84"/>
      <c r="B123" s="133"/>
      <c r="C123" s="35" t="s">
        <v>226</v>
      </c>
      <c r="D123" s="128"/>
      <c r="E123" s="139"/>
      <c r="F123" s="301" t="n">
        <f t="shared" si="43"/>
        <v>0.11903027780667985</v>
      </c>
      <c r="G123" s="990" t="n">
        <f t="shared" ref="G123:N123" si="49">IF(G$111&gt;0,G140/G$111,0)</f>
        <v>0.11822965026307644</v>
      </c>
      <c r="H123" s="990" t="n">
        <f t="shared" si="49"/>
        <v>0.1189509834530128</v>
      </c>
      <c r="I123" s="989" t="n">
        <f t="shared" si="49"/>
        <v>0.11992445703493862</v>
      </c>
      <c r="J123" s="301" t="n">
        <f t="shared" si="49"/>
        <v>0.12067322959669737</v>
      </c>
      <c r="K123" s="301" t="n">
        <f t="shared" si="49"/>
        <v>0.12470508931580722</v>
      </c>
      <c r="L123" s="301" t="n">
        <f t="shared" si="49"/>
        <v>0.1291005291005291</v>
      </c>
      <c r="M123" s="301" t="n">
        <f t="shared" si="49"/>
        <v>0.1330049261083744</v>
      </c>
      <c r="N123" s="991" t="n">
        <f t="shared" si="49"/>
        <v>0.136327185244587</v>
      </c>
    </row>
    <row r="124" spans="1:14">
      <c r="A124" s="84"/>
      <c r="B124" s="133"/>
      <c r="C124" s="35" t="s">
        <v>227</v>
      </c>
      <c r="D124" s="128"/>
      <c r="E124" s="139"/>
      <c r="F124" s="301" t="n">
        <f t="shared" si="43"/>
        <v>0.05982728124024555</v>
      </c>
      <c r="G124" s="990" t="n">
        <f t="shared" ref="G124:N124" si="50">IF(G$111&gt;0,G141/G$111,0)</f>
        <v>0.05880532342927886</v>
      </c>
      <c r="H124" s="990" t="n">
        <f t="shared" si="50"/>
        <v>0.05994380268498283</v>
      </c>
      <c r="I124" s="989" t="n">
        <f t="shared" si="50"/>
        <v>0.06074913440352534</v>
      </c>
      <c r="J124" s="301" t="n">
        <f t="shared" si="50"/>
        <v>0.06160685932041918</v>
      </c>
      <c r="K124" s="301" t="n">
        <f t="shared" si="50"/>
        <v>0.06605999325918437</v>
      </c>
      <c r="L124" s="301" t="n">
        <f t="shared" si="50"/>
        <v>0.07054673721340388</v>
      </c>
      <c r="M124" s="301" t="n">
        <f t="shared" si="50"/>
        <v>0.0746494884425919</v>
      </c>
      <c r="N124" s="991" t="n">
        <f t="shared" si="50"/>
        <v>0.07858861267040898</v>
      </c>
    </row>
    <row r="125" spans="1:14">
      <c r="A125" s="84"/>
      <c r="B125" s="133"/>
      <c r="C125" s="35" t="s">
        <v>228</v>
      </c>
      <c r="D125" s="128"/>
      <c r="E125" s="139"/>
      <c r="F125" s="301" t="n">
        <f t="shared" si="43"/>
        <v>0.02674019352824888</v>
      </c>
      <c r="G125" s="990" t="n">
        <f t="shared" ref="G125:N125" si="51">IF(G$111&gt;0,G142/G$111,0)</f>
        <v>0.02847415660786134</v>
      </c>
      <c r="H125" s="990" t="n">
        <f t="shared" si="51"/>
        <v>0.02653762098033094</v>
      </c>
      <c r="I125" s="989" t="n">
        <f t="shared" si="51"/>
        <v>0.025180988353792885</v>
      </c>
      <c r="J125" s="301" t="n">
        <f t="shared" si="51"/>
        <v>0.0231819625277866</v>
      </c>
      <c r="K125" s="301" t="n">
        <f t="shared" si="51"/>
        <v>0.015166835187057633</v>
      </c>
      <c r="L125" s="301" t="n">
        <f t="shared" si="51"/>
        <v>0.006701940035273368</v>
      </c>
      <c r="M125" s="301" t="n">
        <f t="shared" si="51"/>
        <v>3.7893141341417203E-4</v>
      </c>
      <c r="N125" s="991" t="n">
        <f t="shared" si="51"/>
        <v>0.0</v>
      </c>
    </row>
    <row r="126" spans="1:14">
      <c r="A126" s="84"/>
      <c r="B126" s="133"/>
      <c r="C126" s="35" t="s">
        <v>332</v>
      </c>
      <c r="D126" s="128"/>
      <c r="E126" s="139"/>
      <c r="F126" s="301" t="n">
        <f t="shared" si="43"/>
        <v>0.0</v>
      </c>
      <c r="G126" s="990" t="n">
        <f t="shared" ref="G126:N126" si="52">IF(G$111&gt;0,G143/G$111,0)</f>
        <v>0.0</v>
      </c>
      <c r="H126" s="990" t="n">
        <f t="shared" si="52"/>
        <v>0.0</v>
      </c>
      <c r="I126" s="989" t="n">
        <f t="shared" si="52"/>
        <v>0.0</v>
      </c>
      <c r="J126" s="301" t="n">
        <f t="shared" si="52"/>
        <v>0.0</v>
      </c>
      <c r="K126" s="301" t="n">
        <f t="shared" si="52"/>
        <v>0.0</v>
      </c>
      <c r="L126" s="301" t="n">
        <f t="shared" si="52"/>
        <v>0.0</v>
      </c>
      <c r="M126" s="301" t="n">
        <f t="shared" si="52"/>
        <v>0.0</v>
      </c>
      <c r="N126" s="991" t="n">
        <f t="shared" si="52"/>
        <v>0.0</v>
      </c>
    </row>
    <row r="127" spans="1:14">
      <c r="A127" s="84"/>
      <c r="B127" s="133"/>
      <c r="C127" s="35" t="s">
        <v>333</v>
      </c>
      <c r="D127" s="128"/>
      <c r="E127" s="139"/>
      <c r="F127" s="301" t="n">
        <f t="shared" si="43"/>
        <v>0.0</v>
      </c>
      <c r="G127" s="990" t="n">
        <f t="shared" ref="G127:N127" si="53">IF(G$111&gt;0,G144/G$111,0)</f>
        <v>0.0</v>
      </c>
      <c r="H127" s="990" t="n">
        <f t="shared" si="53"/>
        <v>0.0</v>
      </c>
      <c r="I127" s="989" t="n">
        <f t="shared" si="53"/>
        <v>0.0</v>
      </c>
      <c r="J127" s="301" t="n">
        <f t="shared" si="53"/>
        <v>0.0</v>
      </c>
      <c r="K127" s="301" t="n">
        <f>IF(K$111&gt;0,K144/K$111,0)</f>
        <v>0.0</v>
      </c>
      <c r="L127" s="301" t="n">
        <f t="shared" si="53"/>
        <v>0.0</v>
      </c>
      <c r="M127" s="301" t="n">
        <f t="shared" si="53"/>
        <v>0.0</v>
      </c>
      <c r="N127" s="991" t="n">
        <f t="shared" si="53"/>
        <v>0.0</v>
      </c>
    </row>
    <row r="128" spans="1:14">
      <c r="A128" s="84"/>
      <c r="B128" s="133"/>
      <c r="C128" s="35" t="s">
        <v>334</v>
      </c>
      <c r="D128" s="128"/>
      <c r="E128" s="139"/>
      <c r="F128" s="301" t="n">
        <f t="shared" si="43"/>
        <v>0.0</v>
      </c>
      <c r="G128" s="990" t="n">
        <f t="shared" ref="G128:N128" si="54">IF(G$111&gt;0,G145/G$111,0)</f>
        <v>0.0</v>
      </c>
      <c r="H128" s="990" t="n">
        <f t="shared" si="54"/>
        <v>0.0</v>
      </c>
      <c r="I128" s="989" t="n">
        <f t="shared" si="54"/>
        <v>0.0</v>
      </c>
      <c r="J128" s="301" t="n">
        <f t="shared" si="54"/>
        <v>0.0</v>
      </c>
      <c r="K128" s="301" t="n">
        <f>IF(K$111&gt;0,K145/K$111,0)</f>
        <v>0.0</v>
      </c>
      <c r="L128" s="301" t="n">
        <f t="shared" si="54"/>
        <v>0.0</v>
      </c>
      <c r="M128" s="301" t="n">
        <f t="shared" si="54"/>
        <v>0.0</v>
      </c>
      <c r="N128" s="991" t="n">
        <f t="shared" si="54"/>
        <v>0.0</v>
      </c>
    </row>
    <row r="129" spans="1:14">
      <c r="A129" s="84"/>
      <c r="B129" s="133"/>
      <c r="C129" s="35" t="s">
        <v>342</v>
      </c>
      <c r="D129" s="128"/>
      <c r="E129" s="139"/>
      <c r="F129" s="301" t="n">
        <f t="shared" si="43"/>
        <v>0.0</v>
      </c>
      <c r="G129" s="990" t="n">
        <f t="shared" ref="G129:N129" si="55">IF(G$111&gt;0,G146/G$111,0)</f>
        <v>0.0</v>
      </c>
      <c r="H129" s="990" t="n">
        <f t="shared" si="55"/>
        <v>0.0</v>
      </c>
      <c r="I129" s="989" t="n">
        <f t="shared" si="55"/>
        <v>0.0</v>
      </c>
      <c r="J129" s="301" t="n">
        <f t="shared" si="55"/>
        <v>0.0</v>
      </c>
      <c r="K129" s="301" t="n">
        <f>IF(K$111&gt;0,K146/K$111,0)</f>
        <v>0.0</v>
      </c>
      <c r="L129" s="301" t="n">
        <f t="shared" si="55"/>
        <v>0.0</v>
      </c>
      <c r="M129" s="301" t="n">
        <f t="shared" si="55"/>
        <v>0.0</v>
      </c>
      <c r="N129" s="991" t="n">
        <f t="shared" si="55"/>
        <v>0.0</v>
      </c>
    </row>
    <row r="130" spans="1:14" hidden="1">
      <c r="A130" s="84"/>
      <c r="B130" s="133"/>
      <c r="C130" s="35"/>
      <c r="D130" s="128"/>
      <c r="E130" s="139"/>
      <c r="F130" s="301" t="n">
        <f t="shared" si="43"/>
        <v>0.0</v>
      </c>
      <c r="G130" s="990" t="n">
        <f>IF(G$111&gt;0,G147/G$111,0)</f>
        <v>0.0</v>
      </c>
      <c r="H130" s="990" t="n">
        <f t="shared" ref="H130:N130" si="56">IF(H$111&gt;0,H147/H$111,0)</f>
        <v>0.0</v>
      </c>
      <c r="I130" s="989" t="n">
        <f t="shared" si="56"/>
        <v>0.0</v>
      </c>
      <c r="J130" s="301" t="n">
        <f t="shared" si="56"/>
        <v>0.0</v>
      </c>
      <c r="K130" s="301" t="n">
        <f>IF(K$111&gt;0,K147/K$111,0)</f>
        <v>0.0</v>
      </c>
      <c r="L130" s="301" t="n">
        <f t="shared" si="56"/>
        <v>0.0</v>
      </c>
      <c r="M130" s="301" t="n">
        <f t="shared" si="56"/>
        <v>0.0</v>
      </c>
      <c r="N130" s="991" t="n">
        <f t="shared" si="56"/>
        <v>0.0</v>
      </c>
    </row>
    <row r="131" spans="1:14" hidden="1">
      <c r="A131" s="84"/>
      <c r="B131" s="133"/>
      <c r="C131" s="35"/>
      <c r="D131" s="128"/>
      <c r="E131" s="139"/>
      <c r="F131" s="301" t="n">
        <f t="shared" si="43"/>
        <v>0.0</v>
      </c>
      <c r="G131" s="990" t="n">
        <f>IF(G$111&gt;0,G148/G$111,0)</f>
        <v>0.0</v>
      </c>
      <c r="H131" s="990" t="n">
        <f t="shared" ref="H131:N131" si="57">IF(H$111&gt;0,H148/H$111,0)</f>
        <v>0.0</v>
      </c>
      <c r="I131" s="989" t="n">
        <f t="shared" si="57"/>
        <v>0.0</v>
      </c>
      <c r="J131" s="301" t="n">
        <f t="shared" si="57"/>
        <v>0.0</v>
      </c>
      <c r="K131" s="301" t="n">
        <f>IF(K$111&gt;0,K148/K$111,0)</f>
        <v>0.0</v>
      </c>
      <c r="L131" s="301" t="n">
        <f t="shared" si="57"/>
        <v>0.0</v>
      </c>
      <c r="M131" s="301" t="n">
        <f t="shared" si="57"/>
        <v>0.0</v>
      </c>
      <c r="N131" s="991" t="n">
        <f t="shared" si="57"/>
        <v>0.0</v>
      </c>
    </row>
    <row r="132" spans="1:14">
      <c r="A132" s="84"/>
      <c r="B132" s="133"/>
      <c r="C132" s="35" t="s">
        <v>36</v>
      </c>
      <c r="D132" s="128"/>
      <c r="E132" s="139"/>
      <c r="F132" s="301" t="n">
        <f t="shared" si="43"/>
        <v>1.0</v>
      </c>
      <c r="G132" s="990" t="n">
        <f>IF(G$111&gt;0,G149/G$111,0)</f>
        <v>1.0</v>
      </c>
      <c r="H132" s="990" t="n">
        <f t="shared" ref="H132:N132" si="58">IF(H$111&gt;0,H149/H$111,0)</f>
        <v>1.0</v>
      </c>
      <c r="I132" s="989" t="n">
        <f t="shared" si="58"/>
        <v>1.0</v>
      </c>
      <c r="J132" s="301" t="n">
        <f t="shared" si="58"/>
        <v>1.0</v>
      </c>
      <c r="K132" s="301" t="n">
        <f t="shared" si="58"/>
        <v>1.0</v>
      </c>
      <c r="L132" s="301" t="n">
        <f t="shared" si="58"/>
        <v>1.0</v>
      </c>
      <c r="M132" s="301" t="n">
        <f t="shared" si="58"/>
        <v>1.0</v>
      </c>
      <c r="N132" s="991" t="n">
        <f t="shared" si="58"/>
        <v>1.0</v>
      </c>
    </row>
    <row r="133" spans="1:14">
      <c r="A133" s="84"/>
      <c r="B133" s="140" t="s">
        <v>163</v>
      </c>
      <c r="C133" s="35"/>
      <c r="D133" s="128"/>
      <c r="E133" s="139"/>
      <c r="F133" s="304"/>
      <c r="G133" s="305"/>
      <c r="H133" s="305"/>
      <c r="I133" s="306"/>
      <c r="J133" s="653"/>
      <c r="K133" s="841"/>
      <c r="L133" s="841"/>
      <c r="M133" s="911"/>
      <c r="N133" s="842"/>
    </row>
    <row r="134" spans="1:14">
      <c r="A134" s="84"/>
      <c r="B134" s="307"/>
      <c r="C134" s="135" t="s">
        <v>161</v>
      </c>
      <c r="D134" s="136"/>
      <c r="E134" s="141"/>
      <c r="F134" s="630" t="n">
        <f>SUM(G134:I134)</f>
        <v>1344.0</v>
      </c>
      <c r="G134" s="253" t="n">
        <v>449.0</v>
      </c>
      <c r="H134" s="253" t="n">
        <v>448.0</v>
      </c>
      <c r="I134" s="292" t="n">
        <v>447.0</v>
      </c>
      <c r="J134" s="646" t="n">
        <v>446.0</v>
      </c>
      <c r="K134" s="391" t="n">
        <v>433.0</v>
      </c>
      <c r="L134" s="391" t="n">
        <v>426.0</v>
      </c>
      <c r="M134" s="907" t="n">
        <v>407.0</v>
      </c>
      <c r="N134" s="834" t="n">
        <v>393.0</v>
      </c>
    </row>
    <row r="135" spans="1:14">
      <c r="A135" s="84"/>
      <c r="B135" s="307"/>
      <c r="C135" s="135" t="s">
        <v>162</v>
      </c>
      <c r="D135" s="136"/>
      <c r="E135" s="141"/>
      <c r="F135" s="630" t="n">
        <f t="shared" ref="F135:F142" si="59">SUM(G135:I135)</f>
        <v>897.0</v>
      </c>
      <c r="G135" s="253" t="n">
        <v>298.0</v>
      </c>
      <c r="H135" s="253" t="n">
        <v>299.0</v>
      </c>
      <c r="I135" s="292" t="n">
        <v>300.0</v>
      </c>
      <c r="J135" s="646" t="n">
        <v>301.0</v>
      </c>
      <c r="K135" s="391" t="n">
        <v>299.0</v>
      </c>
      <c r="L135" s="391" t="n">
        <v>302.0</v>
      </c>
      <c r="M135" s="907" t="n">
        <v>295.0</v>
      </c>
      <c r="N135" s="834" t="n">
        <v>291.0</v>
      </c>
    </row>
    <row r="136" spans="1:14">
      <c r="A136" s="84"/>
      <c r="B136" s="307"/>
      <c r="C136" s="135" t="s">
        <v>123</v>
      </c>
      <c r="D136" s="136"/>
      <c r="E136" s="141"/>
      <c r="F136" s="630" t="n">
        <f t="shared" si="59"/>
        <v>912.0</v>
      </c>
      <c r="G136" s="253" t="n">
        <v>306.0</v>
      </c>
      <c r="H136" s="253" t="n">
        <v>304.0</v>
      </c>
      <c r="I136" s="292" t="n">
        <v>302.0</v>
      </c>
      <c r="J136" s="646" t="n">
        <v>300.0</v>
      </c>
      <c r="K136" s="391" t="n">
        <v>285.0</v>
      </c>
      <c r="L136" s="391" t="n">
        <v>274.0</v>
      </c>
      <c r="M136" s="907" t="n">
        <v>257.0</v>
      </c>
      <c r="N136" s="834" t="n">
        <v>243.0</v>
      </c>
    </row>
    <row r="137" spans="1:14">
      <c r="A137" s="84"/>
      <c r="B137" s="307"/>
      <c r="C137" s="135" t="s">
        <v>124</v>
      </c>
      <c r="D137" s="136"/>
      <c r="E137" s="141"/>
      <c r="F137" s="630" t="n">
        <f t="shared" si="59"/>
        <v>1191.0</v>
      </c>
      <c r="G137" s="253" t="n">
        <v>400.0</v>
      </c>
      <c r="H137" s="253" t="n">
        <v>397.0</v>
      </c>
      <c r="I137" s="292" t="n">
        <v>394.0</v>
      </c>
      <c r="J137" s="646" t="n">
        <v>391.0</v>
      </c>
      <c r="K137" s="391" t="n">
        <v>372.0</v>
      </c>
      <c r="L137" s="391" t="n">
        <v>358.0</v>
      </c>
      <c r="M137" s="907" t="n">
        <v>336.0</v>
      </c>
      <c r="N137" s="834" t="n">
        <v>317.0</v>
      </c>
    </row>
    <row r="138" spans="1:14">
      <c r="A138" s="84"/>
      <c r="B138" s="307"/>
      <c r="C138" s="135" t="s">
        <v>125</v>
      </c>
      <c r="D138" s="136"/>
      <c r="E138" s="141"/>
      <c r="F138" s="630" t="n">
        <f t="shared" si="59"/>
        <v>1954.0</v>
      </c>
      <c r="G138" s="253" t="n">
        <v>666.0</v>
      </c>
      <c r="H138" s="253" t="n">
        <v>651.0</v>
      </c>
      <c r="I138" s="292" t="n">
        <v>637.0</v>
      </c>
      <c r="J138" s="646" t="n">
        <v>623.0</v>
      </c>
      <c r="K138" s="391" t="n">
        <v>546.0</v>
      </c>
      <c r="L138" s="391" t="n">
        <v>482.0</v>
      </c>
      <c r="M138" s="907" t="n">
        <v>411.0</v>
      </c>
      <c r="N138" s="834" t="n">
        <v>349.0</v>
      </c>
    </row>
    <row r="139" spans="1:14">
      <c r="A139" s="84"/>
      <c r="B139" s="307"/>
      <c r="C139" s="135" t="s">
        <v>232</v>
      </c>
      <c r="D139" s="136"/>
      <c r="E139" s="141"/>
      <c r="F139" s="630" t="n">
        <f t="shared" si="59"/>
        <v>1337.0</v>
      </c>
      <c r="G139" s="253" t="n">
        <v>448.0</v>
      </c>
      <c r="H139" s="253" t="n">
        <v>446.0</v>
      </c>
      <c r="I139" s="292" t="n">
        <v>443.0</v>
      </c>
      <c r="J139" s="646" t="n">
        <v>441.0</v>
      </c>
      <c r="K139" s="391" t="n">
        <v>421.0</v>
      </c>
      <c r="L139" s="391" t="n">
        <v>408.0</v>
      </c>
      <c r="M139" s="907" t="n">
        <v>384.0</v>
      </c>
      <c r="N139" s="834" t="n">
        <v>365.0</v>
      </c>
    </row>
    <row r="140" spans="1:14">
      <c r="A140" s="84"/>
      <c r="B140" s="307"/>
      <c r="C140" s="135" t="s">
        <v>233</v>
      </c>
      <c r="D140" s="136"/>
      <c r="E140" s="141"/>
      <c r="F140" s="630" t="n">
        <f t="shared" si="59"/>
        <v>1144.0</v>
      </c>
      <c r="G140" s="253" t="n">
        <v>382.0</v>
      </c>
      <c r="H140" s="253" t="n">
        <v>381.0</v>
      </c>
      <c r="I140" s="292" t="n">
        <v>381.0</v>
      </c>
      <c r="J140" s="646" t="n">
        <v>380.0</v>
      </c>
      <c r="K140" s="391" t="n">
        <v>370.0</v>
      </c>
      <c r="L140" s="391" t="n">
        <v>366.0</v>
      </c>
      <c r="M140" s="907" t="n">
        <v>351.0</v>
      </c>
      <c r="N140" s="834" t="n">
        <v>340.0</v>
      </c>
    </row>
    <row r="141" spans="1:14">
      <c r="A141" s="84"/>
      <c r="B141" s="307"/>
      <c r="C141" s="135" t="s">
        <v>234</v>
      </c>
      <c r="D141" s="136"/>
      <c r="E141" s="141"/>
      <c r="F141" s="630" t="n">
        <f t="shared" si="59"/>
        <v>575.0</v>
      </c>
      <c r="G141" s="253" t="n">
        <v>190.0</v>
      </c>
      <c r="H141" s="253" t="n">
        <v>192.0</v>
      </c>
      <c r="I141" s="292" t="n">
        <v>193.0</v>
      </c>
      <c r="J141" s="646" t="n">
        <v>194.0</v>
      </c>
      <c r="K141" s="391" t="n">
        <v>196.0</v>
      </c>
      <c r="L141" s="391" t="n">
        <v>200.0</v>
      </c>
      <c r="M141" s="907" t="n">
        <v>197.0</v>
      </c>
      <c r="N141" s="834" t="n">
        <v>196.0</v>
      </c>
    </row>
    <row r="142" spans="1:14">
      <c r="A142" s="84"/>
      <c r="B142" s="307"/>
      <c r="C142" s="135" t="s">
        <v>235</v>
      </c>
      <c r="D142" s="136"/>
      <c r="E142" s="141"/>
      <c r="F142" s="630" t="n">
        <f t="shared" si="59"/>
        <v>257.0</v>
      </c>
      <c r="G142" s="253" t="n">
        <v>92.0</v>
      </c>
      <c r="H142" s="253" t="n">
        <v>85.0</v>
      </c>
      <c r="I142" s="292" t="n">
        <v>80.0</v>
      </c>
      <c r="J142" s="646" t="n">
        <v>73.0</v>
      </c>
      <c r="K142" s="391" t="n">
        <v>45.0</v>
      </c>
      <c r="L142" s="391" t="n">
        <v>19.0</v>
      </c>
      <c r="M142" s="907" t="n">
        <v>1.0</v>
      </c>
      <c r="N142" s="834" t="n">
        <v>0.0</v>
      </c>
    </row>
    <row r="143" spans="1:14">
      <c r="A143" s="84"/>
      <c r="B143" s="307"/>
      <c r="C143" s="135" t="s">
        <v>332</v>
      </c>
      <c r="D143" s="136"/>
      <c r="E143" s="141"/>
      <c r="F143" s="630" t="n">
        <f t="shared" ref="F143" si="60">SUM(G143:I143)</f>
        <v>0.0</v>
      </c>
      <c r="G143" s="253" t="n">
        <v>0.0</v>
      </c>
      <c r="H143" s="253" t="n">
        <v>0.0</v>
      </c>
      <c r="I143" s="292" t="n">
        <v>0.0</v>
      </c>
      <c r="J143" s="646" t="n">
        <v>0.0</v>
      </c>
      <c r="K143" s="391" t="n">
        <v>0.0</v>
      </c>
      <c r="L143" s="391" t="n">
        <v>0.0</v>
      </c>
      <c r="M143" s="907" t="n">
        <v>0.0</v>
      </c>
      <c r="N143" s="834" t="n">
        <v>0.0</v>
      </c>
    </row>
    <row r="144" spans="1:14">
      <c r="A144" s="84"/>
      <c r="B144" s="307"/>
      <c r="C144" s="135" t="s">
        <v>333</v>
      </c>
      <c r="D144" s="136"/>
      <c r="E144" s="141"/>
      <c r="F144" s="630" t="n">
        <f>SUM(G144:I144)</f>
        <v>0.0</v>
      </c>
      <c r="G144" s="253" t="n">
        <v>0.0</v>
      </c>
      <c r="H144" s="253" t="n">
        <v>0.0</v>
      </c>
      <c r="I144" s="292" t="n">
        <v>0.0</v>
      </c>
      <c r="J144" s="646" t="n">
        <v>0.0</v>
      </c>
      <c r="K144" s="391" t="n">
        <v>0.0</v>
      </c>
      <c r="L144" s="391" t="n">
        <v>0.0</v>
      </c>
      <c r="M144" s="907" t="n">
        <v>0.0</v>
      </c>
      <c r="N144" s="834" t="n">
        <v>0.0</v>
      </c>
    </row>
    <row r="145" spans="1:14">
      <c r="A145" s="84"/>
      <c r="B145" s="307"/>
      <c r="C145" s="135" t="s">
        <v>334</v>
      </c>
      <c r="D145" s="136"/>
      <c r="E145" s="141"/>
      <c r="F145" s="630" t="n">
        <f>SUM(G145:I145)</f>
        <v>0.0</v>
      </c>
      <c r="G145" s="253" t="n">
        <v>0.0</v>
      </c>
      <c r="H145" s="253" t="n">
        <v>0.0</v>
      </c>
      <c r="I145" s="292" t="n">
        <v>0.0</v>
      </c>
      <c r="J145" s="646" t="n">
        <v>0.0</v>
      </c>
      <c r="K145" s="391" t="n">
        <v>0.0</v>
      </c>
      <c r="L145" s="391" t="n">
        <v>0.0</v>
      </c>
      <c r="M145" s="907" t="n">
        <v>0.0</v>
      </c>
      <c r="N145" s="834" t="n">
        <v>0.0</v>
      </c>
    </row>
    <row r="146" spans="1:14">
      <c r="A146" s="84"/>
      <c r="B146" s="307"/>
      <c r="C146" s="135" t="s">
        <v>342</v>
      </c>
      <c r="D146" s="136"/>
      <c r="E146" s="141"/>
      <c r="F146" s="630" t="n">
        <f>SUM(G146:I146)</f>
        <v>0.0</v>
      </c>
      <c r="G146" s="253" t="n">
        <v>0.0</v>
      </c>
      <c r="H146" s="253" t="n">
        <v>0.0</v>
      </c>
      <c r="I146" s="292" t="n">
        <v>0.0</v>
      </c>
      <c r="J146" s="646" t="n">
        <v>0.0</v>
      </c>
      <c r="K146" s="391" t="n">
        <v>0.0</v>
      </c>
      <c r="L146" s="391" t="n">
        <v>0.0</v>
      </c>
      <c r="M146" s="907" t="n">
        <v>0.0</v>
      </c>
      <c r="N146" s="834" t="n">
        <v>0.0</v>
      </c>
    </row>
    <row r="147" spans="1:14" hidden="1">
      <c r="A147" s="84"/>
      <c r="B147" s="307"/>
      <c r="C147" s="135"/>
      <c r="D147" s="136"/>
      <c r="E147" s="141"/>
      <c r="F147" s="630" t="n">
        <f>SUM(G147:I147)</f>
        <v>0.0</v>
      </c>
      <c r="G147" s="253"/>
      <c r="H147" s="253"/>
      <c r="I147" s="292"/>
      <c r="J147" s="646"/>
      <c r="K147" s="391"/>
      <c r="L147" s="391"/>
      <c r="M147" s="907"/>
      <c r="N147" s="834"/>
    </row>
    <row r="148" spans="1:14" hidden="1">
      <c r="A148" s="84"/>
      <c r="B148" s="307"/>
      <c r="C148" s="135"/>
      <c r="D148" s="136"/>
      <c r="E148" s="141"/>
      <c r="F148" s="630" t="n">
        <f>SUM(G148:I148)</f>
        <v>0.0</v>
      </c>
      <c r="G148" s="253"/>
      <c r="H148" s="253"/>
      <c r="I148" s="292"/>
      <c r="J148" s="646"/>
      <c r="K148" s="391"/>
      <c r="L148" s="391"/>
      <c r="M148" s="907"/>
      <c r="N148" s="834"/>
    </row>
    <row r="149" spans="1:14">
      <c r="A149" s="84"/>
      <c r="B149" s="307"/>
      <c r="C149" s="308" t="s">
        <v>36</v>
      </c>
      <c r="D149" s="127"/>
      <c r="E149" s="309"/>
      <c r="F149" s="310" t="n">
        <f>SUM(F134:F148)</f>
        <v>9611.0</v>
      </c>
      <c r="G149" s="311" t="n">
        <f>SUM(G134:G148)</f>
        <v>3231.0</v>
      </c>
      <c r="H149" s="311" t="n">
        <f t="shared" ref="H149:M149" si="61">SUM(H134:H148)</f>
        <v>3203.0</v>
      </c>
      <c r="I149" s="312" t="n">
        <f t="shared" si="61"/>
        <v>3177.0</v>
      </c>
      <c r="J149" s="654" t="n">
        <f t="shared" si="61"/>
        <v>3149.0</v>
      </c>
      <c r="K149" s="843" t="n">
        <f t="shared" si="61"/>
        <v>2967.0</v>
      </c>
      <c r="L149" s="843" t="n">
        <f t="shared" si="61"/>
        <v>2835.0</v>
      </c>
      <c r="M149" s="912" t="n">
        <f t="shared" si="61"/>
        <v>2639.0</v>
      </c>
      <c r="N149" s="844" t="n">
        <f>SUM(N134:N148)</f>
        <v>2494.0</v>
      </c>
    </row>
    <row r="150" spans="1:14">
      <c r="A150" s="84"/>
      <c r="B150" s="1108" t="s">
        <v>164</v>
      </c>
      <c r="C150" s="1109"/>
      <c r="D150" s="1109"/>
      <c r="E150" s="1122"/>
      <c r="F150" s="205"/>
      <c r="G150" s="299"/>
      <c r="H150" s="299"/>
      <c r="I150" s="300"/>
      <c r="J150" s="651"/>
      <c r="K150" s="837"/>
      <c r="L150" s="837"/>
      <c r="M150" s="909"/>
      <c r="N150" s="838"/>
    </row>
    <row r="151" spans="1:14">
      <c r="A151" s="84"/>
      <c r="B151" s="140"/>
      <c r="C151" s="128" t="s">
        <v>161</v>
      </c>
      <c r="D151" s="128"/>
      <c r="E151" s="139"/>
      <c r="F151" s="301" t="str">
        <f t="shared" ref="F151:N151" si="62">IF(AND(F$111&gt;0,F183&lt;&gt;""),F183/F$111,"")</f>
        <v/>
      </c>
      <c r="G151" s="302" t="str">
        <f t="shared" si="62"/>
        <v/>
      </c>
      <c r="H151" s="302" t="str">
        <f t="shared" si="62"/>
        <v/>
      </c>
      <c r="I151" s="303" t="str">
        <f t="shared" si="62"/>
        <v/>
      </c>
      <c r="J151" s="652" t="str">
        <f t="shared" si="62"/>
        <v/>
      </c>
      <c r="K151" s="839" t="str">
        <f t="shared" si="62"/>
        <v/>
      </c>
      <c r="L151" s="839" t="str">
        <f t="shared" si="62"/>
        <v/>
      </c>
      <c r="M151" s="910" t="str">
        <f t="shared" si="62"/>
        <v/>
      </c>
      <c r="N151" s="840" t="str">
        <f t="shared" si="62"/>
        <v/>
      </c>
    </row>
    <row r="152" spans="1:14">
      <c r="A152" s="84"/>
      <c r="B152" s="307"/>
      <c r="C152" s="128" t="s">
        <v>162</v>
      </c>
      <c r="D152" s="128"/>
      <c r="E152" s="139"/>
      <c r="F152" s="301" t="str">
        <f t="shared" ref="F152:N152" si="63">IF(AND(F$111&gt;0,F184&lt;&gt;""),F184/F$111,"")</f>
        <v/>
      </c>
      <c r="G152" s="302" t="str">
        <f t="shared" si="63"/>
        <v/>
      </c>
      <c r="H152" s="302" t="str">
        <f t="shared" si="63"/>
        <v/>
      </c>
      <c r="I152" s="303" t="str">
        <f t="shared" si="63"/>
        <v/>
      </c>
      <c r="J152" s="652" t="str">
        <f t="shared" si="63"/>
        <v/>
      </c>
      <c r="K152" s="839" t="str">
        <f t="shared" si="63"/>
        <v/>
      </c>
      <c r="L152" s="839" t="str">
        <f t="shared" si="63"/>
        <v/>
      </c>
      <c r="M152" s="910" t="str">
        <f t="shared" si="63"/>
        <v/>
      </c>
      <c r="N152" s="840" t="str">
        <f t="shared" si="63"/>
        <v/>
      </c>
    </row>
    <row r="153" spans="1:14">
      <c r="A153" s="84"/>
      <c r="B153" s="307"/>
      <c r="C153" s="128" t="s">
        <v>123</v>
      </c>
      <c r="D153" s="128"/>
      <c r="E153" s="139"/>
      <c r="F153" s="301" t="str">
        <f t="shared" ref="F153:N153" si="64">IF(AND(F$111&gt;0,F185&lt;&gt;""),F185/F$111,"")</f>
        <v/>
      </c>
      <c r="G153" s="302" t="str">
        <f t="shared" si="64"/>
        <v/>
      </c>
      <c r="H153" s="302" t="str">
        <f t="shared" si="64"/>
        <v/>
      </c>
      <c r="I153" s="303" t="str">
        <f t="shared" si="64"/>
        <v/>
      </c>
      <c r="J153" s="652" t="str">
        <f t="shared" si="64"/>
        <v/>
      </c>
      <c r="K153" s="839" t="str">
        <f t="shared" si="64"/>
        <v/>
      </c>
      <c r="L153" s="839" t="str">
        <f t="shared" si="64"/>
        <v/>
      </c>
      <c r="M153" s="910" t="str">
        <f t="shared" si="64"/>
        <v/>
      </c>
      <c r="N153" s="840" t="str">
        <f t="shared" si="64"/>
        <v/>
      </c>
    </row>
    <row r="154" spans="1:14">
      <c r="A154" s="84"/>
      <c r="B154" s="307"/>
      <c r="C154" s="128" t="s">
        <v>124</v>
      </c>
      <c r="D154" s="128"/>
      <c r="E154" s="139"/>
      <c r="F154" s="301" t="str">
        <f t="shared" ref="F154:N154" si="65">IF(AND(F$111&gt;0,F186&lt;&gt;""),F186/F$111,"")</f>
        <v/>
      </c>
      <c r="G154" s="302" t="str">
        <f t="shared" si="65"/>
        <v/>
      </c>
      <c r="H154" s="302" t="str">
        <f t="shared" si="65"/>
        <v/>
      </c>
      <c r="I154" s="303" t="str">
        <f t="shared" si="65"/>
        <v/>
      </c>
      <c r="J154" s="652" t="str">
        <f t="shared" si="65"/>
        <v/>
      </c>
      <c r="K154" s="839" t="str">
        <f t="shared" si="65"/>
        <v/>
      </c>
      <c r="L154" s="839" t="str">
        <f t="shared" si="65"/>
        <v/>
      </c>
      <c r="M154" s="910" t="str">
        <f t="shared" si="65"/>
        <v/>
      </c>
      <c r="N154" s="840" t="str">
        <f t="shared" si="65"/>
        <v/>
      </c>
    </row>
    <row r="155" spans="1:14">
      <c r="A155" s="84"/>
      <c r="B155" s="307"/>
      <c r="C155" s="128" t="s">
        <v>125</v>
      </c>
      <c r="D155" s="128"/>
      <c r="E155" s="139"/>
      <c r="F155" s="301" t="str">
        <f t="shared" ref="F155:N155" si="66">IF(AND(F$111&gt;0,F187&lt;&gt;""),F187/F$111,"")</f>
        <v/>
      </c>
      <c r="G155" s="302" t="str">
        <f t="shared" si="66"/>
        <v/>
      </c>
      <c r="H155" s="302" t="str">
        <f t="shared" si="66"/>
        <v/>
      </c>
      <c r="I155" s="303" t="str">
        <f t="shared" si="66"/>
        <v/>
      </c>
      <c r="J155" s="652" t="str">
        <f t="shared" si="66"/>
        <v/>
      </c>
      <c r="K155" s="839" t="str">
        <f t="shared" si="66"/>
        <v/>
      </c>
      <c r="L155" s="839" t="str">
        <f t="shared" si="66"/>
        <v/>
      </c>
      <c r="M155" s="910" t="str">
        <f t="shared" si="66"/>
        <v/>
      </c>
      <c r="N155" s="840" t="str">
        <f t="shared" si="66"/>
        <v/>
      </c>
    </row>
    <row r="156" spans="1:14">
      <c r="A156" s="84"/>
      <c r="B156" s="307"/>
      <c r="C156" s="128" t="s">
        <v>225</v>
      </c>
      <c r="D156" s="128"/>
      <c r="E156" s="139"/>
      <c r="F156" s="301" t="str">
        <f t="shared" ref="F156:N156" si="67">IF(AND(F$111&gt;0,F188&lt;&gt;""),F188/F$111,"")</f>
        <v/>
      </c>
      <c r="G156" s="302" t="str">
        <f t="shared" si="67"/>
        <v/>
      </c>
      <c r="H156" s="302" t="str">
        <f t="shared" si="67"/>
        <v/>
      </c>
      <c r="I156" s="303" t="str">
        <f t="shared" si="67"/>
        <v/>
      </c>
      <c r="J156" s="652" t="str">
        <f t="shared" si="67"/>
        <v/>
      </c>
      <c r="K156" s="839" t="str">
        <f t="shared" si="67"/>
        <v/>
      </c>
      <c r="L156" s="839" t="str">
        <f t="shared" si="67"/>
        <v/>
      </c>
      <c r="M156" s="910" t="str">
        <f t="shared" si="67"/>
        <v/>
      </c>
      <c r="N156" s="840" t="str">
        <f t="shared" si="67"/>
        <v/>
      </c>
    </row>
    <row r="157" spans="1:14">
      <c r="A157" s="84"/>
      <c r="B157" s="307"/>
      <c r="C157" s="128" t="s">
        <v>226</v>
      </c>
      <c r="D157" s="128"/>
      <c r="E157" s="139"/>
      <c r="F157" s="301" t="str">
        <f t="shared" ref="F157:N157" si="68">IF(AND(F$111&gt;0,F189&lt;&gt;""),F189/F$111,"")</f>
        <v/>
      </c>
      <c r="G157" s="302" t="str">
        <f t="shared" si="68"/>
        <v/>
      </c>
      <c r="H157" s="302" t="str">
        <f t="shared" si="68"/>
        <v/>
      </c>
      <c r="I157" s="303" t="str">
        <f t="shared" si="68"/>
        <v/>
      </c>
      <c r="J157" s="652" t="str">
        <f t="shared" si="68"/>
        <v/>
      </c>
      <c r="K157" s="839" t="str">
        <f t="shared" si="68"/>
        <v/>
      </c>
      <c r="L157" s="839" t="str">
        <f t="shared" si="68"/>
        <v/>
      </c>
      <c r="M157" s="910" t="str">
        <f t="shared" si="68"/>
        <v/>
      </c>
      <c r="N157" s="840" t="str">
        <f t="shared" si="68"/>
        <v/>
      </c>
    </row>
    <row r="158" spans="1:14">
      <c r="A158" s="84"/>
      <c r="B158" s="307"/>
      <c r="C158" s="128" t="s">
        <v>227</v>
      </c>
      <c r="D158" s="128"/>
      <c r="E158" s="139"/>
      <c r="F158" s="301" t="str">
        <f t="shared" ref="F158:N158" si="69">IF(AND(F$111&gt;0,F190&lt;&gt;""),F190/F$111,"")</f>
        <v/>
      </c>
      <c r="G158" s="302" t="str">
        <f t="shared" si="69"/>
        <v/>
      </c>
      <c r="H158" s="302" t="str">
        <f t="shared" si="69"/>
        <v/>
      </c>
      <c r="I158" s="303" t="str">
        <f t="shared" si="69"/>
        <v/>
      </c>
      <c r="J158" s="652" t="str">
        <f t="shared" si="69"/>
        <v/>
      </c>
      <c r="K158" s="839" t="str">
        <f t="shared" si="69"/>
        <v/>
      </c>
      <c r="L158" s="839" t="str">
        <f t="shared" si="69"/>
        <v/>
      </c>
      <c r="M158" s="910" t="str">
        <f t="shared" si="69"/>
        <v/>
      </c>
      <c r="N158" s="840" t="str">
        <f t="shared" si="69"/>
        <v/>
      </c>
    </row>
    <row r="159" spans="1:14">
      <c r="A159" s="84"/>
      <c r="B159" s="307"/>
      <c r="C159" s="128" t="s">
        <v>228</v>
      </c>
      <c r="D159" s="128"/>
      <c r="E159" s="139"/>
      <c r="F159" s="301" t="str">
        <f t="shared" ref="F159:N159" si="70">IF(AND(F$111&gt;0,F191&lt;&gt;""),F191/F$111,"")</f>
        <v/>
      </c>
      <c r="G159" s="302" t="str">
        <f t="shared" si="70"/>
        <v/>
      </c>
      <c r="H159" s="302" t="str">
        <f t="shared" si="70"/>
        <v/>
      </c>
      <c r="I159" s="303" t="str">
        <f t="shared" si="70"/>
        <v/>
      </c>
      <c r="J159" s="652" t="str">
        <f t="shared" si="70"/>
        <v/>
      </c>
      <c r="K159" s="839" t="str">
        <f t="shared" si="70"/>
        <v/>
      </c>
      <c r="L159" s="839" t="str">
        <f t="shared" si="70"/>
        <v/>
      </c>
      <c r="M159" s="910" t="str">
        <f t="shared" si="70"/>
        <v/>
      </c>
      <c r="N159" s="840" t="str">
        <f t="shared" si="70"/>
        <v/>
      </c>
    </row>
    <row r="160" spans="1:14">
      <c r="A160" s="84"/>
      <c r="B160" s="307"/>
      <c r="C160" s="128" t="s">
        <v>165</v>
      </c>
      <c r="D160" s="128"/>
      <c r="E160" s="139"/>
      <c r="F160" s="301" t="str">
        <f t="shared" ref="F160:N160" si="71">IF(AND(F$111&gt;0,F192&lt;&gt;""),F192/F$111,"")</f>
        <v/>
      </c>
      <c r="G160" s="302" t="str">
        <f t="shared" si="71"/>
        <v/>
      </c>
      <c r="H160" s="302" t="str">
        <f t="shared" si="71"/>
        <v/>
      </c>
      <c r="I160" s="303" t="str">
        <f t="shared" si="71"/>
        <v/>
      </c>
      <c r="J160" s="652" t="str">
        <f t="shared" si="71"/>
        <v/>
      </c>
      <c r="K160" s="839" t="str">
        <f t="shared" si="71"/>
        <v/>
      </c>
      <c r="L160" s="839" t="str">
        <f t="shared" si="71"/>
        <v/>
      </c>
      <c r="M160" s="910" t="str">
        <f t="shared" si="71"/>
        <v/>
      </c>
      <c r="N160" s="840" t="str">
        <f t="shared" si="71"/>
        <v/>
      </c>
    </row>
    <row r="161" spans="1:14">
      <c r="A161" s="84"/>
      <c r="B161" s="307"/>
      <c r="C161" s="128" t="s">
        <v>166</v>
      </c>
      <c r="D161" s="128"/>
      <c r="E161" s="139"/>
      <c r="F161" s="301" t="str">
        <f t="shared" ref="F161:N161" si="72">IF(AND(F$111&gt;0,F193&lt;&gt;""),F193/F$111,"")</f>
        <v/>
      </c>
      <c r="G161" s="302" t="str">
        <f t="shared" si="72"/>
        <v/>
      </c>
      <c r="H161" s="302" t="str">
        <f t="shared" si="72"/>
        <v/>
      </c>
      <c r="I161" s="303" t="str">
        <f t="shared" si="72"/>
        <v/>
      </c>
      <c r="J161" s="652" t="str">
        <f t="shared" si="72"/>
        <v/>
      </c>
      <c r="K161" s="839" t="str">
        <f t="shared" si="72"/>
        <v/>
      </c>
      <c r="L161" s="839" t="str">
        <f t="shared" si="72"/>
        <v/>
      </c>
      <c r="M161" s="910" t="str">
        <f t="shared" si="72"/>
        <v/>
      </c>
      <c r="N161" s="840" t="str">
        <f t="shared" si="72"/>
        <v/>
      </c>
    </row>
    <row r="162" spans="1:14">
      <c r="A162" s="84"/>
      <c r="B162" s="307"/>
      <c r="C162" s="128" t="s">
        <v>167</v>
      </c>
      <c r="D162" s="128"/>
      <c r="E162" s="139"/>
      <c r="F162" s="301" t="str">
        <f t="shared" ref="F162:N162" si="73">IF(AND(F$111&gt;0,F194&lt;&gt;""),F194/F$111,"")</f>
        <v/>
      </c>
      <c r="G162" s="302" t="str">
        <f t="shared" si="73"/>
        <v/>
      </c>
      <c r="H162" s="302" t="str">
        <f t="shared" si="73"/>
        <v/>
      </c>
      <c r="I162" s="303" t="str">
        <f t="shared" si="73"/>
        <v/>
      </c>
      <c r="J162" s="652" t="str">
        <f t="shared" si="73"/>
        <v/>
      </c>
      <c r="K162" s="839" t="str">
        <f t="shared" si="73"/>
        <v/>
      </c>
      <c r="L162" s="839" t="str">
        <f t="shared" si="73"/>
        <v/>
      </c>
      <c r="M162" s="910" t="str">
        <f t="shared" si="73"/>
        <v/>
      </c>
      <c r="N162" s="840" t="str">
        <f t="shared" si="73"/>
        <v/>
      </c>
    </row>
    <row r="163" spans="1:14">
      <c r="A163" s="84"/>
      <c r="B163" s="307"/>
      <c r="C163" s="128" t="s">
        <v>168</v>
      </c>
      <c r="D163" s="128"/>
      <c r="E163" s="139"/>
      <c r="F163" s="301" t="str">
        <f t="shared" ref="F163:N163" si="74">IF(AND(F$111&gt;0,F195&lt;&gt;""),F195/F$111,"")</f>
        <v/>
      </c>
      <c r="G163" s="302" t="str">
        <f t="shared" si="74"/>
        <v/>
      </c>
      <c r="H163" s="302" t="str">
        <f t="shared" si="74"/>
        <v/>
      </c>
      <c r="I163" s="303" t="str">
        <f t="shared" si="74"/>
        <v/>
      </c>
      <c r="J163" s="652" t="str">
        <f t="shared" si="74"/>
        <v/>
      </c>
      <c r="K163" s="839" t="str">
        <f t="shared" si="74"/>
        <v/>
      </c>
      <c r="L163" s="839" t="str">
        <f t="shared" si="74"/>
        <v/>
      </c>
      <c r="M163" s="910" t="str">
        <f t="shared" si="74"/>
        <v/>
      </c>
      <c r="N163" s="840" t="str">
        <f t="shared" si="74"/>
        <v/>
      </c>
    </row>
    <row r="164" spans="1:14">
      <c r="A164" s="84"/>
      <c r="B164" s="307"/>
      <c r="C164" s="128" t="s">
        <v>169</v>
      </c>
      <c r="D164" s="128"/>
      <c r="E164" s="139"/>
      <c r="F164" s="301" t="str">
        <f t="shared" ref="F164:N164" si="75">IF(AND(F$111&gt;0,F196&lt;&gt;""),F196/F$111,"")</f>
        <v/>
      </c>
      <c r="G164" s="302" t="str">
        <f t="shared" si="75"/>
        <v/>
      </c>
      <c r="H164" s="302" t="str">
        <f t="shared" si="75"/>
        <v/>
      </c>
      <c r="I164" s="303" t="str">
        <f t="shared" si="75"/>
        <v/>
      </c>
      <c r="J164" s="652" t="str">
        <f t="shared" si="75"/>
        <v/>
      </c>
      <c r="K164" s="839" t="str">
        <f t="shared" si="75"/>
        <v/>
      </c>
      <c r="L164" s="839" t="str">
        <f t="shared" si="75"/>
        <v/>
      </c>
      <c r="M164" s="910" t="str">
        <f t="shared" si="75"/>
        <v/>
      </c>
      <c r="N164" s="840" t="str">
        <f t="shared" si="75"/>
        <v/>
      </c>
    </row>
    <row r="165" spans="1:14">
      <c r="A165" s="84"/>
      <c r="B165" s="307"/>
      <c r="C165" s="128" t="s">
        <v>170</v>
      </c>
      <c r="D165" s="128"/>
      <c r="E165" s="139"/>
      <c r="F165" s="301" t="str">
        <f t="shared" ref="F165:N165" si="76">IF(AND(F$111&gt;0,F197&lt;&gt;""),F197/F$111,"")</f>
        <v/>
      </c>
      <c r="G165" s="302" t="str">
        <f t="shared" si="76"/>
        <v/>
      </c>
      <c r="H165" s="302" t="str">
        <f t="shared" si="76"/>
        <v/>
      </c>
      <c r="I165" s="303" t="str">
        <f t="shared" si="76"/>
        <v/>
      </c>
      <c r="J165" s="652" t="str">
        <f t="shared" si="76"/>
        <v/>
      </c>
      <c r="K165" s="839" t="str">
        <f t="shared" si="76"/>
        <v/>
      </c>
      <c r="L165" s="839" t="str">
        <f t="shared" si="76"/>
        <v/>
      </c>
      <c r="M165" s="910" t="str">
        <f t="shared" si="76"/>
        <v/>
      </c>
      <c r="N165" s="840" t="str">
        <f t="shared" si="76"/>
        <v/>
      </c>
    </row>
    <row r="166" spans="1:14">
      <c r="A166" s="84"/>
      <c r="B166" s="307"/>
      <c r="C166" s="128" t="s">
        <v>171</v>
      </c>
      <c r="D166" s="128"/>
      <c r="E166" s="139"/>
      <c r="F166" s="301" t="str">
        <f t="shared" ref="F166:N166" si="77">IF(AND(F$111&gt;0,F198&lt;&gt;""),F198/F$111,"")</f>
        <v/>
      </c>
      <c r="G166" s="302" t="str">
        <f t="shared" si="77"/>
        <v/>
      </c>
      <c r="H166" s="302" t="str">
        <f t="shared" si="77"/>
        <v/>
      </c>
      <c r="I166" s="303" t="str">
        <f t="shared" si="77"/>
        <v/>
      </c>
      <c r="J166" s="652" t="str">
        <f t="shared" si="77"/>
        <v/>
      </c>
      <c r="K166" s="839" t="str">
        <f t="shared" si="77"/>
        <v/>
      </c>
      <c r="L166" s="839" t="str">
        <f t="shared" si="77"/>
        <v/>
      </c>
      <c r="M166" s="910" t="str">
        <f t="shared" si="77"/>
        <v/>
      </c>
      <c r="N166" s="840" t="str">
        <f t="shared" si="77"/>
        <v/>
      </c>
    </row>
    <row r="167" spans="1:14">
      <c r="A167" s="84"/>
      <c r="B167" s="307"/>
      <c r="C167" s="128" t="s">
        <v>172</v>
      </c>
      <c r="D167" s="128"/>
      <c r="E167" s="139"/>
      <c r="F167" s="301" t="str">
        <f t="shared" ref="F167:N167" si="78">IF(AND(F$111&gt;0,F199&lt;&gt;""),F199/F$111,"")</f>
        <v/>
      </c>
      <c r="G167" s="302" t="str">
        <f t="shared" si="78"/>
        <v/>
      </c>
      <c r="H167" s="302" t="str">
        <f t="shared" si="78"/>
        <v/>
      </c>
      <c r="I167" s="303" t="str">
        <f t="shared" si="78"/>
        <v/>
      </c>
      <c r="J167" s="652" t="str">
        <f t="shared" si="78"/>
        <v/>
      </c>
      <c r="K167" s="839" t="str">
        <f t="shared" si="78"/>
        <v/>
      </c>
      <c r="L167" s="839" t="str">
        <f t="shared" si="78"/>
        <v/>
      </c>
      <c r="M167" s="910" t="str">
        <f t="shared" si="78"/>
        <v/>
      </c>
      <c r="N167" s="840" t="str">
        <f t="shared" si="78"/>
        <v/>
      </c>
    </row>
    <row r="168" spans="1:14">
      <c r="A168" s="84"/>
      <c r="B168" s="307"/>
      <c r="C168" s="128" t="s">
        <v>173</v>
      </c>
      <c r="D168" s="128"/>
      <c r="E168" s="139"/>
      <c r="F168" s="301" t="str">
        <f t="shared" ref="F168:N168" si="79">IF(AND(F$111&gt;0,F200&lt;&gt;""),F200/F$111,"")</f>
        <v/>
      </c>
      <c r="G168" s="302" t="str">
        <f t="shared" si="79"/>
        <v/>
      </c>
      <c r="H168" s="302" t="str">
        <f t="shared" si="79"/>
        <v/>
      </c>
      <c r="I168" s="303" t="str">
        <f t="shared" si="79"/>
        <v/>
      </c>
      <c r="J168" s="652" t="str">
        <f t="shared" si="79"/>
        <v/>
      </c>
      <c r="K168" s="839" t="str">
        <f t="shared" si="79"/>
        <v/>
      </c>
      <c r="L168" s="839" t="str">
        <f t="shared" si="79"/>
        <v/>
      </c>
      <c r="M168" s="910" t="str">
        <f t="shared" si="79"/>
        <v/>
      </c>
      <c r="N168" s="840" t="str">
        <f t="shared" si="79"/>
        <v/>
      </c>
    </row>
    <row r="169" spans="1:14">
      <c r="A169" s="84"/>
      <c r="B169" s="307"/>
      <c r="C169" s="128" t="s">
        <v>174</v>
      </c>
      <c r="D169" s="128"/>
      <c r="E169" s="139"/>
      <c r="F169" s="301" t="str">
        <f t="shared" ref="F169:N169" si="80">IF(AND(F$111&gt;0,F201&lt;&gt;""),F201/F$111,"")</f>
        <v/>
      </c>
      <c r="G169" s="302" t="str">
        <f t="shared" si="80"/>
        <v/>
      </c>
      <c r="H169" s="302" t="str">
        <f t="shared" si="80"/>
        <v/>
      </c>
      <c r="I169" s="303" t="str">
        <f t="shared" si="80"/>
        <v/>
      </c>
      <c r="J169" s="652" t="str">
        <f t="shared" si="80"/>
        <v/>
      </c>
      <c r="K169" s="839" t="str">
        <f t="shared" si="80"/>
        <v/>
      </c>
      <c r="L169" s="839" t="str">
        <f t="shared" si="80"/>
        <v/>
      </c>
      <c r="M169" s="910" t="str">
        <f t="shared" si="80"/>
        <v/>
      </c>
      <c r="N169" s="840" t="str">
        <f t="shared" si="80"/>
        <v/>
      </c>
    </row>
    <row r="170" spans="1:14">
      <c r="A170" s="84"/>
      <c r="B170" s="307"/>
      <c r="C170" s="128" t="s">
        <v>175</v>
      </c>
      <c r="D170" s="128"/>
      <c r="E170" s="139"/>
      <c r="F170" s="301" t="str">
        <f t="shared" ref="F170:N170" si="81">IF(AND(F$111&gt;0,F202&lt;&gt;""),F202/F$111,"")</f>
        <v/>
      </c>
      <c r="G170" s="302" t="str">
        <f t="shared" si="81"/>
        <v/>
      </c>
      <c r="H170" s="302" t="str">
        <f t="shared" si="81"/>
        <v/>
      </c>
      <c r="I170" s="303" t="str">
        <f t="shared" si="81"/>
        <v/>
      </c>
      <c r="J170" s="652" t="str">
        <f t="shared" si="81"/>
        <v/>
      </c>
      <c r="K170" s="839" t="str">
        <f t="shared" si="81"/>
        <v/>
      </c>
      <c r="L170" s="839" t="str">
        <f t="shared" si="81"/>
        <v/>
      </c>
      <c r="M170" s="910" t="str">
        <f t="shared" si="81"/>
        <v/>
      </c>
      <c r="N170" s="840" t="str">
        <f t="shared" si="81"/>
        <v/>
      </c>
    </row>
    <row r="171" spans="1:14">
      <c r="A171" s="84"/>
      <c r="B171" s="307"/>
      <c r="C171" s="128" t="s">
        <v>176</v>
      </c>
      <c r="D171" s="128"/>
      <c r="E171" s="139"/>
      <c r="F171" s="301" t="str">
        <f t="shared" ref="F171:N171" si="82">IF(AND(F$111&gt;0,F203&lt;&gt;""),F203/F$111,"")</f>
        <v/>
      </c>
      <c r="G171" s="302" t="str">
        <f t="shared" si="82"/>
        <v/>
      </c>
      <c r="H171" s="302" t="str">
        <f t="shared" si="82"/>
        <v/>
      </c>
      <c r="I171" s="303" t="str">
        <f t="shared" si="82"/>
        <v/>
      </c>
      <c r="J171" s="652" t="str">
        <f t="shared" si="82"/>
        <v/>
      </c>
      <c r="K171" s="839" t="str">
        <f t="shared" si="82"/>
        <v/>
      </c>
      <c r="L171" s="839" t="str">
        <f t="shared" si="82"/>
        <v/>
      </c>
      <c r="M171" s="910" t="str">
        <f t="shared" si="82"/>
        <v/>
      </c>
      <c r="N171" s="840" t="str">
        <f t="shared" si="82"/>
        <v/>
      </c>
    </row>
    <row r="172" spans="1:14">
      <c r="A172" s="84"/>
      <c r="B172" s="307"/>
      <c r="C172" s="128" t="s">
        <v>177</v>
      </c>
      <c r="D172" s="128"/>
      <c r="E172" s="139"/>
      <c r="F172" s="301" t="str">
        <f t="shared" ref="F172:N172" si="83">IF(AND(F$111&gt;0,F204&lt;&gt;""),F204/F$111,"")</f>
        <v/>
      </c>
      <c r="G172" s="302" t="str">
        <f t="shared" si="83"/>
        <v/>
      </c>
      <c r="H172" s="302" t="str">
        <f t="shared" si="83"/>
        <v/>
      </c>
      <c r="I172" s="303" t="str">
        <f t="shared" si="83"/>
        <v/>
      </c>
      <c r="J172" s="652" t="str">
        <f t="shared" si="83"/>
        <v/>
      </c>
      <c r="K172" s="839" t="str">
        <f t="shared" si="83"/>
        <v/>
      </c>
      <c r="L172" s="839" t="str">
        <f t="shared" si="83"/>
        <v/>
      </c>
      <c r="M172" s="910" t="str">
        <f t="shared" si="83"/>
        <v/>
      </c>
      <c r="N172" s="840" t="str">
        <f t="shared" si="83"/>
        <v/>
      </c>
    </row>
    <row r="173" spans="1:14">
      <c r="A173" s="84"/>
      <c r="B173" s="307"/>
      <c r="C173" s="128" t="s">
        <v>178</v>
      </c>
      <c r="D173" s="128"/>
      <c r="E173" s="139"/>
      <c r="F173" s="301" t="str">
        <f t="shared" ref="F173:N173" si="84">IF(AND(F$111&gt;0,F205&lt;&gt;""),F205/F$111,"")</f>
        <v/>
      </c>
      <c r="G173" s="302" t="str">
        <f t="shared" si="84"/>
        <v/>
      </c>
      <c r="H173" s="302" t="str">
        <f t="shared" si="84"/>
        <v/>
      </c>
      <c r="I173" s="303" t="str">
        <f t="shared" si="84"/>
        <v/>
      </c>
      <c r="J173" s="652" t="str">
        <f t="shared" si="84"/>
        <v/>
      </c>
      <c r="K173" s="839" t="str">
        <f t="shared" si="84"/>
        <v/>
      </c>
      <c r="L173" s="839" t="str">
        <f t="shared" si="84"/>
        <v/>
      </c>
      <c r="M173" s="910" t="str">
        <f t="shared" si="84"/>
        <v/>
      </c>
      <c r="N173" s="840" t="str">
        <f t="shared" si="84"/>
        <v/>
      </c>
    </row>
    <row r="174" spans="1:14">
      <c r="A174" s="84"/>
      <c r="B174" s="307"/>
      <c r="C174" s="128" t="s">
        <v>179</v>
      </c>
      <c r="D174" s="128"/>
      <c r="E174" s="139"/>
      <c r="F174" s="301" t="str">
        <f t="shared" ref="F174:N174" si="85">IF(AND(F$111&gt;0,F206&lt;&gt;""),F206/F$111,"")</f>
        <v/>
      </c>
      <c r="G174" s="302" t="str">
        <f t="shared" si="85"/>
        <v/>
      </c>
      <c r="H174" s="302" t="str">
        <f t="shared" si="85"/>
        <v/>
      </c>
      <c r="I174" s="303" t="str">
        <f t="shared" si="85"/>
        <v/>
      </c>
      <c r="J174" s="652" t="str">
        <f t="shared" si="85"/>
        <v/>
      </c>
      <c r="K174" s="839" t="str">
        <f t="shared" si="85"/>
        <v/>
      </c>
      <c r="L174" s="839" t="str">
        <f t="shared" si="85"/>
        <v/>
      </c>
      <c r="M174" s="910" t="str">
        <f t="shared" si="85"/>
        <v/>
      </c>
      <c r="N174" s="840" t="str">
        <f t="shared" si="85"/>
        <v/>
      </c>
    </row>
    <row r="175" spans="1:14">
      <c r="A175" s="84"/>
      <c r="B175" s="307"/>
      <c r="C175" s="128" t="s">
        <v>180</v>
      </c>
      <c r="D175" s="128"/>
      <c r="E175" s="139"/>
      <c r="F175" s="301" t="str">
        <f t="shared" ref="F175:N175" si="86">IF(AND(F$111&gt;0,F207&lt;&gt;""),F207/F$111,"")</f>
        <v/>
      </c>
      <c r="G175" s="302" t="str">
        <f t="shared" si="86"/>
        <v/>
      </c>
      <c r="H175" s="302" t="str">
        <f t="shared" si="86"/>
        <v/>
      </c>
      <c r="I175" s="303" t="str">
        <f t="shared" si="86"/>
        <v/>
      </c>
      <c r="J175" s="652" t="str">
        <f t="shared" si="86"/>
        <v/>
      </c>
      <c r="K175" s="839" t="str">
        <f t="shared" si="86"/>
        <v/>
      </c>
      <c r="L175" s="839" t="str">
        <f t="shared" si="86"/>
        <v/>
      </c>
      <c r="M175" s="910" t="str">
        <f t="shared" si="86"/>
        <v/>
      </c>
      <c r="N175" s="840" t="str">
        <f t="shared" si="86"/>
        <v/>
      </c>
    </row>
    <row r="176" spans="1:14">
      <c r="A176" s="84"/>
      <c r="B176" s="307"/>
      <c r="C176" s="128" t="s">
        <v>370</v>
      </c>
      <c r="D176" s="128"/>
      <c r="E176" s="139"/>
      <c r="F176" s="301" t="str">
        <f t="shared" ref="F176:N176" si="87">IF(AND(F$111&gt;0,F208&lt;&gt;""),F208/F$111,"")</f>
        <v/>
      </c>
      <c r="G176" s="302" t="str">
        <f t="shared" si="87"/>
        <v/>
      </c>
      <c r="H176" s="302" t="str">
        <f t="shared" si="87"/>
        <v/>
      </c>
      <c r="I176" s="303" t="str">
        <f t="shared" si="87"/>
        <v/>
      </c>
      <c r="J176" s="652" t="str">
        <f t="shared" si="87"/>
        <v/>
      </c>
      <c r="K176" s="839" t="str">
        <f t="shared" si="87"/>
        <v/>
      </c>
      <c r="L176" s="839" t="str">
        <f t="shared" si="87"/>
        <v/>
      </c>
      <c r="M176" s="910" t="str">
        <f t="shared" si="87"/>
        <v/>
      </c>
      <c r="N176" s="840" t="str">
        <f t="shared" si="87"/>
        <v/>
      </c>
    </row>
    <row r="177" spans="1:14">
      <c r="A177" s="84"/>
      <c r="B177" s="307"/>
      <c r="C177" s="128" t="s">
        <v>371</v>
      </c>
      <c r="D177" s="128"/>
      <c r="E177" s="139"/>
      <c r="F177" s="301" t="str">
        <f t="shared" ref="F177:N177" si="88">IF(AND(F$111&gt;0,F209&lt;&gt;""),F209/F$111,"")</f>
        <v/>
      </c>
      <c r="G177" s="302" t="str">
        <f t="shared" si="88"/>
        <v/>
      </c>
      <c r="H177" s="302" t="str">
        <f t="shared" si="88"/>
        <v/>
      </c>
      <c r="I177" s="303" t="str">
        <f t="shared" si="88"/>
        <v/>
      </c>
      <c r="J177" s="652" t="str">
        <f t="shared" si="88"/>
        <v/>
      </c>
      <c r="K177" s="839" t="str">
        <f t="shared" si="88"/>
        <v/>
      </c>
      <c r="L177" s="839" t="str">
        <f t="shared" si="88"/>
        <v/>
      </c>
      <c r="M177" s="910" t="str">
        <f t="shared" si="88"/>
        <v/>
      </c>
      <c r="N177" s="840" t="str">
        <f t="shared" si="88"/>
        <v/>
      </c>
    </row>
    <row r="178" spans="1:14">
      <c r="A178" s="84"/>
      <c r="B178" s="307"/>
      <c r="C178" s="128" t="s">
        <v>372</v>
      </c>
      <c r="D178" s="128"/>
      <c r="E178" s="139"/>
      <c r="F178" s="301" t="str">
        <f t="shared" ref="F178:N178" si="89">IF(AND(F$111&gt;0,F210&lt;&gt;""),F210/F$111,"")</f>
        <v/>
      </c>
      <c r="G178" s="302" t="str">
        <f t="shared" si="89"/>
        <v/>
      </c>
      <c r="H178" s="302" t="str">
        <f t="shared" si="89"/>
        <v/>
      </c>
      <c r="I178" s="303" t="str">
        <f t="shared" si="89"/>
        <v/>
      </c>
      <c r="J178" s="652" t="str">
        <f t="shared" si="89"/>
        <v/>
      </c>
      <c r="K178" s="839" t="str">
        <f t="shared" si="89"/>
        <v/>
      </c>
      <c r="L178" s="839" t="str">
        <f t="shared" si="89"/>
        <v/>
      </c>
      <c r="M178" s="910" t="str">
        <f t="shared" si="89"/>
        <v/>
      </c>
      <c r="N178" s="840" t="str">
        <f t="shared" si="89"/>
        <v/>
      </c>
    </row>
    <row r="179" spans="1:14">
      <c r="A179" s="84"/>
      <c r="B179" s="307"/>
      <c r="C179" s="128" t="s">
        <v>373</v>
      </c>
      <c r="D179" s="128"/>
      <c r="E179" s="139"/>
      <c r="F179" s="301" t="str">
        <f t="shared" ref="F179:N179" si="90">IF(AND(F$111&gt;0,F211&lt;&gt;""),F211/F$111,"")</f>
        <v/>
      </c>
      <c r="G179" s="302" t="str">
        <f t="shared" si="90"/>
        <v/>
      </c>
      <c r="H179" s="302" t="str">
        <f t="shared" si="90"/>
        <v/>
      </c>
      <c r="I179" s="303" t="str">
        <f t="shared" si="90"/>
        <v/>
      </c>
      <c r="J179" s="652" t="str">
        <f t="shared" si="90"/>
        <v/>
      </c>
      <c r="K179" s="839" t="str">
        <f t="shared" si="90"/>
        <v/>
      </c>
      <c r="L179" s="839" t="str">
        <f t="shared" si="90"/>
        <v/>
      </c>
      <c r="M179" s="910" t="str">
        <f t="shared" si="90"/>
        <v/>
      </c>
      <c r="N179" s="840" t="str">
        <f t="shared" si="90"/>
        <v/>
      </c>
    </row>
    <row r="180" spans="1:14">
      <c r="A180" s="84"/>
      <c r="B180" s="307"/>
      <c r="C180" s="128" t="s">
        <v>374</v>
      </c>
      <c r="D180" s="128"/>
      <c r="E180" s="139"/>
      <c r="F180" s="301" t="str">
        <f t="shared" ref="F180:N180" si="91">IF(AND(F$111&gt;0,F212&lt;&gt;""),F212/F$111,"")</f>
        <v/>
      </c>
      <c r="G180" s="302" t="str">
        <f t="shared" si="91"/>
        <v/>
      </c>
      <c r="H180" s="302" t="str">
        <f t="shared" si="91"/>
        <v/>
      </c>
      <c r="I180" s="303" t="str">
        <f t="shared" si="91"/>
        <v/>
      </c>
      <c r="J180" s="652" t="str">
        <f t="shared" si="91"/>
        <v/>
      </c>
      <c r="K180" s="839" t="str">
        <f t="shared" si="91"/>
        <v/>
      </c>
      <c r="L180" s="839" t="str">
        <f t="shared" si="91"/>
        <v/>
      </c>
      <c r="M180" s="910" t="str">
        <f t="shared" si="91"/>
        <v/>
      </c>
      <c r="N180" s="840" t="str">
        <f t="shared" si="91"/>
        <v/>
      </c>
    </row>
    <row r="181" spans="1:14">
      <c r="A181" s="84"/>
      <c r="B181" s="313"/>
      <c r="C181" s="128" t="s">
        <v>36</v>
      </c>
      <c r="D181" s="128"/>
      <c r="E181" s="139"/>
      <c r="F181" s="301" t="n">
        <f t="shared" ref="F181:N181" si="92">IF(AND(F$111&gt;0,F213&lt;&gt;""),F213/F$111,"")</f>
        <v>0.0</v>
      </c>
      <c r="G181" s="302" t="n">
        <f t="shared" si="92"/>
        <v>0.0</v>
      </c>
      <c r="H181" s="302" t="n">
        <f t="shared" si="92"/>
        <v>0.0</v>
      </c>
      <c r="I181" s="303" t="n">
        <f t="shared" si="92"/>
        <v>0.0</v>
      </c>
      <c r="J181" s="652" t="n">
        <f t="shared" si="92"/>
        <v>0.0</v>
      </c>
      <c r="K181" s="839" t="n">
        <f t="shared" si="92"/>
        <v>0.0</v>
      </c>
      <c r="L181" s="839" t="n">
        <f t="shared" si="92"/>
        <v>0.0</v>
      </c>
      <c r="M181" s="910" t="n">
        <f t="shared" si="92"/>
        <v>0.0</v>
      </c>
      <c r="N181" s="840" t="n">
        <f t="shared" si="92"/>
        <v>0.0</v>
      </c>
    </row>
    <row r="182" spans="1:14">
      <c r="A182" s="84"/>
      <c r="B182" s="1123" t="s">
        <v>181</v>
      </c>
      <c r="C182" s="1124"/>
      <c r="D182" s="1124"/>
      <c r="E182" s="1125"/>
      <c r="F182" s="205"/>
      <c r="G182" s="299"/>
      <c r="H182" s="299"/>
      <c r="I182" s="300"/>
      <c r="J182" s="651"/>
      <c r="K182" s="837"/>
      <c r="L182" s="837"/>
      <c r="M182" s="909"/>
      <c r="N182" s="838"/>
    </row>
    <row r="183" spans="1:14">
      <c r="A183" s="84"/>
      <c r="B183" s="133"/>
      <c r="C183" s="135" t="s">
        <v>161</v>
      </c>
      <c r="D183" s="136"/>
      <c r="E183" s="141"/>
      <c r="F183" s="630" t="str">
        <f t="shared" ref="F183:F195" si="93">IF(SUM(G183:I183)=0,"",SUM(G183:I183))</f>
        <v/>
      </c>
      <c r="G183" s="253"/>
      <c r="H183" s="253"/>
      <c r="I183" s="292"/>
      <c r="J183" s="646"/>
      <c r="K183" s="391"/>
      <c r="L183" s="391"/>
      <c r="M183" s="907"/>
      <c r="N183" s="834"/>
    </row>
    <row r="184" spans="1:14">
      <c r="A184" s="84"/>
      <c r="B184" s="133"/>
      <c r="C184" s="135" t="s">
        <v>162</v>
      </c>
      <c r="D184" s="136"/>
      <c r="E184" s="141"/>
      <c r="F184" s="630" t="str">
        <f t="shared" si="93"/>
        <v/>
      </c>
      <c r="G184" s="253"/>
      <c r="H184" s="253"/>
      <c r="I184" s="292"/>
      <c r="J184" s="646"/>
      <c r="K184" s="391"/>
      <c r="L184" s="391"/>
      <c r="M184" s="907"/>
      <c r="N184" s="834"/>
    </row>
    <row r="185" spans="1:14">
      <c r="A185" s="84"/>
      <c r="B185" s="133"/>
      <c r="C185" s="135" t="s">
        <v>123</v>
      </c>
      <c r="D185" s="136"/>
      <c r="E185" s="141"/>
      <c r="F185" s="630" t="str">
        <f t="shared" si="93"/>
        <v/>
      </c>
      <c r="G185" s="253"/>
      <c r="H185" s="253"/>
      <c r="I185" s="292"/>
      <c r="J185" s="646"/>
      <c r="K185" s="391"/>
      <c r="L185" s="391"/>
      <c r="M185" s="907"/>
      <c r="N185" s="834"/>
    </row>
    <row r="186" spans="1:14">
      <c r="A186" s="84"/>
      <c r="B186" s="133"/>
      <c r="C186" s="135" t="s">
        <v>124</v>
      </c>
      <c r="D186" s="136"/>
      <c r="E186" s="141"/>
      <c r="F186" s="630" t="str">
        <f t="shared" si="93"/>
        <v/>
      </c>
      <c r="G186" s="253"/>
      <c r="H186" s="253"/>
      <c r="I186" s="292"/>
      <c r="J186" s="646"/>
      <c r="K186" s="391"/>
      <c r="L186" s="391"/>
      <c r="M186" s="907"/>
      <c r="N186" s="834"/>
    </row>
    <row r="187" spans="1:14">
      <c r="A187" s="84"/>
      <c r="B187" s="133"/>
      <c r="C187" s="135" t="s">
        <v>125</v>
      </c>
      <c r="D187" s="136"/>
      <c r="E187" s="141"/>
      <c r="F187" s="630" t="str">
        <f t="shared" si="93"/>
        <v/>
      </c>
      <c r="G187" s="253"/>
      <c r="H187" s="253"/>
      <c r="I187" s="292"/>
      <c r="J187" s="646"/>
      <c r="K187" s="391"/>
      <c r="L187" s="391"/>
      <c r="M187" s="907"/>
      <c r="N187" s="834"/>
    </row>
    <row r="188" spans="1:14">
      <c r="A188" s="84"/>
      <c r="B188" s="133"/>
      <c r="C188" s="135" t="s">
        <v>225</v>
      </c>
      <c r="D188" s="136"/>
      <c r="E188" s="141"/>
      <c r="F188" s="630" t="str">
        <f t="shared" si="93"/>
        <v/>
      </c>
      <c r="G188" s="253"/>
      <c r="H188" s="253"/>
      <c r="I188" s="292"/>
      <c r="J188" s="646"/>
      <c r="K188" s="391"/>
      <c r="L188" s="391"/>
      <c r="M188" s="907"/>
      <c r="N188" s="834"/>
    </row>
    <row r="189" spans="1:14">
      <c r="A189" s="84"/>
      <c r="B189" s="133"/>
      <c r="C189" s="135" t="s">
        <v>226</v>
      </c>
      <c r="D189" s="136"/>
      <c r="E189" s="141"/>
      <c r="F189" s="630" t="str">
        <f t="shared" si="93"/>
        <v/>
      </c>
      <c r="G189" s="253"/>
      <c r="H189" s="253"/>
      <c r="I189" s="292"/>
      <c r="J189" s="646"/>
      <c r="K189" s="391"/>
      <c r="L189" s="391"/>
      <c r="M189" s="907"/>
      <c r="N189" s="834"/>
    </row>
    <row r="190" spans="1:14">
      <c r="A190" s="84"/>
      <c r="B190" s="133"/>
      <c r="C190" s="135" t="s">
        <v>227</v>
      </c>
      <c r="D190" s="136"/>
      <c r="E190" s="141"/>
      <c r="F190" s="630" t="str">
        <f t="shared" si="93"/>
        <v/>
      </c>
      <c r="G190" s="253"/>
      <c r="H190" s="253"/>
      <c r="I190" s="292"/>
      <c r="J190" s="646"/>
      <c r="K190" s="391"/>
      <c r="L190" s="391"/>
      <c r="M190" s="907"/>
      <c r="N190" s="834"/>
    </row>
    <row r="191" spans="1:14">
      <c r="A191" s="84"/>
      <c r="B191" s="133"/>
      <c r="C191" s="135" t="s">
        <v>228</v>
      </c>
      <c r="D191" s="136"/>
      <c r="E191" s="141"/>
      <c r="F191" s="630" t="str">
        <f t="shared" si="93"/>
        <v/>
      </c>
      <c r="G191" s="253"/>
      <c r="H191" s="253"/>
      <c r="I191" s="292"/>
      <c r="J191" s="646"/>
      <c r="K191" s="391"/>
      <c r="L191" s="391"/>
      <c r="M191" s="907"/>
      <c r="N191" s="834"/>
    </row>
    <row r="192" spans="1:14">
      <c r="A192" s="84"/>
      <c r="B192" s="133"/>
      <c r="C192" s="135" t="s">
        <v>165</v>
      </c>
      <c r="D192" s="136"/>
      <c r="E192" s="141"/>
      <c r="F192" s="630" t="str">
        <f t="shared" si="93"/>
        <v/>
      </c>
      <c r="G192" s="253"/>
      <c r="H192" s="253"/>
      <c r="I192" s="292"/>
      <c r="J192" s="646"/>
      <c r="K192" s="391"/>
      <c r="L192" s="391"/>
      <c r="M192" s="907"/>
      <c r="N192" s="834"/>
    </row>
    <row r="193" spans="1:14">
      <c r="A193" s="84"/>
      <c r="B193" s="133"/>
      <c r="C193" s="135" t="s">
        <v>166</v>
      </c>
      <c r="D193" s="136"/>
      <c r="E193" s="141"/>
      <c r="F193" s="630" t="str">
        <f t="shared" si="93"/>
        <v/>
      </c>
      <c r="G193" s="253"/>
      <c r="H193" s="253"/>
      <c r="I193" s="292"/>
      <c r="J193" s="646"/>
      <c r="K193" s="391"/>
      <c r="L193" s="391"/>
      <c r="M193" s="907"/>
      <c r="N193" s="834"/>
    </row>
    <row r="194" spans="1:14">
      <c r="A194" s="84"/>
      <c r="B194" s="133"/>
      <c r="C194" s="135" t="s">
        <v>167</v>
      </c>
      <c r="D194" s="136"/>
      <c r="E194" s="141"/>
      <c r="F194" s="630" t="str">
        <f t="shared" si="93"/>
        <v/>
      </c>
      <c r="G194" s="253"/>
      <c r="H194" s="253"/>
      <c r="I194" s="292"/>
      <c r="J194" s="646"/>
      <c r="K194" s="391"/>
      <c r="L194" s="391"/>
      <c r="M194" s="907"/>
      <c r="N194" s="834"/>
    </row>
    <row r="195" spans="1:14">
      <c r="A195" s="84"/>
      <c r="B195" s="133"/>
      <c r="C195" s="135" t="s">
        <v>168</v>
      </c>
      <c r="D195" s="136"/>
      <c r="E195" s="141"/>
      <c r="F195" s="630" t="str">
        <f t="shared" si="93"/>
        <v/>
      </c>
      <c r="G195" s="253"/>
      <c r="H195" s="253"/>
      <c r="I195" s="292"/>
      <c r="J195" s="646"/>
      <c r="K195" s="391"/>
      <c r="L195" s="391"/>
      <c r="M195" s="907"/>
      <c r="N195" s="834"/>
    </row>
    <row r="196" spans="1:14">
      <c r="A196" s="84"/>
      <c r="B196" s="133"/>
      <c r="C196" s="135" t="s">
        <v>169</v>
      </c>
      <c r="D196" s="136"/>
      <c r="E196" s="141"/>
      <c r="F196" s="630" t="str">
        <f>IF(SUM(G196:I196)=0,"",SUM(G196:I196))</f>
        <v/>
      </c>
      <c r="G196" s="253"/>
      <c r="H196" s="253"/>
      <c r="I196" s="292"/>
      <c r="J196" s="646"/>
      <c r="K196" s="391"/>
      <c r="L196" s="391"/>
      <c r="M196" s="907"/>
      <c r="N196" s="834"/>
    </row>
    <row r="197" spans="1:14">
      <c r="A197" s="84"/>
      <c r="B197" s="133"/>
      <c r="C197" s="135" t="s">
        <v>170</v>
      </c>
      <c r="D197" s="136"/>
      <c r="E197" s="141"/>
      <c r="F197" s="630" t="str">
        <f t="shared" ref="F197:F203" si="94">IF(SUM(G197:I197)=0,"",SUM(G197:I197))</f>
        <v/>
      </c>
      <c r="G197" s="253"/>
      <c r="H197" s="253"/>
      <c r="I197" s="292"/>
      <c r="J197" s="646"/>
      <c r="K197" s="391"/>
      <c r="L197" s="391"/>
      <c r="M197" s="907"/>
      <c r="N197" s="834"/>
    </row>
    <row r="198" spans="1:14">
      <c r="A198" s="84"/>
      <c r="B198" s="133"/>
      <c r="C198" s="135" t="s">
        <v>171</v>
      </c>
      <c r="D198" s="136"/>
      <c r="E198" s="141"/>
      <c r="F198" s="630" t="str">
        <f t="shared" si="94"/>
        <v/>
      </c>
      <c r="G198" s="253"/>
      <c r="H198" s="253"/>
      <c r="I198" s="292"/>
      <c r="J198" s="646"/>
      <c r="K198" s="391"/>
      <c r="L198" s="391"/>
      <c r="M198" s="907"/>
      <c r="N198" s="834"/>
    </row>
    <row r="199" spans="1:14">
      <c r="A199" s="84"/>
      <c r="B199" s="133"/>
      <c r="C199" s="135" t="s">
        <v>172</v>
      </c>
      <c r="D199" s="136"/>
      <c r="E199" s="141"/>
      <c r="F199" s="630" t="str">
        <f t="shared" si="94"/>
        <v/>
      </c>
      <c r="G199" s="253"/>
      <c r="H199" s="253"/>
      <c r="I199" s="292"/>
      <c r="J199" s="646"/>
      <c r="K199" s="391"/>
      <c r="L199" s="391"/>
      <c r="M199" s="907"/>
      <c r="N199" s="834"/>
    </row>
    <row r="200" spans="1:14">
      <c r="A200" s="84"/>
      <c r="B200" s="133"/>
      <c r="C200" s="135" t="s">
        <v>173</v>
      </c>
      <c r="D200" s="136"/>
      <c r="E200" s="141"/>
      <c r="F200" s="630" t="str">
        <f t="shared" si="94"/>
        <v/>
      </c>
      <c r="G200" s="253"/>
      <c r="H200" s="253"/>
      <c r="I200" s="292"/>
      <c r="J200" s="646"/>
      <c r="K200" s="391"/>
      <c r="L200" s="391"/>
      <c r="M200" s="907"/>
      <c r="N200" s="834"/>
    </row>
    <row r="201" spans="1:14">
      <c r="A201" s="84"/>
      <c r="B201" s="133"/>
      <c r="C201" s="314" t="s">
        <v>174</v>
      </c>
      <c r="D201" s="142"/>
      <c r="E201" s="143"/>
      <c r="F201" s="310" t="str">
        <f t="shared" si="94"/>
        <v/>
      </c>
      <c r="G201" s="253"/>
      <c r="H201" s="253"/>
      <c r="I201" s="292"/>
      <c r="J201" s="655"/>
      <c r="K201" s="427"/>
      <c r="L201" s="427"/>
      <c r="M201" s="913"/>
      <c r="N201" s="845"/>
    </row>
    <row r="202" spans="1:14">
      <c r="A202" s="84"/>
      <c r="B202" s="133"/>
      <c r="C202" s="314" t="s">
        <v>175</v>
      </c>
      <c r="D202" s="142"/>
      <c r="E202" s="143"/>
      <c r="F202" s="310" t="str">
        <f t="shared" si="94"/>
        <v/>
      </c>
      <c r="G202" s="253"/>
      <c r="H202" s="253"/>
      <c r="I202" s="292"/>
      <c r="J202" s="655"/>
      <c r="K202" s="427"/>
      <c r="L202" s="427"/>
      <c r="M202" s="913"/>
      <c r="N202" s="845"/>
    </row>
    <row r="203" spans="1:14">
      <c r="A203" s="84"/>
      <c r="B203" s="133"/>
      <c r="C203" s="314" t="s">
        <v>176</v>
      </c>
      <c r="D203" s="136"/>
      <c r="E203" s="141"/>
      <c r="F203" s="630" t="str">
        <f t="shared" si="94"/>
        <v/>
      </c>
      <c r="G203" s="253"/>
      <c r="H203" s="253"/>
      <c r="I203" s="292"/>
      <c r="J203" s="646"/>
      <c r="K203" s="391"/>
      <c r="L203" s="391"/>
      <c r="M203" s="907"/>
      <c r="N203" s="834"/>
    </row>
    <row r="204" spans="1:14">
      <c r="A204" s="84"/>
      <c r="B204" s="133"/>
      <c r="C204" s="314" t="s">
        <v>177</v>
      </c>
      <c r="D204" s="136"/>
      <c r="E204" s="141"/>
      <c r="F204" s="630" t="str">
        <f>IF(SUM(G204:I204)=0,"",SUM(G204:I204))</f>
        <v/>
      </c>
      <c r="G204" s="253"/>
      <c r="H204" s="253"/>
      <c r="I204" s="292"/>
      <c r="J204" s="646"/>
      <c r="K204" s="391"/>
      <c r="L204" s="391"/>
      <c r="M204" s="907"/>
      <c r="N204" s="834"/>
    </row>
    <row r="205" spans="1:14">
      <c r="A205" s="84"/>
      <c r="B205" s="133"/>
      <c r="C205" s="314" t="s">
        <v>178</v>
      </c>
      <c r="D205" s="142"/>
      <c r="E205" s="143"/>
      <c r="F205" s="310" t="str">
        <f>IF(SUM(G205:I205)=0,"",SUM(G205:I205))</f>
        <v/>
      </c>
      <c r="G205" s="253"/>
      <c r="H205" s="253"/>
      <c r="I205" s="292"/>
      <c r="J205" s="655"/>
      <c r="K205" s="427"/>
      <c r="L205" s="427"/>
      <c r="M205" s="913"/>
      <c r="N205" s="845"/>
    </row>
    <row r="206" spans="1:14">
      <c r="A206" s="84"/>
      <c r="B206" s="133"/>
      <c r="C206" s="314" t="s">
        <v>179</v>
      </c>
      <c r="D206" s="136"/>
      <c r="E206" s="141"/>
      <c r="F206" s="630" t="str">
        <f>IF(SUM(G206:I206)=0,"",SUM(G206:I206))</f>
        <v/>
      </c>
      <c r="G206" s="253"/>
      <c r="H206" s="253"/>
      <c r="I206" s="292"/>
      <c r="J206" s="646"/>
      <c r="K206" s="391"/>
      <c r="L206" s="391"/>
      <c r="M206" s="907"/>
      <c r="N206" s="834"/>
    </row>
    <row r="207" spans="1:14">
      <c r="A207" s="84"/>
      <c r="B207" s="133"/>
      <c r="C207" s="314" t="s">
        <v>180</v>
      </c>
      <c r="D207" s="136"/>
      <c r="E207" s="141"/>
      <c r="F207" s="630" t="str">
        <f>IF(SUM(G207:I207)=0,"",SUM(G207:I207))</f>
        <v/>
      </c>
      <c r="G207" s="253"/>
      <c r="H207" s="253"/>
      <c r="I207" s="292"/>
      <c r="J207" s="646"/>
      <c r="K207" s="391"/>
      <c r="L207" s="391"/>
      <c r="M207" s="907"/>
      <c r="N207" s="834"/>
    </row>
    <row r="208" spans="1:14">
      <c r="A208" s="84"/>
      <c r="B208" s="133"/>
      <c r="C208" s="314" t="s">
        <v>370</v>
      </c>
      <c r="D208" s="136"/>
      <c r="E208" s="141"/>
      <c r="F208" s="630" t="str">
        <f t="shared" ref="F208:F209" si="95">IF(SUM(G208:I208)=0,"",SUM(G208:I208))</f>
        <v/>
      </c>
      <c r="G208" s="253"/>
      <c r="H208" s="253"/>
      <c r="I208" s="292"/>
      <c r="J208" s="646"/>
      <c r="K208" s="391"/>
      <c r="L208" s="391"/>
      <c r="M208" s="907"/>
      <c r="N208" s="834"/>
    </row>
    <row r="209" spans="1:14">
      <c r="A209" s="84"/>
      <c r="B209" s="133"/>
      <c r="C209" s="314" t="s">
        <v>371</v>
      </c>
      <c r="D209" s="136"/>
      <c r="E209" s="141"/>
      <c r="F209" s="630" t="str">
        <f t="shared" si="95"/>
        <v/>
      </c>
      <c r="G209" s="253"/>
      <c r="H209" s="253"/>
      <c r="I209" s="292"/>
      <c r="J209" s="646"/>
      <c r="K209" s="391"/>
      <c r="L209" s="391"/>
      <c r="M209" s="907"/>
      <c r="N209" s="834"/>
    </row>
    <row r="210" spans="1:14">
      <c r="A210" s="84"/>
      <c r="B210" s="133"/>
      <c r="C210" s="314" t="s">
        <v>372</v>
      </c>
      <c r="D210" s="142"/>
      <c r="E210" s="143"/>
      <c r="F210" s="310" t="str">
        <f>IF(SUM(G210:I210)=0,"",SUM(G210:I210))</f>
        <v/>
      </c>
      <c r="G210" s="253"/>
      <c r="H210" s="253"/>
      <c r="I210" s="292"/>
      <c r="J210" s="655"/>
      <c r="K210" s="427"/>
      <c r="L210" s="427"/>
      <c r="M210" s="913"/>
      <c r="N210" s="845"/>
    </row>
    <row r="211" spans="1:14">
      <c r="A211" s="84"/>
      <c r="B211" s="133"/>
      <c r="C211" s="314" t="s">
        <v>373</v>
      </c>
      <c r="D211" s="136"/>
      <c r="E211" s="141"/>
      <c r="F211" s="630" t="str">
        <f>IF(SUM(G211:I211)=0,"",SUM(G211:I211))</f>
        <v/>
      </c>
      <c r="G211" s="253"/>
      <c r="H211" s="253"/>
      <c r="I211" s="292"/>
      <c r="J211" s="646"/>
      <c r="K211" s="391"/>
      <c r="L211" s="391"/>
      <c r="M211" s="907"/>
      <c r="N211" s="834"/>
    </row>
    <row r="212" spans="1:14">
      <c r="A212" s="84"/>
      <c r="B212" s="133"/>
      <c r="C212" s="314" t="s">
        <v>374</v>
      </c>
      <c r="D212" s="136"/>
      <c r="E212" s="141"/>
      <c r="F212" s="630" t="str">
        <f>IF(SUM(G212:I212)=0,"",SUM(G212:I212))</f>
        <v/>
      </c>
      <c r="G212" s="253"/>
      <c r="H212" s="253"/>
      <c r="I212" s="292"/>
      <c r="J212" s="646"/>
      <c r="K212" s="391"/>
      <c r="L212" s="391"/>
      <c r="M212" s="907"/>
      <c r="N212" s="834"/>
    </row>
    <row r="213" spans="1:14">
      <c r="A213" s="84"/>
      <c r="B213" s="133"/>
      <c r="C213" s="308" t="s">
        <v>36</v>
      </c>
      <c r="D213" s="127"/>
      <c r="E213" s="309"/>
      <c r="F213" s="310" t="n">
        <f t="shared" ref="F213:N213" si="96">SUM(F183:F212)</f>
        <v>0.0</v>
      </c>
      <c r="G213" s="311" t="n">
        <f t="shared" si="96"/>
        <v>0.0</v>
      </c>
      <c r="H213" s="311" t="n">
        <f t="shared" si="96"/>
        <v>0.0</v>
      </c>
      <c r="I213" s="312" t="n">
        <f t="shared" si="96"/>
        <v>0.0</v>
      </c>
      <c r="J213" s="654" t="n">
        <f t="shared" si="96"/>
        <v>0.0</v>
      </c>
      <c r="K213" s="843" t="n">
        <f t="shared" si="96"/>
        <v>0.0</v>
      </c>
      <c r="L213" s="843" t="n">
        <f t="shared" si="96"/>
        <v>0.0</v>
      </c>
      <c r="M213" s="912" t="n">
        <f t="shared" si="96"/>
        <v>0.0</v>
      </c>
      <c r="N213" s="844" t="n">
        <f t="shared" si="96"/>
        <v>0.0</v>
      </c>
    </row>
    <row r="214" spans="1:14">
      <c r="A214" s="84"/>
      <c r="B214" s="1108" t="s">
        <v>411</v>
      </c>
      <c r="C214" s="1109"/>
      <c r="D214" s="1109"/>
      <c r="E214" s="1109"/>
      <c r="F214" s="630" t="n">
        <f>SUM(G214:I214)</f>
        <v>9272.145</v>
      </c>
      <c r="G214" s="254" t="n">
        <f t="shared" ref="G214:N214" si="97">SUMPRODUCT(G134:G146,G279:G291)</f>
        <v>3121.165</v>
      </c>
      <c r="H214" s="254" t="n">
        <f t="shared" si="97"/>
        <v>3089.715</v>
      </c>
      <c r="I214" s="315" t="n">
        <f t="shared" si="97"/>
        <v>3061.2650000000003</v>
      </c>
      <c r="J214" s="656" t="n">
        <f t="shared" si="97"/>
        <v>3029.315</v>
      </c>
      <c r="K214" s="806" t="n">
        <f t="shared" si="97"/>
        <v>2835.98</v>
      </c>
      <c r="L214" s="806" t="n">
        <f t="shared" si="97"/>
        <v>2691.6600000000003</v>
      </c>
      <c r="M214" s="898" t="n">
        <f t="shared" si="97"/>
        <v>2492.29</v>
      </c>
      <c r="N214" s="807" t="n">
        <f t="shared" si="97"/>
        <v>2354.12</v>
      </c>
    </row>
    <row r="215" spans="1:14" ht="14.25" thickBot="1">
      <c r="A215" s="316"/>
      <c r="B215" s="1110" t="s">
        <v>412</v>
      </c>
      <c r="C215" s="1111"/>
      <c r="D215" s="1111"/>
      <c r="E215" s="1111"/>
      <c r="F215" s="317" t="n">
        <f>SUM(G215:I215)</f>
        <v>0.0</v>
      </c>
      <c r="G215" s="318" t="n">
        <f t="shared" ref="G215:N215" si="98">SUMPRODUCT(G183:G212,G221:G250)</f>
        <v>0.0</v>
      </c>
      <c r="H215" s="318" t="n">
        <f t="shared" si="98"/>
        <v>0.0</v>
      </c>
      <c r="I215" s="319" t="n">
        <f t="shared" si="98"/>
        <v>0.0</v>
      </c>
      <c r="J215" s="657" t="n">
        <f t="shared" si="98"/>
        <v>0.0</v>
      </c>
      <c r="K215" s="846" t="n">
        <f t="shared" si="98"/>
        <v>0.0</v>
      </c>
      <c r="L215" s="846" t="n">
        <f t="shared" si="98"/>
        <v>0.0</v>
      </c>
      <c r="M215" s="914" t="n">
        <f t="shared" si="98"/>
        <v>0.0</v>
      </c>
      <c r="N215" s="847" t="n">
        <f t="shared" si="98"/>
        <v>0.0</v>
      </c>
    </row>
    <row r="216" spans="1:14">
      <c r="K216" s="370"/>
      <c r="L216" s="370"/>
      <c r="M216" s="370"/>
    </row>
    <row r="217" spans="1:14" ht="14.25" thickBot="1">
      <c r="A217" s="198" t="s">
        <v>182</v>
      </c>
      <c r="B217" s="201"/>
      <c r="C217" s="201"/>
      <c r="D217" s="201"/>
      <c r="E217" s="201"/>
      <c r="F217" s="201"/>
      <c r="G217" s="201"/>
      <c r="H217" s="201"/>
      <c r="I217" s="201"/>
      <c r="J217" s="201"/>
      <c r="K217" s="726"/>
      <c r="L217" s="726"/>
      <c r="M217" s="726"/>
    </row>
    <row r="218" spans="1:14">
      <c r="A218" s="230"/>
      <c r="B218" s="231"/>
      <c r="C218" s="231"/>
      <c r="D218" s="231"/>
      <c r="E218" s="231"/>
      <c r="F218" s="1112" t="s">
        <v>351</v>
      </c>
      <c r="G218" s="1113"/>
      <c r="H218" s="1113"/>
      <c r="I218" s="1114"/>
      <c r="J218" s="1115" t="s">
        <v>383</v>
      </c>
      <c r="K218" s="1115" t="s">
        <v>324</v>
      </c>
      <c r="L218" s="1115" t="s">
        <v>323</v>
      </c>
      <c r="M218" s="1129" t="s">
        <v>322</v>
      </c>
      <c r="N218" s="1127" t="s">
        <v>349</v>
      </c>
    </row>
    <row r="219" spans="1:14" ht="14.25" thickBot="1">
      <c r="A219" s="232"/>
      <c r="F219" s="233"/>
      <c r="G219" s="234" t="s">
        <v>362</v>
      </c>
      <c r="H219" s="235" t="s">
        <v>361</v>
      </c>
      <c r="I219" s="236" t="s">
        <v>360</v>
      </c>
      <c r="J219" s="1116"/>
      <c r="K219" s="1126"/>
      <c r="L219" s="1126"/>
      <c r="M219" s="1130"/>
      <c r="N219" s="1128"/>
    </row>
    <row r="220" spans="1:14">
      <c r="A220" s="320" t="s">
        <v>183</v>
      </c>
      <c r="B220" s="321"/>
      <c r="C220" s="321"/>
      <c r="D220" s="321"/>
      <c r="E220" s="321"/>
      <c r="F220" s="320"/>
      <c r="G220" s="322" t="n">
        <f>COUNT(G221:G250)</f>
        <v>0.0</v>
      </c>
      <c r="H220" s="322" t="n">
        <f t="shared" ref="H220:N220" si="99">COUNT(H221:H250)</f>
        <v>0.0</v>
      </c>
      <c r="I220" s="323" t="n">
        <f t="shared" si="99"/>
        <v>0.0</v>
      </c>
      <c r="J220" s="641" t="n">
        <f>COUNT(J221:J250)</f>
        <v>0.0</v>
      </c>
      <c r="K220" s="848" t="n">
        <f t="shared" si="99"/>
        <v>0.0</v>
      </c>
      <c r="L220" s="848" t="n">
        <f t="shared" si="99"/>
        <v>0.0</v>
      </c>
      <c r="M220" s="915" t="n">
        <f t="shared" si="99"/>
        <v>0.0</v>
      </c>
      <c r="N220" s="849" t="n">
        <f t="shared" si="99"/>
        <v>0.0</v>
      </c>
    </row>
    <row r="221" spans="1:14">
      <c r="A221" s="207" t="s">
        <v>184</v>
      </c>
      <c r="B221" s="259"/>
      <c r="D221" s="212" t="s">
        <v>185</v>
      </c>
      <c r="E221" s="209"/>
      <c r="F221" s="324"/>
      <c r="G221" s="325"/>
      <c r="H221" s="325"/>
      <c r="I221" s="326"/>
      <c r="J221" s="642"/>
      <c r="K221" s="850"/>
      <c r="L221" s="850"/>
      <c r="M221" s="916"/>
      <c r="N221" s="851"/>
    </row>
    <row r="222" spans="1:14">
      <c r="A222" s="232"/>
      <c r="D222" s="212" t="s">
        <v>186</v>
      </c>
      <c r="E222" s="209"/>
      <c r="F222" s="324"/>
      <c r="G222" s="325"/>
      <c r="H222" s="325"/>
      <c r="I222" s="326"/>
      <c r="J222" s="642"/>
      <c r="K222" s="850"/>
      <c r="L222" s="850"/>
      <c r="M222" s="916"/>
      <c r="N222" s="851"/>
    </row>
    <row r="223" spans="1:14">
      <c r="A223" s="232"/>
      <c r="C223" s="327"/>
      <c r="D223" s="212" t="s">
        <v>187</v>
      </c>
      <c r="E223" s="209"/>
      <c r="F223" s="324"/>
      <c r="G223" s="325"/>
      <c r="H223" s="325"/>
      <c r="I223" s="326"/>
      <c r="J223" s="642"/>
      <c r="K223" s="850"/>
      <c r="L223" s="850"/>
      <c r="M223" s="916"/>
      <c r="N223" s="851"/>
    </row>
    <row r="224" spans="1:14">
      <c r="A224" s="232"/>
      <c r="C224" s="327"/>
      <c r="D224" s="328" t="s">
        <v>188</v>
      </c>
      <c r="E224" s="329"/>
      <c r="F224" s="324"/>
      <c r="G224" s="330"/>
      <c r="H224" s="330"/>
      <c r="I224" s="331"/>
      <c r="J224" s="643"/>
      <c r="K224" s="852"/>
      <c r="L224" s="852"/>
      <c r="M224" s="917"/>
      <c r="N224" s="853"/>
    </row>
    <row r="225" spans="1:14">
      <c r="A225" s="232"/>
      <c r="C225" s="327"/>
      <c r="D225" s="328" t="s">
        <v>189</v>
      </c>
      <c r="E225" s="329"/>
      <c r="F225" s="324"/>
      <c r="G225" s="330"/>
      <c r="H225" s="330"/>
      <c r="I225" s="331"/>
      <c r="J225" s="643"/>
      <c r="K225" s="852"/>
      <c r="L225" s="852"/>
      <c r="M225" s="917"/>
      <c r="N225" s="853"/>
    </row>
    <row r="226" spans="1:14">
      <c r="A226" s="232"/>
      <c r="C226" s="327"/>
      <c r="D226" s="212" t="s">
        <v>190</v>
      </c>
      <c r="E226" s="209"/>
      <c r="F226" s="324"/>
      <c r="G226" s="325"/>
      <c r="H226" s="325"/>
      <c r="I226" s="326"/>
      <c r="J226" s="642"/>
      <c r="K226" s="850"/>
      <c r="L226" s="850"/>
      <c r="M226" s="916"/>
      <c r="N226" s="851"/>
    </row>
    <row r="227" spans="1:14">
      <c r="A227" s="232"/>
      <c r="C227" s="327"/>
      <c r="D227" s="212" t="s">
        <v>191</v>
      </c>
      <c r="E227" s="209"/>
      <c r="F227" s="324"/>
      <c r="G227" s="325"/>
      <c r="H227" s="325"/>
      <c r="I227" s="326"/>
      <c r="J227" s="642"/>
      <c r="K227" s="850"/>
      <c r="L227" s="850"/>
      <c r="M227" s="916"/>
      <c r="N227" s="851"/>
    </row>
    <row r="228" spans="1:14">
      <c r="A228" s="232"/>
      <c r="C228" s="327"/>
      <c r="D228" s="212" t="s">
        <v>192</v>
      </c>
      <c r="E228" s="209"/>
      <c r="F228" s="324"/>
      <c r="G228" s="325"/>
      <c r="H228" s="325"/>
      <c r="I228" s="326"/>
      <c r="J228" s="642"/>
      <c r="K228" s="850"/>
      <c r="L228" s="850"/>
      <c r="M228" s="916"/>
      <c r="N228" s="851"/>
    </row>
    <row r="229" spans="1:14">
      <c r="A229" s="232"/>
      <c r="C229" s="327"/>
      <c r="D229" s="212" t="s">
        <v>193</v>
      </c>
      <c r="E229" s="209"/>
      <c r="F229" s="324"/>
      <c r="G229" s="325"/>
      <c r="H229" s="325"/>
      <c r="I229" s="326"/>
      <c r="J229" s="642"/>
      <c r="K229" s="850"/>
      <c r="L229" s="850"/>
      <c r="M229" s="916"/>
      <c r="N229" s="851"/>
    </row>
    <row r="230" spans="1:14">
      <c r="A230" s="232"/>
      <c r="C230" s="327"/>
      <c r="D230" s="212" t="s">
        <v>165</v>
      </c>
      <c r="E230" s="209"/>
      <c r="F230" s="324"/>
      <c r="G230" s="325"/>
      <c r="H230" s="325"/>
      <c r="I230" s="326"/>
      <c r="J230" s="642"/>
      <c r="K230" s="850"/>
      <c r="L230" s="850"/>
      <c r="M230" s="916"/>
      <c r="N230" s="851"/>
    </row>
    <row r="231" spans="1:14">
      <c r="A231" s="232"/>
      <c r="C231" s="327"/>
      <c r="D231" s="212" t="s">
        <v>166</v>
      </c>
      <c r="E231" s="209"/>
      <c r="F231" s="324"/>
      <c r="G231" s="325"/>
      <c r="H231" s="325"/>
      <c r="I231" s="326"/>
      <c r="J231" s="642"/>
      <c r="K231" s="850"/>
      <c r="L231" s="850"/>
      <c r="M231" s="916"/>
      <c r="N231" s="851"/>
    </row>
    <row r="232" spans="1:14">
      <c r="A232" s="232"/>
      <c r="C232" s="327"/>
      <c r="D232" s="212" t="s">
        <v>167</v>
      </c>
      <c r="E232" s="209"/>
      <c r="F232" s="324"/>
      <c r="G232" s="325"/>
      <c r="H232" s="325"/>
      <c r="I232" s="326"/>
      <c r="J232" s="642"/>
      <c r="K232" s="850"/>
      <c r="L232" s="850"/>
      <c r="M232" s="916"/>
      <c r="N232" s="851"/>
    </row>
    <row r="233" spans="1:14">
      <c r="A233" s="232"/>
      <c r="C233" s="327"/>
      <c r="D233" s="212" t="s">
        <v>168</v>
      </c>
      <c r="E233" s="209"/>
      <c r="F233" s="324"/>
      <c r="G233" s="325"/>
      <c r="H233" s="325"/>
      <c r="I233" s="326"/>
      <c r="J233" s="642"/>
      <c r="K233" s="850"/>
      <c r="L233" s="850"/>
      <c r="M233" s="916"/>
      <c r="N233" s="851"/>
    </row>
    <row r="234" spans="1:14">
      <c r="A234" s="232"/>
      <c r="C234" s="327"/>
      <c r="D234" s="212" t="s">
        <v>169</v>
      </c>
      <c r="E234" s="209"/>
      <c r="F234" s="324"/>
      <c r="G234" s="325"/>
      <c r="H234" s="325"/>
      <c r="I234" s="326"/>
      <c r="J234" s="642"/>
      <c r="K234" s="850"/>
      <c r="L234" s="850"/>
      <c r="M234" s="916"/>
      <c r="N234" s="851"/>
    </row>
    <row r="235" spans="1:14">
      <c r="A235" s="232"/>
      <c r="C235" s="327"/>
      <c r="D235" s="212" t="s">
        <v>170</v>
      </c>
      <c r="E235" s="209"/>
      <c r="F235" s="324"/>
      <c r="G235" s="325"/>
      <c r="H235" s="325"/>
      <c r="I235" s="326"/>
      <c r="J235" s="642"/>
      <c r="K235" s="850"/>
      <c r="L235" s="850"/>
      <c r="M235" s="916"/>
      <c r="N235" s="851"/>
    </row>
    <row r="236" spans="1:14">
      <c r="A236" s="232"/>
      <c r="C236" s="327"/>
      <c r="D236" s="212" t="s">
        <v>171</v>
      </c>
      <c r="E236" s="209"/>
      <c r="F236" s="324"/>
      <c r="G236" s="325"/>
      <c r="H236" s="325"/>
      <c r="I236" s="326"/>
      <c r="J236" s="642"/>
      <c r="K236" s="850"/>
      <c r="L236" s="850"/>
      <c r="M236" s="916"/>
      <c r="N236" s="851"/>
    </row>
    <row r="237" spans="1:14">
      <c r="A237" s="232"/>
      <c r="C237" s="327"/>
      <c r="D237" s="212" t="s">
        <v>172</v>
      </c>
      <c r="E237" s="209"/>
      <c r="F237" s="324"/>
      <c r="G237" s="325"/>
      <c r="H237" s="325"/>
      <c r="I237" s="326"/>
      <c r="J237" s="642"/>
      <c r="K237" s="850"/>
      <c r="L237" s="850"/>
      <c r="M237" s="916"/>
      <c r="N237" s="851"/>
    </row>
    <row r="238" spans="1:14">
      <c r="A238" s="232"/>
      <c r="C238" s="327"/>
      <c r="D238" s="212" t="s">
        <v>173</v>
      </c>
      <c r="E238" s="209"/>
      <c r="F238" s="324"/>
      <c r="G238" s="325"/>
      <c r="H238" s="325"/>
      <c r="I238" s="326"/>
      <c r="J238" s="642"/>
      <c r="K238" s="850"/>
      <c r="L238" s="850"/>
      <c r="M238" s="916"/>
      <c r="N238" s="851"/>
    </row>
    <row r="239" spans="1:14">
      <c r="A239" s="232"/>
      <c r="C239" s="327"/>
      <c r="D239" s="212" t="s">
        <v>174</v>
      </c>
      <c r="E239" s="209"/>
      <c r="F239" s="324"/>
      <c r="G239" s="325"/>
      <c r="H239" s="325"/>
      <c r="I239" s="326"/>
      <c r="J239" s="642"/>
      <c r="K239" s="850"/>
      <c r="L239" s="850"/>
      <c r="M239" s="916"/>
      <c r="N239" s="851"/>
    </row>
    <row r="240" spans="1:14">
      <c r="A240" s="232"/>
      <c r="D240" s="212" t="s">
        <v>175</v>
      </c>
      <c r="E240" s="209"/>
      <c r="F240" s="324"/>
      <c r="G240" s="325"/>
      <c r="H240" s="325"/>
      <c r="I240" s="326"/>
      <c r="J240" s="642"/>
      <c r="K240" s="850"/>
      <c r="L240" s="850"/>
      <c r="M240" s="916"/>
      <c r="N240" s="851"/>
    </row>
    <row r="241" spans="1:14">
      <c r="A241" s="232"/>
      <c r="C241" s="327"/>
      <c r="D241" s="212" t="s">
        <v>176</v>
      </c>
      <c r="E241" s="209"/>
      <c r="F241" s="324"/>
      <c r="G241" s="325"/>
      <c r="H241" s="325"/>
      <c r="I241" s="326"/>
      <c r="J241" s="642"/>
      <c r="K241" s="850"/>
      <c r="L241" s="850"/>
      <c r="M241" s="916"/>
      <c r="N241" s="851"/>
    </row>
    <row r="242" spans="1:14">
      <c r="A242" s="232"/>
      <c r="C242" s="327"/>
      <c r="D242" s="212" t="s">
        <v>177</v>
      </c>
      <c r="E242" s="209"/>
      <c r="F242" s="324"/>
      <c r="G242" s="325"/>
      <c r="H242" s="325"/>
      <c r="I242" s="326"/>
      <c r="J242" s="642"/>
      <c r="K242" s="850"/>
      <c r="L242" s="850"/>
      <c r="M242" s="916"/>
      <c r="N242" s="851"/>
    </row>
    <row r="243" spans="1:14">
      <c r="A243" s="232"/>
      <c r="D243" s="212" t="s">
        <v>178</v>
      </c>
      <c r="E243" s="209"/>
      <c r="F243" s="324"/>
      <c r="G243" s="325"/>
      <c r="H243" s="325"/>
      <c r="I243" s="326"/>
      <c r="J243" s="642"/>
      <c r="K243" s="850"/>
      <c r="L243" s="850"/>
      <c r="M243" s="916"/>
      <c r="N243" s="851"/>
    </row>
    <row r="244" spans="1:14">
      <c r="A244" s="232"/>
      <c r="C244" s="327"/>
      <c r="D244" s="212" t="s">
        <v>179</v>
      </c>
      <c r="E244" s="209"/>
      <c r="F244" s="324"/>
      <c r="G244" s="325"/>
      <c r="H244" s="325"/>
      <c r="I244" s="326"/>
      <c r="J244" s="642"/>
      <c r="K244" s="850"/>
      <c r="L244" s="850"/>
      <c r="M244" s="916"/>
      <c r="N244" s="851"/>
    </row>
    <row r="245" spans="1:14">
      <c r="A245" s="232"/>
      <c r="C245" s="327"/>
      <c r="D245" s="212" t="s">
        <v>180</v>
      </c>
      <c r="E245" s="209"/>
      <c r="F245" s="324"/>
      <c r="G245" s="325"/>
      <c r="H245" s="325"/>
      <c r="I245" s="326"/>
      <c r="J245" s="642"/>
      <c r="K245" s="850"/>
      <c r="L245" s="850"/>
      <c r="M245" s="916"/>
      <c r="N245" s="851"/>
    </row>
    <row r="246" spans="1:14">
      <c r="A246" s="232"/>
      <c r="C246" s="327"/>
      <c r="D246" s="212" t="s">
        <v>370</v>
      </c>
      <c r="E246" s="209"/>
      <c r="F246" s="324"/>
      <c r="G246" s="325"/>
      <c r="H246" s="325"/>
      <c r="I246" s="326"/>
      <c r="J246" s="642"/>
      <c r="K246" s="850"/>
      <c r="L246" s="850"/>
      <c r="M246" s="916"/>
      <c r="N246" s="851"/>
    </row>
    <row r="247" spans="1:14">
      <c r="A247" s="232"/>
      <c r="C247" s="327"/>
      <c r="D247" s="212" t="s">
        <v>371</v>
      </c>
      <c r="E247" s="209"/>
      <c r="F247" s="324"/>
      <c r="G247" s="325"/>
      <c r="H247" s="325"/>
      <c r="I247" s="326"/>
      <c r="J247" s="642"/>
      <c r="K247" s="850"/>
      <c r="L247" s="850"/>
      <c r="M247" s="916"/>
      <c r="N247" s="851"/>
    </row>
    <row r="248" spans="1:14">
      <c r="A248" s="232"/>
      <c r="D248" s="212" t="s">
        <v>372</v>
      </c>
      <c r="E248" s="209"/>
      <c r="F248" s="324"/>
      <c r="G248" s="325"/>
      <c r="H248" s="325"/>
      <c r="I248" s="326"/>
      <c r="J248" s="642"/>
      <c r="K248" s="850"/>
      <c r="L248" s="850"/>
      <c r="M248" s="916"/>
      <c r="N248" s="851"/>
    </row>
    <row r="249" spans="1:14">
      <c r="A249" s="232"/>
      <c r="C249" s="327"/>
      <c r="D249" s="212" t="s">
        <v>373</v>
      </c>
      <c r="E249" s="209"/>
      <c r="F249" s="324"/>
      <c r="G249" s="325"/>
      <c r="H249" s="325"/>
      <c r="I249" s="326"/>
      <c r="J249" s="642"/>
      <c r="K249" s="850"/>
      <c r="L249" s="850"/>
      <c r="M249" s="916"/>
      <c r="N249" s="851"/>
    </row>
    <row r="250" spans="1:14">
      <c r="A250" s="232"/>
      <c r="C250" s="327"/>
      <c r="D250" s="212" t="s">
        <v>374</v>
      </c>
      <c r="E250" s="209"/>
      <c r="F250" s="324"/>
      <c r="G250" s="325"/>
      <c r="H250" s="325"/>
      <c r="I250" s="326"/>
      <c r="J250" s="642"/>
      <c r="K250" s="850"/>
      <c r="L250" s="850"/>
      <c r="M250" s="916"/>
      <c r="N250" s="851"/>
    </row>
    <row r="251" spans="1:14">
      <c r="A251" s="207" t="s">
        <v>194</v>
      </c>
      <c r="B251" s="259"/>
      <c r="C251" s="259"/>
      <c r="D251" s="212" t="s">
        <v>195</v>
      </c>
      <c r="E251" s="209"/>
      <c r="F251" s="627"/>
      <c r="G251" s="273"/>
      <c r="H251" s="273"/>
      <c r="I251" s="332"/>
      <c r="J251" s="644"/>
      <c r="K251" s="786" t="str">
        <f>IF(J251="","",$J251)</f>
        <v/>
      </c>
      <c r="L251" s="786" t="str">
        <f t="shared" ref="L251:N251" si="100">IF(K251="","",$J251)</f>
        <v/>
      </c>
      <c r="M251" s="786" t="str">
        <f t="shared" si="100"/>
        <v/>
      </c>
      <c r="N251" s="787" t="str">
        <f t="shared" si="100"/>
        <v/>
      </c>
    </row>
    <row r="252" spans="1:14">
      <c r="A252" s="232"/>
      <c r="D252" s="212" t="s">
        <v>196</v>
      </c>
      <c r="E252" s="209"/>
      <c r="F252" s="627"/>
      <c r="G252" s="273"/>
      <c r="H252" s="273"/>
      <c r="I252" s="332"/>
      <c r="J252" s="644"/>
      <c r="K252" s="786" t="str">
        <f t="shared" ref="K252:N252" si="101">IF(J252="","",$J252)</f>
        <v/>
      </c>
      <c r="L252" s="786" t="str">
        <f t="shared" si="101"/>
        <v/>
      </c>
      <c r="M252" s="786" t="str">
        <f t="shared" si="101"/>
        <v/>
      </c>
      <c r="N252" s="787" t="str">
        <f t="shared" si="101"/>
        <v/>
      </c>
    </row>
    <row r="253" spans="1:14">
      <c r="A253" s="232"/>
      <c r="C253" s="327"/>
      <c r="D253" s="212" t="s">
        <v>197</v>
      </c>
      <c r="E253" s="209"/>
      <c r="F253" s="627"/>
      <c r="G253" s="273"/>
      <c r="H253" s="273"/>
      <c r="I253" s="332"/>
      <c r="J253" s="644"/>
      <c r="K253" s="786" t="str">
        <f t="shared" ref="K253:N253" si="102">IF(J253="","",$J253)</f>
        <v/>
      </c>
      <c r="L253" s="786" t="str">
        <f t="shared" si="102"/>
        <v/>
      </c>
      <c r="M253" s="786" t="str">
        <f t="shared" si="102"/>
        <v/>
      </c>
      <c r="N253" s="787" t="str">
        <f t="shared" si="102"/>
        <v/>
      </c>
    </row>
    <row r="254" spans="1:14">
      <c r="A254" s="232"/>
      <c r="C254" s="327"/>
      <c r="D254" s="212" t="s">
        <v>198</v>
      </c>
      <c r="E254" s="209"/>
      <c r="F254" s="627"/>
      <c r="G254" s="273"/>
      <c r="H254" s="273"/>
      <c r="I254" s="332"/>
      <c r="J254" s="644"/>
      <c r="K254" s="786" t="str">
        <f t="shared" ref="K254:N254" si="103">IF(J254="","",$J254)</f>
        <v/>
      </c>
      <c r="L254" s="786" t="str">
        <f t="shared" si="103"/>
        <v/>
      </c>
      <c r="M254" s="786" t="str">
        <f t="shared" si="103"/>
        <v/>
      </c>
      <c r="N254" s="787" t="str">
        <f t="shared" si="103"/>
        <v/>
      </c>
    </row>
    <row r="255" spans="1:14">
      <c r="A255" s="232"/>
      <c r="C255" s="327"/>
      <c r="D255" s="212" t="s">
        <v>199</v>
      </c>
      <c r="E255" s="209"/>
      <c r="F255" s="627"/>
      <c r="G255" s="273"/>
      <c r="H255" s="273"/>
      <c r="I255" s="332"/>
      <c r="J255" s="644"/>
      <c r="K255" s="786" t="str">
        <f t="shared" ref="K255:N255" si="104">IF(J255="","",$J255)</f>
        <v/>
      </c>
      <c r="L255" s="786" t="str">
        <f t="shared" si="104"/>
        <v/>
      </c>
      <c r="M255" s="786" t="str">
        <f t="shared" si="104"/>
        <v/>
      </c>
      <c r="N255" s="787" t="str">
        <f t="shared" si="104"/>
        <v/>
      </c>
    </row>
    <row r="256" spans="1:14">
      <c r="A256" s="232"/>
      <c r="C256" s="327"/>
      <c r="D256" s="212" t="s">
        <v>200</v>
      </c>
      <c r="E256" s="209"/>
      <c r="F256" s="627"/>
      <c r="G256" s="273"/>
      <c r="H256" s="273"/>
      <c r="I256" s="332"/>
      <c r="J256" s="644"/>
      <c r="K256" s="786" t="str">
        <f t="shared" ref="K256:N256" si="105">IF(J256="","",$J256)</f>
        <v/>
      </c>
      <c r="L256" s="786" t="str">
        <f t="shared" si="105"/>
        <v/>
      </c>
      <c r="M256" s="786" t="str">
        <f t="shared" si="105"/>
        <v/>
      </c>
      <c r="N256" s="787" t="str">
        <f t="shared" si="105"/>
        <v/>
      </c>
    </row>
    <row r="257" spans="1:14">
      <c r="A257" s="232"/>
      <c r="C257" s="327"/>
      <c r="D257" s="212" t="s">
        <v>201</v>
      </c>
      <c r="E257" s="209"/>
      <c r="F257" s="627"/>
      <c r="G257" s="273"/>
      <c r="H257" s="273"/>
      <c r="I257" s="332"/>
      <c r="J257" s="644"/>
      <c r="K257" s="786" t="str">
        <f t="shared" ref="K257:N257" si="106">IF(J257="","",$J257)</f>
        <v/>
      </c>
      <c r="L257" s="786" t="str">
        <f t="shared" si="106"/>
        <v/>
      </c>
      <c r="M257" s="786" t="str">
        <f t="shared" si="106"/>
        <v/>
      </c>
      <c r="N257" s="787" t="str">
        <f t="shared" si="106"/>
        <v/>
      </c>
    </row>
    <row r="258" spans="1:14">
      <c r="A258" s="232"/>
      <c r="C258" s="327"/>
      <c r="D258" s="212" t="s">
        <v>202</v>
      </c>
      <c r="E258" s="209"/>
      <c r="F258" s="627"/>
      <c r="G258" s="273"/>
      <c r="H258" s="273"/>
      <c r="I258" s="332"/>
      <c r="J258" s="644"/>
      <c r="K258" s="786" t="str">
        <f t="shared" ref="K258:N258" si="107">IF(J258="","",$J258)</f>
        <v/>
      </c>
      <c r="L258" s="786" t="str">
        <f t="shared" si="107"/>
        <v/>
      </c>
      <c r="M258" s="786" t="str">
        <f t="shared" si="107"/>
        <v/>
      </c>
      <c r="N258" s="787" t="str">
        <f t="shared" si="107"/>
        <v/>
      </c>
    </row>
    <row r="259" spans="1:14">
      <c r="A259" s="232"/>
      <c r="C259" s="327"/>
      <c r="D259" s="212" t="s">
        <v>203</v>
      </c>
      <c r="E259" s="209"/>
      <c r="F259" s="627"/>
      <c r="G259" s="273"/>
      <c r="H259" s="273"/>
      <c r="I259" s="332"/>
      <c r="J259" s="644"/>
      <c r="K259" s="786" t="str">
        <f t="shared" ref="K259:N259" si="108">IF(J259="","",$J259)</f>
        <v/>
      </c>
      <c r="L259" s="786" t="str">
        <f t="shared" si="108"/>
        <v/>
      </c>
      <c r="M259" s="786" t="str">
        <f t="shared" si="108"/>
        <v/>
      </c>
      <c r="N259" s="787" t="str">
        <f t="shared" si="108"/>
        <v/>
      </c>
    </row>
    <row r="260" spans="1:14">
      <c r="A260" s="232"/>
      <c r="C260" s="327"/>
      <c r="D260" s="212" t="s">
        <v>204</v>
      </c>
      <c r="E260" s="209"/>
      <c r="F260" s="627"/>
      <c r="G260" s="273"/>
      <c r="H260" s="273"/>
      <c r="I260" s="332"/>
      <c r="J260" s="644"/>
      <c r="K260" s="786" t="str">
        <f t="shared" ref="K260:N260" si="109">IF(J260="","",$J260)</f>
        <v/>
      </c>
      <c r="L260" s="786" t="str">
        <f t="shared" si="109"/>
        <v/>
      </c>
      <c r="M260" s="786" t="str">
        <f t="shared" si="109"/>
        <v/>
      </c>
      <c r="N260" s="787" t="str">
        <f t="shared" si="109"/>
        <v/>
      </c>
    </row>
    <row r="261" spans="1:14">
      <c r="A261" s="232"/>
      <c r="C261" s="327"/>
      <c r="D261" s="212" t="s">
        <v>205</v>
      </c>
      <c r="E261" s="209"/>
      <c r="F261" s="627"/>
      <c r="G261" s="273"/>
      <c r="H261" s="273"/>
      <c r="I261" s="332"/>
      <c r="J261" s="644"/>
      <c r="K261" s="786" t="str">
        <f t="shared" ref="K261:N261" si="110">IF(J261="","",$J261)</f>
        <v/>
      </c>
      <c r="L261" s="786" t="str">
        <f t="shared" si="110"/>
        <v/>
      </c>
      <c r="M261" s="786" t="str">
        <f t="shared" si="110"/>
        <v/>
      </c>
      <c r="N261" s="787" t="str">
        <f t="shared" si="110"/>
        <v/>
      </c>
    </row>
    <row r="262" spans="1:14">
      <c r="A262" s="232"/>
      <c r="C262" s="327"/>
      <c r="D262" s="333" t="s">
        <v>206</v>
      </c>
      <c r="E262" s="277"/>
      <c r="F262" s="627"/>
      <c r="G262" s="273"/>
      <c r="H262" s="273"/>
      <c r="I262" s="332"/>
      <c r="J262" s="645"/>
      <c r="K262" s="786" t="str">
        <f t="shared" ref="K262:N262" si="111">IF(J262="","",$J262)</f>
        <v/>
      </c>
      <c r="L262" s="786" t="str">
        <f t="shared" si="111"/>
        <v/>
      </c>
      <c r="M262" s="786" t="str">
        <f t="shared" si="111"/>
        <v/>
      </c>
      <c r="N262" s="787" t="str">
        <f t="shared" si="111"/>
        <v/>
      </c>
    </row>
    <row r="263" spans="1:14">
      <c r="A263" s="232"/>
      <c r="D263" s="212" t="s">
        <v>207</v>
      </c>
      <c r="E263" s="209"/>
      <c r="F263" s="627"/>
      <c r="G263" s="273"/>
      <c r="H263" s="273"/>
      <c r="I263" s="332"/>
      <c r="J263" s="646"/>
      <c r="K263" s="786" t="str">
        <f t="shared" ref="K263:N263" si="112">IF(J263="","",$J263)</f>
        <v/>
      </c>
      <c r="L263" s="786" t="str">
        <f t="shared" si="112"/>
        <v/>
      </c>
      <c r="M263" s="786" t="str">
        <f t="shared" si="112"/>
        <v/>
      </c>
      <c r="N263" s="787" t="str">
        <f t="shared" si="112"/>
        <v/>
      </c>
    </row>
    <row r="264" spans="1:14">
      <c r="A264" s="232"/>
      <c r="D264" s="334" t="s">
        <v>208</v>
      </c>
      <c r="E264" s="335"/>
      <c r="F264" s="627"/>
      <c r="G264" s="273"/>
      <c r="H264" s="273"/>
      <c r="I264" s="332"/>
      <c r="J264" s="647"/>
      <c r="K264" s="786" t="str">
        <f t="shared" ref="K264:N264" si="113">IF(J264="","",$J264)</f>
        <v/>
      </c>
      <c r="L264" s="786" t="str">
        <f t="shared" si="113"/>
        <v/>
      </c>
      <c r="M264" s="786" t="str">
        <f t="shared" si="113"/>
        <v/>
      </c>
      <c r="N264" s="787" t="str">
        <f t="shared" si="113"/>
        <v/>
      </c>
    </row>
    <row r="265" spans="1:14">
      <c r="A265" s="232"/>
      <c r="C265" s="327"/>
      <c r="D265" s="212" t="s">
        <v>209</v>
      </c>
      <c r="E265" s="209"/>
      <c r="F265" s="627"/>
      <c r="G265" s="273"/>
      <c r="H265" s="273"/>
      <c r="I265" s="332"/>
      <c r="J265" s="644"/>
      <c r="K265" s="786" t="str">
        <f t="shared" ref="K265:N265" si="114">IF(J265="","",$J265)</f>
        <v/>
      </c>
      <c r="L265" s="786" t="str">
        <f t="shared" si="114"/>
        <v/>
      </c>
      <c r="M265" s="786" t="str">
        <f t="shared" si="114"/>
        <v/>
      </c>
      <c r="N265" s="787" t="str">
        <f t="shared" si="114"/>
        <v/>
      </c>
    </row>
    <row r="266" spans="1:14">
      <c r="A266" s="232"/>
      <c r="C266" s="327"/>
      <c r="D266" s="333" t="s">
        <v>210</v>
      </c>
      <c r="E266" s="277"/>
      <c r="F266" s="336"/>
      <c r="G266" s="278"/>
      <c r="H266" s="278"/>
      <c r="I266" s="337"/>
      <c r="J266" s="645"/>
      <c r="K266" s="786" t="str">
        <f t="shared" ref="K266:N266" si="115">IF(J266="","",$J266)</f>
        <v/>
      </c>
      <c r="L266" s="786" t="str">
        <f t="shared" si="115"/>
        <v/>
      </c>
      <c r="M266" s="786" t="str">
        <f t="shared" si="115"/>
        <v/>
      </c>
      <c r="N266" s="787" t="str">
        <f t="shared" si="115"/>
        <v/>
      </c>
    </row>
    <row r="267" spans="1:14">
      <c r="A267" s="232"/>
      <c r="C267" s="327"/>
      <c r="D267" s="333" t="s">
        <v>211</v>
      </c>
      <c r="E267" s="209"/>
      <c r="F267" s="627"/>
      <c r="G267" s="273"/>
      <c r="H267" s="273"/>
      <c r="I267" s="332"/>
      <c r="J267" s="646"/>
      <c r="K267" s="786" t="str">
        <f t="shared" ref="K267:N267" si="116">IF(J267="","",$J267)</f>
        <v/>
      </c>
      <c r="L267" s="786" t="str">
        <f t="shared" si="116"/>
        <v/>
      </c>
      <c r="M267" s="786" t="str">
        <f t="shared" si="116"/>
        <v/>
      </c>
      <c r="N267" s="787" t="str">
        <f t="shared" si="116"/>
        <v/>
      </c>
    </row>
    <row r="268" spans="1:14">
      <c r="A268" s="232"/>
      <c r="C268" s="327"/>
      <c r="D268" s="212" t="s">
        <v>212</v>
      </c>
      <c r="E268" s="209"/>
      <c r="F268" s="627"/>
      <c r="G268" s="273"/>
      <c r="H268" s="273"/>
      <c r="I268" s="332"/>
      <c r="J268" s="644"/>
      <c r="K268" s="786" t="str">
        <f t="shared" ref="K268:N272" si="117">IF(J268="","",$J268)</f>
        <v/>
      </c>
      <c r="L268" s="786" t="str">
        <f t="shared" si="117"/>
        <v/>
      </c>
      <c r="M268" s="786" t="str">
        <f t="shared" si="117"/>
        <v/>
      </c>
      <c r="N268" s="787" t="str">
        <f t="shared" si="117"/>
        <v/>
      </c>
    </row>
    <row r="269" spans="1:14">
      <c r="A269" s="232"/>
      <c r="D269" s="334" t="s">
        <v>375</v>
      </c>
      <c r="E269" s="335"/>
      <c r="F269" s="627"/>
      <c r="G269" s="273"/>
      <c r="H269" s="273"/>
      <c r="I269" s="332"/>
      <c r="J269" s="647"/>
      <c r="K269" s="786" t="str">
        <f t="shared" si="117"/>
        <v/>
      </c>
      <c r="L269" s="786" t="str">
        <f t="shared" si="117"/>
        <v/>
      </c>
      <c r="M269" s="786" t="str">
        <f t="shared" si="117"/>
        <v/>
      </c>
      <c r="N269" s="787" t="str">
        <f t="shared" si="117"/>
        <v/>
      </c>
    </row>
    <row r="270" spans="1:14">
      <c r="A270" s="232"/>
      <c r="C270" s="327"/>
      <c r="D270" s="212" t="s">
        <v>376</v>
      </c>
      <c r="E270" s="209"/>
      <c r="F270" s="627"/>
      <c r="G270" s="273"/>
      <c r="H270" s="273"/>
      <c r="I270" s="332"/>
      <c r="J270" s="644"/>
      <c r="K270" s="786" t="str">
        <f t="shared" si="117"/>
        <v/>
      </c>
      <c r="L270" s="786" t="str">
        <f t="shared" si="117"/>
        <v/>
      </c>
      <c r="M270" s="786" t="str">
        <f t="shared" si="117"/>
        <v/>
      </c>
      <c r="N270" s="787" t="str">
        <f t="shared" si="117"/>
        <v/>
      </c>
    </row>
    <row r="271" spans="1:14">
      <c r="A271" s="232"/>
      <c r="C271" s="327"/>
      <c r="D271" s="333" t="s">
        <v>377</v>
      </c>
      <c r="E271" s="277"/>
      <c r="F271" s="336"/>
      <c r="G271" s="278"/>
      <c r="H271" s="278"/>
      <c r="I271" s="337"/>
      <c r="J271" s="645"/>
      <c r="K271" s="786" t="str">
        <f t="shared" si="117"/>
        <v/>
      </c>
      <c r="L271" s="786" t="str">
        <f t="shared" si="117"/>
        <v/>
      </c>
      <c r="M271" s="786" t="str">
        <f t="shared" si="117"/>
        <v/>
      </c>
      <c r="N271" s="787" t="str">
        <f t="shared" si="117"/>
        <v/>
      </c>
    </row>
    <row r="272" spans="1:14">
      <c r="A272" s="232"/>
      <c r="C272" s="327"/>
      <c r="D272" s="333" t="s">
        <v>378</v>
      </c>
      <c r="E272" s="209"/>
      <c r="F272" s="627"/>
      <c r="G272" s="273"/>
      <c r="H272" s="273"/>
      <c r="I272" s="332"/>
      <c r="J272" s="646"/>
      <c r="K272" s="786" t="str">
        <f t="shared" si="117"/>
        <v/>
      </c>
      <c r="L272" s="786" t="str">
        <f t="shared" si="117"/>
        <v/>
      </c>
      <c r="M272" s="786" t="str">
        <f t="shared" si="117"/>
        <v/>
      </c>
      <c r="N272" s="787" t="str">
        <f t="shared" si="117"/>
        <v/>
      </c>
    </row>
    <row r="273" spans="1:14">
      <c r="A273" s="232"/>
      <c r="C273" s="327"/>
      <c r="D273" s="212" t="s">
        <v>379</v>
      </c>
      <c r="E273" s="209"/>
      <c r="F273" s="627"/>
      <c r="G273" s="273"/>
      <c r="H273" s="273"/>
      <c r="I273" s="332"/>
      <c r="J273" s="644"/>
      <c r="K273" s="786" t="str">
        <f t="shared" ref="K273" si="118">IF(J273="","",$J273)</f>
        <v/>
      </c>
      <c r="L273" s="786" t="str">
        <f t="shared" ref="L273" si="119">IF(K273="","",$J273)</f>
        <v/>
      </c>
      <c r="M273" s="786" t="str">
        <f t="shared" ref="M273" si="120">IF(L273="","",$J273)</f>
        <v/>
      </c>
      <c r="N273" s="787" t="str">
        <f t="shared" ref="N273" si="121">IF(M273="","",$J273)</f>
        <v/>
      </c>
    </row>
    <row r="274" spans="1:14" ht="14.25" thickBot="1">
      <c r="A274" s="338"/>
      <c r="B274" s="339"/>
      <c r="C274" s="340"/>
      <c r="D274" s="341" t="s">
        <v>380</v>
      </c>
      <c r="E274" s="342"/>
      <c r="F274" s="343"/>
      <c r="G274" s="344"/>
      <c r="H274" s="344"/>
      <c r="I274" s="345"/>
      <c r="J274" s="648"/>
      <c r="K274" s="854" t="str">
        <f t="shared" ref="K274:N274" si="122">IF(J274="","",$J274)</f>
        <v/>
      </c>
      <c r="L274" s="854" t="str">
        <f t="shared" si="122"/>
        <v/>
      </c>
      <c r="M274" s="854" t="str">
        <f t="shared" si="122"/>
        <v/>
      </c>
      <c r="N274" s="855" t="str">
        <f t="shared" si="122"/>
        <v/>
      </c>
    </row>
    <row r="275" spans="1:14">
      <c r="K275" s="370"/>
      <c r="L275" s="370"/>
      <c r="M275" s="370"/>
    </row>
    <row r="276" spans="1:14" ht="14.25" thickBot="1">
      <c r="A276" s="198" t="s">
        <v>213</v>
      </c>
      <c r="B276" s="201"/>
      <c r="C276" s="201"/>
      <c r="D276" s="201"/>
      <c r="E276" s="201"/>
      <c r="F276" s="201"/>
      <c r="G276" s="201"/>
      <c r="H276" s="201"/>
      <c r="I276" s="201"/>
      <c r="J276" s="201"/>
      <c r="K276" s="726"/>
      <c r="L276" s="726"/>
      <c r="M276" s="726"/>
    </row>
    <row r="277" spans="1:14">
      <c r="A277" s="230"/>
      <c r="B277" s="231"/>
      <c r="C277" s="231"/>
      <c r="D277" s="231"/>
      <c r="E277" s="231"/>
      <c r="F277" s="1112" t="s">
        <v>351</v>
      </c>
      <c r="G277" s="1113"/>
      <c r="H277" s="1113"/>
      <c r="I277" s="1114"/>
      <c r="J277" s="1115" t="s">
        <v>383</v>
      </c>
      <c r="K277" s="1115" t="s">
        <v>324</v>
      </c>
      <c r="L277" s="1115" t="s">
        <v>323</v>
      </c>
      <c r="M277" s="1129" t="s">
        <v>322</v>
      </c>
      <c r="N277" s="1127" t="s">
        <v>349</v>
      </c>
    </row>
    <row r="278" spans="1:14" ht="14.25" thickBot="1">
      <c r="A278" s="232"/>
      <c r="F278" s="233"/>
      <c r="G278" s="234" t="s">
        <v>362</v>
      </c>
      <c r="H278" s="235" t="s">
        <v>361</v>
      </c>
      <c r="I278" s="236" t="s">
        <v>360</v>
      </c>
      <c r="J278" s="1116"/>
      <c r="K278" s="1126"/>
      <c r="L278" s="1126"/>
      <c r="M278" s="1130"/>
      <c r="N278" s="1128"/>
    </row>
    <row r="279" spans="1:14">
      <c r="A279" s="230" t="s">
        <v>184</v>
      </c>
      <c r="B279" s="231"/>
      <c r="C279" s="346"/>
      <c r="D279" s="347" t="s">
        <v>185</v>
      </c>
      <c r="E279" s="348"/>
      <c r="F279" s="324"/>
      <c r="G279" s="995">
        <v>0.45500000000000002</v>
      </c>
      <c r="H279" s="995">
        <v>0.45500000000000002</v>
      </c>
      <c r="I279" s="996">
        <v>0.45500000000000002</v>
      </c>
      <c r="J279" s="997">
        <v>0.45500000000000002</v>
      </c>
      <c r="K279" s="998">
        <v>0.45500000000000002</v>
      </c>
      <c r="L279" s="998">
        <v>0.45500000000000002</v>
      </c>
      <c r="M279" s="999">
        <v>0.45500000000000002</v>
      </c>
      <c r="N279" s="1000">
        <v>0.45500000000000002</v>
      </c>
    </row>
    <row r="280" spans="1:14">
      <c r="A280" s="232"/>
      <c r="D280" s="981" t="s">
        <v>186</v>
      </c>
      <c r="E280" s="982"/>
      <c r="F280" s="324"/>
      <c r="G280" s="995">
        <v>0.68500000000000005</v>
      </c>
      <c r="H280" s="995">
        <v>0.68500000000000005</v>
      </c>
      <c r="I280" s="996">
        <v>0.68500000000000005</v>
      </c>
      <c r="J280" s="997">
        <v>0.68500000000000005</v>
      </c>
      <c r="K280" s="998">
        <v>0.68500000000000005</v>
      </c>
      <c r="L280" s="998">
        <v>0.68500000000000005</v>
      </c>
      <c r="M280" s="999">
        <v>0.68500000000000005</v>
      </c>
      <c r="N280" s="1000">
        <v>0.68500000000000005</v>
      </c>
    </row>
    <row r="281" spans="1:14">
      <c r="A281" s="232"/>
      <c r="C281" s="327"/>
      <c r="D281" s="981" t="s">
        <v>187</v>
      </c>
      <c r="E281" s="982"/>
      <c r="F281" s="324"/>
      <c r="G281" s="995">
        <v>0.69</v>
      </c>
      <c r="H281" s="995">
        <v>0.69</v>
      </c>
      <c r="I281" s="996">
        <v>0.69</v>
      </c>
      <c r="J281" s="997">
        <v>0.69</v>
      </c>
      <c r="K281" s="998">
        <v>0.69</v>
      </c>
      <c r="L281" s="998">
        <v>0.69</v>
      </c>
      <c r="M281" s="999">
        <v>0.69</v>
      </c>
      <c r="N281" s="1000">
        <v>0.69</v>
      </c>
    </row>
    <row r="282" spans="1:14">
      <c r="A282" s="232"/>
      <c r="C282" s="327"/>
      <c r="D282" s="981" t="s">
        <v>188</v>
      </c>
      <c r="E282" s="982"/>
      <c r="F282" s="324"/>
      <c r="G282" s="995">
        <v>0.9</v>
      </c>
      <c r="H282" s="995">
        <v>0.9</v>
      </c>
      <c r="I282" s="996">
        <v>0.9</v>
      </c>
      <c r="J282" s="997">
        <v>0.9</v>
      </c>
      <c r="K282" s="998">
        <v>0.9</v>
      </c>
      <c r="L282" s="998">
        <v>0.9</v>
      </c>
      <c r="M282" s="999">
        <v>0.9</v>
      </c>
      <c r="N282" s="1000">
        <v>0.9</v>
      </c>
    </row>
    <row r="283" spans="1:14">
      <c r="A283" s="232"/>
      <c r="C283" s="327"/>
      <c r="D283" s="981" t="s">
        <v>189</v>
      </c>
      <c r="E283" s="982"/>
      <c r="F283" s="324"/>
      <c r="G283" s="995">
        <v>1</v>
      </c>
      <c r="H283" s="995">
        <v>1</v>
      </c>
      <c r="I283" s="996">
        <v>1</v>
      </c>
      <c r="J283" s="997">
        <v>1</v>
      </c>
      <c r="K283" s="998">
        <v>1</v>
      </c>
      <c r="L283" s="998">
        <v>1</v>
      </c>
      <c r="M283" s="999">
        <v>1</v>
      </c>
      <c r="N283" s="1000">
        <v>1</v>
      </c>
    </row>
    <row r="284" spans="1:14">
      <c r="A284" s="232"/>
      <c r="C284" s="327"/>
      <c r="D284" s="981" t="s">
        <v>190</v>
      </c>
      <c r="E284" s="982"/>
      <c r="F284" s="324"/>
      <c r="G284" s="995">
        <v>1.2</v>
      </c>
      <c r="H284" s="995">
        <v>1.2</v>
      </c>
      <c r="I284" s="996">
        <v>1.2</v>
      </c>
      <c r="J284" s="997">
        <v>1.2</v>
      </c>
      <c r="K284" s="998">
        <v>1.2</v>
      </c>
      <c r="L284" s="998">
        <v>1.2</v>
      </c>
      <c r="M284" s="999">
        <v>1.2</v>
      </c>
      <c r="N284" s="1000">
        <v>1.2</v>
      </c>
    </row>
    <row r="285" spans="1:14">
      <c r="A285" s="232"/>
      <c r="C285" s="327"/>
      <c r="D285" s="981" t="s">
        <v>191</v>
      </c>
      <c r="E285" s="982"/>
      <c r="F285" s="324"/>
      <c r="G285" s="995">
        <v>1.3</v>
      </c>
      <c r="H285" s="995">
        <v>1.3</v>
      </c>
      <c r="I285" s="996">
        <v>1.3</v>
      </c>
      <c r="J285" s="997">
        <v>1.3</v>
      </c>
      <c r="K285" s="998">
        <v>1.3</v>
      </c>
      <c r="L285" s="998">
        <v>1.3</v>
      </c>
      <c r="M285" s="999">
        <v>1.3</v>
      </c>
      <c r="N285" s="1000">
        <v>1.3</v>
      </c>
    </row>
    <row r="286" spans="1:14">
      <c r="A286" s="232"/>
      <c r="C286" s="327"/>
      <c r="D286" s="981" t="s">
        <v>192</v>
      </c>
      <c r="E286" s="982"/>
      <c r="F286" s="324"/>
      <c r="G286" s="995">
        <v>1.5</v>
      </c>
      <c r="H286" s="995">
        <v>1.5</v>
      </c>
      <c r="I286" s="996">
        <v>1.5</v>
      </c>
      <c r="J286" s="997">
        <v>1.5</v>
      </c>
      <c r="K286" s="998">
        <v>1.5</v>
      </c>
      <c r="L286" s="998">
        <v>1.5</v>
      </c>
      <c r="M286" s="999">
        <v>1.5</v>
      </c>
      <c r="N286" s="1000">
        <v>1.5</v>
      </c>
    </row>
    <row r="287" spans="1:14">
      <c r="A287" s="232"/>
      <c r="C287" s="327"/>
      <c r="D287" s="981" t="s">
        <v>193</v>
      </c>
      <c r="E287" s="982"/>
      <c r="F287" s="324"/>
      <c r="G287" s="995">
        <v>1.7</v>
      </c>
      <c r="H287" s="995">
        <v>1.7</v>
      </c>
      <c r="I287" s="996">
        <v>1.7</v>
      </c>
      <c r="J287" s="997">
        <v>1.7</v>
      </c>
      <c r="K287" s="998">
        <v>1.7</v>
      </c>
      <c r="L287" s="998">
        <v>1.7</v>
      </c>
      <c r="M287" s="999">
        <v>1.7</v>
      </c>
      <c r="N287" s="1000">
        <v>1.7</v>
      </c>
    </row>
    <row r="288" spans="1:14">
      <c r="A288" s="232"/>
      <c r="C288" s="327"/>
      <c r="D288" s="981" t="s">
        <v>165</v>
      </c>
      <c r="E288" s="982"/>
      <c r="F288" s="324"/>
      <c r="G288" s="995">
        <v>1.9</v>
      </c>
      <c r="H288" s="995">
        <v>1.9</v>
      </c>
      <c r="I288" s="996">
        <v>1.9</v>
      </c>
      <c r="J288" s="997">
        <v>1.9</v>
      </c>
      <c r="K288" s="998">
        <v>1.9</v>
      </c>
      <c r="L288" s="998">
        <v>1.9</v>
      </c>
      <c r="M288" s="999">
        <v>1.9</v>
      </c>
      <c r="N288" s="1000">
        <v>1.9</v>
      </c>
    </row>
    <row r="289" spans="1:14">
      <c r="A289" s="232"/>
      <c r="C289" s="327"/>
      <c r="D289" s="981" t="s">
        <v>166</v>
      </c>
      <c r="E289" s="982"/>
      <c r="F289" s="324"/>
      <c r="G289" s="995">
        <v>2.1</v>
      </c>
      <c r="H289" s="995">
        <v>2.1</v>
      </c>
      <c r="I289" s="996">
        <v>2.1</v>
      </c>
      <c r="J289" s="997">
        <v>2.1</v>
      </c>
      <c r="K289" s="998">
        <v>2.1</v>
      </c>
      <c r="L289" s="998">
        <v>2.1</v>
      </c>
      <c r="M289" s="999">
        <v>2.1</v>
      </c>
      <c r="N289" s="1000">
        <v>2.1</v>
      </c>
    </row>
    <row r="290" spans="1:14">
      <c r="A290" s="232"/>
      <c r="C290" s="327"/>
      <c r="D290" s="981" t="s">
        <v>167</v>
      </c>
      <c r="E290" s="982"/>
      <c r="F290" s="324"/>
      <c r="G290" s="995">
        <v>2.2999999999999998</v>
      </c>
      <c r="H290" s="995">
        <v>2.2999999999999998</v>
      </c>
      <c r="I290" s="996">
        <v>2.2999999999999998</v>
      </c>
      <c r="J290" s="997">
        <v>2.2999999999999998</v>
      </c>
      <c r="K290" s="998">
        <v>2.2999999999999998</v>
      </c>
      <c r="L290" s="998">
        <v>2.2999999999999998</v>
      </c>
      <c r="M290" s="999">
        <v>2.2999999999999998</v>
      </c>
      <c r="N290" s="1000">
        <v>2.2999999999999998</v>
      </c>
    </row>
    <row r="291" spans="1:14">
      <c r="A291" s="232"/>
      <c r="C291" s="327"/>
      <c r="D291" s="981" t="s">
        <v>168</v>
      </c>
      <c r="E291" s="982"/>
      <c r="F291" s="324"/>
      <c r="G291" s="995">
        <v>2.4</v>
      </c>
      <c r="H291" s="995">
        <v>2.4</v>
      </c>
      <c r="I291" s="996">
        <v>2.4</v>
      </c>
      <c r="J291" s="997">
        <v>2.4</v>
      </c>
      <c r="K291" s="998">
        <v>2.4</v>
      </c>
      <c r="L291" s="998">
        <v>2.4</v>
      </c>
      <c r="M291" s="999">
        <v>2.4</v>
      </c>
      <c r="N291" s="1000">
        <v>2.4</v>
      </c>
    </row>
    <row r="292" spans="1:14" hidden="1">
      <c r="A292" s="232"/>
      <c r="C292" s="327"/>
      <c r="D292" s="981"/>
      <c r="E292" s="982"/>
      <c r="F292" s="324"/>
      <c r="G292" s="983">
        <v>0</v>
      </c>
      <c r="H292" s="983">
        <v>0</v>
      </c>
      <c r="I292" s="984">
        <v>0</v>
      </c>
      <c r="J292" s="638">
        <v>0</v>
      </c>
      <c r="K292" s="856">
        <v>0</v>
      </c>
      <c r="L292" s="856">
        <v>0</v>
      </c>
      <c r="M292" s="918">
        <v>0</v>
      </c>
      <c r="N292" s="857">
        <v>0</v>
      </c>
    </row>
    <row r="293" spans="1:14" hidden="1">
      <c r="A293" s="232"/>
      <c r="C293" s="327"/>
      <c r="D293" s="981"/>
      <c r="E293" s="982"/>
      <c r="F293" s="324"/>
      <c r="G293" s="983">
        <v>0</v>
      </c>
      <c r="H293" s="983">
        <v>0</v>
      </c>
      <c r="I293" s="984">
        <v>0</v>
      </c>
      <c r="J293" s="638">
        <v>0</v>
      </c>
      <c r="K293" s="856">
        <v>0</v>
      </c>
      <c r="L293" s="856">
        <v>0</v>
      </c>
      <c r="M293" s="918">
        <v>0</v>
      </c>
      <c r="N293" s="857">
        <v>0</v>
      </c>
    </row>
    <row r="294" spans="1:14">
      <c r="A294" s="260" t="s">
        <v>194</v>
      </c>
      <c r="B294" s="261"/>
      <c r="C294" s="261"/>
      <c r="D294" s="981" t="s">
        <v>195</v>
      </c>
      <c r="E294" s="982"/>
      <c r="F294" s="985">
        <v>1200000</v>
      </c>
      <c r="G294" s="273"/>
      <c r="H294" s="273"/>
      <c r="I294" s="332"/>
      <c r="J294" s="639">
        <v>1200000</v>
      </c>
      <c r="K294" s="858">
        <v>1200000</v>
      </c>
      <c r="L294" s="858">
        <v>1200000</v>
      </c>
      <c r="M294" s="919">
        <v>1200000</v>
      </c>
      <c r="N294" s="859">
        <v>1200000</v>
      </c>
    </row>
    <row r="295" spans="1:14">
      <c r="A295" s="232"/>
      <c r="D295" s="981" t="s">
        <v>196</v>
      </c>
      <c r="E295" s="982"/>
      <c r="F295" s="985">
        <v>2100000</v>
      </c>
      <c r="G295" s="273"/>
      <c r="H295" s="273"/>
      <c r="I295" s="332"/>
      <c r="J295" s="639">
        <v>2100000</v>
      </c>
      <c r="K295" s="858">
        <v>2100000</v>
      </c>
      <c r="L295" s="858">
        <v>2100000</v>
      </c>
      <c r="M295" s="919">
        <v>2100000</v>
      </c>
      <c r="N295" s="859">
        <v>2100000</v>
      </c>
    </row>
    <row r="296" spans="1:14">
      <c r="A296" s="232"/>
      <c r="D296" s="981" t="s">
        <v>335</v>
      </c>
      <c r="E296" s="982"/>
      <c r="F296" s="985">
        <v>3200000</v>
      </c>
      <c r="G296" s="273"/>
      <c r="H296" s="273"/>
      <c r="I296" s="332"/>
      <c r="J296" s="639">
        <v>3200000</v>
      </c>
      <c r="K296" s="858">
        <v>3200000</v>
      </c>
      <c r="L296" s="858">
        <v>3200000</v>
      </c>
      <c r="M296" s="919">
        <v>3200000</v>
      </c>
      <c r="N296" s="859">
        <v>3200000</v>
      </c>
    </row>
    <row r="297" spans="1:14">
      <c r="A297" s="232"/>
      <c r="D297" s="981" t="s">
        <v>198</v>
      </c>
      <c r="E297" s="982"/>
      <c r="F297" s="985">
        <v>4200000</v>
      </c>
      <c r="G297" s="273"/>
      <c r="H297" s="273"/>
      <c r="I297" s="332"/>
      <c r="J297" s="653">
        <v>4200000</v>
      </c>
      <c r="K297" s="653">
        <v>4200000</v>
      </c>
      <c r="L297" s="653">
        <v>4200000</v>
      </c>
      <c r="M297" s="653">
        <v>4200000</v>
      </c>
      <c r="N297" s="1131">
        <v>4200000</v>
      </c>
    </row>
    <row r="298" spans="1:14">
      <c r="A298" s="232"/>
      <c r="D298" s="981" t="s">
        <v>336</v>
      </c>
      <c r="E298" s="982"/>
      <c r="F298" s="985">
        <v>5200000</v>
      </c>
      <c r="G298" s="273"/>
      <c r="H298" s="273"/>
      <c r="I298" s="332"/>
      <c r="J298" s="653">
        <v>5200000</v>
      </c>
      <c r="K298" s="653">
        <v>5200000</v>
      </c>
      <c r="L298" s="653">
        <v>5200000</v>
      </c>
      <c r="M298" s="653">
        <v>5200000</v>
      </c>
      <c r="N298" s="1131">
        <v>5200000</v>
      </c>
    </row>
    <row r="299" spans="1:14">
      <c r="A299" s="232"/>
      <c r="D299" s="981" t="s">
        <v>200</v>
      </c>
      <c r="E299" s="982"/>
      <c r="F299" s="985">
        <v>6200000</v>
      </c>
      <c r="G299" s="273"/>
      <c r="H299" s="273"/>
      <c r="I299" s="332"/>
      <c r="J299" s="653">
        <v>6200000</v>
      </c>
      <c r="K299" s="653">
        <v>6200000</v>
      </c>
      <c r="L299" s="653">
        <v>6200000</v>
      </c>
      <c r="M299" s="653">
        <v>6200000</v>
      </c>
      <c r="N299" s="1131">
        <v>6200000</v>
      </c>
    </row>
    <row r="300" spans="1:14" ht="14.25" thickBot="1">
      <c r="A300" s="232"/>
      <c r="D300" s="981" t="s">
        <v>201</v>
      </c>
      <c r="E300" s="982"/>
      <c r="F300" s="985">
        <v>7200000</v>
      </c>
      <c r="G300" s="273"/>
      <c r="H300" s="273"/>
      <c r="I300" s="332"/>
      <c r="J300" s="653">
        <v>7200000</v>
      </c>
      <c r="K300" s="653">
        <v>7200000</v>
      </c>
      <c r="L300" s="653">
        <v>7200000</v>
      </c>
      <c r="M300" s="653">
        <v>7200000</v>
      </c>
      <c r="N300" s="1131">
        <v>7200000</v>
      </c>
    </row>
    <row r="301" spans="1:14" hidden="1">
      <c r="A301" s="232"/>
      <c r="D301" s="981"/>
      <c r="E301" s="982"/>
      <c r="F301" s="985"/>
      <c r="G301" s="273"/>
      <c r="H301" s="273"/>
      <c r="I301" s="332"/>
      <c r="J301" s="639">
        <v>0</v>
      </c>
      <c r="K301" s="858">
        <v>0</v>
      </c>
      <c r="L301" s="858">
        <v>0</v>
      </c>
      <c r="M301" s="919">
        <v>0</v>
      </c>
      <c r="N301" s="859">
        <v>0</v>
      </c>
    </row>
    <row r="302" spans="1:14" ht="14.25" hidden="1" thickBot="1">
      <c r="A302" s="338"/>
      <c r="B302" s="339"/>
      <c r="C302" s="339"/>
      <c r="D302" s="349"/>
      <c r="E302" s="350"/>
      <c r="F302" s="351"/>
      <c r="G302" s="344"/>
      <c r="H302" s="344"/>
      <c r="I302" s="345"/>
      <c r="J302" s="640">
        <v>0</v>
      </c>
      <c r="K302" s="860">
        <v>0</v>
      </c>
      <c r="L302" s="860">
        <v>0</v>
      </c>
      <c r="M302" s="920">
        <v>0</v>
      </c>
      <c r="N302" s="861">
        <v>0</v>
      </c>
    </row>
    <row r="303" spans="1:14">
      <c r="A303" s="231"/>
      <c r="B303" s="231"/>
      <c r="C303" s="231"/>
      <c r="D303" s="231"/>
      <c r="E303" s="231"/>
      <c r="F303" s="231"/>
      <c r="G303" s="231"/>
      <c r="H303" s="231"/>
      <c r="I303" s="231"/>
      <c r="J303" s="231"/>
      <c r="K303" s="231"/>
      <c r="L303" s="231"/>
      <c r="M303" s="231"/>
      <c r="N303" s="231"/>
    </row>
  </sheetData>
  <mergeCells count="33">
    <mergeCell ref="L66:L67"/>
    <mergeCell ref="N66:N67"/>
    <mergeCell ref="K109:K110"/>
    <mergeCell ref="K218:K219"/>
    <mergeCell ref="K277:K278"/>
    <mergeCell ref="L109:L110"/>
    <mergeCell ref="L218:L219"/>
    <mergeCell ref="L277:L278"/>
    <mergeCell ref="M109:M110"/>
    <mergeCell ref="M218:M219"/>
    <mergeCell ref="M277:M278"/>
    <mergeCell ref="M66:M67"/>
    <mergeCell ref="N109:N110"/>
    <mergeCell ref="N218:N219"/>
    <mergeCell ref="N277:N278"/>
    <mergeCell ref="F277:I277"/>
    <mergeCell ref="J277:J278"/>
    <mergeCell ref="F109:I109"/>
    <mergeCell ref="J109:J110"/>
    <mergeCell ref="K66:K67"/>
    <mergeCell ref="B214:E214"/>
    <mergeCell ref="B215:E215"/>
    <mergeCell ref="F66:I66"/>
    <mergeCell ref="F218:I218"/>
    <mergeCell ref="J218:J219"/>
    <mergeCell ref="J66:J67"/>
    <mergeCell ref="B75:E75"/>
    <mergeCell ref="C71:E71"/>
    <mergeCell ref="B150:E150"/>
    <mergeCell ref="B182:E182"/>
    <mergeCell ref="C73:E73"/>
    <mergeCell ref="C74:E74"/>
    <mergeCell ref="C72:E72"/>
  </mergeCells>
  <phoneticPr fontId="3"/>
  <dataValidations disablePrompts="1" count="1">
    <dataValidation type="custom" imeMode="off" allowBlank="1" showInputMessage="1" showErrorMessage="1" error="・前の段階と後ろの段階の間の数値を入力してください。_x000a_・前後の段階と同じ割合を入力することはできません。" sqref="G225" xr:uid="{00000000-0002-0000-0400-000000000000}">
      <formula1>AND(G224&lt;G225,G225&lt;G226)</formula1>
    </dataValidation>
  </dataValidations>
  <pageMargins left="0.70866141732283472" right="0.70866141732283472" top="0.74803149606299213" bottom="0.74803149606299213" header="0.31496062992125984" footer="0.31496062992125984"/>
  <pageSetup paperSize="9" scale="37" orientation="portrait" r:id="rId1"/>
  <headerFooter>
    <oddHeader>&amp;C「&amp;A」シート</oddHeader>
    <oddFooter>&amp;C&amp;P</oddFooter>
  </headerFooter>
  <rowBreaks count="3" manualBreakCount="3">
    <brk id="64" max="16" man="1"/>
    <brk id="107" max="16" man="1"/>
    <brk id="216" max="16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/>
  <dimension ref="B1:L38"/>
  <sheetViews>
    <sheetView view="pageBreakPreview" zoomScale="85" zoomScaleNormal="100" zoomScaleSheetLayoutView="85" workbookViewId="0">
      <selection activeCell="F26" sqref="F26"/>
    </sheetView>
  </sheetViews>
  <sheetFormatPr defaultColWidth="9" defaultRowHeight="11.25"/>
  <cols>
    <col min="1" max="1" customWidth="true" style="862" width="2.625" collapsed="false"/>
    <col min="2" max="2" customWidth="true" style="862" width="4.25" collapsed="false"/>
    <col min="3" max="3" customWidth="true" style="862" width="46.75" collapsed="false"/>
    <col min="4" max="11" customWidth="true" style="862" width="13.0" collapsed="false"/>
    <col min="12" max="12" customWidth="true" style="862" width="1.625" collapsed="false"/>
    <col min="13" max="16384" style="862" width="9.0" collapsed="false"/>
  </cols>
  <sheetData>
    <row r="1" spans="2:11">
      <c r="B1" s="862" t="s">
        <v>119</v>
      </c>
    </row>
    <row r="3" spans="2:11" ht="3" customHeight="1" thickBot="1"/>
    <row r="4" spans="2:11" ht="18.75" customHeight="1" thickBot="1">
      <c r="D4" s="863" t="s">
        <v>348</v>
      </c>
      <c r="E4" s="864" t="s">
        <v>399</v>
      </c>
      <c r="F4" s="864" t="s">
        <v>328</v>
      </c>
      <c r="G4" s="864" t="s">
        <v>329</v>
      </c>
      <c r="H4" s="864" t="s">
        <v>330</v>
      </c>
      <c r="I4" s="865" t="s">
        <v>344</v>
      </c>
    </row>
    <row r="5" spans="2:11" ht="18.75" customHeight="1" thickBot="1">
      <c r="C5" s="111" t="s">
        <v>222</v>
      </c>
      <c r="D5" s="112">
        <v>0.23</v>
      </c>
      <c r="E5" s="626">
        <v>0.24</v>
      </c>
      <c r="F5" s="626">
        <v>0.25</v>
      </c>
      <c r="G5" s="626">
        <v>0.26</v>
      </c>
      <c r="H5" s="626">
        <v>0.27</v>
      </c>
      <c r="I5" s="113">
        <v>0.28000000000000003</v>
      </c>
    </row>
    <row r="7" spans="2:11" ht="18.75" customHeight="1" thickBot="1">
      <c r="B7" s="862" t="s">
        <v>429</v>
      </c>
      <c r="D7" s="114"/>
    </row>
    <row r="8" spans="2:11" ht="18.75" customHeight="1" thickBot="1">
      <c r="C8" s="694"/>
      <c r="D8" s="690" t="s">
        <v>347</v>
      </c>
      <c r="E8" s="691" t="s">
        <v>346</v>
      </c>
      <c r="F8" s="691" t="s">
        <v>345</v>
      </c>
      <c r="G8" s="691" t="s">
        <v>399</v>
      </c>
      <c r="H8" s="691" t="s">
        <v>328</v>
      </c>
      <c r="I8" s="691" t="s">
        <v>329</v>
      </c>
      <c r="J8" s="928" t="s">
        <v>330</v>
      </c>
      <c r="K8" s="923" t="s">
        <v>344</v>
      </c>
    </row>
    <row r="9" spans="2:11" ht="18.75" customHeight="1">
      <c r="C9" s="695" t="s">
        <v>120</v>
      </c>
      <c r="D9" s="692">
        <v>0.43120000000000003</v>
      </c>
      <c r="E9" s="154">
        <v>0.41660000000000003</v>
      </c>
      <c r="F9" s="154">
        <v>0.40760000000000002</v>
      </c>
      <c r="G9" s="154">
        <v>0.39460000000000001</v>
      </c>
      <c r="H9" s="154">
        <v>0.41560000000000002</v>
      </c>
      <c r="I9" s="154">
        <v>0.44490000000000002</v>
      </c>
      <c r="J9" s="929">
        <v>0.43769999999999998</v>
      </c>
      <c r="K9" s="924">
        <v>0.40620000000000001</v>
      </c>
    </row>
    <row r="10" spans="2:11" ht="18.75" customHeight="1">
      <c r="C10" s="696" t="s">
        <v>258</v>
      </c>
      <c r="D10" s="693">
        <v>0.38250000000000001</v>
      </c>
      <c r="E10" s="116">
        <v>0.39240000000000003</v>
      </c>
      <c r="F10" s="116">
        <v>0.39510000000000001</v>
      </c>
      <c r="G10" s="116">
        <v>0.38979999999999998</v>
      </c>
      <c r="H10" s="116">
        <v>0.33300000000000002</v>
      </c>
      <c r="I10" s="116">
        <v>0.31030000000000002</v>
      </c>
      <c r="J10" s="930">
        <v>0.33279999999999998</v>
      </c>
      <c r="K10" s="925">
        <v>0.3669</v>
      </c>
    </row>
    <row r="11" spans="2:11" ht="18.75" customHeight="1">
      <c r="C11" s="696" t="s">
        <v>259</v>
      </c>
      <c r="D11" s="693">
        <v>0.18629999999999999</v>
      </c>
      <c r="E11" s="116">
        <v>0.191</v>
      </c>
      <c r="F11" s="116">
        <v>0.1973</v>
      </c>
      <c r="G11" s="116">
        <v>0.2157</v>
      </c>
      <c r="H11" s="116">
        <v>0.25130000000000002</v>
      </c>
      <c r="I11" s="116">
        <v>0.24479999999999999</v>
      </c>
      <c r="J11" s="930">
        <v>0.22950000000000001</v>
      </c>
      <c r="K11" s="925">
        <v>0.22700000000000001</v>
      </c>
    </row>
    <row r="12" spans="2:11" ht="18.75" customHeight="1">
      <c r="C12" s="866" t="s">
        <v>266</v>
      </c>
      <c r="D12" s="867">
        <v>4296</v>
      </c>
      <c r="E12" s="868">
        <v>4296</v>
      </c>
      <c r="F12" s="868">
        <v>4296</v>
      </c>
      <c r="G12" s="868">
        <v>4296</v>
      </c>
      <c r="H12" s="868">
        <v>4296</v>
      </c>
      <c r="I12" s="868">
        <v>4296</v>
      </c>
      <c r="J12" s="868">
        <v>4296</v>
      </c>
      <c r="K12" s="926">
        <v>4296</v>
      </c>
    </row>
    <row r="13" spans="2:11" ht="18.75" customHeight="1">
      <c r="C13" s="866" t="s">
        <v>267</v>
      </c>
      <c r="D13" s="867">
        <v>17647</v>
      </c>
      <c r="E13" s="868">
        <v>17647</v>
      </c>
      <c r="F13" s="868">
        <v>17647</v>
      </c>
      <c r="G13" s="868">
        <v>17647</v>
      </c>
      <c r="H13" s="868">
        <v>17647</v>
      </c>
      <c r="I13" s="868">
        <v>17647</v>
      </c>
      <c r="J13" s="868">
        <v>17647</v>
      </c>
      <c r="K13" s="926">
        <v>17647</v>
      </c>
    </row>
    <row r="14" spans="2:11" ht="18.75" customHeight="1" thickBot="1">
      <c r="C14" s="869" t="s">
        <v>268</v>
      </c>
      <c r="D14" s="870">
        <v>80362</v>
      </c>
      <c r="E14" s="871">
        <v>80362</v>
      </c>
      <c r="F14" s="871">
        <v>80362</v>
      </c>
      <c r="G14" s="871">
        <v>80362</v>
      </c>
      <c r="H14" s="871">
        <v>80362</v>
      </c>
      <c r="I14" s="871">
        <v>80362</v>
      </c>
      <c r="J14" s="871">
        <v>80362</v>
      </c>
      <c r="K14" s="927">
        <v>80362</v>
      </c>
    </row>
    <row r="16" spans="2:11" ht="18.75" customHeight="1" thickBot="1">
      <c r="B16" s="862" t="s">
        <v>430</v>
      </c>
      <c r="D16" s="114"/>
    </row>
    <row r="17" spans="3:4" ht="18.75" customHeight="1">
      <c r="C17" s="118" t="s">
        <v>121</v>
      </c>
      <c r="D17" s="874">
        <v>0.1749</v>
      </c>
    </row>
    <row r="18" spans="3:4" ht="18.75" customHeight="1">
      <c r="C18" s="115" t="s">
        <v>122</v>
      </c>
      <c r="D18" s="875">
        <v>9.6699999999999994E-2</v>
      </c>
    </row>
    <row r="19" spans="3:4" ht="18.75" customHeight="1">
      <c r="C19" s="115" t="s">
        <v>123</v>
      </c>
      <c r="D19" s="875">
        <v>8.6400000000000005E-2</v>
      </c>
    </row>
    <row r="20" spans="3:4" ht="18.75" customHeight="1">
      <c r="C20" s="115" t="s">
        <v>124</v>
      </c>
      <c r="D20" s="875">
        <v>0.1074</v>
      </c>
    </row>
    <row r="21" spans="3:4" ht="18.75" customHeight="1">
      <c r="C21" s="115" t="s">
        <v>125</v>
      </c>
      <c r="D21" s="875">
        <v>0.14050000000000001</v>
      </c>
    </row>
    <row r="22" spans="3:4" ht="18.75" customHeight="1">
      <c r="C22" s="115" t="s">
        <v>126</v>
      </c>
      <c r="D22" s="875">
        <v>0.1333</v>
      </c>
    </row>
    <row r="23" spans="3:4" ht="18.75" customHeight="1">
      <c r="C23" s="115" t="s">
        <v>127</v>
      </c>
      <c r="D23" s="875">
        <v>0.1361</v>
      </c>
    </row>
    <row r="24" spans="3:4" ht="18.75" customHeight="1">
      <c r="C24" s="115" t="s">
        <v>128</v>
      </c>
      <c r="D24" s="875">
        <v>6.0999999999999999E-2</v>
      </c>
    </row>
    <row r="25" spans="3:4" ht="18.75" customHeight="1">
      <c r="C25" s="115" t="s">
        <v>129</v>
      </c>
      <c r="D25" s="987">
        <v>2.41E-2</v>
      </c>
    </row>
    <row r="26" spans="3:4" ht="18.75" customHeight="1">
      <c r="C26" s="115" t="s">
        <v>332</v>
      </c>
      <c r="D26" s="987">
        <v>1.15E-2</v>
      </c>
    </row>
    <row r="27" spans="3:4" ht="18.75" customHeight="1">
      <c r="C27" s="115" t="s">
        <v>333</v>
      </c>
      <c r="D27" s="987">
        <v>6.1000000000000004E-3</v>
      </c>
    </row>
    <row r="28" spans="3:4" ht="18.75" customHeight="1">
      <c r="C28" s="115" t="s">
        <v>343</v>
      </c>
      <c r="D28" s="987">
        <v>3.8999999999999998E-3</v>
      </c>
    </row>
    <row r="29" spans="3:4" ht="18.75" customHeight="1" thickBot="1">
      <c r="C29" s="986" t="s">
        <v>342</v>
      </c>
      <c r="D29" s="987">
        <v>1.8100000000000002E-2</v>
      </c>
    </row>
    <row r="30" spans="3:4" ht="18.75" hidden="1" customHeight="1">
      <c r="C30" s="986"/>
      <c r="D30" s="987"/>
    </row>
    <row r="31" spans="3:4" ht="18.75" hidden="1" customHeight="1" thickBot="1">
      <c r="C31" s="117"/>
      <c r="D31" s="876"/>
    </row>
    <row r="32" spans="3:4">
      <c r="C32" s="988"/>
      <c r="D32" s="988"/>
    </row>
    <row r="33" spans="2:4" ht="18.75" customHeight="1" thickBot="1">
      <c r="B33" s="862" t="s">
        <v>223</v>
      </c>
      <c r="D33" s="114"/>
    </row>
    <row r="34" spans="2:4" ht="18.75" customHeight="1">
      <c r="C34" s="119" t="s">
        <v>340</v>
      </c>
      <c r="D34" s="120">
        <v>1</v>
      </c>
    </row>
    <row r="35" spans="2:4" ht="18.75" customHeight="1" thickBot="1">
      <c r="C35" s="121" t="s">
        <v>341</v>
      </c>
      <c r="D35" s="122">
        <v>1</v>
      </c>
    </row>
    <row r="37" spans="2:4" ht="18.75" customHeight="1" thickBot="1">
      <c r="B37" s="872"/>
      <c r="D37" s="114"/>
    </row>
    <row r="38" spans="2:4" ht="36" customHeight="1" thickBot="1">
      <c r="C38" s="123" t="s">
        <v>130</v>
      </c>
      <c r="D38" s="124">
        <v>95</v>
      </c>
    </row>
  </sheetData>
  <phoneticPr fontId="3"/>
  <pageMargins left="0.70866141732283472" right="0.70866141732283472" top="0.74803149606299213" bottom="0.74803149606299213" header="0.31496062992125984" footer="0.31496062992125984"/>
  <pageSetup paperSize="9" scale="55" orientation="portrait" r:id="rId1"/>
  <headerFooter>
    <oddHeader>&amp;C「&amp;A」シート</oddHeader>
    <oddFooter>&amp;C&amp;P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9</vt:i4>
      </vt:variant>
    </vt:vector>
  </HeadingPairs>
  <TitlesOfParts>
    <vt:vector size="15" baseType="lpstr">
      <vt:lpstr>1_推計値サマリ</vt:lpstr>
      <vt:lpstr>2_サービス別給付費</vt:lpstr>
      <vt:lpstr>3_地域支援事業費</vt:lpstr>
      <vt:lpstr>4_施策反映の解説</vt:lpstr>
      <vt:lpstr>5_保険料推計</vt:lpstr>
      <vt:lpstr>(参考)保険料の推計に要する係数</vt:lpstr>
      <vt:lpstr>'(参考)保険料の推計に要する係数'!Print_Area</vt:lpstr>
      <vt:lpstr>'1_推計値サマリ'!Print_Area</vt:lpstr>
      <vt:lpstr>'2_サービス別給付費'!Print_Area</vt:lpstr>
      <vt:lpstr>'3_地域支援事業費'!Print_Area</vt:lpstr>
      <vt:lpstr>'4_施策反映の解説'!Print_Area</vt:lpstr>
      <vt:lpstr>'5_保険料推計'!Print_Area</vt:lpstr>
      <vt:lpstr>推計パターン名</vt:lpstr>
      <vt:lpstr>保険者番号</vt:lpstr>
      <vt:lpstr>保険者名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2015-10-28T05:07:20Z</dcterms:created>
  <dc:creator>曹福泉</dc:creator>
  <cp:lastModifiedBy>70118 井領 茜</cp:lastModifiedBy>
  <cp:lastPrinted>2023-03-02T06:26:57Z</cp:lastPrinted>
  <dcterms:modified xsi:type="dcterms:W3CDTF">2026-07-28T10:09:49Z</dcterms:modified>
</cp:coreProperties>
</file>