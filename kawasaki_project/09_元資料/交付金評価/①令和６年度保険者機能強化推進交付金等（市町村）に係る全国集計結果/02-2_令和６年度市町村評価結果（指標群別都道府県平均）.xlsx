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v-3fa8.lansys.mhlw.go.jp\c\課3\12303500_老健局　介護保険計画課\04_交付金審査・交付係\令和05年度\05_R6評価指標集計関係\11_見える化システム掲載\03_年末＋年度末セット（参考）\01_市町村\"/>
    </mc:Choice>
  </mc:AlternateContent>
  <xr:revisionPtr revIDLastSave="0" documentId="13_ncr:1_{F65EFC3E-CCD4-466F-839F-008136CC60C1}" xr6:coauthVersionLast="47" xr6:coauthVersionMax="47" xr10:uidLastSave="{00000000-0000-0000-0000-000000000000}"/>
  <bookViews>
    <workbookView xWindow="-120" yWindow="-120" windowWidth="29040" windowHeight="15840" xr2:uid="{258A0C16-53FF-4111-B395-5D7978E31240}"/>
  </bookViews>
  <sheets>
    <sheet name="R6市町村結果（都道府県別）" sheetId="1" r:id="rId1"/>
  </sheets>
  <definedNames>
    <definedName name="_xlnm.Print_Area" localSheetId="0">'R6市町村結果（都道府県別）'!$A$1:$V$53</definedName>
    <definedName name="愛知県">#REF!</definedName>
    <definedName name="愛媛県">#REF!</definedName>
    <definedName name="茨城県">#REF!</definedName>
    <definedName name="岡山県">#REF!</definedName>
    <definedName name="沖縄県">#REF!</definedName>
    <definedName name="岩手県">#REF!</definedName>
    <definedName name="岐阜県">#REF!</definedName>
    <definedName name="宮崎県">#REF!</definedName>
    <definedName name="宮城県">#REF!</definedName>
    <definedName name="京都府">#REF!</definedName>
    <definedName name="熊本県">#REF!</definedName>
    <definedName name="群馬県">#REF!</definedName>
    <definedName name="広島県">#REF!</definedName>
    <definedName name="香川県">#REF!</definedName>
    <definedName name="高知県">#REF!</definedName>
    <definedName name="佐賀県">#REF!</definedName>
    <definedName name="埼玉県">#REF!</definedName>
    <definedName name="三重県">#REF!</definedName>
    <definedName name="山形県">#REF!</definedName>
    <definedName name="山口県">#REF!</definedName>
    <definedName name="山梨県">#REF!</definedName>
    <definedName name="市町村">#REF!</definedName>
    <definedName name="市町村名">#REF!,#REF!</definedName>
    <definedName name="滋賀県">#REF!</definedName>
    <definedName name="鹿児島県">#REF!</definedName>
    <definedName name="秋田県">#REF!</definedName>
    <definedName name="新潟県">#REF!</definedName>
    <definedName name="神奈川県">#REF!</definedName>
    <definedName name="青森県">#REF!</definedName>
    <definedName name="静岡県">#REF!</definedName>
    <definedName name="石川県">#REF!</definedName>
    <definedName name="千葉県">#REF!</definedName>
    <definedName name="大阪府">#REF!</definedName>
    <definedName name="大分県">#REF!</definedName>
    <definedName name="長崎県">#REF!</definedName>
    <definedName name="長野県">#REF!</definedName>
    <definedName name="鳥取県">#REF!</definedName>
    <definedName name="都道府県">#REF!</definedName>
    <definedName name="都道府県名">#REF!</definedName>
    <definedName name="島根県">#REF!</definedName>
    <definedName name="東京都">#REF!</definedName>
    <definedName name="徳島県">#REF!</definedName>
    <definedName name="栃木県">#REF!</definedName>
    <definedName name="奈良県">#REF!</definedName>
    <definedName name="富山県">#REF!</definedName>
    <definedName name="福井県">#REF!</definedName>
    <definedName name="福岡県">#REF!</definedName>
    <definedName name="福島県">#REF!</definedName>
    <definedName name="兵庫県">#REF!</definedName>
    <definedName name="北海道">#REF!</definedName>
    <definedName name="和歌山県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1" l="1"/>
  <c r="L53" i="1"/>
  <c r="K53" i="1"/>
  <c r="U53" i="1" s="1"/>
  <c r="J53" i="1"/>
  <c r="H53" i="1"/>
  <c r="G53" i="1"/>
  <c r="F53" i="1"/>
  <c r="E53" i="1"/>
  <c r="D53" i="1"/>
  <c r="C53" i="1"/>
  <c r="M53" i="1" s="1"/>
  <c r="O53" i="1" l="1"/>
  <c r="N53" i="1"/>
  <c r="S53" i="1"/>
  <c r="P53" i="1"/>
  <c r="Q53" i="1"/>
  <c r="R53" i="1"/>
  <c r="T53" i="1"/>
</calcChain>
</file>

<file path=xl/sharedStrings.xml><?xml version="1.0" encoding="utf-8"?>
<sst xmlns="http://schemas.openxmlformats.org/spreadsheetml/2006/main" count="72" uniqueCount="60">
  <si>
    <t>通し番号</t>
    <rPh sb="0" eb="1">
      <t>トオ</t>
    </rPh>
    <rPh sb="2" eb="4">
      <t>バンゴウ</t>
    </rPh>
    <phoneticPr fontId="4"/>
  </si>
  <si>
    <t>自治体名</t>
    <rPh sb="0" eb="3">
      <t>ジチタイ</t>
    </rPh>
    <rPh sb="3" eb="4">
      <t>メイ</t>
    </rPh>
    <phoneticPr fontId="4"/>
  </si>
  <si>
    <t>管内市町村得点</t>
    <rPh sb="0" eb="2">
      <t>カンナイ</t>
    </rPh>
    <rPh sb="2" eb="5">
      <t>シチョウソン</t>
    </rPh>
    <rPh sb="5" eb="7">
      <t>トクテン</t>
    </rPh>
    <phoneticPr fontId="4"/>
  </si>
  <si>
    <t>管内市町村数</t>
    <rPh sb="0" eb="2">
      <t>カンナイ</t>
    </rPh>
    <rPh sb="2" eb="5">
      <t>シチョウソン</t>
    </rPh>
    <rPh sb="5" eb="6">
      <t>スウ</t>
    </rPh>
    <phoneticPr fontId="4"/>
  </si>
  <si>
    <t>（推進・支援合計）
管内平均点
順位</t>
    <rPh sb="10" eb="12">
      <t>カンナイ</t>
    </rPh>
    <rPh sb="12" eb="15">
      <t>ヘイキンテン</t>
    </rPh>
    <rPh sb="16" eb="18">
      <t>ジュンイ</t>
    </rPh>
    <phoneticPr fontId="4"/>
  </si>
  <si>
    <t>推進</t>
    <rPh sb="0" eb="2">
      <t>スイシン</t>
    </rPh>
    <phoneticPr fontId="4"/>
  </si>
  <si>
    <t>支援</t>
    <rPh sb="0" eb="2">
      <t>シエン</t>
    </rPh>
    <phoneticPr fontId="4"/>
  </si>
  <si>
    <t>推進・支援合計</t>
    <rPh sb="0" eb="2">
      <t>スイシン</t>
    </rPh>
    <rPh sb="3" eb="5">
      <t>シエン</t>
    </rPh>
    <rPh sb="5" eb="7">
      <t>ゴウケイ</t>
    </rPh>
    <phoneticPr fontId="4"/>
  </si>
  <si>
    <t>北海道</t>
    <rPh sb="0" eb="3">
      <t>ホッカイドウ</t>
    </rPh>
    <phoneticPr fontId="1"/>
  </si>
  <si>
    <t>青森県</t>
    <rPh sb="0" eb="3">
      <t>アオモリケン</t>
    </rPh>
    <phoneticPr fontId="1"/>
  </si>
  <si>
    <t>岩手県</t>
  </si>
  <si>
    <t>宮城県</t>
  </si>
  <si>
    <t>秋田県</t>
    <rPh sb="0" eb="2">
      <t>アキタ</t>
    </rPh>
    <rPh sb="2" eb="3">
      <t>ケン</t>
    </rPh>
    <phoneticPr fontId="1"/>
  </si>
  <si>
    <t>山形県</t>
  </si>
  <si>
    <t>福島県</t>
  </si>
  <si>
    <t>茨城県</t>
  </si>
  <si>
    <t>栃木県</t>
  </si>
  <si>
    <t>群馬県</t>
  </si>
  <si>
    <t>埼玉県</t>
  </si>
  <si>
    <t>千葉県</t>
    <rPh sb="0" eb="3">
      <t>チバケン</t>
    </rPh>
    <phoneticPr fontId="1"/>
  </si>
  <si>
    <t>東京都</t>
    <rPh sb="0" eb="3">
      <t>トウキョウト</t>
    </rPh>
    <phoneticPr fontId="1"/>
  </si>
  <si>
    <t>神奈川県</t>
  </si>
  <si>
    <t>新潟県</t>
    <rPh sb="0" eb="2">
      <t>ニイガタ</t>
    </rPh>
    <rPh sb="2" eb="3">
      <t>ケン</t>
    </rPh>
    <phoneticPr fontId="1"/>
  </si>
  <si>
    <t>富山県</t>
  </si>
  <si>
    <t>石川県</t>
  </si>
  <si>
    <t>福井県</t>
  </si>
  <si>
    <t>山梨県</t>
  </si>
  <si>
    <t>長野県</t>
  </si>
  <si>
    <t>岐阜県</t>
    <rPh sb="0" eb="3">
      <t>ギフケン</t>
    </rPh>
    <phoneticPr fontId="1"/>
  </si>
  <si>
    <t>静岡県</t>
  </si>
  <si>
    <t>愛知県</t>
  </si>
  <si>
    <t>三重県</t>
  </si>
  <si>
    <t>滋賀県</t>
  </si>
  <si>
    <t>京都府</t>
    <rPh sb="0" eb="3">
      <t>キョウトフ</t>
    </rPh>
    <phoneticPr fontId="1"/>
  </si>
  <si>
    <t>大阪府</t>
  </si>
  <si>
    <t>兵庫県</t>
  </si>
  <si>
    <t>奈良県</t>
    <rPh sb="0" eb="3">
      <t>ナラケン</t>
    </rPh>
    <phoneticPr fontId="1"/>
  </si>
  <si>
    <t>和歌山県</t>
    <rPh sb="0" eb="4">
      <t>ワカヤマケン</t>
    </rPh>
    <phoneticPr fontId="1"/>
  </si>
  <si>
    <t>鳥取県</t>
  </si>
  <si>
    <t>島根県</t>
    <rPh sb="0" eb="3">
      <t>シマネケン</t>
    </rPh>
    <phoneticPr fontId="1"/>
  </si>
  <si>
    <t>岡山県</t>
  </si>
  <si>
    <t>広島県</t>
  </si>
  <si>
    <t>山口県</t>
  </si>
  <si>
    <t>徳島県</t>
    <rPh sb="0" eb="3">
      <t>トクシマケン</t>
    </rPh>
    <phoneticPr fontId="1"/>
  </si>
  <si>
    <t>香川県</t>
  </si>
  <si>
    <t>愛媛県</t>
  </si>
  <si>
    <t>高知県</t>
  </si>
  <si>
    <t>福岡県</t>
    <rPh sb="0" eb="3">
      <t>フクオカケン</t>
    </rPh>
    <phoneticPr fontId="1"/>
  </si>
  <si>
    <t>佐賀県</t>
  </si>
  <si>
    <t>長崎県</t>
    <rPh sb="0" eb="2">
      <t>ナガサキ</t>
    </rPh>
    <rPh sb="2" eb="3">
      <t>ケン</t>
    </rPh>
    <phoneticPr fontId="1"/>
  </si>
  <si>
    <t>熊本県</t>
    <rPh sb="0" eb="3">
      <t>クマモトケン</t>
    </rPh>
    <phoneticPr fontId="1"/>
  </si>
  <si>
    <t>大分県</t>
  </si>
  <si>
    <t>宮崎県</t>
  </si>
  <si>
    <t>鹿児島県</t>
  </si>
  <si>
    <t>沖縄県</t>
  </si>
  <si>
    <t>体制・取組指標群</t>
    <rPh sb="0" eb="2">
      <t>タイセイ</t>
    </rPh>
    <rPh sb="3" eb="5">
      <t>トリクミ</t>
    </rPh>
    <rPh sb="5" eb="8">
      <t>シヒョウグン</t>
    </rPh>
    <phoneticPr fontId="6"/>
  </si>
  <si>
    <t>活動指標群</t>
    <rPh sb="0" eb="2">
      <t>カツドウ</t>
    </rPh>
    <rPh sb="2" eb="5">
      <t>シヒョウグン</t>
    </rPh>
    <phoneticPr fontId="6"/>
  </si>
  <si>
    <t>成果指標群</t>
    <rPh sb="0" eb="2">
      <t>セイカ</t>
    </rPh>
    <rPh sb="2" eb="5">
      <t>シヒョウグン</t>
    </rPh>
    <phoneticPr fontId="4"/>
  </si>
  <si>
    <t>管内市町村平均点</t>
    <rPh sb="0" eb="2">
      <t>カンナイ</t>
    </rPh>
    <rPh sb="2" eb="5">
      <t>シチョウソン</t>
    </rPh>
    <rPh sb="5" eb="8">
      <t>ヘイキンテン</t>
    </rPh>
    <phoneticPr fontId="4"/>
  </si>
  <si>
    <t>令和６年度市町村評価結果（指標群別都道府県平均）</t>
    <rPh sb="0" eb="2">
      <t>レイワ</t>
    </rPh>
    <rPh sb="3" eb="5">
      <t>ネンド</t>
    </rPh>
    <rPh sb="5" eb="8">
      <t>シチョウソン</t>
    </rPh>
    <rPh sb="8" eb="10">
      <t>ヒョウカ</t>
    </rPh>
    <rPh sb="10" eb="12">
      <t>ケッカ</t>
    </rPh>
    <rPh sb="13" eb="15">
      <t>シヒョウ</t>
    </rPh>
    <rPh sb="15" eb="16">
      <t>グン</t>
    </rPh>
    <rPh sb="16" eb="17">
      <t>ベツ</t>
    </rPh>
    <rPh sb="17" eb="21">
      <t>トドウフケン</t>
    </rPh>
    <rPh sb="21" eb="23">
      <t>ヘイキン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</si>
</sst>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2"/>
      <charset val="128"/>
    </font>
    <font>
      <sz val="12"/>
      <color theme="1"/>
      <name val="ＭＳ Ｐゴシック"/>
      <family val="3"/>
      <charset val="128"/>
    </font>
    <font>
      <sz val="6"/>
      <name val="ＭＳ Ｐゴシック"/>
      <family val="2"/>
      <charset val="128"/>
    </font>
    <font>
      <sz val="12"/>
      <color theme="1"/>
      <name val="ＭＳ Ｐゴシック"/>
      <family val="2"/>
      <charset val="128"/>
    </font>
    <font>
      <sz val="6"/>
      <name val="游ゴシック"/>
      <family val="2"/>
      <charset val="128"/>
      <scheme val="minor"/>
    </font>
    <font>
      <b/>
      <sz val="12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8" fontId="3" fillId="0" borderId="2" xfId="1" applyFont="1" applyBorder="1" applyAlignment="1">
      <alignment horizontal="right" vertical="center"/>
    </xf>
    <xf numFmtId="38" fontId="3" fillId="0" borderId="8" xfId="1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2" fontId="3" fillId="0" borderId="8" xfId="0" applyNumberFormat="1" applyFont="1" applyBorder="1" applyAlignment="1">
      <alignment horizontal="right" vertical="center"/>
    </xf>
    <xf numFmtId="40" fontId="3" fillId="0" borderId="8" xfId="1" applyNumberFormat="1" applyFont="1" applyBorder="1" applyAlignment="1">
      <alignment horizontal="right" vertical="center"/>
    </xf>
    <xf numFmtId="0" fontId="7" fillId="3" borderId="9" xfId="0" applyFont="1" applyFill="1" applyBorder="1" applyAlignment="1">
      <alignment horizontal="center" vertical="center"/>
    </xf>
    <xf numFmtId="38" fontId="7" fillId="3" borderId="8" xfId="1" applyFont="1" applyFill="1" applyBorder="1" applyAlignment="1">
      <alignment horizontal="right" vertical="center"/>
    </xf>
    <xf numFmtId="38" fontId="7" fillId="3" borderId="8" xfId="0" applyNumberFormat="1" applyFont="1" applyFill="1" applyBorder="1" applyAlignment="1">
      <alignment horizontal="right" vertical="center"/>
    </xf>
    <xf numFmtId="40" fontId="7" fillId="3" borderId="8" xfId="0" applyNumberFormat="1" applyFont="1" applyFill="1" applyBorder="1" applyAlignment="1">
      <alignment horizontal="right" vertical="center"/>
    </xf>
    <xf numFmtId="0" fontId="7" fillId="3" borderId="9" xfId="0" applyFont="1" applyFill="1" applyBorder="1" applyAlignment="1">
      <alignment horizontal="right" vertical="center"/>
    </xf>
    <xf numFmtId="0" fontId="8" fillId="0" borderId="0" xfId="0" applyFo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4475-D72A-4FC3-9EF3-1318F308DC7D}">
  <dimension ref="A1:V53"/>
  <sheetViews>
    <sheetView tabSelected="1" view="pageBreakPreview" zoomScale="85" zoomScaleNormal="100" zoomScaleSheetLayoutView="85" workbookViewId="0">
      <selection activeCell="A2" sqref="A2"/>
    </sheetView>
  </sheetViews>
  <sheetFormatPr defaultRowHeight="14.25" x14ac:dyDescent="0.15"/>
  <cols>
    <col min="1" max="1" width="9" style="1"/>
    <col min="2" max="2" width="15.625" style="1" customWidth="1"/>
    <col min="3" max="10" width="15.75" style="1" customWidth="1"/>
    <col min="11" max="21" width="15.75" style="2" customWidth="1"/>
    <col min="22" max="22" width="17.5" style="1" customWidth="1"/>
  </cols>
  <sheetData>
    <row r="1" spans="1:22" ht="30" customHeight="1" x14ac:dyDescent="0.15">
      <c r="A1" s="1" t="s">
        <v>59</v>
      </c>
    </row>
    <row r="3" spans="1:22" s="3" customFormat="1" ht="49.9" customHeight="1" x14ac:dyDescent="0.15">
      <c r="A3" s="19" t="s">
        <v>0</v>
      </c>
      <c r="B3" s="22" t="s">
        <v>1</v>
      </c>
      <c r="C3" s="25" t="s">
        <v>2</v>
      </c>
      <c r="D3" s="26"/>
      <c r="E3" s="26"/>
      <c r="F3" s="26"/>
      <c r="G3" s="26"/>
      <c r="H3" s="26"/>
      <c r="I3" s="26"/>
      <c r="J3" s="26"/>
      <c r="K3" s="27"/>
      <c r="L3" s="19" t="s">
        <v>3</v>
      </c>
      <c r="M3" s="25" t="s">
        <v>58</v>
      </c>
      <c r="N3" s="26"/>
      <c r="O3" s="26"/>
      <c r="P3" s="26"/>
      <c r="Q3" s="26"/>
      <c r="R3" s="26"/>
      <c r="S3" s="26"/>
      <c r="T3" s="26"/>
      <c r="U3" s="27"/>
      <c r="V3" s="19" t="s">
        <v>4</v>
      </c>
    </row>
    <row r="4" spans="1:22" s="3" customFormat="1" ht="18" customHeight="1" x14ac:dyDescent="0.15">
      <c r="A4" s="20"/>
      <c r="B4" s="23"/>
      <c r="C4" s="28" t="s">
        <v>5</v>
      </c>
      <c r="D4" s="29"/>
      <c r="E4" s="29"/>
      <c r="F4" s="30"/>
      <c r="G4" s="28" t="s">
        <v>6</v>
      </c>
      <c r="H4" s="29"/>
      <c r="I4" s="29"/>
      <c r="J4" s="30"/>
      <c r="K4" s="19" t="s">
        <v>7</v>
      </c>
      <c r="L4" s="20"/>
      <c r="M4" s="28" t="s">
        <v>5</v>
      </c>
      <c r="N4" s="29"/>
      <c r="O4" s="29"/>
      <c r="P4" s="30"/>
      <c r="Q4" s="28" t="s">
        <v>6</v>
      </c>
      <c r="R4" s="29"/>
      <c r="S4" s="29"/>
      <c r="T4" s="30"/>
      <c r="U4" s="19" t="s">
        <v>7</v>
      </c>
      <c r="V4" s="20"/>
    </row>
    <row r="5" spans="1:22" s="3" customFormat="1" ht="18" customHeight="1" x14ac:dyDescent="0.15">
      <c r="A5" s="21"/>
      <c r="B5" s="24"/>
      <c r="C5" s="18" t="s">
        <v>55</v>
      </c>
      <c r="D5" s="18" t="s">
        <v>56</v>
      </c>
      <c r="E5" s="18" t="s">
        <v>57</v>
      </c>
      <c r="F5" s="4"/>
      <c r="G5" s="18" t="s">
        <v>55</v>
      </c>
      <c r="H5" s="18" t="s">
        <v>56</v>
      </c>
      <c r="I5" s="18" t="s">
        <v>57</v>
      </c>
      <c r="J5" s="4"/>
      <c r="K5" s="21"/>
      <c r="L5" s="21"/>
      <c r="M5" s="18" t="s">
        <v>55</v>
      </c>
      <c r="N5" s="18" t="s">
        <v>56</v>
      </c>
      <c r="O5" s="18" t="s">
        <v>57</v>
      </c>
      <c r="P5" s="4"/>
      <c r="Q5" s="18" t="s">
        <v>55</v>
      </c>
      <c r="R5" s="18" t="s">
        <v>56</v>
      </c>
      <c r="S5" s="18" t="s">
        <v>57</v>
      </c>
      <c r="T5" s="4"/>
      <c r="U5" s="21"/>
      <c r="V5" s="21"/>
    </row>
    <row r="6" spans="1:22" ht="18" customHeight="1" x14ac:dyDescent="0.15">
      <c r="A6" s="5">
        <v>1</v>
      </c>
      <c r="B6" s="6" t="s">
        <v>8</v>
      </c>
      <c r="C6" s="7">
        <v>21729</v>
      </c>
      <c r="D6" s="7">
        <v>5944</v>
      </c>
      <c r="E6" s="7">
        <v>9985</v>
      </c>
      <c r="F6" s="7">
        <v>37658</v>
      </c>
      <c r="G6" s="7">
        <v>19628</v>
      </c>
      <c r="H6" s="7">
        <v>6772</v>
      </c>
      <c r="I6" s="7">
        <v>9985</v>
      </c>
      <c r="J6" s="7">
        <v>36385</v>
      </c>
      <c r="K6" s="8">
        <v>74043</v>
      </c>
      <c r="L6" s="9">
        <v>179</v>
      </c>
      <c r="M6" s="10">
        <v>121.39106145251397</v>
      </c>
      <c r="N6" s="10">
        <v>33.206703910614522</v>
      </c>
      <c r="O6" s="10">
        <v>55.782122905027933</v>
      </c>
      <c r="P6" s="10">
        <v>210.37988826815644</v>
      </c>
      <c r="Q6" s="10">
        <v>109.6536312849162</v>
      </c>
      <c r="R6" s="10">
        <v>37.832402234636874</v>
      </c>
      <c r="S6" s="10">
        <v>55.782122905027933</v>
      </c>
      <c r="T6" s="10">
        <v>203.26815642458101</v>
      </c>
      <c r="U6" s="11">
        <v>413.64804469273741</v>
      </c>
      <c r="V6" s="9">
        <v>32</v>
      </c>
    </row>
    <row r="7" spans="1:22" ht="18" customHeight="1" x14ac:dyDescent="0.15">
      <c r="A7" s="5">
        <v>2</v>
      </c>
      <c r="B7" s="6" t="s">
        <v>9</v>
      </c>
      <c r="C7" s="7">
        <v>4631</v>
      </c>
      <c r="D7" s="7">
        <v>1528</v>
      </c>
      <c r="E7" s="7">
        <v>1990</v>
      </c>
      <c r="F7" s="7">
        <v>8149</v>
      </c>
      <c r="G7" s="7">
        <v>5082</v>
      </c>
      <c r="H7" s="7">
        <v>1673</v>
      </c>
      <c r="I7" s="7">
        <v>1990</v>
      </c>
      <c r="J7" s="7">
        <v>8745</v>
      </c>
      <c r="K7" s="8">
        <v>16894</v>
      </c>
      <c r="L7" s="9">
        <v>40</v>
      </c>
      <c r="M7" s="10">
        <v>115.77500000000001</v>
      </c>
      <c r="N7" s="10">
        <v>38.200000000000003</v>
      </c>
      <c r="O7" s="10">
        <v>49.75</v>
      </c>
      <c r="P7" s="10">
        <v>203.72499999999999</v>
      </c>
      <c r="Q7" s="10">
        <v>127.05</v>
      </c>
      <c r="R7" s="10">
        <v>41.825000000000003</v>
      </c>
      <c r="S7" s="10">
        <v>49.75</v>
      </c>
      <c r="T7" s="10">
        <v>218.625</v>
      </c>
      <c r="U7" s="11">
        <v>422.35</v>
      </c>
      <c r="V7" s="9">
        <v>28</v>
      </c>
    </row>
    <row r="8" spans="1:22" ht="18" customHeight="1" x14ac:dyDescent="0.15">
      <c r="A8" s="5">
        <v>3</v>
      </c>
      <c r="B8" s="6" t="s">
        <v>10</v>
      </c>
      <c r="C8" s="7">
        <v>3593</v>
      </c>
      <c r="D8" s="7">
        <v>1091</v>
      </c>
      <c r="E8" s="7">
        <v>1695</v>
      </c>
      <c r="F8" s="7">
        <v>6379</v>
      </c>
      <c r="G8" s="7">
        <v>3763</v>
      </c>
      <c r="H8" s="7">
        <v>1344</v>
      </c>
      <c r="I8" s="7">
        <v>1695</v>
      </c>
      <c r="J8" s="7">
        <v>6802</v>
      </c>
      <c r="K8" s="8">
        <v>13181</v>
      </c>
      <c r="L8" s="9">
        <v>33</v>
      </c>
      <c r="M8" s="10">
        <v>108.87878787878788</v>
      </c>
      <c r="N8" s="10">
        <v>33.060606060606062</v>
      </c>
      <c r="O8" s="10">
        <v>51.363636363636367</v>
      </c>
      <c r="P8" s="10">
        <v>193.30303030303031</v>
      </c>
      <c r="Q8" s="10">
        <v>114.03030303030303</v>
      </c>
      <c r="R8" s="10">
        <v>40.727272727272727</v>
      </c>
      <c r="S8" s="10">
        <v>51.363636363636367</v>
      </c>
      <c r="T8" s="10">
        <v>206.12121212121212</v>
      </c>
      <c r="U8" s="11">
        <v>399.42424242424244</v>
      </c>
      <c r="V8" s="9">
        <v>37</v>
      </c>
    </row>
    <row r="9" spans="1:22" ht="18" customHeight="1" x14ac:dyDescent="0.15">
      <c r="A9" s="5">
        <v>4</v>
      </c>
      <c r="B9" s="6" t="s">
        <v>11</v>
      </c>
      <c r="C9" s="7">
        <v>3643</v>
      </c>
      <c r="D9" s="7">
        <v>612</v>
      </c>
      <c r="E9" s="7">
        <v>1840</v>
      </c>
      <c r="F9" s="7">
        <v>6095</v>
      </c>
      <c r="G9" s="7">
        <v>3817</v>
      </c>
      <c r="H9" s="7">
        <v>1538</v>
      </c>
      <c r="I9" s="7">
        <v>1840</v>
      </c>
      <c r="J9" s="7">
        <v>7195</v>
      </c>
      <c r="K9" s="8">
        <v>13290</v>
      </c>
      <c r="L9" s="9">
        <v>35</v>
      </c>
      <c r="M9" s="10">
        <v>104.08571428571429</v>
      </c>
      <c r="N9" s="10">
        <v>17.485714285714284</v>
      </c>
      <c r="O9" s="10">
        <v>52.571428571428569</v>
      </c>
      <c r="P9" s="10">
        <v>174.14285714285714</v>
      </c>
      <c r="Q9" s="10">
        <v>109.05714285714286</v>
      </c>
      <c r="R9" s="10">
        <v>43.942857142857143</v>
      </c>
      <c r="S9" s="10">
        <v>52.571428571428569</v>
      </c>
      <c r="T9" s="10">
        <v>205.57142857142858</v>
      </c>
      <c r="U9" s="11">
        <v>379.71428571428572</v>
      </c>
      <c r="V9" s="9">
        <v>40</v>
      </c>
    </row>
    <row r="10" spans="1:22" ht="18" customHeight="1" x14ac:dyDescent="0.15">
      <c r="A10" s="5">
        <v>5</v>
      </c>
      <c r="B10" s="6" t="s">
        <v>12</v>
      </c>
      <c r="C10" s="7">
        <v>3102</v>
      </c>
      <c r="D10" s="7">
        <v>845</v>
      </c>
      <c r="E10" s="7">
        <v>1215</v>
      </c>
      <c r="F10" s="7">
        <v>5162</v>
      </c>
      <c r="G10" s="7">
        <v>2941</v>
      </c>
      <c r="H10" s="7">
        <v>993</v>
      </c>
      <c r="I10" s="7">
        <v>1215</v>
      </c>
      <c r="J10" s="7">
        <v>5149</v>
      </c>
      <c r="K10" s="8">
        <v>10311</v>
      </c>
      <c r="L10" s="9">
        <v>25</v>
      </c>
      <c r="M10" s="10">
        <v>124.08</v>
      </c>
      <c r="N10" s="10">
        <v>33.799999999999997</v>
      </c>
      <c r="O10" s="10">
        <v>48.6</v>
      </c>
      <c r="P10" s="10">
        <v>206.48</v>
      </c>
      <c r="Q10" s="10">
        <v>117.64</v>
      </c>
      <c r="R10" s="10">
        <v>39.72</v>
      </c>
      <c r="S10" s="10">
        <v>48.6</v>
      </c>
      <c r="T10" s="10">
        <v>205.96</v>
      </c>
      <c r="U10" s="11">
        <v>412.44</v>
      </c>
      <c r="V10" s="9">
        <v>33</v>
      </c>
    </row>
    <row r="11" spans="1:22" ht="18" customHeight="1" x14ac:dyDescent="0.15">
      <c r="A11" s="5">
        <v>6</v>
      </c>
      <c r="B11" s="6" t="s">
        <v>13</v>
      </c>
      <c r="C11" s="7">
        <v>4173</v>
      </c>
      <c r="D11" s="7">
        <v>1154</v>
      </c>
      <c r="E11" s="7">
        <v>1745</v>
      </c>
      <c r="F11" s="7">
        <v>7072</v>
      </c>
      <c r="G11" s="7">
        <v>4443</v>
      </c>
      <c r="H11" s="7">
        <v>1623</v>
      </c>
      <c r="I11" s="7">
        <v>1745</v>
      </c>
      <c r="J11" s="7">
        <v>7811</v>
      </c>
      <c r="K11" s="8">
        <v>14883</v>
      </c>
      <c r="L11" s="9">
        <v>35</v>
      </c>
      <c r="M11" s="10">
        <v>119.22857142857143</v>
      </c>
      <c r="N11" s="10">
        <v>32.971428571428568</v>
      </c>
      <c r="O11" s="10">
        <v>49.857142857142854</v>
      </c>
      <c r="P11" s="10">
        <v>202.05714285714285</v>
      </c>
      <c r="Q11" s="10">
        <v>126.94285714285714</v>
      </c>
      <c r="R11" s="10">
        <v>46.371428571428574</v>
      </c>
      <c r="S11" s="10">
        <v>49.857142857142854</v>
      </c>
      <c r="T11" s="10">
        <v>223.17142857142858</v>
      </c>
      <c r="U11" s="11">
        <v>425.22857142857146</v>
      </c>
      <c r="V11" s="9">
        <v>25</v>
      </c>
    </row>
    <row r="12" spans="1:22" ht="18" customHeight="1" x14ac:dyDescent="0.15">
      <c r="A12" s="5">
        <v>7</v>
      </c>
      <c r="B12" s="6" t="s">
        <v>14</v>
      </c>
      <c r="C12" s="7">
        <v>5794</v>
      </c>
      <c r="D12" s="7">
        <v>1546</v>
      </c>
      <c r="E12" s="7">
        <v>2545</v>
      </c>
      <c r="F12" s="7">
        <v>9885</v>
      </c>
      <c r="G12" s="7">
        <v>6067</v>
      </c>
      <c r="H12" s="7">
        <v>2395</v>
      </c>
      <c r="I12" s="7">
        <v>2545</v>
      </c>
      <c r="J12" s="7">
        <v>11007</v>
      </c>
      <c r="K12" s="8">
        <v>20892</v>
      </c>
      <c r="L12" s="9">
        <v>59</v>
      </c>
      <c r="M12" s="10">
        <v>98.20338983050847</v>
      </c>
      <c r="N12" s="10">
        <v>26.203389830508474</v>
      </c>
      <c r="O12" s="10">
        <v>43.135593220338983</v>
      </c>
      <c r="P12" s="10">
        <v>167.54237288135593</v>
      </c>
      <c r="Q12" s="10">
        <v>102.83050847457628</v>
      </c>
      <c r="R12" s="10">
        <v>40.593220338983052</v>
      </c>
      <c r="S12" s="10">
        <v>43.135593220338983</v>
      </c>
      <c r="T12" s="10">
        <v>186.5593220338983</v>
      </c>
      <c r="U12" s="11">
        <v>354.10169491525426</v>
      </c>
      <c r="V12" s="9">
        <v>45</v>
      </c>
    </row>
    <row r="13" spans="1:22" ht="18" customHeight="1" x14ac:dyDescent="0.15">
      <c r="A13" s="5">
        <v>8</v>
      </c>
      <c r="B13" s="6" t="s">
        <v>15</v>
      </c>
      <c r="C13" s="7">
        <v>4006</v>
      </c>
      <c r="D13" s="7">
        <v>1279</v>
      </c>
      <c r="E13" s="7">
        <v>2695</v>
      </c>
      <c r="F13" s="7">
        <v>7980</v>
      </c>
      <c r="G13" s="7">
        <v>4414</v>
      </c>
      <c r="H13" s="7">
        <v>1510</v>
      </c>
      <c r="I13" s="7">
        <v>2695</v>
      </c>
      <c r="J13" s="7">
        <v>8619</v>
      </c>
      <c r="K13" s="8">
        <v>16599</v>
      </c>
      <c r="L13" s="9">
        <v>44</v>
      </c>
      <c r="M13" s="10">
        <v>91.045454545454547</v>
      </c>
      <c r="N13" s="10">
        <v>29.068181818181817</v>
      </c>
      <c r="O13" s="10">
        <v>61.25</v>
      </c>
      <c r="P13" s="10">
        <v>181.36363636363637</v>
      </c>
      <c r="Q13" s="10">
        <v>100.31818181818181</v>
      </c>
      <c r="R13" s="10">
        <v>34.31818181818182</v>
      </c>
      <c r="S13" s="10">
        <v>61.25</v>
      </c>
      <c r="T13" s="10">
        <v>195.88636363636363</v>
      </c>
      <c r="U13" s="11">
        <v>377.25</v>
      </c>
      <c r="V13" s="9">
        <v>41</v>
      </c>
    </row>
    <row r="14" spans="1:22" ht="18" customHeight="1" x14ac:dyDescent="0.15">
      <c r="A14" s="5">
        <v>9</v>
      </c>
      <c r="B14" s="6" t="s">
        <v>16</v>
      </c>
      <c r="C14" s="7">
        <v>3590</v>
      </c>
      <c r="D14" s="7">
        <v>918</v>
      </c>
      <c r="E14" s="7">
        <v>1240</v>
      </c>
      <c r="F14" s="7">
        <v>5748</v>
      </c>
      <c r="G14" s="7">
        <v>3866</v>
      </c>
      <c r="H14" s="7">
        <v>1190</v>
      </c>
      <c r="I14" s="7">
        <v>1240</v>
      </c>
      <c r="J14" s="7">
        <v>6296</v>
      </c>
      <c r="K14" s="8">
        <v>12044</v>
      </c>
      <c r="L14" s="9">
        <v>25</v>
      </c>
      <c r="M14" s="10">
        <v>143.6</v>
      </c>
      <c r="N14" s="10">
        <v>36.72</v>
      </c>
      <c r="O14" s="10">
        <v>49.6</v>
      </c>
      <c r="P14" s="10">
        <v>229.92</v>
      </c>
      <c r="Q14" s="10">
        <v>154.63999999999999</v>
      </c>
      <c r="R14" s="10">
        <v>47.6</v>
      </c>
      <c r="S14" s="10">
        <v>49.6</v>
      </c>
      <c r="T14" s="10">
        <v>251.84</v>
      </c>
      <c r="U14" s="11">
        <v>481.76</v>
      </c>
      <c r="V14" s="9">
        <v>9</v>
      </c>
    </row>
    <row r="15" spans="1:22" ht="18" customHeight="1" x14ac:dyDescent="0.15">
      <c r="A15" s="5">
        <v>10</v>
      </c>
      <c r="B15" s="6" t="s">
        <v>17</v>
      </c>
      <c r="C15" s="7">
        <v>3564</v>
      </c>
      <c r="D15" s="7">
        <v>925</v>
      </c>
      <c r="E15" s="7">
        <v>1295</v>
      </c>
      <c r="F15" s="7">
        <v>5784</v>
      </c>
      <c r="G15" s="7">
        <v>4503</v>
      </c>
      <c r="H15" s="7">
        <v>1415</v>
      </c>
      <c r="I15" s="7">
        <v>1295</v>
      </c>
      <c r="J15" s="7">
        <v>7213</v>
      </c>
      <c r="K15" s="8">
        <v>12997</v>
      </c>
      <c r="L15" s="9">
        <v>35</v>
      </c>
      <c r="M15" s="10">
        <v>101.82857142857142</v>
      </c>
      <c r="N15" s="10">
        <v>26.428571428571427</v>
      </c>
      <c r="O15" s="10">
        <v>37</v>
      </c>
      <c r="P15" s="10">
        <v>165.25714285714287</v>
      </c>
      <c r="Q15" s="10">
        <v>128.65714285714284</v>
      </c>
      <c r="R15" s="10">
        <v>40.428571428571431</v>
      </c>
      <c r="S15" s="10">
        <v>37</v>
      </c>
      <c r="T15" s="10">
        <v>206.08571428571429</v>
      </c>
      <c r="U15" s="11">
        <v>371.34285714285716</v>
      </c>
      <c r="V15" s="9">
        <v>43</v>
      </c>
    </row>
    <row r="16" spans="1:22" ht="18" customHeight="1" x14ac:dyDescent="0.15">
      <c r="A16" s="5">
        <v>11</v>
      </c>
      <c r="B16" s="6" t="s">
        <v>18</v>
      </c>
      <c r="C16" s="7">
        <v>7849</v>
      </c>
      <c r="D16" s="7">
        <v>2178</v>
      </c>
      <c r="E16" s="7">
        <v>3255</v>
      </c>
      <c r="F16" s="7">
        <v>13282</v>
      </c>
      <c r="G16" s="7">
        <v>8708</v>
      </c>
      <c r="H16" s="7">
        <v>2567</v>
      </c>
      <c r="I16" s="7">
        <v>3255</v>
      </c>
      <c r="J16" s="7">
        <v>14530</v>
      </c>
      <c r="K16" s="8">
        <v>27812</v>
      </c>
      <c r="L16" s="9">
        <v>63</v>
      </c>
      <c r="M16" s="10">
        <v>124.58730158730158</v>
      </c>
      <c r="N16" s="10">
        <v>34.571428571428569</v>
      </c>
      <c r="O16" s="10">
        <v>51.666666666666664</v>
      </c>
      <c r="P16" s="10">
        <v>210.82539682539684</v>
      </c>
      <c r="Q16" s="10">
        <v>138.22222222222223</v>
      </c>
      <c r="R16" s="10">
        <v>40.746031746031747</v>
      </c>
      <c r="S16" s="10">
        <v>51.666666666666664</v>
      </c>
      <c r="T16" s="10">
        <v>230.63492063492063</v>
      </c>
      <c r="U16" s="11">
        <v>441.46031746031747</v>
      </c>
      <c r="V16" s="9">
        <v>17</v>
      </c>
    </row>
    <row r="17" spans="1:22" ht="18" customHeight="1" x14ac:dyDescent="0.15">
      <c r="A17" s="5">
        <v>12</v>
      </c>
      <c r="B17" s="6" t="s">
        <v>19</v>
      </c>
      <c r="C17" s="7">
        <v>5278</v>
      </c>
      <c r="D17" s="7">
        <v>1518</v>
      </c>
      <c r="E17" s="7">
        <v>2525</v>
      </c>
      <c r="F17" s="7">
        <v>9321</v>
      </c>
      <c r="G17" s="7">
        <v>6014</v>
      </c>
      <c r="H17" s="7">
        <v>1951</v>
      </c>
      <c r="I17" s="7">
        <v>2525</v>
      </c>
      <c r="J17" s="7">
        <v>10490</v>
      </c>
      <c r="K17" s="8">
        <v>19811</v>
      </c>
      <c r="L17" s="9">
        <v>54</v>
      </c>
      <c r="M17" s="10">
        <v>97.740740740740748</v>
      </c>
      <c r="N17" s="10">
        <v>28.111111111111111</v>
      </c>
      <c r="O17" s="10">
        <v>46.75925925925926</v>
      </c>
      <c r="P17" s="10">
        <v>172.61111111111111</v>
      </c>
      <c r="Q17" s="10">
        <v>111.37037037037037</v>
      </c>
      <c r="R17" s="10">
        <v>36.129629629629626</v>
      </c>
      <c r="S17" s="10">
        <v>46.75925925925926</v>
      </c>
      <c r="T17" s="10">
        <v>194.25925925925927</v>
      </c>
      <c r="U17" s="11">
        <v>366.87037037037038</v>
      </c>
      <c r="V17" s="9">
        <v>44</v>
      </c>
    </row>
    <row r="18" spans="1:22" ht="18" customHeight="1" x14ac:dyDescent="0.15">
      <c r="A18" s="5">
        <v>13</v>
      </c>
      <c r="B18" s="6" t="s">
        <v>20</v>
      </c>
      <c r="C18" s="7">
        <v>8734</v>
      </c>
      <c r="D18" s="7">
        <v>1886</v>
      </c>
      <c r="E18" s="7">
        <v>2990</v>
      </c>
      <c r="F18" s="7">
        <v>13610</v>
      </c>
      <c r="G18" s="7">
        <v>7979</v>
      </c>
      <c r="H18" s="7">
        <v>2781</v>
      </c>
      <c r="I18" s="7">
        <v>2990</v>
      </c>
      <c r="J18" s="7">
        <v>13750</v>
      </c>
      <c r="K18" s="8">
        <v>27360</v>
      </c>
      <c r="L18" s="9">
        <v>62</v>
      </c>
      <c r="M18" s="10">
        <v>140.87096774193549</v>
      </c>
      <c r="N18" s="10">
        <v>30.419354838709676</v>
      </c>
      <c r="O18" s="10">
        <v>48.225806451612904</v>
      </c>
      <c r="P18" s="10">
        <v>219.51612903225808</v>
      </c>
      <c r="Q18" s="10">
        <v>128.69354838709677</v>
      </c>
      <c r="R18" s="10">
        <v>44.854838709677416</v>
      </c>
      <c r="S18" s="10">
        <v>48.225806451612904</v>
      </c>
      <c r="T18" s="10">
        <v>221.7741935483871</v>
      </c>
      <c r="U18" s="11">
        <v>441.29032258064518</v>
      </c>
      <c r="V18" s="9">
        <v>18</v>
      </c>
    </row>
    <row r="19" spans="1:22" ht="18" customHeight="1" x14ac:dyDescent="0.15">
      <c r="A19" s="5">
        <v>14</v>
      </c>
      <c r="B19" s="6" t="s">
        <v>21</v>
      </c>
      <c r="C19" s="7">
        <v>4343</v>
      </c>
      <c r="D19" s="7">
        <v>1090</v>
      </c>
      <c r="E19" s="7">
        <v>1700</v>
      </c>
      <c r="F19" s="7">
        <v>7133</v>
      </c>
      <c r="G19" s="7">
        <v>4330</v>
      </c>
      <c r="H19" s="7">
        <v>1411</v>
      </c>
      <c r="I19" s="7">
        <v>1700</v>
      </c>
      <c r="J19" s="7">
        <v>7441</v>
      </c>
      <c r="K19" s="8">
        <v>14574</v>
      </c>
      <c r="L19" s="9">
        <v>33</v>
      </c>
      <c r="M19" s="10">
        <v>131.60606060606059</v>
      </c>
      <c r="N19" s="10">
        <v>33.030303030303031</v>
      </c>
      <c r="O19" s="10">
        <v>51.515151515151516</v>
      </c>
      <c r="P19" s="10">
        <v>216.15151515151516</v>
      </c>
      <c r="Q19" s="10">
        <v>131.21212121212122</v>
      </c>
      <c r="R19" s="10">
        <v>42.757575757575758</v>
      </c>
      <c r="S19" s="10">
        <v>51.515151515151516</v>
      </c>
      <c r="T19" s="10">
        <v>225.4848484848485</v>
      </c>
      <c r="U19" s="11">
        <v>441.63636363636363</v>
      </c>
      <c r="V19" s="9">
        <v>16</v>
      </c>
    </row>
    <row r="20" spans="1:22" ht="18" customHeight="1" x14ac:dyDescent="0.15">
      <c r="A20" s="5">
        <v>15</v>
      </c>
      <c r="B20" s="6" t="s">
        <v>22</v>
      </c>
      <c r="C20" s="7">
        <v>3726</v>
      </c>
      <c r="D20" s="7">
        <v>1069</v>
      </c>
      <c r="E20" s="7">
        <v>1350</v>
      </c>
      <c r="F20" s="7">
        <v>6145</v>
      </c>
      <c r="G20" s="7">
        <v>4144</v>
      </c>
      <c r="H20" s="7">
        <v>1336</v>
      </c>
      <c r="I20" s="7">
        <v>1350</v>
      </c>
      <c r="J20" s="7">
        <v>6830</v>
      </c>
      <c r="K20" s="8">
        <v>12975</v>
      </c>
      <c r="L20" s="9">
        <v>30</v>
      </c>
      <c r="M20" s="10">
        <v>124.2</v>
      </c>
      <c r="N20" s="10">
        <v>35.633333333333333</v>
      </c>
      <c r="O20" s="10">
        <v>45</v>
      </c>
      <c r="P20" s="10">
        <v>204.83333333333334</v>
      </c>
      <c r="Q20" s="10">
        <v>138.13333333333333</v>
      </c>
      <c r="R20" s="10">
        <v>44.533333333333331</v>
      </c>
      <c r="S20" s="10">
        <v>45</v>
      </c>
      <c r="T20" s="10">
        <v>227.66666666666666</v>
      </c>
      <c r="U20" s="11">
        <v>432.5</v>
      </c>
      <c r="V20" s="9">
        <v>21</v>
      </c>
    </row>
    <row r="21" spans="1:22" ht="18" customHeight="1" x14ac:dyDescent="0.15">
      <c r="A21" s="5">
        <v>16</v>
      </c>
      <c r="B21" s="6" t="s">
        <v>23</v>
      </c>
      <c r="C21" s="7">
        <v>2005</v>
      </c>
      <c r="D21" s="7">
        <v>636</v>
      </c>
      <c r="E21" s="7">
        <v>740</v>
      </c>
      <c r="F21" s="7">
        <v>3381</v>
      </c>
      <c r="G21" s="7">
        <v>2243</v>
      </c>
      <c r="H21" s="7">
        <v>941</v>
      </c>
      <c r="I21" s="7">
        <v>740</v>
      </c>
      <c r="J21" s="7">
        <v>3924</v>
      </c>
      <c r="K21" s="8">
        <v>7305</v>
      </c>
      <c r="L21" s="9">
        <v>15</v>
      </c>
      <c r="M21" s="10">
        <v>133.66666666666666</v>
      </c>
      <c r="N21" s="10">
        <v>42.4</v>
      </c>
      <c r="O21" s="10">
        <v>49.333333333333336</v>
      </c>
      <c r="P21" s="10">
        <v>225.4</v>
      </c>
      <c r="Q21" s="10">
        <v>149.53333333333333</v>
      </c>
      <c r="R21" s="10">
        <v>62.733333333333334</v>
      </c>
      <c r="S21" s="10">
        <v>49.333333333333336</v>
      </c>
      <c r="T21" s="10">
        <v>261.60000000000002</v>
      </c>
      <c r="U21" s="11">
        <v>487</v>
      </c>
      <c r="V21" s="9">
        <v>8</v>
      </c>
    </row>
    <row r="22" spans="1:22" ht="18" customHeight="1" x14ac:dyDescent="0.15">
      <c r="A22" s="5">
        <v>17</v>
      </c>
      <c r="B22" s="6" t="s">
        <v>24</v>
      </c>
      <c r="C22" s="7">
        <v>3026</v>
      </c>
      <c r="D22" s="7">
        <v>902</v>
      </c>
      <c r="E22" s="7">
        <v>830</v>
      </c>
      <c r="F22" s="7">
        <v>4758</v>
      </c>
      <c r="G22" s="7">
        <v>2831</v>
      </c>
      <c r="H22" s="7">
        <v>988</v>
      </c>
      <c r="I22" s="7">
        <v>830</v>
      </c>
      <c r="J22" s="7">
        <v>4649</v>
      </c>
      <c r="K22" s="8">
        <v>9407</v>
      </c>
      <c r="L22" s="9">
        <v>19</v>
      </c>
      <c r="M22" s="10">
        <v>159.26315789473685</v>
      </c>
      <c r="N22" s="10">
        <v>47.473684210526315</v>
      </c>
      <c r="O22" s="10">
        <v>43.684210526315788</v>
      </c>
      <c r="P22" s="10">
        <v>250.42105263157896</v>
      </c>
      <c r="Q22" s="10">
        <v>149</v>
      </c>
      <c r="R22" s="10">
        <v>52</v>
      </c>
      <c r="S22" s="10">
        <v>43.684210526315788</v>
      </c>
      <c r="T22" s="10">
        <v>244.68421052631578</v>
      </c>
      <c r="U22" s="11">
        <v>495.10526315789474</v>
      </c>
      <c r="V22" s="9">
        <v>5</v>
      </c>
    </row>
    <row r="23" spans="1:22" ht="18" customHeight="1" x14ac:dyDescent="0.15">
      <c r="A23" s="5">
        <v>18</v>
      </c>
      <c r="B23" s="6" t="s">
        <v>25</v>
      </c>
      <c r="C23" s="7">
        <v>2227</v>
      </c>
      <c r="D23" s="7">
        <v>763</v>
      </c>
      <c r="E23" s="7">
        <v>870</v>
      </c>
      <c r="F23" s="7">
        <v>3860</v>
      </c>
      <c r="G23" s="7">
        <v>2072</v>
      </c>
      <c r="H23" s="7">
        <v>855</v>
      </c>
      <c r="I23" s="7">
        <v>870</v>
      </c>
      <c r="J23" s="7">
        <v>3797</v>
      </c>
      <c r="K23" s="8">
        <v>7657</v>
      </c>
      <c r="L23" s="9">
        <v>17</v>
      </c>
      <c r="M23" s="10">
        <v>131</v>
      </c>
      <c r="N23" s="10">
        <v>44.882352941176471</v>
      </c>
      <c r="O23" s="10">
        <v>51.176470588235297</v>
      </c>
      <c r="P23" s="10">
        <v>227.05882352941177</v>
      </c>
      <c r="Q23" s="10">
        <v>121.88235294117646</v>
      </c>
      <c r="R23" s="10">
        <v>50.294117647058826</v>
      </c>
      <c r="S23" s="10">
        <v>51.176470588235297</v>
      </c>
      <c r="T23" s="10">
        <v>223.35294117647058</v>
      </c>
      <c r="U23" s="11">
        <v>450.41176470588238</v>
      </c>
      <c r="V23" s="9">
        <v>13</v>
      </c>
    </row>
    <row r="24" spans="1:22" ht="18" customHeight="1" x14ac:dyDescent="0.15">
      <c r="A24" s="5">
        <v>19</v>
      </c>
      <c r="B24" s="6" t="s">
        <v>26</v>
      </c>
      <c r="C24" s="7">
        <v>3307</v>
      </c>
      <c r="D24" s="7">
        <v>853</v>
      </c>
      <c r="E24" s="7">
        <v>1125</v>
      </c>
      <c r="F24" s="7">
        <v>5285</v>
      </c>
      <c r="G24" s="7">
        <v>3248</v>
      </c>
      <c r="H24" s="7">
        <v>1287</v>
      </c>
      <c r="I24" s="7">
        <v>1125</v>
      </c>
      <c r="J24" s="7">
        <v>5660</v>
      </c>
      <c r="K24" s="8">
        <v>10945</v>
      </c>
      <c r="L24" s="9">
        <v>27</v>
      </c>
      <c r="M24" s="10">
        <v>122.48148148148148</v>
      </c>
      <c r="N24" s="10">
        <v>31.592592592592592</v>
      </c>
      <c r="O24" s="10">
        <v>41.666666666666664</v>
      </c>
      <c r="P24" s="10">
        <v>195.74074074074073</v>
      </c>
      <c r="Q24" s="10">
        <v>120.29629629629629</v>
      </c>
      <c r="R24" s="10">
        <v>47.666666666666664</v>
      </c>
      <c r="S24" s="10">
        <v>41.666666666666664</v>
      </c>
      <c r="T24" s="10">
        <v>209.62962962962962</v>
      </c>
      <c r="U24" s="11">
        <v>405.37037037037038</v>
      </c>
      <c r="V24" s="9">
        <v>35</v>
      </c>
    </row>
    <row r="25" spans="1:22" ht="18" customHeight="1" x14ac:dyDescent="0.15">
      <c r="A25" s="5">
        <v>20</v>
      </c>
      <c r="B25" s="6" t="s">
        <v>27</v>
      </c>
      <c r="C25" s="7">
        <v>9341</v>
      </c>
      <c r="D25" s="7">
        <v>2593</v>
      </c>
      <c r="E25" s="7">
        <v>3645</v>
      </c>
      <c r="F25" s="7">
        <v>15579</v>
      </c>
      <c r="G25" s="7">
        <v>8818</v>
      </c>
      <c r="H25" s="7">
        <v>3914</v>
      </c>
      <c r="I25" s="7">
        <v>3645</v>
      </c>
      <c r="J25" s="7">
        <v>16377</v>
      </c>
      <c r="K25" s="8">
        <v>31956</v>
      </c>
      <c r="L25" s="9">
        <v>77</v>
      </c>
      <c r="M25" s="10">
        <v>121.31168831168831</v>
      </c>
      <c r="N25" s="10">
        <v>33.675324675324674</v>
      </c>
      <c r="O25" s="10">
        <v>47.337662337662337</v>
      </c>
      <c r="P25" s="10">
        <v>202.32467532467533</v>
      </c>
      <c r="Q25" s="10">
        <v>114.51948051948052</v>
      </c>
      <c r="R25" s="10">
        <v>50.831168831168831</v>
      </c>
      <c r="S25" s="10">
        <v>47.337662337662337</v>
      </c>
      <c r="T25" s="10">
        <v>212.6883116883117</v>
      </c>
      <c r="U25" s="11">
        <v>415.01298701298703</v>
      </c>
      <c r="V25" s="9">
        <v>31</v>
      </c>
    </row>
    <row r="26" spans="1:22" ht="18" customHeight="1" x14ac:dyDescent="0.15">
      <c r="A26" s="5">
        <v>21</v>
      </c>
      <c r="B26" s="6" t="s">
        <v>28</v>
      </c>
      <c r="C26" s="7">
        <v>4752</v>
      </c>
      <c r="D26" s="7">
        <v>1435</v>
      </c>
      <c r="E26" s="7">
        <v>1930</v>
      </c>
      <c r="F26" s="7">
        <v>8117</v>
      </c>
      <c r="G26" s="7">
        <v>4888</v>
      </c>
      <c r="H26" s="7">
        <v>2137</v>
      </c>
      <c r="I26" s="7">
        <v>1930</v>
      </c>
      <c r="J26" s="7">
        <v>8955</v>
      </c>
      <c r="K26" s="8">
        <v>17072</v>
      </c>
      <c r="L26" s="9">
        <v>42</v>
      </c>
      <c r="M26" s="10">
        <v>113.14285714285714</v>
      </c>
      <c r="N26" s="10">
        <v>34.166666666666664</v>
      </c>
      <c r="O26" s="10">
        <v>45.952380952380949</v>
      </c>
      <c r="P26" s="10">
        <v>193.26190476190476</v>
      </c>
      <c r="Q26" s="10">
        <v>116.38095238095238</v>
      </c>
      <c r="R26" s="10">
        <v>50.88095238095238</v>
      </c>
      <c r="S26" s="10">
        <v>45.952380952380949</v>
      </c>
      <c r="T26" s="10">
        <v>213.21428571428572</v>
      </c>
      <c r="U26" s="11">
        <v>406.47619047619048</v>
      </c>
      <c r="V26" s="9">
        <v>34</v>
      </c>
    </row>
    <row r="27" spans="1:22" ht="18" customHeight="1" x14ac:dyDescent="0.15">
      <c r="A27" s="5">
        <v>22</v>
      </c>
      <c r="B27" s="6" t="s">
        <v>29</v>
      </c>
      <c r="C27" s="7">
        <v>5505</v>
      </c>
      <c r="D27" s="7">
        <v>1473</v>
      </c>
      <c r="E27" s="7">
        <v>1780</v>
      </c>
      <c r="F27" s="7">
        <v>8758</v>
      </c>
      <c r="G27" s="7">
        <v>5143</v>
      </c>
      <c r="H27" s="7">
        <v>1708</v>
      </c>
      <c r="I27" s="7">
        <v>1780</v>
      </c>
      <c r="J27" s="7">
        <v>8631</v>
      </c>
      <c r="K27" s="8">
        <v>17389</v>
      </c>
      <c r="L27" s="9">
        <v>35</v>
      </c>
      <c r="M27" s="10">
        <v>157.28571428571428</v>
      </c>
      <c r="N27" s="10">
        <v>42.085714285714289</v>
      </c>
      <c r="O27" s="10">
        <v>50.857142857142854</v>
      </c>
      <c r="P27" s="10">
        <v>250.22857142857143</v>
      </c>
      <c r="Q27" s="10">
        <v>146.94285714285715</v>
      </c>
      <c r="R27" s="10">
        <v>48.8</v>
      </c>
      <c r="S27" s="10">
        <v>50.857142857142854</v>
      </c>
      <c r="T27" s="10">
        <v>246.6</v>
      </c>
      <c r="U27" s="11">
        <v>496.82857142857142</v>
      </c>
      <c r="V27" s="9">
        <v>4</v>
      </c>
    </row>
    <row r="28" spans="1:22" ht="18" customHeight="1" x14ac:dyDescent="0.15">
      <c r="A28" s="5">
        <v>23</v>
      </c>
      <c r="B28" s="6" t="s">
        <v>30</v>
      </c>
      <c r="C28" s="7">
        <v>6427</v>
      </c>
      <c r="D28" s="7">
        <v>2203</v>
      </c>
      <c r="E28" s="7">
        <v>3010</v>
      </c>
      <c r="F28" s="7">
        <v>11640</v>
      </c>
      <c r="G28" s="7">
        <v>7090</v>
      </c>
      <c r="H28" s="7">
        <v>2683</v>
      </c>
      <c r="I28" s="7">
        <v>3010</v>
      </c>
      <c r="J28" s="7">
        <v>12783</v>
      </c>
      <c r="K28" s="8">
        <v>24423</v>
      </c>
      <c r="L28" s="9">
        <v>54</v>
      </c>
      <c r="M28" s="10">
        <v>119.01851851851852</v>
      </c>
      <c r="N28" s="10">
        <v>40.796296296296298</v>
      </c>
      <c r="O28" s="10">
        <v>55.74074074074074</v>
      </c>
      <c r="P28" s="10">
        <v>215.55555555555554</v>
      </c>
      <c r="Q28" s="10">
        <v>131.2962962962963</v>
      </c>
      <c r="R28" s="10">
        <v>49.685185185185183</v>
      </c>
      <c r="S28" s="10">
        <v>55.74074074074074</v>
      </c>
      <c r="T28" s="10">
        <v>236.72222222222223</v>
      </c>
      <c r="U28" s="11">
        <v>452.27777777777777</v>
      </c>
      <c r="V28" s="9">
        <v>12</v>
      </c>
    </row>
    <row r="29" spans="1:22" ht="18" customHeight="1" x14ac:dyDescent="0.15">
      <c r="A29" s="5">
        <v>24</v>
      </c>
      <c r="B29" s="6" t="s">
        <v>31</v>
      </c>
      <c r="C29" s="7">
        <v>3435</v>
      </c>
      <c r="D29" s="7">
        <v>1086</v>
      </c>
      <c r="E29" s="7">
        <v>1495</v>
      </c>
      <c r="F29" s="7">
        <v>6016</v>
      </c>
      <c r="G29" s="7">
        <v>3567</v>
      </c>
      <c r="H29" s="7">
        <v>1336</v>
      </c>
      <c r="I29" s="7">
        <v>1495</v>
      </c>
      <c r="J29" s="7">
        <v>6398</v>
      </c>
      <c r="K29" s="8">
        <v>12414</v>
      </c>
      <c r="L29" s="9">
        <v>29</v>
      </c>
      <c r="M29" s="10">
        <v>118.44827586206897</v>
      </c>
      <c r="N29" s="10">
        <v>37.448275862068968</v>
      </c>
      <c r="O29" s="10">
        <v>51.551724137931032</v>
      </c>
      <c r="P29" s="10">
        <v>207.44827586206895</v>
      </c>
      <c r="Q29" s="10">
        <v>123</v>
      </c>
      <c r="R29" s="10">
        <v>46.068965517241381</v>
      </c>
      <c r="S29" s="10">
        <v>51.551724137931032</v>
      </c>
      <c r="T29" s="10">
        <v>220.62068965517241</v>
      </c>
      <c r="U29" s="11">
        <v>428.06896551724139</v>
      </c>
      <c r="V29" s="9">
        <v>23</v>
      </c>
    </row>
    <row r="30" spans="1:22" ht="18" customHeight="1" x14ac:dyDescent="0.15">
      <c r="A30" s="5">
        <v>25</v>
      </c>
      <c r="B30" s="6" t="s">
        <v>32</v>
      </c>
      <c r="C30" s="7">
        <v>2848</v>
      </c>
      <c r="D30" s="7">
        <v>934</v>
      </c>
      <c r="E30" s="7">
        <v>995</v>
      </c>
      <c r="F30" s="7">
        <v>4777</v>
      </c>
      <c r="G30" s="7">
        <v>2682</v>
      </c>
      <c r="H30" s="7">
        <v>1106</v>
      </c>
      <c r="I30" s="7">
        <v>995</v>
      </c>
      <c r="J30" s="7">
        <v>4783</v>
      </c>
      <c r="K30" s="8">
        <v>9560</v>
      </c>
      <c r="L30" s="9">
        <v>19</v>
      </c>
      <c r="M30" s="10">
        <v>149.89473684210526</v>
      </c>
      <c r="N30" s="10">
        <v>49.157894736842103</v>
      </c>
      <c r="O30" s="10">
        <v>52.368421052631582</v>
      </c>
      <c r="P30" s="10">
        <v>251.42105263157896</v>
      </c>
      <c r="Q30" s="10">
        <v>141.15789473684211</v>
      </c>
      <c r="R30" s="10">
        <v>58.210526315789473</v>
      </c>
      <c r="S30" s="10">
        <v>52.368421052631582</v>
      </c>
      <c r="T30" s="10">
        <v>251.73684210526315</v>
      </c>
      <c r="U30" s="11">
        <v>503.15789473684208</v>
      </c>
      <c r="V30" s="9">
        <v>2</v>
      </c>
    </row>
    <row r="31" spans="1:22" ht="18" customHeight="1" x14ac:dyDescent="0.15">
      <c r="A31" s="5">
        <v>26</v>
      </c>
      <c r="B31" s="6" t="s">
        <v>33</v>
      </c>
      <c r="C31" s="7">
        <v>3288</v>
      </c>
      <c r="D31" s="7">
        <v>901</v>
      </c>
      <c r="E31" s="7">
        <v>1165</v>
      </c>
      <c r="F31" s="7">
        <v>5354</v>
      </c>
      <c r="G31" s="7">
        <v>3165</v>
      </c>
      <c r="H31" s="7">
        <v>1231</v>
      </c>
      <c r="I31" s="7">
        <v>1165</v>
      </c>
      <c r="J31" s="7">
        <v>5561</v>
      </c>
      <c r="K31" s="8">
        <v>10915</v>
      </c>
      <c r="L31" s="9">
        <v>26</v>
      </c>
      <c r="M31" s="10">
        <v>126.46153846153847</v>
      </c>
      <c r="N31" s="10">
        <v>34.653846153846153</v>
      </c>
      <c r="O31" s="10">
        <v>44.807692307692307</v>
      </c>
      <c r="P31" s="10">
        <v>205.92307692307693</v>
      </c>
      <c r="Q31" s="10">
        <v>121.73076923076923</v>
      </c>
      <c r="R31" s="10">
        <v>47.346153846153847</v>
      </c>
      <c r="S31" s="10">
        <v>44.807692307692307</v>
      </c>
      <c r="T31" s="10">
        <v>213.88461538461539</v>
      </c>
      <c r="U31" s="11">
        <v>419.80769230769232</v>
      </c>
      <c r="V31" s="9">
        <v>29</v>
      </c>
    </row>
    <row r="32" spans="1:22" ht="18" customHeight="1" x14ac:dyDescent="0.15">
      <c r="A32" s="5">
        <v>27</v>
      </c>
      <c r="B32" s="6" t="s">
        <v>34</v>
      </c>
      <c r="C32" s="7">
        <v>6139</v>
      </c>
      <c r="D32" s="7">
        <v>1382</v>
      </c>
      <c r="E32" s="7">
        <v>1800</v>
      </c>
      <c r="F32" s="7">
        <v>9321</v>
      </c>
      <c r="G32" s="7">
        <v>6020</v>
      </c>
      <c r="H32" s="7">
        <v>2139</v>
      </c>
      <c r="I32" s="7">
        <v>1800</v>
      </c>
      <c r="J32" s="7">
        <v>9959</v>
      </c>
      <c r="K32" s="8">
        <v>19280</v>
      </c>
      <c r="L32" s="9">
        <v>43</v>
      </c>
      <c r="M32" s="10">
        <v>142.76744186046511</v>
      </c>
      <c r="N32" s="10">
        <v>32.139534883720927</v>
      </c>
      <c r="O32" s="10">
        <v>41.860465116279073</v>
      </c>
      <c r="P32" s="10">
        <v>216.76744186046511</v>
      </c>
      <c r="Q32" s="10">
        <v>140</v>
      </c>
      <c r="R32" s="10">
        <v>49.744186046511629</v>
      </c>
      <c r="S32" s="10">
        <v>41.860465116279073</v>
      </c>
      <c r="T32" s="10">
        <v>231.6046511627907</v>
      </c>
      <c r="U32" s="11">
        <v>448.37209302325579</v>
      </c>
      <c r="V32" s="9">
        <v>14</v>
      </c>
    </row>
    <row r="33" spans="1:22" ht="18" customHeight="1" x14ac:dyDescent="0.15">
      <c r="A33" s="5">
        <v>28</v>
      </c>
      <c r="B33" s="6" t="s">
        <v>35</v>
      </c>
      <c r="C33" s="7">
        <v>5796</v>
      </c>
      <c r="D33" s="7">
        <v>1400</v>
      </c>
      <c r="E33" s="7">
        <v>1945</v>
      </c>
      <c r="F33" s="7">
        <v>9141</v>
      </c>
      <c r="G33" s="7">
        <v>6078</v>
      </c>
      <c r="H33" s="7">
        <v>2290</v>
      </c>
      <c r="I33" s="7">
        <v>1945</v>
      </c>
      <c r="J33" s="7">
        <v>10313</v>
      </c>
      <c r="K33" s="8">
        <v>19454</v>
      </c>
      <c r="L33" s="9">
        <v>41</v>
      </c>
      <c r="M33" s="10">
        <v>141.36585365853659</v>
      </c>
      <c r="N33" s="10">
        <v>34.146341463414636</v>
      </c>
      <c r="O33" s="10">
        <v>47.439024390243901</v>
      </c>
      <c r="P33" s="10">
        <v>222.95121951219511</v>
      </c>
      <c r="Q33" s="10">
        <v>148.2439024390244</v>
      </c>
      <c r="R33" s="10">
        <v>55.853658536585364</v>
      </c>
      <c r="S33" s="10">
        <v>47.439024390243901</v>
      </c>
      <c r="T33" s="10">
        <v>251.53658536585365</v>
      </c>
      <c r="U33" s="11">
        <v>474.48780487804879</v>
      </c>
      <c r="V33" s="9">
        <v>11</v>
      </c>
    </row>
    <row r="34" spans="1:22" ht="18" customHeight="1" x14ac:dyDescent="0.15">
      <c r="A34" s="5">
        <v>29</v>
      </c>
      <c r="B34" s="6" t="s">
        <v>36</v>
      </c>
      <c r="C34" s="7">
        <v>3019</v>
      </c>
      <c r="D34" s="7">
        <v>966</v>
      </c>
      <c r="E34" s="7">
        <v>1925</v>
      </c>
      <c r="F34" s="7">
        <v>5910</v>
      </c>
      <c r="G34" s="7">
        <v>3709</v>
      </c>
      <c r="H34" s="7">
        <v>1652</v>
      </c>
      <c r="I34" s="7">
        <v>1925</v>
      </c>
      <c r="J34" s="7">
        <v>7286</v>
      </c>
      <c r="K34" s="8">
        <v>13196</v>
      </c>
      <c r="L34" s="9">
        <v>39</v>
      </c>
      <c r="M34" s="10">
        <v>77.410256410256409</v>
      </c>
      <c r="N34" s="10">
        <v>24.76923076923077</v>
      </c>
      <c r="O34" s="10">
        <v>49.358974358974358</v>
      </c>
      <c r="P34" s="10">
        <v>151.53846153846155</v>
      </c>
      <c r="Q34" s="10">
        <v>95.102564102564102</v>
      </c>
      <c r="R34" s="10">
        <v>42.358974358974358</v>
      </c>
      <c r="S34" s="10">
        <v>49.358974358974358</v>
      </c>
      <c r="T34" s="10">
        <v>186.82051282051282</v>
      </c>
      <c r="U34" s="11">
        <v>338.35897435897436</v>
      </c>
      <c r="V34" s="9">
        <v>46</v>
      </c>
    </row>
    <row r="35" spans="1:22" ht="18" customHeight="1" x14ac:dyDescent="0.15">
      <c r="A35" s="5">
        <v>30</v>
      </c>
      <c r="B35" s="6" t="s">
        <v>37</v>
      </c>
      <c r="C35" s="7">
        <v>3618</v>
      </c>
      <c r="D35" s="7">
        <v>971</v>
      </c>
      <c r="E35" s="7">
        <v>1125</v>
      </c>
      <c r="F35" s="7">
        <v>5714</v>
      </c>
      <c r="G35" s="7">
        <v>3518</v>
      </c>
      <c r="H35" s="7">
        <v>1207</v>
      </c>
      <c r="I35" s="7">
        <v>1125</v>
      </c>
      <c r="J35" s="7">
        <v>5850</v>
      </c>
      <c r="K35" s="8">
        <v>11564</v>
      </c>
      <c r="L35" s="9">
        <v>30</v>
      </c>
      <c r="M35" s="10">
        <v>120.6</v>
      </c>
      <c r="N35" s="10">
        <v>32.366666666666667</v>
      </c>
      <c r="O35" s="10">
        <v>37.5</v>
      </c>
      <c r="P35" s="10">
        <v>190.46666666666667</v>
      </c>
      <c r="Q35" s="10">
        <v>117.26666666666667</v>
      </c>
      <c r="R35" s="10">
        <v>40.233333333333334</v>
      </c>
      <c r="S35" s="10">
        <v>37.5</v>
      </c>
      <c r="T35" s="10">
        <v>195</v>
      </c>
      <c r="U35" s="11">
        <v>385.46666666666664</v>
      </c>
      <c r="V35" s="9">
        <v>39</v>
      </c>
    </row>
    <row r="36" spans="1:22" ht="18" customHeight="1" x14ac:dyDescent="0.15">
      <c r="A36" s="5">
        <v>31</v>
      </c>
      <c r="B36" s="6" t="s">
        <v>38</v>
      </c>
      <c r="C36" s="7">
        <v>2309</v>
      </c>
      <c r="D36" s="7">
        <v>697</v>
      </c>
      <c r="E36" s="7">
        <v>850</v>
      </c>
      <c r="F36" s="7">
        <v>3856</v>
      </c>
      <c r="G36" s="7">
        <v>2607</v>
      </c>
      <c r="H36" s="7">
        <v>1023</v>
      </c>
      <c r="I36" s="7">
        <v>850</v>
      </c>
      <c r="J36" s="7">
        <v>4480</v>
      </c>
      <c r="K36" s="8">
        <v>8336</v>
      </c>
      <c r="L36" s="9">
        <v>19</v>
      </c>
      <c r="M36" s="10">
        <v>121.52631578947368</v>
      </c>
      <c r="N36" s="10">
        <v>36.684210526315788</v>
      </c>
      <c r="O36" s="10">
        <v>44.736842105263158</v>
      </c>
      <c r="P36" s="10">
        <v>202.94736842105263</v>
      </c>
      <c r="Q36" s="10">
        <v>137.21052631578948</v>
      </c>
      <c r="R36" s="10">
        <v>53.842105263157897</v>
      </c>
      <c r="S36" s="10">
        <v>44.736842105263158</v>
      </c>
      <c r="T36" s="10">
        <v>235.78947368421052</v>
      </c>
      <c r="U36" s="11">
        <v>438.73684210526318</v>
      </c>
      <c r="V36" s="9">
        <v>19</v>
      </c>
    </row>
    <row r="37" spans="1:22" ht="18" customHeight="1" x14ac:dyDescent="0.15">
      <c r="A37" s="5">
        <v>32</v>
      </c>
      <c r="B37" s="6" t="s">
        <v>39</v>
      </c>
      <c r="C37" s="7">
        <v>2893</v>
      </c>
      <c r="D37" s="7">
        <v>977</v>
      </c>
      <c r="E37" s="7">
        <v>875</v>
      </c>
      <c r="F37" s="7">
        <v>4745</v>
      </c>
      <c r="G37" s="7">
        <v>2686</v>
      </c>
      <c r="H37" s="7">
        <v>1013</v>
      </c>
      <c r="I37" s="7">
        <v>875</v>
      </c>
      <c r="J37" s="7">
        <v>4574</v>
      </c>
      <c r="K37" s="8">
        <v>9319</v>
      </c>
      <c r="L37" s="9">
        <v>19</v>
      </c>
      <c r="M37" s="10">
        <v>152.26315789473685</v>
      </c>
      <c r="N37" s="10">
        <v>51.421052631578945</v>
      </c>
      <c r="O37" s="10">
        <v>46.05263157894737</v>
      </c>
      <c r="P37" s="10">
        <v>249.73684210526315</v>
      </c>
      <c r="Q37" s="10">
        <v>141.36842105263159</v>
      </c>
      <c r="R37" s="10">
        <v>53.315789473684212</v>
      </c>
      <c r="S37" s="10">
        <v>46.05263157894737</v>
      </c>
      <c r="T37" s="10">
        <v>240.73684210526315</v>
      </c>
      <c r="U37" s="11">
        <v>490.4736842105263</v>
      </c>
      <c r="V37" s="9">
        <v>6</v>
      </c>
    </row>
    <row r="38" spans="1:22" ht="18" customHeight="1" x14ac:dyDescent="0.15">
      <c r="A38" s="5">
        <v>33</v>
      </c>
      <c r="B38" s="6" t="s">
        <v>40</v>
      </c>
      <c r="C38" s="7">
        <v>2592</v>
      </c>
      <c r="D38" s="7">
        <v>920</v>
      </c>
      <c r="E38" s="7">
        <v>1375</v>
      </c>
      <c r="F38" s="7">
        <v>4887</v>
      </c>
      <c r="G38" s="7">
        <v>2977</v>
      </c>
      <c r="H38" s="7">
        <v>1408</v>
      </c>
      <c r="I38" s="7">
        <v>1375</v>
      </c>
      <c r="J38" s="7">
        <v>5760</v>
      </c>
      <c r="K38" s="8">
        <v>10647</v>
      </c>
      <c r="L38" s="9">
        <v>27</v>
      </c>
      <c r="M38" s="10">
        <v>96</v>
      </c>
      <c r="N38" s="10">
        <v>34.074074074074076</v>
      </c>
      <c r="O38" s="10">
        <v>50.925925925925924</v>
      </c>
      <c r="P38" s="10">
        <v>181</v>
      </c>
      <c r="Q38" s="10">
        <v>110.25925925925925</v>
      </c>
      <c r="R38" s="10">
        <v>52.148148148148145</v>
      </c>
      <c r="S38" s="10">
        <v>50.925925925925924</v>
      </c>
      <c r="T38" s="10">
        <v>213.33333333333334</v>
      </c>
      <c r="U38" s="11">
        <v>394.33333333333331</v>
      </c>
      <c r="V38" s="9">
        <v>38</v>
      </c>
    </row>
    <row r="39" spans="1:22" ht="18" customHeight="1" x14ac:dyDescent="0.15">
      <c r="A39" s="5">
        <v>34</v>
      </c>
      <c r="B39" s="6" t="s">
        <v>41</v>
      </c>
      <c r="C39" s="7">
        <v>3196</v>
      </c>
      <c r="D39" s="7">
        <v>803</v>
      </c>
      <c r="E39" s="7">
        <v>1125</v>
      </c>
      <c r="F39" s="7">
        <v>5124</v>
      </c>
      <c r="G39" s="7">
        <v>2926</v>
      </c>
      <c r="H39" s="7">
        <v>1129</v>
      </c>
      <c r="I39" s="7">
        <v>1125</v>
      </c>
      <c r="J39" s="7">
        <v>5180</v>
      </c>
      <c r="K39" s="8">
        <v>10304</v>
      </c>
      <c r="L39" s="9">
        <v>23</v>
      </c>
      <c r="M39" s="10">
        <v>138.95652173913044</v>
      </c>
      <c r="N39" s="10">
        <v>34.913043478260867</v>
      </c>
      <c r="O39" s="10">
        <v>48.913043478260867</v>
      </c>
      <c r="P39" s="10">
        <v>222.78260869565219</v>
      </c>
      <c r="Q39" s="10">
        <v>127.21739130434783</v>
      </c>
      <c r="R39" s="10">
        <v>49.086956521739133</v>
      </c>
      <c r="S39" s="10">
        <v>48.913043478260867</v>
      </c>
      <c r="T39" s="10">
        <v>225.21739130434781</v>
      </c>
      <c r="U39" s="11">
        <v>448</v>
      </c>
      <c r="V39" s="9">
        <v>15</v>
      </c>
    </row>
    <row r="40" spans="1:22" ht="18" customHeight="1" x14ac:dyDescent="0.15">
      <c r="A40" s="5">
        <v>35</v>
      </c>
      <c r="B40" s="6" t="s">
        <v>42</v>
      </c>
      <c r="C40" s="7">
        <v>2231</v>
      </c>
      <c r="D40" s="7">
        <v>648</v>
      </c>
      <c r="E40" s="7">
        <v>1110</v>
      </c>
      <c r="F40" s="7">
        <v>3989</v>
      </c>
      <c r="G40" s="7">
        <v>2163</v>
      </c>
      <c r="H40" s="7">
        <v>847</v>
      </c>
      <c r="I40" s="7">
        <v>1110</v>
      </c>
      <c r="J40" s="7">
        <v>4120</v>
      </c>
      <c r="K40" s="8">
        <v>8109</v>
      </c>
      <c r="L40" s="9">
        <v>19</v>
      </c>
      <c r="M40" s="10">
        <v>117.42105263157895</v>
      </c>
      <c r="N40" s="10">
        <v>34.10526315789474</v>
      </c>
      <c r="O40" s="10">
        <v>58.421052631578945</v>
      </c>
      <c r="P40" s="10">
        <v>209.94736842105263</v>
      </c>
      <c r="Q40" s="10">
        <v>113.84210526315789</v>
      </c>
      <c r="R40" s="10">
        <v>44.578947368421055</v>
      </c>
      <c r="S40" s="10">
        <v>58.421052631578945</v>
      </c>
      <c r="T40" s="10">
        <v>216.84210526315789</v>
      </c>
      <c r="U40" s="11">
        <v>426.78947368421052</v>
      </c>
      <c r="V40" s="9">
        <v>24</v>
      </c>
    </row>
    <row r="41" spans="1:22" ht="18" customHeight="1" x14ac:dyDescent="0.15">
      <c r="A41" s="5">
        <v>36</v>
      </c>
      <c r="B41" s="6" t="s">
        <v>43</v>
      </c>
      <c r="C41" s="7">
        <v>2241</v>
      </c>
      <c r="D41" s="7">
        <v>876</v>
      </c>
      <c r="E41" s="7">
        <v>995</v>
      </c>
      <c r="F41" s="7">
        <v>4112</v>
      </c>
      <c r="G41" s="7">
        <v>2872</v>
      </c>
      <c r="H41" s="7">
        <v>1011</v>
      </c>
      <c r="I41" s="7">
        <v>995</v>
      </c>
      <c r="J41" s="7">
        <v>4878</v>
      </c>
      <c r="K41" s="8">
        <v>8990</v>
      </c>
      <c r="L41" s="9">
        <v>24</v>
      </c>
      <c r="M41" s="10">
        <v>93.375</v>
      </c>
      <c r="N41" s="10">
        <v>36.5</v>
      </c>
      <c r="O41" s="10">
        <v>41.458333333333336</v>
      </c>
      <c r="P41" s="10">
        <v>171.33333333333334</v>
      </c>
      <c r="Q41" s="10">
        <v>119.66666666666667</v>
      </c>
      <c r="R41" s="10">
        <v>42.125</v>
      </c>
      <c r="S41" s="10">
        <v>41.458333333333336</v>
      </c>
      <c r="T41" s="10">
        <v>203.25</v>
      </c>
      <c r="U41" s="11">
        <v>374.58333333333331</v>
      </c>
      <c r="V41" s="9">
        <v>42</v>
      </c>
    </row>
    <row r="42" spans="1:22" ht="18" customHeight="1" x14ac:dyDescent="0.15">
      <c r="A42" s="5">
        <v>37</v>
      </c>
      <c r="B42" s="6" t="s">
        <v>44</v>
      </c>
      <c r="C42" s="7">
        <v>2219</v>
      </c>
      <c r="D42" s="7">
        <v>686</v>
      </c>
      <c r="E42" s="7">
        <v>925</v>
      </c>
      <c r="F42" s="7">
        <v>3830</v>
      </c>
      <c r="G42" s="7">
        <v>1996</v>
      </c>
      <c r="H42" s="7">
        <v>602</v>
      </c>
      <c r="I42" s="7">
        <v>925</v>
      </c>
      <c r="J42" s="7">
        <v>3523</v>
      </c>
      <c r="K42" s="8">
        <v>7353</v>
      </c>
      <c r="L42" s="9">
        <v>17</v>
      </c>
      <c r="M42" s="10">
        <v>130.52941176470588</v>
      </c>
      <c r="N42" s="10">
        <v>40.352941176470587</v>
      </c>
      <c r="O42" s="10">
        <v>54.411764705882355</v>
      </c>
      <c r="P42" s="10">
        <v>225.29411764705881</v>
      </c>
      <c r="Q42" s="10">
        <v>117.41176470588235</v>
      </c>
      <c r="R42" s="10">
        <v>35.411764705882355</v>
      </c>
      <c r="S42" s="10">
        <v>54.411764705882355</v>
      </c>
      <c r="T42" s="10">
        <v>207.23529411764707</v>
      </c>
      <c r="U42" s="11">
        <v>432.52941176470586</v>
      </c>
      <c r="V42" s="9">
        <v>20</v>
      </c>
    </row>
    <row r="43" spans="1:22" ht="18" customHeight="1" x14ac:dyDescent="0.15">
      <c r="A43" s="5">
        <v>38</v>
      </c>
      <c r="B43" s="6" t="s">
        <v>45</v>
      </c>
      <c r="C43" s="7">
        <v>2425</v>
      </c>
      <c r="D43" s="7">
        <v>771</v>
      </c>
      <c r="E43" s="7">
        <v>1040</v>
      </c>
      <c r="F43" s="7">
        <v>4236</v>
      </c>
      <c r="G43" s="7">
        <v>2441</v>
      </c>
      <c r="H43" s="7">
        <v>931</v>
      </c>
      <c r="I43" s="7">
        <v>1040</v>
      </c>
      <c r="J43" s="7">
        <v>4412</v>
      </c>
      <c r="K43" s="8">
        <v>8648</v>
      </c>
      <c r="L43" s="9">
        <v>20</v>
      </c>
      <c r="M43" s="10">
        <v>121.25</v>
      </c>
      <c r="N43" s="10">
        <v>38.549999999999997</v>
      </c>
      <c r="O43" s="10">
        <v>52</v>
      </c>
      <c r="P43" s="10">
        <v>211.8</v>
      </c>
      <c r="Q43" s="10">
        <v>122.05</v>
      </c>
      <c r="R43" s="10">
        <v>46.55</v>
      </c>
      <c r="S43" s="10">
        <v>52</v>
      </c>
      <c r="T43" s="10">
        <v>220.6</v>
      </c>
      <c r="U43" s="11">
        <v>432.4</v>
      </c>
      <c r="V43" s="9">
        <v>22</v>
      </c>
    </row>
    <row r="44" spans="1:22" ht="18" customHeight="1" x14ac:dyDescent="0.15">
      <c r="A44" s="5">
        <v>39</v>
      </c>
      <c r="B44" s="6" t="s">
        <v>46</v>
      </c>
      <c r="C44" s="7">
        <v>4335</v>
      </c>
      <c r="D44" s="7">
        <v>1415</v>
      </c>
      <c r="E44" s="7">
        <v>1610</v>
      </c>
      <c r="F44" s="7">
        <v>7360</v>
      </c>
      <c r="G44" s="7">
        <v>3959</v>
      </c>
      <c r="H44" s="7">
        <v>1193</v>
      </c>
      <c r="I44" s="7">
        <v>1610</v>
      </c>
      <c r="J44" s="7">
        <v>6762</v>
      </c>
      <c r="K44" s="8">
        <v>14122</v>
      </c>
      <c r="L44" s="9">
        <v>34</v>
      </c>
      <c r="M44" s="10">
        <v>127.5</v>
      </c>
      <c r="N44" s="10">
        <v>41.617647058823529</v>
      </c>
      <c r="O44" s="10">
        <v>47.352941176470587</v>
      </c>
      <c r="P44" s="10">
        <v>216.47058823529412</v>
      </c>
      <c r="Q44" s="10">
        <v>116.44117647058823</v>
      </c>
      <c r="R44" s="10">
        <v>35.088235294117645</v>
      </c>
      <c r="S44" s="10">
        <v>47.352941176470587</v>
      </c>
      <c r="T44" s="10">
        <v>198.88235294117646</v>
      </c>
      <c r="U44" s="11">
        <v>415.35294117647061</v>
      </c>
      <c r="V44" s="9">
        <v>30</v>
      </c>
    </row>
    <row r="45" spans="1:22" ht="18" customHeight="1" x14ac:dyDescent="0.15">
      <c r="A45" s="5">
        <v>40</v>
      </c>
      <c r="B45" s="6" t="s">
        <v>47</v>
      </c>
      <c r="C45" s="7">
        <v>9988</v>
      </c>
      <c r="D45" s="7">
        <v>2265</v>
      </c>
      <c r="E45" s="7">
        <v>2795</v>
      </c>
      <c r="F45" s="7">
        <v>15048</v>
      </c>
      <c r="G45" s="7">
        <v>8689</v>
      </c>
      <c r="H45" s="7">
        <v>2746</v>
      </c>
      <c r="I45" s="7">
        <v>2795</v>
      </c>
      <c r="J45" s="7">
        <v>14230</v>
      </c>
      <c r="K45" s="8">
        <v>29278</v>
      </c>
      <c r="L45" s="9">
        <v>60</v>
      </c>
      <c r="M45" s="10">
        <v>166.46666666666667</v>
      </c>
      <c r="N45" s="10">
        <v>37.75</v>
      </c>
      <c r="O45" s="10">
        <v>46.583333333333336</v>
      </c>
      <c r="P45" s="10">
        <v>250.8</v>
      </c>
      <c r="Q45" s="10">
        <v>144.81666666666666</v>
      </c>
      <c r="R45" s="10">
        <v>45.766666666666666</v>
      </c>
      <c r="S45" s="10">
        <v>46.583333333333336</v>
      </c>
      <c r="T45" s="10">
        <v>237.16666666666666</v>
      </c>
      <c r="U45" s="11">
        <v>487.96666666666664</v>
      </c>
      <c r="V45" s="9">
        <v>7</v>
      </c>
    </row>
    <row r="46" spans="1:22" ht="18" customHeight="1" x14ac:dyDescent="0.15">
      <c r="A46" s="5">
        <v>41</v>
      </c>
      <c r="B46" s="6" t="s">
        <v>48</v>
      </c>
      <c r="C46" s="7">
        <v>3073</v>
      </c>
      <c r="D46" s="7">
        <v>938</v>
      </c>
      <c r="E46" s="7">
        <v>1135</v>
      </c>
      <c r="F46" s="7">
        <v>5146</v>
      </c>
      <c r="G46" s="7">
        <v>2747</v>
      </c>
      <c r="H46" s="7">
        <v>1055</v>
      </c>
      <c r="I46" s="7">
        <v>1135</v>
      </c>
      <c r="J46" s="7">
        <v>4937</v>
      </c>
      <c r="K46" s="8">
        <v>10083</v>
      </c>
      <c r="L46" s="9">
        <v>20</v>
      </c>
      <c r="M46" s="10">
        <v>153.65</v>
      </c>
      <c r="N46" s="10">
        <v>46.9</v>
      </c>
      <c r="O46" s="10">
        <v>56.75</v>
      </c>
      <c r="P46" s="10">
        <v>257.3</v>
      </c>
      <c r="Q46" s="10">
        <v>137.35</v>
      </c>
      <c r="R46" s="10">
        <v>52.75</v>
      </c>
      <c r="S46" s="10">
        <v>56.75</v>
      </c>
      <c r="T46" s="10">
        <v>246.85</v>
      </c>
      <c r="U46" s="11">
        <v>504.15</v>
      </c>
      <c r="V46" s="9">
        <v>1</v>
      </c>
    </row>
    <row r="47" spans="1:22" ht="18" customHeight="1" x14ac:dyDescent="0.15">
      <c r="A47" s="5">
        <v>42</v>
      </c>
      <c r="B47" s="6" t="s">
        <v>49</v>
      </c>
      <c r="C47" s="7">
        <v>2863</v>
      </c>
      <c r="D47" s="7">
        <v>925</v>
      </c>
      <c r="E47" s="7">
        <v>1170</v>
      </c>
      <c r="F47" s="7">
        <v>4958</v>
      </c>
      <c r="G47" s="7">
        <v>2855</v>
      </c>
      <c r="H47" s="7">
        <v>1049</v>
      </c>
      <c r="I47" s="7">
        <v>1170</v>
      </c>
      <c r="J47" s="7">
        <v>5074</v>
      </c>
      <c r="K47" s="8">
        <v>10032</v>
      </c>
      <c r="L47" s="9">
        <v>21</v>
      </c>
      <c r="M47" s="10">
        <v>136.33333333333334</v>
      </c>
      <c r="N47" s="10">
        <v>44.047619047619051</v>
      </c>
      <c r="O47" s="10">
        <v>55.714285714285715</v>
      </c>
      <c r="P47" s="10">
        <v>236.0952380952381</v>
      </c>
      <c r="Q47" s="10">
        <v>135.95238095238096</v>
      </c>
      <c r="R47" s="10">
        <v>49.952380952380949</v>
      </c>
      <c r="S47" s="10">
        <v>55.714285714285715</v>
      </c>
      <c r="T47" s="10">
        <v>241.61904761904762</v>
      </c>
      <c r="U47" s="11">
        <v>477.71428571428572</v>
      </c>
      <c r="V47" s="9">
        <v>10</v>
      </c>
    </row>
    <row r="48" spans="1:22" ht="18" customHeight="1" x14ac:dyDescent="0.15">
      <c r="A48" s="5">
        <v>43</v>
      </c>
      <c r="B48" s="6" t="s">
        <v>50</v>
      </c>
      <c r="C48" s="7">
        <v>5469</v>
      </c>
      <c r="D48" s="7">
        <v>1719</v>
      </c>
      <c r="E48" s="7">
        <v>2035</v>
      </c>
      <c r="F48" s="7">
        <v>9223</v>
      </c>
      <c r="G48" s="7">
        <v>5491</v>
      </c>
      <c r="H48" s="7">
        <v>2385</v>
      </c>
      <c r="I48" s="7">
        <v>2035</v>
      </c>
      <c r="J48" s="7">
        <v>9911</v>
      </c>
      <c r="K48" s="8">
        <v>19134</v>
      </c>
      <c r="L48" s="9">
        <v>45</v>
      </c>
      <c r="M48" s="10">
        <v>121.53333333333333</v>
      </c>
      <c r="N48" s="10">
        <v>38.200000000000003</v>
      </c>
      <c r="O48" s="10">
        <v>45.222222222222221</v>
      </c>
      <c r="P48" s="10">
        <v>204.95555555555555</v>
      </c>
      <c r="Q48" s="10">
        <v>122.02222222222223</v>
      </c>
      <c r="R48" s="10">
        <v>53</v>
      </c>
      <c r="S48" s="10">
        <v>45.222222222222221</v>
      </c>
      <c r="T48" s="10">
        <v>220.24444444444444</v>
      </c>
      <c r="U48" s="11">
        <v>425.2</v>
      </c>
      <c r="V48" s="9">
        <v>26</v>
      </c>
    </row>
    <row r="49" spans="1:22" ht="18" customHeight="1" x14ac:dyDescent="0.15">
      <c r="A49" s="5">
        <v>44</v>
      </c>
      <c r="B49" s="6" t="s">
        <v>51</v>
      </c>
      <c r="C49" s="7">
        <v>2918</v>
      </c>
      <c r="D49" s="7">
        <v>735</v>
      </c>
      <c r="E49" s="7">
        <v>715</v>
      </c>
      <c r="F49" s="7">
        <v>4368</v>
      </c>
      <c r="G49" s="7">
        <v>2948</v>
      </c>
      <c r="H49" s="7">
        <v>938</v>
      </c>
      <c r="I49" s="7">
        <v>715</v>
      </c>
      <c r="J49" s="7">
        <v>4601</v>
      </c>
      <c r="K49" s="8">
        <v>8969</v>
      </c>
      <c r="L49" s="9">
        <v>18</v>
      </c>
      <c r="M49" s="10">
        <v>162.11111111111111</v>
      </c>
      <c r="N49" s="10">
        <v>40.833333333333336</v>
      </c>
      <c r="O49" s="10">
        <v>39.722222222222221</v>
      </c>
      <c r="P49" s="10">
        <v>242.66666666666666</v>
      </c>
      <c r="Q49" s="10">
        <v>163.77777777777777</v>
      </c>
      <c r="R49" s="10">
        <v>52.111111111111114</v>
      </c>
      <c r="S49" s="10">
        <v>39.722222222222221</v>
      </c>
      <c r="T49" s="10">
        <v>255.61111111111111</v>
      </c>
      <c r="U49" s="11">
        <v>498.27777777777777</v>
      </c>
      <c r="V49" s="9">
        <v>3</v>
      </c>
    </row>
    <row r="50" spans="1:22" ht="18" customHeight="1" x14ac:dyDescent="0.15">
      <c r="A50" s="5">
        <v>45</v>
      </c>
      <c r="B50" s="6" t="s">
        <v>52</v>
      </c>
      <c r="C50" s="7">
        <v>3034</v>
      </c>
      <c r="D50" s="7">
        <v>890</v>
      </c>
      <c r="E50" s="7">
        <v>1290</v>
      </c>
      <c r="F50" s="7">
        <v>5214</v>
      </c>
      <c r="G50" s="7">
        <v>2873</v>
      </c>
      <c r="H50" s="7">
        <v>1162</v>
      </c>
      <c r="I50" s="7">
        <v>1290</v>
      </c>
      <c r="J50" s="7">
        <v>5325</v>
      </c>
      <c r="K50" s="8">
        <v>10539</v>
      </c>
      <c r="L50" s="9">
        <v>26</v>
      </c>
      <c r="M50" s="10">
        <v>116.69230769230769</v>
      </c>
      <c r="N50" s="10">
        <v>34.230769230769234</v>
      </c>
      <c r="O50" s="10">
        <v>49.615384615384613</v>
      </c>
      <c r="P50" s="10">
        <v>200.53846153846155</v>
      </c>
      <c r="Q50" s="10">
        <v>110.5</v>
      </c>
      <c r="R50" s="10">
        <v>44.692307692307693</v>
      </c>
      <c r="S50" s="10">
        <v>49.615384615384613</v>
      </c>
      <c r="T50" s="10">
        <v>204.80769230769232</v>
      </c>
      <c r="U50" s="11">
        <v>405.34615384615387</v>
      </c>
      <c r="V50" s="9">
        <v>36</v>
      </c>
    </row>
    <row r="51" spans="1:22" ht="18" customHeight="1" x14ac:dyDescent="0.15">
      <c r="A51" s="5">
        <v>46</v>
      </c>
      <c r="B51" s="6" t="s">
        <v>53</v>
      </c>
      <c r="C51" s="7">
        <v>5053</v>
      </c>
      <c r="D51" s="7">
        <v>1647</v>
      </c>
      <c r="E51" s="7">
        <v>1945</v>
      </c>
      <c r="F51" s="7">
        <v>8645</v>
      </c>
      <c r="G51" s="7">
        <v>5403</v>
      </c>
      <c r="H51" s="7">
        <v>2218</v>
      </c>
      <c r="I51" s="7">
        <v>1945</v>
      </c>
      <c r="J51" s="7">
        <v>9566</v>
      </c>
      <c r="K51" s="8">
        <v>18211</v>
      </c>
      <c r="L51" s="9">
        <v>43</v>
      </c>
      <c r="M51" s="10">
        <v>117.51162790697674</v>
      </c>
      <c r="N51" s="10">
        <v>38.302325581395351</v>
      </c>
      <c r="O51" s="10">
        <v>45.232558139534881</v>
      </c>
      <c r="P51" s="10">
        <v>201.04651162790697</v>
      </c>
      <c r="Q51" s="10">
        <v>125.65116279069767</v>
      </c>
      <c r="R51" s="10">
        <v>51.581395348837212</v>
      </c>
      <c r="S51" s="10">
        <v>45.232558139534881</v>
      </c>
      <c r="T51" s="10">
        <v>222.46511627906978</v>
      </c>
      <c r="U51" s="11">
        <v>423.51162790697674</v>
      </c>
      <c r="V51" s="9">
        <v>27</v>
      </c>
    </row>
    <row r="52" spans="1:22" ht="18" customHeight="1" x14ac:dyDescent="0.15">
      <c r="A52" s="5">
        <v>47</v>
      </c>
      <c r="B52" s="5" t="s">
        <v>54</v>
      </c>
      <c r="C52" s="8">
        <v>4008</v>
      </c>
      <c r="D52" s="8">
        <v>1061</v>
      </c>
      <c r="E52" s="8">
        <v>1190</v>
      </c>
      <c r="F52" s="8">
        <v>6259</v>
      </c>
      <c r="G52" s="8">
        <v>3963</v>
      </c>
      <c r="H52" s="8">
        <v>1631</v>
      </c>
      <c r="I52" s="8">
        <v>1190</v>
      </c>
      <c r="J52" s="8">
        <v>6784</v>
      </c>
      <c r="K52" s="8">
        <v>13043</v>
      </c>
      <c r="L52" s="9">
        <v>41</v>
      </c>
      <c r="M52" s="10">
        <v>97.756097560975604</v>
      </c>
      <c r="N52" s="10">
        <v>25.878048780487806</v>
      </c>
      <c r="O52" s="10">
        <v>29.024390243902438</v>
      </c>
      <c r="P52" s="10">
        <v>152.65853658536585</v>
      </c>
      <c r="Q52" s="10">
        <v>96.658536585365852</v>
      </c>
      <c r="R52" s="10">
        <v>39.780487804878049</v>
      </c>
      <c r="S52" s="10">
        <v>29.024390243902438</v>
      </c>
      <c r="T52" s="10">
        <v>165.46341463414635</v>
      </c>
      <c r="U52" s="11">
        <v>318.1219512195122</v>
      </c>
      <c r="V52" s="9">
        <v>47</v>
      </c>
    </row>
    <row r="53" spans="1:22" s="17" customFormat="1" ht="18" customHeight="1" x14ac:dyDescent="0.15">
      <c r="A53" s="12"/>
      <c r="B53" s="12"/>
      <c r="C53" s="13">
        <f>SUM(C6:C52)</f>
        <v>213335</v>
      </c>
      <c r="D53" s="13">
        <f t="shared" ref="D53:J53" si="0">SUM(D6:D52)</f>
        <v>60054</v>
      </c>
      <c r="E53" s="13">
        <f t="shared" si="0"/>
        <v>84625</v>
      </c>
      <c r="F53" s="13">
        <f t="shared" si="0"/>
        <v>358014</v>
      </c>
      <c r="G53" s="13">
        <f t="shared" si="0"/>
        <v>214367</v>
      </c>
      <c r="H53" s="13">
        <f t="shared" si="0"/>
        <v>78314</v>
      </c>
      <c r="I53" s="13">
        <f t="shared" si="0"/>
        <v>84625</v>
      </c>
      <c r="J53" s="13">
        <f t="shared" si="0"/>
        <v>377306</v>
      </c>
      <c r="K53" s="14">
        <f>SUM(K6:K52)</f>
        <v>735320</v>
      </c>
      <c r="L53" s="14">
        <f t="shared" ref="L53" si="1">SUM(L6:L52)</f>
        <v>1741</v>
      </c>
      <c r="M53" s="15">
        <f t="shared" ref="M53:O53" si="2">C53/$L53</f>
        <v>122.53589890867318</v>
      </c>
      <c r="N53" s="15">
        <f t="shared" si="2"/>
        <v>34.493968983342903</v>
      </c>
      <c r="O53" s="15">
        <f t="shared" si="2"/>
        <v>48.607122343480761</v>
      </c>
      <c r="P53" s="15">
        <f t="shared" ref="P53:T53" si="3">F53/$L53</f>
        <v>205.63699023549685</v>
      </c>
      <c r="Q53" s="15">
        <f t="shared" si="3"/>
        <v>123.12866168868466</v>
      </c>
      <c r="R53" s="15">
        <f t="shared" si="3"/>
        <v>44.982194141298102</v>
      </c>
      <c r="S53" s="15">
        <f t="shared" si="3"/>
        <v>48.607122343480761</v>
      </c>
      <c r="T53" s="15">
        <f t="shared" si="3"/>
        <v>216.71797817346354</v>
      </c>
      <c r="U53" s="15">
        <f t="shared" ref="U53" si="4">K53/L53</f>
        <v>422.35496840896036</v>
      </c>
      <c r="V53" s="16"/>
    </row>
  </sheetData>
  <mergeCells count="12">
    <mergeCell ref="V3:V5"/>
    <mergeCell ref="A3:A5"/>
    <mergeCell ref="B3:B5"/>
    <mergeCell ref="C3:K3"/>
    <mergeCell ref="L3:L5"/>
    <mergeCell ref="M3:U3"/>
    <mergeCell ref="C4:F4"/>
    <mergeCell ref="G4:J4"/>
    <mergeCell ref="K4:K5"/>
    <mergeCell ref="M4:P4"/>
    <mergeCell ref="Q4:T4"/>
    <mergeCell ref="U4:U5"/>
  </mergeCells>
  <phoneticPr fontId="4"/>
  <printOptions horizontalCentered="1"/>
  <pageMargins left="0.31496062992125984" right="0.31496062992125984" top="0.15748031496062992" bottom="0.15748031496062992" header="0.31496062992125984" footer="0.31496062992125984"/>
  <pageSetup paperSize="9"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R6市町村結果（都道府県別）</vt:lpstr>
      <vt:lpstr>'R6市町村結果（都道府県別）'!Print_Area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大久保 美佳(ookubo-mika.rw2)</cp:lastModifiedBy>
  <cp:lastPrinted>2024-03-07T07:08:50Z</cp:lastPrinted>
  <dcterms:created xsi:type="dcterms:W3CDTF">2024-02-27T09:43:05Z</dcterms:created>
  <dcterms:modified xsi:type="dcterms:W3CDTF">2024-03-07T07:14:34Z</dcterms:modified>
</cp:coreProperties>
</file>