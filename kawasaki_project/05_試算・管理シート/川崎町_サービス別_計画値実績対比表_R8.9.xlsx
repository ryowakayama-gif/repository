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い方" sheetId="1" state="visible" r:id="rId1"/>
    <sheet xmlns:r="http://schemas.openxmlformats.org/officeDocument/2006/relationships" name="01_居宅サービス" sheetId="2" state="visible" r:id="rId2"/>
    <sheet xmlns:r="http://schemas.openxmlformats.org/officeDocument/2006/relationships" name="02_地域密着型サービス" sheetId="3" state="visible" r:id="rId3"/>
    <sheet xmlns:r="http://schemas.openxmlformats.org/officeDocument/2006/relationships" name="03_施設サービス" sheetId="4" state="visible" r:id="rId4"/>
    <sheet xmlns:r="http://schemas.openxmlformats.org/officeDocument/2006/relationships" name="04_総合事業・一般介護予防" sheetId="5" state="visible" r:id="rId5"/>
    <sheet xmlns:r="http://schemas.openxmlformats.org/officeDocument/2006/relationships" name="05_包括的支援事業・任意事業" sheetId="6" state="visible" r:id="rId6"/>
    <sheet xmlns:r="http://schemas.openxmlformats.org/officeDocument/2006/relationships" name="06_高齢者福祉サービス" sheetId="7" state="visible" r:id="rId7"/>
    <sheet xmlns:r="http://schemas.openxmlformats.org/officeDocument/2006/relationships" name="07_記入状況" sheetId="8" state="visible" r:id="rId8"/>
  </sheets>
  <definedNames>
    <definedName name="_xlnm._FilterDatabase" localSheetId="1" hidden="1">'01_居宅サービス'!$A$4:$O$56</definedName>
    <definedName name="_xlnm._FilterDatabase" localSheetId="2" hidden="1">'02_地域密着型サービス'!$A$4:$O$19</definedName>
    <definedName name="_xlnm._FilterDatabase" localSheetId="3" hidden="1">'03_施設サービス'!$A$4:$O$10</definedName>
    <definedName name="_xlnm._FilterDatabase" localSheetId="4" hidden="1">'04_総合事業・一般介護予防'!$A$4:$O$27</definedName>
    <definedName name="_xlnm._FilterDatabase" localSheetId="5" hidden="1">'05_包括的支援事業・任意事業'!$A$4:$O$23</definedName>
    <definedName name="_xlnm._FilterDatabase" localSheetId="6" hidden="1">'06_高齢者福祉サービス'!$A$4:$O$15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游ゴシック"/>
      <b val="1"/>
      <color rgb="00FFFFFF"/>
      <sz val="13"/>
    </font>
    <font>
      <name val="游ゴシック"/>
      <color rgb="00595959"/>
      <sz val="9"/>
    </font>
    <font>
      <name val="游ゴシック"/>
      <color rgb="00000000"/>
      <sz val="10"/>
    </font>
    <font>
      <name val="游ゴシック"/>
      <sz val="10"/>
    </font>
    <font>
      <name val="游ゴシック"/>
      <b val="1"/>
      <color rgb="001F3864"/>
      <sz val="10"/>
    </font>
    <font>
      <name val="游ゴシック"/>
      <b val="1"/>
      <color rgb="00FFFFFF"/>
      <sz val="10"/>
    </font>
    <font>
      <name val="游ゴシック"/>
      <sz val="9"/>
    </font>
    <font>
      <name val="游ゴシック"/>
      <color rgb="000000FF"/>
      <sz val="9"/>
    </font>
    <font>
      <name val="游ゴシック"/>
      <color rgb="00595959"/>
      <sz val="8"/>
    </font>
    <font>
      <name val="游ゴシック"/>
      <color rgb="00C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FCC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3" fontId="7" fillId="3" borderId="1" pivotButton="0" quotePrefix="0" xfId="0"/>
    <xf numFmtId="3" fontId="8" fillId="4" borderId="1" pivotButton="0" quotePrefix="0" xfId="0"/>
    <xf numFmtId="164" fontId="7" fillId="0" borderId="1" applyAlignment="1" pivotButton="0" quotePrefix="0" xfId="0">
      <alignment horizontal="center"/>
    </xf>
    <xf numFmtId="0" fontId="8" fillId="4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wrapText="1"/>
    </xf>
    <xf numFmtId="0" fontId="7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dxfs count="1">
    <dxf>
      <font>
        <name val="游ゴシック"/>
        <b val="1"/>
        <color rgb="00C00000"/>
        <sz val="9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2" customWidth="1" min="3" max="3"/>
  </cols>
  <sheetData>
    <row r="1" ht="24" customHeight="1">
      <c r="A1" s="1" t="inlineStr">
        <is>
          <t>川崎町　サービス別 計画値・実績値 対比表</t>
        </is>
      </c>
    </row>
    <row r="2">
      <c r="A2" s="2" t="inlineStr"/>
    </row>
    <row r="4">
      <c r="B4" s="3" t="inlineStr"/>
      <c r="C4" s="4" t="inlineStr"/>
    </row>
    <row r="5">
      <c r="B5" s="5" t="inlineStr">
        <is>
          <t>1．この表の目的</t>
        </is>
      </c>
      <c r="C5" s="4" t="inlineStr"/>
    </row>
    <row r="6">
      <c r="B6" s="3" t="inlineStr"/>
      <c r="C6" s="4" t="inlineStr">
        <is>
          <t>第9期計画（令和6年3月）に定めた各サービス・事業の見込量（計画値）と、実績値を対比する表です。</t>
        </is>
      </c>
    </row>
    <row r="7">
      <c r="B7" s="3" t="inlineStr"/>
      <c r="C7" s="4" t="inlineStr">
        <is>
          <t>仕様書6（4）の現行施策の検証に用いるとともに、保険者機能強化推進交付金の評価指標</t>
        </is>
      </c>
    </row>
    <row r="8">
      <c r="B8" s="3" t="inlineStr"/>
      <c r="C8" s="4" t="inlineStr">
        <is>
          <t>目標Ⅰ-2「介護保険事業計画の進捗状況（計画値と実績値の乖離状況）を分析しているか」に対応します。</t>
        </is>
      </c>
    </row>
    <row r="9">
      <c r="B9" s="3" t="inlineStr"/>
      <c r="C9" s="4" t="inlineStr">
        <is>
          <t>同指標は、単に数値を把握しただけでは非該当とされ、乖離の要因の考察までが求められます。</t>
        </is>
      </c>
    </row>
    <row r="10">
      <c r="B10" s="3" t="inlineStr"/>
      <c r="C10" s="4" t="inlineStr">
        <is>
          <t>このため N列「乖離の要因・対応」の記入が評価上も重要です。</t>
        </is>
      </c>
    </row>
    <row r="11">
      <c r="B11" s="3" t="inlineStr"/>
      <c r="C11" s="4" t="inlineStr"/>
    </row>
    <row r="12">
      <c r="B12" s="5" t="inlineStr">
        <is>
          <t>2．色の意味</t>
        </is>
      </c>
      <c r="C12" s="4" t="inlineStr"/>
    </row>
    <row r="13">
      <c r="B13" s="6" t="inlineStr">
        <is>
          <t>緑（計画値）</t>
        </is>
      </c>
      <c r="C13" s="4" t="inlineStr">
        <is>
          <t>第9期計画書から転記した確定値です。編集しないでください。</t>
        </is>
      </c>
    </row>
    <row r="14">
      <c r="B14" s="7" t="inlineStr">
        <is>
          <t>黄（記入欄）</t>
        </is>
      </c>
      <c r="C14" s="4" t="inlineStr">
        <is>
          <t>町にご記入いただく欄です。青字で入力してください。</t>
        </is>
      </c>
    </row>
    <row r="15">
      <c r="B15" s="3" t="inlineStr">
        <is>
          <t>白（達成率）</t>
        </is>
      </c>
      <c r="C15" s="4" t="inlineStr">
        <is>
          <t>実績÷計画で自動計算されます。</t>
        </is>
      </c>
    </row>
    <row r="16">
      <c r="B16" s="3" t="inlineStr"/>
      <c r="C16" s="4" t="inlineStr"/>
    </row>
    <row r="17">
      <c r="B17" s="5" t="inlineStr">
        <is>
          <t>3．シート構成</t>
        </is>
      </c>
      <c r="C17" s="4" t="inlineStr"/>
    </row>
    <row r="18">
      <c r="B18" s="3" t="inlineStr">
        <is>
          <t>01_居宅サービス</t>
        </is>
      </c>
      <c r="C18" s="4" t="inlineStr">
        <is>
          <t>訪問・通所・短期入所・福祉用具・住宅改修・居宅介護支援（介護予防を含む）</t>
        </is>
      </c>
    </row>
    <row r="19">
      <c r="B19" s="3" t="inlineStr">
        <is>
          <t>02_地域密着型サービス</t>
        </is>
      </c>
      <c r="C19" s="4" t="inlineStr">
        <is>
          <t>認知症対応型共同生活介護ほか。第9期に見込量表がないサービスも一覧に含めています。</t>
        </is>
      </c>
    </row>
    <row r="20">
      <c r="B20" s="3" t="inlineStr">
        <is>
          <t>03_施設サービス</t>
        </is>
      </c>
      <c r="C20" s="4" t="inlineStr">
        <is>
          <t>介護老人福祉施設・介護老人保健施設ほか</t>
        </is>
      </c>
    </row>
    <row r="21">
      <c r="B21" s="3" t="inlineStr">
        <is>
          <t>04_総合事業・一般介護予防</t>
        </is>
      </c>
      <c r="C21" s="4" t="inlineStr">
        <is>
          <t>訪問型／通所型サービス、介護予防教室、地域リハビリテーション活動支援</t>
        </is>
      </c>
    </row>
    <row r="22">
      <c r="B22" s="3" t="inlineStr">
        <is>
          <t>05_包括的支援事業・任意事業</t>
        </is>
      </c>
      <c r="C22" s="4" t="inlineStr">
        <is>
          <t>認知症関係、介護用品の支給、配食サービス、見守り</t>
        </is>
      </c>
    </row>
    <row r="23">
      <c r="B23" s="3" t="inlineStr">
        <is>
          <t>06_高齢者福祉サービス</t>
        </is>
      </c>
      <c r="C23" s="4" t="inlineStr">
        <is>
          <t>移送・会食・緊急通報・老人クラブ・敬老会</t>
        </is>
      </c>
    </row>
    <row r="24">
      <c r="B24" s="3" t="inlineStr">
        <is>
          <t>07_記入状況</t>
        </is>
      </c>
      <c r="C24" s="4" t="inlineStr">
        <is>
          <t>各シートの記入状況を自動集計します。</t>
        </is>
      </c>
    </row>
    <row r="25">
      <c r="B25" s="3" t="inlineStr"/>
      <c r="C25" s="4" t="inlineStr"/>
    </row>
    <row r="26">
      <c r="B26" s="5" t="inlineStr">
        <is>
          <t>4．実績を記入済みの箇所</t>
        </is>
      </c>
      <c r="C26" s="4" t="inlineStr"/>
    </row>
    <row r="27">
      <c r="B27" s="3" t="inlineStr"/>
      <c r="C27" s="4" t="inlineStr">
        <is>
          <t>令和8年9月1日にご提供いただいた実績データから転記できたものは、あらかじめ記入しています。</t>
        </is>
      </c>
    </row>
    <row r="28">
      <c r="B28" s="3" t="inlineStr"/>
      <c r="C28" s="4" t="inlineStr">
        <is>
          <t>ただし次のものは実績として扱っていません。</t>
        </is>
      </c>
    </row>
    <row r="29">
      <c r="B29" s="3" t="inlineStr"/>
      <c r="C29" s="4" t="inlineStr">
        <is>
          <t>・02シート（総合事業・介護予防）の教室関係は、出典欄が「第9期計画」であり計画値が転記されているため</t>
        </is>
      </c>
    </row>
    <row r="30">
      <c r="B30" s="3" t="inlineStr"/>
      <c r="C30" s="4" t="inlineStr">
        <is>
          <t xml:space="preserve">　（確認事項No.42）。空欄のままとしています。</t>
        </is>
      </c>
    </row>
    <row r="31">
      <c r="B31" s="3" t="inlineStr"/>
      <c r="C31" s="4" t="inlineStr">
        <is>
          <t>・12〜14シート（サービス見込量）の実績欄はほぼ全面的に未記入のため（確認事項No.40）。</t>
        </is>
      </c>
    </row>
    <row r="32">
      <c r="B32" s="3" t="inlineStr"/>
      <c r="C32" s="4" t="inlineStr"/>
    </row>
    <row r="33">
      <c r="B33" s="5" t="inlineStr">
        <is>
          <t>5．留意点</t>
        </is>
      </c>
      <c r="C33" s="4" t="inlineStr"/>
    </row>
    <row r="34">
      <c r="B34" s="3" t="inlineStr"/>
      <c r="C34" s="4" t="inlineStr">
        <is>
          <t>・計画値の「延利用人数」と実績データの「利用者数・利用量」は定義が一致するか確認が必要です。</t>
        </is>
      </c>
    </row>
    <row r="35">
      <c r="B35" s="3" t="inlineStr"/>
      <c r="C35" s="4" t="inlineStr">
        <is>
          <t>・実績データのR7は見込、R8は当初・見込であり、確定値ではありません（仮試算扱い）。</t>
        </is>
      </c>
    </row>
    <row r="36">
      <c r="B36" s="3" t="inlineStr"/>
      <c r="C36" s="4" t="inlineStr">
        <is>
          <t>・確定値をいただき次第、本表を更新します。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34" customWidth="1" min="14" max="14"/>
    <col width="18" customWidth="1" min="15" max="15"/>
  </cols>
  <sheetData>
    <row r="1" ht="24" customHeight="1">
      <c r="A1" s="1" t="inlineStr">
        <is>
          <t>サービス別 計画値・実績値 対比表　居宅サービス</t>
        </is>
      </c>
    </row>
    <row r="2">
      <c r="A2" s="2" t="inlineStr">
        <is>
          <t>計画値：第9期計画書（令和6年3月）／実績：町提供実績データ（令和8年9月1日受領・仮試算）</t>
        </is>
      </c>
    </row>
    <row r="4" ht="32" customHeight="1">
      <c r="A4" s="8" t="inlineStr">
        <is>
          <t>区分</t>
        </is>
      </c>
      <c r="B4" s="8" t="inlineStr">
        <is>
          <t>サービス・事業名</t>
        </is>
      </c>
      <c r="C4" s="8" t="inlineStr">
        <is>
          <t>指標</t>
        </is>
      </c>
      <c r="D4" s="8" t="inlineStr">
        <is>
          <t>単位</t>
        </is>
      </c>
      <c r="E4" s="8" t="inlineStr">
        <is>
          <t>R6計画</t>
        </is>
      </c>
      <c r="F4" s="8" t="inlineStr">
        <is>
          <t>R6実績</t>
        </is>
      </c>
      <c r="G4" s="8" t="inlineStr">
        <is>
          <t>達成率</t>
        </is>
      </c>
      <c r="H4" s="8" t="inlineStr">
        <is>
          <t>R7計画</t>
        </is>
      </c>
      <c r="I4" s="8" t="inlineStr">
        <is>
          <t>R7実績</t>
        </is>
      </c>
      <c r="J4" s="8" t="inlineStr">
        <is>
          <t>達成率</t>
        </is>
      </c>
      <c r="K4" s="8" t="inlineStr">
        <is>
          <t>R8計画</t>
        </is>
      </c>
      <c r="L4" s="8" t="inlineStr">
        <is>
          <t>R8見込</t>
        </is>
      </c>
      <c r="M4" s="8" t="inlineStr">
        <is>
          <t>達成率</t>
        </is>
      </c>
      <c r="N4" s="8" t="inlineStr">
        <is>
          <t>乖離の要因・対応</t>
        </is>
      </c>
      <c r="O4" s="8" t="inlineStr">
        <is>
          <t>出典・記入担当</t>
        </is>
      </c>
    </row>
    <row r="5">
      <c r="A5" s="9" t="inlineStr">
        <is>
          <t>居宅</t>
        </is>
      </c>
      <c r="B5" s="10" t="inlineStr">
        <is>
          <t>訪問介護（ホームヘルプサービス）</t>
        </is>
      </c>
      <c r="C5" s="9" t="inlineStr">
        <is>
          <t>延利用人数</t>
        </is>
      </c>
      <c r="D5" s="9" t="inlineStr">
        <is>
          <t>人／年</t>
        </is>
      </c>
      <c r="E5" s="11" t="n">
        <v>312</v>
      </c>
      <c r="F5" s="12" t="n">
        <v>434</v>
      </c>
      <c r="G5" s="13">
        <f>IF(OR(E5="",E5=0,F5=""),"",F5/E5)</f>
        <v/>
      </c>
      <c r="H5" s="11" t="n">
        <v>312</v>
      </c>
      <c r="I5" s="12" t="n">
        <v>407</v>
      </c>
      <c r="J5" s="13">
        <f>IF(OR(H5="",H5=0,I5=""),"",I5/H5)</f>
        <v/>
      </c>
      <c r="K5" s="11" t="n">
        <v>312</v>
      </c>
      <c r="L5" s="12" t="n">
        <v>411</v>
      </c>
      <c r="M5" s="13">
        <f>IF(OR(K5="",K5=0,L5=""),"",L5/K5)</f>
        <v/>
      </c>
      <c r="N5" s="14" t="n"/>
      <c r="O5" s="15" t="inlineStr">
        <is>
          <t>計画書／実績データ 04シート</t>
        </is>
      </c>
    </row>
    <row r="6">
      <c r="A6" s="9" t="inlineStr">
        <is>
          <t>居宅</t>
        </is>
      </c>
      <c r="B6" s="10" t="inlineStr">
        <is>
          <t>訪問介護（ホームヘルプサービス）</t>
        </is>
      </c>
      <c r="C6" s="9" t="inlineStr">
        <is>
          <t>給付費</t>
        </is>
      </c>
      <c r="D6" s="9" t="inlineStr">
        <is>
          <t>千円／年</t>
        </is>
      </c>
      <c r="E6" s="11" t="n">
        <v>35448</v>
      </c>
      <c r="F6" s="12" t="n">
        <v>40912</v>
      </c>
      <c r="G6" s="13">
        <f>IF(OR(E6="",E6=0,F6=""),"",F6/E6)</f>
        <v/>
      </c>
      <c r="H6" s="11" t="n">
        <v>35646</v>
      </c>
      <c r="I6" s="12" t="n">
        <v>27779</v>
      </c>
      <c r="J6" s="13">
        <f>IF(OR(H6="",H6=0,I6=""),"",I6/H6)</f>
        <v/>
      </c>
      <c r="K6" s="11" t="n">
        <v>35763</v>
      </c>
      <c r="L6" s="12" t="n">
        <v>28334</v>
      </c>
      <c r="M6" s="13">
        <f>IF(OR(K6="",K6=0,L6=""),"",L6/K6)</f>
        <v/>
      </c>
      <c r="N6" s="14" t="inlineStr">
        <is>
          <t>令和6年度40,912千円から令和7年度27,779千円へ急減。訪問介護の実働ヘルパー数（登録21名・実働4名）との関係を含め確認が必要</t>
        </is>
      </c>
      <c r="O6" s="15" t="inlineStr">
        <is>
          <t>計画書／実績データ 04シート</t>
        </is>
      </c>
    </row>
    <row r="7">
      <c r="A7" s="9" t="inlineStr">
        <is>
          <t>居宅</t>
        </is>
      </c>
      <c r="B7" s="10" t="inlineStr">
        <is>
          <t>訪問入浴介護</t>
        </is>
      </c>
      <c r="C7" s="9" t="inlineStr">
        <is>
          <t>延利用人数</t>
        </is>
      </c>
      <c r="D7" s="9" t="inlineStr">
        <is>
          <t>人／年</t>
        </is>
      </c>
      <c r="E7" s="11" t="n">
        <v>108</v>
      </c>
      <c r="F7" s="12" t="n"/>
      <c r="G7" s="13">
        <f>IF(OR(E7="",E7=0,F7=""),"",F7/E7)</f>
        <v/>
      </c>
      <c r="H7" s="11" t="n">
        <v>108</v>
      </c>
      <c r="I7" s="12" t="n"/>
      <c r="J7" s="13">
        <f>IF(OR(H7="",H7=0,I7=""),"",I7/H7)</f>
        <v/>
      </c>
      <c r="K7" s="11" t="n">
        <v>108</v>
      </c>
      <c r="L7" s="12" t="n"/>
      <c r="M7" s="13">
        <f>IF(OR(K7="",K7=0,L7=""),"",L7/K7)</f>
        <v/>
      </c>
      <c r="N7" s="14" t="n"/>
      <c r="O7" s="15" t="inlineStr">
        <is>
          <t>第9期計画書</t>
        </is>
      </c>
    </row>
    <row r="8">
      <c r="A8" s="9" t="inlineStr">
        <is>
          <t>居宅</t>
        </is>
      </c>
      <c r="B8" s="10" t="inlineStr">
        <is>
          <t>訪問入浴介護</t>
        </is>
      </c>
      <c r="C8" s="9" t="inlineStr">
        <is>
          <t>給付費</t>
        </is>
      </c>
      <c r="D8" s="9" t="inlineStr">
        <is>
          <t>千円／年</t>
        </is>
      </c>
      <c r="E8" s="11" t="n">
        <v>6906</v>
      </c>
      <c r="F8" s="12" t="n"/>
      <c r="G8" s="13">
        <f>IF(OR(E8="",E8=0,F8=""),"",F8/E8)</f>
        <v/>
      </c>
      <c r="H8" s="11" t="n">
        <v>6951</v>
      </c>
      <c r="I8" s="12" t="n"/>
      <c r="J8" s="13">
        <f>IF(OR(H8="",H8=0,I8=""),"",I8/H8)</f>
        <v/>
      </c>
      <c r="K8" s="11" t="n">
        <v>6986</v>
      </c>
      <c r="L8" s="12" t="n"/>
      <c r="M8" s="13">
        <f>IF(OR(K8="",K8=0,L8=""),"",L8/K8)</f>
        <v/>
      </c>
      <c r="N8" s="14" t="n"/>
      <c r="O8" s="15" t="inlineStr">
        <is>
          <t>第9期計画書</t>
        </is>
      </c>
    </row>
    <row r="9">
      <c r="A9" s="9" t="inlineStr">
        <is>
          <t>居宅</t>
        </is>
      </c>
      <c r="B9" s="10" t="inlineStr">
        <is>
          <t>介護予防訪問入浴介護</t>
        </is>
      </c>
      <c r="C9" s="9" t="inlineStr">
        <is>
          <t>延利用人数</t>
        </is>
      </c>
      <c r="D9" s="9" t="inlineStr">
        <is>
          <t>人／年</t>
        </is>
      </c>
      <c r="E9" s="11" t="n">
        <v>0</v>
      </c>
      <c r="F9" s="12" t="n"/>
      <c r="G9" s="13">
        <f>IF(OR(E9="",E9=0,F9=""),"",F9/E9)</f>
        <v/>
      </c>
      <c r="H9" s="11" t="n">
        <v>0</v>
      </c>
      <c r="I9" s="12" t="n"/>
      <c r="J9" s="13">
        <f>IF(OR(H9="",H9=0,I9=""),"",I9/H9)</f>
        <v/>
      </c>
      <c r="K9" s="11" t="n">
        <v>0</v>
      </c>
      <c r="L9" s="12" t="n"/>
      <c r="M9" s="13">
        <f>IF(OR(K9="",K9=0,L9=""),"",L9/K9)</f>
        <v/>
      </c>
      <c r="N9" s="14" t="n"/>
      <c r="O9" s="15" t="inlineStr">
        <is>
          <t>第9期計画書</t>
        </is>
      </c>
    </row>
    <row r="10">
      <c r="A10" s="9" t="inlineStr">
        <is>
          <t>居宅</t>
        </is>
      </c>
      <c r="B10" s="10" t="inlineStr">
        <is>
          <t>介護予防訪問入浴介護</t>
        </is>
      </c>
      <c r="C10" s="9" t="inlineStr">
        <is>
          <t>給付費</t>
        </is>
      </c>
      <c r="D10" s="9" t="inlineStr">
        <is>
          <t>千円／年</t>
        </is>
      </c>
      <c r="E10" s="11" t="n">
        <v>0</v>
      </c>
      <c r="F10" s="12" t="n"/>
      <c r="G10" s="13">
        <f>IF(OR(E10="",E10=0,F10=""),"",F10/E10)</f>
        <v/>
      </c>
      <c r="H10" s="11" t="n">
        <v>0</v>
      </c>
      <c r="I10" s="12" t="n"/>
      <c r="J10" s="13">
        <f>IF(OR(H10="",H10=0,I10=""),"",I10/H10)</f>
        <v/>
      </c>
      <c r="K10" s="11" t="n">
        <v>0</v>
      </c>
      <c r="L10" s="12" t="n"/>
      <c r="M10" s="13">
        <f>IF(OR(K10="",K10=0,L10=""),"",L10/K10)</f>
        <v/>
      </c>
      <c r="N10" s="14" t="n"/>
      <c r="O10" s="15" t="inlineStr">
        <is>
          <t>第9期計画書</t>
        </is>
      </c>
    </row>
    <row r="11">
      <c r="A11" s="9" t="inlineStr">
        <is>
          <t>居宅</t>
        </is>
      </c>
      <c r="B11" s="10" t="inlineStr">
        <is>
          <t>訪問看護</t>
        </is>
      </c>
      <c r="C11" s="9" t="inlineStr">
        <is>
          <t>延利用人数</t>
        </is>
      </c>
      <c r="D11" s="9" t="inlineStr">
        <is>
          <t>人／年</t>
        </is>
      </c>
      <c r="E11" s="11" t="n">
        <v>60</v>
      </c>
      <c r="F11" s="12" t="n">
        <v>65</v>
      </c>
      <c r="G11" s="13">
        <f>IF(OR(E11="",E11=0,F11=""),"",F11/E11)</f>
        <v/>
      </c>
      <c r="H11" s="11" t="n">
        <v>60</v>
      </c>
      <c r="I11" s="12" t="n">
        <v>99</v>
      </c>
      <c r="J11" s="13">
        <f>IF(OR(H11="",H11=0,I11=""),"",I11/H11)</f>
        <v/>
      </c>
      <c r="K11" s="11" t="n">
        <v>60</v>
      </c>
      <c r="L11" s="12" t="n">
        <v>100</v>
      </c>
      <c r="M11" s="13">
        <f>IF(OR(K11="",K11=0,L11=""),"",L11/K11)</f>
        <v/>
      </c>
      <c r="N11" s="14" t="n"/>
      <c r="O11" s="15" t="inlineStr">
        <is>
          <t>計画書／実績データ 04シート</t>
        </is>
      </c>
    </row>
    <row r="12">
      <c r="A12" s="9" t="inlineStr">
        <is>
          <t>居宅</t>
        </is>
      </c>
      <c r="B12" s="10" t="inlineStr">
        <is>
          <t>訪問看護</t>
        </is>
      </c>
      <c r="C12" s="9" t="inlineStr">
        <is>
          <t>給付費</t>
        </is>
      </c>
      <c r="D12" s="9" t="inlineStr">
        <is>
          <t>千円／年</t>
        </is>
      </c>
      <c r="E12" s="11" t="n">
        <v>1149</v>
      </c>
      <c r="F12" s="12" t="n">
        <v>1585</v>
      </c>
      <c r="G12" s="13">
        <f>IF(OR(E12="",E12=0,F12=""),"",F12/E12)</f>
        <v/>
      </c>
      <c r="H12" s="11" t="n">
        <v>1151</v>
      </c>
      <c r="I12" s="12" t="n">
        <v>3151</v>
      </c>
      <c r="J12" s="13">
        <f>IF(OR(H12="",H12=0,I12=""),"",I12/H12)</f>
        <v/>
      </c>
      <c r="K12" s="11" t="n">
        <v>1151</v>
      </c>
      <c r="L12" s="12" t="n">
        <v>3214</v>
      </c>
      <c r="M12" s="13">
        <f>IF(OR(K12="",K12=0,L12=""),"",L12/K12)</f>
        <v/>
      </c>
      <c r="N12" s="14" t="n"/>
      <c r="O12" s="15" t="inlineStr">
        <is>
          <t>計画書／実績データ 04シート</t>
        </is>
      </c>
    </row>
    <row r="13">
      <c r="A13" s="9" t="inlineStr">
        <is>
          <t>居宅</t>
        </is>
      </c>
      <c r="B13" s="10" t="inlineStr">
        <is>
          <t>介護予防訪問看護</t>
        </is>
      </c>
      <c r="C13" s="9" t="inlineStr">
        <is>
          <t>延利用人数</t>
        </is>
      </c>
      <c r="D13" s="9" t="inlineStr">
        <is>
          <t>人／年</t>
        </is>
      </c>
      <c r="E13" s="11" t="n">
        <v>0</v>
      </c>
      <c r="F13" s="12" t="n"/>
      <c r="G13" s="13">
        <f>IF(OR(E13="",E13=0,F13=""),"",F13/E13)</f>
        <v/>
      </c>
      <c r="H13" s="11" t="n">
        <v>0</v>
      </c>
      <c r="I13" s="12" t="n"/>
      <c r="J13" s="13">
        <f>IF(OR(H13="",H13=0,I13=""),"",I13/H13)</f>
        <v/>
      </c>
      <c r="K13" s="11" t="n">
        <v>0</v>
      </c>
      <c r="L13" s="12" t="n"/>
      <c r="M13" s="13">
        <f>IF(OR(K13="",K13=0,L13=""),"",L13/K13)</f>
        <v/>
      </c>
      <c r="N13" s="14" t="n"/>
      <c r="O13" s="15" t="inlineStr">
        <is>
          <t>第9期計画書</t>
        </is>
      </c>
    </row>
    <row r="14">
      <c r="A14" s="9" t="inlineStr">
        <is>
          <t>居宅</t>
        </is>
      </c>
      <c r="B14" s="10" t="inlineStr">
        <is>
          <t>介護予防訪問看護</t>
        </is>
      </c>
      <c r="C14" s="9" t="inlineStr">
        <is>
          <t>給付費</t>
        </is>
      </c>
      <c r="D14" s="9" t="inlineStr">
        <is>
          <t>千円／年</t>
        </is>
      </c>
      <c r="E14" s="11" t="n">
        <v>0</v>
      </c>
      <c r="F14" s="12" t="n"/>
      <c r="G14" s="13">
        <f>IF(OR(E14="",E14=0,F14=""),"",F14/E14)</f>
        <v/>
      </c>
      <c r="H14" s="11" t="n">
        <v>0</v>
      </c>
      <c r="I14" s="12" t="n"/>
      <c r="J14" s="13">
        <f>IF(OR(H14="",H14=0,I14=""),"",I14/H14)</f>
        <v/>
      </c>
      <c r="K14" s="11" t="n">
        <v>0</v>
      </c>
      <c r="L14" s="12" t="n"/>
      <c r="M14" s="13">
        <f>IF(OR(K14="",K14=0,L14=""),"",L14/K14)</f>
        <v/>
      </c>
      <c r="N14" s="14" t="n"/>
      <c r="O14" s="15" t="inlineStr">
        <is>
          <t>第9期計画書</t>
        </is>
      </c>
    </row>
    <row r="15">
      <c r="A15" s="9" t="inlineStr">
        <is>
          <t>居宅</t>
        </is>
      </c>
      <c r="B15" s="10" t="inlineStr">
        <is>
          <t>訪問リハビリテーション</t>
        </is>
      </c>
      <c r="C15" s="9" t="inlineStr">
        <is>
          <t>延利用人数</t>
        </is>
      </c>
      <c r="D15" s="9" t="inlineStr">
        <is>
          <t>人／年</t>
        </is>
      </c>
      <c r="E15" s="11" t="n">
        <v>192</v>
      </c>
      <c r="F15" s="12" t="n"/>
      <c r="G15" s="13">
        <f>IF(OR(E15="",E15=0,F15=""),"",F15/E15)</f>
        <v/>
      </c>
      <c r="H15" s="11" t="n">
        <v>192</v>
      </c>
      <c r="I15" s="12" t="n"/>
      <c r="J15" s="13">
        <f>IF(OR(H15="",H15=0,I15=""),"",I15/H15)</f>
        <v/>
      </c>
      <c r="K15" s="11" t="n">
        <v>192</v>
      </c>
      <c r="L15" s="12" t="n"/>
      <c r="M15" s="13">
        <f>IF(OR(K15="",K15=0,L15=""),"",L15/K15)</f>
        <v/>
      </c>
      <c r="N15" s="14" t="n"/>
      <c r="O15" s="15" t="inlineStr">
        <is>
          <t>第9期計画書</t>
        </is>
      </c>
    </row>
    <row r="16">
      <c r="A16" s="9" t="inlineStr">
        <is>
          <t>居宅</t>
        </is>
      </c>
      <c r="B16" s="10" t="inlineStr">
        <is>
          <t>訪問リハビリテーション</t>
        </is>
      </c>
      <c r="C16" s="9" t="inlineStr">
        <is>
          <t>給付費</t>
        </is>
      </c>
      <c r="D16" s="9" t="inlineStr">
        <is>
          <t>千円／年</t>
        </is>
      </c>
      <c r="E16" s="11" t="n">
        <v>7227</v>
      </c>
      <c r="F16" s="12" t="n"/>
      <c r="G16" s="13">
        <f>IF(OR(E16="",E16=0,F16=""),"",F16/E16)</f>
        <v/>
      </c>
      <c r="H16" s="11" t="n">
        <v>7340</v>
      </c>
      <c r="I16" s="12" t="n"/>
      <c r="J16" s="13">
        <f>IF(OR(H16="",H16=0,I16=""),"",I16/H16)</f>
        <v/>
      </c>
      <c r="K16" s="11" t="n">
        <v>7443</v>
      </c>
      <c r="L16" s="12" t="n"/>
      <c r="M16" s="13">
        <f>IF(OR(K16="",K16=0,L16=""),"",L16/K16)</f>
        <v/>
      </c>
      <c r="N16" s="14" t="n"/>
      <c r="O16" s="15" t="inlineStr">
        <is>
          <t>第9期計画書</t>
        </is>
      </c>
    </row>
    <row r="17">
      <c r="A17" s="9" t="inlineStr">
        <is>
          <t>居宅</t>
        </is>
      </c>
      <c r="B17" s="10" t="inlineStr">
        <is>
          <t>介護予防訪問リハビリテーション</t>
        </is>
      </c>
      <c r="C17" s="9" t="inlineStr">
        <is>
          <t>延利用人数</t>
        </is>
      </c>
      <c r="D17" s="9" t="inlineStr">
        <is>
          <t>人／年</t>
        </is>
      </c>
      <c r="E17" s="11" t="n">
        <v>108</v>
      </c>
      <c r="F17" s="12" t="n"/>
      <c r="G17" s="13">
        <f>IF(OR(E17="",E17=0,F17=""),"",F17/E17)</f>
        <v/>
      </c>
      <c r="H17" s="11" t="n">
        <v>108</v>
      </c>
      <c r="I17" s="12" t="n"/>
      <c r="J17" s="13">
        <f>IF(OR(H17="",H17=0,I17=""),"",I17/H17)</f>
        <v/>
      </c>
      <c r="K17" s="11" t="n">
        <v>108</v>
      </c>
      <c r="L17" s="12" t="n"/>
      <c r="M17" s="13">
        <f>IF(OR(K17="",K17=0,L17=""),"",L17/K17)</f>
        <v/>
      </c>
      <c r="N17" s="14" t="n"/>
      <c r="O17" s="15" t="inlineStr">
        <is>
          <t>第9期計画書</t>
        </is>
      </c>
    </row>
    <row r="18">
      <c r="A18" s="9" t="inlineStr">
        <is>
          <t>居宅</t>
        </is>
      </c>
      <c r="B18" s="10" t="inlineStr">
        <is>
          <t>介護予防訪問リハビリテーション</t>
        </is>
      </c>
      <c r="C18" s="9" t="inlineStr">
        <is>
          <t>給付費</t>
        </is>
      </c>
      <c r="D18" s="9" t="inlineStr">
        <is>
          <t>千円／年</t>
        </is>
      </c>
      <c r="E18" s="11" t="n">
        <v>3539</v>
      </c>
      <c r="F18" s="12" t="n"/>
      <c r="G18" s="13">
        <f>IF(OR(E18="",E18=0,F18=""),"",F18/E18)</f>
        <v/>
      </c>
      <c r="H18" s="11" t="n">
        <v>3611</v>
      </c>
      <c r="I18" s="12" t="n"/>
      <c r="J18" s="13">
        <f>IF(OR(H18="",H18=0,I18=""),"",I18/H18)</f>
        <v/>
      </c>
      <c r="K18" s="11" t="n">
        <v>3678</v>
      </c>
      <c r="L18" s="12" t="n"/>
      <c r="M18" s="13">
        <f>IF(OR(K18="",K18=0,L18=""),"",L18/K18)</f>
        <v/>
      </c>
      <c r="N18" s="14" t="n"/>
      <c r="O18" s="15" t="inlineStr">
        <is>
          <t>第9期計画書</t>
        </is>
      </c>
    </row>
    <row r="19">
      <c r="A19" s="9" t="inlineStr">
        <is>
          <t>居宅</t>
        </is>
      </c>
      <c r="B19" s="10" t="inlineStr">
        <is>
          <t>居宅療養管理指導</t>
        </is>
      </c>
      <c r="C19" s="9" t="inlineStr">
        <is>
          <t>延利用人数</t>
        </is>
      </c>
      <c r="D19" s="9" t="inlineStr">
        <is>
          <t>人／年</t>
        </is>
      </c>
      <c r="E19" s="11" t="n">
        <v>36</v>
      </c>
      <c r="F19" s="12" t="n"/>
      <c r="G19" s="13">
        <f>IF(OR(E19="",E19=0,F19=""),"",F19/E19)</f>
        <v/>
      </c>
      <c r="H19" s="11" t="n">
        <v>36</v>
      </c>
      <c r="I19" s="12" t="n"/>
      <c r="J19" s="13">
        <f>IF(OR(H19="",H19=0,I19=""),"",I19/H19)</f>
        <v/>
      </c>
      <c r="K19" s="11" t="n">
        <v>36</v>
      </c>
      <c r="L19" s="12" t="n"/>
      <c r="M19" s="13">
        <f>IF(OR(K19="",K19=0,L19=""),"",L19/K19)</f>
        <v/>
      </c>
      <c r="N19" s="14" t="n"/>
      <c r="O19" s="15" t="inlineStr">
        <is>
          <t>第9期計画書</t>
        </is>
      </c>
    </row>
    <row r="20">
      <c r="A20" s="9" t="inlineStr">
        <is>
          <t>居宅</t>
        </is>
      </c>
      <c r="B20" s="10" t="inlineStr">
        <is>
          <t>居宅療養管理指導</t>
        </is>
      </c>
      <c r="C20" s="9" t="inlineStr">
        <is>
          <t>給付費</t>
        </is>
      </c>
      <c r="D20" s="9" t="inlineStr">
        <is>
          <t>千円／年</t>
        </is>
      </c>
      <c r="E20" s="11" t="n">
        <v>650</v>
      </c>
      <c r="F20" s="12" t="n"/>
      <c r="G20" s="13">
        <f>IF(OR(E20="",E20=0,F20=""),"",F20/E20)</f>
        <v/>
      </c>
      <c r="H20" s="11" t="n">
        <v>651</v>
      </c>
      <c r="I20" s="12" t="n"/>
      <c r="J20" s="13">
        <f>IF(OR(H20="",H20=0,I20=""),"",I20/H20)</f>
        <v/>
      </c>
      <c r="K20" s="11" t="n">
        <v>651</v>
      </c>
      <c r="L20" s="12" t="n"/>
      <c r="M20" s="13">
        <f>IF(OR(K20="",K20=0,L20=""),"",L20/K20)</f>
        <v/>
      </c>
      <c r="N20" s="14" t="n"/>
      <c r="O20" s="15" t="inlineStr">
        <is>
          <t>第9期計画書</t>
        </is>
      </c>
    </row>
    <row r="21">
      <c r="A21" s="9" t="inlineStr">
        <is>
          <t>居宅</t>
        </is>
      </c>
      <c r="B21" s="10" t="inlineStr">
        <is>
          <t>介護予防居宅療養管理指導</t>
        </is>
      </c>
      <c r="C21" s="9" t="inlineStr">
        <is>
          <t>延利用人数</t>
        </is>
      </c>
      <c r="D21" s="9" t="inlineStr">
        <is>
          <t>人／年</t>
        </is>
      </c>
      <c r="E21" s="11" t="n">
        <v>0</v>
      </c>
      <c r="F21" s="12" t="n"/>
      <c r="G21" s="13">
        <f>IF(OR(E21="",E21=0,F21=""),"",F21/E21)</f>
        <v/>
      </c>
      <c r="H21" s="11" t="n">
        <v>0</v>
      </c>
      <c r="I21" s="12" t="n"/>
      <c r="J21" s="13">
        <f>IF(OR(H21="",H21=0,I21=""),"",I21/H21)</f>
        <v/>
      </c>
      <c r="K21" s="11" t="n">
        <v>0</v>
      </c>
      <c r="L21" s="12" t="n"/>
      <c r="M21" s="13">
        <f>IF(OR(K21="",K21=0,L21=""),"",L21/K21)</f>
        <v/>
      </c>
      <c r="N21" s="14" t="n"/>
      <c r="O21" s="15" t="inlineStr">
        <is>
          <t>第9期計画書</t>
        </is>
      </c>
    </row>
    <row r="22">
      <c r="A22" s="9" t="inlineStr">
        <is>
          <t>居宅</t>
        </is>
      </c>
      <c r="B22" s="10" t="inlineStr">
        <is>
          <t>介護予防居宅療養管理指導</t>
        </is>
      </c>
      <c r="C22" s="9" t="inlineStr">
        <is>
          <t>給付費</t>
        </is>
      </c>
      <c r="D22" s="9" t="inlineStr">
        <is>
          <t>千円／年</t>
        </is>
      </c>
      <c r="E22" s="11" t="n">
        <v>0</v>
      </c>
      <c r="F22" s="12" t="n"/>
      <c r="G22" s="13">
        <f>IF(OR(E22="",E22=0,F22=""),"",F22/E22)</f>
        <v/>
      </c>
      <c r="H22" s="11" t="n">
        <v>0</v>
      </c>
      <c r="I22" s="12" t="n"/>
      <c r="J22" s="13">
        <f>IF(OR(H22="",H22=0,I22=""),"",I22/H22)</f>
        <v/>
      </c>
      <c r="K22" s="11" t="n">
        <v>0</v>
      </c>
      <c r="L22" s="12" t="n"/>
      <c r="M22" s="13">
        <f>IF(OR(K22="",K22=0,L22=""),"",L22/K22)</f>
        <v/>
      </c>
      <c r="N22" s="14" t="n"/>
      <c r="O22" s="15" t="inlineStr">
        <is>
          <t>第9期計画書</t>
        </is>
      </c>
    </row>
    <row r="23">
      <c r="A23" s="9" t="inlineStr">
        <is>
          <t>居宅</t>
        </is>
      </c>
      <c r="B23" s="10" t="inlineStr">
        <is>
          <t>通所介護（デイサービス）</t>
        </is>
      </c>
      <c r="C23" s="9" t="inlineStr">
        <is>
          <t>延利用人数</t>
        </is>
      </c>
      <c r="D23" s="9" t="inlineStr">
        <is>
          <t>人／年</t>
        </is>
      </c>
      <c r="E23" s="11" t="n">
        <v>660</v>
      </c>
      <c r="F23" s="12" t="n">
        <v>711</v>
      </c>
      <c r="G23" s="13">
        <f>IF(OR(E23="",E23=0,F23=""),"",F23/E23)</f>
        <v/>
      </c>
      <c r="H23" s="11" t="n">
        <v>660</v>
      </c>
      <c r="I23" s="12" t="n">
        <v>648</v>
      </c>
      <c r="J23" s="13">
        <f>IF(OR(H23="",H23=0,I23=""),"",I23/H23)</f>
        <v/>
      </c>
      <c r="K23" s="11" t="n">
        <v>660</v>
      </c>
      <c r="L23" s="12" t="n">
        <v>654</v>
      </c>
      <c r="M23" s="13">
        <f>IF(OR(K23="",K23=0,L23=""),"",L23/K23)</f>
        <v/>
      </c>
      <c r="N23" s="14" t="n"/>
      <c r="O23" s="15" t="inlineStr">
        <is>
          <t>計画書／実績データ 04シート</t>
        </is>
      </c>
    </row>
    <row r="24">
      <c r="A24" s="9" t="inlineStr">
        <is>
          <t>居宅</t>
        </is>
      </c>
      <c r="B24" s="10" t="inlineStr">
        <is>
          <t>通所介護（デイサービス）</t>
        </is>
      </c>
      <c r="C24" s="9" t="inlineStr">
        <is>
          <t>給付費</t>
        </is>
      </c>
      <c r="D24" s="9" t="inlineStr">
        <is>
          <t>千円／年</t>
        </is>
      </c>
      <c r="E24" s="11" t="n">
        <v>59538</v>
      </c>
      <c r="F24" s="12" t="n">
        <v>64270</v>
      </c>
      <c r="G24" s="13">
        <f>IF(OR(E24="",E24=0,F24=""),"",F24/E24)</f>
        <v/>
      </c>
      <c r="H24" s="11" t="n">
        <v>59859</v>
      </c>
      <c r="I24" s="12" t="n">
        <v>62331</v>
      </c>
      <c r="J24" s="13">
        <f>IF(OR(H24="",H24=0,I24=""),"",I24/H24)</f>
        <v/>
      </c>
      <c r="K24" s="11" t="n">
        <v>60182</v>
      </c>
      <c r="L24" s="12" t="n">
        <v>63577</v>
      </c>
      <c r="M24" s="13">
        <f>IF(OR(K24="",K24=0,L24=""),"",L24/K24)</f>
        <v/>
      </c>
      <c r="N24" s="14" t="n"/>
      <c r="O24" s="15" t="inlineStr">
        <is>
          <t>計画書／実績データ 04シート</t>
        </is>
      </c>
    </row>
    <row r="25">
      <c r="A25" s="9" t="inlineStr">
        <is>
          <t>居宅</t>
        </is>
      </c>
      <c r="B25" s="10" t="inlineStr">
        <is>
          <t>通所リハビリテーション</t>
        </is>
      </c>
      <c r="C25" s="9" t="inlineStr">
        <is>
          <t>延利用人数</t>
        </is>
      </c>
      <c r="D25" s="9" t="inlineStr">
        <is>
          <t>人／年</t>
        </is>
      </c>
      <c r="E25" s="11" t="n">
        <v>1080</v>
      </c>
      <c r="F25" s="12" t="n"/>
      <c r="G25" s="13">
        <f>IF(OR(E25="",E25=0,F25=""),"",F25/E25)</f>
        <v/>
      </c>
      <c r="H25" s="11" t="n">
        <v>1080</v>
      </c>
      <c r="I25" s="12" t="n"/>
      <c r="J25" s="13">
        <f>IF(OR(H25="",H25=0,I25=""),"",I25/H25)</f>
        <v/>
      </c>
      <c r="K25" s="11" t="n">
        <v>1080</v>
      </c>
      <c r="L25" s="12" t="n"/>
      <c r="M25" s="13">
        <f>IF(OR(K25="",K25=0,L25=""),"",L25/K25)</f>
        <v/>
      </c>
      <c r="N25" s="14" t="n"/>
      <c r="O25" s="15" t="inlineStr">
        <is>
          <t>第9期計画書</t>
        </is>
      </c>
    </row>
    <row r="26">
      <c r="A26" s="9" t="inlineStr">
        <is>
          <t>居宅</t>
        </is>
      </c>
      <c r="B26" s="10" t="inlineStr">
        <is>
          <t>通所リハビリテーション</t>
        </is>
      </c>
      <c r="C26" s="9" t="inlineStr">
        <is>
          <t>給付費</t>
        </is>
      </c>
      <c r="D26" s="9" t="inlineStr">
        <is>
          <t>千円／年</t>
        </is>
      </c>
      <c r="E26" s="11" t="n">
        <v>102875</v>
      </c>
      <c r="F26" s="12" t="n"/>
      <c r="G26" s="13">
        <f>IF(OR(E26="",E26=0,F26=""),"",F26/E26)</f>
        <v/>
      </c>
      <c r="H26" s="11" t="n">
        <v>103005</v>
      </c>
      <c r="I26" s="12" t="n"/>
      <c r="J26" s="13">
        <f>IF(OR(H26="",H26=0,I26=""),"",I26/H26)</f>
        <v/>
      </c>
      <c r="K26" s="11" t="n">
        <v>103005</v>
      </c>
      <c r="L26" s="12" t="n"/>
      <c r="M26" s="13">
        <f>IF(OR(K26="",K26=0,L26=""),"",L26/K26)</f>
        <v/>
      </c>
      <c r="N26" s="14" t="n"/>
      <c r="O26" s="15" t="inlineStr">
        <is>
          <t>第9期計画書</t>
        </is>
      </c>
    </row>
    <row r="27">
      <c r="A27" s="9" t="inlineStr">
        <is>
          <t>居宅</t>
        </is>
      </c>
      <c r="B27" s="10" t="inlineStr">
        <is>
          <t>介護予防通所リハビリテーション</t>
        </is>
      </c>
      <c r="C27" s="9" t="inlineStr">
        <is>
          <t>延利用人数</t>
        </is>
      </c>
      <c r="D27" s="9" t="inlineStr">
        <is>
          <t>人／年</t>
        </is>
      </c>
      <c r="E27" s="11" t="n">
        <v>408</v>
      </c>
      <c r="F27" s="12" t="n"/>
      <c r="G27" s="13">
        <f>IF(OR(E27="",E27=0,F27=""),"",F27/E27)</f>
        <v/>
      </c>
      <c r="H27" s="11" t="n">
        <v>408</v>
      </c>
      <c r="I27" s="12" t="n"/>
      <c r="J27" s="13">
        <f>IF(OR(H27="",H27=0,I27=""),"",I27/H27)</f>
        <v/>
      </c>
      <c r="K27" s="11" t="n">
        <v>408</v>
      </c>
      <c r="L27" s="12" t="n"/>
      <c r="M27" s="13">
        <f>IF(OR(K27="",K27=0,L27=""),"",L27/K27)</f>
        <v/>
      </c>
      <c r="N27" s="14" t="n"/>
      <c r="O27" s="15" t="inlineStr">
        <is>
          <t>第9期計画書</t>
        </is>
      </c>
    </row>
    <row r="28">
      <c r="A28" s="9" t="inlineStr">
        <is>
          <t>居宅</t>
        </is>
      </c>
      <c r="B28" s="10" t="inlineStr">
        <is>
          <t>介護予防通所リハビリテーション</t>
        </is>
      </c>
      <c r="C28" s="9" t="inlineStr">
        <is>
          <t>給付費</t>
        </is>
      </c>
      <c r="D28" s="9" t="inlineStr">
        <is>
          <t>千円／年</t>
        </is>
      </c>
      <c r="E28" s="11" t="n">
        <v>17687</v>
      </c>
      <c r="F28" s="12" t="n"/>
      <c r="G28" s="13">
        <f>IF(OR(E28="",E28=0,F28=""),"",F28/E28)</f>
        <v/>
      </c>
      <c r="H28" s="11" t="n">
        <v>17709</v>
      </c>
      <c r="I28" s="12" t="n"/>
      <c r="J28" s="13">
        <f>IF(OR(H28="",H28=0,I28=""),"",I28/H28)</f>
        <v/>
      </c>
      <c r="K28" s="11" t="n">
        <v>17709</v>
      </c>
      <c r="L28" s="12" t="n"/>
      <c r="M28" s="13">
        <f>IF(OR(K28="",K28=0,L28=""),"",L28/K28)</f>
        <v/>
      </c>
      <c r="N28" s="14" t="n"/>
      <c r="O28" s="15" t="inlineStr">
        <is>
          <t>第9期計画書</t>
        </is>
      </c>
    </row>
    <row r="29">
      <c r="A29" s="9" t="inlineStr">
        <is>
          <t>居宅</t>
        </is>
      </c>
      <c r="B29" s="10" t="inlineStr">
        <is>
          <t>短期入所生活介護（ショートステイ）</t>
        </is>
      </c>
      <c r="C29" s="9" t="inlineStr">
        <is>
          <t>延利用人数</t>
        </is>
      </c>
      <c r="D29" s="9" t="inlineStr">
        <is>
          <t>人／年</t>
        </is>
      </c>
      <c r="E29" s="11" t="n">
        <v>168</v>
      </c>
      <c r="F29" s="12" t="n">
        <v>135</v>
      </c>
      <c r="G29" s="13">
        <f>IF(OR(E29="",E29=0,F29=""),"",F29/E29)</f>
        <v/>
      </c>
      <c r="H29" s="11" t="n">
        <v>168</v>
      </c>
      <c r="I29" s="12" t="n">
        <v>146</v>
      </c>
      <c r="J29" s="13">
        <f>IF(OR(H29="",H29=0,I29=""),"",I29/H29)</f>
        <v/>
      </c>
      <c r="K29" s="11" t="n">
        <v>168</v>
      </c>
      <c r="L29" s="12" t="n">
        <v>147</v>
      </c>
      <c r="M29" s="13">
        <f>IF(OR(K29="",K29=0,L29=""),"",L29/K29)</f>
        <v/>
      </c>
      <c r="N29" s="14" t="n"/>
      <c r="O29" s="15" t="inlineStr">
        <is>
          <t>計画書／実績データ 04シート</t>
        </is>
      </c>
    </row>
    <row r="30">
      <c r="A30" s="9" t="inlineStr">
        <is>
          <t>居宅</t>
        </is>
      </c>
      <c r="B30" s="10" t="inlineStr">
        <is>
          <t>短期入所生活介護（ショートステイ）</t>
        </is>
      </c>
      <c r="C30" s="9" t="inlineStr">
        <is>
          <t>給付費</t>
        </is>
      </c>
      <c r="D30" s="9" t="inlineStr">
        <is>
          <t>千円／年</t>
        </is>
      </c>
      <c r="E30" s="11" t="n">
        <v>23974</v>
      </c>
      <c r="F30" s="12" t="n">
        <v>12218</v>
      </c>
      <c r="G30" s="13">
        <f>IF(OR(E30="",E30=0,F30=""),"",F30/E30)</f>
        <v/>
      </c>
      <c r="H30" s="11" t="n">
        <v>24124</v>
      </c>
      <c r="I30" s="12" t="n">
        <v>15832</v>
      </c>
      <c r="J30" s="13">
        <f>IF(OR(H30="",H30=0,I30=""),"",I30/H30)</f>
        <v/>
      </c>
      <c r="K30" s="11" t="n">
        <v>24244</v>
      </c>
      <c r="L30" s="12" t="n">
        <v>16148</v>
      </c>
      <c r="M30" s="13">
        <f>IF(OR(K30="",K30=0,L30=""),"",L30/K30)</f>
        <v/>
      </c>
      <c r="N30" s="14" t="n"/>
      <c r="O30" s="15" t="inlineStr">
        <is>
          <t>計画書／実績データ 04シート</t>
        </is>
      </c>
    </row>
    <row r="31">
      <c r="A31" s="9" t="inlineStr">
        <is>
          <t>居宅</t>
        </is>
      </c>
      <c r="B31" s="10" t="inlineStr">
        <is>
          <t>介護予防短期入所生活介護（ショートステイ）</t>
        </is>
      </c>
      <c r="C31" s="9" t="inlineStr">
        <is>
          <t>延利用人数</t>
        </is>
      </c>
      <c r="D31" s="9" t="inlineStr">
        <is>
          <t>人／年</t>
        </is>
      </c>
      <c r="E31" s="11" t="n">
        <v>0</v>
      </c>
      <c r="F31" s="12" t="n"/>
      <c r="G31" s="13">
        <f>IF(OR(E31="",E31=0,F31=""),"",F31/E31)</f>
        <v/>
      </c>
      <c r="H31" s="11" t="n">
        <v>0</v>
      </c>
      <c r="I31" s="12" t="n"/>
      <c r="J31" s="13">
        <f>IF(OR(H31="",H31=0,I31=""),"",I31/H31)</f>
        <v/>
      </c>
      <c r="K31" s="11" t="n">
        <v>0</v>
      </c>
      <c r="L31" s="12" t="n"/>
      <c r="M31" s="13">
        <f>IF(OR(K31="",K31=0,L31=""),"",L31/K31)</f>
        <v/>
      </c>
      <c r="N31" s="14" t="n"/>
      <c r="O31" s="15" t="inlineStr">
        <is>
          <t>第9期計画書</t>
        </is>
      </c>
    </row>
    <row r="32">
      <c r="A32" s="9" t="inlineStr">
        <is>
          <t>居宅</t>
        </is>
      </c>
      <c r="B32" s="10" t="inlineStr">
        <is>
          <t>介護予防短期入所生活介護（ショートステイ）</t>
        </is>
      </c>
      <c r="C32" s="9" t="inlineStr">
        <is>
          <t>給付費</t>
        </is>
      </c>
      <c r="D32" s="9" t="inlineStr">
        <is>
          <t>千円／年</t>
        </is>
      </c>
      <c r="E32" s="11" t="n">
        <v>0</v>
      </c>
      <c r="F32" s="12" t="n"/>
      <c r="G32" s="13">
        <f>IF(OR(E32="",E32=0,F32=""),"",F32/E32)</f>
        <v/>
      </c>
      <c r="H32" s="11" t="n">
        <v>0</v>
      </c>
      <c r="I32" s="12" t="n"/>
      <c r="J32" s="13">
        <f>IF(OR(H32="",H32=0,I32=""),"",I32/H32)</f>
        <v/>
      </c>
      <c r="K32" s="11" t="n">
        <v>0</v>
      </c>
      <c r="L32" s="12" t="n"/>
      <c r="M32" s="13">
        <f>IF(OR(K32="",K32=0,L32=""),"",L32/K32)</f>
        <v/>
      </c>
      <c r="N32" s="14" t="n"/>
      <c r="O32" s="15" t="inlineStr">
        <is>
          <t>第9期計画書</t>
        </is>
      </c>
    </row>
    <row r="33">
      <c r="A33" s="9" t="inlineStr">
        <is>
          <t>居宅</t>
        </is>
      </c>
      <c r="B33" s="10" t="inlineStr">
        <is>
          <t>短期入所療養介護（ショートステイ）</t>
        </is>
      </c>
      <c r="C33" s="9" t="inlineStr">
        <is>
          <t>延利用人数</t>
        </is>
      </c>
      <c r="D33" s="9" t="inlineStr">
        <is>
          <t>人／年</t>
        </is>
      </c>
      <c r="E33" s="11" t="n">
        <v>168</v>
      </c>
      <c r="F33" s="12" t="n"/>
      <c r="G33" s="13">
        <f>IF(OR(E33="",E33=0,F33=""),"",F33/E33)</f>
        <v/>
      </c>
      <c r="H33" s="11" t="n">
        <v>168</v>
      </c>
      <c r="I33" s="12" t="n"/>
      <c r="J33" s="13">
        <f>IF(OR(H33="",H33=0,I33=""),"",I33/H33)</f>
        <v/>
      </c>
      <c r="K33" s="11" t="n">
        <v>168</v>
      </c>
      <c r="L33" s="12" t="n"/>
      <c r="M33" s="13">
        <f>IF(OR(K33="",K33=0,L33=""),"",L33/K33)</f>
        <v/>
      </c>
      <c r="N33" s="14" t="n"/>
      <c r="O33" s="15" t="inlineStr">
        <is>
          <t>第9期計画書</t>
        </is>
      </c>
    </row>
    <row r="34">
      <c r="A34" s="9" t="inlineStr">
        <is>
          <t>居宅</t>
        </is>
      </c>
      <c r="B34" s="10" t="inlineStr">
        <is>
          <t>短期入所療養介護（ショートステイ）</t>
        </is>
      </c>
      <c r="C34" s="9" t="inlineStr">
        <is>
          <t>給付費</t>
        </is>
      </c>
      <c r="D34" s="9" t="inlineStr">
        <is>
          <t>千円／年</t>
        </is>
      </c>
      <c r="E34" s="11" t="n">
        <v>16697</v>
      </c>
      <c r="F34" s="12" t="n"/>
      <c r="G34" s="13">
        <f>IF(OR(E34="",E34=0,F34=""),"",F34/E34)</f>
        <v/>
      </c>
      <c r="H34" s="11" t="n">
        <v>16905</v>
      </c>
      <c r="I34" s="12" t="n"/>
      <c r="J34" s="13">
        <f>IF(OR(H34="",H34=0,I34=""),"",I34/H34)</f>
        <v/>
      </c>
      <c r="K34" s="11" t="n">
        <v>17238</v>
      </c>
      <c r="L34" s="12" t="n"/>
      <c r="M34" s="13">
        <f>IF(OR(K34="",K34=0,L34=""),"",L34/K34)</f>
        <v/>
      </c>
      <c r="N34" s="14" t="n"/>
      <c r="O34" s="15" t="inlineStr">
        <is>
          <t>第9期計画書</t>
        </is>
      </c>
    </row>
    <row r="35">
      <c r="A35" s="9" t="inlineStr">
        <is>
          <t>居宅</t>
        </is>
      </c>
      <c r="B35" s="10" t="inlineStr">
        <is>
          <t>介護予防短期療養生活介護（ショートステイ）</t>
        </is>
      </c>
      <c r="C35" s="9" t="inlineStr">
        <is>
          <t>延利用人数</t>
        </is>
      </c>
      <c r="D35" s="9" t="inlineStr">
        <is>
          <t>人／年</t>
        </is>
      </c>
      <c r="E35" s="11" t="n">
        <v>0</v>
      </c>
      <c r="F35" s="12" t="n"/>
      <c r="G35" s="13">
        <f>IF(OR(E35="",E35=0,F35=""),"",F35/E35)</f>
        <v/>
      </c>
      <c r="H35" s="11" t="n">
        <v>0</v>
      </c>
      <c r="I35" s="12" t="n"/>
      <c r="J35" s="13">
        <f>IF(OR(H35="",H35=0,I35=""),"",I35/H35)</f>
        <v/>
      </c>
      <c r="K35" s="11" t="n">
        <v>0</v>
      </c>
      <c r="L35" s="12" t="n"/>
      <c r="M35" s="13">
        <f>IF(OR(K35="",K35=0,L35=""),"",L35/K35)</f>
        <v/>
      </c>
      <c r="N35" s="14" t="n"/>
      <c r="O35" s="15" t="inlineStr">
        <is>
          <t>第9期計画書</t>
        </is>
      </c>
    </row>
    <row r="36">
      <c r="A36" s="9" t="inlineStr">
        <is>
          <t>居宅</t>
        </is>
      </c>
      <c r="B36" s="10" t="inlineStr">
        <is>
          <t>介護予防短期療養生活介護（ショートステイ）</t>
        </is>
      </c>
      <c r="C36" s="9" t="inlineStr">
        <is>
          <t>給付費</t>
        </is>
      </c>
      <c r="D36" s="9" t="inlineStr">
        <is>
          <t>千円／年</t>
        </is>
      </c>
      <c r="E36" s="11" t="n">
        <v>0</v>
      </c>
      <c r="F36" s="12" t="n"/>
      <c r="G36" s="13">
        <f>IF(OR(E36="",E36=0,F36=""),"",F36/E36)</f>
        <v/>
      </c>
      <c r="H36" s="11" t="n">
        <v>0</v>
      </c>
      <c r="I36" s="12" t="n"/>
      <c r="J36" s="13">
        <f>IF(OR(H36="",H36=0,I36=""),"",I36/H36)</f>
        <v/>
      </c>
      <c r="K36" s="11" t="n">
        <v>0</v>
      </c>
      <c r="L36" s="12" t="n"/>
      <c r="M36" s="13">
        <f>IF(OR(K36="",K36=0,L36=""),"",L36/K36)</f>
        <v/>
      </c>
      <c r="N36" s="14" t="n"/>
      <c r="O36" s="15" t="inlineStr">
        <is>
          <t>第9期計画書</t>
        </is>
      </c>
    </row>
    <row r="37">
      <c r="A37" s="9" t="inlineStr">
        <is>
          <t>居宅</t>
        </is>
      </c>
      <c r="B37" s="10" t="inlineStr">
        <is>
          <t>特定施設入居者生活介護</t>
        </is>
      </c>
      <c r="C37" s="9" t="inlineStr">
        <is>
          <t>延利用人数</t>
        </is>
      </c>
      <c r="D37" s="9" t="inlineStr">
        <is>
          <t>人／年</t>
        </is>
      </c>
      <c r="E37" s="11" t="n">
        <v>12</v>
      </c>
      <c r="F37" s="12" t="n"/>
      <c r="G37" s="13">
        <f>IF(OR(E37="",E37=0,F37=""),"",F37/E37)</f>
        <v/>
      </c>
      <c r="H37" s="11" t="n">
        <v>12</v>
      </c>
      <c r="I37" s="12" t="n"/>
      <c r="J37" s="13">
        <f>IF(OR(H37="",H37=0,I37=""),"",I37/H37)</f>
        <v/>
      </c>
      <c r="K37" s="11" t="n">
        <v>12</v>
      </c>
      <c r="L37" s="12" t="n"/>
      <c r="M37" s="13">
        <f>IF(OR(K37="",K37=0,L37=""),"",L37/K37)</f>
        <v/>
      </c>
      <c r="N37" s="14" t="n"/>
      <c r="O37" s="15" t="inlineStr">
        <is>
          <t>第9期計画書</t>
        </is>
      </c>
    </row>
    <row r="38">
      <c r="A38" s="9" t="inlineStr">
        <is>
          <t>居宅</t>
        </is>
      </c>
      <c r="B38" s="10" t="inlineStr">
        <is>
          <t>特定施設入居者生活介護</t>
        </is>
      </c>
      <c r="C38" s="9" t="inlineStr">
        <is>
          <t>給付費</t>
        </is>
      </c>
      <c r="D38" s="9" t="inlineStr">
        <is>
          <t>千円／年</t>
        </is>
      </c>
      <c r="E38" s="11" t="n">
        <v>2129</v>
      </c>
      <c r="F38" s="12" t="n"/>
      <c r="G38" s="13">
        <f>IF(OR(E38="",E38=0,F38=""),"",F38/E38)</f>
        <v/>
      </c>
      <c r="H38" s="11" t="n">
        <v>2132</v>
      </c>
      <c r="I38" s="12" t="n"/>
      <c r="J38" s="13">
        <f>IF(OR(H38="",H38=0,I38=""),"",I38/H38)</f>
        <v/>
      </c>
      <c r="K38" s="11" t="n">
        <v>2132</v>
      </c>
      <c r="L38" s="12" t="n"/>
      <c r="M38" s="13">
        <f>IF(OR(K38="",K38=0,L38=""),"",L38/K38)</f>
        <v/>
      </c>
      <c r="N38" s="14" t="n"/>
      <c r="O38" s="15" t="inlineStr">
        <is>
          <t>第9期計画書</t>
        </is>
      </c>
    </row>
    <row r="39">
      <c r="A39" s="9" t="inlineStr">
        <is>
          <t>居宅</t>
        </is>
      </c>
      <c r="B39" s="10" t="inlineStr">
        <is>
          <t>介護予防特定施設入居者生活介護</t>
        </is>
      </c>
      <c r="C39" s="9" t="inlineStr">
        <is>
          <t>延利用人数</t>
        </is>
      </c>
      <c r="D39" s="9" t="inlineStr">
        <is>
          <t>人／年</t>
        </is>
      </c>
      <c r="E39" s="11" t="n">
        <v>0</v>
      </c>
      <c r="F39" s="12" t="n"/>
      <c r="G39" s="13">
        <f>IF(OR(E39="",E39=0,F39=""),"",F39/E39)</f>
        <v/>
      </c>
      <c r="H39" s="11" t="n">
        <v>0</v>
      </c>
      <c r="I39" s="12" t="n"/>
      <c r="J39" s="13">
        <f>IF(OR(H39="",H39=0,I39=""),"",I39/H39)</f>
        <v/>
      </c>
      <c r="K39" s="11" t="n">
        <v>0</v>
      </c>
      <c r="L39" s="12" t="n"/>
      <c r="M39" s="13">
        <f>IF(OR(K39="",K39=0,L39=""),"",L39/K39)</f>
        <v/>
      </c>
      <c r="N39" s="14" t="n"/>
      <c r="O39" s="15" t="inlineStr">
        <is>
          <t>第9期計画書</t>
        </is>
      </c>
    </row>
    <row r="40">
      <c r="A40" s="9" t="inlineStr">
        <is>
          <t>居宅</t>
        </is>
      </c>
      <c r="B40" s="10" t="inlineStr">
        <is>
          <t>介護予防特定施設入居者生活介護</t>
        </is>
      </c>
      <c r="C40" s="9" t="inlineStr">
        <is>
          <t>給付費</t>
        </is>
      </c>
      <c r="D40" s="9" t="inlineStr">
        <is>
          <t>千円／年</t>
        </is>
      </c>
      <c r="E40" s="11" t="n">
        <v>0</v>
      </c>
      <c r="F40" s="12" t="n"/>
      <c r="G40" s="13">
        <f>IF(OR(E40="",E40=0,F40=""),"",F40/E40)</f>
        <v/>
      </c>
      <c r="H40" s="11" t="n">
        <v>0</v>
      </c>
      <c r="I40" s="12" t="n"/>
      <c r="J40" s="13">
        <f>IF(OR(H40="",H40=0,I40=""),"",I40/H40)</f>
        <v/>
      </c>
      <c r="K40" s="11" t="n">
        <v>0</v>
      </c>
      <c r="L40" s="12" t="n"/>
      <c r="M40" s="13">
        <f>IF(OR(K40="",K40=0,L40=""),"",L40/K40)</f>
        <v/>
      </c>
      <c r="N40" s="14" t="n"/>
      <c r="O40" s="15" t="inlineStr">
        <is>
          <t>第9期計画書</t>
        </is>
      </c>
    </row>
    <row r="41">
      <c r="A41" s="9" t="inlineStr">
        <is>
          <t>居宅</t>
        </is>
      </c>
      <c r="B41" s="10" t="inlineStr">
        <is>
          <t>福祉用具貸与</t>
        </is>
      </c>
      <c r="C41" s="9" t="inlineStr">
        <is>
          <t>延利用人数</t>
        </is>
      </c>
      <c r="D41" s="9" t="inlineStr">
        <is>
          <t>人／年</t>
        </is>
      </c>
      <c r="E41" s="11" t="n">
        <v>1488</v>
      </c>
      <c r="F41" s="12" t="n"/>
      <c r="G41" s="13">
        <f>IF(OR(E41="",E41=0,F41=""),"",F41/E41)</f>
        <v/>
      </c>
      <c r="H41" s="11" t="n">
        <v>1488</v>
      </c>
      <c r="I41" s="12" t="n"/>
      <c r="J41" s="13">
        <f>IF(OR(H41="",H41=0,I41=""),"",I41/H41)</f>
        <v/>
      </c>
      <c r="K41" s="11" t="n">
        <v>1476</v>
      </c>
      <c r="L41" s="12" t="n"/>
      <c r="M41" s="13">
        <f>IF(OR(K41="",K41=0,L41=""),"",L41/K41)</f>
        <v/>
      </c>
      <c r="N41" s="14" t="n"/>
      <c r="O41" s="15" t="inlineStr">
        <is>
          <t>第9期計画書</t>
        </is>
      </c>
    </row>
    <row r="42">
      <c r="A42" s="9" t="inlineStr">
        <is>
          <t>居宅</t>
        </is>
      </c>
      <c r="B42" s="10" t="inlineStr">
        <is>
          <t>福祉用具貸与</t>
        </is>
      </c>
      <c r="C42" s="9" t="inlineStr">
        <is>
          <t>給付費</t>
        </is>
      </c>
      <c r="D42" s="9" t="inlineStr">
        <is>
          <t>千円／年</t>
        </is>
      </c>
      <c r="E42" s="11" t="n">
        <v>21520</v>
      </c>
      <c r="F42" s="12" t="n"/>
      <c r="G42" s="13">
        <f>IF(OR(E42="",E42=0,F42=""),"",F42/E42)</f>
        <v/>
      </c>
      <c r="H42" s="11" t="n">
        <v>21520</v>
      </c>
      <c r="I42" s="12" t="n"/>
      <c r="J42" s="13">
        <f>IF(OR(H42="",H42=0,I42=""),"",I42/H42)</f>
        <v/>
      </c>
      <c r="K42" s="11" t="n">
        <v>21323</v>
      </c>
      <c r="L42" s="12" t="n"/>
      <c r="M42" s="13">
        <f>IF(OR(K42="",K42=0,L42=""),"",L42/K42)</f>
        <v/>
      </c>
      <c r="N42" s="14" t="n"/>
      <c r="O42" s="15" t="inlineStr">
        <is>
          <t>第9期計画書</t>
        </is>
      </c>
    </row>
    <row r="43">
      <c r="A43" s="9" t="inlineStr">
        <is>
          <t>居宅</t>
        </is>
      </c>
      <c r="B43" s="10" t="inlineStr">
        <is>
          <t>介護予防福祉用具貸与</t>
        </is>
      </c>
      <c r="C43" s="9" t="inlineStr">
        <is>
          <t>延利用人数</t>
        </is>
      </c>
      <c r="D43" s="9" t="inlineStr">
        <is>
          <t>人／年</t>
        </is>
      </c>
      <c r="E43" s="11" t="n">
        <v>396</v>
      </c>
      <c r="F43" s="12" t="n"/>
      <c r="G43" s="13">
        <f>IF(OR(E43="",E43=0,F43=""),"",F43/E43)</f>
        <v/>
      </c>
      <c r="H43" s="11" t="n">
        <v>396</v>
      </c>
      <c r="I43" s="12" t="n"/>
      <c r="J43" s="13">
        <f>IF(OR(H43="",H43=0,I43=""),"",I43/H43)</f>
        <v/>
      </c>
      <c r="K43" s="11" t="n">
        <v>408</v>
      </c>
      <c r="L43" s="12" t="n"/>
      <c r="M43" s="13">
        <f>IF(OR(K43="",K43=0,L43=""),"",L43/K43)</f>
        <v/>
      </c>
      <c r="N43" s="14" t="n"/>
      <c r="O43" s="15" t="inlineStr">
        <is>
          <t>第9期計画書</t>
        </is>
      </c>
    </row>
    <row r="44">
      <c r="A44" s="9" t="inlineStr">
        <is>
          <t>居宅</t>
        </is>
      </c>
      <c r="B44" s="10" t="inlineStr">
        <is>
          <t>介護予防福祉用具貸与</t>
        </is>
      </c>
      <c r="C44" s="9" t="inlineStr">
        <is>
          <t>給付費</t>
        </is>
      </c>
      <c r="D44" s="9" t="inlineStr">
        <is>
          <t>千円／年</t>
        </is>
      </c>
      <c r="E44" s="11" t="n">
        <v>2616</v>
      </c>
      <c r="F44" s="12" t="n"/>
      <c r="G44" s="13">
        <f>IF(OR(E44="",E44=0,F44=""),"",F44/E44)</f>
        <v/>
      </c>
      <c r="H44" s="11" t="n">
        <v>2616</v>
      </c>
      <c r="I44" s="12" t="n"/>
      <c r="J44" s="13">
        <f>IF(OR(H44="",H44=0,I44=""),"",I44/H44)</f>
        <v/>
      </c>
      <c r="K44" s="11" t="n">
        <v>2707</v>
      </c>
      <c r="L44" s="12" t="n"/>
      <c r="M44" s="13">
        <f>IF(OR(K44="",K44=0,L44=""),"",L44/K44)</f>
        <v/>
      </c>
      <c r="N44" s="14" t="n"/>
      <c r="O44" s="15" t="inlineStr">
        <is>
          <t>第9期計画書</t>
        </is>
      </c>
    </row>
    <row r="45">
      <c r="A45" s="9" t="inlineStr">
        <is>
          <t>居宅</t>
        </is>
      </c>
      <c r="B45" s="10" t="inlineStr">
        <is>
          <t>特定福祉用具購入費</t>
        </is>
      </c>
      <c r="C45" s="9" t="inlineStr">
        <is>
          <t>延利用人数</t>
        </is>
      </c>
      <c r="D45" s="9" t="inlineStr">
        <is>
          <t>人／年</t>
        </is>
      </c>
      <c r="E45" s="11" t="n">
        <v>12</v>
      </c>
      <c r="F45" s="12" t="n"/>
      <c r="G45" s="13">
        <f>IF(OR(E45="",E45=0,F45=""),"",F45/E45)</f>
        <v/>
      </c>
      <c r="H45" s="11" t="n">
        <v>12</v>
      </c>
      <c r="I45" s="12" t="n"/>
      <c r="J45" s="13">
        <f>IF(OR(H45="",H45=0,I45=""),"",I45/H45)</f>
        <v/>
      </c>
      <c r="K45" s="11" t="n">
        <v>12</v>
      </c>
      <c r="L45" s="12" t="n"/>
      <c r="M45" s="13">
        <f>IF(OR(K45="",K45=0,L45=""),"",L45/K45)</f>
        <v/>
      </c>
      <c r="N45" s="14" t="n"/>
      <c r="O45" s="15" t="inlineStr">
        <is>
          <t>第9期計画書</t>
        </is>
      </c>
    </row>
    <row r="46">
      <c r="A46" s="9" t="inlineStr">
        <is>
          <t>居宅</t>
        </is>
      </c>
      <c r="B46" s="10" t="inlineStr">
        <is>
          <t>特定福祉用具購入費</t>
        </is>
      </c>
      <c r="C46" s="9" t="inlineStr">
        <is>
          <t>給付費</t>
        </is>
      </c>
      <c r="D46" s="9" t="inlineStr">
        <is>
          <t>千円／年</t>
        </is>
      </c>
      <c r="E46" s="11" t="n">
        <v>378</v>
      </c>
      <c r="F46" s="12" t="n"/>
      <c r="G46" s="13">
        <f>IF(OR(E46="",E46=0,F46=""),"",F46/E46)</f>
        <v/>
      </c>
      <c r="H46" s="11" t="n">
        <v>378</v>
      </c>
      <c r="I46" s="12" t="n"/>
      <c r="J46" s="13">
        <f>IF(OR(H46="",H46=0,I46=""),"",I46/H46)</f>
        <v/>
      </c>
      <c r="K46" s="11" t="n">
        <v>378</v>
      </c>
      <c r="L46" s="12" t="n"/>
      <c r="M46" s="13">
        <f>IF(OR(K46="",K46=0,L46=""),"",L46/K46)</f>
        <v/>
      </c>
      <c r="N46" s="14" t="n"/>
      <c r="O46" s="15" t="inlineStr">
        <is>
          <t>第9期計画書</t>
        </is>
      </c>
    </row>
    <row r="47">
      <c r="A47" s="9" t="inlineStr">
        <is>
          <t>居宅</t>
        </is>
      </c>
      <c r="B47" s="10" t="inlineStr">
        <is>
          <t>介護予防特定福祉用具購入費</t>
        </is>
      </c>
      <c r="C47" s="9" t="inlineStr">
        <is>
          <t>延利用人数</t>
        </is>
      </c>
      <c r="D47" s="9" t="inlineStr">
        <is>
          <t>人／年</t>
        </is>
      </c>
      <c r="E47" s="11" t="n">
        <v>12</v>
      </c>
      <c r="F47" s="12" t="n"/>
      <c r="G47" s="13">
        <f>IF(OR(E47="",E47=0,F47=""),"",F47/E47)</f>
        <v/>
      </c>
      <c r="H47" s="11" t="n">
        <v>12</v>
      </c>
      <c r="I47" s="12" t="n"/>
      <c r="J47" s="13">
        <f>IF(OR(H47="",H47=0,I47=""),"",I47/H47)</f>
        <v/>
      </c>
      <c r="K47" s="11" t="n">
        <v>12</v>
      </c>
      <c r="L47" s="12" t="n"/>
      <c r="M47" s="13">
        <f>IF(OR(K47="",K47=0,L47=""),"",L47/K47)</f>
        <v/>
      </c>
      <c r="N47" s="14" t="n"/>
      <c r="O47" s="15" t="inlineStr">
        <is>
          <t>第9期計画書</t>
        </is>
      </c>
    </row>
    <row r="48">
      <c r="A48" s="9" t="inlineStr">
        <is>
          <t>居宅</t>
        </is>
      </c>
      <c r="B48" s="10" t="inlineStr">
        <is>
          <t>介護予防特定福祉用具購入費</t>
        </is>
      </c>
      <c r="C48" s="9" t="inlineStr">
        <is>
          <t>給付費</t>
        </is>
      </c>
      <c r="D48" s="9" t="inlineStr">
        <is>
          <t>千円／年</t>
        </is>
      </c>
      <c r="E48" s="11" t="n">
        <v>388</v>
      </c>
      <c r="F48" s="12" t="n"/>
      <c r="G48" s="13">
        <f>IF(OR(E48="",E48=0,F48=""),"",F48/E48)</f>
        <v/>
      </c>
      <c r="H48" s="11" t="n">
        <v>388</v>
      </c>
      <c r="I48" s="12" t="n"/>
      <c r="J48" s="13">
        <f>IF(OR(H48="",H48=0,I48=""),"",I48/H48)</f>
        <v/>
      </c>
      <c r="K48" s="11" t="n">
        <v>388</v>
      </c>
      <c r="L48" s="12" t="n"/>
      <c r="M48" s="13">
        <f>IF(OR(K48="",K48=0,L48=""),"",L48/K48)</f>
        <v/>
      </c>
      <c r="N48" s="14" t="n"/>
      <c r="O48" s="15" t="inlineStr">
        <is>
          <t>第9期計画書</t>
        </is>
      </c>
    </row>
    <row r="49">
      <c r="A49" s="9" t="inlineStr">
        <is>
          <t>居宅</t>
        </is>
      </c>
      <c r="B49" s="10" t="inlineStr">
        <is>
          <t>住宅改修</t>
        </is>
      </c>
      <c r="C49" s="9" t="inlineStr">
        <is>
          <t>延利用人数</t>
        </is>
      </c>
      <c r="D49" s="9" t="inlineStr">
        <is>
          <t>人／年</t>
        </is>
      </c>
      <c r="E49" s="11" t="n">
        <v>36</v>
      </c>
      <c r="F49" s="12" t="n"/>
      <c r="G49" s="13">
        <f>IF(OR(E49="",E49=0,F49=""),"",F49/E49)</f>
        <v/>
      </c>
      <c r="H49" s="11" t="n">
        <v>36</v>
      </c>
      <c r="I49" s="12" t="n"/>
      <c r="J49" s="13">
        <f>IF(OR(H49="",H49=0,I49=""),"",I49/H49)</f>
        <v/>
      </c>
      <c r="K49" s="11" t="n">
        <v>36</v>
      </c>
      <c r="L49" s="12" t="n"/>
      <c r="M49" s="13">
        <f>IF(OR(K49="",K49=0,L49=""),"",L49/K49)</f>
        <v/>
      </c>
      <c r="N49" s="14" t="n"/>
      <c r="O49" s="15" t="inlineStr">
        <is>
          <t>第9期計画書</t>
        </is>
      </c>
    </row>
    <row r="50">
      <c r="A50" s="9" t="inlineStr">
        <is>
          <t>居宅</t>
        </is>
      </c>
      <c r="B50" s="10" t="inlineStr">
        <is>
          <t>住宅改修</t>
        </is>
      </c>
      <c r="C50" s="9" t="inlineStr">
        <is>
          <t>給付費</t>
        </is>
      </c>
      <c r="D50" s="9" t="inlineStr">
        <is>
          <t>千円／年</t>
        </is>
      </c>
      <c r="E50" s="11" t="n">
        <v>4976</v>
      </c>
      <c r="F50" s="12" t="n"/>
      <c r="G50" s="13">
        <f>IF(OR(E50="",E50=0,F50=""),"",F50/E50)</f>
        <v/>
      </c>
      <c r="H50" s="11" t="n">
        <v>4976</v>
      </c>
      <c r="I50" s="12" t="n"/>
      <c r="J50" s="13">
        <f>IF(OR(H50="",H50=0,I50=""),"",I50/H50)</f>
        <v/>
      </c>
      <c r="K50" s="11" t="n">
        <v>4976</v>
      </c>
      <c r="L50" s="12" t="n"/>
      <c r="M50" s="13">
        <f>IF(OR(K50="",K50=0,L50=""),"",L50/K50)</f>
        <v/>
      </c>
      <c r="N50" s="14" t="n"/>
      <c r="O50" s="15" t="inlineStr">
        <is>
          <t>第9期計画書</t>
        </is>
      </c>
    </row>
    <row r="51">
      <c r="A51" s="9" t="inlineStr">
        <is>
          <t>居宅</t>
        </is>
      </c>
      <c r="B51" s="10" t="inlineStr">
        <is>
          <t>介護予防住宅改修</t>
        </is>
      </c>
      <c r="C51" s="9" t="inlineStr">
        <is>
          <t>延利用人数</t>
        </is>
      </c>
      <c r="D51" s="9" t="inlineStr">
        <is>
          <t>人／年</t>
        </is>
      </c>
      <c r="E51" s="11" t="n">
        <v>12</v>
      </c>
      <c r="F51" s="12" t="n"/>
      <c r="G51" s="13">
        <f>IF(OR(E51="",E51=0,F51=""),"",F51/E51)</f>
        <v/>
      </c>
      <c r="H51" s="11" t="n">
        <v>12</v>
      </c>
      <c r="I51" s="12" t="n"/>
      <c r="J51" s="13">
        <f>IF(OR(H51="",H51=0,I51=""),"",I51/H51)</f>
        <v/>
      </c>
      <c r="K51" s="11" t="n">
        <v>12</v>
      </c>
      <c r="L51" s="12" t="n"/>
      <c r="M51" s="13">
        <f>IF(OR(K51="",K51=0,L51=""),"",L51/K51)</f>
        <v/>
      </c>
      <c r="N51" s="14" t="n"/>
      <c r="O51" s="15" t="inlineStr">
        <is>
          <t>第9期計画書</t>
        </is>
      </c>
    </row>
    <row r="52">
      <c r="A52" s="9" t="inlineStr">
        <is>
          <t>居宅</t>
        </is>
      </c>
      <c r="B52" s="10" t="inlineStr">
        <is>
          <t>介護予防住宅改修</t>
        </is>
      </c>
      <c r="C52" s="9" t="inlineStr">
        <is>
          <t>給付費</t>
        </is>
      </c>
      <c r="D52" s="9" t="inlineStr">
        <is>
          <t>千円／年</t>
        </is>
      </c>
      <c r="E52" s="11" t="n">
        <v>558</v>
      </c>
      <c r="F52" s="12" t="n"/>
      <c r="G52" s="13">
        <f>IF(OR(E52="",E52=0,F52=""),"",F52/E52)</f>
        <v/>
      </c>
      <c r="H52" s="11" t="n">
        <v>558</v>
      </c>
      <c r="I52" s="12" t="n"/>
      <c r="J52" s="13">
        <f>IF(OR(H52="",H52=0,I52=""),"",I52/H52)</f>
        <v/>
      </c>
      <c r="K52" s="11" t="n">
        <v>558</v>
      </c>
      <c r="L52" s="12" t="n"/>
      <c r="M52" s="13">
        <f>IF(OR(K52="",K52=0,L52=""),"",L52/K52)</f>
        <v/>
      </c>
      <c r="N52" s="14" t="n"/>
      <c r="O52" s="15" t="inlineStr">
        <is>
          <t>第9期計画書</t>
        </is>
      </c>
    </row>
    <row r="53">
      <c r="A53" s="9" t="inlineStr">
        <is>
          <t>居宅</t>
        </is>
      </c>
      <c r="B53" s="10" t="inlineStr">
        <is>
          <t>居宅介護支援</t>
        </is>
      </c>
      <c r="C53" s="9" t="inlineStr">
        <is>
          <t>延利用人数</t>
        </is>
      </c>
      <c r="D53" s="9" t="inlineStr">
        <is>
          <t>人／年</t>
        </is>
      </c>
      <c r="E53" s="11" t="n">
        <v>2400</v>
      </c>
      <c r="F53" s="12" t="n"/>
      <c r="G53" s="13">
        <f>IF(OR(E53="",E53=0,F53=""),"",F53/E53)</f>
        <v/>
      </c>
      <c r="H53" s="11" t="n">
        <v>2400</v>
      </c>
      <c r="I53" s="12" t="n"/>
      <c r="J53" s="13">
        <f>IF(OR(H53="",H53=0,I53=""),"",I53/H53)</f>
        <v/>
      </c>
      <c r="K53" s="11" t="n">
        <v>2412</v>
      </c>
      <c r="L53" s="12" t="n"/>
      <c r="M53" s="13">
        <f>IF(OR(K53="",K53=0,L53=""),"",L53/K53)</f>
        <v/>
      </c>
      <c r="N53" s="14" t="n"/>
      <c r="O53" s="15" t="inlineStr">
        <is>
          <t>第9期計画書</t>
        </is>
      </c>
    </row>
    <row r="54">
      <c r="A54" s="9" t="inlineStr">
        <is>
          <t>居宅</t>
        </is>
      </c>
      <c r="B54" s="10" t="inlineStr">
        <is>
          <t>居宅介護支援</t>
        </is>
      </c>
      <c r="C54" s="9" t="inlineStr">
        <is>
          <t>給付費</t>
        </is>
      </c>
      <c r="D54" s="9" t="inlineStr">
        <is>
          <t>千円／年</t>
        </is>
      </c>
      <c r="E54" s="11" t="n">
        <v>40382</v>
      </c>
      <c r="F54" s="12" t="n"/>
      <c r="G54" s="13">
        <f>IF(OR(E54="",E54=0,F54=""),"",F54/E54)</f>
        <v/>
      </c>
      <c r="H54" s="11" t="n">
        <v>40433</v>
      </c>
      <c r="I54" s="12" t="n"/>
      <c r="J54" s="13">
        <f>IF(OR(H54="",H54=0,I54=""),"",I54/H54)</f>
        <v/>
      </c>
      <c r="K54" s="11" t="n">
        <v>40612</v>
      </c>
      <c r="L54" s="12" t="n"/>
      <c r="M54" s="13">
        <f>IF(OR(K54="",K54=0,L54=""),"",L54/K54)</f>
        <v/>
      </c>
      <c r="N54" s="14" t="n"/>
      <c r="O54" s="15" t="inlineStr">
        <is>
          <t>第9期計画書</t>
        </is>
      </c>
    </row>
    <row r="55">
      <c r="A55" s="9" t="inlineStr">
        <is>
          <t>居宅</t>
        </is>
      </c>
      <c r="B55" s="10" t="inlineStr">
        <is>
          <t>介護予防支援</t>
        </is>
      </c>
      <c r="C55" s="9" t="inlineStr">
        <is>
          <t>延利用人数</t>
        </is>
      </c>
      <c r="D55" s="9" t="inlineStr">
        <is>
          <t>人／年</t>
        </is>
      </c>
      <c r="E55" s="11" t="n">
        <v>780</v>
      </c>
      <c r="F55" s="12" t="n"/>
      <c r="G55" s="13">
        <f>IF(OR(E55="",E55=0,F55=""),"",F55/E55)</f>
        <v/>
      </c>
      <c r="H55" s="11" t="n">
        <v>780</v>
      </c>
      <c r="I55" s="12" t="n"/>
      <c r="J55" s="13">
        <f>IF(OR(H55="",H55=0,I55=""),"",I55/H55)</f>
        <v/>
      </c>
      <c r="K55" s="11" t="n">
        <v>780</v>
      </c>
      <c r="L55" s="12" t="n"/>
      <c r="M55" s="13">
        <f>IF(OR(K55="",K55=0,L55=""),"",L55/K55)</f>
        <v/>
      </c>
      <c r="N55" s="14" t="n"/>
      <c r="O55" s="15" t="inlineStr">
        <is>
          <t>第9期計画書</t>
        </is>
      </c>
    </row>
    <row r="56">
      <c r="A56" s="9" t="inlineStr">
        <is>
          <t>居宅</t>
        </is>
      </c>
      <c r="B56" s="10" t="inlineStr">
        <is>
          <t>介護予防支援</t>
        </is>
      </c>
      <c r="C56" s="9" t="inlineStr">
        <is>
          <t>給付費</t>
        </is>
      </c>
      <c r="D56" s="9" t="inlineStr">
        <is>
          <t>千円／年</t>
        </is>
      </c>
      <c r="E56" s="11" t="n">
        <v>3693</v>
      </c>
      <c r="F56" s="12" t="n"/>
      <c r="G56" s="13">
        <f>IF(OR(E56="",E56=0,F56=""),"",F56/E56)</f>
        <v/>
      </c>
      <c r="H56" s="11" t="n">
        <v>3698</v>
      </c>
      <c r="I56" s="12" t="n"/>
      <c r="J56" s="13">
        <f>IF(OR(H56="",H56=0,I56=""),"",I56/H56)</f>
        <v/>
      </c>
      <c r="K56" s="11" t="n">
        <v>3698</v>
      </c>
      <c r="L56" s="12" t="n"/>
      <c r="M56" s="13">
        <f>IF(OR(K56="",K56=0,L56=""),"",L56/K56)</f>
        <v/>
      </c>
      <c r="N56" s="14" t="n"/>
      <c r="O56" s="15" t="inlineStr">
        <is>
          <t>第9期計画書</t>
        </is>
      </c>
    </row>
  </sheetData>
  <autoFilter ref="A4:O56"/>
  <mergeCells count="2">
    <mergeCell ref="A1:O1"/>
    <mergeCell ref="A2:O2"/>
  </mergeCells>
  <conditionalFormatting sqref="G5:G56">
    <cfRule type="cellIs" priority="1" operator="lessThan" dxfId="0">
      <formula>0.8</formula>
    </cfRule>
    <cfRule type="cellIs" priority="2" operator="greaterThan" dxfId="0">
      <formula>1.2</formula>
    </cfRule>
  </conditionalFormatting>
  <conditionalFormatting sqref="J5:J56">
    <cfRule type="cellIs" priority="3" operator="lessThan" dxfId="0">
      <formula>0.8</formula>
    </cfRule>
    <cfRule type="cellIs" priority="4" operator="greaterThan" dxfId="0">
      <formula>1.2</formula>
    </cfRule>
  </conditionalFormatting>
  <conditionalFormatting sqref="M5:M56">
    <cfRule type="cellIs" priority="5" operator="lessThan" dxfId="0">
      <formula>0.8</formula>
    </cfRule>
    <cfRule type="cellIs" priority="6" operator="greaterThan" dxfId="0">
      <formula>1.2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34" customWidth="1" min="14" max="14"/>
    <col width="18" customWidth="1" min="15" max="15"/>
  </cols>
  <sheetData>
    <row r="1" ht="24" customHeight="1">
      <c r="A1" s="1" t="inlineStr">
        <is>
          <t>サービス別 計画値・実績値 対比表　地域密着型サービス</t>
        </is>
      </c>
    </row>
    <row r="2">
      <c r="A2" s="2" t="inlineStr">
        <is>
          <t>計画値：第9期計画書（令和6年3月）／実績：町提供実績データ（令和8年9月1日受領・仮試算）</t>
        </is>
      </c>
    </row>
    <row r="4" ht="32" customHeight="1">
      <c r="A4" s="8" t="inlineStr">
        <is>
          <t>区分</t>
        </is>
      </c>
      <c r="B4" s="8" t="inlineStr">
        <is>
          <t>サービス・事業名</t>
        </is>
      </c>
      <c r="C4" s="8" t="inlineStr">
        <is>
          <t>指標</t>
        </is>
      </c>
      <c r="D4" s="8" t="inlineStr">
        <is>
          <t>単位</t>
        </is>
      </c>
      <c r="E4" s="8" t="inlineStr">
        <is>
          <t>R6計画</t>
        </is>
      </c>
      <c r="F4" s="8" t="inlineStr">
        <is>
          <t>R6実績</t>
        </is>
      </c>
      <c r="G4" s="8" t="inlineStr">
        <is>
          <t>達成率</t>
        </is>
      </c>
      <c r="H4" s="8" t="inlineStr">
        <is>
          <t>R7計画</t>
        </is>
      </c>
      <c r="I4" s="8" t="inlineStr">
        <is>
          <t>R7実績</t>
        </is>
      </c>
      <c r="J4" s="8" t="inlineStr">
        <is>
          <t>達成率</t>
        </is>
      </c>
      <c r="K4" s="8" t="inlineStr">
        <is>
          <t>R8計画</t>
        </is>
      </c>
      <c r="L4" s="8" t="inlineStr">
        <is>
          <t>R8見込</t>
        </is>
      </c>
      <c r="M4" s="8" t="inlineStr">
        <is>
          <t>達成率</t>
        </is>
      </c>
      <c r="N4" s="8" t="inlineStr">
        <is>
          <t>乖離の要因・対応</t>
        </is>
      </c>
      <c r="O4" s="8" t="inlineStr">
        <is>
          <t>出典・記入担当</t>
        </is>
      </c>
    </row>
    <row r="5">
      <c r="A5" s="9" t="inlineStr">
        <is>
          <t>地域密着型</t>
        </is>
      </c>
      <c r="B5" s="10" t="inlineStr">
        <is>
          <t>認知症対応型共同生活介護</t>
        </is>
      </c>
      <c r="C5" s="9" t="inlineStr">
        <is>
          <t>延利用人数</t>
        </is>
      </c>
      <c r="D5" s="9" t="inlineStr">
        <is>
          <t>人／年</t>
        </is>
      </c>
      <c r="E5" s="11" t="n">
        <v>324</v>
      </c>
      <c r="F5" s="12" t="n">
        <v>323</v>
      </c>
      <c r="G5" s="13">
        <f>IF(OR(E5="",E5=0,F5=""),"",F5/E5)</f>
        <v/>
      </c>
      <c r="H5" s="11" t="n">
        <v>324</v>
      </c>
      <c r="I5" s="12" t="n">
        <v>312</v>
      </c>
      <c r="J5" s="13">
        <f>IF(OR(H5="",H5=0,I5=""),"",I5/H5)</f>
        <v/>
      </c>
      <c r="K5" s="11" t="n">
        <v>324</v>
      </c>
      <c r="L5" s="12" t="n">
        <v>315</v>
      </c>
      <c r="M5" s="13">
        <f>IF(OR(K5="",K5=0,L5=""),"",L5/K5)</f>
        <v/>
      </c>
      <c r="N5" s="14" t="n"/>
      <c r="O5" s="15" t="inlineStr">
        <is>
          <t>計画書／実績データ 04シート</t>
        </is>
      </c>
    </row>
    <row r="6">
      <c r="A6" s="9" t="inlineStr">
        <is>
          <t>地域密着型</t>
        </is>
      </c>
      <c r="B6" s="10" t="inlineStr">
        <is>
          <t>認知症対応型共同生活介護</t>
        </is>
      </c>
      <c r="C6" s="9" t="inlineStr">
        <is>
          <t>給付費</t>
        </is>
      </c>
      <c r="D6" s="9" t="inlineStr">
        <is>
          <t>千円／年</t>
        </is>
      </c>
      <c r="E6" s="11" t="n">
        <v>87350</v>
      </c>
      <c r="F6" s="12" t="n">
        <v>88245</v>
      </c>
      <c r="G6" s="13">
        <f>IF(OR(E6="",E6=0,F6=""),"",F6/E6)</f>
        <v/>
      </c>
      <c r="H6" s="11" t="n">
        <v>87460</v>
      </c>
      <c r="I6" s="12" t="n">
        <v>84407</v>
      </c>
      <c r="J6" s="13">
        <f>IF(OR(H6="",H6=0,I6=""),"",I6/H6)</f>
        <v/>
      </c>
      <c r="K6" s="11" t="n">
        <v>87460</v>
      </c>
      <c r="L6" s="12" t="n">
        <v>86095</v>
      </c>
      <c r="M6" s="13">
        <f>IF(OR(K6="",K6=0,L6=""),"",L6/K6)</f>
        <v/>
      </c>
      <c r="N6" s="14" t="n"/>
      <c r="O6" s="15" t="inlineStr">
        <is>
          <t>計画書／実績データ 04シート</t>
        </is>
      </c>
    </row>
    <row r="7">
      <c r="A7" s="9" t="inlineStr">
        <is>
          <t>地域密着型</t>
        </is>
      </c>
      <c r="B7" s="10" t="inlineStr">
        <is>
          <t>介護予防認知症対応型共同生活介護</t>
        </is>
      </c>
      <c r="C7" s="9" t="inlineStr">
        <is>
          <t>延利用人数</t>
        </is>
      </c>
      <c r="D7" s="9" t="inlineStr">
        <is>
          <t>人／年</t>
        </is>
      </c>
      <c r="E7" s="11" t="n">
        <v>0</v>
      </c>
      <c r="F7" s="12" t="n"/>
      <c r="G7" s="13">
        <f>IF(OR(E7="",E7=0,F7=""),"",F7/E7)</f>
        <v/>
      </c>
      <c r="H7" s="11" t="n">
        <v>0</v>
      </c>
      <c r="I7" s="12" t="n"/>
      <c r="J7" s="13">
        <f>IF(OR(H7="",H7=0,I7=""),"",I7/H7)</f>
        <v/>
      </c>
      <c r="K7" s="11" t="n">
        <v>0</v>
      </c>
      <c r="L7" s="12" t="n"/>
      <c r="M7" s="13">
        <f>IF(OR(K7="",K7=0,L7=""),"",L7/K7)</f>
        <v/>
      </c>
      <c r="N7" s="14" t="n"/>
      <c r="O7" s="15" t="inlineStr">
        <is>
          <t>第9期計画書</t>
        </is>
      </c>
    </row>
    <row r="8">
      <c r="A8" s="9" t="inlineStr">
        <is>
          <t>地域密着型</t>
        </is>
      </c>
      <c r="B8" s="10" t="inlineStr">
        <is>
          <t>介護予防認知症対応型共同生活介護</t>
        </is>
      </c>
      <c r="C8" s="9" t="inlineStr">
        <is>
          <t>給付費</t>
        </is>
      </c>
      <c r="D8" s="9" t="inlineStr">
        <is>
          <t>千円／年</t>
        </is>
      </c>
      <c r="E8" s="11" t="n">
        <v>0</v>
      </c>
      <c r="F8" s="12" t="n"/>
      <c r="G8" s="13">
        <f>IF(OR(E8="",E8=0,F8=""),"",F8/E8)</f>
        <v/>
      </c>
      <c r="H8" s="11" t="n">
        <v>0</v>
      </c>
      <c r="I8" s="12" t="n"/>
      <c r="J8" s="13">
        <f>IF(OR(H8="",H8=0,I8=""),"",I8/H8)</f>
        <v/>
      </c>
      <c r="K8" s="11" t="n">
        <v>0</v>
      </c>
      <c r="L8" s="12" t="n"/>
      <c r="M8" s="13">
        <f>IF(OR(K8="",K8=0,L8=""),"",L8/K8)</f>
        <v/>
      </c>
      <c r="N8" s="14" t="n"/>
      <c r="O8" s="15" t="inlineStr">
        <is>
          <t>第9期計画書</t>
        </is>
      </c>
    </row>
    <row r="9">
      <c r="A9" s="9" t="inlineStr">
        <is>
          <t>地域密着型</t>
        </is>
      </c>
      <c r="B9" s="10" t="inlineStr">
        <is>
          <t>地域密着型介護老人福祉施設入居者生活介護</t>
        </is>
      </c>
      <c r="C9" s="9" t="inlineStr">
        <is>
          <t>延利用人数</t>
        </is>
      </c>
      <c r="D9" s="9" t="inlineStr">
        <is>
          <t>人／年</t>
        </is>
      </c>
      <c r="E9" s="11" t="n">
        <v>300</v>
      </c>
      <c r="F9" s="12" t="n"/>
      <c r="G9" s="13">
        <f>IF(OR(E9="",E9=0,F9=""),"",F9/E9)</f>
        <v/>
      </c>
      <c r="H9" s="11" t="n">
        <v>300</v>
      </c>
      <c r="I9" s="12" t="n"/>
      <c r="J9" s="13">
        <f>IF(OR(H9="",H9=0,I9=""),"",I9/H9)</f>
        <v/>
      </c>
      <c r="K9" s="11" t="n">
        <v>300</v>
      </c>
      <c r="L9" s="12" t="n"/>
      <c r="M9" s="13">
        <f>IF(OR(K9="",K9=0,L9=""),"",L9/K9)</f>
        <v/>
      </c>
      <c r="N9" s="14" t="n"/>
      <c r="O9" s="15" t="inlineStr">
        <is>
          <t>第9期計画書</t>
        </is>
      </c>
    </row>
    <row r="10">
      <c r="A10" s="9" t="inlineStr">
        <is>
          <t>地域密着型</t>
        </is>
      </c>
      <c r="B10" s="10" t="inlineStr">
        <is>
          <t>地域密着型介護老人福祉施設入居者生活介護</t>
        </is>
      </c>
      <c r="C10" s="9" t="inlineStr">
        <is>
          <t>給付費</t>
        </is>
      </c>
      <c r="D10" s="9" t="inlineStr">
        <is>
          <t>千円／年</t>
        </is>
      </c>
      <c r="E10" s="11" t="n">
        <v>92307</v>
      </c>
      <c r="F10" s="12" t="n"/>
      <c r="G10" s="13">
        <f>IF(OR(E10="",E10=0,F10=""),"",F10/E10)</f>
        <v/>
      </c>
      <c r="H10" s="11" t="n">
        <v>92424</v>
      </c>
      <c r="I10" s="12" t="n"/>
      <c r="J10" s="13">
        <f>IF(OR(H10="",H10=0,I10=""),"",I10/H10)</f>
        <v/>
      </c>
      <c r="K10" s="11" t="n">
        <v>92424</v>
      </c>
      <c r="L10" s="12" t="n"/>
      <c r="M10" s="13">
        <f>IF(OR(K10="",K10=0,L10=""),"",L10/K10)</f>
        <v/>
      </c>
      <c r="N10" s="14" t="n"/>
      <c r="O10" s="15" t="inlineStr">
        <is>
          <t>第9期計画書</t>
        </is>
      </c>
    </row>
    <row r="11">
      <c r="A11" s="9" t="inlineStr">
        <is>
          <t>地域密着型</t>
        </is>
      </c>
      <c r="B11" s="10" t="inlineStr">
        <is>
          <t>定期巡回・随時対応型訪問介護看護</t>
        </is>
      </c>
      <c r="C11" s="9" t="inlineStr">
        <is>
          <t>―</t>
        </is>
      </c>
      <c r="D11" s="9" t="inlineStr">
        <is>
          <t>―</t>
        </is>
      </c>
      <c r="E11" s="11" t="n"/>
      <c r="F11" s="12" t="n"/>
      <c r="G11" s="13">
        <f>IF(OR(E11="",E11=0,F11=""),"",F11/E11)</f>
        <v/>
      </c>
      <c r="H11" s="11" t="n"/>
      <c r="I11" s="12" t="n"/>
      <c r="J11" s="13">
        <f>IF(OR(H11="",H11=0,I11=""),"",I11/H11)</f>
        <v/>
      </c>
      <c r="K11" s="11" t="n"/>
      <c r="L11" s="12" t="n"/>
      <c r="M11" s="13">
        <f>IF(OR(K11="",K11=0,L11=""),"",L11/K11)</f>
        <v/>
      </c>
      <c r="N11" s="14" t="inlineStr">
        <is>
          <t>第9期計画に見込量表なし（「今後のサービスニーズの動向を勘案し検討」）</t>
        </is>
      </c>
      <c r="O11" s="15" t="inlineStr">
        <is>
          <t>第9期計画書</t>
        </is>
      </c>
    </row>
    <row r="12">
      <c r="A12" s="9" t="inlineStr">
        <is>
          <t>地域密着型</t>
        </is>
      </c>
      <c r="B12" s="10" t="inlineStr">
        <is>
          <t>夜間対応型訪問介護</t>
        </is>
      </c>
      <c r="C12" s="9" t="inlineStr">
        <is>
          <t>―</t>
        </is>
      </c>
      <c r="D12" s="9" t="inlineStr">
        <is>
          <t>―</t>
        </is>
      </c>
      <c r="E12" s="11" t="n"/>
      <c r="F12" s="12" t="n"/>
      <c r="G12" s="13">
        <f>IF(OR(E12="",E12=0,F12=""),"",F12/E12)</f>
        <v/>
      </c>
      <c r="H12" s="11" t="n"/>
      <c r="I12" s="12" t="n"/>
      <c r="J12" s="13">
        <f>IF(OR(H12="",H12=0,I12=""),"",I12/H12)</f>
        <v/>
      </c>
      <c r="K12" s="11" t="n"/>
      <c r="L12" s="12" t="n"/>
      <c r="M12" s="13">
        <f>IF(OR(K12="",K12=0,L12=""),"",L12/K12)</f>
        <v/>
      </c>
      <c r="N12" s="14" t="inlineStr">
        <is>
          <t>同上</t>
        </is>
      </c>
      <c r="O12" s="15" t="inlineStr">
        <is>
          <t>第9期計画書</t>
        </is>
      </c>
    </row>
    <row r="13">
      <c r="A13" s="9" t="inlineStr">
        <is>
          <t>地域密着型</t>
        </is>
      </c>
      <c r="B13" s="10" t="inlineStr">
        <is>
          <t>認知症対応型通所介護・介護予防認知症対応型通所介護</t>
        </is>
      </c>
      <c r="C13" s="9" t="inlineStr">
        <is>
          <t>―</t>
        </is>
      </c>
      <c r="D13" s="9" t="inlineStr">
        <is>
          <t>―</t>
        </is>
      </c>
      <c r="E13" s="11" t="n"/>
      <c r="F13" s="12" t="n"/>
      <c r="G13" s="13">
        <f>IF(OR(E13="",E13=0,F13=""),"",F13/E13)</f>
        <v/>
      </c>
      <c r="H13" s="11" t="n"/>
      <c r="I13" s="12" t="n"/>
      <c r="J13" s="13">
        <f>IF(OR(H13="",H13=0,I13=""),"",I13/H13)</f>
        <v/>
      </c>
      <c r="K13" s="11" t="n"/>
      <c r="L13" s="12" t="n"/>
      <c r="M13" s="13">
        <f>IF(OR(K13="",K13=0,L13=""),"",L13/K13)</f>
        <v/>
      </c>
      <c r="N13" s="14" t="inlineStr">
        <is>
          <t>同上</t>
        </is>
      </c>
      <c r="O13" s="15" t="inlineStr">
        <is>
          <t>第9期計画書</t>
        </is>
      </c>
    </row>
    <row r="14">
      <c r="A14" s="9" t="inlineStr">
        <is>
          <t>地域密着型</t>
        </is>
      </c>
      <c r="B14" s="10" t="inlineStr">
        <is>
          <t>小規模多機能型居宅介護・介護予防小規模多機能型居宅介護</t>
        </is>
      </c>
      <c r="C14" s="9" t="inlineStr">
        <is>
          <t>延利用人数</t>
        </is>
      </c>
      <c r="D14" s="9" t="inlineStr">
        <is>
          <t>人／年</t>
        </is>
      </c>
      <c r="E14" s="11" t="n"/>
      <c r="F14" s="12" t="n">
        <v>323</v>
      </c>
      <c r="G14" s="13">
        <f>IF(OR(E14="",E14=0,F14=""),"",F14/E14)</f>
        <v/>
      </c>
      <c r="H14" s="11" t="n"/>
      <c r="I14" s="12" t="n">
        <v>10</v>
      </c>
      <c r="J14" s="13">
        <f>IF(OR(H14="",H14=0,I14=""),"",I14/H14)</f>
        <v/>
      </c>
      <c r="K14" s="11" t="n"/>
      <c r="L14" s="12" t="n">
        <v>10</v>
      </c>
      <c r="M14" s="13">
        <f>IF(OR(K14="",K14=0,L14=""),"",L14/K14)</f>
        <v/>
      </c>
      <c r="N14" s="14" t="inlineStr">
        <is>
          <t>同上。ただし実績データでは令和6年度以降に給付実績がある</t>
        </is>
      </c>
      <c r="O14" s="15" t="inlineStr">
        <is>
          <t>実績データ 04シート</t>
        </is>
      </c>
    </row>
    <row r="15">
      <c r="A15" s="9" t="inlineStr">
        <is>
          <t>地域密着型</t>
        </is>
      </c>
      <c r="B15" s="10" t="inlineStr">
        <is>
          <t>小規模多機能型居宅介護・介護予防小規模多機能型居宅介護</t>
        </is>
      </c>
      <c r="C15" s="9" t="inlineStr">
        <is>
          <t>給付費</t>
        </is>
      </c>
      <c r="D15" s="9" t="inlineStr">
        <is>
          <t>千円／年</t>
        </is>
      </c>
      <c r="E15" s="11" t="n"/>
      <c r="F15" s="12" t="n">
        <v>3466</v>
      </c>
      <c r="G15" s="13">
        <f>IF(OR(E15="",E15=0,F15=""),"",F15/E15)</f>
        <v/>
      </c>
      <c r="H15" s="11" t="n"/>
      <c r="I15" s="12" t="n">
        <v>808</v>
      </c>
      <c r="J15" s="13">
        <f>IF(OR(H15="",H15=0,I15=""),"",I15/H15)</f>
        <v/>
      </c>
      <c r="K15" s="11" t="n"/>
      <c r="L15" s="12" t="n">
        <v>791</v>
      </c>
      <c r="M15" s="13">
        <f>IF(OR(K15="",K15=0,L15=""),"",L15/K15)</f>
        <v/>
      </c>
      <c r="N15" s="14" t="inlineStr">
        <is>
          <t>同上。ただし実績データでは令和6年度以降に給付実績がある</t>
        </is>
      </c>
      <c r="O15" s="15" t="inlineStr">
        <is>
          <t>実績データ 04シート</t>
        </is>
      </c>
    </row>
    <row r="16">
      <c r="A16" s="9" t="inlineStr">
        <is>
          <t>地域密着型</t>
        </is>
      </c>
      <c r="B16" s="10" t="inlineStr">
        <is>
          <t>地域密着型特定施設入居者生活介護</t>
        </is>
      </c>
      <c r="C16" s="9" t="inlineStr">
        <is>
          <t>―</t>
        </is>
      </c>
      <c r="D16" s="9" t="inlineStr">
        <is>
          <t>―</t>
        </is>
      </c>
      <c r="E16" s="11" t="n"/>
      <c r="F16" s="12" t="n"/>
      <c r="G16" s="13">
        <f>IF(OR(E16="",E16=0,F16=""),"",F16/E16)</f>
        <v/>
      </c>
      <c r="H16" s="11" t="n"/>
      <c r="I16" s="12" t="n"/>
      <c r="J16" s="13">
        <f>IF(OR(H16="",H16=0,I16=""),"",I16/H16)</f>
        <v/>
      </c>
      <c r="K16" s="11" t="n"/>
      <c r="L16" s="12" t="n"/>
      <c r="M16" s="13">
        <f>IF(OR(K16="",K16=0,L16=""),"",L16/K16)</f>
        <v/>
      </c>
      <c r="N16" s="14" t="inlineStr">
        <is>
          <t>同上</t>
        </is>
      </c>
      <c r="O16" s="15" t="inlineStr">
        <is>
          <t>第9期計画書</t>
        </is>
      </c>
    </row>
    <row r="17">
      <c r="A17" s="9" t="inlineStr">
        <is>
          <t>地域密着型</t>
        </is>
      </c>
      <c r="B17" s="10" t="inlineStr">
        <is>
          <t>看護小規模多機能型居宅介護（複合型サービス）</t>
        </is>
      </c>
      <c r="C17" s="9" t="inlineStr">
        <is>
          <t>―</t>
        </is>
      </c>
      <c r="D17" s="9" t="inlineStr">
        <is>
          <t>―</t>
        </is>
      </c>
      <c r="E17" s="11" t="n"/>
      <c r="F17" s="12" t="n"/>
      <c r="G17" s="13">
        <f>IF(OR(E17="",E17=0,F17=""),"",F17/E17)</f>
        <v/>
      </c>
      <c r="H17" s="11" t="n"/>
      <c r="I17" s="12" t="n"/>
      <c r="J17" s="13">
        <f>IF(OR(H17="",H17=0,I17=""),"",I17/H17)</f>
        <v/>
      </c>
      <c r="K17" s="11" t="n"/>
      <c r="L17" s="12" t="n"/>
      <c r="M17" s="13">
        <f>IF(OR(K17="",K17=0,L17=""),"",L17/K17)</f>
        <v/>
      </c>
      <c r="N17" s="14" t="inlineStr">
        <is>
          <t>同上</t>
        </is>
      </c>
      <c r="O17" s="15" t="inlineStr">
        <is>
          <t>第9期計画書</t>
        </is>
      </c>
    </row>
    <row r="18">
      <c r="A18" s="9" t="inlineStr">
        <is>
          <t>地域密着型</t>
        </is>
      </c>
      <c r="B18" s="10" t="inlineStr">
        <is>
          <t>地域密着型通所介護（小規模デイ）</t>
        </is>
      </c>
      <c r="C18" s="9" t="inlineStr">
        <is>
          <t>延利用人数</t>
        </is>
      </c>
      <c r="D18" s="9" t="inlineStr">
        <is>
          <t>人／年</t>
        </is>
      </c>
      <c r="E18" s="11" t="n"/>
      <c r="F18" s="12" t="n">
        <v>11</v>
      </c>
      <c r="G18" s="13">
        <f>IF(OR(E18="",E18=0,F18=""),"",F18/E18)</f>
        <v/>
      </c>
      <c r="H18" s="11" t="n"/>
      <c r="I18" s="12" t="n">
        <v>11</v>
      </c>
      <c r="J18" s="13">
        <f>IF(OR(H18="",H18=0,I18=""),"",I18/H18)</f>
        <v/>
      </c>
      <c r="K18" s="11" t="n"/>
      <c r="L18" s="12" t="n">
        <v>11</v>
      </c>
      <c r="M18" s="13">
        <f>IF(OR(K18="",K18=0,L18=""),"",L18/K18)</f>
        <v/>
      </c>
      <c r="N18" s="14" t="inlineStr">
        <is>
          <t>同上。ただし実績データでは令和4年度以降に給付実績がある</t>
        </is>
      </c>
      <c r="O18" s="15" t="inlineStr">
        <is>
          <t>実績データ 04シート</t>
        </is>
      </c>
    </row>
    <row r="19">
      <c r="A19" s="9" t="inlineStr">
        <is>
          <t>地域密着型</t>
        </is>
      </c>
      <c r="B19" s="10" t="inlineStr">
        <is>
          <t>地域密着型通所介護（小規模デイ）</t>
        </is>
      </c>
      <c r="C19" s="9" t="inlineStr">
        <is>
          <t>給付費</t>
        </is>
      </c>
      <c r="D19" s="9" t="inlineStr">
        <is>
          <t>千円／年</t>
        </is>
      </c>
      <c r="E19" s="11" t="n"/>
      <c r="F19" s="12" t="n">
        <v>324</v>
      </c>
      <c r="G19" s="13">
        <f>IF(OR(E19="",E19=0,F19=""),"",F19/E19)</f>
        <v/>
      </c>
      <c r="H19" s="11" t="n"/>
      <c r="I19" s="12" t="n">
        <v>377</v>
      </c>
      <c r="J19" s="13">
        <f>IF(OR(H19="",H19=0,I19=""),"",I19/H19)</f>
        <v/>
      </c>
      <c r="K19" s="11" t="n"/>
      <c r="L19" s="12" t="n">
        <v>380</v>
      </c>
      <c r="M19" s="13">
        <f>IF(OR(K19="",K19=0,L19=""),"",L19/K19)</f>
        <v/>
      </c>
      <c r="N19" s="14" t="inlineStr">
        <is>
          <t>同上。ただし実績データでは令和4年度以降に給付実績がある</t>
        </is>
      </c>
      <c r="O19" s="15" t="inlineStr">
        <is>
          <t>実績データ 04シート</t>
        </is>
      </c>
    </row>
  </sheetData>
  <autoFilter ref="A4:O19"/>
  <mergeCells count="2">
    <mergeCell ref="A1:O1"/>
    <mergeCell ref="A2:O2"/>
  </mergeCells>
  <conditionalFormatting sqref="G5:G19">
    <cfRule type="cellIs" priority="1" operator="lessThan" dxfId="0">
      <formula>0.8</formula>
    </cfRule>
    <cfRule type="cellIs" priority="2" operator="greaterThan" dxfId="0">
      <formula>1.2</formula>
    </cfRule>
  </conditionalFormatting>
  <conditionalFormatting sqref="J5:J19">
    <cfRule type="cellIs" priority="3" operator="lessThan" dxfId="0">
      <formula>0.8</formula>
    </cfRule>
    <cfRule type="cellIs" priority="4" operator="greaterThan" dxfId="0">
      <formula>1.2</formula>
    </cfRule>
  </conditionalFormatting>
  <conditionalFormatting sqref="M5:M19">
    <cfRule type="cellIs" priority="5" operator="lessThan" dxfId="0">
      <formula>0.8</formula>
    </cfRule>
    <cfRule type="cellIs" priority="6" operator="greaterThan" dxfId="0">
      <formula>1.2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34" customWidth="1" min="14" max="14"/>
    <col width="18" customWidth="1" min="15" max="15"/>
  </cols>
  <sheetData>
    <row r="1" ht="24" customHeight="1">
      <c r="A1" s="1" t="inlineStr">
        <is>
          <t>サービス別 計画値・実績値 対比表　施設サービス</t>
        </is>
      </c>
    </row>
    <row r="2">
      <c r="A2" s="2" t="inlineStr">
        <is>
          <t>計画値：第9期計画書（令和6年3月）／実績：町提供実績データ（令和8年9月1日受領・仮試算）</t>
        </is>
      </c>
    </row>
    <row r="4" ht="32" customHeight="1">
      <c r="A4" s="8" t="inlineStr">
        <is>
          <t>区分</t>
        </is>
      </c>
      <c r="B4" s="8" t="inlineStr">
        <is>
          <t>サービス・事業名</t>
        </is>
      </c>
      <c r="C4" s="8" t="inlineStr">
        <is>
          <t>指標</t>
        </is>
      </c>
      <c r="D4" s="8" t="inlineStr">
        <is>
          <t>単位</t>
        </is>
      </c>
      <c r="E4" s="8" t="inlineStr">
        <is>
          <t>R6計画</t>
        </is>
      </c>
      <c r="F4" s="8" t="inlineStr">
        <is>
          <t>R6実績</t>
        </is>
      </c>
      <c r="G4" s="8" t="inlineStr">
        <is>
          <t>達成率</t>
        </is>
      </c>
      <c r="H4" s="8" t="inlineStr">
        <is>
          <t>R7計画</t>
        </is>
      </c>
      <c r="I4" s="8" t="inlineStr">
        <is>
          <t>R7実績</t>
        </is>
      </c>
      <c r="J4" s="8" t="inlineStr">
        <is>
          <t>達成率</t>
        </is>
      </c>
      <c r="K4" s="8" t="inlineStr">
        <is>
          <t>R8計画</t>
        </is>
      </c>
      <c r="L4" s="8" t="inlineStr">
        <is>
          <t>R8見込</t>
        </is>
      </c>
      <c r="M4" s="8" t="inlineStr">
        <is>
          <t>達成率</t>
        </is>
      </c>
      <c r="N4" s="8" t="inlineStr">
        <is>
          <t>乖離の要因・対応</t>
        </is>
      </c>
      <c r="O4" s="8" t="inlineStr">
        <is>
          <t>出典・記入担当</t>
        </is>
      </c>
    </row>
    <row r="5">
      <c r="A5" s="9" t="inlineStr">
        <is>
          <t>施設</t>
        </is>
      </c>
      <c r="B5" s="10" t="inlineStr">
        <is>
          <t>介護老人福祉施設（特別養護老人施設）</t>
        </is>
      </c>
      <c r="C5" s="9" t="inlineStr">
        <is>
          <t>延利用人数</t>
        </is>
      </c>
      <c r="D5" s="9" t="inlineStr">
        <is>
          <t>人／年</t>
        </is>
      </c>
      <c r="E5" s="11" t="n">
        <v>780</v>
      </c>
      <c r="F5" s="12" t="n">
        <v>827</v>
      </c>
      <c r="G5" s="13">
        <f>IF(OR(E5="",E5=0,F5=""),"",F5/E5)</f>
        <v/>
      </c>
      <c r="H5" s="11" t="n">
        <v>780</v>
      </c>
      <c r="I5" s="12" t="n">
        <v>830</v>
      </c>
      <c r="J5" s="13">
        <f>IF(OR(H5="",H5=0,I5=""),"",I5/H5)</f>
        <v/>
      </c>
      <c r="K5" s="11" t="n">
        <v>780</v>
      </c>
      <c r="L5" s="12" t="n">
        <v>830</v>
      </c>
      <c r="M5" s="13">
        <f>IF(OR(K5="",K5=0,L5=""),"",L5/K5)</f>
        <v/>
      </c>
      <c r="N5" s="14" t="n"/>
      <c r="O5" s="15" t="inlineStr">
        <is>
          <t>計画書／実績データ 04シート</t>
        </is>
      </c>
    </row>
    <row r="6">
      <c r="A6" s="9" t="inlineStr">
        <is>
          <t>施設</t>
        </is>
      </c>
      <c r="B6" s="10" t="inlineStr">
        <is>
          <t>介護老人福祉施設（特別養護老人施設）</t>
        </is>
      </c>
      <c r="C6" s="9" t="inlineStr">
        <is>
          <t>給付費</t>
        </is>
      </c>
      <c r="D6" s="9" t="inlineStr">
        <is>
          <t>千円／年</t>
        </is>
      </c>
      <c r="E6" s="11" t="n">
        <v>222271</v>
      </c>
      <c r="F6" s="12" t="n">
        <v>232501</v>
      </c>
      <c r="G6" s="13">
        <f>IF(OR(E6="",E6=0,F6=""),"",F6/E6)</f>
        <v/>
      </c>
      <c r="H6" s="11" t="n">
        <v>222552</v>
      </c>
      <c r="I6" s="12" t="n">
        <v>232975</v>
      </c>
      <c r="J6" s="13">
        <f>IF(OR(H6="",H6=0,I6=""),"",I6/H6)</f>
        <v/>
      </c>
      <c r="K6" s="11" t="n">
        <v>222552</v>
      </c>
      <c r="L6" s="12" t="n">
        <v>237634</v>
      </c>
      <c r="M6" s="13">
        <f>IF(OR(K6="",K6=0,L6=""),"",L6/K6)</f>
        <v/>
      </c>
      <c r="N6" s="14" t="n"/>
      <c r="O6" s="15" t="inlineStr">
        <is>
          <t>計画書／実績データ 04シート</t>
        </is>
      </c>
    </row>
    <row r="7">
      <c r="A7" s="9" t="inlineStr">
        <is>
          <t>施設</t>
        </is>
      </c>
      <c r="B7" s="10" t="inlineStr">
        <is>
          <t>介護老人保健施設（老人保健施設）</t>
        </is>
      </c>
      <c r="C7" s="9" t="inlineStr">
        <is>
          <t>延利用人数</t>
        </is>
      </c>
      <c r="D7" s="9" t="inlineStr">
        <is>
          <t>人／年</t>
        </is>
      </c>
      <c r="E7" s="11" t="n">
        <v>816</v>
      </c>
      <c r="F7" s="12" t="n">
        <v>773</v>
      </c>
      <c r="G7" s="13">
        <f>IF(OR(E7="",E7=0,F7=""),"",F7/E7)</f>
        <v/>
      </c>
      <c r="H7" s="11" t="n">
        <v>816</v>
      </c>
      <c r="I7" s="12" t="n">
        <v>810</v>
      </c>
      <c r="J7" s="13">
        <f>IF(OR(H7="",H7=0,I7=""),"",I7/H7)</f>
        <v/>
      </c>
      <c r="K7" s="11" t="n">
        <v>828</v>
      </c>
      <c r="L7" s="12" t="n">
        <v>810</v>
      </c>
      <c r="M7" s="13">
        <f>IF(OR(K7="",K7=0,L7=""),"",L7/K7)</f>
        <v/>
      </c>
      <c r="N7" s="14" t="n"/>
      <c r="O7" s="15" t="inlineStr">
        <is>
          <t>計画書／実績データ 04シート</t>
        </is>
      </c>
    </row>
    <row r="8">
      <c r="A8" s="9" t="inlineStr">
        <is>
          <t>施設</t>
        </is>
      </c>
      <c r="B8" s="10" t="inlineStr">
        <is>
          <t>介護老人保健施設（老人保健施設）</t>
        </is>
      </c>
      <c r="C8" s="9" t="inlineStr">
        <is>
          <t>給付費</t>
        </is>
      </c>
      <c r="D8" s="9" t="inlineStr">
        <is>
          <t>千円／年</t>
        </is>
      </c>
      <c r="E8" s="11" t="n">
        <v>254611</v>
      </c>
      <c r="F8" s="12" t="n">
        <v>249357</v>
      </c>
      <c r="G8" s="13">
        <f>IF(OR(E8="",E8=0,F8=""),"",F8/E8)</f>
        <v/>
      </c>
      <c r="H8" s="11" t="n">
        <v>254933</v>
      </c>
      <c r="I8" s="12" t="n">
        <v>260376</v>
      </c>
      <c r="J8" s="13">
        <f>IF(OR(H8="",H8=0,I8=""),"",I8/H8)</f>
        <v/>
      </c>
      <c r="K8" s="11" t="n">
        <v>258976</v>
      </c>
      <c r="L8" s="12" t="n">
        <v>265583</v>
      </c>
      <c r="M8" s="13">
        <f>IF(OR(K8="",K8=0,L8=""),"",L8/K8)</f>
        <v/>
      </c>
      <c r="N8" s="14" t="n"/>
      <c r="O8" s="15" t="inlineStr">
        <is>
          <t>計画書／実績データ 04シート</t>
        </is>
      </c>
    </row>
    <row r="9">
      <c r="A9" s="9" t="inlineStr">
        <is>
          <t>施設</t>
        </is>
      </c>
      <c r="B9" s="10" t="inlineStr">
        <is>
          <t>介護療養型医療施設</t>
        </is>
      </c>
      <c r="C9" s="9" t="inlineStr">
        <is>
          <t>―</t>
        </is>
      </c>
      <c r="D9" s="9" t="inlineStr">
        <is>
          <t>―</t>
        </is>
      </c>
      <c r="E9" s="11" t="n"/>
      <c r="F9" s="12" t="n"/>
      <c r="G9" s="13">
        <f>IF(OR(E9="",E9=0,F9=""),"",F9/E9)</f>
        <v/>
      </c>
      <c r="H9" s="11" t="n"/>
      <c r="I9" s="12" t="n"/>
      <c r="J9" s="13">
        <f>IF(OR(H9="",H9=0,I9=""),"",I9/H9)</f>
        <v/>
      </c>
      <c r="K9" s="11" t="n"/>
      <c r="L9" s="12" t="n"/>
      <c r="M9" s="13">
        <f>IF(OR(K9="",K9=0,L9=""),"",L9/K9)</f>
        <v/>
      </c>
      <c r="N9" s="14" t="inlineStr">
        <is>
          <t>令和5年度末に制度廃止</t>
        </is>
      </c>
      <c r="O9" s="15" t="inlineStr">
        <is>
          <t>第9期計画書</t>
        </is>
      </c>
    </row>
    <row r="10">
      <c r="A10" s="9" t="inlineStr">
        <is>
          <t>施設</t>
        </is>
      </c>
      <c r="B10" s="10" t="inlineStr">
        <is>
          <t>介護医療院</t>
        </is>
      </c>
      <c r="C10" s="9" t="inlineStr">
        <is>
          <t>―</t>
        </is>
      </c>
      <c r="D10" s="9" t="inlineStr">
        <is>
          <t>―</t>
        </is>
      </c>
      <c r="E10" s="11" t="n"/>
      <c r="F10" s="12" t="n"/>
      <c r="G10" s="13">
        <f>IF(OR(E10="",E10=0,F10=""),"",F10/E10)</f>
        <v/>
      </c>
      <c r="H10" s="11" t="n"/>
      <c r="I10" s="12" t="n"/>
      <c r="J10" s="13">
        <f>IF(OR(H10="",H10=0,I10=""),"",I10/H10)</f>
        <v/>
      </c>
      <c r="K10" s="11" t="n"/>
      <c r="L10" s="12" t="n"/>
      <c r="M10" s="13">
        <f>IF(OR(K10="",K10=0,L10=""),"",L10/K10)</f>
        <v/>
      </c>
      <c r="N10" s="14" t="inlineStr">
        <is>
          <t>第9期計画に記載なし。実績データにも計上なし</t>
        </is>
      </c>
      <c r="O10" s="15" t="inlineStr">
        <is>
          <t>第9期計画書</t>
        </is>
      </c>
    </row>
  </sheetData>
  <autoFilter ref="A4:O10"/>
  <mergeCells count="2">
    <mergeCell ref="A1:O1"/>
    <mergeCell ref="A2:O2"/>
  </mergeCells>
  <conditionalFormatting sqref="G5:G10">
    <cfRule type="cellIs" priority="1" operator="lessThan" dxfId="0">
      <formula>0.8</formula>
    </cfRule>
    <cfRule type="cellIs" priority="2" operator="greaterThan" dxfId="0">
      <formula>1.2</formula>
    </cfRule>
  </conditionalFormatting>
  <conditionalFormatting sqref="J5:J10">
    <cfRule type="cellIs" priority="3" operator="lessThan" dxfId="0">
      <formula>0.8</formula>
    </cfRule>
    <cfRule type="cellIs" priority="4" operator="greaterThan" dxfId="0">
      <formula>1.2</formula>
    </cfRule>
  </conditionalFormatting>
  <conditionalFormatting sqref="M5:M10">
    <cfRule type="cellIs" priority="5" operator="lessThan" dxfId="0">
      <formula>0.8</formula>
    </cfRule>
    <cfRule type="cellIs" priority="6" operator="greaterThan" dxfId="0">
      <formula>1.2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34" customWidth="1" min="14" max="14"/>
    <col width="18" customWidth="1" min="15" max="15"/>
  </cols>
  <sheetData>
    <row r="1" ht="24" customHeight="1">
      <c r="A1" s="1" t="inlineStr">
        <is>
          <t>サービス別 計画値・実績値 対比表　総合事業・一般介護予防</t>
        </is>
      </c>
    </row>
    <row r="2">
      <c r="A2" s="2" t="inlineStr">
        <is>
          <t>計画値：第9期計画書（令和6年3月）／実績：町提供実績データ（令和8年9月1日受領・仮試算）</t>
        </is>
      </c>
    </row>
    <row r="4" ht="32" customHeight="1">
      <c r="A4" s="8" t="inlineStr">
        <is>
          <t>区分</t>
        </is>
      </c>
      <c r="B4" s="8" t="inlineStr">
        <is>
          <t>サービス・事業名</t>
        </is>
      </c>
      <c r="C4" s="8" t="inlineStr">
        <is>
          <t>指標</t>
        </is>
      </c>
      <c r="D4" s="8" t="inlineStr">
        <is>
          <t>単位</t>
        </is>
      </c>
      <c r="E4" s="8" t="inlineStr">
        <is>
          <t>R6計画</t>
        </is>
      </c>
      <c r="F4" s="8" t="inlineStr">
        <is>
          <t>R6実績</t>
        </is>
      </c>
      <c r="G4" s="8" t="inlineStr">
        <is>
          <t>達成率</t>
        </is>
      </c>
      <c r="H4" s="8" t="inlineStr">
        <is>
          <t>R7計画</t>
        </is>
      </c>
      <c r="I4" s="8" t="inlineStr">
        <is>
          <t>R7実績</t>
        </is>
      </c>
      <c r="J4" s="8" t="inlineStr">
        <is>
          <t>達成率</t>
        </is>
      </c>
      <c r="K4" s="8" t="inlineStr">
        <is>
          <t>R8計画</t>
        </is>
      </c>
      <c r="L4" s="8" t="inlineStr">
        <is>
          <t>R8見込</t>
        </is>
      </c>
      <c r="M4" s="8" t="inlineStr">
        <is>
          <t>達成率</t>
        </is>
      </c>
      <c r="N4" s="8" t="inlineStr">
        <is>
          <t>乖離の要因・対応</t>
        </is>
      </c>
      <c r="O4" s="8" t="inlineStr">
        <is>
          <t>出典・記入担当</t>
        </is>
      </c>
    </row>
    <row r="5">
      <c r="A5" s="9" t="inlineStr">
        <is>
          <t>地域支援事業</t>
        </is>
      </c>
      <c r="B5" s="10" t="inlineStr">
        <is>
          <t>訪問型サービス（指定事業所による訪問介護サービス）</t>
        </is>
      </c>
      <c r="C5" s="9" t="inlineStr">
        <is>
          <t>延利用人数</t>
        </is>
      </c>
      <c r="D5" s="9" t="inlineStr">
        <is>
          <t>人／年</t>
        </is>
      </c>
      <c r="E5" s="11" t="n">
        <v>96</v>
      </c>
      <c r="F5" s="12" t="n"/>
      <c r="G5" s="13">
        <f>IF(OR(E5="",E5=0,F5=""),"",F5/E5)</f>
        <v/>
      </c>
      <c r="H5" s="11" t="n">
        <v>96</v>
      </c>
      <c r="I5" s="12" t="n"/>
      <c r="J5" s="13">
        <f>IF(OR(H5="",H5=0,I5=""),"",I5/H5)</f>
        <v/>
      </c>
      <c r="K5" s="11" t="n">
        <v>96</v>
      </c>
      <c r="L5" s="12" t="n"/>
      <c r="M5" s="13">
        <f>IF(OR(K5="",K5=0,L5=""),"",L5/K5)</f>
        <v/>
      </c>
      <c r="N5" s="14" t="inlineStr">
        <is>
          <t>実績データ02シートに訪問型サービスの利用実人数481〜534人の記載があるが、計画の延利用人数96人と定義が一致しないため転記していない</t>
        </is>
      </c>
      <c r="O5" s="15" t="inlineStr">
        <is>
          <t>第9期計画書</t>
        </is>
      </c>
    </row>
    <row r="6">
      <c r="A6" s="9" t="inlineStr">
        <is>
          <t>地域支援事業</t>
        </is>
      </c>
      <c r="B6" s="10" t="inlineStr">
        <is>
          <t>訪問型サービス（指定事業所による訪問介護サービス）</t>
        </is>
      </c>
      <c r="C6" s="9" t="inlineStr">
        <is>
          <t>給付費</t>
        </is>
      </c>
      <c r="D6" s="9" t="inlineStr">
        <is>
          <t>千円／年</t>
        </is>
      </c>
      <c r="E6" s="11" t="n">
        <v>400</v>
      </c>
      <c r="F6" s="12" t="n"/>
      <c r="G6" s="13">
        <f>IF(OR(E6="",E6=0,F6=""),"",F6/E6)</f>
        <v/>
      </c>
      <c r="H6" s="11" t="n">
        <v>400</v>
      </c>
      <c r="I6" s="12" t="n"/>
      <c r="J6" s="13">
        <f>IF(OR(H6="",H6=0,I6=""),"",I6/H6)</f>
        <v/>
      </c>
      <c r="K6" s="11" t="n">
        <v>400</v>
      </c>
      <c r="L6" s="12" t="n"/>
      <c r="M6" s="13">
        <f>IF(OR(K6="",K6=0,L6=""),"",L6/K6)</f>
        <v/>
      </c>
      <c r="N6" s="14" t="n"/>
      <c r="O6" s="15" t="inlineStr">
        <is>
          <t>第9期計画書</t>
        </is>
      </c>
    </row>
    <row r="7">
      <c r="A7" s="9" t="inlineStr">
        <is>
          <t>地域支援事業</t>
        </is>
      </c>
      <c r="B7" s="10" t="inlineStr">
        <is>
          <t>訪問型サービス B（住民主体のサービス）</t>
        </is>
      </c>
      <c r="C7" s="9" t="inlineStr">
        <is>
          <t>実利用人数</t>
        </is>
      </c>
      <c r="D7" s="9" t="inlineStr">
        <is>
          <t>人／年</t>
        </is>
      </c>
      <c r="E7" s="11" t="n">
        <v>16</v>
      </c>
      <c r="F7" s="12" t="n"/>
      <c r="G7" s="13">
        <f>IF(OR(E7="",E7=0,F7=""),"",F7/E7)</f>
        <v/>
      </c>
      <c r="H7" s="11" t="n">
        <v>17</v>
      </c>
      <c r="I7" s="12" t="n"/>
      <c r="J7" s="13">
        <f>IF(OR(H7="",H7=0,I7=""),"",I7/H7)</f>
        <v/>
      </c>
      <c r="K7" s="11" t="n">
        <v>18</v>
      </c>
      <c r="L7" s="12" t="n"/>
      <c r="M7" s="13">
        <f>IF(OR(K7="",K7=0,L7=""),"",L7/K7)</f>
        <v/>
      </c>
      <c r="N7" s="14" t="n"/>
      <c r="O7" s="15" t="inlineStr">
        <is>
          <t>第9期計画書</t>
        </is>
      </c>
    </row>
    <row r="8">
      <c r="A8" s="9" t="inlineStr">
        <is>
          <t>地域支援事業</t>
        </is>
      </c>
      <c r="B8" s="10" t="inlineStr">
        <is>
          <t>訪問型サービス B（住民主体のサービス）</t>
        </is>
      </c>
      <c r="C8" s="9" t="inlineStr">
        <is>
          <t>延利用人数</t>
        </is>
      </c>
      <c r="D8" s="9" t="inlineStr">
        <is>
          <t>人／年</t>
        </is>
      </c>
      <c r="E8" s="11" t="n">
        <v>590</v>
      </c>
      <c r="F8" s="12" t="n"/>
      <c r="G8" s="13">
        <f>IF(OR(E8="",E8=0,F8=""),"",F8/E8)</f>
        <v/>
      </c>
      <c r="H8" s="11" t="n">
        <v>620</v>
      </c>
      <c r="I8" s="12" t="n"/>
      <c r="J8" s="13">
        <f>IF(OR(H8="",H8=0,I8=""),"",I8/H8)</f>
        <v/>
      </c>
      <c r="K8" s="11" t="n">
        <v>650</v>
      </c>
      <c r="L8" s="12" t="n"/>
      <c r="M8" s="13">
        <f>IF(OR(K8="",K8=0,L8=""),"",L8/K8)</f>
        <v/>
      </c>
      <c r="N8" s="14" t="n"/>
      <c r="O8" s="15" t="inlineStr">
        <is>
          <t>第9期計画書</t>
        </is>
      </c>
    </row>
    <row r="9">
      <c r="A9" s="9" t="inlineStr">
        <is>
          <t>地域支援事業</t>
        </is>
      </c>
      <c r="B9" s="10" t="inlineStr">
        <is>
          <t>訪問型サービス C（短期集中予防サービス）</t>
        </is>
      </c>
      <c r="C9" s="9" t="inlineStr">
        <is>
          <t>実利用人数</t>
        </is>
      </c>
      <c r="D9" s="9" t="inlineStr">
        <is>
          <t>人／年</t>
        </is>
      </c>
      <c r="E9" s="11" t="n">
        <v>10</v>
      </c>
      <c r="F9" s="12" t="n"/>
      <c r="G9" s="13">
        <f>IF(OR(E9="",E9=0,F9=""),"",F9/E9)</f>
        <v/>
      </c>
      <c r="H9" s="11" t="n">
        <v>10</v>
      </c>
      <c r="I9" s="12" t="n"/>
      <c r="J9" s="13">
        <f>IF(OR(H9="",H9=0,I9=""),"",I9/H9)</f>
        <v/>
      </c>
      <c r="K9" s="11" t="n">
        <v>10</v>
      </c>
      <c r="L9" s="12" t="n"/>
      <c r="M9" s="13">
        <f>IF(OR(K9="",K9=0,L9=""),"",L9/K9)</f>
        <v/>
      </c>
      <c r="N9" s="14" t="n"/>
      <c r="O9" s="15" t="inlineStr">
        <is>
          <t>第9期計画書</t>
        </is>
      </c>
    </row>
    <row r="10">
      <c r="A10" s="9" t="inlineStr">
        <is>
          <t>地域支援事業</t>
        </is>
      </c>
      <c r="B10" s="10" t="inlineStr">
        <is>
          <t>通所型サービス（指定事業所による通所サービス）</t>
        </is>
      </c>
      <c r="C10" s="9" t="inlineStr">
        <is>
          <t>延利用人数</t>
        </is>
      </c>
      <c r="D10" s="9" t="inlineStr">
        <is>
          <t>人／年</t>
        </is>
      </c>
      <c r="E10" s="11" t="n">
        <v>300</v>
      </c>
      <c r="F10" s="12" t="n"/>
      <c r="G10" s="13">
        <f>IF(OR(E10="",E10=0,F10=""),"",F10/E10)</f>
        <v/>
      </c>
      <c r="H10" s="11" t="n">
        <v>300</v>
      </c>
      <c r="I10" s="12" t="n"/>
      <c r="J10" s="13">
        <f>IF(OR(H10="",H10=0,I10=""),"",I10/H10)</f>
        <v/>
      </c>
      <c r="K10" s="11" t="n">
        <v>300</v>
      </c>
      <c r="L10" s="12" t="n"/>
      <c r="M10" s="13">
        <f>IF(OR(K10="",K10=0,L10=""),"",L10/K10)</f>
        <v/>
      </c>
      <c r="N10" s="14" t="inlineStr">
        <is>
          <t>実績データ02シートに通所型サービスの利用実人数647〜786人の記載があるが、計画の延利用人数300人と定義が一致しないため転記していない</t>
        </is>
      </c>
      <c r="O10" s="15" t="inlineStr">
        <is>
          <t>第9期計画書</t>
        </is>
      </c>
    </row>
    <row r="11">
      <c r="A11" s="9" t="inlineStr">
        <is>
          <t>地域支援事業</t>
        </is>
      </c>
      <c r="B11" s="10" t="inlineStr">
        <is>
          <t>通所型サービス（指定事業所による通所サービス）</t>
        </is>
      </c>
      <c r="C11" s="9" t="inlineStr">
        <is>
          <t>給付費</t>
        </is>
      </c>
      <c r="D11" s="9" t="inlineStr">
        <is>
          <t>千円／年</t>
        </is>
      </c>
      <c r="E11" s="11" t="n">
        <v>2400</v>
      </c>
      <c r="F11" s="12" t="n"/>
      <c r="G11" s="13">
        <f>IF(OR(E11="",E11=0,F11=""),"",F11/E11)</f>
        <v/>
      </c>
      <c r="H11" s="11" t="n">
        <v>2400</v>
      </c>
      <c r="I11" s="12" t="n"/>
      <c r="J11" s="13">
        <f>IF(OR(H11="",H11=0,I11=""),"",I11/H11)</f>
        <v/>
      </c>
      <c r="K11" s="11" t="n">
        <v>2400</v>
      </c>
      <c r="L11" s="12" t="n"/>
      <c r="M11" s="13">
        <f>IF(OR(K11="",K11=0,L11=""),"",L11/K11)</f>
        <v/>
      </c>
      <c r="N11" s="14" t="n"/>
      <c r="O11" s="15" t="inlineStr">
        <is>
          <t>第9期計画書</t>
        </is>
      </c>
    </row>
    <row r="12">
      <c r="A12" s="9" t="inlineStr">
        <is>
          <t>地域支援事業</t>
        </is>
      </c>
      <c r="B12" s="10" t="inlineStr">
        <is>
          <t>通所型サービス B（住民主体のサービス）</t>
        </is>
      </c>
      <c r="C12" s="9" t="inlineStr">
        <is>
          <t>実利用人数</t>
        </is>
      </c>
      <c r="D12" s="9" t="inlineStr">
        <is>
          <t>人／年</t>
        </is>
      </c>
      <c r="E12" s="11" t="n">
        <v>21</v>
      </c>
      <c r="F12" s="12" t="n"/>
      <c r="G12" s="13">
        <f>IF(OR(E12="",E12=0,F12=""),"",F12/E12)</f>
        <v/>
      </c>
      <c r="H12" s="11" t="n">
        <v>22</v>
      </c>
      <c r="I12" s="12" t="n"/>
      <c r="J12" s="13">
        <f>IF(OR(H12="",H12=0,I12=""),"",I12/H12)</f>
        <v/>
      </c>
      <c r="K12" s="11" t="n">
        <v>23</v>
      </c>
      <c r="L12" s="12" t="n"/>
      <c r="M12" s="13">
        <f>IF(OR(K12="",K12=0,L12=""),"",L12/K12)</f>
        <v/>
      </c>
      <c r="N12" s="14" t="n"/>
      <c r="O12" s="15" t="inlineStr">
        <is>
          <t>第9期計画書</t>
        </is>
      </c>
    </row>
    <row r="13">
      <c r="A13" s="9" t="inlineStr">
        <is>
          <t>地域支援事業</t>
        </is>
      </c>
      <c r="B13" s="10" t="inlineStr">
        <is>
          <t>通所型サービス B（住民主体のサービス）</t>
        </is>
      </c>
      <c r="C13" s="9" t="inlineStr">
        <is>
          <t>延利用人数</t>
        </is>
      </c>
      <c r="D13" s="9" t="inlineStr">
        <is>
          <t>人／年</t>
        </is>
      </c>
      <c r="E13" s="11" t="n">
        <v>540</v>
      </c>
      <c r="F13" s="12" t="n"/>
      <c r="G13" s="13">
        <f>IF(OR(E13="",E13=0,F13=""),"",F13/E13)</f>
        <v/>
      </c>
      <c r="H13" s="11" t="n">
        <v>550</v>
      </c>
      <c r="I13" s="12" t="n"/>
      <c r="J13" s="13">
        <f>IF(OR(H13="",H13=0,I13=""),"",I13/H13)</f>
        <v/>
      </c>
      <c r="K13" s="11" t="n">
        <v>560</v>
      </c>
      <c r="L13" s="12" t="n"/>
      <c r="M13" s="13">
        <f>IF(OR(K13="",K13=0,L13=""),"",L13/K13)</f>
        <v/>
      </c>
      <c r="N13" s="14" t="n"/>
      <c r="O13" s="15" t="inlineStr">
        <is>
          <t>第9期計画書</t>
        </is>
      </c>
    </row>
    <row r="14">
      <c r="A14" s="9" t="inlineStr">
        <is>
          <t>地域支援事業</t>
        </is>
      </c>
      <c r="B14" s="10" t="inlineStr">
        <is>
          <t>介護予防支援事業（ケアマネジメント）</t>
        </is>
      </c>
      <c r="C14" s="9" t="inlineStr">
        <is>
          <t>給付費</t>
        </is>
      </c>
      <c r="D14" s="9" t="inlineStr">
        <is>
          <t>千円／年</t>
        </is>
      </c>
      <c r="E14" s="11" t="n">
        <v>730</v>
      </c>
      <c r="F14" s="12" t="n"/>
      <c r="G14" s="13">
        <f>IF(OR(E14="",E14=0,F14=""),"",F14/E14)</f>
        <v/>
      </c>
      <c r="H14" s="11" t="n">
        <v>740</v>
      </c>
      <c r="I14" s="12" t="n"/>
      <c r="J14" s="13">
        <f>IF(OR(H14="",H14=0,I14=""),"",I14/H14)</f>
        <v/>
      </c>
      <c r="K14" s="11" t="n">
        <v>750</v>
      </c>
      <c r="L14" s="12" t="n"/>
      <c r="M14" s="13">
        <f>IF(OR(K14="",K14=0,L14=""),"",L14/K14)</f>
        <v/>
      </c>
      <c r="N14" s="14" t="n"/>
      <c r="O14" s="15" t="inlineStr">
        <is>
          <t>第9期計画書</t>
        </is>
      </c>
    </row>
    <row r="15">
      <c r="A15" s="9" t="inlineStr">
        <is>
          <t>地域支援事業</t>
        </is>
      </c>
      <c r="B15" s="10" t="inlineStr">
        <is>
          <t>介護予防フェスティバル</t>
        </is>
      </c>
      <c r="C15" s="9" t="inlineStr">
        <is>
          <t>参加人数</t>
        </is>
      </c>
      <c r="D15" s="9" t="inlineStr"/>
      <c r="E15" s="11" t="n">
        <v>250</v>
      </c>
      <c r="F15" s="12" t="n"/>
      <c r="G15" s="13">
        <f>IF(OR(E15="",E15=0,F15=""),"",F15/E15)</f>
        <v/>
      </c>
      <c r="H15" s="11" t="n">
        <v>250</v>
      </c>
      <c r="I15" s="12" t="n"/>
      <c r="J15" s="13">
        <f>IF(OR(H15="",H15=0,I15=""),"",I15/H15)</f>
        <v/>
      </c>
      <c r="K15" s="11" t="n">
        <v>250</v>
      </c>
      <c r="L15" s="12" t="n"/>
      <c r="M15" s="13">
        <f>IF(OR(K15="",K15=0,L15=""),"",L15/K15)</f>
        <v/>
      </c>
      <c r="N15" s="14" t="n"/>
      <c r="O15" s="15" t="inlineStr">
        <is>
          <t>第9期計画書</t>
        </is>
      </c>
    </row>
    <row r="16">
      <c r="A16" s="9" t="inlineStr">
        <is>
          <t>地域支援事業</t>
        </is>
      </c>
      <c r="B16" s="10" t="inlineStr">
        <is>
          <t>地域リハビリテーション活動支援事業</t>
        </is>
      </c>
      <c r="C16" s="9" t="inlineStr">
        <is>
          <t>訪問件数</t>
        </is>
      </c>
      <c r="D16" s="9" t="inlineStr">
        <is>
          <t>件／年</t>
        </is>
      </c>
      <c r="E16" s="11" t="n">
        <v>10</v>
      </c>
      <c r="F16" s="12" t="n"/>
      <c r="G16" s="13">
        <f>IF(OR(E16="",E16=0,F16=""),"",F16/E16)</f>
        <v/>
      </c>
      <c r="H16" s="11" t="n">
        <v>10</v>
      </c>
      <c r="I16" s="12" t="n"/>
      <c r="J16" s="13">
        <f>IF(OR(H16="",H16=0,I16=""),"",I16/H16)</f>
        <v/>
      </c>
      <c r="K16" s="11" t="n">
        <v>10</v>
      </c>
      <c r="L16" s="12" t="n"/>
      <c r="M16" s="13">
        <f>IF(OR(K16="",K16=0,L16=""),"",L16/K16)</f>
        <v/>
      </c>
      <c r="N16" s="14" t="n"/>
      <c r="O16" s="15" t="inlineStr">
        <is>
          <t>第9期計画書</t>
        </is>
      </c>
    </row>
    <row r="17">
      <c r="A17" s="9" t="inlineStr">
        <is>
          <t>地域支援事業</t>
        </is>
      </c>
      <c r="B17" s="10" t="inlineStr">
        <is>
          <t>元気まんてん介護予防教室</t>
        </is>
      </c>
      <c r="C17" s="9" t="inlineStr">
        <is>
          <t>開催回数</t>
        </is>
      </c>
      <c r="D17" s="9" t="inlineStr">
        <is>
          <t>回／年</t>
        </is>
      </c>
      <c r="E17" s="11" t="n">
        <v>51</v>
      </c>
      <c r="F17" s="12" t="n"/>
      <c r="G17" s="13">
        <f>IF(OR(E17="",E17=0,F17=""),"",F17/E17)</f>
        <v/>
      </c>
      <c r="H17" s="11" t="n">
        <v>51</v>
      </c>
      <c r="I17" s="12" t="n"/>
      <c r="J17" s="13">
        <f>IF(OR(H17="",H17=0,I17=""),"",I17/H17)</f>
        <v/>
      </c>
      <c r="K17" s="11" t="n">
        <v>51</v>
      </c>
      <c r="L17" s="12" t="n"/>
      <c r="M17" s="13">
        <f>IF(OR(K17="",K17=0,L17=""),"",L17/K17)</f>
        <v/>
      </c>
      <c r="N17" s="14" t="inlineStr">
        <is>
          <t>実績データ02シートの出典欄は「第9期計画」であり計画値。実績のご記入が必要（確認事項No.42）</t>
        </is>
      </c>
      <c r="O17" s="15" t="inlineStr">
        <is>
          <t>実績データ 02シート（計画値）</t>
        </is>
      </c>
    </row>
    <row r="18">
      <c r="A18" s="9" t="inlineStr">
        <is>
          <t>地域支援事業</t>
        </is>
      </c>
      <c r="B18" s="10" t="inlineStr">
        <is>
          <t>元気まんてん介護予防教室</t>
        </is>
      </c>
      <c r="C18" s="9" t="inlineStr">
        <is>
          <t>延参加者</t>
        </is>
      </c>
      <c r="D18" s="9" t="inlineStr">
        <is>
          <t>人／年</t>
        </is>
      </c>
      <c r="E18" s="11" t="n">
        <v>1238</v>
      </c>
      <c r="F18" s="12" t="n"/>
      <c r="G18" s="13">
        <f>IF(OR(E18="",E18=0,F18=""),"",F18/E18)</f>
        <v/>
      </c>
      <c r="H18" s="11" t="n">
        <v>1238</v>
      </c>
      <c r="I18" s="12" t="n"/>
      <c r="J18" s="13">
        <f>IF(OR(H18="",H18=0,I18=""),"",I18/H18)</f>
        <v/>
      </c>
      <c r="K18" s="11" t="n">
        <v>1238</v>
      </c>
      <c r="L18" s="12" t="n"/>
      <c r="M18" s="13">
        <f>IF(OR(K18="",K18=0,L18=""),"",L18/K18)</f>
        <v/>
      </c>
      <c r="N18" s="14" t="inlineStr">
        <is>
          <t>実績データ02シートの出典欄は「第9期計画」であり計画値。実績のご記入が必要（確認事項No.42）</t>
        </is>
      </c>
      <c r="O18" s="15" t="inlineStr">
        <is>
          <t>実績データ 02シート（計画値）</t>
        </is>
      </c>
    </row>
    <row r="19">
      <c r="A19" s="9" t="inlineStr">
        <is>
          <t>地域支援事業</t>
        </is>
      </c>
      <c r="B19" s="10" t="inlineStr">
        <is>
          <t>元気いきいきセミナー</t>
        </is>
      </c>
      <c r="C19" s="9" t="inlineStr">
        <is>
          <t>開催回数</t>
        </is>
      </c>
      <c r="D19" s="9" t="inlineStr">
        <is>
          <t>回／年</t>
        </is>
      </c>
      <c r="E19" s="11" t="n">
        <v>7</v>
      </c>
      <c r="F19" s="12" t="n"/>
      <c r="G19" s="13">
        <f>IF(OR(E19="",E19=0,F19=""),"",F19/E19)</f>
        <v/>
      </c>
      <c r="H19" s="11" t="n">
        <v>7</v>
      </c>
      <c r="I19" s="12" t="n"/>
      <c r="J19" s="13">
        <f>IF(OR(H19="",H19=0,I19=""),"",I19/H19)</f>
        <v/>
      </c>
      <c r="K19" s="11" t="n">
        <v>7</v>
      </c>
      <c r="L19" s="12" t="n"/>
      <c r="M19" s="13">
        <f>IF(OR(K19="",K19=0,L19=""),"",L19/K19)</f>
        <v/>
      </c>
      <c r="N19" s="14" t="inlineStr">
        <is>
          <t>実績データ02シートの出典欄は「第9期計画」であり計画値。実績のご記入が必要（確認事項No.42）</t>
        </is>
      </c>
      <c r="O19" s="15" t="inlineStr">
        <is>
          <t>実績データ 02シート（計画値）</t>
        </is>
      </c>
    </row>
    <row r="20">
      <c r="A20" s="9" t="inlineStr">
        <is>
          <t>地域支援事業</t>
        </is>
      </c>
      <c r="B20" s="10" t="inlineStr">
        <is>
          <t>元気いきいきセミナー</t>
        </is>
      </c>
      <c r="C20" s="9" t="inlineStr">
        <is>
          <t>延参加者</t>
        </is>
      </c>
      <c r="D20" s="9" t="inlineStr">
        <is>
          <t>人／年</t>
        </is>
      </c>
      <c r="E20" s="11" t="n">
        <v>51</v>
      </c>
      <c r="F20" s="12" t="n"/>
      <c r="G20" s="13">
        <f>IF(OR(E20="",E20=0,F20=""),"",F20/E20)</f>
        <v/>
      </c>
      <c r="H20" s="11" t="n">
        <v>51</v>
      </c>
      <c r="I20" s="12" t="n"/>
      <c r="J20" s="13">
        <f>IF(OR(H20="",H20=0,I20=""),"",I20/H20)</f>
        <v/>
      </c>
      <c r="K20" s="11" t="n">
        <v>51</v>
      </c>
      <c r="L20" s="12" t="n"/>
      <c r="M20" s="13">
        <f>IF(OR(K20="",K20=0,L20=""),"",L20/K20)</f>
        <v/>
      </c>
      <c r="N20" s="14" t="inlineStr">
        <is>
          <t>実績データ02シートの出典欄は「第9期計画」であり計画値。実績のご記入が必要（確認事項No.42）</t>
        </is>
      </c>
      <c r="O20" s="15" t="inlineStr">
        <is>
          <t>実績データ 02シート（計画値）</t>
        </is>
      </c>
    </row>
    <row r="21">
      <c r="A21" s="9" t="inlineStr">
        <is>
          <t>地域支援事業</t>
        </is>
      </c>
      <c r="B21" s="10" t="inlineStr">
        <is>
          <t>パドル体操教室</t>
        </is>
      </c>
      <c r="C21" s="9" t="inlineStr">
        <is>
          <t>開催回数</t>
        </is>
      </c>
      <c r="D21" s="9" t="inlineStr">
        <is>
          <t>回／年</t>
        </is>
      </c>
      <c r="E21" s="11" t="n">
        <v>7</v>
      </c>
      <c r="F21" s="12" t="n"/>
      <c r="G21" s="13">
        <f>IF(OR(E21="",E21=0,F21=""),"",F21/E21)</f>
        <v/>
      </c>
      <c r="H21" s="11" t="n">
        <v>7</v>
      </c>
      <c r="I21" s="12" t="n"/>
      <c r="J21" s="13">
        <f>IF(OR(H21="",H21=0,I21=""),"",I21/H21)</f>
        <v/>
      </c>
      <c r="K21" s="11" t="n">
        <v>7</v>
      </c>
      <c r="L21" s="12" t="n"/>
      <c r="M21" s="13">
        <f>IF(OR(K21="",K21=0,L21=""),"",L21/K21)</f>
        <v/>
      </c>
      <c r="N21" s="14" t="inlineStr">
        <is>
          <t>実績データ02シートの出典欄は「第9期計画」であり計画値。実績のご記入が必要（確認事項No.42）</t>
        </is>
      </c>
      <c r="O21" s="15" t="inlineStr">
        <is>
          <t>実績データ 02シート（計画値）</t>
        </is>
      </c>
    </row>
    <row r="22">
      <c r="A22" s="9" t="inlineStr">
        <is>
          <t>地域支援事業</t>
        </is>
      </c>
      <c r="B22" s="10" t="inlineStr">
        <is>
          <t>パドル体操教室</t>
        </is>
      </c>
      <c r="C22" s="9" t="inlineStr">
        <is>
          <t>延参加者</t>
        </is>
      </c>
      <c r="D22" s="9" t="inlineStr">
        <is>
          <t>人／年</t>
        </is>
      </c>
      <c r="E22" s="11" t="n">
        <v>69</v>
      </c>
      <c r="F22" s="12" t="n"/>
      <c r="G22" s="13">
        <f>IF(OR(E22="",E22=0,F22=""),"",F22/E22)</f>
        <v/>
      </c>
      <c r="H22" s="11" t="n">
        <v>69</v>
      </c>
      <c r="I22" s="12" t="n"/>
      <c r="J22" s="13">
        <f>IF(OR(H22="",H22=0,I22=""),"",I22/H22)</f>
        <v/>
      </c>
      <c r="K22" s="11" t="n">
        <v>69</v>
      </c>
      <c r="L22" s="12" t="n"/>
      <c r="M22" s="13">
        <f>IF(OR(K22="",K22=0,L22=""),"",L22/K22)</f>
        <v/>
      </c>
      <c r="N22" s="14" t="inlineStr">
        <is>
          <t>実績データ02シートの出典欄は「第9期計画」であり計画値。実績のご記入が必要（確認事項No.42）</t>
        </is>
      </c>
      <c r="O22" s="15" t="inlineStr">
        <is>
          <t>実績データ 02シート（計画値）</t>
        </is>
      </c>
    </row>
    <row r="23">
      <c r="A23" s="9" t="inlineStr">
        <is>
          <t>地域支援事業</t>
        </is>
      </c>
      <c r="B23" s="10" t="inlineStr">
        <is>
          <t>ノルディックウォーキング教室</t>
        </is>
      </c>
      <c r="C23" s="9" t="inlineStr">
        <is>
          <t>開催回数</t>
        </is>
      </c>
      <c r="D23" s="9" t="inlineStr">
        <is>
          <t>回／年</t>
        </is>
      </c>
      <c r="E23" s="11" t="n">
        <v>10</v>
      </c>
      <c r="F23" s="12" t="n"/>
      <c r="G23" s="13">
        <f>IF(OR(E23="",E23=0,F23=""),"",F23/E23)</f>
        <v/>
      </c>
      <c r="H23" s="11" t="n">
        <v>10</v>
      </c>
      <c r="I23" s="12" t="n"/>
      <c r="J23" s="13">
        <f>IF(OR(H23="",H23=0,I23=""),"",I23/H23)</f>
        <v/>
      </c>
      <c r="K23" s="11" t="n">
        <v>10</v>
      </c>
      <c r="L23" s="12" t="n"/>
      <c r="M23" s="13">
        <f>IF(OR(K23="",K23=0,L23=""),"",L23/K23)</f>
        <v/>
      </c>
      <c r="N23" s="14" t="inlineStr">
        <is>
          <t>実績データ02シートの出典欄は「第9期計画」であり計画値。実績のご記入が必要（確認事項No.42）</t>
        </is>
      </c>
      <c r="O23" s="15" t="inlineStr">
        <is>
          <t>実績データ 02シート（計画値）</t>
        </is>
      </c>
    </row>
    <row r="24">
      <c r="A24" s="9" t="inlineStr">
        <is>
          <t>地域支援事業</t>
        </is>
      </c>
      <c r="B24" s="10" t="inlineStr">
        <is>
          <t>ノルディックウォーキング教室</t>
        </is>
      </c>
      <c r="C24" s="9" t="inlineStr">
        <is>
          <t>延参加者</t>
        </is>
      </c>
      <c r="D24" s="9" t="inlineStr">
        <is>
          <t>人／年</t>
        </is>
      </c>
      <c r="E24" s="11" t="n">
        <v>165</v>
      </c>
      <c r="F24" s="12" t="n"/>
      <c r="G24" s="13">
        <f>IF(OR(E24="",E24=0,F24=""),"",F24/E24)</f>
        <v/>
      </c>
      <c r="H24" s="11" t="n">
        <v>165</v>
      </c>
      <c r="I24" s="12" t="n"/>
      <c r="J24" s="13">
        <f>IF(OR(H24="",H24=0,I24=""),"",I24/H24)</f>
        <v/>
      </c>
      <c r="K24" s="11" t="n">
        <v>165</v>
      </c>
      <c r="L24" s="12" t="n"/>
      <c r="M24" s="13">
        <f>IF(OR(K24="",K24=0,L24=""),"",L24/K24)</f>
        <v/>
      </c>
      <c r="N24" s="14" t="inlineStr">
        <is>
          <t>実績データ02シートの出典欄は「第9期計画」であり計画値。実績のご記入が必要（確認事項No.42）</t>
        </is>
      </c>
      <c r="O24" s="15" t="inlineStr">
        <is>
          <t>実績データ 02シート（計画値）</t>
        </is>
      </c>
    </row>
    <row r="25">
      <c r="A25" s="9" t="inlineStr">
        <is>
          <t>地域支援事業</t>
        </is>
      </c>
      <c r="B25" s="10" t="inlineStr">
        <is>
          <t>介護予防サロン</t>
        </is>
      </c>
      <c r="C25" s="9" t="inlineStr">
        <is>
          <t>設置か所</t>
        </is>
      </c>
      <c r="D25" s="9" t="inlineStr">
        <is>
          <t>か所</t>
        </is>
      </c>
      <c r="E25" s="11" t="n">
        <v>34</v>
      </c>
      <c r="F25" s="12" t="n"/>
      <c r="G25" s="13">
        <f>IF(OR(E25="",E25=0,F25=""),"",F25/E25)</f>
        <v/>
      </c>
      <c r="H25" s="11" t="n">
        <v>34</v>
      </c>
      <c r="I25" s="12" t="n"/>
      <c r="J25" s="13">
        <f>IF(OR(H25="",H25=0,I25=""),"",I25/H25)</f>
        <v/>
      </c>
      <c r="K25" s="11" t="n">
        <v>35</v>
      </c>
      <c r="L25" s="12" t="n"/>
      <c r="M25" s="13">
        <f>IF(OR(K25="",K25=0,L25=""),"",L25/K25)</f>
        <v/>
      </c>
      <c r="N25" s="14" t="inlineStr">
        <is>
          <t>実績データ02シートの出典欄は「第9期計画」であり計画値。実績のご記入が必要（確認事項No.42）</t>
        </is>
      </c>
      <c r="O25" s="15" t="inlineStr">
        <is>
          <t>実績データ 02シート（計画値）</t>
        </is>
      </c>
    </row>
    <row r="26">
      <c r="A26" s="9" t="inlineStr">
        <is>
          <t>地域支援事業</t>
        </is>
      </c>
      <c r="B26" s="10" t="inlineStr">
        <is>
          <t>ヨーガ教室</t>
        </is>
      </c>
      <c r="C26" s="9" t="inlineStr">
        <is>
          <t>開催回数</t>
        </is>
      </c>
      <c r="D26" s="9" t="inlineStr">
        <is>
          <t>回／年</t>
        </is>
      </c>
      <c r="E26" s="11" t="n">
        <v>36</v>
      </c>
      <c r="F26" s="12" t="n"/>
      <c r="G26" s="13">
        <f>IF(OR(E26="",E26=0,F26=""),"",F26/E26)</f>
        <v/>
      </c>
      <c r="H26" s="11" t="n">
        <v>36</v>
      </c>
      <c r="I26" s="12" t="n"/>
      <c r="J26" s="13">
        <f>IF(OR(H26="",H26=0,I26=""),"",I26/H26)</f>
        <v/>
      </c>
      <c r="K26" s="11" t="n">
        <v>36</v>
      </c>
      <c r="L26" s="12" t="n"/>
      <c r="M26" s="13">
        <f>IF(OR(K26="",K26=0,L26=""),"",L26/K26)</f>
        <v/>
      </c>
      <c r="N26" s="14" t="inlineStr">
        <is>
          <t>実績データ02シートの出典欄は「第9期計画」であり計画値。実績のご記入が必要（確認事項No.42）</t>
        </is>
      </c>
      <c r="O26" s="15" t="inlineStr">
        <is>
          <t>実績データ 02シート（計画値）</t>
        </is>
      </c>
    </row>
    <row r="27">
      <c r="A27" s="9" t="inlineStr">
        <is>
          <t>地域支援事業</t>
        </is>
      </c>
      <c r="B27" s="10" t="inlineStr">
        <is>
          <t>ヨーガ教室</t>
        </is>
      </c>
      <c r="C27" s="9" t="inlineStr">
        <is>
          <t>延参加者</t>
        </is>
      </c>
      <c r="D27" s="9" t="inlineStr">
        <is>
          <t>人／年</t>
        </is>
      </c>
      <c r="E27" s="11" t="n">
        <v>300</v>
      </c>
      <c r="F27" s="12" t="n"/>
      <c r="G27" s="13">
        <f>IF(OR(E27="",E27=0,F27=""),"",F27/E27)</f>
        <v/>
      </c>
      <c r="H27" s="11" t="n">
        <v>300</v>
      </c>
      <c r="I27" s="12" t="n"/>
      <c r="J27" s="13">
        <f>IF(OR(H27="",H27=0,I27=""),"",I27/H27)</f>
        <v/>
      </c>
      <c r="K27" s="11" t="n">
        <v>300</v>
      </c>
      <c r="L27" s="12" t="n"/>
      <c r="M27" s="13">
        <f>IF(OR(K27="",K27=0,L27=""),"",L27/K27)</f>
        <v/>
      </c>
      <c r="N27" s="14" t="inlineStr">
        <is>
          <t>実績データ02シートの出典欄は「第9期計画」であり計画値。実績のご記入が必要（確認事項No.42）</t>
        </is>
      </c>
      <c r="O27" s="15" t="inlineStr">
        <is>
          <t>実績データ 02シート（計画値）</t>
        </is>
      </c>
    </row>
  </sheetData>
  <autoFilter ref="A4:O27"/>
  <mergeCells count="2">
    <mergeCell ref="A1:O1"/>
    <mergeCell ref="A2:O2"/>
  </mergeCells>
  <conditionalFormatting sqref="G5:G27">
    <cfRule type="cellIs" priority="1" operator="lessThan" dxfId="0">
      <formula>0.8</formula>
    </cfRule>
    <cfRule type="cellIs" priority="2" operator="greaterThan" dxfId="0">
      <formula>1.2</formula>
    </cfRule>
  </conditionalFormatting>
  <conditionalFormatting sqref="J5:J27">
    <cfRule type="cellIs" priority="3" operator="lessThan" dxfId="0">
      <formula>0.8</formula>
    </cfRule>
    <cfRule type="cellIs" priority="4" operator="greaterThan" dxfId="0">
      <formula>1.2</formula>
    </cfRule>
  </conditionalFormatting>
  <conditionalFormatting sqref="M5:M27">
    <cfRule type="cellIs" priority="5" operator="lessThan" dxfId="0">
      <formula>0.8</formula>
    </cfRule>
    <cfRule type="cellIs" priority="6" operator="greaterThan" dxfId="0">
      <formula>1.2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34" customWidth="1" min="14" max="14"/>
    <col width="18" customWidth="1" min="15" max="15"/>
  </cols>
  <sheetData>
    <row r="1" ht="24" customHeight="1">
      <c r="A1" s="1" t="inlineStr">
        <is>
          <t>サービス別 計画値・実績値 対比表　包括的支援事業・任意事業</t>
        </is>
      </c>
    </row>
    <row r="2">
      <c r="A2" s="2" t="inlineStr">
        <is>
          <t>計画値：第9期計画書（令和6年3月）／実績：町提供実績データ（令和8年9月1日受領・仮試算）</t>
        </is>
      </c>
    </row>
    <row r="4" ht="32" customHeight="1">
      <c r="A4" s="8" t="inlineStr">
        <is>
          <t>区分</t>
        </is>
      </c>
      <c r="B4" s="8" t="inlineStr">
        <is>
          <t>サービス・事業名</t>
        </is>
      </c>
      <c r="C4" s="8" t="inlineStr">
        <is>
          <t>指標</t>
        </is>
      </c>
      <c r="D4" s="8" t="inlineStr">
        <is>
          <t>単位</t>
        </is>
      </c>
      <c r="E4" s="8" t="inlineStr">
        <is>
          <t>R6計画</t>
        </is>
      </c>
      <c r="F4" s="8" t="inlineStr">
        <is>
          <t>R6実績</t>
        </is>
      </c>
      <c r="G4" s="8" t="inlineStr">
        <is>
          <t>達成率</t>
        </is>
      </c>
      <c r="H4" s="8" t="inlineStr">
        <is>
          <t>R7計画</t>
        </is>
      </c>
      <c r="I4" s="8" t="inlineStr">
        <is>
          <t>R7実績</t>
        </is>
      </c>
      <c r="J4" s="8" t="inlineStr">
        <is>
          <t>達成率</t>
        </is>
      </c>
      <c r="K4" s="8" t="inlineStr">
        <is>
          <t>R8計画</t>
        </is>
      </c>
      <c r="L4" s="8" t="inlineStr">
        <is>
          <t>R8見込</t>
        </is>
      </c>
      <c r="M4" s="8" t="inlineStr">
        <is>
          <t>達成率</t>
        </is>
      </c>
      <c r="N4" s="8" t="inlineStr">
        <is>
          <t>乖離の要因・対応</t>
        </is>
      </c>
      <c r="O4" s="8" t="inlineStr">
        <is>
          <t>出典・記入担当</t>
        </is>
      </c>
    </row>
    <row r="5">
      <c r="A5" s="9" t="inlineStr">
        <is>
          <t>地域支援事業</t>
        </is>
      </c>
      <c r="B5" s="10" t="inlineStr">
        <is>
          <t>もの忘れ相談事業</t>
        </is>
      </c>
      <c r="C5" s="9" t="inlineStr">
        <is>
          <t>開催数</t>
        </is>
      </c>
      <c r="D5" s="9" t="inlineStr">
        <is>
          <t>回／年</t>
        </is>
      </c>
      <c r="E5" s="11" t="n">
        <v>12</v>
      </c>
      <c r="F5" s="12" t="n">
        <v>12</v>
      </c>
      <c r="G5" s="13">
        <f>IF(OR(E5="",E5=0,F5=""),"",F5/E5)</f>
        <v/>
      </c>
      <c r="H5" s="11" t="n">
        <v>12</v>
      </c>
      <c r="I5" s="12" t="n">
        <v>12</v>
      </c>
      <c r="J5" s="13">
        <f>IF(OR(H5="",H5=0,I5=""),"",I5/H5)</f>
        <v/>
      </c>
      <c r="K5" s="11" t="n">
        <v>12</v>
      </c>
      <c r="L5" s="12" t="n">
        <v>12</v>
      </c>
      <c r="M5" s="13">
        <f>IF(OR(K5="",K5=0,L5=""),"",L5/K5)</f>
        <v/>
      </c>
      <c r="N5" s="14" t="n"/>
      <c r="O5" s="15" t="inlineStr">
        <is>
          <t>計画書／実績データ 08シート</t>
        </is>
      </c>
    </row>
    <row r="6">
      <c r="A6" s="9" t="inlineStr">
        <is>
          <t>地域支援事業</t>
        </is>
      </c>
      <c r="B6" s="10" t="inlineStr">
        <is>
          <t>認知症初期集中支援事業</t>
        </is>
      </c>
      <c r="C6" s="9" t="inlineStr">
        <is>
          <t>チーム員会議開催数</t>
        </is>
      </c>
      <c r="D6" s="9" t="inlineStr">
        <is>
          <t>回／年</t>
        </is>
      </c>
      <c r="E6" s="11" t="n">
        <v>12</v>
      </c>
      <c r="F6" s="12" t="n">
        <v>12</v>
      </c>
      <c r="G6" s="13">
        <f>IF(OR(E6="",E6=0,F6=""),"",F6/E6)</f>
        <v/>
      </c>
      <c r="H6" s="11" t="n">
        <v>12</v>
      </c>
      <c r="I6" s="12" t="n">
        <v>12</v>
      </c>
      <c r="J6" s="13">
        <f>IF(OR(H6="",H6=0,I6=""),"",I6/H6)</f>
        <v/>
      </c>
      <c r="K6" s="11" t="n">
        <v>12</v>
      </c>
      <c r="L6" s="12" t="n">
        <v>12</v>
      </c>
      <c r="M6" s="13">
        <f>IF(OR(K6="",K6=0,L6=""),"",L6/K6)</f>
        <v/>
      </c>
      <c r="N6" s="14" t="n"/>
      <c r="O6" s="15" t="inlineStr">
        <is>
          <t>計画書／実績データ 08シート</t>
        </is>
      </c>
    </row>
    <row r="7">
      <c r="A7" s="9" t="inlineStr">
        <is>
          <t>地域支援事業</t>
        </is>
      </c>
      <c r="B7" s="10" t="inlineStr">
        <is>
          <t>認知症サポーター養成講座事業</t>
        </is>
      </c>
      <c r="C7" s="9" t="inlineStr">
        <is>
          <t>受講者数</t>
        </is>
      </c>
      <c r="D7" s="9" t="inlineStr">
        <is>
          <t>人／年</t>
        </is>
      </c>
      <c r="E7" s="11" t="n">
        <v>5</v>
      </c>
      <c r="F7" s="12" t="n">
        <v>5</v>
      </c>
      <c r="G7" s="13">
        <f>IF(OR(E7="",E7=0,F7=""),"",F7/E7)</f>
        <v/>
      </c>
      <c r="H7" s="11" t="n">
        <v>5</v>
      </c>
      <c r="I7" s="12" t="n">
        <v>5</v>
      </c>
      <c r="J7" s="13">
        <f>IF(OR(H7="",H7=0,I7=""),"",I7/H7)</f>
        <v/>
      </c>
      <c r="K7" s="11" t="n">
        <v>5</v>
      </c>
      <c r="L7" s="12" t="n">
        <v>5</v>
      </c>
      <c r="M7" s="13">
        <f>IF(OR(K7="",K7=0,L7=""),"",L7/K7)</f>
        <v/>
      </c>
      <c r="N7" s="14" t="n"/>
      <c r="O7" s="15" t="inlineStr">
        <is>
          <t>計画書／実績データ 08シート</t>
        </is>
      </c>
    </row>
    <row r="8">
      <c r="A8" s="9" t="inlineStr">
        <is>
          <t>地域支援事業</t>
        </is>
      </c>
      <c r="B8" s="10" t="inlineStr">
        <is>
          <t>認知症サポーター養成講座事業</t>
        </is>
      </c>
      <c r="C8" s="9" t="inlineStr">
        <is>
          <t>受講累積人数</t>
        </is>
      </c>
      <c r="D8" s="9" t="inlineStr"/>
      <c r="E8" s="11" t="n">
        <v>554</v>
      </c>
      <c r="F8" s="12" t="n"/>
      <c r="G8" s="13">
        <f>IF(OR(E8="",E8=0,F8=""),"",F8/E8)</f>
        <v/>
      </c>
      <c r="H8" s="11" t="n">
        <v>559</v>
      </c>
      <c r="I8" s="12" t="n"/>
      <c r="J8" s="13">
        <f>IF(OR(H8="",H8=0,I8=""),"",I8/H8)</f>
        <v/>
      </c>
      <c r="K8" s="11" t="n">
        <v>564</v>
      </c>
      <c r="L8" s="12" t="n"/>
      <c r="M8" s="13">
        <f>IF(OR(K8="",K8=0,L8=""),"",L8/K8)</f>
        <v/>
      </c>
      <c r="N8" s="14" t="n"/>
      <c r="O8" s="15" t="inlineStr">
        <is>
          <t>第9期計画書</t>
        </is>
      </c>
    </row>
    <row r="9">
      <c r="A9" s="9" t="inlineStr">
        <is>
          <t>地域支援事業</t>
        </is>
      </c>
      <c r="B9" s="10" t="inlineStr">
        <is>
          <t>認知症地域支援推進員・キャラバンメイト</t>
        </is>
      </c>
      <c r="C9" s="9" t="inlineStr">
        <is>
          <t>地域支援推進員数</t>
        </is>
      </c>
      <c r="D9" s="9" t="inlineStr">
        <is>
          <t>人／年</t>
        </is>
      </c>
      <c r="E9" s="11" t="n">
        <v>0</v>
      </c>
      <c r="F9" s="12" t="n"/>
      <c r="G9" s="13">
        <f>IF(OR(E9="",E9=0,F9=""),"",F9/E9)</f>
        <v/>
      </c>
      <c r="H9" s="11" t="n">
        <v>0</v>
      </c>
      <c r="I9" s="12" t="n"/>
      <c r="J9" s="13">
        <f>IF(OR(H9="",H9=0,I9=""),"",I9/H9)</f>
        <v/>
      </c>
      <c r="K9" s="11" t="n">
        <v>1</v>
      </c>
      <c r="L9" s="12" t="n"/>
      <c r="M9" s="13">
        <f>IF(OR(K9="",K9=0,L9=""),"",L9/K9)</f>
        <v/>
      </c>
      <c r="N9" s="14" t="n"/>
      <c r="O9" s="15" t="inlineStr">
        <is>
          <t>第9期計画書</t>
        </is>
      </c>
    </row>
    <row r="10">
      <c r="A10" s="9" t="inlineStr">
        <is>
          <t>地域支援事業</t>
        </is>
      </c>
      <c r="B10" s="10" t="inlineStr">
        <is>
          <t>認知症地域支援推進員・キャラバンメイト</t>
        </is>
      </c>
      <c r="C10" s="9" t="inlineStr">
        <is>
          <t>キャラバンメイト 研修修了者数</t>
        </is>
      </c>
      <c r="D10" s="9" t="inlineStr">
        <is>
          <t>人／年</t>
        </is>
      </c>
      <c r="E10" s="11" t="n">
        <v>1</v>
      </c>
      <c r="F10" s="12" t="n"/>
      <c r="G10" s="13">
        <f>IF(OR(E10="",E10=0,F10=""),"",F10/E10)</f>
        <v/>
      </c>
      <c r="H10" s="11" t="n">
        <v>1</v>
      </c>
      <c r="I10" s="12" t="n"/>
      <c r="J10" s="13">
        <f>IF(OR(H10="",H10=0,I10=""),"",I10/H10)</f>
        <v/>
      </c>
      <c r="K10" s="11" t="n">
        <v>1</v>
      </c>
      <c r="L10" s="12" t="n"/>
      <c r="M10" s="13">
        <f>IF(OR(K10="",K10=0,L10=""),"",L10/K10)</f>
        <v/>
      </c>
      <c r="N10" s="14" t="n"/>
      <c r="O10" s="15" t="inlineStr">
        <is>
          <t>第9期計画書</t>
        </is>
      </c>
    </row>
    <row r="11">
      <c r="A11" s="9" t="inlineStr">
        <is>
          <t>地域支援事業</t>
        </is>
      </c>
      <c r="B11" s="10" t="inlineStr">
        <is>
          <t>認知症地域支援推進員・キャラバンメイト</t>
        </is>
      </c>
      <c r="C11" s="9" t="inlineStr">
        <is>
          <t>キャラバンメイト 研修修了者延人数</t>
        </is>
      </c>
      <c r="D11" s="9" t="inlineStr">
        <is>
          <t>人／年</t>
        </is>
      </c>
      <c r="E11" s="11" t="n">
        <v>74</v>
      </c>
      <c r="F11" s="12" t="n"/>
      <c r="G11" s="13">
        <f>IF(OR(E11="",E11=0,F11=""),"",F11/E11)</f>
        <v/>
      </c>
      <c r="H11" s="11" t="n">
        <v>75</v>
      </c>
      <c r="I11" s="12" t="n"/>
      <c r="J11" s="13">
        <f>IF(OR(H11="",H11=0,I11=""),"",I11/H11)</f>
        <v/>
      </c>
      <c r="K11" s="11" t="n">
        <v>76</v>
      </c>
      <c r="L11" s="12" t="n"/>
      <c r="M11" s="13">
        <f>IF(OR(K11="",K11=0,L11=""),"",L11/K11)</f>
        <v/>
      </c>
      <c r="N11" s="14" t="n"/>
      <c r="O11" s="15" t="inlineStr">
        <is>
          <t>第9期計画書</t>
        </is>
      </c>
    </row>
    <row r="12">
      <c r="A12" s="9" t="inlineStr">
        <is>
          <t>地域支援事業</t>
        </is>
      </c>
      <c r="B12" s="10" t="inlineStr">
        <is>
          <t>認知症カフェ（喫茶みかん）開催事業</t>
        </is>
      </c>
      <c r="C12" s="9" t="inlineStr">
        <is>
          <t>カフェ開催数</t>
        </is>
      </c>
      <c r="D12" s="9" t="inlineStr">
        <is>
          <t>人／年</t>
        </is>
      </c>
      <c r="E12" s="11" t="n">
        <v>47</v>
      </c>
      <c r="F12" s="12" t="n">
        <v>47</v>
      </c>
      <c r="G12" s="13">
        <f>IF(OR(E12="",E12=0,F12=""),"",F12/E12)</f>
        <v/>
      </c>
      <c r="H12" s="11" t="n">
        <v>47</v>
      </c>
      <c r="I12" s="12" t="n">
        <v>47</v>
      </c>
      <c r="J12" s="13">
        <f>IF(OR(H12="",H12=0,I12=""),"",I12/H12)</f>
        <v/>
      </c>
      <c r="K12" s="11" t="n">
        <v>47</v>
      </c>
      <c r="L12" s="12" t="n">
        <v>47</v>
      </c>
      <c r="M12" s="13">
        <f>IF(OR(K12="",K12=0,L12=""),"",L12/K12)</f>
        <v/>
      </c>
      <c r="N12" s="14" t="inlineStr">
        <is>
          <t>計画書の単位表記は「人／年」だが、開催数であり「回／年」の誤記と思われる</t>
        </is>
      </c>
      <c r="O12" s="15" t="inlineStr">
        <is>
          <t>計画書／実績データ 08シート</t>
        </is>
      </c>
    </row>
    <row r="13">
      <c r="A13" s="9" t="inlineStr">
        <is>
          <t>地域支援事業</t>
        </is>
      </c>
      <c r="B13" s="10" t="inlineStr">
        <is>
          <t>認知症カフェ（喫茶みかん）開催事業</t>
        </is>
      </c>
      <c r="C13" s="9" t="inlineStr">
        <is>
          <t>延利用者数</t>
        </is>
      </c>
      <c r="D13" s="9" t="inlineStr">
        <is>
          <t>人／年</t>
        </is>
      </c>
      <c r="E13" s="11" t="n">
        <v>235</v>
      </c>
      <c r="F13" s="12" t="n">
        <v>235</v>
      </c>
      <c r="G13" s="13">
        <f>IF(OR(E13="",E13=0,F13=""),"",F13/E13)</f>
        <v/>
      </c>
      <c r="H13" s="11" t="n">
        <v>235</v>
      </c>
      <c r="I13" s="12" t="n">
        <v>235</v>
      </c>
      <c r="J13" s="13">
        <f>IF(OR(H13="",H13=0,I13=""),"",I13/H13)</f>
        <v/>
      </c>
      <c r="K13" s="11" t="n">
        <v>235</v>
      </c>
      <c r="L13" s="12" t="n">
        <v>235</v>
      </c>
      <c r="M13" s="13">
        <f>IF(OR(K13="",K13=0,L13=""),"",L13/K13)</f>
        <v/>
      </c>
      <c r="N13" s="14" t="n"/>
      <c r="O13" s="15" t="inlineStr">
        <is>
          <t>計画書／実績データ 08シート</t>
        </is>
      </c>
    </row>
    <row r="14">
      <c r="A14" s="9" t="inlineStr">
        <is>
          <t>地域支援事業</t>
        </is>
      </c>
      <c r="B14" s="10" t="inlineStr">
        <is>
          <t>高齢者見守りネットワーク協力機関事業所</t>
        </is>
      </c>
      <c r="C14" s="9" t="inlineStr">
        <is>
          <t>登録事業所・団体数</t>
        </is>
      </c>
      <c r="D14" s="9" t="inlineStr"/>
      <c r="E14" s="11" t="n">
        <v>63</v>
      </c>
      <c r="F14" s="12" t="n"/>
      <c r="G14" s="13">
        <f>IF(OR(E14="",E14=0,F14=""),"",F14/E14)</f>
        <v/>
      </c>
      <c r="H14" s="11" t="n">
        <v>64</v>
      </c>
      <c r="I14" s="12" t="n"/>
      <c r="J14" s="13">
        <f>IF(OR(H14="",H14=0,I14=""),"",I14/H14)</f>
        <v/>
      </c>
      <c r="K14" s="11" t="n">
        <v>65</v>
      </c>
      <c r="L14" s="12" t="n"/>
      <c r="M14" s="13">
        <f>IF(OR(K14="",K14=0,L14=""),"",L14/K14)</f>
        <v/>
      </c>
      <c r="N14" s="14" t="n"/>
      <c r="O14" s="15" t="inlineStr">
        <is>
          <t>第9期計画書</t>
        </is>
      </c>
    </row>
    <row r="15">
      <c r="A15" s="9" t="inlineStr">
        <is>
          <t>地域支援事業</t>
        </is>
      </c>
      <c r="B15" s="10" t="inlineStr">
        <is>
          <t>介護用品支給（非課税世帯 要介護度１～３）</t>
        </is>
      </c>
      <c r="C15" s="9" t="inlineStr">
        <is>
          <t>延利用人数</t>
        </is>
      </c>
      <c r="D15" s="9" t="inlineStr">
        <is>
          <t>人／年</t>
        </is>
      </c>
      <c r="E15" s="11" t="n">
        <v>17</v>
      </c>
      <c r="F15" s="12" t="n"/>
      <c r="G15" s="13">
        <f>IF(OR(E15="",E15=0,F15=""),"",F15/E15)</f>
        <v/>
      </c>
      <c r="H15" s="11" t="n">
        <v>22</v>
      </c>
      <c r="I15" s="12" t="n"/>
      <c r="J15" s="13">
        <f>IF(OR(H15="",H15=0,I15=""),"",I15/H15)</f>
        <v/>
      </c>
      <c r="K15" s="11" t="n">
        <v>22</v>
      </c>
      <c r="L15" s="12" t="n"/>
      <c r="M15" s="13">
        <f>IF(OR(K15="",K15=0,L15=""),"",L15/K15)</f>
        <v/>
      </c>
      <c r="N15" s="14" t="n"/>
      <c r="O15" s="15" t="inlineStr">
        <is>
          <t>第9期計画書</t>
        </is>
      </c>
    </row>
    <row r="16">
      <c r="A16" s="9" t="inlineStr">
        <is>
          <t>地域支援事業</t>
        </is>
      </c>
      <c r="B16" s="10" t="inlineStr">
        <is>
          <t>介護用品支給（非課税世帯 要介護度１～３）</t>
        </is>
      </c>
      <c r="C16" s="9" t="inlineStr">
        <is>
          <t>利用実人数</t>
        </is>
      </c>
      <c r="D16" s="9" t="inlineStr">
        <is>
          <t>人／年</t>
        </is>
      </c>
      <c r="E16" s="11" t="n">
        <v>6</v>
      </c>
      <c r="F16" s="12" t="n"/>
      <c r="G16" s="13">
        <f>IF(OR(E16="",E16=0,F16=""),"",F16/E16)</f>
        <v/>
      </c>
      <c r="H16" s="11" t="n">
        <v>8</v>
      </c>
      <c r="I16" s="12" t="n"/>
      <c r="J16" s="13">
        <f>IF(OR(H16="",H16=0,I16=""),"",I16/H16)</f>
        <v/>
      </c>
      <c r="K16" s="11" t="n">
        <v>8</v>
      </c>
      <c r="L16" s="12" t="n"/>
      <c r="M16" s="13">
        <f>IF(OR(K16="",K16=0,L16=""),"",L16/K16)</f>
        <v/>
      </c>
      <c r="N16" s="14" t="n"/>
      <c r="O16" s="15" t="inlineStr">
        <is>
          <t>第9期計画書</t>
        </is>
      </c>
    </row>
    <row r="17">
      <c r="A17" s="9" t="inlineStr">
        <is>
          <t>地域支援事業</t>
        </is>
      </c>
      <c r="B17" s="10" t="inlineStr">
        <is>
          <t>介護用品支給（非課税世帯 要介護度４・５）</t>
        </is>
      </c>
      <c r="C17" s="9" t="inlineStr">
        <is>
          <t>延利用人数</t>
        </is>
      </c>
      <c r="D17" s="9" t="inlineStr">
        <is>
          <t>人／年</t>
        </is>
      </c>
      <c r="E17" s="11" t="n">
        <v>36</v>
      </c>
      <c r="F17" s="12" t="n"/>
      <c r="G17" s="13">
        <f>IF(OR(E17="",E17=0,F17=""),"",F17/E17)</f>
        <v/>
      </c>
      <c r="H17" s="11" t="n">
        <v>31</v>
      </c>
      <c r="I17" s="12" t="n"/>
      <c r="J17" s="13">
        <f>IF(OR(H17="",H17=0,I17=""),"",I17/H17)</f>
        <v/>
      </c>
      <c r="K17" s="11" t="n">
        <v>31</v>
      </c>
      <c r="L17" s="12" t="n"/>
      <c r="M17" s="13">
        <f>IF(OR(K17="",K17=0,L17=""),"",L17/K17)</f>
        <v/>
      </c>
      <c r="N17" s="14" t="n"/>
      <c r="O17" s="15" t="inlineStr">
        <is>
          <t>第9期計画書</t>
        </is>
      </c>
    </row>
    <row r="18">
      <c r="A18" s="9" t="inlineStr">
        <is>
          <t>地域支援事業</t>
        </is>
      </c>
      <c r="B18" s="10" t="inlineStr">
        <is>
          <t>介護用品支給（非課税世帯 要介護度４・５）</t>
        </is>
      </c>
      <c r="C18" s="9" t="inlineStr">
        <is>
          <t>利用実人数</t>
        </is>
      </c>
      <c r="D18" s="9" t="inlineStr">
        <is>
          <t>人／年</t>
        </is>
      </c>
      <c r="E18" s="11" t="n">
        <v>12</v>
      </c>
      <c r="F18" s="12" t="n"/>
      <c r="G18" s="13">
        <f>IF(OR(E18="",E18=0,F18=""),"",F18/E18)</f>
        <v/>
      </c>
      <c r="H18" s="11" t="n">
        <v>11</v>
      </c>
      <c r="I18" s="12" t="n"/>
      <c r="J18" s="13">
        <f>IF(OR(H18="",H18=0,I18=""),"",I18/H18)</f>
        <v/>
      </c>
      <c r="K18" s="11" t="n">
        <v>11</v>
      </c>
      <c r="L18" s="12" t="n"/>
      <c r="M18" s="13">
        <f>IF(OR(K18="",K18=0,L18=""),"",L18/K18)</f>
        <v/>
      </c>
      <c r="N18" s="14" t="n"/>
      <c r="O18" s="15" t="inlineStr">
        <is>
          <t>第9期計画書</t>
        </is>
      </c>
    </row>
    <row r="19">
      <c r="A19" s="9" t="inlineStr">
        <is>
          <t>地域支援事業</t>
        </is>
      </c>
      <c r="B19" s="10" t="inlineStr">
        <is>
          <t>介護用品支給（課税世帯要 介護度４・５）</t>
        </is>
      </c>
      <c r="C19" s="9" t="inlineStr">
        <is>
          <t>延利用人数</t>
        </is>
      </c>
      <c r="D19" s="9" t="inlineStr">
        <is>
          <t>人／年</t>
        </is>
      </c>
      <c r="E19" s="11" t="n">
        <v>8</v>
      </c>
      <c r="F19" s="12" t="n"/>
      <c r="G19" s="13">
        <f>IF(OR(E19="",E19=0,F19=""),"",F19/E19)</f>
        <v/>
      </c>
      <c r="H19" s="11" t="n">
        <v>7</v>
      </c>
      <c r="I19" s="12" t="n"/>
      <c r="J19" s="13">
        <f>IF(OR(H19="",H19=0,I19=""),"",I19/H19)</f>
        <v/>
      </c>
      <c r="K19" s="11" t="n">
        <v>6</v>
      </c>
      <c r="L19" s="12" t="n"/>
      <c r="M19" s="13">
        <f>IF(OR(K19="",K19=0,L19=""),"",L19/K19)</f>
        <v/>
      </c>
      <c r="N19" s="14" t="n"/>
      <c r="O19" s="15" t="inlineStr">
        <is>
          <t>第9期計画書</t>
        </is>
      </c>
    </row>
    <row r="20">
      <c r="A20" s="9" t="inlineStr">
        <is>
          <t>地域支援事業</t>
        </is>
      </c>
      <c r="B20" s="10" t="inlineStr">
        <is>
          <t>介護用品支給（課税世帯要 介護度４・５）</t>
        </is>
      </c>
      <c r="C20" s="9" t="inlineStr">
        <is>
          <t>利用実人数</t>
        </is>
      </c>
      <c r="D20" s="9" t="inlineStr">
        <is>
          <t>人／年</t>
        </is>
      </c>
      <c r="E20" s="11" t="n">
        <v>8</v>
      </c>
      <c r="F20" s="12" t="n"/>
      <c r="G20" s="13">
        <f>IF(OR(E20="",E20=0,F20=""),"",F20/E20)</f>
        <v/>
      </c>
      <c r="H20" s="11" t="n">
        <v>7</v>
      </c>
      <c r="I20" s="12" t="n"/>
      <c r="J20" s="13">
        <f>IF(OR(H20="",H20=0,I20=""),"",I20/H20)</f>
        <v/>
      </c>
      <c r="K20" s="11" t="n">
        <v>6</v>
      </c>
      <c r="L20" s="12" t="n"/>
      <c r="M20" s="13">
        <f>IF(OR(K20="",K20=0,L20=""),"",L20/K20)</f>
        <v/>
      </c>
      <c r="N20" s="14" t="n"/>
      <c r="O20" s="15" t="inlineStr">
        <is>
          <t>第9期計画書</t>
        </is>
      </c>
    </row>
    <row r="21">
      <c r="A21" s="9" t="inlineStr">
        <is>
          <t>地域支援事業</t>
        </is>
      </c>
      <c r="B21" s="10" t="inlineStr">
        <is>
          <t>「食」の自立支援事業（配食サービス）</t>
        </is>
      </c>
      <c r="C21" s="9" t="inlineStr">
        <is>
          <t>延利用人数</t>
        </is>
      </c>
      <c r="D21" s="9" t="inlineStr">
        <is>
          <t>人／年</t>
        </is>
      </c>
      <c r="E21" s="11" t="n">
        <v>3972</v>
      </c>
      <c r="F21" s="12" t="n">
        <v>3060</v>
      </c>
      <c r="G21" s="13">
        <f>IF(OR(E21="",E21=0,F21=""),"",F21/E21)</f>
        <v/>
      </c>
      <c r="H21" s="11" t="n">
        <v>4116</v>
      </c>
      <c r="I21" s="12" t="n">
        <v>3078</v>
      </c>
      <c r="J21" s="13">
        <f>IF(OR(H21="",H21=0,I21=""),"",I21/H21)</f>
        <v/>
      </c>
      <c r="K21" s="11" t="n">
        <v>4260</v>
      </c>
      <c r="L21" s="12" t="n">
        <v>3078</v>
      </c>
      <c r="M21" s="13">
        <f>IF(OR(K21="",K21=0,L21=""),"",L21/K21)</f>
        <v/>
      </c>
      <c r="N21" s="14" t="inlineStr">
        <is>
          <t>計画3,972人に対し実績3,060人（令和6年度・77％）</t>
        </is>
      </c>
      <c r="O21" s="15" t="inlineStr">
        <is>
          <t>計画書／実績データ 07シート</t>
        </is>
      </c>
    </row>
    <row r="22">
      <c r="A22" s="9" t="inlineStr">
        <is>
          <t>地域支援事業</t>
        </is>
      </c>
      <c r="B22" s="10" t="inlineStr">
        <is>
          <t>「食」の自立支援事業（配食サービス）</t>
        </is>
      </c>
      <c r="C22" s="9" t="inlineStr">
        <is>
          <t>利用実人数</t>
        </is>
      </c>
      <c r="D22" s="9" t="inlineStr">
        <is>
          <t>人／年</t>
        </is>
      </c>
      <c r="E22" s="11" t="n">
        <v>43</v>
      </c>
      <c r="F22" s="12" t="n">
        <v>48</v>
      </c>
      <c r="G22" s="13">
        <f>IF(OR(E22="",E22=0,F22=""),"",F22/E22)</f>
        <v/>
      </c>
      <c r="H22" s="11" t="n">
        <v>38</v>
      </c>
      <c r="I22" s="12" t="n">
        <v>52</v>
      </c>
      <c r="J22" s="13">
        <f>IF(OR(H22="",H22=0,I22=""),"",I22/H22)</f>
        <v/>
      </c>
      <c r="K22" s="11" t="n">
        <v>33</v>
      </c>
      <c r="L22" s="12" t="n">
        <v>52</v>
      </c>
      <c r="M22" s="13">
        <f>IF(OR(K22="",K22=0,L22=""),"",L22/K22)</f>
        <v/>
      </c>
      <c r="N22" s="14" t="n"/>
      <c r="O22" s="15" t="inlineStr">
        <is>
          <t>計画書／実績データ 07シート</t>
        </is>
      </c>
    </row>
    <row r="23">
      <c r="A23" s="9" t="inlineStr">
        <is>
          <t>地域支援事業</t>
        </is>
      </c>
      <c r="B23" s="10" t="inlineStr">
        <is>
          <t>認知症高齢者見守りＱＲコード活用事業</t>
        </is>
      </c>
      <c r="C23" s="9" t="inlineStr">
        <is>
          <t>延利用人数</t>
        </is>
      </c>
      <c r="D23" s="9" t="inlineStr">
        <is>
          <t>人／年</t>
        </is>
      </c>
      <c r="E23" s="11" t="n">
        <v>1</v>
      </c>
      <c r="F23" s="12" t="n">
        <v>0</v>
      </c>
      <c r="G23" s="13">
        <f>IF(OR(E23="",E23=0,F23=""),"",F23/E23)</f>
        <v/>
      </c>
      <c r="H23" s="11" t="n">
        <v>1</v>
      </c>
      <c r="I23" s="12" t="n">
        <v>0</v>
      </c>
      <c r="J23" s="13">
        <f>IF(OR(H23="",H23=0,I23=""),"",I23/H23)</f>
        <v/>
      </c>
      <c r="K23" s="11" t="n">
        <v>1</v>
      </c>
      <c r="L23" s="12" t="n">
        <v>1</v>
      </c>
      <c r="M23" s="13">
        <f>IF(OR(K23="",K23=0,L23=""),"",L23/K23)</f>
        <v/>
      </c>
      <c r="N23" s="14" t="n"/>
      <c r="O23" s="15" t="inlineStr">
        <is>
          <t>計画書／実績データ 07シート</t>
        </is>
      </c>
    </row>
  </sheetData>
  <autoFilter ref="A4:O23"/>
  <mergeCells count="2">
    <mergeCell ref="A1:O1"/>
    <mergeCell ref="A2:O2"/>
  </mergeCells>
  <conditionalFormatting sqref="G5:G23">
    <cfRule type="cellIs" priority="1" operator="lessThan" dxfId="0">
      <formula>0.8</formula>
    </cfRule>
    <cfRule type="cellIs" priority="2" operator="greaterThan" dxfId="0">
      <formula>1.2</formula>
    </cfRule>
  </conditionalFormatting>
  <conditionalFormatting sqref="J5:J23">
    <cfRule type="cellIs" priority="3" operator="lessThan" dxfId="0">
      <formula>0.8</formula>
    </cfRule>
    <cfRule type="cellIs" priority="4" operator="greaterThan" dxfId="0">
      <formula>1.2</formula>
    </cfRule>
  </conditionalFormatting>
  <conditionalFormatting sqref="M5:M23">
    <cfRule type="cellIs" priority="5" operator="lessThan" dxfId="0">
      <formula>0.8</formula>
    </cfRule>
    <cfRule type="cellIs" priority="6" operator="greaterThan" dxfId="0">
      <formula>1.2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34" customWidth="1" min="14" max="14"/>
    <col width="18" customWidth="1" min="15" max="15"/>
  </cols>
  <sheetData>
    <row r="1" ht="24" customHeight="1">
      <c r="A1" s="1" t="inlineStr">
        <is>
          <t>サービス別 計画値・実績値 対比表　高齢者福祉サービス</t>
        </is>
      </c>
    </row>
    <row r="2">
      <c r="A2" s="2" t="inlineStr">
        <is>
          <t>計画値：第9期計画書（令和6年3月）／実績：町提供実績データ（令和8年9月1日受領・仮試算）</t>
        </is>
      </c>
    </row>
    <row r="4" ht="32" customHeight="1">
      <c r="A4" s="8" t="inlineStr">
        <is>
          <t>区分</t>
        </is>
      </c>
      <c r="B4" s="8" t="inlineStr">
        <is>
          <t>サービス・事業名</t>
        </is>
      </c>
      <c r="C4" s="8" t="inlineStr">
        <is>
          <t>指標</t>
        </is>
      </c>
      <c r="D4" s="8" t="inlineStr">
        <is>
          <t>単位</t>
        </is>
      </c>
      <c r="E4" s="8" t="inlineStr">
        <is>
          <t>R6計画</t>
        </is>
      </c>
      <c r="F4" s="8" t="inlineStr">
        <is>
          <t>R6実績</t>
        </is>
      </c>
      <c r="G4" s="8" t="inlineStr">
        <is>
          <t>達成率</t>
        </is>
      </c>
      <c r="H4" s="8" t="inlineStr">
        <is>
          <t>R7計画</t>
        </is>
      </c>
      <c r="I4" s="8" t="inlineStr">
        <is>
          <t>R7実績</t>
        </is>
      </c>
      <c r="J4" s="8" t="inlineStr">
        <is>
          <t>達成率</t>
        </is>
      </c>
      <c r="K4" s="8" t="inlineStr">
        <is>
          <t>R8計画</t>
        </is>
      </c>
      <c r="L4" s="8" t="inlineStr">
        <is>
          <t>R8見込</t>
        </is>
      </c>
      <c r="M4" s="8" t="inlineStr">
        <is>
          <t>達成率</t>
        </is>
      </c>
      <c r="N4" s="8" t="inlineStr">
        <is>
          <t>乖離の要因・対応</t>
        </is>
      </c>
      <c r="O4" s="8" t="inlineStr">
        <is>
          <t>出典・記入担当</t>
        </is>
      </c>
    </row>
    <row r="5">
      <c r="A5" s="9" t="inlineStr">
        <is>
          <t>高齢者福祉</t>
        </is>
      </c>
      <c r="B5" s="10" t="inlineStr">
        <is>
          <t>移送サービス事業</t>
        </is>
      </c>
      <c r="C5" s="9" t="inlineStr">
        <is>
          <t>延利用人数</t>
        </is>
      </c>
      <c r="D5" s="9" t="inlineStr">
        <is>
          <t>人／年</t>
        </is>
      </c>
      <c r="E5" s="11" t="n">
        <v>320</v>
      </c>
      <c r="F5" s="12" t="n">
        <v>1074</v>
      </c>
      <c r="G5" s="13">
        <f>IF(OR(E5="",E5=0,F5=""),"",F5/E5)</f>
        <v/>
      </c>
      <c r="H5" s="11" t="n">
        <v>325</v>
      </c>
      <c r="I5" s="12" t="n">
        <v>1114</v>
      </c>
      <c r="J5" s="13">
        <f>IF(OR(H5="",H5=0,I5=""),"",I5/H5)</f>
        <v/>
      </c>
      <c r="K5" s="11" t="n">
        <v>330</v>
      </c>
      <c r="L5" s="12" t="n">
        <v>1188</v>
      </c>
      <c r="M5" s="13">
        <f>IF(OR(K5="",K5=0,L5=""),"",L5/K5)</f>
        <v/>
      </c>
      <c r="N5" s="14" t="inlineStr">
        <is>
          <t>計画は「延利用人数（人）」、実績データは「延利用回数（回）」。定義の確認が必要</t>
        </is>
      </c>
      <c r="O5" s="15" t="inlineStr">
        <is>
          <t>計画書／実績データ 06シート</t>
        </is>
      </c>
    </row>
    <row r="6">
      <c r="A6" s="9" t="inlineStr">
        <is>
          <t>高齢者福祉</t>
        </is>
      </c>
      <c r="B6" s="10" t="inlineStr">
        <is>
          <t>移送サービス事業</t>
        </is>
      </c>
      <c r="C6" s="9" t="inlineStr">
        <is>
          <t>実利用人数</t>
        </is>
      </c>
      <c r="D6" s="9" t="inlineStr">
        <is>
          <t>人／年</t>
        </is>
      </c>
      <c r="E6" s="11" t="n">
        <v>55</v>
      </c>
      <c r="F6" s="12" t="n">
        <v>214</v>
      </c>
      <c r="G6" s="13">
        <f>IF(OR(E6="",E6=0,F6=""),"",F6/E6)</f>
        <v/>
      </c>
      <c r="H6" s="11" t="n">
        <v>60</v>
      </c>
      <c r="I6" s="12" t="n">
        <v>307</v>
      </c>
      <c r="J6" s="13">
        <f>IF(OR(H6="",H6=0,I6=""),"",I6/H6)</f>
        <v/>
      </c>
      <c r="K6" s="11" t="n">
        <v>65</v>
      </c>
      <c r="L6" s="12" t="n">
        <v>264</v>
      </c>
      <c r="M6" s="13">
        <f>IF(OR(K6="",K6=0,L6=""),"",L6/K6)</f>
        <v/>
      </c>
      <c r="N6" s="14" t="n"/>
      <c r="O6" s="15" t="inlineStr">
        <is>
          <t>計画書／実績データ 06シート</t>
        </is>
      </c>
    </row>
    <row r="7">
      <c r="A7" s="9" t="inlineStr">
        <is>
          <t>高齢者福祉</t>
        </is>
      </c>
      <c r="B7" s="10" t="inlineStr">
        <is>
          <t>移送サービス事業</t>
        </is>
      </c>
      <c r="C7" s="9" t="inlineStr">
        <is>
          <t>給付費</t>
        </is>
      </c>
      <c r="D7" s="9" t="inlineStr">
        <is>
          <t>千円／年</t>
        </is>
      </c>
      <c r="E7" s="11" t="n">
        <v>3150</v>
      </c>
      <c r="F7" s="12" t="n">
        <v>1551</v>
      </c>
      <c r="G7" s="13">
        <f>IF(OR(E7="",E7=0,F7=""),"",F7/E7)</f>
        <v/>
      </c>
      <c r="H7" s="11" t="n">
        <v>3200</v>
      </c>
      <c r="I7" s="12" t="n">
        <v>1612</v>
      </c>
      <c r="J7" s="13">
        <f>IF(OR(H7="",H7=0,I7=""),"",I7/H7)</f>
        <v/>
      </c>
      <c r="K7" s="11" t="n">
        <v>3250</v>
      </c>
      <c r="L7" s="12" t="n">
        <v>2457</v>
      </c>
      <c r="M7" s="13">
        <f>IF(OR(K7="",K7=0,L7=""),"",L7/K7)</f>
        <v/>
      </c>
      <c r="N7" s="14" t="inlineStr">
        <is>
          <t>計画3,150千円に対し実績1,551千円（令和6年度・49％）。事業費の範囲の確認が必要</t>
        </is>
      </c>
      <c r="O7" s="15" t="inlineStr">
        <is>
          <t>計画書／実績データ 06シート</t>
        </is>
      </c>
    </row>
    <row r="8">
      <c r="A8" s="9" t="inlineStr">
        <is>
          <t>高齢者福祉</t>
        </is>
      </c>
      <c r="B8" s="10" t="inlineStr">
        <is>
          <t>タクシー利用助成事業</t>
        </is>
      </c>
      <c r="C8" s="9" t="inlineStr">
        <is>
          <t>利用実人数</t>
        </is>
      </c>
      <c r="D8" s="9" t="inlineStr">
        <is>
          <t>人／年</t>
        </is>
      </c>
      <c r="E8" s="11" t="n">
        <v>395</v>
      </c>
      <c r="F8" s="12" t="n"/>
      <c r="G8" s="13">
        <f>IF(OR(E8="",E8=0,F8=""),"",F8/E8)</f>
        <v/>
      </c>
      <c r="H8" s="11" t="n">
        <v>400</v>
      </c>
      <c r="I8" s="12" t="n"/>
      <c r="J8" s="13">
        <f>IF(OR(H8="",H8=0,I8=""),"",I8/H8)</f>
        <v/>
      </c>
      <c r="K8" s="11" t="n">
        <v>405</v>
      </c>
      <c r="L8" s="12" t="n"/>
      <c r="M8" s="13">
        <f>IF(OR(K8="",K8=0,L8=""),"",L8/K8)</f>
        <v/>
      </c>
      <c r="N8" s="14" t="n"/>
      <c r="O8" s="15" t="inlineStr">
        <is>
          <t>第9期計画書</t>
        </is>
      </c>
    </row>
    <row r="9">
      <c r="A9" s="9" t="inlineStr">
        <is>
          <t>高齢者福祉</t>
        </is>
      </c>
      <c r="B9" s="10" t="inlineStr">
        <is>
          <t>会食サービス事業</t>
        </is>
      </c>
      <c r="C9" s="9" t="inlineStr">
        <is>
          <t>実利用人数</t>
        </is>
      </c>
      <c r="D9" s="9" t="inlineStr">
        <is>
          <t>人／年</t>
        </is>
      </c>
      <c r="E9" s="11" t="n">
        <v>600</v>
      </c>
      <c r="F9" s="12" t="n"/>
      <c r="G9" s="13">
        <f>IF(OR(E9="",E9=0,F9=""),"",F9/E9)</f>
        <v/>
      </c>
      <c r="H9" s="11" t="n">
        <v>600</v>
      </c>
      <c r="I9" s="12" t="n"/>
      <c r="J9" s="13">
        <f>IF(OR(H9="",H9=0,I9=""),"",I9/H9)</f>
        <v/>
      </c>
      <c r="K9" s="11" t="n">
        <v>600</v>
      </c>
      <c r="L9" s="12" t="n"/>
      <c r="M9" s="13">
        <f>IF(OR(K9="",K9=0,L9=""),"",L9/K9)</f>
        <v/>
      </c>
      <c r="N9" s="14" t="n"/>
      <c r="O9" s="15" t="inlineStr">
        <is>
          <t>第9期計画書</t>
        </is>
      </c>
    </row>
    <row r="10">
      <c r="A10" s="9" t="inlineStr">
        <is>
          <t>高齢者福祉</t>
        </is>
      </c>
      <c r="B10" s="10" t="inlineStr">
        <is>
          <t>会食サービス事業</t>
        </is>
      </c>
      <c r="C10" s="9" t="inlineStr">
        <is>
          <t>給付費</t>
        </is>
      </c>
      <c r="D10" s="9" t="inlineStr">
        <is>
          <t>千円／年</t>
        </is>
      </c>
      <c r="E10" s="11" t="n">
        <v>360</v>
      </c>
      <c r="F10" s="12" t="n"/>
      <c r="G10" s="13">
        <f>IF(OR(E10="",E10=0,F10=""),"",F10/E10)</f>
        <v/>
      </c>
      <c r="H10" s="11" t="n">
        <v>360</v>
      </c>
      <c r="I10" s="12" t="n"/>
      <c r="J10" s="13">
        <f>IF(OR(H10="",H10=0,I10=""),"",I10/H10)</f>
        <v/>
      </c>
      <c r="K10" s="11" t="n">
        <v>360</v>
      </c>
      <c r="L10" s="12" t="n"/>
      <c r="M10" s="13">
        <f>IF(OR(K10="",K10=0,L10=""),"",L10/K10)</f>
        <v/>
      </c>
      <c r="N10" s="14" t="n"/>
      <c r="O10" s="15" t="inlineStr">
        <is>
          <t>第9期計画書</t>
        </is>
      </c>
    </row>
    <row r="11">
      <c r="A11" s="9" t="inlineStr">
        <is>
          <t>高齢者福祉</t>
        </is>
      </c>
      <c r="B11" s="10" t="inlineStr">
        <is>
          <t>緊急通報システム事業</t>
        </is>
      </c>
      <c r="C11" s="9" t="inlineStr">
        <is>
          <t>実利用人数</t>
        </is>
      </c>
      <c r="D11" s="9" t="inlineStr">
        <is>
          <t>人／年</t>
        </is>
      </c>
      <c r="E11" s="11" t="n">
        <v>40</v>
      </c>
      <c r="F11" s="12" t="n">
        <v>393</v>
      </c>
      <c r="G11" s="13">
        <f>IF(OR(E11="",E11=0,F11=""),"",F11/E11)</f>
        <v/>
      </c>
      <c r="H11" s="11" t="n">
        <v>45</v>
      </c>
      <c r="I11" s="12" t="n">
        <v>427</v>
      </c>
      <c r="J11" s="13">
        <f>IF(OR(H11="",H11=0,I11=""),"",I11/H11)</f>
        <v/>
      </c>
      <c r="K11" s="11" t="n">
        <v>50</v>
      </c>
      <c r="L11" s="12" t="n">
        <v>432</v>
      </c>
      <c r="M11" s="13">
        <f>IF(OR(K11="",K11=0,L11=""),"",L11/K11)</f>
        <v/>
      </c>
      <c r="N11" s="14" t="inlineStr">
        <is>
          <t>計画40人に対し実績393人。実績は設置台数の累計の可能性。定義の確認が必要</t>
        </is>
      </c>
      <c r="O11" s="15" t="inlineStr">
        <is>
          <t>計画書／実績データ 07シート</t>
        </is>
      </c>
    </row>
    <row r="12">
      <c r="A12" s="9" t="inlineStr">
        <is>
          <t>高齢者福祉</t>
        </is>
      </c>
      <c r="B12" s="10" t="inlineStr">
        <is>
          <t>緊急通報システム事業</t>
        </is>
      </c>
      <c r="C12" s="9" t="inlineStr">
        <is>
          <t>設置費用</t>
        </is>
      </c>
      <c r="D12" s="9" t="inlineStr">
        <is>
          <t>千円／年</t>
        </is>
      </c>
      <c r="E12" s="11" t="n">
        <v>7</v>
      </c>
      <c r="F12" s="12" t="n"/>
      <c r="G12" s="13">
        <f>IF(OR(E12="",E12=0,F12=""),"",F12/E12)</f>
        <v/>
      </c>
      <c r="H12" s="11" t="n">
        <v>10</v>
      </c>
      <c r="I12" s="12" t="n"/>
      <c r="J12" s="13">
        <f>IF(OR(H12="",H12=0,I12=""),"",I12/H12)</f>
        <v/>
      </c>
      <c r="K12" s="11" t="n">
        <v>13</v>
      </c>
      <c r="L12" s="12" t="n"/>
      <c r="M12" s="13">
        <f>IF(OR(K12="",K12=0,L12=""),"",L12/K12)</f>
        <v/>
      </c>
      <c r="N12" s="14" t="n"/>
      <c r="O12" s="15" t="inlineStr">
        <is>
          <t>第9期計画書</t>
        </is>
      </c>
    </row>
    <row r="13">
      <c r="A13" s="9" t="inlineStr">
        <is>
          <t>高齢者福祉</t>
        </is>
      </c>
      <c r="B13" s="10" t="inlineStr">
        <is>
          <t>老人クラブ助成事業</t>
        </is>
      </c>
      <c r="C13" s="9" t="inlineStr">
        <is>
          <t>老人クラブ数</t>
        </is>
      </c>
      <c r="D13" s="9" t="inlineStr">
        <is>
          <t>単位数</t>
        </is>
      </c>
      <c r="E13" s="11" t="n">
        <v>16</v>
      </c>
      <c r="F13" s="12" t="n"/>
      <c r="G13" s="13">
        <f>IF(OR(E13="",E13=0,F13=""),"",F13/E13)</f>
        <v/>
      </c>
      <c r="H13" s="11" t="n">
        <v>16</v>
      </c>
      <c r="I13" s="12" t="n"/>
      <c r="J13" s="13">
        <f>IF(OR(H13="",H13=0,I13=""),"",I13/H13)</f>
        <v/>
      </c>
      <c r="K13" s="11" t="n">
        <v>16</v>
      </c>
      <c r="L13" s="12" t="n"/>
      <c r="M13" s="13">
        <f>IF(OR(K13="",K13=0,L13=""),"",L13/K13)</f>
        <v/>
      </c>
      <c r="N13" s="14" t="n"/>
      <c r="O13" s="15" t="inlineStr">
        <is>
          <t>第9期計画書</t>
        </is>
      </c>
    </row>
    <row r="14">
      <c r="A14" s="9" t="inlineStr">
        <is>
          <t>高齢者福祉</t>
        </is>
      </c>
      <c r="B14" s="10" t="inlineStr">
        <is>
          <t>敬老会開催事業</t>
        </is>
      </c>
      <c r="C14" s="9" t="inlineStr">
        <is>
          <t>対象人数</t>
        </is>
      </c>
      <c r="D14" s="9" t="inlineStr">
        <is>
          <t>人／年</t>
        </is>
      </c>
      <c r="E14" s="11" t="n">
        <v>1770</v>
      </c>
      <c r="F14" s="12" t="n"/>
      <c r="G14" s="13">
        <f>IF(OR(E14="",E14=0,F14=""),"",F14/E14)</f>
        <v/>
      </c>
      <c r="H14" s="11" t="n">
        <v>1965</v>
      </c>
      <c r="I14" s="12" t="n"/>
      <c r="J14" s="13">
        <f>IF(OR(H14="",H14=0,I14=""),"",I14/H14)</f>
        <v/>
      </c>
      <c r="K14" s="11" t="n">
        <v>2141</v>
      </c>
      <c r="L14" s="12" t="n"/>
      <c r="M14" s="13">
        <f>IF(OR(K14="",K14=0,L14=""),"",L14/K14)</f>
        <v/>
      </c>
      <c r="N14" s="14" t="n"/>
      <c r="O14" s="15" t="inlineStr">
        <is>
          <t>第9期計画書</t>
        </is>
      </c>
    </row>
    <row r="15">
      <c r="A15" s="9" t="inlineStr">
        <is>
          <t>高齢者福祉</t>
        </is>
      </c>
      <c r="B15" s="10" t="inlineStr">
        <is>
          <t>敬老会開催事業</t>
        </is>
      </c>
      <c r="C15" s="9" t="inlineStr">
        <is>
          <t>開催地区数</t>
        </is>
      </c>
      <c r="D15" s="9" t="inlineStr"/>
      <c r="E15" s="11" t="n">
        <v>25</v>
      </c>
      <c r="F15" s="12" t="n"/>
      <c r="G15" s="13">
        <f>IF(OR(E15="",E15=0,F15=""),"",F15/E15)</f>
        <v/>
      </c>
      <c r="H15" s="11" t="n">
        <v>25</v>
      </c>
      <c r="I15" s="12" t="n"/>
      <c r="J15" s="13">
        <f>IF(OR(H15="",H15=0,I15=""),"",I15/H15)</f>
        <v/>
      </c>
      <c r="K15" s="11" t="n">
        <v>25</v>
      </c>
      <c r="L15" s="12" t="n"/>
      <c r="M15" s="13">
        <f>IF(OR(K15="",K15=0,L15=""),"",L15/K15)</f>
        <v/>
      </c>
      <c r="N15" s="14" t="n"/>
      <c r="O15" s="15" t="inlineStr">
        <is>
          <t>第9期計画書</t>
        </is>
      </c>
    </row>
  </sheetData>
  <autoFilter ref="A4:O15"/>
  <mergeCells count="2">
    <mergeCell ref="A1:O1"/>
    <mergeCell ref="A2:O2"/>
  </mergeCells>
  <conditionalFormatting sqref="G5:G15">
    <cfRule type="cellIs" priority="1" operator="lessThan" dxfId="0">
      <formula>0.8</formula>
    </cfRule>
    <cfRule type="cellIs" priority="2" operator="greaterThan" dxfId="0">
      <formula>1.2</formula>
    </cfRule>
  </conditionalFormatting>
  <conditionalFormatting sqref="J5:J15">
    <cfRule type="cellIs" priority="3" operator="lessThan" dxfId="0">
      <formula>0.8</formula>
    </cfRule>
    <cfRule type="cellIs" priority="4" operator="greaterThan" dxfId="0">
      <formula>1.2</formula>
    </cfRule>
  </conditionalFormatting>
  <conditionalFormatting sqref="M5:M15">
    <cfRule type="cellIs" priority="5" operator="lessThan" dxfId="0">
      <formula>0.8</formula>
    </cfRule>
    <cfRule type="cellIs" priority="6" operator="greaterThan" dxfId="0">
      <formula>1.2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記入状況</t>
        </is>
      </c>
    </row>
    <row r="2">
      <c r="A2" s="2" t="inlineStr">
        <is>
          <t>実績欄（F・I・L列）の記入済み件数を自動集計します。</t>
        </is>
      </c>
    </row>
    <row r="4" ht="30" customHeight="1">
      <c r="A4" s="16" t="inlineStr">
        <is>
          <t>シート</t>
        </is>
      </c>
      <c r="B4" s="16" t="inlineStr">
        <is>
          <t>行数</t>
        </is>
      </c>
      <c r="C4" s="16" t="inlineStr">
        <is>
          <t>計画値のある行</t>
        </is>
      </c>
      <c r="D4" s="16" t="inlineStr">
        <is>
          <t>実績を記入済み（当社転記分）</t>
        </is>
      </c>
      <c r="E4" s="16" t="inlineStr">
        <is>
          <t>R6実績の記入済み</t>
        </is>
      </c>
      <c r="F4" s="16" t="inlineStr">
        <is>
          <t>R7実績の記入済み</t>
        </is>
      </c>
      <c r="G4" s="16" t="inlineStr">
        <is>
          <t>R8見込の記入済み</t>
        </is>
      </c>
    </row>
    <row r="5">
      <c r="A5" s="17" t="inlineStr">
        <is>
          <t>01_居宅サービス</t>
        </is>
      </c>
      <c r="B5" s="17" t="n">
        <v>52</v>
      </c>
      <c r="C5" s="17" t="n">
        <v>52</v>
      </c>
      <c r="D5" s="17" t="n">
        <v>8</v>
      </c>
      <c r="E5" s="17">
        <f>COUNT('01_居宅サービス'!F5:F56)</f>
        <v/>
      </c>
      <c r="F5" s="17">
        <f>COUNT('01_居宅サービス'!I5:I56)</f>
        <v/>
      </c>
      <c r="G5" s="17">
        <f>COUNT('01_居宅サービス'!L5:L56)</f>
        <v/>
      </c>
    </row>
    <row r="6">
      <c r="A6" s="17" t="inlineStr">
        <is>
          <t>02_地域密着型サービス</t>
        </is>
      </c>
      <c r="B6" s="17" t="n">
        <v>15</v>
      </c>
      <c r="C6" s="17" t="n">
        <v>10</v>
      </c>
      <c r="D6" s="17" t="n">
        <v>6</v>
      </c>
      <c r="E6" s="17">
        <f>COUNT('02_地域密着型サービス'!F5:F19)</f>
        <v/>
      </c>
      <c r="F6" s="17">
        <f>COUNT('02_地域密着型サービス'!I5:I19)</f>
        <v/>
      </c>
      <c r="G6" s="17">
        <f>COUNT('02_地域密着型サービス'!L5:L19)</f>
        <v/>
      </c>
    </row>
    <row r="7">
      <c r="A7" s="17" t="inlineStr">
        <is>
          <t>03_施設サービス</t>
        </is>
      </c>
      <c r="B7" s="17" t="n">
        <v>6</v>
      </c>
      <c r="C7" s="17" t="n">
        <v>4</v>
      </c>
      <c r="D7" s="17" t="n">
        <v>4</v>
      </c>
      <c r="E7" s="17">
        <f>COUNT('03_施設サービス'!F5:F10)</f>
        <v/>
      </c>
      <c r="F7" s="17">
        <f>COUNT('03_施設サービス'!I5:I10)</f>
        <v/>
      </c>
      <c r="G7" s="17">
        <f>COUNT('03_施設サービス'!L5:L10)</f>
        <v/>
      </c>
    </row>
    <row r="8">
      <c r="A8" s="17" t="inlineStr">
        <is>
          <t>04_総合事業・一般介護予防</t>
        </is>
      </c>
      <c r="B8" s="17" t="n">
        <v>23</v>
      </c>
      <c r="C8" s="17" t="n">
        <v>23</v>
      </c>
      <c r="D8" s="17" t="n">
        <v>0</v>
      </c>
      <c r="E8" s="17">
        <f>COUNT('04_総合事業・一般介護予防'!F5:F27)</f>
        <v/>
      </c>
      <c r="F8" s="17">
        <f>COUNT('04_総合事業・一般介護予防'!I5:I27)</f>
        <v/>
      </c>
      <c r="G8" s="17">
        <f>COUNT('04_総合事業・一般介護予防'!L5:L27)</f>
        <v/>
      </c>
    </row>
    <row r="9">
      <c r="A9" s="17" t="inlineStr">
        <is>
          <t>05_包括的支援事業・任意事業</t>
        </is>
      </c>
      <c r="B9" s="17" t="n">
        <v>19</v>
      </c>
      <c r="C9" s="17" t="n">
        <v>19</v>
      </c>
      <c r="D9" s="17" t="n">
        <v>8</v>
      </c>
      <c r="E9" s="17">
        <f>COUNT('05_包括的支援事業・任意事業'!F5:F23)</f>
        <v/>
      </c>
      <c r="F9" s="17">
        <f>COUNT('05_包括的支援事業・任意事業'!I5:I23)</f>
        <v/>
      </c>
      <c r="G9" s="17">
        <f>COUNT('05_包括的支援事業・任意事業'!L5:L23)</f>
        <v/>
      </c>
    </row>
    <row r="10">
      <c r="A10" s="17" t="inlineStr">
        <is>
          <t>06_高齢者福祉サービス</t>
        </is>
      </c>
      <c r="B10" s="17" t="n">
        <v>11</v>
      </c>
      <c r="C10" s="17" t="n">
        <v>11</v>
      </c>
      <c r="D10" s="17" t="n">
        <v>4</v>
      </c>
      <c r="E10" s="17">
        <f>COUNT('06_高齢者福祉サービス'!F5:F15)</f>
        <v/>
      </c>
      <c r="F10" s="17">
        <f>COUNT('06_高齢者福祉サービス'!I5:I15)</f>
        <v/>
      </c>
      <c r="G10" s="17">
        <f>COUNT('06_高齢者福祉サービス'!L5:L15)</f>
        <v/>
      </c>
    </row>
    <row r="12">
      <c r="A12" s="2" t="inlineStr">
        <is>
          <t>※「実績を記入済み（当社転記分）」は、令和8年9月1日提供の実績データから転記できた指標の数です。</t>
        </is>
      </c>
    </row>
    <row r="13">
      <c r="A13" s="18" t="inlineStr">
        <is>
          <t>※ 空欄の実績欄は、町にご記入いただく必要があります（確認事項No.40・No.42）。</t>
        </is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2026-09-02T09:47:05Z</dcterms:created>
  <dcterms:modified xmlns:dcterms="http://purl.org/dc/terms/" xmlns:xsi="http://www.w3.org/2001/XMLSchema-instance" xsi:type="dcterms:W3CDTF">2026-09-02T09:47:06Z</dcterms:modified>
</cp:coreProperties>
</file>