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使い方" sheetId="1" state="visible" r:id="rId3"/>
    <sheet name="01_入力_基礎データ" sheetId="2" state="visible" r:id="rId4"/>
    <sheet name="02_Step1-2_標準給付費" sheetId="3" state="visible" r:id="rId5"/>
    <sheet name="03_Step3-4_地域支援等" sheetId="4" state="visible" r:id="rId6"/>
    <sheet name="04_Step5_調整交付金" sheetId="5" state="visible" r:id="rId7"/>
    <sheet name="05_Step6_基金3パターン" sheetId="6" state="visible" r:id="rId8"/>
    <sheet name="06_Step7-8_収納額_基準額" sheetId="7" state="visible" r:id="rId9"/>
    <sheet name="07_所得段階_9段階" sheetId="8" state="visible" r:id="rId10"/>
    <sheet name="08_所得段階_13段階" sheetId="9" state="visible" r:id="rId11"/>
    <sheet name="09_比較分析" sheetId="10" state="visible" r:id="rId12"/>
    <sheet name="10_長期推計サマリー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Noto Sans CJK SC"/>
            <family val="2"/>
          </rPr>
          <t xml:space="preserve">第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Noto Sans CJK SC"/>
            <family val="2"/>
          </rPr>
          <t xml:space="preserve">期計画コーホート推計</t>
        </r>
        <r>
          <rPr>
            <sz val="10"/>
            <rFont val="Arial"/>
            <family val="2"/>
          </rPr>
          <t xml:space="preserve">(R8</t>
        </r>
        <r>
          <rPr>
            <sz val="10"/>
            <rFont val="Noto Sans CJK SC"/>
            <family val="2"/>
          </rPr>
          <t xml:space="preserve">・住基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Noto Sans CJK SC"/>
            <family val="2"/>
          </rPr>
          <t xml:space="preserve">月末</t>
        </r>
        <r>
          <rPr>
            <sz val="10"/>
            <rFont val="Arial"/>
            <family val="2"/>
          </rPr>
          <t xml:space="preserve">)</t>
        </r>
      </text>
    </comment>
    <comment ref="B8" authorId="0">
      <text>
        <r>
          <rPr>
            <sz val="10"/>
            <rFont val="Noto Sans CJK SC"/>
            <family val="2"/>
          </rPr>
          <t xml:space="preserve">第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Noto Sans CJK SC"/>
            <family val="2"/>
          </rPr>
          <t xml:space="preserve">期計画コーホート推計</t>
        </r>
        <r>
          <rPr>
            <sz val="10"/>
            <rFont val="Arial"/>
            <family val="2"/>
          </rPr>
          <t xml:space="preserve">(R9</t>
        </r>
        <r>
          <rPr>
            <sz val="10"/>
            <rFont val="Noto Sans CJK SC"/>
            <family val="2"/>
          </rPr>
          <t xml:space="preserve">・住基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Noto Sans CJK SC"/>
            <family val="2"/>
          </rPr>
          <t xml:space="preserve">月末</t>
        </r>
        <r>
          <rPr>
            <sz val="10"/>
            <rFont val="Arial"/>
            <family val="2"/>
          </rPr>
          <t xml:space="preserve">)</t>
        </r>
      </text>
    </comment>
    <comment ref="B9" authorId="0">
      <text>
        <r>
          <rPr>
            <sz val="10"/>
            <rFont val="Noto Sans CJK SC"/>
            <family val="2"/>
          </rPr>
          <t xml:space="preserve">社人研</t>
        </r>
        <r>
          <rPr>
            <sz val="10"/>
            <rFont val="Arial"/>
            <family val="2"/>
          </rPr>
          <t xml:space="preserve">R5</t>
        </r>
        <r>
          <rPr>
            <sz val="10"/>
            <rFont val="Noto Sans CJK SC"/>
            <family val="2"/>
          </rPr>
          <t xml:space="preserve">推計の減少率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年</t>
        </r>
        <r>
          <rPr>
            <sz val="10"/>
            <rFont val="Arial"/>
            <family val="2"/>
          </rPr>
          <t xml:space="preserve">-0.43%)</t>
        </r>
        <r>
          <rPr>
            <sz val="10"/>
            <rFont val="Noto Sans CJK SC"/>
            <family val="2"/>
          </rPr>
          <t xml:space="preserve">で</t>
        </r>
        <r>
          <rPr>
            <sz val="10"/>
            <rFont val="Arial"/>
            <family val="2"/>
          </rPr>
          <t xml:space="preserve">R9</t>
        </r>
        <r>
          <rPr>
            <sz val="10"/>
            <rFont val="Noto Sans CJK SC"/>
            <family val="2"/>
          </rPr>
          <t xml:space="preserve">から補外</t>
        </r>
      </text>
    </comment>
    <comment ref="B10" authorId="0">
      <text>
        <r>
          <rPr>
            <sz val="10"/>
            <rFont val="Noto Sans CJK SC"/>
            <family val="2"/>
          </rPr>
          <t xml:space="preserve">社人研</t>
        </r>
        <r>
          <rPr>
            <sz val="10"/>
            <rFont val="Arial"/>
            <family val="2"/>
          </rPr>
          <t xml:space="preserve">R5</t>
        </r>
        <r>
          <rPr>
            <sz val="10"/>
            <rFont val="Noto Sans CJK SC"/>
            <family val="2"/>
          </rPr>
          <t xml:space="preserve">推計の減少率で</t>
        </r>
        <r>
          <rPr>
            <sz val="10"/>
            <rFont val="Arial"/>
            <family val="2"/>
          </rPr>
          <t xml:space="preserve">R10</t>
        </r>
        <r>
          <rPr>
            <sz val="10"/>
            <rFont val="Noto Sans CJK SC"/>
            <family val="2"/>
          </rPr>
          <t xml:space="preserve">から補外</t>
        </r>
      </text>
    </comment>
    <comment ref="B15" authorId="0">
      <text>
        <r>
          <rPr>
            <sz val="10"/>
            <rFont val="Noto Sans CJK SC"/>
            <family val="2"/>
          </rPr>
          <t xml:space="preserve">第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Noto Sans CJK SC"/>
            <family val="2"/>
          </rPr>
          <t xml:space="preserve">期計画の基金残高</t>
        </r>
        <r>
          <rPr>
            <sz val="10"/>
            <rFont val="Arial"/>
            <family val="2"/>
          </rPr>
          <t xml:space="preserve">131,700</t>
        </r>
        <r>
          <rPr>
            <sz val="10"/>
            <rFont val="Noto Sans CJK SC"/>
            <family val="2"/>
          </rPr>
          <t xml:space="preserve">千円−予定取崩</t>
        </r>
        <r>
          <rPr>
            <sz val="10"/>
            <rFont val="Arial"/>
            <family val="2"/>
          </rPr>
          <t xml:space="preserve">78,000</t>
        </r>
        <r>
          <rPr>
            <sz val="10"/>
            <rFont val="Noto Sans CJK SC"/>
            <family val="2"/>
          </rPr>
          <t xml:space="preserve">千円</t>
        </r>
        <r>
          <rPr>
            <sz val="10"/>
            <rFont val="Arial"/>
            <family val="2"/>
          </rPr>
          <t xml:space="preserve">=53,700</t>
        </r>
        <r>
          <rPr>
            <sz val="10"/>
            <rFont val="Noto Sans CJK SC"/>
            <family val="2"/>
          </rPr>
          <t xml:space="preserve">千円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計画ベース理論値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</t>
        </r>
        <r>
          <rPr>
            <sz val="10"/>
            <rFont val="Arial"/>
            <family val="2"/>
          </rPr>
          <t xml:space="preserve">R8.6</t>
        </r>
        <r>
          <rPr>
            <sz val="10"/>
            <rFont val="Noto Sans CJK SC"/>
            <family val="2"/>
          </rPr>
          <t xml:space="preserve">確定値は町確認待ち。第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Noto Sans CJK SC"/>
            <family val="2"/>
          </rPr>
          <t xml:space="preserve">期に給付が計画を下回れば残高はこれより大きくなる。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Noto Sans CJK SC"/>
            <family val="2"/>
          </rPr>
          <t xml:space="preserve">第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Noto Sans CJK SC"/>
            <family val="2"/>
          </rPr>
          <t xml:space="preserve">期実績</t>
        </r>
        <r>
          <rPr>
            <sz val="10"/>
            <rFont val="Arial"/>
            <family val="2"/>
          </rPr>
          <t xml:space="preserve">:</t>
        </r>
        <r>
          <rPr>
            <sz val="10"/>
            <rFont val="Noto Sans CJK SC"/>
            <family val="2"/>
          </rPr>
          <t xml:space="preserve">調整交付金見込額</t>
        </r>
        <r>
          <rPr>
            <sz val="10"/>
            <rFont val="Arial"/>
            <family val="2"/>
          </rPr>
          <t xml:space="preserve">129,349</t>
        </r>
        <r>
          <rPr>
            <sz val="10"/>
            <rFont val="Noto Sans CJK SC"/>
            <family val="2"/>
          </rPr>
          <t xml:space="preserve">千円</t>
        </r>
        <r>
          <rPr>
            <sz val="10"/>
            <rFont val="Arial"/>
            <family val="2"/>
          </rPr>
          <t xml:space="preserve">÷</t>
        </r>
        <r>
          <rPr>
            <sz val="10"/>
            <rFont val="Noto Sans CJK SC"/>
            <family val="2"/>
          </rPr>
          <t xml:space="preserve">標準給付費</t>
        </r>
        <r>
          <rPr>
            <sz val="10"/>
            <rFont val="Arial"/>
            <family val="2"/>
          </rPr>
          <t xml:space="preserve">3,294,553</t>
        </r>
        <r>
          <rPr>
            <sz val="10"/>
            <rFont val="Noto Sans CJK SC"/>
            <family val="2"/>
          </rPr>
          <t xml:space="preserve">千円≒</t>
        </r>
        <r>
          <rPr>
            <sz val="10"/>
            <rFont val="Arial"/>
            <family val="2"/>
          </rPr>
          <t xml:space="preserve">3.9%</t>
        </r>
        <r>
          <rPr>
            <sz val="10"/>
            <rFont val="Noto Sans CJK SC"/>
            <family val="2"/>
          </rPr>
          <t xml:space="preserve">。第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期は国通知で確定。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Noto Sans CJK SC"/>
            <family val="2"/>
          </rPr>
          <t xml:space="preserve">第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Noto Sans CJK SC"/>
            <family val="2"/>
          </rPr>
          <t xml:space="preserve">期実績</t>
        </r>
        <r>
          <rPr>
            <sz val="10"/>
            <rFont val="Arial"/>
            <family val="2"/>
          </rPr>
          <t xml:space="preserve">10,800</t>
        </r>
        <r>
          <rPr>
            <sz val="10"/>
            <rFont val="Noto Sans CJK SC"/>
            <family val="2"/>
          </rPr>
          <t xml:space="preserve">千円</t>
        </r>
        <r>
          <rPr>
            <sz val="10"/>
            <rFont val="Arial"/>
            <family val="2"/>
          </rPr>
          <t xml:space="preserve">(3</t>
        </r>
        <r>
          <rPr>
            <sz val="10"/>
            <rFont val="Noto Sans CJK SC"/>
            <family val="2"/>
          </rPr>
          <t xml:space="preserve">年計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。第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期は国通知で確定。</t>
        </r>
      </text>
    </comment>
    <comment ref="B16" authorId="0">
      <text>
        <r>
          <rPr>
            <sz val="10"/>
            <rFont val="Noto Sans CJK SC"/>
            <family val="2"/>
          </rPr>
          <t xml:space="preserve">第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Noto Sans CJK SC"/>
            <family val="2"/>
          </rPr>
          <t xml:space="preserve">期と同じ</t>
        </r>
        <r>
          <rPr>
            <sz val="10"/>
            <rFont val="Arial"/>
            <family val="2"/>
          </rPr>
          <t xml:space="preserve">96%</t>
        </r>
        <r>
          <rPr>
            <sz val="10"/>
            <rFont val="Noto Sans CJK SC"/>
            <family val="2"/>
          </rPr>
          <t xml:space="preserve">を暫定使用。確定は過去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年</t>
        </r>
        <r>
          <rPr>
            <sz val="10"/>
            <rFont val="Arial"/>
            <family val="2"/>
          </rPr>
          <t xml:space="preserve">(R4-R7)</t>
        </r>
        <r>
          <rPr>
            <sz val="10"/>
            <rFont val="Noto Sans CJK SC"/>
            <family val="2"/>
          </rPr>
          <t xml:space="preserve">平均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町確認待ち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。シート</t>
        </r>
        <r>
          <rPr>
            <sz val="10"/>
            <rFont val="Arial"/>
            <family val="2"/>
          </rPr>
          <t xml:space="preserve">01</t>
        </r>
        <r>
          <rPr>
            <sz val="10"/>
            <rFont val="Noto Sans CJK SC"/>
            <family val="2"/>
          </rPr>
          <t xml:space="preserve">の</t>
        </r>
        <r>
          <rPr>
            <sz val="10"/>
            <rFont val="Arial"/>
            <family val="2"/>
          </rPr>
          <t xml:space="preserve">C</t>
        </r>
        <r>
          <rPr>
            <sz val="10"/>
            <rFont val="Noto Sans CJK SC"/>
            <family val="2"/>
          </rPr>
          <t xml:space="preserve">節参照。</t>
        </r>
      </text>
    </comment>
    <comment ref="B17" authorId="0">
      <text>
        <r>
          <rPr>
            <sz val="10"/>
            <rFont val="Noto Sans CJK SC"/>
            <family val="2"/>
          </rPr>
          <t xml:space="preserve">所得段階別加入割合補正後の加重平均料率。川崎町第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Noto Sans CJK SC"/>
            <family val="2"/>
          </rPr>
          <t xml:space="preserve">期計画の基準額</t>
        </r>
        <r>
          <rPr>
            <sz val="10"/>
            <rFont val="Arial"/>
            <family val="2"/>
          </rPr>
          <t xml:space="preserve">(6,508</t>
        </r>
        <r>
          <rPr>
            <sz val="10"/>
            <rFont val="Noto Sans CJK SC"/>
            <family val="2"/>
          </rPr>
          <t xml:space="preserve">円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から逆算した実効値</t>
        </r>
        <r>
          <rPr>
            <sz val="10"/>
            <rFont val="Arial"/>
            <family val="2"/>
          </rPr>
          <t xml:space="preserve">0.96</t>
        </r>
        <r>
          <rPr>
            <sz val="10"/>
            <rFont val="Noto Sans CJK SC"/>
            <family val="2"/>
          </rPr>
          <t xml:space="preserve">〜</t>
        </r>
        <r>
          <rPr>
            <sz val="10"/>
            <rFont val="Arial"/>
            <family val="2"/>
          </rPr>
          <t xml:space="preserve">0.98</t>
        </r>
        <r>
          <rPr>
            <sz val="10"/>
            <rFont val="Noto Sans CJK SC"/>
            <family val="2"/>
          </rPr>
          <t xml:space="preserve">の中点</t>
        </r>
        <r>
          <rPr>
            <sz val="10"/>
            <rFont val="Arial"/>
            <family val="2"/>
          </rPr>
          <t xml:space="preserve">0.97</t>
        </r>
        <r>
          <rPr>
            <sz val="10"/>
            <rFont val="Noto Sans CJK SC"/>
            <family val="2"/>
          </rPr>
          <t xml:space="preserve">を採用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低所得層が多く</t>
        </r>
        <r>
          <rPr>
            <sz val="10"/>
            <rFont val="Arial"/>
            <family val="2"/>
          </rPr>
          <t xml:space="preserve">1.0</t>
        </r>
        <r>
          <rPr>
            <sz val="10"/>
            <rFont val="Noto Sans CJK SC"/>
            <family val="2"/>
          </rPr>
          <t xml:space="preserve">を下回る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。確定は所得段階別人口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町確認待ち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</t>
        </r>
      </text>
    </comment>
  </commentList>
</comments>
</file>

<file path=xl/sharedStrings.xml><?xml version="1.0" encoding="utf-8"?>
<sst xmlns="http://schemas.openxmlformats.org/spreadsheetml/2006/main" count="489" uniqueCount="411">
  <si>
    <t xml:space="preserve">川崎町第10期 保険料試算ワークブック</t>
  </si>
  <si>
    <r>
      <rPr>
        <i val="true"/>
        <sz val="10"/>
        <color rgb="FFFFFFFF"/>
        <rFont val="游ゴシック"/>
        <family val="0"/>
        <charset val="1"/>
      </rPr>
      <t xml:space="preserve">── 8</t>
    </r>
    <r>
      <rPr>
        <i val="true"/>
        <sz val="10"/>
        <color rgb="FFFFFFFF"/>
        <rFont val="Noto Sans CJK SC"/>
        <family val="2"/>
      </rPr>
      <t xml:space="preserve">ステップ準拠・</t>
    </r>
    <r>
      <rPr>
        <i val="true"/>
        <sz val="10"/>
        <color rgb="FFFFFFFF"/>
        <rFont val="游ゴシック"/>
        <family val="0"/>
        <charset val="1"/>
      </rPr>
      <t xml:space="preserve">3</t>
    </r>
    <r>
      <rPr>
        <i val="true"/>
        <sz val="10"/>
        <color rgb="FFFFFFFF"/>
        <rFont val="Noto Sans CJK SC"/>
        <family val="2"/>
      </rPr>
      <t xml:space="preserve">パターン</t>
    </r>
    <r>
      <rPr>
        <i val="true"/>
        <sz val="10"/>
        <color rgb="FFFFFFFF"/>
        <rFont val="游ゴシック"/>
        <family val="0"/>
        <charset val="1"/>
      </rPr>
      <t xml:space="preserve">(A/B/C)</t>
    </r>
    <r>
      <rPr>
        <i val="true"/>
        <sz val="10"/>
        <color rgb="FFFFFFFF"/>
        <rFont val="Noto Sans CJK SC"/>
        <family val="2"/>
      </rPr>
      <t xml:space="preserve">試算・</t>
    </r>
    <r>
      <rPr>
        <i val="true"/>
        <sz val="10"/>
        <color rgb="FFFFFFFF"/>
        <rFont val="游ゴシック"/>
        <family val="0"/>
        <charset val="1"/>
      </rPr>
      <t xml:space="preserve">9</t>
    </r>
    <r>
      <rPr>
        <i val="true"/>
        <sz val="10"/>
        <color rgb="FFFFFFFF"/>
        <rFont val="Noto Sans CJK SC"/>
        <family val="2"/>
      </rPr>
      <t xml:space="preserve">段階</t>
    </r>
    <r>
      <rPr>
        <i val="true"/>
        <sz val="10"/>
        <color rgb="FFFFFFFF"/>
        <rFont val="游ゴシック"/>
        <family val="0"/>
        <charset val="1"/>
      </rPr>
      <t xml:space="preserve">/13</t>
    </r>
    <r>
      <rPr>
        <i val="true"/>
        <sz val="10"/>
        <color rgb="FFFFFFFF"/>
        <rFont val="Noto Sans CJK SC"/>
        <family val="2"/>
      </rPr>
      <t xml:space="preserve">段階比較 ──</t>
    </r>
  </si>
  <si>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．本ワークブックの目的</t>
    </r>
  </si>
  <si>
    <t xml:space="preserve">国基本指針に準拠した8ステップで川崎町第10期介護保険料(第1号被保険者基準月額)を試算します。基金取崩額により3パターン(A:取崩なし/B:50%取崩/C:全額取崩)を並列計算し、9段階と13段階区分の比較も実施。第3回策定委員会(R9.1中旬)で確定値を提示するための作業用シートです。</t>
  </si>
  <si>
    <r>
      <rPr>
        <b val="true"/>
        <sz val="10"/>
        <color rgb="FFFFFFFF"/>
        <rFont val="游ゴシック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．シート構成</t>
    </r>
  </si>
  <si>
    <t xml:space="preserve">シート</t>
  </si>
  <si>
    <t xml:space="preserve">内容</t>
  </si>
  <si>
    <t xml:space="preserve">対応ステップ</t>
  </si>
  <si>
    <r>
      <rPr>
        <b val="true"/>
        <sz val="10"/>
        <rFont val="游ゴシック"/>
        <family val="0"/>
        <charset val="1"/>
      </rPr>
      <t xml:space="preserve">01_</t>
    </r>
    <r>
      <rPr>
        <b val="true"/>
        <sz val="10"/>
        <rFont val="Noto Sans CJK SC"/>
        <family val="2"/>
      </rPr>
      <t xml:space="preserve">入力</t>
    </r>
    <r>
      <rPr>
        <b val="true"/>
        <sz val="10"/>
        <rFont val="游ゴシック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基礎データ</t>
    </r>
  </si>
  <si>
    <t xml:space="preserve">人口・認定者・収納率・基金残高等の基礎数値</t>
  </si>
  <si>
    <t xml:space="preserve">全Step共通</t>
  </si>
  <si>
    <r>
      <rPr>
        <b val="true"/>
        <sz val="10"/>
        <rFont val="游ゴシック"/>
        <family val="0"/>
        <charset val="1"/>
      </rPr>
      <t xml:space="preserve">02_Step1-2_</t>
    </r>
    <r>
      <rPr>
        <b val="true"/>
        <sz val="10"/>
        <rFont val="Noto Sans CJK SC"/>
        <family val="2"/>
      </rPr>
      <t xml:space="preserve">標準給付費</t>
    </r>
  </si>
  <si>
    <t xml:space="preserve">サービス見込量と単価から3年間の標準給付費を算定</t>
  </si>
  <si>
    <t xml:space="preserve">Step1-2</t>
  </si>
  <si>
    <r>
      <rPr>
        <b val="true"/>
        <sz val="10"/>
        <rFont val="游ゴシック"/>
        <family val="0"/>
        <charset val="1"/>
      </rPr>
      <t xml:space="preserve">03_Step3-4_</t>
    </r>
    <r>
      <rPr>
        <b val="true"/>
        <sz val="10"/>
        <rFont val="Noto Sans CJK SC"/>
        <family val="2"/>
      </rPr>
      <t xml:space="preserve">地域支援等</t>
    </r>
  </si>
  <si>
    <t xml:space="preserve">地域支援事業費と第1号負担分相当額(23%)を算定</t>
  </si>
  <si>
    <t xml:space="preserve">Step3-4</t>
  </si>
  <si>
    <r>
      <rPr>
        <b val="true"/>
        <sz val="10"/>
        <rFont val="游ゴシック"/>
        <family val="0"/>
        <charset val="1"/>
      </rPr>
      <t xml:space="preserve">04_Step5_</t>
    </r>
    <r>
      <rPr>
        <b val="true"/>
        <sz val="10"/>
        <rFont val="Noto Sans CJK SC"/>
        <family val="2"/>
      </rPr>
      <t xml:space="preserve">調整交付金</t>
    </r>
  </si>
  <si>
    <t xml:space="preserve">国の調整交付金(5%基本+変動)を算定</t>
  </si>
  <si>
    <t xml:space="preserve">Step5</t>
  </si>
  <si>
    <r>
      <rPr>
        <b val="true"/>
        <sz val="10"/>
        <rFont val="游ゴシック"/>
        <family val="0"/>
        <charset val="1"/>
      </rPr>
      <t xml:space="preserve">05_Step6_</t>
    </r>
    <r>
      <rPr>
        <b val="true"/>
        <sz val="10"/>
        <rFont val="Noto Sans CJK SC"/>
        <family val="2"/>
      </rPr>
      <t xml:space="preserve">基金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パターン</t>
    </r>
  </si>
  <si>
    <t xml:space="preserve">基金取崩額の3パターン設定(A/B/C)</t>
  </si>
  <si>
    <t xml:space="preserve">Step6</t>
  </si>
  <si>
    <r>
      <rPr>
        <b val="true"/>
        <sz val="10"/>
        <rFont val="游ゴシック"/>
        <family val="0"/>
        <charset val="1"/>
      </rPr>
      <t xml:space="preserve">06_Step7-8_</t>
    </r>
    <r>
      <rPr>
        <b val="true"/>
        <sz val="10"/>
        <rFont val="Noto Sans CJK SC"/>
        <family val="2"/>
      </rPr>
      <t xml:space="preserve">収納額・基準額</t>
    </r>
  </si>
  <si>
    <t xml:space="preserve">保険料収納必要額と基準額(月額)の算定</t>
  </si>
  <si>
    <t xml:space="preserve">Step7-8</t>
  </si>
  <si>
    <r>
      <rPr>
        <b val="true"/>
        <sz val="10"/>
        <rFont val="游ゴシック"/>
        <family val="0"/>
        <charset val="1"/>
      </rPr>
      <t xml:space="preserve">07_</t>
    </r>
    <r>
      <rPr>
        <b val="true"/>
        <sz val="10"/>
        <rFont val="Noto Sans CJK SC"/>
        <family val="2"/>
      </rPr>
      <t xml:space="preserve">所得段階</t>
    </r>
    <r>
      <rPr>
        <b val="true"/>
        <sz val="10"/>
        <rFont val="游ゴシック"/>
        <family val="0"/>
        <charset val="1"/>
      </rPr>
      <t xml:space="preserve">_9</t>
    </r>
    <r>
      <rPr>
        <b val="true"/>
        <sz val="10"/>
        <rFont val="Noto Sans CJK SC"/>
        <family val="2"/>
      </rPr>
      <t xml:space="preserve">段階版</t>
    </r>
  </si>
  <si>
    <t xml:space="preserve">現行9段階区分での所得段階別保険料</t>
  </si>
  <si>
    <r>
      <rPr>
        <sz val="10"/>
        <rFont val="游ゴシック"/>
        <family val="0"/>
        <charset val="1"/>
      </rPr>
      <t xml:space="preserve">Step8</t>
    </r>
    <r>
      <rPr>
        <sz val="10"/>
        <rFont val="Noto Sans CJK SC"/>
        <family val="2"/>
      </rPr>
      <t xml:space="preserve">拡張</t>
    </r>
  </si>
  <si>
    <r>
      <rPr>
        <b val="true"/>
        <sz val="10"/>
        <rFont val="游ゴシック"/>
        <family val="0"/>
        <charset val="1"/>
      </rPr>
      <t xml:space="preserve">08_</t>
    </r>
    <r>
      <rPr>
        <b val="true"/>
        <sz val="10"/>
        <rFont val="Noto Sans CJK SC"/>
        <family val="2"/>
      </rPr>
      <t xml:space="preserve">所得段階</t>
    </r>
    <r>
      <rPr>
        <b val="true"/>
        <sz val="10"/>
        <rFont val="游ゴシック"/>
        <family val="0"/>
        <charset val="1"/>
      </rPr>
      <t xml:space="preserve">_13</t>
    </r>
    <r>
      <rPr>
        <b val="true"/>
        <sz val="10"/>
        <rFont val="Noto Sans CJK SC"/>
        <family val="2"/>
      </rPr>
      <t xml:space="preserve">段階版</t>
    </r>
  </si>
  <si>
    <r>
      <rPr>
        <sz val="10"/>
        <rFont val="游ゴシック"/>
        <family val="0"/>
        <charset val="1"/>
      </rPr>
      <t xml:space="preserve">13</t>
    </r>
    <r>
      <rPr>
        <sz val="10"/>
        <rFont val="Noto Sans CJK SC"/>
        <family val="2"/>
      </rPr>
      <t xml:space="preserve">段階区分での所得段階別保険料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協議事項</t>
    </r>
    <r>
      <rPr>
        <sz val="10"/>
        <rFont val="游ゴシック"/>
        <family val="0"/>
        <charset val="1"/>
      </rPr>
      <t xml:space="preserve">5)</t>
    </r>
  </si>
  <si>
    <r>
      <rPr>
        <b val="true"/>
        <sz val="10"/>
        <rFont val="游ゴシック"/>
        <family val="0"/>
        <charset val="1"/>
      </rPr>
      <t xml:space="preserve">09_</t>
    </r>
    <r>
      <rPr>
        <b val="true"/>
        <sz val="10"/>
        <rFont val="Noto Sans CJK SC"/>
        <family val="2"/>
      </rPr>
      <t xml:space="preserve">比較分析</t>
    </r>
  </si>
  <si>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パターン</t>
    </r>
    <r>
      <rPr>
        <sz val="10"/>
        <rFont val="游ゴシック"/>
        <family val="0"/>
        <charset val="1"/>
      </rPr>
      <t xml:space="preserve">×9/13</t>
    </r>
    <r>
      <rPr>
        <sz val="10"/>
        <rFont val="Noto Sans CJK SC"/>
        <family val="2"/>
      </rPr>
      <t xml:space="preserve">段階のクロス比較・近隣比較</t>
    </r>
  </si>
  <si>
    <t xml:space="preserve">総合</t>
  </si>
  <si>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．セルの色分け凡例</t>
    </r>
  </si>
  <si>
    <t xml:space="preserve">入力欄(黄色)</t>
  </si>
  <si>
    <t xml:space="preserve">町担当課・弊社で入力する数値。基礎データ・基金残高等</t>
  </si>
  <si>
    <t xml:space="preserve">既知数値(緑)</t>
  </si>
  <si>
    <t xml:space="preserve">確定済の数値。R3給付実績・R7.6人口等</t>
  </si>
  <si>
    <t xml:space="preserve">計算結果(青)</t>
  </si>
  <si>
    <t xml:space="preserve">数式により自動算出される数値。手入力不要</t>
  </si>
  <si>
    <t xml:space="preserve">重要結果(赤)</t>
  </si>
  <si>
    <t xml:space="preserve">保険料基準額等の最重要算定結果</t>
  </si>
  <si>
    <r>
      <rPr>
        <b val="true"/>
        <sz val="10"/>
        <color rgb="FFFFFFFF"/>
        <rFont val="游ゴシック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．保険料算定の</t>
    </r>
    <r>
      <rPr>
        <b val="true"/>
        <sz val="10"/>
        <color rgb="FFFFFFFF"/>
        <rFont val="游ゴシック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ステップ全体像</t>
    </r>
  </si>
  <si>
    <t xml:space="preserve">Step</t>
  </si>
  <si>
    <t xml:space="preserve">数式・元データ</t>
  </si>
  <si>
    <t xml:space="preserve">Step1</t>
  </si>
  <si>
    <t xml:space="preserve">サービス見込量×単価=標準給付費(年度別)</t>
  </si>
  <si>
    <t xml:space="preserve">見込量(第7章7-1) × サービス単価</t>
  </si>
  <si>
    <t xml:space="preserve">02</t>
  </si>
  <si>
    <t xml:space="preserve">Step2</t>
  </si>
  <si>
    <t xml:space="preserve">標準給付費3年間総額</t>
  </si>
  <si>
    <r>
      <rPr>
        <i val="true"/>
        <sz val="9"/>
        <color rgb="FF595959"/>
        <rFont val="游ゴシック"/>
        <family val="0"/>
        <charset val="1"/>
      </rPr>
      <t xml:space="preserve">Step1</t>
    </r>
    <r>
      <rPr>
        <i val="true"/>
        <sz val="9"/>
        <color rgb="FF595959"/>
        <rFont val="Noto Sans CJK SC"/>
        <family val="2"/>
      </rPr>
      <t xml:space="preserve">の</t>
    </r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年分</t>
    </r>
    <r>
      <rPr>
        <i val="true"/>
        <sz val="9"/>
        <color rgb="FF595959"/>
        <rFont val="游ゴシック"/>
        <family val="0"/>
        <charset val="1"/>
      </rPr>
      <t xml:space="preserve">(R9-R11)</t>
    </r>
    <r>
      <rPr>
        <i val="true"/>
        <sz val="9"/>
        <color rgb="FF595959"/>
        <rFont val="Noto Sans CJK SC"/>
        <family val="2"/>
      </rPr>
      <t xml:space="preserve">を合計</t>
    </r>
  </si>
  <si>
    <t xml:space="preserve">Step3</t>
  </si>
  <si>
    <t xml:space="preserve">地域支援事業費(包括的・任意事業)</t>
  </si>
  <si>
    <r>
      <rPr>
        <i val="true"/>
        <sz val="9"/>
        <color rgb="FF595959"/>
        <rFont val="游ゴシック"/>
        <family val="0"/>
        <charset val="1"/>
      </rPr>
      <t xml:space="preserve">Step1</t>
    </r>
    <r>
      <rPr>
        <i val="true"/>
        <sz val="9"/>
        <color rgb="FF595959"/>
        <rFont val="Noto Sans CJK SC"/>
        <family val="2"/>
      </rPr>
      <t xml:space="preserve">の</t>
    </r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游ゴシック"/>
        <family val="0"/>
        <charset val="1"/>
      </rPr>
      <t xml:space="preserve">4%</t>
    </r>
    <r>
      <rPr>
        <i val="true"/>
        <sz val="9"/>
        <color rgb="FF595959"/>
        <rFont val="Noto Sans CJK SC"/>
        <family val="2"/>
      </rPr>
      <t xml:space="preserve">相当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国基準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</si>
  <si>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03</t>
  </si>
  <si>
    <t xml:space="preserve">Step4</t>
  </si>
  <si>
    <t xml:space="preserve">第1号負担分相当額</t>
  </si>
  <si>
    <r>
      <rPr>
        <i val="true"/>
        <sz val="9"/>
        <color rgb="FF595959"/>
        <rFont val="游ゴシック"/>
        <family val="0"/>
        <charset val="1"/>
      </rPr>
      <t xml:space="preserve">(Step2+Step3)×23%(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号負担割合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</si>
  <si>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調整交付金額</t>
  </si>
  <si>
    <r>
      <rPr>
        <i val="true"/>
        <sz val="9"/>
        <color rgb="FF595959"/>
        <rFont val="游ゴシック"/>
        <family val="0"/>
        <charset val="1"/>
      </rPr>
      <t xml:space="preserve">Step4×(</t>
    </r>
    <r>
      <rPr>
        <i val="true"/>
        <sz val="9"/>
        <color rgb="FF595959"/>
        <rFont val="Noto Sans CJK SC"/>
        <family val="2"/>
      </rPr>
      <t xml:space="preserve">調整交付金率</t>
    </r>
    <r>
      <rPr>
        <i val="true"/>
        <sz val="9"/>
        <color rgb="FF595959"/>
        <rFont val="游ゴシック"/>
        <family val="0"/>
        <charset val="1"/>
      </rPr>
      <t xml:space="preserve">5%-</t>
    </r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補正</t>
    </r>
  </si>
  <si>
    <t xml:space="preserve">04</t>
  </si>
  <si>
    <t xml:space="preserve">基金取崩額の設定(3パターン)</t>
  </si>
  <si>
    <r>
      <rPr>
        <i val="true"/>
        <sz val="9"/>
        <color rgb="FF595959"/>
        <rFont val="游ゴシック"/>
        <family val="0"/>
        <charset val="1"/>
      </rPr>
      <t xml:space="preserve">A:0/B:</t>
    </r>
    <r>
      <rPr>
        <i val="true"/>
        <sz val="9"/>
        <color rgb="FF595959"/>
        <rFont val="Noto Sans CJK SC"/>
        <family val="2"/>
      </rPr>
      <t xml:space="preserve">基金</t>
    </r>
    <r>
      <rPr>
        <i val="true"/>
        <sz val="9"/>
        <color rgb="FF595959"/>
        <rFont val="游ゴシック"/>
        <family val="0"/>
        <charset val="1"/>
      </rPr>
      <t xml:space="preserve">×50%/C:</t>
    </r>
    <r>
      <rPr>
        <i val="true"/>
        <sz val="9"/>
        <color rgb="FF595959"/>
        <rFont val="Noto Sans CJK SC"/>
        <family val="2"/>
      </rPr>
      <t xml:space="preserve">基金</t>
    </r>
    <r>
      <rPr>
        <i val="true"/>
        <sz val="9"/>
        <color rgb="FF595959"/>
        <rFont val="游ゴシック"/>
        <family val="0"/>
        <charset val="1"/>
      </rPr>
      <t xml:space="preserve">×100%</t>
    </r>
  </si>
  <si>
    <t xml:space="preserve">05</t>
  </si>
  <si>
    <t xml:space="preserve">Step7</t>
  </si>
  <si>
    <t xml:space="preserve">保険料収納必要額</t>
  </si>
  <si>
    <t xml:space="preserve">Step4-Step5+Step6</t>
  </si>
  <si>
    <t xml:space="preserve">06</t>
  </si>
  <si>
    <t xml:space="preserve">Step8</t>
  </si>
  <si>
    <t xml:space="preserve">保険料基準月額</t>
  </si>
  <si>
    <r>
      <rPr>
        <i val="true"/>
        <sz val="9"/>
        <color rgb="FF595959"/>
        <rFont val="游ゴシック"/>
        <family val="0"/>
        <charset val="1"/>
      </rPr>
      <t xml:space="preserve">Step7÷(</t>
    </r>
    <r>
      <rPr>
        <i val="true"/>
        <sz val="9"/>
        <color rgb="FF595959"/>
        <rFont val="Noto Sans CJK SC"/>
        <family val="2"/>
      </rPr>
      <t xml:space="preserve">被保険者数</t>
    </r>
    <r>
      <rPr>
        <i val="true"/>
        <sz val="9"/>
        <color rgb="FF595959"/>
        <rFont val="游ゴシック"/>
        <family val="0"/>
        <charset val="1"/>
      </rPr>
      <t xml:space="preserve">×12×</t>
    </r>
    <r>
      <rPr>
        <i val="true"/>
        <sz val="9"/>
        <color rgb="FF595959"/>
        <rFont val="Noto Sans CJK SC"/>
        <family val="2"/>
      </rPr>
      <t xml:space="preserve">収納率</t>
    </r>
    <r>
      <rPr>
        <i val="true"/>
        <sz val="9"/>
        <color rgb="FF595959"/>
        <rFont val="游ゴシック"/>
        <family val="0"/>
        <charset val="1"/>
      </rPr>
      <t xml:space="preserve">×</t>
    </r>
    <r>
      <rPr>
        <i val="true"/>
        <sz val="9"/>
        <color rgb="FF595959"/>
        <rFont val="Noto Sans CJK SC"/>
        <family val="2"/>
      </rPr>
      <t xml:space="preserve">補正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</si>
  <si>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游ゴシック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．運用上の注意事項</t>
    </r>
  </si>
  <si>
    <t xml:space="preserve">※ 本ワークブックは作業用です。確定値は介護給付費準備基金残高(R8.6時点)の入手後にシート01で入力してください。</t>
  </si>
  <si>
    <t xml:space="preserve">※ サービス見込量(Step1)は計画素案v1.5第7章7-1の暫定値を使用。Phase 2でアンケート補正後に更新します。</t>
  </si>
  <si>
    <t xml:space="preserve">※ 見える化システムの仙南圏域他自治体保険料との比較は、町担当課が見える化システム登録完了後に実施します。</t>
  </si>
  <si>
    <r>
      <rPr>
        <i val="true"/>
        <sz val="9"/>
        <color rgb="FF595959"/>
        <rFont val="游ゴシック"/>
        <family val="0"/>
        <charset val="1"/>
      </rPr>
      <t xml:space="preserve">※ 13</t>
    </r>
    <r>
      <rPr>
        <i val="true"/>
        <sz val="9"/>
        <color rgb="FF595959"/>
        <rFont val="Noto Sans CJK SC"/>
        <family val="2"/>
      </rPr>
      <t xml:space="preserve">段階区分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シート</t>
    </r>
    <r>
      <rPr>
        <i val="true"/>
        <sz val="9"/>
        <color rgb="FF595959"/>
        <rFont val="游ゴシック"/>
        <family val="0"/>
        <charset val="1"/>
      </rPr>
      <t xml:space="preserve">08)</t>
    </r>
    <r>
      <rPr>
        <i val="true"/>
        <sz val="9"/>
        <color rgb="FF595959"/>
        <rFont val="Noto Sans CJK SC"/>
        <family val="2"/>
      </rPr>
      <t xml:space="preserve">は国推奨基準率に基づく試算。確定段階率は委員会協議事項</t>
    </r>
    <r>
      <rPr>
        <i val="true"/>
        <sz val="9"/>
        <color rgb="FF595959"/>
        <rFont val="游ゴシック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で確定します。</t>
    </r>
  </si>
  <si>
    <r>
      <rPr>
        <i val="true"/>
        <sz val="9"/>
        <color rgb="FF595959"/>
        <rFont val="游ゴシック"/>
        <family val="0"/>
        <charset val="1"/>
      </rPr>
      <t xml:space="preserve">※ 3</t>
    </r>
    <r>
      <rPr>
        <i val="true"/>
        <sz val="9"/>
        <color rgb="FF595959"/>
        <rFont val="Noto Sans CJK SC"/>
        <family val="2"/>
      </rPr>
      <t xml:space="preserve">パターン試算の結果を第</t>
    </r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回策定委員会</t>
    </r>
    <r>
      <rPr>
        <i val="true"/>
        <sz val="9"/>
        <color rgb="FF595959"/>
        <rFont val="游ゴシック"/>
        <family val="0"/>
        <charset val="1"/>
      </rPr>
      <t xml:space="preserve">(R9.1</t>
    </r>
    <r>
      <rPr>
        <i val="true"/>
        <sz val="9"/>
        <color rgb="FF595959"/>
        <rFont val="Noto Sans CJK SC"/>
        <family val="2"/>
      </rPr>
      <t xml:space="preserve">中旬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で提示し、委員協議の上、第</t>
    </r>
    <r>
      <rPr>
        <i val="true"/>
        <sz val="9"/>
        <color rgb="FF595959"/>
        <rFont val="游ゴシック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期保険料パターンを決定します。</t>
    </r>
  </si>
  <si>
    <r>
      <rPr>
        <b val="true"/>
        <sz val="13"/>
        <color rgb="FFFFFFFF"/>
        <rFont val="游ゴシック"/>
        <family val="0"/>
        <charset val="1"/>
      </rPr>
      <t xml:space="preserve">01</t>
    </r>
    <r>
      <rPr>
        <b val="true"/>
        <sz val="13"/>
        <color rgb="FFFFFFFF"/>
        <rFont val="Noto Sans CJK SC"/>
        <family val="2"/>
      </rPr>
      <t xml:space="preserve">　基礎データ入力シート</t>
    </r>
  </si>
  <si>
    <r>
      <rPr>
        <i val="true"/>
        <sz val="10"/>
        <color rgb="FFFFFFFF"/>
        <rFont val="游ゴシック"/>
        <family val="0"/>
        <charset val="1"/>
      </rPr>
      <t xml:space="preserve">── 8</t>
    </r>
    <r>
      <rPr>
        <i val="true"/>
        <sz val="10"/>
        <color rgb="FFFFFFFF"/>
        <rFont val="Noto Sans CJK SC"/>
        <family val="2"/>
      </rPr>
      <t xml:space="preserve">ステップ算定の前提となる基礎数値を入力 ──</t>
    </r>
  </si>
  <si>
    <r>
      <rPr>
        <b val="true"/>
        <sz val="10"/>
        <color rgb="FFFFFFFF"/>
        <rFont val="游ゴシック"/>
        <family val="0"/>
        <charset val="1"/>
      </rPr>
      <t xml:space="preserve">A. </t>
    </r>
    <r>
      <rPr>
        <b val="true"/>
        <sz val="10"/>
        <color rgb="FFFFFFFF"/>
        <rFont val="Noto Sans CJK SC"/>
        <family val="2"/>
      </rPr>
      <t xml:space="preserve">第</t>
    </r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号被保険者数の推計（</t>
    </r>
    <r>
      <rPr>
        <b val="true"/>
        <sz val="10"/>
        <color rgb="FFFFFFFF"/>
        <rFont val="游ゴシック"/>
        <family val="0"/>
        <charset val="1"/>
      </rPr>
      <t xml:space="preserve">Step8</t>
    </r>
    <r>
      <rPr>
        <b val="true"/>
        <sz val="10"/>
        <color rgb="FFFFFFFF"/>
        <rFont val="Noto Sans CJK SC"/>
        <family val="2"/>
      </rPr>
      <t xml:space="preserve">で使用）</t>
    </r>
  </si>
  <si>
    <t xml:space="preserve">年度</t>
  </si>
  <si>
    <r>
      <rPr>
        <b val="true"/>
        <sz val="10"/>
        <color rgb="FFFFFFFF"/>
        <rFont val="游ゴシック"/>
        <family val="0"/>
        <charset val="1"/>
      </rPr>
      <t xml:space="preserve">65</t>
    </r>
    <r>
      <rPr>
        <b val="true"/>
        <sz val="10"/>
        <color rgb="FFFFFFFF"/>
        <rFont val="Noto Sans CJK SC"/>
        <family val="2"/>
      </rPr>
      <t xml:space="preserve">歳以上人口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人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</si>
  <si>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備考</t>
  </si>
  <si>
    <t xml:space="preserve">出典</t>
  </si>
  <si>
    <t xml:space="preserve">R7(2025)</t>
  </si>
  <si>
    <t xml:space="preserve">実績(R7.6時点)</t>
  </si>
  <si>
    <t xml:space="preserve">町保険者データ</t>
  </si>
  <si>
    <t xml:space="preserve">R8(2026)</t>
  </si>
  <si>
    <t xml:space="preserve">推計値(町担当課入力)</t>
  </si>
  <si>
    <t xml:space="preserve">町推計</t>
  </si>
  <si>
    <t xml:space="preserve">R9(2027)</t>
  </si>
  <si>
    <t xml:space="preserve">第10期初年度推計</t>
  </si>
  <si>
    <t xml:space="preserve">社人研推計+補正</t>
  </si>
  <si>
    <t xml:space="preserve">R10(2028)</t>
  </si>
  <si>
    <t xml:space="preserve">第10期中年度推計</t>
  </si>
  <si>
    <t xml:space="preserve">R11(2029)</t>
  </si>
  <si>
    <t xml:space="preserve">第10期最終年度推計</t>
  </si>
  <si>
    <r>
      <rPr>
        <b val="true"/>
        <sz val="10"/>
        <color rgb="FF1F3864"/>
        <rFont val="游ゴシック"/>
        <family val="0"/>
        <charset val="1"/>
      </rPr>
      <t xml:space="preserve">3</t>
    </r>
    <r>
      <rPr>
        <b val="true"/>
        <sz val="10"/>
        <color rgb="FF1F3864"/>
        <rFont val="Noto Sans CJK SC"/>
        <family val="2"/>
      </rPr>
      <t xml:space="preserve">年合計</t>
    </r>
  </si>
  <si>
    <r>
      <rPr>
        <i val="true"/>
        <sz val="9"/>
        <color rgb="FF595959"/>
        <rFont val="游ゴシック"/>
        <family val="0"/>
        <charset val="1"/>
      </rPr>
      <t xml:space="preserve">R9-R11</t>
    </r>
    <r>
      <rPr>
        <i val="true"/>
        <sz val="9"/>
        <color rgb="FF595959"/>
        <rFont val="Noto Sans CJK SC"/>
        <family val="2"/>
      </rPr>
      <t xml:space="preserve">の合計</t>
    </r>
    <r>
      <rPr>
        <i val="true"/>
        <sz val="9"/>
        <color rgb="FF595959"/>
        <rFont val="游ゴシック"/>
        <family val="0"/>
        <charset val="1"/>
      </rPr>
      <t xml:space="preserve">(Step8</t>
    </r>
    <r>
      <rPr>
        <i val="true"/>
        <sz val="9"/>
        <color rgb="FF595959"/>
        <rFont val="Noto Sans CJK SC"/>
        <family val="2"/>
      </rPr>
      <t xml:space="preserve">で使用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</si>
  <si>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計算</t>
  </si>
  <si>
    <r>
      <rPr>
        <b val="true"/>
        <sz val="10"/>
        <color rgb="FFFFFFFF"/>
        <rFont val="游ゴシック"/>
        <family val="0"/>
        <charset val="1"/>
      </rPr>
      <t xml:space="preserve">B. </t>
    </r>
    <r>
      <rPr>
        <b val="true"/>
        <sz val="10"/>
        <color rgb="FFFFFFFF"/>
        <rFont val="Noto Sans CJK SC"/>
        <family val="2"/>
      </rPr>
      <t xml:space="preserve">介護給付費準備基金（</t>
    </r>
    <r>
      <rPr>
        <b val="true"/>
        <sz val="10"/>
        <color rgb="FFFFFFFF"/>
        <rFont val="游ゴシック"/>
        <family val="0"/>
        <charset val="1"/>
      </rPr>
      <t xml:space="preserve">Step6</t>
    </r>
    <r>
      <rPr>
        <b val="true"/>
        <sz val="10"/>
        <color rgb="FFFFFFFF"/>
        <rFont val="Noto Sans CJK SC"/>
        <family val="2"/>
      </rPr>
      <t xml:space="preserve">で使用）</t>
    </r>
  </si>
  <si>
    <t xml:space="preserve">項目</t>
  </si>
  <si>
    <t xml:space="preserve">金額(千円)</t>
  </si>
  <si>
    <t xml:space="preserve">備考・時点</t>
  </si>
  <si>
    <t xml:space="preserve">基金残高(R8.6時点)</t>
  </si>
  <si>
    <t xml:space="preserve">第10期開始時(R8末)・計画ベース。R8.6確定値は町確認待ち</t>
  </si>
  <si>
    <t xml:space="preserve">(参考)第9期 基金残高/予定取崩</t>
  </si>
  <si>
    <t xml:space="preserve">131,700 / 78,000</t>
  </si>
  <si>
    <t xml:space="preserve">第9期計画 保険料算出より(千円)。第9期は6,500円を実現</t>
  </si>
  <si>
    <r>
      <rPr>
        <b val="true"/>
        <sz val="10"/>
        <color rgb="FFFFFFFF"/>
        <rFont val="游ゴシック"/>
        <family val="0"/>
        <charset val="1"/>
      </rPr>
      <t xml:space="preserve">C. </t>
    </r>
    <r>
      <rPr>
        <b val="true"/>
        <sz val="10"/>
        <color rgb="FFFFFFFF"/>
        <rFont val="Noto Sans CJK SC"/>
        <family val="2"/>
      </rPr>
      <t xml:space="preserve">保険料収納率の過去</t>
    </r>
    <r>
      <rPr>
        <b val="true"/>
        <sz val="10"/>
        <color rgb="FFFFFFFF"/>
        <rFont val="游ゴシック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年実績（</t>
    </r>
    <r>
      <rPr>
        <b val="true"/>
        <sz val="10"/>
        <color rgb="FFFFFFFF"/>
        <rFont val="游ゴシック"/>
        <family val="0"/>
        <charset val="1"/>
      </rPr>
      <t xml:space="preserve">Step8</t>
    </r>
    <r>
      <rPr>
        <b val="true"/>
        <sz val="10"/>
        <color rgb="FFFFFFFF"/>
        <rFont val="Noto Sans CJK SC"/>
        <family val="2"/>
      </rPr>
      <t xml:space="preserve">で使用）</t>
    </r>
  </si>
  <si>
    <t xml:space="preserve">総合収納率(%)</t>
  </si>
  <si>
    <t xml:space="preserve">現年度分(%)</t>
  </si>
  <si>
    <t xml:space="preserve">R3</t>
  </si>
  <si>
    <t xml:space="preserve">実績(MECEデータ既知)</t>
  </si>
  <si>
    <t xml:space="preserve">R4</t>
  </si>
  <si>
    <r>
      <rPr>
        <b val="true"/>
        <sz val="10"/>
        <color rgb="FF0000FF"/>
        <rFont val="游ゴシック"/>
        <family val="0"/>
        <charset val="1"/>
      </rPr>
      <t xml:space="preserve">[</t>
    </r>
    <r>
      <rPr>
        <b val="true"/>
        <sz val="10"/>
        <color rgb="FF0000FF"/>
        <rFont val="Noto Sans CJK SC"/>
        <family val="2"/>
      </rPr>
      <t xml:space="preserve">入力</t>
    </r>
    <r>
      <rPr>
        <b val="true"/>
        <sz val="10"/>
        <color rgb="FF0000FF"/>
        <rFont val="游ゴシック"/>
        <family val="0"/>
        <charset val="1"/>
      </rPr>
      <t xml:space="preserve">]</t>
    </r>
  </si>
  <si>
    <t xml:space="preserve">町担当課入力</t>
  </si>
  <si>
    <t xml:space="preserve">R5</t>
  </si>
  <si>
    <t xml:space="preserve">R6</t>
  </si>
  <si>
    <t xml:space="preserve">R7</t>
  </si>
  <si>
    <t xml:space="preserve">町担当課入力(R7.3末)</t>
  </si>
  <si>
    <r>
      <rPr>
        <b val="true"/>
        <sz val="10"/>
        <color rgb="FF1F3864"/>
        <rFont val="游ゴシック"/>
        <family val="0"/>
        <charset val="1"/>
      </rPr>
      <t xml:space="preserve">5</t>
    </r>
    <r>
      <rPr>
        <b val="true"/>
        <sz val="10"/>
        <color rgb="FF1F3864"/>
        <rFont val="Noto Sans CJK SC"/>
        <family val="2"/>
      </rPr>
      <t xml:space="preserve">年平均</t>
    </r>
  </si>
  <si>
    <t xml:space="preserve">予定収納率(R4-R7町確認後に確定)。暫定はStep8で96%使用</t>
  </si>
  <si>
    <r>
      <rPr>
        <b val="true"/>
        <sz val="10"/>
        <color rgb="FFFFFFFF"/>
        <rFont val="游ゴシック"/>
        <family val="0"/>
        <charset val="1"/>
      </rPr>
      <t xml:space="preserve">D. </t>
    </r>
    <r>
      <rPr>
        <b val="true"/>
        <sz val="10"/>
        <color rgb="FFFFFFFF"/>
        <rFont val="Noto Sans CJK SC"/>
        <family val="2"/>
      </rPr>
      <t xml:space="preserve">第</t>
    </r>
    <r>
      <rPr>
        <b val="true"/>
        <sz val="10"/>
        <color rgb="FFFFFFFF"/>
        <rFont val="游ゴシック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期の制度パラメータ（国基準値）</t>
    </r>
  </si>
  <si>
    <t xml:space="preserve">パラメータ</t>
  </si>
  <si>
    <t xml:space="preserve">値</t>
  </si>
  <si>
    <t xml:space="preserve">第1号被保険者負担割合</t>
  </si>
  <si>
    <t xml:space="preserve">23%</t>
  </si>
  <si>
    <r>
      <rPr>
        <i val="true"/>
        <sz val="9"/>
        <color rgb="FF595959"/>
        <rFont val="游ゴシック"/>
        <family val="0"/>
        <charset val="1"/>
      </rPr>
      <t xml:space="preserve">Step4</t>
    </r>
    <r>
      <rPr>
        <i val="true"/>
        <sz val="9"/>
        <color rgb="FF595959"/>
        <rFont val="Noto Sans CJK SC"/>
        <family val="2"/>
      </rPr>
      <t xml:space="preserve">で使用。第</t>
    </r>
    <r>
      <rPr>
        <i val="true"/>
        <sz val="9"/>
        <color rgb="FF595959"/>
        <rFont val="游ゴシック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期も第</t>
    </r>
    <r>
      <rPr>
        <i val="true"/>
        <sz val="9"/>
        <color rgb="FF595959"/>
        <rFont val="游ゴシック"/>
        <family val="0"/>
        <charset val="1"/>
      </rPr>
      <t xml:space="preserve">9</t>
    </r>
    <r>
      <rPr>
        <i val="true"/>
        <sz val="9"/>
        <color rgb="FF595959"/>
        <rFont val="Noto Sans CJK SC"/>
        <family val="2"/>
      </rPr>
      <t xml:space="preserve">期と同じ</t>
    </r>
    <r>
      <rPr>
        <i val="true"/>
        <sz val="9"/>
        <color rgb="FF595959"/>
        <rFont val="游ゴシック"/>
        <family val="0"/>
        <charset val="1"/>
      </rPr>
      <t xml:space="preserve">23%(</t>
    </r>
    <r>
      <rPr>
        <i val="true"/>
        <sz val="9"/>
        <color rgb="FF595959"/>
        <rFont val="Noto Sans CJK SC"/>
        <family val="2"/>
      </rPr>
      <t xml:space="preserve">国基準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</si>
  <si>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第2号被保険者負担割合</t>
  </si>
  <si>
    <t xml:space="preserve">27%</t>
  </si>
  <si>
    <t xml:space="preserve">参考。Step4対象外</t>
  </si>
  <si>
    <t xml:space="preserve">公費負担割合(国)</t>
  </si>
  <si>
    <t xml:space="preserve">25%</t>
  </si>
  <si>
    <t xml:space="preserve">参考。調整交付金5%含む</t>
  </si>
  <si>
    <t xml:space="preserve">公費負担割合(都道府県)</t>
  </si>
  <si>
    <t xml:space="preserve">12.5%</t>
  </si>
  <si>
    <t xml:space="preserve">参考</t>
  </si>
  <si>
    <t xml:space="preserve">公費負担割合(市町村)</t>
  </si>
  <si>
    <t xml:space="preserve">標準調整交付金率</t>
  </si>
  <si>
    <t xml:space="preserve">5%</t>
  </si>
  <si>
    <r>
      <rPr>
        <i val="true"/>
        <sz val="9"/>
        <color rgb="FF595959"/>
        <rFont val="游ゴシック"/>
        <family val="0"/>
        <charset val="1"/>
      </rPr>
      <t xml:space="preserve">Step5</t>
    </r>
    <r>
      <rPr>
        <i val="true"/>
        <sz val="9"/>
        <color rgb="FF595959"/>
        <rFont val="Noto Sans CJK SC"/>
        <family val="2"/>
      </rPr>
      <t xml:space="preserve">で使用。実際は補正あり</t>
    </r>
  </si>
  <si>
    <t xml:space="preserve">地域支援事業費率(対給付費)</t>
  </si>
  <si>
    <r>
      <rPr>
        <b val="true"/>
        <sz val="10"/>
        <color rgb="FF006100"/>
        <rFont val="游ゴシック"/>
        <family val="0"/>
        <charset val="1"/>
      </rPr>
      <t xml:space="preserve">3</t>
    </r>
    <r>
      <rPr>
        <b val="true"/>
        <sz val="10"/>
        <color rgb="FF006100"/>
        <rFont val="Noto Sans CJK SC"/>
        <family val="2"/>
      </rPr>
      <t xml:space="preserve">〜</t>
    </r>
    <r>
      <rPr>
        <b val="true"/>
        <sz val="10"/>
        <color rgb="FF006100"/>
        <rFont val="游ゴシック"/>
        <family val="0"/>
        <charset val="1"/>
      </rPr>
      <t xml:space="preserve">4%</t>
    </r>
  </si>
  <si>
    <r>
      <rPr>
        <i val="true"/>
        <sz val="9"/>
        <color rgb="FF595959"/>
        <rFont val="游ゴシック"/>
        <family val="0"/>
        <charset val="1"/>
      </rPr>
      <t xml:space="preserve">Step3</t>
    </r>
    <r>
      <rPr>
        <i val="true"/>
        <sz val="9"/>
        <color rgb="FF595959"/>
        <rFont val="Noto Sans CJK SC"/>
        <family val="2"/>
      </rPr>
      <t xml:space="preserve">で使用。上限額管理あり</t>
    </r>
  </si>
  <si>
    <r>
      <rPr>
        <b val="true"/>
        <sz val="13"/>
        <color rgb="FFFFFFFF"/>
        <rFont val="游ゴシック"/>
        <family val="0"/>
        <charset val="1"/>
      </rPr>
      <t xml:space="preserve">02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游ゴシック"/>
        <family val="0"/>
        <charset val="1"/>
      </rPr>
      <t xml:space="preserve">Step1-2 </t>
    </r>
    <r>
      <rPr>
        <b val="true"/>
        <sz val="13"/>
        <color rgb="FFFFFFFF"/>
        <rFont val="Noto Sans CJK SC"/>
        <family val="2"/>
      </rPr>
      <t xml:space="preserve">標準給付費の算定</t>
    </r>
  </si>
  <si>
    <t xml:space="preserve">── サービス見込量×単価で年度別給付費を算定 ──</t>
  </si>
  <si>
    <r>
      <rPr>
        <b val="true"/>
        <sz val="10"/>
        <color rgb="FFFFFFFF"/>
        <rFont val="游ゴシック"/>
        <family val="0"/>
        <charset val="1"/>
      </rPr>
      <t xml:space="preserve">Step1</t>
    </r>
    <r>
      <rPr>
        <b val="true"/>
        <sz val="10"/>
        <color rgb="FFFFFFFF"/>
        <rFont val="Noto Sans CJK SC"/>
        <family val="2"/>
      </rPr>
      <t xml:space="preserve">：サービス区分別の</t>
    </r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年間給付費見込み（千円）</t>
    </r>
  </si>
  <si>
    <t xml:space="preserve">サービス区分</t>
  </si>
  <si>
    <r>
      <rPr>
        <b val="true"/>
        <sz val="10"/>
        <color rgb="FFFFFFFF"/>
        <rFont val="游ゴシック"/>
        <family val="0"/>
        <charset val="1"/>
      </rPr>
      <t xml:space="preserve">R3</t>
    </r>
    <r>
      <rPr>
        <b val="true"/>
        <sz val="10"/>
        <color rgb="FFFFFFFF"/>
        <rFont val="Noto Sans CJK SC"/>
        <family val="2"/>
      </rPr>
      <t xml:space="preserve">実績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参考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</si>
  <si>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游ゴシック"/>
        <family val="0"/>
        <charset val="1"/>
      </rPr>
      <t xml:space="preserve">R9</t>
    </r>
    <r>
      <rPr>
        <b val="true"/>
        <sz val="10"/>
        <color rgb="FFFFFFFF"/>
        <rFont val="Noto Sans CJK SC"/>
        <family val="2"/>
      </rPr>
      <t xml:space="preserve">見込み</t>
    </r>
  </si>
  <si>
    <r>
      <rPr>
        <b val="true"/>
        <sz val="10"/>
        <color rgb="FFFFFFFF"/>
        <rFont val="游ゴシック"/>
        <family val="0"/>
        <charset val="1"/>
      </rPr>
      <t xml:space="preserve">R10</t>
    </r>
    <r>
      <rPr>
        <b val="true"/>
        <sz val="10"/>
        <color rgb="FFFFFFFF"/>
        <rFont val="Noto Sans CJK SC"/>
        <family val="2"/>
      </rPr>
      <t xml:space="preserve">見込み</t>
    </r>
  </si>
  <si>
    <r>
      <rPr>
        <b val="true"/>
        <sz val="10"/>
        <color rgb="FFFFFFFF"/>
        <rFont val="游ゴシック"/>
        <family val="0"/>
        <charset val="1"/>
      </rPr>
      <t xml:space="preserve">R11</t>
    </r>
    <r>
      <rPr>
        <b val="true"/>
        <sz val="10"/>
        <color rgb="FFFFFFFF"/>
        <rFont val="Noto Sans CJK SC"/>
        <family val="2"/>
      </rPr>
      <t xml:space="preserve">見込み</t>
    </r>
  </si>
  <si>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年合計</t>
    </r>
  </si>
  <si>
    <t xml:space="preserve">居宅サービス</t>
  </si>
  <si>
    <r>
      <rPr>
        <i val="true"/>
        <sz val="9"/>
        <color rgb="FF595959"/>
        <rFont val="游ゴシック"/>
        <family val="0"/>
        <charset val="1"/>
      </rPr>
      <t xml:space="preserve">R3</t>
    </r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9.6</t>
    </r>
    <r>
      <rPr>
        <i val="true"/>
        <sz val="9"/>
        <color rgb="FF595959"/>
        <rFont val="Noto Sans CJK SC"/>
        <family val="2"/>
      </rPr>
      <t xml:space="preserve">億</t>
    </r>
    <r>
      <rPr>
        <i val="true"/>
        <sz val="9"/>
        <color rgb="FF595959"/>
        <rFont val="游ゴシック"/>
        <family val="0"/>
        <charset val="1"/>
      </rPr>
      <t xml:space="preserve">×38.1%(</t>
    </r>
    <r>
      <rPr>
        <i val="true"/>
        <sz val="9"/>
        <color rgb="FF595959"/>
        <rFont val="Noto Sans CJK SC"/>
        <family val="2"/>
      </rPr>
      <t xml:space="preserve">参考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</si>
  <si>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地域密着型サービス</t>
  </si>
  <si>
    <r>
      <rPr>
        <i val="true"/>
        <sz val="9"/>
        <color rgb="FF595959"/>
        <rFont val="游ゴシック"/>
        <family val="0"/>
        <charset val="1"/>
      </rPr>
      <t xml:space="preserve">R3</t>
    </r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9.6</t>
    </r>
    <r>
      <rPr>
        <i val="true"/>
        <sz val="9"/>
        <color rgb="FF595959"/>
        <rFont val="Noto Sans CJK SC"/>
        <family val="2"/>
      </rPr>
      <t xml:space="preserve">億</t>
    </r>
    <r>
      <rPr>
        <i val="true"/>
        <sz val="9"/>
        <color rgb="FF595959"/>
        <rFont val="游ゴシック"/>
        <family val="0"/>
        <charset val="1"/>
      </rPr>
      <t xml:space="preserve">×15.9%</t>
    </r>
  </si>
  <si>
    <t xml:space="preserve">施設サービス</t>
  </si>
  <si>
    <r>
      <rPr>
        <i val="true"/>
        <sz val="9"/>
        <color rgb="FF595959"/>
        <rFont val="游ゴシック"/>
        <family val="0"/>
        <charset val="1"/>
      </rPr>
      <t xml:space="preserve">R3</t>
    </r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9.6</t>
    </r>
    <r>
      <rPr>
        <i val="true"/>
        <sz val="9"/>
        <color rgb="FF595959"/>
        <rFont val="Noto Sans CJK SC"/>
        <family val="2"/>
      </rPr>
      <t xml:space="preserve">億</t>
    </r>
    <r>
      <rPr>
        <i val="true"/>
        <sz val="9"/>
        <color rgb="FF595959"/>
        <rFont val="游ゴシック"/>
        <family val="0"/>
        <charset val="1"/>
      </rPr>
      <t xml:space="preserve">×46.0%(</t>
    </r>
    <r>
      <rPr>
        <i val="true"/>
        <sz val="9"/>
        <color rgb="FF595959"/>
        <rFont val="Noto Sans CJK SC"/>
        <family val="2"/>
      </rPr>
      <t xml:space="preserve">特養</t>
    </r>
    <r>
      <rPr>
        <i val="true"/>
        <sz val="9"/>
        <color rgb="FF595959"/>
        <rFont val="游ゴシック"/>
        <family val="0"/>
        <charset val="1"/>
      </rPr>
      <t xml:space="preserve">68</t>
    </r>
    <r>
      <rPr>
        <i val="true"/>
        <sz val="9"/>
        <color rgb="FF595959"/>
        <rFont val="Noto Sans CJK SC"/>
        <family val="2"/>
      </rPr>
      <t xml:space="preserve">・老健</t>
    </r>
    <r>
      <rPr>
        <i val="true"/>
        <sz val="9"/>
        <color rgb="FF595959"/>
        <rFont val="游ゴシック"/>
        <family val="0"/>
        <charset val="1"/>
      </rPr>
      <t xml:space="preserve">66)</t>
    </r>
  </si>
  <si>
    <t xml:space="preserve">住宅改修・福祉用具</t>
  </si>
  <si>
    <r>
      <rPr>
        <i val="true"/>
        <sz val="9"/>
        <color rgb="FF595959"/>
        <rFont val="游ゴシック"/>
        <family val="0"/>
        <charset val="1"/>
      </rPr>
      <t xml:space="preserve">R3</t>
    </r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参考値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</si>
  <si>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特定入所者・高額・審査支払手数料 等</t>
  </si>
  <si>
    <t xml:space="preserve">第9期R8実績(特定入所者55,714+高額28,475+高額医療2,505+審査708)×年1.2%</t>
  </si>
  <si>
    <r>
      <rPr>
        <b val="true"/>
        <sz val="11"/>
        <rFont val="Cambria"/>
        <family val="0"/>
        <charset val="1"/>
      </rPr>
      <t xml:space="preserve">Step2: </t>
    </r>
    <r>
      <rPr>
        <b val="true"/>
        <sz val="11"/>
        <rFont val="Noto Sans CJK SC"/>
        <family val="2"/>
      </rPr>
      <t xml:space="preserve">標準給付費合計</t>
    </r>
  </si>
  <si>
    <r>
      <rPr>
        <sz val="11"/>
        <color theme="1"/>
        <rFont val="Calibri"/>
        <family val="2"/>
        <charset val="1"/>
      </rPr>
      <t xml:space="preserve">Step3-5</t>
    </r>
    <r>
      <rPr>
        <sz val="11"/>
        <color theme="1"/>
        <rFont val="Noto Sans CJK SC"/>
        <family val="2"/>
      </rPr>
      <t xml:space="preserve">で使用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総給付額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補完項目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標準給付費見込額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</si>
  <si>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9"/>
        <color rgb="FF595959"/>
        <rFont val="游ゴシック"/>
        <family val="0"/>
        <charset val="1"/>
      </rPr>
      <t xml:space="preserve">※ R9-R11</t>
    </r>
    <r>
      <rPr>
        <i val="true"/>
        <sz val="9"/>
        <color rgb="FF595959"/>
        <rFont val="Noto Sans CJK SC"/>
        <family val="2"/>
      </rPr>
      <t xml:space="preserve">は第</t>
    </r>
    <r>
      <rPr>
        <i val="true"/>
        <sz val="9"/>
        <color rgb="FF595959"/>
        <rFont val="游ゴシック"/>
        <family val="0"/>
        <charset val="1"/>
      </rPr>
      <t xml:space="preserve">9</t>
    </r>
    <r>
      <rPr>
        <i val="true"/>
        <sz val="9"/>
        <color rgb="FF595959"/>
        <rFont val="Noto Sans CJK SC"/>
        <family val="2"/>
      </rPr>
      <t xml:space="preserve">期計画</t>
    </r>
    <r>
      <rPr>
        <i val="true"/>
        <sz val="9"/>
        <color rgb="FF595959"/>
        <rFont val="游ゴシック"/>
        <family val="0"/>
        <charset val="1"/>
      </rPr>
      <t xml:space="preserve">R8</t>
    </r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総給付額</t>
    </r>
    <r>
      <rPr>
        <i val="true"/>
        <sz val="9"/>
        <color rgb="FF595959"/>
        <rFont val="游ゴシック"/>
        <family val="0"/>
        <charset val="1"/>
      </rPr>
      <t xml:space="preserve">1,016,134</t>
    </r>
    <r>
      <rPr>
        <i val="true"/>
        <sz val="9"/>
        <color rgb="FF595959"/>
        <rFont val="Noto Sans CJK SC"/>
        <family val="2"/>
      </rPr>
      <t xml:space="preserve">千円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を基に年</t>
    </r>
    <r>
      <rPr>
        <i val="true"/>
        <sz val="9"/>
        <color rgb="FF595959"/>
        <rFont val="游ゴシック"/>
        <family val="0"/>
        <charset val="1"/>
      </rPr>
      <t xml:space="preserve">1.2%(</t>
    </r>
    <r>
      <rPr>
        <i val="true"/>
        <sz val="9"/>
        <color rgb="FF595959"/>
        <rFont val="Noto Sans CJK SC"/>
        <family val="2"/>
      </rPr>
      <t xml:space="preserve">後期高齢化・重度化・</t>
    </r>
    <r>
      <rPr>
        <i val="true"/>
        <sz val="9"/>
        <color rgb="FF595959"/>
        <rFont val="游ゴシック"/>
        <family val="0"/>
        <charset val="1"/>
      </rPr>
      <t xml:space="preserve">R9</t>
    </r>
    <r>
      <rPr>
        <i val="true"/>
        <sz val="9"/>
        <color rgb="FF595959"/>
        <rFont val="Noto Sans CJK SC"/>
        <family val="2"/>
      </rPr>
      <t xml:space="preserve">報酬改定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で推計し、サービス構成比</t>
    </r>
    <r>
      <rPr>
        <i val="true"/>
        <sz val="9"/>
        <color rgb="FF595959"/>
        <rFont val="游ゴシック"/>
        <family val="0"/>
        <charset val="1"/>
      </rPr>
      <t xml:space="preserve">(R3</t>
    </r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で配分。</t>
    </r>
  </si>
  <si>
    <t xml:space="preserve">※ 補完項目=特定入所者介護サービス費・高額介護サービス費・高額医療合算・審査支払手数料。標準給付費見込額=総給付額+補完項目。</t>
  </si>
  <si>
    <t xml:space="preserve">※ 確定値はアンケート結果反映後の見込量(Phase2 W8-W9)で更新。給付費の伸び率は前提値であり町データで精緻化。</t>
  </si>
  <si>
    <r>
      <rPr>
        <b val="true"/>
        <sz val="13"/>
        <color rgb="FFFFFFFF"/>
        <rFont val="游ゴシック"/>
        <family val="0"/>
        <charset val="1"/>
      </rPr>
      <t xml:space="preserve">03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游ゴシック"/>
        <family val="0"/>
        <charset val="1"/>
      </rPr>
      <t xml:space="preserve">Step3-4 </t>
    </r>
    <r>
      <rPr>
        <b val="true"/>
        <sz val="13"/>
        <color rgb="FFFFFFFF"/>
        <rFont val="Noto Sans CJK SC"/>
        <family val="2"/>
      </rPr>
      <t xml:space="preserve">地域支援事業費と第</t>
    </r>
    <r>
      <rPr>
        <b val="true"/>
        <sz val="13"/>
        <color rgb="FFFFFFFF"/>
        <rFont val="游ゴシック"/>
        <family val="0"/>
        <charset val="1"/>
      </rPr>
      <t xml:space="preserve">1</t>
    </r>
    <r>
      <rPr>
        <b val="true"/>
        <sz val="13"/>
        <color rgb="FFFFFFFF"/>
        <rFont val="Noto Sans CJK SC"/>
        <family val="2"/>
      </rPr>
      <t xml:space="preserve">号負担分相当額</t>
    </r>
  </si>
  <si>
    <t xml:space="preserve">── 地域支援事業費(Step3)と第1号負担分23%(Step4)を算定 ──</t>
  </si>
  <si>
    <r>
      <rPr>
        <b val="true"/>
        <sz val="10"/>
        <color rgb="FFFFFFFF"/>
        <rFont val="游ゴシック"/>
        <family val="0"/>
        <charset val="1"/>
      </rPr>
      <t xml:space="preserve">Step3</t>
    </r>
    <r>
      <rPr>
        <b val="true"/>
        <sz val="10"/>
        <color rgb="FFFFFFFF"/>
        <rFont val="Noto Sans CJK SC"/>
        <family val="2"/>
      </rPr>
      <t xml:space="preserve">：地域支援事業費（千円）</t>
    </r>
  </si>
  <si>
    <t xml:space="preserve">区分</t>
  </si>
  <si>
    <r>
      <rPr>
        <b val="true"/>
        <sz val="10"/>
        <color rgb="FFFFFFFF"/>
        <rFont val="游ゴシック"/>
        <family val="0"/>
        <charset val="1"/>
      </rPr>
      <t xml:space="preserve">R3</t>
    </r>
    <r>
      <rPr>
        <b val="true"/>
        <sz val="10"/>
        <color rgb="FFFFFFFF"/>
        <rFont val="Noto Sans CJK SC"/>
        <family val="2"/>
      </rPr>
      <t xml:space="preserve">実績</t>
    </r>
  </si>
  <si>
    <t xml:space="preserve">総合事業(介護予防・生活支援)</t>
  </si>
  <si>
    <t xml:space="preserve">一般介護予防事業</t>
  </si>
  <si>
    <t xml:space="preserve">包括的支援事業・任意事業</t>
  </si>
  <si>
    <r>
      <rPr>
        <b val="true"/>
        <sz val="11"/>
        <color rgb="FFFFFFFF"/>
        <rFont val="游ゴシック"/>
        <family val="0"/>
        <charset val="1"/>
      </rPr>
      <t xml:space="preserve">Step3 </t>
    </r>
    <r>
      <rPr>
        <b val="true"/>
        <sz val="11"/>
        <color rgb="FFFFFFFF"/>
        <rFont val="Noto Sans CJK SC"/>
        <family val="2"/>
      </rPr>
      <t xml:space="preserve">合計</t>
    </r>
  </si>
  <si>
    <t xml:space="preserve">※ 地域支援事業費は第9期水準(30,520千円/年)を構成比配分。認知症基本法対応で上方圧力あり、確定はPhase2。</t>
  </si>
  <si>
    <r>
      <rPr>
        <b val="true"/>
        <sz val="10"/>
        <color rgb="FFFFFFFF"/>
        <rFont val="游ゴシック"/>
        <family val="0"/>
        <charset val="1"/>
      </rPr>
      <t xml:space="preserve">Step4</t>
    </r>
    <r>
      <rPr>
        <b val="true"/>
        <sz val="10"/>
        <color rgb="FFFFFFFF"/>
        <rFont val="Noto Sans CJK SC"/>
        <family val="2"/>
      </rPr>
      <t xml:space="preserve">：第</t>
    </r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号被保険者負担分相当額（千円・国基準</t>
    </r>
    <r>
      <rPr>
        <b val="true"/>
        <sz val="10"/>
        <color rgb="FFFFFFFF"/>
        <rFont val="游ゴシック"/>
        <family val="0"/>
        <charset val="1"/>
      </rPr>
      <t xml:space="preserve">23%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</si>
  <si>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計算式：(Step2:標準給付費合計 + Step3:地域支援事業費合計) × 23%</t>
  </si>
  <si>
    <t xml:space="preserve">金額(千円・3年合計)</t>
  </si>
  <si>
    <r>
      <rPr>
        <b val="true"/>
        <sz val="10"/>
        <rFont val="游ゴシック"/>
        <family val="0"/>
        <charset val="1"/>
      </rPr>
      <t xml:space="preserve">Step2 </t>
    </r>
    <r>
      <rPr>
        <b val="true"/>
        <sz val="10"/>
        <rFont val="Noto Sans CJK SC"/>
        <family val="2"/>
      </rPr>
      <t xml:space="preserve">標準給付費合計</t>
    </r>
  </si>
  <si>
    <t xml:space="preserve">シート02から自動参照</t>
  </si>
  <si>
    <r>
      <rPr>
        <b val="true"/>
        <sz val="10"/>
        <rFont val="游ゴシック"/>
        <family val="0"/>
        <charset val="1"/>
      </rPr>
      <t xml:space="preserve">Step3 </t>
    </r>
    <r>
      <rPr>
        <b val="true"/>
        <sz val="10"/>
        <rFont val="Noto Sans CJK SC"/>
        <family val="2"/>
      </rPr>
      <t xml:space="preserve">地域支援事業費合計</t>
    </r>
  </si>
  <si>
    <t xml:space="preserve">本シート上部から自動参照</t>
  </si>
  <si>
    <t xml:space="preserve">保険給付費等合計</t>
  </si>
  <si>
    <t xml:space="preserve">Step2 + Step3</t>
  </si>
  <si>
    <r>
      <rPr>
        <b val="true"/>
        <sz val="11"/>
        <color rgb="FFFFFFFF"/>
        <rFont val="游ゴシック"/>
        <family val="0"/>
        <charset val="1"/>
      </rPr>
      <t xml:space="preserve">Step4 </t>
    </r>
    <r>
      <rPr>
        <b val="true"/>
        <sz val="11"/>
        <color rgb="FFFFFFFF"/>
        <rFont val="Noto Sans CJK SC"/>
        <family val="2"/>
      </rPr>
      <t xml:space="preserve">第</t>
    </r>
    <r>
      <rPr>
        <b val="true"/>
        <sz val="11"/>
        <color rgb="FFFFFFFF"/>
        <rFont val="游ゴシック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号負担分相当額</t>
    </r>
  </si>
  <si>
    <r>
      <rPr>
        <i val="true"/>
        <sz val="9"/>
        <color rgb="FF595959"/>
        <rFont val="游ゴシック"/>
        <family val="0"/>
        <charset val="1"/>
      </rPr>
      <t xml:space="preserve">× 23%(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号負担割合</t>
    </r>
    <r>
      <rPr>
        <i val="true"/>
        <sz val="9"/>
        <color rgb="FF595959"/>
        <rFont val="游ゴシック"/>
        <family val="0"/>
        <charset val="1"/>
      </rPr>
      <t xml:space="preserve">)= Step5</t>
    </r>
    <r>
      <rPr>
        <i val="true"/>
        <sz val="9"/>
        <color rgb="FF595959"/>
        <rFont val="Noto Sans CJK SC"/>
        <family val="2"/>
      </rPr>
      <t xml:space="preserve">で使用</t>
    </r>
  </si>
  <si>
    <r>
      <rPr>
        <b val="true"/>
        <sz val="13"/>
        <color rgb="FFFFFFFF"/>
        <rFont val="游ゴシック"/>
        <family val="0"/>
        <charset val="1"/>
      </rPr>
      <t xml:space="preserve">04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游ゴシック"/>
        <family val="0"/>
        <charset val="1"/>
      </rPr>
      <t xml:space="preserve">Step5 </t>
    </r>
    <r>
      <rPr>
        <b val="true"/>
        <sz val="13"/>
        <color rgb="FFFFFFFF"/>
        <rFont val="Noto Sans CJK SC"/>
        <family val="2"/>
      </rPr>
      <t xml:space="preserve">調整交付金</t>
    </r>
  </si>
  <si>
    <t xml:space="preserve">── 国の調整交付金(基準5%+変動)を算定 ──</t>
  </si>
  <si>
    <r>
      <rPr>
        <b val="true"/>
        <sz val="10"/>
        <color rgb="FFFFFFFF"/>
        <rFont val="游ゴシック"/>
        <family val="0"/>
        <charset val="1"/>
      </rPr>
      <t xml:space="preserve">Step5</t>
    </r>
    <r>
      <rPr>
        <b val="true"/>
        <sz val="10"/>
        <color rgb="FFFFFFFF"/>
        <rFont val="Noto Sans CJK SC"/>
        <family val="2"/>
      </rPr>
      <t xml:space="preserve">：調整交付金額の算定（千円）</t>
    </r>
  </si>
  <si>
    <t xml:space="preserve">解説：調整交付金は標準調整交付金率5%を基本に、後期高齢者割合・所得段階分布等で町別に補正されます。実際の交付金率は5%±αで、町の状況により4-6%程度になります。</t>
  </si>
  <si>
    <t xml:space="preserve">5.0%</t>
  </si>
  <si>
    <t xml:space="preserve">国基準値</t>
  </si>
  <si>
    <t xml:space="preserve">川崎町の調整交付金見込率(実績)</t>
  </si>
  <si>
    <t xml:space="preserve">第9期実績3.9%。ただし高齢化・低所得町は普通調整交付金が5%超となる例が多く、実際の交付実績の確認推奨(5%なら基準額は約4%低下)</t>
  </si>
  <si>
    <t xml:space="preserve">標準給付費合計(Step2)</t>
  </si>
  <si>
    <t xml:space="preserve">シート02から参照(千円)</t>
  </si>
  <si>
    <t xml:space="preserve">調整交付金相当額(標準5%)</t>
  </si>
  <si>
    <t xml:space="preserve">標準給付費×5%。Step7で加算</t>
  </si>
  <si>
    <t xml:space="preserve">調整交付金見込額(実績率)</t>
  </si>
  <si>
    <t xml:space="preserve">標準給付費×実績率。Step7で減算</t>
  </si>
  <si>
    <t xml:space="preserve">■ 保険料への影響(相当額−見込額)</t>
  </si>
  <si>
    <t xml:space="preserve">相当額−見込額</t>
  </si>
  <si>
    <t xml:space="preserve">プラス=川崎町は標準5%より調整交付金が少なく、保険料の増要因(第1号負担に上乗せ)</t>
  </si>
  <si>
    <t xml:space="preserve">※ 介護保険財政では第1号負担分(23%)に標準5%相当を加算し実際の調整交付金見込額を減算する(第9期計画と同方式)。</t>
  </si>
  <si>
    <t xml:space="preserve">差額がプラス→保険料軽減効果あり、マイナス→保険料追加負担</t>
  </si>
  <si>
    <r>
      <rPr>
        <b val="true"/>
        <sz val="13"/>
        <color rgb="FFFFFFFF"/>
        <rFont val="游ゴシック"/>
        <family val="0"/>
        <charset val="1"/>
      </rPr>
      <t xml:space="preserve">05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游ゴシック"/>
        <family val="0"/>
        <charset val="1"/>
      </rPr>
      <t xml:space="preserve">Step6 </t>
    </r>
    <r>
      <rPr>
        <b val="true"/>
        <sz val="13"/>
        <color rgb="FFFFFFFF"/>
        <rFont val="Noto Sans CJK SC"/>
        <family val="2"/>
      </rPr>
      <t xml:space="preserve">介護給付費準備基金取崩額の</t>
    </r>
    <r>
      <rPr>
        <b val="true"/>
        <sz val="13"/>
        <color rgb="FFFFFFFF"/>
        <rFont val="游ゴシック"/>
        <family val="0"/>
        <charset val="1"/>
      </rPr>
      <t xml:space="preserve">3</t>
    </r>
    <r>
      <rPr>
        <b val="true"/>
        <sz val="13"/>
        <color rgb="FFFFFFFF"/>
        <rFont val="Noto Sans CJK SC"/>
        <family val="2"/>
      </rPr>
      <t xml:space="preserve">パターン設定</t>
    </r>
  </si>
  <si>
    <r>
      <rPr>
        <i val="true"/>
        <sz val="10"/>
        <color rgb="FFFFFFFF"/>
        <rFont val="游ゴシック"/>
        <family val="0"/>
        <charset val="1"/>
      </rPr>
      <t xml:space="preserve">── A:</t>
    </r>
    <r>
      <rPr>
        <i val="true"/>
        <sz val="10"/>
        <color rgb="FFFFFFFF"/>
        <rFont val="Noto Sans CJK SC"/>
        <family val="2"/>
      </rPr>
      <t xml:space="preserve">取崩なし </t>
    </r>
    <r>
      <rPr>
        <i val="true"/>
        <sz val="10"/>
        <color rgb="FFFFFFFF"/>
        <rFont val="游ゴシック"/>
        <family val="0"/>
        <charset val="1"/>
      </rPr>
      <t xml:space="preserve">/ B:50%</t>
    </r>
    <r>
      <rPr>
        <i val="true"/>
        <sz val="10"/>
        <color rgb="FFFFFFFF"/>
        <rFont val="Noto Sans CJK SC"/>
        <family val="2"/>
      </rPr>
      <t xml:space="preserve">取崩 </t>
    </r>
    <r>
      <rPr>
        <i val="true"/>
        <sz val="10"/>
        <color rgb="FFFFFFFF"/>
        <rFont val="游ゴシック"/>
        <family val="0"/>
        <charset val="1"/>
      </rPr>
      <t xml:space="preserve">/ C:</t>
    </r>
    <r>
      <rPr>
        <i val="true"/>
        <sz val="10"/>
        <color rgb="FFFFFFFF"/>
        <rFont val="Noto Sans CJK SC"/>
        <family val="2"/>
      </rPr>
      <t xml:space="preserve">全額取崩 ──</t>
    </r>
  </si>
  <si>
    <t xml:space="preserve">■ 基金残高（シート01から自動参照）</t>
  </si>
  <si>
    <t xml:space="preserve">基金残高(R8.6時点・千円)</t>
  </si>
  <si>
    <t xml:space="preserve">シート01のB15から自動参照</t>
  </si>
  <si>
    <r>
      <rPr>
        <b val="true"/>
        <sz val="10"/>
        <color rgb="FFFFFFFF"/>
        <rFont val="游ゴシック"/>
        <family val="0"/>
        <charset val="1"/>
      </rPr>
      <t xml:space="preserve">■ 3</t>
    </r>
    <r>
      <rPr>
        <b val="true"/>
        <sz val="10"/>
        <color rgb="FFFFFFFF"/>
        <rFont val="Noto Sans CJK SC"/>
        <family val="2"/>
      </rPr>
      <t xml:space="preserve">パターン基金取崩額設定</t>
    </r>
  </si>
  <si>
    <t xml:space="preserve">パターン</t>
  </si>
  <si>
    <t xml:space="preserve">取崩割合</t>
  </si>
  <si>
    <t xml:space="preserve">取崩額(千円)</t>
  </si>
  <si>
    <t xml:space="preserve">残高(千円)</t>
  </si>
  <si>
    <t xml:space="preserve">効果・想定</t>
  </si>
  <si>
    <r>
      <rPr>
        <b val="true"/>
        <sz val="11"/>
        <color rgb="FF1F3864"/>
        <rFont val="游ゴシック"/>
        <family val="0"/>
        <charset val="1"/>
      </rPr>
      <t xml:space="preserve">A </t>
    </r>
    <r>
      <rPr>
        <b val="true"/>
        <sz val="11"/>
        <color rgb="FF1F3864"/>
        <rFont val="Noto Sans CJK SC"/>
        <family val="2"/>
      </rPr>
      <t xml:space="preserve">取崩なし</t>
    </r>
  </si>
  <si>
    <t xml:space="preserve">基金温存・第11期負担緩和・給付費増を保険料に直接反映(最高水準)</t>
  </si>
  <si>
    <r>
      <rPr>
        <b val="true"/>
        <sz val="11"/>
        <color rgb="FFED7D31"/>
        <rFont val="游ゴシック"/>
        <family val="0"/>
        <charset val="1"/>
      </rPr>
      <t xml:space="preserve">B 50%</t>
    </r>
    <r>
      <rPr>
        <b val="true"/>
        <sz val="11"/>
        <color rgb="FFED7D31"/>
        <rFont val="Noto Sans CJK SC"/>
        <family val="2"/>
      </rPr>
      <t xml:space="preserve">取崩</t>
    </r>
  </si>
  <si>
    <t xml:space="preserve">給付費増を一部相殺・次期負担との均衡(中位水準)</t>
  </si>
  <si>
    <r>
      <rPr>
        <b val="true"/>
        <sz val="11"/>
        <color rgb="FF548235"/>
        <rFont val="游ゴシック"/>
        <family val="0"/>
        <charset val="1"/>
      </rPr>
      <t xml:space="preserve">C </t>
    </r>
    <r>
      <rPr>
        <b val="true"/>
        <sz val="11"/>
        <color rgb="FF548235"/>
        <rFont val="Noto Sans CJK SC"/>
        <family val="2"/>
      </rPr>
      <t xml:space="preserve">全額取崩</t>
    </r>
  </si>
  <si>
    <t xml:space="preserve">住民負担最小化・第11期負担増のリスクあり(最低水準)</t>
  </si>
  <si>
    <t xml:space="preserve">※ 基金残高(B5)はシート01のB15(第10期開始時・計画ベース53,700千円)を参照。R8.6確定値受領後に更新。</t>
  </si>
  <si>
    <t xml:space="preserve">※ パターンBの50%は標準的な選択肢ですが、25%/75%等の中間値も検討可能です(シート05_2を別途作成可)。</t>
  </si>
  <si>
    <t xml:space="preserve">※ 基金取崩は計画期間(3年)の累計額です。年度別配分は別途検討します。</t>
  </si>
  <si>
    <t xml:space="preserve">※ 国は基金残高の概ね半分以下を取崩水準として推奨しているため、パターンBが標準的とされます。</t>
  </si>
  <si>
    <r>
      <rPr>
        <b val="true"/>
        <sz val="13"/>
        <color rgb="FFFFFFFF"/>
        <rFont val="游ゴシック"/>
        <family val="0"/>
        <charset val="1"/>
      </rPr>
      <t xml:space="preserve">06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游ゴシック"/>
        <family val="0"/>
        <charset val="1"/>
      </rPr>
      <t xml:space="preserve">Step7-8 </t>
    </r>
    <r>
      <rPr>
        <b val="true"/>
        <sz val="13"/>
        <color rgb="FFFFFFFF"/>
        <rFont val="Noto Sans CJK SC"/>
        <family val="2"/>
      </rPr>
      <t xml:space="preserve">保険料収納必要額と基準月額の算定</t>
    </r>
  </si>
  <si>
    <r>
      <rPr>
        <i val="true"/>
        <sz val="10"/>
        <color rgb="FFFFFFFF"/>
        <rFont val="游ゴシック"/>
        <family val="0"/>
        <charset val="1"/>
      </rPr>
      <t xml:space="preserve">── 3</t>
    </r>
    <r>
      <rPr>
        <i val="true"/>
        <sz val="10"/>
        <color rgb="FFFFFFFF"/>
        <rFont val="Noto Sans CJK SC"/>
        <family val="2"/>
      </rPr>
      <t xml:space="preserve">パターン</t>
    </r>
    <r>
      <rPr>
        <i val="true"/>
        <sz val="10"/>
        <color rgb="FFFFFFFF"/>
        <rFont val="游ゴシック"/>
        <family val="0"/>
        <charset val="1"/>
      </rPr>
      <t xml:space="preserve">(A/B/C)</t>
    </r>
    <r>
      <rPr>
        <i val="true"/>
        <sz val="10"/>
        <color rgb="FFFFFFFF"/>
        <rFont val="Noto Sans CJK SC"/>
        <family val="2"/>
      </rPr>
      <t xml:space="preserve">で保険料基準月額を算定 ──</t>
    </r>
  </si>
  <si>
    <r>
      <rPr>
        <b val="true"/>
        <sz val="10"/>
        <color rgb="FFFFFFFF"/>
        <rFont val="游ゴシック"/>
        <family val="0"/>
        <charset val="1"/>
      </rPr>
      <t xml:space="preserve">Step7</t>
    </r>
    <r>
      <rPr>
        <b val="true"/>
        <sz val="10"/>
        <color rgb="FFFFFFFF"/>
        <rFont val="Noto Sans CJK SC"/>
        <family val="2"/>
      </rPr>
      <t xml:space="preserve">：保険料収納必要額（</t>
    </r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パターン・千円）</t>
    </r>
  </si>
  <si>
    <t xml:space="preserve">計算式：Step4(第1号負担分) - Step5(調整交付金) - Step6(基金取崩額)</t>
  </si>
  <si>
    <t xml:space="preserve">共通値</t>
  </si>
  <si>
    <t xml:space="preserve">パターンA</t>
  </si>
  <si>
    <t xml:space="preserve">パターンB</t>
  </si>
  <si>
    <t xml:space="preserve">パターンC</t>
  </si>
  <si>
    <r>
      <rPr>
        <b val="true"/>
        <sz val="10"/>
        <rFont val="游ゴシック"/>
        <family val="0"/>
        <charset val="1"/>
      </rPr>
      <t xml:space="preserve">Step4 </t>
    </r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号負担分</t>
    </r>
    <r>
      <rPr>
        <b val="true"/>
        <sz val="10"/>
        <rFont val="游ゴシック"/>
        <family val="0"/>
        <charset val="1"/>
      </rPr>
      <t xml:space="preserve">(23%)</t>
    </r>
  </si>
  <si>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パターン共通</t>
    </r>
  </si>
  <si>
    <t xml:space="preserve">調整交付金相当額(5%・加算)</t>
  </si>
  <si>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パターン共通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加算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</si>
  <si>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調整交付金見込額(実績・減算)</t>
  </si>
  <si>
    <t xml:space="preserve">3パターン共通(減算)</t>
  </si>
  <si>
    <t xml:space="preserve">保険者機能強化交付金(減算)</t>
  </si>
  <si>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パターン共通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減算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</si>
  <si>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基金取崩額(パターン別・減算)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</si>
  <si>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パターン別</t>
    </r>
    <r>
      <rPr>
        <sz val="11"/>
        <color theme="1"/>
        <rFont val="Calibri"/>
        <family val="2"/>
        <charset val="1"/>
      </rPr>
      <t xml:space="preserve">)</t>
    </r>
  </si>
  <si>
    <t xml:space="preserve">シート05から参照</t>
  </si>
  <si>
    <r>
      <rPr>
        <b val="true"/>
        <sz val="11"/>
        <rFont val="Cambria"/>
        <family val="0"/>
        <charset val="1"/>
      </rPr>
      <t xml:space="preserve">Step7 </t>
    </r>
    <r>
      <rPr>
        <b val="true"/>
        <sz val="11"/>
        <rFont val="Noto Sans CJK SC"/>
        <family val="2"/>
      </rPr>
      <t xml:space="preserve">保険料収納必要額</t>
    </r>
  </si>
  <si>
    <t xml:space="preserve">第1号負担分+調整交付金相当額−見込額−機能強化−基金取崩</t>
  </si>
  <si>
    <r>
      <rPr>
        <b val="true"/>
        <sz val="11"/>
        <rFont val="Cambria"/>
        <family val="0"/>
        <charset val="1"/>
      </rPr>
      <t xml:space="preserve">Step8</t>
    </r>
    <r>
      <rPr>
        <b val="true"/>
        <sz val="11"/>
        <rFont val="Noto Sans CJK SC"/>
        <family val="2"/>
      </rPr>
      <t xml:space="preserve">：保険料基準月額の算定（円）</t>
    </r>
  </si>
  <si>
    <t xml:space="preserve">第1号被保険者数 3年合計</t>
  </si>
  <si>
    <t xml:space="preserve">シート01から自動参照(R9-R11合計)</t>
  </si>
  <si>
    <t xml:space="preserve">予定収納率</t>
  </si>
  <si>
    <t xml:space="preserve">第9期と同水準96%(暫定)</t>
  </si>
  <si>
    <t xml:space="preserve">補正係数(所得段階分布)</t>
  </si>
  <si>
    <t xml:space="preserve">川崎町第9期実効値(逆算0.96-0.98)の中点。所得段階別人口で確定</t>
  </si>
  <si>
    <r>
      <rPr>
        <b val="true"/>
        <sz val="11"/>
        <rFont val="Cambria"/>
        <family val="0"/>
        <charset val="1"/>
      </rPr>
      <t xml:space="preserve">Step8 </t>
    </r>
    <r>
      <rPr>
        <b val="true"/>
        <sz val="11"/>
        <rFont val="Noto Sans CJK SC"/>
        <family val="2"/>
      </rPr>
      <t xml:space="preserve">保険料基準月額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円</t>
    </r>
    <r>
      <rPr>
        <b val="true"/>
        <sz val="11"/>
        <rFont val="Cambria"/>
        <family val="0"/>
        <charset val="1"/>
      </rPr>
      <t xml:space="preserve">)</t>
    </r>
  </si>
  <si>
    <t xml:space="preserve">第10期基準月額(3パターン)</t>
  </si>
  <si>
    <r>
      <rPr>
        <b val="true"/>
        <sz val="9"/>
        <color rgb="FFC00000"/>
        <rFont val="Noto Sans CJK SC"/>
        <family val="2"/>
      </rPr>
      <t xml:space="preserve">【精査メモ】① 補正係数は所得段階別人口で確定（</t>
    </r>
    <r>
      <rPr>
        <b val="true"/>
        <sz val="9"/>
        <color rgb="FFC00000"/>
        <rFont val="Cambria"/>
        <family val="0"/>
        <charset val="1"/>
      </rPr>
      <t xml:space="preserve">1.0→0.97</t>
    </r>
    <r>
      <rPr>
        <b val="true"/>
        <sz val="9"/>
        <color rgb="FFC00000"/>
        <rFont val="Noto Sans CJK SC"/>
        <family val="2"/>
      </rPr>
      <t xml:space="preserve">に補正、第</t>
    </r>
    <r>
      <rPr>
        <b val="true"/>
        <sz val="9"/>
        <color rgb="FFC00000"/>
        <rFont val="Cambria"/>
        <family val="0"/>
        <charset val="1"/>
      </rPr>
      <t xml:space="preserve">9</t>
    </r>
    <r>
      <rPr>
        <b val="true"/>
        <sz val="9"/>
        <color rgb="FFC00000"/>
        <rFont val="Noto Sans CJK SC"/>
        <family val="2"/>
      </rPr>
      <t xml:space="preserve">期実効値）。</t>
    </r>
  </si>
  <si>
    <t xml:space="preserve">■ 第9期との比較</t>
  </si>
  <si>
    <t xml:space="preserve">比較項目</t>
  </si>
  <si>
    <t xml:space="preserve">第8期</t>
  </si>
  <si>
    <t xml:space="preserve">第9期</t>
  </si>
  <si>
    <t xml:space="preserve">第10期A</t>
  </si>
  <si>
    <t xml:space="preserve">第10期B</t>
  </si>
  <si>
    <t xml:space="preserve">第10期C</t>
  </si>
  <si>
    <t xml:space="preserve">月額(円)</t>
  </si>
  <si>
    <t xml:space="preserve">第9期比増減率(%)</t>
  </si>
  <si>
    <r>
      <rPr>
        <b val="true"/>
        <sz val="13"/>
        <color rgb="FFFFFFFF"/>
        <rFont val="游ゴシック"/>
        <family val="0"/>
        <charset val="1"/>
      </rPr>
      <t xml:space="preserve">07</t>
    </r>
    <r>
      <rPr>
        <b val="true"/>
        <sz val="13"/>
        <color rgb="FFFFFFFF"/>
        <rFont val="Noto Sans CJK SC"/>
        <family val="2"/>
      </rPr>
      <t xml:space="preserve">　所得段階別保険料（</t>
    </r>
    <r>
      <rPr>
        <b val="true"/>
        <sz val="13"/>
        <color rgb="FFFFFFFF"/>
        <rFont val="游ゴシック"/>
        <family val="0"/>
        <charset val="1"/>
      </rPr>
      <t xml:space="preserve">9</t>
    </r>
    <r>
      <rPr>
        <b val="true"/>
        <sz val="13"/>
        <color rgb="FFFFFFFF"/>
        <rFont val="Noto Sans CJK SC"/>
        <family val="2"/>
      </rPr>
      <t xml:space="preserve">段階版・現行）</t>
    </r>
  </si>
  <si>
    <t xml:space="preserve">── 現行9段階区分での所得段階別年間保険料(月額×12) ──</t>
  </si>
  <si>
    <t xml:space="preserve">段階</t>
  </si>
  <si>
    <t xml:space="preserve">対象</t>
  </si>
  <si>
    <t xml:space="preserve">係数</t>
  </si>
  <si>
    <t xml:space="preserve">月額A(円)</t>
  </si>
  <si>
    <t xml:space="preserve">月額B(円)</t>
  </si>
  <si>
    <t xml:space="preserve">月額C(円)</t>
  </si>
  <si>
    <t xml:space="preserve">該当人数</t>
  </si>
  <si>
    <t xml:space="preserve">第1段階</t>
  </si>
  <si>
    <t xml:space="preserve">生活保護・老齢福祉年金受給者・市町村民税非課税世帯+本人非課税</t>
  </si>
  <si>
    <t xml:space="preserve">第2段階</t>
  </si>
  <si>
    <t xml:space="preserve">市町村民税非課税世帯+本人非課税(年金収入80万円超120万円以下)</t>
  </si>
  <si>
    <t xml:space="preserve">第3段階</t>
  </si>
  <si>
    <t xml:space="preserve">市町村民税非課税世帯+本人非課税(年金収入120万円超)</t>
  </si>
  <si>
    <t xml:space="preserve">第4段階</t>
  </si>
  <si>
    <t xml:space="preserve">本人市町村民税非課税(世帯課税)・課税年金収入80万円以下</t>
  </si>
  <si>
    <t xml:space="preserve">第5段階(基準)</t>
  </si>
  <si>
    <t xml:space="preserve">本人市町村民税非課税(世帯課税)・課税年金収入80万円超</t>
  </si>
  <si>
    <t xml:space="preserve">第6段階</t>
  </si>
  <si>
    <t xml:space="preserve">本人市町村民税課税・合計所得120万円未満</t>
  </si>
  <si>
    <t xml:space="preserve">第7段階</t>
  </si>
  <si>
    <t xml:space="preserve">本人市町村民税課税・合計所得120万円以上210万円未満</t>
  </si>
  <si>
    <t xml:space="preserve">第8段階</t>
  </si>
  <si>
    <t xml:space="preserve">本人市町村民税課税・合計所得210万円以上320万円未満</t>
  </si>
  <si>
    <t xml:space="preserve">第9段階</t>
  </si>
  <si>
    <t xml:space="preserve">本人市町村民税課税・合計所得320万円以上</t>
  </si>
  <si>
    <t xml:space="preserve">※ 係数は国基準値です。市町村は条例により調整可能(±10%程度)。</t>
  </si>
  <si>
    <t xml:space="preserve">※ 該当人数の合計は所得段階別R3末3,255人(第5基準697人)が参考値です。R7時点の確定値を入力してください。</t>
  </si>
  <si>
    <t xml:space="preserve">※ 本シートはステップ8の算定結果を所得段階別に展開した参考表です。条例改正案作成の元データとなります。</t>
  </si>
  <si>
    <r>
      <rPr>
        <b val="true"/>
        <sz val="13"/>
        <color rgb="FFFFFFFF"/>
        <rFont val="游ゴシック"/>
        <family val="0"/>
        <charset val="1"/>
      </rPr>
      <t xml:space="preserve">08</t>
    </r>
    <r>
      <rPr>
        <b val="true"/>
        <sz val="13"/>
        <color rgb="FFFFFFFF"/>
        <rFont val="Noto Sans CJK SC"/>
        <family val="2"/>
      </rPr>
      <t xml:space="preserve">　所得段階別保険料（</t>
    </r>
    <r>
      <rPr>
        <b val="true"/>
        <sz val="13"/>
        <color rgb="FFFFFFFF"/>
        <rFont val="游ゴシック"/>
        <family val="0"/>
        <charset val="1"/>
      </rPr>
      <t xml:space="preserve">13</t>
    </r>
    <r>
      <rPr>
        <b val="true"/>
        <sz val="13"/>
        <color rgb="FFFFFFFF"/>
        <rFont val="Noto Sans CJK SC"/>
        <family val="2"/>
      </rPr>
      <t xml:space="preserve">段階版・協議事項</t>
    </r>
    <r>
      <rPr>
        <b val="true"/>
        <sz val="13"/>
        <color rgb="FFFFFFFF"/>
        <rFont val="游ゴシック"/>
        <family val="0"/>
        <charset val="1"/>
      </rPr>
      <t xml:space="preserve">5</t>
    </r>
    <r>
      <rPr>
        <b val="true"/>
        <sz val="13"/>
        <color rgb="FFFFFFFF"/>
        <rFont val="Noto Sans CJK SC"/>
        <family val="2"/>
      </rPr>
      <t xml:space="preserve">）</t>
    </r>
  </si>
  <si>
    <t xml:space="preserve">── 国推奨13段階区分での所得段階別保険料 ──</t>
  </si>
  <si>
    <t xml:space="preserve">生活保護受給者・老齢福祉年金受給者・住民税非課税世帯本人収入80万円以下</t>
  </si>
  <si>
    <t xml:space="preserve">住民税非課税世帯+本人収入80万円超120万円以下</t>
  </si>
  <si>
    <t xml:space="preserve">住民税非課税世帯+本人収入120万円超</t>
  </si>
  <si>
    <t xml:space="preserve">本人非課税(世帯課税)+課税年金収入80万円以下</t>
  </si>
  <si>
    <t xml:space="preserve">本人非課税(世帯課税)+課税年金収入80万円超</t>
  </si>
  <si>
    <t xml:space="preserve">本人課税・合計所得120万円未満</t>
  </si>
  <si>
    <t xml:space="preserve">本人課税・合計所得120万円以上210万円未満</t>
  </si>
  <si>
    <t xml:space="preserve">本人課税・合計所得210万円以上320万円未満</t>
  </si>
  <si>
    <t xml:space="preserve">本人課税・合計所得320万円以上420万円未満</t>
  </si>
  <si>
    <t xml:space="preserve">第10段階(新)</t>
  </si>
  <si>
    <t xml:space="preserve">本人課税・合計所得420万円以上520万円未満</t>
  </si>
  <si>
    <t xml:space="preserve">第11段階(新)</t>
  </si>
  <si>
    <t xml:space="preserve">本人課税・合計所得520万円以上620万円未満</t>
  </si>
  <si>
    <t xml:space="preserve">第12段階(新)</t>
  </si>
  <si>
    <t xml:space="preserve">本人課税・合計所得620万円以上720万円未満</t>
  </si>
  <si>
    <t xml:space="preserve">第13段階(新)</t>
  </si>
  <si>
    <t xml:space="preserve">本人課税・合計所得720万円以上</t>
  </si>
  <si>
    <r>
      <rPr>
        <i val="true"/>
        <sz val="9"/>
        <color rgb="FF595959"/>
        <rFont val="游ゴシック"/>
        <family val="0"/>
        <charset val="1"/>
      </rPr>
      <t xml:space="preserve">※ (</t>
    </r>
    <r>
      <rPr>
        <i val="true"/>
        <sz val="9"/>
        <color rgb="FF595959"/>
        <rFont val="Noto Sans CJK SC"/>
        <family val="2"/>
      </rPr>
      <t xml:space="preserve">新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マークは</t>
    </r>
    <r>
      <rPr>
        <i val="true"/>
        <sz val="9"/>
        <color rgb="FF595959"/>
        <rFont val="游ゴシック"/>
        <family val="0"/>
        <charset val="1"/>
      </rPr>
      <t xml:space="preserve">9</t>
    </r>
    <r>
      <rPr>
        <i val="true"/>
        <sz val="9"/>
        <color rgb="FF595959"/>
        <rFont val="Noto Sans CJK SC"/>
        <family val="2"/>
      </rPr>
      <t xml:space="preserve">段階版にはなかった新設段階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游ゴシック"/>
        <family val="0"/>
        <charset val="1"/>
      </rPr>
      <t xml:space="preserve">13</t>
    </r>
    <r>
      <rPr>
        <i val="true"/>
        <sz val="9"/>
        <color rgb="FF595959"/>
        <rFont val="Noto Sans CJK SC"/>
        <family val="2"/>
      </rPr>
      <t xml:space="preserve">段階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です。高所得層への応分負担で全体最適化。</t>
    </r>
  </si>
  <si>
    <t xml:space="preserve">※ 係数は国推奨値ですが、市町村は条例で調整可能。委員会協議で確定値を決定します。</t>
  </si>
  <si>
    <r>
      <rPr>
        <i val="true"/>
        <sz val="9"/>
        <color rgb="FF595959"/>
        <rFont val="游ゴシック"/>
        <family val="0"/>
        <charset val="1"/>
      </rPr>
      <t xml:space="preserve">※ 13</t>
    </r>
    <r>
      <rPr>
        <i val="true"/>
        <sz val="9"/>
        <color rgb="FF595959"/>
        <rFont val="Noto Sans CJK SC"/>
        <family val="2"/>
      </rPr>
      <t xml:space="preserve">段階への移行は、低所得層</t>
    </r>
    <r>
      <rPr>
        <i val="true"/>
        <sz val="9"/>
        <color rgb="FF595959"/>
        <rFont val="游ゴシック"/>
        <family val="0"/>
        <charset val="1"/>
      </rPr>
      <t xml:space="preserve">(1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段階・約</t>
    </r>
    <r>
      <rPr>
        <i val="true"/>
        <sz val="9"/>
        <color rgb="FF595959"/>
        <rFont val="游ゴシック"/>
        <family val="0"/>
        <charset val="1"/>
      </rPr>
      <t xml:space="preserve">30%)</t>
    </r>
    <r>
      <rPr>
        <i val="true"/>
        <sz val="9"/>
        <color rgb="FF595959"/>
        <rFont val="Noto Sans CJK SC"/>
        <family val="2"/>
      </rPr>
      <t xml:space="preserve">の負担軽減と、高所得層への応分負担拡大の効果を狙います。</t>
    </r>
  </si>
  <si>
    <t xml:space="preserve">※ 該当人数のR7時点確定値は町担当課入力後に9段階版と13段階版で再分布を計算します。</t>
  </si>
  <si>
    <r>
      <rPr>
        <b val="true"/>
        <sz val="13"/>
        <color rgb="FFFFFFFF"/>
        <rFont val="游ゴシック"/>
        <family val="0"/>
        <charset val="1"/>
      </rPr>
      <t xml:space="preserve">09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游ゴシック"/>
        <family val="0"/>
        <charset val="1"/>
      </rPr>
      <t xml:space="preserve">3</t>
    </r>
    <r>
      <rPr>
        <b val="true"/>
        <sz val="13"/>
        <color rgb="FFFFFFFF"/>
        <rFont val="Noto Sans CJK SC"/>
        <family val="2"/>
      </rPr>
      <t xml:space="preserve">パターン</t>
    </r>
    <r>
      <rPr>
        <b val="true"/>
        <sz val="13"/>
        <color rgb="FFFFFFFF"/>
        <rFont val="游ゴシック"/>
        <family val="0"/>
        <charset val="1"/>
      </rPr>
      <t xml:space="preserve">×9/13</t>
    </r>
    <r>
      <rPr>
        <b val="true"/>
        <sz val="13"/>
        <color rgb="FFFFFFFF"/>
        <rFont val="Noto Sans CJK SC"/>
        <family val="2"/>
      </rPr>
      <t xml:space="preserve">段階 比較分析</t>
    </r>
  </si>
  <si>
    <t xml:space="preserve">── 委員会協議に向けた総合比較表・推奨パターンの検討材料 ──</t>
  </si>
  <si>
    <t xml:space="preserve">■ 第10期基準月額の3パターン比較</t>
  </si>
  <si>
    <t xml:space="preserve">月額</t>
  </si>
  <si>
    <t xml:space="preserve">第9期比</t>
  </si>
  <si>
    <t xml:space="preserve">基金活用</t>
  </si>
  <si>
    <t xml:space="preserve">推奨度・特徴</t>
  </si>
  <si>
    <t xml:space="preserve">高</t>
  </si>
  <si>
    <t xml:space="preserve">なし</t>
  </si>
  <si>
    <t xml:space="preserve">基金温存・第11期負担緩和の安定性</t>
  </si>
  <si>
    <r>
      <rPr>
        <b val="true"/>
        <sz val="11"/>
        <color rgb="FF1F3864"/>
        <rFont val="游ゴシック"/>
        <family val="0"/>
        <charset val="1"/>
      </rPr>
      <t xml:space="preserve">B 50%</t>
    </r>
    <r>
      <rPr>
        <b val="true"/>
        <sz val="11"/>
        <color rgb="FF1F3864"/>
        <rFont val="Noto Sans CJK SC"/>
        <family val="2"/>
      </rPr>
      <t xml:space="preserve">取崩</t>
    </r>
  </si>
  <si>
    <t xml:space="preserve">中</t>
  </si>
  <si>
    <t xml:space="preserve">50%</t>
  </si>
  <si>
    <t xml:space="preserve">中庸選択・住民負担と次期均衡(国推奨水準)</t>
  </si>
  <si>
    <r>
      <rPr>
        <b val="true"/>
        <sz val="11"/>
        <color rgb="FF1F3864"/>
        <rFont val="游ゴシック"/>
        <family val="0"/>
        <charset val="1"/>
      </rPr>
      <t xml:space="preserve">C </t>
    </r>
    <r>
      <rPr>
        <b val="true"/>
        <sz val="11"/>
        <color rgb="FF1F3864"/>
        <rFont val="Noto Sans CJK SC"/>
        <family val="2"/>
      </rPr>
      <t xml:space="preserve">全額取崩</t>
    </r>
  </si>
  <si>
    <t xml:space="preserve">低</t>
  </si>
  <si>
    <t xml:space="preserve">100%</t>
  </si>
  <si>
    <t xml:space="preserve">住民負担最小化・次期負担増リスク</t>
  </si>
  <si>
    <t xml:space="preserve">■ 仙南圏域・宮城県との比較(見える化システム参考値)</t>
  </si>
  <si>
    <t xml:space="preserve">自治体</t>
  </si>
  <si>
    <t xml:space="preserve">第9期月額</t>
  </si>
  <si>
    <t xml:space="preserve">第10期月額</t>
  </si>
  <si>
    <t xml:space="preserve">高齢化率</t>
  </si>
  <si>
    <t xml:space="preserve">川崎町(本町)</t>
  </si>
  <si>
    <t xml:space="preserve">試算後</t>
  </si>
  <si>
    <t xml:space="preserve">本町（仙南最高水準タイ）</t>
  </si>
  <si>
    <t xml:space="preserve">柴田町</t>
  </si>
  <si>
    <t xml:space="preserve">—</t>
  </si>
  <si>
    <t xml:space="preserve">県資料</t>
  </si>
  <si>
    <t xml:space="preserve">宮城県公表値（第9期R6-R8）</t>
  </si>
  <si>
    <t xml:space="preserve">大河原町</t>
  </si>
  <si>
    <t xml:space="preserve">村田町</t>
  </si>
  <si>
    <t xml:space="preserve">蔵王町</t>
  </si>
  <si>
    <t xml:space="preserve">仙南圏域平均（9市町）</t>
  </si>
  <si>
    <t xml:space="preserve">白石角田蔵王七ヶ宿大河原村田柴田川崎丸森の単純平均</t>
  </si>
  <si>
    <t xml:space="preserve">宮城県加重平均</t>
  </si>
  <si>
    <t xml:space="preserve">宮城県公表値（35市町村加重平均）</t>
  </si>
  <si>
    <t xml:space="preserve">全国加重平均</t>
  </si>
  <si>
    <t xml:space="preserve">厚労省 第9期保険料状況</t>
  </si>
  <si>
    <t xml:space="preserve">■ 第3回策定委員会向け 委員協議のポイント</t>
  </si>
  <si>
    <t xml:space="preserve">①住民負担vs持続可能性のバランス：基金温存(A)か、住民負担軽減(C)か、中庸(B)か。</t>
  </si>
  <si>
    <t xml:space="preserve">②国推奨水準との比較：国はパターンB(50%取崩)を標準的水準として推奨。</t>
  </si>
  <si>
    <t xml:space="preserve">③水準感：本町6,500円は県加重平均6,098円を+402円上回る県内上位（10-12位/35）。仙南圏域では最高水準タイ。高齢化率41.4%（県内5位）と整合的で妥当。</t>
  </si>
  <si>
    <t xml:space="preserve">④第11期(R12〜)の予測：給付費上昇傾向の中で、第11期負担増のリスクを勘案。</t>
  </si>
  <si>
    <t xml:space="preserve">⑤所得段階区分(9→13段階)の影響：低所得層負担軽減と高所得層応分負担のバランス。</t>
  </si>
  <si>
    <t xml:space="preserve">⑥委員会では各委員にA/B/Cの選好を伺い、論点整理→次回再協議の流れを推奨。</t>
  </si>
  <si>
    <r>
      <rPr>
        <b val="true"/>
        <sz val="13"/>
        <color rgb="FF1F3864"/>
        <rFont val="Cambria"/>
        <family val="0"/>
        <charset val="1"/>
      </rPr>
      <t xml:space="preserve">10</t>
    </r>
    <r>
      <rPr>
        <b val="true"/>
        <sz val="13"/>
        <color rgb="FF1F3864"/>
        <rFont val="Noto Sans CJK SC"/>
        <family val="2"/>
      </rPr>
      <t xml:space="preserve">　長期推計サマリー（人口・高齢化率・給付費・保険料）</t>
    </r>
  </si>
  <si>
    <t xml:space="preserve">── 社人研R5推計・第9期計画の確定データに基づく ──</t>
  </si>
  <si>
    <r>
      <rPr>
        <b val="true"/>
        <sz val="11"/>
        <color rgb="FF1F3864"/>
        <rFont val="Cambria"/>
        <family val="0"/>
        <charset val="1"/>
      </rPr>
      <t xml:space="preserve">A. </t>
    </r>
    <r>
      <rPr>
        <b val="true"/>
        <sz val="11"/>
        <color rgb="FF1F3864"/>
        <rFont val="Noto Sans CJK SC"/>
        <family val="2"/>
      </rPr>
      <t xml:space="preserve">人口・高齢化率の長期推移（社人研</t>
    </r>
    <r>
      <rPr>
        <b val="true"/>
        <sz val="11"/>
        <color rgb="FF1F3864"/>
        <rFont val="Cambria"/>
        <family val="0"/>
        <charset val="1"/>
      </rPr>
      <t xml:space="preserve">R5</t>
    </r>
    <r>
      <rPr>
        <b val="true"/>
        <sz val="11"/>
        <color rgb="FF1F3864"/>
        <rFont val="Noto Sans CJK SC"/>
        <family val="2"/>
      </rPr>
      <t xml:space="preserve">推計）</t>
    </r>
  </si>
  <si>
    <t xml:space="preserve">年次</t>
  </si>
  <si>
    <t xml:space="preserve">2020</t>
  </si>
  <si>
    <t xml:space="preserve">2025</t>
  </si>
  <si>
    <t xml:space="preserve">2030</t>
  </si>
  <si>
    <t xml:space="preserve">2040</t>
  </si>
  <si>
    <t xml:space="preserve">2050</t>
  </si>
  <si>
    <t xml:space="preserve">総人口(人)</t>
  </si>
  <si>
    <r>
      <rPr>
        <b val="true"/>
        <sz val="11"/>
        <rFont val="Cambria"/>
        <family val="0"/>
        <charset val="1"/>
      </rPr>
      <t xml:space="preserve">65</t>
    </r>
    <r>
      <rPr>
        <b val="true"/>
        <sz val="11"/>
        <rFont val="Noto Sans CJK SC"/>
        <family val="2"/>
      </rPr>
      <t xml:space="preserve">歳以上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人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</si>
  <si>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15-64</t>
    </r>
    <r>
      <rPr>
        <b val="true"/>
        <sz val="11"/>
        <rFont val="Noto Sans CJK SC"/>
        <family val="2"/>
      </rPr>
      <t xml:space="preserve">歳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人</t>
    </r>
    <r>
      <rPr>
        <b val="true"/>
        <sz val="11"/>
        <rFont val="Cambria"/>
        <family val="0"/>
        <charset val="1"/>
      </rPr>
      <t xml:space="preserve">)</t>
    </r>
  </si>
  <si>
    <t xml:space="preserve">高齢化率(%)</t>
  </si>
  <si>
    <t xml:space="preserve">◆ 高齢者人口ピークは2025年(令和7年)頃。高齢化率は2050年55.1%まで上昇継続(全国37.1%)。</t>
  </si>
  <si>
    <r>
      <rPr>
        <b val="true"/>
        <sz val="11"/>
        <color rgb="FF1F3864"/>
        <rFont val="Cambria"/>
        <family val="0"/>
        <charset val="1"/>
      </rPr>
      <t xml:space="preserve">B. </t>
    </r>
    <r>
      <rPr>
        <b val="true"/>
        <sz val="11"/>
        <color rgb="FF1F3864"/>
        <rFont val="Noto Sans CJK SC"/>
        <family val="2"/>
      </rPr>
      <t xml:space="preserve">要支援・要介護認定者の推計</t>
    </r>
  </si>
  <si>
    <r>
      <rPr>
        <b val="true"/>
        <sz val="11"/>
        <color rgb="FFFFFFFF"/>
        <rFont val="Cambria"/>
        <family val="0"/>
        <charset val="1"/>
      </rPr>
      <t xml:space="preserve">2023</t>
    </r>
    <r>
      <rPr>
        <b val="true"/>
        <sz val="11"/>
        <color rgb="FFFFFFFF"/>
        <rFont val="Noto Sans CJK SC"/>
        <family val="2"/>
      </rPr>
      <t xml:space="preserve">実績</t>
    </r>
  </si>
  <si>
    <t xml:space="preserve">2035</t>
  </si>
  <si>
    <t xml:space="preserve">認定者数(人)</t>
  </si>
  <si>
    <t xml:space="preserve">認定率(%)</t>
  </si>
  <si>
    <t xml:space="preserve">◆ 高齢者数は減るが後期高齢化・重度化で認定率上昇。認定者は横ばい〜微増、給付費は当面増加圧力。</t>
  </si>
  <si>
    <r>
      <rPr>
        <b val="true"/>
        <sz val="11"/>
        <color rgb="FF1F3864"/>
        <rFont val="Cambria"/>
        <family val="0"/>
        <charset val="1"/>
      </rPr>
      <t xml:space="preserve">C. </t>
    </r>
    <r>
      <rPr>
        <b val="true"/>
        <sz val="11"/>
        <color rgb="FF1F3864"/>
        <rFont val="Noto Sans CJK SC"/>
        <family val="2"/>
      </rPr>
      <t xml:space="preserve">介護給付費準備基金の確認</t>
    </r>
  </si>
  <si>
    <t xml:space="preserve">第9期 基金残高(算定時)</t>
  </si>
  <si>
    <r>
      <rPr>
        <sz val="11"/>
        <color theme="1"/>
        <rFont val="Calibri"/>
        <family val="2"/>
        <charset val="1"/>
      </rPr>
      <t xml:space="preserve">131,700</t>
    </r>
    <r>
      <rPr>
        <sz val="11"/>
        <color theme="1"/>
        <rFont val="Noto Sans CJK SC"/>
        <family val="2"/>
      </rPr>
      <t xml:space="preserve">千円</t>
    </r>
  </si>
  <si>
    <t xml:space="preserve">第9期計画 保険料算出より</t>
  </si>
  <si>
    <t xml:space="preserve">第9期 予定取崩額</t>
  </si>
  <si>
    <r>
      <rPr>
        <sz val="11"/>
        <color theme="1"/>
        <rFont val="Calibri"/>
        <family val="2"/>
        <charset val="1"/>
      </rPr>
      <t xml:space="preserve">78,000</t>
    </r>
    <r>
      <rPr>
        <sz val="11"/>
        <color theme="1"/>
        <rFont val="Noto Sans CJK SC"/>
        <family val="2"/>
      </rPr>
      <t xml:space="preserve">千円</t>
    </r>
  </si>
  <si>
    <r>
      <rPr>
        <sz val="9"/>
        <rFont val="Cambria"/>
        <family val="0"/>
        <charset val="1"/>
      </rPr>
      <t xml:space="preserve">6,500</t>
    </r>
    <r>
      <rPr>
        <sz val="9"/>
        <rFont val="Noto Sans CJK SC"/>
        <family val="2"/>
      </rPr>
      <t xml:space="preserve">円実現のため取崩</t>
    </r>
  </si>
  <si>
    <t xml:space="preserve">第10期開始時 基金残高(計画ベース)</t>
  </si>
  <si>
    <r>
      <rPr>
        <sz val="11"/>
        <color theme="1"/>
        <rFont val="Calibri"/>
        <family val="2"/>
        <charset val="1"/>
      </rPr>
      <t xml:space="preserve">53,700</t>
    </r>
    <r>
      <rPr>
        <sz val="11"/>
        <color theme="1"/>
        <rFont val="Noto Sans CJK SC"/>
        <family val="2"/>
      </rPr>
      <t xml:space="preserve">千円</t>
    </r>
  </si>
  <si>
    <r>
      <rPr>
        <sz val="9"/>
        <rFont val="Cambria"/>
        <family val="0"/>
        <charset val="1"/>
      </rPr>
      <t xml:space="preserve">131,700−78,000</t>
    </r>
    <r>
      <rPr>
        <sz val="9"/>
        <rFont val="Noto Sans CJK SC"/>
        <family val="2"/>
      </rPr>
      <t xml:space="preserve">。</t>
    </r>
    <r>
      <rPr>
        <sz val="9"/>
        <rFont val="Cambria"/>
        <family val="0"/>
        <charset val="1"/>
      </rPr>
      <t xml:space="preserve">R8.6</t>
    </r>
    <r>
      <rPr>
        <sz val="9"/>
        <rFont val="Noto Sans CJK SC"/>
        <family val="2"/>
      </rPr>
      <t xml:space="preserve">確定値は町確認待ち</t>
    </r>
  </si>
  <si>
    <r>
      <rPr>
        <b val="true"/>
        <sz val="11"/>
        <color rgb="FF1F3864"/>
        <rFont val="Cambria"/>
        <family val="0"/>
        <charset val="1"/>
      </rPr>
      <t xml:space="preserve">D. </t>
    </r>
    <r>
      <rPr>
        <b val="true"/>
        <sz val="11"/>
        <color rgb="FF1F3864"/>
        <rFont val="Noto Sans CJK SC"/>
        <family val="2"/>
      </rPr>
      <t xml:space="preserve">第</t>
    </r>
    <r>
      <rPr>
        <b val="true"/>
        <sz val="11"/>
        <color rgb="FF1F3864"/>
        <rFont val="Cambria"/>
        <family val="0"/>
        <charset val="1"/>
      </rPr>
      <t xml:space="preserve">10</t>
    </r>
    <r>
      <rPr>
        <b val="true"/>
        <sz val="11"/>
        <color rgb="FF1F3864"/>
        <rFont val="Noto Sans CJK SC"/>
        <family val="2"/>
      </rPr>
      <t xml:space="preserve">期 保険料基準額の試算（</t>
    </r>
    <r>
      <rPr>
        <b val="true"/>
        <sz val="11"/>
        <color rgb="FF1F3864"/>
        <rFont val="Cambria"/>
        <family val="0"/>
        <charset val="1"/>
      </rPr>
      <t xml:space="preserve">3</t>
    </r>
    <r>
      <rPr>
        <b val="true"/>
        <sz val="11"/>
        <color rgb="FF1F3864"/>
        <rFont val="Noto Sans CJK SC"/>
        <family val="2"/>
      </rPr>
      <t xml:space="preserve">パターン・シート</t>
    </r>
    <r>
      <rPr>
        <b val="true"/>
        <sz val="11"/>
        <color rgb="FF1F3864"/>
        <rFont val="Cambria"/>
        <family val="0"/>
        <charset val="1"/>
      </rPr>
      <t xml:space="preserve">06</t>
    </r>
    <r>
      <rPr>
        <b val="true"/>
        <sz val="11"/>
        <color rgb="FF1F3864"/>
        <rFont val="Noto Sans CJK SC"/>
        <family val="2"/>
      </rPr>
      <t xml:space="preserve">から参照）</t>
    </r>
  </si>
  <si>
    <t xml:space="preserve">基準月額(円)</t>
  </si>
  <si>
    <t xml:space="preserve">取崩想定</t>
  </si>
  <si>
    <t xml:space="preserve">取崩なし</t>
  </si>
  <si>
    <r>
      <rPr>
        <sz val="9"/>
        <rFont val="Cambria"/>
        <family val="0"/>
        <charset val="1"/>
      </rPr>
      <t xml:space="preserve">50%</t>
    </r>
    <r>
      <rPr>
        <sz val="9"/>
        <rFont val="Noto Sans CJK SC"/>
        <family val="2"/>
      </rPr>
      <t xml:space="preserve">取崩</t>
    </r>
  </si>
  <si>
    <t xml:space="preserve">全額取崩</t>
  </si>
  <si>
    <t xml:space="preserve">◆ 第9期6,500円は基金131,700千円から78,000千円取崩で実現。第10期は基金枯渇で抑制余地が小さく、</t>
  </si>
  <si>
    <t xml:space="preserve">　 給付費増(+2.9%)も加わり7,000円台への上昇圧力。6,500円据置では基金が第10期中に枯渇。</t>
  </si>
  <si>
    <t xml:space="preserve">【出典】人口・高齢化率:国立社会保障・人口問題研究所「日本の地域別将来推計人口(令和5年推計)」／川崎町第9期計画。</t>
  </si>
  <si>
    <t xml:space="preserve">　　　　給付費・保険料・基金枯渇:前提を置いた参考試算。確定値は町提供データ(基金R8.6・収納率・所得段階別人口)で算定。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</si>
</sst>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General"/>
    <numFmt numFmtId="167" formatCode="0.0%"/>
    <numFmt numFmtId="168" formatCode="0%"/>
    <numFmt numFmtId="169" formatCode="0.00"/>
    <numFmt numFmtId="170" formatCode="#,##0\円"/>
    <numFmt numFmtId="171" formatCode="\+0.0;\-0.0"/>
    <numFmt numFmtId="172" formatCode="0.000"/>
    <numFmt numFmtId="173" formatCode="\¥#,##0"/>
    <numFmt numFmtId="174" formatCode="0.0"/>
  </numFmts>
  <fonts count="6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  <charset val="1"/>
    </font>
    <font>
      <i val="true"/>
      <sz val="10"/>
      <color rgb="FFFFFFFF"/>
      <name val="游ゴシック"/>
      <family val="0"/>
      <charset val="1"/>
    </font>
    <font>
      <i val="true"/>
      <sz val="10"/>
      <color rgb="FFFFFFFF"/>
      <name val="Noto Sans CJK SC"/>
      <family val="2"/>
    </font>
    <font>
      <b val="true"/>
      <sz val="10"/>
      <color rgb="FFFFFFFF"/>
      <name val="游ゴシック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name val="游ゴシック"/>
      <family val="0"/>
      <charset val="1"/>
    </font>
    <font>
      <b val="true"/>
      <sz val="10"/>
      <name val="Noto Sans CJK SC"/>
      <family val="2"/>
    </font>
    <font>
      <sz val="10"/>
      <name val="游ゴシック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  <charset val="1"/>
    </font>
    <font>
      <b val="true"/>
      <sz val="10"/>
      <color rgb="FF1F3864"/>
      <name val="游ゴシック"/>
      <family val="0"/>
      <charset val="1"/>
    </font>
    <font>
      <i val="true"/>
      <sz val="9"/>
      <color rgb="FF595959"/>
      <name val="Noto Sans CJK SC"/>
      <family val="2"/>
      <charset val="1"/>
    </font>
    <font>
      <i val="true"/>
      <sz val="9"/>
      <color rgb="FF595959"/>
      <name val="游ゴシック"/>
      <family val="0"/>
      <charset val="1"/>
    </font>
    <font>
      <i val="true"/>
      <sz val="9"/>
      <color rgb="FF595959"/>
      <name val="Noto Sans CJK SC"/>
      <family val="2"/>
    </font>
    <font>
      <b val="true"/>
      <sz val="13"/>
      <color rgb="FFFFFFFF"/>
      <name val="游ゴシック"/>
      <family val="0"/>
      <charset val="1"/>
    </font>
    <font>
      <b val="true"/>
      <sz val="13"/>
      <color rgb="FFFFFFFF"/>
      <name val="Noto Sans CJK SC"/>
      <family val="2"/>
    </font>
    <font>
      <b val="true"/>
      <sz val="10"/>
      <color rgb="FF006100"/>
      <name val="游ゴシック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0000FF"/>
      <name val="游ゴシック"/>
      <family val="0"/>
      <charset val="1"/>
    </font>
    <font>
      <b val="true"/>
      <sz val="10"/>
      <color rgb="FF0000FF"/>
      <name val="Noto Sans CJK SC"/>
      <family val="2"/>
    </font>
    <font>
      <b val="true"/>
      <sz val="10"/>
      <color rgb="FF006100"/>
      <name val="Noto Sans CJK SC"/>
      <family val="2"/>
    </font>
    <font>
      <sz val="10"/>
      <name val="Arial"/>
      <family val="2"/>
    </font>
    <font>
      <i val="true"/>
      <sz val="10"/>
      <color rgb="FFFFFFFF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color rgb="FF000000"/>
      <name val="Cambria"/>
      <family val="0"/>
      <charset val="1"/>
    </font>
    <font>
      <b val="true"/>
      <sz val="11"/>
      <color rgb="FFC00000"/>
      <name val="游ゴシック"/>
      <family val="0"/>
      <charset val="1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FFFFFF"/>
      <name val="游ゴシック"/>
      <family val="0"/>
      <charset val="1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  <charset val="1"/>
    </font>
    <font>
      <sz val="11"/>
      <color rgb="FF008000"/>
      <name val="Cambria"/>
      <family val="0"/>
      <charset val="1"/>
    </font>
    <font>
      <b val="true"/>
      <sz val="10"/>
      <color rgb="FF1F3864"/>
      <name val="Noto Sans CJK SC"/>
      <family val="2"/>
      <charset val="1"/>
    </font>
    <font>
      <b val="true"/>
      <sz val="11"/>
      <color rgb="FF1F3864"/>
      <name val="游ゴシック"/>
      <family val="0"/>
      <charset val="1"/>
    </font>
    <font>
      <b val="true"/>
      <sz val="11"/>
      <color rgb="FF1F3864"/>
      <name val="Noto Sans CJK SC"/>
      <family val="2"/>
    </font>
    <font>
      <b val="true"/>
      <sz val="11"/>
      <color rgb="FFED7D31"/>
      <name val="游ゴシック"/>
      <family val="0"/>
      <charset val="1"/>
    </font>
    <font>
      <b val="true"/>
      <sz val="11"/>
      <color rgb="FFED7D31"/>
      <name val="Noto Sans CJK SC"/>
      <family val="2"/>
    </font>
    <font>
      <b val="true"/>
      <sz val="11"/>
      <color rgb="FF548235"/>
      <name val="游ゴシック"/>
      <family val="0"/>
      <charset val="1"/>
    </font>
    <font>
      <b val="true"/>
      <sz val="11"/>
      <color rgb="FF548235"/>
      <name val="Noto Sans CJK SC"/>
      <family val="2"/>
    </font>
    <font>
      <b val="true"/>
      <sz val="11"/>
      <color rgb="FFC00000"/>
      <name val="Cambria"/>
      <family val="0"/>
      <charset val="1"/>
    </font>
    <font>
      <b val="true"/>
      <sz val="9"/>
      <color rgb="FFC00000"/>
      <name val="Noto Sans CJK SC"/>
      <family val="2"/>
    </font>
    <font>
      <b val="true"/>
      <sz val="9"/>
      <color rgb="FFC00000"/>
      <name val="Cambria"/>
      <family val="0"/>
      <charset val="1"/>
    </font>
    <font>
      <b val="true"/>
      <sz val="11"/>
      <name val="Noto Sans CJK SC"/>
      <family val="2"/>
      <charset val="1"/>
    </font>
    <font>
      <b val="true"/>
      <sz val="10"/>
      <color rgb="FFC55A11"/>
      <name val="游明朝"/>
      <family val="0"/>
      <charset val="1"/>
    </font>
    <font>
      <sz val="10"/>
      <color rgb="FF262626"/>
      <name val="Noto Sans CJK SC"/>
      <family val="2"/>
      <charset val="1"/>
    </font>
    <font>
      <sz val="10"/>
      <color rgb="FF262626"/>
      <name val="游明朝"/>
      <family val="0"/>
      <charset val="1"/>
    </font>
    <font>
      <b val="true"/>
      <sz val="10"/>
      <color rgb="FF262626"/>
      <name val="Noto Sans CJK SC"/>
      <family val="2"/>
      <charset val="1"/>
    </font>
    <font>
      <b val="true"/>
      <sz val="10"/>
      <color rgb="FF262626"/>
      <name val="游明朝"/>
      <family val="0"/>
      <charset val="1"/>
    </font>
    <font>
      <b val="true"/>
      <sz val="13"/>
      <color rgb="FF1F3864"/>
      <name val="Cambria"/>
      <family val="0"/>
      <charset val="1"/>
    </font>
    <font>
      <b val="true"/>
      <sz val="13"/>
      <color rgb="FF1F3864"/>
      <name val="Noto Sans CJK SC"/>
      <family val="2"/>
    </font>
    <font>
      <i val="true"/>
      <sz val="9"/>
      <color rgb="FF808080"/>
      <name val="Noto Sans CJK SC"/>
      <family val="2"/>
      <charset val="1"/>
    </font>
    <font>
      <b val="true"/>
      <sz val="11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9"/>
      <color rgb="FFC55A11"/>
      <name val="Noto Sans CJK SC"/>
      <family val="2"/>
      <charset val="1"/>
    </font>
    <font>
      <sz val="9"/>
      <name val="Noto Sans CJK SC"/>
      <family val="2"/>
      <charset val="1"/>
    </font>
    <font>
      <sz val="9"/>
      <name val="Cambria"/>
      <family val="0"/>
      <charset val="1"/>
    </font>
    <font>
      <sz val="9"/>
      <name val="Noto Sans CJK SC"/>
      <family val="2"/>
    </font>
    <font>
      <sz val="8"/>
      <color rgb="FF808080"/>
      <name val="Noto Sans CJK SC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2F5597"/>
        <bgColor rgb="FF1F3864"/>
      </patternFill>
    </fill>
    <fill>
      <patternFill patternType="solid">
        <fgColor rgb="FFDAE3F3"/>
        <bgColor rgb="FFDEEBF7"/>
      </patternFill>
    </fill>
    <fill>
      <patternFill patternType="solid">
        <fgColor rgb="FFFFFFCC"/>
        <bgColor rgb="FFFFF2CC"/>
      </patternFill>
    </fill>
    <fill>
      <patternFill patternType="solid">
        <fgColor rgb="FFE2EFDA"/>
        <bgColor rgb="FFDEEBF7"/>
      </patternFill>
    </fill>
    <fill>
      <patternFill patternType="solid">
        <fgColor rgb="FFFFE4E4"/>
        <bgColor rgb="FFFCE4D6"/>
      </patternFill>
    </fill>
    <fill>
      <patternFill patternType="solid">
        <fgColor rgb="FFFFF2CC"/>
        <bgColor rgb="FFFFFFCC"/>
      </patternFill>
    </fill>
    <fill>
      <patternFill patternType="solid">
        <fgColor rgb="FF548235"/>
        <bgColor rgb="FF339966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E4E4"/>
      </patternFill>
    </fill>
    <fill>
      <patternFill patternType="solid">
        <fgColor rgb="FFED7D31"/>
        <bgColor rgb="FFFF8080"/>
      </patternFill>
    </fill>
    <fill>
      <patternFill patternType="solid">
        <fgColor rgb="FFDEEBF7"/>
        <bgColor rgb="FFDAE3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FBFBF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3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2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2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5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5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5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9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BBBBBB"/>
      <rgbColor rgb="FFFFE4E4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6100"/>
      <rgbColor rgb="FF333300"/>
      <rgbColor rgb="FFC55A11"/>
      <rgbColor rgb="FF993366"/>
      <rgbColor rgb="FF2F5597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60" hidden="false" customHeight="true" outlineLevel="0" collapsed="false">
      <c r="A5" s="5" t="s">
        <v>3</v>
      </c>
      <c r="B5" s="5"/>
      <c r="C5" s="5"/>
      <c r="D5" s="5"/>
      <c r="E5" s="5"/>
      <c r="F5" s="5"/>
      <c r="G5" s="5"/>
    </row>
    <row r="7" customFormat="false" ht="21.75" hidden="false" customHeight="true" outlineLevel="0" collapsed="false">
      <c r="A7" s="4" t="s">
        <v>4</v>
      </c>
      <c r="B7" s="4"/>
      <c r="C7" s="4"/>
      <c r="D7" s="4"/>
      <c r="E7" s="4"/>
      <c r="F7" s="4"/>
      <c r="G7" s="4"/>
    </row>
    <row r="8" customFormat="false" ht="21.75" hidden="false" customHeight="true" outlineLevel="0" collapsed="false">
      <c r="A8" s="6" t="s">
        <v>5</v>
      </c>
      <c r="B8" s="6" t="s">
        <v>6</v>
      </c>
      <c r="C8" s="6"/>
      <c r="D8" s="6"/>
      <c r="E8" s="6"/>
      <c r="F8" s="6" t="s">
        <v>7</v>
      </c>
      <c r="G8" s="6"/>
    </row>
    <row r="9" customFormat="false" ht="25.5" hidden="false" customHeight="true" outlineLevel="0" collapsed="false">
      <c r="A9" s="7" t="s">
        <v>8</v>
      </c>
      <c r="B9" s="5" t="s">
        <v>9</v>
      </c>
      <c r="C9" s="5"/>
      <c r="D9" s="5"/>
      <c r="E9" s="5"/>
      <c r="F9" s="8" t="s">
        <v>10</v>
      </c>
      <c r="G9" s="8"/>
    </row>
    <row r="10" customFormat="false" ht="25.5" hidden="false" customHeight="true" outlineLevel="0" collapsed="false">
      <c r="A10" s="7" t="s">
        <v>11</v>
      </c>
      <c r="B10" s="5" t="s">
        <v>12</v>
      </c>
      <c r="C10" s="5"/>
      <c r="D10" s="5"/>
      <c r="E10" s="5"/>
      <c r="F10" s="9" t="s">
        <v>13</v>
      </c>
      <c r="G10" s="9"/>
    </row>
    <row r="11" customFormat="false" ht="25.5" hidden="false" customHeight="true" outlineLevel="0" collapsed="false">
      <c r="A11" s="7" t="s">
        <v>14</v>
      </c>
      <c r="B11" s="5" t="s">
        <v>15</v>
      </c>
      <c r="C11" s="5"/>
      <c r="D11" s="5"/>
      <c r="E11" s="5"/>
      <c r="F11" s="9" t="s">
        <v>16</v>
      </c>
      <c r="G11" s="9"/>
    </row>
    <row r="12" customFormat="false" ht="25.5" hidden="false" customHeight="true" outlineLevel="0" collapsed="false">
      <c r="A12" s="7" t="s">
        <v>17</v>
      </c>
      <c r="B12" s="5" t="s">
        <v>18</v>
      </c>
      <c r="C12" s="5"/>
      <c r="D12" s="5"/>
      <c r="E12" s="5"/>
      <c r="F12" s="9" t="s">
        <v>19</v>
      </c>
      <c r="G12" s="9"/>
    </row>
    <row r="13" customFormat="false" ht="25.5" hidden="false" customHeight="true" outlineLevel="0" collapsed="false">
      <c r="A13" s="7" t="s">
        <v>20</v>
      </c>
      <c r="B13" s="5" t="s">
        <v>21</v>
      </c>
      <c r="C13" s="5"/>
      <c r="D13" s="5"/>
      <c r="E13" s="5"/>
      <c r="F13" s="9" t="s">
        <v>22</v>
      </c>
      <c r="G13" s="9"/>
    </row>
    <row r="14" customFormat="false" ht="25.5" hidden="false" customHeight="true" outlineLevel="0" collapsed="false">
      <c r="A14" s="7" t="s">
        <v>23</v>
      </c>
      <c r="B14" s="5" t="s">
        <v>24</v>
      </c>
      <c r="C14" s="5"/>
      <c r="D14" s="5"/>
      <c r="E14" s="5"/>
      <c r="F14" s="9" t="s">
        <v>25</v>
      </c>
      <c r="G14" s="9"/>
    </row>
    <row r="15" customFormat="false" ht="25.5" hidden="false" customHeight="true" outlineLevel="0" collapsed="false">
      <c r="A15" s="7" t="s">
        <v>26</v>
      </c>
      <c r="B15" s="5" t="s">
        <v>27</v>
      </c>
      <c r="C15" s="5"/>
      <c r="D15" s="5"/>
      <c r="E15" s="5"/>
      <c r="F15" s="9" t="s">
        <v>28</v>
      </c>
      <c r="G15" s="9"/>
    </row>
    <row r="16" customFormat="false" ht="25.5" hidden="false" customHeight="true" outlineLevel="0" collapsed="false">
      <c r="A16" s="7" t="s">
        <v>29</v>
      </c>
      <c r="B16" s="10" t="s">
        <v>30</v>
      </c>
      <c r="C16" s="10"/>
      <c r="D16" s="10"/>
      <c r="E16" s="10"/>
      <c r="F16" s="9" t="s">
        <v>28</v>
      </c>
      <c r="G16" s="9"/>
    </row>
    <row r="17" customFormat="false" ht="25.5" hidden="false" customHeight="true" outlineLevel="0" collapsed="false">
      <c r="A17" s="7" t="s">
        <v>31</v>
      </c>
      <c r="B17" s="10" t="s">
        <v>32</v>
      </c>
      <c r="C17" s="10"/>
      <c r="D17" s="10"/>
      <c r="E17" s="10"/>
      <c r="F17" s="8" t="s">
        <v>33</v>
      </c>
      <c r="G17" s="8"/>
    </row>
    <row r="19" customFormat="false" ht="21.75" hidden="false" customHeight="true" outlineLevel="0" collapsed="false">
      <c r="A19" s="4" t="s">
        <v>34</v>
      </c>
      <c r="B19" s="4"/>
      <c r="C19" s="4"/>
      <c r="D19" s="4"/>
      <c r="E19" s="4"/>
      <c r="F19" s="4"/>
      <c r="G19" s="4"/>
    </row>
    <row r="20" customFormat="false" ht="21.75" hidden="false" customHeight="true" outlineLevel="0" collapsed="false">
      <c r="A20" s="11" t="s">
        <v>35</v>
      </c>
      <c r="B20" s="5" t="s">
        <v>36</v>
      </c>
      <c r="C20" s="5"/>
      <c r="D20" s="5"/>
      <c r="E20" s="5"/>
      <c r="F20" s="5"/>
      <c r="G20" s="5"/>
    </row>
    <row r="21" customFormat="false" ht="21.75" hidden="false" customHeight="true" outlineLevel="0" collapsed="false">
      <c r="A21" s="12" t="s">
        <v>37</v>
      </c>
      <c r="B21" s="5" t="s">
        <v>38</v>
      </c>
      <c r="C21" s="5"/>
      <c r="D21" s="5"/>
      <c r="E21" s="5"/>
      <c r="F21" s="5"/>
      <c r="G21" s="5"/>
    </row>
    <row r="22" customFormat="false" ht="21.75" hidden="false" customHeight="true" outlineLevel="0" collapsed="false">
      <c r="A22" s="13" t="s">
        <v>39</v>
      </c>
      <c r="B22" s="5" t="s">
        <v>40</v>
      </c>
      <c r="C22" s="5"/>
      <c r="D22" s="5"/>
      <c r="E22" s="5"/>
      <c r="F22" s="5"/>
      <c r="G22" s="5"/>
    </row>
    <row r="23" customFormat="false" ht="21.75" hidden="false" customHeight="true" outlineLevel="0" collapsed="false">
      <c r="A23" s="14" t="s">
        <v>41</v>
      </c>
      <c r="B23" s="5" t="s">
        <v>42</v>
      </c>
      <c r="C23" s="5"/>
      <c r="D23" s="5"/>
      <c r="E23" s="5"/>
      <c r="F23" s="5"/>
      <c r="G23" s="5"/>
    </row>
    <row r="25" customFormat="false" ht="21.75" hidden="false" customHeight="true" outlineLevel="0" collapsed="false">
      <c r="A25" s="4" t="s">
        <v>43</v>
      </c>
      <c r="B25" s="4"/>
      <c r="C25" s="4"/>
      <c r="D25" s="4"/>
      <c r="E25" s="4"/>
      <c r="F25" s="4"/>
      <c r="G25" s="4"/>
    </row>
    <row r="26" customFormat="false" ht="21.75" hidden="false" customHeight="true" outlineLevel="0" collapsed="false">
      <c r="A26" s="15" t="s">
        <v>44</v>
      </c>
      <c r="B26" s="6" t="s">
        <v>6</v>
      </c>
      <c r="C26" s="6"/>
      <c r="D26" s="6"/>
      <c r="E26" s="6" t="s">
        <v>45</v>
      </c>
      <c r="F26" s="6"/>
      <c r="G26" s="6" t="s">
        <v>5</v>
      </c>
    </row>
    <row r="27" customFormat="false" ht="24" hidden="false" customHeight="true" outlineLevel="0" collapsed="false">
      <c r="A27" s="16" t="s">
        <v>46</v>
      </c>
      <c r="B27" s="5" t="s">
        <v>47</v>
      </c>
      <c r="C27" s="5"/>
      <c r="D27" s="5"/>
      <c r="E27" s="17" t="s">
        <v>48</v>
      </c>
      <c r="F27" s="17"/>
      <c r="G27" s="9" t="s">
        <v>49</v>
      </c>
    </row>
    <row r="28" customFormat="false" ht="24" hidden="false" customHeight="true" outlineLevel="0" collapsed="false">
      <c r="A28" s="16" t="s">
        <v>50</v>
      </c>
      <c r="B28" s="5" t="s">
        <v>51</v>
      </c>
      <c r="C28" s="5"/>
      <c r="D28" s="5"/>
      <c r="E28" s="18" t="s">
        <v>52</v>
      </c>
      <c r="F28" s="18"/>
      <c r="G28" s="9" t="s">
        <v>49</v>
      </c>
    </row>
    <row r="29" customFormat="false" ht="24" hidden="false" customHeight="true" outlineLevel="0" collapsed="false">
      <c r="A29" s="16" t="s">
        <v>53</v>
      </c>
      <c r="B29" s="5" t="s">
        <v>54</v>
      </c>
      <c r="C29" s="5"/>
      <c r="D29" s="5"/>
      <c r="E29" s="18" t="s">
        <v>55</v>
      </c>
      <c r="F29" s="18"/>
      <c r="G29" s="9" t="s">
        <v>56</v>
      </c>
    </row>
    <row r="30" customFormat="false" ht="24" hidden="false" customHeight="true" outlineLevel="0" collapsed="false">
      <c r="A30" s="16" t="s">
        <v>57</v>
      </c>
      <c r="B30" s="5" t="s">
        <v>58</v>
      </c>
      <c r="C30" s="5"/>
      <c r="D30" s="5"/>
      <c r="E30" s="18" t="s">
        <v>59</v>
      </c>
      <c r="F30" s="18"/>
      <c r="G30" s="9" t="s">
        <v>56</v>
      </c>
    </row>
    <row r="31" customFormat="false" ht="24" hidden="false" customHeight="true" outlineLevel="0" collapsed="false">
      <c r="A31" s="16" t="s">
        <v>19</v>
      </c>
      <c r="B31" s="5" t="s">
        <v>60</v>
      </c>
      <c r="C31" s="5"/>
      <c r="D31" s="5"/>
      <c r="E31" s="18" t="s">
        <v>61</v>
      </c>
      <c r="F31" s="18"/>
      <c r="G31" s="9" t="s">
        <v>62</v>
      </c>
    </row>
    <row r="32" customFormat="false" ht="24" hidden="false" customHeight="true" outlineLevel="0" collapsed="false">
      <c r="A32" s="16" t="s">
        <v>22</v>
      </c>
      <c r="B32" s="5" t="s">
        <v>63</v>
      </c>
      <c r="C32" s="5"/>
      <c r="D32" s="5"/>
      <c r="E32" s="18" t="s">
        <v>64</v>
      </c>
      <c r="F32" s="18"/>
      <c r="G32" s="9" t="s">
        <v>65</v>
      </c>
    </row>
    <row r="33" customFormat="false" ht="24" hidden="false" customHeight="true" outlineLevel="0" collapsed="false">
      <c r="A33" s="16" t="s">
        <v>66</v>
      </c>
      <c r="B33" s="5" t="s">
        <v>67</v>
      </c>
      <c r="C33" s="5"/>
      <c r="D33" s="5"/>
      <c r="E33" s="18" t="s">
        <v>68</v>
      </c>
      <c r="F33" s="18"/>
      <c r="G33" s="9" t="s">
        <v>69</v>
      </c>
    </row>
    <row r="34" customFormat="false" ht="24" hidden="false" customHeight="true" outlineLevel="0" collapsed="false">
      <c r="A34" s="16" t="s">
        <v>70</v>
      </c>
      <c r="B34" s="5" t="s">
        <v>71</v>
      </c>
      <c r="C34" s="5"/>
      <c r="D34" s="5"/>
      <c r="E34" s="18" t="s">
        <v>72</v>
      </c>
      <c r="F34" s="18"/>
      <c r="G34" s="9" t="s">
        <v>69</v>
      </c>
    </row>
    <row r="36" customFormat="false" ht="21.75" hidden="false" customHeight="true" outlineLevel="0" collapsed="false">
      <c r="A36" s="4" t="s">
        <v>73</v>
      </c>
      <c r="B36" s="4"/>
      <c r="C36" s="4"/>
      <c r="D36" s="4"/>
      <c r="E36" s="4"/>
      <c r="F36" s="4"/>
      <c r="G36" s="4"/>
    </row>
    <row r="37" customFormat="false" ht="25.5" hidden="false" customHeight="true" outlineLevel="0" collapsed="false">
      <c r="A37" s="19" t="s">
        <v>74</v>
      </c>
      <c r="B37" s="19"/>
      <c r="C37" s="19"/>
      <c r="D37" s="19"/>
      <c r="E37" s="19"/>
      <c r="F37" s="19"/>
      <c r="G37" s="19"/>
    </row>
    <row r="38" customFormat="false" ht="25.5" hidden="false" customHeight="true" outlineLevel="0" collapsed="false">
      <c r="A38" s="19" t="s">
        <v>75</v>
      </c>
      <c r="B38" s="19"/>
      <c r="C38" s="19"/>
      <c r="D38" s="19"/>
      <c r="E38" s="19"/>
      <c r="F38" s="19"/>
      <c r="G38" s="19"/>
    </row>
    <row r="39" customFormat="false" ht="25.5" hidden="false" customHeight="true" outlineLevel="0" collapsed="false">
      <c r="A39" s="19" t="s">
        <v>76</v>
      </c>
      <c r="B39" s="19"/>
      <c r="C39" s="19"/>
      <c r="D39" s="19"/>
      <c r="E39" s="19"/>
      <c r="F39" s="19"/>
      <c r="G39" s="19"/>
    </row>
    <row r="40" customFormat="false" ht="25.5" hidden="false" customHeight="true" outlineLevel="0" collapsed="false">
      <c r="A40" s="20" t="s">
        <v>77</v>
      </c>
      <c r="B40" s="20"/>
      <c r="C40" s="20"/>
      <c r="D40" s="20"/>
      <c r="E40" s="20"/>
      <c r="F40" s="20"/>
      <c r="G40" s="20"/>
    </row>
    <row r="41" customFormat="false" ht="25.5" hidden="false" customHeight="true" outlineLevel="0" collapsed="false">
      <c r="A41" s="20" t="s">
        <v>78</v>
      </c>
      <c r="B41" s="20"/>
      <c r="C41" s="20"/>
      <c r="D41" s="20"/>
      <c r="E41" s="20"/>
      <c r="F41" s="20"/>
      <c r="G41" s="20"/>
    </row>
  </sheetData>
  <mergeCells count="55">
    <mergeCell ref="A1:G1"/>
    <mergeCell ref="A2:G2"/>
    <mergeCell ref="A4:G4"/>
    <mergeCell ref="A5:G5"/>
    <mergeCell ref="A7:G7"/>
    <mergeCell ref="B8:E8"/>
    <mergeCell ref="F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A19:G19"/>
    <mergeCell ref="B20:G20"/>
    <mergeCell ref="B21:G21"/>
    <mergeCell ref="B22:G22"/>
    <mergeCell ref="B23:G23"/>
    <mergeCell ref="A25:G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A36:G36"/>
    <mergeCell ref="A37:G37"/>
    <mergeCell ref="A38:G38"/>
    <mergeCell ref="A39:G39"/>
    <mergeCell ref="A40:G40"/>
    <mergeCell ref="A41:G4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4"/>
  </cols>
  <sheetData>
    <row r="1" customFormat="false" ht="25.5" hidden="false" customHeight="true" outlineLevel="0" collapsed="false">
      <c r="A1" s="21" t="s">
        <v>79</v>
      </c>
      <c r="B1" s="21"/>
      <c r="C1" s="21"/>
      <c r="D1" s="21"/>
      <c r="E1" s="21"/>
      <c r="F1" s="21"/>
    </row>
    <row r="2" customFormat="false" ht="19.5" hidden="false" customHeight="true" outlineLevel="0" collapsed="false">
      <c r="A2" s="22" t="s">
        <v>80</v>
      </c>
      <c r="B2" s="22"/>
      <c r="C2" s="22"/>
      <c r="D2" s="22"/>
      <c r="E2" s="22"/>
      <c r="F2" s="22"/>
    </row>
    <row r="4" customFormat="false" ht="21.75" hidden="false" customHeight="true" outlineLevel="0" collapsed="false">
      <c r="A4" s="4" t="s">
        <v>81</v>
      </c>
      <c r="B4" s="4"/>
      <c r="C4" s="4"/>
      <c r="D4" s="4"/>
      <c r="E4" s="4"/>
      <c r="F4" s="4"/>
    </row>
    <row r="5" customFormat="false" ht="21.75" hidden="false" customHeight="true" outlineLevel="0" collapsed="false">
      <c r="A5" s="6" t="s">
        <v>82</v>
      </c>
      <c r="B5" s="15" t="s">
        <v>83</v>
      </c>
      <c r="C5" s="15"/>
      <c r="D5" s="6" t="s">
        <v>84</v>
      </c>
      <c r="E5" s="6"/>
      <c r="F5" s="6" t="s">
        <v>85</v>
      </c>
    </row>
    <row r="6" customFormat="false" ht="24" hidden="false" customHeight="true" outlineLevel="0" collapsed="false">
      <c r="A6" s="23" t="s">
        <v>86</v>
      </c>
      <c r="B6" s="24" t="n">
        <v>3244</v>
      </c>
      <c r="C6" s="24"/>
      <c r="D6" s="5" t="s">
        <v>87</v>
      </c>
      <c r="E6" s="5"/>
      <c r="F6" s="17" t="s">
        <v>88</v>
      </c>
    </row>
    <row r="7" customFormat="false" ht="24" hidden="false" customHeight="true" outlineLevel="0" collapsed="false">
      <c r="A7" s="23" t="s">
        <v>89</v>
      </c>
      <c r="B7" s="25" t="n">
        <v>3296</v>
      </c>
      <c r="C7" s="25"/>
      <c r="D7" s="5" t="s">
        <v>90</v>
      </c>
      <c r="E7" s="5"/>
      <c r="F7" s="17" t="s">
        <v>91</v>
      </c>
    </row>
    <row r="8" customFormat="false" ht="24" hidden="false" customHeight="true" outlineLevel="0" collapsed="false">
      <c r="A8" s="23" t="s">
        <v>92</v>
      </c>
      <c r="B8" s="25" t="n">
        <v>3262</v>
      </c>
      <c r="C8" s="25"/>
      <c r="D8" s="5" t="s">
        <v>93</v>
      </c>
      <c r="E8" s="5"/>
      <c r="F8" s="17" t="s">
        <v>94</v>
      </c>
    </row>
    <row r="9" customFormat="false" ht="24" hidden="false" customHeight="true" outlineLevel="0" collapsed="false">
      <c r="A9" s="23" t="s">
        <v>95</v>
      </c>
      <c r="B9" s="25" t="n">
        <v>3234</v>
      </c>
      <c r="C9" s="25"/>
      <c r="D9" s="5" t="s">
        <v>96</v>
      </c>
      <c r="E9" s="5"/>
      <c r="F9" s="17" t="s">
        <v>94</v>
      </c>
    </row>
    <row r="10" customFormat="false" ht="24" hidden="false" customHeight="true" outlineLevel="0" collapsed="false">
      <c r="A10" s="23" t="s">
        <v>97</v>
      </c>
      <c r="B10" s="25" t="n">
        <v>3206</v>
      </c>
      <c r="C10" s="25"/>
      <c r="D10" s="5" t="s">
        <v>98</v>
      </c>
      <c r="E10" s="5"/>
      <c r="F10" s="17" t="s">
        <v>94</v>
      </c>
    </row>
    <row r="11" customFormat="false" ht="24" hidden="false" customHeight="true" outlineLevel="0" collapsed="false">
      <c r="A11" s="16" t="s">
        <v>99</v>
      </c>
      <c r="B11" s="26" t="n">
        <f aca="false">SUM(B8:B10)</f>
        <v>9702</v>
      </c>
      <c r="C11" s="26"/>
      <c r="D11" s="18" t="s">
        <v>100</v>
      </c>
      <c r="E11" s="18"/>
      <c r="F11" s="17" t="s">
        <v>101</v>
      </c>
    </row>
    <row r="13" customFormat="false" ht="21.75" hidden="false" customHeight="true" outlineLevel="0" collapsed="false">
      <c r="A13" s="4" t="s">
        <v>102</v>
      </c>
      <c r="B13" s="4"/>
      <c r="C13" s="4"/>
      <c r="D13" s="4"/>
      <c r="E13" s="4"/>
      <c r="F13" s="4"/>
    </row>
    <row r="14" customFormat="false" ht="21.75" hidden="false" customHeight="true" outlineLevel="0" collapsed="false">
      <c r="A14" s="6" t="s">
        <v>103</v>
      </c>
      <c r="B14" s="6" t="s">
        <v>104</v>
      </c>
      <c r="C14" s="6"/>
      <c r="D14" s="6" t="s">
        <v>105</v>
      </c>
      <c r="E14" s="6"/>
      <c r="F14" s="6"/>
    </row>
    <row r="15" customFormat="false" ht="24" hidden="false" customHeight="true" outlineLevel="0" collapsed="false">
      <c r="A15" s="27" t="s">
        <v>106</v>
      </c>
      <c r="B15" s="28" t="n">
        <v>53700</v>
      </c>
      <c r="C15" s="28"/>
      <c r="D15" s="17" t="s">
        <v>107</v>
      </c>
      <c r="E15" s="17"/>
      <c r="F15" s="17"/>
    </row>
    <row r="16" customFormat="false" ht="24" hidden="false" customHeight="true" outlineLevel="0" collapsed="false">
      <c r="A16" s="27" t="s">
        <v>108</v>
      </c>
      <c r="B16" s="26" t="s">
        <v>109</v>
      </c>
      <c r="C16" s="26"/>
      <c r="D16" s="17" t="s">
        <v>110</v>
      </c>
      <c r="E16" s="17"/>
      <c r="F16" s="17"/>
    </row>
    <row r="18" customFormat="false" ht="21.75" hidden="false" customHeight="true" outlineLevel="0" collapsed="false">
      <c r="A18" s="4" t="s">
        <v>111</v>
      </c>
      <c r="B18" s="4"/>
      <c r="C18" s="4"/>
      <c r="D18" s="4"/>
      <c r="E18" s="4"/>
      <c r="F18" s="4"/>
    </row>
    <row r="19" customFormat="false" ht="21.75" hidden="false" customHeight="true" outlineLevel="0" collapsed="false">
      <c r="A19" s="6" t="s">
        <v>82</v>
      </c>
      <c r="B19" s="6" t="s">
        <v>112</v>
      </c>
      <c r="C19" s="6"/>
      <c r="D19" s="6" t="s">
        <v>113</v>
      </c>
      <c r="E19" s="6"/>
      <c r="F19" s="6" t="s">
        <v>85</v>
      </c>
    </row>
    <row r="20" customFormat="false" ht="24" hidden="false" customHeight="true" outlineLevel="0" collapsed="false">
      <c r="A20" s="23" t="s">
        <v>114</v>
      </c>
      <c r="B20" s="24" t="n">
        <v>96.3</v>
      </c>
      <c r="C20" s="24"/>
      <c r="D20" s="24" t="n">
        <v>99</v>
      </c>
      <c r="E20" s="24"/>
      <c r="F20" s="17" t="s">
        <v>115</v>
      </c>
    </row>
    <row r="21" customFormat="false" ht="24" hidden="false" customHeight="true" outlineLevel="0" collapsed="false">
      <c r="A21" s="23" t="s">
        <v>116</v>
      </c>
      <c r="B21" s="29" t="s">
        <v>117</v>
      </c>
      <c r="C21" s="29"/>
      <c r="D21" s="29" t="s">
        <v>117</v>
      </c>
      <c r="E21" s="29"/>
      <c r="F21" s="17" t="s">
        <v>118</v>
      </c>
    </row>
    <row r="22" customFormat="false" ht="24" hidden="false" customHeight="true" outlineLevel="0" collapsed="false">
      <c r="A22" s="23" t="s">
        <v>119</v>
      </c>
      <c r="B22" s="29" t="s">
        <v>117</v>
      </c>
      <c r="C22" s="29"/>
      <c r="D22" s="29" t="s">
        <v>117</v>
      </c>
      <c r="E22" s="29"/>
      <c r="F22" s="17" t="s">
        <v>118</v>
      </c>
    </row>
    <row r="23" customFormat="false" ht="24" hidden="false" customHeight="true" outlineLevel="0" collapsed="false">
      <c r="A23" s="23" t="s">
        <v>120</v>
      </c>
      <c r="B23" s="29" t="s">
        <v>117</v>
      </c>
      <c r="C23" s="29"/>
      <c r="D23" s="29" t="s">
        <v>117</v>
      </c>
      <c r="E23" s="29"/>
      <c r="F23" s="17" t="s">
        <v>118</v>
      </c>
    </row>
    <row r="24" customFormat="false" ht="24" hidden="false" customHeight="true" outlineLevel="0" collapsed="false">
      <c r="A24" s="23" t="s">
        <v>121</v>
      </c>
      <c r="B24" s="29" t="s">
        <v>117</v>
      </c>
      <c r="C24" s="29"/>
      <c r="D24" s="29" t="s">
        <v>117</v>
      </c>
      <c r="E24" s="29"/>
      <c r="F24" s="17" t="s">
        <v>122</v>
      </c>
    </row>
    <row r="25" customFormat="false" ht="24" hidden="false" customHeight="true" outlineLevel="0" collapsed="false">
      <c r="A25" s="16" t="s">
        <v>123</v>
      </c>
      <c r="B25" s="26" t="n">
        <f aca="false">IFERROR(AVERAGE(B20:B24),"R4-R7入力後算定")</f>
        <v>96.3</v>
      </c>
      <c r="C25" s="26"/>
      <c r="D25" s="26" t="n">
        <f aca="false">IFERROR(AVERAGE(D20:D24),"R4-R7入力後算定")</f>
        <v>99</v>
      </c>
      <c r="E25" s="26"/>
      <c r="F25" s="17" t="s">
        <v>124</v>
      </c>
    </row>
    <row r="27" customFormat="false" ht="21.75" hidden="false" customHeight="true" outlineLevel="0" collapsed="false">
      <c r="A27" s="4" t="s">
        <v>125</v>
      </c>
      <c r="B27" s="4"/>
      <c r="C27" s="4"/>
      <c r="D27" s="4"/>
      <c r="E27" s="4"/>
      <c r="F27" s="4"/>
    </row>
    <row r="28" customFormat="false" ht="21.75" hidden="false" customHeight="true" outlineLevel="0" collapsed="false">
      <c r="A28" s="6" t="s">
        <v>126</v>
      </c>
      <c r="B28" s="6" t="s">
        <v>127</v>
      </c>
      <c r="C28" s="6"/>
      <c r="D28" s="6" t="s">
        <v>84</v>
      </c>
      <c r="E28" s="6"/>
      <c r="F28" s="6"/>
    </row>
    <row r="29" customFormat="false" ht="24" hidden="false" customHeight="true" outlineLevel="0" collapsed="false">
      <c r="A29" s="27" t="s">
        <v>128</v>
      </c>
      <c r="B29" s="24" t="s">
        <v>129</v>
      </c>
      <c r="C29" s="24"/>
      <c r="D29" s="18" t="s">
        <v>130</v>
      </c>
      <c r="E29" s="18"/>
      <c r="F29" s="18"/>
    </row>
    <row r="30" customFormat="false" ht="24" hidden="false" customHeight="true" outlineLevel="0" collapsed="false">
      <c r="A30" s="27" t="s">
        <v>131</v>
      </c>
      <c r="B30" s="24" t="s">
        <v>132</v>
      </c>
      <c r="C30" s="24"/>
      <c r="D30" s="17" t="s">
        <v>133</v>
      </c>
      <c r="E30" s="17"/>
      <c r="F30" s="17"/>
    </row>
    <row r="31" customFormat="false" ht="24" hidden="false" customHeight="true" outlineLevel="0" collapsed="false">
      <c r="A31" s="27" t="s">
        <v>134</v>
      </c>
      <c r="B31" s="24" t="s">
        <v>135</v>
      </c>
      <c r="C31" s="24"/>
      <c r="D31" s="17" t="s">
        <v>136</v>
      </c>
      <c r="E31" s="17"/>
      <c r="F31" s="17"/>
    </row>
    <row r="32" customFormat="false" ht="24" hidden="false" customHeight="true" outlineLevel="0" collapsed="false">
      <c r="A32" s="27" t="s">
        <v>137</v>
      </c>
      <c r="B32" s="24" t="s">
        <v>138</v>
      </c>
      <c r="C32" s="24"/>
      <c r="D32" s="17" t="s">
        <v>139</v>
      </c>
      <c r="E32" s="17"/>
      <c r="F32" s="17"/>
    </row>
    <row r="33" customFormat="false" ht="24" hidden="false" customHeight="true" outlineLevel="0" collapsed="false">
      <c r="A33" s="27" t="s">
        <v>140</v>
      </c>
      <c r="B33" s="24" t="s">
        <v>138</v>
      </c>
      <c r="C33" s="24"/>
      <c r="D33" s="17" t="s">
        <v>139</v>
      </c>
      <c r="E33" s="17"/>
      <c r="F33" s="17"/>
    </row>
    <row r="34" customFormat="false" ht="24" hidden="false" customHeight="true" outlineLevel="0" collapsed="false">
      <c r="A34" s="27" t="s">
        <v>141</v>
      </c>
      <c r="B34" s="24" t="s">
        <v>142</v>
      </c>
      <c r="C34" s="24"/>
      <c r="D34" s="18" t="s">
        <v>143</v>
      </c>
      <c r="E34" s="18"/>
      <c r="F34" s="18"/>
    </row>
    <row r="35" customFormat="false" ht="24" hidden="false" customHeight="true" outlineLevel="0" collapsed="false">
      <c r="A35" s="27" t="s">
        <v>144</v>
      </c>
      <c r="B35" s="24" t="s">
        <v>145</v>
      </c>
      <c r="C35" s="24"/>
      <c r="D35" s="18" t="s">
        <v>146</v>
      </c>
      <c r="E35" s="18"/>
      <c r="F35" s="18"/>
    </row>
  </sheetData>
  <mergeCells count="56">
    <mergeCell ref="A1:F1"/>
    <mergeCell ref="A2:F2"/>
    <mergeCell ref="A4:F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3:F13"/>
    <mergeCell ref="B14:C14"/>
    <mergeCell ref="D14:F14"/>
    <mergeCell ref="B15:C15"/>
    <mergeCell ref="D15:F15"/>
    <mergeCell ref="B16:C16"/>
    <mergeCell ref="D16:F16"/>
    <mergeCell ref="A18:F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A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4"/>
    <col collapsed="false" customWidth="true" hidden="false" outlineLevel="0" max="6" min="6" style="1" width="16"/>
    <col collapsed="false" customWidth="true" hidden="false" outlineLevel="0" max="7" min="7" style="1" width="22"/>
  </cols>
  <sheetData>
    <row r="1" customFormat="false" ht="25.5" hidden="false" customHeight="true" outlineLevel="0" collapsed="false">
      <c r="A1" s="21" t="s">
        <v>147</v>
      </c>
      <c r="B1" s="21"/>
      <c r="C1" s="21"/>
      <c r="D1" s="21"/>
      <c r="E1" s="21"/>
      <c r="F1" s="21"/>
      <c r="G1" s="21"/>
    </row>
    <row r="2" customFormat="false" ht="19.5" hidden="false" customHeight="true" outlineLevel="0" collapsed="false">
      <c r="A2" s="30" t="s">
        <v>148</v>
      </c>
      <c r="B2" s="30"/>
      <c r="C2" s="30"/>
      <c r="D2" s="30"/>
      <c r="E2" s="30"/>
      <c r="F2" s="30"/>
      <c r="G2" s="30"/>
    </row>
    <row r="4" customFormat="false" ht="21.75" hidden="false" customHeight="true" outlineLevel="0" collapsed="false">
      <c r="A4" s="4" t="s">
        <v>149</v>
      </c>
      <c r="B4" s="4"/>
      <c r="C4" s="4"/>
      <c r="D4" s="4"/>
      <c r="E4" s="4"/>
      <c r="F4" s="4"/>
      <c r="G4" s="4"/>
    </row>
    <row r="5" customFormat="false" ht="27.75" hidden="false" customHeight="true" outlineLevel="0" collapsed="false">
      <c r="A5" s="6" t="s">
        <v>150</v>
      </c>
      <c r="B5" s="31" t="s">
        <v>151</v>
      </c>
      <c r="C5" s="15" t="s">
        <v>152</v>
      </c>
      <c r="D5" s="15" t="s">
        <v>153</v>
      </c>
      <c r="E5" s="15" t="s">
        <v>154</v>
      </c>
      <c r="F5" s="32" t="s">
        <v>155</v>
      </c>
      <c r="G5" s="6" t="s">
        <v>84</v>
      </c>
    </row>
    <row r="6" customFormat="false" ht="24" hidden="false" customHeight="true" outlineLevel="0" collapsed="false">
      <c r="A6" s="27" t="s">
        <v>156</v>
      </c>
      <c r="B6" s="33" t="n">
        <v>365000</v>
      </c>
      <c r="C6" s="34" t="n">
        <v>390630</v>
      </c>
      <c r="D6" s="34" t="n">
        <v>395318</v>
      </c>
      <c r="E6" s="34" t="n">
        <v>400061</v>
      </c>
      <c r="F6" s="35" t="n">
        <f aca="false">SUM(C6:E6)</f>
        <v>1186009</v>
      </c>
      <c r="G6" s="18" t="s">
        <v>157</v>
      </c>
    </row>
    <row r="7" customFormat="false" ht="24" hidden="false" customHeight="true" outlineLevel="0" collapsed="false">
      <c r="A7" s="27" t="s">
        <v>158</v>
      </c>
      <c r="B7" s="33" t="n">
        <v>152000</v>
      </c>
      <c r="C7" s="34" t="n">
        <v>162673</v>
      </c>
      <c r="D7" s="34" t="n">
        <v>164625</v>
      </c>
      <c r="E7" s="34" t="n">
        <v>166601</v>
      </c>
      <c r="F7" s="35" t="n">
        <f aca="false">SUM(C7:E7)</f>
        <v>493899</v>
      </c>
      <c r="G7" s="18" t="s">
        <v>159</v>
      </c>
    </row>
    <row r="8" customFormat="false" ht="24" hidden="false" customHeight="true" outlineLevel="0" collapsed="false">
      <c r="A8" s="27" t="s">
        <v>160</v>
      </c>
      <c r="B8" s="33" t="n">
        <v>441000</v>
      </c>
      <c r="C8" s="34" t="n">
        <v>471967</v>
      </c>
      <c r="D8" s="34" t="n">
        <v>477630</v>
      </c>
      <c r="E8" s="34" t="n">
        <v>483362</v>
      </c>
      <c r="F8" s="35" t="n">
        <f aca="false">SUM(C8:E8)</f>
        <v>1432959</v>
      </c>
      <c r="G8" s="18" t="s">
        <v>161</v>
      </c>
    </row>
    <row r="9" customFormat="false" ht="24" hidden="false" customHeight="true" outlineLevel="0" collapsed="false">
      <c r="A9" s="27" t="s">
        <v>162</v>
      </c>
      <c r="B9" s="33" t="n">
        <v>2857</v>
      </c>
      <c r="C9" s="34" t="n">
        <v>3058</v>
      </c>
      <c r="D9" s="34" t="n">
        <v>3094</v>
      </c>
      <c r="E9" s="34" t="n">
        <v>3131</v>
      </c>
      <c r="F9" s="35" t="n">
        <f aca="false">SUM(C9:E9)</f>
        <v>9283</v>
      </c>
      <c r="G9" s="18" t="s">
        <v>163</v>
      </c>
    </row>
    <row r="10" customFormat="false" ht="31.5" hidden="false" customHeight="true" outlineLevel="0" collapsed="false">
      <c r="A10" s="36" t="s">
        <v>164</v>
      </c>
      <c r="B10" s="37" t="n">
        <v>87402</v>
      </c>
      <c r="C10" s="38" t="n">
        <v>88451</v>
      </c>
      <c r="D10" s="38" t="n">
        <v>89512</v>
      </c>
      <c r="E10" s="38" t="n">
        <v>90586</v>
      </c>
      <c r="F10" s="39" t="n">
        <f aca="false">SUM(C10:E10)</f>
        <v>268549</v>
      </c>
      <c r="G10" s="17" t="s">
        <v>165</v>
      </c>
    </row>
    <row r="11" customFormat="false" ht="16.5" hidden="false" customHeight="true" outlineLevel="0" collapsed="false">
      <c r="A11" s="40" t="s">
        <v>166</v>
      </c>
      <c r="B11" s="41" t="n">
        <f aca="false">SUM(B6:B10)</f>
        <v>1048259</v>
      </c>
      <c r="C11" s="41" t="n">
        <f aca="false">SUM(C6:C10)</f>
        <v>1116779</v>
      </c>
      <c r="D11" s="41" t="n">
        <f aca="false">SUM(D6:D10)</f>
        <v>1130179</v>
      </c>
      <c r="E11" s="41" t="n">
        <f aca="false">SUM(E6:E10)</f>
        <v>1143741</v>
      </c>
      <c r="F11" s="41" t="n">
        <f aca="false">SUM(F6:F10)</f>
        <v>3390699</v>
      </c>
      <c r="G11" s="1" t="s">
        <v>167</v>
      </c>
    </row>
    <row r="12" customFormat="false" ht="21.75" hidden="false" customHeight="true" outlineLevel="0" collapsed="false">
      <c r="A12" s="20" t="s">
        <v>168</v>
      </c>
      <c r="B12" s="20"/>
      <c r="C12" s="20"/>
      <c r="D12" s="20"/>
      <c r="E12" s="20"/>
      <c r="F12" s="20"/>
      <c r="G12" s="20"/>
    </row>
    <row r="13" customFormat="false" ht="21.75" hidden="false" customHeight="true" outlineLevel="0" collapsed="false">
      <c r="A13" s="19" t="s">
        <v>169</v>
      </c>
      <c r="B13" s="19"/>
      <c r="C13" s="19"/>
      <c r="D13" s="19"/>
      <c r="E13" s="19"/>
      <c r="F13" s="19"/>
      <c r="G13" s="19"/>
    </row>
    <row r="14" customFormat="false" ht="21.75" hidden="false" customHeight="true" outlineLevel="0" collapsed="false">
      <c r="A14" s="19" t="s">
        <v>170</v>
      </c>
      <c r="B14" s="19"/>
      <c r="C14" s="19"/>
      <c r="D14" s="19"/>
      <c r="E14" s="19"/>
      <c r="F14" s="19"/>
      <c r="G14" s="19"/>
    </row>
  </sheetData>
  <mergeCells count="6">
    <mergeCell ref="A1:G1"/>
    <mergeCell ref="A2:G2"/>
    <mergeCell ref="A4:G4"/>
    <mergeCell ref="A12:G12"/>
    <mergeCell ref="A13:G13"/>
    <mergeCell ref="A14:G1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6" min="4" style="1" width="14"/>
  </cols>
  <sheetData>
    <row r="1" customFormat="false" ht="25.5" hidden="false" customHeight="true" outlineLevel="0" collapsed="false">
      <c r="A1" s="21" t="s">
        <v>171</v>
      </c>
      <c r="B1" s="21"/>
      <c r="C1" s="21"/>
      <c r="D1" s="21"/>
      <c r="E1" s="21"/>
      <c r="F1" s="21"/>
    </row>
    <row r="2" customFormat="false" ht="19.5" hidden="false" customHeight="true" outlineLevel="0" collapsed="false">
      <c r="A2" s="30" t="s">
        <v>172</v>
      </c>
      <c r="B2" s="30"/>
      <c r="C2" s="30"/>
      <c r="D2" s="30"/>
      <c r="E2" s="30"/>
      <c r="F2" s="30"/>
    </row>
    <row r="4" customFormat="false" ht="21.75" hidden="false" customHeight="true" outlineLevel="0" collapsed="false">
      <c r="A4" s="4" t="s">
        <v>173</v>
      </c>
      <c r="B4" s="4"/>
      <c r="C4" s="4"/>
      <c r="D4" s="4"/>
      <c r="E4" s="4"/>
      <c r="F4" s="4"/>
    </row>
    <row r="5" customFormat="false" ht="24" hidden="false" customHeight="true" outlineLevel="0" collapsed="false">
      <c r="A5" s="6" t="s">
        <v>174</v>
      </c>
      <c r="B5" s="31" t="s">
        <v>175</v>
      </c>
      <c r="C5" s="15" t="s">
        <v>152</v>
      </c>
      <c r="D5" s="15" t="s">
        <v>153</v>
      </c>
      <c r="E5" s="15" t="s">
        <v>154</v>
      </c>
      <c r="F5" s="32" t="s">
        <v>155</v>
      </c>
    </row>
    <row r="6" customFormat="false" ht="24" hidden="false" customHeight="true" outlineLevel="0" collapsed="false">
      <c r="A6" s="27" t="s">
        <v>176</v>
      </c>
      <c r="B6" s="33" t="n">
        <v>5650</v>
      </c>
      <c r="C6" s="34" t="n">
        <v>5377</v>
      </c>
      <c r="D6" s="34" t="n">
        <v>5377</v>
      </c>
      <c r="E6" s="34" t="n">
        <v>5377</v>
      </c>
      <c r="F6" s="35" t="n">
        <f aca="false">SUM(C6:E6)</f>
        <v>16131</v>
      </c>
    </row>
    <row r="7" customFormat="false" ht="24" hidden="false" customHeight="true" outlineLevel="0" collapsed="false">
      <c r="A7" s="27" t="s">
        <v>177</v>
      </c>
      <c r="B7" s="33" t="n">
        <v>1950</v>
      </c>
      <c r="C7" s="34" t="n">
        <v>1856</v>
      </c>
      <c r="D7" s="34" t="n">
        <v>1856</v>
      </c>
      <c r="E7" s="34" t="n">
        <v>1856</v>
      </c>
      <c r="F7" s="35" t="n">
        <f aca="false">SUM(C7:E7)</f>
        <v>5568</v>
      </c>
    </row>
    <row r="8" customFormat="false" ht="24" hidden="false" customHeight="true" outlineLevel="0" collapsed="false">
      <c r="A8" s="27" t="s">
        <v>178</v>
      </c>
      <c r="B8" s="33" t="n">
        <v>24471</v>
      </c>
      <c r="C8" s="34" t="n">
        <v>23288</v>
      </c>
      <c r="D8" s="34" t="n">
        <v>23288</v>
      </c>
      <c r="E8" s="34" t="n">
        <v>23288</v>
      </c>
      <c r="F8" s="35" t="n">
        <f aca="false">SUM(C8:E8)</f>
        <v>69864</v>
      </c>
    </row>
    <row r="9" customFormat="false" ht="27.75" hidden="false" customHeight="true" outlineLevel="0" collapsed="false">
      <c r="A9" s="42" t="s">
        <v>179</v>
      </c>
      <c r="B9" s="33" t="n">
        <f aca="false">SUM(B6:B8)</f>
        <v>32071</v>
      </c>
      <c r="C9" s="35" t="n">
        <f aca="false">SUM(C6:C8)</f>
        <v>30521</v>
      </c>
      <c r="D9" s="35" t="n">
        <f aca="false">SUM(D6:D8)</f>
        <v>30521</v>
      </c>
      <c r="E9" s="35" t="n">
        <f aca="false">SUM(E6:E8)</f>
        <v>30521</v>
      </c>
      <c r="F9" s="39" t="n">
        <f aca="false">SUM(F6:F8)</f>
        <v>91563</v>
      </c>
    </row>
    <row r="10" customFormat="false" ht="16.5" hidden="false" customHeight="true" outlineLevel="0" collapsed="false">
      <c r="A10" s="43" t="s">
        <v>180</v>
      </c>
    </row>
    <row r="11" customFormat="false" ht="21.75" hidden="false" customHeight="true" outlineLevel="0" collapsed="false">
      <c r="A11" s="4" t="s">
        <v>181</v>
      </c>
      <c r="B11" s="4"/>
      <c r="C11" s="4"/>
      <c r="D11" s="4"/>
      <c r="E11" s="4"/>
      <c r="F11" s="4"/>
    </row>
    <row r="12" customFormat="false" ht="21.75" hidden="false" customHeight="true" outlineLevel="0" collapsed="false">
      <c r="A12" s="44" t="s">
        <v>182</v>
      </c>
      <c r="B12" s="44"/>
      <c r="C12" s="44"/>
      <c r="D12" s="44"/>
      <c r="E12" s="44"/>
      <c r="F12" s="44"/>
    </row>
    <row r="13" customFormat="false" ht="21.75" hidden="false" customHeight="true" outlineLevel="0" collapsed="false">
      <c r="A13" s="6" t="s">
        <v>103</v>
      </c>
      <c r="B13" s="45" t="s">
        <v>183</v>
      </c>
      <c r="C13" s="45"/>
      <c r="D13" s="6" t="s">
        <v>84</v>
      </c>
      <c r="E13" s="6"/>
      <c r="F13" s="6"/>
    </row>
    <row r="14" customFormat="false" ht="24" hidden="false" customHeight="true" outlineLevel="0" collapsed="false">
      <c r="A14" s="7" t="s">
        <v>184</v>
      </c>
      <c r="B14" s="46" t="n">
        <f aca="false">'02_Step1-2_標準給付費'!F11</f>
        <v>3390699</v>
      </c>
      <c r="C14" s="46"/>
      <c r="D14" s="17" t="s">
        <v>185</v>
      </c>
      <c r="E14" s="17"/>
      <c r="F14" s="17"/>
    </row>
    <row r="15" customFormat="false" ht="24" hidden="false" customHeight="true" outlineLevel="0" collapsed="false">
      <c r="A15" s="7" t="s">
        <v>186</v>
      </c>
      <c r="B15" s="47" t="n">
        <f aca="false">F9</f>
        <v>91563</v>
      </c>
      <c r="C15" s="47"/>
      <c r="D15" s="17" t="s">
        <v>187</v>
      </c>
      <c r="E15" s="17"/>
      <c r="F15" s="17"/>
    </row>
    <row r="16" customFormat="false" ht="24" hidden="false" customHeight="true" outlineLevel="0" collapsed="false">
      <c r="A16" s="27" t="s">
        <v>188</v>
      </c>
      <c r="B16" s="47" t="n">
        <f aca="false">B14+B15</f>
        <v>3482262</v>
      </c>
      <c r="C16" s="47"/>
      <c r="D16" s="18" t="s">
        <v>189</v>
      </c>
      <c r="E16" s="18"/>
      <c r="F16" s="18"/>
    </row>
    <row r="17" customFormat="false" ht="31.5" hidden="false" customHeight="true" outlineLevel="0" collapsed="false">
      <c r="A17" s="42" t="s">
        <v>190</v>
      </c>
      <c r="B17" s="48" t="n">
        <f aca="false">B16*0.23</f>
        <v>800920.26</v>
      </c>
      <c r="C17" s="48"/>
      <c r="D17" s="18" t="s">
        <v>191</v>
      </c>
      <c r="E17" s="18"/>
      <c r="F17" s="18"/>
    </row>
  </sheetData>
  <mergeCells count="15">
    <mergeCell ref="A1:F1"/>
    <mergeCell ref="A2:F2"/>
    <mergeCell ref="A4:F4"/>
    <mergeCell ref="A11:F11"/>
    <mergeCell ref="A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6" min="4" style="1" width="14"/>
  </cols>
  <sheetData>
    <row r="1" customFormat="false" ht="25.5" hidden="false" customHeight="true" outlineLevel="0" collapsed="false">
      <c r="A1" s="21" t="s">
        <v>192</v>
      </c>
      <c r="B1" s="21"/>
      <c r="C1" s="21"/>
      <c r="D1" s="21"/>
      <c r="E1" s="21"/>
      <c r="F1" s="21"/>
    </row>
    <row r="2" customFormat="false" ht="19.5" hidden="false" customHeight="true" outlineLevel="0" collapsed="false">
      <c r="A2" s="30" t="s">
        <v>193</v>
      </c>
      <c r="B2" s="30"/>
      <c r="C2" s="30"/>
      <c r="D2" s="30"/>
      <c r="E2" s="30"/>
      <c r="F2" s="30"/>
    </row>
    <row r="4" customFormat="false" ht="21.75" hidden="false" customHeight="true" outlineLevel="0" collapsed="false">
      <c r="A4" s="4" t="s">
        <v>194</v>
      </c>
      <c r="B4" s="4"/>
      <c r="C4" s="4"/>
      <c r="D4" s="4"/>
      <c r="E4" s="4"/>
      <c r="F4" s="4"/>
    </row>
    <row r="5" customFormat="false" ht="49.5" hidden="false" customHeight="true" outlineLevel="0" collapsed="false">
      <c r="A5" s="44" t="s">
        <v>195</v>
      </c>
      <c r="B5" s="44"/>
      <c r="C5" s="44"/>
      <c r="D5" s="44"/>
      <c r="E5" s="44"/>
      <c r="F5" s="44"/>
    </row>
    <row r="6" customFormat="false" ht="21.75" hidden="false" customHeight="true" outlineLevel="0" collapsed="false">
      <c r="A6" s="6" t="s">
        <v>103</v>
      </c>
      <c r="B6" s="45" t="s">
        <v>127</v>
      </c>
      <c r="C6" s="45"/>
      <c r="D6" s="6" t="s">
        <v>84</v>
      </c>
      <c r="E6" s="6"/>
      <c r="F6" s="6"/>
    </row>
    <row r="7" customFormat="false" ht="24" hidden="false" customHeight="true" outlineLevel="0" collapsed="false">
      <c r="A7" s="27" t="s">
        <v>141</v>
      </c>
      <c r="B7" s="24" t="s">
        <v>196</v>
      </c>
      <c r="C7" s="24"/>
      <c r="D7" s="17" t="s">
        <v>197</v>
      </c>
      <c r="E7" s="17"/>
      <c r="F7" s="17"/>
    </row>
    <row r="8" customFormat="false" ht="24" hidden="false" customHeight="true" outlineLevel="0" collapsed="false">
      <c r="A8" s="27" t="s">
        <v>198</v>
      </c>
      <c r="B8" s="49" t="n">
        <v>0.039</v>
      </c>
      <c r="C8" s="49"/>
      <c r="D8" s="17" t="s">
        <v>199</v>
      </c>
      <c r="E8" s="17"/>
      <c r="F8" s="17"/>
    </row>
    <row r="9" customFormat="false" ht="24" hidden="false" customHeight="true" outlineLevel="0" collapsed="false">
      <c r="A9" s="27" t="s">
        <v>200</v>
      </c>
      <c r="B9" s="46" t="n">
        <f aca="false">'02_Step1-2_標準給付費'!F11</f>
        <v>3390699</v>
      </c>
      <c r="C9" s="46"/>
      <c r="D9" s="17" t="s">
        <v>201</v>
      </c>
      <c r="E9" s="17"/>
      <c r="F9" s="17"/>
    </row>
    <row r="10" customFormat="false" ht="31.5" hidden="false" customHeight="true" outlineLevel="0" collapsed="false">
      <c r="A10" s="36" t="s">
        <v>202</v>
      </c>
      <c r="B10" s="48" t="n">
        <f aca="false">B9*0.05</f>
        <v>169534.95</v>
      </c>
      <c r="C10" s="48"/>
      <c r="D10" s="17" t="s">
        <v>203</v>
      </c>
      <c r="E10" s="17"/>
      <c r="F10" s="17"/>
    </row>
    <row r="11" customFormat="false" ht="16.5" hidden="false" customHeight="true" outlineLevel="0" collapsed="false">
      <c r="A11" s="43" t="s">
        <v>204</v>
      </c>
      <c r="B11" s="50" t="n">
        <f aca="false">B9*B8</f>
        <v>132237.261</v>
      </c>
      <c r="D11" s="43" t="s">
        <v>205</v>
      </c>
    </row>
    <row r="12" customFormat="false" ht="21.75" hidden="false" customHeight="true" outlineLevel="0" collapsed="false">
      <c r="A12" s="51" t="s">
        <v>206</v>
      </c>
      <c r="B12" s="51"/>
      <c r="C12" s="51"/>
      <c r="D12" s="51"/>
      <c r="E12" s="51"/>
      <c r="F12" s="51"/>
    </row>
    <row r="13" customFormat="false" ht="24" hidden="false" customHeight="true" outlineLevel="0" collapsed="false">
      <c r="A13" s="27" t="s">
        <v>207</v>
      </c>
      <c r="B13" s="47" t="n">
        <f aca="false">B10-B11</f>
        <v>37297.689</v>
      </c>
      <c r="C13" s="47"/>
      <c r="D13" s="17" t="s">
        <v>208</v>
      </c>
      <c r="E13" s="17"/>
      <c r="F13" s="17"/>
    </row>
    <row r="14" customFormat="false" ht="24" hidden="false" customHeight="true" outlineLevel="0" collapsed="false">
      <c r="A14" s="52" t="s">
        <v>209</v>
      </c>
      <c r="B14" s="47" t="n">
        <f aca="false">B9-B13</f>
        <v>3353401.311</v>
      </c>
      <c r="C14" s="47"/>
      <c r="D14" s="17" t="s">
        <v>210</v>
      </c>
      <c r="E14" s="17"/>
      <c r="F14" s="17"/>
    </row>
  </sheetData>
  <mergeCells count="19">
    <mergeCell ref="A1:F1"/>
    <mergeCell ref="A2:F2"/>
    <mergeCell ref="A4:F4"/>
    <mergeCell ref="A5:F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A12:F12"/>
    <mergeCell ref="B13:C13"/>
    <mergeCell ref="D13:F13"/>
    <mergeCell ref="B14:C14"/>
    <mergeCell ref="D14:F1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18"/>
    <col collapsed="false" customWidth="true" hidden="false" outlineLevel="0" max="6" min="6" style="1" width="22"/>
  </cols>
  <sheetData>
    <row r="1" customFormat="false" ht="25.5" hidden="false" customHeight="true" outlineLevel="0" collapsed="false">
      <c r="A1" s="21" t="s">
        <v>211</v>
      </c>
      <c r="B1" s="21"/>
      <c r="C1" s="21"/>
      <c r="D1" s="21"/>
      <c r="E1" s="21"/>
      <c r="F1" s="21"/>
    </row>
    <row r="2" customFormat="false" ht="19.5" hidden="false" customHeight="true" outlineLevel="0" collapsed="false">
      <c r="A2" s="22" t="s">
        <v>212</v>
      </c>
      <c r="B2" s="22"/>
      <c r="C2" s="22"/>
      <c r="D2" s="22"/>
      <c r="E2" s="22"/>
      <c r="F2" s="22"/>
    </row>
    <row r="4" customFormat="false" ht="21.75" hidden="false" customHeight="true" outlineLevel="0" collapsed="false">
      <c r="A4" s="51" t="s">
        <v>213</v>
      </c>
      <c r="B4" s="51"/>
      <c r="C4" s="51"/>
      <c r="D4" s="51"/>
      <c r="E4" s="51"/>
      <c r="F4" s="51"/>
    </row>
    <row r="5" customFormat="false" ht="24" hidden="false" customHeight="true" outlineLevel="0" collapsed="false">
      <c r="A5" s="27" t="s">
        <v>214</v>
      </c>
      <c r="B5" s="47" t="n">
        <f aca="false">01_入力_基礎データ!B15</f>
        <v>53700</v>
      </c>
      <c r="C5" s="47"/>
      <c r="D5" s="17" t="s">
        <v>215</v>
      </c>
      <c r="E5" s="17"/>
      <c r="F5" s="17"/>
    </row>
    <row r="7" customFormat="false" ht="21.75" hidden="false" customHeight="true" outlineLevel="0" collapsed="false">
      <c r="A7" s="4" t="s">
        <v>216</v>
      </c>
      <c r="B7" s="4"/>
      <c r="C7" s="4"/>
      <c r="D7" s="4"/>
      <c r="E7" s="4"/>
      <c r="F7" s="4"/>
    </row>
    <row r="8" customFormat="false" ht="24" hidden="false" customHeight="true" outlineLevel="0" collapsed="false">
      <c r="A8" s="6" t="s">
        <v>217</v>
      </c>
      <c r="B8" s="6" t="s">
        <v>218</v>
      </c>
      <c r="C8" s="45" t="s">
        <v>219</v>
      </c>
      <c r="D8" s="6" t="s">
        <v>220</v>
      </c>
      <c r="E8" s="6" t="s">
        <v>221</v>
      </c>
      <c r="F8" s="6"/>
    </row>
    <row r="9" customFormat="false" ht="27.75" hidden="false" customHeight="true" outlineLevel="0" collapsed="false">
      <c r="A9" s="53" t="s">
        <v>222</v>
      </c>
      <c r="B9" s="54" t="n">
        <v>0</v>
      </c>
      <c r="C9" s="39" t="n">
        <f aca="false">$B$5*B9</f>
        <v>0</v>
      </c>
      <c r="D9" s="35" t="n">
        <f aca="false">$B$5-C9</f>
        <v>53700</v>
      </c>
      <c r="E9" s="5" t="s">
        <v>223</v>
      </c>
      <c r="F9" s="5"/>
    </row>
    <row r="10" customFormat="false" ht="27.75" hidden="false" customHeight="true" outlineLevel="0" collapsed="false">
      <c r="A10" s="55" t="s">
        <v>224</v>
      </c>
      <c r="B10" s="56" t="n">
        <v>0.5</v>
      </c>
      <c r="C10" s="39" t="n">
        <f aca="false">$B$5*B10</f>
        <v>26850</v>
      </c>
      <c r="D10" s="35" t="n">
        <f aca="false">$B$5-C10</f>
        <v>26850</v>
      </c>
      <c r="E10" s="5" t="s">
        <v>225</v>
      </c>
      <c r="F10" s="5"/>
    </row>
    <row r="11" customFormat="false" ht="27.75" hidden="false" customHeight="true" outlineLevel="0" collapsed="false">
      <c r="A11" s="57" t="s">
        <v>226</v>
      </c>
      <c r="B11" s="58" t="n">
        <v>1</v>
      </c>
      <c r="C11" s="39" t="n">
        <f aca="false">$B$5*B11</f>
        <v>53700</v>
      </c>
      <c r="D11" s="35" t="n">
        <f aca="false">$B$5-C11</f>
        <v>0</v>
      </c>
      <c r="E11" s="5" t="s">
        <v>227</v>
      </c>
      <c r="F11" s="5"/>
    </row>
    <row r="13" customFormat="false" ht="25.5" hidden="false" customHeight="true" outlineLevel="0" collapsed="false">
      <c r="A13" s="19" t="s">
        <v>228</v>
      </c>
      <c r="B13" s="19"/>
      <c r="C13" s="19"/>
      <c r="D13" s="19"/>
      <c r="E13" s="19"/>
      <c r="F13" s="19"/>
    </row>
    <row r="14" customFormat="false" ht="25.5" hidden="false" customHeight="true" outlineLevel="0" collapsed="false">
      <c r="A14" s="19" t="s">
        <v>229</v>
      </c>
      <c r="B14" s="19"/>
      <c r="C14" s="19"/>
      <c r="D14" s="19"/>
      <c r="E14" s="19"/>
      <c r="F14" s="19"/>
    </row>
    <row r="15" customFormat="false" ht="25.5" hidden="false" customHeight="true" outlineLevel="0" collapsed="false">
      <c r="A15" s="19" t="s">
        <v>230</v>
      </c>
      <c r="B15" s="19"/>
      <c r="C15" s="19"/>
      <c r="D15" s="19"/>
      <c r="E15" s="19"/>
      <c r="F15" s="19"/>
    </row>
    <row r="16" customFormat="false" ht="25.5" hidden="false" customHeight="true" outlineLevel="0" collapsed="false">
      <c r="A16" s="19" t="s">
        <v>231</v>
      </c>
      <c r="B16" s="19"/>
      <c r="C16" s="19"/>
      <c r="D16" s="19"/>
      <c r="E16" s="19"/>
      <c r="F16" s="19"/>
    </row>
  </sheetData>
  <mergeCells count="14">
    <mergeCell ref="A1:F1"/>
    <mergeCell ref="A2:F2"/>
    <mergeCell ref="A4:F4"/>
    <mergeCell ref="B5:C5"/>
    <mergeCell ref="D5:F5"/>
    <mergeCell ref="A7:F7"/>
    <mergeCell ref="E8:F8"/>
    <mergeCell ref="E9:F9"/>
    <mergeCell ref="E10:F10"/>
    <mergeCell ref="E11:F11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4"/>
    <col collapsed="false" customWidth="true" hidden="false" outlineLevel="0" max="6" min="6" style="1" width="22"/>
  </cols>
  <sheetData>
    <row r="1" customFormat="false" ht="25.5" hidden="false" customHeight="true" outlineLevel="0" collapsed="false">
      <c r="A1" s="21" t="s">
        <v>232</v>
      </c>
      <c r="B1" s="21"/>
      <c r="C1" s="21"/>
      <c r="D1" s="21"/>
      <c r="E1" s="21"/>
      <c r="F1" s="21"/>
    </row>
    <row r="2" customFormat="false" ht="19.5" hidden="false" customHeight="true" outlineLevel="0" collapsed="false">
      <c r="A2" s="22" t="s">
        <v>233</v>
      </c>
      <c r="B2" s="22"/>
      <c r="C2" s="22"/>
      <c r="D2" s="22"/>
      <c r="E2" s="22"/>
      <c r="F2" s="22"/>
    </row>
    <row r="4" customFormat="false" ht="21.75" hidden="false" customHeight="true" outlineLevel="0" collapsed="false">
      <c r="A4" s="4" t="s">
        <v>234</v>
      </c>
      <c r="B4" s="4"/>
      <c r="C4" s="4"/>
      <c r="D4" s="4"/>
      <c r="E4" s="4"/>
      <c r="F4" s="4"/>
    </row>
    <row r="5" customFormat="false" ht="21.75" hidden="false" customHeight="true" outlineLevel="0" collapsed="false">
      <c r="A5" s="44" t="s">
        <v>235</v>
      </c>
      <c r="B5" s="44"/>
      <c r="C5" s="44"/>
      <c r="D5" s="44"/>
      <c r="E5" s="44"/>
      <c r="F5" s="44"/>
    </row>
    <row r="6" customFormat="false" ht="24" hidden="false" customHeight="true" outlineLevel="0" collapsed="false">
      <c r="A6" s="59" t="s">
        <v>103</v>
      </c>
      <c r="B6" s="59" t="s">
        <v>236</v>
      </c>
      <c r="C6" s="59" t="s">
        <v>237</v>
      </c>
      <c r="D6" s="59" t="s">
        <v>238</v>
      </c>
      <c r="E6" s="59" t="s">
        <v>239</v>
      </c>
      <c r="F6" s="59" t="s">
        <v>84</v>
      </c>
    </row>
    <row r="7" customFormat="false" ht="24" hidden="false" customHeight="true" outlineLevel="0" collapsed="false">
      <c r="A7" s="7" t="s">
        <v>240</v>
      </c>
      <c r="B7" s="60" t="n">
        <f aca="false">'03_Step3-4_地域支援等'!B17</f>
        <v>800920.26</v>
      </c>
      <c r="C7" s="35" t="n">
        <f aca="false">$B$7</f>
        <v>800920.26</v>
      </c>
      <c r="D7" s="35" t="n">
        <f aca="false">$B$7</f>
        <v>800920.26</v>
      </c>
      <c r="E7" s="35" t="n">
        <f aca="false">$B$7</f>
        <v>800920.26</v>
      </c>
      <c r="F7" s="18" t="s">
        <v>241</v>
      </c>
    </row>
    <row r="8" customFormat="false" ht="24" hidden="false" customHeight="true" outlineLevel="0" collapsed="false">
      <c r="A8" s="27" t="s">
        <v>242</v>
      </c>
      <c r="B8" s="60" t="n">
        <f aca="false">04_Step5_調整交付金!B10</f>
        <v>169534.95</v>
      </c>
      <c r="C8" s="35" t="n">
        <f aca="false">$B$8</f>
        <v>169534.95</v>
      </c>
      <c r="D8" s="35" t="n">
        <f aca="false">$B$8</f>
        <v>169534.95</v>
      </c>
      <c r="E8" s="35" t="n">
        <f aca="false">$B$8</f>
        <v>169534.95</v>
      </c>
      <c r="F8" s="18" t="s">
        <v>243</v>
      </c>
    </row>
    <row r="9" customFormat="false" ht="24" hidden="false" customHeight="true" outlineLevel="0" collapsed="false">
      <c r="A9" s="27" t="s">
        <v>244</v>
      </c>
      <c r="B9" s="61" t="n">
        <f aca="false">04_Step5_調整交付金!B11</f>
        <v>132237.261</v>
      </c>
      <c r="C9" s="35" t="n">
        <f aca="false">$B$9</f>
        <v>132237.261</v>
      </c>
      <c r="D9" s="62" t="n">
        <f aca="false">$B$9</f>
        <v>132237.261</v>
      </c>
      <c r="E9" s="63" t="n">
        <f aca="false">$B$9</f>
        <v>132237.261</v>
      </c>
      <c r="F9" s="17" t="s">
        <v>245</v>
      </c>
    </row>
    <row r="10" customFormat="false" ht="31.5" hidden="false" customHeight="true" outlineLevel="0" collapsed="false">
      <c r="A10" s="36" t="s">
        <v>246</v>
      </c>
      <c r="B10" s="28" t="n">
        <v>10800</v>
      </c>
      <c r="C10" s="39" t="n">
        <f aca="false">$B$10</f>
        <v>10800</v>
      </c>
      <c r="D10" s="39" t="n">
        <f aca="false">$B$10</f>
        <v>10800</v>
      </c>
      <c r="E10" s="39" t="n">
        <f aca="false">$B$10</f>
        <v>10800</v>
      </c>
      <c r="F10" s="18" t="s">
        <v>247</v>
      </c>
    </row>
    <row r="11" customFormat="false" ht="16.5" hidden="false" customHeight="true" outlineLevel="0" collapsed="false">
      <c r="A11" s="43" t="s">
        <v>248</v>
      </c>
      <c r="B11" s="1" t="s">
        <v>249</v>
      </c>
      <c r="C11" s="64" t="n">
        <f aca="false">05_Step6_基金3パターン!C9</f>
        <v>0</v>
      </c>
      <c r="D11" s="64" t="n">
        <f aca="false">05_Step6_基金3パターン!C10</f>
        <v>26850</v>
      </c>
      <c r="E11" s="64" t="n">
        <f aca="false">05_Step6_基金3パターン!C11</f>
        <v>53700</v>
      </c>
      <c r="F11" s="43" t="s">
        <v>250</v>
      </c>
    </row>
    <row r="12" customFormat="false" ht="21.75" hidden="false" customHeight="true" outlineLevel="0" collapsed="false">
      <c r="A12" s="65" t="s">
        <v>251</v>
      </c>
      <c r="C12" s="41" t="n">
        <f aca="false">$B$7+$B$8-$B$9-$B$10-C11</f>
        <v>827417.949</v>
      </c>
      <c r="D12" s="41" t="n">
        <f aca="false">$B$7+$B$8-$B$9-$B$10-D11</f>
        <v>800567.949</v>
      </c>
      <c r="E12" s="41" t="n">
        <f aca="false">$B$7+$B$8-$B$9-$B$10-E11</f>
        <v>773717.949</v>
      </c>
      <c r="F12" s="43" t="s">
        <v>252</v>
      </c>
    </row>
    <row r="13" customFormat="false" ht="36" hidden="false" customHeight="true" outlineLevel="0" collapsed="false">
      <c r="A13" s="44"/>
    </row>
    <row r="14" customFormat="false" ht="24" hidden="false" customHeight="true" outlineLevel="0" collapsed="false">
      <c r="A14" s="66" t="s">
        <v>253</v>
      </c>
      <c r="B14" s="47"/>
      <c r="D14" s="17"/>
    </row>
    <row r="15" customFormat="false" ht="24" hidden="false" customHeight="true" outlineLevel="0" collapsed="false">
      <c r="A15" s="27" t="s">
        <v>254</v>
      </c>
      <c r="B15" s="46" t="n">
        <f aca="false">01_入力_基礎データ!B11</f>
        <v>9702</v>
      </c>
      <c r="D15" s="17" t="s">
        <v>255</v>
      </c>
    </row>
    <row r="16" customFormat="false" ht="24" hidden="false" customHeight="true" outlineLevel="0" collapsed="false">
      <c r="A16" s="27" t="s">
        <v>256</v>
      </c>
      <c r="B16" s="49" t="n">
        <v>0.96</v>
      </c>
      <c r="D16" s="17" t="s">
        <v>257</v>
      </c>
    </row>
    <row r="17" customFormat="false" ht="16.5" hidden="false" customHeight="true" outlineLevel="0" collapsed="false">
      <c r="A17" s="43" t="s">
        <v>258</v>
      </c>
      <c r="B17" s="67" t="n">
        <v>0.97</v>
      </c>
      <c r="D17" s="43" t="s">
        <v>259</v>
      </c>
    </row>
    <row r="18" customFormat="false" ht="39.75" hidden="false" customHeight="true" outlineLevel="0" collapsed="false">
      <c r="A18" s="68" t="s">
        <v>260</v>
      </c>
      <c r="B18" s="69"/>
      <c r="C18" s="70" t="n">
        <f aca="false">IFERROR(C12*1000/($B$15*12*$B$16*$B$17),"町データ入力後算定")</f>
        <v>7632.01919676285</v>
      </c>
      <c r="D18" s="70" t="n">
        <f aca="false">IFERROR(D12*1000/($B$15*12*$B$16*$B$17),"町データ入力後算定")</f>
        <v>7384.35752145021</v>
      </c>
      <c r="E18" s="70" t="n">
        <f aca="false">IFERROR(E12*1000/($B$15*12*$B$16*$B$17),"町データ入力後算定")</f>
        <v>7136.69584613758</v>
      </c>
      <c r="F18" s="71" t="s">
        <v>261</v>
      </c>
    </row>
    <row r="19" customFormat="false" ht="14.15" hidden="false" customHeight="false" outlineLevel="0" collapsed="false">
      <c r="A19" s="72" t="s">
        <v>262</v>
      </c>
      <c r="B19" s="72"/>
      <c r="C19" s="72"/>
      <c r="D19" s="72"/>
      <c r="E19" s="72"/>
      <c r="F19" s="72"/>
    </row>
    <row r="20" customFormat="false" ht="21.75" hidden="false" customHeight="true" outlineLevel="0" collapsed="false">
      <c r="A20" s="73" t="s">
        <v>263</v>
      </c>
      <c r="B20" s="73"/>
      <c r="C20" s="73"/>
      <c r="D20" s="73"/>
      <c r="E20" s="73"/>
      <c r="F20" s="73"/>
    </row>
    <row r="21" customFormat="false" ht="21.75" hidden="false" customHeight="true" outlineLevel="0" collapsed="false">
      <c r="A21" s="74" t="s">
        <v>264</v>
      </c>
      <c r="B21" s="75" t="s">
        <v>265</v>
      </c>
      <c r="C21" s="75" t="s">
        <v>266</v>
      </c>
      <c r="D21" s="74" t="s">
        <v>267</v>
      </c>
      <c r="E21" s="76" t="s">
        <v>268</v>
      </c>
      <c r="F21" s="75" t="s">
        <v>269</v>
      </c>
    </row>
    <row r="22" customFormat="false" ht="24" hidden="false" customHeight="true" outlineLevel="0" collapsed="false">
      <c r="A22" s="27" t="s">
        <v>270</v>
      </c>
      <c r="B22" s="77" t="n">
        <v>6380</v>
      </c>
      <c r="C22" s="77" t="n">
        <v>6500</v>
      </c>
      <c r="D22" s="78" t="n">
        <f aca="false">IFERROR(C18,"未算定")</f>
        <v>7632.01919676285</v>
      </c>
      <c r="E22" s="78" t="n">
        <f aca="false">IFERROR(D18,"未算定")</f>
        <v>7384.35752145021</v>
      </c>
      <c r="F22" s="78" t="n">
        <f aca="false">IFERROR(E18,"未算定")</f>
        <v>7136.69584613758</v>
      </c>
    </row>
    <row r="23" customFormat="false" ht="24" hidden="false" customHeight="true" outlineLevel="0" collapsed="false">
      <c r="A23" s="27" t="s">
        <v>271</v>
      </c>
      <c r="B23" s="79"/>
      <c r="C23" s="79"/>
      <c r="D23" s="80" t="n">
        <f aca="false">IFERROR((D18/$C$22-1)*100,"未算定")</f>
        <v>13.6055003300033</v>
      </c>
      <c r="E23" s="80" t="n">
        <f aca="false">IFERROR((E18/$C$22-1)*100,"未算定")</f>
        <v>9.79532070980895</v>
      </c>
      <c r="F23" s="80" t="str">
        <f aca="false">IFERROR((F18/$C$22-1)*100,"未算定")</f>
        <v>未算定</v>
      </c>
    </row>
  </sheetData>
  <mergeCells count="6">
    <mergeCell ref="A1:F1"/>
    <mergeCell ref="A2:F2"/>
    <mergeCell ref="A4:F4"/>
    <mergeCell ref="A5:F5"/>
    <mergeCell ref="A19:F19"/>
    <mergeCell ref="A20:F2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6"/>
    <col collapsed="false" customWidth="true" hidden="false" outlineLevel="0" max="3" min="3" style="1" width="10"/>
    <col collapsed="false" customWidth="true" hidden="false" outlineLevel="0" max="6" min="4" style="1" width="14"/>
    <col collapsed="false" customWidth="true" hidden="false" outlineLevel="0" max="7" min="7" style="1" width="12"/>
  </cols>
  <sheetData>
    <row r="1" customFormat="false" ht="25.5" hidden="false" customHeight="true" outlineLevel="0" collapsed="false">
      <c r="A1" s="21" t="s">
        <v>272</v>
      </c>
      <c r="B1" s="21"/>
      <c r="C1" s="21"/>
      <c r="D1" s="21"/>
      <c r="E1" s="21"/>
      <c r="F1" s="21"/>
      <c r="G1" s="21"/>
    </row>
    <row r="2" customFormat="false" ht="19.5" hidden="false" customHeight="true" outlineLevel="0" collapsed="false">
      <c r="A2" s="30" t="s">
        <v>273</v>
      </c>
      <c r="B2" s="30"/>
      <c r="C2" s="30"/>
      <c r="D2" s="30"/>
      <c r="E2" s="30"/>
      <c r="F2" s="30"/>
      <c r="G2" s="30"/>
    </row>
    <row r="4" customFormat="false" ht="25.5" hidden="false" customHeight="true" outlineLevel="0" collapsed="false">
      <c r="A4" s="6" t="s">
        <v>274</v>
      </c>
      <c r="B4" s="6" t="s">
        <v>275</v>
      </c>
      <c r="C4" s="6" t="s">
        <v>276</v>
      </c>
      <c r="D4" s="6" t="s">
        <v>277</v>
      </c>
      <c r="E4" s="81" t="s">
        <v>278</v>
      </c>
      <c r="F4" s="82" t="s">
        <v>279</v>
      </c>
      <c r="G4" s="6" t="s">
        <v>280</v>
      </c>
    </row>
    <row r="5" customFormat="false" ht="36" hidden="false" customHeight="true" outlineLevel="0" collapsed="false">
      <c r="A5" s="83" t="s">
        <v>281</v>
      </c>
      <c r="B5" s="5" t="s">
        <v>282</v>
      </c>
      <c r="C5" s="84" t="n">
        <v>0.3</v>
      </c>
      <c r="D5" s="85" t="n">
        <f aca="false">IFERROR('06_Step7-8_収納額_基準額'!C18*$C5,"未算定")</f>
        <v>2289.60575902885</v>
      </c>
      <c r="E5" s="85" t="n">
        <f aca="false">IFERROR('06_Step7-8_収納額_基準額'!D18*$C5,"未算定")</f>
        <v>2215.30725643506</v>
      </c>
      <c r="F5" s="85" t="n">
        <f aca="false">IFERROR('06_Step7-8_収納額_基準額'!E18*$C5,"未算定")</f>
        <v>2141.00875384127</v>
      </c>
      <c r="G5" s="86"/>
    </row>
    <row r="6" customFormat="false" ht="36" hidden="false" customHeight="true" outlineLevel="0" collapsed="false">
      <c r="A6" s="83" t="s">
        <v>283</v>
      </c>
      <c r="B6" s="5" t="s">
        <v>284</v>
      </c>
      <c r="C6" s="84" t="n">
        <v>0.5</v>
      </c>
      <c r="D6" s="85" t="n">
        <f aca="false">IFERROR('06_Step7-8_収納額_基準額'!C18*$C6,"未算定")</f>
        <v>3816.00959838142</v>
      </c>
      <c r="E6" s="85" t="n">
        <f aca="false">IFERROR('06_Step7-8_収納額_基準額'!D18*$C6,"未算定")</f>
        <v>3692.17876072511</v>
      </c>
      <c r="F6" s="85" t="n">
        <f aca="false">IFERROR('06_Step7-8_収納額_基準額'!E18*$C6,"未算定")</f>
        <v>3568.34792306879</v>
      </c>
      <c r="G6" s="86"/>
    </row>
    <row r="7" customFormat="false" ht="36" hidden="false" customHeight="true" outlineLevel="0" collapsed="false">
      <c r="A7" s="83" t="s">
        <v>285</v>
      </c>
      <c r="B7" s="5" t="s">
        <v>286</v>
      </c>
      <c r="C7" s="84" t="n">
        <v>0.7</v>
      </c>
      <c r="D7" s="85" t="n">
        <f aca="false">IFERROR('06_Step7-8_収納額_基準額'!C18*$C7,"未算定")</f>
        <v>5342.41343773399</v>
      </c>
      <c r="E7" s="85" t="n">
        <f aca="false">IFERROR('06_Step7-8_収納額_基準額'!D18*$C7,"未算定")</f>
        <v>5169.05026501515</v>
      </c>
      <c r="F7" s="85" t="n">
        <f aca="false">IFERROR('06_Step7-8_収納額_基準額'!E18*$C7,"未算定")</f>
        <v>4995.68709229631</v>
      </c>
      <c r="G7" s="86"/>
    </row>
    <row r="8" customFormat="false" ht="36" hidden="false" customHeight="true" outlineLevel="0" collapsed="false">
      <c r="A8" s="83" t="s">
        <v>287</v>
      </c>
      <c r="B8" s="5" t="s">
        <v>288</v>
      </c>
      <c r="C8" s="84" t="n">
        <v>0.9</v>
      </c>
      <c r="D8" s="85" t="n">
        <f aca="false">IFERROR('06_Step7-8_収納額_基準額'!C18*$C8,"未算定")</f>
        <v>6868.81727708656</v>
      </c>
      <c r="E8" s="85" t="n">
        <f aca="false">IFERROR('06_Step7-8_収納額_基準額'!D18*$C8,"未算定")</f>
        <v>6645.92176930519</v>
      </c>
      <c r="F8" s="85" t="n">
        <f aca="false">IFERROR('06_Step7-8_収納額_基準額'!E18*$C8,"未算定")</f>
        <v>6423.02626152382</v>
      </c>
      <c r="G8" s="86"/>
    </row>
    <row r="9" customFormat="false" ht="36" hidden="false" customHeight="true" outlineLevel="0" collapsed="false">
      <c r="A9" s="83" t="s">
        <v>289</v>
      </c>
      <c r="B9" s="5" t="s">
        <v>290</v>
      </c>
      <c r="C9" s="84" t="n">
        <v>1</v>
      </c>
      <c r="D9" s="85" t="n">
        <f aca="false">IFERROR('06_Step7-8_収納額_基準額'!C18*$C9,"未算定")</f>
        <v>7632.01919676285</v>
      </c>
      <c r="E9" s="85" t="n">
        <f aca="false">IFERROR('06_Step7-8_収納額_基準額'!D18*$C9,"未算定")</f>
        <v>7384.35752145021</v>
      </c>
      <c r="F9" s="85" t="n">
        <f aca="false">IFERROR('06_Step7-8_収納額_基準額'!E18*$C9,"未算定")</f>
        <v>7136.69584613758</v>
      </c>
      <c r="G9" s="86"/>
    </row>
    <row r="10" customFormat="false" ht="36" hidden="false" customHeight="true" outlineLevel="0" collapsed="false">
      <c r="A10" s="83" t="s">
        <v>291</v>
      </c>
      <c r="B10" s="5" t="s">
        <v>292</v>
      </c>
      <c r="C10" s="84" t="n">
        <v>1.2</v>
      </c>
      <c r="D10" s="85" t="n">
        <f aca="false">IFERROR('06_Step7-8_収納額_基準額'!C18*$C10,"未算定")</f>
        <v>9158.42303611542</v>
      </c>
      <c r="E10" s="85" t="n">
        <f aca="false">IFERROR('06_Step7-8_収納額_基準額'!D18*$C10,"未算定")</f>
        <v>8861.22902574026</v>
      </c>
      <c r="F10" s="85" t="n">
        <f aca="false">IFERROR('06_Step7-8_収納額_基準額'!E18*$C10,"未算定")</f>
        <v>8564.0350153651</v>
      </c>
      <c r="G10" s="86"/>
    </row>
    <row r="11" customFormat="false" ht="36" hidden="false" customHeight="true" outlineLevel="0" collapsed="false">
      <c r="A11" s="83" t="s">
        <v>293</v>
      </c>
      <c r="B11" s="5" t="s">
        <v>294</v>
      </c>
      <c r="C11" s="84" t="n">
        <v>1.3</v>
      </c>
      <c r="D11" s="85" t="n">
        <f aca="false">IFERROR('06_Step7-8_収納額_基準額'!C18*$C11,"未算定")</f>
        <v>9921.6249557917</v>
      </c>
      <c r="E11" s="85" t="n">
        <f aca="false">IFERROR('06_Step7-8_収納額_基準額'!D18*$C11,"未算定")</f>
        <v>9599.66477788528</v>
      </c>
      <c r="F11" s="85" t="n">
        <f aca="false">IFERROR('06_Step7-8_収納額_基準額'!E18*$C11,"未算定")</f>
        <v>9277.70459997886</v>
      </c>
      <c r="G11" s="86"/>
    </row>
    <row r="12" customFormat="false" ht="36" hidden="false" customHeight="true" outlineLevel="0" collapsed="false">
      <c r="A12" s="83" t="s">
        <v>295</v>
      </c>
      <c r="B12" s="5" t="s">
        <v>296</v>
      </c>
      <c r="C12" s="84" t="n">
        <v>1.5</v>
      </c>
      <c r="D12" s="85" t="n">
        <f aca="false">IFERROR('06_Step7-8_収納額_基準額'!C18*$C12,"未算定")</f>
        <v>11448.0287951443</v>
      </c>
      <c r="E12" s="85" t="n">
        <f aca="false">IFERROR('06_Step7-8_収納額_基準額'!D18*$C12,"未算定")</f>
        <v>11076.5362821753</v>
      </c>
      <c r="F12" s="85" t="n">
        <f aca="false">IFERROR('06_Step7-8_収納額_基準額'!E18*$C12,"未算定")</f>
        <v>10705.0437692064</v>
      </c>
      <c r="G12" s="86"/>
    </row>
    <row r="13" customFormat="false" ht="36" hidden="false" customHeight="true" outlineLevel="0" collapsed="false">
      <c r="A13" s="83" t="s">
        <v>297</v>
      </c>
      <c r="B13" s="5" t="s">
        <v>298</v>
      </c>
      <c r="C13" s="84" t="n">
        <v>1.7</v>
      </c>
      <c r="D13" s="85" t="n">
        <f aca="false">IFERROR('06_Step7-8_収納額_基準額'!C18*$C13,"未算定")</f>
        <v>12974.4326344968</v>
      </c>
      <c r="E13" s="85" t="n">
        <f aca="false">IFERROR('06_Step7-8_収納額_基準額'!D18*$C13,"未算定")</f>
        <v>12553.4077864654</v>
      </c>
      <c r="F13" s="85" t="n">
        <f aca="false">IFERROR('06_Step7-8_収納額_基準額'!E18*$C13,"未算定")</f>
        <v>12132.3829384339</v>
      </c>
      <c r="G13" s="86"/>
    </row>
    <row r="15" customFormat="false" ht="21.75" hidden="false" customHeight="true" outlineLevel="0" collapsed="false">
      <c r="A15" s="19" t="s">
        <v>299</v>
      </c>
      <c r="B15" s="19"/>
      <c r="C15" s="19"/>
      <c r="D15" s="19"/>
      <c r="E15" s="19"/>
      <c r="F15" s="19"/>
      <c r="G15" s="19"/>
    </row>
    <row r="16" customFormat="false" ht="21.75" hidden="false" customHeight="true" outlineLevel="0" collapsed="false">
      <c r="A16" s="19" t="s">
        <v>300</v>
      </c>
      <c r="B16" s="19"/>
      <c r="C16" s="19"/>
      <c r="D16" s="19"/>
      <c r="E16" s="19"/>
      <c r="F16" s="19"/>
      <c r="G16" s="19"/>
    </row>
    <row r="17" customFormat="false" ht="21.75" hidden="false" customHeight="true" outlineLevel="0" collapsed="false">
      <c r="A17" s="19" t="s">
        <v>301</v>
      </c>
      <c r="B17" s="19"/>
      <c r="C17" s="19"/>
      <c r="D17" s="19"/>
      <c r="E17" s="19"/>
      <c r="F17" s="19"/>
      <c r="G17" s="19"/>
    </row>
  </sheetData>
  <mergeCells count="5">
    <mergeCell ref="A1:G1"/>
    <mergeCell ref="A2:G2"/>
    <mergeCell ref="A15:G15"/>
    <mergeCell ref="A16:G16"/>
    <mergeCell ref="A17:G1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6"/>
    <col collapsed="false" customWidth="true" hidden="false" outlineLevel="0" max="3" min="3" style="1" width="10"/>
    <col collapsed="false" customWidth="true" hidden="false" outlineLevel="0" max="6" min="4" style="1" width="14"/>
    <col collapsed="false" customWidth="true" hidden="false" outlineLevel="0" max="7" min="7" style="1" width="12"/>
  </cols>
  <sheetData>
    <row r="1" customFormat="false" ht="25.5" hidden="false" customHeight="true" outlineLevel="0" collapsed="false">
      <c r="A1" s="21" t="s">
        <v>302</v>
      </c>
      <c r="B1" s="21"/>
      <c r="C1" s="21"/>
      <c r="D1" s="21"/>
      <c r="E1" s="21"/>
      <c r="F1" s="21"/>
      <c r="G1" s="21"/>
    </row>
    <row r="2" customFormat="false" ht="19.5" hidden="false" customHeight="true" outlineLevel="0" collapsed="false">
      <c r="A2" s="30" t="s">
        <v>303</v>
      </c>
      <c r="B2" s="30"/>
      <c r="C2" s="30"/>
      <c r="D2" s="30"/>
      <c r="E2" s="30"/>
      <c r="F2" s="30"/>
      <c r="G2" s="30"/>
    </row>
    <row r="4" customFormat="false" ht="25.5" hidden="false" customHeight="true" outlineLevel="0" collapsed="false">
      <c r="A4" s="6" t="s">
        <v>274</v>
      </c>
      <c r="B4" s="6" t="s">
        <v>275</v>
      </c>
      <c r="C4" s="6" t="s">
        <v>276</v>
      </c>
      <c r="D4" s="6" t="s">
        <v>277</v>
      </c>
      <c r="E4" s="81" t="s">
        <v>278</v>
      </c>
      <c r="F4" s="82" t="s">
        <v>279</v>
      </c>
      <c r="G4" s="6" t="s">
        <v>280</v>
      </c>
    </row>
    <row r="5" customFormat="false" ht="31.5" hidden="false" customHeight="true" outlineLevel="0" collapsed="false">
      <c r="A5" s="83" t="s">
        <v>281</v>
      </c>
      <c r="B5" s="5" t="s">
        <v>304</v>
      </c>
      <c r="C5" s="84" t="n">
        <v>0.285</v>
      </c>
      <c r="D5" s="85" t="n">
        <f aca="false">IFERROR('06_Step7-8_収納額_基準額'!C18*$C5,"未算定")</f>
        <v>2175.12547107741</v>
      </c>
      <c r="E5" s="85" t="n">
        <f aca="false">IFERROR('06_Step7-8_収納額_基準額'!D18*$C5,"未算定")</f>
        <v>2104.54189361331</v>
      </c>
      <c r="F5" s="85" t="n">
        <f aca="false">IFERROR('06_Step7-8_収納額_基準額'!E18*$C5,"未算定")</f>
        <v>2033.95831614921</v>
      </c>
      <c r="G5" s="86"/>
    </row>
    <row r="6" customFormat="false" ht="31.5" hidden="false" customHeight="true" outlineLevel="0" collapsed="false">
      <c r="A6" s="83" t="s">
        <v>283</v>
      </c>
      <c r="B6" s="5" t="s">
        <v>305</v>
      </c>
      <c r="C6" s="84" t="n">
        <v>0.485</v>
      </c>
      <c r="D6" s="85" t="n">
        <f aca="false">IFERROR('06_Step7-8_収納額_基準額'!C18*$C6,"未算定")</f>
        <v>3701.52931042998</v>
      </c>
      <c r="E6" s="85" t="n">
        <f aca="false">IFERROR('06_Step7-8_収納額_基準額'!D18*$C6,"未算定")</f>
        <v>3581.41339790335</v>
      </c>
      <c r="F6" s="85" t="n">
        <f aca="false">IFERROR('06_Step7-8_収納額_基準額'!E18*$C6,"未算定")</f>
        <v>3461.29748537673</v>
      </c>
      <c r="G6" s="86"/>
    </row>
    <row r="7" customFormat="false" ht="31.5" hidden="false" customHeight="true" outlineLevel="0" collapsed="false">
      <c r="A7" s="83" t="s">
        <v>285</v>
      </c>
      <c r="B7" s="5" t="s">
        <v>306</v>
      </c>
      <c r="C7" s="84" t="n">
        <v>0.685</v>
      </c>
      <c r="D7" s="85" t="n">
        <f aca="false">IFERROR('06_Step7-8_収納額_基準額'!C18*$C7,"未算定")</f>
        <v>5227.93314978255</v>
      </c>
      <c r="E7" s="85" t="n">
        <f aca="false">IFERROR('06_Step7-8_収納額_基準額'!D18*$C7,"未算定")</f>
        <v>5058.2849021934</v>
      </c>
      <c r="F7" s="85" t="n">
        <f aca="false">IFERROR('06_Step7-8_収納額_基準額'!E18*$C7,"未算定")</f>
        <v>4888.63665460424</v>
      </c>
      <c r="G7" s="86"/>
    </row>
    <row r="8" customFormat="false" ht="31.5" hidden="false" customHeight="true" outlineLevel="0" collapsed="false">
      <c r="A8" s="83" t="s">
        <v>287</v>
      </c>
      <c r="B8" s="5" t="s">
        <v>307</v>
      </c>
      <c r="C8" s="84" t="n">
        <v>0.88</v>
      </c>
      <c r="D8" s="85" t="n">
        <f aca="false">IFERROR('06_Step7-8_収納額_基準額'!C18*$C8,"未算定")</f>
        <v>6716.1768931513</v>
      </c>
      <c r="E8" s="85" t="n">
        <f aca="false">IFERROR('06_Step7-8_収納額_基準額'!D18*$C8,"未算定")</f>
        <v>6498.23461887619</v>
      </c>
      <c r="F8" s="85" t="n">
        <f aca="false">IFERROR('06_Step7-8_収納額_基準額'!E18*$C8,"未算定")</f>
        <v>6280.29234460107</v>
      </c>
      <c r="G8" s="86"/>
    </row>
    <row r="9" customFormat="false" ht="31.5" hidden="false" customHeight="true" outlineLevel="0" collapsed="false">
      <c r="A9" s="83" t="s">
        <v>289</v>
      </c>
      <c r="B9" s="5" t="s">
        <v>308</v>
      </c>
      <c r="C9" s="84" t="n">
        <v>1</v>
      </c>
      <c r="D9" s="85" t="n">
        <f aca="false">IFERROR('06_Step7-8_収納額_基準額'!C18*$C9,"未算定")</f>
        <v>7632.01919676285</v>
      </c>
      <c r="E9" s="85" t="n">
        <f aca="false">IFERROR('06_Step7-8_収納額_基準額'!D18*$C9,"未算定")</f>
        <v>7384.35752145021</v>
      </c>
      <c r="F9" s="85" t="n">
        <f aca="false">IFERROR('06_Step7-8_収納額_基準額'!E18*$C9,"未算定")</f>
        <v>7136.69584613758</v>
      </c>
      <c r="G9" s="86"/>
    </row>
    <row r="10" customFormat="false" ht="31.5" hidden="false" customHeight="true" outlineLevel="0" collapsed="false">
      <c r="A10" s="83" t="s">
        <v>291</v>
      </c>
      <c r="B10" s="5" t="s">
        <v>309</v>
      </c>
      <c r="C10" s="84" t="n">
        <v>1.2</v>
      </c>
      <c r="D10" s="85" t="n">
        <f aca="false">IFERROR('06_Step7-8_収納額_基準額'!C18*$C10,"未算定")</f>
        <v>9158.42303611542</v>
      </c>
      <c r="E10" s="85" t="n">
        <f aca="false">IFERROR('06_Step7-8_収納額_基準額'!D18*$C10,"未算定")</f>
        <v>8861.22902574026</v>
      </c>
      <c r="F10" s="85" t="n">
        <f aca="false">IFERROR('06_Step7-8_収納額_基準額'!E18*$C10,"未算定")</f>
        <v>8564.0350153651</v>
      </c>
      <c r="G10" s="86"/>
    </row>
    <row r="11" customFormat="false" ht="31.5" hidden="false" customHeight="true" outlineLevel="0" collapsed="false">
      <c r="A11" s="83" t="s">
        <v>293</v>
      </c>
      <c r="B11" s="5" t="s">
        <v>310</v>
      </c>
      <c r="C11" s="84" t="n">
        <v>1.3</v>
      </c>
      <c r="D11" s="85" t="n">
        <f aca="false">IFERROR('06_Step7-8_収納額_基準額'!C18*$C11,"未算定")</f>
        <v>9921.6249557917</v>
      </c>
      <c r="E11" s="85" t="n">
        <f aca="false">IFERROR('06_Step7-8_収納額_基準額'!D18*$C11,"未算定")</f>
        <v>9599.66477788528</v>
      </c>
      <c r="F11" s="85" t="n">
        <f aca="false">IFERROR('06_Step7-8_収納額_基準額'!E18*$C11,"未算定")</f>
        <v>9277.70459997886</v>
      </c>
      <c r="G11" s="86"/>
    </row>
    <row r="12" customFormat="false" ht="31.5" hidden="false" customHeight="true" outlineLevel="0" collapsed="false">
      <c r="A12" s="83" t="s">
        <v>295</v>
      </c>
      <c r="B12" s="5" t="s">
        <v>311</v>
      </c>
      <c r="C12" s="84" t="n">
        <v>1.5</v>
      </c>
      <c r="D12" s="85" t="n">
        <f aca="false">IFERROR('06_Step7-8_収納額_基準額'!C18*$C12,"未算定")</f>
        <v>11448.0287951443</v>
      </c>
      <c r="E12" s="85" t="n">
        <f aca="false">IFERROR('06_Step7-8_収納額_基準額'!D18*$C12,"未算定")</f>
        <v>11076.5362821753</v>
      </c>
      <c r="F12" s="85" t="n">
        <f aca="false">IFERROR('06_Step7-8_収納額_基準額'!E18*$C12,"未算定")</f>
        <v>10705.0437692064</v>
      </c>
      <c r="G12" s="86"/>
    </row>
    <row r="13" customFormat="false" ht="31.5" hidden="false" customHeight="true" outlineLevel="0" collapsed="false">
      <c r="A13" s="83" t="s">
        <v>297</v>
      </c>
      <c r="B13" s="5" t="s">
        <v>312</v>
      </c>
      <c r="C13" s="84" t="n">
        <v>1.7</v>
      </c>
      <c r="D13" s="85" t="n">
        <f aca="false">IFERROR('06_Step7-8_収納額_基準額'!C18*$C13,"未算定")</f>
        <v>12974.4326344968</v>
      </c>
      <c r="E13" s="85" t="n">
        <f aca="false">IFERROR('06_Step7-8_収納額_基準額'!D18*$C13,"未算定")</f>
        <v>12553.4077864654</v>
      </c>
      <c r="F13" s="85" t="n">
        <f aca="false">IFERROR('06_Step7-8_収納額_基準額'!E18*$C13,"未算定")</f>
        <v>12132.3829384339</v>
      </c>
      <c r="G13" s="86"/>
    </row>
    <row r="14" customFormat="false" ht="31.5" hidden="false" customHeight="true" outlineLevel="0" collapsed="false">
      <c r="A14" s="87" t="s">
        <v>313</v>
      </c>
      <c r="B14" s="5" t="s">
        <v>314</v>
      </c>
      <c r="C14" s="84" t="n">
        <v>1.9</v>
      </c>
      <c r="D14" s="85" t="n">
        <f aca="false">IFERROR('06_Step7-8_収納額_基準額'!C18*$C14,"未算定")</f>
        <v>14500.8364738494</v>
      </c>
      <c r="E14" s="85" t="n">
        <f aca="false">IFERROR('06_Step7-8_収納額_基準額'!D18*$C14,"未算定")</f>
        <v>14030.2792907554</v>
      </c>
      <c r="F14" s="85" t="n">
        <f aca="false">IFERROR('06_Step7-8_収納額_基準額'!E18*$C14,"未算定")</f>
        <v>13559.7221076614</v>
      </c>
      <c r="G14" s="86"/>
    </row>
    <row r="15" customFormat="false" ht="31.5" hidden="false" customHeight="true" outlineLevel="0" collapsed="false">
      <c r="A15" s="87" t="s">
        <v>315</v>
      </c>
      <c r="B15" s="5" t="s">
        <v>316</v>
      </c>
      <c r="C15" s="84" t="n">
        <v>2.1</v>
      </c>
      <c r="D15" s="85" t="n">
        <f aca="false">IFERROR('06_Step7-8_収納額_基準額'!C18*$C15,"未算定")</f>
        <v>16027.240313202</v>
      </c>
      <c r="E15" s="85" t="n">
        <f aca="false">IFERROR('06_Step7-8_収納額_基準額'!D18*$C15,"未算定")</f>
        <v>15507.1507950455</v>
      </c>
      <c r="F15" s="85" t="n">
        <f aca="false">IFERROR('06_Step7-8_収納額_基準額'!E18*$C15,"未算定")</f>
        <v>14987.0612768889</v>
      </c>
      <c r="G15" s="86"/>
    </row>
    <row r="16" customFormat="false" ht="31.5" hidden="false" customHeight="true" outlineLevel="0" collapsed="false">
      <c r="A16" s="87" t="s">
        <v>317</v>
      </c>
      <c r="B16" s="5" t="s">
        <v>318</v>
      </c>
      <c r="C16" s="84" t="n">
        <v>2.3</v>
      </c>
      <c r="D16" s="85" t="n">
        <f aca="false">IFERROR('06_Step7-8_収納額_基準額'!C18*$C16,"未算定")</f>
        <v>17553.6441525545</v>
      </c>
      <c r="E16" s="85" t="n">
        <f aca="false">IFERROR('06_Step7-8_収納額_基準額'!D18*$C16,"未算定")</f>
        <v>16984.0222993355</v>
      </c>
      <c r="F16" s="85" t="n">
        <f aca="false">IFERROR('06_Step7-8_収納額_基準額'!E18*$C16,"未算定")</f>
        <v>16414.4004461164</v>
      </c>
      <c r="G16" s="86"/>
    </row>
    <row r="17" customFormat="false" ht="31.5" hidden="false" customHeight="true" outlineLevel="0" collapsed="false">
      <c r="A17" s="87" t="s">
        <v>319</v>
      </c>
      <c r="B17" s="5" t="s">
        <v>320</v>
      </c>
      <c r="C17" s="84" t="n">
        <v>2.4</v>
      </c>
      <c r="D17" s="85" t="n">
        <f aca="false">IFERROR('06_Step7-8_収納額_基準額'!C18*$C17,"未算定")</f>
        <v>18316.8460722308</v>
      </c>
      <c r="E17" s="85" t="n">
        <f aca="false">IFERROR('06_Step7-8_収納額_基準額'!D18*$C17,"未算定")</f>
        <v>17722.4580514805</v>
      </c>
      <c r="F17" s="85" t="n">
        <f aca="false">IFERROR('06_Step7-8_収納額_基準額'!E18*$C17,"未算定")</f>
        <v>17128.0700307302</v>
      </c>
      <c r="G17" s="86"/>
    </row>
    <row r="19" customFormat="false" ht="21.75" hidden="false" customHeight="true" outlineLevel="0" collapsed="false">
      <c r="A19" s="20" t="s">
        <v>321</v>
      </c>
      <c r="B19" s="20"/>
      <c r="C19" s="20"/>
      <c r="D19" s="20"/>
      <c r="E19" s="20"/>
      <c r="F19" s="20"/>
      <c r="G19" s="20"/>
    </row>
    <row r="20" customFormat="false" ht="21.75" hidden="false" customHeight="true" outlineLevel="0" collapsed="false">
      <c r="A20" s="19" t="s">
        <v>322</v>
      </c>
      <c r="B20" s="19"/>
      <c r="C20" s="19"/>
      <c r="D20" s="19"/>
      <c r="E20" s="19"/>
      <c r="F20" s="19"/>
      <c r="G20" s="19"/>
    </row>
    <row r="21" customFormat="false" ht="21.75" hidden="false" customHeight="true" outlineLevel="0" collapsed="false">
      <c r="A21" s="20" t="s">
        <v>323</v>
      </c>
      <c r="B21" s="20"/>
      <c r="C21" s="20"/>
      <c r="D21" s="20"/>
      <c r="E21" s="20"/>
      <c r="F21" s="20"/>
      <c r="G21" s="20"/>
    </row>
    <row r="22" customFormat="false" ht="21.75" hidden="false" customHeight="true" outlineLevel="0" collapsed="false">
      <c r="A22" s="19" t="s">
        <v>324</v>
      </c>
      <c r="B22" s="19"/>
      <c r="C22" s="19"/>
      <c r="D22" s="19"/>
      <c r="E22" s="19"/>
      <c r="F22" s="19"/>
      <c r="G22" s="19"/>
    </row>
  </sheetData>
  <mergeCells count="6">
    <mergeCell ref="A1:G1"/>
    <mergeCell ref="A2:G2"/>
    <mergeCell ref="A19:G19"/>
    <mergeCell ref="A20:G20"/>
    <mergeCell ref="A21:G21"/>
    <mergeCell ref="A22:G2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4"/>
    <col collapsed="false" customWidth="true" hidden="false" outlineLevel="0" max="6" min="5" style="1" width="18"/>
  </cols>
  <sheetData>
    <row r="1" customFormat="false" ht="25.5" hidden="false" customHeight="true" outlineLevel="0" collapsed="false">
      <c r="A1" s="21" t="s">
        <v>325</v>
      </c>
      <c r="B1" s="21"/>
      <c r="C1" s="21"/>
      <c r="D1" s="21"/>
      <c r="E1" s="21"/>
      <c r="F1" s="21"/>
    </row>
    <row r="2" customFormat="false" ht="19.5" hidden="false" customHeight="true" outlineLevel="0" collapsed="false">
      <c r="A2" s="30" t="s">
        <v>326</v>
      </c>
      <c r="B2" s="30"/>
      <c r="C2" s="30"/>
      <c r="D2" s="30"/>
      <c r="E2" s="30"/>
      <c r="F2" s="30"/>
    </row>
    <row r="4" customFormat="false" ht="21.75" hidden="false" customHeight="true" outlineLevel="0" collapsed="false">
      <c r="A4" s="51" t="s">
        <v>327</v>
      </c>
      <c r="B4" s="51"/>
      <c r="C4" s="51"/>
      <c r="D4" s="51"/>
      <c r="E4" s="51"/>
      <c r="F4" s="51"/>
    </row>
    <row r="5" customFormat="false" ht="24" hidden="false" customHeight="true" outlineLevel="0" collapsed="false">
      <c r="A5" s="6" t="s">
        <v>217</v>
      </c>
      <c r="B5" s="6" t="s">
        <v>328</v>
      </c>
      <c r="C5" s="6" t="s">
        <v>329</v>
      </c>
      <c r="D5" s="6" t="s">
        <v>330</v>
      </c>
      <c r="E5" s="6" t="s">
        <v>331</v>
      </c>
      <c r="F5" s="6"/>
    </row>
    <row r="6" customFormat="false" ht="30" hidden="false" customHeight="true" outlineLevel="0" collapsed="false">
      <c r="A6" s="53" t="s">
        <v>222</v>
      </c>
      <c r="B6" s="88" t="n">
        <f aca="false">IFERROR('06_Step7-8_収納額_基準額'!C18,"未算定")</f>
        <v>7632.01919676285</v>
      </c>
      <c r="C6" s="8" t="s">
        <v>332</v>
      </c>
      <c r="D6" s="8" t="s">
        <v>333</v>
      </c>
      <c r="E6" s="5" t="s">
        <v>334</v>
      </c>
      <c r="F6" s="5"/>
    </row>
    <row r="7" customFormat="false" ht="30" hidden="false" customHeight="true" outlineLevel="0" collapsed="false">
      <c r="A7" s="89" t="s">
        <v>335</v>
      </c>
      <c r="B7" s="88" t="n">
        <f aca="false">IFERROR('06_Step7-8_収納額_基準額'!D18,"未算定")</f>
        <v>7384.35752145021</v>
      </c>
      <c r="C7" s="8" t="s">
        <v>336</v>
      </c>
      <c r="D7" s="9" t="s">
        <v>337</v>
      </c>
      <c r="E7" s="5" t="s">
        <v>338</v>
      </c>
      <c r="F7" s="5"/>
    </row>
    <row r="8" customFormat="false" ht="30" hidden="false" customHeight="true" outlineLevel="0" collapsed="false">
      <c r="A8" s="90" t="s">
        <v>339</v>
      </c>
      <c r="B8" s="88" t="n">
        <f aca="false">IFERROR('06_Step7-8_収納額_基準額'!E18,"未算定")</f>
        <v>7136.69584613758</v>
      </c>
      <c r="C8" s="8" t="s">
        <v>340</v>
      </c>
      <c r="D8" s="9" t="s">
        <v>341</v>
      </c>
      <c r="E8" s="5" t="s">
        <v>342</v>
      </c>
      <c r="F8" s="5"/>
    </row>
    <row r="10" customFormat="false" ht="21.75" hidden="false" customHeight="true" outlineLevel="0" collapsed="false">
      <c r="A10" s="51" t="s">
        <v>343</v>
      </c>
      <c r="B10" s="51"/>
      <c r="C10" s="51"/>
      <c r="D10" s="51"/>
      <c r="E10" s="51"/>
      <c r="F10" s="51"/>
    </row>
    <row r="11" customFormat="false" ht="21.75" hidden="false" customHeight="true" outlineLevel="0" collapsed="false">
      <c r="A11" s="6" t="s">
        <v>344</v>
      </c>
      <c r="B11" s="6" t="s">
        <v>345</v>
      </c>
      <c r="C11" s="6" t="s">
        <v>346</v>
      </c>
      <c r="D11" s="6" t="s">
        <v>347</v>
      </c>
      <c r="E11" s="6" t="s">
        <v>84</v>
      </c>
      <c r="F11" s="6"/>
    </row>
    <row r="12" customFormat="false" ht="24" hidden="false" customHeight="true" outlineLevel="0" collapsed="false">
      <c r="A12" s="91" t="s">
        <v>348</v>
      </c>
      <c r="B12" s="92" t="n">
        <v>6500</v>
      </c>
      <c r="C12" s="93" t="s">
        <v>349</v>
      </c>
      <c r="D12" s="94" t="n">
        <v>41.4</v>
      </c>
      <c r="E12" s="95" t="s">
        <v>350</v>
      </c>
      <c r="F12" s="95"/>
    </row>
    <row r="13" customFormat="false" ht="24" hidden="false" customHeight="true" outlineLevel="0" collapsed="false">
      <c r="A13" s="96" t="s">
        <v>351</v>
      </c>
      <c r="B13" s="97" t="n">
        <v>5600</v>
      </c>
      <c r="C13" s="97" t="s">
        <v>352</v>
      </c>
      <c r="D13" s="98" t="s">
        <v>353</v>
      </c>
      <c r="E13" s="99" t="s">
        <v>354</v>
      </c>
      <c r="F13" s="99"/>
    </row>
    <row r="14" customFormat="false" ht="24" hidden="false" customHeight="true" outlineLevel="0" collapsed="false">
      <c r="A14" s="96" t="s">
        <v>355</v>
      </c>
      <c r="B14" s="98" t="n">
        <v>4000</v>
      </c>
      <c r="C14" s="97" t="s">
        <v>352</v>
      </c>
      <c r="D14" s="98" t="s">
        <v>353</v>
      </c>
      <c r="E14" s="99" t="s">
        <v>354</v>
      </c>
      <c r="F14" s="99"/>
    </row>
    <row r="15" customFormat="false" ht="24" hidden="false" customHeight="true" outlineLevel="0" collapsed="false">
      <c r="A15" s="96" t="s">
        <v>356</v>
      </c>
      <c r="B15" s="98" t="n">
        <v>6500</v>
      </c>
      <c r="C15" s="97" t="s">
        <v>352</v>
      </c>
      <c r="D15" s="98" t="s">
        <v>353</v>
      </c>
      <c r="E15" s="99" t="s">
        <v>354</v>
      </c>
      <c r="F15" s="99"/>
    </row>
    <row r="16" customFormat="false" ht="24" hidden="false" customHeight="true" outlineLevel="0" collapsed="false">
      <c r="A16" s="96" t="s">
        <v>357</v>
      </c>
      <c r="B16" s="98" t="n">
        <v>5400</v>
      </c>
      <c r="C16" s="97" t="s">
        <v>352</v>
      </c>
      <c r="D16" s="98" t="s">
        <v>353</v>
      </c>
      <c r="E16" s="99" t="s">
        <v>354</v>
      </c>
      <c r="F16" s="99"/>
    </row>
    <row r="17" customFormat="false" ht="24" hidden="false" customHeight="true" outlineLevel="0" collapsed="false">
      <c r="A17" s="100" t="s">
        <v>358</v>
      </c>
      <c r="B17" s="101" t="n">
        <v>5761</v>
      </c>
      <c r="C17" s="102" t="s">
        <v>352</v>
      </c>
      <c r="D17" s="102" t="s">
        <v>352</v>
      </c>
      <c r="E17" s="103" t="s">
        <v>359</v>
      </c>
      <c r="F17" s="103"/>
    </row>
    <row r="18" customFormat="false" ht="24" hidden="false" customHeight="true" outlineLevel="0" collapsed="false">
      <c r="A18" s="100" t="s">
        <v>360</v>
      </c>
      <c r="B18" s="101" t="n">
        <v>6098</v>
      </c>
      <c r="C18" s="102" t="s">
        <v>352</v>
      </c>
      <c r="D18" s="104" t="n">
        <v>28.5</v>
      </c>
      <c r="E18" s="103" t="s">
        <v>361</v>
      </c>
      <c r="F18" s="103"/>
    </row>
    <row r="19" customFormat="false" ht="24" hidden="false" customHeight="true" outlineLevel="0" collapsed="false">
      <c r="A19" s="105" t="s">
        <v>362</v>
      </c>
      <c r="B19" s="106" t="n">
        <v>6225</v>
      </c>
      <c r="C19" s="97" t="s">
        <v>352</v>
      </c>
      <c r="D19" s="107" t="n">
        <v>29.1</v>
      </c>
      <c r="E19" s="99" t="s">
        <v>363</v>
      </c>
      <c r="F19" s="99"/>
    </row>
    <row r="21" customFormat="false" ht="21.75" hidden="false" customHeight="true" outlineLevel="0" collapsed="false">
      <c r="A21" s="51" t="s">
        <v>364</v>
      </c>
      <c r="B21" s="51"/>
      <c r="C21" s="51"/>
      <c r="D21" s="51"/>
      <c r="E21" s="51"/>
      <c r="F21" s="51"/>
    </row>
    <row r="22" customFormat="false" ht="24" hidden="false" customHeight="true" outlineLevel="0" collapsed="false">
      <c r="A22" s="108" t="s">
        <v>365</v>
      </c>
      <c r="B22" s="108"/>
      <c r="C22" s="108"/>
      <c r="D22" s="108"/>
      <c r="E22" s="108"/>
      <c r="F22" s="108"/>
    </row>
    <row r="23" customFormat="false" ht="24" hidden="false" customHeight="true" outlineLevel="0" collapsed="false">
      <c r="A23" s="108" t="s">
        <v>366</v>
      </c>
      <c r="B23" s="108"/>
      <c r="C23" s="108"/>
      <c r="D23" s="108"/>
      <c r="E23" s="108"/>
      <c r="F23" s="108"/>
    </row>
    <row r="24" customFormat="false" ht="24" hidden="false" customHeight="true" outlineLevel="0" collapsed="false">
      <c r="A24" s="109" t="s">
        <v>367</v>
      </c>
      <c r="B24" s="109"/>
      <c r="C24" s="109"/>
      <c r="D24" s="109"/>
      <c r="E24" s="109"/>
      <c r="F24" s="109"/>
    </row>
    <row r="25" customFormat="false" ht="24" hidden="false" customHeight="true" outlineLevel="0" collapsed="false">
      <c r="A25" s="108" t="s">
        <v>368</v>
      </c>
      <c r="B25" s="108"/>
      <c r="C25" s="108"/>
      <c r="D25" s="108"/>
      <c r="E25" s="108"/>
      <c r="F25" s="108"/>
    </row>
    <row r="26" customFormat="false" ht="24" hidden="false" customHeight="true" outlineLevel="0" collapsed="false">
      <c r="A26" s="108" t="s">
        <v>369</v>
      </c>
      <c r="B26" s="108"/>
      <c r="C26" s="108"/>
      <c r="D26" s="108"/>
      <c r="E26" s="108"/>
      <c r="F26" s="108"/>
    </row>
    <row r="27" customFormat="false" ht="24" hidden="false" customHeight="true" outlineLevel="0" collapsed="false">
      <c r="A27" s="108" t="s">
        <v>370</v>
      </c>
      <c r="B27" s="108"/>
      <c r="C27" s="108"/>
      <c r="D27" s="108"/>
      <c r="E27" s="108"/>
      <c r="F27" s="108"/>
    </row>
  </sheetData>
  <mergeCells count="24">
    <mergeCell ref="A1:F1"/>
    <mergeCell ref="A2:F2"/>
    <mergeCell ref="A4:F4"/>
    <mergeCell ref="E5:F5"/>
    <mergeCell ref="E6:F6"/>
    <mergeCell ref="E7:F7"/>
    <mergeCell ref="E8:F8"/>
    <mergeCell ref="A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A21:F21"/>
    <mergeCell ref="A22:F22"/>
    <mergeCell ref="A23:F23"/>
    <mergeCell ref="A24:F24"/>
    <mergeCell ref="A25:F25"/>
    <mergeCell ref="A26:F26"/>
    <mergeCell ref="A27:F2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3"/>
  </cols>
  <sheetData>
    <row r="1" customFormat="false" ht="19.5" hidden="false" customHeight="true" outlineLevel="0" collapsed="false">
      <c r="A1" s="110" t="s">
        <v>371</v>
      </c>
      <c r="B1" s="110"/>
      <c r="C1" s="110"/>
      <c r="D1" s="110"/>
      <c r="E1" s="110"/>
      <c r="F1" s="110"/>
    </row>
    <row r="2" customFormat="false" ht="13.5" hidden="false" customHeight="true" outlineLevel="0" collapsed="false">
      <c r="A2" s="111" t="s">
        <v>372</v>
      </c>
      <c r="B2" s="111"/>
      <c r="C2" s="111"/>
      <c r="D2" s="111"/>
      <c r="E2" s="111"/>
      <c r="F2" s="111"/>
    </row>
    <row r="4" customFormat="false" ht="16.5" hidden="false" customHeight="true" outlineLevel="0" collapsed="false">
      <c r="A4" s="112" t="s">
        <v>373</v>
      </c>
      <c r="B4" s="112"/>
      <c r="C4" s="112"/>
      <c r="D4" s="112"/>
      <c r="E4" s="112"/>
      <c r="F4" s="112"/>
    </row>
    <row r="5" customFormat="false" ht="15" hidden="false" customHeight="true" outlineLevel="0" collapsed="false">
      <c r="A5" s="113" t="s">
        <v>374</v>
      </c>
      <c r="B5" s="114" t="s">
        <v>375</v>
      </c>
      <c r="C5" s="114" t="s">
        <v>376</v>
      </c>
      <c r="D5" s="114" t="s">
        <v>377</v>
      </c>
      <c r="E5" s="114" t="s">
        <v>378</v>
      </c>
      <c r="F5" s="114" t="s">
        <v>379</v>
      </c>
    </row>
    <row r="6" customFormat="false" ht="16.5" hidden="false" customHeight="true" outlineLevel="0" collapsed="false">
      <c r="A6" s="115" t="s">
        <v>380</v>
      </c>
      <c r="B6" s="116" t="n">
        <v>8345</v>
      </c>
      <c r="C6" s="116" t="n">
        <v>8161</v>
      </c>
      <c r="D6" s="116" t="n">
        <v>7029</v>
      </c>
      <c r="E6" s="116" t="n">
        <v>5776</v>
      </c>
      <c r="F6" s="116" t="n">
        <v>4525</v>
      </c>
    </row>
    <row r="7" customFormat="false" ht="16.5" hidden="false" customHeight="true" outlineLevel="0" collapsed="false">
      <c r="A7" s="117" t="s">
        <v>381</v>
      </c>
      <c r="B7" s="116" t="n">
        <v>3210</v>
      </c>
      <c r="C7" s="116" t="n">
        <v>3219</v>
      </c>
      <c r="D7" s="116" t="n">
        <v>3149</v>
      </c>
      <c r="E7" s="116" t="n">
        <v>2835</v>
      </c>
      <c r="F7" s="116" t="n">
        <v>2494</v>
      </c>
    </row>
    <row r="8" customFormat="false" ht="16.5" hidden="false" customHeight="true" outlineLevel="0" collapsed="false">
      <c r="A8" s="117" t="s">
        <v>382</v>
      </c>
      <c r="B8" s="116" t="n">
        <v>4381</v>
      </c>
      <c r="C8" s="116" t="n">
        <v>4394</v>
      </c>
      <c r="D8" s="116" t="n">
        <v>3424</v>
      </c>
      <c r="E8" s="116" t="n">
        <v>2605</v>
      </c>
      <c r="F8" s="116" t="n">
        <v>1795</v>
      </c>
    </row>
    <row r="9" customFormat="false" ht="16.5" hidden="false" customHeight="true" outlineLevel="0" collapsed="false">
      <c r="A9" s="115" t="s">
        <v>383</v>
      </c>
      <c r="B9" s="118" t="n">
        <v>38.6</v>
      </c>
      <c r="C9" s="118" t="n">
        <v>38.6</v>
      </c>
      <c r="D9" s="118" t="n">
        <v>44.8</v>
      </c>
      <c r="E9" s="118" t="n">
        <v>49.1</v>
      </c>
      <c r="F9" s="118" t="n">
        <v>55.1</v>
      </c>
    </row>
    <row r="10" customFormat="false" ht="13.5" hidden="false" customHeight="true" outlineLevel="0" collapsed="false">
      <c r="A10" s="119" t="s">
        <v>384</v>
      </c>
      <c r="B10" s="119"/>
      <c r="C10" s="119"/>
      <c r="D10" s="119"/>
      <c r="E10" s="119"/>
      <c r="F10" s="119"/>
    </row>
    <row r="12" customFormat="false" ht="16.5" hidden="false" customHeight="true" outlineLevel="0" collapsed="false">
      <c r="A12" s="112" t="s">
        <v>385</v>
      </c>
      <c r="B12" s="112"/>
      <c r="C12" s="112"/>
      <c r="D12" s="112"/>
      <c r="E12" s="112"/>
      <c r="F12" s="112"/>
    </row>
    <row r="13" customFormat="false" ht="16.5" hidden="false" customHeight="true" outlineLevel="0" collapsed="false">
      <c r="A13" s="113" t="s">
        <v>174</v>
      </c>
      <c r="B13" s="114" t="s">
        <v>386</v>
      </c>
      <c r="C13" s="114" t="s">
        <v>92</v>
      </c>
      <c r="D13" s="114" t="s">
        <v>97</v>
      </c>
      <c r="E13" s="114" t="s">
        <v>387</v>
      </c>
      <c r="F13" s="114" t="s">
        <v>378</v>
      </c>
    </row>
    <row r="14" customFormat="false" ht="16.5" hidden="false" customHeight="true" outlineLevel="0" collapsed="false">
      <c r="A14" s="115" t="s">
        <v>388</v>
      </c>
      <c r="B14" s="116" t="n">
        <v>578</v>
      </c>
      <c r="C14" s="116" t="n">
        <v>584</v>
      </c>
      <c r="D14" s="116" t="n">
        <v>598</v>
      </c>
      <c r="E14" s="116" t="n">
        <v>605</v>
      </c>
      <c r="F14" s="116" t="n">
        <v>604</v>
      </c>
    </row>
    <row r="15" customFormat="false" ht="16.5" hidden="false" customHeight="true" outlineLevel="0" collapsed="false">
      <c r="A15" s="115" t="s">
        <v>389</v>
      </c>
      <c r="B15" s="118" t="n">
        <v>17.6</v>
      </c>
      <c r="C15" s="118" t="n">
        <v>18.3</v>
      </c>
      <c r="D15" s="118" t="n">
        <v>18.9</v>
      </c>
      <c r="E15" s="118" t="n">
        <v>20.4</v>
      </c>
      <c r="F15" s="118" t="n">
        <v>21.3</v>
      </c>
    </row>
    <row r="16" customFormat="false" ht="15" hidden="false" customHeight="true" outlineLevel="0" collapsed="false">
      <c r="A16" s="119" t="s">
        <v>390</v>
      </c>
      <c r="B16" s="119"/>
      <c r="C16" s="119"/>
      <c r="D16" s="119"/>
      <c r="E16" s="119"/>
      <c r="F16" s="119"/>
    </row>
    <row r="18" customFormat="false" ht="16.5" hidden="false" customHeight="true" outlineLevel="0" collapsed="false">
      <c r="A18" s="112" t="s">
        <v>391</v>
      </c>
      <c r="B18" s="112"/>
      <c r="C18" s="112"/>
      <c r="D18" s="112"/>
      <c r="E18" s="112"/>
      <c r="F18" s="112"/>
    </row>
    <row r="19" customFormat="false" ht="16.5" hidden="false" customHeight="true" outlineLevel="0" collapsed="false">
      <c r="A19" s="115" t="s">
        <v>392</v>
      </c>
      <c r="B19" s="120" t="s">
        <v>393</v>
      </c>
      <c r="C19" s="121" t="s">
        <v>394</v>
      </c>
      <c r="D19" s="121"/>
      <c r="E19" s="121"/>
      <c r="F19" s="121"/>
    </row>
    <row r="20" customFormat="false" ht="16.5" hidden="false" customHeight="true" outlineLevel="0" collapsed="false">
      <c r="A20" s="115" t="s">
        <v>395</v>
      </c>
      <c r="B20" s="120" t="s">
        <v>396</v>
      </c>
      <c r="C20" s="122" t="s">
        <v>397</v>
      </c>
      <c r="D20" s="122"/>
      <c r="E20" s="122"/>
      <c r="F20" s="122"/>
    </row>
    <row r="21" customFormat="false" ht="16.5" hidden="false" customHeight="true" outlineLevel="0" collapsed="false">
      <c r="A21" s="115" t="s">
        <v>398</v>
      </c>
      <c r="B21" s="123" t="s">
        <v>399</v>
      </c>
      <c r="C21" s="122" t="s">
        <v>400</v>
      </c>
      <c r="D21" s="122"/>
      <c r="E21" s="122"/>
      <c r="F21" s="122"/>
    </row>
    <row r="23" customFormat="false" ht="16.5" hidden="false" customHeight="true" outlineLevel="0" collapsed="false">
      <c r="A23" s="112" t="s">
        <v>401</v>
      </c>
      <c r="B23" s="112"/>
      <c r="C23" s="112"/>
      <c r="D23" s="112"/>
      <c r="E23" s="112"/>
      <c r="F23" s="112"/>
    </row>
    <row r="24" customFormat="false" ht="16.5" hidden="false" customHeight="true" outlineLevel="0" collapsed="false">
      <c r="A24" s="113"/>
      <c r="B24" s="113" t="s">
        <v>265</v>
      </c>
      <c r="C24" s="113" t="s">
        <v>266</v>
      </c>
      <c r="D24" s="113" t="s">
        <v>267</v>
      </c>
      <c r="E24" s="113" t="s">
        <v>268</v>
      </c>
      <c r="F24" s="113" t="s">
        <v>269</v>
      </c>
    </row>
    <row r="25" customFormat="false" ht="16.5" hidden="false" customHeight="true" outlineLevel="0" collapsed="false">
      <c r="A25" s="115" t="s">
        <v>402</v>
      </c>
      <c r="B25" s="116" t="n">
        <v>6380</v>
      </c>
      <c r="C25" s="116" t="n">
        <v>6500</v>
      </c>
      <c r="D25" s="124" t="n">
        <f aca="false">'06_Step7-8_収納額_基準額'!C18</f>
        <v>7632.01919676285</v>
      </c>
      <c r="E25" s="124" t="n">
        <f aca="false">'06_Step7-8_収納額_基準額'!D18</f>
        <v>7384.35752145021</v>
      </c>
      <c r="F25" s="124" t="n">
        <f aca="false">'06_Step7-8_収納額_基準額'!E18</f>
        <v>7136.69584613758</v>
      </c>
    </row>
    <row r="26" customFormat="false" ht="15" hidden="false" customHeight="true" outlineLevel="0" collapsed="false">
      <c r="A26" s="121" t="s">
        <v>403</v>
      </c>
      <c r="D26" s="125" t="s">
        <v>404</v>
      </c>
      <c r="E26" s="126" t="s">
        <v>405</v>
      </c>
      <c r="F26" s="125" t="s">
        <v>406</v>
      </c>
    </row>
    <row r="27" customFormat="false" ht="13.5" hidden="false" customHeight="true" outlineLevel="0" collapsed="false">
      <c r="A27" s="119" t="s">
        <v>407</v>
      </c>
      <c r="B27" s="119"/>
      <c r="C27" s="119"/>
      <c r="D27" s="119"/>
      <c r="E27" s="119"/>
      <c r="F27" s="119"/>
    </row>
    <row r="28" customFormat="false" ht="13.5" hidden="false" customHeight="true" outlineLevel="0" collapsed="false">
      <c r="A28" s="119" t="s">
        <v>408</v>
      </c>
      <c r="B28" s="119"/>
      <c r="C28" s="119"/>
      <c r="D28" s="119"/>
      <c r="E28" s="119"/>
      <c r="F28" s="119"/>
    </row>
    <row r="30" customFormat="false" ht="12.75" hidden="false" customHeight="true" outlineLevel="0" collapsed="false">
      <c r="A30" s="127" t="s">
        <v>409</v>
      </c>
      <c r="B30" s="127"/>
      <c r="C30" s="127"/>
      <c r="D30" s="127"/>
      <c r="E30" s="127"/>
      <c r="F30" s="127"/>
    </row>
    <row r="31" customFormat="false" ht="12.75" hidden="false" customHeight="true" outlineLevel="0" collapsed="false">
      <c r="A31" s="127" t="s">
        <v>410</v>
      </c>
      <c r="B31" s="127"/>
      <c r="C31" s="127"/>
      <c r="D31" s="127"/>
      <c r="E31" s="127"/>
      <c r="F31" s="127"/>
    </row>
  </sheetData>
  <mergeCells count="15">
    <mergeCell ref="A1:F1"/>
    <mergeCell ref="A2:F2"/>
    <mergeCell ref="A4:F4"/>
    <mergeCell ref="A10:F10"/>
    <mergeCell ref="A12:F12"/>
    <mergeCell ref="A16:F16"/>
    <mergeCell ref="A18:F18"/>
    <mergeCell ref="C19:F19"/>
    <mergeCell ref="C20:F20"/>
    <mergeCell ref="C21:F21"/>
    <mergeCell ref="A23:F23"/>
    <mergeCell ref="A27:F27"/>
    <mergeCell ref="A28:F28"/>
    <mergeCell ref="A30:F30"/>
    <mergeCell ref="A31:F3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2026-06-29T03:46:46Z</dcterms:created>
  <dc:creator>openpyxl</dc:creator>
  <dc:description/>
  <dc:language>en-US</dc:language>
  <cp:lastModifiedBy/>
  <dcterms:modified xsi:type="dcterms:W3CDTF">2026-06-30T02:19:22Z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